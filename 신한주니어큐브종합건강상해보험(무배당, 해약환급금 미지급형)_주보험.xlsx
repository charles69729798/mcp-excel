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InsuranceProject\"/>
    </mc:Choice>
  </mc:AlternateContent>
  <xr:revisionPtr revIDLastSave="0" documentId="13_ncr:1_{FA80DAD7-0F17-48A2-83AE-D7F70389669B}" xr6:coauthVersionLast="47" xr6:coauthVersionMax="47" xr10:uidLastSave="{00000000-0000-0000-0000-000000000000}"/>
  <bookViews>
    <workbookView xWindow="1125" yWindow="1125" windowWidth="18000" windowHeight="9270" xr2:uid="{00000000-000D-0000-FFFF-FFFF00000000}"/>
  </bookViews>
  <sheets>
    <sheet name="입력" sheetId="1" r:id="rId1"/>
    <sheet name="위험률" sheetId="2" r:id="rId2"/>
    <sheet name="계산" sheetId="3" r:id="rId3"/>
    <sheet name="기수표" sheetId="4" r:id="rId4"/>
    <sheet name="위험률_확장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2" i="4" l="1"/>
  <c r="F92" i="4"/>
  <c r="H91" i="4"/>
  <c r="F91" i="4"/>
  <c r="H90" i="4"/>
  <c r="F90" i="4"/>
  <c r="H89" i="4"/>
  <c r="F89" i="4"/>
  <c r="H88" i="4"/>
  <c r="F88" i="4"/>
  <c r="H87" i="4"/>
  <c r="F87" i="4"/>
  <c r="H86" i="4"/>
  <c r="F86" i="4"/>
  <c r="H85" i="4"/>
  <c r="F85" i="4"/>
  <c r="H84" i="4"/>
  <c r="F84" i="4"/>
  <c r="H83" i="4"/>
  <c r="F83" i="4"/>
  <c r="H82" i="4"/>
  <c r="F82" i="4"/>
  <c r="H81" i="4"/>
  <c r="F81" i="4"/>
  <c r="H80" i="4"/>
  <c r="F80" i="4"/>
  <c r="H79" i="4"/>
  <c r="F79" i="4"/>
  <c r="H78" i="4"/>
  <c r="F78" i="4"/>
  <c r="H77" i="4"/>
  <c r="F77" i="4"/>
  <c r="H76" i="4"/>
  <c r="F76" i="4"/>
  <c r="H75" i="4"/>
  <c r="F75" i="4"/>
  <c r="H74" i="4"/>
  <c r="F74" i="4"/>
  <c r="H73" i="4"/>
  <c r="F73" i="4"/>
  <c r="H72" i="4"/>
  <c r="F72" i="4"/>
  <c r="H71" i="4"/>
  <c r="F71" i="4"/>
  <c r="H70" i="4"/>
  <c r="F70" i="4"/>
  <c r="H69" i="4"/>
  <c r="F69" i="4"/>
  <c r="H68" i="4"/>
  <c r="F68" i="4"/>
  <c r="H67" i="4"/>
  <c r="F67" i="4"/>
  <c r="H66" i="4"/>
  <c r="F66" i="4"/>
  <c r="H65" i="4"/>
  <c r="F65" i="4"/>
  <c r="H64" i="4"/>
  <c r="F64" i="4"/>
  <c r="H63" i="4"/>
  <c r="F63" i="4"/>
  <c r="H62" i="4"/>
  <c r="F62" i="4"/>
  <c r="H61" i="4"/>
  <c r="F61" i="4"/>
  <c r="H60" i="4"/>
  <c r="F60" i="4"/>
  <c r="H59" i="4"/>
  <c r="F59" i="4"/>
  <c r="H58" i="4"/>
  <c r="F58" i="4"/>
  <c r="H57" i="4"/>
  <c r="F57" i="4"/>
  <c r="H56" i="4"/>
  <c r="F56" i="4"/>
  <c r="H55" i="4"/>
  <c r="F55" i="4"/>
  <c r="H54" i="4"/>
  <c r="F54" i="4"/>
  <c r="H53" i="4"/>
  <c r="F53" i="4"/>
  <c r="H52" i="4"/>
  <c r="F52" i="4"/>
  <c r="H51" i="4"/>
  <c r="F51" i="4"/>
  <c r="H50" i="4"/>
  <c r="F50" i="4"/>
  <c r="H49" i="4"/>
  <c r="F49" i="4"/>
  <c r="H48" i="4"/>
  <c r="F48" i="4"/>
  <c r="H47" i="4"/>
  <c r="F47" i="4"/>
  <c r="H46" i="4"/>
  <c r="F46" i="4"/>
  <c r="H45" i="4"/>
  <c r="F45" i="4"/>
  <c r="H44" i="4"/>
  <c r="F44" i="4"/>
  <c r="H43" i="4"/>
  <c r="F43" i="4"/>
  <c r="H42" i="4"/>
  <c r="F42" i="4"/>
  <c r="H41" i="4"/>
  <c r="F41" i="4"/>
  <c r="H40" i="4"/>
  <c r="F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F25" i="4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6" i="4"/>
  <c r="F16" i="4"/>
  <c r="H15" i="4"/>
  <c r="F15" i="4"/>
  <c r="H14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H4" i="4"/>
  <c r="F4" i="4"/>
  <c r="H3" i="4"/>
  <c r="F3" i="4"/>
  <c r="H2" i="4"/>
  <c r="F2" i="4"/>
  <c r="G92" i="4"/>
  <c r="E92" i="4"/>
  <c r="D92" i="4"/>
  <c r="C92" i="4"/>
  <c r="B92" i="4"/>
  <c r="G91" i="4"/>
  <c r="E91" i="4"/>
  <c r="D91" i="4"/>
  <c r="C91" i="4"/>
  <c r="B91" i="4"/>
  <c r="G90" i="4"/>
  <c r="E90" i="4"/>
  <c r="D90" i="4"/>
  <c r="C90" i="4"/>
  <c r="B90" i="4"/>
  <c r="G89" i="4"/>
  <c r="E89" i="4"/>
  <c r="D89" i="4"/>
  <c r="C89" i="4"/>
  <c r="B89" i="4"/>
  <c r="G88" i="4"/>
  <c r="E88" i="4"/>
  <c r="D88" i="4"/>
  <c r="C88" i="4"/>
  <c r="B88" i="4"/>
  <c r="G87" i="4"/>
  <c r="E87" i="4"/>
  <c r="D87" i="4"/>
  <c r="C87" i="4"/>
  <c r="B87" i="4"/>
  <c r="G86" i="4"/>
  <c r="E86" i="4"/>
  <c r="D86" i="4"/>
  <c r="C86" i="4"/>
  <c r="B86" i="4"/>
  <c r="G85" i="4"/>
  <c r="E85" i="4"/>
  <c r="D85" i="4"/>
  <c r="C85" i="4"/>
  <c r="B85" i="4"/>
  <c r="G84" i="4"/>
  <c r="E84" i="4"/>
  <c r="D84" i="4"/>
  <c r="C84" i="4"/>
  <c r="B84" i="4"/>
  <c r="G83" i="4"/>
  <c r="E83" i="4"/>
  <c r="D83" i="4"/>
  <c r="C83" i="4"/>
  <c r="B83" i="4"/>
  <c r="G82" i="4"/>
  <c r="E82" i="4"/>
  <c r="D82" i="4"/>
  <c r="C82" i="4"/>
  <c r="B82" i="4"/>
  <c r="G81" i="4"/>
  <c r="E81" i="4"/>
  <c r="D81" i="4"/>
  <c r="C81" i="4"/>
  <c r="B81" i="4"/>
  <c r="G80" i="4"/>
  <c r="E80" i="4"/>
  <c r="D80" i="4"/>
  <c r="C80" i="4"/>
  <c r="B80" i="4"/>
  <c r="G79" i="4"/>
  <c r="E79" i="4"/>
  <c r="D79" i="4"/>
  <c r="C79" i="4"/>
  <c r="B79" i="4"/>
  <c r="G78" i="4"/>
  <c r="E78" i="4"/>
  <c r="D78" i="4"/>
  <c r="C78" i="4"/>
  <c r="B78" i="4"/>
  <c r="G77" i="4"/>
  <c r="E77" i="4"/>
  <c r="D77" i="4"/>
  <c r="C77" i="4"/>
  <c r="B77" i="4"/>
  <c r="G76" i="4"/>
  <c r="E76" i="4"/>
  <c r="D76" i="4"/>
  <c r="C76" i="4"/>
  <c r="B76" i="4"/>
  <c r="G75" i="4"/>
  <c r="E75" i="4"/>
  <c r="D75" i="4"/>
  <c r="C75" i="4"/>
  <c r="B75" i="4"/>
  <c r="G74" i="4"/>
  <c r="E74" i="4"/>
  <c r="D74" i="4"/>
  <c r="C74" i="4"/>
  <c r="B74" i="4"/>
  <c r="G73" i="4"/>
  <c r="E73" i="4"/>
  <c r="D73" i="4"/>
  <c r="C73" i="4"/>
  <c r="B73" i="4"/>
  <c r="G72" i="4"/>
  <c r="E72" i="4"/>
  <c r="D72" i="4"/>
  <c r="C72" i="4"/>
  <c r="B72" i="4"/>
  <c r="G71" i="4"/>
  <c r="E71" i="4"/>
  <c r="D71" i="4"/>
  <c r="C71" i="4"/>
  <c r="B71" i="4"/>
  <c r="G70" i="4"/>
  <c r="E70" i="4"/>
  <c r="D70" i="4"/>
  <c r="C70" i="4"/>
  <c r="B70" i="4"/>
  <c r="G69" i="4"/>
  <c r="E69" i="4"/>
  <c r="D69" i="4"/>
  <c r="C69" i="4"/>
  <c r="B69" i="4"/>
  <c r="G68" i="4"/>
  <c r="E68" i="4"/>
  <c r="D68" i="4"/>
  <c r="C68" i="4"/>
  <c r="B68" i="4"/>
  <c r="G67" i="4"/>
  <c r="E67" i="4"/>
  <c r="D67" i="4"/>
  <c r="C67" i="4"/>
  <c r="B67" i="4"/>
  <c r="G66" i="4"/>
  <c r="E66" i="4"/>
  <c r="D66" i="4"/>
  <c r="C66" i="4"/>
  <c r="B66" i="4"/>
  <c r="G65" i="4"/>
  <c r="E65" i="4"/>
  <c r="D65" i="4"/>
  <c r="C65" i="4"/>
  <c r="B65" i="4"/>
  <c r="G64" i="4"/>
  <c r="E64" i="4"/>
  <c r="D64" i="4"/>
  <c r="C64" i="4"/>
  <c r="B64" i="4"/>
  <c r="G63" i="4"/>
  <c r="E63" i="4"/>
  <c r="D63" i="4"/>
  <c r="C63" i="4"/>
  <c r="B63" i="4"/>
  <c r="G62" i="4"/>
  <c r="E62" i="4"/>
  <c r="D62" i="4"/>
  <c r="C62" i="4"/>
  <c r="B62" i="4"/>
  <c r="G61" i="4"/>
  <c r="E61" i="4"/>
  <c r="D61" i="4"/>
  <c r="C61" i="4"/>
  <c r="B61" i="4"/>
  <c r="G60" i="4"/>
  <c r="E60" i="4"/>
  <c r="D60" i="4"/>
  <c r="C60" i="4"/>
  <c r="B60" i="4"/>
  <c r="G59" i="4"/>
  <c r="E59" i="4"/>
  <c r="D59" i="4"/>
  <c r="C59" i="4"/>
  <c r="B59" i="4"/>
  <c r="G58" i="4"/>
  <c r="E58" i="4"/>
  <c r="D58" i="4"/>
  <c r="C58" i="4"/>
  <c r="B58" i="4"/>
  <c r="G57" i="4"/>
  <c r="E57" i="4"/>
  <c r="D57" i="4"/>
  <c r="C57" i="4"/>
  <c r="B57" i="4"/>
  <c r="G56" i="4"/>
  <c r="E56" i="4"/>
  <c r="D56" i="4"/>
  <c r="C56" i="4"/>
  <c r="B56" i="4"/>
  <c r="G55" i="4"/>
  <c r="E55" i="4"/>
  <c r="D55" i="4"/>
  <c r="C55" i="4"/>
  <c r="B55" i="4"/>
  <c r="G54" i="4"/>
  <c r="E54" i="4"/>
  <c r="D54" i="4"/>
  <c r="C54" i="4"/>
  <c r="B54" i="4"/>
  <c r="G53" i="4"/>
  <c r="E53" i="4"/>
  <c r="D53" i="4"/>
  <c r="C53" i="4"/>
  <c r="B53" i="4"/>
  <c r="G52" i="4"/>
  <c r="E52" i="4"/>
  <c r="D52" i="4"/>
  <c r="C52" i="4"/>
  <c r="B52" i="4"/>
  <c r="G51" i="4"/>
  <c r="E51" i="4"/>
  <c r="D51" i="4"/>
  <c r="C51" i="4"/>
  <c r="B51" i="4"/>
  <c r="G50" i="4"/>
  <c r="E50" i="4"/>
  <c r="D50" i="4"/>
  <c r="C50" i="4"/>
  <c r="B50" i="4"/>
  <c r="G49" i="4"/>
  <c r="E49" i="4"/>
  <c r="D49" i="4"/>
  <c r="C49" i="4"/>
  <c r="B49" i="4"/>
  <c r="G48" i="4"/>
  <c r="E48" i="4"/>
  <c r="D48" i="4"/>
  <c r="C48" i="4"/>
  <c r="B48" i="4"/>
  <c r="G47" i="4"/>
  <c r="E47" i="4"/>
  <c r="D47" i="4"/>
  <c r="C47" i="4"/>
  <c r="B47" i="4"/>
  <c r="G46" i="4"/>
  <c r="E46" i="4"/>
  <c r="D46" i="4"/>
  <c r="C46" i="4"/>
  <c r="B46" i="4"/>
  <c r="G45" i="4"/>
  <c r="E45" i="4"/>
  <c r="D45" i="4"/>
  <c r="C45" i="4"/>
  <c r="B45" i="4"/>
  <c r="G44" i="4"/>
  <c r="E44" i="4"/>
  <c r="D44" i="4"/>
  <c r="C44" i="4"/>
  <c r="B44" i="4"/>
  <c r="G43" i="4"/>
  <c r="E43" i="4"/>
  <c r="D43" i="4"/>
  <c r="C43" i="4"/>
  <c r="B43" i="4"/>
  <c r="G42" i="4"/>
  <c r="E42" i="4"/>
  <c r="D42" i="4"/>
  <c r="C42" i="4"/>
  <c r="B42" i="4"/>
  <c r="G41" i="4"/>
  <c r="E41" i="4"/>
  <c r="D41" i="4"/>
  <c r="C41" i="4"/>
  <c r="B41" i="4"/>
  <c r="G40" i="4"/>
  <c r="E40" i="4"/>
  <c r="D40" i="4"/>
  <c r="C40" i="4"/>
  <c r="B40" i="4"/>
  <c r="G39" i="4"/>
  <c r="E39" i="4"/>
  <c r="D39" i="4"/>
  <c r="C39" i="4"/>
  <c r="B39" i="4"/>
  <c r="G38" i="4"/>
  <c r="E38" i="4"/>
  <c r="D38" i="4"/>
  <c r="C38" i="4"/>
  <c r="B38" i="4"/>
  <c r="G37" i="4"/>
  <c r="E37" i="4"/>
  <c r="D37" i="4"/>
  <c r="C37" i="4"/>
  <c r="B37" i="4"/>
  <c r="G36" i="4"/>
  <c r="E36" i="4"/>
  <c r="D36" i="4"/>
  <c r="C36" i="4"/>
  <c r="B36" i="4"/>
  <c r="G35" i="4"/>
  <c r="E35" i="4"/>
  <c r="D35" i="4"/>
  <c r="C35" i="4"/>
  <c r="B35" i="4"/>
  <c r="G34" i="4"/>
  <c r="E34" i="4"/>
  <c r="D34" i="4"/>
  <c r="C34" i="4"/>
  <c r="B34" i="4"/>
  <c r="G33" i="4"/>
  <c r="E33" i="4"/>
  <c r="D33" i="4"/>
  <c r="C33" i="4"/>
  <c r="B33" i="4"/>
  <c r="G32" i="4"/>
  <c r="E32" i="4"/>
  <c r="D32" i="4"/>
  <c r="C32" i="4"/>
  <c r="B32" i="4"/>
  <c r="G31" i="4"/>
  <c r="E31" i="4"/>
  <c r="D31" i="4"/>
  <c r="C31" i="4"/>
  <c r="B31" i="4"/>
  <c r="G30" i="4"/>
  <c r="E30" i="4"/>
  <c r="D30" i="4"/>
  <c r="C30" i="4"/>
  <c r="B30" i="4"/>
  <c r="G29" i="4"/>
  <c r="E29" i="4"/>
  <c r="D29" i="4"/>
  <c r="C29" i="4"/>
  <c r="B29" i="4"/>
  <c r="G28" i="4"/>
  <c r="E28" i="4"/>
  <c r="D28" i="4"/>
  <c r="C28" i="4"/>
  <c r="B28" i="4"/>
  <c r="G27" i="4"/>
  <c r="E27" i="4"/>
  <c r="D27" i="4"/>
  <c r="C27" i="4"/>
  <c r="B27" i="4"/>
  <c r="G26" i="4"/>
  <c r="E26" i="4"/>
  <c r="D26" i="4"/>
  <c r="C26" i="4"/>
  <c r="B26" i="4"/>
  <c r="G25" i="4"/>
  <c r="E25" i="4"/>
  <c r="D25" i="4"/>
  <c r="C25" i="4"/>
  <c r="B25" i="4"/>
  <c r="G24" i="4"/>
  <c r="E24" i="4"/>
  <c r="D24" i="4"/>
  <c r="C24" i="4"/>
  <c r="B24" i="4"/>
  <c r="G23" i="4"/>
  <c r="E23" i="4"/>
  <c r="D23" i="4"/>
  <c r="C23" i="4"/>
  <c r="B23" i="4"/>
  <c r="G22" i="4"/>
  <c r="E22" i="4"/>
  <c r="D22" i="4"/>
  <c r="C22" i="4"/>
  <c r="B22" i="4"/>
  <c r="G21" i="4"/>
  <c r="E21" i="4"/>
  <c r="D21" i="4"/>
  <c r="C21" i="4"/>
  <c r="B21" i="4"/>
  <c r="G20" i="4"/>
  <c r="E20" i="4"/>
  <c r="D20" i="4"/>
  <c r="C20" i="4"/>
  <c r="B20" i="4"/>
  <c r="G19" i="4"/>
  <c r="E19" i="4"/>
  <c r="D19" i="4"/>
  <c r="C19" i="4"/>
  <c r="B19" i="4"/>
  <c r="G18" i="4"/>
  <c r="E18" i="4"/>
  <c r="D18" i="4"/>
  <c r="C18" i="4"/>
  <c r="B18" i="4"/>
  <c r="G17" i="4"/>
  <c r="E17" i="4"/>
  <c r="D17" i="4"/>
  <c r="C17" i="4"/>
  <c r="B17" i="4"/>
  <c r="G16" i="4"/>
  <c r="E16" i="4"/>
  <c r="D16" i="4"/>
  <c r="C16" i="4"/>
  <c r="B16" i="4"/>
  <c r="G15" i="4"/>
  <c r="E15" i="4"/>
  <c r="D15" i="4"/>
  <c r="C15" i="4"/>
  <c r="B15" i="4"/>
  <c r="G14" i="4"/>
  <c r="E14" i="4"/>
  <c r="D14" i="4"/>
  <c r="C14" i="4"/>
  <c r="B14" i="4"/>
  <c r="G13" i="4"/>
  <c r="E13" i="4"/>
  <c r="D13" i="4"/>
  <c r="C13" i="4"/>
  <c r="B13" i="4"/>
  <c r="G12" i="4"/>
  <c r="E12" i="4"/>
  <c r="D12" i="4"/>
  <c r="C12" i="4"/>
  <c r="B12" i="4"/>
  <c r="G11" i="4"/>
  <c r="E11" i="4"/>
  <c r="D11" i="4"/>
  <c r="C11" i="4"/>
  <c r="B11" i="4"/>
  <c r="G10" i="4"/>
  <c r="E10" i="4"/>
  <c r="D10" i="4"/>
  <c r="C10" i="4"/>
  <c r="B10" i="4"/>
  <c r="G9" i="4"/>
  <c r="E9" i="4"/>
  <c r="D9" i="4"/>
  <c r="C9" i="4"/>
  <c r="B9" i="4"/>
  <c r="G8" i="4"/>
  <c r="E8" i="4"/>
  <c r="D8" i="4"/>
  <c r="C8" i="4"/>
  <c r="B8" i="4"/>
  <c r="G7" i="4"/>
  <c r="E7" i="4"/>
  <c r="D7" i="4"/>
  <c r="C7" i="4"/>
  <c r="B7" i="4"/>
  <c r="G6" i="4"/>
  <c r="E6" i="4"/>
  <c r="D6" i="4"/>
  <c r="C6" i="4"/>
  <c r="B6" i="4"/>
  <c r="G5" i="4"/>
  <c r="E5" i="4"/>
  <c r="D5" i="4"/>
  <c r="C5" i="4"/>
  <c r="B5" i="4"/>
  <c r="G4" i="4"/>
  <c r="E4" i="4"/>
  <c r="D4" i="4"/>
  <c r="C4" i="4"/>
  <c r="B4" i="4"/>
  <c r="G3" i="4"/>
  <c r="E3" i="4"/>
  <c r="D3" i="4"/>
  <c r="C3" i="4"/>
  <c r="B3" i="4"/>
  <c r="G2" i="4"/>
  <c r="E2" i="4"/>
  <c r="D2" i="4"/>
  <c r="C2" i="4"/>
  <c r="G4" i="3"/>
  <c r="D4" i="3"/>
  <c r="C4" i="3"/>
  <c r="B4" i="3"/>
  <c r="G3" i="3"/>
  <c r="D3" i="3"/>
  <c r="C3" i="3"/>
</calcChain>
</file>

<file path=xl/sharedStrings.xml><?xml version="1.0" encoding="utf-8"?>
<sst xmlns="http://schemas.openxmlformats.org/spreadsheetml/2006/main" count="159" uniqueCount="82">
  <si>
    <t>### 1. 계약정보 입력란</t>
  </si>
  <si>
    <t>항목</t>
  </si>
  <si>
    <t>값</t>
  </si>
  <si>
    <t>가입나이</t>
  </si>
  <si>
    <t>성별</t>
  </si>
  <si>
    <t>남</t>
  </si>
  <si>
    <t>보험기간(n)</t>
  </si>
  <si>
    <t>납입기간(m)</t>
  </si>
  <si>
    <t>가입금액</t>
  </si>
  <si>
    <t>상품유형</t>
  </si>
  <si>
    <t>해약환급금 미지급형</t>
  </si>
  <si>
    <t>### 2. 기초율 Key-Value 테이블</t>
  </si>
  <si>
    <t>구분</t>
  </si>
  <si>
    <t>키(Key)</t>
  </si>
  <si>
    <t>값1</t>
  </si>
  <si>
    <t>값2</t>
  </si>
  <si>
    <t>비고</t>
  </si>
  <si>
    <t>공통기초율</t>
  </si>
  <si>
    <t>예정이율</t>
  </si>
  <si>
    <t>interest_rate</t>
  </si>
  <si>
    <t>예정사업비율</t>
  </si>
  <si>
    <t>α1 (어린이형)</t>
  </si>
  <si>
    <t>alpha1_child</t>
  </si>
  <si>
    <t>가입금액 대비</t>
  </si>
  <si>
    <t>α2 (태아형)</t>
  </si>
  <si>
    <t>alpha2_fetal</t>
  </si>
  <si>
    <t>n</t>
  </si>
  <si>
    <t>n: 보험기간</t>
  </si>
  <si>
    <t>α2 (어린이형)</t>
  </si>
  <si>
    <t>alpha2_child</t>
  </si>
  <si>
    <t>Min(n, 20)</t>
  </si>
  <si>
    <t>β1 (태아형)</t>
  </si>
  <si>
    <t>beta1_fetal</t>
  </si>
  <si>
    <t>β1 (어린이형)</t>
  </si>
  <si>
    <t>beta1_child</t>
  </si>
  <si>
    <t>β2 (태아형)</t>
  </si>
  <si>
    <t>beta2_fetal</t>
  </si>
  <si>
    <t>영업보험료 대비</t>
  </si>
  <si>
    <t>β2 (어린이형)</t>
  </si>
  <si>
    <t>beta2_child</t>
  </si>
  <si>
    <t>β5 (공통)</t>
  </si>
  <si>
    <t>beta5_common</t>
  </si>
  <si>
    <t>재해장해율</t>
  </si>
  <si>
    <t>보험료 납입면제 관련 위험률 (재해/질병 50% 이상 장해)</t>
  </si>
  <si>
    <t>태아보장계수</t>
  </si>
  <si>
    <t>### 3. 예정해지율 테이블</t>
  </si>
  <si>
    <t>연령(x)</t>
  </si>
  <si>
    <t>남자 위험률(qx)</t>
  </si>
  <si>
    <t>여자 위험률(qx)</t>
  </si>
  <si>
    <t>남자 재해 50%이상(qx)</t>
  </si>
  <si>
    <t>여자 재해 50%이상(qx)</t>
  </si>
  <si>
    <t>남자 질병 50%이상(qx)</t>
  </si>
  <si>
    <t>여자 질병 50%이상(qx)</t>
  </si>
  <si>
    <t>경과기간(t)</t>
  </si>
  <si>
    <t>해지율</t>
  </si>
  <si>
    <t>납입중</t>
  </si>
  <si>
    <t>납입후</t>
  </si>
  <si>
    <t>m≤t&lt;m+1</t>
  </si>
  <si>
    <t>m+1≤t&lt;m+2</t>
  </si>
  <si>
    <t>m+2≤t&lt;m+5</t>
  </si>
  <si>
    <t>m+5≤t&lt;m+6</t>
  </si>
  <si>
    <t>t≥m+6</t>
  </si>
  <si>
    <t>A</t>
  </si>
  <si>
    <t>B</t>
  </si>
  <si>
    <t>C</t>
  </si>
  <si>
    <t>D</t>
  </si>
  <si>
    <t>E</t>
  </si>
  <si>
    <t>F</t>
  </si>
  <si>
    <t>경과년도(t)</t>
  </si>
  <si>
    <t>연령(x+t)</t>
  </si>
  <si>
    <t>사망률(qx)</t>
  </si>
  <si>
    <t>장해율(장해qx)</t>
  </si>
  <si>
    <t>납면율(납면qx)</t>
  </si>
  <si>
    <t>해지율(w)</t>
  </si>
  <si>
    <t>(재해장해율 조회)</t>
  </si>
  <si>
    <t>(재해+질병 납면율 조회)</t>
  </si>
  <si>
    <t>생존자수(lx)</t>
  </si>
  <si>
    <t>사망자수(dx)</t>
  </si>
  <si>
    <t>Dx</t>
  </si>
  <si>
    <t>Nx</t>
  </si>
  <si>
    <t>Cx</t>
  </si>
  <si>
    <t>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</si>
</sst>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1"/>
  <sheetViews>
    <sheetView tabSelected="1" workbookViewId="0"/>
  </sheetViews>
  <sheetFormatPr defaultColWidth="12.5703125" defaultRowHeight="15.75" customHeight="1" x14ac:dyDescent="0.2"/>
  <cols>
    <col min="1" max="1" width="32.85546875" customWidth="1"/>
  </cols>
  <sheetData>
    <row r="1" spans="1:6" x14ac:dyDescent="0.2">
      <c r="A1" s="1" t="s">
        <v>0</v>
      </c>
      <c r="B1" s="1"/>
      <c r="C1" s="1"/>
    </row>
    <row r="2" spans="1:6" x14ac:dyDescent="0.2">
      <c r="A2" s="1" t="s">
        <v>1</v>
      </c>
      <c r="B2" s="1" t="s">
        <v>2</v>
      </c>
      <c r="C2" s="1"/>
      <c r="D2" s="1"/>
    </row>
    <row r="3" spans="1:6" x14ac:dyDescent="0.2">
      <c r="A3" s="1" t="s">
        <v>3</v>
      </c>
      <c r="B3" s="1">
        <v>30</v>
      </c>
      <c r="C3" s="1"/>
    </row>
    <row r="4" spans="1:6" x14ac:dyDescent="0.2">
      <c r="A4" s="1" t="s">
        <v>4</v>
      </c>
      <c r="B4" s="1" t="s">
        <v>5</v>
      </c>
      <c r="C4" s="1"/>
    </row>
    <row r="5" spans="1:6" x14ac:dyDescent="0.2">
      <c r="A5" s="1" t="s">
        <v>6</v>
      </c>
      <c r="B5" s="1">
        <v>100</v>
      </c>
      <c r="C5" s="1"/>
    </row>
    <row r="6" spans="1:6" x14ac:dyDescent="0.2">
      <c r="A6" s="1" t="s">
        <v>7</v>
      </c>
      <c r="B6" s="1">
        <v>20</v>
      </c>
      <c r="C6" s="1"/>
    </row>
    <row r="7" spans="1:6" x14ac:dyDescent="0.2">
      <c r="A7" s="1" t="s">
        <v>8</v>
      </c>
      <c r="B7" s="1">
        <v>10000000</v>
      </c>
      <c r="C7" s="1"/>
    </row>
    <row r="8" spans="1:6" x14ac:dyDescent="0.2">
      <c r="A8" s="1" t="s">
        <v>9</v>
      </c>
      <c r="B8" s="2" t="s">
        <v>10</v>
      </c>
      <c r="C8" s="1"/>
    </row>
    <row r="10" spans="1:6" x14ac:dyDescent="0.2">
      <c r="A10" s="1" t="s">
        <v>11</v>
      </c>
    </row>
    <row r="11" spans="1:6" x14ac:dyDescent="0.2">
      <c r="A11" s="1" t="s">
        <v>12</v>
      </c>
      <c r="B11" s="1" t="s">
        <v>1</v>
      </c>
      <c r="C11" s="1" t="s">
        <v>13</v>
      </c>
      <c r="D11" s="1" t="s">
        <v>14</v>
      </c>
      <c r="E11" s="1" t="s">
        <v>15</v>
      </c>
      <c r="F11" s="1" t="s">
        <v>16</v>
      </c>
    </row>
    <row r="12" spans="1:6" x14ac:dyDescent="0.2">
      <c r="A12" s="1" t="s">
        <v>17</v>
      </c>
      <c r="B12" s="1" t="s">
        <v>18</v>
      </c>
      <c r="C12" s="1" t="s">
        <v>19</v>
      </c>
      <c r="D12" s="1">
        <v>2.2499999999999999E-2</v>
      </c>
    </row>
    <row r="13" spans="1:6" x14ac:dyDescent="0.2">
      <c r="A13" s="1" t="s">
        <v>20</v>
      </c>
      <c r="B13" s="1" t="s">
        <v>21</v>
      </c>
      <c r="C13" s="1" t="s">
        <v>22</v>
      </c>
      <c r="D13" s="1">
        <v>4.0000000000000002E-4</v>
      </c>
      <c r="F13" s="1" t="s">
        <v>23</v>
      </c>
    </row>
    <row r="14" spans="1:6" x14ac:dyDescent="0.2">
      <c r="A14" s="1" t="s">
        <v>20</v>
      </c>
      <c r="B14" s="1" t="s">
        <v>24</v>
      </c>
      <c r="C14" s="1" t="s">
        <v>25</v>
      </c>
      <c r="D14" s="1">
        <v>3.9E-2</v>
      </c>
      <c r="E14" s="1" t="s">
        <v>26</v>
      </c>
      <c r="F14" s="1" t="s">
        <v>27</v>
      </c>
    </row>
    <row r="15" spans="1:6" x14ac:dyDescent="0.2">
      <c r="A15" s="1" t="s">
        <v>20</v>
      </c>
      <c r="B15" s="1" t="s">
        <v>28</v>
      </c>
      <c r="C15" s="1" t="s">
        <v>29</v>
      </c>
      <c r="D15" s="1">
        <v>0.05</v>
      </c>
      <c r="E15" s="1" t="s">
        <v>30</v>
      </c>
      <c r="F15" s="1" t="s">
        <v>27</v>
      </c>
    </row>
    <row r="16" spans="1:6" x14ac:dyDescent="0.2">
      <c r="A16" s="1" t="s">
        <v>20</v>
      </c>
      <c r="B16" s="1" t="s">
        <v>31</v>
      </c>
      <c r="C16" s="1" t="s">
        <v>32</v>
      </c>
      <c r="D16" s="1">
        <v>1.0000000000000001E-5</v>
      </c>
      <c r="F16" s="1" t="s">
        <v>23</v>
      </c>
    </row>
    <row r="17" spans="1:6" x14ac:dyDescent="0.2">
      <c r="A17" s="1" t="s">
        <v>20</v>
      </c>
      <c r="B17" s="1" t="s">
        <v>33</v>
      </c>
      <c r="C17" s="1" t="s">
        <v>34</v>
      </c>
      <c r="D17" s="1">
        <v>2.0000000000000001E-4</v>
      </c>
      <c r="F17" s="1" t="s">
        <v>23</v>
      </c>
    </row>
    <row r="18" spans="1:6" x14ac:dyDescent="0.2">
      <c r="A18" s="1" t="s">
        <v>20</v>
      </c>
      <c r="B18" s="1" t="s">
        <v>35</v>
      </c>
      <c r="C18" s="1" t="s">
        <v>36</v>
      </c>
      <c r="D18" s="1">
        <v>0.1</v>
      </c>
      <c r="F18" s="1" t="s">
        <v>37</v>
      </c>
    </row>
    <row r="19" spans="1:6" x14ac:dyDescent="0.2">
      <c r="A19" s="1" t="s">
        <v>20</v>
      </c>
      <c r="B19" s="1" t="s">
        <v>38</v>
      </c>
      <c r="C19" s="1" t="s">
        <v>39</v>
      </c>
      <c r="D19" s="1">
        <v>0.27</v>
      </c>
      <c r="F19" s="1" t="s">
        <v>37</v>
      </c>
    </row>
    <row r="20" spans="1:6" x14ac:dyDescent="0.2">
      <c r="A20" s="1" t="s">
        <v>20</v>
      </c>
      <c r="B20" s="1" t="s">
        <v>40</v>
      </c>
      <c r="C20" s="1" t="s">
        <v>41</v>
      </c>
      <c r="D20" s="1">
        <v>2.5000000000000001E-2</v>
      </c>
      <c r="F20" s="1" t="s">
        <v>37</v>
      </c>
    </row>
    <row r="21" spans="1:6" x14ac:dyDescent="0.2">
      <c r="A21" s="1"/>
      <c r="B21" s="3"/>
      <c r="C21" s="3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53"/>
  <sheetViews>
    <sheetView workbookViewId="0"/>
  </sheetViews>
  <sheetFormatPr defaultColWidth="12.5703125" defaultRowHeight="15.75" customHeight="1" x14ac:dyDescent="0.2"/>
  <sheetData>
    <row r="1" spans="1:16" x14ac:dyDescent="0.2">
      <c r="A1" s="1" t="s">
        <v>42</v>
      </c>
      <c r="B1" s="1"/>
      <c r="C1" s="1"/>
      <c r="E1" s="1" t="s">
        <v>43</v>
      </c>
      <c r="K1" s="1" t="s">
        <v>44</v>
      </c>
      <c r="N1" s="1" t="s">
        <v>45</v>
      </c>
    </row>
    <row r="2" spans="1:16" x14ac:dyDescent="0.2">
      <c r="A2" s="1" t="s">
        <v>46</v>
      </c>
      <c r="B2" s="1" t="s">
        <v>47</v>
      </c>
      <c r="C2" s="1" t="s">
        <v>48</v>
      </c>
      <c r="E2" s="1" t="s">
        <v>46</v>
      </c>
      <c r="F2" s="1" t="s">
        <v>49</v>
      </c>
      <c r="G2" s="1" t="s">
        <v>50</v>
      </c>
      <c r="H2" s="1" t="s">
        <v>51</v>
      </c>
      <c r="I2" s="1" t="s">
        <v>52</v>
      </c>
      <c r="K2" s="1" t="s">
        <v>1</v>
      </c>
      <c r="L2" s="1" t="s">
        <v>2</v>
      </c>
      <c r="N2" s="1" t="s">
        <v>12</v>
      </c>
      <c r="O2" s="1" t="s">
        <v>53</v>
      </c>
      <c r="P2" s="1" t="s">
        <v>54</v>
      </c>
    </row>
    <row r="3" spans="1:16" x14ac:dyDescent="0.2">
      <c r="A3" s="1">
        <v>0</v>
      </c>
      <c r="B3" s="1">
        <v>1.0499999999999999E-3</v>
      </c>
      <c r="C3" s="1">
        <v>9.5E-4</v>
      </c>
      <c r="E3" s="1">
        <v>0</v>
      </c>
      <c r="F3" s="1">
        <v>3.8000000000000002E-5</v>
      </c>
      <c r="G3" s="1">
        <v>3.0000000000000001E-5</v>
      </c>
      <c r="H3" s="1">
        <v>1E-4</v>
      </c>
      <c r="I3" s="1">
        <v>8.0000000000000007E-5</v>
      </c>
      <c r="K3" s="1" t="s">
        <v>44</v>
      </c>
      <c r="L3" s="1">
        <v>0.47499999999999998</v>
      </c>
      <c r="N3" s="1" t="s">
        <v>55</v>
      </c>
      <c r="O3" s="1">
        <v>0</v>
      </c>
      <c r="P3" s="1">
        <v>9.2499999999999999E-2</v>
      </c>
    </row>
    <row r="4" spans="1:16" x14ac:dyDescent="0.2">
      <c r="A4" s="1">
        <v>1</v>
      </c>
      <c r="B4" s="1">
        <v>4.4999999999999999E-4</v>
      </c>
      <c r="C4" s="1">
        <v>4.0000000000000002E-4</v>
      </c>
      <c r="E4" s="1">
        <v>1</v>
      </c>
      <c r="F4" s="1">
        <v>2.5000000000000001E-5</v>
      </c>
      <c r="G4" s="1">
        <v>2.0000000000000002E-5</v>
      </c>
      <c r="H4" s="1">
        <v>5.0000000000000002E-5</v>
      </c>
      <c r="I4" s="1">
        <v>4.0000000000000003E-5</v>
      </c>
      <c r="N4" s="1" t="s">
        <v>55</v>
      </c>
      <c r="O4" s="1">
        <v>1</v>
      </c>
      <c r="P4" s="1">
        <v>0.13550000000000001</v>
      </c>
    </row>
    <row r="5" spans="1:16" x14ac:dyDescent="0.2">
      <c r="A5" s="1">
        <v>2</v>
      </c>
      <c r="B5" s="1">
        <v>3.5E-4</v>
      </c>
      <c r="C5" s="1">
        <v>2.9999999999999997E-4</v>
      </c>
      <c r="E5" s="1">
        <v>2</v>
      </c>
      <c r="F5" s="1">
        <v>2.0000000000000002E-5</v>
      </c>
      <c r="G5" s="1">
        <v>1.5E-5</v>
      </c>
      <c r="H5" s="1">
        <v>3.0000000000000001E-5</v>
      </c>
      <c r="I5" s="1">
        <v>2.5000000000000001E-5</v>
      </c>
      <c r="N5" s="1" t="s">
        <v>55</v>
      </c>
      <c r="O5" s="1">
        <v>2</v>
      </c>
      <c r="P5" s="1">
        <v>7.3499999999999996E-2</v>
      </c>
    </row>
    <row r="6" spans="1:16" x14ac:dyDescent="0.2">
      <c r="A6" s="1">
        <v>3</v>
      </c>
      <c r="B6" s="1">
        <v>2.9999999999999997E-4</v>
      </c>
      <c r="C6" s="1">
        <v>2.5000000000000001E-4</v>
      </c>
      <c r="E6" s="1">
        <v>3</v>
      </c>
      <c r="F6" s="1">
        <v>1.8E-5</v>
      </c>
      <c r="G6" s="1">
        <v>1.2999999999999999E-5</v>
      </c>
      <c r="H6" s="1">
        <v>2.0000000000000002E-5</v>
      </c>
      <c r="I6" s="1">
        <v>1.8E-5</v>
      </c>
      <c r="N6" s="1" t="s">
        <v>55</v>
      </c>
      <c r="O6" s="1">
        <v>3</v>
      </c>
      <c r="P6" s="1">
        <v>5.5500000000000001E-2</v>
      </c>
    </row>
    <row r="7" spans="1:16" x14ac:dyDescent="0.2">
      <c r="A7" s="1">
        <v>4</v>
      </c>
      <c r="B7" s="1">
        <v>2.5000000000000001E-4</v>
      </c>
      <c r="C7" s="1">
        <v>2.0000000000000001E-4</v>
      </c>
      <c r="E7" s="1">
        <v>4</v>
      </c>
      <c r="F7" s="1">
        <v>1.5E-5</v>
      </c>
      <c r="G7" s="1">
        <v>1.2E-5</v>
      </c>
      <c r="H7" s="1">
        <v>1.5E-5</v>
      </c>
      <c r="I7" s="1">
        <v>1.5E-5</v>
      </c>
      <c r="N7" s="1" t="s">
        <v>55</v>
      </c>
      <c r="O7" s="1">
        <v>4</v>
      </c>
      <c r="P7" s="1">
        <v>0.06</v>
      </c>
    </row>
    <row r="8" spans="1:16" x14ac:dyDescent="0.2">
      <c r="A8" s="1">
        <v>5</v>
      </c>
      <c r="B8" s="1">
        <v>2.5000000000000001E-4</v>
      </c>
      <c r="C8" s="1">
        <v>2.0000000000000001E-4</v>
      </c>
      <c r="E8" s="1">
        <v>5</v>
      </c>
      <c r="F8" s="1">
        <v>1.5E-5</v>
      </c>
      <c r="G8" s="1">
        <v>1.2E-5</v>
      </c>
      <c r="H8" s="1">
        <v>1.5E-5</v>
      </c>
      <c r="I8" s="1">
        <v>1.5E-5</v>
      </c>
      <c r="N8" s="1" t="s">
        <v>55</v>
      </c>
      <c r="O8" s="1">
        <v>5</v>
      </c>
      <c r="P8" s="1">
        <v>3.2500000000000001E-2</v>
      </c>
    </row>
    <row r="9" spans="1:16" x14ac:dyDescent="0.2">
      <c r="A9" s="1">
        <v>6</v>
      </c>
      <c r="B9" s="1">
        <v>2.5000000000000001E-4</v>
      </c>
      <c r="C9" s="1">
        <v>2.0000000000000001E-4</v>
      </c>
      <c r="E9" s="1">
        <v>6</v>
      </c>
      <c r="F9" s="1">
        <v>1.5E-5</v>
      </c>
      <c r="G9" s="1">
        <v>1.2E-5</v>
      </c>
      <c r="H9" s="1">
        <v>1.5E-5</v>
      </c>
      <c r="I9" s="1">
        <v>1.5E-5</v>
      </c>
      <c r="N9" s="1" t="s">
        <v>55</v>
      </c>
      <c r="O9" s="1">
        <v>6</v>
      </c>
      <c r="P9" s="1">
        <v>2.9499999999999998E-2</v>
      </c>
    </row>
    <row r="10" spans="1:16" x14ac:dyDescent="0.2">
      <c r="A10" s="1">
        <v>7</v>
      </c>
      <c r="B10" s="1">
        <v>2.0000000000000001E-4</v>
      </c>
      <c r="C10" s="1">
        <v>1.4999999999999999E-4</v>
      </c>
      <c r="E10" s="1">
        <v>7</v>
      </c>
      <c r="F10" s="1">
        <v>1.4E-5</v>
      </c>
      <c r="G10" s="1">
        <v>1.1E-5</v>
      </c>
      <c r="H10" s="1">
        <v>1.5E-5</v>
      </c>
      <c r="I10" s="1">
        <v>1.5E-5</v>
      </c>
      <c r="N10" s="1" t="s">
        <v>55</v>
      </c>
      <c r="O10" s="1">
        <v>7</v>
      </c>
      <c r="P10" s="1">
        <v>2.5999999999999999E-2</v>
      </c>
    </row>
    <row r="11" spans="1:16" x14ac:dyDescent="0.2">
      <c r="A11" s="1">
        <v>8</v>
      </c>
      <c r="B11" s="1">
        <v>2.0000000000000001E-4</v>
      </c>
      <c r="C11" s="1">
        <v>1.4999999999999999E-4</v>
      </c>
      <c r="E11" s="1">
        <v>8</v>
      </c>
      <c r="F11" s="1">
        <v>1.4E-5</v>
      </c>
      <c r="G11" s="1">
        <v>1.1E-5</v>
      </c>
      <c r="H11" s="1">
        <v>1.5999999999999999E-5</v>
      </c>
      <c r="I11" s="1">
        <v>1.5999999999999999E-5</v>
      </c>
      <c r="N11" s="1" t="s">
        <v>55</v>
      </c>
      <c r="O11" s="1">
        <v>8</v>
      </c>
      <c r="P11" s="1">
        <v>2.3E-2</v>
      </c>
    </row>
    <row r="12" spans="1:16" x14ac:dyDescent="0.2">
      <c r="A12" s="1">
        <v>9</v>
      </c>
      <c r="B12" s="1">
        <v>2.0000000000000001E-4</v>
      </c>
      <c r="C12" s="1">
        <v>1.4999999999999999E-4</v>
      </c>
      <c r="E12" s="1">
        <v>9</v>
      </c>
      <c r="F12" s="1">
        <v>1.4E-5</v>
      </c>
      <c r="G12" s="1">
        <v>1.1E-5</v>
      </c>
      <c r="H12" s="1">
        <v>1.7E-5</v>
      </c>
      <c r="I12" s="1">
        <v>1.7E-5</v>
      </c>
      <c r="N12" s="1" t="s">
        <v>55</v>
      </c>
      <c r="O12" s="1">
        <v>9</v>
      </c>
      <c r="P12" s="1">
        <v>1.95E-2</v>
      </c>
    </row>
    <row r="13" spans="1:16" x14ac:dyDescent="0.2">
      <c r="A13" s="1">
        <v>10</v>
      </c>
      <c r="B13" s="1">
        <v>2.0000000000000001E-4</v>
      </c>
      <c r="C13" s="1">
        <v>1.4999999999999999E-4</v>
      </c>
      <c r="E13" s="1">
        <v>10</v>
      </c>
      <c r="F13" s="1">
        <v>1.4E-5</v>
      </c>
      <c r="G13" s="1">
        <v>1.1E-5</v>
      </c>
      <c r="H13" s="1">
        <v>1.8E-5</v>
      </c>
      <c r="I13" s="1">
        <v>1.8E-5</v>
      </c>
      <c r="N13" s="1" t="s">
        <v>55</v>
      </c>
      <c r="O13" s="1">
        <v>10</v>
      </c>
      <c r="P13" s="1">
        <v>1.6E-2</v>
      </c>
    </row>
    <row r="14" spans="1:16" x14ac:dyDescent="0.2">
      <c r="A14" s="1">
        <v>11</v>
      </c>
      <c r="B14" s="1">
        <v>2.0000000000000001E-4</v>
      </c>
      <c r="C14" s="1">
        <v>1.4999999999999999E-4</v>
      </c>
      <c r="E14" s="1">
        <v>11</v>
      </c>
      <c r="F14" s="1">
        <v>1.4E-5</v>
      </c>
      <c r="G14" s="1">
        <v>1.1E-5</v>
      </c>
      <c r="H14" s="1">
        <v>2.0000000000000002E-5</v>
      </c>
      <c r="I14" s="1">
        <v>2.0000000000000002E-5</v>
      </c>
      <c r="N14" s="1" t="s">
        <v>55</v>
      </c>
      <c r="O14" s="1">
        <v>11</v>
      </c>
      <c r="P14" s="1">
        <v>1.35E-2</v>
      </c>
    </row>
    <row r="15" spans="1:16" x14ac:dyDescent="0.2">
      <c r="A15" s="1">
        <v>12</v>
      </c>
      <c r="B15" s="1">
        <v>2.0000000000000001E-4</v>
      </c>
      <c r="C15" s="1">
        <v>1.4999999999999999E-4</v>
      </c>
      <c r="E15" s="1">
        <v>12</v>
      </c>
      <c r="F15" s="1">
        <v>1.4E-5</v>
      </c>
      <c r="G15" s="1">
        <v>1.1E-5</v>
      </c>
      <c r="H15" s="1">
        <v>2.1999999999999999E-5</v>
      </c>
      <c r="I15" s="1">
        <v>2.1999999999999999E-5</v>
      </c>
      <c r="N15" s="1" t="s">
        <v>56</v>
      </c>
      <c r="O15" s="1" t="s">
        <v>57</v>
      </c>
      <c r="P15" s="1">
        <v>0.215</v>
      </c>
    </row>
    <row r="16" spans="1:16" x14ac:dyDescent="0.2">
      <c r="A16" s="1">
        <v>13</v>
      </c>
      <c r="B16" s="1">
        <v>2.5000000000000001E-4</v>
      </c>
      <c r="C16" s="1">
        <v>1.4999999999999999E-4</v>
      </c>
      <c r="E16" s="1">
        <v>13</v>
      </c>
      <c r="F16" s="1">
        <v>1.8E-5</v>
      </c>
      <c r="G16" s="1">
        <v>1.2E-5</v>
      </c>
      <c r="H16" s="1">
        <v>2.5000000000000001E-5</v>
      </c>
      <c r="I16" s="1">
        <v>2.5000000000000001E-5</v>
      </c>
      <c r="N16" s="1" t="s">
        <v>56</v>
      </c>
      <c r="O16" s="1" t="s">
        <v>58</v>
      </c>
      <c r="P16" s="1">
        <v>3.2000000000000001E-2</v>
      </c>
    </row>
    <row r="17" spans="1:16" x14ac:dyDescent="0.2">
      <c r="A17" s="1">
        <v>14</v>
      </c>
      <c r="B17" s="1">
        <v>2.9999999999999997E-4</v>
      </c>
      <c r="C17" s="1">
        <v>2.0000000000000001E-4</v>
      </c>
      <c r="E17" s="1">
        <v>14</v>
      </c>
      <c r="F17" s="1">
        <v>2.1999999999999999E-5</v>
      </c>
      <c r="G17" s="1">
        <v>1.4E-5</v>
      </c>
      <c r="H17" s="1">
        <v>2.8E-5</v>
      </c>
      <c r="I17" s="1">
        <v>2.8E-5</v>
      </c>
      <c r="N17" s="1" t="s">
        <v>56</v>
      </c>
      <c r="O17" s="1" t="s">
        <v>59</v>
      </c>
      <c r="P17" s="1">
        <v>0.01</v>
      </c>
    </row>
    <row r="18" spans="1:16" x14ac:dyDescent="0.2">
      <c r="A18" s="1">
        <v>15</v>
      </c>
      <c r="B18" s="1">
        <v>3.5E-4</v>
      </c>
      <c r="C18" s="1">
        <v>2.0000000000000001E-4</v>
      </c>
      <c r="E18" s="1">
        <v>15</v>
      </c>
      <c r="F18" s="1">
        <v>2.5999999999999998E-5</v>
      </c>
      <c r="G18" s="1">
        <v>1.5E-5</v>
      </c>
      <c r="H18" s="1">
        <v>3.1999999999999999E-5</v>
      </c>
      <c r="I18" s="1">
        <v>3.1999999999999999E-5</v>
      </c>
      <c r="N18" s="1" t="s">
        <v>56</v>
      </c>
      <c r="O18" s="1" t="s">
        <v>60</v>
      </c>
      <c r="P18" s="1">
        <v>8.0000000000000002E-3</v>
      </c>
    </row>
    <row r="19" spans="1:16" x14ac:dyDescent="0.2">
      <c r="A19" s="1">
        <v>16</v>
      </c>
      <c r="B19" s="1">
        <v>4.0000000000000002E-4</v>
      </c>
      <c r="C19" s="1">
        <v>2.0000000000000001E-4</v>
      </c>
      <c r="E19" s="1">
        <v>16</v>
      </c>
      <c r="F19" s="1">
        <v>3.0000000000000001E-5</v>
      </c>
      <c r="G19" s="1">
        <v>1.5999999999999999E-5</v>
      </c>
      <c r="H19" s="1">
        <v>3.8000000000000002E-5</v>
      </c>
      <c r="I19" s="1">
        <v>3.8000000000000002E-5</v>
      </c>
      <c r="N19" s="1" t="s">
        <v>56</v>
      </c>
      <c r="O19" s="1" t="s">
        <v>61</v>
      </c>
      <c r="P19" s="1">
        <v>0.01</v>
      </c>
    </row>
    <row r="20" spans="1:16" x14ac:dyDescent="0.2">
      <c r="A20" s="1">
        <v>17</v>
      </c>
      <c r="B20" s="1">
        <v>4.4999999999999999E-4</v>
      </c>
      <c r="C20" s="1">
        <v>2.5000000000000001E-4</v>
      </c>
      <c r="E20" s="1">
        <v>17</v>
      </c>
      <c r="F20" s="1">
        <v>3.4E-5</v>
      </c>
      <c r="G20" s="1">
        <v>1.8E-5</v>
      </c>
      <c r="H20" s="1">
        <v>4.5000000000000003E-5</v>
      </c>
      <c r="I20" s="1">
        <v>4.5000000000000003E-5</v>
      </c>
    </row>
    <row r="21" spans="1:16" x14ac:dyDescent="0.2">
      <c r="A21" s="1">
        <v>18</v>
      </c>
      <c r="B21" s="1">
        <v>4.4999999999999999E-4</v>
      </c>
      <c r="C21" s="1">
        <v>2.5000000000000001E-4</v>
      </c>
      <c r="E21" s="1">
        <v>18</v>
      </c>
      <c r="F21" s="1">
        <v>3.4E-5</v>
      </c>
      <c r="G21" s="1">
        <v>1.8E-5</v>
      </c>
      <c r="H21" s="1">
        <v>5.1999999999999997E-5</v>
      </c>
      <c r="I21" s="1">
        <v>5.1999999999999997E-5</v>
      </c>
    </row>
    <row r="22" spans="1:16" x14ac:dyDescent="0.2">
      <c r="A22" s="1">
        <v>19</v>
      </c>
      <c r="B22" s="1">
        <v>4.4999999999999999E-4</v>
      </c>
      <c r="C22" s="1">
        <v>2.5000000000000001E-4</v>
      </c>
      <c r="E22" s="1">
        <v>19</v>
      </c>
      <c r="F22" s="1">
        <v>3.4E-5</v>
      </c>
      <c r="G22" s="1">
        <v>1.8E-5</v>
      </c>
      <c r="H22" s="1">
        <v>6.0000000000000002E-5</v>
      </c>
      <c r="I22" s="1">
        <v>6.0000000000000002E-5</v>
      </c>
    </row>
    <row r="23" spans="1:16" x14ac:dyDescent="0.2">
      <c r="A23" s="1">
        <v>20</v>
      </c>
      <c r="B23" s="1">
        <v>4.4999999999999999E-4</v>
      </c>
      <c r="C23" s="1">
        <v>2.5000000000000001E-4</v>
      </c>
      <c r="E23" s="1">
        <v>20</v>
      </c>
      <c r="F23" s="1">
        <v>3.4E-5</v>
      </c>
      <c r="G23" s="1">
        <v>1.8E-5</v>
      </c>
      <c r="H23" s="1">
        <v>6.7999999999999999E-5</v>
      </c>
      <c r="I23" s="1">
        <v>6.7999999999999999E-5</v>
      </c>
    </row>
    <row r="24" spans="1:16" x14ac:dyDescent="0.2">
      <c r="A24" s="1">
        <v>21</v>
      </c>
      <c r="B24" s="1">
        <v>5.0000000000000001E-4</v>
      </c>
      <c r="C24" s="1">
        <v>2.5000000000000001E-4</v>
      </c>
      <c r="E24" s="1">
        <v>21</v>
      </c>
      <c r="F24" s="1">
        <v>3.8000000000000002E-5</v>
      </c>
      <c r="G24" s="1">
        <v>1.9000000000000001E-5</v>
      </c>
      <c r="H24" s="1">
        <v>7.7999999999999999E-5</v>
      </c>
      <c r="I24" s="1">
        <v>7.7999999999999999E-5</v>
      </c>
    </row>
    <row r="25" spans="1:16" x14ac:dyDescent="0.2">
      <c r="A25" s="1">
        <v>22</v>
      </c>
      <c r="B25" s="1">
        <v>5.0000000000000001E-4</v>
      </c>
      <c r="C25" s="1">
        <v>2.5000000000000001E-4</v>
      </c>
      <c r="E25" s="1">
        <v>22</v>
      </c>
      <c r="F25" s="1">
        <v>3.8000000000000002E-5</v>
      </c>
      <c r="G25" s="1">
        <v>1.9000000000000001E-5</v>
      </c>
      <c r="H25" s="1">
        <v>8.7999999999999998E-5</v>
      </c>
      <c r="I25" s="1">
        <v>8.7999999999999998E-5</v>
      </c>
    </row>
    <row r="26" spans="1:16" x14ac:dyDescent="0.2">
      <c r="A26" s="1">
        <v>23</v>
      </c>
      <c r="B26" s="1">
        <v>5.0000000000000001E-4</v>
      </c>
      <c r="C26" s="1">
        <v>2.5000000000000001E-4</v>
      </c>
      <c r="E26" s="1">
        <v>23</v>
      </c>
      <c r="F26" s="1">
        <v>3.8000000000000002E-5</v>
      </c>
      <c r="G26" s="1">
        <v>1.9000000000000001E-5</v>
      </c>
      <c r="H26" s="1">
        <v>1E-4</v>
      </c>
      <c r="I26" s="1">
        <v>1E-4</v>
      </c>
    </row>
    <row r="27" spans="1:16" x14ac:dyDescent="0.2">
      <c r="A27" s="1">
        <v>24</v>
      </c>
      <c r="B27" s="1">
        <v>5.0000000000000001E-4</v>
      </c>
      <c r="C27" s="1">
        <v>2.5000000000000001E-4</v>
      </c>
      <c r="E27" s="1">
        <v>24</v>
      </c>
      <c r="F27" s="1">
        <v>3.8000000000000002E-5</v>
      </c>
      <c r="G27" s="1">
        <v>1.9000000000000001E-5</v>
      </c>
      <c r="H27" s="1">
        <v>1.12E-4</v>
      </c>
      <c r="I27" s="1">
        <v>1.12E-4</v>
      </c>
    </row>
    <row r="28" spans="1:16" x14ac:dyDescent="0.2">
      <c r="A28" s="1">
        <v>25</v>
      </c>
      <c r="B28" s="1">
        <v>5.5000000000000003E-4</v>
      </c>
      <c r="C28" s="1">
        <v>2.9999999999999997E-4</v>
      </c>
      <c r="E28" s="1">
        <v>25</v>
      </c>
      <c r="F28" s="1">
        <v>4.1999999999999998E-5</v>
      </c>
      <c r="G28" s="1">
        <v>2.0999999999999999E-5</v>
      </c>
      <c r="H28" s="1">
        <v>1.25E-4</v>
      </c>
      <c r="I28" s="1">
        <v>1.25E-4</v>
      </c>
    </row>
    <row r="29" spans="1:16" x14ac:dyDescent="0.2">
      <c r="A29" s="1">
        <v>26</v>
      </c>
      <c r="B29" s="1">
        <v>5.5000000000000003E-4</v>
      </c>
      <c r="C29" s="1">
        <v>2.9999999999999997E-4</v>
      </c>
      <c r="E29" s="1">
        <v>26</v>
      </c>
      <c r="F29" s="1">
        <v>4.1999999999999998E-5</v>
      </c>
      <c r="G29" s="1">
        <v>2.0999999999999999E-5</v>
      </c>
      <c r="H29" s="1">
        <v>1.3799999999999999E-4</v>
      </c>
      <c r="I29" s="1">
        <v>1.3799999999999999E-4</v>
      </c>
    </row>
    <row r="30" spans="1:16" x14ac:dyDescent="0.2">
      <c r="A30" s="1">
        <v>27</v>
      </c>
      <c r="B30" s="1">
        <v>5.5000000000000003E-4</v>
      </c>
      <c r="C30" s="1">
        <v>2.9999999999999997E-4</v>
      </c>
      <c r="E30" s="1">
        <v>27</v>
      </c>
      <c r="F30" s="1">
        <v>4.1999999999999998E-5</v>
      </c>
      <c r="G30" s="1">
        <v>2.0999999999999999E-5</v>
      </c>
      <c r="H30" s="1">
        <v>1.5200000000000001E-4</v>
      </c>
      <c r="I30" s="1">
        <v>1.5200000000000001E-4</v>
      </c>
    </row>
    <row r="31" spans="1:16" x14ac:dyDescent="0.2">
      <c r="A31" s="1">
        <v>28</v>
      </c>
      <c r="B31" s="1">
        <v>5.5000000000000003E-4</v>
      </c>
      <c r="C31" s="1">
        <v>2.9999999999999997E-4</v>
      </c>
      <c r="E31" s="1">
        <v>28</v>
      </c>
      <c r="F31" s="1">
        <v>4.1999999999999998E-5</v>
      </c>
      <c r="G31" s="1">
        <v>2.0999999999999999E-5</v>
      </c>
      <c r="H31" s="1">
        <v>1.6799999999999999E-4</v>
      </c>
      <c r="I31" s="1">
        <v>1.6799999999999999E-4</v>
      </c>
    </row>
    <row r="32" spans="1:16" x14ac:dyDescent="0.2">
      <c r="A32" s="1">
        <v>29</v>
      </c>
      <c r="B32" s="1">
        <v>5.9999999999999995E-4</v>
      </c>
      <c r="C32" s="1">
        <v>2.9999999999999997E-4</v>
      </c>
      <c r="E32" s="1">
        <v>29</v>
      </c>
      <c r="F32" s="1">
        <v>4.6E-5</v>
      </c>
      <c r="G32" s="1">
        <v>2.1999999999999999E-5</v>
      </c>
      <c r="H32" s="1">
        <v>1.85E-4</v>
      </c>
      <c r="I32" s="1">
        <v>1.85E-4</v>
      </c>
    </row>
    <row r="33" spans="1:9" x14ac:dyDescent="0.2">
      <c r="A33" s="1">
        <v>30</v>
      </c>
      <c r="B33" s="1">
        <v>5.9999999999999995E-4</v>
      </c>
      <c r="C33" s="1">
        <v>2.9999999999999997E-4</v>
      </c>
      <c r="E33" s="1">
        <v>30</v>
      </c>
      <c r="F33" s="1">
        <v>4.6E-5</v>
      </c>
      <c r="G33" s="1">
        <v>2.1999999999999999E-5</v>
      </c>
      <c r="H33" s="1">
        <v>2.05E-4</v>
      </c>
      <c r="I33" s="1">
        <v>2.05E-4</v>
      </c>
    </row>
    <row r="34" spans="1:9" x14ac:dyDescent="0.2">
      <c r="A34" s="1">
        <v>31</v>
      </c>
      <c r="B34" s="1">
        <v>5.9999999999999995E-4</v>
      </c>
      <c r="C34" s="1">
        <v>3.5E-4</v>
      </c>
      <c r="E34" s="1">
        <v>31</v>
      </c>
      <c r="F34" s="1">
        <v>4.6E-5</v>
      </c>
      <c r="G34" s="1">
        <v>2.4000000000000001E-5</v>
      </c>
      <c r="H34" s="1">
        <v>2.2499999999999999E-4</v>
      </c>
      <c r="I34" s="1">
        <v>2.2499999999999999E-4</v>
      </c>
    </row>
    <row r="35" spans="1:9" x14ac:dyDescent="0.2">
      <c r="A35" s="1">
        <v>32</v>
      </c>
      <c r="B35" s="1">
        <v>6.4999999999999997E-4</v>
      </c>
      <c r="C35" s="1">
        <v>3.5E-4</v>
      </c>
      <c r="E35" s="1">
        <v>32</v>
      </c>
      <c r="F35" s="1">
        <v>5.0000000000000002E-5</v>
      </c>
      <c r="G35" s="1">
        <v>2.4000000000000001E-5</v>
      </c>
      <c r="H35" s="1">
        <v>2.4499999999999999E-4</v>
      </c>
      <c r="I35" s="1">
        <v>2.4499999999999999E-4</v>
      </c>
    </row>
    <row r="36" spans="1:9" x14ac:dyDescent="0.2">
      <c r="A36" s="1">
        <v>33</v>
      </c>
      <c r="B36" s="1">
        <v>6.4999999999999997E-4</v>
      </c>
      <c r="C36" s="1">
        <v>3.5E-4</v>
      </c>
      <c r="E36" s="1">
        <v>33</v>
      </c>
      <c r="F36" s="1">
        <v>5.0000000000000002E-5</v>
      </c>
      <c r="G36" s="1">
        <v>2.4000000000000001E-5</v>
      </c>
      <c r="H36" s="1">
        <v>2.7E-4</v>
      </c>
      <c r="I36" s="1">
        <v>2.7E-4</v>
      </c>
    </row>
    <row r="37" spans="1:9" x14ac:dyDescent="0.2">
      <c r="A37" s="1">
        <v>34</v>
      </c>
      <c r="B37" s="1">
        <v>6.9999999999999999E-4</v>
      </c>
      <c r="C37" s="1">
        <v>3.5E-4</v>
      </c>
      <c r="E37" s="1">
        <v>34</v>
      </c>
      <c r="F37" s="1">
        <v>5.3999999999999998E-5</v>
      </c>
      <c r="G37" s="1">
        <v>2.5000000000000001E-5</v>
      </c>
      <c r="H37" s="1">
        <v>2.9500000000000001E-4</v>
      </c>
      <c r="I37" s="1">
        <v>2.9500000000000001E-4</v>
      </c>
    </row>
    <row r="38" spans="1:9" x14ac:dyDescent="0.2">
      <c r="A38" s="1">
        <v>35</v>
      </c>
      <c r="B38" s="1">
        <v>6.9999999999999999E-4</v>
      </c>
      <c r="C38" s="1">
        <v>4.0000000000000002E-4</v>
      </c>
      <c r="E38" s="1">
        <v>35</v>
      </c>
      <c r="F38" s="1">
        <v>5.3999999999999998E-5</v>
      </c>
      <c r="G38" s="1">
        <v>2.6999999999999999E-5</v>
      </c>
      <c r="H38" s="1">
        <v>3.2000000000000003E-4</v>
      </c>
      <c r="I38" s="1">
        <v>3.2000000000000003E-4</v>
      </c>
    </row>
    <row r="39" spans="1:9" x14ac:dyDescent="0.2">
      <c r="A39" s="1">
        <v>36</v>
      </c>
      <c r="B39" s="1">
        <v>6.9999999999999999E-4</v>
      </c>
      <c r="C39" s="1">
        <v>4.0000000000000002E-4</v>
      </c>
      <c r="E39" s="1">
        <v>36</v>
      </c>
      <c r="F39" s="1">
        <v>5.3999999999999998E-5</v>
      </c>
      <c r="G39" s="1">
        <v>2.6999999999999999E-5</v>
      </c>
      <c r="H39" s="1">
        <v>3.5E-4</v>
      </c>
      <c r="I39" s="1">
        <v>3.5E-4</v>
      </c>
    </row>
    <row r="40" spans="1:9" x14ac:dyDescent="0.2">
      <c r="A40" s="1">
        <v>37</v>
      </c>
      <c r="B40" s="1">
        <v>7.5000000000000002E-4</v>
      </c>
      <c r="C40" s="1">
        <v>4.0000000000000002E-4</v>
      </c>
      <c r="E40" s="1">
        <v>37</v>
      </c>
      <c r="F40" s="1">
        <v>5.8E-5</v>
      </c>
      <c r="G40" s="1">
        <v>2.8E-5</v>
      </c>
      <c r="H40" s="1">
        <v>3.8000000000000002E-4</v>
      </c>
      <c r="I40" s="1">
        <v>3.8000000000000002E-4</v>
      </c>
    </row>
    <row r="41" spans="1:9" x14ac:dyDescent="0.2">
      <c r="A41" s="1">
        <v>38</v>
      </c>
      <c r="B41" s="1">
        <v>7.5000000000000002E-4</v>
      </c>
      <c r="C41" s="1">
        <v>4.0000000000000002E-4</v>
      </c>
      <c r="E41" s="1">
        <v>38</v>
      </c>
      <c r="F41" s="1">
        <v>5.8E-5</v>
      </c>
      <c r="G41" s="1">
        <v>2.8E-5</v>
      </c>
      <c r="H41" s="1">
        <v>4.15E-4</v>
      </c>
      <c r="I41" s="1">
        <v>4.15E-4</v>
      </c>
    </row>
    <row r="42" spans="1:9" x14ac:dyDescent="0.2">
      <c r="A42" s="1">
        <v>39</v>
      </c>
      <c r="B42" s="1">
        <v>7.5000000000000002E-4</v>
      </c>
      <c r="C42" s="1">
        <v>4.0000000000000002E-4</v>
      </c>
      <c r="E42" s="1">
        <v>39</v>
      </c>
      <c r="F42" s="1">
        <v>5.8E-5</v>
      </c>
      <c r="G42" s="1">
        <v>2.8E-5</v>
      </c>
      <c r="H42" s="1">
        <v>4.4999999999999999E-4</v>
      </c>
      <c r="I42" s="1">
        <v>4.4999999999999999E-4</v>
      </c>
    </row>
    <row r="43" spans="1:9" x14ac:dyDescent="0.2">
      <c r="A43" s="1">
        <v>40</v>
      </c>
      <c r="B43" s="1">
        <v>7.5000000000000002E-4</v>
      </c>
      <c r="C43" s="1">
        <v>4.0000000000000002E-4</v>
      </c>
      <c r="E43" s="1">
        <v>40</v>
      </c>
      <c r="F43" s="1">
        <v>5.8E-5</v>
      </c>
      <c r="G43" s="1">
        <v>2.8E-5</v>
      </c>
      <c r="H43" s="1">
        <v>4.8999999999999998E-4</v>
      </c>
      <c r="I43" s="1">
        <v>4.8999999999999998E-4</v>
      </c>
    </row>
    <row r="44" spans="1:9" x14ac:dyDescent="0.2">
      <c r="A44" s="1">
        <v>41</v>
      </c>
      <c r="B44" s="1">
        <v>8.0000000000000004E-4</v>
      </c>
      <c r="C44" s="1">
        <v>4.4999999999999999E-4</v>
      </c>
      <c r="E44" s="1">
        <v>41</v>
      </c>
      <c r="F44" s="1">
        <v>6.2000000000000003E-5</v>
      </c>
      <c r="G44" s="1">
        <v>3.0000000000000001E-5</v>
      </c>
      <c r="H44" s="1">
        <v>5.2999999999999998E-4</v>
      </c>
      <c r="I44" s="1">
        <v>5.2999999999999998E-4</v>
      </c>
    </row>
    <row r="45" spans="1:9" x14ac:dyDescent="0.2">
      <c r="A45" s="1">
        <v>42</v>
      </c>
      <c r="B45" s="1">
        <v>8.0000000000000004E-4</v>
      </c>
      <c r="C45" s="1">
        <v>4.4999999999999999E-4</v>
      </c>
      <c r="E45" s="1">
        <v>42</v>
      </c>
      <c r="F45" s="1">
        <v>6.2000000000000003E-5</v>
      </c>
      <c r="G45" s="1">
        <v>3.0000000000000001E-5</v>
      </c>
      <c r="H45" s="1">
        <v>5.7499999999999999E-4</v>
      </c>
      <c r="I45" s="1">
        <v>5.7499999999999999E-4</v>
      </c>
    </row>
    <row r="46" spans="1:9" x14ac:dyDescent="0.2">
      <c r="A46" s="1">
        <v>43</v>
      </c>
      <c r="B46" s="1">
        <v>8.4999999999999995E-4</v>
      </c>
      <c r="C46" s="1">
        <v>4.4999999999999999E-4</v>
      </c>
      <c r="E46" s="1">
        <v>43</v>
      </c>
      <c r="F46" s="1">
        <v>6.6000000000000005E-5</v>
      </c>
      <c r="G46" s="1">
        <v>3.1000000000000001E-5</v>
      </c>
      <c r="H46" s="1">
        <v>6.2500000000000001E-4</v>
      </c>
      <c r="I46" s="1">
        <v>6.2500000000000001E-4</v>
      </c>
    </row>
    <row r="47" spans="1:9" x14ac:dyDescent="0.2">
      <c r="A47" s="1">
        <v>44</v>
      </c>
      <c r="B47" s="1">
        <v>8.4999999999999995E-4</v>
      </c>
      <c r="C47" s="1">
        <v>5.0000000000000001E-4</v>
      </c>
      <c r="E47" s="1">
        <v>44</v>
      </c>
      <c r="F47" s="1">
        <v>6.6000000000000005E-5</v>
      </c>
      <c r="G47" s="1">
        <v>3.3000000000000003E-5</v>
      </c>
      <c r="H47" s="1">
        <v>6.8000000000000005E-4</v>
      </c>
      <c r="I47" s="1">
        <v>6.8000000000000005E-4</v>
      </c>
    </row>
    <row r="48" spans="1:9" x14ac:dyDescent="0.2">
      <c r="A48" s="1">
        <v>45</v>
      </c>
      <c r="B48" s="1">
        <v>8.9999999999999998E-4</v>
      </c>
      <c r="C48" s="1">
        <v>5.0000000000000001E-4</v>
      </c>
      <c r="E48" s="1">
        <v>45</v>
      </c>
      <c r="F48" s="1">
        <v>6.9999999999999994E-5</v>
      </c>
      <c r="G48" s="1">
        <v>3.4E-5</v>
      </c>
      <c r="H48" s="1">
        <v>7.3999999999999999E-4</v>
      </c>
      <c r="I48" s="1">
        <v>7.3999999999999999E-4</v>
      </c>
    </row>
    <row r="49" spans="1:9" x14ac:dyDescent="0.2">
      <c r="A49" s="1">
        <v>46</v>
      </c>
      <c r="B49" s="1">
        <v>9.5E-4</v>
      </c>
      <c r="C49" s="1">
        <v>5.0000000000000001E-4</v>
      </c>
      <c r="E49" s="1">
        <v>46</v>
      </c>
      <c r="F49" s="1">
        <v>7.3999999999999996E-5</v>
      </c>
      <c r="G49" s="1">
        <v>3.4999999999999997E-5</v>
      </c>
      <c r="H49" s="1">
        <v>8.0500000000000005E-4</v>
      </c>
      <c r="I49" s="1">
        <v>8.0500000000000005E-4</v>
      </c>
    </row>
    <row r="50" spans="1:9" x14ac:dyDescent="0.2">
      <c r="A50" s="1">
        <v>47</v>
      </c>
      <c r="B50" s="1">
        <v>9.5E-4</v>
      </c>
      <c r="C50" s="1">
        <v>5.5000000000000003E-4</v>
      </c>
      <c r="E50" s="1">
        <v>47</v>
      </c>
      <c r="F50" s="1">
        <v>7.3999999999999996E-5</v>
      </c>
      <c r="G50" s="1">
        <v>3.6000000000000001E-5</v>
      </c>
      <c r="H50" s="1">
        <v>8.7500000000000002E-4</v>
      </c>
      <c r="I50" s="1">
        <v>8.7500000000000002E-4</v>
      </c>
    </row>
    <row r="51" spans="1:9" x14ac:dyDescent="0.2">
      <c r="A51" s="1">
        <v>48</v>
      </c>
      <c r="B51" s="1">
        <v>1E-3</v>
      </c>
      <c r="C51" s="1">
        <v>5.5000000000000003E-4</v>
      </c>
      <c r="E51" s="1">
        <v>48</v>
      </c>
      <c r="F51" s="1">
        <v>7.7999999999999999E-5</v>
      </c>
      <c r="G51" s="1">
        <v>3.6999999999999998E-5</v>
      </c>
      <c r="H51" s="1">
        <v>9.5E-4</v>
      </c>
      <c r="I51" s="1">
        <v>9.5E-4</v>
      </c>
    </row>
    <row r="52" spans="1:9" x14ac:dyDescent="0.2">
      <c r="A52" s="1">
        <v>49</v>
      </c>
      <c r="B52" s="1">
        <v>1E-3</v>
      </c>
      <c r="C52" s="1">
        <v>5.5000000000000003E-4</v>
      </c>
      <c r="E52" s="1">
        <v>49</v>
      </c>
      <c r="F52" s="1">
        <v>7.7999999999999999E-5</v>
      </c>
      <c r="G52" s="1">
        <v>3.6999999999999998E-5</v>
      </c>
      <c r="H52" s="1">
        <v>1.0300000000000001E-3</v>
      </c>
      <c r="I52" s="1">
        <v>1.0300000000000001E-3</v>
      </c>
    </row>
    <row r="53" spans="1:9" x14ac:dyDescent="0.2">
      <c r="A53" s="1">
        <v>50</v>
      </c>
      <c r="B53" s="1">
        <v>1E-3</v>
      </c>
      <c r="C53" s="1">
        <v>5.5000000000000003E-4</v>
      </c>
      <c r="E53" s="1">
        <v>50</v>
      </c>
      <c r="F53" s="1">
        <v>7.7999999999999999E-5</v>
      </c>
      <c r="G53" s="1">
        <v>3.6999999999999998E-5</v>
      </c>
      <c r="H53" s="1">
        <v>1.1150000000000001E-3</v>
      </c>
      <c r="I53" s="1">
        <v>1.1150000000000001E-3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sheetData>
    <row r="1" spans="1:26" x14ac:dyDescent="0.2">
      <c r="A1" s="4"/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5">
        <v>1</v>
      </c>
      <c r="B2" s="4" t="s">
        <v>68</v>
      </c>
      <c r="C2" s="4" t="s">
        <v>69</v>
      </c>
      <c r="D2" s="4" t="s">
        <v>70</v>
      </c>
      <c r="E2" s="4" t="s">
        <v>71</v>
      </c>
      <c r="F2" s="4" t="s">
        <v>72</v>
      </c>
      <c r="G2" s="4" t="s">
        <v>73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5">
        <v>2</v>
      </c>
      <c r="B3" s="5">
        <v>0</v>
      </c>
      <c r="C3" s="6">
        <f>입력!$B$1</f>
        <v>0</v>
      </c>
      <c r="D3" s="6" t="e">
        <f>VLOOKUP(B2, 입력!$B$11:$D$121, IF(입력!$B$2="남",2,3), FALSE)</f>
        <v>#N/A</v>
      </c>
      <c r="E3" s="4" t="s">
        <v>74</v>
      </c>
      <c r="F3" s="4" t="s">
        <v>75</v>
      </c>
      <c r="G3" s="6" t="e">
        <f>VLOOKUP(A2, 입력!$F$29:$G$41, 2, TRUE)</f>
        <v>#N/A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5">
        <v>3</v>
      </c>
      <c r="B4" s="5">
        <f>A2+1</f>
        <v>2</v>
      </c>
      <c r="C4" s="6" t="e">
        <f>B2+1</f>
        <v>#VALUE!</v>
      </c>
      <c r="D4" s="6" t="e">
        <f>VLOOKUP(B3, 입력!$B$11:$D$121, IF(입력!$B$2="남",2,3), FALSE)</f>
        <v>#N/A</v>
      </c>
      <c r="E4" s="4" t="s">
        <v>74</v>
      </c>
      <c r="F4" s="4" t="s">
        <v>75</v>
      </c>
      <c r="G4" s="6" t="e">
        <f>IF(A3&gt;=입력!$B$5, VLOOKUP("m≤t&lt;m+1", 입력!$F$44:$G$48, 2, FALSE), VLOOKUP(A3, 입력!$F$29:$G$41, 2, TRUE))</f>
        <v>#N/A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2"/>
  <sheetViews>
    <sheetView workbookViewId="0"/>
  </sheetViews>
  <sheetFormatPr defaultRowHeight="12.75" x14ac:dyDescent="0.2"/>
  <sheetData>
    <row r="1" spans="1:8" x14ac:dyDescent="0.2">
      <c r="A1" t="s">
        <v>46</v>
      </c>
      <c r="B1" t="s">
        <v>76</v>
      </c>
      <c r="C1" t="s">
        <v>70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 spans="1:8" x14ac:dyDescent="0.2">
      <c r="A2">
        <v>30</v>
      </c>
      <c r="B2">
        <v>100000</v>
      </c>
      <c r="C2">
        <f>VLOOKUP(A2, 위험률_확장!$A$3:$C$123, IF(입력!$B$4="남", 2, 3), FALSE)</f>
        <v>5.9999999999999995E-4</v>
      </c>
      <c r="D2">
        <f>B2*C2</f>
        <v>59.999999999999993</v>
      </c>
      <c r="E2">
        <f>B2*(1/(1+0.0225))^A2</f>
        <v>51298.007842517822</v>
      </c>
      <c r="F2">
        <f>SUM(E2:E$92)</f>
        <v>1969997.5272223388</v>
      </c>
      <c r="G2">
        <f>D2*(1/(1+0.0225))^(A2+1)</f>
        <v>30.101520494386989</v>
      </c>
      <c r="H2">
        <f>SUM(G2:G$92)</f>
        <v>1738.7781868487359</v>
      </c>
    </row>
    <row r="3" spans="1:8" x14ac:dyDescent="0.2">
      <c r="A3">
        <v>31</v>
      </c>
      <c r="B3">
        <f>B2-D2</f>
        <v>99940</v>
      </c>
      <c r="C3">
        <f>VLOOKUP(A3, 위험률_확장!$A$3:$C$123, IF(입력!$B$4="남", 2, 3), FALSE)</f>
        <v>5.9999999999999995E-4</v>
      </c>
      <c r="D3">
        <f>B3*C3</f>
        <v>59.963999999999992</v>
      </c>
      <c r="E3">
        <f>B3*(1/(1+0.0225))^A3</f>
        <v>50139.099303483934</v>
      </c>
      <c r="F3">
        <f>SUM(E3:E$92)</f>
        <v>1918699.5193798209</v>
      </c>
      <c r="G3">
        <f>D3*(1/(1+0.0225))^(A3+1)</f>
        <v>29.421476363902553</v>
      </c>
      <c r="H3">
        <f>SUM(G3:G$92)</f>
        <v>1708.6766663543492</v>
      </c>
    </row>
    <row r="4" spans="1:8" x14ac:dyDescent="0.2">
      <c r="A4">
        <v>32</v>
      </c>
      <c r="B4">
        <f>B3-D3</f>
        <v>99880.035999999993</v>
      </c>
      <c r="C4">
        <f>VLOOKUP(A4, 위험률_확장!$A$3:$C$123, IF(입력!$B$4="남", 2, 3), FALSE)</f>
        <v>6.4999999999999997E-4</v>
      </c>
      <c r="D4">
        <f>B4*C4</f>
        <v>64.922023399999986</v>
      </c>
      <c r="E4">
        <f>B4*(1/(1+0.0225))^A4</f>
        <v>49006.372463473686</v>
      </c>
      <c r="F4">
        <f>SUM(E4:E$92)</f>
        <v>1868560.4200763369</v>
      </c>
      <c r="G4">
        <f>D4*(1/(1+0.0225))^(A4+1)</f>
        <v>31.153195209054179</v>
      </c>
      <c r="H4">
        <f>SUM(G4:G$92)</f>
        <v>1679.2551899904465</v>
      </c>
    </row>
    <row r="5" spans="1:8" x14ac:dyDescent="0.2">
      <c r="A5">
        <v>33</v>
      </c>
      <c r="B5">
        <f>B4-D4</f>
        <v>99815.113976599998</v>
      </c>
      <c r="C5">
        <f>VLOOKUP(A5, 위험률_확장!$A$3:$C$123, IF(입력!$B$4="남", 2, 3), FALSE)</f>
        <v>6.4999999999999997E-4</v>
      </c>
      <c r="D5">
        <f>B5*C5</f>
        <v>64.879824084790002</v>
      </c>
      <c r="E5">
        <f>B5*(1/(1+0.0225))^A5</f>
        <v>47896.839434105073</v>
      </c>
      <c r="F5">
        <f>SUM(E5:E$92)</f>
        <v>1819554.0476128634</v>
      </c>
      <c r="G5">
        <f>D5*(1/(1+0.0225))^(A5+1)</f>
        <v>30.44786858891765</v>
      </c>
      <c r="H5">
        <f>SUM(G5:G$92)</f>
        <v>1648.1019947813925</v>
      </c>
    </row>
    <row r="6" spans="1:8" x14ac:dyDescent="0.2">
      <c r="A6">
        <v>34</v>
      </c>
      <c r="B6">
        <f>B5-D5</f>
        <v>99750.234152515215</v>
      </c>
      <c r="C6">
        <f>VLOOKUP(A6, 위험률_확장!$A$3:$C$123, IF(입력!$B$4="남", 2, 3), FALSE)</f>
        <v>6.9999999999999999E-4</v>
      </c>
      <c r="D6">
        <f>B6*C6</f>
        <v>69.82516390676065</v>
      </c>
      <c r="E6">
        <f>B6*(1/(1+0.0225))^A6</f>
        <v>46812.426883592088</v>
      </c>
      <c r="F6">
        <f>SUM(E6:E$92)</f>
        <v>1771657.2081787584</v>
      </c>
      <c r="G6">
        <f>D6*(1/(1+0.0225))^(A6+1)</f>
        <v>32.047627206371111</v>
      </c>
      <c r="H6">
        <f>SUM(G6:G$92)</f>
        <v>1617.6541261924747</v>
      </c>
    </row>
    <row r="7" spans="1:8" x14ac:dyDescent="0.2">
      <c r="A7">
        <v>35</v>
      </c>
      <c r="B7">
        <f>B6-D6</f>
        <v>99680.408988608455</v>
      </c>
      <c r="C7">
        <f>VLOOKUP(A7, 위험률_확장!$A$3:$C$123, IF(입력!$B$4="남", 2, 3), FALSE)</f>
        <v>6.9999999999999999E-4</v>
      </c>
      <c r="D7">
        <f>B7*C7</f>
        <v>69.776286292025915</v>
      </c>
      <c r="E7">
        <f>B7*(1/(1+0.0225))^A7</f>
        <v>45750.276953323795</v>
      </c>
      <c r="F7">
        <f>SUM(E7:E$92)</f>
        <v>1724844.7812951666</v>
      </c>
      <c r="G7">
        <f>D7*(1/(1+0.0225))^(A7+1)</f>
        <v>31.320482999830464</v>
      </c>
      <c r="H7">
        <f>SUM(G7:G$92)</f>
        <v>1585.6064989861038</v>
      </c>
    </row>
    <row r="8" spans="1:8" x14ac:dyDescent="0.2">
      <c r="A8">
        <v>36</v>
      </c>
      <c r="B8">
        <f>B7-D7</f>
        <v>99610.632702316434</v>
      </c>
      <c r="C8">
        <f>VLOOKUP(A8, 위험률_확장!$A$3:$C$123, IF(입력!$B$4="남", 2, 3), FALSE)</f>
        <v>6.9999999999999999E-4</v>
      </c>
      <c r="D8">
        <f>B8*C8</f>
        <v>69.727442891621507</v>
      </c>
      <c r="E8">
        <f>B8*(1/(1+0.0225))^A8</f>
        <v>44712.226659615124</v>
      </c>
      <c r="F8">
        <f>SUM(E8:E$92)</f>
        <v>1679094.5043418424</v>
      </c>
      <c r="G8">
        <f>D8*(1/(1+0.0225))^(A8+1)</f>
        <v>30.609837321985907</v>
      </c>
      <c r="H8">
        <f>SUM(G8:G$92)</f>
        <v>1554.2860159862735</v>
      </c>
    </row>
    <row r="9" spans="1:8" x14ac:dyDescent="0.2">
      <c r="A9">
        <v>37</v>
      </c>
      <c r="B9">
        <f>B8-D8</f>
        <v>99540.905259424806</v>
      </c>
      <c r="C9">
        <f>VLOOKUP(A9, 위험률_확장!$A$3:$C$123, IF(입력!$B$4="남", 2, 3), FALSE)</f>
        <v>7.5000000000000002E-4</v>
      </c>
      <c r="D9">
        <f>B9*C9</f>
        <v>74.655678944568606</v>
      </c>
      <c r="E9">
        <f>B9*(1/(1+0.0225))^A9</f>
        <v>43697.729194086445</v>
      </c>
      <c r="F9">
        <f>SUM(E9:E$92)</f>
        <v>1634382.2776822273</v>
      </c>
      <c r="G9">
        <f>D9*(1/(1+0.0225))^(A9+1)</f>
        <v>32.052124103241894</v>
      </c>
      <c r="H9">
        <f>SUM(G9:G$92)</f>
        <v>1523.6761786642878</v>
      </c>
    </row>
    <row r="10" spans="1:8" x14ac:dyDescent="0.2">
      <c r="A10">
        <v>38</v>
      </c>
      <c r="B10">
        <f>B9-D9</f>
        <v>99466.249580480231</v>
      </c>
      <c r="C10">
        <f>VLOOKUP(A10, 위험률_확장!$A$3:$C$123, IF(입력!$B$4="남", 2, 3), FALSE)</f>
        <v>7.5000000000000002E-4</v>
      </c>
      <c r="D10">
        <f>B10*C10</f>
        <v>74.599687185360182</v>
      </c>
      <c r="E10">
        <f>B10*(1/(1+0.0225))^A10</f>
        <v>42704.113346885948</v>
      </c>
      <c r="F10">
        <f>SUM(E10:E$92)</f>
        <v>1590684.5484881413</v>
      </c>
      <c r="G10">
        <f>D10*(1/(1+0.0225))^(A10+1)</f>
        <v>31.323310523388233</v>
      </c>
      <c r="H10">
        <f>SUM(G10:G$92)</f>
        <v>1491.6240545610458</v>
      </c>
    </row>
    <row r="11" spans="1:8" x14ac:dyDescent="0.2">
      <c r="A11">
        <v>39</v>
      </c>
      <c r="B11">
        <f>B10-D10</f>
        <v>99391.649893294874</v>
      </c>
      <c r="C11">
        <f>VLOOKUP(A11, 위험률_확장!$A$3:$C$123, IF(입력!$B$4="남", 2, 3), FALSE)</f>
        <v>7.5000000000000002E-4</v>
      </c>
      <c r="D11">
        <f>B11*C11</f>
        <v>74.543737419971151</v>
      </c>
      <c r="E11">
        <f>B11*(1/(1+0.0225))^A11</f>
        <v>41733.090720660919</v>
      </c>
      <c r="F11">
        <f>SUM(E11:E$92)</f>
        <v>1547980.4351412554</v>
      </c>
      <c r="G11">
        <f>D11*(1/(1+0.0225))^(A11+1)</f>
        <v>30.611068988259845</v>
      </c>
      <c r="H11">
        <f>SUM(G11:G$92)</f>
        <v>1460.3007440376578</v>
      </c>
    </row>
    <row r="12" spans="1:8" x14ac:dyDescent="0.2">
      <c r="A12">
        <v>40</v>
      </c>
      <c r="B12">
        <f>B11-D11</f>
        <v>99317.106155874906</v>
      </c>
      <c r="C12">
        <f>VLOOKUP(A12, 위험률_확장!$A$3:$C$123, IF(입력!$B$4="남", 2, 3), FALSE)</f>
        <v>7.5000000000000002E-4</v>
      </c>
      <c r="D12">
        <f>B12*C12</f>
        <v>74.487829616906183</v>
      </c>
      <c r="E12">
        <f>B12*(1/(1+0.0225))^A12</f>
        <v>40784.147582024867</v>
      </c>
      <c r="F12">
        <f>SUM(E12:E$92)</f>
        <v>1506247.3444205944</v>
      </c>
      <c r="G12">
        <f>D12*(1/(1+0.0225))^(A12+1)</f>
        <v>29.915022676301863</v>
      </c>
      <c r="H12">
        <f>SUM(G12:G$92)</f>
        <v>1429.6896750493979</v>
      </c>
    </row>
    <row r="13" spans="1:8" x14ac:dyDescent="0.2">
      <c r="A13">
        <v>41</v>
      </c>
      <c r="B13">
        <f>B12-D12</f>
        <v>99242.618326258002</v>
      </c>
      <c r="C13">
        <f>VLOOKUP(A13, 위험률_확장!$A$3:$C$123, IF(입력!$B$4="남", 2, 3), FALSE)</f>
        <v>8.0000000000000004E-4</v>
      </c>
      <c r="D13">
        <f>B13*C13</f>
        <v>79.394094661006406</v>
      </c>
      <c r="E13">
        <f>B13*(1/(1+0.0225))^A13</f>
        <v>39856.781879059519</v>
      </c>
      <c r="F13">
        <f>SUM(E13:E$92)</f>
        <v>1465463.1968385691</v>
      </c>
      <c r="G13">
        <f>D13*(1/(1+0.0225))^(A13+1)</f>
        <v>31.183790223225049</v>
      </c>
      <c r="H13">
        <f>SUM(G13:G$92)</f>
        <v>1399.7746523730962</v>
      </c>
    </row>
    <row r="14" spans="1:8" x14ac:dyDescent="0.2">
      <c r="A14">
        <v>42</v>
      </c>
      <c r="B14">
        <f>B13-D13</f>
        <v>99163.224231596992</v>
      </c>
      <c r="C14">
        <f>VLOOKUP(A14, 위험률_확장!$A$3:$C$123, IF(입력!$B$4="남", 2, 3), FALSE)</f>
        <v>8.0000000000000004E-4</v>
      </c>
      <c r="D14">
        <f>B14*C14</f>
        <v>79.330579385277602</v>
      </c>
      <c r="E14">
        <f>B14*(1/(1+0.0225))^A14</f>
        <v>38948.553988808082</v>
      </c>
      <c r="F14">
        <f>SUM(E14:E$92)</f>
        <v>1425606.4149595096</v>
      </c>
      <c r="G14">
        <f>D14*(1/(1+0.0225))^(A14+1)</f>
        <v>30.473196274862072</v>
      </c>
      <c r="H14">
        <f>SUM(G14:G$92)</f>
        <v>1368.5908621498711</v>
      </c>
    </row>
    <row r="15" spans="1:8" x14ac:dyDescent="0.2">
      <c r="A15">
        <v>43</v>
      </c>
      <c r="B15">
        <f>B14-D14</f>
        <v>99083.893652211715</v>
      </c>
      <c r="C15">
        <f>VLOOKUP(A15, 위험률_확장!$A$3:$C$123, IF(입력!$B$4="남", 2, 3), FALSE)</f>
        <v>8.4999999999999995E-4</v>
      </c>
      <c r="D15">
        <f>B15*C15</f>
        <v>84.221309604379954</v>
      </c>
      <c r="E15">
        <f>B15*(1/(1+0.0225))^A15</f>
        <v>38061.022147302727</v>
      </c>
      <c r="F15">
        <f>SUM(E15:E$92)</f>
        <v>1386657.8609707018</v>
      </c>
      <c r="G15">
        <f>D15*(1/(1+0.0225))^(A15+1)</f>
        <v>31.639969511205202</v>
      </c>
      <c r="H15">
        <f>SUM(G15:G$92)</f>
        <v>1338.1176658750092</v>
      </c>
    </row>
    <row r="16" spans="1:8" x14ac:dyDescent="0.2">
      <c r="A16">
        <v>44</v>
      </c>
      <c r="B16">
        <f>B15-D15</f>
        <v>98999.672342607329</v>
      </c>
      <c r="C16">
        <f>VLOOKUP(A16, 위험률_확장!$A$3:$C$123, IF(입력!$B$4="남", 2, 3), FALSE)</f>
        <v>8.4999999999999995E-4</v>
      </c>
      <c r="D16">
        <f>B16*C16</f>
        <v>84.149721491216226</v>
      </c>
      <c r="E16">
        <f>B16*(1/(1+0.0225))^A16</f>
        <v>37191.85357308315</v>
      </c>
      <c r="F16">
        <f>SUM(E16:E$92)</f>
        <v>1348596.838823399</v>
      </c>
      <c r="G16">
        <f>D16*(1/(1+0.0225))^(A16+1)</f>
        <v>30.917433288137584</v>
      </c>
      <c r="H16">
        <f>SUM(G16:G$92)</f>
        <v>1306.4776963638042</v>
      </c>
    </row>
    <row r="17" spans="1:8" x14ac:dyDescent="0.2">
      <c r="A17">
        <v>45</v>
      </c>
      <c r="B17">
        <f>B16-D16</f>
        <v>98915.522621116106</v>
      </c>
      <c r="C17">
        <f>VLOOKUP(A17, 위험률_확장!$A$3:$C$123, IF(입력!$B$4="남", 2, 3), FALSE)</f>
        <v>8.9999999999999998E-4</v>
      </c>
      <c r="D17">
        <f>B17*C17</f>
        <v>89.023970359004494</v>
      </c>
      <c r="E17">
        <f>B17*(1/(1+0.0225))^A17</f>
        <v>36342.533493932548</v>
      </c>
      <c r="F17">
        <f>SUM(E17:E$92)</f>
        <v>1311404.9852503159</v>
      </c>
      <c r="G17">
        <f>D17*(1/(1+0.0225))^(A17+1)</f>
        <v>31.988538038669233</v>
      </c>
      <c r="H17">
        <f>SUM(G17:G$92)</f>
        <v>1275.5602630756666</v>
      </c>
    </row>
    <row r="18" spans="1:8" x14ac:dyDescent="0.2">
      <c r="A18">
        <v>46</v>
      </c>
      <c r="B18">
        <f>B17-D17</f>
        <v>98826.498650757101</v>
      </c>
      <c r="C18">
        <f>VLOOKUP(A18, 위험률_확장!$A$3:$C$123, IF(입력!$B$4="남", 2, 3), FALSE)</f>
        <v>9.5E-4</v>
      </c>
      <c r="D18">
        <f>B18*C18</f>
        <v>93.885173718219249</v>
      </c>
      <c r="E18">
        <f>B18*(1/(1+0.0225))^A18</f>
        <v>35510.831504927148</v>
      </c>
      <c r="F18">
        <f>SUM(E18:E$92)</f>
        <v>1275062.4517563831</v>
      </c>
      <c r="G18">
        <f>D18*(1/(1+0.0225))^(A18+1)</f>
        <v>32.992948586484886</v>
      </c>
      <c r="H18">
        <f>SUM(G18:G$92)</f>
        <v>1243.5717250369971</v>
      </c>
    </row>
    <row r="19" spans="1:8" x14ac:dyDescent="0.2">
      <c r="A19">
        <v>47</v>
      </c>
      <c r="B19">
        <f>B18-D18</f>
        <v>98732.613477038889</v>
      </c>
      <c r="C19">
        <f>VLOOKUP(A19, 위험률_확장!$A$3:$C$123, IF(입력!$B$4="남", 2, 3), FALSE)</f>
        <v>9.5E-4</v>
      </c>
      <c r="D19">
        <f>B19*C19</f>
        <v>93.795982803186945</v>
      </c>
      <c r="E19">
        <f>B19*(1/(1+0.0225))^A19</f>
        <v>34696.426616134449</v>
      </c>
      <c r="F19">
        <f>SUM(E19:E$92)</f>
        <v>1239551.6202514558</v>
      </c>
      <c r="G19">
        <f>D19*(1/(1+0.0225))^(A19+1)</f>
        <v>32.236288787606583</v>
      </c>
      <c r="H19">
        <f>SUM(G19:G$92)</f>
        <v>1210.5787764505121</v>
      </c>
    </row>
    <row r="20" spans="1:8" x14ac:dyDescent="0.2">
      <c r="A20">
        <v>48</v>
      </c>
      <c r="B20">
        <f>B19-D19</f>
        <v>98638.8174942357</v>
      </c>
      <c r="C20">
        <f>VLOOKUP(A20, 위험률_확장!$A$3:$C$123, IF(입력!$B$4="남", 2, 3), FALSE)</f>
        <v>1E-3</v>
      </c>
      <c r="D20">
        <f>B20*C20</f>
        <v>98.638817494235695</v>
      </c>
      <c r="E20">
        <f>B20*(1/(1+0.0225))^A20</f>
        <v>33900.699277114058</v>
      </c>
      <c r="F20">
        <f>SUM(E20:E$92)</f>
        <v>1204855.1936353212</v>
      </c>
      <c r="G20">
        <f>D20*(1/(1+0.0225))^(A20+1)</f>
        <v>33.154718119426953</v>
      </c>
      <c r="H20">
        <f>SUM(G20:G$92)</f>
        <v>1178.3424876629053</v>
      </c>
    </row>
    <row r="21" spans="1:8" x14ac:dyDescent="0.2">
      <c r="A21">
        <v>49</v>
      </c>
      <c r="B21">
        <f>B20-D20</f>
        <v>98540.17867674146</v>
      </c>
      <c r="C21">
        <f>VLOOKUP(A21, 위험률_확장!$A$3:$C$123, IF(입력!$B$4="남", 2, 3), FALSE)</f>
        <v>1E-3</v>
      </c>
      <c r="D21">
        <f>B21*C21</f>
        <v>98.540178676741462</v>
      </c>
      <c r="E21">
        <f>B21*(1/(1+0.0225))^A21</f>
        <v>33121.563401307525</v>
      </c>
      <c r="F21">
        <f>SUM(E21:E$92)</f>
        <v>1170954.4943582071</v>
      </c>
      <c r="G21">
        <f>D21*(1/(1+0.0225))^(A21+1)</f>
        <v>32.392727042843546</v>
      </c>
      <c r="H21">
        <f>SUM(G21:G$92)</f>
        <v>1145.1877695434787</v>
      </c>
    </row>
    <row r="22" spans="1:8" x14ac:dyDescent="0.2">
      <c r="A22">
        <v>50</v>
      </c>
      <c r="B22">
        <f>B21-D21</f>
        <v>98441.638498064713</v>
      </c>
      <c r="C22">
        <f>VLOOKUP(A22, 위험률_확장!$A$3:$C$123, IF(입력!$B$4="남", 2, 3), FALSE)</f>
        <v>1E-3</v>
      </c>
      <c r="D22">
        <f>B22*C22</f>
        <v>98.441638498064719</v>
      </c>
      <c r="E22">
        <f>B22*(1/(1+0.0225))^A22</f>
        <v>32360.334315800701</v>
      </c>
      <c r="F22">
        <f>SUM(E22:E$92)</f>
        <v>1137832.9309568994</v>
      </c>
      <c r="G22">
        <f>D22*(1/(1+0.0225))^(A22+1)</f>
        <v>31.648248719609491</v>
      </c>
      <c r="H22">
        <f>SUM(G22:G$92)</f>
        <v>1112.7950425006354</v>
      </c>
    </row>
    <row r="23" spans="1:8" x14ac:dyDescent="0.2">
      <c r="A23">
        <v>51</v>
      </c>
      <c r="B23">
        <f>B22-D22</f>
        <v>98343.196859566655</v>
      </c>
      <c r="C23">
        <f>VLOOKUP(A23, 위험률_확장!$A$3:$C$123, IF(입력!$B$4="남", 2, 3), FALSE)</f>
        <v>1E-3</v>
      </c>
      <c r="D23">
        <f>B23*C23</f>
        <v>98.34319685956666</v>
      </c>
      <c r="E23">
        <f>B23*(1/(1+0.0225))^A23</f>
        <v>31616.60047088988</v>
      </c>
      <c r="F23">
        <f>SUM(E23:E$92)</f>
        <v>1105472.5966410984</v>
      </c>
      <c r="G23">
        <f>D23*(1/(1+0.0225))^(A23+1)</f>
        <v>30.920880656127025</v>
      </c>
      <c r="H23">
        <f>SUM(G23:G$92)</f>
        <v>1081.1467937810257</v>
      </c>
    </row>
    <row r="24" spans="1:8" x14ac:dyDescent="0.2">
      <c r="A24">
        <v>52</v>
      </c>
      <c r="B24">
        <f>B23-D23</f>
        <v>98244.853662707086</v>
      </c>
      <c r="C24">
        <f>VLOOKUP(A24, 위험률_확장!$A$3:$C$123, IF(입력!$B$4="남", 2, 3), FALSE)</f>
        <v>1E-3</v>
      </c>
      <c r="D24">
        <f>B24*C24</f>
        <v>98.244853662707087</v>
      </c>
      <c r="E24">
        <f>B24*(1/(1+0.0225))^A24</f>
        <v>30889.959775470896</v>
      </c>
      <c r="F24">
        <f>SUM(E24:E$92)</f>
        <v>1073855.9961702086</v>
      </c>
      <c r="G24">
        <f>D24*(1/(1+0.0225))^(A24+1)</f>
        <v>30.210229609262491</v>
      </c>
      <c r="H24">
        <f>SUM(G24:G$92)</f>
        <v>1050.2259131248989</v>
      </c>
    </row>
    <row r="25" spans="1:8" x14ac:dyDescent="0.2">
      <c r="A25">
        <v>53</v>
      </c>
      <c r="B25">
        <f>B24-D24</f>
        <v>98146.608809044381</v>
      </c>
      <c r="C25">
        <f>VLOOKUP(A25, 위험률_확장!$A$3:$C$123, IF(입력!$B$4="남", 2, 3), FALSE)</f>
        <v>1E-3</v>
      </c>
      <c r="D25">
        <f>B25*C25</f>
        <v>98.14660880904438</v>
      </c>
      <c r="E25">
        <f>B25*(1/(1+0.0225))^A25</f>
        <v>30180.019379653229</v>
      </c>
      <c r="F25">
        <f>SUM(E25:E$92)</f>
        <v>1042966.0363947377</v>
      </c>
      <c r="G25">
        <f>D25*(1/(1+0.0225))^(A25+1)</f>
        <v>29.51591137374399</v>
      </c>
      <c r="H25">
        <f>SUM(G25:G$92)</f>
        <v>1020.0156835156369</v>
      </c>
    </row>
    <row r="26" spans="1:8" x14ac:dyDescent="0.2">
      <c r="A26">
        <v>54</v>
      </c>
      <c r="B26">
        <f>B25-D25</f>
        <v>98048.462200235343</v>
      </c>
      <c r="C26">
        <f>VLOOKUP(A26, 위험률_확장!$A$3:$C$123, IF(입력!$B$4="남", 2, 3), FALSE)</f>
        <v>1E-3</v>
      </c>
      <c r="D26">
        <f>B26*C26</f>
        <v>98.048462200235349</v>
      </c>
      <c r="E26">
        <f>B26*(1/(1+0.0225))^A26</f>
        <v>29486.395462370248</v>
      </c>
      <c r="F26">
        <f>SUM(E26:E$92)</f>
        <v>1012786.0170150844</v>
      </c>
      <c r="G26">
        <f>D26*(1/(1+0.0225))^(A26+1)</f>
        <v>28.837550574445238</v>
      </c>
      <c r="H26">
        <f>SUM(G26:G$92)</f>
        <v>990.49977214189278</v>
      </c>
    </row>
    <row r="27" spans="1:8" x14ac:dyDescent="0.2">
      <c r="A27">
        <v>55</v>
      </c>
      <c r="B27">
        <f>B26-D26</f>
        <v>97950.413738035102</v>
      </c>
      <c r="C27">
        <f>VLOOKUP(A27, 위험률_확장!$A$3:$C$123, IF(입력!$B$4="남", 2, 3), FALSE)</f>
        <v>1E-3</v>
      </c>
      <c r="D27">
        <f>B27*C27</f>
        <v>97.95041373803511</v>
      </c>
      <c r="E27">
        <f>B27*(1/(1+0.0225))^A27</f>
        <v>28808.71302387079</v>
      </c>
      <c r="F27">
        <f>SUM(E27:E$92)</f>
        <v>983299.62155271415</v>
      </c>
      <c r="G27">
        <f>D27*(1/(1+0.0225))^(A27+1)</f>
        <v>28.174780463443312</v>
      </c>
      <c r="H27">
        <f>SUM(G27:G$92)</f>
        <v>961.66222156744732</v>
      </c>
    </row>
    <row r="28" spans="1:8" x14ac:dyDescent="0.2">
      <c r="A28">
        <v>56</v>
      </c>
      <c r="B28">
        <f>B27-D27</f>
        <v>97852.463324297074</v>
      </c>
      <c r="C28">
        <f>VLOOKUP(A28, 위험률_확장!$A$3:$C$123, IF(입력!$B$4="남", 2, 3), FALSE)</f>
        <v>1E-3</v>
      </c>
      <c r="D28">
        <f>B28*C28</f>
        <v>97.852463324297076</v>
      </c>
      <c r="E28">
        <f>B28*(1/(1+0.0225))^A28</f>
        <v>28146.605682979869</v>
      </c>
      <c r="F28">
        <f>SUM(E28:E$92)</f>
        <v>954490.90852884343</v>
      </c>
      <c r="G28">
        <f>D28*(1/(1+0.0225))^(A28+1)</f>
        <v>27.527242721740709</v>
      </c>
      <c r="H28">
        <f>SUM(G28:G$92)</f>
        <v>933.48744110400401</v>
      </c>
    </row>
    <row r="29" spans="1:8" x14ac:dyDescent="0.2">
      <c r="A29">
        <v>57</v>
      </c>
      <c r="B29">
        <f>B28-D28</f>
        <v>97754.610860972782</v>
      </c>
      <c r="C29">
        <f>VLOOKUP(A29, 위험률_확장!$A$3:$C$123, IF(입력!$B$4="남", 2, 3), FALSE)</f>
        <v>1E-3</v>
      </c>
      <c r="D29">
        <f>B29*C29</f>
        <v>97.75461086097279</v>
      </c>
      <c r="E29">
        <f>B29*(1/(1+0.0225))^A29</f>
        <v>27499.715479018967</v>
      </c>
      <c r="F29">
        <f>SUM(E29:E$92)</f>
        <v>926344.30284586351</v>
      </c>
      <c r="G29">
        <f>D29*(1/(1+0.0225))^(A29+1)</f>
        <v>26.894587265544221</v>
      </c>
      <c r="H29">
        <f>SUM(G29:G$92)</f>
        <v>905.96019838226334</v>
      </c>
    </row>
    <row r="30" spans="1:8" x14ac:dyDescent="0.2">
      <c r="A30">
        <v>58</v>
      </c>
      <c r="B30">
        <f>B29-D29</f>
        <v>97656.856250111814</v>
      </c>
      <c r="C30">
        <f>VLOOKUP(A30, 위험률_확장!$A$3:$C$123, IF(입력!$B$4="남", 2, 3), FALSE)</f>
        <v>1E-3</v>
      </c>
      <c r="D30">
        <f>B30*C30</f>
        <v>97.656856250111815</v>
      </c>
      <c r="E30">
        <f>B30*(1/(1+0.0225))^A30</f>
        <v>26867.692678278676</v>
      </c>
      <c r="F30">
        <f>SUM(E30:E$92)</f>
        <v>898844.58736684441</v>
      </c>
      <c r="G30">
        <f>D30*(1/(1+0.0225))^(A30+1)</f>
        <v>26.276472056996269</v>
      </c>
      <c r="H30">
        <f>SUM(G30:G$92)</f>
        <v>879.06561111671908</v>
      </c>
    </row>
    <row r="31" spans="1:8" x14ac:dyDescent="0.2">
      <c r="A31">
        <v>59</v>
      </c>
      <c r="B31">
        <f>B30-D30</f>
        <v>97559.199393861709</v>
      </c>
      <c r="C31">
        <f>VLOOKUP(A31, 위험률_확장!$A$3:$C$123, IF(입력!$B$4="남", 2, 3), FALSE)</f>
        <v>1E-3</v>
      </c>
      <c r="D31">
        <f>B31*C31</f>
        <v>97.559199393861718</v>
      </c>
      <c r="E31">
        <f>B31*(1/(1+0.0225))^A31</f>
        <v>26250.195584939276</v>
      </c>
      <c r="F31">
        <f>SUM(E31:E$92)</f>
        <v>871976.89468856587</v>
      </c>
      <c r="G31">
        <f>D31*(1/(1+0.0225))^(A31+1)</f>
        <v>25.672562919256016</v>
      </c>
      <c r="H31">
        <f>SUM(G31:G$92)</f>
        <v>852.78913905972286</v>
      </c>
    </row>
    <row r="32" spans="1:8" x14ac:dyDescent="0.2">
      <c r="A32">
        <v>60</v>
      </c>
      <c r="B32">
        <f>B31-D31</f>
        <v>97461.640194467851</v>
      </c>
      <c r="C32">
        <f>VLOOKUP(A32, 위험률_확장!$A$3:$C$123, IF(입력!$B$4="남", 2, 3), FALSE)</f>
        <v>1E-3</v>
      </c>
      <c r="D32">
        <f>B32*C32</f>
        <v>97.461640194467847</v>
      </c>
      <c r="E32">
        <f>B32*(1/(1+0.0225))^A32</f>
        <v>25646.89035633676</v>
      </c>
      <c r="F32">
        <f>SUM(E32:E$92)</f>
        <v>845726.69910362666</v>
      </c>
      <c r="G32">
        <f>D32*(1/(1+0.0225))^(A32+1)</f>
        <v>25.08253335583057</v>
      </c>
      <c r="H32">
        <f>SUM(G32:G$92)</f>
        <v>827.11657614046692</v>
      </c>
    </row>
    <row r="33" spans="1:8" x14ac:dyDescent="0.2">
      <c r="A33">
        <v>61</v>
      </c>
      <c r="B33">
        <f>B32-D32</f>
        <v>97364.178554273385</v>
      </c>
      <c r="C33">
        <f>VLOOKUP(A33, 위험률_확장!$A$3:$C$123, IF(입력!$B$4="남", 2, 3), FALSE)</f>
        <v>1E-3</v>
      </c>
      <c r="D33">
        <f>B33*C33</f>
        <v>97.364178554273394</v>
      </c>
      <c r="E33">
        <f>B33*(1/(1+0.0225))^A33</f>
        <v>25057.450822474741</v>
      </c>
      <c r="F33">
        <f>SUM(E33:E$92)</f>
        <v>820079.80874728994</v>
      </c>
      <c r="G33">
        <f>D33*(1/(1+0.0225))^(A33+1)</f>
        <v>24.506064374058425</v>
      </c>
      <c r="H33">
        <f>SUM(G33:G$92)</f>
        <v>802.03404278463631</v>
      </c>
    </row>
    <row r="34" spans="1:8" x14ac:dyDescent="0.2">
      <c r="A34">
        <v>62</v>
      </c>
      <c r="B34">
        <f>B33-D33</f>
        <v>97266.814375719114</v>
      </c>
      <c r="C34">
        <f>VLOOKUP(A34, 위험률_확장!$A$3:$C$123, IF(입력!$B$4="남", 2, 3), FALSE)</f>
        <v>1E-3</v>
      </c>
      <c r="D34">
        <f>B34*C34</f>
        <v>97.266814375719122</v>
      </c>
      <c r="E34">
        <f>B34*(1/(1+0.0225))^A34</f>
        <v>24481.558309684366</v>
      </c>
      <c r="F34">
        <f>SUM(E34:E$92)</f>
        <v>795022.35792481527</v>
      </c>
      <c r="G34">
        <f>D34*(1/(1+0.0225))^(A34+1)</f>
        <v>23.942844312649754</v>
      </c>
      <c r="H34">
        <f>SUM(G34:G$92)</f>
        <v>777.52797841057793</v>
      </c>
    </row>
    <row r="35" spans="1:8" x14ac:dyDescent="0.2">
      <c r="A35">
        <v>63</v>
      </c>
      <c r="B35">
        <f>B34-D34</f>
        <v>97169.547561343396</v>
      </c>
      <c r="C35">
        <f>VLOOKUP(A35, 위험률_확장!$A$3:$C$123, IF(입력!$B$4="남", 2, 3), FALSE)</f>
        <v>1E-3</v>
      </c>
      <c r="D35">
        <f>B35*C35</f>
        <v>97.169547561343393</v>
      </c>
      <c r="E35">
        <f>B35*(1/(1+0.0225))^A35</f>
        <v>23918.901468337102</v>
      </c>
      <c r="F35">
        <f>SUM(E35:E$92)</f>
        <v>770540.79961513088</v>
      </c>
      <c r="G35">
        <f>D35*(1/(1+0.0225))^(A35+1)</f>
        <v>23.392568673190322</v>
      </c>
      <c r="H35">
        <f>SUM(G35:G$92)</f>
        <v>753.58513409792806</v>
      </c>
    </row>
    <row r="36" spans="1:8" x14ac:dyDescent="0.2">
      <c r="A36">
        <v>64</v>
      </c>
      <c r="B36">
        <f>B35-D35</f>
        <v>97072.378013782058</v>
      </c>
      <c r="C36">
        <f>VLOOKUP(A36, 위험률_확장!$A$3:$C$123, IF(입력!$B$4="남", 2, 3), FALSE)</f>
        <v>1E-3</v>
      </c>
      <c r="D36">
        <f>B36*C36</f>
        <v>97.072378013782057</v>
      </c>
      <c r="E36">
        <f>B36*(1/(1+0.0225))^A36</f>
        <v>23369.176104517133</v>
      </c>
      <c r="F36">
        <f>SUM(E36:E$92)</f>
        <v>746621.89814679394</v>
      </c>
      <c r="G36">
        <f>D36*(1/(1+0.0225))^(A36+1)</f>
        <v>22.854939955517981</v>
      </c>
      <c r="H36">
        <f>SUM(G36:G$92)</f>
        <v>730.19256542473761</v>
      </c>
    </row>
    <row r="37" spans="1:8" x14ac:dyDescent="0.2">
      <c r="A37">
        <v>65</v>
      </c>
      <c r="B37">
        <f>B36-D36</f>
        <v>96975.30563576828</v>
      </c>
      <c r="C37">
        <f>VLOOKUP(A37, 위험률_확장!$A$3:$C$123, IF(입력!$B$4="남", 2, 3), FALSE)</f>
        <v>1E-3</v>
      </c>
      <c r="D37">
        <f>B37*C37</f>
        <v>96.975305635768279</v>
      </c>
      <c r="E37">
        <f>B37*(1/(1+0.0225))^A37</f>
        <v>22832.085015562465</v>
      </c>
      <c r="F37">
        <f>SUM(E37:E$92)</f>
        <v>723252.72204227676</v>
      </c>
      <c r="G37">
        <f>D37*(1/(1+0.0225))^(A37+1)</f>
        <v>22.329667496882607</v>
      </c>
      <c r="H37">
        <f>SUM(G37:G$92)</f>
        <v>707.33762546921969</v>
      </c>
    </row>
    <row r="38" spans="1:8" x14ac:dyDescent="0.2">
      <c r="A38">
        <v>66</v>
      </c>
      <c r="B38">
        <f>B37-D37</f>
        <v>96878.330330132507</v>
      </c>
      <c r="C38">
        <f>VLOOKUP(A38, 위험률_확장!$A$3:$C$123, IF(입력!$B$4="남", 2, 3), FALSE)</f>
        <v>1E-3</v>
      </c>
      <c r="D38">
        <f>B38*C38</f>
        <v>96.878330330132513</v>
      </c>
      <c r="E38">
        <f>B38*(1/(1+0.0225))^A38</f>
        <v>22307.33782938572</v>
      </c>
      <c r="F38">
        <f>SUM(E38:E$92)</f>
        <v>700420.63702671428</v>
      </c>
      <c r="G38">
        <f>D38*(1/(1+0.0225))^(A38+1)</f>
        <v>21.816467314802665</v>
      </c>
      <c r="H38">
        <f>SUM(G38:G$92)</f>
        <v>685.00795797233707</v>
      </c>
    </row>
    <row r="39" spans="1:8" x14ac:dyDescent="0.2">
      <c r="A39">
        <v>67</v>
      </c>
      <c r="B39">
        <f>B38-D38</f>
        <v>96781.451999802375</v>
      </c>
      <c r="C39">
        <f>VLOOKUP(A39, 위험률_확장!$A$3:$C$123, IF(입력!$B$4="남", 2, 3), FALSE)</f>
        <v>1E-3</v>
      </c>
      <c r="D39">
        <f>B39*C39</f>
        <v>96.781451999802371</v>
      </c>
      <c r="E39">
        <f>B39*(1/(1+0.0225))^A39</f>
        <v>21794.650847487861</v>
      </c>
      <c r="F39">
        <f>SUM(E39:E$92)</f>
        <v>678113.29919732874</v>
      </c>
      <c r="G39">
        <f>D39*(1/(1+0.0225))^(A39+1)</f>
        <v>21.315061953533363</v>
      </c>
      <c r="H39">
        <f>SUM(G39:G$92)</f>
        <v>663.19149065753425</v>
      </c>
    </row>
    <row r="40" spans="1:8" x14ac:dyDescent="0.2">
      <c r="A40">
        <v>68</v>
      </c>
      <c r="B40">
        <f>B39-D39</f>
        <v>96684.670547802569</v>
      </c>
      <c r="C40">
        <f>VLOOKUP(A40, 위험률_확장!$A$3:$C$123, IF(입력!$B$4="남", 2, 3), FALSE)</f>
        <v>1E-3</v>
      </c>
      <c r="D40">
        <f>B40*C40</f>
        <v>96.684670547802568</v>
      </c>
      <c r="E40">
        <f>B40*(1/(1+0.0225))^A40</f>
        <v>21293.746891579827</v>
      </c>
      <c r="F40">
        <f>SUM(E40:E$92)</f>
        <v>656318.64834984078</v>
      </c>
      <c r="G40">
        <f>D40*(1/(1+0.0225))^(A40+1)</f>
        <v>20.825180334063404</v>
      </c>
      <c r="H40">
        <f>SUM(G40:G$92)</f>
        <v>641.87642870400089</v>
      </c>
    </row>
    <row r="41" spans="1:8" x14ac:dyDescent="0.2">
      <c r="A41">
        <v>69</v>
      </c>
      <c r="B41">
        <f>B40-D40</f>
        <v>96587.98587725476</v>
      </c>
      <c r="C41">
        <f>VLOOKUP(A41, 위험률_확장!$A$3:$C$123, IF(입력!$B$4="남", 2, 3), FALSE)</f>
        <v>1E-3</v>
      </c>
      <c r="D41">
        <f>B41*C41</f>
        <v>96.587985877254766</v>
      </c>
      <c r="E41">
        <f>B41*(1/(1+0.0225))^A41</f>
        <v>20804.355153729339</v>
      </c>
      <c r="F41">
        <f>SUM(E41:E$92)</f>
        <v>635024.90145826095</v>
      </c>
      <c r="G41">
        <f>D41*(1/(1+0.0225))^(A41+1)</f>
        <v>20.346557607559259</v>
      </c>
      <c r="H41">
        <f>SUM(G41:G$92)</f>
        <v>621.05124836993753</v>
      </c>
    </row>
    <row r="42" spans="1:8" x14ac:dyDescent="0.2">
      <c r="A42">
        <v>70</v>
      </c>
      <c r="B42">
        <f>B41-D41</f>
        <v>96491.397891377506</v>
      </c>
      <c r="C42">
        <f>VLOOKUP(A42, 위험률_확장!$A$3:$C$123, IF(입력!$B$4="남", 2, 3), FALSE)</f>
        <v>1E-3</v>
      </c>
      <c r="D42">
        <f>B42*C42</f>
        <v>96.491397891377503</v>
      </c>
      <c r="E42">
        <f>B42*(1/(1+0.0225))^A42</f>
        <v>20326.211049951697</v>
      </c>
      <c r="F42">
        <f>SUM(E42:E$92)</f>
        <v>614220.54630453151</v>
      </c>
      <c r="G42">
        <f>D42*(1/(1+0.0225))^(A42+1)</f>
        <v>19.878935012177699</v>
      </c>
      <c r="H42">
        <f>SUM(G42:G$92)</f>
        <v>600.70469076237828</v>
      </c>
    </row>
    <row r="43" spans="1:8" x14ac:dyDescent="0.2">
      <c r="A43">
        <v>71</v>
      </c>
      <c r="B43">
        <f>B42-D42</f>
        <v>96394.906493486124</v>
      </c>
      <c r="C43">
        <f>VLOOKUP(A43, 위험률_확장!$A$3:$C$123, IF(입력!$B$4="남", 2, 3), FALSE)</f>
        <v>1E-3</v>
      </c>
      <c r="D43">
        <f>B43*C43</f>
        <v>96.394906493486133</v>
      </c>
      <c r="E43">
        <f>B43*(1/(1+0.0225))^A43</f>
        <v>19859.056077165522</v>
      </c>
      <c r="F43">
        <f>SUM(E43:E$92)</f>
        <v>593894.33525457978</v>
      </c>
      <c r="G43">
        <f>D43*(1/(1+0.0225))^(A43+1)</f>
        <v>19.422059733169217</v>
      </c>
      <c r="H43">
        <f>SUM(G43:G$92)</f>
        <v>580.82575575020041</v>
      </c>
    </row>
    <row r="44" spans="1:8" x14ac:dyDescent="0.2">
      <c r="A44">
        <v>72</v>
      </c>
      <c r="B44">
        <f>B43-D43</f>
        <v>96298.511586992638</v>
      </c>
      <c r="C44">
        <f>VLOOKUP(A44, 위험률_확장!$A$3:$C$123, IF(입력!$B$4="남", 2, 3), FALSE)</f>
        <v>1E-3</v>
      </c>
      <c r="D44">
        <f>B44*C44</f>
        <v>96.298511586992646</v>
      </c>
      <c r="E44">
        <f>B44*(1/(1+0.0225))^A44</f>
        <v>19402.637673436046</v>
      </c>
      <c r="F44">
        <f>SUM(E44:E$92)</f>
        <v>574035.27917741425</v>
      </c>
      <c r="G44">
        <f>D44*(1/(1+0.0225))^(A44+1)</f>
        <v>18.975684766196625</v>
      </c>
      <c r="H44">
        <f>SUM(G44:G$92)</f>
        <v>561.40369601703117</v>
      </c>
    </row>
    <row r="45" spans="1:8" x14ac:dyDescent="0.2">
      <c r="A45">
        <v>73</v>
      </c>
      <c r="B45">
        <f>B44-D44</f>
        <v>96202.213075405642</v>
      </c>
      <c r="C45">
        <f>VLOOKUP(A45, 위험률_확장!$A$3:$C$123, IF(입력!$B$4="남", 2, 3), FALSE)</f>
        <v>1E-3</v>
      </c>
      <c r="D45">
        <f>B45*C45</f>
        <v>96.202213075405638</v>
      </c>
      <c r="E45">
        <f>B45*(1/(1+0.0225))^A45</f>
        <v>18956.709081430425</v>
      </c>
      <c r="F45">
        <f>SUM(E45:E$92)</f>
        <v>554632.6415039784</v>
      </c>
      <c r="G45">
        <f>D45*(1/(1+0.0225))^(A45+1)</f>
        <v>18.539568783795033</v>
      </c>
      <c r="H45">
        <f>SUM(G45:G$92)</f>
        <v>542.42801125083452</v>
      </c>
    </row>
    <row r="46" spans="1:8" x14ac:dyDescent="0.2">
      <c r="A46">
        <v>74</v>
      </c>
      <c r="B46">
        <f>B45-D45</f>
        <v>96106.010862330237</v>
      </c>
      <c r="C46">
        <f>VLOOKUP(A46, 위험률_확장!$A$3:$C$123, IF(입력!$B$4="남", 2, 3), FALSE)</f>
        <v>1E-3</v>
      </c>
      <c r="D46">
        <f>B46*C46</f>
        <v>96.106010862330237</v>
      </c>
      <c r="E46">
        <f>B46*(1/(1+0.0225))^A46</f>
        <v>18521.02921501124</v>
      </c>
      <c r="F46">
        <f>SUM(E46:E$92)</f>
        <v>535675.93242254795</v>
      </c>
      <c r="G46">
        <f>D46*(1/(1+0.0225))^(A46+1)</f>
        <v>18.113476004900974</v>
      </c>
      <c r="H46">
        <f>SUM(G46:G$92)</f>
        <v>523.88844246703945</v>
      </c>
    </row>
    <row r="47" spans="1:8" x14ac:dyDescent="0.2">
      <c r="A47">
        <v>75</v>
      </c>
      <c r="B47">
        <f>B46-D46</f>
        <v>96009.904851467902</v>
      </c>
      <c r="C47">
        <f>VLOOKUP(A47, 위험률_확장!$A$3:$C$123, IF(입력!$B$4="남", 2, 3), FALSE)</f>
        <v>1E-3</v>
      </c>
      <c r="D47">
        <f>B47*C47</f>
        <v>96.009904851467908</v>
      </c>
      <c r="E47">
        <f>B47*(1/(1+0.0225))^A47</f>
        <v>18095.362528896072</v>
      </c>
      <c r="F47">
        <f>SUM(E47:E$92)</f>
        <v>517154.90320753667</v>
      </c>
      <c r="G47">
        <f>D47*(1/(1+0.0225))^(A47+1)</f>
        <v>17.69717606738002</v>
      </c>
      <c r="H47">
        <f>SUM(G47:G$92)</f>
        <v>505.77496646213854</v>
      </c>
    </row>
    <row r="48" spans="1:8" x14ac:dyDescent="0.2">
      <c r="A48">
        <v>76</v>
      </c>
      <c r="B48">
        <f>B47-D47</f>
        <v>95913.894946616434</v>
      </c>
      <c r="C48">
        <f>VLOOKUP(A48, 위험률_확장!$A$3:$C$123, IF(입력!$B$4="남", 2, 3), FALSE)</f>
        <v>1E-3</v>
      </c>
      <c r="D48">
        <f>B48*C48</f>
        <v>95.913894946616438</v>
      </c>
      <c r="E48">
        <f>B48*(1/(1+0.0225))^A48</f>
        <v>17679.478891312639</v>
      </c>
      <c r="F48">
        <f>SUM(E48:E$92)</f>
        <v>499059.54067864059</v>
      </c>
      <c r="G48">
        <f>D48*(1/(1+0.0225))^(A48+1)</f>
        <v>17.290443903484245</v>
      </c>
      <c r="H48">
        <f>SUM(G48:G$92)</f>
        <v>488.07779039475855</v>
      </c>
    </row>
    <row r="49" spans="1:8" x14ac:dyDescent="0.2">
      <c r="A49">
        <v>77</v>
      </c>
      <c r="B49">
        <f>B48-D48</f>
        <v>95817.98105166982</v>
      </c>
      <c r="C49">
        <f>VLOOKUP(A49, 위험률_확장!$A$3:$C$123, IF(입력!$B$4="남", 2, 3), FALSE)</f>
        <v>1E-3</v>
      </c>
      <c r="D49">
        <f>B49*C49</f>
        <v>95.817981051669818</v>
      </c>
      <c r="E49">
        <f>B49*(1/(1+0.0225))^A49</f>
        <v>17273.153459580761</v>
      </c>
      <c r="F49">
        <f>SUM(E49:E$92)</f>
        <v>481380.06178732787</v>
      </c>
      <c r="G49">
        <f>D49*(1/(1+0.0225))^(A49+1)</f>
        <v>16.893059618171897</v>
      </c>
      <c r="H49">
        <f>SUM(G49:G$92)</f>
        <v>470.78734649127426</v>
      </c>
    </row>
    <row r="50" spans="1:8" x14ac:dyDescent="0.2">
      <c r="A50">
        <v>78</v>
      </c>
      <c r="B50">
        <f>B49-D49</f>
        <v>95722.163070618146</v>
      </c>
      <c r="C50">
        <f>VLOOKUP(A50, 위험률_확장!$A$3:$C$123, IF(입력!$B$4="남", 2, 3), FALSE)</f>
        <v>1E-3</v>
      </c>
      <c r="D50">
        <f>B50*C50</f>
        <v>95.722163070618151</v>
      </c>
      <c r="E50">
        <f>B50*(1/(1+0.0225))^A50</f>
        <v>16876.166558553723</v>
      </c>
      <c r="F50">
        <f>SUM(E50:E$92)</f>
        <v>464106.90832774714</v>
      </c>
      <c r="G50">
        <f>D50*(1/(1+0.0225))^(A50+1)</f>
        <v>16.504808370223692</v>
      </c>
      <c r="H50">
        <f>SUM(G50:G$92)</f>
        <v>453.89428687310243</v>
      </c>
    </row>
    <row r="51" spans="1:8" x14ac:dyDescent="0.2">
      <c r="A51">
        <v>79</v>
      </c>
      <c r="B51">
        <f>B50-D50</f>
        <v>95626.440907547527</v>
      </c>
      <c r="C51">
        <f>VLOOKUP(A51, 위험률_확장!$A$3:$C$123, IF(입력!$B$4="남", 2, 3), FALSE)</f>
        <v>1E-3</v>
      </c>
      <c r="D51">
        <f>B51*C51</f>
        <v>95.626440907547533</v>
      </c>
      <c r="E51">
        <f>B51*(1/(1+0.0225))^A51</f>
        <v>16488.303561853467</v>
      </c>
      <c r="F51">
        <f>SUM(E51:E$92)</f>
        <v>447230.74176919344</v>
      </c>
      <c r="G51">
        <f>D51*(1/(1+0.0225))^(A51+1)</f>
        <v>16.125480256091414</v>
      </c>
      <c r="H51">
        <f>SUM(G51:G$92)</f>
        <v>437.38947850287877</v>
      </c>
    </row>
    <row r="52" spans="1:8" x14ac:dyDescent="0.2">
      <c r="A52">
        <v>80</v>
      </c>
      <c r="B52">
        <f>B51-D51</f>
        <v>95530.814466639975</v>
      </c>
      <c r="C52">
        <f>VLOOKUP(A52, 위험률_확장!$A$3:$C$123, IF(입력!$B$4="남", 2, 3), FALSE)</f>
        <v>1E-3</v>
      </c>
      <c r="D52">
        <f>B52*C52</f>
        <v>95.530814466639981</v>
      </c>
      <c r="E52">
        <f>B52*(1/(1+0.0225))^A52</f>
        <v>16109.354775835322</v>
      </c>
      <c r="F52">
        <f>SUM(E52:E$92)</f>
        <v>430742.43820733996</v>
      </c>
      <c r="G52">
        <f>D52*(1/(1+0.0225))^(A52+1)</f>
        <v>15.754870196415963</v>
      </c>
      <c r="H52">
        <f>SUM(G52:G$92)</f>
        <v>421.26399824678742</v>
      </c>
    </row>
    <row r="53" spans="1:8" x14ac:dyDescent="0.2">
      <c r="A53">
        <v>81</v>
      </c>
      <c r="B53">
        <f>B52-D52</f>
        <v>95435.283652173341</v>
      </c>
      <c r="C53">
        <f>VLOOKUP(A53, 위험률_확장!$A$3:$C$123, IF(입력!$B$4="남", 2, 3), FALSE)</f>
        <v>1E-3</v>
      </c>
      <c r="D53">
        <f>B53*C53</f>
        <v>95.435283652173339</v>
      </c>
      <c r="E53">
        <f>B53*(1/(1+0.0225))^A53</f>
        <v>15739.115326219548</v>
      </c>
      <c r="F53">
        <f>SUM(E53:E$92)</f>
        <v>414633.08343150467</v>
      </c>
      <c r="G53">
        <f>D53*(1/(1+0.0225))^(A53+1)</f>
        <v>15.392777825153592</v>
      </c>
      <c r="H53">
        <f>SUM(G53:G$92)</f>
        <v>405.50912805037143</v>
      </c>
    </row>
    <row r="54" spans="1:8" x14ac:dyDescent="0.2">
      <c r="A54">
        <v>82</v>
      </c>
      <c r="B54">
        <f>B53-D53</f>
        <v>95339.848368521169</v>
      </c>
      <c r="C54">
        <f>VLOOKUP(A54, 위험률_확장!$A$3:$C$123, IF(입력!$B$4="남", 2, 3), FALSE)</f>
        <v>1E-3</v>
      </c>
      <c r="D54">
        <f>B54*C54</f>
        <v>95.339848368521174</v>
      </c>
      <c r="E54">
        <f>B54*(1/(1+0.0225))^A54</f>
        <v>15377.385047328438</v>
      </c>
      <c r="F54">
        <f>SUM(E54:E$92)</f>
        <v>398893.9681052852</v>
      </c>
      <c r="G54">
        <f>D54*(1/(1+0.0225))^(A54+1)</f>
        <v>15.039007381250308</v>
      </c>
      <c r="H54">
        <f>SUM(G54:G$92)</f>
        <v>390.11635022521784</v>
      </c>
    </row>
    <row r="55" spans="1:8" x14ac:dyDescent="0.2">
      <c r="A55">
        <v>83</v>
      </c>
      <c r="B55">
        <f>B54-D54</f>
        <v>95244.508520152653</v>
      </c>
      <c r="C55">
        <f>VLOOKUP(A55, 위험률_확장!$A$3:$C$123, IF(입력!$B$4="남", 2, 3), FALSE)</f>
        <v>1E-3</v>
      </c>
      <c r="D55">
        <f>B55*C55</f>
        <v>95.24450852015265</v>
      </c>
      <c r="E55">
        <f>B55*(1/(1+0.0225))^A55</f>
        <v>15023.968373869056</v>
      </c>
      <c r="F55">
        <f>SUM(E55:E$92)</f>
        <v>383516.58305795677</v>
      </c>
      <c r="G55">
        <f>D55*(1/(1+0.0225))^(A55+1)</f>
        <v>14.693367602805926</v>
      </c>
      <c r="H55">
        <f>SUM(G55:G$92)</f>
        <v>375.07734284396753</v>
      </c>
    </row>
    <row r="56" spans="1:8" x14ac:dyDescent="0.2">
      <c r="A56">
        <v>84</v>
      </c>
      <c r="B56">
        <f>B55-D55</f>
        <v>95149.264011632506</v>
      </c>
      <c r="C56">
        <f>VLOOKUP(A56, 위험률_확장!$A$3:$C$123, IF(입력!$B$4="남", 2, 3), FALSE)</f>
        <v>1E-3</v>
      </c>
      <c r="D56">
        <f>B56*C56</f>
        <v>95.149264011632511</v>
      </c>
      <c r="E56">
        <f>B56*(1/(1+0.0225))^A56</f>
        <v>14678.674235203121</v>
      </c>
      <c r="F56">
        <f>SUM(E56:E$92)</f>
        <v>368492.61468408769</v>
      </c>
      <c r="G56">
        <f>D56*(1/(1+0.0225))^(A56+1)</f>
        <v>14.355671623670533</v>
      </c>
      <c r="H56">
        <f>SUM(G56:G$92)</f>
        <v>360.38397524116158</v>
      </c>
    </row>
    <row r="57" spans="1:8" x14ac:dyDescent="0.2">
      <c r="A57">
        <v>85</v>
      </c>
      <c r="B57">
        <f>B56-D56</f>
        <v>95054.114747620872</v>
      </c>
      <c r="C57">
        <f>VLOOKUP(A57, 위험률_확장!$A$3:$C$123, IF(입력!$B$4="남", 2, 3), FALSE)</f>
        <v>1E-3</v>
      </c>
      <c r="D57">
        <f>B57*C57</f>
        <v>95.054114747620872</v>
      </c>
      <c r="E57">
        <f>B57*(1/(1+0.0225))^A57</f>
        <v>14341.315952046862</v>
      </c>
      <c r="F57">
        <f>SUM(E57:E$92)</f>
        <v>353813.94044888462</v>
      </c>
      <c r="G57">
        <f>D57*(1/(1+0.0225))^(A57+1)</f>
        <v>14.02573687241747</v>
      </c>
      <c r="H57">
        <f>SUM(G57:G$92)</f>
        <v>346.02830361749108</v>
      </c>
    </row>
    <row r="58" spans="1:8" x14ac:dyDescent="0.2">
      <c r="A58">
        <v>86</v>
      </c>
      <c r="B58">
        <f>B57-D57</f>
        <v>94959.060632873254</v>
      </c>
      <c r="C58">
        <f>VLOOKUP(A58, 위험률_확장!$A$3:$C$123, IF(입력!$B$4="남", 2, 3), FALSE)</f>
        <v>1E-3</v>
      </c>
      <c r="D58">
        <f>B58*C58</f>
        <v>94.95906063287326</v>
      </c>
      <c r="E58">
        <f>B58*(1/(1+0.0225))^A58</f>
        <v>14011.711135545052</v>
      </c>
      <c r="F58">
        <f>SUM(E58:E$92)</f>
        <v>339472.62449683773</v>
      </c>
      <c r="G58">
        <f>D58*(1/(1+0.0225))^(A58+1)</f>
        <v>13.703384973638196</v>
      </c>
      <c r="H58">
        <f>SUM(G58:G$92)</f>
        <v>332.00256674507364</v>
      </c>
    </row>
    <row r="59" spans="1:8" x14ac:dyDescent="0.2">
      <c r="A59">
        <v>87</v>
      </c>
      <c r="B59">
        <f>B58-D58</f>
        <v>94864.101572240383</v>
      </c>
      <c r="C59">
        <f>VLOOKUP(A59, 위험률_확장!$A$3:$C$123, IF(입력!$B$4="남", 2, 3), FALSE)</f>
        <v>1E-3</v>
      </c>
      <c r="D59">
        <f>B59*C59</f>
        <v>94.864101572240386</v>
      </c>
      <c r="E59">
        <f>B59*(1/(1+0.0225))^A59</f>
        <v>13689.681588664556</v>
      </c>
      <c r="F59">
        <f>SUM(E59:E$92)</f>
        <v>325460.91336129274</v>
      </c>
      <c r="G59">
        <f>D59*(1/(1+0.0225))^(A59+1)</f>
        <v>13.388441651505678</v>
      </c>
      <c r="H59">
        <f>SUM(G59:G$92)</f>
        <v>318.29918177143549</v>
      </c>
    </row>
    <row r="60" spans="1:8" x14ac:dyDescent="0.2">
      <c r="A60">
        <v>88</v>
      </c>
      <c r="B60">
        <f>B59-D59</f>
        <v>94769.237470668144</v>
      </c>
      <c r="C60">
        <f>VLOOKUP(A60, 위험률_확장!$A$3:$C$123, IF(입력!$B$4="남", 2, 3), FALSE)</f>
        <v>1E-3</v>
      </c>
      <c r="D60">
        <f>B60*C60</f>
        <v>94.769237470668145</v>
      </c>
      <c r="E60">
        <f>B60*(1/(1+0.0225))^A60</f>
        <v>13375.053209854173</v>
      </c>
      <c r="F60">
        <f>SUM(E60:E$92)</f>
        <v>311771.23177262815</v>
      </c>
      <c r="G60">
        <f>D60*(1/(1+0.0225))^(A60+1)</f>
        <v>13.080736635554207</v>
      </c>
      <c r="H60">
        <f>SUM(G60:G$92)</f>
        <v>304.91074011992976</v>
      </c>
    </row>
    <row r="61" spans="1:8" x14ac:dyDescent="0.2">
      <c r="A61">
        <v>89</v>
      </c>
      <c r="B61">
        <f>B60-D60</f>
        <v>94674.468233197476</v>
      </c>
      <c r="C61">
        <f>VLOOKUP(A61, 위험률_확장!$A$3:$C$123, IF(입력!$B$4="남", 2, 3), FALSE)</f>
        <v>1E-3</v>
      </c>
      <c r="D61">
        <f>B61*C61</f>
        <v>94.674468233197473</v>
      </c>
      <c r="E61">
        <f>B61*(1/(1+0.0225))^A61</f>
        <v>13067.655898918652</v>
      </c>
      <c r="F61">
        <f>SUM(E61:E$92)</f>
        <v>298396.17856277397</v>
      </c>
      <c r="G61">
        <f>D61*(1/(1+0.0225))^(A61+1)</f>
        <v>12.780103568624595</v>
      </c>
      <c r="H61">
        <f>SUM(G61:G$92)</f>
        <v>291.83000348437554</v>
      </c>
    </row>
    <row r="62" spans="1:8" x14ac:dyDescent="0.2">
      <c r="A62">
        <v>90</v>
      </c>
      <c r="B62">
        <f>B61-D61</f>
        <v>94579.793764964284</v>
      </c>
      <c r="C62">
        <f>VLOOKUP(A62, 위험률_확장!$A$3:$C$123, IF(입력!$B$4="남", 2, 3), FALSE)</f>
        <v>1E-3</v>
      </c>
      <c r="D62">
        <f>B62*C62</f>
        <v>94.579793764964293</v>
      </c>
      <c r="E62">
        <f>B62*(1/(1+0.0225))^A62</f>
        <v>12767.323465055972</v>
      </c>
      <c r="F62">
        <f>SUM(E62:E$92)</f>
        <v>285328.52266385534</v>
      </c>
      <c r="G62">
        <f>D62*(1/(1+0.0225))^(A62+1)</f>
        <v>12.486379916925163</v>
      </c>
      <c r="H62">
        <f>SUM(G62:G$92)</f>
        <v>279.04989991575104</v>
      </c>
    </row>
    <row r="63" spans="1:8" x14ac:dyDescent="0.2">
      <c r="A63">
        <v>91</v>
      </c>
      <c r="B63">
        <f>B62-D62</f>
        <v>94485.213971199322</v>
      </c>
      <c r="C63">
        <f>VLOOKUP(A63, 위험률_확장!$A$3:$C$123, IF(입력!$B$4="남", 2, 3), FALSE)</f>
        <v>1E-3</v>
      </c>
      <c r="D63">
        <f>B63*C63</f>
        <v>94.485213971199329</v>
      </c>
      <c r="E63">
        <f>B63*(1/(1+0.0225))^A63</f>
        <v>12473.893537008236</v>
      </c>
      <c r="F63">
        <f>SUM(E63:E$92)</f>
        <v>272561.19919879938</v>
      </c>
      <c r="G63">
        <f>D63*(1/(1+0.0225))^(A63+1)</f>
        <v>12.199406882159645</v>
      </c>
      <c r="H63">
        <f>SUM(G63:G$92)</f>
        <v>266.56351999882588</v>
      </c>
    </row>
    <row r="64" spans="1:8" x14ac:dyDescent="0.2">
      <c r="A64">
        <v>92</v>
      </c>
      <c r="B64">
        <f>B63-D63</f>
        <v>94390.72875722812</v>
      </c>
      <c r="C64">
        <f>VLOOKUP(A64, 위험률_확장!$A$3:$C$123, IF(입력!$B$4="남", 2, 3), FALSE)</f>
        <v>1E-3</v>
      </c>
      <c r="D64">
        <f>B64*C64</f>
        <v>94.390728757228118</v>
      </c>
      <c r="E64">
        <f>B64*(1/(1+0.0225))^A64</f>
        <v>12187.207475277484</v>
      </c>
      <c r="F64">
        <f>SUM(E64:E$92)</f>
        <v>260087.30566179118</v>
      </c>
      <c r="G64">
        <f>D64*(1/(1+0.0225))^(A64+1)</f>
        <v>11.919029315674802</v>
      </c>
      <c r="H64">
        <f>SUM(G64:G$92)</f>
        <v>254.36411311666615</v>
      </c>
    </row>
    <row r="65" spans="1:8" x14ac:dyDescent="0.2">
      <c r="A65">
        <v>93</v>
      </c>
      <c r="B65">
        <f>B64-D64</f>
        <v>94296.338028470898</v>
      </c>
      <c r="C65">
        <f>VLOOKUP(A65, 위험률_확장!$A$3:$C$123, IF(입력!$B$4="남", 2, 3), FALSE)</f>
        <v>1E-3</v>
      </c>
      <c r="D65">
        <f>B65*C65</f>
        <v>94.296338028470899</v>
      </c>
      <c r="E65">
        <f>B65*(1/(1+0.0225))^A65</f>
        <v>11907.110286359128</v>
      </c>
      <c r="F65">
        <f>SUM(E65:E$92)</f>
        <v>247900.09818651367</v>
      </c>
      <c r="G65">
        <f>D65*(1/(1+0.0225))^(A65+1)</f>
        <v>11.645095634581052</v>
      </c>
      <c r="H65">
        <f>SUM(G65:G$92)</f>
        <v>242.44508380099137</v>
      </c>
    </row>
    <row r="66" spans="1:8" x14ac:dyDescent="0.2">
      <c r="A66">
        <v>94</v>
      </c>
      <c r="B66">
        <f>B65-D65</f>
        <v>94202.041690442435</v>
      </c>
      <c r="C66">
        <f>VLOOKUP(A66, 위험률_확장!$A$3:$C$123, IF(입력!$B$4="남", 2, 3), FALSE)</f>
        <v>1E-3</v>
      </c>
      <c r="D66">
        <f>B66*C66</f>
        <v>94.202041690442442</v>
      </c>
      <c r="E66">
        <f>B66*(1/(1+0.0225))^A66</f>
        <v>11633.450538946472</v>
      </c>
      <c r="F66">
        <f>SUM(E66:E$92)</f>
        <v>235992.98790015458</v>
      </c>
      <c r="G66">
        <f>D66*(1/(1+0.0225))^(A66+1)</f>
        <v>11.377457739800953</v>
      </c>
      <c r="H66">
        <f>SUM(G66:G$92)</f>
        <v>230.79998816641032</v>
      </c>
    </row>
    <row r="67" spans="1:8" x14ac:dyDescent="0.2">
      <c r="A67">
        <v>95</v>
      </c>
      <c r="B67">
        <f>B66-D66</f>
        <v>94107.839648751993</v>
      </c>
      <c r="C67">
        <f>VLOOKUP(A67, 위험률_확장!$A$3:$C$123, IF(입력!$B$4="남", 2, 3), FALSE)</f>
        <v>1E-3</v>
      </c>
      <c r="D67">
        <f>B67*C67</f>
        <v>94.107839648751991</v>
      </c>
      <c r="E67">
        <f>B67*(1/(1+0.0225))^A67</f>
        <v>11366.080282061152</v>
      </c>
      <c r="F67">
        <f>SUM(E67:E$92)</f>
        <v>224359.53736120809</v>
      </c>
      <c r="G67">
        <f>D67*(1/(1+0.0225))^(A67+1)</f>
        <v>11.115970936001128</v>
      </c>
      <c r="H67">
        <f>SUM(G67:G$92)</f>
        <v>219.42253042660937</v>
      </c>
    </row>
    <row r="68" spans="1:8" x14ac:dyDescent="0.2">
      <c r="A68">
        <v>96</v>
      </c>
      <c r="B68">
        <f>B67-D67</f>
        <v>94013.731809103236</v>
      </c>
      <c r="C68">
        <f>VLOOKUP(A68, 위험률_확장!$A$3:$C$123, IF(입력!$B$4="남", 2, 3), FALSE)</f>
        <v>1E-3</v>
      </c>
      <c r="D68">
        <f>B68*C68</f>
        <v>94.013731809103234</v>
      </c>
      <c r="E68">
        <f>B68*(1/(1+0.0225))^A68</f>
        <v>11104.854965065126</v>
      </c>
      <c r="F68">
        <f>SUM(E68:E$92)</f>
        <v>212993.45707914693</v>
      </c>
      <c r="G68">
        <f>D68*(1/(1+0.0225))^(A68+1)</f>
        <v>10.860493853364426</v>
      </c>
      <c r="H68">
        <f>SUM(G68:G$92)</f>
        <v>208.30655949060827</v>
      </c>
    </row>
    <row r="69" spans="1:8" x14ac:dyDescent="0.2">
      <c r="A69">
        <v>97</v>
      </c>
      <c r="B69">
        <f>B68-D68</f>
        <v>93919.718077294136</v>
      </c>
      <c r="C69">
        <f>VLOOKUP(A69, 위험률_확장!$A$3:$C$123, IF(입력!$B$4="남", 2, 3), FALSE)</f>
        <v>1E-3</v>
      </c>
      <c r="D69">
        <f>B69*C69</f>
        <v>93.919718077294135</v>
      </c>
      <c r="E69">
        <f>B69*(1/(1+0.0225))^A69</f>
        <v>10849.633359511063</v>
      </c>
      <c r="F69">
        <f>SUM(E69:E$92)</f>
        <v>201888.60211408182</v>
      </c>
      <c r="G69">
        <f>D69*(1/(1+0.0225))^(A69+1)</f>
        <v>10.610888371159962</v>
      </c>
      <c r="H69">
        <f>SUM(G69:G$92)</f>
        <v>197.44606563724381</v>
      </c>
    </row>
    <row r="70" spans="1:8" x14ac:dyDescent="0.2">
      <c r="A70">
        <v>98</v>
      </c>
      <c r="B70">
        <f>B69-D69</f>
        <v>93825.798359216846</v>
      </c>
      <c r="C70">
        <f>VLOOKUP(A70, 위험률_확장!$A$3:$C$123, IF(입력!$B$4="남", 2, 3), FALSE)</f>
        <v>1E-3</v>
      </c>
      <c r="D70">
        <f>B70*C70</f>
        <v>93.825798359216847</v>
      </c>
      <c r="E70">
        <f>B70*(1/(1+0.0225))^A70</f>
        <v>10600.277482788804</v>
      </c>
      <c r="F70">
        <f>SUM(E70:E$92)</f>
        <v>191038.96875457073</v>
      </c>
      <c r="G70">
        <f>D70*(1/(1+0.0225))^(A70+1)</f>
        <v>10.367019543069736</v>
      </c>
      <c r="H70">
        <f>SUM(G70:G$92)</f>
        <v>186.83517726608383</v>
      </c>
    </row>
    <row r="71" spans="1:8" x14ac:dyDescent="0.2">
      <c r="A71">
        <v>99</v>
      </c>
      <c r="B71">
        <f>B70-D70</f>
        <v>93731.972560857626</v>
      </c>
      <c r="C71">
        <f>VLOOKUP(A71, 위험률_확장!$A$3:$C$123, IF(입력!$B$4="남", 2, 3), FALSE)</f>
        <v>1E-3</v>
      </c>
      <c r="D71">
        <f>B71*C71</f>
        <v>93.731972560857628</v>
      </c>
      <c r="E71">
        <f>B71*(1/(1+0.0225))^A71</f>
        <v>10356.652523526665</v>
      </c>
      <c r="F71">
        <f>SUM(E71:E$92)</f>
        <v>180438.69127178192</v>
      </c>
      <c r="G71">
        <f>D71*(1/(1+0.0225))^(A71+1)</f>
        <v>10.128755524231458</v>
      </c>
      <c r="H71">
        <f>SUM(G71:G$92)</f>
        <v>176.46815772301409</v>
      </c>
    </row>
    <row r="72" spans="1:8" x14ac:dyDescent="0.2">
      <c r="A72">
        <v>100</v>
      </c>
      <c r="B72">
        <f>B71-D71</f>
        <v>93638.240588296772</v>
      </c>
      <c r="C72">
        <f>VLOOKUP(A72, 위험률_확장!$A$3:$C$123, IF(입력!$B$4="남", 2, 3), FALSE)</f>
        <v>1E-3</v>
      </c>
      <c r="D72">
        <f>B72*C72</f>
        <v>93.638240588296767</v>
      </c>
      <c r="E72">
        <f>B72*(1/(1+0.0225))^A72</f>
        <v>10118.626768707227</v>
      </c>
      <c r="F72">
        <f>SUM(E72:E$92)</f>
        <v>170082.03874825523</v>
      </c>
      <c r="G72">
        <f>D72*(1/(1+0.0225))^(A72+1)</f>
        <v>9.8959674999581679</v>
      </c>
      <c r="H72">
        <f>SUM(G72:G$92)</f>
        <v>166.33940219878264</v>
      </c>
    </row>
    <row r="73" spans="1:8" x14ac:dyDescent="0.2">
      <c r="A73">
        <v>101</v>
      </c>
      <c r="B73">
        <f>B72-D72</f>
        <v>93544.602347708482</v>
      </c>
      <c r="C73">
        <f>VLOOKUP(A73, 위험률_확장!$A$3:$C$123, IF(입력!$B$4="남", 2, 3), FALSE)</f>
        <v>1E-3</v>
      </c>
      <c r="D73">
        <f>B73*C73</f>
        <v>93.544602347708491</v>
      </c>
      <c r="E73">
        <f>B73*(1/(1+0.0225))^A73</f>
        <v>9886.0715324582106</v>
      </c>
      <c r="F73">
        <f>SUM(E73:E$92)</f>
        <v>159963.41197954799</v>
      </c>
      <c r="G73">
        <f>D73*(1/(1+0.0225))^(A73+1)</f>
        <v>9.6685296160960519</v>
      </c>
      <c r="H73">
        <f>SUM(G73:G$92)</f>
        <v>156.44343469882446</v>
      </c>
    </row>
    <row r="74" spans="1:8" x14ac:dyDescent="0.2">
      <c r="A74">
        <v>102</v>
      </c>
      <c r="B74">
        <f>B73-D73</f>
        <v>93451.057745360769</v>
      </c>
      <c r="C74">
        <f>VLOOKUP(A74, 위험률_확장!$A$3:$C$123, IF(입력!$B$4="남", 2, 3), FALSE)</f>
        <v>1E-3</v>
      </c>
      <c r="D74">
        <f>B74*C74</f>
        <v>93.451057745360771</v>
      </c>
      <c r="E74">
        <f>B74*(1/(1+0.0225))^A74</f>
        <v>9658.8610864799539</v>
      </c>
      <c r="F74">
        <f>SUM(E74:E$92)</f>
        <v>150077.34044708978</v>
      </c>
      <c r="G74">
        <f>D74*(1/(1+0.0225))^(A74+1)</f>
        <v>9.4463189109828409</v>
      </c>
      <c r="H74">
        <f>SUM(G74:G$92)</f>
        <v>146.7749050827284</v>
      </c>
    </row>
    <row r="75" spans="1:8" x14ac:dyDescent="0.2">
      <c r="A75">
        <v>103</v>
      </c>
      <c r="B75">
        <f>B74-D74</f>
        <v>93357.606687615407</v>
      </c>
      <c r="C75">
        <f>VLOOKUP(A75, 위험률_확장!$A$3:$C$123, IF(입력!$B$4="남", 2, 3), FALSE)</f>
        <v>1E-3</v>
      </c>
      <c r="D75">
        <f>B75*C75</f>
        <v>93.357606687615416</v>
      </c>
      <c r="E75">
        <f>B75*(1/(1+0.0225))^A75</f>
        <v>9436.8725920718571</v>
      </c>
      <c r="F75">
        <f>SUM(E75:E$92)</f>
        <v>140418.47936060981</v>
      </c>
      <c r="G75">
        <f>D75*(1/(1+0.0225))^(A75+1)</f>
        <v>9.2292152489700339</v>
      </c>
      <c r="H75">
        <f>SUM(G75:G$92)</f>
        <v>137.32858617174554</v>
      </c>
    </row>
    <row r="76" spans="1:8" x14ac:dyDescent="0.2">
      <c r="A76">
        <v>104</v>
      </c>
      <c r="B76">
        <f>B75-D75</f>
        <v>93264.249080927795</v>
      </c>
      <c r="C76">
        <f>VLOOKUP(A76, 위험률_확장!$A$3:$C$123, IF(입력!$B$4="남", 2, 3), FALSE)</f>
        <v>1E-3</v>
      </c>
      <c r="D76">
        <f>B76*C76</f>
        <v>93.264249080927797</v>
      </c>
      <c r="E76">
        <f>B76*(1/(1+0.0225))^A76</f>
        <v>9219.986033721063</v>
      </c>
      <c r="F76">
        <f>SUM(E76:E$92)</f>
        <v>130981.60676853795</v>
      </c>
      <c r="G76">
        <f>D76*(1/(1+0.0225))^(A76+1)</f>
        <v>9.0171012554729231</v>
      </c>
      <c r="H76">
        <f>SUM(G76:G$92)</f>
        <v>128.09937092277553</v>
      </c>
    </row>
    <row r="77" spans="1:8" x14ac:dyDescent="0.2">
      <c r="A77">
        <v>105</v>
      </c>
      <c r="B77">
        <f>B76-D76</f>
        <v>93170.984831846872</v>
      </c>
      <c r="C77">
        <f>VLOOKUP(A77, 위험률_확장!$A$3:$C$123, IF(입력!$B$4="남", 2, 3), FALSE)</f>
        <v>1E-3</v>
      </c>
      <c r="D77">
        <f>B77*C77</f>
        <v>93.17098483184688</v>
      </c>
      <c r="E77">
        <f>B77*(1/(1+0.0225))^A77</f>
        <v>9008.0841542174512</v>
      </c>
      <c r="F77">
        <f>SUM(E77:E$92)</f>
        <v>121761.62073481688</v>
      </c>
      <c r="G77">
        <f>D77*(1/(1+0.0225))^(A77+1)</f>
        <v>8.8098622535133995</v>
      </c>
      <c r="H77">
        <f>SUM(G77:G$92)</f>
        <v>119.08226966730263</v>
      </c>
    </row>
    <row r="78" spans="1:8" x14ac:dyDescent="0.2">
      <c r="A78">
        <v>106</v>
      </c>
      <c r="B78">
        <f>B77-D77</f>
        <v>93077.81384701503</v>
      </c>
      <c r="C78">
        <f>VLOOKUP(A78, 위험률_확장!$A$3:$C$123, IF(입력!$B$4="남", 2, 3), FALSE)</f>
        <v>1E-3</v>
      </c>
      <c r="D78">
        <f>B78*C78</f>
        <v>93.077813847015037</v>
      </c>
      <c r="E78">
        <f>B78*(1/(1+0.0225))^A78</f>
        <v>8801.0523912598856</v>
      </c>
      <c r="F78">
        <f>SUM(E78:E$92)</f>
        <v>112753.53658059945</v>
      </c>
      <c r="G78">
        <f>D78*(1/(1+0.0225))^(A78+1)</f>
        <v>8.6073862017211606</v>
      </c>
      <c r="H78">
        <f>SUM(G78:G$92)</f>
        <v>110.27240741378921</v>
      </c>
    </row>
    <row r="79" spans="1:8" x14ac:dyDescent="0.2">
      <c r="A79">
        <v>107</v>
      </c>
      <c r="B79">
        <f>B78-D78</f>
        <v>92984.73603316801</v>
      </c>
      <c r="C79">
        <f>VLOOKUP(A79, 위험률_확장!$A$3:$C$123, IF(입력!$B$4="남", 2, 3), FALSE)</f>
        <v>1E-3</v>
      </c>
      <c r="D79">
        <f>B79*C79</f>
        <v>92.984736033168005</v>
      </c>
      <c r="E79">
        <f>B79*(1/(1+0.0225))^A79</f>
        <v>8598.7788155194394</v>
      </c>
      <c r="F79">
        <f>SUM(E79:E$92)</f>
        <v>103952.48418933956</v>
      </c>
      <c r="G79">
        <f>D79*(1/(1+0.0225))^(A79+1)</f>
        <v>8.4095636337598432</v>
      </c>
      <c r="H79">
        <f>SUM(G79:G$92)</f>
        <v>101.66502121206804</v>
      </c>
    </row>
    <row r="80" spans="1:8" x14ac:dyDescent="0.2">
      <c r="A80">
        <v>108</v>
      </c>
      <c r="B80">
        <f>B79-D79</f>
        <v>92891.751297134848</v>
      </c>
      <c r="C80">
        <f>VLOOKUP(A80, 위험률_확장!$A$3:$C$123, IF(입력!$B$4="남", 2, 3), FALSE)</f>
        <v>1E-3</v>
      </c>
      <c r="D80">
        <f>B80*C80</f>
        <v>92.891751297134846</v>
      </c>
      <c r="E80">
        <f>B80*(1/(1+0.0225))^A80</f>
        <v>8401.1540701260838</v>
      </c>
      <c r="F80">
        <f>SUM(E80:E$92)</f>
        <v>95353.705373820136</v>
      </c>
      <c r="G80">
        <f>D80*(1/(1+0.0225))^(A80+1)</f>
        <v>8.2162875991453141</v>
      </c>
      <c r="H80">
        <f>SUM(G80:G$92)</f>
        <v>93.25545757830821</v>
      </c>
    </row>
    <row r="81" spans="1:8" x14ac:dyDescent="0.2">
      <c r="A81">
        <v>109</v>
      </c>
      <c r="B81">
        <f>B80-D80</f>
        <v>92798.859545837709</v>
      </c>
      <c r="C81">
        <f>VLOOKUP(A81, 위험률_확장!$A$3:$C$123, IF(입력!$B$4="남", 2, 3), FALSE)</f>
        <v>1E-3</v>
      </c>
      <c r="D81">
        <f>B81*C81</f>
        <v>92.798859545837715</v>
      </c>
      <c r="E81">
        <f>B81*(1/(1+0.0225))^A81</f>
        <v>8208.0713115461695</v>
      </c>
      <c r="F81">
        <f>SUM(E81:E$92)</f>
        <v>86952.551303694054</v>
      </c>
      <c r="G81">
        <f>D81*(1/(1+0.0225))^(A81+1)</f>
        <v>8.0274536054241263</v>
      </c>
      <c r="H81">
        <f>SUM(G81:G$92)</f>
        <v>85.039169979162892</v>
      </c>
    </row>
    <row r="82" spans="1:8" x14ac:dyDescent="0.2">
      <c r="A82">
        <v>110</v>
      </c>
      <c r="B82">
        <f>B81-D81</f>
        <v>92706.060686291865</v>
      </c>
      <c r="C82">
        <f>VLOOKUP(A82, 위험률_확장!$A$3:$C$123, IF(입력!$B$4="남", 2, 3), FALSE)</f>
        <v>1E-3</v>
      </c>
      <c r="D82">
        <f>B82*C82</f>
        <v>92.706060686291863</v>
      </c>
      <c r="E82">
        <f>B82*(1/(1+0.0225))^A82</f>
        <v>8019.4261518187013</v>
      </c>
      <c r="F82">
        <f>SUM(E82:E$92)</f>
        <v>78744.479992147884</v>
      </c>
      <c r="G82">
        <f>D82*(1/(1+0.0225))^(A82+1)</f>
        <v>7.8429595616808818</v>
      </c>
      <c r="H82">
        <f>SUM(G82:G$92)</f>
        <v>77.011716373738764</v>
      </c>
    </row>
    <row r="83" spans="1:8" x14ac:dyDescent="0.2">
      <c r="A83">
        <v>111</v>
      </c>
      <c r="B83">
        <f>B82-D82</f>
        <v>92613.354625605571</v>
      </c>
      <c r="C83">
        <f>VLOOKUP(A83, 위험률_확장!$A$3:$C$123, IF(입력!$B$4="남", 2, 3), FALSE)</f>
        <v>1E-3</v>
      </c>
      <c r="D83">
        <f>B83*C83</f>
        <v>92.613354625605567</v>
      </c>
      <c r="E83">
        <f>B83*(1/(1+0.0225))^A83</f>
        <v>7835.1166021192012</v>
      </c>
      <c r="F83">
        <f>SUM(E83:E$92)</f>
        <v>70725.053840329187</v>
      </c>
      <c r="G83">
        <f>D83*(1/(1+0.0225))^(A83+1)</f>
        <v>7.6627057233439642</v>
      </c>
      <c r="H83">
        <f>SUM(G83:G$92)</f>
        <v>69.168756812057879</v>
      </c>
    </row>
    <row r="84" spans="1:8" x14ac:dyDescent="0.2">
      <c r="A84">
        <v>112</v>
      </c>
      <c r="B84">
        <f>B83-D83</f>
        <v>92520.741270979968</v>
      </c>
      <c r="C84">
        <f>VLOOKUP(A84, 위험률_확장!$A$3:$C$123, IF(입력!$B$4="남", 2, 3), FALSE)</f>
        <v>1E-3</v>
      </c>
      <c r="D84">
        <f>B84*C84</f>
        <v>92.520741270979968</v>
      </c>
      <c r="E84">
        <f>B84*(1/(1+0.0225))^A84</f>
        <v>7655.04301762062</v>
      </c>
      <c r="F84">
        <f>SUM(E84:E$92)</f>
        <v>62889.937238209983</v>
      </c>
      <c r="G84">
        <f>D84*(1/(1+0.0225))^(A84+1)</f>
        <v>7.486594638259775</v>
      </c>
      <c r="H84">
        <f>SUM(G84:G$92)</f>
        <v>61.50605108871391</v>
      </c>
    </row>
    <row r="85" spans="1:8" x14ac:dyDescent="0.2">
      <c r="A85">
        <v>113</v>
      </c>
      <c r="B85">
        <f>B84-D84</f>
        <v>92428.220529708982</v>
      </c>
      <c r="C85">
        <f>VLOOKUP(A85, 위험률_확장!$A$3:$C$123, IF(입력!$B$4="남", 2, 3), FALSE)</f>
        <v>1E-3</v>
      </c>
      <c r="D85">
        <f>B85*C85</f>
        <v>92.42822052970898</v>
      </c>
      <c r="E85">
        <f>B85*(1/(1+0.0225))^A85</f>
        <v>7479.1080436215152</v>
      </c>
      <c r="F85">
        <f>SUM(E85:E$92)</f>
        <v>55234.894220589355</v>
      </c>
      <c r="G85">
        <f>D85*(1/(1+0.0225))^(A85+1)</f>
        <v>7.3145310940063721</v>
      </c>
      <c r="H85">
        <f>SUM(G85:G$92)</f>
        <v>54.019456450454136</v>
      </c>
    </row>
    <row r="86" spans="1:8" x14ac:dyDescent="0.2">
      <c r="A86">
        <v>114</v>
      </c>
      <c r="B86">
        <f>B85-D85</f>
        <v>92335.792309179276</v>
      </c>
      <c r="C86">
        <f>VLOOKUP(A86, 위험률_확장!$A$3:$C$123, IF(입력!$B$4="남", 2, 3), FALSE)</f>
        <v>1E-3</v>
      </c>
      <c r="D86">
        <f>B86*C86</f>
        <v>92.335792309179283</v>
      </c>
      <c r="E86">
        <f>B86*(1/(1+0.0225))^A86</f>
        <v>7307.2165629123665</v>
      </c>
      <c r="F86">
        <f>SUM(E86:E$92)</f>
        <v>47755.786176967842</v>
      </c>
      <c r="G86">
        <f>D86*(1/(1+0.0225))^(A86+1)</f>
        <v>7.1464220664179621</v>
      </c>
      <c r="H86">
        <f>SUM(G86:G$92)</f>
        <v>46.704925356447767</v>
      </c>
    </row>
    <row r="87" spans="1:8" x14ac:dyDescent="0.2">
      <c r="A87">
        <v>115</v>
      </c>
      <c r="B87">
        <f>B86-D86</f>
        <v>92243.456516870094</v>
      </c>
      <c r="C87">
        <f>VLOOKUP(A87, 위험률_확장!$A$3:$C$123, IF(입력!$B$4="남", 2, 3), FALSE)</f>
        <v>1E-3</v>
      </c>
      <c r="D87">
        <f>B87*C87</f>
        <v>92.243456516870097</v>
      </c>
      <c r="E87">
        <f>B87*(1/(1+0.0225))^A87</f>
        <v>7139.2756443515436</v>
      </c>
      <c r="F87">
        <f>SUM(E87:E$92)</f>
        <v>40448.569614055479</v>
      </c>
      <c r="G87">
        <f>D87*(1/(1+0.0225))^(A87+1)</f>
        <v>6.9821766692924641</v>
      </c>
      <c r="H87">
        <f>SUM(G87:G$92)</f>
        <v>39.558503290029805</v>
      </c>
    </row>
    <row r="88" spans="1:8" x14ac:dyDescent="0.2">
      <c r="A88">
        <v>116</v>
      </c>
      <c r="B88">
        <f>B87-D87</f>
        <v>92151.213060353228</v>
      </c>
      <c r="C88">
        <f>VLOOKUP(A88, 위험률_확장!$A$3:$C$123, IF(입력!$B$4="남", 2, 3), FALSE)</f>
        <v>1E-3</v>
      </c>
      <c r="D88">
        <f>B88*C88</f>
        <v>92.151213060353228</v>
      </c>
      <c r="E88">
        <f>B88*(1/(1+0.0225))^A88</f>
        <v>6975.1944926231708</v>
      </c>
      <c r="F88">
        <f>SUM(E88:E$92)</f>
        <v>33309.293969703926</v>
      </c>
      <c r="G88">
        <f>D88*(1/(1+0.0225))^(A88+1)</f>
        <v>6.8217061052549353</v>
      </c>
      <c r="H88">
        <f>SUM(G88:G$92)</f>
        <v>32.576326620737341</v>
      </c>
    </row>
    <row r="89" spans="1:8" x14ac:dyDescent="0.2">
      <c r="A89">
        <v>117</v>
      </c>
      <c r="B89">
        <f>B88-D88</f>
        <v>92059.061847292876</v>
      </c>
      <c r="C89">
        <f>VLOOKUP(A89, 위험률_확장!$A$3:$C$123, IF(입력!$B$4="남", 2, 3), FALSE)</f>
        <v>1E-3</v>
      </c>
      <c r="D89">
        <f>B89*C89</f>
        <v>92.059061847292881</v>
      </c>
      <c r="E89">
        <f>B89*(1/(1+0.0225))^A89</f>
        <v>6814.8843991496806</v>
      </c>
      <c r="F89">
        <f>SUM(E89:E$92)</f>
        <v>26334.099477080756</v>
      </c>
      <c r="G89">
        <f>D89*(1/(1+0.0225))^(A89+1)</f>
        <v>6.6649236177502997</v>
      </c>
      <c r="H89">
        <f>SUM(G89:G$92)</f>
        <v>25.754620515482404</v>
      </c>
    </row>
    <row r="90" spans="1:8" x14ac:dyDescent="0.2">
      <c r="A90">
        <v>118</v>
      </c>
      <c r="B90">
        <f>B89-D89</f>
        <v>91967.002785445584</v>
      </c>
      <c r="C90">
        <f>VLOOKUP(A90, 위험률_확장!$A$3:$C$123, IF(입력!$B$4="남", 2, 3), FALSE)</f>
        <v>1E-3</v>
      </c>
      <c r="D90">
        <f>B90*C90</f>
        <v>91.967002785445587</v>
      </c>
      <c r="E90">
        <f>B90*(1/(1+0.0225))^A90</f>
        <v>6658.258694132549</v>
      </c>
      <c r="F90">
        <f>SUM(E90:E$92)</f>
        <v>19519.215077931076</v>
      </c>
      <c r="G90">
        <f>D90*(1/(1+0.0225))^(A90+1)</f>
        <v>6.5117444441394143</v>
      </c>
      <c r="H90">
        <f>SUM(G90:G$92)</f>
        <v>19.089696897732107</v>
      </c>
    </row>
    <row r="91" spans="1:8" x14ac:dyDescent="0.2">
      <c r="A91">
        <v>119</v>
      </c>
      <c r="B91">
        <f>B90-D90</f>
        <v>91875.035782660139</v>
      </c>
      <c r="C91">
        <f>VLOOKUP(A91, 위험률_확장!$A$3:$C$123, IF(입력!$B$4="남", 2, 3), FALSE)</f>
        <v>1E-3</v>
      </c>
      <c r="D91">
        <f>B91*C91</f>
        <v>91.875035782660134</v>
      </c>
      <c r="E91">
        <f>B91*(1/(1+0.0225))^A91</f>
        <v>6505.2326996952743</v>
      </c>
      <c r="F91">
        <f>SUM(E91:E$92)</f>
        <v>12860.956383798528</v>
      </c>
      <c r="G91">
        <f>D91*(1/(1+0.0225))^(A91+1)</f>
        <v>6.3620857698731275</v>
      </c>
      <c r="H91">
        <f>SUM(G91:G$92)</f>
        <v>12.57795245359269</v>
      </c>
    </row>
    <row r="92" spans="1:8" x14ac:dyDescent="0.2">
      <c r="A92">
        <v>120</v>
      </c>
      <c r="B92">
        <f>B91-D91</f>
        <v>91783.160746877475</v>
      </c>
      <c r="C92">
        <f>VLOOKUP(A92, 위험률_확장!$A$3:$C$123, IF(입력!$B$4="남", 2, 3), FALSE)</f>
        <v>1E-3</v>
      </c>
      <c r="D92">
        <f>B92*C92</f>
        <v>91.783160746877471</v>
      </c>
      <c r="E92">
        <f>B92*(1/(1+0.0225))^A92</f>
        <v>6355.7236841032536</v>
      </c>
      <c r="F92">
        <f>SUM(E92:E$92)</f>
        <v>6355.7236841032536</v>
      </c>
      <c r="G92">
        <f>D92*(1/(1+0.0225))^(A92+1)</f>
        <v>6.2158666837195637</v>
      </c>
      <c r="H92">
        <f>SUM(G92:G$92)</f>
        <v>6.2158666837195637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3"/>
  <sheetViews>
    <sheetView workbookViewId="0"/>
  </sheetViews>
  <sheetFormatPr defaultRowHeight="12.75" x14ac:dyDescent="0.2"/>
  <sheetData>
    <row r="1" spans="1:16" x14ac:dyDescent="0.2">
      <c r="A1" t="s">
        <v>42</v>
      </c>
      <c r="E1" t="s">
        <v>43</v>
      </c>
      <c r="K1" t="s">
        <v>44</v>
      </c>
      <c r="N1" t="s">
        <v>45</v>
      </c>
    </row>
    <row r="2" spans="1:16" x14ac:dyDescent="0.2">
      <c r="A2" t="s">
        <v>46</v>
      </c>
      <c r="B2" t="s">
        <v>47</v>
      </c>
      <c r="C2" t="s">
        <v>48</v>
      </c>
      <c r="E2" t="s">
        <v>46</v>
      </c>
      <c r="F2" t="s">
        <v>49</v>
      </c>
      <c r="G2" t="s">
        <v>50</v>
      </c>
      <c r="H2" t="s">
        <v>51</v>
      </c>
      <c r="I2" t="s">
        <v>52</v>
      </c>
      <c r="K2" t="s">
        <v>1</v>
      </c>
      <c r="L2" t="s">
        <v>2</v>
      </c>
      <c r="N2" t="s">
        <v>12</v>
      </c>
      <c r="O2" t="s">
        <v>53</v>
      </c>
      <c r="P2" t="s">
        <v>54</v>
      </c>
    </row>
    <row r="3" spans="1:16" x14ac:dyDescent="0.2">
      <c r="A3">
        <v>0</v>
      </c>
      <c r="B3">
        <v>1.0499999999999999E-3</v>
      </c>
      <c r="C3">
        <v>9.5E-4</v>
      </c>
      <c r="E3">
        <v>0</v>
      </c>
      <c r="F3">
        <v>3.8000000000000002E-5</v>
      </c>
      <c r="G3">
        <v>3.0000000000000001E-5</v>
      </c>
      <c r="H3">
        <v>1E-4</v>
      </c>
      <c r="I3">
        <v>8.0000000000000007E-5</v>
      </c>
      <c r="K3" t="s">
        <v>44</v>
      </c>
      <c r="L3">
        <v>0.47499999999999998</v>
      </c>
      <c r="N3" t="s">
        <v>55</v>
      </c>
      <c r="O3">
        <v>0</v>
      </c>
      <c r="P3">
        <v>9.2499999999999999E-2</v>
      </c>
    </row>
    <row r="4" spans="1:16" x14ac:dyDescent="0.2">
      <c r="A4">
        <v>1</v>
      </c>
      <c r="B4">
        <v>4.4999999999999999E-4</v>
      </c>
      <c r="C4">
        <v>4.0000000000000002E-4</v>
      </c>
      <c r="E4">
        <v>1</v>
      </c>
      <c r="F4">
        <v>2.5000000000000001E-5</v>
      </c>
      <c r="G4">
        <v>2.0000000000000002E-5</v>
      </c>
      <c r="H4">
        <v>5.0000000000000002E-5</v>
      </c>
      <c r="I4">
        <v>4.0000000000000003E-5</v>
      </c>
      <c r="N4" t="s">
        <v>55</v>
      </c>
      <c r="O4">
        <v>1</v>
      </c>
      <c r="P4">
        <v>0.13550000000000001</v>
      </c>
    </row>
    <row r="5" spans="1:16" x14ac:dyDescent="0.2">
      <c r="A5">
        <v>2</v>
      </c>
      <c r="B5">
        <v>3.5E-4</v>
      </c>
      <c r="C5">
        <v>2.9999999999999997E-4</v>
      </c>
      <c r="E5">
        <v>2</v>
      </c>
      <c r="F5">
        <v>2.0000000000000002E-5</v>
      </c>
      <c r="G5">
        <v>1.5E-5</v>
      </c>
      <c r="H5">
        <v>3.0000000000000001E-5</v>
      </c>
      <c r="I5">
        <v>2.5000000000000001E-5</v>
      </c>
      <c r="N5" t="s">
        <v>55</v>
      </c>
      <c r="O5">
        <v>2</v>
      </c>
      <c r="P5">
        <v>7.3499999999999996E-2</v>
      </c>
    </row>
    <row r="6" spans="1:16" x14ac:dyDescent="0.2">
      <c r="A6">
        <v>3</v>
      </c>
      <c r="B6">
        <v>2.9999999999999997E-4</v>
      </c>
      <c r="C6">
        <v>2.5000000000000001E-4</v>
      </c>
      <c r="E6">
        <v>3</v>
      </c>
      <c r="F6">
        <v>1.8E-5</v>
      </c>
      <c r="G6">
        <v>1.2999999999999999E-5</v>
      </c>
      <c r="H6">
        <v>2.0000000000000002E-5</v>
      </c>
      <c r="I6">
        <v>1.8E-5</v>
      </c>
      <c r="N6" t="s">
        <v>55</v>
      </c>
      <c r="O6">
        <v>3</v>
      </c>
      <c r="P6">
        <v>5.5500000000000001E-2</v>
      </c>
    </row>
    <row r="7" spans="1:16" x14ac:dyDescent="0.2">
      <c r="A7">
        <v>4</v>
      </c>
      <c r="B7">
        <v>2.5000000000000001E-4</v>
      </c>
      <c r="C7">
        <v>2.0000000000000001E-4</v>
      </c>
      <c r="E7">
        <v>4</v>
      </c>
      <c r="F7">
        <v>1.5E-5</v>
      </c>
      <c r="G7">
        <v>1.2E-5</v>
      </c>
      <c r="H7">
        <v>1.5E-5</v>
      </c>
      <c r="I7">
        <v>1.5E-5</v>
      </c>
      <c r="N7" t="s">
        <v>55</v>
      </c>
      <c r="O7">
        <v>4</v>
      </c>
      <c r="P7">
        <v>0.06</v>
      </c>
    </row>
    <row r="8" spans="1:16" x14ac:dyDescent="0.2">
      <c r="A8">
        <v>5</v>
      </c>
      <c r="B8">
        <v>2.5000000000000001E-4</v>
      </c>
      <c r="C8">
        <v>2.0000000000000001E-4</v>
      </c>
      <c r="E8">
        <v>5</v>
      </c>
      <c r="F8">
        <v>1.5E-5</v>
      </c>
      <c r="G8">
        <v>1.2E-5</v>
      </c>
      <c r="H8">
        <v>1.5E-5</v>
      </c>
      <c r="I8">
        <v>1.5E-5</v>
      </c>
      <c r="N8" t="s">
        <v>55</v>
      </c>
      <c r="O8">
        <v>5</v>
      </c>
      <c r="P8">
        <v>3.2500000000000001E-2</v>
      </c>
    </row>
    <row r="9" spans="1:16" x14ac:dyDescent="0.2">
      <c r="A9">
        <v>6</v>
      </c>
      <c r="B9">
        <v>2.5000000000000001E-4</v>
      </c>
      <c r="C9">
        <v>2.0000000000000001E-4</v>
      </c>
      <c r="E9">
        <v>6</v>
      </c>
      <c r="F9">
        <v>1.5E-5</v>
      </c>
      <c r="G9">
        <v>1.2E-5</v>
      </c>
      <c r="H9">
        <v>1.5E-5</v>
      </c>
      <c r="I9">
        <v>1.5E-5</v>
      </c>
      <c r="N9" t="s">
        <v>55</v>
      </c>
      <c r="O9">
        <v>6</v>
      </c>
      <c r="P9">
        <v>2.9499999999999998E-2</v>
      </c>
    </row>
    <row r="10" spans="1:16" x14ac:dyDescent="0.2">
      <c r="A10">
        <v>7</v>
      </c>
      <c r="B10">
        <v>2.0000000000000001E-4</v>
      </c>
      <c r="C10">
        <v>1.4999999999999999E-4</v>
      </c>
      <c r="E10">
        <v>7</v>
      </c>
      <c r="F10">
        <v>1.4E-5</v>
      </c>
      <c r="G10">
        <v>1.1E-5</v>
      </c>
      <c r="H10">
        <v>1.5E-5</v>
      </c>
      <c r="I10">
        <v>1.5E-5</v>
      </c>
      <c r="N10" t="s">
        <v>55</v>
      </c>
      <c r="O10">
        <v>7</v>
      </c>
      <c r="P10">
        <v>2.5999999999999999E-2</v>
      </c>
    </row>
    <row r="11" spans="1:16" x14ac:dyDescent="0.2">
      <c r="A11">
        <v>8</v>
      </c>
      <c r="B11">
        <v>2.0000000000000001E-4</v>
      </c>
      <c r="C11">
        <v>1.4999999999999999E-4</v>
      </c>
      <c r="E11">
        <v>8</v>
      </c>
      <c r="F11">
        <v>1.4E-5</v>
      </c>
      <c r="G11">
        <v>1.1E-5</v>
      </c>
      <c r="H11">
        <v>1.5999999999999999E-5</v>
      </c>
      <c r="I11">
        <v>1.5999999999999999E-5</v>
      </c>
      <c r="N11" t="s">
        <v>55</v>
      </c>
      <c r="O11">
        <v>8</v>
      </c>
      <c r="P11">
        <v>2.3E-2</v>
      </c>
    </row>
    <row r="12" spans="1:16" x14ac:dyDescent="0.2">
      <c r="A12">
        <v>9</v>
      </c>
      <c r="B12">
        <v>2.0000000000000001E-4</v>
      </c>
      <c r="C12">
        <v>1.4999999999999999E-4</v>
      </c>
      <c r="E12">
        <v>9</v>
      </c>
      <c r="F12">
        <v>1.4E-5</v>
      </c>
      <c r="G12">
        <v>1.1E-5</v>
      </c>
      <c r="H12">
        <v>1.7E-5</v>
      </c>
      <c r="I12">
        <v>1.7E-5</v>
      </c>
      <c r="N12" t="s">
        <v>55</v>
      </c>
      <c r="O12">
        <v>9</v>
      </c>
      <c r="P12">
        <v>1.95E-2</v>
      </c>
    </row>
    <row r="13" spans="1:16" x14ac:dyDescent="0.2">
      <c r="A13">
        <v>10</v>
      </c>
      <c r="B13">
        <v>2.0000000000000001E-4</v>
      </c>
      <c r="C13">
        <v>1.4999999999999999E-4</v>
      </c>
      <c r="E13">
        <v>10</v>
      </c>
      <c r="F13">
        <v>1.4E-5</v>
      </c>
      <c r="G13">
        <v>1.1E-5</v>
      </c>
      <c r="H13">
        <v>1.8E-5</v>
      </c>
      <c r="I13">
        <v>1.8E-5</v>
      </c>
      <c r="N13" t="s">
        <v>55</v>
      </c>
      <c r="O13">
        <v>10</v>
      </c>
      <c r="P13">
        <v>1.6E-2</v>
      </c>
    </row>
    <row r="14" spans="1:16" x14ac:dyDescent="0.2">
      <c r="A14">
        <v>11</v>
      </c>
      <c r="B14">
        <v>2.0000000000000001E-4</v>
      </c>
      <c r="C14">
        <v>1.4999999999999999E-4</v>
      </c>
      <c r="E14">
        <v>11</v>
      </c>
      <c r="F14">
        <v>1.4E-5</v>
      </c>
      <c r="G14">
        <v>1.1E-5</v>
      </c>
      <c r="H14">
        <v>2.0000000000000002E-5</v>
      </c>
      <c r="I14">
        <v>2.0000000000000002E-5</v>
      </c>
      <c r="N14" t="s">
        <v>55</v>
      </c>
      <c r="O14">
        <v>11</v>
      </c>
      <c r="P14">
        <v>1.35E-2</v>
      </c>
    </row>
    <row r="15" spans="1:16" x14ac:dyDescent="0.2">
      <c r="A15">
        <v>12</v>
      </c>
      <c r="B15">
        <v>2.0000000000000001E-4</v>
      </c>
      <c r="C15">
        <v>1.4999999999999999E-4</v>
      </c>
      <c r="E15">
        <v>12</v>
      </c>
      <c r="F15">
        <v>1.4E-5</v>
      </c>
      <c r="G15">
        <v>1.1E-5</v>
      </c>
      <c r="H15">
        <v>2.1999999999999999E-5</v>
      </c>
      <c r="I15">
        <v>2.1999999999999999E-5</v>
      </c>
      <c r="N15" t="s">
        <v>56</v>
      </c>
      <c r="O15" t="s">
        <v>57</v>
      </c>
      <c r="P15">
        <v>0.215</v>
      </c>
    </row>
    <row r="16" spans="1:16" x14ac:dyDescent="0.2">
      <c r="A16">
        <v>13</v>
      </c>
      <c r="B16">
        <v>2.5000000000000001E-4</v>
      </c>
      <c r="C16">
        <v>1.4999999999999999E-4</v>
      </c>
      <c r="E16">
        <v>13</v>
      </c>
      <c r="F16">
        <v>1.8E-5</v>
      </c>
      <c r="G16">
        <v>1.2E-5</v>
      </c>
      <c r="H16">
        <v>2.5000000000000001E-5</v>
      </c>
      <c r="I16">
        <v>2.5000000000000001E-5</v>
      </c>
      <c r="N16" t="s">
        <v>56</v>
      </c>
      <c r="O16" t="s">
        <v>58</v>
      </c>
      <c r="P16">
        <v>3.2000000000000001E-2</v>
      </c>
    </row>
    <row r="17" spans="1:16" x14ac:dyDescent="0.2">
      <c r="A17">
        <v>14</v>
      </c>
      <c r="B17">
        <v>2.9999999999999997E-4</v>
      </c>
      <c r="C17">
        <v>2.0000000000000001E-4</v>
      </c>
      <c r="E17">
        <v>14</v>
      </c>
      <c r="F17">
        <v>2.1999999999999999E-5</v>
      </c>
      <c r="G17">
        <v>1.4E-5</v>
      </c>
      <c r="H17">
        <v>2.8E-5</v>
      </c>
      <c r="I17">
        <v>2.8E-5</v>
      </c>
      <c r="N17" t="s">
        <v>56</v>
      </c>
      <c r="O17" t="s">
        <v>59</v>
      </c>
      <c r="P17">
        <v>0.01</v>
      </c>
    </row>
    <row r="18" spans="1:16" x14ac:dyDescent="0.2">
      <c r="A18">
        <v>15</v>
      </c>
      <c r="B18">
        <v>3.5E-4</v>
      </c>
      <c r="C18">
        <v>2.0000000000000001E-4</v>
      </c>
      <c r="E18">
        <v>15</v>
      </c>
      <c r="F18">
        <v>2.5999999999999998E-5</v>
      </c>
      <c r="G18">
        <v>1.5E-5</v>
      </c>
      <c r="H18">
        <v>3.1999999999999999E-5</v>
      </c>
      <c r="I18">
        <v>3.1999999999999999E-5</v>
      </c>
      <c r="N18" t="s">
        <v>56</v>
      </c>
      <c r="O18" t="s">
        <v>60</v>
      </c>
      <c r="P18">
        <v>8.0000000000000002E-3</v>
      </c>
    </row>
    <row r="19" spans="1:16" x14ac:dyDescent="0.2">
      <c r="A19">
        <v>16</v>
      </c>
      <c r="B19">
        <v>4.0000000000000002E-4</v>
      </c>
      <c r="C19">
        <v>2.0000000000000001E-4</v>
      </c>
      <c r="E19">
        <v>16</v>
      </c>
      <c r="F19">
        <v>3.0000000000000001E-5</v>
      </c>
      <c r="G19">
        <v>1.5999999999999999E-5</v>
      </c>
      <c r="H19">
        <v>3.8000000000000002E-5</v>
      </c>
      <c r="I19">
        <v>3.8000000000000002E-5</v>
      </c>
      <c r="N19" t="s">
        <v>56</v>
      </c>
      <c r="O19" t="s">
        <v>61</v>
      </c>
      <c r="P19">
        <v>0.01</v>
      </c>
    </row>
    <row r="20" spans="1:16" x14ac:dyDescent="0.2">
      <c r="A20">
        <v>17</v>
      </c>
      <c r="B20">
        <v>4.4999999999999999E-4</v>
      </c>
      <c r="C20">
        <v>2.5000000000000001E-4</v>
      </c>
      <c r="E20">
        <v>17</v>
      </c>
      <c r="F20">
        <v>3.4E-5</v>
      </c>
      <c r="G20">
        <v>1.8E-5</v>
      </c>
      <c r="H20">
        <v>4.5000000000000003E-5</v>
      </c>
      <c r="I20">
        <v>4.5000000000000003E-5</v>
      </c>
    </row>
    <row r="21" spans="1:16" x14ac:dyDescent="0.2">
      <c r="A21">
        <v>18</v>
      </c>
      <c r="B21">
        <v>4.4999999999999999E-4</v>
      </c>
      <c r="C21">
        <v>2.5000000000000001E-4</v>
      </c>
      <c r="E21">
        <v>18</v>
      </c>
      <c r="F21">
        <v>3.4E-5</v>
      </c>
      <c r="G21">
        <v>1.8E-5</v>
      </c>
      <c r="H21">
        <v>5.1999999999999997E-5</v>
      </c>
      <c r="I21">
        <v>5.1999999999999997E-5</v>
      </c>
    </row>
    <row r="22" spans="1:16" x14ac:dyDescent="0.2">
      <c r="A22">
        <v>19</v>
      </c>
      <c r="B22">
        <v>4.4999999999999999E-4</v>
      </c>
      <c r="C22">
        <v>2.5000000000000001E-4</v>
      </c>
      <c r="E22">
        <v>19</v>
      </c>
      <c r="F22">
        <v>3.4E-5</v>
      </c>
      <c r="G22">
        <v>1.8E-5</v>
      </c>
      <c r="H22">
        <v>6.0000000000000002E-5</v>
      </c>
      <c r="I22">
        <v>6.0000000000000002E-5</v>
      </c>
    </row>
    <row r="23" spans="1:16" x14ac:dyDescent="0.2">
      <c r="A23">
        <v>20</v>
      </c>
      <c r="B23">
        <v>4.4999999999999999E-4</v>
      </c>
      <c r="C23">
        <v>2.5000000000000001E-4</v>
      </c>
      <c r="E23">
        <v>20</v>
      </c>
      <c r="F23">
        <v>3.4E-5</v>
      </c>
      <c r="G23">
        <v>1.8E-5</v>
      </c>
      <c r="H23">
        <v>6.7999999999999999E-5</v>
      </c>
      <c r="I23">
        <v>6.7999999999999999E-5</v>
      </c>
    </row>
    <row r="24" spans="1:16" x14ac:dyDescent="0.2">
      <c r="A24">
        <v>21</v>
      </c>
      <c r="B24">
        <v>5.0000000000000001E-4</v>
      </c>
      <c r="C24">
        <v>2.5000000000000001E-4</v>
      </c>
      <c r="E24">
        <v>21</v>
      </c>
      <c r="F24">
        <v>3.8000000000000002E-5</v>
      </c>
      <c r="G24">
        <v>1.9000000000000001E-5</v>
      </c>
      <c r="H24">
        <v>7.7999999999999999E-5</v>
      </c>
      <c r="I24">
        <v>7.7999999999999999E-5</v>
      </c>
    </row>
    <row r="25" spans="1:16" x14ac:dyDescent="0.2">
      <c r="A25">
        <v>22</v>
      </c>
      <c r="B25">
        <v>5.0000000000000001E-4</v>
      </c>
      <c r="C25">
        <v>2.5000000000000001E-4</v>
      </c>
      <c r="E25">
        <v>22</v>
      </c>
      <c r="F25">
        <v>3.8000000000000002E-5</v>
      </c>
      <c r="G25">
        <v>1.9000000000000001E-5</v>
      </c>
      <c r="H25">
        <v>8.7999999999999998E-5</v>
      </c>
      <c r="I25">
        <v>8.7999999999999998E-5</v>
      </c>
    </row>
    <row r="26" spans="1:16" x14ac:dyDescent="0.2">
      <c r="A26">
        <v>23</v>
      </c>
      <c r="B26">
        <v>5.0000000000000001E-4</v>
      </c>
      <c r="C26">
        <v>2.5000000000000001E-4</v>
      </c>
      <c r="E26">
        <v>23</v>
      </c>
      <c r="F26">
        <v>3.8000000000000002E-5</v>
      </c>
      <c r="G26">
        <v>1.9000000000000001E-5</v>
      </c>
      <c r="H26">
        <v>1E-4</v>
      </c>
      <c r="I26">
        <v>1E-4</v>
      </c>
    </row>
    <row r="27" spans="1:16" x14ac:dyDescent="0.2">
      <c r="A27">
        <v>24</v>
      </c>
      <c r="B27">
        <v>5.0000000000000001E-4</v>
      </c>
      <c r="C27">
        <v>2.5000000000000001E-4</v>
      </c>
      <c r="E27">
        <v>24</v>
      </c>
      <c r="F27">
        <v>3.8000000000000002E-5</v>
      </c>
      <c r="G27">
        <v>1.9000000000000001E-5</v>
      </c>
      <c r="H27">
        <v>1.12E-4</v>
      </c>
      <c r="I27">
        <v>1.12E-4</v>
      </c>
    </row>
    <row r="28" spans="1:16" x14ac:dyDescent="0.2">
      <c r="A28">
        <v>25</v>
      </c>
      <c r="B28">
        <v>5.5000000000000003E-4</v>
      </c>
      <c r="C28">
        <v>2.9999999999999997E-4</v>
      </c>
      <c r="E28">
        <v>25</v>
      </c>
      <c r="F28">
        <v>4.1999999999999998E-5</v>
      </c>
      <c r="G28">
        <v>2.0999999999999999E-5</v>
      </c>
      <c r="H28">
        <v>1.25E-4</v>
      </c>
      <c r="I28">
        <v>1.25E-4</v>
      </c>
    </row>
    <row r="29" spans="1:16" x14ac:dyDescent="0.2">
      <c r="A29">
        <v>26</v>
      </c>
      <c r="B29">
        <v>5.5000000000000003E-4</v>
      </c>
      <c r="C29">
        <v>2.9999999999999997E-4</v>
      </c>
      <c r="E29">
        <v>26</v>
      </c>
      <c r="F29">
        <v>4.1999999999999998E-5</v>
      </c>
      <c r="G29">
        <v>2.0999999999999999E-5</v>
      </c>
      <c r="H29">
        <v>1.3799999999999999E-4</v>
      </c>
      <c r="I29">
        <v>1.3799999999999999E-4</v>
      </c>
    </row>
    <row r="30" spans="1:16" x14ac:dyDescent="0.2">
      <c r="A30">
        <v>27</v>
      </c>
      <c r="B30">
        <v>5.5000000000000003E-4</v>
      </c>
      <c r="C30">
        <v>2.9999999999999997E-4</v>
      </c>
      <c r="E30">
        <v>27</v>
      </c>
      <c r="F30">
        <v>4.1999999999999998E-5</v>
      </c>
      <c r="G30">
        <v>2.0999999999999999E-5</v>
      </c>
      <c r="H30">
        <v>1.5200000000000001E-4</v>
      </c>
      <c r="I30">
        <v>1.5200000000000001E-4</v>
      </c>
    </row>
    <row r="31" spans="1:16" x14ac:dyDescent="0.2">
      <c r="A31">
        <v>28</v>
      </c>
      <c r="B31">
        <v>5.5000000000000003E-4</v>
      </c>
      <c r="C31">
        <v>2.9999999999999997E-4</v>
      </c>
      <c r="E31">
        <v>28</v>
      </c>
      <c r="F31">
        <v>4.1999999999999998E-5</v>
      </c>
      <c r="G31">
        <v>2.0999999999999999E-5</v>
      </c>
      <c r="H31">
        <v>1.6799999999999999E-4</v>
      </c>
      <c r="I31">
        <v>1.6799999999999999E-4</v>
      </c>
    </row>
    <row r="32" spans="1:16" x14ac:dyDescent="0.2">
      <c r="A32">
        <v>29</v>
      </c>
      <c r="B32">
        <v>5.9999999999999995E-4</v>
      </c>
      <c r="C32">
        <v>2.9999999999999997E-4</v>
      </c>
      <c r="E32">
        <v>29</v>
      </c>
      <c r="F32">
        <v>4.6E-5</v>
      </c>
      <c r="G32">
        <v>2.1999999999999999E-5</v>
      </c>
      <c r="H32">
        <v>1.85E-4</v>
      </c>
      <c r="I32">
        <v>1.85E-4</v>
      </c>
    </row>
    <row r="33" spans="1:9" x14ac:dyDescent="0.2">
      <c r="A33">
        <v>30</v>
      </c>
      <c r="B33">
        <v>5.9999999999999995E-4</v>
      </c>
      <c r="C33">
        <v>2.9999999999999997E-4</v>
      </c>
      <c r="E33">
        <v>30</v>
      </c>
      <c r="F33">
        <v>4.6E-5</v>
      </c>
      <c r="G33">
        <v>2.1999999999999999E-5</v>
      </c>
      <c r="H33">
        <v>2.05E-4</v>
      </c>
      <c r="I33">
        <v>2.05E-4</v>
      </c>
    </row>
    <row r="34" spans="1:9" x14ac:dyDescent="0.2">
      <c r="A34">
        <v>31</v>
      </c>
      <c r="B34">
        <v>5.9999999999999995E-4</v>
      </c>
      <c r="C34">
        <v>3.5E-4</v>
      </c>
      <c r="E34">
        <v>31</v>
      </c>
      <c r="F34">
        <v>4.6E-5</v>
      </c>
      <c r="G34">
        <v>2.4000000000000001E-5</v>
      </c>
      <c r="H34">
        <v>2.2499999999999999E-4</v>
      </c>
      <c r="I34">
        <v>2.2499999999999999E-4</v>
      </c>
    </row>
    <row r="35" spans="1:9" x14ac:dyDescent="0.2">
      <c r="A35">
        <v>32</v>
      </c>
      <c r="B35">
        <v>6.4999999999999997E-4</v>
      </c>
      <c r="C35">
        <v>3.5E-4</v>
      </c>
      <c r="E35">
        <v>32</v>
      </c>
      <c r="F35">
        <v>5.0000000000000002E-5</v>
      </c>
      <c r="G35">
        <v>2.4000000000000001E-5</v>
      </c>
      <c r="H35">
        <v>2.4499999999999999E-4</v>
      </c>
      <c r="I35">
        <v>2.4499999999999999E-4</v>
      </c>
    </row>
    <row r="36" spans="1:9" x14ac:dyDescent="0.2">
      <c r="A36">
        <v>33</v>
      </c>
      <c r="B36">
        <v>6.4999999999999997E-4</v>
      </c>
      <c r="C36">
        <v>3.5E-4</v>
      </c>
      <c r="E36">
        <v>33</v>
      </c>
      <c r="F36">
        <v>5.0000000000000002E-5</v>
      </c>
      <c r="G36">
        <v>2.4000000000000001E-5</v>
      </c>
      <c r="H36">
        <v>2.7E-4</v>
      </c>
      <c r="I36">
        <v>2.7E-4</v>
      </c>
    </row>
    <row r="37" spans="1:9" x14ac:dyDescent="0.2">
      <c r="A37">
        <v>34</v>
      </c>
      <c r="B37">
        <v>6.9999999999999999E-4</v>
      </c>
      <c r="C37">
        <v>3.5E-4</v>
      </c>
      <c r="E37">
        <v>34</v>
      </c>
      <c r="F37">
        <v>5.3999999999999998E-5</v>
      </c>
      <c r="G37">
        <v>2.5000000000000001E-5</v>
      </c>
      <c r="H37">
        <v>2.9500000000000001E-4</v>
      </c>
      <c r="I37">
        <v>2.9500000000000001E-4</v>
      </c>
    </row>
    <row r="38" spans="1:9" x14ac:dyDescent="0.2">
      <c r="A38">
        <v>35</v>
      </c>
      <c r="B38">
        <v>6.9999999999999999E-4</v>
      </c>
      <c r="C38">
        <v>4.0000000000000002E-4</v>
      </c>
      <c r="E38">
        <v>35</v>
      </c>
      <c r="F38">
        <v>5.3999999999999998E-5</v>
      </c>
      <c r="G38">
        <v>2.6999999999999999E-5</v>
      </c>
      <c r="H38">
        <v>3.2000000000000003E-4</v>
      </c>
      <c r="I38">
        <v>3.2000000000000003E-4</v>
      </c>
    </row>
    <row r="39" spans="1:9" x14ac:dyDescent="0.2">
      <c r="A39">
        <v>36</v>
      </c>
      <c r="B39">
        <v>6.9999999999999999E-4</v>
      </c>
      <c r="C39">
        <v>4.0000000000000002E-4</v>
      </c>
      <c r="E39">
        <v>36</v>
      </c>
      <c r="F39">
        <v>5.3999999999999998E-5</v>
      </c>
      <c r="G39">
        <v>2.6999999999999999E-5</v>
      </c>
      <c r="H39">
        <v>3.5E-4</v>
      </c>
      <c r="I39">
        <v>3.5E-4</v>
      </c>
    </row>
    <row r="40" spans="1:9" x14ac:dyDescent="0.2">
      <c r="A40">
        <v>37</v>
      </c>
      <c r="B40">
        <v>7.5000000000000002E-4</v>
      </c>
      <c r="C40">
        <v>4.0000000000000002E-4</v>
      </c>
      <c r="E40">
        <v>37</v>
      </c>
      <c r="F40">
        <v>5.8E-5</v>
      </c>
      <c r="G40">
        <v>2.8E-5</v>
      </c>
      <c r="H40">
        <v>3.8000000000000002E-4</v>
      </c>
      <c r="I40">
        <v>3.8000000000000002E-4</v>
      </c>
    </row>
    <row r="41" spans="1:9" x14ac:dyDescent="0.2">
      <c r="A41">
        <v>38</v>
      </c>
      <c r="B41">
        <v>7.5000000000000002E-4</v>
      </c>
      <c r="C41">
        <v>4.0000000000000002E-4</v>
      </c>
      <c r="E41">
        <v>38</v>
      </c>
      <c r="F41">
        <v>5.8E-5</v>
      </c>
      <c r="G41">
        <v>2.8E-5</v>
      </c>
      <c r="H41">
        <v>4.15E-4</v>
      </c>
      <c r="I41">
        <v>4.15E-4</v>
      </c>
    </row>
    <row r="42" spans="1:9" x14ac:dyDescent="0.2">
      <c r="A42">
        <v>39</v>
      </c>
      <c r="B42">
        <v>7.5000000000000002E-4</v>
      </c>
      <c r="C42">
        <v>4.0000000000000002E-4</v>
      </c>
      <c r="E42">
        <v>39</v>
      </c>
      <c r="F42">
        <v>5.8E-5</v>
      </c>
      <c r="G42">
        <v>2.8E-5</v>
      </c>
      <c r="H42">
        <v>4.4999999999999999E-4</v>
      </c>
      <c r="I42">
        <v>4.4999999999999999E-4</v>
      </c>
    </row>
    <row r="43" spans="1:9" x14ac:dyDescent="0.2">
      <c r="A43">
        <v>40</v>
      </c>
      <c r="B43">
        <v>7.5000000000000002E-4</v>
      </c>
      <c r="C43">
        <v>4.0000000000000002E-4</v>
      </c>
      <c r="E43">
        <v>40</v>
      </c>
      <c r="F43">
        <v>5.8E-5</v>
      </c>
      <c r="G43">
        <v>2.8E-5</v>
      </c>
      <c r="H43">
        <v>4.8999999999999998E-4</v>
      </c>
      <c r="I43">
        <v>4.8999999999999998E-4</v>
      </c>
    </row>
    <row r="44" spans="1:9" x14ac:dyDescent="0.2">
      <c r="A44">
        <v>41</v>
      </c>
      <c r="B44">
        <v>8.0000000000000004E-4</v>
      </c>
      <c r="C44">
        <v>4.4999999999999999E-4</v>
      </c>
      <c r="E44">
        <v>41</v>
      </c>
      <c r="F44">
        <v>6.2000000000000003E-5</v>
      </c>
      <c r="G44">
        <v>3.0000000000000001E-5</v>
      </c>
      <c r="H44">
        <v>5.2999999999999998E-4</v>
      </c>
      <c r="I44">
        <v>5.2999999999999998E-4</v>
      </c>
    </row>
    <row r="45" spans="1:9" x14ac:dyDescent="0.2">
      <c r="A45">
        <v>42</v>
      </c>
      <c r="B45">
        <v>8.0000000000000004E-4</v>
      </c>
      <c r="C45">
        <v>4.4999999999999999E-4</v>
      </c>
      <c r="E45">
        <v>42</v>
      </c>
      <c r="F45">
        <v>6.2000000000000003E-5</v>
      </c>
      <c r="G45">
        <v>3.0000000000000001E-5</v>
      </c>
      <c r="H45">
        <v>5.7499999999999999E-4</v>
      </c>
      <c r="I45">
        <v>5.7499999999999999E-4</v>
      </c>
    </row>
    <row r="46" spans="1:9" x14ac:dyDescent="0.2">
      <c r="A46">
        <v>43</v>
      </c>
      <c r="B46">
        <v>8.4999999999999995E-4</v>
      </c>
      <c r="C46">
        <v>4.4999999999999999E-4</v>
      </c>
      <c r="E46">
        <v>43</v>
      </c>
      <c r="F46">
        <v>6.6000000000000005E-5</v>
      </c>
      <c r="G46">
        <v>3.1000000000000001E-5</v>
      </c>
      <c r="H46">
        <v>6.2500000000000001E-4</v>
      </c>
      <c r="I46">
        <v>6.2500000000000001E-4</v>
      </c>
    </row>
    <row r="47" spans="1:9" x14ac:dyDescent="0.2">
      <c r="A47">
        <v>44</v>
      </c>
      <c r="B47">
        <v>8.4999999999999995E-4</v>
      </c>
      <c r="C47">
        <v>5.0000000000000001E-4</v>
      </c>
      <c r="E47">
        <v>44</v>
      </c>
      <c r="F47">
        <v>6.6000000000000005E-5</v>
      </c>
      <c r="G47">
        <v>3.3000000000000003E-5</v>
      </c>
      <c r="H47">
        <v>6.8000000000000005E-4</v>
      </c>
      <c r="I47">
        <v>6.8000000000000005E-4</v>
      </c>
    </row>
    <row r="48" spans="1:9" x14ac:dyDescent="0.2">
      <c r="A48">
        <v>45</v>
      </c>
      <c r="B48">
        <v>8.9999999999999998E-4</v>
      </c>
      <c r="C48">
        <v>5.0000000000000001E-4</v>
      </c>
      <c r="E48">
        <v>45</v>
      </c>
      <c r="F48">
        <v>6.9999999999999994E-5</v>
      </c>
      <c r="G48">
        <v>3.4E-5</v>
      </c>
      <c r="H48">
        <v>7.3999999999999999E-4</v>
      </c>
      <c r="I48">
        <v>7.3999999999999999E-4</v>
      </c>
    </row>
    <row r="49" spans="1:9" x14ac:dyDescent="0.2">
      <c r="A49">
        <v>46</v>
      </c>
      <c r="B49">
        <v>9.5E-4</v>
      </c>
      <c r="C49">
        <v>5.0000000000000001E-4</v>
      </c>
      <c r="E49">
        <v>46</v>
      </c>
      <c r="F49">
        <v>7.3999999999999996E-5</v>
      </c>
      <c r="G49">
        <v>3.4999999999999997E-5</v>
      </c>
      <c r="H49">
        <v>8.0500000000000005E-4</v>
      </c>
      <c r="I49">
        <v>8.0500000000000005E-4</v>
      </c>
    </row>
    <row r="50" spans="1:9" x14ac:dyDescent="0.2">
      <c r="A50">
        <v>47</v>
      </c>
      <c r="B50">
        <v>9.5E-4</v>
      </c>
      <c r="C50">
        <v>5.5000000000000003E-4</v>
      </c>
      <c r="E50">
        <v>47</v>
      </c>
      <c r="F50">
        <v>7.3999999999999996E-5</v>
      </c>
      <c r="G50">
        <v>3.6000000000000001E-5</v>
      </c>
      <c r="H50">
        <v>8.7500000000000002E-4</v>
      </c>
      <c r="I50">
        <v>8.7500000000000002E-4</v>
      </c>
    </row>
    <row r="51" spans="1:9" x14ac:dyDescent="0.2">
      <c r="A51">
        <v>48</v>
      </c>
      <c r="B51">
        <v>1E-3</v>
      </c>
      <c r="C51">
        <v>5.5000000000000003E-4</v>
      </c>
      <c r="E51">
        <v>48</v>
      </c>
      <c r="F51">
        <v>7.7999999999999999E-5</v>
      </c>
      <c r="G51">
        <v>3.6999999999999998E-5</v>
      </c>
      <c r="H51">
        <v>9.5E-4</v>
      </c>
      <c r="I51">
        <v>9.5E-4</v>
      </c>
    </row>
    <row r="52" spans="1:9" x14ac:dyDescent="0.2">
      <c r="A52">
        <v>49</v>
      </c>
      <c r="B52">
        <v>1E-3</v>
      </c>
      <c r="C52">
        <v>5.5000000000000003E-4</v>
      </c>
      <c r="E52">
        <v>49</v>
      </c>
      <c r="F52">
        <v>7.7999999999999999E-5</v>
      </c>
      <c r="G52">
        <v>3.6999999999999998E-5</v>
      </c>
      <c r="H52">
        <v>1.0300000000000001E-3</v>
      </c>
      <c r="I52">
        <v>1.0300000000000001E-3</v>
      </c>
    </row>
    <row r="53" spans="1:9" x14ac:dyDescent="0.2">
      <c r="A53">
        <v>50</v>
      </c>
      <c r="B53">
        <v>1E-3</v>
      </c>
      <c r="C53">
        <v>5.5000000000000003E-4</v>
      </c>
      <c r="E53">
        <v>50</v>
      </c>
      <c r="F53">
        <v>7.7999999999999999E-5</v>
      </c>
      <c r="G53">
        <v>3.6999999999999998E-5</v>
      </c>
      <c r="H53">
        <v>1.1150000000000001E-3</v>
      </c>
      <c r="I53">
        <v>1.1150000000000001E-3</v>
      </c>
    </row>
    <row r="54" spans="1:9" x14ac:dyDescent="0.2">
      <c r="A54">
        <v>51</v>
      </c>
      <c r="B54">
        <v>1E-3</v>
      </c>
      <c r="C54">
        <v>5.5000000000000003E-4</v>
      </c>
    </row>
    <row r="55" spans="1:9" x14ac:dyDescent="0.2">
      <c r="A55">
        <v>52</v>
      </c>
      <c r="B55">
        <v>1E-3</v>
      </c>
      <c r="C55">
        <v>5.5000000000000003E-4</v>
      </c>
    </row>
    <row r="56" spans="1:9" x14ac:dyDescent="0.2">
      <c r="A56">
        <v>53</v>
      </c>
      <c r="B56">
        <v>1E-3</v>
      </c>
      <c r="C56">
        <v>5.5000000000000003E-4</v>
      </c>
    </row>
    <row r="57" spans="1:9" x14ac:dyDescent="0.2">
      <c r="A57">
        <v>54</v>
      </c>
      <c r="B57">
        <v>1E-3</v>
      </c>
      <c r="C57">
        <v>5.5000000000000003E-4</v>
      </c>
    </row>
    <row r="58" spans="1:9" x14ac:dyDescent="0.2">
      <c r="A58">
        <v>55</v>
      </c>
      <c r="B58">
        <v>1E-3</v>
      </c>
      <c r="C58">
        <v>5.5000000000000003E-4</v>
      </c>
    </row>
    <row r="59" spans="1:9" x14ac:dyDescent="0.2">
      <c r="A59">
        <v>56</v>
      </c>
      <c r="B59">
        <v>1E-3</v>
      </c>
      <c r="C59">
        <v>5.5000000000000003E-4</v>
      </c>
    </row>
    <row r="60" spans="1:9" x14ac:dyDescent="0.2">
      <c r="A60">
        <v>57</v>
      </c>
      <c r="B60">
        <v>1E-3</v>
      </c>
      <c r="C60">
        <v>5.5000000000000003E-4</v>
      </c>
    </row>
    <row r="61" spans="1:9" x14ac:dyDescent="0.2">
      <c r="A61">
        <v>58</v>
      </c>
      <c r="B61">
        <v>1E-3</v>
      </c>
      <c r="C61">
        <v>5.5000000000000003E-4</v>
      </c>
    </row>
    <row r="62" spans="1:9" x14ac:dyDescent="0.2">
      <c r="A62">
        <v>59</v>
      </c>
      <c r="B62">
        <v>1E-3</v>
      </c>
      <c r="C62">
        <v>5.5000000000000003E-4</v>
      </c>
    </row>
    <row r="63" spans="1:9" x14ac:dyDescent="0.2">
      <c r="A63">
        <v>60</v>
      </c>
      <c r="B63">
        <v>1E-3</v>
      </c>
      <c r="C63">
        <v>5.5000000000000003E-4</v>
      </c>
    </row>
    <row r="64" spans="1:9" x14ac:dyDescent="0.2">
      <c r="A64">
        <v>61</v>
      </c>
      <c r="B64">
        <v>1E-3</v>
      </c>
      <c r="C64">
        <v>5.5000000000000003E-4</v>
      </c>
    </row>
    <row r="65" spans="1:3" x14ac:dyDescent="0.2">
      <c r="A65">
        <v>62</v>
      </c>
      <c r="B65">
        <v>1E-3</v>
      </c>
      <c r="C65">
        <v>5.5000000000000003E-4</v>
      </c>
    </row>
    <row r="66" spans="1:3" x14ac:dyDescent="0.2">
      <c r="A66">
        <v>63</v>
      </c>
      <c r="B66">
        <v>1E-3</v>
      </c>
      <c r="C66">
        <v>5.5000000000000003E-4</v>
      </c>
    </row>
    <row r="67" spans="1:3" x14ac:dyDescent="0.2">
      <c r="A67">
        <v>64</v>
      </c>
      <c r="B67">
        <v>1E-3</v>
      </c>
      <c r="C67">
        <v>5.5000000000000003E-4</v>
      </c>
    </row>
    <row r="68" spans="1:3" x14ac:dyDescent="0.2">
      <c r="A68">
        <v>65</v>
      </c>
      <c r="B68">
        <v>1E-3</v>
      </c>
      <c r="C68">
        <v>5.5000000000000003E-4</v>
      </c>
    </row>
    <row r="69" spans="1:3" x14ac:dyDescent="0.2">
      <c r="A69">
        <v>66</v>
      </c>
      <c r="B69">
        <v>1E-3</v>
      </c>
      <c r="C69">
        <v>5.5000000000000003E-4</v>
      </c>
    </row>
    <row r="70" spans="1:3" x14ac:dyDescent="0.2">
      <c r="A70">
        <v>67</v>
      </c>
      <c r="B70">
        <v>1E-3</v>
      </c>
      <c r="C70">
        <v>5.5000000000000003E-4</v>
      </c>
    </row>
    <row r="71" spans="1:3" x14ac:dyDescent="0.2">
      <c r="A71">
        <v>68</v>
      </c>
      <c r="B71">
        <v>1E-3</v>
      </c>
      <c r="C71">
        <v>5.5000000000000003E-4</v>
      </c>
    </row>
    <row r="72" spans="1:3" x14ac:dyDescent="0.2">
      <c r="A72">
        <v>69</v>
      </c>
      <c r="B72">
        <v>1E-3</v>
      </c>
      <c r="C72">
        <v>5.5000000000000003E-4</v>
      </c>
    </row>
    <row r="73" spans="1:3" x14ac:dyDescent="0.2">
      <c r="A73">
        <v>70</v>
      </c>
      <c r="B73">
        <v>1E-3</v>
      </c>
      <c r="C73">
        <v>5.5000000000000003E-4</v>
      </c>
    </row>
    <row r="74" spans="1:3" x14ac:dyDescent="0.2">
      <c r="A74">
        <v>71</v>
      </c>
      <c r="B74">
        <v>1E-3</v>
      </c>
      <c r="C74">
        <v>5.5000000000000003E-4</v>
      </c>
    </row>
    <row r="75" spans="1:3" x14ac:dyDescent="0.2">
      <c r="A75">
        <v>72</v>
      </c>
      <c r="B75">
        <v>1E-3</v>
      </c>
      <c r="C75">
        <v>5.5000000000000003E-4</v>
      </c>
    </row>
    <row r="76" spans="1:3" x14ac:dyDescent="0.2">
      <c r="A76">
        <v>73</v>
      </c>
      <c r="B76">
        <v>1E-3</v>
      </c>
      <c r="C76">
        <v>5.5000000000000003E-4</v>
      </c>
    </row>
    <row r="77" spans="1:3" x14ac:dyDescent="0.2">
      <c r="A77">
        <v>74</v>
      </c>
      <c r="B77">
        <v>1E-3</v>
      </c>
      <c r="C77">
        <v>5.5000000000000003E-4</v>
      </c>
    </row>
    <row r="78" spans="1:3" x14ac:dyDescent="0.2">
      <c r="A78">
        <v>75</v>
      </c>
      <c r="B78">
        <v>1E-3</v>
      </c>
      <c r="C78">
        <v>5.5000000000000003E-4</v>
      </c>
    </row>
    <row r="79" spans="1:3" x14ac:dyDescent="0.2">
      <c r="A79">
        <v>76</v>
      </c>
      <c r="B79">
        <v>1E-3</v>
      </c>
      <c r="C79">
        <v>5.5000000000000003E-4</v>
      </c>
    </row>
    <row r="80" spans="1:3" x14ac:dyDescent="0.2">
      <c r="A80">
        <v>77</v>
      </c>
      <c r="B80">
        <v>1E-3</v>
      </c>
      <c r="C80">
        <v>5.5000000000000003E-4</v>
      </c>
    </row>
    <row r="81" spans="1:3" x14ac:dyDescent="0.2">
      <c r="A81">
        <v>78</v>
      </c>
      <c r="B81">
        <v>1E-3</v>
      </c>
      <c r="C81">
        <v>5.5000000000000003E-4</v>
      </c>
    </row>
    <row r="82" spans="1:3" x14ac:dyDescent="0.2">
      <c r="A82">
        <v>79</v>
      </c>
      <c r="B82">
        <v>1E-3</v>
      </c>
      <c r="C82">
        <v>5.5000000000000003E-4</v>
      </c>
    </row>
    <row r="83" spans="1:3" x14ac:dyDescent="0.2">
      <c r="A83">
        <v>80</v>
      </c>
      <c r="B83">
        <v>1E-3</v>
      </c>
      <c r="C83">
        <v>5.5000000000000003E-4</v>
      </c>
    </row>
    <row r="84" spans="1:3" x14ac:dyDescent="0.2">
      <c r="A84">
        <v>81</v>
      </c>
      <c r="B84">
        <v>1E-3</v>
      </c>
      <c r="C84">
        <v>5.5000000000000003E-4</v>
      </c>
    </row>
    <row r="85" spans="1:3" x14ac:dyDescent="0.2">
      <c r="A85">
        <v>82</v>
      </c>
      <c r="B85">
        <v>1E-3</v>
      </c>
      <c r="C85">
        <v>5.5000000000000003E-4</v>
      </c>
    </row>
    <row r="86" spans="1:3" x14ac:dyDescent="0.2">
      <c r="A86">
        <v>83</v>
      </c>
      <c r="B86">
        <v>1E-3</v>
      </c>
      <c r="C86">
        <v>5.5000000000000003E-4</v>
      </c>
    </row>
    <row r="87" spans="1:3" x14ac:dyDescent="0.2">
      <c r="A87">
        <v>84</v>
      </c>
      <c r="B87">
        <v>1E-3</v>
      </c>
      <c r="C87">
        <v>5.5000000000000003E-4</v>
      </c>
    </row>
    <row r="88" spans="1:3" x14ac:dyDescent="0.2">
      <c r="A88">
        <v>85</v>
      </c>
      <c r="B88">
        <v>1E-3</v>
      </c>
      <c r="C88">
        <v>5.5000000000000003E-4</v>
      </c>
    </row>
    <row r="89" spans="1:3" x14ac:dyDescent="0.2">
      <c r="A89">
        <v>86</v>
      </c>
      <c r="B89">
        <v>1E-3</v>
      </c>
      <c r="C89">
        <v>5.5000000000000003E-4</v>
      </c>
    </row>
    <row r="90" spans="1:3" x14ac:dyDescent="0.2">
      <c r="A90">
        <v>87</v>
      </c>
      <c r="B90">
        <v>1E-3</v>
      </c>
      <c r="C90">
        <v>5.5000000000000003E-4</v>
      </c>
    </row>
    <row r="91" spans="1:3" x14ac:dyDescent="0.2">
      <c r="A91">
        <v>88</v>
      </c>
      <c r="B91">
        <v>1E-3</v>
      </c>
      <c r="C91">
        <v>5.5000000000000003E-4</v>
      </c>
    </row>
    <row r="92" spans="1:3" x14ac:dyDescent="0.2">
      <c r="A92">
        <v>89</v>
      </c>
      <c r="B92">
        <v>1E-3</v>
      </c>
      <c r="C92">
        <v>5.5000000000000003E-4</v>
      </c>
    </row>
    <row r="93" spans="1:3" x14ac:dyDescent="0.2">
      <c r="A93">
        <v>90</v>
      </c>
      <c r="B93">
        <v>1E-3</v>
      </c>
      <c r="C93">
        <v>5.5000000000000003E-4</v>
      </c>
    </row>
    <row r="94" spans="1:3" x14ac:dyDescent="0.2">
      <c r="A94">
        <v>91</v>
      </c>
      <c r="B94">
        <v>1E-3</v>
      </c>
      <c r="C94">
        <v>5.5000000000000003E-4</v>
      </c>
    </row>
    <row r="95" spans="1:3" x14ac:dyDescent="0.2">
      <c r="A95">
        <v>92</v>
      </c>
      <c r="B95">
        <v>1E-3</v>
      </c>
      <c r="C95">
        <v>5.5000000000000003E-4</v>
      </c>
    </row>
    <row r="96" spans="1:3" x14ac:dyDescent="0.2">
      <c r="A96">
        <v>93</v>
      </c>
      <c r="B96">
        <v>1E-3</v>
      </c>
      <c r="C96">
        <v>5.5000000000000003E-4</v>
      </c>
    </row>
    <row r="97" spans="1:3" x14ac:dyDescent="0.2">
      <c r="A97">
        <v>94</v>
      </c>
      <c r="B97">
        <v>1E-3</v>
      </c>
      <c r="C97">
        <v>5.5000000000000003E-4</v>
      </c>
    </row>
    <row r="98" spans="1:3" x14ac:dyDescent="0.2">
      <c r="A98">
        <v>95</v>
      </c>
      <c r="B98">
        <v>1E-3</v>
      </c>
      <c r="C98">
        <v>5.5000000000000003E-4</v>
      </c>
    </row>
    <row r="99" spans="1:3" x14ac:dyDescent="0.2">
      <c r="A99">
        <v>96</v>
      </c>
      <c r="B99">
        <v>1E-3</v>
      </c>
      <c r="C99">
        <v>5.5000000000000003E-4</v>
      </c>
    </row>
    <row r="100" spans="1:3" x14ac:dyDescent="0.2">
      <c r="A100">
        <v>97</v>
      </c>
      <c r="B100">
        <v>1E-3</v>
      </c>
      <c r="C100">
        <v>5.5000000000000003E-4</v>
      </c>
    </row>
    <row r="101" spans="1:3" x14ac:dyDescent="0.2">
      <c r="A101">
        <v>98</v>
      </c>
      <c r="B101">
        <v>1E-3</v>
      </c>
      <c r="C101">
        <v>5.5000000000000003E-4</v>
      </c>
    </row>
    <row r="102" spans="1:3" x14ac:dyDescent="0.2">
      <c r="A102">
        <v>99</v>
      </c>
      <c r="B102">
        <v>1E-3</v>
      </c>
      <c r="C102">
        <v>5.5000000000000003E-4</v>
      </c>
    </row>
    <row r="103" spans="1:3" x14ac:dyDescent="0.2">
      <c r="A103">
        <v>100</v>
      </c>
      <c r="B103">
        <v>1E-3</v>
      </c>
      <c r="C103">
        <v>5.5000000000000003E-4</v>
      </c>
    </row>
    <row r="104" spans="1:3" x14ac:dyDescent="0.2">
      <c r="A104">
        <v>101</v>
      </c>
      <c r="B104">
        <v>1E-3</v>
      </c>
      <c r="C104">
        <v>5.5000000000000003E-4</v>
      </c>
    </row>
    <row r="105" spans="1:3" x14ac:dyDescent="0.2">
      <c r="A105">
        <v>102</v>
      </c>
      <c r="B105">
        <v>1E-3</v>
      </c>
      <c r="C105">
        <v>5.5000000000000003E-4</v>
      </c>
    </row>
    <row r="106" spans="1:3" x14ac:dyDescent="0.2">
      <c r="A106">
        <v>103</v>
      </c>
      <c r="B106">
        <v>1E-3</v>
      </c>
      <c r="C106">
        <v>5.5000000000000003E-4</v>
      </c>
    </row>
    <row r="107" spans="1:3" x14ac:dyDescent="0.2">
      <c r="A107">
        <v>104</v>
      </c>
      <c r="B107">
        <v>1E-3</v>
      </c>
      <c r="C107">
        <v>5.5000000000000003E-4</v>
      </c>
    </row>
    <row r="108" spans="1:3" x14ac:dyDescent="0.2">
      <c r="A108">
        <v>105</v>
      </c>
      <c r="B108">
        <v>1E-3</v>
      </c>
      <c r="C108">
        <v>5.5000000000000003E-4</v>
      </c>
    </row>
    <row r="109" spans="1:3" x14ac:dyDescent="0.2">
      <c r="A109">
        <v>106</v>
      </c>
      <c r="B109">
        <v>1E-3</v>
      </c>
      <c r="C109">
        <v>5.5000000000000003E-4</v>
      </c>
    </row>
    <row r="110" spans="1:3" x14ac:dyDescent="0.2">
      <c r="A110">
        <v>107</v>
      </c>
      <c r="B110">
        <v>1E-3</v>
      </c>
      <c r="C110">
        <v>5.5000000000000003E-4</v>
      </c>
    </row>
    <row r="111" spans="1:3" x14ac:dyDescent="0.2">
      <c r="A111">
        <v>108</v>
      </c>
      <c r="B111">
        <v>1E-3</v>
      </c>
      <c r="C111">
        <v>5.5000000000000003E-4</v>
      </c>
    </row>
    <row r="112" spans="1:3" x14ac:dyDescent="0.2">
      <c r="A112">
        <v>109</v>
      </c>
      <c r="B112">
        <v>1E-3</v>
      </c>
      <c r="C112">
        <v>5.5000000000000003E-4</v>
      </c>
    </row>
    <row r="113" spans="1:3" x14ac:dyDescent="0.2">
      <c r="A113">
        <v>110</v>
      </c>
      <c r="B113">
        <v>1E-3</v>
      </c>
      <c r="C113">
        <v>5.5000000000000003E-4</v>
      </c>
    </row>
    <row r="114" spans="1:3" x14ac:dyDescent="0.2">
      <c r="A114">
        <v>111</v>
      </c>
      <c r="B114">
        <v>1E-3</v>
      </c>
      <c r="C114">
        <v>5.5000000000000003E-4</v>
      </c>
    </row>
    <row r="115" spans="1:3" x14ac:dyDescent="0.2">
      <c r="A115">
        <v>112</v>
      </c>
      <c r="B115">
        <v>1E-3</v>
      </c>
      <c r="C115">
        <v>5.5000000000000003E-4</v>
      </c>
    </row>
    <row r="116" spans="1:3" x14ac:dyDescent="0.2">
      <c r="A116">
        <v>113</v>
      </c>
      <c r="B116">
        <v>1E-3</v>
      </c>
      <c r="C116">
        <v>5.5000000000000003E-4</v>
      </c>
    </row>
    <row r="117" spans="1:3" x14ac:dyDescent="0.2">
      <c r="A117">
        <v>114</v>
      </c>
      <c r="B117">
        <v>1E-3</v>
      </c>
      <c r="C117">
        <v>5.5000000000000003E-4</v>
      </c>
    </row>
    <row r="118" spans="1:3" x14ac:dyDescent="0.2">
      <c r="A118">
        <v>115</v>
      </c>
      <c r="B118">
        <v>1E-3</v>
      </c>
      <c r="C118">
        <v>5.5000000000000003E-4</v>
      </c>
    </row>
    <row r="119" spans="1:3" x14ac:dyDescent="0.2">
      <c r="A119">
        <v>116</v>
      </c>
      <c r="B119">
        <v>1E-3</v>
      </c>
      <c r="C119">
        <v>5.5000000000000003E-4</v>
      </c>
    </row>
    <row r="120" spans="1:3" x14ac:dyDescent="0.2">
      <c r="A120">
        <v>117</v>
      </c>
      <c r="B120">
        <v>1E-3</v>
      </c>
      <c r="C120">
        <v>5.5000000000000003E-4</v>
      </c>
    </row>
    <row r="121" spans="1:3" x14ac:dyDescent="0.2">
      <c r="A121">
        <v>118</v>
      </c>
      <c r="B121">
        <v>1E-3</v>
      </c>
      <c r="C121">
        <v>5.5000000000000003E-4</v>
      </c>
    </row>
    <row r="122" spans="1:3" x14ac:dyDescent="0.2">
      <c r="A122">
        <v>119</v>
      </c>
      <c r="B122">
        <v>1E-3</v>
      </c>
      <c r="C122">
        <v>5.5000000000000003E-4</v>
      </c>
    </row>
    <row r="123" spans="1:3" x14ac:dyDescent="0.2">
      <c r="A123">
        <v>120</v>
      </c>
      <c r="B123">
        <v>1E-3</v>
      </c>
      <c r="C123">
        <v>5.5000000000000003E-4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입력</vt:lpstr>
      <vt:lpstr>위험률</vt:lpstr>
      <vt:lpstr>계산</vt:lpstr>
      <vt:lpstr>기수표</vt:lpstr>
      <vt:lpstr>위험률_확장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pc1</cp:lastModifiedBy>
  <dcterms:created xsi:type="dcterms:W3CDTF">2025-10-18T08:26:30Z</dcterms:created>
  <dcterms:modified xsi:type="dcterms:W3CDTF">2025-10-18T08:49:00Z</dcterms:modified>
</cp:coreProperties>
</file>