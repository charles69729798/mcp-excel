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InsuranceProject\uploads\"/>
    </mc:Choice>
  </mc:AlternateContent>
  <xr:revisionPtr revIDLastSave="0" documentId="13_ncr:1_{F5CB5C57-0BB9-4D71-94B6-0EFA94F85C8F}" xr6:coauthVersionLast="47" xr6:coauthVersionMax="47" xr10:uidLastSave="{00000000-0000-0000-0000-000000000000}"/>
  <bookViews>
    <workbookView xWindow="7875" yWindow="1620" windowWidth="19425" windowHeight="11295" tabRatio="683" firstSheet="4" activeTab="8" xr2:uid="{00000000-000D-0000-FFFF-FFFF00000000}"/>
  </bookViews>
  <sheets>
    <sheet name="사업방법서" sheetId="48" state="hidden" r:id="rId1"/>
    <sheet name="PV" sheetId="64" r:id="rId2"/>
    <sheet name="입력" sheetId="65" r:id="rId3"/>
    <sheet name="Chart1" sheetId="54" state="hidden" r:id="rId4"/>
    <sheet name="Main_무해지" sheetId="74" r:id="rId5"/>
    <sheet name="일반형" sheetId="75" r:id="rId6"/>
    <sheet name="무해지형_연납순보험료" sheetId="76" r:id="rId7"/>
    <sheet name="일반형_연납순보험료" sheetId="77" r:id="rId8"/>
    <sheet name="S산출" sheetId="63" r:id="rId9"/>
  </sheets>
  <definedNames>
    <definedName name="_Fill" localSheetId="8" hidden="1">#REF!</definedName>
    <definedName name="_Fill" localSheetId="2" hidden="1">#REF!</definedName>
    <definedName name="_Fill" hidden="1">#REF!</definedName>
    <definedName name="_xlnm._FilterDatabase" localSheetId="4" hidden="1">Main_무해지!$N$2:$Q$114</definedName>
    <definedName name="_xlnm._FilterDatabase" localSheetId="6" hidden="1">무해지형_연납순보험료!$N$2:$Q$114</definedName>
    <definedName name="age" localSheetId="1">#REF!</definedName>
    <definedName name="age">#REF!</definedName>
    <definedName name="alpha1" localSheetId="1">#REF!</definedName>
    <definedName name="alpha1">#REF!</definedName>
    <definedName name="alpha1_0" localSheetId="1">#REF!</definedName>
    <definedName name="alpha1_0">#REF!</definedName>
    <definedName name="alpha1_s" localSheetId="1">#REF!</definedName>
    <definedName name="alpha1_s">#REF!</definedName>
    <definedName name="alpha2" localSheetId="1">#REF!</definedName>
    <definedName name="alpha2">#REF!</definedName>
    <definedName name="alpha2_0" localSheetId="1">#REF!</definedName>
    <definedName name="alpha2_0">#REF!</definedName>
    <definedName name="alpha2_S" localSheetId="1">#REF!</definedName>
    <definedName name="alpha2_s">#REF!</definedName>
    <definedName name="beta1" localSheetId="1">#REF!</definedName>
    <definedName name="beta1">#REF!</definedName>
    <definedName name="beta1_0" localSheetId="1">#REF!</definedName>
    <definedName name="beta1_0">#REF!</definedName>
    <definedName name="beta1_s" localSheetId="1">#REF!</definedName>
    <definedName name="beta1_s">#REF!</definedName>
    <definedName name="beta2" localSheetId="1">#REF!</definedName>
    <definedName name="beta2">#REF!</definedName>
    <definedName name="beta2_0" localSheetId="1">#REF!</definedName>
    <definedName name="beta2_0">#REF!</definedName>
    <definedName name="beta2_s" localSheetId="1">#REF!</definedName>
    <definedName name="beta2_s">#REF!</definedName>
    <definedName name="beta5" localSheetId="1">#REF!</definedName>
    <definedName name="beta5">#REF!</definedName>
    <definedName name="beta5_0" localSheetId="1">#REF!</definedName>
    <definedName name="beta5_0">#REF!</definedName>
    <definedName name="beta5_s" localSheetId="1">#REF!</definedName>
    <definedName name="beta5_s">#REF!</definedName>
    <definedName name="betadasi" localSheetId="1">#REF!</definedName>
    <definedName name="betadasi">#REF!</definedName>
    <definedName name="betadasi_0" localSheetId="1">#REF!</definedName>
    <definedName name="betadasi_0">#REF!</definedName>
    <definedName name="betadasi_s" localSheetId="1">#REF!</definedName>
    <definedName name="betadasi_s">#REF!</definedName>
    <definedName name="fa" localSheetId="1">#REF!</definedName>
    <definedName name="fa">#REF!</definedName>
    <definedName name="fetus" localSheetId="1">#REF!</definedName>
    <definedName name="fetus">#REF!</definedName>
    <definedName name="m" localSheetId="1">#REF!</definedName>
    <definedName name="m">#REF!</definedName>
    <definedName name="Morb" localSheetId="1">#REF!</definedName>
    <definedName name="Morb">#REF!</definedName>
    <definedName name="n" localSheetId="1">#REF!</definedName>
    <definedName name="n">#REF!</definedName>
    <definedName name="PIR" localSheetId="1">#REF!</definedName>
    <definedName name="PIR">#REF!</definedName>
    <definedName name="_xlnm.Print_Area" localSheetId="2">입력!$A$1:$EI$128</definedName>
    <definedName name="Rf" localSheetId="1">#REF!</definedName>
    <definedName name="Rf">#REF!</definedName>
    <definedName name="sex" localSheetId="1">#REF!</definedName>
    <definedName name="sex">#REF!</definedName>
    <definedName name="sex_0" localSheetId="1">#REF!</definedName>
    <definedName name="sex_0">#REF!</definedName>
    <definedName name="unit" localSheetId="1">#REF!</definedName>
    <definedName name="unit">#REF!</definedName>
    <definedName name="v" localSheetId="1">#REF!</definedName>
    <definedName name="v">#REF!</definedName>
    <definedName name="x" localSheetId="1">#REF!</definedName>
    <definedName name="x">#REF!</definedName>
    <definedName name="드롭">"드롭다운 4"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14" i="75" l="1"/>
  <c r="W113" i="75"/>
  <c r="W112" i="75"/>
  <c r="W111" i="75"/>
  <c r="W110" i="75"/>
  <c r="W109" i="75"/>
  <c r="W108" i="75"/>
  <c r="W107" i="75"/>
  <c r="W106" i="75"/>
  <c r="W105" i="75"/>
  <c r="W104" i="75"/>
  <c r="W103" i="75"/>
  <c r="W102" i="75"/>
  <c r="W101" i="75"/>
  <c r="W100" i="75"/>
  <c r="W99" i="75"/>
  <c r="W98" i="75"/>
  <c r="W97" i="75"/>
  <c r="W96" i="75"/>
  <c r="W95" i="75"/>
  <c r="W94" i="75"/>
  <c r="W93" i="75"/>
  <c r="W92" i="75"/>
  <c r="W91" i="75"/>
  <c r="W90" i="75"/>
  <c r="Q17" i="65"/>
  <c r="P17" i="65"/>
  <c r="N17" i="65"/>
  <c r="W1" i="64" l="1"/>
  <c r="AB127" i="64" l="1"/>
  <c r="AB126" i="64"/>
  <c r="AB125" i="64"/>
  <c r="AB124" i="64"/>
  <c r="AB123" i="64"/>
  <c r="F11" i="77" l="1"/>
  <c r="F10" i="77"/>
  <c r="F11" i="76"/>
  <c r="F10" i="76"/>
  <c r="F11" i="75"/>
  <c r="F10" i="75"/>
  <c r="F6" i="75"/>
  <c r="E5" i="74"/>
  <c r="E5" i="77" s="1"/>
  <c r="E4" i="74"/>
  <c r="E4" i="77" s="1"/>
  <c r="E3" i="74"/>
  <c r="G66" i="74" s="1"/>
  <c r="E2" i="74"/>
  <c r="E2" i="75" s="1"/>
  <c r="F9" i="74"/>
  <c r="F9" i="76" s="1"/>
  <c r="F8" i="74"/>
  <c r="F8" i="77" s="1"/>
  <c r="F7" i="74"/>
  <c r="F7" i="77" s="1"/>
  <c r="F6" i="74"/>
  <c r="L21" i="65"/>
  <c r="L20" i="65"/>
  <c r="L19" i="65"/>
  <c r="L18" i="65"/>
  <c r="N116" i="77"/>
  <c r="Q116" i="77" s="1"/>
  <c r="BO114" i="77"/>
  <c r="BK114" i="77"/>
  <c r="BF114" i="77"/>
  <c r="BA114" i="77"/>
  <c r="AV114" i="77"/>
  <c r="AQ114" i="77"/>
  <c r="AJ114" i="77"/>
  <c r="AE114" i="77"/>
  <c r="W114" i="77"/>
  <c r="AC114" i="77" s="1"/>
  <c r="BO113" i="77"/>
  <c r="BK113" i="77"/>
  <c r="BF113" i="77"/>
  <c r="BA113" i="77"/>
  <c r="AV113" i="77"/>
  <c r="AQ113" i="77"/>
  <c r="AJ113" i="77"/>
  <c r="AE113" i="77"/>
  <c r="W113" i="77"/>
  <c r="AC113" i="77" s="1"/>
  <c r="BO112" i="77"/>
  <c r="BK112" i="77"/>
  <c r="BF112" i="77"/>
  <c r="BA112" i="77"/>
  <c r="AV112" i="77"/>
  <c r="AQ112" i="77"/>
  <c r="AJ112" i="77"/>
  <c r="AE112" i="77"/>
  <c r="W112" i="77"/>
  <c r="AC112" i="77" s="1"/>
  <c r="BO111" i="77"/>
  <c r="BK111" i="77"/>
  <c r="BF111" i="77"/>
  <c r="BA111" i="77"/>
  <c r="AV111" i="77"/>
  <c r="AQ111" i="77"/>
  <c r="AJ111" i="77"/>
  <c r="AE111" i="77"/>
  <c r="W111" i="77"/>
  <c r="AC111" i="77" s="1"/>
  <c r="BO110" i="77"/>
  <c r="BK110" i="77"/>
  <c r="BF110" i="77"/>
  <c r="BA110" i="77"/>
  <c r="AV110" i="77"/>
  <c r="AQ110" i="77"/>
  <c r="AJ110" i="77"/>
  <c r="AE110" i="77"/>
  <c r="W110" i="77"/>
  <c r="AC110" i="77" s="1"/>
  <c r="BO109" i="77"/>
  <c r="BK109" i="77"/>
  <c r="BF109" i="77"/>
  <c r="BA109" i="77"/>
  <c r="AV109" i="77"/>
  <c r="AQ109" i="77"/>
  <c r="AJ109" i="77"/>
  <c r="AE109" i="77"/>
  <c r="AC109" i="77"/>
  <c r="W109" i="77"/>
  <c r="BO108" i="77"/>
  <c r="BK108" i="77"/>
  <c r="BF108" i="77"/>
  <c r="BA108" i="77"/>
  <c r="AV108" i="77"/>
  <c r="AQ108" i="77"/>
  <c r="AJ108" i="77"/>
  <c r="AE108" i="77"/>
  <c r="AC108" i="77"/>
  <c r="W108" i="77"/>
  <c r="BO107" i="77"/>
  <c r="BK107" i="77"/>
  <c r="BF107" i="77"/>
  <c r="BA107" i="77"/>
  <c r="AV107" i="77"/>
  <c r="AQ107" i="77"/>
  <c r="AJ107" i="77"/>
  <c r="AE107" i="77"/>
  <c r="W107" i="77"/>
  <c r="AC107" i="77" s="1"/>
  <c r="BO106" i="77"/>
  <c r="BK106" i="77"/>
  <c r="BF106" i="77"/>
  <c r="BA106" i="77"/>
  <c r="AV106" i="77"/>
  <c r="AQ106" i="77"/>
  <c r="AJ106" i="77"/>
  <c r="AE106" i="77"/>
  <c r="W106" i="77"/>
  <c r="AC106" i="77" s="1"/>
  <c r="BO105" i="77"/>
  <c r="BK105" i="77"/>
  <c r="BF105" i="77"/>
  <c r="BA105" i="77"/>
  <c r="AV105" i="77"/>
  <c r="AQ105" i="77"/>
  <c r="AJ105" i="77"/>
  <c r="AE105" i="77"/>
  <c r="W105" i="77"/>
  <c r="AC105" i="77" s="1"/>
  <c r="BO104" i="77"/>
  <c r="BK104" i="77"/>
  <c r="BF104" i="77"/>
  <c r="BA104" i="77"/>
  <c r="AV104" i="77"/>
  <c r="AQ104" i="77"/>
  <c r="AJ104" i="77"/>
  <c r="AE104" i="77"/>
  <c r="W104" i="77"/>
  <c r="AC104" i="77" s="1"/>
  <c r="BO103" i="77"/>
  <c r="BK103" i="77"/>
  <c r="BF103" i="77"/>
  <c r="BA103" i="77"/>
  <c r="AV103" i="77"/>
  <c r="AQ103" i="77"/>
  <c r="AJ103" i="77"/>
  <c r="AE103" i="77"/>
  <c r="W103" i="77"/>
  <c r="AC103" i="77" s="1"/>
  <c r="BO102" i="77"/>
  <c r="BK102" i="77"/>
  <c r="BF102" i="77"/>
  <c r="BA102" i="77"/>
  <c r="AV102" i="77"/>
  <c r="AQ102" i="77"/>
  <c r="AJ102" i="77"/>
  <c r="AE102" i="77"/>
  <c r="W102" i="77"/>
  <c r="AC102" i="77" s="1"/>
  <c r="BO101" i="77"/>
  <c r="BK101" i="77"/>
  <c r="BF101" i="77"/>
  <c r="BA101" i="77"/>
  <c r="AV101" i="77"/>
  <c r="AQ101" i="77"/>
  <c r="AJ101" i="77"/>
  <c r="AE101" i="77"/>
  <c r="W101" i="77"/>
  <c r="AC101" i="77" s="1"/>
  <c r="BO100" i="77"/>
  <c r="BK100" i="77"/>
  <c r="BF100" i="77"/>
  <c r="BA100" i="77"/>
  <c r="AV100" i="77"/>
  <c r="AQ100" i="77"/>
  <c r="AJ100" i="77"/>
  <c r="AE100" i="77"/>
  <c r="W100" i="77"/>
  <c r="AC100" i="77" s="1"/>
  <c r="BO99" i="77"/>
  <c r="BK99" i="77"/>
  <c r="BF99" i="77"/>
  <c r="BA99" i="77"/>
  <c r="AV99" i="77"/>
  <c r="AQ99" i="77"/>
  <c r="AJ99" i="77"/>
  <c r="AE99" i="77"/>
  <c r="W99" i="77"/>
  <c r="AC99" i="77" s="1"/>
  <c r="BO98" i="77"/>
  <c r="BK98" i="77"/>
  <c r="BF98" i="77"/>
  <c r="BA98" i="77"/>
  <c r="AV98" i="77"/>
  <c r="AQ98" i="77"/>
  <c r="AJ98" i="77"/>
  <c r="AE98" i="77"/>
  <c r="W98" i="77"/>
  <c r="AC98" i="77" s="1"/>
  <c r="BO97" i="77"/>
  <c r="BK97" i="77"/>
  <c r="BF97" i="77"/>
  <c r="BA97" i="77"/>
  <c r="AV97" i="77"/>
  <c r="AQ97" i="77"/>
  <c r="AJ97" i="77"/>
  <c r="AE97" i="77"/>
  <c r="W97" i="77"/>
  <c r="AC97" i="77" s="1"/>
  <c r="BO96" i="77"/>
  <c r="BK96" i="77"/>
  <c r="BF96" i="77"/>
  <c r="BA96" i="77"/>
  <c r="AV96" i="77"/>
  <c r="AQ96" i="77"/>
  <c r="AJ96" i="77"/>
  <c r="AE96" i="77"/>
  <c r="W96" i="77"/>
  <c r="AC96" i="77" s="1"/>
  <c r="BO95" i="77"/>
  <c r="BK95" i="77"/>
  <c r="BF95" i="77"/>
  <c r="BA95" i="77"/>
  <c r="AV95" i="77"/>
  <c r="AQ95" i="77"/>
  <c r="AJ95" i="77"/>
  <c r="AE95" i="77"/>
  <c r="W95" i="77"/>
  <c r="AC95" i="77" s="1"/>
  <c r="BO94" i="77"/>
  <c r="BK94" i="77"/>
  <c r="BF94" i="77"/>
  <c r="BA94" i="77"/>
  <c r="AV94" i="77"/>
  <c r="AQ94" i="77"/>
  <c r="AJ94" i="77"/>
  <c r="AE94" i="77"/>
  <c r="W94" i="77"/>
  <c r="AC94" i="77" s="1"/>
  <c r="BO93" i="77"/>
  <c r="BK93" i="77"/>
  <c r="BF93" i="77"/>
  <c r="BA93" i="77"/>
  <c r="AV93" i="77"/>
  <c r="AQ93" i="77"/>
  <c r="AJ93" i="77"/>
  <c r="AE93" i="77"/>
  <c r="W93" i="77"/>
  <c r="AC93" i="77" s="1"/>
  <c r="BO92" i="77"/>
  <c r="BK92" i="77"/>
  <c r="BF92" i="77"/>
  <c r="BA92" i="77"/>
  <c r="AV92" i="77"/>
  <c r="AQ92" i="77"/>
  <c r="AJ92" i="77"/>
  <c r="AE92" i="77"/>
  <c r="W92" i="77"/>
  <c r="AC92" i="77" s="1"/>
  <c r="BO91" i="77"/>
  <c r="BK91" i="77"/>
  <c r="BF91" i="77"/>
  <c r="BA91" i="77"/>
  <c r="AV91" i="77"/>
  <c r="AQ91" i="77"/>
  <c r="AJ91" i="77"/>
  <c r="AE91" i="77"/>
  <c r="W91" i="77"/>
  <c r="AC91" i="77" s="1"/>
  <c r="BO90" i="77"/>
  <c r="BK90" i="77"/>
  <c r="BF90" i="77"/>
  <c r="BA90" i="77"/>
  <c r="AV90" i="77"/>
  <c r="AQ90" i="77"/>
  <c r="AJ90" i="77"/>
  <c r="AE90" i="77"/>
  <c r="W90" i="77"/>
  <c r="AC90" i="77" s="1"/>
  <c r="BO89" i="77"/>
  <c r="BK89" i="77"/>
  <c r="BF89" i="77"/>
  <c r="BA89" i="77"/>
  <c r="AV89" i="77"/>
  <c r="AQ89" i="77"/>
  <c r="AJ89" i="77"/>
  <c r="AE89" i="77"/>
  <c r="W89" i="77"/>
  <c r="AC89" i="77" s="1"/>
  <c r="BO88" i="77"/>
  <c r="BK88" i="77"/>
  <c r="BF88" i="77"/>
  <c r="BA88" i="77"/>
  <c r="AV88" i="77"/>
  <c r="AQ88" i="77"/>
  <c r="AJ88" i="77"/>
  <c r="AE88" i="77"/>
  <c r="W88" i="77"/>
  <c r="AC88" i="77" s="1"/>
  <c r="BO87" i="77"/>
  <c r="BK87" i="77"/>
  <c r="BF87" i="77"/>
  <c r="BA87" i="77"/>
  <c r="AV87" i="77"/>
  <c r="AQ87" i="77"/>
  <c r="AJ87" i="77"/>
  <c r="AE87" i="77"/>
  <c r="W87" i="77"/>
  <c r="AC87" i="77" s="1"/>
  <c r="BO86" i="77"/>
  <c r="BK86" i="77"/>
  <c r="BF86" i="77"/>
  <c r="BA86" i="77"/>
  <c r="AV86" i="77"/>
  <c r="AQ86" i="77"/>
  <c r="AJ86" i="77"/>
  <c r="AE86" i="77"/>
  <c r="W86" i="77"/>
  <c r="AC86" i="77" s="1"/>
  <c r="BO85" i="77"/>
  <c r="BK85" i="77"/>
  <c r="BF85" i="77"/>
  <c r="BA85" i="77"/>
  <c r="AV85" i="77"/>
  <c r="AQ85" i="77"/>
  <c r="AJ85" i="77"/>
  <c r="AE85" i="77"/>
  <c r="W85" i="77"/>
  <c r="AC85" i="77" s="1"/>
  <c r="BO84" i="77"/>
  <c r="BK84" i="77"/>
  <c r="BF84" i="77"/>
  <c r="BA84" i="77"/>
  <c r="AV84" i="77"/>
  <c r="AQ84" i="77"/>
  <c r="AJ84" i="77"/>
  <c r="AE84" i="77"/>
  <c r="W84" i="77"/>
  <c r="AC84" i="77" s="1"/>
  <c r="BO83" i="77"/>
  <c r="BK83" i="77"/>
  <c r="BF83" i="77"/>
  <c r="BA83" i="77"/>
  <c r="AV83" i="77"/>
  <c r="AQ83" i="77"/>
  <c r="AJ83" i="77"/>
  <c r="AE83" i="77"/>
  <c r="W83" i="77"/>
  <c r="AC83" i="77" s="1"/>
  <c r="BO82" i="77"/>
  <c r="BK82" i="77"/>
  <c r="BF82" i="77"/>
  <c r="BA82" i="77"/>
  <c r="AV82" i="77"/>
  <c r="AQ82" i="77"/>
  <c r="AJ82" i="77"/>
  <c r="AE82" i="77"/>
  <c r="W82" i="77"/>
  <c r="AC82" i="77" s="1"/>
  <c r="BO81" i="77"/>
  <c r="BK81" i="77"/>
  <c r="BF81" i="77"/>
  <c r="BA81" i="77"/>
  <c r="AV81" i="77"/>
  <c r="AQ81" i="77"/>
  <c r="AJ81" i="77"/>
  <c r="AE81" i="77"/>
  <c r="W81" i="77"/>
  <c r="AC81" i="77" s="1"/>
  <c r="BO80" i="77"/>
  <c r="BK80" i="77"/>
  <c r="BF80" i="77"/>
  <c r="BA80" i="77"/>
  <c r="AV80" i="77"/>
  <c r="AQ80" i="77"/>
  <c r="AJ80" i="77"/>
  <c r="AE80" i="77"/>
  <c r="W80" i="77"/>
  <c r="AC80" i="77" s="1"/>
  <c r="BO79" i="77"/>
  <c r="BK79" i="77"/>
  <c r="BF79" i="77"/>
  <c r="BA79" i="77"/>
  <c r="AV79" i="77"/>
  <c r="AQ79" i="77"/>
  <c r="AJ79" i="77"/>
  <c r="AE79" i="77"/>
  <c r="W79" i="77"/>
  <c r="AC79" i="77" s="1"/>
  <c r="BO78" i="77"/>
  <c r="BK78" i="77"/>
  <c r="BF78" i="77"/>
  <c r="BA78" i="77"/>
  <c r="AV78" i="77"/>
  <c r="AQ78" i="77"/>
  <c r="AJ78" i="77"/>
  <c r="AE78" i="77"/>
  <c r="W78" i="77"/>
  <c r="AC78" i="77" s="1"/>
  <c r="BO77" i="77"/>
  <c r="BK77" i="77"/>
  <c r="BF77" i="77"/>
  <c r="BA77" i="77"/>
  <c r="AV77" i="77"/>
  <c r="AQ77" i="77"/>
  <c r="AJ77" i="77"/>
  <c r="AE77" i="77"/>
  <c r="W77" i="77"/>
  <c r="AC77" i="77" s="1"/>
  <c r="BO76" i="77"/>
  <c r="BK76" i="77"/>
  <c r="BF76" i="77"/>
  <c r="BA76" i="77"/>
  <c r="AV76" i="77"/>
  <c r="AQ76" i="77"/>
  <c r="AJ76" i="77"/>
  <c r="AE76" i="77"/>
  <c r="W76" i="77"/>
  <c r="AC76" i="77" s="1"/>
  <c r="BO75" i="77"/>
  <c r="BK75" i="77"/>
  <c r="BF75" i="77"/>
  <c r="BA75" i="77"/>
  <c r="AV75" i="77"/>
  <c r="AQ75" i="77"/>
  <c r="AJ75" i="77"/>
  <c r="AE75" i="77"/>
  <c r="W75" i="77"/>
  <c r="AC75" i="77" s="1"/>
  <c r="BO74" i="77"/>
  <c r="BK74" i="77"/>
  <c r="BF74" i="77"/>
  <c r="BA74" i="77"/>
  <c r="AV74" i="77"/>
  <c r="AQ74" i="77"/>
  <c r="AJ74" i="77"/>
  <c r="AE74" i="77"/>
  <c r="W74" i="77"/>
  <c r="AC74" i="77" s="1"/>
  <c r="BO73" i="77"/>
  <c r="BK73" i="77"/>
  <c r="BF73" i="77"/>
  <c r="BA73" i="77"/>
  <c r="AV73" i="77"/>
  <c r="AQ73" i="77"/>
  <c r="AJ73" i="77"/>
  <c r="AE73" i="77"/>
  <c r="W73" i="77"/>
  <c r="AC73" i="77" s="1"/>
  <c r="BO72" i="77"/>
  <c r="BK72" i="77"/>
  <c r="BF72" i="77"/>
  <c r="BA72" i="77"/>
  <c r="AV72" i="77"/>
  <c r="AQ72" i="77"/>
  <c r="AJ72" i="77"/>
  <c r="AE72" i="77"/>
  <c r="W72" i="77"/>
  <c r="AC72" i="77" s="1"/>
  <c r="BO71" i="77"/>
  <c r="BK71" i="77"/>
  <c r="BF71" i="77"/>
  <c r="BA71" i="77"/>
  <c r="AV71" i="77"/>
  <c r="AQ71" i="77"/>
  <c r="AJ71" i="77"/>
  <c r="AE71" i="77"/>
  <c r="W71" i="77"/>
  <c r="AC71" i="77" s="1"/>
  <c r="BO70" i="77"/>
  <c r="BK70" i="77"/>
  <c r="BF70" i="77"/>
  <c r="BA70" i="77"/>
  <c r="AV70" i="77"/>
  <c r="AQ70" i="77"/>
  <c r="AJ70" i="77"/>
  <c r="AE70" i="77"/>
  <c r="W70" i="77"/>
  <c r="AC70" i="77" s="1"/>
  <c r="BO69" i="77"/>
  <c r="BK69" i="77"/>
  <c r="BF69" i="77"/>
  <c r="BA69" i="77"/>
  <c r="AV69" i="77"/>
  <c r="AQ69" i="77"/>
  <c r="AJ69" i="77"/>
  <c r="AE69" i="77"/>
  <c r="W69" i="77"/>
  <c r="AC69" i="77" s="1"/>
  <c r="BO68" i="77"/>
  <c r="BK68" i="77"/>
  <c r="BF68" i="77"/>
  <c r="BA68" i="77"/>
  <c r="AV68" i="77"/>
  <c r="AQ68" i="77"/>
  <c r="AJ68" i="77"/>
  <c r="AE68" i="77"/>
  <c r="W68" i="77"/>
  <c r="AC68" i="77" s="1"/>
  <c r="BO67" i="77"/>
  <c r="BK67" i="77"/>
  <c r="BF67" i="77"/>
  <c r="BA67" i="77"/>
  <c r="AV67" i="77"/>
  <c r="AQ67" i="77"/>
  <c r="AJ67" i="77"/>
  <c r="AE67" i="77"/>
  <c r="W67" i="77"/>
  <c r="AC67" i="77" s="1"/>
  <c r="BO66" i="77"/>
  <c r="BK66" i="77"/>
  <c r="BF66" i="77"/>
  <c r="BA66" i="77"/>
  <c r="AV66" i="77"/>
  <c r="AQ66" i="77"/>
  <c r="AJ66" i="77"/>
  <c r="AE66" i="77"/>
  <c r="W66" i="77"/>
  <c r="AC66" i="77" s="1"/>
  <c r="BO65" i="77"/>
  <c r="BK65" i="77"/>
  <c r="BF65" i="77"/>
  <c r="BA65" i="77"/>
  <c r="AV65" i="77"/>
  <c r="AQ65" i="77"/>
  <c r="AJ65" i="77"/>
  <c r="AE65" i="77"/>
  <c r="W65" i="77"/>
  <c r="AC65" i="77" s="1"/>
  <c r="BO64" i="77"/>
  <c r="BK64" i="77"/>
  <c r="BF64" i="77"/>
  <c r="BA64" i="77"/>
  <c r="AV64" i="77"/>
  <c r="AQ64" i="77"/>
  <c r="AJ64" i="77"/>
  <c r="AE64" i="77"/>
  <c r="W64" i="77"/>
  <c r="AC64" i="77" s="1"/>
  <c r="BO63" i="77"/>
  <c r="BK63" i="77"/>
  <c r="BF63" i="77"/>
  <c r="BA63" i="77"/>
  <c r="AV63" i="77"/>
  <c r="AQ63" i="77"/>
  <c r="AJ63" i="77"/>
  <c r="AE63" i="77"/>
  <c r="AC63" i="77"/>
  <c r="W63" i="77"/>
  <c r="BO62" i="77"/>
  <c r="BK62" i="77"/>
  <c r="BF62" i="77"/>
  <c r="BA62" i="77"/>
  <c r="AV62" i="77"/>
  <c r="AQ62" i="77"/>
  <c r="AJ62" i="77"/>
  <c r="AE62" i="77"/>
  <c r="W62" i="77"/>
  <c r="AC62" i="77" s="1"/>
  <c r="BO61" i="77"/>
  <c r="BK61" i="77"/>
  <c r="BF61" i="77"/>
  <c r="BA61" i="77"/>
  <c r="AV61" i="77"/>
  <c r="AQ61" i="77"/>
  <c r="AJ61" i="77"/>
  <c r="AE61" i="77"/>
  <c r="AC61" i="77"/>
  <c r="W61" i="77"/>
  <c r="BO60" i="77"/>
  <c r="BK60" i="77"/>
  <c r="BF60" i="77"/>
  <c r="BA60" i="77"/>
  <c r="AV60" i="77"/>
  <c r="AQ60" i="77"/>
  <c r="AJ60" i="77"/>
  <c r="AE60" i="77"/>
  <c r="W60" i="77"/>
  <c r="AC60" i="77" s="1"/>
  <c r="BO59" i="77"/>
  <c r="BK59" i="77"/>
  <c r="BF59" i="77"/>
  <c r="BA59" i="77"/>
  <c r="AV59" i="77"/>
  <c r="AQ59" i="77"/>
  <c r="AJ59" i="77"/>
  <c r="AE59" i="77"/>
  <c r="W59" i="77"/>
  <c r="AC59" i="77" s="1"/>
  <c r="BO58" i="77"/>
  <c r="BK58" i="77"/>
  <c r="BF58" i="77"/>
  <c r="BA58" i="77"/>
  <c r="AV58" i="77"/>
  <c r="AQ58" i="77"/>
  <c r="AJ58" i="77"/>
  <c r="AE58" i="77"/>
  <c r="W58" i="77"/>
  <c r="AC58" i="77" s="1"/>
  <c r="BO57" i="77"/>
  <c r="BK57" i="77"/>
  <c r="BF57" i="77"/>
  <c r="BA57" i="77"/>
  <c r="AV57" i="77"/>
  <c r="AQ57" i="77"/>
  <c r="AJ57" i="77"/>
  <c r="AE57" i="77"/>
  <c r="W57" i="77"/>
  <c r="AC57" i="77" s="1"/>
  <c r="BO56" i="77"/>
  <c r="BK56" i="77"/>
  <c r="BF56" i="77"/>
  <c r="BA56" i="77"/>
  <c r="AV56" i="77"/>
  <c r="AQ56" i="77"/>
  <c r="AJ56" i="77"/>
  <c r="AE56" i="77"/>
  <c r="W56" i="77"/>
  <c r="AC56" i="77" s="1"/>
  <c r="BO55" i="77"/>
  <c r="BK55" i="77"/>
  <c r="BF55" i="77"/>
  <c r="BA55" i="77"/>
  <c r="AV55" i="77"/>
  <c r="AQ55" i="77"/>
  <c r="AJ55" i="77"/>
  <c r="AE55" i="77"/>
  <c r="W55" i="77"/>
  <c r="AC55" i="77" s="1"/>
  <c r="BO54" i="77"/>
  <c r="BK54" i="77"/>
  <c r="BF54" i="77"/>
  <c r="BA54" i="77"/>
  <c r="AV54" i="77"/>
  <c r="AQ54" i="77"/>
  <c r="AJ54" i="77"/>
  <c r="AE54" i="77"/>
  <c r="W54" i="77"/>
  <c r="AC54" i="77" s="1"/>
  <c r="BO53" i="77"/>
  <c r="BK53" i="77"/>
  <c r="BF53" i="77"/>
  <c r="BA53" i="77"/>
  <c r="AV53" i="77"/>
  <c r="AQ53" i="77"/>
  <c r="AJ53" i="77"/>
  <c r="AE53" i="77"/>
  <c r="W53" i="77"/>
  <c r="AC53" i="77" s="1"/>
  <c r="BO52" i="77"/>
  <c r="BK52" i="77"/>
  <c r="BF52" i="77"/>
  <c r="BA52" i="77"/>
  <c r="AV52" i="77"/>
  <c r="AQ52" i="77"/>
  <c r="AJ52" i="77"/>
  <c r="AE52" i="77"/>
  <c r="W52" i="77"/>
  <c r="AC52" i="77" s="1"/>
  <c r="BO51" i="77"/>
  <c r="BK51" i="77"/>
  <c r="BF51" i="77"/>
  <c r="BA51" i="77"/>
  <c r="AV51" i="77"/>
  <c r="AQ51" i="77"/>
  <c r="AJ51" i="77"/>
  <c r="AE51" i="77"/>
  <c r="W51" i="77"/>
  <c r="AC51" i="77" s="1"/>
  <c r="BO50" i="77"/>
  <c r="BK50" i="77"/>
  <c r="BF50" i="77"/>
  <c r="BA50" i="77"/>
  <c r="AV50" i="77"/>
  <c r="AQ50" i="77"/>
  <c r="AJ50" i="77"/>
  <c r="AE50" i="77"/>
  <c r="W50" i="77"/>
  <c r="AC50" i="77" s="1"/>
  <c r="BO49" i="77"/>
  <c r="BK49" i="77"/>
  <c r="BF49" i="77"/>
  <c r="BA49" i="77"/>
  <c r="AV49" i="77"/>
  <c r="AQ49" i="77"/>
  <c r="AJ49" i="77"/>
  <c r="AE49" i="77"/>
  <c r="W49" i="77"/>
  <c r="AC49" i="77" s="1"/>
  <c r="BO48" i="77"/>
  <c r="BK48" i="77"/>
  <c r="BF48" i="77"/>
  <c r="BA48" i="77"/>
  <c r="AV48" i="77"/>
  <c r="AQ48" i="77"/>
  <c r="AJ48" i="77"/>
  <c r="AE48" i="77"/>
  <c r="W48" i="77"/>
  <c r="AC48" i="77" s="1"/>
  <c r="BO47" i="77"/>
  <c r="BK47" i="77"/>
  <c r="BF47" i="77"/>
  <c r="BA47" i="77"/>
  <c r="AV47" i="77"/>
  <c r="AQ47" i="77"/>
  <c r="AJ47" i="77"/>
  <c r="AE47" i="77"/>
  <c r="W47" i="77"/>
  <c r="AC47" i="77" s="1"/>
  <c r="BO46" i="77"/>
  <c r="BK46" i="77"/>
  <c r="BF46" i="77"/>
  <c r="BA46" i="77"/>
  <c r="AV46" i="77"/>
  <c r="AQ46" i="77"/>
  <c r="AJ46" i="77"/>
  <c r="AE46" i="77"/>
  <c r="W46" i="77"/>
  <c r="AC46" i="77" s="1"/>
  <c r="BO45" i="77"/>
  <c r="BK45" i="77"/>
  <c r="BF45" i="77"/>
  <c r="BA45" i="77"/>
  <c r="AV45" i="77"/>
  <c r="AQ45" i="77"/>
  <c r="AJ45" i="77"/>
  <c r="AE45" i="77"/>
  <c r="W45" i="77"/>
  <c r="AC45" i="77" s="1"/>
  <c r="BO44" i="77"/>
  <c r="BK44" i="77"/>
  <c r="BF44" i="77"/>
  <c r="BA44" i="77"/>
  <c r="AV44" i="77"/>
  <c r="AQ44" i="77"/>
  <c r="AJ44" i="77"/>
  <c r="AE44" i="77"/>
  <c r="W44" i="77"/>
  <c r="AC44" i="77" s="1"/>
  <c r="BO43" i="77"/>
  <c r="BK43" i="77"/>
  <c r="BF43" i="77"/>
  <c r="BA43" i="77"/>
  <c r="AV43" i="77"/>
  <c r="AQ43" i="77"/>
  <c r="AJ43" i="77"/>
  <c r="AE43" i="77"/>
  <c r="AC43" i="77"/>
  <c r="W43" i="77"/>
  <c r="BO42" i="77"/>
  <c r="BK42" i="77"/>
  <c r="BF42" i="77"/>
  <c r="BA42" i="77"/>
  <c r="AV42" i="77"/>
  <c r="AQ42" i="77"/>
  <c r="AJ42" i="77"/>
  <c r="AE42" i="77"/>
  <c r="W42" i="77"/>
  <c r="AC42" i="77" s="1"/>
  <c r="BO41" i="77"/>
  <c r="BK41" i="77"/>
  <c r="BF41" i="77"/>
  <c r="BA41" i="77"/>
  <c r="AV41" i="77"/>
  <c r="AQ41" i="77"/>
  <c r="AJ41" i="77"/>
  <c r="AE41" i="77"/>
  <c r="AC41" i="77"/>
  <c r="W41" i="77"/>
  <c r="BO40" i="77"/>
  <c r="BK40" i="77"/>
  <c r="BF40" i="77"/>
  <c r="BA40" i="77"/>
  <c r="AV40" i="77"/>
  <c r="AQ40" i="77"/>
  <c r="AJ40" i="77"/>
  <c r="AE40" i="77"/>
  <c r="W40" i="77"/>
  <c r="AC40" i="77" s="1"/>
  <c r="BO39" i="77"/>
  <c r="BK39" i="77"/>
  <c r="BF39" i="77"/>
  <c r="BA39" i="77"/>
  <c r="AV39" i="77"/>
  <c r="AQ39" i="77"/>
  <c r="AJ39" i="77"/>
  <c r="AE39" i="77"/>
  <c r="AC39" i="77"/>
  <c r="W39" i="77"/>
  <c r="BO38" i="77"/>
  <c r="BK38" i="77"/>
  <c r="BF38" i="77"/>
  <c r="BA38" i="77"/>
  <c r="AV38" i="77"/>
  <c r="AQ38" i="77"/>
  <c r="AJ38" i="77"/>
  <c r="AE38" i="77"/>
  <c r="W38" i="77"/>
  <c r="AC38" i="77" s="1"/>
  <c r="K38" i="77"/>
  <c r="E38" i="77"/>
  <c r="BO37" i="77"/>
  <c r="BK37" i="77"/>
  <c r="BF37" i="77"/>
  <c r="BA37" i="77"/>
  <c r="AV37" i="77"/>
  <c r="AQ37" i="77"/>
  <c r="AJ37" i="77"/>
  <c r="AE37" i="77"/>
  <c r="W37" i="77"/>
  <c r="AC37" i="77" s="1"/>
  <c r="E37" i="77"/>
  <c r="BO36" i="77"/>
  <c r="BK36" i="77"/>
  <c r="BF36" i="77"/>
  <c r="BA36" i="77"/>
  <c r="AV36" i="77"/>
  <c r="AQ36" i="77"/>
  <c r="AJ36" i="77"/>
  <c r="AE36" i="77"/>
  <c r="W36" i="77"/>
  <c r="AC36" i="77" s="1"/>
  <c r="E36" i="77"/>
  <c r="BO35" i="77"/>
  <c r="BK35" i="77"/>
  <c r="BF35" i="77"/>
  <c r="BA35" i="77"/>
  <c r="AV35" i="77"/>
  <c r="AQ35" i="77"/>
  <c r="AJ35" i="77"/>
  <c r="AE35" i="77"/>
  <c r="W35" i="77"/>
  <c r="AC35" i="77" s="1"/>
  <c r="E35" i="77"/>
  <c r="BO34" i="77"/>
  <c r="BK34" i="77"/>
  <c r="BF34" i="77"/>
  <c r="BA34" i="77"/>
  <c r="AV34" i="77"/>
  <c r="AQ34" i="77"/>
  <c r="AJ34" i="77"/>
  <c r="AE34" i="77"/>
  <c r="W34" i="77"/>
  <c r="AC34" i="77" s="1"/>
  <c r="E34" i="77"/>
  <c r="BO33" i="77"/>
  <c r="BK33" i="77"/>
  <c r="BF33" i="77"/>
  <c r="BA33" i="77"/>
  <c r="AV33" i="77"/>
  <c r="AQ33" i="77"/>
  <c r="AJ33" i="77"/>
  <c r="AE33" i="77"/>
  <c r="W33" i="77"/>
  <c r="AC33" i="77" s="1"/>
  <c r="E33" i="77"/>
  <c r="F33" i="77" s="1"/>
  <c r="BO32" i="77"/>
  <c r="BK32" i="77"/>
  <c r="BF32" i="77"/>
  <c r="BA32" i="77"/>
  <c r="AV32" i="77"/>
  <c r="AQ32" i="77"/>
  <c r="AJ32" i="77"/>
  <c r="AE32" i="77"/>
  <c r="W32" i="77"/>
  <c r="AC32" i="77" s="1"/>
  <c r="E32" i="77"/>
  <c r="BO31" i="77"/>
  <c r="BK31" i="77"/>
  <c r="BF31" i="77"/>
  <c r="BA31" i="77"/>
  <c r="AV31" i="77"/>
  <c r="AQ31" i="77"/>
  <c r="AJ31" i="77"/>
  <c r="AE31" i="77"/>
  <c r="W31" i="77"/>
  <c r="AC31" i="77" s="1"/>
  <c r="E31" i="77"/>
  <c r="BO30" i="77"/>
  <c r="BK30" i="77"/>
  <c r="BF30" i="77"/>
  <c r="BA30" i="77"/>
  <c r="AV30" i="77"/>
  <c r="AQ30" i="77"/>
  <c r="AJ30" i="77"/>
  <c r="AE30" i="77"/>
  <c r="AC30" i="77"/>
  <c r="W30" i="77"/>
  <c r="E30" i="77"/>
  <c r="BO29" i="77"/>
  <c r="BK29" i="77"/>
  <c r="BF29" i="77"/>
  <c r="BA29" i="77"/>
  <c r="AV29" i="77"/>
  <c r="AQ29" i="77"/>
  <c r="AJ29" i="77"/>
  <c r="AE29" i="77"/>
  <c r="W29" i="77"/>
  <c r="AC29" i="77" s="1"/>
  <c r="E29" i="77"/>
  <c r="BO28" i="77"/>
  <c r="BK28" i="77"/>
  <c r="BF28" i="77"/>
  <c r="BA28" i="77"/>
  <c r="AV28" i="77"/>
  <c r="AQ28" i="77"/>
  <c r="AJ28" i="77"/>
  <c r="AE28" i="77"/>
  <c r="W28" i="77"/>
  <c r="AC28" i="77" s="1"/>
  <c r="BO27" i="77"/>
  <c r="BK27" i="77"/>
  <c r="BF27" i="77"/>
  <c r="BA27" i="77"/>
  <c r="AV27" i="77"/>
  <c r="AQ27" i="77"/>
  <c r="AJ27" i="77"/>
  <c r="AE27" i="77"/>
  <c r="W27" i="77"/>
  <c r="AC27" i="77" s="1"/>
  <c r="BO26" i="77"/>
  <c r="BK26" i="77"/>
  <c r="BF26" i="77"/>
  <c r="BA26" i="77"/>
  <c r="AV26" i="77"/>
  <c r="AQ26" i="77"/>
  <c r="AJ26" i="77"/>
  <c r="AE26" i="77"/>
  <c r="W26" i="77"/>
  <c r="AC26" i="77" s="1"/>
  <c r="E26" i="77"/>
  <c r="BO25" i="77"/>
  <c r="BK25" i="77"/>
  <c r="BF25" i="77"/>
  <c r="BA25" i="77"/>
  <c r="AV25" i="77"/>
  <c r="AQ25" i="77"/>
  <c r="AJ25" i="77"/>
  <c r="AE25" i="77"/>
  <c r="W25" i="77"/>
  <c r="AC25" i="77" s="1"/>
  <c r="BO24" i="77"/>
  <c r="BK24" i="77"/>
  <c r="BF24" i="77"/>
  <c r="BA24" i="77"/>
  <c r="AV24" i="77"/>
  <c r="AQ24" i="77"/>
  <c r="AJ24" i="77"/>
  <c r="AE24" i="77"/>
  <c r="AC24" i="77"/>
  <c r="W24" i="77"/>
  <c r="BO23" i="77"/>
  <c r="BK23" i="77"/>
  <c r="BF23" i="77"/>
  <c r="BA23" i="77"/>
  <c r="AV23" i="77"/>
  <c r="AQ23" i="77"/>
  <c r="AJ23" i="77"/>
  <c r="AE23" i="77"/>
  <c r="W23" i="77"/>
  <c r="AC23" i="77" s="1"/>
  <c r="BO22" i="77"/>
  <c r="BK22" i="77"/>
  <c r="BF22" i="77"/>
  <c r="BA22" i="77"/>
  <c r="AV22" i="77"/>
  <c r="AQ22" i="77"/>
  <c r="AJ22" i="77"/>
  <c r="AE22" i="77"/>
  <c r="W22" i="77"/>
  <c r="AC22" i="77" s="1"/>
  <c r="BO21" i="77"/>
  <c r="BK21" i="77"/>
  <c r="BF21" i="77"/>
  <c r="BA21" i="77"/>
  <c r="AV21" i="77"/>
  <c r="AQ21" i="77"/>
  <c r="AJ21" i="77"/>
  <c r="AE21" i="77"/>
  <c r="W21" i="77"/>
  <c r="AC21" i="77" s="1"/>
  <c r="BO20" i="77"/>
  <c r="BK20" i="77"/>
  <c r="BF20" i="77"/>
  <c r="BA20" i="77"/>
  <c r="AV20" i="77"/>
  <c r="AQ20" i="77"/>
  <c r="AJ20" i="77"/>
  <c r="AE20" i="77"/>
  <c r="W20" i="77"/>
  <c r="AC20" i="77" s="1"/>
  <c r="BO19" i="77"/>
  <c r="BK19" i="77"/>
  <c r="BF19" i="77"/>
  <c r="BA19" i="77"/>
  <c r="AV19" i="77"/>
  <c r="AQ19" i="77"/>
  <c r="AJ19" i="77"/>
  <c r="AE19" i="77"/>
  <c r="W19" i="77"/>
  <c r="AC19" i="77" s="1"/>
  <c r="BO18" i="77"/>
  <c r="BK18" i="77"/>
  <c r="BF18" i="77"/>
  <c r="BA18" i="77"/>
  <c r="AV18" i="77"/>
  <c r="AQ18" i="77"/>
  <c r="AJ18" i="77"/>
  <c r="AE18" i="77"/>
  <c r="W18" i="77"/>
  <c r="AC18" i="77" s="1"/>
  <c r="BO17" i="77"/>
  <c r="BK17" i="77"/>
  <c r="BF17" i="77"/>
  <c r="BA17" i="77"/>
  <c r="AV17" i="77"/>
  <c r="AQ17" i="77"/>
  <c r="AJ17" i="77"/>
  <c r="AE17" i="77"/>
  <c r="W17" i="77"/>
  <c r="AC17" i="77" s="1"/>
  <c r="BO16" i="77"/>
  <c r="BK16" i="77"/>
  <c r="BF16" i="77"/>
  <c r="BA16" i="77"/>
  <c r="AV16" i="77"/>
  <c r="AQ16" i="77"/>
  <c r="AJ16" i="77"/>
  <c r="AE16" i="77"/>
  <c r="W16" i="77"/>
  <c r="AC16" i="77" s="1"/>
  <c r="F16" i="77"/>
  <c r="BO15" i="77"/>
  <c r="BK15" i="77"/>
  <c r="BF15" i="77"/>
  <c r="BA15" i="77"/>
  <c r="AV15" i="77"/>
  <c r="AQ15" i="77"/>
  <c r="AJ15" i="77"/>
  <c r="AE15" i="77"/>
  <c r="AC15" i="77"/>
  <c r="W15" i="77"/>
  <c r="BO14" i="77"/>
  <c r="BK14" i="77"/>
  <c r="BF14" i="77"/>
  <c r="BA14" i="77"/>
  <c r="AV14" i="77"/>
  <c r="AQ14" i="77"/>
  <c r="AJ14" i="77"/>
  <c r="AE14" i="77"/>
  <c r="W14" i="77"/>
  <c r="AC14" i="77" s="1"/>
  <c r="F14" i="77"/>
  <c r="BO13" i="77"/>
  <c r="BK13" i="77"/>
  <c r="BF13" i="77"/>
  <c r="BA13" i="77"/>
  <c r="AV13" i="77"/>
  <c r="AQ13" i="77"/>
  <c r="AJ13" i="77"/>
  <c r="AE13" i="77"/>
  <c r="W13" i="77"/>
  <c r="AC13" i="77" s="1"/>
  <c r="BO12" i="77"/>
  <c r="BK12" i="77"/>
  <c r="BF12" i="77"/>
  <c r="BA12" i="77"/>
  <c r="AV12" i="77"/>
  <c r="AQ12" i="77"/>
  <c r="AJ12" i="77"/>
  <c r="AE12" i="77"/>
  <c r="W12" i="77"/>
  <c r="AC12" i="77" s="1"/>
  <c r="BO11" i="77"/>
  <c r="BK11" i="77"/>
  <c r="BF11" i="77"/>
  <c r="BA11" i="77"/>
  <c r="AV11" i="77"/>
  <c r="AQ11" i="77"/>
  <c r="AJ11" i="77"/>
  <c r="AE11" i="77"/>
  <c r="W11" i="77"/>
  <c r="AC11" i="77" s="1"/>
  <c r="BO10" i="77"/>
  <c r="BK10" i="77"/>
  <c r="BF10" i="77"/>
  <c r="BA10" i="77"/>
  <c r="AV10" i="77"/>
  <c r="AQ10" i="77"/>
  <c r="AJ10" i="77"/>
  <c r="AE10" i="77"/>
  <c r="W10" i="77"/>
  <c r="AC10" i="77" s="1"/>
  <c r="BO9" i="77"/>
  <c r="BK9" i="77"/>
  <c r="BF9" i="77"/>
  <c r="BA9" i="77"/>
  <c r="AV9" i="77"/>
  <c r="AQ9" i="77"/>
  <c r="AJ9" i="77"/>
  <c r="AE9" i="77"/>
  <c r="W9" i="77"/>
  <c r="AC9" i="77" s="1"/>
  <c r="BO8" i="77"/>
  <c r="BK8" i="77"/>
  <c r="BF8" i="77"/>
  <c r="BA8" i="77"/>
  <c r="AV8" i="77"/>
  <c r="AQ8" i="77"/>
  <c r="AJ8" i="77"/>
  <c r="AE8" i="77"/>
  <c r="W8" i="77"/>
  <c r="AC8" i="77" s="1"/>
  <c r="J8" i="77"/>
  <c r="BO7" i="77"/>
  <c r="BK7" i="77"/>
  <c r="BF7" i="77"/>
  <c r="BA7" i="77"/>
  <c r="AV7" i="77"/>
  <c r="AQ7" i="77"/>
  <c r="AJ7" i="77"/>
  <c r="AE7" i="77"/>
  <c r="W7" i="77"/>
  <c r="AC7" i="77" s="1"/>
  <c r="J7" i="77"/>
  <c r="BO6" i="77"/>
  <c r="BK6" i="77"/>
  <c r="BF6" i="77"/>
  <c r="BA6" i="77"/>
  <c r="AV6" i="77"/>
  <c r="AQ6" i="77"/>
  <c r="AJ6" i="77"/>
  <c r="AE6" i="77"/>
  <c r="AC6" i="77"/>
  <c r="W6" i="77"/>
  <c r="BO5" i="77"/>
  <c r="BK5" i="77"/>
  <c r="BF5" i="77"/>
  <c r="BA5" i="77"/>
  <c r="AV5" i="77"/>
  <c r="AQ5" i="77"/>
  <c r="AJ5" i="77"/>
  <c r="AE5" i="77"/>
  <c r="W5" i="77"/>
  <c r="AC5" i="77" s="1"/>
  <c r="BO4" i="77"/>
  <c r="BK4" i="77"/>
  <c r="BF4" i="77"/>
  <c r="BA4" i="77"/>
  <c r="AV4" i="77"/>
  <c r="AQ4" i="77"/>
  <c r="AJ4" i="77"/>
  <c r="AE4" i="77"/>
  <c r="AC4" i="77"/>
  <c r="W4" i="77"/>
  <c r="AM2" i="77"/>
  <c r="J215" i="76"/>
  <c r="N116" i="76"/>
  <c r="P116" i="76" s="1"/>
  <c r="AA114" i="76"/>
  <c r="U114" i="76"/>
  <c r="U113" i="76"/>
  <c r="AA113" i="76" s="1"/>
  <c r="U112" i="76"/>
  <c r="AA112" i="76" s="1"/>
  <c r="U111" i="76"/>
  <c r="AA111" i="76" s="1"/>
  <c r="U110" i="76"/>
  <c r="AA110" i="76" s="1"/>
  <c r="U109" i="76"/>
  <c r="AA109" i="76" s="1"/>
  <c r="AA108" i="76"/>
  <c r="U108" i="76"/>
  <c r="U107" i="76"/>
  <c r="AA107" i="76" s="1"/>
  <c r="U106" i="76"/>
  <c r="AA106" i="76" s="1"/>
  <c r="U105" i="76"/>
  <c r="AA105" i="76" s="1"/>
  <c r="U104" i="76"/>
  <c r="AA104" i="76" s="1"/>
  <c r="H104" i="76"/>
  <c r="G104" i="76"/>
  <c r="F104" i="76"/>
  <c r="AA103" i="76"/>
  <c r="U103" i="76"/>
  <c r="H103" i="76"/>
  <c r="G103" i="76"/>
  <c r="F103" i="76"/>
  <c r="U102" i="76"/>
  <c r="AA102" i="76" s="1"/>
  <c r="H102" i="76"/>
  <c r="G102" i="76"/>
  <c r="F102" i="76"/>
  <c r="U101" i="76"/>
  <c r="AA101" i="76" s="1"/>
  <c r="H101" i="76"/>
  <c r="G101" i="76"/>
  <c r="F101" i="76"/>
  <c r="U100" i="76"/>
  <c r="AA100" i="76" s="1"/>
  <c r="H100" i="76"/>
  <c r="G100" i="76"/>
  <c r="F100" i="76"/>
  <c r="U99" i="76"/>
  <c r="AA99" i="76" s="1"/>
  <c r="H99" i="76"/>
  <c r="G99" i="76"/>
  <c r="F99" i="76"/>
  <c r="U98" i="76"/>
  <c r="AA98" i="76" s="1"/>
  <c r="H98" i="76"/>
  <c r="G98" i="76"/>
  <c r="F98" i="76"/>
  <c r="U97" i="76"/>
  <c r="AA97" i="76" s="1"/>
  <c r="H97" i="76"/>
  <c r="G97" i="76"/>
  <c r="F97" i="76"/>
  <c r="AA96" i="76"/>
  <c r="U96" i="76"/>
  <c r="H96" i="76"/>
  <c r="G96" i="76"/>
  <c r="F96" i="76"/>
  <c r="U95" i="76"/>
  <c r="AA95" i="76" s="1"/>
  <c r="H95" i="76"/>
  <c r="G95" i="76"/>
  <c r="F95" i="76"/>
  <c r="U94" i="76"/>
  <c r="AA94" i="76" s="1"/>
  <c r="H94" i="76"/>
  <c r="G94" i="76"/>
  <c r="F94" i="76"/>
  <c r="U93" i="76"/>
  <c r="AA93" i="76" s="1"/>
  <c r="H93" i="76"/>
  <c r="G93" i="76"/>
  <c r="F93" i="76"/>
  <c r="U92" i="76"/>
  <c r="AA92" i="76" s="1"/>
  <c r="H92" i="76"/>
  <c r="G92" i="76"/>
  <c r="F92" i="76"/>
  <c r="U91" i="76"/>
  <c r="AA91" i="76" s="1"/>
  <c r="H91" i="76"/>
  <c r="G91" i="76"/>
  <c r="F91" i="76"/>
  <c r="AA90" i="76"/>
  <c r="U90" i="76"/>
  <c r="H90" i="76"/>
  <c r="G90" i="76"/>
  <c r="F90" i="76"/>
  <c r="U89" i="76"/>
  <c r="AA89" i="76" s="1"/>
  <c r="H89" i="76"/>
  <c r="G89" i="76"/>
  <c r="F89" i="76"/>
  <c r="U88" i="76"/>
  <c r="AA88" i="76" s="1"/>
  <c r="H88" i="76"/>
  <c r="G88" i="76"/>
  <c r="F88" i="76"/>
  <c r="U87" i="76"/>
  <c r="AA87" i="76" s="1"/>
  <c r="F87" i="76"/>
  <c r="U86" i="76"/>
  <c r="AA86" i="76" s="1"/>
  <c r="F86" i="76"/>
  <c r="U85" i="76"/>
  <c r="AA85" i="76" s="1"/>
  <c r="F85" i="76"/>
  <c r="AA84" i="76"/>
  <c r="U84" i="76"/>
  <c r="F84" i="76"/>
  <c r="U83" i="76"/>
  <c r="AA83" i="76" s="1"/>
  <c r="F83" i="76"/>
  <c r="U82" i="76"/>
  <c r="AA82" i="76" s="1"/>
  <c r="F82" i="76"/>
  <c r="U81" i="76"/>
  <c r="AA81" i="76" s="1"/>
  <c r="F81" i="76"/>
  <c r="U80" i="76"/>
  <c r="AA80" i="76" s="1"/>
  <c r="F80" i="76"/>
  <c r="U79" i="76"/>
  <c r="AA79" i="76" s="1"/>
  <c r="F79" i="76"/>
  <c r="U78" i="76"/>
  <c r="AA78" i="76" s="1"/>
  <c r="F78" i="76"/>
  <c r="U77" i="76"/>
  <c r="AA77" i="76" s="1"/>
  <c r="F77" i="76"/>
  <c r="U76" i="76"/>
  <c r="AA76" i="76" s="1"/>
  <c r="F76" i="76"/>
  <c r="U75" i="76"/>
  <c r="AA75" i="76" s="1"/>
  <c r="U74" i="76"/>
  <c r="AA74" i="76" s="1"/>
  <c r="U73" i="76"/>
  <c r="AA73" i="76" s="1"/>
  <c r="U72" i="76"/>
  <c r="AA72" i="76" s="1"/>
  <c r="U71" i="76"/>
  <c r="AA71" i="76" s="1"/>
  <c r="U70" i="76"/>
  <c r="AA70" i="76" s="1"/>
  <c r="U69" i="76"/>
  <c r="AA69" i="76" s="1"/>
  <c r="AA68" i="76"/>
  <c r="U68" i="76"/>
  <c r="U67" i="76"/>
  <c r="AA67" i="76" s="1"/>
  <c r="U66" i="76"/>
  <c r="AA66" i="76" s="1"/>
  <c r="U65" i="76"/>
  <c r="AA65" i="76" s="1"/>
  <c r="U64" i="76"/>
  <c r="AA64" i="76" s="1"/>
  <c r="U63" i="76"/>
  <c r="AA63" i="76" s="1"/>
  <c r="U62" i="76"/>
  <c r="AA62" i="76" s="1"/>
  <c r="U61" i="76"/>
  <c r="AA61" i="76" s="1"/>
  <c r="U60" i="76"/>
  <c r="AA60" i="76" s="1"/>
  <c r="U59" i="76"/>
  <c r="AA59" i="76" s="1"/>
  <c r="U58" i="76"/>
  <c r="AA58" i="76" s="1"/>
  <c r="U57" i="76"/>
  <c r="AA57" i="76" s="1"/>
  <c r="U56" i="76"/>
  <c r="AA56" i="76" s="1"/>
  <c r="U55" i="76"/>
  <c r="AA55" i="76" s="1"/>
  <c r="U54" i="76"/>
  <c r="AA54" i="76" s="1"/>
  <c r="U53" i="76"/>
  <c r="AA53" i="76" s="1"/>
  <c r="I53" i="76"/>
  <c r="U52" i="76"/>
  <c r="AA52" i="76" s="1"/>
  <c r="AA51" i="76"/>
  <c r="U51" i="76"/>
  <c r="U50" i="76"/>
  <c r="AA50" i="76" s="1"/>
  <c r="I50" i="76"/>
  <c r="U49" i="76"/>
  <c r="AA49" i="76" s="1"/>
  <c r="U48" i="76"/>
  <c r="AA48" i="76" s="1"/>
  <c r="U47" i="76"/>
  <c r="AA47" i="76" s="1"/>
  <c r="U46" i="76"/>
  <c r="AA46" i="76" s="1"/>
  <c r="U45" i="76"/>
  <c r="AA45" i="76" s="1"/>
  <c r="U44" i="76"/>
  <c r="AA44" i="76" s="1"/>
  <c r="U43" i="76"/>
  <c r="AA43" i="76" s="1"/>
  <c r="U42" i="76"/>
  <c r="AA42" i="76" s="1"/>
  <c r="U41" i="76"/>
  <c r="AA41" i="76" s="1"/>
  <c r="U40" i="76"/>
  <c r="AA40" i="76" s="1"/>
  <c r="U39" i="76"/>
  <c r="AA39" i="76" s="1"/>
  <c r="U38" i="76"/>
  <c r="AA38" i="76" s="1"/>
  <c r="K38" i="76"/>
  <c r="E38" i="76"/>
  <c r="U37" i="76"/>
  <c r="AA37" i="76" s="1"/>
  <c r="E37" i="76"/>
  <c r="U36" i="76"/>
  <c r="AA36" i="76" s="1"/>
  <c r="E36" i="76"/>
  <c r="U35" i="76"/>
  <c r="AA35" i="76" s="1"/>
  <c r="E35" i="76"/>
  <c r="U34" i="76"/>
  <c r="AA34" i="76" s="1"/>
  <c r="E34" i="76"/>
  <c r="U33" i="76"/>
  <c r="AA33" i="76" s="1"/>
  <c r="E33" i="76"/>
  <c r="F33" i="76" s="1"/>
  <c r="U32" i="76"/>
  <c r="AA32" i="76" s="1"/>
  <c r="E32" i="76"/>
  <c r="U31" i="76"/>
  <c r="AA31" i="76" s="1"/>
  <c r="U30" i="76"/>
  <c r="AA30" i="76" s="1"/>
  <c r="E30" i="76"/>
  <c r="U29" i="76"/>
  <c r="AA29" i="76" s="1"/>
  <c r="E29" i="76"/>
  <c r="U28" i="76"/>
  <c r="AA28" i="76" s="1"/>
  <c r="U27" i="76"/>
  <c r="AA27" i="76" s="1"/>
  <c r="U26" i="76"/>
  <c r="AA26" i="76" s="1"/>
  <c r="E26" i="76"/>
  <c r="U25" i="76"/>
  <c r="AA25" i="76" s="1"/>
  <c r="U24" i="76"/>
  <c r="AA24" i="76" s="1"/>
  <c r="U23" i="76"/>
  <c r="AA23" i="76" s="1"/>
  <c r="U22" i="76"/>
  <c r="AA22" i="76" s="1"/>
  <c r="U21" i="76"/>
  <c r="AA21" i="76" s="1"/>
  <c r="U20" i="76"/>
  <c r="AA20" i="76" s="1"/>
  <c r="U19" i="76"/>
  <c r="AA19" i="76" s="1"/>
  <c r="U18" i="76"/>
  <c r="AA18" i="76" s="1"/>
  <c r="E18" i="76"/>
  <c r="E18" i="77" s="1"/>
  <c r="I6" i="77" s="1"/>
  <c r="U17" i="76"/>
  <c r="AA17" i="76" s="1"/>
  <c r="E17" i="76"/>
  <c r="U16" i="76"/>
  <c r="AA16" i="76" s="1"/>
  <c r="F16" i="76"/>
  <c r="U15" i="76"/>
  <c r="AA15" i="76" s="1"/>
  <c r="U14" i="76"/>
  <c r="AA14" i="76" s="1"/>
  <c r="U13" i="76"/>
  <c r="AA13" i="76" s="1"/>
  <c r="U12" i="76"/>
  <c r="AA12" i="76" s="1"/>
  <c r="U11" i="76"/>
  <c r="AA11" i="76" s="1"/>
  <c r="U10" i="76"/>
  <c r="AA10" i="76" s="1"/>
  <c r="AA9" i="76"/>
  <c r="U9" i="76"/>
  <c r="U8" i="76"/>
  <c r="AA8" i="76" s="1"/>
  <c r="J8" i="76"/>
  <c r="U7" i="76"/>
  <c r="AA7" i="76" s="1"/>
  <c r="J7" i="76"/>
  <c r="U6" i="76"/>
  <c r="AA6" i="76" s="1"/>
  <c r="U5" i="76"/>
  <c r="AA5" i="76" s="1"/>
  <c r="U4" i="76"/>
  <c r="AA4" i="76" s="1"/>
  <c r="AK2" i="76"/>
  <c r="N116" i="75"/>
  <c r="BO114" i="75"/>
  <c r="BK114" i="75"/>
  <c r="BF114" i="75"/>
  <c r="BA114" i="75"/>
  <c r="AV114" i="75"/>
  <c r="AQ114" i="75"/>
  <c r="AJ114" i="75"/>
  <c r="AE114" i="75"/>
  <c r="AC114" i="75"/>
  <c r="BO113" i="75"/>
  <c r="BK113" i="75"/>
  <c r="BF113" i="75"/>
  <c r="BA113" i="75"/>
  <c r="AV113" i="75"/>
  <c r="AQ113" i="75"/>
  <c r="AJ113" i="75"/>
  <c r="AE113" i="75"/>
  <c r="AC113" i="75"/>
  <c r="BO112" i="75"/>
  <c r="BK112" i="75"/>
  <c r="BF112" i="75"/>
  <c r="BA112" i="75"/>
  <c r="AV112" i="75"/>
  <c r="AQ112" i="75"/>
  <c r="AJ112" i="75"/>
  <c r="AE112" i="75"/>
  <c r="AC112" i="75"/>
  <c r="BO111" i="75"/>
  <c r="BK111" i="75"/>
  <c r="BF111" i="75"/>
  <c r="BA111" i="75"/>
  <c r="AV111" i="75"/>
  <c r="AQ111" i="75"/>
  <c r="AJ111" i="75"/>
  <c r="AE111" i="75"/>
  <c r="AC111" i="75"/>
  <c r="BO110" i="75"/>
  <c r="BK110" i="75"/>
  <c r="BF110" i="75"/>
  <c r="BA110" i="75"/>
  <c r="AV110" i="75"/>
  <c r="AQ110" i="75"/>
  <c r="AJ110" i="75"/>
  <c r="AE110" i="75"/>
  <c r="AC110" i="75"/>
  <c r="BO109" i="75"/>
  <c r="BK109" i="75"/>
  <c r="BF109" i="75"/>
  <c r="BA109" i="75"/>
  <c r="AV109" i="75"/>
  <c r="AQ109" i="75"/>
  <c r="AJ109" i="75"/>
  <c r="AE109" i="75"/>
  <c r="AC109" i="75"/>
  <c r="BO108" i="75"/>
  <c r="BK108" i="75"/>
  <c r="BF108" i="75"/>
  <c r="BA108" i="75"/>
  <c r="AV108" i="75"/>
  <c r="AQ108" i="75"/>
  <c r="AJ108" i="75"/>
  <c r="AE108" i="75"/>
  <c r="AC108" i="75"/>
  <c r="BO107" i="75"/>
  <c r="BK107" i="75"/>
  <c r="BF107" i="75"/>
  <c r="BA107" i="75"/>
  <c r="AV107" i="75"/>
  <c r="AQ107" i="75"/>
  <c r="AJ107" i="75"/>
  <c r="AE107" i="75"/>
  <c r="AC107" i="75"/>
  <c r="BO106" i="75"/>
  <c r="BK106" i="75"/>
  <c r="BF106" i="75"/>
  <c r="BA106" i="75"/>
  <c r="AV106" i="75"/>
  <c r="AQ106" i="75"/>
  <c r="AJ106" i="75"/>
  <c r="AE106" i="75"/>
  <c r="AC106" i="75"/>
  <c r="BO105" i="75"/>
  <c r="BK105" i="75"/>
  <c r="BF105" i="75"/>
  <c r="BA105" i="75"/>
  <c r="AV105" i="75"/>
  <c r="AQ105" i="75"/>
  <c r="AJ105" i="75"/>
  <c r="AE105" i="75"/>
  <c r="AC105" i="75"/>
  <c r="BO104" i="75"/>
  <c r="BK104" i="75"/>
  <c r="BF104" i="75"/>
  <c r="BA104" i="75"/>
  <c r="AV104" i="75"/>
  <c r="AQ104" i="75"/>
  <c r="AJ104" i="75"/>
  <c r="AE104" i="75"/>
  <c r="AC104" i="75"/>
  <c r="F104" i="75"/>
  <c r="BO103" i="75"/>
  <c r="BK103" i="75"/>
  <c r="BF103" i="75"/>
  <c r="BA103" i="75"/>
  <c r="AV103" i="75"/>
  <c r="AQ103" i="75"/>
  <c r="AJ103" i="75"/>
  <c r="AE103" i="75"/>
  <c r="AC103" i="75"/>
  <c r="F103" i="75"/>
  <c r="BO102" i="75"/>
  <c r="BK102" i="75"/>
  <c r="BF102" i="75"/>
  <c r="BA102" i="75"/>
  <c r="AV102" i="75"/>
  <c r="AQ102" i="75"/>
  <c r="AJ102" i="75"/>
  <c r="AE102" i="75"/>
  <c r="AC102" i="75"/>
  <c r="F102" i="75"/>
  <c r="BO101" i="75"/>
  <c r="BK101" i="75"/>
  <c r="BF101" i="75"/>
  <c r="BA101" i="75"/>
  <c r="AV101" i="75"/>
  <c r="AQ101" i="75"/>
  <c r="AJ101" i="75"/>
  <c r="AE101" i="75"/>
  <c r="AC101" i="75"/>
  <c r="F101" i="75"/>
  <c r="BO100" i="75"/>
  <c r="BK100" i="75"/>
  <c r="BF100" i="75"/>
  <c r="BA100" i="75"/>
  <c r="AV100" i="75"/>
  <c r="AQ100" i="75"/>
  <c r="AJ100" i="75"/>
  <c r="AE100" i="75"/>
  <c r="AC100" i="75"/>
  <c r="F100" i="75"/>
  <c r="BO99" i="75"/>
  <c r="BK99" i="75"/>
  <c r="BF99" i="75"/>
  <c r="BA99" i="75"/>
  <c r="AV99" i="75"/>
  <c r="AQ99" i="75"/>
  <c r="AJ99" i="75"/>
  <c r="AE99" i="75"/>
  <c r="AC99" i="75"/>
  <c r="F99" i="75"/>
  <c r="BO98" i="75"/>
  <c r="BK98" i="75"/>
  <c r="BF98" i="75"/>
  <c r="BA98" i="75"/>
  <c r="AV98" i="75"/>
  <c r="AQ98" i="75"/>
  <c r="AJ98" i="75"/>
  <c r="AE98" i="75"/>
  <c r="AC98" i="75"/>
  <c r="F98" i="75"/>
  <c r="BO97" i="75"/>
  <c r="BK97" i="75"/>
  <c r="BF97" i="75"/>
  <c r="BA97" i="75"/>
  <c r="AV97" i="75"/>
  <c r="AQ97" i="75"/>
  <c r="AJ97" i="75"/>
  <c r="AE97" i="75"/>
  <c r="AC97" i="75"/>
  <c r="F97" i="75"/>
  <c r="BO96" i="75"/>
  <c r="BK96" i="75"/>
  <c r="BF96" i="75"/>
  <c r="BA96" i="75"/>
  <c r="AV96" i="75"/>
  <c r="AQ96" i="75"/>
  <c r="AJ96" i="75"/>
  <c r="AE96" i="75"/>
  <c r="AC96" i="75"/>
  <c r="F96" i="75"/>
  <c r="BO95" i="75"/>
  <c r="BK95" i="75"/>
  <c r="BF95" i="75"/>
  <c r="BA95" i="75"/>
  <c r="AV95" i="75"/>
  <c r="AQ95" i="75"/>
  <c r="AJ95" i="75"/>
  <c r="AE95" i="75"/>
  <c r="AC95" i="75"/>
  <c r="F95" i="75"/>
  <c r="BO94" i="75"/>
  <c r="BK94" i="75"/>
  <c r="BF94" i="75"/>
  <c r="BA94" i="75"/>
  <c r="AV94" i="75"/>
  <c r="AQ94" i="75"/>
  <c r="AJ94" i="75"/>
  <c r="AE94" i="75"/>
  <c r="AC94" i="75"/>
  <c r="F94" i="75"/>
  <c r="BO93" i="75"/>
  <c r="BK93" i="75"/>
  <c r="BF93" i="75"/>
  <c r="BA93" i="75"/>
  <c r="AV93" i="75"/>
  <c r="AQ93" i="75"/>
  <c r="AJ93" i="75"/>
  <c r="AE93" i="75"/>
  <c r="AC93" i="75"/>
  <c r="F93" i="75"/>
  <c r="BO92" i="75"/>
  <c r="BK92" i="75"/>
  <c r="BF92" i="75"/>
  <c r="BA92" i="75"/>
  <c r="AV92" i="75"/>
  <c r="AQ92" i="75"/>
  <c r="AJ92" i="75"/>
  <c r="AE92" i="75"/>
  <c r="AC92" i="75"/>
  <c r="F92" i="75"/>
  <c r="BO91" i="75"/>
  <c r="BK91" i="75"/>
  <c r="BF91" i="75"/>
  <c r="BA91" i="75"/>
  <c r="AV91" i="75"/>
  <c r="AQ91" i="75"/>
  <c r="AJ91" i="75"/>
  <c r="AE91" i="75"/>
  <c r="AC91" i="75"/>
  <c r="F91" i="75"/>
  <c r="BO90" i="75"/>
  <c r="BK90" i="75"/>
  <c r="BF90" i="75"/>
  <c r="BA90" i="75"/>
  <c r="AV90" i="75"/>
  <c r="AQ90" i="75"/>
  <c r="AJ90" i="75"/>
  <c r="AE90" i="75"/>
  <c r="AC90" i="75"/>
  <c r="F90" i="75"/>
  <c r="BO89" i="75"/>
  <c r="BK89" i="75"/>
  <c r="BF89" i="75"/>
  <c r="BA89" i="75"/>
  <c r="AV89" i="75"/>
  <c r="AQ89" i="75"/>
  <c r="AJ89" i="75"/>
  <c r="AE89" i="75"/>
  <c r="W89" i="75"/>
  <c r="AC89" i="75" s="1"/>
  <c r="F89" i="75"/>
  <c r="BO88" i="75"/>
  <c r="BK88" i="75"/>
  <c r="BF88" i="75"/>
  <c r="BA88" i="75"/>
  <c r="AV88" i="75"/>
  <c r="AQ88" i="75"/>
  <c r="AJ88" i="75"/>
  <c r="AE88" i="75"/>
  <c r="AC88" i="75"/>
  <c r="W88" i="75"/>
  <c r="F88" i="75"/>
  <c r="BO87" i="75"/>
  <c r="BK87" i="75"/>
  <c r="BF87" i="75"/>
  <c r="BA87" i="75"/>
  <c r="AV87" i="75"/>
  <c r="AQ87" i="75"/>
  <c r="AJ87" i="75"/>
  <c r="AE87" i="75"/>
  <c r="W87" i="75"/>
  <c r="AC87" i="75" s="1"/>
  <c r="F87" i="75"/>
  <c r="BO86" i="75"/>
  <c r="BK86" i="75"/>
  <c r="BF86" i="75"/>
  <c r="BA86" i="75"/>
  <c r="AV86" i="75"/>
  <c r="AQ86" i="75"/>
  <c r="AJ86" i="75"/>
  <c r="AE86" i="75"/>
  <c r="W86" i="75"/>
  <c r="AC86" i="75" s="1"/>
  <c r="F86" i="75"/>
  <c r="BO85" i="75"/>
  <c r="BK85" i="75"/>
  <c r="BF85" i="75"/>
  <c r="BA85" i="75"/>
  <c r="AV85" i="75"/>
  <c r="AQ85" i="75"/>
  <c r="AJ85" i="75"/>
  <c r="AE85" i="75"/>
  <c r="W85" i="75"/>
  <c r="AC85" i="75" s="1"/>
  <c r="F85" i="75"/>
  <c r="BO84" i="75"/>
  <c r="BK84" i="75"/>
  <c r="BF84" i="75"/>
  <c r="BA84" i="75"/>
  <c r="AV84" i="75"/>
  <c r="AQ84" i="75"/>
  <c r="AJ84" i="75"/>
  <c r="AE84" i="75"/>
  <c r="W84" i="75"/>
  <c r="AC84" i="75" s="1"/>
  <c r="F84" i="75"/>
  <c r="BO83" i="75"/>
  <c r="BK83" i="75"/>
  <c r="BF83" i="75"/>
  <c r="BA83" i="75"/>
  <c r="AV83" i="75"/>
  <c r="AQ83" i="75"/>
  <c r="AJ83" i="75"/>
  <c r="AE83" i="75"/>
  <c r="W83" i="75"/>
  <c r="AC83" i="75" s="1"/>
  <c r="F83" i="75"/>
  <c r="BO82" i="75"/>
  <c r="BK82" i="75"/>
  <c r="BF82" i="75"/>
  <c r="BA82" i="75"/>
  <c r="AV82" i="75"/>
  <c r="AQ82" i="75"/>
  <c r="AJ82" i="75"/>
  <c r="AE82" i="75"/>
  <c r="W82" i="75"/>
  <c r="AC82" i="75" s="1"/>
  <c r="F82" i="75"/>
  <c r="BO81" i="75"/>
  <c r="BK81" i="75"/>
  <c r="BF81" i="75"/>
  <c r="BA81" i="75"/>
  <c r="AV81" i="75"/>
  <c r="AQ81" i="75"/>
  <c r="AJ81" i="75"/>
  <c r="AE81" i="75"/>
  <c r="W81" i="75"/>
  <c r="AC81" i="75" s="1"/>
  <c r="F81" i="75"/>
  <c r="BO80" i="75"/>
  <c r="BK80" i="75"/>
  <c r="BF80" i="75"/>
  <c r="BA80" i="75"/>
  <c r="AV80" i="75"/>
  <c r="AQ80" i="75"/>
  <c r="AJ80" i="75"/>
  <c r="AE80" i="75"/>
  <c r="W80" i="75"/>
  <c r="AC80" i="75" s="1"/>
  <c r="F80" i="75"/>
  <c r="BO79" i="75"/>
  <c r="BK79" i="75"/>
  <c r="BF79" i="75"/>
  <c r="BA79" i="75"/>
  <c r="AV79" i="75"/>
  <c r="AQ79" i="75"/>
  <c r="AJ79" i="75"/>
  <c r="AE79" i="75"/>
  <c r="W79" i="75"/>
  <c r="AC79" i="75" s="1"/>
  <c r="F79" i="75"/>
  <c r="BO78" i="75"/>
  <c r="BK78" i="75"/>
  <c r="BF78" i="75"/>
  <c r="BA78" i="75"/>
  <c r="AV78" i="75"/>
  <c r="AQ78" i="75"/>
  <c r="AJ78" i="75"/>
  <c r="AE78" i="75"/>
  <c r="W78" i="75"/>
  <c r="AC78" i="75" s="1"/>
  <c r="F78" i="75"/>
  <c r="BO77" i="75"/>
  <c r="BK77" i="75"/>
  <c r="BF77" i="75"/>
  <c r="BA77" i="75"/>
  <c r="AV77" i="75"/>
  <c r="AQ77" i="75"/>
  <c r="AJ77" i="75"/>
  <c r="AE77" i="75"/>
  <c r="W77" i="75"/>
  <c r="AC77" i="75" s="1"/>
  <c r="F77" i="75"/>
  <c r="BO76" i="75"/>
  <c r="BK76" i="75"/>
  <c r="BF76" i="75"/>
  <c r="BA76" i="75"/>
  <c r="AV76" i="75"/>
  <c r="AQ76" i="75"/>
  <c r="AJ76" i="75"/>
  <c r="AE76" i="75"/>
  <c r="W76" i="75"/>
  <c r="AC76" i="75" s="1"/>
  <c r="F76" i="75"/>
  <c r="BO75" i="75"/>
  <c r="BK75" i="75"/>
  <c r="BF75" i="75"/>
  <c r="BA75" i="75"/>
  <c r="AV75" i="75"/>
  <c r="AQ75" i="75"/>
  <c r="AJ75" i="75"/>
  <c r="AE75" i="75"/>
  <c r="W75" i="75"/>
  <c r="AC75" i="75" s="1"/>
  <c r="BO74" i="75"/>
  <c r="BK74" i="75"/>
  <c r="BF74" i="75"/>
  <c r="BA74" i="75"/>
  <c r="AV74" i="75"/>
  <c r="AQ74" i="75"/>
  <c r="AJ74" i="75"/>
  <c r="AE74" i="75"/>
  <c r="W74" i="75"/>
  <c r="AC74" i="75" s="1"/>
  <c r="BO73" i="75"/>
  <c r="BK73" i="75"/>
  <c r="BF73" i="75"/>
  <c r="BA73" i="75"/>
  <c r="AV73" i="75"/>
  <c r="AQ73" i="75"/>
  <c r="AJ73" i="75"/>
  <c r="AE73" i="75"/>
  <c r="W73" i="75"/>
  <c r="AC73" i="75" s="1"/>
  <c r="BO72" i="75"/>
  <c r="BK72" i="75"/>
  <c r="BF72" i="75"/>
  <c r="BA72" i="75"/>
  <c r="AV72" i="75"/>
  <c r="AQ72" i="75"/>
  <c r="AJ72" i="75"/>
  <c r="AE72" i="75"/>
  <c r="W72" i="75"/>
  <c r="AC72" i="75" s="1"/>
  <c r="BO71" i="75"/>
  <c r="BK71" i="75"/>
  <c r="BF71" i="75"/>
  <c r="BA71" i="75"/>
  <c r="AV71" i="75"/>
  <c r="AQ71" i="75"/>
  <c r="AJ71" i="75"/>
  <c r="AE71" i="75"/>
  <c r="W71" i="75"/>
  <c r="AC71" i="75" s="1"/>
  <c r="BO70" i="75"/>
  <c r="BK70" i="75"/>
  <c r="BF70" i="75"/>
  <c r="BA70" i="75"/>
  <c r="AV70" i="75"/>
  <c r="AQ70" i="75"/>
  <c r="AJ70" i="75"/>
  <c r="AE70" i="75"/>
  <c r="W70" i="75"/>
  <c r="AC70" i="75" s="1"/>
  <c r="BO69" i="75"/>
  <c r="BK69" i="75"/>
  <c r="BF69" i="75"/>
  <c r="BA69" i="75"/>
  <c r="AV69" i="75"/>
  <c r="AQ69" i="75"/>
  <c r="AJ69" i="75"/>
  <c r="AE69" i="75"/>
  <c r="W69" i="75"/>
  <c r="AC69" i="75" s="1"/>
  <c r="BO68" i="75"/>
  <c r="BK68" i="75"/>
  <c r="BF68" i="75"/>
  <c r="BA68" i="75"/>
  <c r="AV68" i="75"/>
  <c r="AQ68" i="75"/>
  <c r="AJ68" i="75"/>
  <c r="AE68" i="75"/>
  <c r="W68" i="75"/>
  <c r="AC68" i="75" s="1"/>
  <c r="BO67" i="75"/>
  <c r="BK67" i="75"/>
  <c r="BF67" i="75"/>
  <c r="BA67" i="75"/>
  <c r="AV67" i="75"/>
  <c r="AQ67" i="75"/>
  <c r="AJ67" i="75"/>
  <c r="AE67" i="75"/>
  <c r="W67" i="75"/>
  <c r="AC67" i="75" s="1"/>
  <c r="BO66" i="75"/>
  <c r="BK66" i="75"/>
  <c r="BF66" i="75"/>
  <c r="BA66" i="75"/>
  <c r="AV66" i="75"/>
  <c r="AQ66" i="75"/>
  <c r="AJ66" i="75"/>
  <c r="AE66" i="75"/>
  <c r="W66" i="75"/>
  <c r="AC66" i="75" s="1"/>
  <c r="BO65" i="75"/>
  <c r="BK65" i="75"/>
  <c r="BF65" i="75"/>
  <c r="BA65" i="75"/>
  <c r="AV65" i="75"/>
  <c r="AQ65" i="75"/>
  <c r="AJ65" i="75"/>
  <c r="AE65" i="75"/>
  <c r="W65" i="75"/>
  <c r="AC65" i="75" s="1"/>
  <c r="BO64" i="75"/>
  <c r="BK64" i="75"/>
  <c r="BF64" i="75"/>
  <c r="BA64" i="75"/>
  <c r="AV64" i="75"/>
  <c r="AQ64" i="75"/>
  <c r="AJ64" i="75"/>
  <c r="AE64" i="75"/>
  <c r="W64" i="75"/>
  <c r="AC64" i="75" s="1"/>
  <c r="BO63" i="75"/>
  <c r="BK63" i="75"/>
  <c r="BF63" i="75"/>
  <c r="BA63" i="75"/>
  <c r="AV63" i="75"/>
  <c r="AQ63" i="75"/>
  <c r="AJ63" i="75"/>
  <c r="AE63" i="75"/>
  <c r="W63" i="75"/>
  <c r="AC63" i="75" s="1"/>
  <c r="BO62" i="75"/>
  <c r="BK62" i="75"/>
  <c r="BF62" i="75"/>
  <c r="BA62" i="75"/>
  <c r="AV62" i="75"/>
  <c r="AQ62" i="75"/>
  <c r="AJ62" i="75"/>
  <c r="AE62" i="75"/>
  <c r="W62" i="75"/>
  <c r="AC62" i="75" s="1"/>
  <c r="BO61" i="75"/>
  <c r="BK61" i="75"/>
  <c r="BF61" i="75"/>
  <c r="BA61" i="75"/>
  <c r="AV61" i="75"/>
  <c r="AQ61" i="75"/>
  <c r="AJ61" i="75"/>
  <c r="AE61" i="75"/>
  <c r="W61" i="75"/>
  <c r="AC61" i="75" s="1"/>
  <c r="BO60" i="75"/>
  <c r="BK60" i="75"/>
  <c r="BF60" i="75"/>
  <c r="BA60" i="75"/>
  <c r="AV60" i="75"/>
  <c r="AQ60" i="75"/>
  <c r="AJ60" i="75"/>
  <c r="AE60" i="75"/>
  <c r="W60" i="75"/>
  <c r="AC60" i="75" s="1"/>
  <c r="BO59" i="75"/>
  <c r="BK59" i="75"/>
  <c r="BF59" i="75"/>
  <c r="BA59" i="75"/>
  <c r="AV59" i="75"/>
  <c r="AQ59" i="75"/>
  <c r="AJ59" i="75"/>
  <c r="AE59" i="75"/>
  <c r="W59" i="75"/>
  <c r="AC59" i="75" s="1"/>
  <c r="BO58" i="75"/>
  <c r="BK58" i="75"/>
  <c r="BF58" i="75"/>
  <c r="BA58" i="75"/>
  <c r="AV58" i="75"/>
  <c r="AQ58" i="75"/>
  <c r="AJ58" i="75"/>
  <c r="AE58" i="75"/>
  <c r="W58" i="75"/>
  <c r="AC58" i="75" s="1"/>
  <c r="BO57" i="75"/>
  <c r="BK57" i="75"/>
  <c r="BF57" i="75"/>
  <c r="BA57" i="75"/>
  <c r="AV57" i="75"/>
  <c r="AQ57" i="75"/>
  <c r="AJ57" i="75"/>
  <c r="AE57" i="75"/>
  <c r="W57" i="75"/>
  <c r="AC57" i="75" s="1"/>
  <c r="BO56" i="75"/>
  <c r="BK56" i="75"/>
  <c r="BF56" i="75"/>
  <c r="BA56" i="75"/>
  <c r="AV56" i="75"/>
  <c r="AQ56" i="75"/>
  <c r="AJ56" i="75"/>
  <c r="AE56" i="75"/>
  <c r="W56" i="75"/>
  <c r="AC56" i="75" s="1"/>
  <c r="BO55" i="75"/>
  <c r="BK55" i="75"/>
  <c r="BF55" i="75"/>
  <c r="BA55" i="75"/>
  <c r="AV55" i="75"/>
  <c r="AQ55" i="75"/>
  <c r="AJ55" i="75"/>
  <c r="AE55" i="75"/>
  <c r="W55" i="75"/>
  <c r="AC55" i="75" s="1"/>
  <c r="BO54" i="75"/>
  <c r="BK54" i="75"/>
  <c r="BF54" i="75"/>
  <c r="BA54" i="75"/>
  <c r="AV54" i="75"/>
  <c r="AQ54" i="75"/>
  <c r="AJ54" i="75"/>
  <c r="AE54" i="75"/>
  <c r="W54" i="75"/>
  <c r="AC54" i="75" s="1"/>
  <c r="BO53" i="75"/>
  <c r="BK53" i="75"/>
  <c r="BF53" i="75"/>
  <c r="BA53" i="75"/>
  <c r="AV53" i="75"/>
  <c r="AQ53" i="75"/>
  <c r="AJ53" i="75"/>
  <c r="AE53" i="75"/>
  <c r="W53" i="75"/>
  <c r="AC53" i="75" s="1"/>
  <c r="I53" i="75"/>
  <c r="BO52" i="75"/>
  <c r="BK52" i="75"/>
  <c r="BF52" i="75"/>
  <c r="BA52" i="75"/>
  <c r="AV52" i="75"/>
  <c r="AQ52" i="75"/>
  <c r="AJ52" i="75"/>
  <c r="AE52" i="75"/>
  <c r="W52" i="75"/>
  <c r="AC52" i="75" s="1"/>
  <c r="BO51" i="75"/>
  <c r="BK51" i="75"/>
  <c r="BF51" i="75"/>
  <c r="BA51" i="75"/>
  <c r="AV51" i="75"/>
  <c r="AQ51" i="75"/>
  <c r="AJ51" i="75"/>
  <c r="AE51" i="75"/>
  <c r="W51" i="75"/>
  <c r="AC51" i="75" s="1"/>
  <c r="BO50" i="75"/>
  <c r="BK50" i="75"/>
  <c r="BF50" i="75"/>
  <c r="BA50" i="75"/>
  <c r="AV50" i="75"/>
  <c r="AQ50" i="75"/>
  <c r="AJ50" i="75"/>
  <c r="AE50" i="75"/>
  <c r="W50" i="75"/>
  <c r="AC50" i="75" s="1"/>
  <c r="I50" i="75"/>
  <c r="BO49" i="75"/>
  <c r="BK49" i="75"/>
  <c r="BF49" i="75"/>
  <c r="BA49" i="75"/>
  <c r="AV49" i="75"/>
  <c r="AQ49" i="75"/>
  <c r="AJ49" i="75"/>
  <c r="AE49" i="75"/>
  <c r="W49" i="75"/>
  <c r="AC49" i="75" s="1"/>
  <c r="BO48" i="75"/>
  <c r="BK48" i="75"/>
  <c r="BF48" i="75"/>
  <c r="BA48" i="75"/>
  <c r="AV48" i="75"/>
  <c r="AQ48" i="75"/>
  <c r="AJ48" i="75"/>
  <c r="AE48" i="75"/>
  <c r="W48" i="75"/>
  <c r="AC48" i="75" s="1"/>
  <c r="BO47" i="75"/>
  <c r="BK47" i="75"/>
  <c r="BF47" i="75"/>
  <c r="BA47" i="75"/>
  <c r="AV47" i="75"/>
  <c r="AQ47" i="75"/>
  <c r="AJ47" i="75"/>
  <c r="AE47" i="75"/>
  <c r="W47" i="75"/>
  <c r="AC47" i="75" s="1"/>
  <c r="BO46" i="75"/>
  <c r="BK46" i="75"/>
  <c r="BF46" i="75"/>
  <c r="BA46" i="75"/>
  <c r="AV46" i="75"/>
  <c r="AQ46" i="75"/>
  <c r="AJ46" i="75"/>
  <c r="AE46" i="75"/>
  <c r="W46" i="75"/>
  <c r="AC46" i="75" s="1"/>
  <c r="BO45" i="75"/>
  <c r="BK45" i="75"/>
  <c r="BF45" i="75"/>
  <c r="BA45" i="75"/>
  <c r="AV45" i="75"/>
  <c r="AQ45" i="75"/>
  <c r="AJ45" i="75"/>
  <c r="AE45" i="75"/>
  <c r="W45" i="75"/>
  <c r="AC45" i="75" s="1"/>
  <c r="BO44" i="75"/>
  <c r="BK44" i="75"/>
  <c r="BF44" i="75"/>
  <c r="BA44" i="75"/>
  <c r="AV44" i="75"/>
  <c r="AQ44" i="75"/>
  <c r="AJ44" i="75"/>
  <c r="AE44" i="75"/>
  <c r="W44" i="75"/>
  <c r="AC44" i="75" s="1"/>
  <c r="BO43" i="75"/>
  <c r="BK43" i="75"/>
  <c r="BF43" i="75"/>
  <c r="BA43" i="75"/>
  <c r="AV43" i="75"/>
  <c r="AQ43" i="75"/>
  <c r="AJ43" i="75"/>
  <c r="AE43" i="75"/>
  <c r="W43" i="75"/>
  <c r="AC43" i="75" s="1"/>
  <c r="BO42" i="75"/>
  <c r="BK42" i="75"/>
  <c r="BF42" i="75"/>
  <c r="BA42" i="75"/>
  <c r="AV42" i="75"/>
  <c r="AQ42" i="75"/>
  <c r="AJ42" i="75"/>
  <c r="AE42" i="75"/>
  <c r="W42" i="75"/>
  <c r="AC42" i="75" s="1"/>
  <c r="BO41" i="75"/>
  <c r="BK41" i="75"/>
  <c r="BF41" i="75"/>
  <c r="BA41" i="75"/>
  <c r="AV41" i="75"/>
  <c r="AQ41" i="75"/>
  <c r="AJ41" i="75"/>
  <c r="AE41" i="75"/>
  <c r="W41" i="75"/>
  <c r="AC41" i="75" s="1"/>
  <c r="BO40" i="75"/>
  <c r="BK40" i="75"/>
  <c r="BF40" i="75"/>
  <c r="BA40" i="75"/>
  <c r="AV40" i="75"/>
  <c r="AQ40" i="75"/>
  <c r="AJ40" i="75"/>
  <c r="AE40" i="75"/>
  <c r="W40" i="75"/>
  <c r="AC40" i="75" s="1"/>
  <c r="BO39" i="75"/>
  <c r="BK39" i="75"/>
  <c r="BF39" i="75"/>
  <c r="BA39" i="75"/>
  <c r="AV39" i="75"/>
  <c r="AQ39" i="75"/>
  <c r="AJ39" i="75"/>
  <c r="AE39" i="75"/>
  <c r="W39" i="75"/>
  <c r="AC39" i="75" s="1"/>
  <c r="BO38" i="75"/>
  <c r="BK38" i="75"/>
  <c r="BF38" i="75"/>
  <c r="BA38" i="75"/>
  <c r="AV38" i="75"/>
  <c r="AQ38" i="75"/>
  <c r="AJ38" i="75"/>
  <c r="AE38" i="75"/>
  <c r="W38" i="75"/>
  <c r="AC38" i="75" s="1"/>
  <c r="E38" i="75"/>
  <c r="BO37" i="75"/>
  <c r="BK37" i="75"/>
  <c r="BF37" i="75"/>
  <c r="BA37" i="75"/>
  <c r="AV37" i="75"/>
  <c r="AQ37" i="75"/>
  <c r="AJ37" i="75"/>
  <c r="AE37" i="75"/>
  <c r="W37" i="75"/>
  <c r="AC37" i="75" s="1"/>
  <c r="E37" i="75"/>
  <c r="BO36" i="75"/>
  <c r="BK36" i="75"/>
  <c r="BF36" i="75"/>
  <c r="BA36" i="75"/>
  <c r="AV36" i="75"/>
  <c r="AQ36" i="75"/>
  <c r="AJ36" i="75"/>
  <c r="AE36" i="75"/>
  <c r="W36" i="75"/>
  <c r="AC36" i="75" s="1"/>
  <c r="E36" i="75"/>
  <c r="BO35" i="75"/>
  <c r="BK35" i="75"/>
  <c r="BF35" i="75"/>
  <c r="BA35" i="75"/>
  <c r="AV35" i="75"/>
  <c r="AQ35" i="75"/>
  <c r="AJ35" i="75"/>
  <c r="AE35" i="75"/>
  <c r="W35" i="75"/>
  <c r="AC35" i="75" s="1"/>
  <c r="E35" i="75"/>
  <c r="BO34" i="75"/>
  <c r="BK34" i="75"/>
  <c r="BF34" i="75"/>
  <c r="BA34" i="75"/>
  <c r="AV34" i="75"/>
  <c r="AQ34" i="75"/>
  <c r="AJ34" i="75"/>
  <c r="AE34" i="75"/>
  <c r="W34" i="75"/>
  <c r="AC34" i="75" s="1"/>
  <c r="E34" i="75"/>
  <c r="BO33" i="75"/>
  <c r="BK33" i="75"/>
  <c r="BF33" i="75"/>
  <c r="BA33" i="75"/>
  <c r="AV33" i="75"/>
  <c r="AQ33" i="75"/>
  <c r="AJ33" i="75"/>
  <c r="AE33" i="75"/>
  <c r="W33" i="75"/>
  <c r="AC33" i="75" s="1"/>
  <c r="E33" i="75"/>
  <c r="F33" i="75" s="1"/>
  <c r="BO32" i="75"/>
  <c r="BK32" i="75"/>
  <c r="BF32" i="75"/>
  <c r="BA32" i="75"/>
  <c r="AV32" i="75"/>
  <c r="AQ32" i="75"/>
  <c r="AJ32" i="75"/>
  <c r="AE32" i="75"/>
  <c r="W32" i="75"/>
  <c r="AC32" i="75" s="1"/>
  <c r="E32" i="75"/>
  <c r="BO31" i="75"/>
  <c r="BK31" i="75"/>
  <c r="BF31" i="75"/>
  <c r="BA31" i="75"/>
  <c r="AV31" i="75"/>
  <c r="AQ31" i="75"/>
  <c r="AJ31" i="75"/>
  <c r="AE31" i="75"/>
  <c r="W31" i="75"/>
  <c r="AC31" i="75" s="1"/>
  <c r="BO30" i="75"/>
  <c r="BK30" i="75"/>
  <c r="BF30" i="75"/>
  <c r="BA30" i="75"/>
  <c r="AV30" i="75"/>
  <c r="AQ30" i="75"/>
  <c r="AJ30" i="75"/>
  <c r="AE30" i="75"/>
  <c r="W30" i="75"/>
  <c r="AC30" i="75" s="1"/>
  <c r="E30" i="75"/>
  <c r="BO29" i="75"/>
  <c r="BK29" i="75"/>
  <c r="BF29" i="75"/>
  <c r="BA29" i="75"/>
  <c r="AV29" i="75"/>
  <c r="AQ29" i="75"/>
  <c r="AJ29" i="75"/>
  <c r="AE29" i="75"/>
  <c r="W29" i="75"/>
  <c r="AC29" i="75" s="1"/>
  <c r="E29" i="75"/>
  <c r="BO28" i="75"/>
  <c r="BK28" i="75"/>
  <c r="BF28" i="75"/>
  <c r="BA28" i="75"/>
  <c r="AV28" i="75"/>
  <c r="AQ28" i="75"/>
  <c r="AJ28" i="75"/>
  <c r="AE28" i="75"/>
  <c r="W28" i="75"/>
  <c r="AC28" i="75" s="1"/>
  <c r="BO27" i="75"/>
  <c r="BK27" i="75"/>
  <c r="BF27" i="75"/>
  <c r="BA27" i="75"/>
  <c r="AV27" i="75"/>
  <c r="AQ27" i="75"/>
  <c r="AJ27" i="75"/>
  <c r="AE27" i="75"/>
  <c r="W27" i="75"/>
  <c r="AC27" i="75" s="1"/>
  <c r="BO26" i="75"/>
  <c r="BK26" i="75"/>
  <c r="BF26" i="75"/>
  <c r="BA26" i="75"/>
  <c r="AV26" i="75"/>
  <c r="AQ26" i="75"/>
  <c r="AJ26" i="75"/>
  <c r="AE26" i="75"/>
  <c r="W26" i="75"/>
  <c r="AC26" i="75" s="1"/>
  <c r="E26" i="75"/>
  <c r="BO25" i="75"/>
  <c r="BK25" i="75"/>
  <c r="BF25" i="75"/>
  <c r="BA25" i="75"/>
  <c r="AV25" i="75"/>
  <c r="AQ25" i="75"/>
  <c r="AJ25" i="75"/>
  <c r="AE25" i="75"/>
  <c r="W25" i="75"/>
  <c r="AC25" i="75" s="1"/>
  <c r="BO24" i="75"/>
  <c r="BK24" i="75"/>
  <c r="BF24" i="75"/>
  <c r="BA24" i="75"/>
  <c r="AV24" i="75"/>
  <c r="AQ24" i="75"/>
  <c r="AJ24" i="75"/>
  <c r="AE24" i="75"/>
  <c r="W24" i="75"/>
  <c r="AC24" i="75" s="1"/>
  <c r="BO23" i="75"/>
  <c r="BK23" i="75"/>
  <c r="BF23" i="75"/>
  <c r="BA23" i="75"/>
  <c r="AV23" i="75"/>
  <c r="AQ23" i="75"/>
  <c r="AJ23" i="75"/>
  <c r="AE23" i="75"/>
  <c r="W23" i="75"/>
  <c r="AC23" i="75" s="1"/>
  <c r="BO22" i="75"/>
  <c r="BK22" i="75"/>
  <c r="BF22" i="75"/>
  <c r="BA22" i="75"/>
  <c r="AV22" i="75"/>
  <c r="AQ22" i="75"/>
  <c r="AJ22" i="75"/>
  <c r="AE22" i="75"/>
  <c r="W22" i="75"/>
  <c r="AC22" i="75" s="1"/>
  <c r="BO21" i="75"/>
  <c r="BK21" i="75"/>
  <c r="BF21" i="75"/>
  <c r="BA21" i="75"/>
  <c r="AV21" i="75"/>
  <c r="AQ21" i="75"/>
  <c r="AJ21" i="75"/>
  <c r="AE21" i="75"/>
  <c r="W21" i="75"/>
  <c r="AC21" i="75" s="1"/>
  <c r="BO20" i="75"/>
  <c r="BK20" i="75"/>
  <c r="BF20" i="75"/>
  <c r="BA20" i="75"/>
  <c r="AV20" i="75"/>
  <c r="AQ20" i="75"/>
  <c r="AJ20" i="75"/>
  <c r="AE20" i="75"/>
  <c r="W20" i="75"/>
  <c r="AC20" i="75" s="1"/>
  <c r="BO19" i="75"/>
  <c r="BK19" i="75"/>
  <c r="BF19" i="75"/>
  <c r="BA19" i="75"/>
  <c r="AV19" i="75"/>
  <c r="AQ19" i="75"/>
  <c r="AJ19" i="75"/>
  <c r="AE19" i="75"/>
  <c r="W19" i="75"/>
  <c r="AC19" i="75" s="1"/>
  <c r="BO18" i="75"/>
  <c r="BK18" i="75"/>
  <c r="BF18" i="75"/>
  <c r="BA18" i="75"/>
  <c r="AV18" i="75"/>
  <c r="AQ18" i="75"/>
  <c r="AJ18" i="75"/>
  <c r="AE18" i="75"/>
  <c r="W18" i="75"/>
  <c r="AC18" i="75" s="1"/>
  <c r="E18" i="75"/>
  <c r="BO17" i="75"/>
  <c r="BK17" i="75"/>
  <c r="BF17" i="75"/>
  <c r="BA17" i="75"/>
  <c r="AV17" i="75"/>
  <c r="AQ17" i="75"/>
  <c r="AJ17" i="75"/>
  <c r="AE17" i="75"/>
  <c r="W17" i="75"/>
  <c r="AC17" i="75" s="1"/>
  <c r="BO16" i="75"/>
  <c r="BK16" i="75"/>
  <c r="BF16" i="75"/>
  <c r="BA16" i="75"/>
  <c r="AV16" i="75"/>
  <c r="AQ16" i="75"/>
  <c r="AJ16" i="75"/>
  <c r="AE16" i="75"/>
  <c r="W16" i="75"/>
  <c r="AC16" i="75" s="1"/>
  <c r="BO15" i="75"/>
  <c r="BK15" i="75"/>
  <c r="BF15" i="75"/>
  <c r="BA15" i="75"/>
  <c r="AV15" i="75"/>
  <c r="AQ15" i="75"/>
  <c r="AJ15" i="75"/>
  <c r="AE15" i="75"/>
  <c r="W15" i="75"/>
  <c r="AC15" i="75" s="1"/>
  <c r="BO14" i="75"/>
  <c r="BK14" i="75"/>
  <c r="BF14" i="75"/>
  <c r="BA14" i="75"/>
  <c r="AV14" i="75"/>
  <c r="AQ14" i="75"/>
  <c r="AJ14" i="75"/>
  <c r="AE14" i="75"/>
  <c r="W14" i="75"/>
  <c r="AC14" i="75" s="1"/>
  <c r="E14" i="75"/>
  <c r="BO13" i="75"/>
  <c r="BK13" i="75"/>
  <c r="BF13" i="75"/>
  <c r="BA13" i="75"/>
  <c r="AV13" i="75"/>
  <c r="AQ13" i="75"/>
  <c r="AJ13" i="75"/>
  <c r="AE13" i="75"/>
  <c r="AC13" i="75"/>
  <c r="W13" i="75"/>
  <c r="BO12" i="75"/>
  <c r="BK12" i="75"/>
  <c r="BF12" i="75"/>
  <c r="BA12" i="75"/>
  <c r="AV12" i="75"/>
  <c r="AQ12" i="75"/>
  <c r="AJ12" i="75"/>
  <c r="AE12" i="75"/>
  <c r="W12" i="75"/>
  <c r="AC12" i="75" s="1"/>
  <c r="BO11" i="75"/>
  <c r="BK11" i="75"/>
  <c r="BF11" i="75"/>
  <c r="BA11" i="75"/>
  <c r="AV11" i="75"/>
  <c r="AQ11" i="75"/>
  <c r="AJ11" i="75"/>
  <c r="AE11" i="75"/>
  <c r="W11" i="75"/>
  <c r="AC11" i="75" s="1"/>
  <c r="BO10" i="75"/>
  <c r="BK10" i="75"/>
  <c r="BF10" i="75"/>
  <c r="BA10" i="75"/>
  <c r="AV10" i="75"/>
  <c r="AQ10" i="75"/>
  <c r="AJ10" i="75"/>
  <c r="AE10" i="75"/>
  <c r="W10" i="75"/>
  <c r="AC10" i="75" s="1"/>
  <c r="BO9" i="75"/>
  <c r="BK9" i="75"/>
  <c r="BF9" i="75"/>
  <c r="BA9" i="75"/>
  <c r="AV9" i="75"/>
  <c r="AQ9" i="75"/>
  <c r="AJ9" i="75"/>
  <c r="AE9" i="75"/>
  <c r="W9" i="75"/>
  <c r="AC9" i="75" s="1"/>
  <c r="BO8" i="75"/>
  <c r="BK8" i="75"/>
  <c r="BF8" i="75"/>
  <c r="BA8" i="75"/>
  <c r="AV8" i="75"/>
  <c r="AQ8" i="75"/>
  <c r="AJ8" i="75"/>
  <c r="AE8" i="75"/>
  <c r="W8" i="75"/>
  <c r="AC8" i="75" s="1"/>
  <c r="J8" i="75"/>
  <c r="BO7" i="75"/>
  <c r="BK7" i="75"/>
  <c r="BF7" i="75"/>
  <c r="BA7" i="75"/>
  <c r="AV7" i="75"/>
  <c r="AQ7" i="75"/>
  <c r="AJ7" i="75"/>
  <c r="AE7" i="75"/>
  <c r="W7" i="75"/>
  <c r="AC7" i="75" s="1"/>
  <c r="J7" i="75"/>
  <c r="BO6" i="75"/>
  <c r="BK6" i="75"/>
  <c r="BF6" i="75"/>
  <c r="BA6" i="75"/>
  <c r="AV6" i="75"/>
  <c r="AQ6" i="75"/>
  <c r="AJ6" i="75"/>
  <c r="AE6" i="75"/>
  <c r="W6" i="75"/>
  <c r="AC6" i="75" s="1"/>
  <c r="I6" i="75"/>
  <c r="BO5" i="75"/>
  <c r="BK5" i="75"/>
  <c r="BF5" i="75"/>
  <c r="BA5" i="75"/>
  <c r="AV5" i="75"/>
  <c r="AQ5" i="75"/>
  <c r="AJ5" i="75"/>
  <c r="AE5" i="75"/>
  <c r="W5" i="75"/>
  <c r="AC5" i="75" s="1"/>
  <c r="BO4" i="75"/>
  <c r="BK4" i="75"/>
  <c r="BF4" i="75"/>
  <c r="BA4" i="75"/>
  <c r="AV4" i="75"/>
  <c r="AQ4" i="75"/>
  <c r="AJ4" i="75"/>
  <c r="AE4" i="75"/>
  <c r="W4" i="75"/>
  <c r="AC4" i="75" s="1"/>
  <c r="CC3" i="75"/>
  <c r="J219" i="74"/>
  <c r="T116" i="74"/>
  <c r="N116" i="74"/>
  <c r="I53" i="74"/>
  <c r="I50" i="74"/>
  <c r="E19" i="74"/>
  <c r="E17" i="74"/>
  <c r="J8" i="74"/>
  <c r="J7" i="74"/>
  <c r="I6" i="74"/>
  <c r="O5" i="74"/>
  <c r="M19" i="65" s="1"/>
  <c r="CC3" i="74"/>
  <c r="W3" i="74"/>
  <c r="U17" i="65" s="1"/>
  <c r="T3" i="74"/>
  <c r="R17" i="65" s="1"/>
  <c r="O3" i="74" l="1"/>
  <c r="M17" i="65" s="1"/>
  <c r="O6" i="74"/>
  <c r="M20" i="65" s="1"/>
  <c r="O4" i="74"/>
  <c r="M18" i="65" s="1"/>
  <c r="AB4" i="74"/>
  <c r="AV4" i="74" s="1"/>
  <c r="F7" i="75"/>
  <c r="F8" i="75"/>
  <c r="O7" i="74"/>
  <c r="M21" i="65" s="1"/>
  <c r="I6" i="76"/>
  <c r="F7" i="76"/>
  <c r="F8" i="76"/>
  <c r="G64" i="74"/>
  <c r="G65" i="74"/>
  <c r="E3" i="75"/>
  <c r="O6" i="75" s="1"/>
  <c r="G3" i="74"/>
  <c r="E4" i="76"/>
  <c r="E4" i="75"/>
  <c r="E3" i="76"/>
  <c r="O7" i="76" s="1"/>
  <c r="E2" i="77"/>
  <c r="F2" i="74"/>
  <c r="F2" i="77" s="1"/>
  <c r="F9" i="75"/>
  <c r="E2" i="76"/>
  <c r="F9" i="77"/>
  <c r="E5" i="75"/>
  <c r="E3" i="77"/>
  <c r="O3" i="77" s="1"/>
  <c r="E5" i="76"/>
  <c r="N117" i="77"/>
  <c r="N118" i="77" s="1"/>
  <c r="Q118" i="77" s="1"/>
  <c r="R116" i="76"/>
  <c r="R116" i="77"/>
  <c r="Q116" i="76"/>
  <c r="F4" i="74"/>
  <c r="F5" i="74" s="1"/>
  <c r="F5" i="75" s="1"/>
  <c r="K37" i="74"/>
  <c r="E19" i="76"/>
  <c r="E19" i="77" s="1"/>
  <c r="E19" i="75"/>
  <c r="K38" i="74"/>
  <c r="U116" i="74"/>
  <c r="Q116" i="74"/>
  <c r="P116" i="74"/>
  <c r="E14" i="77"/>
  <c r="E17" i="77" s="1"/>
  <c r="E17" i="75"/>
  <c r="N117" i="75"/>
  <c r="R116" i="75"/>
  <c r="P116" i="75"/>
  <c r="Q116" i="75"/>
  <c r="P116" i="77"/>
  <c r="AG4" i="74" l="1"/>
  <c r="K20" i="74" s="1"/>
  <c r="AN4" i="74"/>
  <c r="K26" i="74" s="1"/>
  <c r="CC4" i="74"/>
  <c r="G3" i="76"/>
  <c r="E28" i="74"/>
  <c r="E27" i="74"/>
  <c r="F23" i="74"/>
  <c r="F23" i="76" s="1"/>
  <c r="F32" i="76" s="1"/>
  <c r="E24" i="74"/>
  <c r="E24" i="77" s="1"/>
  <c r="E23" i="74"/>
  <c r="U4" i="75"/>
  <c r="O5" i="75"/>
  <c r="O3" i="75"/>
  <c r="O7" i="75"/>
  <c r="O4" i="75"/>
  <c r="O5" i="76"/>
  <c r="O6" i="76"/>
  <c r="O4" i="77"/>
  <c r="O7" i="77"/>
  <c r="O4" i="76"/>
  <c r="U4" i="77"/>
  <c r="CO28" i="74"/>
  <c r="CO31" i="74"/>
  <c r="CM10" i="74"/>
  <c r="CN28" i="74"/>
  <c r="CO52" i="74"/>
  <c r="CM30" i="74"/>
  <c r="CO24" i="74"/>
  <c r="CO20" i="74"/>
  <c r="CM35" i="74"/>
  <c r="CM13" i="74"/>
  <c r="CM31" i="74"/>
  <c r="CO10" i="74"/>
  <c r="CP18" i="74"/>
  <c r="CP32" i="74"/>
  <c r="CM20" i="74"/>
  <c r="CM11" i="74"/>
  <c r="CO14" i="74"/>
  <c r="CN11" i="74"/>
  <c r="CO4" i="74"/>
  <c r="CP28" i="74"/>
  <c r="CP21" i="74"/>
  <c r="CN18" i="74"/>
  <c r="CO32" i="74"/>
  <c r="CN24" i="74"/>
  <c r="CO15" i="74"/>
  <c r="CP25" i="74"/>
  <c r="CO17" i="74"/>
  <c r="CO12" i="74"/>
  <c r="CP81" i="74"/>
  <c r="CN33" i="74"/>
  <c r="CP52" i="74"/>
  <c r="CM28" i="74"/>
  <c r="CN55" i="74"/>
  <c r="CO25" i="74"/>
  <c r="CP29" i="74"/>
  <c r="CO60" i="74"/>
  <c r="CM17" i="74"/>
  <c r="CN25" i="74"/>
  <c r="CM57" i="74"/>
  <c r="CO11" i="74"/>
  <c r="CN21" i="74"/>
  <c r="CP60" i="74"/>
  <c r="CP15" i="74"/>
  <c r="CN62" i="74"/>
  <c r="CP45" i="74"/>
  <c r="CM21" i="74"/>
  <c r="CP55" i="74"/>
  <c r="CP8" i="74"/>
  <c r="CN57" i="74"/>
  <c r="CP7" i="74"/>
  <c r="CN54" i="74"/>
  <c r="CN38" i="74"/>
  <c r="CN59" i="74"/>
  <c r="CO42" i="74"/>
  <c r="CN64" i="74"/>
  <c r="CP34" i="74"/>
  <c r="CP40" i="74"/>
  <c r="CO34" i="74"/>
  <c r="CM51" i="74"/>
  <c r="CM54" i="74"/>
  <c r="CO40" i="74"/>
  <c r="CO62" i="74"/>
  <c r="CP47" i="74"/>
  <c r="CN29" i="74"/>
  <c r="CO35" i="74"/>
  <c r="CM34" i="74"/>
  <c r="CN61" i="74"/>
  <c r="CP22" i="74"/>
  <c r="CN41" i="74"/>
  <c r="CM40" i="74"/>
  <c r="CM66" i="74"/>
  <c r="CN15" i="74"/>
  <c r="CO45" i="74"/>
  <c r="CN44" i="74"/>
  <c r="CN36" i="74"/>
  <c r="CN12" i="74"/>
  <c r="CO55" i="74"/>
  <c r="CP51" i="74"/>
  <c r="CO43" i="74"/>
  <c r="CP46" i="74"/>
  <c r="CM85" i="74"/>
  <c r="CO39" i="74"/>
  <c r="CP39" i="74"/>
  <c r="CN73" i="74"/>
  <c r="CN71" i="74"/>
  <c r="CP64" i="74"/>
  <c r="CM87" i="74"/>
  <c r="CO44" i="74"/>
  <c r="CP68" i="74"/>
  <c r="CO80" i="74"/>
  <c r="CO54" i="74"/>
  <c r="CM78" i="74"/>
  <c r="CM77" i="74"/>
  <c r="CP57" i="74"/>
  <c r="CM36" i="74"/>
  <c r="CP92" i="74"/>
  <c r="CO70" i="74"/>
  <c r="CM58" i="74"/>
  <c r="CM81" i="74"/>
  <c r="CO33" i="74"/>
  <c r="CN52" i="74"/>
  <c r="CP84" i="74"/>
  <c r="CP99" i="74"/>
  <c r="CM88" i="74"/>
  <c r="CN66" i="74"/>
  <c r="CN110" i="74"/>
  <c r="CO71" i="74"/>
  <c r="CO94" i="74"/>
  <c r="CP61" i="74"/>
  <c r="CP78" i="74"/>
  <c r="CN105" i="74"/>
  <c r="CN63" i="74"/>
  <c r="CN80" i="74"/>
  <c r="CP85" i="74"/>
  <c r="CP94" i="74"/>
  <c r="CN114" i="74"/>
  <c r="CO47" i="74"/>
  <c r="CN43" i="74"/>
  <c r="CO46" i="74"/>
  <c r="CO78" i="74"/>
  <c r="CM84" i="74"/>
  <c r="CN109" i="74"/>
  <c r="CP35" i="74"/>
  <c r="CO57" i="74"/>
  <c r="CO59" i="74"/>
  <c r="CN56" i="74"/>
  <c r="CN58" i="74"/>
  <c r="CM80" i="74"/>
  <c r="CP70" i="74"/>
  <c r="CM106" i="74"/>
  <c r="CO41" i="74"/>
  <c r="CM59" i="74"/>
  <c r="CM61" i="74"/>
  <c r="CO61" i="74"/>
  <c r="CO63" i="74"/>
  <c r="CN85" i="74"/>
  <c r="CO77" i="74"/>
  <c r="CN111" i="74"/>
  <c r="CM64" i="74"/>
  <c r="CO64" i="74"/>
  <c r="CM63" i="74"/>
  <c r="CP36" i="74"/>
  <c r="CM92" i="74"/>
  <c r="CN79" i="74"/>
  <c r="CN86" i="74"/>
  <c r="CM108" i="74"/>
  <c r="CO30" i="74"/>
  <c r="CN87" i="74"/>
  <c r="CN94" i="74"/>
  <c r="I55" i="74"/>
  <c r="I8" i="74" s="1"/>
  <c r="CP115" i="74"/>
  <c r="BX116" i="74"/>
  <c r="O5" i="77"/>
  <c r="CM73" i="74"/>
  <c r="CN92" i="74"/>
  <c r="CO89" i="74"/>
  <c r="CN96" i="74"/>
  <c r="CN78" i="74"/>
  <c r="CM65" i="74"/>
  <c r="CP77" i="74"/>
  <c r="CO96" i="74"/>
  <c r="CO112" i="74"/>
  <c r="CP71" i="74"/>
  <c r="CM82" i="74"/>
  <c r="CM86" i="74"/>
  <c r="CM93" i="74"/>
  <c r="CM110" i="74"/>
  <c r="CN89" i="74"/>
  <c r="CO91" i="74"/>
  <c r="CP96" i="74"/>
  <c r="CM67" i="74"/>
  <c r="CO74" i="74"/>
  <c r="CN98" i="74"/>
  <c r="CN72" i="74"/>
  <c r="CP91" i="74"/>
  <c r="CO100" i="74"/>
  <c r="CP106" i="74"/>
  <c r="I48" i="74"/>
  <c r="I9" i="74" s="1"/>
  <c r="AW116" i="74"/>
  <c r="BV116" i="74"/>
  <c r="BW116" i="74"/>
  <c r="BL116" i="74"/>
  <c r="AE4" i="74"/>
  <c r="AQ4" i="74" s="1"/>
  <c r="BY116" i="74"/>
  <c r="CO65" i="74"/>
  <c r="CO84" i="74"/>
  <c r="CN76" i="74"/>
  <c r="CM102" i="74"/>
  <c r="CN113" i="74"/>
  <c r="CO113" i="74"/>
  <c r="CO7" i="74"/>
  <c r="CO85" i="74"/>
  <c r="CM72" i="74"/>
  <c r="CO67" i="74"/>
  <c r="CN101" i="74"/>
  <c r="CO102" i="74"/>
  <c r="CM55" i="74"/>
  <c r="CO97" i="74"/>
  <c r="CN7" i="74"/>
  <c r="BG116" i="74"/>
  <c r="I52" i="74"/>
  <c r="I7" i="74" s="1"/>
  <c r="I42" i="74"/>
  <c r="BB116" i="74"/>
  <c r="AB5" i="74"/>
  <c r="I45" i="74"/>
  <c r="BG117" i="74"/>
  <c r="AW117" i="74"/>
  <c r="BV117" i="74"/>
  <c r="O6" i="77"/>
  <c r="BW117" i="74"/>
  <c r="N8" i="74"/>
  <c r="L22" i="65" s="1"/>
  <c r="BL117" i="74"/>
  <c r="BX117" i="74"/>
  <c r="BY117" i="74"/>
  <c r="BB117" i="74"/>
  <c r="O3" i="76"/>
  <c r="S4" i="76"/>
  <c r="CN70" i="74"/>
  <c r="CN77" i="74"/>
  <c r="CP82" i="74"/>
  <c r="CN91" i="74"/>
  <c r="CP67" i="74"/>
  <c r="CM71" i="74"/>
  <c r="CM103" i="74"/>
  <c r="CO98" i="74"/>
  <c r="CM97" i="74"/>
  <c r="CP97" i="74"/>
  <c r="CM112" i="74"/>
  <c r="CM116" i="74"/>
  <c r="CO116" i="74"/>
  <c r="CM29" i="74"/>
  <c r="CN26" i="74"/>
  <c r="CM26" i="74"/>
  <c r="CN27" i="74"/>
  <c r="CM27" i="74"/>
  <c r="CN17" i="74"/>
  <c r="CN14" i="74"/>
  <c r="CM14" i="74"/>
  <c r="CP12" i="74"/>
  <c r="CN32" i="74"/>
  <c r="CN35" i="74"/>
  <c r="CO38" i="74"/>
  <c r="CP38" i="74"/>
  <c r="CM37" i="74"/>
  <c r="CN65" i="74"/>
  <c r="CO37" i="74"/>
  <c r="CM43" i="74"/>
  <c r="CM39" i="74"/>
  <c r="CN39" i="74"/>
  <c r="CP43" i="74"/>
  <c r="CP49" i="74"/>
  <c r="CO83" i="74"/>
  <c r="CO90" i="74"/>
  <c r="CM95" i="74"/>
  <c r="CO75" i="74"/>
  <c r="CO82" i="74"/>
  <c r="CN84" i="74"/>
  <c r="CM96" i="74"/>
  <c r="CN69" i="74"/>
  <c r="CP74" i="74"/>
  <c r="CM104" i="74"/>
  <c r="CM100" i="74"/>
  <c r="CP100" i="74"/>
  <c r="CN99" i="74"/>
  <c r="CO105" i="74"/>
  <c r="CP102" i="74"/>
  <c r="CP104" i="74"/>
  <c r="CO26" i="74"/>
  <c r="CP23" i="74"/>
  <c r="CO23" i="74"/>
  <c r="CN102" i="74"/>
  <c r="CO99" i="74"/>
  <c r="CM107" i="74"/>
  <c r="CN104" i="74"/>
  <c r="CN106" i="74"/>
  <c r="CO22" i="74"/>
  <c r="CN22" i="74"/>
  <c r="CM22" i="74"/>
  <c r="CM23" i="74"/>
  <c r="CN20" i="74"/>
  <c r="CP11" i="74"/>
  <c r="CO5" i="74"/>
  <c r="CN5" i="74"/>
  <c r="CP33" i="74"/>
  <c r="CP26" i="74"/>
  <c r="CM41" i="74"/>
  <c r="CP42" i="74"/>
  <c r="CM44" i="74"/>
  <c r="CP41" i="74"/>
  <c r="CN40" i="74"/>
  <c r="CP44" i="74"/>
  <c r="CO50" i="74"/>
  <c r="CM46" i="74"/>
  <c r="CN46" i="74"/>
  <c r="CO49" i="74"/>
  <c r="CO58" i="74"/>
  <c r="CP88" i="74"/>
  <c r="CP66" i="74"/>
  <c r="CO68" i="74"/>
  <c r="CP80" i="74"/>
  <c r="CP87" i="74"/>
  <c r="CM91" i="74"/>
  <c r="CM69" i="74"/>
  <c r="CM76" i="74"/>
  <c r="CO81" i="74"/>
  <c r="CM98" i="74"/>
  <c r="CP98" i="74"/>
  <c r="CO108" i="74"/>
  <c r="CM101" i="74"/>
  <c r="CP110" i="74"/>
  <c r="CO109" i="74"/>
  <c r="CO111" i="74"/>
  <c r="CO19" i="74"/>
  <c r="CN19" i="74"/>
  <c r="CM19" i="74"/>
  <c r="F2" i="75"/>
  <c r="CN112" i="74"/>
  <c r="CO16" i="74"/>
  <c r="CM49" i="74"/>
  <c r="CM52" i="74"/>
  <c r="CM70" i="74"/>
  <c r="CP72" i="74"/>
  <c r="CP113" i="74"/>
  <c r="CP17" i="74"/>
  <c r="CP14" i="74"/>
  <c r="CP5" i="74"/>
  <c r="CN34" i="74"/>
  <c r="CP58" i="74"/>
  <c r="CN60" i="74"/>
  <c r="CO29" i="74"/>
  <c r="CP19" i="74"/>
  <c r="CN45" i="74"/>
  <c r="CN48" i="74"/>
  <c r="CO48" i="74"/>
  <c r="CM47" i="74"/>
  <c r="CN47" i="74"/>
  <c r="CN50" i="74"/>
  <c r="CM56" i="74"/>
  <c r="CP50" i="74"/>
  <c r="CO53" i="74"/>
  <c r="CP53" i="74"/>
  <c r="CP63" i="74"/>
  <c r="CO66" i="74"/>
  <c r="CO73" i="74"/>
  <c r="CP73" i="74"/>
  <c r="CO87" i="74"/>
  <c r="CO93" i="74"/>
  <c r="CO72" i="74"/>
  <c r="CN74" i="74"/>
  <c r="CN81" i="74"/>
  <c r="CP86" i="74"/>
  <c r="CN103" i="74"/>
  <c r="CP93" i="74"/>
  <c r="CP95" i="74"/>
  <c r="CO103" i="74"/>
  <c r="CO107" i="74"/>
  <c r="CP114" i="74"/>
  <c r="CN115" i="74"/>
  <c r="CM12" i="74"/>
  <c r="CP13" i="74"/>
  <c r="CO13" i="74"/>
  <c r="CM53" i="74"/>
  <c r="CN49" i="74"/>
  <c r="CM60" i="74"/>
  <c r="CN90" i="74"/>
  <c r="CN68" i="74"/>
  <c r="CN82" i="74"/>
  <c r="CN67" i="74"/>
  <c r="CP79" i="74"/>
  <c r="CM83" i="74"/>
  <c r="CP101" i="74"/>
  <c r="CN100" i="74"/>
  <c r="CM114" i="74"/>
  <c r="CM111" i="74"/>
  <c r="CM113" i="74"/>
  <c r="CM15" i="74"/>
  <c r="CP16" i="74"/>
  <c r="CM16" i="74"/>
  <c r="CN10" i="74"/>
  <c r="CM4" i="74"/>
  <c r="CN31" i="74"/>
  <c r="CN37" i="74"/>
  <c r="CM25" i="74"/>
  <c r="CM18" i="74"/>
  <c r="CM48" i="74"/>
  <c r="CN51" i="74"/>
  <c r="CO51" i="74"/>
  <c r="CP48" i="74"/>
  <c r="CM50" i="74"/>
  <c r="CP54" i="74"/>
  <c r="CP59" i="74"/>
  <c r="CN53" i="74"/>
  <c r="CO56" i="74"/>
  <c r="CP56" i="74"/>
  <c r="CN83" i="74"/>
  <c r="CM68" i="74"/>
  <c r="CM75" i="74"/>
  <c r="CN75" i="74"/>
  <c r="CM89" i="74"/>
  <c r="CP65" i="74"/>
  <c r="CM74" i="74"/>
  <c r="CO79" i="74"/>
  <c r="CO86" i="74"/>
  <c r="CN88" i="74"/>
  <c r="CN107" i="74"/>
  <c r="CN95" i="74"/>
  <c r="CN97" i="74"/>
  <c r="CM105" i="74"/>
  <c r="CM109" i="74"/>
  <c r="CN116" i="74"/>
  <c r="CP116" i="74"/>
  <c r="CP9" i="74"/>
  <c r="CO9" i="74"/>
  <c r="CN9" i="74"/>
  <c r="CP108" i="74"/>
  <c r="CP112" i="74"/>
  <c r="CO104" i="74"/>
  <c r="CO106" i="74"/>
  <c r="CO8" i="74"/>
  <c r="CN8" i="74"/>
  <c r="CM8" i="74"/>
  <c r="CM7" i="74"/>
  <c r="CN108" i="74"/>
  <c r="CM99" i="74"/>
  <c r="CP103" i="74"/>
  <c r="CP107" i="74"/>
  <c r="CP109" i="74"/>
  <c r="CP111" i="74"/>
  <c r="CN6" i="74"/>
  <c r="CM6" i="74"/>
  <c r="F2" i="76"/>
  <c r="CP20" i="74"/>
  <c r="CM32" i="74"/>
  <c r="CP6" i="74"/>
  <c r="CM5" i="74"/>
  <c r="CP24" i="74"/>
  <c r="CN23" i="74"/>
  <c r="CN16" i="74"/>
  <c r="CN13" i="74"/>
  <c r="CP10" i="74"/>
  <c r="CP4" i="74"/>
  <c r="CM9" i="74"/>
  <c r="CN4" i="74"/>
  <c r="CM38" i="74"/>
  <c r="CN30" i="74"/>
  <c r="CO27" i="74"/>
  <c r="CN42" i="74"/>
  <c r="CP31" i="74"/>
  <c r="CM24" i="74"/>
  <c r="CO21" i="74"/>
  <c r="CO18" i="74"/>
  <c r="CM45" i="74"/>
  <c r="CO6" i="74"/>
  <c r="CM62" i="74"/>
  <c r="CM90" i="74"/>
  <c r="CO88" i="74"/>
  <c r="CP62" i="74"/>
  <c r="CP69" i="74"/>
  <c r="CP37" i="74"/>
  <c r="CM33" i="74"/>
  <c r="CO76" i="74"/>
  <c r="CO36" i="74"/>
  <c r="CM42" i="74"/>
  <c r="CP76" i="74"/>
  <c r="CP83" i="74"/>
  <c r="CP90" i="74"/>
  <c r="CO92" i="74"/>
  <c r="CP75" i="74"/>
  <c r="CM79" i="74"/>
  <c r="CP89" i="74"/>
  <c r="CP105" i="74"/>
  <c r="CO69" i="74"/>
  <c r="CO101" i="74"/>
  <c r="CN93" i="74"/>
  <c r="CO95" i="74"/>
  <c r="CM94" i="74"/>
  <c r="CO110" i="74"/>
  <c r="CO114" i="74"/>
  <c r="CM115" i="74"/>
  <c r="CO115" i="74"/>
  <c r="CP30" i="74"/>
  <c r="CP27" i="74"/>
  <c r="G3" i="75"/>
  <c r="G3" i="77"/>
  <c r="K13" i="74"/>
  <c r="F4" i="75"/>
  <c r="BO117" i="75" s="1"/>
  <c r="F4" i="77"/>
  <c r="F5" i="77" s="1"/>
  <c r="F4" i="76"/>
  <c r="F5" i="76" s="1"/>
  <c r="R118" i="77"/>
  <c r="P118" i="77"/>
  <c r="F24" i="74"/>
  <c r="F24" i="76" s="1"/>
  <c r="K37" i="75"/>
  <c r="CE2" i="75"/>
  <c r="K37" i="76"/>
  <c r="CC2" i="76"/>
  <c r="K37" i="77"/>
  <c r="CD2" i="77"/>
  <c r="K38" i="75"/>
  <c r="BA116" i="75"/>
  <c r="X116" i="75"/>
  <c r="AV116" i="75"/>
  <c r="AJ116" i="75"/>
  <c r="BO116" i="75"/>
  <c r="BK116" i="75"/>
  <c r="AQ116" i="75"/>
  <c r="BF116" i="75"/>
  <c r="BV116" i="75"/>
  <c r="BR116" i="75"/>
  <c r="AE116" i="75"/>
  <c r="I52" i="75"/>
  <c r="I7" i="75" s="1"/>
  <c r="I48" i="75"/>
  <c r="I9" i="75" s="1"/>
  <c r="I55" i="75"/>
  <c r="I8" i="75" s="1"/>
  <c r="I42" i="75"/>
  <c r="I45" i="75"/>
  <c r="P117" i="75"/>
  <c r="N118" i="75"/>
  <c r="R117" i="75"/>
  <c r="Q117" i="75"/>
  <c r="F23" i="75" l="1"/>
  <c r="F32" i="75" s="1"/>
  <c r="BT4" i="77"/>
  <c r="BU4" i="77" s="1"/>
  <c r="BW4" i="77" s="1"/>
  <c r="BJ4" i="75"/>
  <c r="BL4" i="75" s="1"/>
  <c r="BM4" i="75" s="1"/>
  <c r="BN4" i="75" s="1"/>
  <c r="Z4" i="75"/>
  <c r="K20" i="75" s="1"/>
  <c r="AO4" i="75"/>
  <c r="CC4" i="75"/>
  <c r="AG4" i="75"/>
  <c r="K26" i="75" s="1"/>
  <c r="AU4" i="75"/>
  <c r="AW4" i="75" s="1"/>
  <c r="AX4" i="75" s="1"/>
  <c r="AY4" i="75" s="1"/>
  <c r="AZ4" i="75"/>
  <c r="BB4" i="75" s="1"/>
  <c r="BC4" i="75" s="1"/>
  <c r="BD4" i="75" s="1"/>
  <c r="BP4" i="75"/>
  <c r="BQ4" i="75" s="1"/>
  <c r="BS4" i="75" s="1"/>
  <c r="BT4" i="75"/>
  <c r="BU4" i="75" s="1"/>
  <c r="BW4" i="75" s="1"/>
  <c r="AP4" i="75"/>
  <c r="AR4" i="75" s="1"/>
  <c r="AS4" i="75" s="1"/>
  <c r="AT4" i="75" s="1"/>
  <c r="BE4" i="75"/>
  <c r="BG4" i="75" s="1"/>
  <c r="BH4" i="75" s="1"/>
  <c r="BI4" i="75" s="1"/>
  <c r="CL4" i="75"/>
  <c r="AU4" i="77"/>
  <c r="AW4" i="77" s="1"/>
  <c r="AX4" i="77" s="1"/>
  <c r="AY4" i="77" s="1"/>
  <c r="AP4" i="77"/>
  <c r="AR4" i="77" s="1"/>
  <c r="AS4" i="77" s="1"/>
  <c r="AT4" i="77" s="1"/>
  <c r="AB6" i="74"/>
  <c r="CK4" i="77"/>
  <c r="BJ4" i="77"/>
  <c r="BL4" i="77" s="1"/>
  <c r="BM4" i="77" s="1"/>
  <c r="BN4" i="77" s="1"/>
  <c r="AO4" i="77"/>
  <c r="BP4" i="77"/>
  <c r="BQ4" i="77" s="1"/>
  <c r="BS4" i="77" s="1"/>
  <c r="Z4" i="77"/>
  <c r="K20" i="77" s="1"/>
  <c r="AZ4" i="77"/>
  <c r="BB4" i="77" s="1"/>
  <c r="BC4" i="77" s="1"/>
  <c r="BD4" i="77" s="1"/>
  <c r="AG4" i="77"/>
  <c r="K26" i="77" s="1"/>
  <c r="BE4" i="77"/>
  <c r="BG4" i="77" s="1"/>
  <c r="BH4" i="77" s="1"/>
  <c r="BI4" i="77" s="1"/>
  <c r="AC4" i="74"/>
  <c r="T4" i="76" s="1"/>
  <c r="Z4" i="76" s="1"/>
  <c r="AP4" i="74"/>
  <c r="AI4" i="77" s="1"/>
  <c r="AK4" i="77" s="1"/>
  <c r="AL4" i="77" s="1"/>
  <c r="AE5" i="74"/>
  <c r="BM5" i="74" s="1"/>
  <c r="AC5" i="74"/>
  <c r="V5" i="77" s="1"/>
  <c r="AB5" i="77" s="1"/>
  <c r="AV5" i="74"/>
  <c r="CC5" i="74"/>
  <c r="AP5" i="74"/>
  <c r="AG5" i="76" s="1"/>
  <c r="BK117" i="75"/>
  <c r="K13" i="75"/>
  <c r="N8" i="75"/>
  <c r="O8" i="75" s="1"/>
  <c r="F24" i="75"/>
  <c r="BR117" i="75"/>
  <c r="BF117" i="75"/>
  <c r="BA117" i="75"/>
  <c r="AV117" i="75"/>
  <c r="AJ4" i="74"/>
  <c r="AD4" i="75" s="1"/>
  <c r="BH4" i="74"/>
  <c r="BI4" i="74" s="1"/>
  <c r="BJ4" i="74" s="1"/>
  <c r="BQ4" i="74"/>
  <c r="BR4" i="74" s="1"/>
  <c r="BS4" i="74" s="1"/>
  <c r="AF5" i="74"/>
  <c r="AG5" i="74" s="1"/>
  <c r="AX4" i="74"/>
  <c r="AY4" i="74" s="1"/>
  <c r="AZ4" i="74" s="1"/>
  <c r="BR117" i="76"/>
  <c r="BT117" i="76"/>
  <c r="AE117" i="75"/>
  <c r="F24" i="77"/>
  <c r="BF117" i="77"/>
  <c r="BR117" i="77"/>
  <c r="BA117" i="77"/>
  <c r="BM4" i="74"/>
  <c r="BN4" i="74" s="1"/>
  <c r="BO4" i="74" s="1"/>
  <c r="AL4" i="74"/>
  <c r="BC4" i="74"/>
  <c r="BD4" i="74" s="1"/>
  <c r="BE4" i="74" s="1"/>
  <c r="AJ5" i="74"/>
  <c r="AD5" i="77" s="1"/>
  <c r="N9" i="74"/>
  <c r="L23" i="65" s="1"/>
  <c r="O8" i="74"/>
  <c r="M22" i="65" s="1"/>
  <c r="U5" i="75"/>
  <c r="AS4" i="76"/>
  <c r="AX4" i="76"/>
  <c r="BC4" i="76"/>
  <c r="AE4" i="76"/>
  <c r="K26" i="76" s="1"/>
  <c r="AN4" i="76"/>
  <c r="BH4" i="76"/>
  <c r="X4" i="76"/>
  <c r="K20" i="76" s="1"/>
  <c r="AM4" i="76"/>
  <c r="AQ117" i="75"/>
  <c r="S5" i="76"/>
  <c r="E28" i="77"/>
  <c r="E28" i="76"/>
  <c r="E28" i="75"/>
  <c r="K46" i="75" s="1"/>
  <c r="N8" i="76"/>
  <c r="N9" i="76" s="1"/>
  <c r="BS117" i="76"/>
  <c r="E23" i="77"/>
  <c r="E23" i="76"/>
  <c r="E23" i="75"/>
  <c r="E27" i="77"/>
  <c r="E27" i="76"/>
  <c r="E27" i="75"/>
  <c r="BP4" i="76"/>
  <c r="BU117" i="76"/>
  <c r="AJ117" i="75"/>
  <c r="AV117" i="77"/>
  <c r="E24" i="75"/>
  <c r="X117" i="77"/>
  <c r="X117" i="75"/>
  <c r="AJ117" i="77"/>
  <c r="E24" i="76"/>
  <c r="BV117" i="77"/>
  <c r="BV117" i="75"/>
  <c r="N8" i="77"/>
  <c r="N9" i="77" s="1"/>
  <c r="BK117" i="77"/>
  <c r="CL5" i="77"/>
  <c r="CL6" i="77" s="1"/>
  <c r="AE117" i="77"/>
  <c r="AQ117" i="77"/>
  <c r="CM5" i="75"/>
  <c r="CM6" i="75" s="1"/>
  <c r="U5" i="77"/>
  <c r="BO117" i="77"/>
  <c r="R118" i="75"/>
  <c r="Q118" i="75"/>
  <c r="P118" i="75"/>
  <c r="BK116" i="77"/>
  <c r="X116" i="77"/>
  <c r="AV116" i="77"/>
  <c r="AJ116" i="77"/>
  <c r="BR116" i="77"/>
  <c r="BF116" i="77"/>
  <c r="BO116" i="77"/>
  <c r="AQ116" i="77"/>
  <c r="AE116" i="77"/>
  <c r="BV116" i="77"/>
  <c r="BA116" i="77"/>
  <c r="I55" i="77"/>
  <c r="I8" i="77" s="1"/>
  <c r="I52" i="77"/>
  <c r="I7" i="77" s="1"/>
  <c r="I50" i="77"/>
  <c r="I42" i="77"/>
  <c r="I53" i="77"/>
  <c r="I45" i="77"/>
  <c r="I48" i="77"/>
  <c r="I9" i="77" s="1"/>
  <c r="K13" i="77"/>
  <c r="BT116" i="76"/>
  <c r="BS116" i="76"/>
  <c r="BU116" i="76"/>
  <c r="BR116" i="76"/>
  <c r="I55" i="76"/>
  <c r="I8" i="76" s="1"/>
  <c r="I48" i="76"/>
  <c r="I9" i="76" s="1"/>
  <c r="I52" i="76"/>
  <c r="I7" i="76" s="1"/>
  <c r="I45" i="76"/>
  <c r="I42" i="76"/>
  <c r="K13" i="76"/>
  <c r="V4" i="76"/>
  <c r="F23" i="77" l="1"/>
  <c r="F32" i="77" s="1"/>
  <c r="AF5" i="75"/>
  <c r="AG5" i="75" s="1"/>
  <c r="AM5" i="74"/>
  <c r="AB7" i="74"/>
  <c r="AJ6" i="74"/>
  <c r="AD6" i="77" s="1"/>
  <c r="AE6" i="74"/>
  <c r="AL6" i="74" s="1"/>
  <c r="CL5" i="75"/>
  <c r="AC6" i="74"/>
  <c r="T6" i="76" s="1"/>
  <c r="Z6" i="76" s="1"/>
  <c r="AV6" i="74"/>
  <c r="AP6" i="74"/>
  <c r="AI6" i="77" s="1"/>
  <c r="CC6" i="74"/>
  <c r="BC5" i="76"/>
  <c r="AI5" i="75"/>
  <c r="CK5" i="77"/>
  <c r="AI5" i="77"/>
  <c r="AN4" i="77"/>
  <c r="V4" i="75"/>
  <c r="AB4" i="75" s="1"/>
  <c r="AR4" i="74"/>
  <c r="AS4" i="74" s="1"/>
  <c r="AU4" i="74" s="1"/>
  <c r="AI4" i="75"/>
  <c r="AK4" i="75" s="1"/>
  <c r="AL4" i="75" s="1"/>
  <c r="AN4" i="75" s="1"/>
  <c r="AG4" i="76"/>
  <c r="AL5" i="74"/>
  <c r="BC5" i="74"/>
  <c r="BD5" i="74" s="1"/>
  <c r="BE5" i="74" s="1"/>
  <c r="BQ5" i="74"/>
  <c r="BR5" i="74" s="1"/>
  <c r="BS5" i="74" s="1"/>
  <c r="BH5" i="74"/>
  <c r="BI5" i="74" s="1"/>
  <c r="BJ5" i="74" s="1"/>
  <c r="AQ5" i="74"/>
  <c r="AR5" i="74" s="1"/>
  <c r="AS5" i="74" s="1"/>
  <c r="AU5" i="74" s="1"/>
  <c r="AX5" i="74"/>
  <c r="AY5" i="74" s="1"/>
  <c r="AZ5" i="74" s="1"/>
  <c r="AI5" i="74"/>
  <c r="V5" i="75"/>
  <c r="AB5" i="75" s="1"/>
  <c r="T5" i="76"/>
  <c r="Z5" i="76" s="1"/>
  <c r="V4" i="77"/>
  <c r="AB4" i="77" s="1"/>
  <c r="AI4" i="74"/>
  <c r="AD4" i="77"/>
  <c r="AF5" i="77" s="1"/>
  <c r="N9" i="75"/>
  <c r="N10" i="75" s="1"/>
  <c r="AF6" i="74"/>
  <c r="AG6" i="74" s="1"/>
  <c r="AB4" i="76"/>
  <c r="BN5" i="74"/>
  <c r="BO5" i="74" s="1"/>
  <c r="AO5" i="75"/>
  <c r="U6" i="75"/>
  <c r="N10" i="74"/>
  <c r="L24" i="65" s="1"/>
  <c r="O9" i="74"/>
  <c r="M23" i="65" s="1"/>
  <c r="AB5" i="76"/>
  <c r="AP5" i="75"/>
  <c r="AU5" i="75"/>
  <c r="Y5" i="75"/>
  <c r="Z5" i="75" s="1"/>
  <c r="BJ5" i="75"/>
  <c r="AD5" i="75"/>
  <c r="CC5" i="75"/>
  <c r="AZ5" i="75"/>
  <c r="AM5" i="76"/>
  <c r="BE5" i="75"/>
  <c r="O8" i="76"/>
  <c r="AP5" i="77"/>
  <c r="U6" i="77"/>
  <c r="AU5" i="77"/>
  <c r="Y5" i="77"/>
  <c r="BE5" i="77"/>
  <c r="AN5" i="76"/>
  <c r="BP5" i="76"/>
  <c r="AS5" i="76"/>
  <c r="V5" i="76"/>
  <c r="BI5" i="76" s="1"/>
  <c r="S6" i="76"/>
  <c r="BH5" i="76"/>
  <c r="AX5" i="76"/>
  <c r="BJ5" i="77"/>
  <c r="AO5" i="77"/>
  <c r="O8" i="77"/>
  <c r="AZ5" i="77"/>
  <c r="AC4" i="76"/>
  <c r="BM4" i="76"/>
  <c r="BN4" i="76" s="1"/>
  <c r="BO4" i="76" s="1"/>
  <c r="BQ4" i="76" s="1"/>
  <c r="AO4" i="76"/>
  <c r="AP4" i="76" s="1"/>
  <c r="AQ4" i="76" s="1"/>
  <c r="AR4" i="76" s="1"/>
  <c r="AT4" i="76"/>
  <c r="AU4" i="76" s="1"/>
  <c r="AV4" i="76" s="1"/>
  <c r="AW4" i="76" s="1"/>
  <c r="AH4" i="76"/>
  <c r="BI4" i="76"/>
  <c r="BJ4" i="76" s="1"/>
  <c r="BK4" i="76" s="1"/>
  <c r="BL4" i="76" s="1"/>
  <c r="BD4" i="76"/>
  <c r="BE4" i="76" s="1"/>
  <c r="BF4" i="76" s="1"/>
  <c r="BG4" i="76" s="1"/>
  <c r="AY4" i="76"/>
  <c r="AZ4" i="76" s="1"/>
  <c r="BA4" i="76" s="1"/>
  <c r="BB4" i="76" s="1"/>
  <c r="CL7" i="77"/>
  <c r="N10" i="77"/>
  <c r="O9" i="77"/>
  <c r="W5" i="76"/>
  <c r="N10" i="76"/>
  <c r="O9" i="76"/>
  <c r="CM7" i="75"/>
  <c r="AD5" i="76" l="1"/>
  <c r="AE5" i="76" s="1"/>
  <c r="AM6" i="74"/>
  <c r="AM7" i="74" s="1"/>
  <c r="AC7" i="74"/>
  <c r="V7" i="77" s="1"/>
  <c r="AB7" i="77" s="1"/>
  <c r="AF6" i="75"/>
  <c r="BP6" i="75" s="1"/>
  <c r="BQ6" i="75" s="1"/>
  <c r="BS6" i="75" s="1"/>
  <c r="AF6" i="77"/>
  <c r="AG6" i="77" s="1"/>
  <c r="AE7" i="74"/>
  <c r="BM7" i="74" s="1"/>
  <c r="AP7" i="74"/>
  <c r="AG7" i="76" s="1"/>
  <c r="CC7" i="74"/>
  <c r="AV7" i="74"/>
  <c r="AB8" i="74"/>
  <c r="AJ7" i="74"/>
  <c r="AD7" i="75" s="1"/>
  <c r="AG5" i="77"/>
  <c r="AN5" i="74"/>
  <c r="AD6" i="75"/>
  <c r="AK5" i="77"/>
  <c r="AL5" i="77" s="1"/>
  <c r="AN5" i="77" s="1"/>
  <c r="BC6" i="74"/>
  <c r="BD6" i="74" s="1"/>
  <c r="BE6" i="74" s="1"/>
  <c r="BQ6" i="74"/>
  <c r="BR6" i="74" s="1"/>
  <c r="BS6" i="74" s="1"/>
  <c r="AI6" i="75"/>
  <c r="AI4" i="76"/>
  <c r="AJ4" i="76" s="1"/>
  <c r="AL4" i="76" s="1"/>
  <c r="AG6" i="76"/>
  <c r="V6" i="77"/>
  <c r="AB6" i="77" s="1"/>
  <c r="AB6" i="76"/>
  <c r="AQ6" i="74"/>
  <c r="AR6" i="74" s="1"/>
  <c r="AS6" i="74" s="1"/>
  <c r="AU6" i="74" s="1"/>
  <c r="BH6" i="74"/>
  <c r="BI6" i="74" s="1"/>
  <c r="BJ6" i="74" s="1"/>
  <c r="BM6" i="74"/>
  <c r="BN6" i="74" s="1"/>
  <c r="BO6" i="74" s="1"/>
  <c r="AX6" i="74"/>
  <c r="AY6" i="74" s="1"/>
  <c r="AZ6" i="74" s="1"/>
  <c r="AF7" i="74"/>
  <c r="AG7" i="74" s="1"/>
  <c r="AZ6" i="77"/>
  <c r="AI6" i="74"/>
  <c r="V6" i="75"/>
  <c r="AB6" i="75" s="1"/>
  <c r="AM6" i="76"/>
  <c r="BE6" i="75"/>
  <c r="O9" i="75"/>
  <c r="Y6" i="75"/>
  <c r="CL6" i="75"/>
  <c r="U7" i="75"/>
  <c r="AU6" i="75"/>
  <c r="AZ6" i="75"/>
  <c r="CC6" i="75"/>
  <c r="BJ6" i="75"/>
  <c r="AP6" i="75"/>
  <c r="AO6" i="75"/>
  <c r="BL5" i="75"/>
  <c r="BM5" i="75" s="1"/>
  <c r="BN5" i="75" s="1"/>
  <c r="V6" i="76"/>
  <c r="AO6" i="76" s="1"/>
  <c r="BJ6" i="77"/>
  <c r="Y6" i="77"/>
  <c r="AK6" i="77" s="1"/>
  <c r="AL6" i="77" s="1"/>
  <c r="AX6" i="76"/>
  <c r="BP5" i="75"/>
  <c r="BQ5" i="75" s="1"/>
  <c r="BS5" i="75" s="1"/>
  <c r="AO6" i="77"/>
  <c r="AP6" i="77"/>
  <c r="CK6" i="77"/>
  <c r="U7" i="77"/>
  <c r="BB5" i="75"/>
  <c r="BC5" i="75" s="1"/>
  <c r="BD5" i="75" s="1"/>
  <c r="AK5" i="75"/>
  <c r="AL5" i="75" s="1"/>
  <c r="AN5" i="75" s="1"/>
  <c r="N11" i="74"/>
  <c r="L25" i="65" s="1"/>
  <c r="O10" i="74"/>
  <c r="M24" i="65" s="1"/>
  <c r="AR5" i="77"/>
  <c r="AS5" i="77" s="1"/>
  <c r="AT5" i="77" s="1"/>
  <c r="BG5" i="75"/>
  <c r="BH5" i="75" s="1"/>
  <c r="BI5" i="75" s="1"/>
  <c r="AR5" i="75"/>
  <c r="AS5" i="75" s="1"/>
  <c r="AT5" i="75" s="1"/>
  <c r="BT5" i="75"/>
  <c r="BU5" i="75" s="1"/>
  <c r="BW5" i="75" s="1"/>
  <c r="AW5" i="77"/>
  <c r="AX5" i="77" s="1"/>
  <c r="AY5" i="77" s="1"/>
  <c r="AW5" i="75"/>
  <c r="AX5" i="75" s="1"/>
  <c r="AY5" i="75" s="1"/>
  <c r="BH6" i="76"/>
  <c r="BC6" i="76"/>
  <c r="S7" i="76"/>
  <c r="AN6" i="76"/>
  <c r="BP6" i="76"/>
  <c r="AS6" i="76"/>
  <c r="BE6" i="77"/>
  <c r="BP5" i="77"/>
  <c r="BQ5" i="77" s="1"/>
  <c r="BS5" i="77" s="1"/>
  <c r="BT5" i="77"/>
  <c r="BU5" i="77" s="1"/>
  <c r="BW5" i="77" s="1"/>
  <c r="Z5" i="77"/>
  <c r="BD5" i="76"/>
  <c r="BE5" i="76" s="1"/>
  <c r="BF5" i="76" s="1"/>
  <c r="BG5" i="76" s="1"/>
  <c r="BG5" i="77"/>
  <c r="BH5" i="77" s="1"/>
  <c r="BI5" i="77" s="1"/>
  <c r="BB5" i="77"/>
  <c r="BC5" i="77" s="1"/>
  <c r="BD5" i="77" s="1"/>
  <c r="AU6" i="77"/>
  <c r="BL5" i="77"/>
  <c r="BM5" i="77" s="1"/>
  <c r="BN5" i="77" s="1"/>
  <c r="AC5" i="76"/>
  <c r="AY5" i="76"/>
  <c r="AZ5" i="76" s="1"/>
  <c r="BA5" i="76" s="1"/>
  <c r="BB5" i="76" s="1"/>
  <c r="AO5" i="76"/>
  <c r="AP5" i="76" s="1"/>
  <c r="AQ5" i="76" s="1"/>
  <c r="AR5" i="76" s="1"/>
  <c r="BM5" i="76"/>
  <c r="BN5" i="76" s="1"/>
  <c r="BO5" i="76" s="1"/>
  <c r="BQ5" i="76" s="1"/>
  <c r="AH5" i="76"/>
  <c r="AI5" i="76" s="1"/>
  <c r="AJ5" i="76" s="1"/>
  <c r="AL5" i="76" s="1"/>
  <c r="AT5" i="76"/>
  <c r="AU5" i="76" s="1"/>
  <c r="AV5" i="76" s="1"/>
  <c r="AW5" i="76" s="1"/>
  <c r="W6" i="76"/>
  <c r="X6" i="76" s="1"/>
  <c r="N11" i="75"/>
  <c r="O10" i="75"/>
  <c r="BJ5" i="76"/>
  <c r="BK5" i="76" s="1"/>
  <c r="BL5" i="76" s="1"/>
  <c r="X5" i="76"/>
  <c r="O10" i="76"/>
  <c r="N11" i="76"/>
  <c r="CL8" i="77"/>
  <c r="CM8" i="75"/>
  <c r="N11" i="77"/>
  <c r="O10" i="77"/>
  <c r="AD6" i="76" l="1"/>
  <c r="AE6" i="76" s="1"/>
  <c r="AI7" i="74"/>
  <c r="T7" i="76"/>
  <c r="Z7" i="76" s="1"/>
  <c r="V7" i="75"/>
  <c r="AB7" i="75" s="1"/>
  <c r="AN6" i="74"/>
  <c r="AF7" i="75"/>
  <c r="BP7" i="75" s="1"/>
  <c r="BQ7" i="75" s="1"/>
  <c r="BS7" i="75" s="1"/>
  <c r="AF7" i="77"/>
  <c r="AG7" i="77" s="1"/>
  <c r="AC8" i="74"/>
  <c r="V8" i="77" s="1"/>
  <c r="AB8" i="77" s="1"/>
  <c r="AI7" i="77"/>
  <c r="BQ7" i="74"/>
  <c r="BR7" i="74" s="1"/>
  <c r="BS7" i="74" s="1"/>
  <c r="BC7" i="74"/>
  <c r="BD7" i="74" s="1"/>
  <c r="BE7" i="74" s="1"/>
  <c r="AE8" i="74"/>
  <c r="BC8" i="74" s="1"/>
  <c r="AD7" i="77"/>
  <c r="AB9" i="74"/>
  <c r="CC8" i="74"/>
  <c r="AB7" i="76"/>
  <c r="AV8" i="74"/>
  <c r="AP8" i="74"/>
  <c r="AI8" i="77" s="1"/>
  <c r="BH7" i="74"/>
  <c r="BI7" i="74" s="1"/>
  <c r="BJ7" i="74" s="1"/>
  <c r="AJ8" i="74"/>
  <c r="AD8" i="77" s="1"/>
  <c r="AL7" i="74"/>
  <c r="AM8" i="74" s="1"/>
  <c r="AQ7" i="74"/>
  <c r="AR7" i="74" s="1"/>
  <c r="AS7" i="74" s="1"/>
  <c r="AU7" i="74" s="1"/>
  <c r="AX7" i="74"/>
  <c r="AY7" i="74" s="1"/>
  <c r="AZ7" i="74" s="1"/>
  <c r="AI7" i="75"/>
  <c r="BN7" i="74"/>
  <c r="BO7" i="74" s="1"/>
  <c r="AF8" i="74"/>
  <c r="AG8" i="74" s="1"/>
  <c r="U8" i="75"/>
  <c r="BG6" i="75"/>
  <c r="BH6" i="75" s="1"/>
  <c r="BI6" i="75" s="1"/>
  <c r="AX7" i="76"/>
  <c r="BJ7" i="77"/>
  <c r="BB6" i="75"/>
  <c r="BC6" i="75" s="1"/>
  <c r="BD6" i="75" s="1"/>
  <c r="AR6" i="75"/>
  <c r="AS6" i="75" s="1"/>
  <c r="AT6" i="75" s="1"/>
  <c r="AW6" i="75"/>
  <c r="AX6" i="75" s="1"/>
  <c r="AY6" i="75" s="1"/>
  <c r="Z6" i="75"/>
  <c r="AK6" i="75"/>
  <c r="AL6" i="75" s="1"/>
  <c r="AN6" i="75" s="1"/>
  <c r="AU7" i="75"/>
  <c r="CL7" i="75"/>
  <c r="Y7" i="75"/>
  <c r="CC7" i="75"/>
  <c r="AO7" i="75"/>
  <c r="BJ7" i="75"/>
  <c r="AZ7" i="75"/>
  <c r="AP7" i="75"/>
  <c r="BE7" i="75"/>
  <c r="BL6" i="75"/>
  <c r="BM6" i="75" s="1"/>
  <c r="BN6" i="75" s="1"/>
  <c r="Y7" i="77"/>
  <c r="Z7" i="77" s="1"/>
  <c r="U8" i="77"/>
  <c r="AC6" i="76"/>
  <c r="BM6" i="76"/>
  <c r="BN6" i="76" s="1"/>
  <c r="BO6" i="76" s="1"/>
  <c r="BQ6" i="76" s="1"/>
  <c r="BD6" i="76"/>
  <c r="BE6" i="76" s="1"/>
  <c r="BF6" i="76" s="1"/>
  <c r="BG6" i="76" s="1"/>
  <c r="AH6" i="76"/>
  <c r="AI6" i="76" s="1"/>
  <c r="AJ6" i="76" s="1"/>
  <c r="AL6" i="76" s="1"/>
  <c r="BI6" i="76"/>
  <c r="BJ6" i="76" s="1"/>
  <c r="BK6" i="76" s="1"/>
  <c r="BL6" i="76" s="1"/>
  <c r="AT6" i="76"/>
  <c r="AU6" i="76" s="1"/>
  <c r="AV6" i="76" s="1"/>
  <c r="AW6" i="76" s="1"/>
  <c r="AY6" i="76"/>
  <c r="AZ6" i="76" s="1"/>
  <c r="BA6" i="76" s="1"/>
  <c r="BB6" i="76" s="1"/>
  <c r="AU7" i="77"/>
  <c r="N12" i="74"/>
  <c r="L26" i="65" s="1"/>
  <c r="O11" i="74"/>
  <c r="M25" i="65" s="1"/>
  <c r="AO7" i="77"/>
  <c r="AP7" i="77"/>
  <c r="BE7" i="77"/>
  <c r="AZ7" i="77"/>
  <c r="BG6" i="77"/>
  <c r="BH6" i="77" s="1"/>
  <c r="BI6" i="77" s="1"/>
  <c r="AW6" i="77"/>
  <c r="AX6" i="77" s="1"/>
  <c r="AY6" i="77" s="1"/>
  <c r="BL6" i="77"/>
  <c r="BM6" i="77" s="1"/>
  <c r="BN6" i="77" s="1"/>
  <c r="BB6" i="77"/>
  <c r="BC6" i="77" s="1"/>
  <c r="BD6" i="77" s="1"/>
  <c r="Z6" i="77"/>
  <c r="CK7" i="77"/>
  <c r="AG6" i="75"/>
  <c r="BT6" i="75"/>
  <c r="BU6" i="75" s="1"/>
  <c r="BW6" i="75" s="1"/>
  <c r="AR6" i="77"/>
  <c r="AS6" i="77" s="1"/>
  <c r="AT6" i="77" s="1"/>
  <c r="AN6" i="77"/>
  <c r="S8" i="76"/>
  <c r="AN7" i="76"/>
  <c r="AM7" i="76"/>
  <c r="BT6" i="77"/>
  <c r="BU6" i="77" s="1"/>
  <c r="BW6" i="77" s="1"/>
  <c r="BC7" i="76"/>
  <c r="BP7" i="76"/>
  <c r="AS7" i="76"/>
  <c r="V7" i="76"/>
  <c r="BD7" i="76" s="1"/>
  <c r="BH7" i="76"/>
  <c r="BP6" i="77"/>
  <c r="BQ6" i="77" s="1"/>
  <c r="BS6" i="77" s="1"/>
  <c r="W7" i="76"/>
  <c r="X7" i="76" s="1"/>
  <c r="AP6" i="76"/>
  <c r="AQ6" i="76" s="1"/>
  <c r="AR6" i="76" s="1"/>
  <c r="CM9" i="75"/>
  <c r="CL9" i="77"/>
  <c r="O11" i="77"/>
  <c r="N12" i="77"/>
  <c r="N12" i="76"/>
  <c r="O11" i="76"/>
  <c r="N12" i="75"/>
  <c r="O11" i="75"/>
  <c r="AD7" i="76" l="1"/>
  <c r="AE7" i="76" s="1"/>
  <c r="T8" i="76"/>
  <c r="Z8" i="76" s="1"/>
  <c r="AI8" i="74"/>
  <c r="V8" i="75"/>
  <c r="AB8" i="75" s="1"/>
  <c r="AC9" i="74"/>
  <c r="V9" i="77" s="1"/>
  <c r="AB9" i="77" s="1"/>
  <c r="AF8" i="77"/>
  <c r="BP8" i="77" s="1"/>
  <c r="BQ8" i="77" s="1"/>
  <c r="BS8" i="77" s="1"/>
  <c r="AF8" i="75"/>
  <c r="AG8" i="75" s="1"/>
  <c r="AP9" i="74"/>
  <c r="AI9" i="77" s="1"/>
  <c r="AB10" i="74"/>
  <c r="AD8" i="75"/>
  <c r="AB8" i="76"/>
  <c r="BQ8" i="74"/>
  <c r="BR8" i="74" s="1"/>
  <c r="BS8" i="74" s="1"/>
  <c r="AV9" i="74"/>
  <c r="AE9" i="74"/>
  <c r="AQ9" i="74" s="1"/>
  <c r="CC9" i="74"/>
  <c r="AJ9" i="74"/>
  <c r="AD9" i="77" s="1"/>
  <c r="BH8" i="74"/>
  <c r="BI8" i="74" s="1"/>
  <c r="BJ8" i="74" s="1"/>
  <c r="AI8" i="75"/>
  <c r="AK7" i="75"/>
  <c r="AL7" i="75" s="1"/>
  <c r="AN7" i="75" s="1"/>
  <c r="AG8" i="76"/>
  <c r="AQ8" i="74"/>
  <c r="AR8" i="74" s="1"/>
  <c r="AS8" i="74" s="1"/>
  <c r="AU8" i="74" s="1"/>
  <c r="BM8" i="74"/>
  <c r="BN8" i="74" s="1"/>
  <c r="BO8" i="74" s="1"/>
  <c r="AX8" i="74"/>
  <c r="AY8" i="74" s="1"/>
  <c r="AZ8" i="74" s="1"/>
  <c r="AL8" i="74"/>
  <c r="AM9" i="74" s="1"/>
  <c r="AN7" i="74"/>
  <c r="U9" i="75"/>
  <c r="AO8" i="75"/>
  <c r="BE8" i="75"/>
  <c r="AF9" i="74"/>
  <c r="BD8" i="74"/>
  <c r="BE8" i="74" s="1"/>
  <c r="BJ8" i="75"/>
  <c r="CC8" i="75"/>
  <c r="AZ8" i="75"/>
  <c r="AP8" i="75"/>
  <c r="AU8" i="75"/>
  <c r="AX8" i="76"/>
  <c r="CL8" i="75"/>
  <c r="AZ8" i="77"/>
  <c r="BB7" i="75"/>
  <c r="BC7" i="75" s="1"/>
  <c r="BD7" i="75" s="1"/>
  <c r="BL7" i="75"/>
  <c r="BM7" i="75" s="1"/>
  <c r="BN7" i="75" s="1"/>
  <c r="Y8" i="75"/>
  <c r="Z8" i="75" s="1"/>
  <c r="AR7" i="75"/>
  <c r="AS7" i="75" s="1"/>
  <c r="AT7" i="75" s="1"/>
  <c r="Z7" i="75"/>
  <c r="AW7" i="75"/>
  <c r="AX7" i="75" s="1"/>
  <c r="AY7" i="75" s="1"/>
  <c r="BG7" i="75"/>
  <c r="BH7" i="75" s="1"/>
  <c r="BI7" i="75" s="1"/>
  <c r="AK7" i="77"/>
  <c r="AL7" i="77" s="1"/>
  <c r="AN7" i="77" s="1"/>
  <c r="BJ8" i="77"/>
  <c r="Y8" i="77"/>
  <c r="AK8" i="77" s="1"/>
  <c r="AL8" i="77" s="1"/>
  <c r="AW7" i="77"/>
  <c r="AX7" i="77" s="1"/>
  <c r="AY7" i="77" s="1"/>
  <c r="U9" i="77"/>
  <c r="AO8" i="77"/>
  <c r="AP8" i="77"/>
  <c r="CK8" i="77"/>
  <c r="BE8" i="77"/>
  <c r="AU8" i="77"/>
  <c r="BB7" i="77"/>
  <c r="BC7" i="77" s="1"/>
  <c r="BD7" i="77" s="1"/>
  <c r="BG7" i="77"/>
  <c r="BH7" i="77" s="1"/>
  <c r="BI7" i="77" s="1"/>
  <c r="BL7" i="77"/>
  <c r="BM7" i="77" s="1"/>
  <c r="BN7" i="77" s="1"/>
  <c r="AR7" i="77"/>
  <c r="AS7" i="77" s="1"/>
  <c r="AT7" i="77" s="1"/>
  <c r="O12" i="74"/>
  <c r="M26" i="65" s="1"/>
  <c r="N13" i="74"/>
  <c r="L27" i="65" s="1"/>
  <c r="BI7" i="76"/>
  <c r="BJ7" i="76" s="1"/>
  <c r="BK7" i="76" s="1"/>
  <c r="BL7" i="76" s="1"/>
  <c r="AT7" i="76"/>
  <c r="AU7" i="76" s="1"/>
  <c r="AV7" i="76" s="1"/>
  <c r="AW7" i="76" s="1"/>
  <c r="BT7" i="75"/>
  <c r="BU7" i="75" s="1"/>
  <c r="BW7" i="75" s="1"/>
  <c r="S9" i="76"/>
  <c r="BP8" i="76"/>
  <c r="AN8" i="76"/>
  <c r="AM8" i="76"/>
  <c r="BC8" i="76"/>
  <c r="W8" i="76"/>
  <c r="X8" i="76" s="1"/>
  <c r="V8" i="76"/>
  <c r="BM8" i="76" s="1"/>
  <c r="BH8" i="76"/>
  <c r="AS8" i="76"/>
  <c r="AG7" i="75"/>
  <c r="AY7" i="76"/>
  <c r="AZ7" i="76" s="1"/>
  <c r="BA7" i="76" s="1"/>
  <c r="BB7" i="76" s="1"/>
  <c r="AC7" i="76"/>
  <c r="AH7" i="76"/>
  <c r="AI7" i="76" s="1"/>
  <c r="AJ7" i="76" s="1"/>
  <c r="AL7" i="76" s="1"/>
  <c r="AO7" i="76"/>
  <c r="AP7" i="76" s="1"/>
  <c r="AQ7" i="76" s="1"/>
  <c r="AR7" i="76" s="1"/>
  <c r="BM7" i="76"/>
  <c r="BN7" i="76" s="1"/>
  <c r="BO7" i="76" s="1"/>
  <c r="BQ7" i="76" s="1"/>
  <c r="BT7" i="77"/>
  <c r="BU7" i="77" s="1"/>
  <c r="BW7" i="77" s="1"/>
  <c r="BP7" i="77"/>
  <c r="BQ7" i="77" s="1"/>
  <c r="BS7" i="77" s="1"/>
  <c r="BE7" i="76"/>
  <c r="BF7" i="76" s="1"/>
  <c r="BG7" i="76" s="1"/>
  <c r="CM10" i="75"/>
  <c r="CL10" i="77"/>
  <c r="N13" i="75"/>
  <c r="O12" i="75"/>
  <c r="O12" i="76"/>
  <c r="N13" i="76"/>
  <c r="O12" i="77"/>
  <c r="N13" i="77"/>
  <c r="AD8" i="76" l="1"/>
  <c r="AE8" i="76" s="1"/>
  <c r="AI9" i="74"/>
  <c r="V9" i="75"/>
  <c r="AB9" i="75" s="1"/>
  <c r="T9" i="76"/>
  <c r="Z9" i="76" s="1"/>
  <c r="AJ10" i="74"/>
  <c r="AD10" i="75" s="1"/>
  <c r="AF9" i="77"/>
  <c r="BP9" i="77" s="1"/>
  <c r="BQ9" i="77" s="1"/>
  <c r="BS9" i="77" s="1"/>
  <c r="CC9" i="75"/>
  <c r="AF9" i="75"/>
  <c r="AG9" i="75" s="1"/>
  <c r="AI9" i="75"/>
  <c r="CC10" i="74"/>
  <c r="AG9" i="76"/>
  <c r="AV10" i="74"/>
  <c r="AB11" i="74"/>
  <c r="AP10" i="74"/>
  <c r="AI10" i="77" s="1"/>
  <c r="AC10" i="74"/>
  <c r="T10" i="76" s="1"/>
  <c r="Z10" i="76" s="1"/>
  <c r="AE10" i="74"/>
  <c r="AL10" i="74" s="1"/>
  <c r="AD9" i="75"/>
  <c r="AB9" i="76"/>
  <c r="BM9" i="74"/>
  <c r="BN9" i="74" s="1"/>
  <c r="BO9" i="74" s="1"/>
  <c r="AL9" i="74"/>
  <c r="AM10" i="74" s="1"/>
  <c r="AF10" i="74"/>
  <c r="AG10" i="74" s="1"/>
  <c r="BH9" i="74"/>
  <c r="BI9" i="74" s="1"/>
  <c r="BJ9" i="74" s="1"/>
  <c r="BC9" i="74"/>
  <c r="BD9" i="74" s="1"/>
  <c r="BE9" i="74" s="1"/>
  <c r="AX9" i="74"/>
  <c r="AY9" i="74" s="1"/>
  <c r="AZ9" i="74" s="1"/>
  <c r="BQ9" i="74"/>
  <c r="BR9" i="74" s="1"/>
  <c r="BS9" i="74" s="1"/>
  <c r="AN9" i="74"/>
  <c r="AN8" i="74"/>
  <c r="AO9" i="75"/>
  <c r="BE9" i="75"/>
  <c r="AU9" i="75"/>
  <c r="AZ9" i="75"/>
  <c r="AP9" i="75"/>
  <c r="CL9" i="75"/>
  <c r="U10" i="75"/>
  <c r="BJ9" i="75"/>
  <c r="AR9" i="74"/>
  <c r="AS9" i="74" s="1"/>
  <c r="AU9" i="74" s="1"/>
  <c r="AG9" i="74"/>
  <c r="AR8" i="75"/>
  <c r="AS8" i="75" s="1"/>
  <c r="AT8" i="75" s="1"/>
  <c r="Y9" i="75"/>
  <c r="Z9" i="75" s="1"/>
  <c r="BL8" i="75"/>
  <c r="BM8" i="75" s="1"/>
  <c r="BN8" i="75" s="1"/>
  <c r="AP9" i="77"/>
  <c r="S10" i="76"/>
  <c r="AK8" i="75"/>
  <c r="AL8" i="75" s="1"/>
  <c r="AN8" i="75" s="1"/>
  <c r="BG8" i="75"/>
  <c r="BH8" i="75" s="1"/>
  <c r="BI8" i="75" s="1"/>
  <c r="BB8" i="77"/>
  <c r="BC8" i="77" s="1"/>
  <c r="BD8" i="77" s="1"/>
  <c r="AW8" i="75"/>
  <c r="AX8" i="75" s="1"/>
  <c r="AY8" i="75" s="1"/>
  <c r="BB8" i="75"/>
  <c r="BC8" i="75" s="1"/>
  <c r="BD8" i="75" s="1"/>
  <c r="AR8" i="77"/>
  <c r="AS8" i="77" s="1"/>
  <c r="AT8" i="77" s="1"/>
  <c r="Z8" i="77"/>
  <c r="BL8" i="77"/>
  <c r="BM8" i="77" s="1"/>
  <c r="BN8" i="77" s="1"/>
  <c r="AN8" i="77"/>
  <c r="AW8" i="77"/>
  <c r="AX8" i="77" s="1"/>
  <c r="AY8" i="77" s="1"/>
  <c r="CK9" i="77"/>
  <c r="BG8" i="77"/>
  <c r="BH8" i="77" s="1"/>
  <c r="BI8" i="77" s="1"/>
  <c r="BJ9" i="77"/>
  <c r="U10" i="77"/>
  <c r="AU9" i="77"/>
  <c r="BE9" i="77"/>
  <c r="Y9" i="77"/>
  <c r="Z9" i="77" s="1"/>
  <c r="AZ9" i="77"/>
  <c r="AO9" i="77"/>
  <c r="N14" i="74"/>
  <c r="L28" i="65" s="1"/>
  <c r="O13" i="74"/>
  <c r="M27" i="65" s="1"/>
  <c r="BT8" i="75"/>
  <c r="BU8" i="75" s="1"/>
  <c r="BW8" i="75" s="1"/>
  <c r="BP8" i="75"/>
  <c r="BQ8" i="75" s="1"/>
  <c r="BS8" i="75" s="1"/>
  <c r="BN8" i="76"/>
  <c r="BO8" i="76" s="1"/>
  <c r="BQ8" i="76" s="1"/>
  <c r="AX9" i="76"/>
  <c r="BC9" i="76"/>
  <c r="BP9" i="76"/>
  <c r="AS9" i="76"/>
  <c r="V9" i="76"/>
  <c r="AY9" i="76" s="1"/>
  <c r="AM9" i="76"/>
  <c r="AN9" i="76"/>
  <c r="AO8" i="76"/>
  <c r="AP8" i="76" s="1"/>
  <c r="AQ8" i="76" s="1"/>
  <c r="AR8" i="76" s="1"/>
  <c r="BH9" i="76"/>
  <c r="BD8" i="76"/>
  <c r="BE8" i="76" s="1"/>
  <c r="BF8" i="76" s="1"/>
  <c r="BG8" i="76" s="1"/>
  <c r="AH8" i="76"/>
  <c r="AI8" i="76" s="1"/>
  <c r="AJ8" i="76" s="1"/>
  <c r="AL8" i="76" s="1"/>
  <c r="AT8" i="76"/>
  <c r="AU8" i="76" s="1"/>
  <c r="AV8" i="76" s="1"/>
  <c r="AW8" i="76" s="1"/>
  <c r="BI8" i="76"/>
  <c r="BJ8" i="76" s="1"/>
  <c r="BK8" i="76" s="1"/>
  <c r="BL8" i="76" s="1"/>
  <c r="AY8" i="76"/>
  <c r="AZ8" i="76" s="1"/>
  <c r="BA8" i="76" s="1"/>
  <c r="BB8" i="76" s="1"/>
  <c r="AC8" i="76"/>
  <c r="W9" i="76"/>
  <c r="X9" i="76" s="1"/>
  <c r="AG8" i="77"/>
  <c r="BT8" i="77"/>
  <c r="BU8" i="77" s="1"/>
  <c r="BW8" i="77" s="1"/>
  <c r="CL11" i="77"/>
  <c r="CM11" i="75"/>
  <c r="N14" i="76"/>
  <c r="O13" i="76"/>
  <c r="N14" i="77"/>
  <c r="O13" i="77"/>
  <c r="N14" i="75"/>
  <c r="O13" i="75"/>
  <c r="AD10" i="77" l="1"/>
  <c r="AB10" i="76"/>
  <c r="AD9" i="76"/>
  <c r="AE9" i="76" s="1"/>
  <c r="AM11" i="74"/>
  <c r="V10" i="76"/>
  <c r="AO10" i="76" s="1"/>
  <c r="AF10" i="75"/>
  <c r="AF10" i="77"/>
  <c r="BP10" i="77" s="1"/>
  <c r="BQ10" i="77" s="1"/>
  <c r="BS10" i="77" s="1"/>
  <c r="AV11" i="74"/>
  <c r="AU10" i="75"/>
  <c r="AG10" i="76"/>
  <c r="V10" i="77"/>
  <c r="AB10" i="77" s="1"/>
  <c r="AX10" i="74"/>
  <c r="AY10" i="74" s="1"/>
  <c r="AZ10" i="74" s="1"/>
  <c r="BH10" i="74"/>
  <c r="BI10" i="74" s="1"/>
  <c r="BJ10" i="74" s="1"/>
  <c r="CC11" i="74"/>
  <c r="AE11" i="74"/>
  <c r="BQ11" i="74" s="1"/>
  <c r="AJ11" i="74"/>
  <c r="AD11" i="77" s="1"/>
  <c r="AB12" i="74"/>
  <c r="AP11" i="74"/>
  <c r="AI11" i="77" s="1"/>
  <c r="AC11" i="74"/>
  <c r="T11" i="76" s="1"/>
  <c r="Z11" i="76" s="1"/>
  <c r="BM10" i="74"/>
  <c r="BN10" i="74" s="1"/>
  <c r="BO10" i="74" s="1"/>
  <c r="AI10" i="75"/>
  <c r="BC10" i="74"/>
  <c r="BD10" i="74" s="1"/>
  <c r="BE10" i="74" s="1"/>
  <c r="BQ10" i="74"/>
  <c r="BR10" i="74" s="1"/>
  <c r="BS10" i="74" s="1"/>
  <c r="AQ10" i="74"/>
  <c r="AR10" i="74" s="1"/>
  <c r="AS10" i="74" s="1"/>
  <c r="AU10" i="74" s="1"/>
  <c r="AI10" i="74"/>
  <c r="V10" i="75"/>
  <c r="AB10" i="75" s="1"/>
  <c r="AF11" i="74"/>
  <c r="AG11" i="74" s="1"/>
  <c r="CL10" i="75"/>
  <c r="BE10" i="75"/>
  <c r="CC10" i="75"/>
  <c r="U11" i="75"/>
  <c r="BJ10" i="75"/>
  <c r="AZ10" i="75"/>
  <c r="AO10" i="75"/>
  <c r="AP10" i="75"/>
  <c r="AN10" i="76"/>
  <c r="BC10" i="76"/>
  <c r="S11" i="76"/>
  <c r="AM10" i="76"/>
  <c r="AS10" i="76"/>
  <c r="BP10" i="76"/>
  <c r="BH10" i="76"/>
  <c r="AX10" i="76"/>
  <c r="Y10" i="75"/>
  <c r="AR9" i="75"/>
  <c r="AS9" i="75" s="1"/>
  <c r="AT9" i="75" s="1"/>
  <c r="AK9" i="75"/>
  <c r="AL9" i="75" s="1"/>
  <c r="AN9" i="75" s="1"/>
  <c r="BB9" i="75"/>
  <c r="BC9" i="75" s="1"/>
  <c r="BD9" i="75" s="1"/>
  <c r="BL9" i="75"/>
  <c r="BM9" i="75" s="1"/>
  <c r="BN9" i="75" s="1"/>
  <c r="BG9" i="75"/>
  <c r="BH9" i="75" s="1"/>
  <c r="BI9" i="75" s="1"/>
  <c r="AW9" i="75"/>
  <c r="AX9" i="75" s="1"/>
  <c r="AY9" i="75" s="1"/>
  <c r="U11" i="77"/>
  <c r="AP10" i="77"/>
  <c r="AO10" i="77"/>
  <c r="BJ10" i="77"/>
  <c r="AZ10" i="77"/>
  <c r="CK10" i="77"/>
  <c r="BE10" i="77"/>
  <c r="AU10" i="77"/>
  <c r="BB9" i="77"/>
  <c r="BC9" i="77" s="1"/>
  <c r="BD9" i="77" s="1"/>
  <c r="Y10" i="77"/>
  <c r="AK10" i="77" s="1"/>
  <c r="AL10" i="77" s="1"/>
  <c r="BT9" i="75"/>
  <c r="BU9" i="75" s="1"/>
  <c r="BW9" i="75" s="1"/>
  <c r="AR9" i="77"/>
  <c r="AS9" i="77" s="1"/>
  <c r="AT9" i="77" s="1"/>
  <c r="BL9" i="77"/>
  <c r="BM9" i="77" s="1"/>
  <c r="BN9" i="77" s="1"/>
  <c r="AW9" i="77"/>
  <c r="AX9" i="77" s="1"/>
  <c r="AY9" i="77" s="1"/>
  <c r="BG9" i="77"/>
  <c r="BH9" i="77" s="1"/>
  <c r="BI9" i="77" s="1"/>
  <c r="AK9" i="77"/>
  <c r="AL9" i="77" s="1"/>
  <c r="AN9" i="77" s="1"/>
  <c r="N15" i="74"/>
  <c r="L29" i="65" s="1"/>
  <c r="O14" i="74"/>
  <c r="M28" i="65" s="1"/>
  <c r="BP9" i="75"/>
  <c r="BQ9" i="75" s="1"/>
  <c r="BS9" i="75" s="1"/>
  <c r="AT9" i="76"/>
  <c r="AU9" i="76" s="1"/>
  <c r="AV9" i="76" s="1"/>
  <c r="AW9" i="76" s="1"/>
  <c r="BM9" i="76"/>
  <c r="BN9" i="76" s="1"/>
  <c r="BO9" i="76" s="1"/>
  <c r="BQ9" i="76" s="1"/>
  <c r="BD9" i="76"/>
  <c r="BE9" i="76" s="1"/>
  <c r="BF9" i="76" s="1"/>
  <c r="BG9" i="76" s="1"/>
  <c r="AH9" i="76"/>
  <c r="AI9" i="76" s="1"/>
  <c r="AJ9" i="76" s="1"/>
  <c r="AL9" i="76" s="1"/>
  <c r="AO9" i="76"/>
  <c r="AP9" i="76" s="1"/>
  <c r="AQ9" i="76" s="1"/>
  <c r="AR9" i="76" s="1"/>
  <c r="BI9" i="76"/>
  <c r="BJ9" i="76" s="1"/>
  <c r="BK9" i="76" s="1"/>
  <c r="BL9" i="76" s="1"/>
  <c r="AC9" i="76"/>
  <c r="W10" i="76"/>
  <c r="X10" i="76" s="1"/>
  <c r="AZ9" i="76"/>
  <c r="BA9" i="76" s="1"/>
  <c r="BB9" i="76" s="1"/>
  <c r="BT9" i="77"/>
  <c r="BU9" i="77" s="1"/>
  <c r="BW9" i="77" s="1"/>
  <c r="AG9" i="77"/>
  <c r="N15" i="77"/>
  <c r="O14" i="77"/>
  <c r="N15" i="76"/>
  <c r="O14" i="76"/>
  <c r="N15" i="75"/>
  <c r="O14" i="75"/>
  <c r="CM12" i="75"/>
  <c r="CL12" i="77"/>
  <c r="BM10" i="76" l="1"/>
  <c r="BN10" i="76" s="1"/>
  <c r="BO10" i="76" s="1"/>
  <c r="BQ10" i="76" s="1"/>
  <c r="AD10" i="76"/>
  <c r="AE10" i="76" s="1"/>
  <c r="AT10" i="76"/>
  <c r="AU10" i="76" s="1"/>
  <c r="AV10" i="76" s="1"/>
  <c r="AW10" i="76" s="1"/>
  <c r="AC10" i="76"/>
  <c r="BD10" i="76"/>
  <c r="BE10" i="76" s="1"/>
  <c r="BF10" i="76" s="1"/>
  <c r="BG10" i="76" s="1"/>
  <c r="AH10" i="76"/>
  <c r="AI10" i="76" s="1"/>
  <c r="AJ10" i="76" s="1"/>
  <c r="AL10" i="76" s="1"/>
  <c r="BI10" i="76"/>
  <c r="BJ10" i="76" s="1"/>
  <c r="BK10" i="76" s="1"/>
  <c r="BL10" i="76" s="1"/>
  <c r="AY10" i="76"/>
  <c r="AZ10" i="76" s="1"/>
  <c r="BA10" i="76" s="1"/>
  <c r="BB10" i="76" s="1"/>
  <c r="BE11" i="75"/>
  <c r="AP11" i="77"/>
  <c r="AV12" i="74"/>
  <c r="BP11" i="76"/>
  <c r="AF11" i="77"/>
  <c r="AF11" i="75"/>
  <c r="AG11" i="75" s="1"/>
  <c r="AD11" i="75"/>
  <c r="AJ12" i="74"/>
  <c r="AD12" i="77" s="1"/>
  <c r="AI11" i="74"/>
  <c r="AC12" i="74"/>
  <c r="V12" i="77" s="1"/>
  <c r="AB12" i="77" s="1"/>
  <c r="V11" i="75"/>
  <c r="AB11" i="75" s="1"/>
  <c r="AB13" i="74"/>
  <c r="V11" i="77"/>
  <c r="AB11" i="77" s="1"/>
  <c r="AP12" i="74"/>
  <c r="AI12" i="75" s="1"/>
  <c r="AE12" i="74"/>
  <c r="AL12" i="74" s="1"/>
  <c r="CC12" i="74"/>
  <c r="AG11" i="76"/>
  <c r="AI11" i="75"/>
  <c r="BC11" i="74"/>
  <c r="BD11" i="74" s="1"/>
  <c r="BE11" i="74" s="1"/>
  <c r="BH11" i="74"/>
  <c r="BI11" i="74" s="1"/>
  <c r="BJ11" i="74" s="1"/>
  <c r="AL11" i="74"/>
  <c r="AM12" i="74" s="1"/>
  <c r="AQ11" i="74"/>
  <c r="AR11" i="74" s="1"/>
  <c r="AS11" i="74" s="1"/>
  <c r="AU11" i="74" s="1"/>
  <c r="AX11" i="74"/>
  <c r="AY11" i="74" s="1"/>
  <c r="AZ11" i="74" s="1"/>
  <c r="BM11" i="74"/>
  <c r="BN11" i="74" s="1"/>
  <c r="BO11" i="74" s="1"/>
  <c r="AB11" i="76"/>
  <c r="AF12" i="74"/>
  <c r="BR11" i="74"/>
  <c r="BS11" i="74" s="1"/>
  <c r="AN10" i="74"/>
  <c r="BG10" i="75"/>
  <c r="BH10" i="75" s="1"/>
  <c r="BI10" i="75" s="1"/>
  <c r="BJ11" i="75"/>
  <c r="CC11" i="75"/>
  <c r="AU11" i="75"/>
  <c r="AP11" i="75"/>
  <c r="CL11" i="75"/>
  <c r="U12" i="75"/>
  <c r="AZ11" i="75"/>
  <c r="AO11" i="75"/>
  <c r="AG10" i="75"/>
  <c r="V11" i="76"/>
  <c r="AC11" i="76" s="1"/>
  <c r="AU11" i="77"/>
  <c r="AS11" i="76"/>
  <c r="AN11" i="74"/>
  <c r="S12" i="76"/>
  <c r="BH11" i="76"/>
  <c r="AM11" i="76"/>
  <c r="AN11" i="76"/>
  <c r="AX11" i="76"/>
  <c r="BC11" i="76"/>
  <c r="U12" i="77"/>
  <c r="CK11" i="77"/>
  <c r="BE11" i="77"/>
  <c r="BB10" i="77"/>
  <c r="BC10" i="77" s="1"/>
  <c r="BD10" i="77" s="1"/>
  <c r="Y11" i="75"/>
  <c r="BB10" i="75"/>
  <c r="BC10" i="75" s="1"/>
  <c r="BD10" i="75" s="1"/>
  <c r="Z10" i="75"/>
  <c r="AR10" i="75"/>
  <c r="AS10" i="75" s="1"/>
  <c r="AT10" i="75" s="1"/>
  <c r="AW10" i="75"/>
  <c r="AX10" i="75" s="1"/>
  <c r="AY10" i="75" s="1"/>
  <c r="BL10" i="75"/>
  <c r="BM10" i="75" s="1"/>
  <c r="BN10" i="75" s="1"/>
  <c r="AK10" i="75"/>
  <c r="AL10" i="75" s="1"/>
  <c r="AN10" i="75" s="1"/>
  <c r="BJ11" i="77"/>
  <c r="AO11" i="77"/>
  <c r="AN10" i="77"/>
  <c r="AZ11" i="77"/>
  <c r="AW10" i="77"/>
  <c r="AX10" i="77" s="1"/>
  <c r="AY10" i="77" s="1"/>
  <c r="Y11" i="77"/>
  <c r="Z11" i="77" s="1"/>
  <c r="BP10" i="75"/>
  <c r="BQ10" i="75" s="1"/>
  <c r="BS10" i="75" s="1"/>
  <c r="BG10" i="77"/>
  <c r="BH10" i="77" s="1"/>
  <c r="BI10" i="77" s="1"/>
  <c r="BT10" i="75"/>
  <c r="BU10" i="75" s="1"/>
  <c r="BW10" i="75" s="1"/>
  <c r="AR10" i="77"/>
  <c r="AS10" i="77" s="1"/>
  <c r="AT10" i="77" s="1"/>
  <c r="Z10" i="77"/>
  <c r="BL10" i="77"/>
  <c r="BM10" i="77" s="1"/>
  <c r="BN10" i="77" s="1"/>
  <c r="O15" i="74"/>
  <c r="M29" i="65" s="1"/>
  <c r="N16" i="74"/>
  <c r="L30" i="65" s="1"/>
  <c r="BT10" i="77"/>
  <c r="BU10" i="77" s="1"/>
  <c r="BW10" i="77" s="1"/>
  <c r="AG10" i="77"/>
  <c r="W11" i="76"/>
  <c r="X11" i="76" s="1"/>
  <c r="AP10" i="76"/>
  <c r="AQ10" i="76" s="1"/>
  <c r="AR10" i="76" s="1"/>
  <c r="N16" i="75"/>
  <c r="O15" i="75"/>
  <c r="N16" i="76"/>
  <c r="O15" i="76"/>
  <c r="CL13" i="77"/>
  <c r="CM13" i="75"/>
  <c r="N16" i="77"/>
  <c r="O15" i="77"/>
  <c r="AD11" i="76" l="1"/>
  <c r="AE11" i="76" s="1"/>
  <c r="AM13" i="74"/>
  <c r="AF12" i="75"/>
  <c r="U13" i="77"/>
  <c r="BJ13" i="77" s="1"/>
  <c r="AF12" i="77"/>
  <c r="AG11" i="77"/>
  <c r="AU12" i="75"/>
  <c r="AE13" i="74"/>
  <c r="BC13" i="74" s="1"/>
  <c r="BH12" i="76"/>
  <c r="AG12" i="76"/>
  <c r="AI12" i="77"/>
  <c r="AB12" i="76"/>
  <c r="AD12" i="75"/>
  <c r="AV13" i="74"/>
  <c r="CC13" i="74"/>
  <c r="AJ13" i="74"/>
  <c r="AB13" i="76" s="1"/>
  <c r="AP13" i="74"/>
  <c r="AI13" i="75" s="1"/>
  <c r="AC13" i="74"/>
  <c r="T13" i="76" s="1"/>
  <c r="Z13" i="76" s="1"/>
  <c r="AB14" i="74"/>
  <c r="AI12" i="74"/>
  <c r="V12" i="75"/>
  <c r="AB12" i="75" s="1"/>
  <c r="T12" i="76"/>
  <c r="Z12" i="76" s="1"/>
  <c r="BC12" i="74"/>
  <c r="BD12" i="74" s="1"/>
  <c r="BE12" i="74" s="1"/>
  <c r="BQ12" i="74"/>
  <c r="BR12" i="74" s="1"/>
  <c r="BS12" i="74" s="1"/>
  <c r="BH12" i="74"/>
  <c r="BI12" i="74" s="1"/>
  <c r="BJ12" i="74" s="1"/>
  <c r="AX12" i="74"/>
  <c r="AY12" i="74" s="1"/>
  <c r="AZ12" i="74" s="1"/>
  <c r="BM12" i="74"/>
  <c r="BN12" i="74" s="1"/>
  <c r="BO12" i="74" s="1"/>
  <c r="AQ12" i="74"/>
  <c r="AR12" i="74" s="1"/>
  <c r="AS12" i="74" s="1"/>
  <c r="AU12" i="74" s="1"/>
  <c r="AF13" i="74"/>
  <c r="AG13" i="74" s="1"/>
  <c r="AG12" i="74"/>
  <c r="CC12" i="75"/>
  <c r="BJ12" i="75"/>
  <c r="AZ12" i="75"/>
  <c r="U13" i="75"/>
  <c r="AO12" i="75"/>
  <c r="AP12" i="75"/>
  <c r="BE12" i="75"/>
  <c r="CL12" i="75"/>
  <c r="BB11" i="75"/>
  <c r="BC11" i="75" s="1"/>
  <c r="BD11" i="75" s="1"/>
  <c r="BM11" i="76"/>
  <c r="BN11" i="76" s="1"/>
  <c r="BO11" i="76" s="1"/>
  <c r="BQ11" i="76" s="1"/>
  <c r="BD11" i="76"/>
  <c r="BE11" i="76" s="1"/>
  <c r="BF11" i="76" s="1"/>
  <c r="BG11" i="76" s="1"/>
  <c r="AO11" i="76"/>
  <c r="AP11" i="76" s="1"/>
  <c r="AQ11" i="76" s="1"/>
  <c r="AR11" i="76" s="1"/>
  <c r="AH11" i="76"/>
  <c r="AI11" i="76" s="1"/>
  <c r="AJ11" i="76" s="1"/>
  <c r="AL11" i="76" s="1"/>
  <c r="AT11" i="76"/>
  <c r="AU11" i="76" s="1"/>
  <c r="AV11" i="76" s="1"/>
  <c r="AW11" i="76" s="1"/>
  <c r="AY11" i="76"/>
  <c r="AZ11" i="76" s="1"/>
  <c r="BA11" i="76" s="1"/>
  <c r="BB11" i="76" s="1"/>
  <c r="BI11" i="76"/>
  <c r="BJ11" i="76" s="1"/>
  <c r="BK11" i="76" s="1"/>
  <c r="BL11" i="76" s="1"/>
  <c r="BE12" i="77"/>
  <c r="AN12" i="74"/>
  <c r="S13" i="76"/>
  <c r="AX12" i="76"/>
  <c r="AM12" i="76"/>
  <c r="AP12" i="77"/>
  <c r="AK11" i="75"/>
  <c r="AL11" i="75" s="1"/>
  <c r="AN11" i="75" s="1"/>
  <c r="AU12" i="77"/>
  <c r="BJ12" i="77"/>
  <c r="AZ12" i="77"/>
  <c r="AN12" i="76"/>
  <c r="BP12" i="76"/>
  <c r="BC12" i="76"/>
  <c r="AS12" i="76"/>
  <c r="V12" i="76"/>
  <c r="BM12" i="76" s="1"/>
  <c r="CK12" i="77"/>
  <c r="AO12" i="77"/>
  <c r="AW11" i="77"/>
  <c r="AX11" i="77" s="1"/>
  <c r="AY11" i="77" s="1"/>
  <c r="BL11" i="75"/>
  <c r="BM11" i="75" s="1"/>
  <c r="BN11" i="75" s="1"/>
  <c r="Y12" i="75"/>
  <c r="AW11" i="75"/>
  <c r="AX11" i="75" s="1"/>
  <c r="AY11" i="75" s="1"/>
  <c r="BG11" i="75"/>
  <c r="BH11" i="75" s="1"/>
  <c r="BI11" i="75" s="1"/>
  <c r="Z11" i="75"/>
  <c r="AR11" i="75"/>
  <c r="AS11" i="75" s="1"/>
  <c r="AT11" i="75" s="1"/>
  <c r="BG11" i="77"/>
  <c r="BH11" i="77" s="1"/>
  <c r="BI11" i="77" s="1"/>
  <c r="BL11" i="77"/>
  <c r="BM11" i="77" s="1"/>
  <c r="BN11" i="77" s="1"/>
  <c r="AK11" i="77"/>
  <c r="AL11" i="77" s="1"/>
  <c r="AN11" i="77" s="1"/>
  <c r="BT11" i="75"/>
  <c r="BU11" i="75" s="1"/>
  <c r="BW11" i="75" s="1"/>
  <c r="Y12" i="77"/>
  <c r="AR11" i="77"/>
  <c r="AS11" i="77" s="1"/>
  <c r="AT11" i="77" s="1"/>
  <c r="BB11" i="77"/>
  <c r="BC11" i="77" s="1"/>
  <c r="BD11" i="77" s="1"/>
  <c r="BP11" i="75"/>
  <c r="BQ11" i="75" s="1"/>
  <c r="BS11" i="75" s="1"/>
  <c r="BT11" i="77"/>
  <c r="BU11" i="77" s="1"/>
  <c r="BW11" i="77" s="1"/>
  <c r="N17" i="74"/>
  <c r="L31" i="65" s="1"/>
  <c r="O16" i="74"/>
  <c r="M30" i="65" s="1"/>
  <c r="BP11" i="77"/>
  <c r="BQ11" i="77" s="1"/>
  <c r="BS11" i="77" s="1"/>
  <c r="W12" i="76"/>
  <c r="CM14" i="75"/>
  <c r="CL14" i="77"/>
  <c r="N17" i="75"/>
  <c r="O16" i="75"/>
  <c r="N17" i="76"/>
  <c r="O16" i="76"/>
  <c r="N17" i="77"/>
  <c r="O16" i="77"/>
  <c r="AD12" i="76" l="1"/>
  <c r="AE12" i="76" s="1"/>
  <c r="BE13" i="77"/>
  <c r="U14" i="77"/>
  <c r="BJ14" i="77" s="1"/>
  <c r="AU13" i="77"/>
  <c r="AZ13" i="77"/>
  <c r="AO13" i="77"/>
  <c r="AP13" i="77"/>
  <c r="CK13" i="77"/>
  <c r="AF13" i="77"/>
  <c r="BP13" i="77" s="1"/>
  <c r="BQ13" i="77" s="1"/>
  <c r="BS13" i="77" s="1"/>
  <c r="AX13" i="74"/>
  <c r="AY13" i="74" s="1"/>
  <c r="AZ13" i="74" s="1"/>
  <c r="AL13" i="74"/>
  <c r="AM14" i="74" s="1"/>
  <c r="BQ13" i="74"/>
  <c r="BR13" i="74" s="1"/>
  <c r="BS13" i="74" s="1"/>
  <c r="BH13" i="74"/>
  <c r="BI13" i="74" s="1"/>
  <c r="BJ13" i="74" s="1"/>
  <c r="BM13" i="74"/>
  <c r="BN13" i="74" s="1"/>
  <c r="BO13" i="74" s="1"/>
  <c r="AQ13" i="74"/>
  <c r="AR13" i="74" s="1"/>
  <c r="AS13" i="74" s="1"/>
  <c r="AU13" i="74" s="1"/>
  <c r="AB15" i="74"/>
  <c r="AC15" i="74" s="1"/>
  <c r="BP13" i="76"/>
  <c r="AO13" i="75"/>
  <c r="AF13" i="75"/>
  <c r="AG13" i="75" s="1"/>
  <c r="AD13" i="77"/>
  <c r="AI13" i="77"/>
  <c r="AP14" i="74"/>
  <c r="AI14" i="77" s="1"/>
  <c r="AE14" i="74"/>
  <c r="AL14" i="74" s="1"/>
  <c r="AV14" i="74"/>
  <c r="AI13" i="74"/>
  <c r="V13" i="77"/>
  <c r="AB13" i="77" s="1"/>
  <c r="AC14" i="74"/>
  <c r="V14" i="75" s="1"/>
  <c r="CC14" i="74"/>
  <c r="AD13" i="75"/>
  <c r="AJ14" i="74"/>
  <c r="AD14" i="77" s="1"/>
  <c r="AF14" i="74"/>
  <c r="AG14" i="74" s="1"/>
  <c r="AG13" i="76"/>
  <c r="V13" i="75"/>
  <c r="AB13" i="75" s="1"/>
  <c r="BD13" i="74"/>
  <c r="BE13" i="74" s="1"/>
  <c r="CL13" i="75"/>
  <c r="AP13" i="75"/>
  <c r="AU13" i="75"/>
  <c r="BJ13" i="75"/>
  <c r="CC13" i="75"/>
  <c r="Y13" i="75"/>
  <c r="Z13" i="75" s="1"/>
  <c r="AZ13" i="75"/>
  <c r="BE13" i="75"/>
  <c r="U14" i="75"/>
  <c r="BP12" i="77"/>
  <c r="BQ12" i="77" s="1"/>
  <c r="BS12" i="77" s="1"/>
  <c r="AG12" i="75"/>
  <c r="AN13" i="74"/>
  <c r="AR12" i="77"/>
  <c r="AS12" i="77" s="1"/>
  <c r="AT12" i="77" s="1"/>
  <c r="AS13" i="76"/>
  <c r="BH13" i="76"/>
  <c r="AC12" i="76"/>
  <c r="AO12" i="76"/>
  <c r="AP12" i="76" s="1"/>
  <c r="AQ12" i="76" s="1"/>
  <c r="AR12" i="76" s="1"/>
  <c r="S14" i="76"/>
  <c r="V13" i="76"/>
  <c r="AH13" i="76" s="1"/>
  <c r="BI12" i="76"/>
  <c r="BJ12" i="76" s="1"/>
  <c r="BK12" i="76" s="1"/>
  <c r="BL12" i="76" s="1"/>
  <c r="AY12" i="76"/>
  <c r="AZ12" i="76" s="1"/>
  <c r="BA12" i="76" s="1"/>
  <c r="BB12" i="76" s="1"/>
  <c r="AM13" i="76"/>
  <c r="AX13" i="76"/>
  <c r="BD12" i="76"/>
  <c r="BE12" i="76" s="1"/>
  <c r="BF12" i="76" s="1"/>
  <c r="BG12" i="76" s="1"/>
  <c r="AN13" i="76"/>
  <c r="AH12" i="76"/>
  <c r="AI12" i="76" s="1"/>
  <c r="AJ12" i="76" s="1"/>
  <c r="AL12" i="76" s="1"/>
  <c r="BC13" i="76"/>
  <c r="AT12" i="76"/>
  <c r="AU12" i="76" s="1"/>
  <c r="AV12" i="76" s="1"/>
  <c r="AW12" i="76" s="1"/>
  <c r="W13" i="76"/>
  <c r="X13" i="76" s="1"/>
  <c r="N18" i="74"/>
  <c r="L32" i="65" s="1"/>
  <c r="BG12" i="75"/>
  <c r="BH12" i="75" s="1"/>
  <c r="BI12" i="75" s="1"/>
  <c r="Z12" i="75"/>
  <c r="BL12" i="75"/>
  <c r="BM12" i="75" s="1"/>
  <c r="BN12" i="75" s="1"/>
  <c r="BB12" i="75"/>
  <c r="BC12" i="75" s="1"/>
  <c r="BD12" i="75" s="1"/>
  <c r="AR12" i="75"/>
  <c r="AS12" i="75" s="1"/>
  <c r="AT12" i="75" s="1"/>
  <c r="AK12" i="75"/>
  <c r="AL12" i="75" s="1"/>
  <c r="AN12" i="75" s="1"/>
  <c r="AW12" i="75"/>
  <c r="AX12" i="75" s="1"/>
  <c r="AY12" i="75" s="1"/>
  <c r="O17" i="74"/>
  <c r="M31" i="65" s="1"/>
  <c r="AG12" i="77"/>
  <c r="BB12" i="77"/>
  <c r="BC12" i="77" s="1"/>
  <c r="BD12" i="77" s="1"/>
  <c r="Y13" i="77"/>
  <c r="Z13" i="77" s="1"/>
  <c r="BG12" i="77"/>
  <c r="BH12" i="77" s="1"/>
  <c r="BI12" i="77" s="1"/>
  <c r="Z12" i="77"/>
  <c r="BP12" i="75"/>
  <c r="BQ12" i="75" s="1"/>
  <c r="BS12" i="75" s="1"/>
  <c r="AK12" i="77"/>
  <c r="AL12" i="77" s="1"/>
  <c r="AN12" i="77" s="1"/>
  <c r="AW12" i="77"/>
  <c r="AX12" i="77" s="1"/>
  <c r="AY12" i="77" s="1"/>
  <c r="BT12" i="75"/>
  <c r="BU12" i="75" s="1"/>
  <c r="BW12" i="75" s="1"/>
  <c r="BL12" i="77"/>
  <c r="BM12" i="77" s="1"/>
  <c r="BN12" i="77" s="1"/>
  <c r="BT12" i="77"/>
  <c r="BU12" i="77" s="1"/>
  <c r="BW12" i="77" s="1"/>
  <c r="X12" i="76"/>
  <c r="BN12" i="76"/>
  <c r="BO12" i="76" s="1"/>
  <c r="BQ12" i="76" s="1"/>
  <c r="CL15" i="77"/>
  <c r="CM15" i="75"/>
  <c r="N18" i="75"/>
  <c r="O17" i="75"/>
  <c r="N18" i="76"/>
  <c r="O17" i="76"/>
  <c r="O17" i="77"/>
  <c r="N18" i="77"/>
  <c r="AO14" i="77" l="1"/>
  <c r="AZ14" i="77"/>
  <c r="AD13" i="76"/>
  <c r="AE13" i="76" s="1"/>
  <c r="AP14" i="77"/>
  <c r="CK14" i="77"/>
  <c r="U15" i="77"/>
  <c r="AO15" i="77" s="1"/>
  <c r="BE14" i="77"/>
  <c r="AU14" i="77"/>
  <c r="AB16" i="74"/>
  <c r="AV16" i="74" s="1"/>
  <c r="AF14" i="77"/>
  <c r="AG14" i="77" s="1"/>
  <c r="AV15" i="74"/>
  <c r="CC15" i="74"/>
  <c r="AJ15" i="74"/>
  <c r="AD15" i="77" s="1"/>
  <c r="AP15" i="74"/>
  <c r="AI15" i="75" s="1"/>
  <c r="AE15" i="74"/>
  <c r="BQ15" i="74" s="1"/>
  <c r="AM15" i="74"/>
  <c r="AF14" i="75"/>
  <c r="AZ14" i="75"/>
  <c r="S15" i="76"/>
  <c r="BH15" i="76" s="1"/>
  <c r="AI14" i="74"/>
  <c r="BQ14" i="74"/>
  <c r="BR14" i="74" s="1"/>
  <c r="AX14" i="74"/>
  <c r="AY14" i="74" s="1"/>
  <c r="AZ14" i="74" s="1"/>
  <c r="BH14" i="74"/>
  <c r="BI14" i="74" s="1"/>
  <c r="AQ14" i="74"/>
  <c r="AR14" i="74" s="1"/>
  <c r="T14" i="76"/>
  <c r="Z14" i="76" s="1"/>
  <c r="AI14" i="75"/>
  <c r="AG14" i="76"/>
  <c r="V14" i="77"/>
  <c r="AB14" i="77" s="1"/>
  <c r="BM14" i="74"/>
  <c r="BN14" i="74" s="1"/>
  <c r="BO14" i="74" s="1"/>
  <c r="BC14" i="74"/>
  <c r="BD14" i="74" s="1"/>
  <c r="AD14" i="75"/>
  <c r="AF15" i="74"/>
  <c r="AB14" i="76"/>
  <c r="AU14" i="75"/>
  <c r="BJ14" i="75"/>
  <c r="AK13" i="75"/>
  <c r="AL13" i="75" s="1"/>
  <c r="AN13" i="75" s="1"/>
  <c r="BB13" i="75"/>
  <c r="BC13" i="75" s="1"/>
  <c r="BD13" i="75" s="1"/>
  <c r="Y14" i="75"/>
  <c r="Z14" i="75" s="1"/>
  <c r="AW13" i="75"/>
  <c r="AX13" i="75" s="1"/>
  <c r="AY13" i="75" s="1"/>
  <c r="CC14" i="75"/>
  <c r="AO14" i="75"/>
  <c r="AP14" i="75"/>
  <c r="BL13" i="75"/>
  <c r="BM13" i="75" s="1"/>
  <c r="BN13" i="75" s="1"/>
  <c r="BE14" i="75"/>
  <c r="AR13" i="75"/>
  <c r="AS13" i="75" s="1"/>
  <c r="AT13" i="75" s="1"/>
  <c r="CL14" i="75"/>
  <c r="U15" i="75"/>
  <c r="BG13" i="75"/>
  <c r="BH13" i="75" s="1"/>
  <c r="BI13" i="75" s="1"/>
  <c r="BH14" i="76"/>
  <c r="AX14" i="76"/>
  <c r="AM14" i="76"/>
  <c r="AN14" i="76"/>
  <c r="BC14" i="76"/>
  <c r="BP14" i="76"/>
  <c r="AS14" i="76"/>
  <c r="V14" i="76"/>
  <c r="BM14" i="76" s="1"/>
  <c r="AI13" i="76"/>
  <c r="AJ13" i="76" s="1"/>
  <c r="AL13" i="76" s="1"/>
  <c r="AN14" i="74"/>
  <c r="AC13" i="76"/>
  <c r="BM13" i="76"/>
  <c r="BN13" i="76" s="1"/>
  <c r="BO13" i="76" s="1"/>
  <c r="BQ13" i="76" s="1"/>
  <c r="AO13" i="76"/>
  <c r="AP13" i="76" s="1"/>
  <c r="AQ13" i="76" s="1"/>
  <c r="AR13" i="76" s="1"/>
  <c r="BD13" i="76"/>
  <c r="BE13" i="76" s="1"/>
  <c r="BF13" i="76" s="1"/>
  <c r="BG13" i="76" s="1"/>
  <c r="AT13" i="76"/>
  <c r="AU13" i="76" s="1"/>
  <c r="AV13" i="76" s="1"/>
  <c r="AW13" i="76" s="1"/>
  <c r="BI13" i="76"/>
  <c r="BJ13" i="76" s="1"/>
  <c r="BK13" i="76" s="1"/>
  <c r="BL13" i="76" s="1"/>
  <c r="AY13" i="76"/>
  <c r="AZ13" i="76" s="1"/>
  <c r="BA13" i="76" s="1"/>
  <c r="BB13" i="76" s="1"/>
  <c r="BL13" i="77"/>
  <c r="BM13" i="77" s="1"/>
  <c r="BN13" i="77" s="1"/>
  <c r="W14" i="76"/>
  <c r="X14" i="76" s="1"/>
  <c r="O18" i="74"/>
  <c r="M32" i="65" s="1"/>
  <c r="N19" i="74"/>
  <c r="L33" i="65" s="1"/>
  <c r="AW13" i="77"/>
  <c r="AX13" i="77" s="1"/>
  <c r="AY13" i="77" s="1"/>
  <c r="AK13" i="77"/>
  <c r="AL13" i="77" s="1"/>
  <c r="AN13" i="77" s="1"/>
  <c r="BB13" i="77"/>
  <c r="BC13" i="77" s="1"/>
  <c r="BD13" i="77" s="1"/>
  <c r="BG13" i="77"/>
  <c r="BH13" i="77" s="1"/>
  <c r="BI13" i="77" s="1"/>
  <c r="Y14" i="77"/>
  <c r="Z14" i="77" s="1"/>
  <c r="AG13" i="77"/>
  <c r="BT13" i="77"/>
  <c r="BU13" i="77" s="1"/>
  <c r="BW13" i="77" s="1"/>
  <c r="BT13" i="75"/>
  <c r="BU13" i="75" s="1"/>
  <c r="BW13" i="75" s="1"/>
  <c r="AR13" i="77"/>
  <c r="AS13" i="77" s="1"/>
  <c r="AT13" i="77" s="1"/>
  <c r="BP13" i="75"/>
  <c r="BQ13" i="75" s="1"/>
  <c r="BS13" i="75" s="1"/>
  <c r="N19" i="75"/>
  <c r="O18" i="75"/>
  <c r="V15" i="77"/>
  <c r="AB15" i="77" s="1"/>
  <c r="T15" i="76"/>
  <c r="Z15" i="76" s="1"/>
  <c r="V15" i="75"/>
  <c r="AB15" i="75" s="1"/>
  <c r="AI15" i="74"/>
  <c r="N19" i="77"/>
  <c r="O18" i="77"/>
  <c r="CM16" i="75"/>
  <c r="AB14" i="75"/>
  <c r="CL16" i="77"/>
  <c r="N19" i="76"/>
  <c r="O18" i="76"/>
  <c r="AC16" i="74" l="1"/>
  <c r="AI16" i="74" s="1"/>
  <c r="AJ16" i="74"/>
  <c r="AB16" i="76" s="1"/>
  <c r="AD14" i="76"/>
  <c r="AE14" i="76" s="1"/>
  <c r="AB17" i="74"/>
  <c r="AV17" i="74" s="1"/>
  <c r="AP16" i="74"/>
  <c r="AI16" i="75" s="1"/>
  <c r="CC16" i="74"/>
  <c r="AE16" i="74"/>
  <c r="BC16" i="74" s="1"/>
  <c r="AG15" i="76"/>
  <c r="CK15" i="77"/>
  <c r="AU15" i="77"/>
  <c r="U16" i="77"/>
  <c r="BJ16" i="77" s="1"/>
  <c r="AP15" i="77"/>
  <c r="BE15" i="77"/>
  <c r="AL15" i="74"/>
  <c r="AM16" i="74" s="1"/>
  <c r="AB15" i="76"/>
  <c r="BJ15" i="77"/>
  <c r="AF15" i="77"/>
  <c r="AZ15" i="77"/>
  <c r="AX15" i="74"/>
  <c r="AY15" i="74" s="1"/>
  <c r="AZ15" i="74" s="1"/>
  <c r="BC15" i="74"/>
  <c r="BD15" i="74" s="1"/>
  <c r="BE15" i="74" s="1"/>
  <c r="AI15" i="77"/>
  <c r="AN15" i="76"/>
  <c r="BC15" i="76"/>
  <c r="BP15" i="76"/>
  <c r="AS15" i="76"/>
  <c r="V15" i="76"/>
  <c r="AY15" i="76" s="1"/>
  <c r="S16" i="76"/>
  <c r="AS16" i="76" s="1"/>
  <c r="AX15" i="76"/>
  <c r="AM15" i="76"/>
  <c r="BH15" i="74"/>
  <c r="BI15" i="74" s="1"/>
  <c r="BJ15" i="74" s="1"/>
  <c r="AF16" i="74"/>
  <c r="AG16" i="74" s="1"/>
  <c r="BM15" i="74"/>
  <c r="BN15" i="74" s="1"/>
  <c r="BO15" i="74" s="1"/>
  <c r="AD15" i="75"/>
  <c r="AQ15" i="74"/>
  <c r="AR15" i="74" s="1"/>
  <c r="AS15" i="74" s="1"/>
  <c r="AU15" i="74" s="1"/>
  <c r="AF15" i="75"/>
  <c r="AG15" i="75" s="1"/>
  <c r="AU15" i="75"/>
  <c r="AG15" i="74"/>
  <c r="BR15" i="74"/>
  <c r="BS15" i="74" s="1"/>
  <c r="BL14" i="75"/>
  <c r="BM14" i="75" s="1"/>
  <c r="BN14" i="75" s="1"/>
  <c r="BB14" i="75"/>
  <c r="BC14" i="75" s="1"/>
  <c r="AW14" i="75"/>
  <c r="AX14" i="75" s="1"/>
  <c r="AK14" i="75"/>
  <c r="AL14" i="75" s="1"/>
  <c r="Y15" i="75"/>
  <c r="BJ15" i="75"/>
  <c r="AP15" i="75"/>
  <c r="BG14" i="75"/>
  <c r="BH14" i="75" s="1"/>
  <c r="AZ15" i="75"/>
  <c r="AO15" i="75"/>
  <c r="CL15" i="75"/>
  <c r="U16" i="75"/>
  <c r="AR14" i="75"/>
  <c r="AS14" i="75" s="1"/>
  <c r="CC15" i="75"/>
  <c r="BE15" i="75"/>
  <c r="AG14" i="75"/>
  <c r="AK14" i="77"/>
  <c r="AL14" i="77" s="1"/>
  <c r="AN14" i="77" s="1"/>
  <c r="AT14" i="76"/>
  <c r="AU14" i="76" s="1"/>
  <c r="AV14" i="76" s="1"/>
  <c r="AW14" i="76" s="1"/>
  <c r="BD14" i="76"/>
  <c r="BE14" i="76" s="1"/>
  <c r="BF14" i="76" s="1"/>
  <c r="BG14" i="76" s="1"/>
  <c r="AH14" i="76"/>
  <c r="AI14" i="76" s="1"/>
  <c r="AJ14" i="76" s="1"/>
  <c r="AL14" i="76" s="1"/>
  <c r="BI14" i="76"/>
  <c r="BJ14" i="76" s="1"/>
  <c r="BK14" i="76" s="1"/>
  <c r="BL14" i="76" s="1"/>
  <c r="AY14" i="76"/>
  <c r="AZ14" i="76" s="1"/>
  <c r="BA14" i="76" s="1"/>
  <c r="BB14" i="76" s="1"/>
  <c r="AC14" i="76"/>
  <c r="AO14" i="76"/>
  <c r="AP14" i="76" s="1"/>
  <c r="AQ14" i="76" s="1"/>
  <c r="AR14" i="76" s="1"/>
  <c r="AN15" i="74"/>
  <c r="W15" i="76"/>
  <c r="BN14" i="76"/>
  <c r="BO14" i="76" s="1"/>
  <c r="BQ14" i="76" s="1"/>
  <c r="BP14" i="77"/>
  <c r="BQ14" i="77" s="1"/>
  <c r="BS14" i="77" s="1"/>
  <c r="BB14" i="77"/>
  <c r="BC14" i="77" s="1"/>
  <c r="BD14" i="77" s="1"/>
  <c r="AW14" i="77"/>
  <c r="AX14" i="77" s="1"/>
  <c r="AY14" i="77" s="1"/>
  <c r="AR14" i="77"/>
  <c r="AS14" i="77" s="1"/>
  <c r="AT14" i="77" s="1"/>
  <c r="N20" i="74"/>
  <c r="L34" i="65" s="1"/>
  <c r="O19" i="74"/>
  <c r="M33" i="65" s="1"/>
  <c r="BL14" i="77"/>
  <c r="BM14" i="77" s="1"/>
  <c r="BN14" i="77" s="1"/>
  <c r="BT14" i="77"/>
  <c r="BU14" i="77" s="1"/>
  <c r="BW14" i="77" s="1"/>
  <c r="Y15" i="77"/>
  <c r="BG14" i="77"/>
  <c r="BH14" i="77" s="1"/>
  <c r="BI14" i="77" s="1"/>
  <c r="BT14" i="75"/>
  <c r="BU14" i="75" s="1"/>
  <c r="BP14" i="75"/>
  <c r="BQ14" i="75" s="1"/>
  <c r="AS14" i="74"/>
  <c r="BS14" i="74"/>
  <c r="N20" i="75"/>
  <c r="O19" i="75"/>
  <c r="BJ14" i="74"/>
  <c r="O19" i="77"/>
  <c r="N20" i="77"/>
  <c r="CL17" i="77"/>
  <c r="AD16" i="77"/>
  <c r="N20" i="76"/>
  <c r="O19" i="76"/>
  <c r="CM17" i="75"/>
  <c r="BE14" i="74"/>
  <c r="V16" i="75" l="1"/>
  <c r="AB16" i="75" s="1"/>
  <c r="T16" i="76"/>
  <c r="Z16" i="76" s="1"/>
  <c r="V16" i="77"/>
  <c r="AB16" i="77" s="1"/>
  <c r="AD15" i="76"/>
  <c r="AG16" i="76"/>
  <c r="AD16" i="75"/>
  <c r="AJ17" i="74"/>
  <c r="AD17" i="77" s="1"/>
  <c r="AP17" i="74"/>
  <c r="AG17" i="76" s="1"/>
  <c r="AE17" i="74"/>
  <c r="BQ17" i="74" s="1"/>
  <c r="AI16" i="77"/>
  <c r="AB18" i="74"/>
  <c r="CC18" i="74" s="1"/>
  <c r="CC17" i="74"/>
  <c r="AC17" i="74"/>
  <c r="V17" i="75" s="1"/>
  <c r="AB17" i="75" s="1"/>
  <c r="AR15" i="77"/>
  <c r="AS15" i="77" s="1"/>
  <c r="AT15" i="77" s="1"/>
  <c r="AO16" i="77"/>
  <c r="AZ16" i="77"/>
  <c r="AU16" i="77"/>
  <c r="AF16" i="77"/>
  <c r="AG16" i="77" s="1"/>
  <c r="AP16" i="77"/>
  <c r="BE16" i="77"/>
  <c r="CK16" i="77"/>
  <c r="U17" i="77"/>
  <c r="AO17" i="77" s="1"/>
  <c r="BQ16" i="74"/>
  <c r="BR16" i="74" s="1"/>
  <c r="BS16" i="74" s="1"/>
  <c r="AQ16" i="74"/>
  <c r="AR16" i="74" s="1"/>
  <c r="AS16" i="74" s="1"/>
  <c r="AU16" i="74" s="1"/>
  <c r="AL16" i="74"/>
  <c r="AM17" i="74" s="1"/>
  <c r="BH16" i="74"/>
  <c r="BI16" i="74" s="1"/>
  <c r="BJ16" i="74" s="1"/>
  <c r="AX16" i="74"/>
  <c r="AY16" i="74" s="1"/>
  <c r="AZ16" i="74" s="1"/>
  <c r="BM16" i="74"/>
  <c r="BN16" i="74" s="1"/>
  <c r="BO16" i="74" s="1"/>
  <c r="AG15" i="77"/>
  <c r="BI15" i="76"/>
  <c r="BJ15" i="76" s="1"/>
  <c r="BK15" i="76" s="1"/>
  <c r="BL15" i="76" s="1"/>
  <c r="AM16" i="76"/>
  <c r="V16" i="76"/>
  <c r="AO16" i="76" s="1"/>
  <c r="BH16" i="76"/>
  <c r="S17" i="76"/>
  <c r="BP17" i="76" s="1"/>
  <c r="AX16" i="76"/>
  <c r="AN16" i="76"/>
  <c r="BC16" i="76"/>
  <c r="BM15" i="76"/>
  <c r="BN15" i="76" s="1"/>
  <c r="BO15" i="76" s="1"/>
  <c r="BQ15" i="76" s="1"/>
  <c r="BD15" i="76"/>
  <c r="BE15" i="76" s="1"/>
  <c r="BF15" i="76" s="1"/>
  <c r="BG15" i="76" s="1"/>
  <c r="AH15" i="76"/>
  <c r="AI15" i="76" s="1"/>
  <c r="AJ15" i="76" s="1"/>
  <c r="AL15" i="76" s="1"/>
  <c r="AC15" i="76"/>
  <c r="AO15" i="76"/>
  <c r="AP15" i="76" s="1"/>
  <c r="AQ15" i="76" s="1"/>
  <c r="AR15" i="76" s="1"/>
  <c r="AT15" i="76"/>
  <c r="AU15" i="76" s="1"/>
  <c r="AV15" i="76" s="1"/>
  <c r="AW15" i="76" s="1"/>
  <c r="BP16" i="76"/>
  <c r="BD16" i="74"/>
  <c r="BE16" i="74" s="1"/>
  <c r="AF17" i="74"/>
  <c r="AG17" i="74" s="1"/>
  <c r="W16" i="76"/>
  <c r="X16" i="76" s="1"/>
  <c r="AF16" i="75"/>
  <c r="BP16" i="75" s="1"/>
  <c r="BQ16" i="75" s="1"/>
  <c r="BS16" i="75" s="1"/>
  <c r="CC16" i="75"/>
  <c r="BE16" i="75"/>
  <c r="BJ16" i="75"/>
  <c r="AR15" i="75"/>
  <c r="AS15" i="75" s="1"/>
  <c r="AT15" i="75" s="1"/>
  <c r="AW15" i="75"/>
  <c r="AX15" i="75" s="1"/>
  <c r="AY15" i="75" s="1"/>
  <c r="BL15" i="75"/>
  <c r="BM15" i="75" s="1"/>
  <c r="BN15" i="75" s="1"/>
  <c r="BB15" i="75"/>
  <c r="BC15" i="75" s="1"/>
  <c r="BD15" i="75" s="1"/>
  <c r="Z15" i="75"/>
  <c r="AK15" i="75"/>
  <c r="AL15" i="75" s="1"/>
  <c r="AN15" i="75" s="1"/>
  <c r="BG15" i="75"/>
  <c r="BH15" i="75" s="1"/>
  <c r="BI15" i="75" s="1"/>
  <c r="Y16" i="75"/>
  <c r="Z16" i="75" s="1"/>
  <c r="AZ16" i="75"/>
  <c r="AP16" i="75"/>
  <c r="AO16" i="75"/>
  <c r="AU16" i="75"/>
  <c r="CL16" i="75"/>
  <c r="U17" i="75"/>
  <c r="X15" i="76"/>
  <c r="AZ15" i="76"/>
  <c r="BA15" i="76" s="1"/>
  <c r="BB15" i="76" s="1"/>
  <c r="Z15" i="77"/>
  <c r="AN16" i="74"/>
  <c r="BL15" i="77"/>
  <c r="BM15" i="77" s="1"/>
  <c r="BN15" i="77" s="1"/>
  <c r="N21" i="74"/>
  <c r="L35" i="65" s="1"/>
  <c r="O20" i="74"/>
  <c r="M34" i="65" s="1"/>
  <c r="BG15" i="77"/>
  <c r="BH15" i="77" s="1"/>
  <c r="BI15" i="77" s="1"/>
  <c r="AW15" i="77"/>
  <c r="AX15" i="77" s="1"/>
  <c r="AY15" i="77" s="1"/>
  <c r="AK15" i="77"/>
  <c r="AL15" i="77" s="1"/>
  <c r="AN15" i="77" s="1"/>
  <c r="Y16" i="77"/>
  <c r="BP15" i="77"/>
  <c r="BQ15" i="77" s="1"/>
  <c r="BS15" i="77" s="1"/>
  <c r="BB15" i="77"/>
  <c r="BC15" i="77" s="1"/>
  <c r="BD15" i="77" s="1"/>
  <c r="BT15" i="77"/>
  <c r="BU15" i="77" s="1"/>
  <c r="BW15" i="77" s="1"/>
  <c r="BP15" i="75"/>
  <c r="BQ15" i="75" s="1"/>
  <c r="BS15" i="75" s="1"/>
  <c r="BT15" i="75"/>
  <c r="BU15" i="75" s="1"/>
  <c r="BW15" i="75" s="1"/>
  <c r="AT14" i="75"/>
  <c r="BW14" i="75"/>
  <c r="CM18" i="75"/>
  <c r="CL18" i="77"/>
  <c r="BS14" i="75"/>
  <c r="AU14" i="74"/>
  <c r="N21" i="76"/>
  <c r="O20" i="76"/>
  <c r="N21" i="75"/>
  <c r="O20" i="75"/>
  <c r="AN14" i="75"/>
  <c r="O20" i="77"/>
  <c r="N21" i="77"/>
  <c r="BD14" i="75"/>
  <c r="AY14" i="75"/>
  <c r="BI14" i="75"/>
  <c r="AL17" i="74" l="1"/>
  <c r="AM18" i="74" s="1"/>
  <c r="AI17" i="75"/>
  <c r="AQ17" i="74"/>
  <c r="AR17" i="74" s="1"/>
  <c r="AS17" i="74" s="1"/>
  <c r="AU17" i="74" s="1"/>
  <c r="BH17" i="74"/>
  <c r="BI17" i="74" s="1"/>
  <c r="BJ17" i="74" s="1"/>
  <c r="AD16" i="76"/>
  <c r="AE16" i="76" s="1"/>
  <c r="AI17" i="77"/>
  <c r="T17" i="76"/>
  <c r="Z17" i="76" s="1"/>
  <c r="AD17" i="75"/>
  <c r="AB17" i="76"/>
  <c r="V17" i="77"/>
  <c r="AB17" i="77" s="1"/>
  <c r="AX17" i="74"/>
  <c r="AY17" i="74" s="1"/>
  <c r="AZ17" i="74" s="1"/>
  <c r="BM17" i="74"/>
  <c r="BN17" i="74" s="1"/>
  <c r="BO17" i="74" s="1"/>
  <c r="BC17" i="74"/>
  <c r="BD17" i="74" s="1"/>
  <c r="BE17" i="74" s="1"/>
  <c r="AI17" i="74"/>
  <c r="AJ18" i="74"/>
  <c r="AD18" i="77" s="1"/>
  <c r="AV18" i="74"/>
  <c r="AB19" i="74"/>
  <c r="AP19" i="74" s="1"/>
  <c r="AP18" i="74"/>
  <c r="AI18" i="77" s="1"/>
  <c r="AC18" i="74"/>
  <c r="T18" i="76" s="1"/>
  <c r="Z18" i="76" s="1"/>
  <c r="AE18" i="74"/>
  <c r="AQ18" i="74" s="1"/>
  <c r="AZ17" i="77"/>
  <c r="AU17" i="77"/>
  <c r="AP17" i="77"/>
  <c r="BR17" i="74"/>
  <c r="BS17" i="74" s="1"/>
  <c r="BE17" i="77"/>
  <c r="CK17" i="77"/>
  <c r="BC17" i="76"/>
  <c r="U18" i="77"/>
  <c r="U19" i="77" s="1"/>
  <c r="AS17" i="76"/>
  <c r="BJ17" i="77"/>
  <c r="AR16" i="77"/>
  <c r="AS16" i="77" s="1"/>
  <c r="AT16" i="77" s="1"/>
  <c r="AF17" i="77"/>
  <c r="AF18" i="74"/>
  <c r="AG18" i="74" s="1"/>
  <c r="BD16" i="76"/>
  <c r="BE16" i="76" s="1"/>
  <c r="BF16" i="76" s="1"/>
  <c r="BG16" i="76" s="1"/>
  <c r="AC16" i="76"/>
  <c r="BM16" i="76"/>
  <c r="BN16" i="76" s="1"/>
  <c r="BO16" i="76" s="1"/>
  <c r="BQ16" i="76" s="1"/>
  <c r="BI16" i="76"/>
  <c r="BJ16" i="76" s="1"/>
  <c r="BK16" i="76" s="1"/>
  <c r="BL16" i="76" s="1"/>
  <c r="AH16" i="76"/>
  <c r="AI16" i="76" s="1"/>
  <c r="AJ16" i="76" s="1"/>
  <c r="AL16" i="76" s="1"/>
  <c r="AT16" i="76"/>
  <c r="AU16" i="76" s="1"/>
  <c r="AV16" i="76" s="1"/>
  <c r="AW16" i="76" s="1"/>
  <c r="AY16" i="76"/>
  <c r="AZ16" i="76" s="1"/>
  <c r="BA16" i="76" s="1"/>
  <c r="BB16" i="76" s="1"/>
  <c r="AM17" i="76"/>
  <c r="S18" i="76"/>
  <c r="AX18" i="76" s="1"/>
  <c r="AP16" i="76"/>
  <c r="AQ16" i="76" s="1"/>
  <c r="AR16" i="76" s="1"/>
  <c r="V17" i="76"/>
  <c r="AT17" i="76" s="1"/>
  <c r="W17" i="76"/>
  <c r="X17" i="76" s="1"/>
  <c r="BH17" i="76"/>
  <c r="AX17" i="76"/>
  <c r="AN17" i="76"/>
  <c r="CL17" i="75"/>
  <c r="AF17" i="75"/>
  <c r="BP17" i="75" s="1"/>
  <c r="BQ17" i="75" s="1"/>
  <c r="BS17" i="75" s="1"/>
  <c r="AO17" i="75"/>
  <c r="AU17" i="75"/>
  <c r="AE15" i="76"/>
  <c r="BL16" i="75"/>
  <c r="BM16" i="75" s="1"/>
  <c r="BN16" i="75" s="1"/>
  <c r="AW16" i="75"/>
  <c r="AX16" i="75" s="1"/>
  <c r="AY16" i="75" s="1"/>
  <c r="Y17" i="75"/>
  <c r="AK16" i="75"/>
  <c r="AL16" i="75" s="1"/>
  <c r="AN16" i="75" s="1"/>
  <c r="U18" i="75"/>
  <c r="BJ17" i="75"/>
  <c r="CC17" i="75"/>
  <c r="AZ17" i="75"/>
  <c r="AP17" i="75"/>
  <c r="BE17" i="75"/>
  <c r="BB16" i="75"/>
  <c r="BC16" i="75" s="1"/>
  <c r="BD16" i="75" s="1"/>
  <c r="AR16" i="75"/>
  <c r="AS16" i="75" s="1"/>
  <c r="AT16" i="75" s="1"/>
  <c r="BG16" i="75"/>
  <c r="BH16" i="75" s="1"/>
  <c r="BI16" i="75" s="1"/>
  <c r="AN17" i="74"/>
  <c r="BP16" i="77"/>
  <c r="BQ16" i="77" s="1"/>
  <c r="BS16" i="77" s="1"/>
  <c r="AW16" i="77"/>
  <c r="AX16" i="77" s="1"/>
  <c r="AY16" i="77" s="1"/>
  <c r="N22" i="74"/>
  <c r="L36" i="65" s="1"/>
  <c r="O21" i="74"/>
  <c r="M35" i="65" s="1"/>
  <c r="BT16" i="77"/>
  <c r="BU16" i="77" s="1"/>
  <c r="BW16" i="77" s="1"/>
  <c r="AK16" i="77"/>
  <c r="AL16" i="77" s="1"/>
  <c r="AN16" i="77" s="1"/>
  <c r="Y17" i="77"/>
  <c r="AG16" i="75"/>
  <c r="BG16" i="77"/>
  <c r="BH16" i="77" s="1"/>
  <c r="BI16" i="77" s="1"/>
  <c r="BB16" i="77"/>
  <c r="BC16" i="77" s="1"/>
  <c r="BD16" i="77" s="1"/>
  <c r="Z16" i="77"/>
  <c r="BL16" i="77"/>
  <c r="BM16" i="77" s="1"/>
  <c r="BN16" i="77" s="1"/>
  <c r="BT16" i="75"/>
  <c r="BU16" i="75" s="1"/>
  <c r="BW16" i="75" s="1"/>
  <c r="O21" i="76"/>
  <c r="N22" i="76"/>
  <c r="O21" i="77"/>
  <c r="N22" i="77"/>
  <c r="CL19" i="77"/>
  <c r="N22" i="75"/>
  <c r="O21" i="75"/>
  <c r="CM19" i="75"/>
  <c r="AD18" i="75" l="1"/>
  <c r="AD17" i="76"/>
  <c r="AE17" i="76" s="1"/>
  <c r="AB18" i="76"/>
  <c r="CC19" i="74"/>
  <c r="AJ19" i="74"/>
  <c r="AB19" i="76" s="1"/>
  <c r="AE19" i="74"/>
  <c r="AX19" i="74" s="1"/>
  <c r="AI18" i="75"/>
  <c r="AG18" i="76"/>
  <c r="BJ18" i="77"/>
  <c r="V18" i="77"/>
  <c r="AB18" i="77" s="1"/>
  <c r="BH18" i="74"/>
  <c r="BI18" i="74" s="1"/>
  <c r="BJ18" i="74" s="1"/>
  <c r="AB20" i="74"/>
  <c r="AE20" i="74" s="1"/>
  <c r="AC19" i="74"/>
  <c r="V19" i="75" s="1"/>
  <c r="AB19" i="75" s="1"/>
  <c r="AI18" i="74"/>
  <c r="V18" i="75"/>
  <c r="AB18" i="75" s="1"/>
  <c r="BM18" i="74"/>
  <c r="BN18" i="74" s="1"/>
  <c r="BO18" i="74" s="1"/>
  <c r="AL18" i="74"/>
  <c r="AM19" i="74" s="1"/>
  <c r="AX18" i="74"/>
  <c r="AY18" i="74" s="1"/>
  <c r="AZ18" i="74" s="1"/>
  <c r="AO18" i="77"/>
  <c r="CK18" i="77"/>
  <c r="AU18" i="77"/>
  <c r="BC18" i="74"/>
  <c r="BD18" i="74" s="1"/>
  <c r="BE18" i="74" s="1"/>
  <c r="BQ18" i="74"/>
  <c r="BR18" i="74" s="1"/>
  <c r="BS18" i="74" s="1"/>
  <c r="AV19" i="74"/>
  <c r="BB17" i="77"/>
  <c r="BC17" i="77" s="1"/>
  <c r="BD17" i="77" s="1"/>
  <c r="AZ18" i="77"/>
  <c r="AP18" i="77"/>
  <c r="BE18" i="77"/>
  <c r="AF18" i="77"/>
  <c r="AF19" i="77" s="1"/>
  <c r="AG17" i="77"/>
  <c r="AR18" i="74"/>
  <c r="AS18" i="74" s="1"/>
  <c r="AU18" i="74" s="1"/>
  <c r="AF19" i="74"/>
  <c r="AS18" i="76"/>
  <c r="BC18" i="76"/>
  <c r="BP18" i="76"/>
  <c r="S19" i="76"/>
  <c r="AN19" i="76" s="1"/>
  <c r="AN18" i="76"/>
  <c r="AU17" i="76"/>
  <c r="AV17" i="76" s="1"/>
  <c r="AW17" i="76" s="1"/>
  <c r="V18" i="76"/>
  <c r="BM18" i="76" s="1"/>
  <c r="BH18" i="76"/>
  <c r="AM18" i="76"/>
  <c r="BI17" i="76"/>
  <c r="BJ17" i="76" s="1"/>
  <c r="BK17" i="76" s="1"/>
  <c r="BL17" i="76" s="1"/>
  <c r="AY17" i="76"/>
  <c r="AZ17" i="76" s="1"/>
  <c r="BA17" i="76" s="1"/>
  <c r="BB17" i="76" s="1"/>
  <c r="AO17" i="76"/>
  <c r="AP17" i="76" s="1"/>
  <c r="AQ17" i="76" s="1"/>
  <c r="AR17" i="76" s="1"/>
  <c r="BM17" i="76"/>
  <c r="BN17" i="76" s="1"/>
  <c r="BO17" i="76" s="1"/>
  <c r="BQ17" i="76" s="1"/>
  <c r="W18" i="76"/>
  <c r="X18" i="76" s="1"/>
  <c r="AC17" i="76"/>
  <c r="BD17" i="76"/>
  <c r="BE17" i="76" s="1"/>
  <c r="BF17" i="76" s="1"/>
  <c r="BG17" i="76" s="1"/>
  <c r="AH17" i="76"/>
  <c r="AI17" i="76" s="1"/>
  <c r="AJ17" i="76" s="1"/>
  <c r="AL17" i="76" s="1"/>
  <c r="AF18" i="75"/>
  <c r="AG18" i="75" s="1"/>
  <c r="AO18" i="75"/>
  <c r="AZ18" i="75"/>
  <c r="AU18" i="75"/>
  <c r="BE18" i="75"/>
  <c r="CL18" i="75"/>
  <c r="U19" i="75"/>
  <c r="BJ18" i="75"/>
  <c r="CC18" i="75"/>
  <c r="AP18" i="75"/>
  <c r="BB17" i="75"/>
  <c r="BC17" i="75" s="1"/>
  <c r="BD17" i="75" s="1"/>
  <c r="AW17" i="75"/>
  <c r="AX17" i="75" s="1"/>
  <c r="AY17" i="75" s="1"/>
  <c r="Z17" i="75"/>
  <c r="AR17" i="75"/>
  <c r="AS17" i="75" s="1"/>
  <c r="AT17" i="75" s="1"/>
  <c r="BG17" i="75"/>
  <c r="BH17" i="75" s="1"/>
  <c r="BI17" i="75" s="1"/>
  <c r="Y18" i="75"/>
  <c r="AK17" i="75"/>
  <c r="AL17" i="75" s="1"/>
  <c r="AN17" i="75" s="1"/>
  <c r="BL17" i="75"/>
  <c r="BM17" i="75" s="1"/>
  <c r="BN17" i="75" s="1"/>
  <c r="BP17" i="77"/>
  <c r="BQ17" i="77" s="1"/>
  <c r="BS17" i="77" s="1"/>
  <c r="BG17" i="77"/>
  <c r="BH17" i="77" s="1"/>
  <c r="BI17" i="77" s="1"/>
  <c r="Y18" i="77"/>
  <c r="AN18" i="74"/>
  <c r="BT17" i="77"/>
  <c r="BU17" i="77" s="1"/>
  <c r="BW17" i="77" s="1"/>
  <c r="O22" i="74"/>
  <c r="M36" i="65" s="1"/>
  <c r="N23" i="74"/>
  <c r="L37" i="65" s="1"/>
  <c r="Z17" i="77"/>
  <c r="BL17" i="77"/>
  <c r="BM17" i="77" s="1"/>
  <c r="BN17" i="77" s="1"/>
  <c r="AR17" i="77"/>
  <c r="AS17" i="77" s="1"/>
  <c r="AT17" i="77" s="1"/>
  <c r="AK17" i="77"/>
  <c r="AL17" i="77" s="1"/>
  <c r="AN17" i="77" s="1"/>
  <c r="AW17" i="77"/>
  <c r="AX17" i="77" s="1"/>
  <c r="AY17" i="77" s="1"/>
  <c r="AG17" i="75"/>
  <c r="BT17" i="75"/>
  <c r="BU17" i="75" s="1"/>
  <c r="BW17" i="75" s="1"/>
  <c r="AU19" i="77"/>
  <c r="U20" i="77"/>
  <c r="CK19" i="77"/>
  <c r="BE19" i="77"/>
  <c r="AP19" i="77"/>
  <c r="AO19" i="77"/>
  <c r="AZ19" i="77"/>
  <c r="BJ19" i="77"/>
  <c r="N23" i="75"/>
  <c r="O22" i="75"/>
  <c r="AI19" i="77"/>
  <c r="AG19" i="76"/>
  <c r="AI19" i="75"/>
  <c r="CL20" i="77"/>
  <c r="N23" i="76"/>
  <c r="O22" i="76"/>
  <c r="N23" i="77"/>
  <c r="O22" i="77"/>
  <c r="CM20" i="75"/>
  <c r="BC19" i="74" l="1"/>
  <c r="BD19" i="74" s="1"/>
  <c r="BE19" i="74" s="1"/>
  <c r="AD19" i="77"/>
  <c r="AF20" i="77" s="1"/>
  <c r="BM19" i="74"/>
  <c r="BN19" i="74" s="1"/>
  <c r="BO19" i="74" s="1"/>
  <c r="AL19" i="74"/>
  <c r="AM20" i="74" s="1"/>
  <c r="BQ19" i="74"/>
  <c r="BR19" i="74" s="1"/>
  <c r="BS19" i="74" s="1"/>
  <c r="AD18" i="76"/>
  <c r="AE18" i="76" s="1"/>
  <c r="AI19" i="74"/>
  <c r="V19" i="77"/>
  <c r="AB19" i="77" s="1"/>
  <c r="BH19" i="74"/>
  <c r="BI19" i="74" s="1"/>
  <c r="BJ19" i="74" s="1"/>
  <c r="AQ19" i="74"/>
  <c r="AR19" i="74" s="1"/>
  <c r="AS19" i="74" s="1"/>
  <c r="AU19" i="74" s="1"/>
  <c r="AB21" i="74"/>
  <c r="AB22" i="74" s="1"/>
  <c r="AC20" i="74"/>
  <c r="V20" i="75" s="1"/>
  <c r="AB20" i="75" s="1"/>
  <c r="CC20" i="74"/>
  <c r="AJ20" i="74"/>
  <c r="AB20" i="76" s="1"/>
  <c r="AV20" i="74"/>
  <c r="T19" i="76"/>
  <c r="Z19" i="76" s="1"/>
  <c r="AD19" i="75"/>
  <c r="AP20" i="74"/>
  <c r="AG20" i="76" s="1"/>
  <c r="AF20" i="74"/>
  <c r="AG20" i="74" s="1"/>
  <c r="BP18" i="77"/>
  <c r="BQ18" i="77" s="1"/>
  <c r="BS18" i="77" s="1"/>
  <c r="AR18" i="77"/>
  <c r="AS18" i="77" s="1"/>
  <c r="AT18" i="77" s="1"/>
  <c r="AG19" i="74"/>
  <c r="AY19" i="74"/>
  <c r="AZ19" i="74" s="1"/>
  <c r="AS19" i="76"/>
  <c r="AX19" i="76"/>
  <c r="AM19" i="76"/>
  <c r="S20" i="76"/>
  <c r="AN20" i="76" s="1"/>
  <c r="BC19" i="76"/>
  <c r="BP19" i="76"/>
  <c r="BH19" i="76"/>
  <c r="AT18" i="76"/>
  <c r="AU18" i="76" s="1"/>
  <c r="AV18" i="76" s="1"/>
  <c r="AW18" i="76" s="1"/>
  <c r="AH18" i="76"/>
  <c r="AI18" i="76" s="1"/>
  <c r="AJ18" i="76" s="1"/>
  <c r="AL18" i="76" s="1"/>
  <c r="BI18" i="76"/>
  <c r="BJ18" i="76" s="1"/>
  <c r="BK18" i="76" s="1"/>
  <c r="BL18" i="76" s="1"/>
  <c r="V19" i="76"/>
  <c r="AO19" i="76" s="1"/>
  <c r="AY18" i="76"/>
  <c r="AZ18" i="76" s="1"/>
  <c r="BA18" i="76" s="1"/>
  <c r="BB18" i="76" s="1"/>
  <c r="AC18" i="76"/>
  <c r="AO18" i="76"/>
  <c r="AP18" i="76" s="1"/>
  <c r="AQ18" i="76" s="1"/>
  <c r="AR18" i="76" s="1"/>
  <c r="BD18" i="76"/>
  <c r="BE18" i="76" s="1"/>
  <c r="BF18" i="76" s="1"/>
  <c r="BG18" i="76" s="1"/>
  <c r="BN18" i="76"/>
  <c r="BO18" i="76" s="1"/>
  <c r="BQ18" i="76" s="1"/>
  <c r="W19" i="76"/>
  <c r="X19" i="76" s="1"/>
  <c r="AF19" i="75"/>
  <c r="AO19" i="75"/>
  <c r="BB18" i="75"/>
  <c r="BC18" i="75" s="1"/>
  <c r="BD18" i="75" s="1"/>
  <c r="BE19" i="75"/>
  <c r="AW18" i="75"/>
  <c r="AX18" i="75" s="1"/>
  <c r="AY18" i="75" s="1"/>
  <c r="AU19" i="75"/>
  <c r="U20" i="75"/>
  <c r="CC19" i="75"/>
  <c r="AP19" i="75"/>
  <c r="CL19" i="75"/>
  <c r="BJ19" i="75"/>
  <c r="AZ19" i="75"/>
  <c r="AR18" i="75"/>
  <c r="AS18" i="75" s="1"/>
  <c r="AT18" i="75" s="1"/>
  <c r="AK18" i="75"/>
  <c r="AL18" i="75" s="1"/>
  <c r="AN18" i="75" s="1"/>
  <c r="BL18" i="75"/>
  <c r="BM18" i="75" s="1"/>
  <c r="BN18" i="75" s="1"/>
  <c r="BG18" i="75"/>
  <c r="BH18" i="75" s="1"/>
  <c r="BI18" i="75" s="1"/>
  <c r="Y19" i="75"/>
  <c r="Z19" i="75" s="1"/>
  <c r="Z18" i="75"/>
  <c r="BP19" i="77"/>
  <c r="BQ19" i="77" s="1"/>
  <c r="BS19" i="77" s="1"/>
  <c r="AG18" i="77"/>
  <c r="BL18" i="77"/>
  <c r="BM18" i="77" s="1"/>
  <c r="BN18" i="77" s="1"/>
  <c r="AW18" i="77"/>
  <c r="AX18" i="77" s="1"/>
  <c r="AY18" i="77" s="1"/>
  <c r="Z18" i="77"/>
  <c r="Y19" i="77"/>
  <c r="BL19" i="77" s="1"/>
  <c r="BM19" i="77" s="1"/>
  <c r="BN19" i="77" s="1"/>
  <c r="AK18" i="77"/>
  <c r="AL18" i="77" s="1"/>
  <c r="AN18" i="77" s="1"/>
  <c r="BT18" i="77"/>
  <c r="BU18" i="77" s="1"/>
  <c r="BW18" i="77" s="1"/>
  <c r="BB18" i="77"/>
  <c r="BC18" i="77" s="1"/>
  <c r="BD18" i="77" s="1"/>
  <c r="BG18" i="77"/>
  <c r="BH18" i="77" s="1"/>
  <c r="BI18" i="77" s="1"/>
  <c r="AN19" i="74"/>
  <c r="O23" i="74"/>
  <c r="M37" i="65" s="1"/>
  <c r="BT18" i="75"/>
  <c r="BU18" i="75" s="1"/>
  <c r="BW18" i="75" s="1"/>
  <c r="BP18" i="75"/>
  <c r="BQ18" i="75" s="1"/>
  <c r="BS18" i="75" s="1"/>
  <c r="N24" i="74"/>
  <c r="L38" i="65" s="1"/>
  <c r="O23" i="76"/>
  <c r="N24" i="76"/>
  <c r="N24" i="77"/>
  <c r="O23" i="77"/>
  <c r="N24" i="75"/>
  <c r="O23" i="75"/>
  <c r="BH20" i="74"/>
  <c r="AQ20" i="74"/>
  <c r="BQ20" i="74"/>
  <c r="BC20" i="74"/>
  <c r="AL20" i="74"/>
  <c r="BM20" i="74"/>
  <c r="AX20" i="74"/>
  <c r="CM21" i="75"/>
  <c r="CL21" i="77"/>
  <c r="AU20" i="77"/>
  <c r="U21" i="77"/>
  <c r="CK20" i="77"/>
  <c r="BE20" i="77"/>
  <c r="AP20" i="77"/>
  <c r="AO20" i="77"/>
  <c r="AZ20" i="77"/>
  <c r="BJ20" i="77"/>
  <c r="AJ21" i="74" l="1"/>
  <c r="AD21" i="77" s="1"/>
  <c r="T20" i="76"/>
  <c r="Z20" i="76" s="1"/>
  <c r="V20" i="77"/>
  <c r="AB20" i="77" s="1"/>
  <c r="BI20" i="74"/>
  <c r="BJ20" i="74" s="1"/>
  <c r="AF21" i="74"/>
  <c r="AG21" i="74" s="1"/>
  <c r="AD20" i="77"/>
  <c r="AF21" i="77" s="1"/>
  <c r="AI20" i="74"/>
  <c r="AD20" i="75"/>
  <c r="CC21" i="74"/>
  <c r="AC21" i="74"/>
  <c r="V21" i="77" s="1"/>
  <c r="AB21" i="77" s="1"/>
  <c r="BN20" i="74"/>
  <c r="BO20" i="74" s="1"/>
  <c r="BR20" i="74"/>
  <c r="BS20" i="74" s="1"/>
  <c r="BD20" i="74"/>
  <c r="BE20" i="74" s="1"/>
  <c r="AP21" i="74"/>
  <c r="AI21" i="77" s="1"/>
  <c r="AR20" i="74"/>
  <c r="AS20" i="74" s="1"/>
  <c r="AU20" i="74" s="1"/>
  <c r="AE21" i="74"/>
  <c r="BQ21" i="74" s="1"/>
  <c r="AV21" i="74"/>
  <c r="AI20" i="77"/>
  <c r="AY20" i="74"/>
  <c r="AZ20" i="74" s="1"/>
  <c r="AD19" i="76"/>
  <c r="AE19" i="76" s="1"/>
  <c r="AI20" i="75"/>
  <c r="BC20" i="76"/>
  <c r="V20" i="76"/>
  <c r="AO20" i="76" s="1"/>
  <c r="BH20" i="76"/>
  <c r="BP20" i="76"/>
  <c r="AS20" i="76"/>
  <c r="S21" i="76"/>
  <c r="AX21" i="76" s="1"/>
  <c r="AX20" i="76"/>
  <c r="AM20" i="76"/>
  <c r="AH19" i="76"/>
  <c r="AI19" i="76" s="1"/>
  <c r="AJ19" i="76" s="1"/>
  <c r="AL19" i="76" s="1"/>
  <c r="AY19" i="76"/>
  <c r="AZ19" i="76" s="1"/>
  <c r="BA19" i="76" s="1"/>
  <c r="BB19" i="76" s="1"/>
  <c r="AT19" i="76"/>
  <c r="AU19" i="76" s="1"/>
  <c r="AV19" i="76" s="1"/>
  <c r="AW19" i="76" s="1"/>
  <c r="BD19" i="76"/>
  <c r="BE19" i="76" s="1"/>
  <c r="BF19" i="76" s="1"/>
  <c r="BG19" i="76" s="1"/>
  <c r="BI19" i="76"/>
  <c r="BJ19" i="76" s="1"/>
  <c r="BK19" i="76" s="1"/>
  <c r="BL19" i="76" s="1"/>
  <c r="BM19" i="76"/>
  <c r="BN19" i="76" s="1"/>
  <c r="BO19" i="76" s="1"/>
  <c r="BQ19" i="76" s="1"/>
  <c r="AC19" i="76"/>
  <c r="W20" i="76"/>
  <c r="AM21" i="74"/>
  <c r="AP19" i="76"/>
  <c r="AQ19" i="76" s="1"/>
  <c r="AR19" i="76" s="1"/>
  <c r="AF20" i="75"/>
  <c r="AG20" i="75" s="1"/>
  <c r="CC20" i="75"/>
  <c r="AO20" i="75"/>
  <c r="AP20" i="75"/>
  <c r="BE20" i="75"/>
  <c r="CL20" i="75"/>
  <c r="U21" i="75"/>
  <c r="AU20" i="75"/>
  <c r="AZ20" i="75"/>
  <c r="BJ20" i="75"/>
  <c r="AG19" i="75"/>
  <c r="AK19" i="75"/>
  <c r="AL19" i="75" s="1"/>
  <c r="AN19" i="75" s="1"/>
  <c r="BB19" i="75"/>
  <c r="BC19" i="75" s="1"/>
  <c r="BD19" i="75" s="1"/>
  <c r="BG19" i="75"/>
  <c r="BH19" i="75" s="1"/>
  <c r="BI19" i="75" s="1"/>
  <c r="AR19" i="75"/>
  <c r="AS19" i="75" s="1"/>
  <c r="AT19" i="75" s="1"/>
  <c r="BL19" i="75"/>
  <c r="BM19" i="75" s="1"/>
  <c r="BN19" i="75" s="1"/>
  <c r="Y20" i="75"/>
  <c r="AW19" i="75"/>
  <c r="AX19" i="75" s="1"/>
  <c r="AY19" i="75" s="1"/>
  <c r="BP20" i="77"/>
  <c r="BQ20" i="77" s="1"/>
  <c r="BS20" i="77" s="1"/>
  <c r="AG19" i="77"/>
  <c r="BT19" i="77"/>
  <c r="BU19" i="77" s="1"/>
  <c r="BW19" i="77" s="1"/>
  <c r="BB19" i="77"/>
  <c r="BC19" i="77" s="1"/>
  <c r="BD19" i="77" s="1"/>
  <c r="Y20" i="77"/>
  <c r="Z20" i="77" s="1"/>
  <c r="AW19" i="77"/>
  <c r="AX19" i="77" s="1"/>
  <c r="AY19" i="77" s="1"/>
  <c r="AR19" i="77"/>
  <c r="AS19" i="77" s="1"/>
  <c r="AT19" i="77" s="1"/>
  <c r="BG19" i="77"/>
  <c r="BH19" i="77" s="1"/>
  <c r="BI19" i="77" s="1"/>
  <c r="Z19" i="77"/>
  <c r="AK19" i="77"/>
  <c r="AL19" i="77" s="1"/>
  <c r="AN19" i="77" s="1"/>
  <c r="BP19" i="75"/>
  <c r="BQ19" i="75" s="1"/>
  <c r="BS19" i="75" s="1"/>
  <c r="AN20" i="74"/>
  <c r="BT19" i="75"/>
  <c r="BU19" i="75" s="1"/>
  <c r="BW19" i="75" s="1"/>
  <c r="O24" i="74"/>
  <c r="M38" i="65" s="1"/>
  <c r="N25" i="74"/>
  <c r="L39" i="65" s="1"/>
  <c r="O24" i="77"/>
  <c r="N25" i="77"/>
  <c r="N25" i="75"/>
  <c r="O24" i="75"/>
  <c r="CL22" i="77"/>
  <c r="CM22" i="75"/>
  <c r="AP22" i="74"/>
  <c r="AB23" i="74"/>
  <c r="AJ22" i="74"/>
  <c r="CC22" i="74"/>
  <c r="AV22" i="74"/>
  <c r="AE22" i="74"/>
  <c r="AC22" i="74"/>
  <c r="AU21" i="77"/>
  <c r="U22" i="77"/>
  <c r="CK21" i="77"/>
  <c r="BE21" i="77"/>
  <c r="AP21" i="77"/>
  <c r="AO21" i="77"/>
  <c r="AZ21" i="77"/>
  <c r="BJ21" i="77"/>
  <c r="N25" i="76"/>
  <c r="O24" i="76"/>
  <c r="AD21" i="75" l="1"/>
  <c r="AB21" i="76"/>
  <c r="V21" i="75"/>
  <c r="AB21" i="75" s="1"/>
  <c r="AI21" i="74"/>
  <c r="T21" i="76"/>
  <c r="Z21" i="76" s="1"/>
  <c r="AF22" i="74"/>
  <c r="AF23" i="74" s="1"/>
  <c r="AX21" i="74"/>
  <c r="AY21" i="74" s="1"/>
  <c r="AZ21" i="74" s="1"/>
  <c r="BM21" i="74"/>
  <c r="BN21" i="74" s="1"/>
  <c r="BO21" i="74" s="1"/>
  <c r="AL21" i="74"/>
  <c r="AM22" i="74" s="1"/>
  <c r="AG21" i="76"/>
  <c r="BP21" i="76"/>
  <c r="BR21" i="74"/>
  <c r="BS21" i="74" s="1"/>
  <c r="AQ21" i="74"/>
  <c r="AR21" i="74" s="1"/>
  <c r="AS21" i="74" s="1"/>
  <c r="AU21" i="74" s="1"/>
  <c r="BH21" i="74"/>
  <c r="BI21" i="74" s="1"/>
  <c r="BJ21" i="74" s="1"/>
  <c r="AI21" i="75"/>
  <c r="BC21" i="74"/>
  <c r="BD21" i="74" s="1"/>
  <c r="BE21" i="74" s="1"/>
  <c r="AD20" i="76"/>
  <c r="AE20" i="76" s="1"/>
  <c r="AS21" i="76"/>
  <c r="AM21" i="76"/>
  <c r="AN21" i="76"/>
  <c r="BC21" i="76"/>
  <c r="V21" i="76"/>
  <c r="BM21" i="76" s="1"/>
  <c r="AT20" i="76"/>
  <c r="AU20" i="76" s="1"/>
  <c r="AV20" i="76" s="1"/>
  <c r="AW20" i="76" s="1"/>
  <c r="BD20" i="76"/>
  <c r="BE20" i="76" s="1"/>
  <c r="BF20" i="76" s="1"/>
  <c r="BG20" i="76" s="1"/>
  <c r="BM20" i="76"/>
  <c r="BN20" i="76" s="1"/>
  <c r="BO20" i="76" s="1"/>
  <c r="BQ20" i="76" s="1"/>
  <c r="AH20" i="76"/>
  <c r="AI20" i="76" s="1"/>
  <c r="AJ20" i="76" s="1"/>
  <c r="AL20" i="76" s="1"/>
  <c r="BH21" i="76"/>
  <c r="S22" i="76"/>
  <c r="BH22" i="76" s="1"/>
  <c r="AY20" i="76"/>
  <c r="AZ20" i="76" s="1"/>
  <c r="BA20" i="76" s="1"/>
  <c r="BB20" i="76" s="1"/>
  <c r="BI20" i="76"/>
  <c r="BJ20" i="76" s="1"/>
  <c r="BK20" i="76" s="1"/>
  <c r="BL20" i="76" s="1"/>
  <c r="AC20" i="76"/>
  <c r="AP20" i="76"/>
  <c r="AQ20" i="76" s="1"/>
  <c r="AR20" i="76" s="1"/>
  <c r="W21" i="76"/>
  <c r="X21" i="76" s="1"/>
  <c r="X20" i="76"/>
  <c r="AF21" i="75"/>
  <c r="BP21" i="75" s="1"/>
  <c r="BQ21" i="75" s="1"/>
  <c r="BS21" i="75" s="1"/>
  <c r="AF22" i="77"/>
  <c r="AZ21" i="75"/>
  <c r="CC21" i="75"/>
  <c r="AP21" i="75"/>
  <c r="CL21" i="75"/>
  <c r="AO21" i="75"/>
  <c r="BE21" i="75"/>
  <c r="AU21" i="75"/>
  <c r="U22" i="75"/>
  <c r="BJ21" i="75"/>
  <c r="AW20" i="75"/>
  <c r="AX20" i="75" s="1"/>
  <c r="AY20" i="75" s="1"/>
  <c r="Z20" i="75"/>
  <c r="BB20" i="75"/>
  <c r="BC20" i="75" s="1"/>
  <c r="BD20" i="75" s="1"/>
  <c r="AK20" i="75"/>
  <c r="AL20" i="75" s="1"/>
  <c r="AN20" i="75" s="1"/>
  <c r="BG20" i="75"/>
  <c r="BH20" i="75" s="1"/>
  <c r="BI20" i="75" s="1"/>
  <c r="Y21" i="75"/>
  <c r="BL20" i="75"/>
  <c r="BM20" i="75" s="1"/>
  <c r="BN20" i="75" s="1"/>
  <c r="AR20" i="75"/>
  <c r="AS20" i="75" s="1"/>
  <c r="AT20" i="75" s="1"/>
  <c r="Y21" i="77"/>
  <c r="Z21" i="77" s="1"/>
  <c r="AG20" i="77"/>
  <c r="BT20" i="77"/>
  <c r="BU20" i="77" s="1"/>
  <c r="BW20" i="77" s="1"/>
  <c r="BL20" i="77"/>
  <c r="BM20" i="77" s="1"/>
  <c r="BN20" i="77" s="1"/>
  <c r="AK20" i="77"/>
  <c r="AL20" i="77" s="1"/>
  <c r="AN20" i="77" s="1"/>
  <c r="AR20" i="77"/>
  <c r="AS20" i="77" s="1"/>
  <c r="AT20" i="77" s="1"/>
  <c r="AW20" i="77"/>
  <c r="AX20" i="77" s="1"/>
  <c r="AY20" i="77" s="1"/>
  <c r="BG20" i="77"/>
  <c r="BH20" i="77" s="1"/>
  <c r="BI20" i="77" s="1"/>
  <c r="BB20" i="77"/>
  <c r="BC20" i="77" s="1"/>
  <c r="BD20" i="77" s="1"/>
  <c r="O25" i="74"/>
  <c r="M39" i="65" s="1"/>
  <c r="BP20" i="75"/>
  <c r="BQ20" i="75" s="1"/>
  <c r="BS20" i="75" s="1"/>
  <c r="BT20" i="75"/>
  <c r="BU20" i="75" s="1"/>
  <c r="BW20" i="75" s="1"/>
  <c r="AN21" i="74"/>
  <c r="N26" i="74"/>
  <c r="L40" i="65" s="1"/>
  <c r="U23" i="77"/>
  <c r="AU22" i="77"/>
  <c r="CK22" i="77"/>
  <c r="BE22" i="77"/>
  <c r="AP22" i="77"/>
  <c r="AO22" i="77"/>
  <c r="AZ22" i="77"/>
  <c r="BJ22" i="77"/>
  <c r="AI22" i="77"/>
  <c r="AG22" i="76"/>
  <c r="AI22" i="75"/>
  <c r="CM23" i="75"/>
  <c r="BQ22" i="74"/>
  <c r="BC22" i="74"/>
  <c r="AL22" i="74"/>
  <c r="BM22" i="74"/>
  <c r="AX22" i="74"/>
  <c r="BH22" i="74"/>
  <c r="AQ22" i="74"/>
  <c r="N26" i="77"/>
  <c r="O25" i="77"/>
  <c r="N26" i="75"/>
  <c r="O25" i="75"/>
  <c r="AD22" i="77"/>
  <c r="AB22" i="76"/>
  <c r="AD22" i="75"/>
  <c r="O25" i="76"/>
  <c r="N26" i="76"/>
  <c r="AE23" i="74"/>
  <c r="AC23" i="74"/>
  <c r="AP23" i="74"/>
  <c r="AB24" i="74"/>
  <c r="AJ23" i="74"/>
  <c r="CC23" i="74"/>
  <c r="AV23" i="74"/>
  <c r="CL23" i="77"/>
  <c r="V22" i="77"/>
  <c r="AB22" i="77" s="1"/>
  <c r="T22" i="76"/>
  <c r="Z22" i="76" s="1"/>
  <c r="V22" i="75"/>
  <c r="AB22" i="75" s="1"/>
  <c r="AI22" i="74"/>
  <c r="AG22" i="74" l="1"/>
  <c r="BN22" i="74"/>
  <c r="BO22" i="74" s="1"/>
  <c r="AY22" i="74"/>
  <c r="AZ22" i="74" s="1"/>
  <c r="BI22" i="74"/>
  <c r="BJ22" i="74" s="1"/>
  <c r="BD22" i="74"/>
  <c r="BE22" i="74" s="1"/>
  <c r="BR22" i="74"/>
  <c r="BS22" i="74" s="1"/>
  <c r="AR22" i="74"/>
  <c r="AS22" i="74" s="1"/>
  <c r="AU22" i="74" s="1"/>
  <c r="AD21" i="76"/>
  <c r="AE21" i="76" s="1"/>
  <c r="AY21" i="76"/>
  <c r="AZ21" i="76" s="1"/>
  <c r="BA21" i="76" s="1"/>
  <c r="BB21" i="76" s="1"/>
  <c r="S23" i="76"/>
  <c r="BH23" i="76" s="1"/>
  <c r="AS22" i="76"/>
  <c r="AX22" i="76"/>
  <c r="AM22" i="76"/>
  <c r="BD21" i="76"/>
  <c r="BE21" i="76" s="1"/>
  <c r="BF21" i="76" s="1"/>
  <c r="BG21" i="76" s="1"/>
  <c r="AN22" i="76"/>
  <c r="AH21" i="76"/>
  <c r="AI21" i="76" s="1"/>
  <c r="AJ21" i="76" s="1"/>
  <c r="AL21" i="76" s="1"/>
  <c r="BC22" i="76"/>
  <c r="AT21" i="76"/>
  <c r="AU21" i="76" s="1"/>
  <c r="AV21" i="76" s="1"/>
  <c r="AW21" i="76" s="1"/>
  <c r="BP22" i="76"/>
  <c r="BI21" i="76"/>
  <c r="BJ21" i="76" s="1"/>
  <c r="BK21" i="76" s="1"/>
  <c r="BL21" i="76" s="1"/>
  <c r="V22" i="76"/>
  <c r="AO22" i="76" s="1"/>
  <c r="AC21" i="76"/>
  <c r="W22" i="76"/>
  <c r="X22" i="76" s="1"/>
  <c r="AO21" i="76"/>
  <c r="AP21" i="76" s="1"/>
  <c r="AQ21" i="76" s="1"/>
  <c r="AR21" i="76" s="1"/>
  <c r="BN21" i="76"/>
  <c r="BO21" i="76" s="1"/>
  <c r="BQ21" i="76" s="1"/>
  <c r="AM23" i="74"/>
  <c r="AF23" i="77"/>
  <c r="AG23" i="77" s="1"/>
  <c r="AO22" i="75"/>
  <c r="AG22" i="77"/>
  <c r="AF22" i="75"/>
  <c r="AZ22" i="75"/>
  <c r="BE22" i="75"/>
  <c r="AU22" i="75"/>
  <c r="CL22" i="75"/>
  <c r="CC22" i="75"/>
  <c r="U23" i="75"/>
  <c r="BJ22" i="75"/>
  <c r="AP22" i="75"/>
  <c r="BL21" i="75"/>
  <c r="BM21" i="75" s="1"/>
  <c r="BN21" i="75" s="1"/>
  <c r="BB21" i="75"/>
  <c r="BC21" i="75" s="1"/>
  <c r="BD21" i="75" s="1"/>
  <c r="AW21" i="75"/>
  <c r="AX21" i="75" s="1"/>
  <c r="AY21" i="75" s="1"/>
  <c r="AR21" i="75"/>
  <c r="AS21" i="75" s="1"/>
  <c r="AT21" i="75" s="1"/>
  <c r="Z21" i="75"/>
  <c r="Y22" i="75"/>
  <c r="BG21" i="75"/>
  <c r="BH21" i="75" s="1"/>
  <c r="BI21" i="75" s="1"/>
  <c r="AK21" i="75"/>
  <c r="AL21" i="75" s="1"/>
  <c r="AN21" i="75" s="1"/>
  <c r="AG21" i="77"/>
  <c r="BP21" i="77"/>
  <c r="BQ21" i="77" s="1"/>
  <c r="BS21" i="77" s="1"/>
  <c r="AK21" i="77"/>
  <c r="AL21" i="77" s="1"/>
  <c r="AN21" i="77" s="1"/>
  <c r="BG21" i="77"/>
  <c r="BH21" i="77" s="1"/>
  <c r="BI21" i="77" s="1"/>
  <c r="AW21" i="77"/>
  <c r="AX21" i="77" s="1"/>
  <c r="AY21" i="77" s="1"/>
  <c r="AR21" i="77"/>
  <c r="AS21" i="77" s="1"/>
  <c r="AT21" i="77" s="1"/>
  <c r="Y22" i="77"/>
  <c r="Z22" i="77" s="1"/>
  <c r="BL21" i="77"/>
  <c r="BM21" i="77" s="1"/>
  <c r="BN21" i="77" s="1"/>
  <c r="BT21" i="77"/>
  <c r="BU21" i="77" s="1"/>
  <c r="BW21" i="77" s="1"/>
  <c r="BB21" i="77"/>
  <c r="BC21" i="77" s="1"/>
  <c r="BD21" i="77" s="1"/>
  <c r="BT21" i="75"/>
  <c r="BU21" i="75" s="1"/>
  <c r="BW21" i="75" s="1"/>
  <c r="AG21" i="75"/>
  <c r="AN22" i="74"/>
  <c r="N27" i="74"/>
  <c r="L41" i="65" s="1"/>
  <c r="O26" i="74"/>
  <c r="M40" i="65" s="1"/>
  <c r="N27" i="77"/>
  <c r="O26" i="77"/>
  <c r="N27" i="75"/>
  <c r="O26" i="75"/>
  <c r="V23" i="77"/>
  <c r="AB23" i="77" s="1"/>
  <c r="T23" i="76"/>
  <c r="Z23" i="76" s="1"/>
  <c r="V23" i="75"/>
  <c r="AB23" i="75" s="1"/>
  <c r="AI23" i="74"/>
  <c r="N27" i="76"/>
  <c r="O26" i="76"/>
  <c r="AI23" i="77"/>
  <c r="AG23" i="76"/>
  <c r="AI23" i="75"/>
  <c r="CL24" i="77"/>
  <c r="AD23" i="77"/>
  <c r="AB23" i="76"/>
  <c r="AD23" i="75"/>
  <c r="BP22" i="77"/>
  <c r="BQ22" i="77" s="1"/>
  <c r="BS22" i="77" s="1"/>
  <c r="AG23" i="74"/>
  <c r="AQ23" i="74"/>
  <c r="AR23" i="74" s="1"/>
  <c r="AS23" i="74" s="1"/>
  <c r="AU23" i="74" s="1"/>
  <c r="BQ23" i="74"/>
  <c r="BR23" i="74" s="1"/>
  <c r="BS23" i="74" s="1"/>
  <c r="BC23" i="74"/>
  <c r="BD23" i="74" s="1"/>
  <c r="BE23" i="74" s="1"/>
  <c r="AL23" i="74"/>
  <c r="BM23" i="74"/>
  <c r="BN23" i="74" s="1"/>
  <c r="BO23" i="74" s="1"/>
  <c r="AX23" i="74"/>
  <c r="AY23" i="74" s="1"/>
  <c r="AZ23" i="74" s="1"/>
  <c r="BH23" i="74"/>
  <c r="BI23" i="74" s="1"/>
  <c r="BJ23" i="74" s="1"/>
  <c r="AU23" i="77"/>
  <c r="CK23" i="77"/>
  <c r="BE23" i="77"/>
  <c r="AP23" i="77"/>
  <c r="AO23" i="77"/>
  <c r="AZ23" i="77"/>
  <c r="BJ23" i="77"/>
  <c r="U24" i="77"/>
  <c r="AF24" i="74"/>
  <c r="AE24" i="74"/>
  <c r="AC24" i="74"/>
  <c r="AP24" i="74"/>
  <c r="AB25" i="74"/>
  <c r="AJ24" i="74"/>
  <c r="CC24" i="74"/>
  <c r="AV24" i="74"/>
  <c r="CM24" i="75"/>
  <c r="AM24" i="74" l="1"/>
  <c r="V23" i="76"/>
  <c r="AC23" i="76" s="1"/>
  <c r="AD22" i="76"/>
  <c r="AE22" i="76" s="1"/>
  <c r="AX23" i="76"/>
  <c r="S24" i="76"/>
  <c r="AM24" i="76" s="1"/>
  <c r="AM23" i="76"/>
  <c r="AN23" i="76"/>
  <c r="BC23" i="76"/>
  <c r="BP23" i="76"/>
  <c r="AS23" i="76"/>
  <c r="BI22" i="76"/>
  <c r="BJ22" i="76" s="1"/>
  <c r="BK22" i="76" s="1"/>
  <c r="BL22" i="76" s="1"/>
  <c r="BM22" i="76"/>
  <c r="BN22" i="76" s="1"/>
  <c r="BO22" i="76" s="1"/>
  <c r="BQ22" i="76" s="1"/>
  <c r="BD22" i="76"/>
  <c r="BE22" i="76" s="1"/>
  <c r="BF22" i="76" s="1"/>
  <c r="BG22" i="76" s="1"/>
  <c r="AH22" i="76"/>
  <c r="AI22" i="76" s="1"/>
  <c r="AJ22" i="76" s="1"/>
  <c r="AL22" i="76" s="1"/>
  <c r="AT22" i="76"/>
  <c r="AU22" i="76" s="1"/>
  <c r="AV22" i="76" s="1"/>
  <c r="AW22" i="76" s="1"/>
  <c r="AY22" i="76"/>
  <c r="AZ22" i="76" s="1"/>
  <c r="BA22" i="76" s="1"/>
  <c r="BB22" i="76" s="1"/>
  <c r="AP22" i="76"/>
  <c r="AQ22" i="76" s="1"/>
  <c r="AR22" i="76" s="1"/>
  <c r="AC22" i="76"/>
  <c r="W23" i="76"/>
  <c r="X23" i="76" s="1"/>
  <c r="AF23" i="75"/>
  <c r="BP23" i="75" s="1"/>
  <c r="BQ23" i="75" s="1"/>
  <c r="BS23" i="75" s="1"/>
  <c r="BP22" i="75"/>
  <c r="BQ22" i="75" s="1"/>
  <c r="BS22" i="75" s="1"/>
  <c r="AO23" i="75"/>
  <c r="AF24" i="77"/>
  <c r="AF116" i="77" s="1"/>
  <c r="BB22" i="75"/>
  <c r="BC22" i="75" s="1"/>
  <c r="BD22" i="75" s="1"/>
  <c r="U24" i="75"/>
  <c r="CL23" i="75"/>
  <c r="AP23" i="75"/>
  <c r="AZ23" i="75"/>
  <c r="BJ23" i="75"/>
  <c r="CC23" i="75"/>
  <c r="BE23" i="75"/>
  <c r="AU23" i="75"/>
  <c r="AW22" i="75"/>
  <c r="AX22" i="75" s="1"/>
  <c r="AY22" i="75" s="1"/>
  <c r="Z22" i="75"/>
  <c r="AK22" i="75"/>
  <c r="AL22" i="75" s="1"/>
  <c r="AN22" i="75" s="1"/>
  <c r="Y23" i="75"/>
  <c r="Z23" i="75" s="1"/>
  <c r="AR22" i="75"/>
  <c r="AS22" i="75" s="1"/>
  <c r="AT22" i="75" s="1"/>
  <c r="BG22" i="75"/>
  <c r="BH22" i="75" s="1"/>
  <c r="BI22" i="75" s="1"/>
  <c r="BL22" i="75"/>
  <c r="BM22" i="75" s="1"/>
  <c r="BN22" i="75" s="1"/>
  <c r="AW22" i="77"/>
  <c r="AX22" i="77" s="1"/>
  <c r="AY22" i="77" s="1"/>
  <c r="BT22" i="77"/>
  <c r="BU22" i="77" s="1"/>
  <c r="BW22" i="77" s="1"/>
  <c r="AR22" i="77"/>
  <c r="AS22" i="77" s="1"/>
  <c r="AT22" i="77" s="1"/>
  <c r="BL22" i="77"/>
  <c r="BM22" i="77" s="1"/>
  <c r="BN22" i="77" s="1"/>
  <c r="Y23" i="77"/>
  <c r="Z23" i="77" s="1"/>
  <c r="AK22" i="77"/>
  <c r="AL22" i="77" s="1"/>
  <c r="AN22" i="77" s="1"/>
  <c r="BB22" i="77"/>
  <c r="BC22" i="77" s="1"/>
  <c r="BD22" i="77" s="1"/>
  <c r="BG22" i="77"/>
  <c r="BH22" i="77" s="1"/>
  <c r="BI22" i="77" s="1"/>
  <c r="AG22" i="75"/>
  <c r="BT22" i="75"/>
  <c r="BU22" i="75" s="1"/>
  <c r="BW22" i="75" s="1"/>
  <c r="AN23" i="74"/>
  <c r="N28" i="74"/>
  <c r="L42" i="65" s="1"/>
  <c r="O27" i="74"/>
  <c r="M41" i="65" s="1"/>
  <c r="AB26" i="74"/>
  <c r="AJ25" i="74"/>
  <c r="CC25" i="74"/>
  <c r="AV25" i="74"/>
  <c r="AF25" i="74"/>
  <c r="AE25" i="74"/>
  <c r="AC25" i="74"/>
  <c r="AP25" i="74"/>
  <c r="BE24" i="77"/>
  <c r="BE116" i="77" s="1"/>
  <c r="AP24" i="77"/>
  <c r="AP116" i="77" s="1"/>
  <c r="AO24" i="77"/>
  <c r="AO116" i="77" s="1"/>
  <c r="AZ24" i="77"/>
  <c r="AZ116" i="77" s="1"/>
  <c r="BJ24" i="77"/>
  <c r="BJ116" i="77" s="1"/>
  <c r="AU24" i="77"/>
  <c r="AU116" i="77" s="1"/>
  <c r="U25" i="77"/>
  <c r="CK24" i="77"/>
  <c r="AG24" i="74"/>
  <c r="CL25" i="77"/>
  <c r="AI24" i="77"/>
  <c r="AI116" i="77" s="1"/>
  <c r="AG24" i="76"/>
  <c r="AG116" i="76" s="1"/>
  <c r="AI24" i="75"/>
  <c r="V24" i="77"/>
  <c r="T24" i="76"/>
  <c r="V24" i="75"/>
  <c r="AB24" i="75" s="1"/>
  <c r="AI24" i="74"/>
  <c r="N28" i="75"/>
  <c r="O27" i="75"/>
  <c r="BP23" i="77"/>
  <c r="BQ23" i="77" s="1"/>
  <c r="BS23" i="77" s="1"/>
  <c r="N28" i="76"/>
  <c r="O27" i="76"/>
  <c r="CM25" i="75"/>
  <c r="AD24" i="77"/>
  <c r="AD116" i="77" s="1"/>
  <c r="AB24" i="76"/>
  <c r="AB116" i="76" s="1"/>
  <c r="AD24" i="75"/>
  <c r="N28" i="77"/>
  <c r="O27" i="77"/>
  <c r="BH24" i="74"/>
  <c r="BI24" i="74" s="1"/>
  <c r="BJ24" i="74" s="1"/>
  <c r="AQ24" i="74"/>
  <c r="AR24" i="74" s="1"/>
  <c r="AS24" i="74" s="1"/>
  <c r="AU24" i="74" s="1"/>
  <c r="BQ24" i="74"/>
  <c r="BR24" i="74" s="1"/>
  <c r="BS24" i="74" s="1"/>
  <c r="BC24" i="74"/>
  <c r="BD24" i="74" s="1"/>
  <c r="BE24" i="74" s="1"/>
  <c r="AL24" i="74"/>
  <c r="BM24" i="74"/>
  <c r="BN24" i="74" s="1"/>
  <c r="BO24" i="74" s="1"/>
  <c r="AX24" i="74"/>
  <c r="AY24" i="74" s="1"/>
  <c r="AZ24" i="74" s="1"/>
  <c r="BM23" i="76" l="1"/>
  <c r="BN23" i="76" s="1"/>
  <c r="BO23" i="76" s="1"/>
  <c r="BQ23" i="76" s="1"/>
  <c r="AO23" i="76"/>
  <c r="AP23" i="76" s="1"/>
  <c r="AQ23" i="76" s="1"/>
  <c r="AR23" i="76" s="1"/>
  <c r="AT23" i="76"/>
  <c r="AU23" i="76" s="1"/>
  <c r="AV23" i="76" s="1"/>
  <c r="AW23" i="76" s="1"/>
  <c r="BI23" i="76"/>
  <c r="BJ23" i="76" s="1"/>
  <c r="BK23" i="76" s="1"/>
  <c r="BL23" i="76" s="1"/>
  <c r="AY23" i="76"/>
  <c r="AZ23" i="76" s="1"/>
  <c r="BA23" i="76" s="1"/>
  <c r="BB23" i="76" s="1"/>
  <c r="BD23" i="76"/>
  <c r="BE23" i="76" s="1"/>
  <c r="BF23" i="76" s="1"/>
  <c r="BG23" i="76" s="1"/>
  <c r="AH23" i="76"/>
  <c r="AI23" i="76" s="1"/>
  <c r="AJ23" i="76" s="1"/>
  <c r="AL23" i="76" s="1"/>
  <c r="AM116" i="76"/>
  <c r="AM25" i="74"/>
  <c r="AD23" i="76"/>
  <c r="AE23" i="76" s="1"/>
  <c r="BC24" i="76"/>
  <c r="BC116" i="76" s="1"/>
  <c r="AS24" i="76"/>
  <c r="AS116" i="76" s="1"/>
  <c r="V24" i="76"/>
  <c r="AT24" i="76" s="1"/>
  <c r="AN24" i="76"/>
  <c r="AN116" i="76" s="1"/>
  <c r="AX24" i="76"/>
  <c r="AX116" i="76" s="1"/>
  <c r="BH24" i="76"/>
  <c r="BH116" i="76" s="1"/>
  <c r="S25" i="76"/>
  <c r="AX25" i="76" s="1"/>
  <c r="W24" i="76"/>
  <c r="W116" i="76" s="1"/>
  <c r="BE24" i="75"/>
  <c r="AF25" i="77"/>
  <c r="AF24" i="75"/>
  <c r="AU24" i="75"/>
  <c r="CL24" i="75"/>
  <c r="AO24" i="75"/>
  <c r="CC24" i="75"/>
  <c r="BJ24" i="75"/>
  <c r="U25" i="75"/>
  <c r="AZ24" i="75"/>
  <c r="AP24" i="75"/>
  <c r="BG23" i="75"/>
  <c r="BH23" i="75" s="1"/>
  <c r="BI23" i="75" s="1"/>
  <c r="Y24" i="75"/>
  <c r="Z24" i="75" s="1"/>
  <c r="AW23" i="75"/>
  <c r="AX23" i="75" s="1"/>
  <c r="AY23" i="75" s="1"/>
  <c r="AK23" i="75"/>
  <c r="AL23" i="75" s="1"/>
  <c r="AN23" i="75" s="1"/>
  <c r="AR23" i="75"/>
  <c r="AS23" i="75" s="1"/>
  <c r="AT23" i="75" s="1"/>
  <c r="BL23" i="75"/>
  <c r="BM23" i="75" s="1"/>
  <c r="BN23" i="75" s="1"/>
  <c r="BB23" i="75"/>
  <c r="BC23" i="75" s="1"/>
  <c r="BD23" i="75" s="1"/>
  <c r="BT23" i="77"/>
  <c r="BU23" i="77" s="1"/>
  <c r="BW23" i="77" s="1"/>
  <c r="AR23" i="77"/>
  <c r="AS23" i="77" s="1"/>
  <c r="AT23" i="77" s="1"/>
  <c r="BL23" i="77"/>
  <c r="BM23" i="77" s="1"/>
  <c r="BN23" i="77" s="1"/>
  <c r="BG23" i="77"/>
  <c r="BH23" i="77" s="1"/>
  <c r="BI23" i="77" s="1"/>
  <c r="AW23" i="77"/>
  <c r="AX23" i="77" s="1"/>
  <c r="AY23" i="77" s="1"/>
  <c r="AK23" i="77"/>
  <c r="AL23" i="77" s="1"/>
  <c r="AN23" i="77" s="1"/>
  <c r="BB23" i="77"/>
  <c r="BC23" i="77" s="1"/>
  <c r="BD23" i="77" s="1"/>
  <c r="Y24" i="77"/>
  <c r="Y116" i="77" s="1"/>
  <c r="AN24" i="74"/>
  <c r="BT23" i="75"/>
  <c r="BU23" i="75" s="1"/>
  <c r="BW23" i="75" s="1"/>
  <c r="AG23" i="75"/>
  <c r="O28" i="74"/>
  <c r="M42" i="65" s="1"/>
  <c r="N29" i="74"/>
  <c r="L43" i="65" s="1"/>
  <c r="AI25" i="77"/>
  <c r="AG25" i="76"/>
  <c r="AI25" i="75"/>
  <c r="Z24" i="76"/>
  <c r="Z116" i="76" s="1"/>
  <c r="T116" i="76"/>
  <c r="AB24" i="77"/>
  <c r="AB116" i="77" s="1"/>
  <c r="V116" i="77"/>
  <c r="BP24" i="77"/>
  <c r="AD25" i="77"/>
  <c r="AB25" i="76"/>
  <c r="AD25" i="75"/>
  <c r="BJ25" i="77"/>
  <c r="BE25" i="77"/>
  <c r="U26" i="77"/>
  <c r="AP25" i="77"/>
  <c r="AO25" i="77"/>
  <c r="AZ25" i="77"/>
  <c r="CK25" i="77"/>
  <c r="AU25" i="77"/>
  <c r="AG25" i="74"/>
  <c r="AG24" i="77"/>
  <c r="V25" i="77"/>
  <c r="AB25" i="77" s="1"/>
  <c r="T25" i="76"/>
  <c r="Z25" i="76" s="1"/>
  <c r="V25" i="75"/>
  <c r="AB25" i="75" s="1"/>
  <c r="AI25" i="74"/>
  <c r="CM26" i="75"/>
  <c r="N29" i="77"/>
  <c r="O28" i="77"/>
  <c r="N29" i="76"/>
  <c r="O28" i="76"/>
  <c r="N29" i="75"/>
  <c r="O28" i="75"/>
  <c r="AP26" i="74"/>
  <c r="AB27" i="74"/>
  <c r="AJ26" i="74"/>
  <c r="CC26" i="74"/>
  <c r="AV26" i="74"/>
  <c r="AF26" i="74"/>
  <c r="AE26" i="74"/>
  <c r="AC26" i="74"/>
  <c r="AL25" i="74"/>
  <c r="BM25" i="74"/>
  <c r="BN25" i="74" s="1"/>
  <c r="BO25" i="74" s="1"/>
  <c r="AX25" i="74"/>
  <c r="AY25" i="74" s="1"/>
  <c r="AZ25" i="74" s="1"/>
  <c r="BH25" i="74"/>
  <c r="BI25" i="74" s="1"/>
  <c r="BJ25" i="74" s="1"/>
  <c r="AQ25" i="74"/>
  <c r="AR25" i="74" s="1"/>
  <c r="AS25" i="74" s="1"/>
  <c r="AU25" i="74" s="1"/>
  <c r="BQ25" i="74"/>
  <c r="BR25" i="74" s="1"/>
  <c r="BS25" i="74" s="1"/>
  <c r="BC25" i="74"/>
  <c r="BD25" i="74" s="1"/>
  <c r="BE25" i="74" s="1"/>
  <c r="CL26" i="77"/>
  <c r="AT116" i="76" l="1"/>
  <c r="AM26" i="74"/>
  <c r="AM25" i="76"/>
  <c r="AS25" i="76"/>
  <c r="AN25" i="76"/>
  <c r="BH25" i="76"/>
  <c r="S26" i="76"/>
  <c r="V26" i="76" s="1"/>
  <c r="V116" i="76"/>
  <c r="BC25" i="76"/>
  <c r="V25" i="76"/>
  <c r="AO25" i="76" s="1"/>
  <c r="BI24" i="76"/>
  <c r="BI116" i="76" s="1"/>
  <c r="AY24" i="76"/>
  <c r="AY116" i="76" s="1"/>
  <c r="AC24" i="76"/>
  <c r="AC116" i="76" s="1"/>
  <c r="AO24" i="76"/>
  <c r="AO116" i="76" s="1"/>
  <c r="BM24" i="76"/>
  <c r="BM116" i="76" s="1"/>
  <c r="BD24" i="76"/>
  <c r="BD116" i="76" s="1"/>
  <c r="AH24" i="76"/>
  <c r="AH116" i="76" s="1"/>
  <c r="AD24" i="76"/>
  <c r="AD116" i="76" s="1"/>
  <c r="W25" i="76"/>
  <c r="X24" i="76"/>
  <c r="X116" i="76" s="1"/>
  <c r="AF25" i="75"/>
  <c r="AG25" i="75" s="1"/>
  <c r="AF26" i="77"/>
  <c r="BP26" i="77" s="1"/>
  <c r="BQ26" i="77" s="1"/>
  <c r="BS26" i="77" s="1"/>
  <c r="AG24" i="75"/>
  <c r="AU25" i="75"/>
  <c r="AG25" i="77"/>
  <c r="CL25" i="75"/>
  <c r="AO25" i="75"/>
  <c r="CC25" i="75"/>
  <c r="AP25" i="75"/>
  <c r="U26" i="75"/>
  <c r="BJ25" i="75"/>
  <c r="AK24" i="75"/>
  <c r="AL24" i="75" s="1"/>
  <c r="AN24" i="75" s="1"/>
  <c r="AZ25" i="75"/>
  <c r="BE25" i="75"/>
  <c r="BL24" i="75"/>
  <c r="BM24" i="75" s="1"/>
  <c r="BN24" i="75" s="1"/>
  <c r="BG24" i="75"/>
  <c r="BH24" i="75" s="1"/>
  <c r="BI24" i="75" s="1"/>
  <c r="BB24" i="75"/>
  <c r="BC24" i="75" s="1"/>
  <c r="BD24" i="75" s="1"/>
  <c r="Y25" i="75"/>
  <c r="AR24" i="75"/>
  <c r="AS24" i="75" s="1"/>
  <c r="AT24" i="75" s="1"/>
  <c r="AW24" i="75"/>
  <c r="AX24" i="75" s="1"/>
  <c r="AY24" i="75" s="1"/>
  <c r="AK24" i="77"/>
  <c r="AL24" i="77" s="1"/>
  <c r="Y25" i="77"/>
  <c r="AK25" i="77" s="1"/>
  <c r="AL25" i="77" s="1"/>
  <c r="AN25" i="77" s="1"/>
  <c r="BB24" i="77"/>
  <c r="BC24" i="77" s="1"/>
  <c r="Z24" i="77"/>
  <c r="K21" i="77" s="1"/>
  <c r="AW24" i="77"/>
  <c r="AW116" i="77" s="1"/>
  <c r="BG24" i="77"/>
  <c r="BG116" i="77" s="1"/>
  <c r="AR24" i="77"/>
  <c r="AR116" i="77" s="1"/>
  <c r="BL24" i="77"/>
  <c r="BL116" i="77" s="1"/>
  <c r="BT24" i="77"/>
  <c r="BT116" i="77" s="1"/>
  <c r="BP24" i="75"/>
  <c r="BQ24" i="75" s="1"/>
  <c r="BS24" i="75" s="1"/>
  <c r="AN25" i="74"/>
  <c r="N30" i="74"/>
  <c r="L44" i="65" s="1"/>
  <c r="BT24" i="75"/>
  <c r="BU24" i="75" s="1"/>
  <c r="BW24" i="75" s="1"/>
  <c r="O29" i="74"/>
  <c r="M43" i="65" s="1"/>
  <c r="AI26" i="77"/>
  <c r="AG26" i="76"/>
  <c r="AI26" i="75"/>
  <c r="AG116" i="77"/>
  <c r="K27" i="77"/>
  <c r="N30" i="77"/>
  <c r="O29" i="77"/>
  <c r="BQ26" i="74"/>
  <c r="BR26" i="74" s="1"/>
  <c r="BS26" i="74" s="1"/>
  <c r="BC26" i="74"/>
  <c r="BD26" i="74" s="1"/>
  <c r="BE26" i="74" s="1"/>
  <c r="AL26" i="74"/>
  <c r="BM26" i="74"/>
  <c r="BN26" i="74" s="1"/>
  <c r="BO26" i="74" s="1"/>
  <c r="AX26" i="74"/>
  <c r="AY26" i="74" s="1"/>
  <c r="AZ26" i="74" s="1"/>
  <c r="BH26" i="74"/>
  <c r="BI26" i="74" s="1"/>
  <c r="BJ26" i="74" s="1"/>
  <c r="AQ26" i="74"/>
  <c r="AR26" i="74" s="1"/>
  <c r="AS26" i="74" s="1"/>
  <c r="AU26" i="74" s="1"/>
  <c r="O29" i="76"/>
  <c r="N30" i="76"/>
  <c r="BP25" i="77"/>
  <c r="BQ25" i="77" s="1"/>
  <c r="BS25" i="77" s="1"/>
  <c r="CM27" i="75"/>
  <c r="BP116" i="77"/>
  <c r="BQ24" i="77"/>
  <c r="AF27" i="74"/>
  <c r="AE27" i="74"/>
  <c r="AC27" i="74"/>
  <c r="AP27" i="74"/>
  <c r="AB28" i="74"/>
  <c r="AJ27" i="74"/>
  <c r="CC27" i="74"/>
  <c r="AV27" i="74"/>
  <c r="AO26" i="77"/>
  <c r="AZ26" i="77"/>
  <c r="BJ26" i="77"/>
  <c r="AP26" i="77"/>
  <c r="CK26" i="77"/>
  <c r="BE26" i="77"/>
  <c r="AU26" i="77"/>
  <c r="U27" i="77"/>
  <c r="CL27" i="77"/>
  <c r="AD26" i="77"/>
  <c r="AB26" i="76"/>
  <c r="AD26" i="75"/>
  <c r="AG26" i="74"/>
  <c r="AU24" i="76"/>
  <c r="V26" i="77"/>
  <c r="AB26" i="77" s="1"/>
  <c r="T26" i="76"/>
  <c r="Z26" i="76" s="1"/>
  <c r="V26" i="75"/>
  <c r="AB26" i="75" s="1"/>
  <c r="AI26" i="74"/>
  <c r="N30" i="75"/>
  <c r="O29" i="75"/>
  <c r="AM27" i="74" l="1"/>
  <c r="BI25" i="76"/>
  <c r="BJ25" i="76" s="1"/>
  <c r="BK25" i="76" s="1"/>
  <c r="BL25" i="76" s="1"/>
  <c r="AY25" i="76"/>
  <c r="AZ25" i="76" s="1"/>
  <c r="BA25" i="76" s="1"/>
  <c r="BB25" i="76" s="1"/>
  <c r="BM25" i="76"/>
  <c r="BN25" i="76" s="1"/>
  <c r="BO25" i="76" s="1"/>
  <c r="BE24" i="76"/>
  <c r="BE116" i="76" s="1"/>
  <c r="AI24" i="76"/>
  <c r="AI116" i="76" s="1"/>
  <c r="BJ24" i="76"/>
  <c r="BJ116" i="76" s="1"/>
  <c r="S27" i="76"/>
  <c r="AM27" i="76" s="1"/>
  <c r="BH26" i="76"/>
  <c r="AN26" i="76"/>
  <c r="AX26" i="76"/>
  <c r="AM26" i="76"/>
  <c r="AS26" i="76"/>
  <c r="BC26" i="76"/>
  <c r="BD25" i="76"/>
  <c r="BE25" i="76" s="1"/>
  <c r="BF25" i="76" s="1"/>
  <c r="BG25" i="76" s="1"/>
  <c r="AZ24" i="76"/>
  <c r="BA24" i="76" s="1"/>
  <c r="BA116" i="76" s="1"/>
  <c r="AH25" i="76"/>
  <c r="AI25" i="76" s="1"/>
  <c r="AJ25" i="76" s="1"/>
  <c r="AL25" i="76" s="1"/>
  <c r="AT25" i="76"/>
  <c r="AU25" i="76" s="1"/>
  <c r="AV25" i="76" s="1"/>
  <c r="AW25" i="76" s="1"/>
  <c r="BN24" i="76"/>
  <c r="BO24" i="76" s="1"/>
  <c r="AP24" i="76"/>
  <c r="AQ24" i="76" s="1"/>
  <c r="AR24" i="76" s="1"/>
  <c r="AR116" i="76" s="1"/>
  <c r="W26" i="76"/>
  <c r="X26" i="76" s="1"/>
  <c r="AC25" i="76"/>
  <c r="AD25" i="76"/>
  <c r="K21" i="76"/>
  <c r="AP25" i="76"/>
  <c r="AQ25" i="76" s="1"/>
  <c r="AR25" i="76" s="1"/>
  <c r="X25" i="76"/>
  <c r="BE26" i="75"/>
  <c r="AF27" i="77"/>
  <c r="BP27" i="77" s="1"/>
  <c r="BQ27" i="77" s="1"/>
  <c r="BS27" i="77" s="1"/>
  <c r="AF26" i="75"/>
  <c r="AW25" i="75"/>
  <c r="AX25" i="75" s="1"/>
  <c r="AY25" i="75" s="1"/>
  <c r="BL25" i="75"/>
  <c r="BM25" i="75" s="1"/>
  <c r="BN25" i="75" s="1"/>
  <c r="BB25" i="75"/>
  <c r="BC25" i="75" s="1"/>
  <c r="BD25" i="75" s="1"/>
  <c r="AZ26" i="75"/>
  <c r="CL26" i="75"/>
  <c r="AU26" i="75"/>
  <c r="Y26" i="75"/>
  <c r="U27" i="75"/>
  <c r="BJ26" i="75"/>
  <c r="CC26" i="75"/>
  <c r="AO26" i="75"/>
  <c r="AP26" i="75"/>
  <c r="AR25" i="75"/>
  <c r="AS25" i="75" s="1"/>
  <c r="AT25" i="75" s="1"/>
  <c r="BG25" i="75"/>
  <c r="BH25" i="75" s="1"/>
  <c r="BI25" i="75" s="1"/>
  <c r="AK25" i="75"/>
  <c r="AL25" i="75" s="1"/>
  <c r="AN25" i="75" s="1"/>
  <c r="Z25" i="75"/>
  <c r="AK116" i="77"/>
  <c r="AS24" i="77"/>
  <c r="AT24" i="77" s="1"/>
  <c r="AT116" i="77" s="1"/>
  <c r="BH24" i="77"/>
  <c r="BH116" i="77" s="1"/>
  <c r="BP25" i="75"/>
  <c r="BQ25" i="75" s="1"/>
  <c r="BS25" i="75" s="1"/>
  <c r="BT25" i="75"/>
  <c r="BU25" i="75" s="1"/>
  <c r="BW25" i="75" s="1"/>
  <c r="BB25" i="77"/>
  <c r="BC25" i="77" s="1"/>
  <c r="BD25" i="77" s="1"/>
  <c r="BG25" i="77"/>
  <c r="BH25" i="77" s="1"/>
  <c r="BI25" i="77" s="1"/>
  <c r="AW25" i="77"/>
  <c r="AX25" i="77" s="1"/>
  <c r="AY25" i="77" s="1"/>
  <c r="BL25" i="77"/>
  <c r="BM25" i="77" s="1"/>
  <c r="BN25" i="77" s="1"/>
  <c r="Z25" i="77"/>
  <c r="BB116" i="77"/>
  <c r="BT25" i="77"/>
  <c r="BU25" i="77" s="1"/>
  <c r="BW25" i="77" s="1"/>
  <c r="AR25" i="77"/>
  <c r="AS25" i="77" s="1"/>
  <c r="AT25" i="77" s="1"/>
  <c r="Y26" i="77"/>
  <c r="BG26" i="77" s="1"/>
  <c r="BH26" i="77" s="1"/>
  <c r="BI26" i="77" s="1"/>
  <c r="Z116" i="77"/>
  <c r="AX24" i="77"/>
  <c r="AY24" i="77" s="1"/>
  <c r="AY116" i="77" s="1"/>
  <c r="BU24" i="77"/>
  <c r="BU116" i="77" s="1"/>
  <c r="BM24" i="77"/>
  <c r="BM116" i="77" s="1"/>
  <c r="O30" i="74"/>
  <c r="M44" i="65" s="1"/>
  <c r="N31" i="74"/>
  <c r="L45" i="65" s="1"/>
  <c r="AN26" i="74"/>
  <c r="AE24" i="76"/>
  <c r="AG26" i="77"/>
  <c r="AT26" i="76"/>
  <c r="AH26" i="76"/>
  <c r="BD26" i="76"/>
  <c r="BM26" i="76"/>
  <c r="AO26" i="76"/>
  <c r="AC26" i="76"/>
  <c r="AY26" i="76"/>
  <c r="BI26" i="76"/>
  <c r="N31" i="77"/>
  <c r="O30" i="77"/>
  <c r="AL116" i="77"/>
  <c r="AN24" i="77"/>
  <c r="BC116" i="77"/>
  <c r="BD24" i="77"/>
  <c r="BD116" i="77" s="1"/>
  <c r="V27" i="77"/>
  <c r="AB27" i="77" s="1"/>
  <c r="T27" i="76"/>
  <c r="Z27" i="76" s="1"/>
  <c r="V27" i="75"/>
  <c r="AB27" i="75" s="1"/>
  <c r="AI27" i="74"/>
  <c r="N31" i="75"/>
  <c r="O30" i="75"/>
  <c r="CC28" i="74"/>
  <c r="AV28" i="74"/>
  <c r="AF28" i="74"/>
  <c r="AE28" i="74"/>
  <c r="AC28" i="74"/>
  <c r="AP28" i="74"/>
  <c r="AB29" i="74"/>
  <c r="AJ28" i="74"/>
  <c r="BQ116" i="77"/>
  <c r="BS24" i="77"/>
  <c r="CL28" i="77"/>
  <c r="AD27" i="77"/>
  <c r="AB27" i="76"/>
  <c r="AD27" i="75"/>
  <c r="BH27" i="74"/>
  <c r="BI27" i="74" s="1"/>
  <c r="BJ27" i="74" s="1"/>
  <c r="AQ27" i="74"/>
  <c r="AR27" i="74" s="1"/>
  <c r="AS27" i="74" s="1"/>
  <c r="AU27" i="74" s="1"/>
  <c r="BQ27" i="74"/>
  <c r="BR27" i="74" s="1"/>
  <c r="BS27" i="74" s="1"/>
  <c r="BC27" i="74"/>
  <c r="BD27" i="74" s="1"/>
  <c r="BE27" i="74" s="1"/>
  <c r="AL27" i="74"/>
  <c r="BM27" i="74"/>
  <c r="BN27" i="74" s="1"/>
  <c r="BO27" i="74" s="1"/>
  <c r="AX27" i="74"/>
  <c r="AY27" i="74" s="1"/>
  <c r="AZ27" i="74" s="1"/>
  <c r="N31" i="76"/>
  <c r="O30" i="76"/>
  <c r="AP27" i="77"/>
  <c r="AZ27" i="77"/>
  <c r="BJ27" i="77"/>
  <c r="U28" i="77"/>
  <c r="AU27" i="77"/>
  <c r="AO27" i="77"/>
  <c r="CK27" i="77"/>
  <c r="BE27" i="77"/>
  <c r="AG27" i="74"/>
  <c r="AU116" i="76"/>
  <c r="AV24" i="76"/>
  <c r="AI27" i="77"/>
  <c r="AG27" i="76"/>
  <c r="AI27" i="75"/>
  <c r="CM28" i="75"/>
  <c r="AM28" i="74" l="1"/>
  <c r="BN116" i="76"/>
  <c r="BK24" i="76"/>
  <c r="BK116" i="76" s="1"/>
  <c r="BF24" i="76"/>
  <c r="BF116" i="76" s="1"/>
  <c r="AS27" i="76"/>
  <c r="BH27" i="76"/>
  <c r="AQ116" i="76"/>
  <c r="AX27" i="76"/>
  <c r="V27" i="76"/>
  <c r="AY27" i="76" s="1"/>
  <c r="AN27" i="76"/>
  <c r="BC27" i="76"/>
  <c r="S28" i="76"/>
  <c r="S29" i="76" s="1"/>
  <c r="AJ24" i="76"/>
  <c r="AL24" i="76" s="1"/>
  <c r="AD26" i="76"/>
  <c r="AD27" i="76" s="1"/>
  <c r="AZ116" i="76"/>
  <c r="BB24" i="76"/>
  <c r="BB116" i="76" s="1"/>
  <c r="AE25" i="76"/>
  <c r="W27" i="76"/>
  <c r="X27" i="76" s="1"/>
  <c r="AP26" i="76"/>
  <c r="AQ26" i="76" s="1"/>
  <c r="AR26" i="76" s="1"/>
  <c r="BN26" i="76"/>
  <c r="BO26" i="76" s="1"/>
  <c r="BE26" i="76"/>
  <c r="BF26" i="76" s="1"/>
  <c r="BG26" i="76" s="1"/>
  <c r="AU26" i="76"/>
  <c r="AV26" i="76" s="1"/>
  <c r="AW26" i="76" s="1"/>
  <c r="AI26" i="76"/>
  <c r="AJ26" i="76" s="1"/>
  <c r="AL26" i="76" s="1"/>
  <c r="BJ26" i="76"/>
  <c r="BK26" i="76" s="1"/>
  <c r="BL26" i="76" s="1"/>
  <c r="AZ26" i="76"/>
  <c r="BA26" i="76" s="1"/>
  <c r="BB26" i="76" s="1"/>
  <c r="AP116" i="76"/>
  <c r="AF27" i="75"/>
  <c r="BP27" i="75" s="1"/>
  <c r="BQ27" i="75" s="1"/>
  <c r="BS27" i="75" s="1"/>
  <c r="AF28" i="77"/>
  <c r="AG28" i="77" s="1"/>
  <c r="AU27" i="75"/>
  <c r="BJ27" i="75"/>
  <c r="AP27" i="75"/>
  <c r="AZ27" i="75"/>
  <c r="BE27" i="75"/>
  <c r="CL27" i="75"/>
  <c r="U28" i="75"/>
  <c r="CC27" i="75"/>
  <c r="BL26" i="75"/>
  <c r="BM26" i="75" s="1"/>
  <c r="BN26" i="75" s="1"/>
  <c r="AO27" i="75"/>
  <c r="Y27" i="75"/>
  <c r="Z26" i="75"/>
  <c r="BB26" i="75"/>
  <c r="BC26" i="75" s="1"/>
  <c r="BD26" i="75" s="1"/>
  <c r="AW26" i="75"/>
  <c r="AX26" i="75" s="1"/>
  <c r="AY26" i="75" s="1"/>
  <c r="AR26" i="75"/>
  <c r="AS26" i="75" s="1"/>
  <c r="AT26" i="75" s="1"/>
  <c r="BG26" i="75"/>
  <c r="BH26" i="75" s="1"/>
  <c r="BI26" i="75" s="1"/>
  <c r="AK26" i="75"/>
  <c r="AL26" i="75" s="1"/>
  <c r="AN26" i="75" s="1"/>
  <c r="BT26" i="75"/>
  <c r="BU26" i="75" s="1"/>
  <c r="BW26" i="75" s="1"/>
  <c r="AS116" i="77"/>
  <c r="BL26" i="77"/>
  <c r="BM26" i="77" s="1"/>
  <c r="BN26" i="77" s="1"/>
  <c r="Y27" i="77"/>
  <c r="Z27" i="77" s="1"/>
  <c r="AW26" i="77"/>
  <c r="AX26" i="77" s="1"/>
  <c r="AY26" i="77" s="1"/>
  <c r="AK26" i="77"/>
  <c r="AL26" i="77" s="1"/>
  <c r="AN26" i="77" s="1"/>
  <c r="BB26" i="77"/>
  <c r="BC26" i="77" s="1"/>
  <c r="BD26" i="77" s="1"/>
  <c r="BP26" i="75"/>
  <c r="BQ26" i="75" s="1"/>
  <c r="BS26" i="75" s="1"/>
  <c r="AG26" i="75"/>
  <c r="BI24" i="77"/>
  <c r="BI116" i="77" s="1"/>
  <c r="AX116" i="77"/>
  <c r="AR26" i="77"/>
  <c r="AS26" i="77" s="1"/>
  <c r="AT26" i="77" s="1"/>
  <c r="BT26" i="77"/>
  <c r="BU26" i="77" s="1"/>
  <c r="BW26" i="77" s="1"/>
  <c r="Z26" i="77"/>
  <c r="BW24" i="77"/>
  <c r="BW116" i="77" s="1"/>
  <c r="BN24" i="77"/>
  <c r="BN116" i="77" s="1"/>
  <c r="N32" i="74"/>
  <c r="L46" i="65" s="1"/>
  <c r="O31" i="74"/>
  <c r="M45" i="65" s="1"/>
  <c r="AN27" i="74"/>
  <c r="K27" i="76"/>
  <c r="AE116" i="76"/>
  <c r="BO116" i="76"/>
  <c r="AD28" i="77"/>
  <c r="AB28" i="76"/>
  <c r="AD28" i="75"/>
  <c r="O31" i="77"/>
  <c r="N32" i="77"/>
  <c r="AI28" i="77"/>
  <c r="AG28" i="76"/>
  <c r="AI28" i="75"/>
  <c r="CL29" i="77"/>
  <c r="AB30" i="74"/>
  <c r="AJ29" i="74"/>
  <c r="CC29" i="74"/>
  <c r="AV29" i="74"/>
  <c r="AF29" i="74"/>
  <c r="AE29" i="74"/>
  <c r="AC29" i="74"/>
  <c r="AP29" i="74"/>
  <c r="CM29" i="75"/>
  <c r="AG27" i="77"/>
  <c r="BH28" i="74"/>
  <c r="BI28" i="74" s="1"/>
  <c r="BJ28" i="74" s="1"/>
  <c r="AQ28" i="74"/>
  <c r="AR28" i="74" s="1"/>
  <c r="AS28" i="74" s="1"/>
  <c r="AU28" i="74" s="1"/>
  <c r="BQ28" i="74"/>
  <c r="BR28" i="74" s="1"/>
  <c r="BS28" i="74" s="1"/>
  <c r="BC28" i="74"/>
  <c r="BD28" i="74" s="1"/>
  <c r="BE28" i="74" s="1"/>
  <c r="AL28" i="74"/>
  <c r="BM28" i="74"/>
  <c r="BN28" i="74" s="1"/>
  <c r="BO28" i="74" s="1"/>
  <c r="AX28" i="74"/>
  <c r="AY28" i="74" s="1"/>
  <c r="AZ28" i="74" s="1"/>
  <c r="AG28" i="74"/>
  <c r="AN116" i="77"/>
  <c r="AV116" i="76"/>
  <c r="AW24" i="76"/>
  <c r="AW116" i="76" s="1"/>
  <c r="V28" i="77"/>
  <c r="AB28" i="77" s="1"/>
  <c r="T28" i="76"/>
  <c r="Z28" i="76" s="1"/>
  <c r="V28" i="75"/>
  <c r="AB28" i="75" s="1"/>
  <c r="AI28" i="74"/>
  <c r="AP28" i="77"/>
  <c r="AO28" i="77"/>
  <c r="BJ28" i="77"/>
  <c r="U29" i="77"/>
  <c r="AU28" i="77"/>
  <c r="CK28" i="77"/>
  <c r="BE28" i="77"/>
  <c r="AZ28" i="77"/>
  <c r="O31" i="76"/>
  <c r="N32" i="76"/>
  <c r="BS116" i="77"/>
  <c r="N32" i="75"/>
  <c r="O31" i="75"/>
  <c r="AM29" i="74" l="1"/>
  <c r="BL24" i="76"/>
  <c r="BL116" i="76" s="1"/>
  <c r="BG24" i="76"/>
  <c r="BG116" i="76" s="1"/>
  <c r="AX28" i="76"/>
  <c r="AM28" i="76"/>
  <c r="AN28" i="76"/>
  <c r="BC28" i="76"/>
  <c r="AS28" i="76"/>
  <c r="V28" i="76"/>
  <c r="AH28" i="76" s="1"/>
  <c r="BH28" i="76"/>
  <c r="AJ116" i="76"/>
  <c r="AZ27" i="76"/>
  <c r="BA27" i="76" s="1"/>
  <c r="BB27" i="76" s="1"/>
  <c r="W28" i="76"/>
  <c r="X28" i="76" s="1"/>
  <c r="AT27" i="76"/>
  <c r="AU27" i="76" s="1"/>
  <c r="AV27" i="76" s="1"/>
  <c r="AW27" i="76" s="1"/>
  <c r="AH27" i="76"/>
  <c r="AI27" i="76" s="1"/>
  <c r="AJ27" i="76" s="1"/>
  <c r="AL27" i="76" s="1"/>
  <c r="BM27" i="76"/>
  <c r="BN27" i="76" s="1"/>
  <c r="BO27" i="76" s="1"/>
  <c r="AO27" i="76"/>
  <c r="AP27" i="76" s="1"/>
  <c r="AQ27" i="76" s="1"/>
  <c r="AR27" i="76" s="1"/>
  <c r="AC27" i="76"/>
  <c r="AD28" i="76" s="1"/>
  <c r="BD27" i="76"/>
  <c r="BE27" i="76" s="1"/>
  <c r="BF27" i="76" s="1"/>
  <c r="BG27" i="76" s="1"/>
  <c r="BI27" i="76"/>
  <c r="BJ27" i="76" s="1"/>
  <c r="BK27" i="76" s="1"/>
  <c r="BL27" i="76" s="1"/>
  <c r="AE26" i="76"/>
  <c r="AF29" i="77"/>
  <c r="BP29" i="77" s="1"/>
  <c r="BQ29" i="77" s="1"/>
  <c r="BS29" i="77" s="1"/>
  <c r="AF28" i="75"/>
  <c r="AG28" i="75" s="1"/>
  <c r="BL27" i="75"/>
  <c r="BM27" i="75" s="1"/>
  <c r="BN27" i="75" s="1"/>
  <c r="AO28" i="75"/>
  <c r="AP28" i="75"/>
  <c r="BE28" i="75"/>
  <c r="CL28" i="75"/>
  <c r="Y28" i="75"/>
  <c r="AK28" i="75" s="1"/>
  <c r="AL28" i="75" s="1"/>
  <c r="BJ28" i="75"/>
  <c r="AU28" i="75"/>
  <c r="U29" i="75"/>
  <c r="CC28" i="75"/>
  <c r="AZ28" i="75"/>
  <c r="BG27" i="75"/>
  <c r="BH27" i="75" s="1"/>
  <c r="BI27" i="75" s="1"/>
  <c r="AK27" i="75"/>
  <c r="AL27" i="75" s="1"/>
  <c r="AN27" i="75" s="1"/>
  <c r="AW27" i="75"/>
  <c r="AX27" i="75" s="1"/>
  <c r="AY27" i="75" s="1"/>
  <c r="Z27" i="75"/>
  <c r="AR27" i="75"/>
  <c r="AS27" i="75" s="1"/>
  <c r="AT27" i="75" s="1"/>
  <c r="BB27" i="75"/>
  <c r="BC27" i="75" s="1"/>
  <c r="BD27" i="75" s="1"/>
  <c r="AR27" i="77"/>
  <c r="AS27" i="77" s="1"/>
  <c r="AT27" i="77" s="1"/>
  <c r="AW27" i="77"/>
  <c r="AX27" i="77" s="1"/>
  <c r="AY27" i="77" s="1"/>
  <c r="BL27" i="77"/>
  <c r="BM27" i="77" s="1"/>
  <c r="BN27" i="77" s="1"/>
  <c r="Y28" i="77"/>
  <c r="BB28" i="77" s="1"/>
  <c r="BC28" i="77" s="1"/>
  <c r="BD28" i="77" s="1"/>
  <c r="AK27" i="77"/>
  <c r="AL27" i="77" s="1"/>
  <c r="AN27" i="77" s="1"/>
  <c r="BB27" i="77"/>
  <c r="BC27" i="77" s="1"/>
  <c r="BD27" i="77" s="1"/>
  <c r="BT27" i="77"/>
  <c r="BU27" i="77" s="1"/>
  <c r="BW27" i="77" s="1"/>
  <c r="BG27" i="77"/>
  <c r="BH27" i="77" s="1"/>
  <c r="BI27" i="77" s="1"/>
  <c r="BT27" i="75"/>
  <c r="BU27" i="75" s="1"/>
  <c r="BW27" i="75" s="1"/>
  <c r="AG27" i="75"/>
  <c r="O32" i="74"/>
  <c r="M46" i="65" s="1"/>
  <c r="N33" i="74"/>
  <c r="L47" i="65" s="1"/>
  <c r="AN28" i="74"/>
  <c r="AE27" i="76"/>
  <c r="AE30" i="74"/>
  <c r="AC30" i="74"/>
  <c r="AP30" i="74"/>
  <c r="AB31" i="74"/>
  <c r="AJ30" i="74"/>
  <c r="CC30" i="74"/>
  <c r="AV30" i="74"/>
  <c r="AF30" i="74"/>
  <c r="AL29" i="74"/>
  <c r="BM29" i="74"/>
  <c r="BN29" i="74" s="1"/>
  <c r="BO29" i="74" s="1"/>
  <c r="AX29" i="74"/>
  <c r="AY29" i="74" s="1"/>
  <c r="AZ29" i="74" s="1"/>
  <c r="BH29" i="74"/>
  <c r="BI29" i="74" s="1"/>
  <c r="BJ29" i="74" s="1"/>
  <c r="BC29" i="74"/>
  <c r="BD29" i="74" s="1"/>
  <c r="BE29" i="74" s="1"/>
  <c r="AQ29" i="74"/>
  <c r="AR29" i="74" s="1"/>
  <c r="AS29" i="74" s="1"/>
  <c r="AU29" i="74" s="1"/>
  <c r="BQ29" i="74"/>
  <c r="BR29" i="74" s="1"/>
  <c r="BS29" i="74" s="1"/>
  <c r="BP28" i="77"/>
  <c r="BQ28" i="77" s="1"/>
  <c r="BS28" i="77" s="1"/>
  <c r="AO29" i="77"/>
  <c r="AZ29" i="77"/>
  <c r="BJ29" i="77"/>
  <c r="CK29" i="77"/>
  <c r="BE29" i="77"/>
  <c r="AU29" i="77"/>
  <c r="U30" i="77"/>
  <c r="AP29" i="77"/>
  <c r="AN29" i="76"/>
  <c r="AM29" i="76"/>
  <c r="AX29" i="76"/>
  <c r="S30" i="76"/>
  <c r="BH29" i="76"/>
  <c r="V29" i="76"/>
  <c r="AS29" i="76"/>
  <c r="BC29" i="76"/>
  <c r="N33" i="75"/>
  <c r="O32" i="75"/>
  <c r="AI29" i="77"/>
  <c r="AG29" i="76"/>
  <c r="AI29" i="75"/>
  <c r="AD29" i="77"/>
  <c r="AB29" i="76"/>
  <c r="AD29" i="75"/>
  <c r="AG29" i="74"/>
  <c r="AL116" i="76"/>
  <c r="V29" i="77"/>
  <c r="AB29" i="77" s="1"/>
  <c r="T29" i="76"/>
  <c r="Z29" i="76" s="1"/>
  <c r="V29" i="75"/>
  <c r="AB29" i="75" s="1"/>
  <c r="AI29" i="74"/>
  <c r="N33" i="77"/>
  <c r="O32" i="77"/>
  <c r="N33" i="76"/>
  <c r="O32" i="76"/>
  <c r="CL30" i="77"/>
  <c r="CM30" i="75"/>
  <c r="AM30" i="74" l="1"/>
  <c r="AY28" i="76"/>
  <c r="AZ28" i="76" s="1"/>
  <c r="BA28" i="76" s="1"/>
  <c r="BB28" i="76" s="1"/>
  <c r="BM28" i="76"/>
  <c r="BN28" i="76" s="1"/>
  <c r="BO28" i="76" s="1"/>
  <c r="AO28" i="76"/>
  <c r="AP28" i="76" s="1"/>
  <c r="AQ28" i="76" s="1"/>
  <c r="AR28" i="76" s="1"/>
  <c r="BI28" i="76"/>
  <c r="BJ28" i="76" s="1"/>
  <c r="BK28" i="76" s="1"/>
  <c r="BL28" i="76" s="1"/>
  <c r="AC28" i="76"/>
  <c r="AD29" i="76" s="1"/>
  <c r="BD28" i="76"/>
  <c r="BE28" i="76" s="1"/>
  <c r="BF28" i="76" s="1"/>
  <c r="BG28" i="76" s="1"/>
  <c r="AT28" i="76"/>
  <c r="AU28" i="76" s="1"/>
  <c r="AV28" i="76" s="1"/>
  <c r="AW28" i="76" s="1"/>
  <c r="AI28" i="76"/>
  <c r="AJ28" i="76" s="1"/>
  <c r="AL28" i="76" s="1"/>
  <c r="W29" i="76"/>
  <c r="X29" i="76" s="1"/>
  <c r="AF29" i="75"/>
  <c r="AG29" i="75" s="1"/>
  <c r="CL29" i="75"/>
  <c r="AF30" i="77"/>
  <c r="BP30" i="77" s="1"/>
  <c r="BQ30" i="77" s="1"/>
  <c r="BS30" i="77" s="1"/>
  <c r="BB28" i="75"/>
  <c r="BC28" i="75" s="1"/>
  <c r="BD28" i="75" s="1"/>
  <c r="AN28" i="75"/>
  <c r="AR28" i="75"/>
  <c r="AS28" i="75" s="1"/>
  <c r="AT28" i="75" s="1"/>
  <c r="BL28" i="75"/>
  <c r="BM28" i="75" s="1"/>
  <c r="BN28" i="75" s="1"/>
  <c r="Z28" i="75"/>
  <c r="AW28" i="75"/>
  <c r="AX28" i="75" s="1"/>
  <c r="AY28" i="75" s="1"/>
  <c r="BG28" i="75"/>
  <c r="BH28" i="75" s="1"/>
  <c r="BI28" i="75" s="1"/>
  <c r="AO29" i="75"/>
  <c r="CC29" i="75"/>
  <c r="AP29" i="75"/>
  <c r="AU29" i="75"/>
  <c r="U30" i="75"/>
  <c r="Y29" i="75"/>
  <c r="BJ29" i="75"/>
  <c r="AZ29" i="75"/>
  <c r="BE29" i="75"/>
  <c r="AW28" i="77"/>
  <c r="AX28" i="77" s="1"/>
  <c r="AY28" i="77" s="1"/>
  <c r="BT28" i="77"/>
  <c r="BU28" i="77" s="1"/>
  <c r="BW28" i="77" s="1"/>
  <c r="AK28" i="77"/>
  <c r="AL28" i="77" s="1"/>
  <c r="AN28" i="77" s="1"/>
  <c r="BT28" i="75"/>
  <c r="BU28" i="75" s="1"/>
  <c r="BW28" i="75" s="1"/>
  <c r="Z28" i="77"/>
  <c r="BG28" i="77"/>
  <c r="BH28" i="77" s="1"/>
  <c r="BI28" i="77" s="1"/>
  <c r="Y29" i="77"/>
  <c r="Z29" i="77" s="1"/>
  <c r="AR28" i="77"/>
  <c r="AS28" i="77" s="1"/>
  <c r="AT28" i="77" s="1"/>
  <c r="BL28" i="77"/>
  <c r="BM28" i="77" s="1"/>
  <c r="BN28" i="77" s="1"/>
  <c r="BP28" i="75"/>
  <c r="BQ28" i="75" s="1"/>
  <c r="BS28" i="75" s="1"/>
  <c r="O33" i="74"/>
  <c r="M47" i="65" s="1"/>
  <c r="N34" i="74"/>
  <c r="L48" i="65" s="1"/>
  <c r="AN29" i="74"/>
  <c r="AE28" i="76"/>
  <c r="AG29" i="77"/>
  <c r="V30" i="76"/>
  <c r="AS30" i="76"/>
  <c r="BC30" i="76"/>
  <c r="AN30" i="76"/>
  <c r="AM30" i="76"/>
  <c r="AX30" i="76"/>
  <c r="BH30" i="76"/>
  <c r="S31" i="76"/>
  <c r="CC31" i="74"/>
  <c r="AV31" i="74"/>
  <c r="AF31" i="74"/>
  <c r="AE31" i="74"/>
  <c r="AC31" i="74"/>
  <c r="AP31" i="74"/>
  <c r="AB32" i="74"/>
  <c r="AJ31" i="74"/>
  <c r="CL31" i="77"/>
  <c r="V30" i="77"/>
  <c r="AB30" i="77" s="1"/>
  <c r="T30" i="76"/>
  <c r="Z30" i="76" s="1"/>
  <c r="V30" i="75"/>
  <c r="AB30" i="75" s="1"/>
  <c r="AI30" i="74"/>
  <c r="AY29" i="76"/>
  <c r="BI29" i="76"/>
  <c r="AT29" i="76"/>
  <c r="AH29" i="76"/>
  <c r="BD29" i="76"/>
  <c r="BM29" i="76"/>
  <c r="AO29" i="76"/>
  <c r="AC29" i="76"/>
  <c r="AD30" i="77"/>
  <c r="AB30" i="76"/>
  <c r="AD30" i="75"/>
  <c r="AQ30" i="74"/>
  <c r="AR30" i="74" s="1"/>
  <c r="AS30" i="74" s="1"/>
  <c r="AU30" i="74" s="1"/>
  <c r="BQ30" i="74"/>
  <c r="BR30" i="74" s="1"/>
  <c r="BS30" i="74" s="1"/>
  <c r="BC30" i="74"/>
  <c r="BD30" i="74" s="1"/>
  <c r="BE30" i="74" s="1"/>
  <c r="AL30" i="74"/>
  <c r="BM30" i="74"/>
  <c r="BN30" i="74" s="1"/>
  <c r="BO30" i="74" s="1"/>
  <c r="AX30" i="74"/>
  <c r="AY30" i="74" s="1"/>
  <c r="AZ30" i="74" s="1"/>
  <c r="BH30" i="74"/>
  <c r="BI30" i="74" s="1"/>
  <c r="BJ30" i="74" s="1"/>
  <c r="N34" i="76"/>
  <c r="O33" i="76"/>
  <c r="AG30" i="74"/>
  <c r="N34" i="77"/>
  <c r="O33" i="77"/>
  <c r="N34" i="75"/>
  <c r="O33" i="75"/>
  <c r="AI30" i="77"/>
  <c r="AG30" i="76"/>
  <c r="AI30" i="75"/>
  <c r="CM31" i="75"/>
  <c r="AZ30" i="77"/>
  <c r="BJ30" i="77"/>
  <c r="U31" i="77"/>
  <c r="AU30" i="77"/>
  <c r="BE30" i="77"/>
  <c r="CK30" i="77"/>
  <c r="AP30" i="77"/>
  <c r="AO30" i="77"/>
  <c r="AM31" i="74" l="1"/>
  <c r="BE29" i="76"/>
  <c r="BF29" i="76" s="1"/>
  <c r="BG29" i="76" s="1"/>
  <c r="BN29" i="76"/>
  <c r="BO29" i="76" s="1"/>
  <c r="AU29" i="76"/>
  <c r="AV29" i="76" s="1"/>
  <c r="AW29" i="76" s="1"/>
  <c r="AI29" i="76"/>
  <c r="AJ29" i="76" s="1"/>
  <c r="AL29" i="76" s="1"/>
  <c r="BJ29" i="76"/>
  <c r="BK29" i="76" s="1"/>
  <c r="BL29" i="76" s="1"/>
  <c r="AZ29" i="76"/>
  <c r="BA29" i="76" s="1"/>
  <c r="BB29" i="76" s="1"/>
  <c r="W30" i="76"/>
  <c r="W31" i="76" s="1"/>
  <c r="AP29" i="76"/>
  <c r="AQ29" i="76" s="1"/>
  <c r="AR29" i="76" s="1"/>
  <c r="AD30" i="76"/>
  <c r="BE30" i="75"/>
  <c r="AF31" i="77"/>
  <c r="BP31" i="77" s="1"/>
  <c r="BQ31" i="77" s="1"/>
  <c r="BS31" i="77" s="1"/>
  <c r="AF30" i="75"/>
  <c r="AG30" i="75" s="1"/>
  <c r="AR29" i="75"/>
  <c r="AS29" i="75" s="1"/>
  <c r="AT29" i="75" s="1"/>
  <c r="Z29" i="75"/>
  <c r="AK29" i="75"/>
  <c r="AL29" i="75" s="1"/>
  <c r="AN29" i="75" s="1"/>
  <c r="BB29" i="75"/>
  <c r="BC29" i="75" s="1"/>
  <c r="BD29" i="75" s="1"/>
  <c r="AW29" i="75"/>
  <c r="AX29" i="75" s="1"/>
  <c r="AY29" i="75" s="1"/>
  <c r="BG29" i="75"/>
  <c r="BH29" i="75" s="1"/>
  <c r="BI29" i="75" s="1"/>
  <c r="BL29" i="75"/>
  <c r="BM29" i="75" s="1"/>
  <c r="BN29" i="75" s="1"/>
  <c r="U31" i="75"/>
  <c r="Y30" i="75"/>
  <c r="BJ30" i="75"/>
  <c r="CL30" i="75"/>
  <c r="AO30" i="75"/>
  <c r="AU30" i="75"/>
  <c r="CC30" i="75"/>
  <c r="AZ30" i="75"/>
  <c r="AP30" i="75"/>
  <c r="AW29" i="77"/>
  <c r="AX29" i="77" s="1"/>
  <c r="AY29" i="77" s="1"/>
  <c r="Y30" i="77"/>
  <c r="AK30" i="77" s="1"/>
  <c r="AL30" i="77" s="1"/>
  <c r="AN30" i="77" s="1"/>
  <c r="BL29" i="77"/>
  <c r="BM29" i="77" s="1"/>
  <c r="BN29" i="77" s="1"/>
  <c r="BG29" i="77"/>
  <c r="BH29" i="77" s="1"/>
  <c r="BI29" i="77" s="1"/>
  <c r="BT29" i="75"/>
  <c r="BU29" i="75" s="1"/>
  <c r="BW29" i="75" s="1"/>
  <c r="BP29" i="75"/>
  <c r="BQ29" i="75" s="1"/>
  <c r="BS29" i="75" s="1"/>
  <c r="AR29" i="77"/>
  <c r="AS29" i="77" s="1"/>
  <c r="AT29" i="77" s="1"/>
  <c r="AK29" i="77"/>
  <c r="AL29" i="77" s="1"/>
  <c r="AN29" i="77" s="1"/>
  <c r="BB29" i="77"/>
  <c r="BC29" i="77" s="1"/>
  <c r="BD29" i="77" s="1"/>
  <c r="BT29" i="77"/>
  <c r="BU29" i="77" s="1"/>
  <c r="BW29" i="77" s="1"/>
  <c r="O34" i="74"/>
  <c r="M48" i="65" s="1"/>
  <c r="N35" i="74"/>
  <c r="L49" i="65" s="1"/>
  <c r="AN30" i="74"/>
  <c r="AE29" i="76"/>
  <c r="AG30" i="77"/>
  <c r="CL32" i="77"/>
  <c r="AT30" i="76"/>
  <c r="AH30" i="76"/>
  <c r="BD30" i="76"/>
  <c r="BM30" i="76"/>
  <c r="AO30" i="76"/>
  <c r="AC30" i="76"/>
  <c r="AY30" i="76"/>
  <c r="BI30" i="76"/>
  <c r="AD31" i="77"/>
  <c r="AB31" i="76"/>
  <c r="AD31" i="75"/>
  <c r="BH31" i="74"/>
  <c r="BI31" i="74" s="1"/>
  <c r="BJ31" i="74" s="1"/>
  <c r="AQ31" i="74"/>
  <c r="AR31" i="74" s="1"/>
  <c r="AS31" i="74" s="1"/>
  <c r="AU31" i="74" s="1"/>
  <c r="BQ31" i="74"/>
  <c r="BR31" i="74" s="1"/>
  <c r="BS31" i="74" s="1"/>
  <c r="BC31" i="74"/>
  <c r="BD31" i="74" s="1"/>
  <c r="BE31" i="74" s="1"/>
  <c r="AL31" i="74"/>
  <c r="BM31" i="74"/>
  <c r="BN31" i="74" s="1"/>
  <c r="BO31" i="74" s="1"/>
  <c r="AX31" i="74"/>
  <c r="AY31" i="74" s="1"/>
  <c r="AZ31" i="74" s="1"/>
  <c r="N35" i="76"/>
  <c r="O34" i="76"/>
  <c r="AI31" i="77"/>
  <c r="AG31" i="76"/>
  <c r="AI31" i="75"/>
  <c r="AB33" i="74"/>
  <c r="AJ32" i="74"/>
  <c r="CC32" i="74"/>
  <c r="AV32" i="74"/>
  <c r="AF32" i="74"/>
  <c r="AE32" i="74"/>
  <c r="AC32" i="74"/>
  <c r="AP32" i="74"/>
  <c r="AN31" i="76"/>
  <c r="AM31" i="76"/>
  <c r="S32" i="76"/>
  <c r="AX31" i="76"/>
  <c r="BH31" i="76"/>
  <c r="V31" i="76"/>
  <c r="AS31" i="76"/>
  <c r="BC31" i="76"/>
  <c r="BJ31" i="77"/>
  <c r="U32" i="77"/>
  <c r="AU31" i="77"/>
  <c r="CK31" i="77"/>
  <c r="AP31" i="77"/>
  <c r="AO31" i="77"/>
  <c r="BE31" i="77"/>
  <c r="AZ31" i="77"/>
  <c r="V31" i="77"/>
  <c r="AB31" i="77" s="1"/>
  <c r="T31" i="76"/>
  <c r="Z31" i="76" s="1"/>
  <c r="V31" i="75"/>
  <c r="AB31" i="75" s="1"/>
  <c r="AI31" i="74"/>
  <c r="AG31" i="74"/>
  <c r="N35" i="77"/>
  <c r="O34" i="77"/>
  <c r="O34" i="75"/>
  <c r="N35" i="75"/>
  <c r="CM32" i="75"/>
  <c r="AM32" i="74" l="1"/>
  <c r="AP30" i="76"/>
  <c r="AQ30" i="76" s="1"/>
  <c r="AR30" i="76" s="1"/>
  <c r="X30" i="76"/>
  <c r="BN30" i="76"/>
  <c r="BO30" i="76" s="1"/>
  <c r="BE30" i="76"/>
  <c r="BF30" i="76" s="1"/>
  <c r="BG30" i="76" s="1"/>
  <c r="AZ30" i="76"/>
  <c r="BA30" i="76" s="1"/>
  <c r="BB30" i="76" s="1"/>
  <c r="AI30" i="76"/>
  <c r="AJ30" i="76" s="1"/>
  <c r="AL30" i="76" s="1"/>
  <c r="AU30" i="76"/>
  <c r="AV30" i="76" s="1"/>
  <c r="AW30" i="76" s="1"/>
  <c r="BJ30" i="76"/>
  <c r="BK30" i="76" s="1"/>
  <c r="BL30" i="76" s="1"/>
  <c r="AD31" i="76"/>
  <c r="BG30" i="75"/>
  <c r="BH30" i="75" s="1"/>
  <c r="BI30" i="75" s="1"/>
  <c r="AF31" i="75"/>
  <c r="AG31" i="75" s="1"/>
  <c r="AF32" i="77"/>
  <c r="AG32" i="77" s="1"/>
  <c r="BB30" i="75"/>
  <c r="BC30" i="75" s="1"/>
  <c r="BD30" i="75" s="1"/>
  <c r="BL30" i="75"/>
  <c r="BM30" i="75" s="1"/>
  <c r="BN30" i="75" s="1"/>
  <c r="AR30" i="75"/>
  <c r="AS30" i="75" s="1"/>
  <c r="AT30" i="75" s="1"/>
  <c r="AW30" i="75"/>
  <c r="AX30" i="75" s="1"/>
  <c r="AY30" i="75" s="1"/>
  <c r="AK30" i="75"/>
  <c r="AL30" i="75" s="1"/>
  <c r="AN30" i="75" s="1"/>
  <c r="Z30" i="75"/>
  <c r="Y31" i="77"/>
  <c r="AR31" i="77" s="1"/>
  <c r="AS31" i="77" s="1"/>
  <c r="AT31" i="77" s="1"/>
  <c r="Z30" i="77"/>
  <c r="BL30" i="77"/>
  <c r="BM30" i="77" s="1"/>
  <c r="BN30" i="77" s="1"/>
  <c r="AR30" i="77"/>
  <c r="AS30" i="77" s="1"/>
  <c r="AT30" i="77" s="1"/>
  <c r="BT30" i="77"/>
  <c r="BU30" i="77" s="1"/>
  <c r="BW30" i="77" s="1"/>
  <c r="BB30" i="77"/>
  <c r="BC30" i="77" s="1"/>
  <c r="BD30" i="77" s="1"/>
  <c r="AW30" i="77"/>
  <c r="AX30" i="77" s="1"/>
  <c r="AY30" i="77" s="1"/>
  <c r="BG30" i="77"/>
  <c r="BH30" i="77" s="1"/>
  <c r="BI30" i="77" s="1"/>
  <c r="AP31" i="75"/>
  <c r="BE31" i="75"/>
  <c r="AU31" i="75"/>
  <c r="CL31" i="75"/>
  <c r="Y31" i="75"/>
  <c r="AK31" i="75" s="1"/>
  <c r="AL31" i="75" s="1"/>
  <c r="U32" i="75"/>
  <c r="CC31" i="75"/>
  <c r="AZ31" i="75"/>
  <c r="BJ31" i="75"/>
  <c r="AO31" i="75"/>
  <c r="BP30" i="75"/>
  <c r="BQ30" i="75" s="1"/>
  <c r="BS30" i="75" s="1"/>
  <c r="BT30" i="75"/>
  <c r="BU30" i="75" s="1"/>
  <c r="BW30" i="75" s="1"/>
  <c r="O35" i="74"/>
  <c r="M49" i="65" s="1"/>
  <c r="N36" i="74"/>
  <c r="L50" i="65" s="1"/>
  <c r="AN31" i="74"/>
  <c r="AE30" i="76"/>
  <c r="AB34" i="74"/>
  <c r="CC33" i="74"/>
  <c r="AE33" i="74"/>
  <c r="AC33" i="74"/>
  <c r="AP33" i="74"/>
  <c r="AJ33" i="74"/>
  <c r="AV33" i="74"/>
  <c r="AF33" i="74"/>
  <c r="AG33" i="74" s="1"/>
  <c r="U33" i="77"/>
  <c r="AU32" i="77"/>
  <c r="CK32" i="77"/>
  <c r="BE32" i="77"/>
  <c r="AP32" i="77"/>
  <c r="AO32" i="77"/>
  <c r="AZ32" i="77"/>
  <c r="BJ32" i="77"/>
  <c r="AL32" i="74"/>
  <c r="BM32" i="74"/>
  <c r="BN32" i="74" s="1"/>
  <c r="BO32" i="74" s="1"/>
  <c r="AX32" i="74"/>
  <c r="AY32" i="74" s="1"/>
  <c r="AZ32" i="74" s="1"/>
  <c r="BH32" i="74"/>
  <c r="BI32" i="74" s="1"/>
  <c r="BJ32" i="74" s="1"/>
  <c r="AQ32" i="74"/>
  <c r="AR32" i="74" s="1"/>
  <c r="AS32" i="74" s="1"/>
  <c r="AU32" i="74" s="1"/>
  <c r="BC32" i="74"/>
  <c r="BD32" i="74" s="1"/>
  <c r="BE32" i="74" s="1"/>
  <c r="BQ32" i="74"/>
  <c r="BR32" i="74" s="1"/>
  <c r="BS32" i="74" s="1"/>
  <c r="N36" i="75"/>
  <c r="O35" i="75"/>
  <c r="AG31" i="77"/>
  <c r="X31" i="76"/>
  <c r="AI32" i="77"/>
  <c r="AG32" i="76"/>
  <c r="AI32" i="75"/>
  <c r="CL33" i="77"/>
  <c r="N36" i="77"/>
  <c r="O35" i="77"/>
  <c r="V32" i="76"/>
  <c r="AS32" i="76"/>
  <c r="BC32" i="76"/>
  <c r="AN32" i="76"/>
  <c r="AM32" i="76"/>
  <c r="S33" i="76"/>
  <c r="AX32" i="76"/>
  <c r="BH32" i="76"/>
  <c r="W32" i="76"/>
  <c r="X32" i="76" s="1"/>
  <c r="N36" i="76"/>
  <c r="O35" i="76"/>
  <c r="AD32" i="77"/>
  <c r="AB32" i="76"/>
  <c r="AD32" i="75"/>
  <c r="AG32" i="74"/>
  <c r="CM33" i="75"/>
  <c r="BM31" i="76"/>
  <c r="BN31" i="76" s="1"/>
  <c r="BO31" i="76" s="1"/>
  <c r="AO31" i="76"/>
  <c r="AP31" i="76" s="1"/>
  <c r="AQ31" i="76" s="1"/>
  <c r="AR31" i="76" s="1"/>
  <c r="AC31" i="76"/>
  <c r="AY31" i="76"/>
  <c r="AZ31" i="76" s="1"/>
  <c r="BA31" i="76" s="1"/>
  <c r="BB31" i="76" s="1"/>
  <c r="BI31" i="76"/>
  <c r="BJ31" i="76" s="1"/>
  <c r="BK31" i="76" s="1"/>
  <c r="BL31" i="76" s="1"/>
  <c r="AT31" i="76"/>
  <c r="AU31" i="76" s="1"/>
  <c r="AV31" i="76" s="1"/>
  <c r="AW31" i="76" s="1"/>
  <c r="AH31" i="76"/>
  <c r="AI31" i="76" s="1"/>
  <c r="AJ31" i="76" s="1"/>
  <c r="AL31" i="76" s="1"/>
  <c r="BD31" i="76"/>
  <c r="BE31" i="76" s="1"/>
  <c r="BF31" i="76" s="1"/>
  <c r="BG31" i="76" s="1"/>
  <c r="V32" i="77"/>
  <c r="AB32" i="77" s="1"/>
  <c r="T32" i="76"/>
  <c r="Z32" i="76" s="1"/>
  <c r="V32" i="75"/>
  <c r="AB32" i="75" s="1"/>
  <c r="AI32" i="74"/>
  <c r="AM33" i="74" l="1"/>
  <c r="AD32" i="76"/>
  <c r="AF33" i="77"/>
  <c r="AG33" i="77" s="1"/>
  <c r="AF32" i="75"/>
  <c r="AG32" i="75" s="1"/>
  <c r="Z31" i="77"/>
  <c r="BG31" i="77"/>
  <c r="BH31" i="77" s="1"/>
  <c r="BI31" i="77" s="1"/>
  <c r="BL31" i="77"/>
  <c r="BM31" i="77" s="1"/>
  <c r="BN31" i="77" s="1"/>
  <c r="BB31" i="77"/>
  <c r="BC31" i="77" s="1"/>
  <c r="BD31" i="77" s="1"/>
  <c r="Y32" i="77"/>
  <c r="Z32" i="77" s="1"/>
  <c r="AK31" i="77"/>
  <c r="AL31" i="77" s="1"/>
  <c r="AN31" i="77" s="1"/>
  <c r="BT31" i="77"/>
  <c r="BU31" i="77" s="1"/>
  <c r="BW31" i="77" s="1"/>
  <c r="AN31" i="75"/>
  <c r="AW31" i="77"/>
  <c r="AX31" i="77" s="1"/>
  <c r="AY31" i="77" s="1"/>
  <c r="BL31" i="75"/>
  <c r="BM31" i="75" s="1"/>
  <c r="BN31" i="75" s="1"/>
  <c r="BB31" i="75"/>
  <c r="BC31" i="75" s="1"/>
  <c r="BD31" i="75" s="1"/>
  <c r="Z31" i="75"/>
  <c r="BG31" i="75"/>
  <c r="BH31" i="75" s="1"/>
  <c r="BI31" i="75" s="1"/>
  <c r="AR31" i="75"/>
  <c r="AS31" i="75" s="1"/>
  <c r="AT31" i="75" s="1"/>
  <c r="AW31" i="75"/>
  <c r="AX31" i="75" s="1"/>
  <c r="AY31" i="75" s="1"/>
  <c r="BJ32" i="75"/>
  <c r="CL32" i="75"/>
  <c r="CC32" i="75"/>
  <c r="AO32" i="75"/>
  <c r="AZ32" i="75"/>
  <c r="AP32" i="75"/>
  <c r="BE32" i="75"/>
  <c r="AU32" i="75"/>
  <c r="Y32" i="75"/>
  <c r="U33" i="75"/>
  <c r="BT31" i="75"/>
  <c r="BU31" i="75" s="1"/>
  <c r="BW31" i="75" s="1"/>
  <c r="BP31" i="75"/>
  <c r="BQ31" i="75" s="1"/>
  <c r="BS31" i="75" s="1"/>
  <c r="N37" i="74"/>
  <c r="L51" i="65" s="1"/>
  <c r="O36" i="74"/>
  <c r="M50" i="65" s="1"/>
  <c r="AN32" i="74"/>
  <c r="AE31" i="76"/>
  <c r="AD33" i="77"/>
  <c r="AB33" i="76"/>
  <c r="AD33" i="75"/>
  <c r="AM33" i="76"/>
  <c r="AX33" i="76"/>
  <c r="S34" i="76"/>
  <c r="BH33" i="76"/>
  <c r="W33" i="76"/>
  <c r="X33" i="76" s="1"/>
  <c r="V33" i="76"/>
  <c r="AS33" i="76"/>
  <c r="BC33" i="76"/>
  <c r="AN33" i="76"/>
  <c r="AT32" i="76"/>
  <c r="AU32" i="76" s="1"/>
  <c r="AV32" i="76" s="1"/>
  <c r="AW32" i="76" s="1"/>
  <c r="AH32" i="76"/>
  <c r="AI32" i="76" s="1"/>
  <c r="AJ32" i="76" s="1"/>
  <c r="AL32" i="76" s="1"/>
  <c r="BD32" i="76"/>
  <c r="BE32" i="76" s="1"/>
  <c r="BF32" i="76" s="1"/>
  <c r="BG32" i="76" s="1"/>
  <c r="BM32" i="76"/>
  <c r="BN32" i="76" s="1"/>
  <c r="BO32" i="76" s="1"/>
  <c r="AO32" i="76"/>
  <c r="AP32" i="76" s="1"/>
  <c r="AQ32" i="76" s="1"/>
  <c r="AR32" i="76" s="1"/>
  <c r="AC32" i="76"/>
  <c r="AY32" i="76"/>
  <c r="AZ32" i="76" s="1"/>
  <c r="BA32" i="76" s="1"/>
  <c r="BB32" i="76" s="1"/>
  <c r="BI32" i="76"/>
  <c r="BJ32" i="76" s="1"/>
  <c r="BK32" i="76" s="1"/>
  <c r="BL32" i="76" s="1"/>
  <c r="V33" i="77"/>
  <c r="AB33" i="77" s="1"/>
  <c r="T33" i="76"/>
  <c r="Z33" i="76" s="1"/>
  <c r="V33" i="75"/>
  <c r="AB33" i="75" s="1"/>
  <c r="AI33" i="74"/>
  <c r="CL34" i="77"/>
  <c r="N37" i="75"/>
  <c r="O36" i="75"/>
  <c r="BP32" i="77"/>
  <c r="BQ32" i="77" s="1"/>
  <c r="BS32" i="77" s="1"/>
  <c r="BH33" i="74"/>
  <c r="BI33" i="74" s="1"/>
  <c r="BJ33" i="74" s="1"/>
  <c r="AQ33" i="74"/>
  <c r="AR33" i="74" s="1"/>
  <c r="AS33" i="74" s="1"/>
  <c r="AU33" i="74" s="1"/>
  <c r="BC33" i="74"/>
  <c r="BD33" i="74" s="1"/>
  <c r="BE33" i="74" s="1"/>
  <c r="BQ33" i="74"/>
  <c r="BR33" i="74" s="1"/>
  <c r="BS33" i="74" s="1"/>
  <c r="AL33" i="74"/>
  <c r="AX33" i="74"/>
  <c r="AY33" i="74" s="1"/>
  <c r="AZ33" i="74" s="1"/>
  <c r="BM33" i="74"/>
  <c r="BN33" i="74" s="1"/>
  <c r="BO33" i="74" s="1"/>
  <c r="N37" i="76"/>
  <c r="O36" i="76"/>
  <c r="AI33" i="77"/>
  <c r="AG33" i="76"/>
  <c r="AI33" i="75"/>
  <c r="CM34" i="75"/>
  <c r="N37" i="77"/>
  <c r="O36" i="77"/>
  <c r="U34" i="77"/>
  <c r="AU33" i="77"/>
  <c r="CK33" i="77"/>
  <c r="BE33" i="77"/>
  <c r="AP33" i="77"/>
  <c r="AZ33" i="77"/>
  <c r="AO33" i="77"/>
  <c r="BJ33" i="77"/>
  <c r="AB35" i="74"/>
  <c r="AJ34" i="74"/>
  <c r="CC34" i="74"/>
  <c r="AV34" i="74"/>
  <c r="AE34" i="74"/>
  <c r="AC34" i="74"/>
  <c r="AP34" i="74"/>
  <c r="AF34" i="74"/>
  <c r="AM34" i="74" l="1"/>
  <c r="AD33" i="76"/>
  <c r="AZ33" i="75"/>
  <c r="AF33" i="75"/>
  <c r="BP33" i="75" s="1"/>
  <c r="BQ33" i="75" s="1"/>
  <c r="BS33" i="75" s="1"/>
  <c r="AF34" i="77"/>
  <c r="AG34" i="77" s="1"/>
  <c r="BL32" i="77"/>
  <c r="BM32" i="77" s="1"/>
  <c r="BN32" i="77" s="1"/>
  <c r="AW32" i="77"/>
  <c r="AX32" i="77" s="1"/>
  <c r="AY32" i="77" s="1"/>
  <c r="AK32" i="77"/>
  <c r="AL32" i="77" s="1"/>
  <c r="AN32" i="77" s="1"/>
  <c r="BG32" i="77"/>
  <c r="BH32" i="77" s="1"/>
  <c r="BI32" i="77" s="1"/>
  <c r="AW32" i="75"/>
  <c r="AX32" i="75" s="1"/>
  <c r="AY32" i="75" s="1"/>
  <c r="BB32" i="77"/>
  <c r="BC32" i="77" s="1"/>
  <c r="BD32" i="77" s="1"/>
  <c r="AR32" i="77"/>
  <c r="AS32" i="77" s="1"/>
  <c r="AT32" i="77" s="1"/>
  <c r="Y33" i="77"/>
  <c r="BL33" i="77" s="1"/>
  <c r="BM33" i="77" s="1"/>
  <c r="BN33" i="77" s="1"/>
  <c r="BT32" i="77"/>
  <c r="BU32" i="77" s="1"/>
  <c r="BW32" i="77" s="1"/>
  <c r="BP32" i="75"/>
  <c r="BQ32" i="75" s="1"/>
  <c r="BS32" i="75" s="1"/>
  <c r="AK32" i="75"/>
  <c r="AL32" i="75" s="1"/>
  <c r="AN32" i="75" s="1"/>
  <c r="BG32" i="75"/>
  <c r="BH32" i="75" s="1"/>
  <c r="BI32" i="75" s="1"/>
  <c r="BT32" i="75"/>
  <c r="BU32" i="75" s="1"/>
  <c r="BW32" i="75" s="1"/>
  <c r="Z32" i="75"/>
  <c r="AR32" i="75"/>
  <c r="AS32" i="75" s="1"/>
  <c r="AT32" i="75" s="1"/>
  <c r="BL32" i="75"/>
  <c r="BM32" i="75" s="1"/>
  <c r="BN32" i="75" s="1"/>
  <c r="BB32" i="75"/>
  <c r="BC32" i="75" s="1"/>
  <c r="BD32" i="75" s="1"/>
  <c r="AP33" i="75"/>
  <c r="BE33" i="75"/>
  <c r="AU33" i="75"/>
  <c r="CL33" i="75"/>
  <c r="AO33" i="75"/>
  <c r="U34" i="75"/>
  <c r="Y33" i="75"/>
  <c r="BJ33" i="75"/>
  <c r="CC33" i="75"/>
  <c r="O37" i="74"/>
  <c r="M51" i="65" s="1"/>
  <c r="N38" i="74"/>
  <c r="L52" i="65" s="1"/>
  <c r="AN33" i="74"/>
  <c r="AE32" i="76"/>
  <c r="V34" i="77"/>
  <c r="AB34" i="77" s="1"/>
  <c r="T34" i="76"/>
  <c r="Z34" i="76" s="1"/>
  <c r="V34" i="75"/>
  <c r="AI34" i="74"/>
  <c r="N38" i="75"/>
  <c r="O37" i="75"/>
  <c r="CL35" i="77"/>
  <c r="O37" i="77"/>
  <c r="N38" i="77"/>
  <c r="AL34" i="74"/>
  <c r="BM34" i="74"/>
  <c r="AX34" i="74"/>
  <c r="AQ34" i="74"/>
  <c r="BQ34" i="74"/>
  <c r="BC34" i="74"/>
  <c r="BH34" i="74"/>
  <c r="AY33" i="76"/>
  <c r="AZ33" i="76" s="1"/>
  <c r="BA33" i="76" s="1"/>
  <c r="BB33" i="76" s="1"/>
  <c r="BI33" i="76"/>
  <c r="BJ33" i="76" s="1"/>
  <c r="BK33" i="76" s="1"/>
  <c r="BL33" i="76" s="1"/>
  <c r="AT33" i="76"/>
  <c r="AU33" i="76" s="1"/>
  <c r="AV33" i="76" s="1"/>
  <c r="AW33" i="76" s="1"/>
  <c r="AH33" i="76"/>
  <c r="AI33" i="76" s="1"/>
  <c r="AJ33" i="76" s="1"/>
  <c r="AL33" i="76" s="1"/>
  <c r="BD33" i="76"/>
  <c r="BE33" i="76" s="1"/>
  <c r="BF33" i="76" s="1"/>
  <c r="BG33" i="76" s="1"/>
  <c r="AO33" i="76"/>
  <c r="AP33" i="76" s="1"/>
  <c r="AQ33" i="76" s="1"/>
  <c r="AR33" i="76" s="1"/>
  <c r="AC33" i="76"/>
  <c r="BM33" i="76"/>
  <c r="BN33" i="76" s="1"/>
  <c r="BO33" i="76" s="1"/>
  <c r="AD34" i="77"/>
  <c r="AB34" i="76"/>
  <c r="AD34" i="75"/>
  <c r="BP33" i="77"/>
  <c r="BQ33" i="77" s="1"/>
  <c r="BS33" i="77" s="1"/>
  <c r="N38" i="76"/>
  <c r="O37" i="76"/>
  <c r="AI34" i="77"/>
  <c r="AG34" i="76"/>
  <c r="AI34" i="75"/>
  <c r="AG34" i="74"/>
  <c r="CK34" i="77"/>
  <c r="BE34" i="77"/>
  <c r="AP34" i="77"/>
  <c r="AO34" i="77"/>
  <c r="BJ34" i="77"/>
  <c r="AZ34" i="77"/>
  <c r="AU34" i="77"/>
  <c r="U35" i="77"/>
  <c r="AC35" i="74"/>
  <c r="AP35" i="74"/>
  <c r="AB36" i="74"/>
  <c r="CC35" i="74"/>
  <c r="AV35" i="74"/>
  <c r="AF35" i="74"/>
  <c r="AE35" i="74"/>
  <c r="AJ35" i="74"/>
  <c r="CM35" i="75"/>
  <c r="AS34" i="76"/>
  <c r="BC34" i="76"/>
  <c r="AN34" i="76"/>
  <c r="AM34" i="76"/>
  <c r="AX34" i="76"/>
  <c r="S35" i="76"/>
  <c r="BH34" i="76"/>
  <c r="W34" i="76"/>
  <c r="V34" i="76"/>
  <c r="AM35" i="74" l="1"/>
  <c r="AN35" i="74" s="1"/>
  <c r="AD34" i="76"/>
  <c r="BB33" i="75"/>
  <c r="BC33" i="75" s="1"/>
  <c r="BD33" i="75" s="1"/>
  <c r="AF35" i="77"/>
  <c r="AG35" i="77" s="1"/>
  <c r="AZ34" i="75"/>
  <c r="AF34" i="75"/>
  <c r="BP34" i="75" s="1"/>
  <c r="BB33" i="77"/>
  <c r="BC33" i="77" s="1"/>
  <c r="BD33" i="77" s="1"/>
  <c r="AW33" i="77"/>
  <c r="AX33" i="77" s="1"/>
  <c r="AY33" i="77" s="1"/>
  <c r="Z33" i="77"/>
  <c r="AR33" i="77"/>
  <c r="AS33" i="77" s="1"/>
  <c r="AT33" i="77" s="1"/>
  <c r="Y34" i="77"/>
  <c r="AR34" i="77" s="1"/>
  <c r="AS34" i="77" s="1"/>
  <c r="AT34" i="77" s="1"/>
  <c r="AK33" i="77"/>
  <c r="AL33" i="77" s="1"/>
  <c r="AN33" i="77" s="1"/>
  <c r="BG33" i="77"/>
  <c r="BH33" i="77" s="1"/>
  <c r="BI33" i="77" s="1"/>
  <c r="BT33" i="77"/>
  <c r="BU33" i="77" s="1"/>
  <c r="BW33" i="77" s="1"/>
  <c r="AY34" i="74"/>
  <c r="AZ34" i="74" s="1"/>
  <c r="AK33" i="75"/>
  <c r="AL33" i="75" s="1"/>
  <c r="AN33" i="75" s="1"/>
  <c r="AW33" i="75"/>
  <c r="AX33" i="75" s="1"/>
  <c r="AY33" i="75" s="1"/>
  <c r="BL33" i="75"/>
  <c r="BM33" i="75" s="1"/>
  <c r="BN33" i="75" s="1"/>
  <c r="Z33" i="75"/>
  <c r="AR33" i="75"/>
  <c r="AS33" i="75" s="1"/>
  <c r="AT33" i="75" s="1"/>
  <c r="BG33" i="75"/>
  <c r="BH33" i="75" s="1"/>
  <c r="BI33" i="75" s="1"/>
  <c r="BT33" i="75"/>
  <c r="BU33" i="75" s="1"/>
  <c r="BW33" i="75" s="1"/>
  <c r="AG33" i="75"/>
  <c r="BE34" i="75"/>
  <c r="CL34" i="75"/>
  <c r="Y34" i="75"/>
  <c r="AO34" i="75"/>
  <c r="AP34" i="75"/>
  <c r="AU34" i="75"/>
  <c r="U35" i="75"/>
  <c r="BJ34" i="75"/>
  <c r="CC34" i="75"/>
  <c r="N39" i="74"/>
  <c r="L53" i="65" s="1"/>
  <c r="O38" i="74"/>
  <c r="M52" i="65" s="1"/>
  <c r="AE33" i="76"/>
  <c r="BR34" i="74"/>
  <c r="BS34" i="74" s="1"/>
  <c r="BI34" i="74"/>
  <c r="BJ34" i="74" s="1"/>
  <c r="BP34" i="77"/>
  <c r="BQ34" i="77" s="1"/>
  <c r="BS34" i="77" s="1"/>
  <c r="AB34" i="75"/>
  <c r="BD34" i="74"/>
  <c r="AR34" i="74"/>
  <c r="BN34" i="74"/>
  <c r="AQ35" i="74"/>
  <c r="AR35" i="74" s="1"/>
  <c r="AS35" i="74" s="1"/>
  <c r="AU35" i="74" s="1"/>
  <c r="BQ35" i="74"/>
  <c r="BR35" i="74" s="1"/>
  <c r="BS35" i="74" s="1"/>
  <c r="BC35" i="74"/>
  <c r="BD35" i="74" s="1"/>
  <c r="BE35" i="74" s="1"/>
  <c r="AL35" i="74"/>
  <c r="BH35" i="74"/>
  <c r="BI35" i="74" s="1"/>
  <c r="BJ35" i="74" s="1"/>
  <c r="BM35" i="74"/>
  <c r="BN35" i="74" s="1"/>
  <c r="BO35" i="74" s="1"/>
  <c r="AX35" i="74"/>
  <c r="AY35" i="74" s="1"/>
  <c r="AZ35" i="74" s="1"/>
  <c r="CM36" i="75"/>
  <c r="N39" i="76"/>
  <c r="O38" i="76"/>
  <c r="V35" i="77"/>
  <c r="AB35" i="77" s="1"/>
  <c r="T35" i="76"/>
  <c r="Z35" i="76" s="1"/>
  <c r="V35" i="75"/>
  <c r="AB35" i="75" s="1"/>
  <c r="AI35" i="74"/>
  <c r="BD34" i="76"/>
  <c r="BE34" i="76" s="1"/>
  <c r="BF34" i="76" s="1"/>
  <c r="BG34" i="76" s="1"/>
  <c r="BM34" i="76"/>
  <c r="BN34" i="76" s="1"/>
  <c r="BO34" i="76" s="1"/>
  <c r="AO34" i="76"/>
  <c r="AP34" i="76" s="1"/>
  <c r="AQ34" i="76" s="1"/>
  <c r="AR34" i="76" s="1"/>
  <c r="AC34" i="76"/>
  <c r="AY34" i="76"/>
  <c r="AZ34" i="76" s="1"/>
  <c r="BA34" i="76" s="1"/>
  <c r="BB34" i="76" s="1"/>
  <c r="BI34" i="76"/>
  <c r="BJ34" i="76" s="1"/>
  <c r="BK34" i="76" s="1"/>
  <c r="BL34" i="76" s="1"/>
  <c r="AT34" i="76"/>
  <c r="AU34" i="76" s="1"/>
  <c r="AV34" i="76" s="1"/>
  <c r="AW34" i="76" s="1"/>
  <c r="AH34" i="76"/>
  <c r="AI34" i="76" s="1"/>
  <c r="AJ34" i="76" s="1"/>
  <c r="AL34" i="76" s="1"/>
  <c r="AM35" i="76"/>
  <c r="AX35" i="76"/>
  <c r="S36" i="76"/>
  <c r="BH35" i="76"/>
  <c r="W35" i="76"/>
  <c r="V35" i="76"/>
  <c r="AS35" i="76"/>
  <c r="BC35" i="76"/>
  <c r="AN35" i="76"/>
  <c r="AG35" i="74"/>
  <c r="CL36" i="77"/>
  <c r="N39" i="75"/>
  <c r="O38" i="75"/>
  <c r="AI35" i="77"/>
  <c r="AG35" i="76"/>
  <c r="AI35" i="75"/>
  <c r="BE35" i="77"/>
  <c r="AP35" i="77"/>
  <c r="AO35" i="77"/>
  <c r="AZ35" i="77"/>
  <c r="BJ35" i="77"/>
  <c r="U36" i="77"/>
  <c r="CK35" i="77"/>
  <c r="AU35" i="77"/>
  <c r="X34" i="76"/>
  <c r="AF36" i="74"/>
  <c r="AG36" i="74" s="1"/>
  <c r="AE36" i="74"/>
  <c r="AC36" i="74"/>
  <c r="AP36" i="74"/>
  <c r="AB37" i="74"/>
  <c r="AJ36" i="74"/>
  <c r="CC36" i="74"/>
  <c r="AV36" i="74"/>
  <c r="AD35" i="77"/>
  <c r="AB35" i="76"/>
  <c r="AD35" i="75"/>
  <c r="O38" i="77"/>
  <c r="N39" i="77"/>
  <c r="AM36" i="74" l="1"/>
  <c r="AN36" i="74" s="1"/>
  <c r="AD35" i="76"/>
  <c r="AF35" i="75"/>
  <c r="BP35" i="75" s="1"/>
  <c r="BQ35" i="75" s="1"/>
  <c r="BS35" i="75" s="1"/>
  <c r="AF36" i="77"/>
  <c r="AG36" i="77" s="1"/>
  <c r="Y35" i="77"/>
  <c r="AK35" i="77" s="1"/>
  <c r="AL35" i="77" s="1"/>
  <c r="AN35" i="77" s="1"/>
  <c r="BL34" i="77"/>
  <c r="BM34" i="77" s="1"/>
  <c r="BN34" i="77" s="1"/>
  <c r="Z34" i="77"/>
  <c r="BB34" i="77"/>
  <c r="BC34" i="77" s="1"/>
  <c r="BD34" i="77" s="1"/>
  <c r="BT34" i="77"/>
  <c r="BU34" i="77" s="1"/>
  <c r="BW34" i="77" s="1"/>
  <c r="AW34" i="77"/>
  <c r="AX34" i="77" s="1"/>
  <c r="AY34" i="77" s="1"/>
  <c r="BG34" i="77"/>
  <c r="BH34" i="77" s="1"/>
  <c r="BI34" i="77" s="1"/>
  <c r="AK34" i="77"/>
  <c r="AL34" i="77" s="1"/>
  <c r="AN34" i="77" s="1"/>
  <c r="BT34" i="75"/>
  <c r="BU34" i="75" s="1"/>
  <c r="BB34" i="75"/>
  <c r="BC34" i="75" s="1"/>
  <c r="AK34" i="75"/>
  <c r="AL34" i="75" s="1"/>
  <c r="Z34" i="75"/>
  <c r="AG34" i="75"/>
  <c r="BG34" i="75"/>
  <c r="BH34" i="75" s="1"/>
  <c r="BL34" i="75"/>
  <c r="BM34" i="75" s="1"/>
  <c r="AR34" i="75"/>
  <c r="AS34" i="75" s="1"/>
  <c r="AW34" i="75"/>
  <c r="AX34" i="75" s="1"/>
  <c r="AU35" i="75"/>
  <c r="CL35" i="75"/>
  <c r="BE35" i="75"/>
  <c r="Y35" i="75"/>
  <c r="BJ35" i="75"/>
  <c r="CC35" i="75"/>
  <c r="AZ35" i="75"/>
  <c r="U36" i="75"/>
  <c r="AO35" i="75"/>
  <c r="AP35" i="75"/>
  <c r="N40" i="74"/>
  <c r="L54" i="65" s="1"/>
  <c r="O39" i="74"/>
  <c r="M53" i="65" s="1"/>
  <c r="AN34" i="74"/>
  <c r="AE34" i="76"/>
  <c r="BQ34" i="75"/>
  <c r="BE34" i="74"/>
  <c r="AS34" i="74"/>
  <c r="BO34" i="74"/>
  <c r="CL37" i="77"/>
  <c r="AD36" i="77"/>
  <c r="AB36" i="76"/>
  <c r="AD36" i="75"/>
  <c r="AI36" i="77"/>
  <c r="AG36" i="76"/>
  <c r="AI36" i="75"/>
  <c r="AY35" i="76"/>
  <c r="AZ35" i="76" s="1"/>
  <c r="BA35" i="76" s="1"/>
  <c r="BB35" i="76" s="1"/>
  <c r="BI35" i="76"/>
  <c r="BJ35" i="76" s="1"/>
  <c r="BK35" i="76" s="1"/>
  <c r="BL35" i="76" s="1"/>
  <c r="AT35" i="76"/>
  <c r="AU35" i="76" s="1"/>
  <c r="AV35" i="76" s="1"/>
  <c r="AW35" i="76" s="1"/>
  <c r="AH35" i="76"/>
  <c r="AI35" i="76" s="1"/>
  <c r="AJ35" i="76" s="1"/>
  <c r="AL35" i="76" s="1"/>
  <c r="BD35" i="76"/>
  <c r="BE35" i="76" s="1"/>
  <c r="BF35" i="76" s="1"/>
  <c r="BG35" i="76" s="1"/>
  <c r="AC35" i="76"/>
  <c r="BM35" i="76"/>
  <c r="BN35" i="76" s="1"/>
  <c r="BO35" i="76" s="1"/>
  <c r="AO35" i="76"/>
  <c r="AP35" i="76" s="1"/>
  <c r="AQ35" i="76" s="1"/>
  <c r="AR35" i="76" s="1"/>
  <c r="AP36" i="77"/>
  <c r="AO36" i="77"/>
  <c r="AZ36" i="77"/>
  <c r="AU36" i="77"/>
  <c r="U37" i="77"/>
  <c r="BJ36" i="77"/>
  <c r="BE36" i="77"/>
  <c r="CK36" i="77"/>
  <c r="AB38" i="74"/>
  <c r="AJ37" i="74"/>
  <c r="CC37" i="74"/>
  <c r="AV37" i="74"/>
  <c r="AE37" i="74"/>
  <c r="AC37" i="74"/>
  <c r="AP37" i="74"/>
  <c r="AF37" i="74"/>
  <c r="AG37" i="74" s="1"/>
  <c r="AS36" i="76"/>
  <c r="BC36" i="76"/>
  <c r="AN36" i="76"/>
  <c r="AM36" i="76"/>
  <c r="AX36" i="76"/>
  <c r="S37" i="76"/>
  <c r="BH36" i="76"/>
  <c r="W36" i="76"/>
  <c r="V36" i="76"/>
  <c r="V36" i="77"/>
  <c r="AB36" i="77" s="1"/>
  <c r="T36" i="76"/>
  <c r="Z36" i="76" s="1"/>
  <c r="V36" i="75"/>
  <c r="AB36" i="75" s="1"/>
  <c r="AI36" i="74"/>
  <c r="BP35" i="77"/>
  <c r="BQ35" i="77" s="1"/>
  <c r="BS35" i="77" s="1"/>
  <c r="N40" i="75"/>
  <c r="O39" i="75"/>
  <c r="X35" i="76"/>
  <c r="O39" i="76"/>
  <c r="N40" i="76"/>
  <c r="N40" i="77"/>
  <c r="O39" i="77"/>
  <c r="BH36" i="74"/>
  <c r="BI36" i="74" s="1"/>
  <c r="BJ36" i="74" s="1"/>
  <c r="AQ36" i="74"/>
  <c r="AR36" i="74" s="1"/>
  <c r="AS36" i="74" s="1"/>
  <c r="AU36" i="74" s="1"/>
  <c r="AL36" i="74"/>
  <c r="BM36" i="74"/>
  <c r="BN36" i="74" s="1"/>
  <c r="BO36" i="74" s="1"/>
  <c r="AX36" i="74"/>
  <c r="AY36" i="74" s="1"/>
  <c r="AZ36" i="74" s="1"/>
  <c r="BQ36" i="74"/>
  <c r="BR36" i="74" s="1"/>
  <c r="BS36" i="74" s="1"/>
  <c r="BC36" i="74"/>
  <c r="BD36" i="74" s="1"/>
  <c r="BE36" i="74" s="1"/>
  <c r="CM37" i="75"/>
  <c r="AM37" i="74" l="1"/>
  <c r="AN37" i="74" s="1"/>
  <c r="AD36" i="76"/>
  <c r="AF37" i="77"/>
  <c r="BP37" i="77" s="1"/>
  <c r="BQ37" i="77" s="1"/>
  <c r="BS37" i="77" s="1"/>
  <c r="AF36" i="75"/>
  <c r="BP36" i="75" s="1"/>
  <c r="BQ36" i="75" s="1"/>
  <c r="BS36" i="75" s="1"/>
  <c r="AR35" i="77"/>
  <c r="AS35" i="77" s="1"/>
  <c r="AT35" i="77" s="1"/>
  <c r="BT35" i="77"/>
  <c r="BU35" i="77" s="1"/>
  <c r="BW35" i="77" s="1"/>
  <c r="Z35" i="77"/>
  <c r="Y36" i="77"/>
  <c r="AR36" i="77" s="1"/>
  <c r="AS36" i="77" s="1"/>
  <c r="AT36" i="77" s="1"/>
  <c r="BG35" i="77"/>
  <c r="BH35" i="77" s="1"/>
  <c r="BI35" i="77" s="1"/>
  <c r="BB35" i="77"/>
  <c r="BC35" i="77" s="1"/>
  <c r="BD35" i="77" s="1"/>
  <c r="AW35" i="77"/>
  <c r="AX35" i="77" s="1"/>
  <c r="AY35" i="77" s="1"/>
  <c r="BL35" i="77"/>
  <c r="BM35" i="77" s="1"/>
  <c r="BN35" i="77" s="1"/>
  <c r="AG35" i="75"/>
  <c r="AR35" i="75"/>
  <c r="AS35" i="75" s="1"/>
  <c r="AT35" i="75" s="1"/>
  <c r="BL35" i="75"/>
  <c r="BM35" i="75" s="1"/>
  <c r="BN35" i="75" s="1"/>
  <c r="AK35" i="75"/>
  <c r="AL35" i="75" s="1"/>
  <c r="AN35" i="75" s="1"/>
  <c r="BT35" i="75"/>
  <c r="BU35" i="75" s="1"/>
  <c r="BW35" i="75" s="1"/>
  <c r="Z35" i="75"/>
  <c r="AW35" i="75"/>
  <c r="AX35" i="75" s="1"/>
  <c r="AY35" i="75" s="1"/>
  <c r="BB35" i="75"/>
  <c r="BC35" i="75" s="1"/>
  <c r="BD35" i="75" s="1"/>
  <c r="BG35" i="75"/>
  <c r="BH35" i="75" s="1"/>
  <c r="BI35" i="75" s="1"/>
  <c r="U37" i="75"/>
  <c r="BJ36" i="75"/>
  <c r="AZ36" i="75"/>
  <c r="CC36" i="75"/>
  <c r="AO36" i="75"/>
  <c r="BE36" i="75"/>
  <c r="AP36" i="75"/>
  <c r="AU36" i="75"/>
  <c r="CL36" i="75"/>
  <c r="Y36" i="75"/>
  <c r="Z36" i="75" s="1"/>
  <c r="N41" i="74"/>
  <c r="L55" i="65" s="1"/>
  <c r="O40" i="74"/>
  <c r="M54" i="65" s="1"/>
  <c r="AE35" i="76"/>
  <c r="BI34" i="75"/>
  <c r="BD34" i="75"/>
  <c r="AU34" i="74"/>
  <c r="AT34" i="75"/>
  <c r="AN34" i="75"/>
  <c r="AY34" i="75"/>
  <c r="BN34" i="75"/>
  <c r="BW34" i="75"/>
  <c r="BS34" i="75"/>
  <c r="AI37" i="77"/>
  <c r="AG37" i="76"/>
  <c r="AI37" i="75"/>
  <c r="BP36" i="77"/>
  <c r="BQ36" i="77" s="1"/>
  <c r="BS36" i="77" s="1"/>
  <c r="AD37" i="77"/>
  <c r="AB37" i="76"/>
  <c r="AD37" i="75"/>
  <c r="V37" i="77"/>
  <c r="AB37" i="77" s="1"/>
  <c r="T37" i="76"/>
  <c r="Z37" i="76" s="1"/>
  <c r="V37" i="75"/>
  <c r="AB37" i="75" s="1"/>
  <c r="AI37" i="74"/>
  <c r="AC38" i="74"/>
  <c r="AP38" i="74"/>
  <c r="AB39" i="74"/>
  <c r="AJ38" i="74"/>
  <c r="CC38" i="74"/>
  <c r="AV38" i="74"/>
  <c r="AF38" i="74"/>
  <c r="AG38" i="74" s="1"/>
  <c r="AE38" i="74"/>
  <c r="U38" i="77"/>
  <c r="CK37" i="77"/>
  <c r="AP37" i="77"/>
  <c r="AO37" i="77"/>
  <c r="AZ37" i="77"/>
  <c r="BJ37" i="77"/>
  <c r="AU37" i="77"/>
  <c r="BE37" i="77"/>
  <c r="N41" i="76"/>
  <c r="O40" i="76"/>
  <c r="CM38" i="75"/>
  <c r="AM37" i="76"/>
  <c r="AX37" i="76"/>
  <c r="S38" i="76"/>
  <c r="BH37" i="76"/>
  <c r="W37" i="76"/>
  <c r="V37" i="76"/>
  <c r="AS37" i="76"/>
  <c r="BC37" i="76"/>
  <c r="AN37" i="76"/>
  <c r="O40" i="77"/>
  <c r="N41" i="77"/>
  <c r="BD36" i="76"/>
  <c r="BE36" i="76" s="1"/>
  <c r="BF36" i="76" s="1"/>
  <c r="BG36" i="76" s="1"/>
  <c r="BM36" i="76"/>
  <c r="BN36" i="76" s="1"/>
  <c r="BO36" i="76" s="1"/>
  <c r="AO36" i="76"/>
  <c r="AP36" i="76" s="1"/>
  <c r="AQ36" i="76" s="1"/>
  <c r="AR36" i="76" s="1"/>
  <c r="AC36" i="76"/>
  <c r="AY36" i="76"/>
  <c r="AZ36" i="76" s="1"/>
  <c r="BA36" i="76" s="1"/>
  <c r="BB36" i="76" s="1"/>
  <c r="BI36" i="76"/>
  <c r="BJ36" i="76" s="1"/>
  <c r="BK36" i="76" s="1"/>
  <c r="BL36" i="76" s="1"/>
  <c r="AH36" i="76"/>
  <c r="AI36" i="76" s="1"/>
  <c r="AJ36" i="76" s="1"/>
  <c r="AL36" i="76" s="1"/>
  <c r="AT36" i="76"/>
  <c r="AU36" i="76" s="1"/>
  <c r="AV36" i="76" s="1"/>
  <c r="AW36" i="76" s="1"/>
  <c r="AL37" i="74"/>
  <c r="BM37" i="74"/>
  <c r="BN37" i="74" s="1"/>
  <c r="BO37" i="74" s="1"/>
  <c r="AX37" i="74"/>
  <c r="AY37" i="74" s="1"/>
  <c r="AZ37" i="74" s="1"/>
  <c r="AQ37" i="74"/>
  <c r="AR37" i="74" s="1"/>
  <c r="AS37" i="74" s="1"/>
  <c r="AU37" i="74" s="1"/>
  <c r="BQ37" i="74"/>
  <c r="BR37" i="74" s="1"/>
  <c r="BS37" i="74" s="1"/>
  <c r="BC37" i="74"/>
  <c r="BD37" i="74" s="1"/>
  <c r="BE37" i="74" s="1"/>
  <c r="BH37" i="74"/>
  <c r="BI37" i="74" s="1"/>
  <c r="BJ37" i="74" s="1"/>
  <c r="N41" i="75"/>
  <c r="O40" i="75"/>
  <c r="X36" i="76"/>
  <c r="CL38" i="77"/>
  <c r="AM38" i="74" l="1"/>
  <c r="AN38" i="74" s="1"/>
  <c r="AD37" i="76"/>
  <c r="AF37" i="75"/>
  <c r="AG37" i="75" s="1"/>
  <c r="AF38" i="77"/>
  <c r="BP38" i="77" s="1"/>
  <c r="BQ38" i="77" s="1"/>
  <c r="BS38" i="77" s="1"/>
  <c r="BL36" i="77"/>
  <c r="BM36" i="77" s="1"/>
  <c r="BN36" i="77" s="1"/>
  <c r="BG36" i="77"/>
  <c r="BH36" i="77" s="1"/>
  <c r="BI36" i="77" s="1"/>
  <c r="Z36" i="77"/>
  <c r="Y37" i="77"/>
  <c r="BB37" i="77" s="1"/>
  <c r="BC37" i="77" s="1"/>
  <c r="BD37" i="77" s="1"/>
  <c r="AK36" i="77"/>
  <c r="AL36" i="77" s="1"/>
  <c r="AN36" i="77" s="1"/>
  <c r="BB36" i="77"/>
  <c r="BC36" i="77" s="1"/>
  <c r="BD36" i="77" s="1"/>
  <c r="BT36" i="77"/>
  <c r="BU36" i="77" s="1"/>
  <c r="BW36" i="77" s="1"/>
  <c r="AW36" i="77"/>
  <c r="AX36" i="77" s="1"/>
  <c r="AY36" i="77" s="1"/>
  <c r="AG36" i="75"/>
  <c r="BG36" i="75"/>
  <c r="BH36" i="75" s="1"/>
  <c r="BI36" i="75" s="1"/>
  <c r="AR36" i="75"/>
  <c r="AS36" i="75" s="1"/>
  <c r="AT36" i="75" s="1"/>
  <c r="AW36" i="75"/>
  <c r="AX36" i="75" s="1"/>
  <c r="AY36" i="75" s="1"/>
  <c r="AK36" i="75"/>
  <c r="AL36" i="75" s="1"/>
  <c r="AN36" i="75" s="1"/>
  <c r="BB36" i="75"/>
  <c r="BC36" i="75" s="1"/>
  <c r="BD36" i="75" s="1"/>
  <c r="BL36" i="75"/>
  <c r="BM36" i="75" s="1"/>
  <c r="BN36" i="75" s="1"/>
  <c r="BT36" i="75"/>
  <c r="BU36" i="75" s="1"/>
  <c r="BW36" i="75" s="1"/>
  <c r="CC37" i="75"/>
  <c r="AO37" i="75"/>
  <c r="AP37" i="75"/>
  <c r="BE37" i="75"/>
  <c r="AU37" i="75"/>
  <c r="CL37" i="75"/>
  <c r="Y37" i="75"/>
  <c r="AK37" i="75" s="1"/>
  <c r="AL37" i="75" s="1"/>
  <c r="U38" i="75"/>
  <c r="BJ37" i="75"/>
  <c r="AZ37" i="75"/>
  <c r="N42" i="74"/>
  <c r="L56" i="65" s="1"/>
  <c r="O41" i="74"/>
  <c r="M55" i="65" s="1"/>
  <c r="AE36" i="76"/>
  <c r="AG37" i="77"/>
  <c r="AI38" i="77"/>
  <c r="AG38" i="76"/>
  <c r="AI38" i="75"/>
  <c r="CM39" i="75"/>
  <c r="BJ38" i="77"/>
  <c r="AU38" i="77"/>
  <c r="U39" i="77"/>
  <c r="CK38" i="77"/>
  <c r="AZ38" i="77"/>
  <c r="AP38" i="77"/>
  <c r="AO38" i="77"/>
  <c r="BE38" i="77"/>
  <c r="AF39" i="74"/>
  <c r="AE39" i="74"/>
  <c r="AC39" i="74"/>
  <c r="AP39" i="74"/>
  <c r="AB40" i="74"/>
  <c r="AJ39" i="74"/>
  <c r="CC39" i="74"/>
  <c r="AV39" i="74"/>
  <c r="AQ38" i="74"/>
  <c r="AR38" i="74" s="1"/>
  <c r="AS38" i="74" s="1"/>
  <c r="AU38" i="74" s="1"/>
  <c r="BQ38" i="74"/>
  <c r="BR38" i="74" s="1"/>
  <c r="BS38" i="74" s="1"/>
  <c r="BC38" i="74"/>
  <c r="BD38" i="74" s="1"/>
  <c r="BE38" i="74" s="1"/>
  <c r="AL38" i="74"/>
  <c r="BM38" i="74"/>
  <c r="BN38" i="74" s="1"/>
  <c r="BO38" i="74" s="1"/>
  <c r="AX38" i="74"/>
  <c r="AY38" i="74" s="1"/>
  <c r="AZ38" i="74" s="1"/>
  <c r="BH38" i="74"/>
  <c r="BI38" i="74" s="1"/>
  <c r="BJ38" i="74" s="1"/>
  <c r="AY37" i="76"/>
  <c r="AZ37" i="76" s="1"/>
  <c r="BA37" i="76" s="1"/>
  <c r="BB37" i="76" s="1"/>
  <c r="BI37" i="76"/>
  <c r="BJ37" i="76" s="1"/>
  <c r="BK37" i="76" s="1"/>
  <c r="BL37" i="76" s="1"/>
  <c r="AT37" i="76"/>
  <c r="AU37" i="76" s="1"/>
  <c r="AV37" i="76" s="1"/>
  <c r="AW37" i="76" s="1"/>
  <c r="AH37" i="76"/>
  <c r="AI37" i="76" s="1"/>
  <c r="AJ37" i="76" s="1"/>
  <c r="AL37" i="76" s="1"/>
  <c r="BD37" i="76"/>
  <c r="BE37" i="76" s="1"/>
  <c r="BF37" i="76" s="1"/>
  <c r="BG37" i="76" s="1"/>
  <c r="BM37" i="76"/>
  <c r="BN37" i="76" s="1"/>
  <c r="BO37" i="76" s="1"/>
  <c r="AO37" i="76"/>
  <c r="AP37" i="76" s="1"/>
  <c r="AQ37" i="76" s="1"/>
  <c r="AR37" i="76" s="1"/>
  <c r="AC37" i="76"/>
  <c r="AD38" i="76" s="1"/>
  <c r="AS38" i="76"/>
  <c r="BC38" i="76"/>
  <c r="AN38" i="76"/>
  <c r="AM38" i="76"/>
  <c r="AX38" i="76"/>
  <c r="S39" i="76"/>
  <c r="BH38" i="76"/>
  <c r="W38" i="76"/>
  <c r="X38" i="76" s="1"/>
  <c r="V38" i="76"/>
  <c r="O41" i="77"/>
  <c r="N42" i="77"/>
  <c r="V38" i="77"/>
  <c r="AB38" i="77" s="1"/>
  <c r="T38" i="76"/>
  <c r="Z38" i="76" s="1"/>
  <c r="V38" i="75"/>
  <c r="AB38" i="75" s="1"/>
  <c r="AI38" i="74"/>
  <c r="X37" i="76"/>
  <c r="O41" i="76"/>
  <c r="N42" i="76"/>
  <c r="N42" i="75"/>
  <c r="O41" i="75"/>
  <c r="AD38" i="77"/>
  <c r="AB38" i="76"/>
  <c r="AD38" i="75"/>
  <c r="CL39" i="77"/>
  <c r="AM39" i="74" l="1"/>
  <c r="AF39" i="77"/>
  <c r="BP39" i="77" s="1"/>
  <c r="BQ39" i="77" s="1"/>
  <c r="BS39" i="77" s="1"/>
  <c r="AF38" i="75"/>
  <c r="AG38" i="75" s="1"/>
  <c r="BP37" i="75"/>
  <c r="BQ37" i="75" s="1"/>
  <c r="BS37" i="75" s="1"/>
  <c r="Z37" i="77"/>
  <c r="AK37" i="77"/>
  <c r="AL37" i="77" s="1"/>
  <c r="AN37" i="77" s="1"/>
  <c r="AW37" i="77"/>
  <c r="AX37" i="77" s="1"/>
  <c r="AY37" i="77" s="1"/>
  <c r="BG37" i="77"/>
  <c r="BH37" i="77" s="1"/>
  <c r="BI37" i="77" s="1"/>
  <c r="Y38" i="77"/>
  <c r="Z38" i="77" s="1"/>
  <c r="BL37" i="77"/>
  <c r="BM37" i="77" s="1"/>
  <c r="BN37" i="77" s="1"/>
  <c r="BT37" i="77"/>
  <c r="BU37" i="77" s="1"/>
  <c r="BW37" i="77" s="1"/>
  <c r="AR37" i="77"/>
  <c r="AS37" i="77" s="1"/>
  <c r="AT37" i="77" s="1"/>
  <c r="BG37" i="75"/>
  <c r="BH37" i="75" s="1"/>
  <c r="BI37" i="75" s="1"/>
  <c r="BT37" i="75"/>
  <c r="BU37" i="75" s="1"/>
  <c r="BW37" i="75" s="1"/>
  <c r="AN37" i="75"/>
  <c r="Y38" i="75"/>
  <c r="AK38" i="75" s="1"/>
  <c r="AL38" i="75" s="1"/>
  <c r="BB37" i="75"/>
  <c r="BC37" i="75" s="1"/>
  <c r="BD37" i="75" s="1"/>
  <c r="AW37" i="75"/>
  <c r="AX37" i="75" s="1"/>
  <c r="AY37" i="75" s="1"/>
  <c r="AR37" i="75"/>
  <c r="AS37" i="75" s="1"/>
  <c r="AT37" i="75" s="1"/>
  <c r="BL37" i="75"/>
  <c r="BM37" i="75" s="1"/>
  <c r="BN37" i="75" s="1"/>
  <c r="Z37" i="75"/>
  <c r="CC38" i="75"/>
  <c r="U39" i="75"/>
  <c r="AZ38" i="75"/>
  <c r="BE38" i="75"/>
  <c r="BJ38" i="75"/>
  <c r="AO38" i="75"/>
  <c r="AP38" i="75"/>
  <c r="CL38" i="75"/>
  <c r="AU38" i="75"/>
  <c r="N43" i="74"/>
  <c r="L57" i="65" s="1"/>
  <c r="O42" i="74"/>
  <c r="M56" i="65" s="1"/>
  <c r="AE37" i="76"/>
  <c r="AG38" i="77"/>
  <c r="BJ39" i="77"/>
  <c r="AU39" i="77"/>
  <c r="U40" i="77"/>
  <c r="CK39" i="77"/>
  <c r="BE39" i="77"/>
  <c r="AZ39" i="77"/>
  <c r="AP39" i="77"/>
  <c r="AO39" i="77"/>
  <c r="AG39" i="74"/>
  <c r="AI39" i="77"/>
  <c r="AG39" i="76"/>
  <c r="AI39" i="75"/>
  <c r="V39" i="77"/>
  <c r="AB39" i="77" s="1"/>
  <c r="T39" i="76"/>
  <c r="Z39" i="76" s="1"/>
  <c r="V39" i="75"/>
  <c r="AB39" i="75" s="1"/>
  <c r="AI39" i="74"/>
  <c r="N43" i="76"/>
  <c r="O42" i="76"/>
  <c r="CL40" i="77"/>
  <c r="AD39" i="77"/>
  <c r="AB39" i="76"/>
  <c r="AD39" i="75"/>
  <c r="BH39" i="74"/>
  <c r="BI39" i="74" s="1"/>
  <c r="BJ39" i="74" s="1"/>
  <c r="AQ39" i="74"/>
  <c r="AR39" i="74" s="1"/>
  <c r="AS39" i="74" s="1"/>
  <c r="AU39" i="74" s="1"/>
  <c r="BQ39" i="74"/>
  <c r="BR39" i="74" s="1"/>
  <c r="BS39" i="74" s="1"/>
  <c r="BC39" i="74"/>
  <c r="BD39" i="74" s="1"/>
  <c r="BE39" i="74" s="1"/>
  <c r="AL39" i="74"/>
  <c r="BM39" i="74"/>
  <c r="BN39" i="74" s="1"/>
  <c r="BO39" i="74" s="1"/>
  <c r="AX39" i="74"/>
  <c r="AY39" i="74" s="1"/>
  <c r="AZ39" i="74" s="1"/>
  <c r="BD38" i="76"/>
  <c r="BE38" i="76" s="1"/>
  <c r="BF38" i="76" s="1"/>
  <c r="BG38" i="76" s="1"/>
  <c r="BM38" i="76"/>
  <c r="BN38" i="76" s="1"/>
  <c r="BO38" i="76" s="1"/>
  <c r="AO38" i="76"/>
  <c r="AP38" i="76" s="1"/>
  <c r="AQ38" i="76" s="1"/>
  <c r="AR38" i="76" s="1"/>
  <c r="AC38" i="76"/>
  <c r="AD39" i="76" s="1"/>
  <c r="AY38" i="76"/>
  <c r="AZ38" i="76" s="1"/>
  <c r="BA38" i="76" s="1"/>
  <c r="BB38" i="76" s="1"/>
  <c r="BI38" i="76"/>
  <c r="BJ38" i="76" s="1"/>
  <c r="BK38" i="76" s="1"/>
  <c r="BL38" i="76" s="1"/>
  <c r="AT38" i="76"/>
  <c r="AU38" i="76" s="1"/>
  <c r="AV38" i="76" s="1"/>
  <c r="AW38" i="76" s="1"/>
  <c r="AH38" i="76"/>
  <c r="AI38" i="76" s="1"/>
  <c r="AJ38" i="76" s="1"/>
  <c r="AL38" i="76" s="1"/>
  <c r="AB41" i="74"/>
  <c r="AJ40" i="74"/>
  <c r="CC40" i="74"/>
  <c r="AV40" i="74"/>
  <c r="AF40" i="74"/>
  <c r="AG40" i="74" s="1"/>
  <c r="AE40" i="74"/>
  <c r="AC40" i="74"/>
  <c r="AP40" i="74"/>
  <c r="AN39" i="76"/>
  <c r="AM39" i="76"/>
  <c r="AX39" i="76"/>
  <c r="S40" i="76"/>
  <c r="BH39" i="76"/>
  <c r="W39" i="76"/>
  <c r="X39" i="76" s="1"/>
  <c r="V39" i="76"/>
  <c r="AS39" i="76"/>
  <c r="BC39" i="76"/>
  <c r="N43" i="75"/>
  <c r="O42" i="75"/>
  <c r="N43" i="77"/>
  <c r="O42" i="77"/>
  <c r="CM40" i="75"/>
  <c r="AM40" i="74" l="1"/>
  <c r="AN40" i="74" s="1"/>
  <c r="AR38" i="77"/>
  <c r="AS38" i="77" s="1"/>
  <c r="AT38" i="77" s="1"/>
  <c r="BG38" i="77"/>
  <c r="BH38" i="77" s="1"/>
  <c r="BI38" i="77" s="1"/>
  <c r="AW38" i="77"/>
  <c r="AX38" i="77" s="1"/>
  <c r="AY38" i="77" s="1"/>
  <c r="BT38" i="77"/>
  <c r="BU38" i="77" s="1"/>
  <c r="BW38" i="77" s="1"/>
  <c r="AK38" i="77"/>
  <c r="AL38" i="77" s="1"/>
  <c r="AN38" i="77" s="1"/>
  <c r="Y39" i="77"/>
  <c r="BG39" i="77" s="1"/>
  <c r="BH39" i="77" s="1"/>
  <c r="BI39" i="77" s="1"/>
  <c r="BB38" i="77"/>
  <c r="BC38" i="77" s="1"/>
  <c r="BD38" i="77" s="1"/>
  <c r="AF39" i="75"/>
  <c r="BP39" i="75" s="1"/>
  <c r="BQ39" i="75" s="1"/>
  <c r="BS39" i="75" s="1"/>
  <c r="AF40" i="77"/>
  <c r="BP40" i="77" s="1"/>
  <c r="BQ40" i="77" s="1"/>
  <c r="BS40" i="77" s="1"/>
  <c r="BL38" i="77"/>
  <c r="BM38" i="77" s="1"/>
  <c r="BN38" i="77" s="1"/>
  <c r="BB38" i="75"/>
  <c r="BC38" i="75" s="1"/>
  <c r="BD38" i="75" s="1"/>
  <c r="AR38" i="75"/>
  <c r="AS38" i="75" s="1"/>
  <c r="AT38" i="75" s="1"/>
  <c r="AW38" i="75"/>
  <c r="AX38" i="75" s="1"/>
  <c r="AY38" i="75" s="1"/>
  <c r="Z38" i="75"/>
  <c r="BL38" i="75"/>
  <c r="BM38" i="75" s="1"/>
  <c r="BN38" i="75" s="1"/>
  <c r="BG38" i="75"/>
  <c r="BH38" i="75" s="1"/>
  <c r="BI38" i="75" s="1"/>
  <c r="AN38" i="75"/>
  <c r="BP38" i="75"/>
  <c r="BQ38" i="75" s="1"/>
  <c r="BS38" i="75" s="1"/>
  <c r="BT38" i="75"/>
  <c r="BU38" i="75" s="1"/>
  <c r="BW38" i="75" s="1"/>
  <c r="AZ39" i="75"/>
  <c r="CL39" i="75"/>
  <c r="BE39" i="75"/>
  <c r="AU39" i="75"/>
  <c r="U40" i="75"/>
  <c r="Y39" i="75"/>
  <c r="BJ39" i="75"/>
  <c r="CC39" i="75"/>
  <c r="AO39" i="75"/>
  <c r="AP39" i="75"/>
  <c r="N44" i="74"/>
  <c r="L58" i="65" s="1"/>
  <c r="O43" i="74"/>
  <c r="M57" i="65" s="1"/>
  <c r="AN39" i="74"/>
  <c r="AE38" i="76"/>
  <c r="AG39" i="77"/>
  <c r="W40" i="76"/>
  <c r="X40" i="76" s="1"/>
  <c r="V40" i="76"/>
  <c r="AS40" i="76"/>
  <c r="BC40" i="76"/>
  <c r="AN40" i="76"/>
  <c r="AM40" i="76"/>
  <c r="AX40" i="76"/>
  <c r="S41" i="76"/>
  <c r="BH40" i="76"/>
  <c r="V40" i="77"/>
  <c r="AB40" i="77" s="1"/>
  <c r="T40" i="76"/>
  <c r="Z40" i="76" s="1"/>
  <c r="V40" i="75"/>
  <c r="AB40" i="75" s="1"/>
  <c r="AI40" i="74"/>
  <c r="O43" i="77"/>
  <c r="N44" i="77"/>
  <c r="O43" i="75"/>
  <c r="N44" i="75"/>
  <c r="O43" i="76"/>
  <c r="N44" i="76"/>
  <c r="BJ40" i="77"/>
  <c r="AU40" i="77"/>
  <c r="U41" i="77"/>
  <c r="CK40" i="77"/>
  <c r="AP40" i="77"/>
  <c r="AO40" i="77"/>
  <c r="BE40" i="77"/>
  <c r="AZ40" i="77"/>
  <c r="AL40" i="74"/>
  <c r="BM40" i="74"/>
  <c r="BN40" i="74" s="1"/>
  <c r="BO40" i="74" s="1"/>
  <c r="AX40" i="74"/>
  <c r="AY40" i="74" s="1"/>
  <c r="AZ40" i="74" s="1"/>
  <c r="BH40" i="74"/>
  <c r="BI40" i="74" s="1"/>
  <c r="BJ40" i="74" s="1"/>
  <c r="AQ40" i="74"/>
  <c r="AR40" i="74" s="1"/>
  <c r="AS40" i="74" s="1"/>
  <c r="AU40" i="74" s="1"/>
  <c r="BQ40" i="74"/>
  <c r="BR40" i="74" s="1"/>
  <c r="BS40" i="74" s="1"/>
  <c r="BC40" i="74"/>
  <c r="BD40" i="74" s="1"/>
  <c r="BE40" i="74" s="1"/>
  <c r="AP41" i="74"/>
  <c r="AB42" i="74"/>
  <c r="AJ41" i="74"/>
  <c r="CC41" i="74"/>
  <c r="AV41" i="74"/>
  <c r="AF41" i="74"/>
  <c r="AE41" i="74"/>
  <c r="AC41" i="74"/>
  <c r="AD40" i="77"/>
  <c r="AB40" i="76"/>
  <c r="AD40" i="75"/>
  <c r="CM41" i="75"/>
  <c r="AI40" i="77"/>
  <c r="AG40" i="76"/>
  <c r="AI40" i="75"/>
  <c r="AY39" i="76"/>
  <c r="AZ39" i="76" s="1"/>
  <c r="BA39" i="76" s="1"/>
  <c r="BB39" i="76" s="1"/>
  <c r="BI39" i="76"/>
  <c r="BJ39" i="76" s="1"/>
  <c r="BK39" i="76" s="1"/>
  <c r="BL39" i="76" s="1"/>
  <c r="AT39" i="76"/>
  <c r="AU39" i="76" s="1"/>
  <c r="AV39" i="76" s="1"/>
  <c r="AW39" i="76" s="1"/>
  <c r="AH39" i="76"/>
  <c r="AI39" i="76" s="1"/>
  <c r="AJ39" i="76" s="1"/>
  <c r="AL39" i="76" s="1"/>
  <c r="BD39" i="76"/>
  <c r="BE39" i="76" s="1"/>
  <c r="BF39" i="76" s="1"/>
  <c r="BG39" i="76" s="1"/>
  <c r="BM39" i="76"/>
  <c r="BN39" i="76" s="1"/>
  <c r="BO39" i="76" s="1"/>
  <c r="AO39" i="76"/>
  <c r="AP39" i="76" s="1"/>
  <c r="AQ39" i="76" s="1"/>
  <c r="AR39" i="76" s="1"/>
  <c r="AC39" i="76"/>
  <c r="AD40" i="76" s="1"/>
  <c r="CL41" i="77"/>
  <c r="AM41" i="74" l="1"/>
  <c r="AN41" i="74" s="1"/>
  <c r="BT39" i="77"/>
  <c r="BU39" i="77" s="1"/>
  <c r="BW39" i="77" s="1"/>
  <c r="BB39" i="77"/>
  <c r="BC39" i="77" s="1"/>
  <c r="BD39" i="77" s="1"/>
  <c r="Y40" i="77"/>
  <c r="BB40" i="77" s="1"/>
  <c r="BC40" i="77" s="1"/>
  <c r="BD40" i="77" s="1"/>
  <c r="Z39" i="77"/>
  <c r="AR39" i="77"/>
  <c r="AS39" i="77" s="1"/>
  <c r="AT39" i="77" s="1"/>
  <c r="AW39" i="77"/>
  <c r="AX39" i="77" s="1"/>
  <c r="AY39" i="77" s="1"/>
  <c r="AK39" i="77"/>
  <c r="AL39" i="77" s="1"/>
  <c r="AN39" i="77" s="1"/>
  <c r="BL39" i="77"/>
  <c r="BM39" i="77" s="1"/>
  <c r="BN39" i="77" s="1"/>
  <c r="AF41" i="77"/>
  <c r="BP41" i="77" s="1"/>
  <c r="BQ41" i="77" s="1"/>
  <c r="BS41" i="77" s="1"/>
  <c r="AF40" i="75"/>
  <c r="BP40" i="75" s="1"/>
  <c r="BQ40" i="75" s="1"/>
  <c r="BS40" i="75" s="1"/>
  <c r="BG39" i="75"/>
  <c r="BH39" i="75" s="1"/>
  <c r="BI39" i="75" s="1"/>
  <c r="Z39" i="75"/>
  <c r="AK39" i="75"/>
  <c r="AL39" i="75" s="1"/>
  <c r="AN39" i="75" s="1"/>
  <c r="BL39" i="75"/>
  <c r="BM39" i="75" s="1"/>
  <c r="BN39" i="75" s="1"/>
  <c r="AR39" i="75"/>
  <c r="AS39" i="75" s="1"/>
  <c r="AT39" i="75" s="1"/>
  <c r="BT39" i="75"/>
  <c r="BU39" i="75" s="1"/>
  <c r="BW39" i="75" s="1"/>
  <c r="AW39" i="75"/>
  <c r="AX39" i="75" s="1"/>
  <c r="AY39" i="75" s="1"/>
  <c r="BB39" i="75"/>
  <c r="BC39" i="75" s="1"/>
  <c r="BD39" i="75" s="1"/>
  <c r="AG39" i="75"/>
  <c r="BE40" i="75"/>
  <c r="AO40" i="75"/>
  <c r="AP40" i="75"/>
  <c r="AU40" i="75"/>
  <c r="Y40" i="75"/>
  <c r="AK40" i="75" s="1"/>
  <c r="AL40" i="75" s="1"/>
  <c r="BJ40" i="75"/>
  <c r="CL40" i="75"/>
  <c r="U41" i="75"/>
  <c r="CC40" i="75"/>
  <c r="AZ40" i="75"/>
  <c r="O44" i="74"/>
  <c r="M58" i="65" s="1"/>
  <c r="N45" i="74"/>
  <c r="L59" i="65" s="1"/>
  <c r="AE39" i="76"/>
  <c r="AW40" i="77"/>
  <c r="AX40" i="77" s="1"/>
  <c r="AY40" i="77" s="1"/>
  <c r="BJ41" i="77"/>
  <c r="U42" i="77"/>
  <c r="AU41" i="77"/>
  <c r="CK41" i="77"/>
  <c r="AZ41" i="77"/>
  <c r="AP41" i="77"/>
  <c r="AO41" i="77"/>
  <c r="BE41" i="77"/>
  <c r="CL42" i="77"/>
  <c r="AT40" i="76"/>
  <c r="AU40" i="76" s="1"/>
  <c r="AV40" i="76" s="1"/>
  <c r="AW40" i="76" s="1"/>
  <c r="AH40" i="76"/>
  <c r="AI40" i="76" s="1"/>
  <c r="AJ40" i="76" s="1"/>
  <c r="AL40" i="76" s="1"/>
  <c r="BD40" i="76"/>
  <c r="BE40" i="76" s="1"/>
  <c r="BF40" i="76" s="1"/>
  <c r="BG40" i="76" s="1"/>
  <c r="BM40" i="76"/>
  <c r="BN40" i="76" s="1"/>
  <c r="BO40" i="76" s="1"/>
  <c r="AO40" i="76"/>
  <c r="AP40" i="76" s="1"/>
  <c r="AQ40" i="76" s="1"/>
  <c r="AR40" i="76" s="1"/>
  <c r="AC40" i="76"/>
  <c r="AD41" i="76" s="1"/>
  <c r="AY40" i="76"/>
  <c r="AZ40" i="76" s="1"/>
  <c r="BA40" i="76" s="1"/>
  <c r="BB40" i="76" s="1"/>
  <c r="BI40" i="76"/>
  <c r="BJ40" i="76" s="1"/>
  <c r="BK40" i="76" s="1"/>
  <c r="BL40" i="76" s="1"/>
  <c r="N45" i="76"/>
  <c r="O44" i="76"/>
  <c r="BQ41" i="74"/>
  <c r="BR41" i="74" s="1"/>
  <c r="BS41" i="74" s="1"/>
  <c r="BC41" i="74"/>
  <c r="BD41" i="74" s="1"/>
  <c r="BE41" i="74" s="1"/>
  <c r="AL41" i="74"/>
  <c r="BM41" i="74"/>
  <c r="BN41" i="74" s="1"/>
  <c r="BO41" i="74" s="1"/>
  <c r="AX41" i="74"/>
  <c r="AY41" i="74" s="1"/>
  <c r="AZ41" i="74" s="1"/>
  <c r="BH41" i="74"/>
  <c r="BI41" i="74" s="1"/>
  <c r="BJ41" i="74" s="1"/>
  <c r="AQ41" i="74"/>
  <c r="AR41" i="74" s="1"/>
  <c r="AS41" i="74" s="1"/>
  <c r="AU41" i="74" s="1"/>
  <c r="O44" i="77"/>
  <c r="N45" i="77"/>
  <c r="AD41" i="77"/>
  <c r="AB41" i="76"/>
  <c r="AD41" i="75"/>
  <c r="AG41" i="74"/>
  <c r="AE42" i="74"/>
  <c r="AC42" i="74"/>
  <c r="AP42" i="74"/>
  <c r="AB43" i="74"/>
  <c r="AJ42" i="74"/>
  <c r="CC42" i="74"/>
  <c r="AV42" i="74"/>
  <c r="AF42" i="74"/>
  <c r="V41" i="77"/>
  <c r="AB41" i="77" s="1"/>
  <c r="T41" i="76"/>
  <c r="Z41" i="76" s="1"/>
  <c r="V41" i="75"/>
  <c r="AB41" i="75" s="1"/>
  <c r="AI41" i="74"/>
  <c r="AG40" i="77"/>
  <c r="N45" i="75"/>
  <c r="O44" i="75"/>
  <c r="CM42" i="75"/>
  <c r="AI41" i="77"/>
  <c r="AG41" i="76"/>
  <c r="AI41" i="75"/>
  <c r="AN41" i="76"/>
  <c r="AM41" i="76"/>
  <c r="AX41" i="76"/>
  <c r="S42" i="76"/>
  <c r="BH41" i="76"/>
  <c r="W41" i="76"/>
  <c r="X41" i="76" s="1"/>
  <c r="V41" i="76"/>
  <c r="AS41" i="76"/>
  <c r="BC41" i="76"/>
  <c r="AM42" i="74" l="1"/>
  <c r="AK40" i="77"/>
  <c r="AL40" i="77" s="1"/>
  <c r="AN40" i="77" s="1"/>
  <c r="Z40" i="77"/>
  <c r="AR40" i="77"/>
  <c r="AS40" i="77" s="1"/>
  <c r="AT40" i="77" s="1"/>
  <c r="Y41" i="77"/>
  <c r="BT41" i="77" s="1"/>
  <c r="BU41" i="77" s="1"/>
  <c r="BW41" i="77" s="1"/>
  <c r="BG40" i="77"/>
  <c r="BH40" i="77" s="1"/>
  <c r="BI40" i="77" s="1"/>
  <c r="BL40" i="77"/>
  <c r="BM40" i="77" s="1"/>
  <c r="BN40" i="77" s="1"/>
  <c r="BT40" i="77"/>
  <c r="BU40" i="77" s="1"/>
  <c r="BW40" i="77" s="1"/>
  <c r="AO41" i="75"/>
  <c r="AF41" i="75"/>
  <c r="AG41" i="75" s="1"/>
  <c r="AF42" i="77"/>
  <c r="AG42" i="77" s="1"/>
  <c r="AG40" i="75"/>
  <c r="AN40" i="75"/>
  <c r="BB40" i="75"/>
  <c r="BC40" i="75" s="1"/>
  <c r="BD40" i="75" s="1"/>
  <c r="AR40" i="75"/>
  <c r="AS40" i="75" s="1"/>
  <c r="AT40" i="75" s="1"/>
  <c r="BG40" i="75"/>
  <c r="BH40" i="75" s="1"/>
  <c r="BI40" i="75" s="1"/>
  <c r="BL40" i="75"/>
  <c r="BM40" i="75" s="1"/>
  <c r="BN40" i="75" s="1"/>
  <c r="BT40" i="75"/>
  <c r="BU40" i="75" s="1"/>
  <c r="BW40" i="75" s="1"/>
  <c r="Z40" i="75"/>
  <c r="AW40" i="75"/>
  <c r="AX40" i="75" s="1"/>
  <c r="AY40" i="75" s="1"/>
  <c r="CC41" i="75"/>
  <c r="AP41" i="75"/>
  <c r="U42" i="75"/>
  <c r="BE41" i="75"/>
  <c r="AU41" i="75"/>
  <c r="CL41" i="75"/>
  <c r="BJ41" i="75"/>
  <c r="Y41" i="75"/>
  <c r="Z41" i="75" s="1"/>
  <c r="AZ41" i="75"/>
  <c r="N46" i="74"/>
  <c r="L60" i="65" s="1"/>
  <c r="O45" i="74"/>
  <c r="M59" i="65" s="1"/>
  <c r="AE40" i="76"/>
  <c r="AG41" i="77"/>
  <c r="CM43" i="75"/>
  <c r="V42" i="77"/>
  <c r="AB42" i="77" s="1"/>
  <c r="T42" i="76"/>
  <c r="Z42" i="76" s="1"/>
  <c r="V42" i="75"/>
  <c r="AB42" i="75" s="1"/>
  <c r="AI42" i="74"/>
  <c r="BJ42" i="77"/>
  <c r="AU42" i="77"/>
  <c r="U43" i="77"/>
  <c r="CK42" i="77"/>
  <c r="BE42" i="77"/>
  <c r="AP42" i="77"/>
  <c r="AZ42" i="77"/>
  <c r="AO42" i="77"/>
  <c r="CC43" i="74"/>
  <c r="AV43" i="74"/>
  <c r="AF43" i="74"/>
  <c r="AG43" i="74" s="1"/>
  <c r="AE43" i="74"/>
  <c r="AC43" i="74"/>
  <c r="AP43" i="74"/>
  <c r="AB44" i="74"/>
  <c r="AJ43" i="74"/>
  <c r="AD42" i="77"/>
  <c r="AB42" i="76"/>
  <c r="AD42" i="75"/>
  <c r="AQ42" i="74"/>
  <c r="AR42" i="74" s="1"/>
  <c r="AS42" i="74" s="1"/>
  <c r="AU42" i="74" s="1"/>
  <c r="BQ42" i="74"/>
  <c r="BR42" i="74" s="1"/>
  <c r="BS42" i="74" s="1"/>
  <c r="BC42" i="74"/>
  <c r="BD42" i="74" s="1"/>
  <c r="BE42" i="74" s="1"/>
  <c r="AL42" i="74"/>
  <c r="BM42" i="74"/>
  <c r="BN42" i="74" s="1"/>
  <c r="BO42" i="74" s="1"/>
  <c r="AX42" i="74"/>
  <c r="AY42" i="74" s="1"/>
  <c r="AZ42" i="74" s="1"/>
  <c r="BH42" i="74"/>
  <c r="BI42" i="74" s="1"/>
  <c r="BJ42" i="74" s="1"/>
  <c r="N46" i="76"/>
  <c r="O45" i="76"/>
  <c r="CL43" i="77"/>
  <c r="BM41" i="76"/>
  <c r="BN41" i="76" s="1"/>
  <c r="BO41" i="76" s="1"/>
  <c r="AO41" i="76"/>
  <c r="AP41" i="76" s="1"/>
  <c r="AQ41" i="76" s="1"/>
  <c r="AR41" i="76" s="1"/>
  <c r="AC41" i="76"/>
  <c r="AD42" i="76" s="1"/>
  <c r="AY41" i="76"/>
  <c r="AZ41" i="76" s="1"/>
  <c r="BA41" i="76" s="1"/>
  <c r="BB41" i="76" s="1"/>
  <c r="BI41" i="76"/>
  <c r="BJ41" i="76" s="1"/>
  <c r="BK41" i="76" s="1"/>
  <c r="BL41" i="76" s="1"/>
  <c r="AT41" i="76"/>
  <c r="AU41" i="76" s="1"/>
  <c r="AV41" i="76" s="1"/>
  <c r="AW41" i="76" s="1"/>
  <c r="AH41" i="76"/>
  <c r="AI41" i="76" s="1"/>
  <c r="AJ41" i="76" s="1"/>
  <c r="AL41" i="76" s="1"/>
  <c r="BD41" i="76"/>
  <c r="BE41" i="76" s="1"/>
  <c r="BF41" i="76" s="1"/>
  <c r="BG41" i="76" s="1"/>
  <c r="N46" i="75"/>
  <c r="O45" i="75"/>
  <c r="AG42" i="74"/>
  <c r="S43" i="76"/>
  <c r="BH42" i="76"/>
  <c r="W42" i="76"/>
  <c r="X42" i="76" s="1"/>
  <c r="V42" i="76"/>
  <c r="AS42" i="76"/>
  <c r="BC42" i="76"/>
  <c r="AN42" i="76"/>
  <c r="AM42" i="76"/>
  <c r="AX42" i="76"/>
  <c r="AI42" i="77"/>
  <c r="AG42" i="76"/>
  <c r="AI42" i="75"/>
  <c r="O45" i="77"/>
  <c r="N46" i="77"/>
  <c r="AM43" i="74" l="1"/>
  <c r="AR41" i="77"/>
  <c r="AS41" i="77" s="1"/>
  <c r="AT41" i="77" s="1"/>
  <c r="Z41" i="77"/>
  <c r="AK41" i="77"/>
  <c r="AL41" i="77" s="1"/>
  <c r="AN41" i="77" s="1"/>
  <c r="BG41" i="77"/>
  <c r="BH41" i="77" s="1"/>
  <c r="BI41" i="77" s="1"/>
  <c r="AW41" i="77"/>
  <c r="AX41" i="77" s="1"/>
  <c r="AY41" i="77" s="1"/>
  <c r="BL41" i="77"/>
  <c r="BM41" i="77" s="1"/>
  <c r="BN41" i="77" s="1"/>
  <c r="Y42" i="77"/>
  <c r="BB42" i="77" s="1"/>
  <c r="BC42" i="77" s="1"/>
  <c r="BD42" i="77" s="1"/>
  <c r="BB41" i="77"/>
  <c r="BC41" i="77" s="1"/>
  <c r="BD41" i="77" s="1"/>
  <c r="AF43" i="77"/>
  <c r="AG43" i="77" s="1"/>
  <c r="AF42" i="75"/>
  <c r="AG42" i="75" s="1"/>
  <c r="AK41" i="75"/>
  <c r="AL41" i="75" s="1"/>
  <c r="AN41" i="75" s="1"/>
  <c r="BT41" i="75"/>
  <c r="BU41" i="75" s="1"/>
  <c r="BW41" i="75" s="1"/>
  <c r="BL41" i="75"/>
  <c r="BM41" i="75" s="1"/>
  <c r="BN41" i="75" s="1"/>
  <c r="BP41" i="75"/>
  <c r="BQ41" i="75" s="1"/>
  <c r="BS41" i="75" s="1"/>
  <c r="AR41" i="75"/>
  <c r="AS41" i="75" s="1"/>
  <c r="AT41" i="75" s="1"/>
  <c r="BG41" i="75"/>
  <c r="BH41" i="75" s="1"/>
  <c r="BI41" i="75" s="1"/>
  <c r="BB41" i="75"/>
  <c r="BC41" i="75" s="1"/>
  <c r="BD41" i="75" s="1"/>
  <c r="AW41" i="75"/>
  <c r="AX41" i="75" s="1"/>
  <c r="AY41" i="75" s="1"/>
  <c r="U43" i="75"/>
  <c r="O46" i="74"/>
  <c r="M60" i="65" s="1"/>
  <c r="N47" i="74"/>
  <c r="L61" i="65" s="1"/>
  <c r="BJ42" i="75"/>
  <c r="Y42" i="75"/>
  <c r="Z42" i="75" s="1"/>
  <c r="CC42" i="75"/>
  <c r="AZ42" i="75"/>
  <c r="AO42" i="75"/>
  <c r="AP42" i="75"/>
  <c r="BE42" i="75"/>
  <c r="AU42" i="75"/>
  <c r="CL42" i="75"/>
  <c r="AN43" i="74"/>
  <c r="AN42" i="74"/>
  <c r="AE41" i="76"/>
  <c r="O46" i="77"/>
  <c r="N47" i="77"/>
  <c r="N47" i="76"/>
  <c r="O46" i="76"/>
  <c r="AD43" i="77"/>
  <c r="AB43" i="76"/>
  <c r="AD43" i="75"/>
  <c r="BH43" i="74"/>
  <c r="BI43" i="74" s="1"/>
  <c r="BJ43" i="74" s="1"/>
  <c r="AQ43" i="74"/>
  <c r="AR43" i="74" s="1"/>
  <c r="AS43" i="74" s="1"/>
  <c r="AU43" i="74" s="1"/>
  <c r="BQ43" i="74"/>
  <c r="BR43" i="74" s="1"/>
  <c r="BS43" i="74" s="1"/>
  <c r="BC43" i="74"/>
  <c r="BD43" i="74" s="1"/>
  <c r="BE43" i="74" s="1"/>
  <c r="AL43" i="74"/>
  <c r="BM43" i="74"/>
  <c r="BN43" i="74" s="1"/>
  <c r="BO43" i="74" s="1"/>
  <c r="AX43" i="74"/>
  <c r="AY43" i="74" s="1"/>
  <c r="AZ43" i="74" s="1"/>
  <c r="V43" i="77"/>
  <c r="AB43" i="77" s="1"/>
  <c r="T43" i="76"/>
  <c r="Z43" i="76" s="1"/>
  <c r="V43" i="75"/>
  <c r="AB43" i="75" s="1"/>
  <c r="AI43" i="74"/>
  <c r="N47" i="75"/>
  <c r="O46" i="75"/>
  <c r="BP42" i="77"/>
  <c r="BQ42" i="77" s="1"/>
  <c r="BS42" i="77" s="1"/>
  <c r="BJ43" i="77"/>
  <c r="AU43" i="77"/>
  <c r="U44" i="77"/>
  <c r="CK43" i="77"/>
  <c r="BE43" i="77"/>
  <c r="AP43" i="77"/>
  <c r="AO43" i="77"/>
  <c r="AZ43" i="77"/>
  <c r="BC43" i="76"/>
  <c r="AN43" i="76"/>
  <c r="AM43" i="76"/>
  <c r="AX43" i="76"/>
  <c r="S44" i="76"/>
  <c r="BH43" i="76"/>
  <c r="W43" i="76"/>
  <c r="V43" i="76"/>
  <c r="AS43" i="76"/>
  <c r="AI43" i="77"/>
  <c r="AG43" i="76"/>
  <c r="AI43" i="75"/>
  <c r="AT42" i="76"/>
  <c r="AU42" i="76" s="1"/>
  <c r="AV42" i="76" s="1"/>
  <c r="AW42" i="76" s="1"/>
  <c r="AH42" i="76"/>
  <c r="AI42" i="76" s="1"/>
  <c r="AJ42" i="76" s="1"/>
  <c r="AL42" i="76" s="1"/>
  <c r="BD42" i="76"/>
  <c r="BE42" i="76" s="1"/>
  <c r="BF42" i="76" s="1"/>
  <c r="BG42" i="76" s="1"/>
  <c r="BM42" i="76"/>
  <c r="BN42" i="76" s="1"/>
  <c r="BO42" i="76" s="1"/>
  <c r="AO42" i="76"/>
  <c r="AP42" i="76" s="1"/>
  <c r="AQ42" i="76" s="1"/>
  <c r="AR42" i="76" s="1"/>
  <c r="AC42" i="76"/>
  <c r="AD43" i="76" s="1"/>
  <c r="AY42" i="76"/>
  <c r="AZ42" i="76" s="1"/>
  <c r="BA42" i="76" s="1"/>
  <c r="BB42" i="76" s="1"/>
  <c r="BI42" i="76"/>
  <c r="BJ42" i="76" s="1"/>
  <c r="BK42" i="76" s="1"/>
  <c r="BL42" i="76" s="1"/>
  <c r="AB45" i="74"/>
  <c r="AJ44" i="74"/>
  <c r="CC44" i="74"/>
  <c r="AV44" i="74"/>
  <c r="AF44" i="74"/>
  <c r="AG44" i="74" s="1"/>
  <c r="AE44" i="74"/>
  <c r="AC44" i="74"/>
  <c r="AP44" i="74"/>
  <c r="CM44" i="75"/>
  <c r="CL44" i="77"/>
  <c r="AM44" i="74" l="1"/>
  <c r="BT42" i="77"/>
  <c r="BU42" i="77" s="1"/>
  <c r="BW42" i="77" s="1"/>
  <c r="Y43" i="77"/>
  <c r="Z43" i="77" s="1"/>
  <c r="AK42" i="77"/>
  <c r="AL42" i="77" s="1"/>
  <c r="AN42" i="77" s="1"/>
  <c r="BL42" i="77"/>
  <c r="BM42" i="77" s="1"/>
  <c r="BN42" i="77" s="1"/>
  <c r="AW42" i="77"/>
  <c r="AX42" i="77" s="1"/>
  <c r="AY42" i="77" s="1"/>
  <c r="AR42" i="77"/>
  <c r="AS42" i="77" s="1"/>
  <c r="AT42" i="77" s="1"/>
  <c r="BG42" i="77"/>
  <c r="BH42" i="77" s="1"/>
  <c r="BI42" i="77" s="1"/>
  <c r="Z42" i="77"/>
  <c r="AF43" i="75"/>
  <c r="AG43" i="75" s="1"/>
  <c r="AF44" i="77"/>
  <c r="BP44" i="77" s="1"/>
  <c r="BQ44" i="77" s="1"/>
  <c r="BS44" i="77" s="1"/>
  <c r="BP42" i="75"/>
  <c r="BQ42" i="75" s="1"/>
  <c r="BS42" i="75" s="1"/>
  <c r="BL42" i="75"/>
  <c r="BM42" i="75" s="1"/>
  <c r="BN42" i="75" s="1"/>
  <c r="AK42" i="75"/>
  <c r="AL42" i="75" s="1"/>
  <c r="AN42" i="75" s="1"/>
  <c r="BT42" i="75"/>
  <c r="BU42" i="75" s="1"/>
  <c r="BW42" i="75" s="1"/>
  <c r="BB42" i="75"/>
  <c r="BC42" i="75" s="1"/>
  <c r="BD42" i="75" s="1"/>
  <c r="AR42" i="75"/>
  <c r="AS42" i="75" s="1"/>
  <c r="AT42" i="75" s="1"/>
  <c r="BG42" i="75"/>
  <c r="BH42" i="75" s="1"/>
  <c r="BI42" i="75" s="1"/>
  <c r="AW42" i="75"/>
  <c r="AX42" i="75" s="1"/>
  <c r="AY42" i="75" s="1"/>
  <c r="CL43" i="75"/>
  <c r="U44" i="75"/>
  <c r="Y43" i="75"/>
  <c r="AK43" i="75" s="1"/>
  <c r="AL43" i="75" s="1"/>
  <c r="BJ43" i="75"/>
  <c r="CC43" i="75"/>
  <c r="AZ43" i="75"/>
  <c r="BE43" i="75"/>
  <c r="AO43" i="75"/>
  <c r="AU43" i="75"/>
  <c r="AP43" i="75"/>
  <c r="N48" i="74"/>
  <c r="L62" i="65" s="1"/>
  <c r="O47" i="74"/>
  <c r="M61" i="65" s="1"/>
  <c r="AN44" i="74"/>
  <c r="AE42" i="76"/>
  <c r="CM45" i="75"/>
  <c r="BM43" i="76"/>
  <c r="BN43" i="76" s="1"/>
  <c r="BO43" i="76" s="1"/>
  <c r="AO43" i="76"/>
  <c r="AP43" i="76" s="1"/>
  <c r="AQ43" i="76" s="1"/>
  <c r="AR43" i="76" s="1"/>
  <c r="AC43" i="76"/>
  <c r="AD44" i="76" s="1"/>
  <c r="AY43" i="76"/>
  <c r="AZ43" i="76" s="1"/>
  <c r="BA43" i="76" s="1"/>
  <c r="BB43" i="76" s="1"/>
  <c r="BI43" i="76"/>
  <c r="BJ43" i="76" s="1"/>
  <c r="BK43" i="76" s="1"/>
  <c r="BL43" i="76" s="1"/>
  <c r="AT43" i="76"/>
  <c r="AU43" i="76" s="1"/>
  <c r="AV43" i="76" s="1"/>
  <c r="AW43" i="76" s="1"/>
  <c r="AH43" i="76"/>
  <c r="AI43" i="76" s="1"/>
  <c r="AJ43" i="76" s="1"/>
  <c r="AL43" i="76" s="1"/>
  <c r="BD43" i="76"/>
  <c r="BE43" i="76" s="1"/>
  <c r="BF43" i="76" s="1"/>
  <c r="BG43" i="76" s="1"/>
  <c r="V44" i="77"/>
  <c r="AB44" i="77" s="1"/>
  <c r="T44" i="76"/>
  <c r="Z44" i="76" s="1"/>
  <c r="V44" i="75"/>
  <c r="AB44" i="75" s="1"/>
  <c r="AI44" i="74"/>
  <c r="AL44" i="74"/>
  <c r="AM45" i="74" s="1"/>
  <c r="BM44" i="74"/>
  <c r="BN44" i="74" s="1"/>
  <c r="BO44" i="74" s="1"/>
  <c r="AX44" i="74"/>
  <c r="AY44" i="74" s="1"/>
  <c r="AZ44" i="74" s="1"/>
  <c r="BH44" i="74"/>
  <c r="BI44" i="74" s="1"/>
  <c r="BJ44" i="74" s="1"/>
  <c r="AQ44" i="74"/>
  <c r="AR44" i="74" s="1"/>
  <c r="AS44" i="74" s="1"/>
  <c r="AU44" i="74" s="1"/>
  <c r="BQ44" i="74"/>
  <c r="BR44" i="74" s="1"/>
  <c r="BS44" i="74" s="1"/>
  <c r="BC44" i="74"/>
  <c r="BD44" i="74" s="1"/>
  <c r="BE44" i="74" s="1"/>
  <c r="N48" i="76"/>
  <c r="O47" i="76"/>
  <c r="AK43" i="77"/>
  <c r="AL43" i="77" s="1"/>
  <c r="AN43" i="77" s="1"/>
  <c r="AR43" i="77"/>
  <c r="AS43" i="77" s="1"/>
  <c r="AT43" i="77" s="1"/>
  <c r="BP43" i="77"/>
  <c r="BQ43" i="77" s="1"/>
  <c r="BS43" i="77" s="1"/>
  <c r="AW43" i="77"/>
  <c r="AX43" i="77" s="1"/>
  <c r="AY43" i="77" s="1"/>
  <c r="N48" i="75"/>
  <c r="O47" i="75"/>
  <c r="CL45" i="77"/>
  <c r="AC45" i="74"/>
  <c r="AP45" i="74"/>
  <c r="AB46" i="74"/>
  <c r="AJ45" i="74"/>
  <c r="CC45" i="74"/>
  <c r="AV45" i="74"/>
  <c r="AF45" i="74"/>
  <c r="AG45" i="74" s="1"/>
  <c r="AE45" i="74"/>
  <c r="X43" i="76"/>
  <c r="N48" i="77"/>
  <c r="O47" i="77"/>
  <c r="AI44" i="77"/>
  <c r="AG44" i="76"/>
  <c r="AI44" i="75"/>
  <c r="BB43" i="77"/>
  <c r="BC43" i="77" s="1"/>
  <c r="BD43" i="77" s="1"/>
  <c r="AX44" i="76"/>
  <c r="S45" i="76"/>
  <c r="BH44" i="76"/>
  <c r="W44" i="76"/>
  <c r="V44" i="76"/>
  <c r="AS44" i="76"/>
  <c r="BC44" i="76"/>
  <c r="AN44" i="76"/>
  <c r="AM44" i="76"/>
  <c r="AD44" i="77"/>
  <c r="AB44" i="76"/>
  <c r="AD44" i="75"/>
  <c r="BJ44" i="77"/>
  <c r="U45" i="77"/>
  <c r="AU44" i="77"/>
  <c r="CK44" i="77"/>
  <c r="BE44" i="77"/>
  <c r="AP44" i="77"/>
  <c r="AZ44" i="77"/>
  <c r="AO44" i="77"/>
  <c r="BL43" i="77" l="1"/>
  <c r="BM43" i="77" s="1"/>
  <c r="BN43" i="77" s="1"/>
  <c r="BG43" i="77"/>
  <c r="BH43" i="77" s="1"/>
  <c r="BI43" i="77" s="1"/>
  <c r="BT43" i="77"/>
  <c r="BU43" i="77" s="1"/>
  <c r="BW43" i="77" s="1"/>
  <c r="Y44" i="77"/>
  <c r="AW44" i="77" s="1"/>
  <c r="AX44" i="77" s="1"/>
  <c r="AY44" i="77" s="1"/>
  <c r="AF45" i="77"/>
  <c r="AO44" i="75"/>
  <c r="AF44" i="75"/>
  <c r="AG44" i="75" s="1"/>
  <c r="BP43" i="75"/>
  <c r="BQ43" i="75" s="1"/>
  <c r="BS43" i="75" s="1"/>
  <c r="BE44" i="75"/>
  <c r="AU44" i="75"/>
  <c r="CL44" i="75"/>
  <c r="BJ44" i="75"/>
  <c r="BG43" i="75"/>
  <c r="BH43" i="75" s="1"/>
  <c r="BI43" i="75" s="1"/>
  <c r="BT43" i="75"/>
  <c r="BU43" i="75" s="1"/>
  <c r="BW43" i="75" s="1"/>
  <c r="BB43" i="75"/>
  <c r="BC43" i="75" s="1"/>
  <c r="BD43" i="75" s="1"/>
  <c r="Z43" i="75"/>
  <c r="BL43" i="75"/>
  <c r="BM43" i="75" s="1"/>
  <c r="BN43" i="75" s="1"/>
  <c r="U45" i="75"/>
  <c r="Y44" i="75"/>
  <c r="AW43" i="75"/>
  <c r="AX43" i="75" s="1"/>
  <c r="AY43" i="75" s="1"/>
  <c r="AR43" i="75"/>
  <c r="AS43" i="75" s="1"/>
  <c r="AT43" i="75" s="1"/>
  <c r="AN43" i="75"/>
  <c r="CC44" i="75"/>
  <c r="AZ44" i="75"/>
  <c r="AP44" i="75"/>
  <c r="O48" i="74"/>
  <c r="M62" i="65" s="1"/>
  <c r="N49" i="74"/>
  <c r="L63" i="65" s="1"/>
  <c r="AE43" i="76"/>
  <c r="BL44" i="77"/>
  <c r="BM44" i="77" s="1"/>
  <c r="BN44" i="77" s="1"/>
  <c r="AG44" i="77"/>
  <c r="AK44" i="77"/>
  <c r="AL44" i="77" s="1"/>
  <c r="AN44" i="77" s="1"/>
  <c r="BB44" i="77"/>
  <c r="BC44" i="77" s="1"/>
  <c r="BD44" i="77" s="1"/>
  <c r="BG44" i="77"/>
  <c r="BH44" i="77" s="1"/>
  <c r="BI44" i="77" s="1"/>
  <c r="Y45" i="77"/>
  <c r="AU45" i="77"/>
  <c r="U46" i="77"/>
  <c r="CK45" i="77"/>
  <c r="BE45" i="77"/>
  <c r="AP45" i="77"/>
  <c r="AO45" i="77"/>
  <c r="BJ45" i="77"/>
  <c r="AZ45" i="77"/>
  <c r="BC45" i="76"/>
  <c r="AN45" i="76"/>
  <c r="AM45" i="76"/>
  <c r="AX45" i="76"/>
  <c r="S46" i="76"/>
  <c r="BH45" i="76"/>
  <c r="W45" i="76"/>
  <c r="X45" i="76" s="1"/>
  <c r="V45" i="76"/>
  <c r="AS45" i="76"/>
  <c r="V45" i="77"/>
  <c r="AB45" i="77" s="1"/>
  <c r="T45" i="76"/>
  <c r="Z45" i="76" s="1"/>
  <c r="V45" i="75"/>
  <c r="AB45" i="75" s="1"/>
  <c r="AI45" i="74"/>
  <c r="CM46" i="75"/>
  <c r="O48" i="76"/>
  <c r="N49" i="76"/>
  <c r="X44" i="76"/>
  <c r="AD45" i="77"/>
  <c r="AB45" i="76"/>
  <c r="AD45" i="75"/>
  <c r="CL46" i="77"/>
  <c r="O48" i="77"/>
  <c r="N49" i="77"/>
  <c r="BI44" i="76"/>
  <c r="BJ44" i="76" s="1"/>
  <c r="BK44" i="76" s="1"/>
  <c r="BL44" i="76" s="1"/>
  <c r="AT44" i="76"/>
  <c r="AU44" i="76" s="1"/>
  <c r="AV44" i="76" s="1"/>
  <c r="AW44" i="76" s="1"/>
  <c r="AH44" i="76"/>
  <c r="AI44" i="76" s="1"/>
  <c r="AJ44" i="76" s="1"/>
  <c r="AL44" i="76" s="1"/>
  <c r="BD44" i="76"/>
  <c r="BE44" i="76" s="1"/>
  <c r="BF44" i="76" s="1"/>
  <c r="BG44" i="76" s="1"/>
  <c r="BM44" i="76"/>
  <c r="BN44" i="76" s="1"/>
  <c r="BO44" i="76" s="1"/>
  <c r="AO44" i="76"/>
  <c r="AP44" i="76" s="1"/>
  <c r="AQ44" i="76" s="1"/>
  <c r="AR44" i="76" s="1"/>
  <c r="AC44" i="76"/>
  <c r="AD45" i="76" s="1"/>
  <c r="AY44" i="76"/>
  <c r="AZ44" i="76" s="1"/>
  <c r="BA44" i="76" s="1"/>
  <c r="BB44" i="76" s="1"/>
  <c r="AQ45" i="74"/>
  <c r="AR45" i="74" s="1"/>
  <c r="AS45" i="74" s="1"/>
  <c r="AU45" i="74" s="1"/>
  <c r="BQ45" i="74"/>
  <c r="BR45" i="74" s="1"/>
  <c r="BS45" i="74" s="1"/>
  <c r="BC45" i="74"/>
  <c r="BD45" i="74" s="1"/>
  <c r="BE45" i="74" s="1"/>
  <c r="AL45" i="74"/>
  <c r="AM46" i="74" s="1"/>
  <c r="BM45" i="74"/>
  <c r="BN45" i="74" s="1"/>
  <c r="BO45" i="74" s="1"/>
  <c r="AX45" i="74"/>
  <c r="AY45" i="74" s="1"/>
  <c r="AZ45" i="74" s="1"/>
  <c r="BH45" i="74"/>
  <c r="BI45" i="74" s="1"/>
  <c r="BJ45" i="74" s="1"/>
  <c r="AI45" i="77"/>
  <c r="AG45" i="76"/>
  <c r="AI45" i="75"/>
  <c r="O48" i="75"/>
  <c r="N49" i="75"/>
  <c r="AR44" i="77"/>
  <c r="AS44" i="77" s="1"/>
  <c r="AT44" i="77" s="1"/>
  <c r="AF46" i="74"/>
  <c r="AG46" i="74" s="1"/>
  <c r="AE46" i="74"/>
  <c r="AC46" i="74"/>
  <c r="AP46" i="74"/>
  <c r="AB47" i="74"/>
  <c r="AJ46" i="74"/>
  <c r="CC46" i="74"/>
  <c r="AV46" i="74"/>
  <c r="Z44" i="77" l="1"/>
  <c r="BT44" i="77"/>
  <c r="BU44" i="77" s="1"/>
  <c r="BW44" i="77" s="1"/>
  <c r="BJ45" i="75"/>
  <c r="AF45" i="75"/>
  <c r="AG45" i="75" s="1"/>
  <c r="AF46" i="77"/>
  <c r="AG46" i="77" s="1"/>
  <c r="AW44" i="75"/>
  <c r="AX44" i="75" s="1"/>
  <c r="AY44" i="75" s="1"/>
  <c r="CC45" i="75"/>
  <c r="AZ45" i="75"/>
  <c r="AO45" i="75"/>
  <c r="BL44" i="75"/>
  <c r="BM44" i="75" s="1"/>
  <c r="BN44" i="75" s="1"/>
  <c r="BG44" i="75"/>
  <c r="BH44" i="75" s="1"/>
  <c r="BI44" i="75" s="1"/>
  <c r="BP44" i="75"/>
  <c r="BQ44" i="75" s="1"/>
  <c r="BS44" i="75" s="1"/>
  <c r="AP45" i="75"/>
  <c r="BE45" i="75"/>
  <c r="AU45" i="75"/>
  <c r="CL45" i="75"/>
  <c r="AK44" i="75"/>
  <c r="AL44" i="75" s="1"/>
  <c r="AN44" i="75" s="1"/>
  <c r="U46" i="75"/>
  <c r="Y45" i="75"/>
  <c r="Z44" i="75"/>
  <c r="BB44" i="75"/>
  <c r="BC44" i="75" s="1"/>
  <c r="BD44" i="75" s="1"/>
  <c r="AR44" i="75"/>
  <c r="AS44" i="75" s="1"/>
  <c r="AT44" i="75" s="1"/>
  <c r="BT44" i="75"/>
  <c r="BU44" i="75" s="1"/>
  <c r="BW44" i="75" s="1"/>
  <c r="N50" i="74"/>
  <c r="L64" i="65" s="1"/>
  <c r="O49" i="74"/>
  <c r="M63" i="65" s="1"/>
  <c r="AN46" i="74"/>
  <c r="AN45" i="74"/>
  <c r="AE44" i="76"/>
  <c r="AR45" i="77"/>
  <c r="AS45" i="77" s="1"/>
  <c r="AT45" i="77" s="1"/>
  <c r="BL45" i="77"/>
  <c r="BM45" i="77" s="1"/>
  <c r="BN45" i="77" s="1"/>
  <c r="BT45" i="77"/>
  <c r="BU45" i="77" s="1"/>
  <c r="BW45" i="77" s="1"/>
  <c r="Z45" i="77"/>
  <c r="BG45" i="77"/>
  <c r="BH45" i="77" s="1"/>
  <c r="BI45" i="77" s="1"/>
  <c r="AW45" i="77"/>
  <c r="AX45" i="77" s="1"/>
  <c r="AY45" i="77" s="1"/>
  <c r="V46" i="77"/>
  <c r="AB46" i="77" s="1"/>
  <c r="T46" i="76"/>
  <c r="Z46" i="76" s="1"/>
  <c r="V46" i="75"/>
  <c r="AB46" i="75" s="1"/>
  <c r="AI46" i="74"/>
  <c r="N50" i="76"/>
  <c r="O49" i="76"/>
  <c r="Y46" i="77"/>
  <c r="AU46" i="77"/>
  <c r="U47" i="77"/>
  <c r="CK46" i="77"/>
  <c r="BE46" i="77"/>
  <c r="AP46" i="77"/>
  <c r="AO46" i="77"/>
  <c r="AZ46" i="77"/>
  <c r="BJ46" i="77"/>
  <c r="BP45" i="77"/>
  <c r="BQ45" i="77" s="1"/>
  <c r="BS45" i="77" s="1"/>
  <c r="N50" i="75"/>
  <c r="O49" i="75"/>
  <c r="AD46" i="77"/>
  <c r="AB46" i="76"/>
  <c r="AD46" i="75"/>
  <c r="BH46" i="74"/>
  <c r="BI46" i="74" s="1"/>
  <c r="BJ46" i="74" s="1"/>
  <c r="AQ46" i="74"/>
  <c r="AR46" i="74" s="1"/>
  <c r="AS46" i="74" s="1"/>
  <c r="AU46" i="74" s="1"/>
  <c r="BQ46" i="74"/>
  <c r="BR46" i="74" s="1"/>
  <c r="BS46" i="74" s="1"/>
  <c r="BC46" i="74"/>
  <c r="BD46" i="74" s="1"/>
  <c r="BE46" i="74" s="1"/>
  <c r="AL46" i="74"/>
  <c r="AM47" i="74" s="1"/>
  <c r="BM46" i="74"/>
  <c r="BN46" i="74" s="1"/>
  <c r="BO46" i="74" s="1"/>
  <c r="AX46" i="74"/>
  <c r="AY46" i="74" s="1"/>
  <c r="AZ46" i="74" s="1"/>
  <c r="AG45" i="77"/>
  <c r="O49" i="77"/>
  <c r="N50" i="77"/>
  <c r="CL47" i="77"/>
  <c r="CM47" i="75"/>
  <c r="AM46" i="76"/>
  <c r="AX46" i="76"/>
  <c r="S47" i="76"/>
  <c r="BH46" i="76"/>
  <c r="W46" i="76"/>
  <c r="V46" i="76"/>
  <c r="AS46" i="76"/>
  <c r="BC46" i="76"/>
  <c r="AN46" i="76"/>
  <c r="BD45" i="76"/>
  <c r="BE45" i="76" s="1"/>
  <c r="BF45" i="76" s="1"/>
  <c r="BG45" i="76" s="1"/>
  <c r="BM45" i="76"/>
  <c r="BN45" i="76" s="1"/>
  <c r="BO45" i="76" s="1"/>
  <c r="AO45" i="76"/>
  <c r="AP45" i="76" s="1"/>
  <c r="AQ45" i="76" s="1"/>
  <c r="AR45" i="76" s="1"/>
  <c r="AC45" i="76"/>
  <c r="AD46" i="76" s="1"/>
  <c r="AY45" i="76"/>
  <c r="AZ45" i="76" s="1"/>
  <c r="BA45" i="76" s="1"/>
  <c r="BB45" i="76" s="1"/>
  <c r="BI45" i="76"/>
  <c r="BJ45" i="76" s="1"/>
  <c r="BK45" i="76" s="1"/>
  <c r="BL45" i="76" s="1"/>
  <c r="AT45" i="76"/>
  <c r="AU45" i="76" s="1"/>
  <c r="AV45" i="76" s="1"/>
  <c r="AW45" i="76" s="1"/>
  <c r="AH45" i="76"/>
  <c r="AI45" i="76" s="1"/>
  <c r="AJ45" i="76" s="1"/>
  <c r="AL45" i="76" s="1"/>
  <c r="AI46" i="77"/>
  <c r="AG46" i="76"/>
  <c r="AI46" i="75"/>
  <c r="BB45" i="77"/>
  <c r="BC45" i="77" s="1"/>
  <c r="BD45" i="77" s="1"/>
  <c r="AK45" i="77"/>
  <c r="AL45" i="77" s="1"/>
  <c r="AN45" i="77" s="1"/>
  <c r="AB48" i="74"/>
  <c r="AJ47" i="74"/>
  <c r="CC47" i="74"/>
  <c r="AV47" i="74"/>
  <c r="AF47" i="74"/>
  <c r="AE47" i="74"/>
  <c r="AC47" i="74"/>
  <c r="AP47" i="74"/>
  <c r="BL45" i="75" l="1"/>
  <c r="BM45" i="75" s="1"/>
  <c r="BN45" i="75" s="1"/>
  <c r="AP46" i="75"/>
  <c r="AF47" i="77"/>
  <c r="AG47" i="77" s="1"/>
  <c r="AF46" i="75"/>
  <c r="BP46" i="75" s="1"/>
  <c r="BQ46" i="75" s="1"/>
  <c r="BS46" i="75" s="1"/>
  <c r="AR45" i="75"/>
  <c r="AS45" i="75" s="1"/>
  <c r="AT45" i="75" s="1"/>
  <c r="AK45" i="75"/>
  <c r="AL45" i="75" s="1"/>
  <c r="AN45" i="75" s="1"/>
  <c r="U47" i="75"/>
  <c r="CL46" i="75"/>
  <c r="BB45" i="75"/>
  <c r="BC45" i="75" s="1"/>
  <c r="BD45" i="75" s="1"/>
  <c r="AW45" i="75"/>
  <c r="AX45" i="75" s="1"/>
  <c r="AY45" i="75" s="1"/>
  <c r="Y46" i="75"/>
  <c r="Z46" i="75" s="1"/>
  <c r="BJ46" i="75"/>
  <c r="CC46" i="75"/>
  <c r="BG45" i="75"/>
  <c r="BH45" i="75" s="1"/>
  <c r="BI45" i="75" s="1"/>
  <c r="AZ46" i="75"/>
  <c r="AO46" i="75"/>
  <c r="BE46" i="75"/>
  <c r="AU46" i="75"/>
  <c r="Z45" i="75"/>
  <c r="BP45" i="75"/>
  <c r="BQ45" i="75" s="1"/>
  <c r="BS45" i="75" s="1"/>
  <c r="N51" i="74"/>
  <c r="L65" i="65" s="1"/>
  <c r="BT45" i="75"/>
  <c r="BU45" i="75" s="1"/>
  <c r="BW45" i="75" s="1"/>
  <c r="O50" i="74"/>
  <c r="M64" i="65" s="1"/>
  <c r="AN47" i="74"/>
  <c r="AE45" i="76"/>
  <c r="BB46" i="77"/>
  <c r="BC46" i="77" s="1"/>
  <c r="BD46" i="77" s="1"/>
  <c r="BP46" i="77"/>
  <c r="BQ46" i="77" s="1"/>
  <c r="BS46" i="77" s="1"/>
  <c r="AI47" i="77"/>
  <c r="AG47" i="76"/>
  <c r="AI47" i="75"/>
  <c r="AW46" i="77"/>
  <c r="AX46" i="77" s="1"/>
  <c r="AY46" i="77" s="1"/>
  <c r="AD47" i="77"/>
  <c r="AB47" i="76"/>
  <c r="AD47" i="75"/>
  <c r="AP48" i="74"/>
  <c r="AB49" i="74"/>
  <c r="AJ48" i="74"/>
  <c r="CC48" i="74"/>
  <c r="AV48" i="74"/>
  <c r="AF48" i="74"/>
  <c r="AE48" i="74"/>
  <c r="AC48" i="74"/>
  <c r="AG47" i="74"/>
  <c r="X46" i="76"/>
  <c r="Z46" i="77"/>
  <c r="AR46" i="77"/>
  <c r="AS46" i="77" s="1"/>
  <c r="AT46" i="77" s="1"/>
  <c r="V47" i="77"/>
  <c r="AB47" i="77" s="1"/>
  <c r="T47" i="76"/>
  <c r="Z47" i="76" s="1"/>
  <c r="V47" i="75"/>
  <c r="AB47" i="75" s="1"/>
  <c r="AI47" i="74"/>
  <c r="Y47" i="77"/>
  <c r="U48" i="77"/>
  <c r="AU47" i="77"/>
  <c r="CK47" i="77"/>
  <c r="BE47" i="77"/>
  <c r="AP47" i="77"/>
  <c r="AO47" i="77"/>
  <c r="BJ47" i="77"/>
  <c r="AZ47" i="77"/>
  <c r="CL48" i="77"/>
  <c r="BG46" i="77"/>
  <c r="BH46" i="77" s="1"/>
  <c r="BI46" i="77" s="1"/>
  <c r="AY46" i="76"/>
  <c r="AZ46" i="76" s="1"/>
  <c r="BA46" i="76" s="1"/>
  <c r="BB46" i="76" s="1"/>
  <c r="BI46" i="76"/>
  <c r="BJ46" i="76" s="1"/>
  <c r="BK46" i="76" s="1"/>
  <c r="BL46" i="76" s="1"/>
  <c r="AT46" i="76"/>
  <c r="AU46" i="76" s="1"/>
  <c r="AV46" i="76" s="1"/>
  <c r="AW46" i="76" s="1"/>
  <c r="AH46" i="76"/>
  <c r="AI46" i="76" s="1"/>
  <c r="AJ46" i="76" s="1"/>
  <c r="AL46" i="76" s="1"/>
  <c r="BD46" i="76"/>
  <c r="BE46" i="76" s="1"/>
  <c r="BF46" i="76" s="1"/>
  <c r="BG46" i="76" s="1"/>
  <c r="AC46" i="76"/>
  <c r="AD47" i="76" s="1"/>
  <c r="BM46" i="76"/>
  <c r="BN46" i="76" s="1"/>
  <c r="BO46" i="76" s="1"/>
  <c r="AO46" i="76"/>
  <c r="AP46" i="76" s="1"/>
  <c r="AQ46" i="76" s="1"/>
  <c r="AR46" i="76" s="1"/>
  <c r="BT46" i="77"/>
  <c r="BU46" i="77" s="1"/>
  <c r="BW46" i="77" s="1"/>
  <c r="O50" i="76"/>
  <c r="N51" i="76"/>
  <c r="AK46" i="77"/>
  <c r="AL46" i="77" s="1"/>
  <c r="AN46" i="77" s="1"/>
  <c r="AL47" i="74"/>
  <c r="AM48" i="74" s="1"/>
  <c r="BM47" i="74"/>
  <c r="BN47" i="74" s="1"/>
  <c r="BO47" i="74" s="1"/>
  <c r="AX47" i="74"/>
  <c r="AY47" i="74" s="1"/>
  <c r="AZ47" i="74" s="1"/>
  <c r="BH47" i="74"/>
  <c r="BI47" i="74" s="1"/>
  <c r="BJ47" i="74" s="1"/>
  <c r="AQ47" i="74"/>
  <c r="AR47" i="74" s="1"/>
  <c r="AS47" i="74" s="1"/>
  <c r="AU47" i="74" s="1"/>
  <c r="BQ47" i="74"/>
  <c r="BR47" i="74" s="1"/>
  <c r="BS47" i="74" s="1"/>
  <c r="BC47" i="74"/>
  <c r="BD47" i="74" s="1"/>
  <c r="BE47" i="74" s="1"/>
  <c r="V47" i="76"/>
  <c r="AS47" i="76"/>
  <c r="BC47" i="76"/>
  <c r="AN47" i="76"/>
  <c r="AM47" i="76"/>
  <c r="AX47" i="76"/>
  <c r="S48" i="76"/>
  <c r="W47" i="76"/>
  <c r="BH47" i="76"/>
  <c r="N51" i="75"/>
  <c r="O50" i="75"/>
  <c r="BL46" i="77"/>
  <c r="BM46" i="77" s="1"/>
  <c r="BN46" i="77" s="1"/>
  <c r="N51" i="77"/>
  <c r="O50" i="77"/>
  <c r="CM48" i="75"/>
  <c r="CL47" i="75" l="1"/>
  <c r="AF47" i="75"/>
  <c r="AF48" i="77"/>
  <c r="BP48" i="77" s="1"/>
  <c r="BQ48" i="77" s="1"/>
  <c r="BS48" i="77" s="1"/>
  <c r="AK46" i="75"/>
  <c r="AL46" i="75" s="1"/>
  <c r="AN46" i="75" s="1"/>
  <c r="AR46" i="75"/>
  <c r="AS46" i="75" s="1"/>
  <c r="AT46" i="75" s="1"/>
  <c r="BL46" i="75"/>
  <c r="BM46" i="75" s="1"/>
  <c r="BN46" i="75" s="1"/>
  <c r="AW46" i="75"/>
  <c r="AX46" i="75" s="1"/>
  <c r="AY46" i="75" s="1"/>
  <c r="Y47" i="75"/>
  <c r="Z47" i="75" s="1"/>
  <c r="BG46" i="75"/>
  <c r="BH46" i="75" s="1"/>
  <c r="BI46" i="75" s="1"/>
  <c r="U48" i="75"/>
  <c r="BJ47" i="75"/>
  <c r="CC47" i="75"/>
  <c r="AZ47" i="75"/>
  <c r="AP47" i="75"/>
  <c r="AO47" i="75"/>
  <c r="BE47" i="75"/>
  <c r="AU47" i="75"/>
  <c r="BB46" i="75"/>
  <c r="BC46" i="75" s="1"/>
  <c r="BD46" i="75" s="1"/>
  <c r="AG46" i="75"/>
  <c r="BT46" i="75"/>
  <c r="BU46" i="75" s="1"/>
  <c r="BW46" i="75" s="1"/>
  <c r="N52" i="74"/>
  <c r="L66" i="65" s="1"/>
  <c r="O51" i="74"/>
  <c r="M65" i="65" s="1"/>
  <c r="AE46" i="76"/>
  <c r="AR47" i="77"/>
  <c r="AS47" i="77" s="1"/>
  <c r="AT47" i="77" s="1"/>
  <c r="Z47" i="77"/>
  <c r="AK47" i="77"/>
  <c r="AL47" i="77" s="1"/>
  <c r="AN47" i="77" s="1"/>
  <c r="BL47" i="77"/>
  <c r="BM47" i="77" s="1"/>
  <c r="BN47" i="77" s="1"/>
  <c r="AW47" i="77"/>
  <c r="AX47" i="77" s="1"/>
  <c r="AY47" i="77" s="1"/>
  <c r="BB47" i="77"/>
  <c r="BC47" i="77" s="1"/>
  <c r="BD47" i="77" s="1"/>
  <c r="BG47" i="77"/>
  <c r="BH47" i="77" s="1"/>
  <c r="BI47" i="77" s="1"/>
  <c r="AN48" i="76"/>
  <c r="AM48" i="76"/>
  <c r="AX48" i="76"/>
  <c r="BH48" i="76"/>
  <c r="S49" i="76"/>
  <c r="W48" i="76"/>
  <c r="X48" i="76" s="1"/>
  <c r="V48" i="76"/>
  <c r="AS48" i="76"/>
  <c r="BC48" i="76"/>
  <c r="AD48" i="77"/>
  <c r="AB48" i="76"/>
  <c r="AD48" i="75"/>
  <c r="AG48" i="74"/>
  <c r="CM49" i="75"/>
  <c r="BP47" i="77"/>
  <c r="BQ47" i="77" s="1"/>
  <c r="BS47" i="77" s="1"/>
  <c r="V48" i="77"/>
  <c r="AB48" i="77" s="1"/>
  <c r="T48" i="76"/>
  <c r="Z48" i="76" s="1"/>
  <c r="V48" i="75"/>
  <c r="AB48" i="75" s="1"/>
  <c r="AI48" i="74"/>
  <c r="AF49" i="74"/>
  <c r="AG49" i="74" s="1"/>
  <c r="AE49" i="74"/>
  <c r="AC49" i="74"/>
  <c r="AP49" i="74"/>
  <c r="AB50" i="74"/>
  <c r="AJ49" i="74"/>
  <c r="CC49" i="74"/>
  <c r="AV49" i="74"/>
  <c r="N52" i="76"/>
  <c r="O51" i="76"/>
  <c r="BT47" i="77"/>
  <c r="BU47" i="77" s="1"/>
  <c r="BW47" i="77" s="1"/>
  <c r="AT47" i="76"/>
  <c r="AU47" i="76" s="1"/>
  <c r="AV47" i="76" s="1"/>
  <c r="AW47" i="76" s="1"/>
  <c r="AH47" i="76"/>
  <c r="AI47" i="76" s="1"/>
  <c r="AJ47" i="76" s="1"/>
  <c r="AL47" i="76" s="1"/>
  <c r="BD47" i="76"/>
  <c r="BE47" i="76" s="1"/>
  <c r="BF47" i="76" s="1"/>
  <c r="BG47" i="76" s="1"/>
  <c r="BM47" i="76"/>
  <c r="BN47" i="76" s="1"/>
  <c r="BO47" i="76" s="1"/>
  <c r="AO47" i="76"/>
  <c r="AP47" i="76" s="1"/>
  <c r="AQ47" i="76" s="1"/>
  <c r="AR47" i="76" s="1"/>
  <c r="AC47" i="76"/>
  <c r="AD48" i="76" s="1"/>
  <c r="AY47" i="76"/>
  <c r="AZ47" i="76" s="1"/>
  <c r="BA47" i="76" s="1"/>
  <c r="BB47" i="76" s="1"/>
  <c r="BI47" i="76"/>
  <c r="BJ47" i="76" s="1"/>
  <c r="BK47" i="76" s="1"/>
  <c r="BL47" i="76" s="1"/>
  <c r="AU48" i="77"/>
  <c r="CK48" i="77"/>
  <c r="U49" i="77"/>
  <c r="BE48" i="77"/>
  <c r="AO48" i="77"/>
  <c r="AZ48" i="77"/>
  <c r="Y48" i="77"/>
  <c r="AP48" i="77"/>
  <c r="BJ48" i="77"/>
  <c r="AI48" i="77"/>
  <c r="AG48" i="76"/>
  <c r="AI48" i="75"/>
  <c r="N52" i="75"/>
  <c r="O51" i="75"/>
  <c r="N52" i="77"/>
  <c r="O51" i="77"/>
  <c r="X47" i="76"/>
  <c r="BQ48" i="74"/>
  <c r="BR48" i="74" s="1"/>
  <c r="BS48" i="74" s="1"/>
  <c r="BC48" i="74"/>
  <c r="BD48" i="74" s="1"/>
  <c r="BE48" i="74" s="1"/>
  <c r="AL48" i="74"/>
  <c r="AM49" i="74" s="1"/>
  <c r="BM48" i="74"/>
  <c r="BN48" i="74" s="1"/>
  <c r="BO48" i="74" s="1"/>
  <c r="AX48" i="74"/>
  <c r="AY48" i="74" s="1"/>
  <c r="AZ48" i="74" s="1"/>
  <c r="BH48" i="74"/>
  <c r="BI48" i="74" s="1"/>
  <c r="BJ48" i="74" s="1"/>
  <c r="AQ48" i="74"/>
  <c r="AR48" i="74" s="1"/>
  <c r="AS48" i="74" s="1"/>
  <c r="AU48" i="74" s="1"/>
  <c r="CL49" i="77"/>
  <c r="AF48" i="75" l="1"/>
  <c r="AG48" i="75" s="1"/>
  <c r="AG47" i="75"/>
  <c r="AF49" i="77"/>
  <c r="BP49" i="77" s="1"/>
  <c r="BQ49" i="77" s="1"/>
  <c r="BS49" i="77" s="1"/>
  <c r="BE48" i="75"/>
  <c r="AR47" i="75"/>
  <c r="AS47" i="75" s="1"/>
  <c r="AT47" i="75" s="1"/>
  <c r="O52" i="74"/>
  <c r="M66" i="65" s="1"/>
  <c r="BL47" i="75"/>
  <c r="BM47" i="75" s="1"/>
  <c r="BN47" i="75" s="1"/>
  <c r="N53" i="74"/>
  <c r="L67" i="65" s="1"/>
  <c r="BG47" i="75"/>
  <c r="BH47" i="75" s="1"/>
  <c r="BI47" i="75" s="1"/>
  <c r="AK47" i="75"/>
  <c r="AL47" i="75" s="1"/>
  <c r="AN47" i="75" s="1"/>
  <c r="BB47" i="75"/>
  <c r="BC47" i="75" s="1"/>
  <c r="BD47" i="75" s="1"/>
  <c r="AW47" i="75"/>
  <c r="AX47" i="75" s="1"/>
  <c r="AY47" i="75" s="1"/>
  <c r="U49" i="75"/>
  <c r="AZ48" i="75"/>
  <c r="Y48" i="75"/>
  <c r="AK48" i="75" s="1"/>
  <c r="AL48" i="75" s="1"/>
  <c r="AP48" i="75"/>
  <c r="AU48" i="75"/>
  <c r="CL48" i="75"/>
  <c r="BJ48" i="75"/>
  <c r="CC48" i="75"/>
  <c r="AO48" i="75"/>
  <c r="BT47" i="75"/>
  <c r="BU47" i="75" s="1"/>
  <c r="BW47" i="75" s="1"/>
  <c r="BP47" i="75"/>
  <c r="BQ47" i="75" s="1"/>
  <c r="BS47" i="75" s="1"/>
  <c r="AN49" i="74"/>
  <c r="AN48" i="74"/>
  <c r="AE47" i="76"/>
  <c r="AG48" i="77"/>
  <c r="AK48" i="77"/>
  <c r="AL48" i="77" s="1"/>
  <c r="AN48" i="77" s="1"/>
  <c r="AW48" i="77"/>
  <c r="AX48" i="77" s="1"/>
  <c r="AY48" i="77" s="1"/>
  <c r="Z48" i="77"/>
  <c r="BG48" i="77"/>
  <c r="BH48" i="77" s="1"/>
  <c r="BI48" i="77" s="1"/>
  <c r="BB48" i="77"/>
  <c r="BC48" i="77" s="1"/>
  <c r="BD48" i="77" s="1"/>
  <c r="AR48" i="77"/>
  <c r="AS48" i="77" s="1"/>
  <c r="AT48" i="77" s="1"/>
  <c r="CL50" i="77"/>
  <c r="AB51" i="74"/>
  <c r="AJ50" i="74"/>
  <c r="CC50" i="74"/>
  <c r="AV50" i="74"/>
  <c r="AF50" i="74"/>
  <c r="AG50" i="74" s="1"/>
  <c r="AE50" i="74"/>
  <c r="AC50" i="74"/>
  <c r="AP50" i="74"/>
  <c r="N53" i="75"/>
  <c r="O52" i="75"/>
  <c r="AY48" i="76"/>
  <c r="AZ48" i="76" s="1"/>
  <c r="BA48" i="76" s="1"/>
  <c r="BB48" i="76" s="1"/>
  <c r="BI48" i="76"/>
  <c r="BJ48" i="76" s="1"/>
  <c r="BK48" i="76" s="1"/>
  <c r="BL48" i="76" s="1"/>
  <c r="AT48" i="76"/>
  <c r="AU48" i="76" s="1"/>
  <c r="AV48" i="76" s="1"/>
  <c r="AW48" i="76" s="1"/>
  <c r="AH48" i="76"/>
  <c r="AI48" i="76" s="1"/>
  <c r="AJ48" i="76" s="1"/>
  <c r="AL48" i="76" s="1"/>
  <c r="BD48" i="76"/>
  <c r="BE48" i="76" s="1"/>
  <c r="BF48" i="76" s="1"/>
  <c r="BG48" i="76" s="1"/>
  <c r="AC48" i="76"/>
  <c r="AD49" i="76" s="1"/>
  <c r="BM48" i="76"/>
  <c r="BN48" i="76" s="1"/>
  <c r="BO48" i="76" s="1"/>
  <c r="AO48" i="76"/>
  <c r="AP48" i="76" s="1"/>
  <c r="AQ48" i="76" s="1"/>
  <c r="AR48" i="76" s="1"/>
  <c r="N53" i="77"/>
  <c r="O52" i="77"/>
  <c r="BL48" i="77"/>
  <c r="BM48" i="77" s="1"/>
  <c r="BN48" i="77" s="1"/>
  <c r="BT48" i="77"/>
  <c r="BU48" i="77" s="1"/>
  <c r="BW48" i="77" s="1"/>
  <c r="AD49" i="77"/>
  <c r="AB49" i="76"/>
  <c r="AD49" i="75"/>
  <c r="BH49" i="74"/>
  <c r="BI49" i="74" s="1"/>
  <c r="BJ49" i="74" s="1"/>
  <c r="AQ49" i="74"/>
  <c r="AR49" i="74" s="1"/>
  <c r="AS49" i="74" s="1"/>
  <c r="AU49" i="74" s="1"/>
  <c r="BQ49" i="74"/>
  <c r="BR49" i="74" s="1"/>
  <c r="BS49" i="74" s="1"/>
  <c r="BC49" i="74"/>
  <c r="BD49" i="74" s="1"/>
  <c r="BE49" i="74" s="1"/>
  <c r="AL49" i="74"/>
  <c r="AM50" i="74" s="1"/>
  <c r="BM49" i="74"/>
  <c r="BN49" i="74" s="1"/>
  <c r="BO49" i="74" s="1"/>
  <c r="AX49" i="74"/>
  <c r="AY49" i="74" s="1"/>
  <c r="AZ49" i="74" s="1"/>
  <c r="CM50" i="75"/>
  <c r="V49" i="77"/>
  <c r="AB49" i="77" s="1"/>
  <c r="T49" i="76"/>
  <c r="Z49" i="76" s="1"/>
  <c r="V49" i="75"/>
  <c r="AB49" i="75" s="1"/>
  <c r="AI49" i="74"/>
  <c r="U50" i="77"/>
  <c r="AU49" i="77"/>
  <c r="CK49" i="77"/>
  <c r="BE49" i="77"/>
  <c r="AZ49" i="77"/>
  <c r="Y49" i="77"/>
  <c r="Z49" i="77" s="1"/>
  <c r="AP49" i="77"/>
  <c r="AO49" i="77"/>
  <c r="BJ49" i="77"/>
  <c r="AI49" i="77"/>
  <c r="AG49" i="76"/>
  <c r="AI49" i="75"/>
  <c r="O52" i="76"/>
  <c r="N53" i="76"/>
  <c r="BH49" i="76"/>
  <c r="W49" i="76"/>
  <c r="X49" i="76" s="1"/>
  <c r="V49" i="76"/>
  <c r="AS49" i="76"/>
  <c r="BC49" i="76"/>
  <c r="AN49" i="76"/>
  <c r="AM49" i="76"/>
  <c r="S50" i="76"/>
  <c r="AX49" i="76"/>
  <c r="BJ49" i="75" l="1"/>
  <c r="AF49" i="75"/>
  <c r="AG49" i="75" s="1"/>
  <c r="AF50" i="77"/>
  <c r="BP50" i="77" s="1"/>
  <c r="BQ50" i="77" s="1"/>
  <c r="BS50" i="77" s="1"/>
  <c r="Z48" i="75"/>
  <c r="BG48" i="75"/>
  <c r="BH48" i="75" s="1"/>
  <c r="BI48" i="75" s="1"/>
  <c r="BL48" i="75"/>
  <c r="BM48" i="75" s="1"/>
  <c r="BN48" i="75" s="1"/>
  <c r="AW48" i="75"/>
  <c r="AX48" i="75" s="1"/>
  <c r="AY48" i="75" s="1"/>
  <c r="N54" i="74"/>
  <c r="L68" i="65" s="1"/>
  <c r="O53" i="74"/>
  <c r="M67" i="65" s="1"/>
  <c r="U50" i="75"/>
  <c r="CL49" i="75"/>
  <c r="AU49" i="75"/>
  <c r="CC49" i="75"/>
  <c r="AZ49" i="75"/>
  <c r="AO49" i="75"/>
  <c r="AP49" i="75"/>
  <c r="BE49" i="75"/>
  <c r="AR48" i="75"/>
  <c r="AS48" i="75" s="1"/>
  <c r="AT48" i="75" s="1"/>
  <c r="BB48" i="75"/>
  <c r="BC48" i="75" s="1"/>
  <c r="BD48" i="75" s="1"/>
  <c r="BP48" i="75"/>
  <c r="BQ48" i="75" s="1"/>
  <c r="BS48" i="75" s="1"/>
  <c r="AN48" i="75"/>
  <c r="Y49" i="75"/>
  <c r="AK49" i="75" s="1"/>
  <c r="AL49" i="75" s="1"/>
  <c r="BT48" i="75"/>
  <c r="BU48" i="75" s="1"/>
  <c r="BW48" i="75" s="1"/>
  <c r="AN50" i="74"/>
  <c r="BG49" i="77"/>
  <c r="BH49" i="77" s="1"/>
  <c r="BI49" i="77" s="1"/>
  <c r="BB49" i="77"/>
  <c r="BC49" i="77" s="1"/>
  <c r="BD49" i="77" s="1"/>
  <c r="BL49" i="77"/>
  <c r="BM49" i="77" s="1"/>
  <c r="BN49" i="77" s="1"/>
  <c r="AR49" i="77"/>
  <c r="AS49" i="77" s="1"/>
  <c r="AT49" i="77" s="1"/>
  <c r="AG49" i="77"/>
  <c r="AW49" i="77"/>
  <c r="AX49" i="77" s="1"/>
  <c r="AY49" i="77" s="1"/>
  <c r="AK49" i="77"/>
  <c r="AL49" i="77" s="1"/>
  <c r="AN49" i="77" s="1"/>
  <c r="V50" i="77"/>
  <c r="AB50" i="77" s="1"/>
  <c r="T50" i="76"/>
  <c r="Z50" i="76" s="1"/>
  <c r="V50" i="75"/>
  <c r="AB50" i="75" s="1"/>
  <c r="AI50" i="74"/>
  <c r="AT49" i="76"/>
  <c r="AU49" i="76" s="1"/>
  <c r="AV49" i="76" s="1"/>
  <c r="AW49" i="76" s="1"/>
  <c r="AH49" i="76"/>
  <c r="AI49" i="76" s="1"/>
  <c r="AJ49" i="76" s="1"/>
  <c r="AL49" i="76" s="1"/>
  <c r="BD49" i="76"/>
  <c r="BE49" i="76" s="1"/>
  <c r="BF49" i="76" s="1"/>
  <c r="BG49" i="76" s="1"/>
  <c r="BM49" i="76"/>
  <c r="BN49" i="76" s="1"/>
  <c r="BO49" i="76" s="1"/>
  <c r="AO49" i="76"/>
  <c r="AP49" i="76" s="1"/>
  <c r="AQ49" i="76" s="1"/>
  <c r="AR49" i="76" s="1"/>
  <c r="AC49" i="76"/>
  <c r="AD50" i="76" s="1"/>
  <c r="AY49" i="76"/>
  <c r="AZ49" i="76" s="1"/>
  <c r="BA49" i="76" s="1"/>
  <c r="BB49" i="76" s="1"/>
  <c r="BI49" i="76"/>
  <c r="BJ49" i="76" s="1"/>
  <c r="BK49" i="76" s="1"/>
  <c r="BL49" i="76" s="1"/>
  <c r="AP51" i="74"/>
  <c r="AB52" i="74"/>
  <c r="AJ51" i="74"/>
  <c r="CC51" i="74"/>
  <c r="AV51" i="74"/>
  <c r="AF51" i="74"/>
  <c r="AG51" i="74" s="1"/>
  <c r="AE51" i="74"/>
  <c r="AC51" i="74"/>
  <c r="AL50" i="74"/>
  <c r="AM51" i="74" s="1"/>
  <c r="BM50" i="74"/>
  <c r="BN50" i="74" s="1"/>
  <c r="BO50" i="74" s="1"/>
  <c r="AX50" i="74"/>
  <c r="AY50" i="74" s="1"/>
  <c r="AZ50" i="74" s="1"/>
  <c r="BH50" i="74"/>
  <c r="BI50" i="74" s="1"/>
  <c r="BJ50" i="74" s="1"/>
  <c r="AQ50" i="74"/>
  <c r="AR50" i="74" s="1"/>
  <c r="AS50" i="74" s="1"/>
  <c r="AU50" i="74" s="1"/>
  <c r="BQ50" i="74"/>
  <c r="BR50" i="74" s="1"/>
  <c r="BS50" i="74" s="1"/>
  <c r="BC50" i="74"/>
  <c r="BD50" i="74" s="1"/>
  <c r="BE50" i="74" s="1"/>
  <c r="CM51" i="75"/>
  <c r="AD50" i="77"/>
  <c r="AB50" i="76"/>
  <c r="AD50" i="75"/>
  <c r="BT49" i="77"/>
  <c r="BU49" i="77" s="1"/>
  <c r="BW49" i="77" s="1"/>
  <c r="O53" i="77"/>
  <c r="N54" i="77"/>
  <c r="CL51" i="77"/>
  <c r="AN50" i="76"/>
  <c r="AM50" i="76"/>
  <c r="AX50" i="76"/>
  <c r="S51" i="76"/>
  <c r="BH50" i="76"/>
  <c r="W50" i="76"/>
  <c r="V50" i="76"/>
  <c r="AS50" i="76"/>
  <c r="BC50" i="76"/>
  <c r="U51" i="77"/>
  <c r="CK50" i="77"/>
  <c r="BE50" i="77"/>
  <c r="AP50" i="77"/>
  <c r="BJ50" i="77"/>
  <c r="AZ50" i="77"/>
  <c r="Y50" i="77"/>
  <c r="AU50" i="77"/>
  <c r="AO50" i="77"/>
  <c r="N54" i="76"/>
  <c r="O53" i="76"/>
  <c r="N54" i="75"/>
  <c r="O53" i="75"/>
  <c r="AI50" i="77"/>
  <c r="AG50" i="76"/>
  <c r="AI50" i="75"/>
  <c r="O54" i="74" l="1"/>
  <c r="M68" i="65" s="1"/>
  <c r="AF51" i="77"/>
  <c r="AG51" i="77" s="1"/>
  <c r="AF50" i="75"/>
  <c r="BP50" i="75" s="1"/>
  <c r="BQ50" i="75" s="1"/>
  <c r="BS50" i="75" s="1"/>
  <c r="CC50" i="75"/>
  <c r="N55" i="74"/>
  <c r="L69" i="65" s="1"/>
  <c r="BJ50" i="75"/>
  <c r="AZ50" i="75"/>
  <c r="AO50" i="75"/>
  <c r="AP50" i="75"/>
  <c r="BE50" i="75"/>
  <c r="AU50" i="75"/>
  <c r="CL50" i="75"/>
  <c r="U51" i="75"/>
  <c r="AN49" i="75"/>
  <c r="BG49" i="75"/>
  <c r="BH49" i="75" s="1"/>
  <c r="BI49" i="75" s="1"/>
  <c r="Y50" i="75"/>
  <c r="Z49" i="75"/>
  <c r="BB49" i="75"/>
  <c r="BC49" i="75" s="1"/>
  <c r="BD49" i="75" s="1"/>
  <c r="AW49" i="75"/>
  <c r="AX49" i="75" s="1"/>
  <c r="AY49" i="75" s="1"/>
  <c r="AR49" i="75"/>
  <c r="AS49" i="75" s="1"/>
  <c r="AT49" i="75" s="1"/>
  <c r="BL49" i="75"/>
  <c r="BM49" i="75" s="1"/>
  <c r="BN49" i="75" s="1"/>
  <c r="BP49" i="75"/>
  <c r="BQ49" i="75" s="1"/>
  <c r="BS49" i="75" s="1"/>
  <c r="BT49" i="75"/>
  <c r="BU49" i="75" s="1"/>
  <c r="BW49" i="75" s="1"/>
  <c r="AE48" i="76"/>
  <c r="AE49" i="76"/>
  <c r="AR50" i="77"/>
  <c r="AS50" i="77" s="1"/>
  <c r="AT50" i="77" s="1"/>
  <c r="BL50" i="77"/>
  <c r="BM50" i="77" s="1"/>
  <c r="BN50" i="77" s="1"/>
  <c r="BG50" i="77"/>
  <c r="BH50" i="77" s="1"/>
  <c r="BI50" i="77" s="1"/>
  <c r="AG50" i="77"/>
  <c r="AK50" i="77"/>
  <c r="AL50" i="77" s="1"/>
  <c r="AN50" i="77" s="1"/>
  <c r="CM52" i="75"/>
  <c r="Z50" i="77"/>
  <c r="BB50" i="77"/>
  <c r="BC50" i="77" s="1"/>
  <c r="BD50" i="77" s="1"/>
  <c r="N55" i="77"/>
  <c r="O54" i="77"/>
  <c r="AI51" i="77"/>
  <c r="AG51" i="76"/>
  <c r="AI51" i="75"/>
  <c r="V51" i="77"/>
  <c r="AB51" i="77" s="1"/>
  <c r="T51" i="76"/>
  <c r="Z51" i="76" s="1"/>
  <c r="V51" i="75"/>
  <c r="AB51" i="75" s="1"/>
  <c r="AI51" i="74"/>
  <c r="AD51" i="77"/>
  <c r="AB51" i="76"/>
  <c r="AD51" i="75"/>
  <c r="N55" i="76"/>
  <c r="O54" i="76"/>
  <c r="X50" i="76"/>
  <c r="BQ51" i="74"/>
  <c r="BR51" i="74" s="1"/>
  <c r="BS51" i="74" s="1"/>
  <c r="BC51" i="74"/>
  <c r="BD51" i="74" s="1"/>
  <c r="BE51" i="74" s="1"/>
  <c r="AL51" i="74"/>
  <c r="AM52" i="74" s="1"/>
  <c r="BM51" i="74"/>
  <c r="BN51" i="74" s="1"/>
  <c r="BO51" i="74" s="1"/>
  <c r="AX51" i="74"/>
  <c r="AY51" i="74" s="1"/>
  <c r="AZ51" i="74" s="1"/>
  <c r="BH51" i="74"/>
  <c r="BI51" i="74" s="1"/>
  <c r="BJ51" i="74" s="1"/>
  <c r="AQ51" i="74"/>
  <c r="AR51" i="74" s="1"/>
  <c r="AS51" i="74" s="1"/>
  <c r="AU51" i="74" s="1"/>
  <c r="BT50" i="77"/>
  <c r="BU50" i="77" s="1"/>
  <c r="BW50" i="77" s="1"/>
  <c r="N55" i="75"/>
  <c r="O54" i="75"/>
  <c r="AW50" i="77"/>
  <c r="AX50" i="77" s="1"/>
  <c r="AY50" i="77" s="1"/>
  <c r="AF52" i="74"/>
  <c r="AG52" i="74" s="1"/>
  <c r="AE52" i="74"/>
  <c r="AC52" i="74"/>
  <c r="AP52" i="74"/>
  <c r="AB53" i="74"/>
  <c r="AJ52" i="74"/>
  <c r="CC52" i="74"/>
  <c r="AV52" i="74"/>
  <c r="CK51" i="77"/>
  <c r="BE51" i="77"/>
  <c r="AP51" i="77"/>
  <c r="AO51" i="77"/>
  <c r="BJ51" i="77"/>
  <c r="AU51" i="77"/>
  <c r="U52" i="77"/>
  <c r="AZ51" i="77"/>
  <c r="Y51" i="77"/>
  <c r="BM50" i="76"/>
  <c r="BN50" i="76" s="1"/>
  <c r="BO50" i="76" s="1"/>
  <c r="AO50" i="76"/>
  <c r="AP50" i="76" s="1"/>
  <c r="AQ50" i="76" s="1"/>
  <c r="AR50" i="76" s="1"/>
  <c r="AC50" i="76"/>
  <c r="AD51" i="76" s="1"/>
  <c r="AY50" i="76"/>
  <c r="AZ50" i="76" s="1"/>
  <c r="BA50" i="76" s="1"/>
  <c r="BB50" i="76" s="1"/>
  <c r="BI50" i="76"/>
  <c r="BJ50" i="76" s="1"/>
  <c r="BK50" i="76" s="1"/>
  <c r="BL50" i="76" s="1"/>
  <c r="AT50" i="76"/>
  <c r="AU50" i="76" s="1"/>
  <c r="AV50" i="76" s="1"/>
  <c r="AW50" i="76" s="1"/>
  <c r="AH50" i="76"/>
  <c r="AI50" i="76" s="1"/>
  <c r="AJ50" i="76" s="1"/>
  <c r="AL50" i="76" s="1"/>
  <c r="BD50" i="76"/>
  <c r="BE50" i="76" s="1"/>
  <c r="BF50" i="76" s="1"/>
  <c r="BG50" i="76" s="1"/>
  <c r="S52" i="76"/>
  <c r="BH51" i="76"/>
  <c r="W51" i="76"/>
  <c r="V51" i="76"/>
  <c r="AS51" i="76"/>
  <c r="BC51" i="76"/>
  <c r="AN51" i="76"/>
  <c r="AX51" i="76"/>
  <c r="AM51" i="76"/>
  <c r="CL52" i="77"/>
  <c r="AR50" i="75" l="1"/>
  <c r="AS50" i="75" s="1"/>
  <c r="AT50" i="75" s="1"/>
  <c r="O55" i="74"/>
  <c r="M69" i="65" s="1"/>
  <c r="AP51" i="75"/>
  <c r="AF51" i="75"/>
  <c r="BP51" i="75" s="1"/>
  <c r="BQ51" i="75" s="1"/>
  <c r="BS51" i="75" s="1"/>
  <c r="AF52" i="77"/>
  <c r="AG52" i="77" s="1"/>
  <c r="N56" i="74"/>
  <c r="L70" i="65" s="1"/>
  <c r="CL51" i="75"/>
  <c r="BE51" i="75"/>
  <c r="AU51" i="75"/>
  <c r="AZ51" i="75"/>
  <c r="U52" i="75"/>
  <c r="BJ51" i="75"/>
  <c r="CC51" i="75"/>
  <c r="AO51" i="75"/>
  <c r="BB50" i="75"/>
  <c r="BC50" i="75" s="1"/>
  <c r="BD50" i="75" s="1"/>
  <c r="Z50" i="75"/>
  <c r="Y51" i="75"/>
  <c r="BL50" i="75"/>
  <c r="BM50" i="75" s="1"/>
  <c r="BN50" i="75" s="1"/>
  <c r="AW50" i="75"/>
  <c r="AX50" i="75" s="1"/>
  <c r="AY50" i="75" s="1"/>
  <c r="BG50" i="75"/>
  <c r="BH50" i="75" s="1"/>
  <c r="BI50" i="75" s="1"/>
  <c r="AK50" i="75"/>
  <c r="AL50" i="75" s="1"/>
  <c r="AN50" i="75" s="1"/>
  <c r="AG50" i="75"/>
  <c r="BT50" i="75"/>
  <c r="BU50" i="75" s="1"/>
  <c r="BW50" i="75" s="1"/>
  <c r="AN52" i="74"/>
  <c r="AN51" i="74"/>
  <c r="BP51" i="77"/>
  <c r="BQ51" i="77" s="1"/>
  <c r="BS51" i="77" s="1"/>
  <c r="AR51" i="77"/>
  <c r="AS51" i="77" s="1"/>
  <c r="AT51" i="77" s="1"/>
  <c r="BL51" i="77"/>
  <c r="BM51" i="77" s="1"/>
  <c r="BN51" i="77" s="1"/>
  <c r="BT51" i="77"/>
  <c r="BU51" i="77" s="1"/>
  <c r="BW51" i="77" s="1"/>
  <c r="BH52" i="74"/>
  <c r="BI52" i="74" s="1"/>
  <c r="BJ52" i="74" s="1"/>
  <c r="AQ52" i="74"/>
  <c r="AR52" i="74" s="1"/>
  <c r="AS52" i="74" s="1"/>
  <c r="AU52" i="74" s="1"/>
  <c r="BQ52" i="74"/>
  <c r="BR52" i="74" s="1"/>
  <c r="BS52" i="74" s="1"/>
  <c r="BC52" i="74"/>
  <c r="BD52" i="74" s="1"/>
  <c r="BE52" i="74" s="1"/>
  <c r="AL52" i="74"/>
  <c r="AM53" i="74" s="1"/>
  <c r="BM52" i="74"/>
  <c r="BN52" i="74" s="1"/>
  <c r="BO52" i="74" s="1"/>
  <c r="AX52" i="74"/>
  <c r="AY52" i="74" s="1"/>
  <c r="AZ52" i="74" s="1"/>
  <c r="BC52" i="76"/>
  <c r="AN52" i="76"/>
  <c r="AM52" i="76"/>
  <c r="AX52" i="76"/>
  <c r="S53" i="76"/>
  <c r="BH52" i="76"/>
  <c r="W52" i="76"/>
  <c r="X52" i="76" s="1"/>
  <c r="V52" i="76"/>
  <c r="AS52" i="76"/>
  <c r="O55" i="75"/>
  <c r="N56" i="75"/>
  <c r="CM53" i="75"/>
  <c r="CL53" i="77"/>
  <c r="Z51" i="77"/>
  <c r="AW51" i="77"/>
  <c r="AX51" i="77" s="1"/>
  <c r="AY51" i="77" s="1"/>
  <c r="BB51" i="77"/>
  <c r="BC51" i="77" s="1"/>
  <c r="BD51" i="77" s="1"/>
  <c r="AI52" i="77"/>
  <c r="AG52" i="76"/>
  <c r="AI52" i="75"/>
  <c r="X51" i="76"/>
  <c r="BG51" i="77"/>
  <c r="BH51" i="77" s="1"/>
  <c r="BI51" i="77" s="1"/>
  <c r="O55" i="77"/>
  <c r="N56" i="77"/>
  <c r="BE52" i="77"/>
  <c r="AP52" i="77"/>
  <c r="AO52" i="77"/>
  <c r="AZ52" i="77"/>
  <c r="BJ52" i="77"/>
  <c r="Y52" i="77"/>
  <c r="U53" i="77"/>
  <c r="CK52" i="77"/>
  <c r="AU52" i="77"/>
  <c r="V52" i="77"/>
  <c r="AB52" i="77" s="1"/>
  <c r="T52" i="76"/>
  <c r="Z52" i="76" s="1"/>
  <c r="V52" i="75"/>
  <c r="AB52" i="75" s="1"/>
  <c r="AI52" i="74"/>
  <c r="O55" i="76"/>
  <c r="N56" i="76"/>
  <c r="BI51" i="76"/>
  <c r="BJ51" i="76" s="1"/>
  <c r="BK51" i="76" s="1"/>
  <c r="BL51" i="76" s="1"/>
  <c r="AT51" i="76"/>
  <c r="AU51" i="76" s="1"/>
  <c r="AV51" i="76" s="1"/>
  <c r="AW51" i="76" s="1"/>
  <c r="AH51" i="76"/>
  <c r="AI51" i="76" s="1"/>
  <c r="AJ51" i="76" s="1"/>
  <c r="AL51" i="76" s="1"/>
  <c r="BD51" i="76"/>
  <c r="BE51" i="76" s="1"/>
  <c r="BF51" i="76" s="1"/>
  <c r="BG51" i="76" s="1"/>
  <c r="BM51" i="76"/>
  <c r="BN51" i="76" s="1"/>
  <c r="BO51" i="76" s="1"/>
  <c r="AO51" i="76"/>
  <c r="AP51" i="76" s="1"/>
  <c r="AQ51" i="76" s="1"/>
  <c r="AR51" i="76" s="1"/>
  <c r="AC51" i="76"/>
  <c r="AD52" i="76" s="1"/>
  <c r="AY51" i="76"/>
  <c r="AZ51" i="76" s="1"/>
  <c r="BA51" i="76" s="1"/>
  <c r="BB51" i="76" s="1"/>
  <c r="AK51" i="77"/>
  <c r="AL51" i="77" s="1"/>
  <c r="AN51" i="77" s="1"/>
  <c r="CC53" i="74"/>
  <c r="AV53" i="74"/>
  <c r="AF53" i="74"/>
  <c r="AG53" i="74" s="1"/>
  <c r="AE53" i="74"/>
  <c r="AC53" i="74"/>
  <c r="AP53" i="74"/>
  <c r="AB54" i="74"/>
  <c r="AJ53" i="74"/>
  <c r="AD52" i="77"/>
  <c r="AB52" i="76"/>
  <c r="AD52" i="75"/>
  <c r="AP52" i="75" l="1"/>
  <c r="AF53" i="77"/>
  <c r="BP53" i="77" s="1"/>
  <c r="BQ53" i="77" s="1"/>
  <c r="BS53" i="77" s="1"/>
  <c r="AF52" i="75"/>
  <c r="AG52" i="75" s="1"/>
  <c r="BL51" i="75"/>
  <c r="BM51" i="75" s="1"/>
  <c r="BN51" i="75" s="1"/>
  <c r="N57" i="74"/>
  <c r="L71" i="65" s="1"/>
  <c r="O56" i="74"/>
  <c r="M70" i="65" s="1"/>
  <c r="BE52" i="75"/>
  <c r="U53" i="75"/>
  <c r="AU52" i="75"/>
  <c r="CL52" i="75"/>
  <c r="BJ52" i="75"/>
  <c r="CC52" i="75"/>
  <c r="AZ52" i="75"/>
  <c r="AO52" i="75"/>
  <c r="AG51" i="75"/>
  <c r="BG51" i="75"/>
  <c r="BH51" i="75" s="1"/>
  <c r="BI51" i="75" s="1"/>
  <c r="BT51" i="75"/>
  <c r="BU51" i="75" s="1"/>
  <c r="BW51" i="75" s="1"/>
  <c r="AW51" i="75"/>
  <c r="AX51" i="75" s="1"/>
  <c r="AY51" i="75" s="1"/>
  <c r="AK51" i="75"/>
  <c r="AL51" i="75" s="1"/>
  <c r="AN51" i="75" s="1"/>
  <c r="Z51" i="75"/>
  <c r="Y52" i="75"/>
  <c r="AK52" i="75" s="1"/>
  <c r="AL52" i="75" s="1"/>
  <c r="AR51" i="75"/>
  <c r="AS51" i="75" s="1"/>
  <c r="AT51" i="75" s="1"/>
  <c r="BB51" i="75"/>
  <c r="BC51" i="75" s="1"/>
  <c r="BD51" i="75" s="1"/>
  <c r="AN53" i="74"/>
  <c r="AE50" i="76"/>
  <c r="AE51" i="76"/>
  <c r="BP52" i="77"/>
  <c r="BQ52" i="77" s="1"/>
  <c r="BS52" i="77" s="1"/>
  <c r="BG52" i="77"/>
  <c r="BH52" i="77" s="1"/>
  <c r="BI52" i="77" s="1"/>
  <c r="BL52" i="77"/>
  <c r="BM52" i="77" s="1"/>
  <c r="BN52" i="77" s="1"/>
  <c r="AP53" i="77"/>
  <c r="AO53" i="77"/>
  <c r="AZ53" i="77"/>
  <c r="Y53" i="77"/>
  <c r="Z53" i="77" s="1"/>
  <c r="U54" i="77"/>
  <c r="BJ53" i="77"/>
  <c r="BE53" i="77"/>
  <c r="CK53" i="77"/>
  <c r="AU53" i="77"/>
  <c r="BH53" i="74"/>
  <c r="BI53" i="74" s="1"/>
  <c r="BJ53" i="74" s="1"/>
  <c r="AQ53" i="74"/>
  <c r="AR53" i="74" s="1"/>
  <c r="AS53" i="74" s="1"/>
  <c r="AU53" i="74" s="1"/>
  <c r="BQ53" i="74"/>
  <c r="BR53" i="74" s="1"/>
  <c r="BS53" i="74" s="1"/>
  <c r="BC53" i="74"/>
  <c r="BD53" i="74" s="1"/>
  <c r="BE53" i="74" s="1"/>
  <c r="AL53" i="74"/>
  <c r="AM54" i="74" s="1"/>
  <c r="AX53" i="74"/>
  <c r="AY53" i="74" s="1"/>
  <c r="AZ53" i="74" s="1"/>
  <c r="BM53" i="74"/>
  <c r="BN53" i="74" s="1"/>
  <c r="BO53" i="74" s="1"/>
  <c r="AW52" i="77"/>
  <c r="AX52" i="77" s="1"/>
  <c r="AY52" i="77" s="1"/>
  <c r="AD53" i="77"/>
  <c r="AB53" i="76"/>
  <c r="AD53" i="75"/>
  <c r="CL54" i="77"/>
  <c r="O56" i="75"/>
  <c r="N57" i="75"/>
  <c r="AR52" i="77"/>
  <c r="AS52" i="77" s="1"/>
  <c r="AT52" i="77" s="1"/>
  <c r="CM54" i="75"/>
  <c r="AK52" i="77"/>
  <c r="AL52" i="77" s="1"/>
  <c r="AN52" i="77" s="1"/>
  <c r="N57" i="76"/>
  <c r="O56" i="76"/>
  <c r="Z52" i="77"/>
  <c r="BM52" i="76"/>
  <c r="BN52" i="76" s="1"/>
  <c r="BO52" i="76" s="1"/>
  <c r="AO52" i="76"/>
  <c r="AP52" i="76" s="1"/>
  <c r="AQ52" i="76" s="1"/>
  <c r="AR52" i="76" s="1"/>
  <c r="AC52" i="76"/>
  <c r="AD53" i="76" s="1"/>
  <c r="AY52" i="76"/>
  <c r="AZ52" i="76" s="1"/>
  <c r="BA52" i="76" s="1"/>
  <c r="BB52" i="76" s="1"/>
  <c r="BI52" i="76"/>
  <c r="BJ52" i="76" s="1"/>
  <c r="BK52" i="76" s="1"/>
  <c r="BL52" i="76" s="1"/>
  <c r="AT52" i="76"/>
  <c r="AU52" i="76" s="1"/>
  <c r="AV52" i="76" s="1"/>
  <c r="AW52" i="76" s="1"/>
  <c r="AH52" i="76"/>
  <c r="AI52" i="76" s="1"/>
  <c r="AJ52" i="76" s="1"/>
  <c r="AL52" i="76" s="1"/>
  <c r="BD52" i="76"/>
  <c r="BE52" i="76" s="1"/>
  <c r="BF52" i="76" s="1"/>
  <c r="BG52" i="76" s="1"/>
  <c r="AI53" i="77"/>
  <c r="AG53" i="76"/>
  <c r="AI53" i="75"/>
  <c r="BB52" i="77"/>
  <c r="BC52" i="77" s="1"/>
  <c r="BD52" i="77" s="1"/>
  <c r="O56" i="77"/>
  <c r="N57" i="77"/>
  <c r="BT52" i="77"/>
  <c r="BU52" i="77" s="1"/>
  <c r="BW52" i="77" s="1"/>
  <c r="AB55" i="74"/>
  <c r="AJ54" i="74"/>
  <c r="CC54" i="74"/>
  <c r="AV54" i="74"/>
  <c r="AF54" i="74"/>
  <c r="AE54" i="74"/>
  <c r="AC54" i="74"/>
  <c r="AP54" i="74"/>
  <c r="V53" i="77"/>
  <c r="AB53" i="77" s="1"/>
  <c r="T53" i="76"/>
  <c r="Z53" i="76" s="1"/>
  <c r="V53" i="75"/>
  <c r="AB53" i="75" s="1"/>
  <c r="AI53" i="74"/>
  <c r="S54" i="76"/>
  <c r="BH53" i="76"/>
  <c r="W53" i="76"/>
  <c r="X53" i="76" s="1"/>
  <c r="V53" i="76"/>
  <c r="AS53" i="76"/>
  <c r="BC53" i="76"/>
  <c r="AN53" i="76"/>
  <c r="AX53" i="76"/>
  <c r="AM53" i="76"/>
  <c r="AF53" i="75" l="1"/>
  <c r="AG53" i="75" s="1"/>
  <c r="BJ53" i="75"/>
  <c r="AF54" i="77"/>
  <c r="AG54" i="77" s="1"/>
  <c r="AO53" i="75"/>
  <c r="AP53" i="75"/>
  <c r="CL53" i="75"/>
  <c r="CC53" i="75"/>
  <c r="AZ53" i="75"/>
  <c r="BE53" i="75"/>
  <c r="AU53" i="75"/>
  <c r="U54" i="75"/>
  <c r="O57" i="74"/>
  <c r="M71" i="65" s="1"/>
  <c r="N58" i="74"/>
  <c r="L72" i="65" s="1"/>
  <c r="AW52" i="75"/>
  <c r="AX52" i="75" s="1"/>
  <c r="AY52" i="75" s="1"/>
  <c r="AN52" i="75"/>
  <c r="BB52" i="75"/>
  <c r="BC52" i="75" s="1"/>
  <c r="BD52" i="75" s="1"/>
  <c r="Z52" i="75"/>
  <c r="BT52" i="75"/>
  <c r="BU52" i="75" s="1"/>
  <c r="BW52" i="75" s="1"/>
  <c r="BP52" i="75"/>
  <c r="BQ52" i="75" s="1"/>
  <c r="BS52" i="75" s="1"/>
  <c r="BG52" i="75"/>
  <c r="BH52" i="75" s="1"/>
  <c r="BI52" i="75" s="1"/>
  <c r="Y53" i="75"/>
  <c r="BL52" i="75"/>
  <c r="BM52" i="75" s="1"/>
  <c r="BN52" i="75" s="1"/>
  <c r="AR52" i="75"/>
  <c r="AS52" i="75" s="1"/>
  <c r="AT52" i="75" s="1"/>
  <c r="AN54" i="74"/>
  <c r="AE52" i="76"/>
  <c r="AG53" i="77"/>
  <c r="O57" i="77"/>
  <c r="N58" i="77"/>
  <c r="AL54" i="74"/>
  <c r="AM55" i="74" s="1"/>
  <c r="BM54" i="74"/>
  <c r="BN54" i="74" s="1"/>
  <c r="BO54" i="74" s="1"/>
  <c r="AX54" i="74"/>
  <c r="AY54" i="74" s="1"/>
  <c r="AZ54" i="74" s="1"/>
  <c r="BH54" i="74"/>
  <c r="BI54" i="74" s="1"/>
  <c r="BJ54" i="74" s="1"/>
  <c r="AQ54" i="74"/>
  <c r="AR54" i="74" s="1"/>
  <c r="AS54" i="74" s="1"/>
  <c r="AU54" i="74" s="1"/>
  <c r="BQ54" i="74"/>
  <c r="BR54" i="74" s="1"/>
  <c r="BS54" i="74" s="1"/>
  <c r="BC54" i="74"/>
  <c r="BD54" i="74" s="1"/>
  <c r="BE54" i="74" s="1"/>
  <c r="O57" i="75"/>
  <c r="N58" i="75"/>
  <c r="BL53" i="77"/>
  <c r="BM53" i="77" s="1"/>
  <c r="BN53" i="77" s="1"/>
  <c r="AR53" i="77"/>
  <c r="AS53" i="77" s="1"/>
  <c r="AT53" i="77" s="1"/>
  <c r="CM55" i="75"/>
  <c r="AK53" i="77"/>
  <c r="AL53" i="77" s="1"/>
  <c r="AN53" i="77" s="1"/>
  <c r="AC55" i="74"/>
  <c r="AP55" i="74"/>
  <c r="AB56" i="74"/>
  <c r="AJ55" i="74"/>
  <c r="CC55" i="74"/>
  <c r="AV55" i="74"/>
  <c r="AF55" i="74"/>
  <c r="AE55" i="74"/>
  <c r="BG53" i="77"/>
  <c r="BH53" i="77" s="1"/>
  <c r="BI53" i="77" s="1"/>
  <c r="AW53" i="77"/>
  <c r="AX53" i="77" s="1"/>
  <c r="AY53" i="77" s="1"/>
  <c r="BI53" i="76"/>
  <c r="BJ53" i="76" s="1"/>
  <c r="BK53" i="76" s="1"/>
  <c r="BL53" i="76" s="1"/>
  <c r="BD53" i="76"/>
  <c r="BE53" i="76" s="1"/>
  <c r="BF53" i="76" s="1"/>
  <c r="BG53" i="76" s="1"/>
  <c r="BM53" i="76"/>
  <c r="BN53" i="76" s="1"/>
  <c r="BO53" i="76" s="1"/>
  <c r="AT53" i="76"/>
  <c r="AU53" i="76" s="1"/>
  <c r="AV53" i="76" s="1"/>
  <c r="AW53" i="76" s="1"/>
  <c r="AH53" i="76"/>
  <c r="AI53" i="76" s="1"/>
  <c r="AJ53" i="76" s="1"/>
  <c r="AL53" i="76" s="1"/>
  <c r="AO53" i="76"/>
  <c r="AP53" i="76" s="1"/>
  <c r="AQ53" i="76" s="1"/>
  <c r="AR53" i="76" s="1"/>
  <c r="AC53" i="76"/>
  <c r="AD54" i="76" s="1"/>
  <c r="AY53" i="76"/>
  <c r="AZ53" i="76" s="1"/>
  <c r="BA53" i="76" s="1"/>
  <c r="BB53" i="76" s="1"/>
  <c r="AI54" i="77"/>
  <c r="AG54" i="76"/>
  <c r="AI54" i="75"/>
  <c r="V54" i="76"/>
  <c r="AS54" i="76"/>
  <c r="BC54" i="76"/>
  <c r="AN54" i="76"/>
  <c r="AM54" i="76"/>
  <c r="AX54" i="76"/>
  <c r="S55" i="76"/>
  <c r="BH54" i="76"/>
  <c r="W54" i="76"/>
  <c r="X54" i="76" s="1"/>
  <c r="AP54" i="77"/>
  <c r="AO54" i="77"/>
  <c r="AZ54" i="77"/>
  <c r="Y54" i="77"/>
  <c r="CK54" i="77"/>
  <c r="AU54" i="77"/>
  <c r="U55" i="77"/>
  <c r="BJ54" i="77"/>
  <c r="BE54" i="77"/>
  <c r="AD54" i="77"/>
  <c r="AB54" i="76"/>
  <c r="AD54" i="75"/>
  <c r="N58" i="76"/>
  <c r="O57" i="76"/>
  <c r="BT53" i="77"/>
  <c r="BU53" i="77" s="1"/>
  <c r="BW53" i="77" s="1"/>
  <c r="BB53" i="77"/>
  <c r="BC53" i="77" s="1"/>
  <c r="BD53" i="77" s="1"/>
  <c r="AG54" i="74"/>
  <c r="CL55" i="77"/>
  <c r="V54" i="77"/>
  <c r="AB54" i="77" s="1"/>
  <c r="T54" i="76"/>
  <c r="Z54" i="76" s="1"/>
  <c r="V54" i="75"/>
  <c r="AB54" i="75" s="1"/>
  <c r="AI54" i="74"/>
  <c r="BB53" i="75" l="1"/>
  <c r="BC53" i="75" s="1"/>
  <c r="BD53" i="75" s="1"/>
  <c r="AF55" i="77"/>
  <c r="AG55" i="77" s="1"/>
  <c r="AF54" i="75"/>
  <c r="BP54" i="75" s="1"/>
  <c r="BQ54" i="75" s="1"/>
  <c r="BS54" i="75" s="1"/>
  <c r="U55" i="75"/>
  <c r="AP55" i="75" s="1"/>
  <c r="CC54" i="75"/>
  <c r="BJ54" i="75"/>
  <c r="AZ54" i="75"/>
  <c r="AP54" i="75"/>
  <c r="AO54" i="75"/>
  <c r="BE54" i="75"/>
  <c r="AU54" i="75"/>
  <c r="CL54" i="75"/>
  <c r="N59" i="74"/>
  <c r="L73" i="65" s="1"/>
  <c r="O58" i="74"/>
  <c r="M72" i="65" s="1"/>
  <c r="BP53" i="75"/>
  <c r="BQ53" i="75" s="1"/>
  <c r="BS53" i="75" s="1"/>
  <c r="AK53" i="75"/>
  <c r="AL53" i="75" s="1"/>
  <c r="AN53" i="75" s="1"/>
  <c r="BL53" i="75"/>
  <c r="BM53" i="75" s="1"/>
  <c r="BN53" i="75" s="1"/>
  <c r="BT53" i="75"/>
  <c r="BU53" i="75" s="1"/>
  <c r="BW53" i="75" s="1"/>
  <c r="Y54" i="75"/>
  <c r="BG53" i="75"/>
  <c r="BH53" i="75" s="1"/>
  <c r="BI53" i="75" s="1"/>
  <c r="AR53" i="75"/>
  <c r="AS53" i="75" s="1"/>
  <c r="AT53" i="75" s="1"/>
  <c r="Z53" i="75"/>
  <c r="AW53" i="75"/>
  <c r="AX53" i="75" s="1"/>
  <c r="AY53" i="75" s="1"/>
  <c r="AE53" i="76"/>
  <c r="BB54" i="77"/>
  <c r="BC54" i="77" s="1"/>
  <c r="BD54" i="77" s="1"/>
  <c r="Z54" i="77"/>
  <c r="BL54" i="77"/>
  <c r="BM54" i="77" s="1"/>
  <c r="BN54" i="77" s="1"/>
  <c r="AR54" i="77"/>
  <c r="AS54" i="77" s="1"/>
  <c r="AT54" i="77" s="1"/>
  <c r="AW54" i="77"/>
  <c r="AX54" i="77" s="1"/>
  <c r="AY54" i="77" s="1"/>
  <c r="AP55" i="77"/>
  <c r="AO55" i="77"/>
  <c r="AZ55" i="77"/>
  <c r="BJ55" i="77"/>
  <c r="AU55" i="77"/>
  <c r="U56" i="77"/>
  <c r="BE55" i="77"/>
  <c r="CK55" i="77"/>
  <c r="Y55" i="77"/>
  <c r="Z55" i="77" s="1"/>
  <c r="AQ55" i="74"/>
  <c r="AR55" i="74" s="1"/>
  <c r="AS55" i="74" s="1"/>
  <c r="AU55" i="74" s="1"/>
  <c r="BQ55" i="74"/>
  <c r="BR55" i="74" s="1"/>
  <c r="BS55" i="74" s="1"/>
  <c r="BC55" i="74"/>
  <c r="BD55" i="74" s="1"/>
  <c r="BE55" i="74" s="1"/>
  <c r="AL55" i="74"/>
  <c r="AM56" i="74" s="1"/>
  <c r="BM55" i="74"/>
  <c r="BN55" i="74" s="1"/>
  <c r="BO55" i="74" s="1"/>
  <c r="AX55" i="74"/>
  <c r="AY55" i="74" s="1"/>
  <c r="AZ55" i="74" s="1"/>
  <c r="BH55" i="74"/>
  <c r="BI55" i="74" s="1"/>
  <c r="BJ55" i="74" s="1"/>
  <c r="V55" i="77"/>
  <c r="AB55" i="77" s="1"/>
  <c r="T55" i="76"/>
  <c r="Z55" i="76" s="1"/>
  <c r="V55" i="75"/>
  <c r="AB55" i="75" s="1"/>
  <c r="AI55" i="74"/>
  <c r="AT54" i="76"/>
  <c r="AU54" i="76" s="1"/>
  <c r="AV54" i="76" s="1"/>
  <c r="AW54" i="76" s="1"/>
  <c r="AH54" i="76"/>
  <c r="AI54" i="76" s="1"/>
  <c r="AJ54" i="76" s="1"/>
  <c r="AL54" i="76" s="1"/>
  <c r="BD54" i="76"/>
  <c r="BE54" i="76" s="1"/>
  <c r="BF54" i="76" s="1"/>
  <c r="BG54" i="76" s="1"/>
  <c r="BM54" i="76"/>
  <c r="BN54" i="76" s="1"/>
  <c r="BO54" i="76" s="1"/>
  <c r="AO54" i="76"/>
  <c r="AP54" i="76" s="1"/>
  <c r="AQ54" i="76" s="1"/>
  <c r="AR54" i="76" s="1"/>
  <c r="AC54" i="76"/>
  <c r="AD55" i="76" s="1"/>
  <c r="AY54" i="76"/>
  <c r="AZ54" i="76" s="1"/>
  <c r="BA54" i="76" s="1"/>
  <c r="BB54" i="76" s="1"/>
  <c r="BI54" i="76"/>
  <c r="BJ54" i="76" s="1"/>
  <c r="BK54" i="76" s="1"/>
  <c r="BL54" i="76" s="1"/>
  <c r="O58" i="76"/>
  <c r="N59" i="76"/>
  <c r="AK54" i="77"/>
  <c r="AL54" i="77" s="1"/>
  <c r="AN54" i="77" s="1"/>
  <c r="BP54" i="77"/>
  <c r="BQ54" i="77" s="1"/>
  <c r="BS54" i="77" s="1"/>
  <c r="AD55" i="77"/>
  <c r="AB55" i="76"/>
  <c r="AD55" i="75"/>
  <c r="CL56" i="77"/>
  <c r="AG55" i="74"/>
  <c r="BT54" i="77"/>
  <c r="BU54" i="77" s="1"/>
  <c r="BW54" i="77" s="1"/>
  <c r="CC56" i="74"/>
  <c r="AV56" i="74"/>
  <c r="AF56" i="74"/>
  <c r="AG56" i="74" s="1"/>
  <c r="AE56" i="74"/>
  <c r="AC56" i="74"/>
  <c r="AP56" i="74"/>
  <c r="AB57" i="74"/>
  <c r="AJ56" i="74"/>
  <c r="O58" i="75"/>
  <c r="N59" i="75"/>
  <c r="O58" i="77"/>
  <c r="N59" i="77"/>
  <c r="BG54" i="77"/>
  <c r="BH54" i="77" s="1"/>
  <c r="BI54" i="77" s="1"/>
  <c r="AN55" i="76"/>
  <c r="AM55" i="76"/>
  <c r="AX55" i="76"/>
  <c r="BH55" i="76"/>
  <c r="S56" i="76"/>
  <c r="W55" i="76"/>
  <c r="X55" i="76" s="1"/>
  <c r="V55" i="76"/>
  <c r="AS55" i="76"/>
  <c r="BC55" i="76"/>
  <c r="AI55" i="77"/>
  <c r="AG55" i="76"/>
  <c r="AI55" i="75"/>
  <c r="CM56" i="75"/>
  <c r="CC55" i="75" l="1"/>
  <c r="BJ55" i="75"/>
  <c r="AZ55" i="75"/>
  <c r="AO55" i="75"/>
  <c r="U56" i="75"/>
  <c r="AU56" i="75" s="1"/>
  <c r="AU55" i="75"/>
  <c r="CL55" i="75"/>
  <c r="BE55" i="75"/>
  <c r="Y55" i="75"/>
  <c r="Z55" i="75" s="1"/>
  <c r="AF55" i="75"/>
  <c r="AF56" i="77"/>
  <c r="BP56" i="77" s="1"/>
  <c r="BQ56" i="77" s="1"/>
  <c r="BS56" i="77" s="1"/>
  <c r="BL54" i="75"/>
  <c r="BM54" i="75" s="1"/>
  <c r="BN54" i="75" s="1"/>
  <c r="AR54" i="75"/>
  <c r="AS54" i="75" s="1"/>
  <c r="AT54" i="75" s="1"/>
  <c r="BG54" i="75"/>
  <c r="BH54" i="75" s="1"/>
  <c r="BI54" i="75" s="1"/>
  <c r="AW54" i="75"/>
  <c r="AX54" i="75" s="1"/>
  <c r="AY54" i="75" s="1"/>
  <c r="Z54" i="75"/>
  <c r="AK54" i="75"/>
  <c r="AL54" i="75" s="1"/>
  <c r="AN54" i="75" s="1"/>
  <c r="BB54" i="75"/>
  <c r="BC54" i="75" s="1"/>
  <c r="BD54" i="75" s="1"/>
  <c r="O59" i="74"/>
  <c r="M73" i="65" s="1"/>
  <c r="N60" i="74"/>
  <c r="L74" i="65" s="1"/>
  <c r="AG54" i="75"/>
  <c r="BT54" i="75"/>
  <c r="BU54" i="75" s="1"/>
  <c r="BW54" i="75" s="1"/>
  <c r="AN56" i="74"/>
  <c r="AN55" i="74"/>
  <c r="AE54" i="76"/>
  <c r="AK55" i="77"/>
  <c r="AL55" i="77" s="1"/>
  <c r="AN55" i="77" s="1"/>
  <c r="BP55" i="77"/>
  <c r="BQ55" i="77" s="1"/>
  <c r="BS55" i="77" s="1"/>
  <c r="BL55" i="77"/>
  <c r="BM55" i="77" s="1"/>
  <c r="BN55" i="77" s="1"/>
  <c r="BB55" i="77"/>
  <c r="BC55" i="77" s="1"/>
  <c r="BD55" i="77" s="1"/>
  <c r="BH56" i="76"/>
  <c r="S57" i="76"/>
  <c r="W56" i="76"/>
  <c r="X56" i="76" s="1"/>
  <c r="V56" i="76"/>
  <c r="AS56" i="76"/>
  <c r="BC56" i="76"/>
  <c r="AN56" i="76"/>
  <c r="AM56" i="76"/>
  <c r="AX56" i="76"/>
  <c r="AD56" i="77"/>
  <c r="AB56" i="76"/>
  <c r="AD56" i="75"/>
  <c r="BH56" i="74"/>
  <c r="BI56" i="74" s="1"/>
  <c r="BJ56" i="74" s="1"/>
  <c r="AQ56" i="74"/>
  <c r="AR56" i="74" s="1"/>
  <c r="AS56" i="74" s="1"/>
  <c r="AU56" i="74" s="1"/>
  <c r="BQ56" i="74"/>
  <c r="BR56" i="74" s="1"/>
  <c r="BS56" i="74" s="1"/>
  <c r="BC56" i="74"/>
  <c r="BD56" i="74" s="1"/>
  <c r="BE56" i="74" s="1"/>
  <c r="AL56" i="74"/>
  <c r="AM57" i="74" s="1"/>
  <c r="BM56" i="74"/>
  <c r="BN56" i="74" s="1"/>
  <c r="BO56" i="74" s="1"/>
  <c r="AX56" i="74"/>
  <c r="AY56" i="74" s="1"/>
  <c r="AZ56" i="74" s="1"/>
  <c r="N60" i="77"/>
  <c r="O59" i="77"/>
  <c r="AI56" i="77"/>
  <c r="AG56" i="76"/>
  <c r="AI56" i="75"/>
  <c r="AP56" i="77"/>
  <c r="AO56" i="77"/>
  <c r="AZ56" i="77"/>
  <c r="Y56" i="77"/>
  <c r="AU56" i="77"/>
  <c r="CK56" i="77"/>
  <c r="BJ56" i="77"/>
  <c r="BE56" i="77"/>
  <c r="U57" i="77"/>
  <c r="O59" i="75"/>
  <c r="N60" i="75"/>
  <c r="AW55" i="77"/>
  <c r="AX55" i="77" s="1"/>
  <c r="AY55" i="77" s="1"/>
  <c r="BG55" i="77"/>
  <c r="BH55" i="77" s="1"/>
  <c r="BI55" i="77" s="1"/>
  <c r="AB58" i="74"/>
  <c r="AJ57" i="74"/>
  <c r="CC57" i="74"/>
  <c r="AV57" i="74"/>
  <c r="AF57" i="74"/>
  <c r="AE57" i="74"/>
  <c r="AC57" i="74"/>
  <c r="AP57" i="74"/>
  <c r="BT55" i="77"/>
  <c r="BU55" i="77" s="1"/>
  <c r="BW55" i="77" s="1"/>
  <c r="CL57" i="77"/>
  <c r="AY55" i="76"/>
  <c r="AZ55" i="76" s="1"/>
  <c r="BA55" i="76" s="1"/>
  <c r="BB55" i="76" s="1"/>
  <c r="BI55" i="76"/>
  <c r="BJ55" i="76" s="1"/>
  <c r="BK55" i="76" s="1"/>
  <c r="BL55" i="76" s="1"/>
  <c r="AT55" i="76"/>
  <c r="AU55" i="76" s="1"/>
  <c r="AV55" i="76" s="1"/>
  <c r="AW55" i="76" s="1"/>
  <c r="AH55" i="76"/>
  <c r="AI55" i="76" s="1"/>
  <c r="AJ55" i="76" s="1"/>
  <c r="AL55" i="76" s="1"/>
  <c r="BD55" i="76"/>
  <c r="BE55" i="76" s="1"/>
  <c r="BF55" i="76" s="1"/>
  <c r="BG55" i="76" s="1"/>
  <c r="BM55" i="76"/>
  <c r="BN55" i="76" s="1"/>
  <c r="BO55" i="76" s="1"/>
  <c r="AO55" i="76"/>
  <c r="AP55" i="76" s="1"/>
  <c r="AQ55" i="76" s="1"/>
  <c r="AR55" i="76" s="1"/>
  <c r="AC55" i="76"/>
  <c r="AD56" i="76" s="1"/>
  <c r="V56" i="77"/>
  <c r="AB56" i="77" s="1"/>
  <c r="T56" i="76"/>
  <c r="Z56" i="76" s="1"/>
  <c r="V56" i="75"/>
  <c r="AB56" i="75" s="1"/>
  <c r="AI56" i="74"/>
  <c r="N60" i="76"/>
  <c r="O59" i="76"/>
  <c r="CM57" i="75"/>
  <c r="AR55" i="77"/>
  <c r="AS55" i="77" s="1"/>
  <c r="AT55" i="77" s="1"/>
  <c r="CC56" i="75" l="1"/>
  <c r="CL56" i="75"/>
  <c r="BJ56" i="75"/>
  <c r="O60" i="74"/>
  <c r="M74" i="65" s="1"/>
  <c r="AZ56" i="75"/>
  <c r="AO56" i="75"/>
  <c r="AP56" i="75"/>
  <c r="AF56" i="75"/>
  <c r="AG56" i="75" s="1"/>
  <c r="BE56" i="75"/>
  <c r="U57" i="75"/>
  <c r="BG55" i="75"/>
  <c r="BH55" i="75" s="1"/>
  <c r="BI55" i="75" s="1"/>
  <c r="Y56" i="75"/>
  <c r="Z56" i="75" s="1"/>
  <c r="AK55" i="75"/>
  <c r="AL55" i="75" s="1"/>
  <c r="AN55" i="75" s="1"/>
  <c r="AR55" i="75"/>
  <c r="AS55" i="75" s="1"/>
  <c r="AT55" i="75" s="1"/>
  <c r="BL55" i="75"/>
  <c r="BM55" i="75" s="1"/>
  <c r="BN55" i="75" s="1"/>
  <c r="AW55" i="75"/>
  <c r="AX55" i="75" s="1"/>
  <c r="AY55" i="75" s="1"/>
  <c r="BB55" i="75"/>
  <c r="BC55" i="75" s="1"/>
  <c r="BD55" i="75" s="1"/>
  <c r="AG55" i="75"/>
  <c r="AF57" i="77"/>
  <c r="AG57" i="77" s="1"/>
  <c r="N61" i="74"/>
  <c r="L75" i="65" s="1"/>
  <c r="BT55" i="75"/>
  <c r="BU55" i="75" s="1"/>
  <c r="BW55" i="75" s="1"/>
  <c r="BP55" i="75"/>
  <c r="BQ55" i="75" s="1"/>
  <c r="BS55" i="75" s="1"/>
  <c r="AE55" i="76"/>
  <c r="BB56" i="77"/>
  <c r="BC56" i="77" s="1"/>
  <c r="BD56" i="77" s="1"/>
  <c r="BG56" i="77"/>
  <c r="BH56" i="77" s="1"/>
  <c r="BI56" i="77" s="1"/>
  <c r="AR56" i="77"/>
  <c r="AS56" i="77" s="1"/>
  <c r="AT56" i="77" s="1"/>
  <c r="Z56" i="77"/>
  <c r="BL56" i="77"/>
  <c r="BM56" i="77" s="1"/>
  <c r="BN56" i="77" s="1"/>
  <c r="AG56" i="77"/>
  <c r="BT56" i="77"/>
  <c r="BU56" i="77" s="1"/>
  <c r="BW56" i="77" s="1"/>
  <c r="AD57" i="77"/>
  <c r="AB57" i="76"/>
  <c r="AD57" i="75"/>
  <c r="O60" i="77"/>
  <c r="N61" i="77"/>
  <c r="AT56" i="76"/>
  <c r="AU56" i="76" s="1"/>
  <c r="AV56" i="76" s="1"/>
  <c r="AW56" i="76" s="1"/>
  <c r="AH56" i="76"/>
  <c r="AI56" i="76" s="1"/>
  <c r="AJ56" i="76" s="1"/>
  <c r="AL56" i="76" s="1"/>
  <c r="BD56" i="76"/>
  <c r="BE56" i="76" s="1"/>
  <c r="BF56" i="76" s="1"/>
  <c r="BG56" i="76" s="1"/>
  <c r="BM56" i="76"/>
  <c r="BN56" i="76" s="1"/>
  <c r="BO56" i="76" s="1"/>
  <c r="AO56" i="76"/>
  <c r="AP56" i="76" s="1"/>
  <c r="AQ56" i="76" s="1"/>
  <c r="AR56" i="76" s="1"/>
  <c r="AC56" i="76"/>
  <c r="AD57" i="76" s="1"/>
  <c r="AY56" i="76"/>
  <c r="AZ56" i="76" s="1"/>
  <c r="BA56" i="76" s="1"/>
  <c r="BB56" i="76" s="1"/>
  <c r="BI56" i="76"/>
  <c r="BJ56" i="76" s="1"/>
  <c r="BK56" i="76" s="1"/>
  <c r="BL56" i="76" s="1"/>
  <c r="V57" i="77"/>
  <c r="AB57" i="77" s="1"/>
  <c r="T57" i="76"/>
  <c r="Z57" i="76" s="1"/>
  <c r="V57" i="75"/>
  <c r="AB57" i="75" s="1"/>
  <c r="AI57" i="74"/>
  <c r="AF58" i="74"/>
  <c r="AE58" i="74"/>
  <c r="AC58" i="74"/>
  <c r="AP58" i="74"/>
  <c r="AB59" i="74"/>
  <c r="AJ58" i="74"/>
  <c r="CC58" i="74"/>
  <c r="AV58" i="74"/>
  <c r="AK56" i="77"/>
  <c r="AL56" i="77" s="1"/>
  <c r="AN56" i="77" s="1"/>
  <c r="AG57" i="74"/>
  <c r="AW56" i="77"/>
  <c r="AX56" i="77" s="1"/>
  <c r="AY56" i="77" s="1"/>
  <c r="CM58" i="75"/>
  <c r="U58" i="77"/>
  <c r="BE57" i="77"/>
  <c r="AP57" i="77"/>
  <c r="AO57" i="77"/>
  <c r="AZ57" i="77"/>
  <c r="BJ57" i="77"/>
  <c r="Y57" i="77"/>
  <c r="CK57" i="77"/>
  <c r="AU57" i="77"/>
  <c r="BQ57" i="74"/>
  <c r="BR57" i="74" s="1"/>
  <c r="BS57" i="74" s="1"/>
  <c r="BC57" i="74"/>
  <c r="BD57" i="74" s="1"/>
  <c r="BE57" i="74" s="1"/>
  <c r="AL57" i="74"/>
  <c r="AM58" i="74" s="1"/>
  <c r="BM57" i="74"/>
  <c r="BN57" i="74" s="1"/>
  <c r="BO57" i="74" s="1"/>
  <c r="AX57" i="74"/>
  <c r="AY57" i="74" s="1"/>
  <c r="AZ57" i="74" s="1"/>
  <c r="BH57" i="74"/>
  <c r="BI57" i="74" s="1"/>
  <c r="BJ57" i="74" s="1"/>
  <c r="AQ57" i="74"/>
  <c r="AR57" i="74" s="1"/>
  <c r="AS57" i="74" s="1"/>
  <c r="AU57" i="74" s="1"/>
  <c r="AI57" i="77"/>
  <c r="AG57" i="76"/>
  <c r="AI57" i="75"/>
  <c r="CL58" i="77"/>
  <c r="O60" i="75"/>
  <c r="N61" i="75"/>
  <c r="N61" i="76"/>
  <c r="O60" i="76"/>
  <c r="BC57" i="76"/>
  <c r="AN57" i="76"/>
  <c r="AM57" i="76"/>
  <c r="AX57" i="76"/>
  <c r="BH57" i="76"/>
  <c r="S58" i="76"/>
  <c r="W57" i="76"/>
  <c r="AS57" i="76"/>
  <c r="V57" i="76"/>
  <c r="BP56" i="75" l="1"/>
  <c r="BQ56" i="75" s="1"/>
  <c r="BS56" i="75" s="1"/>
  <c r="AF57" i="75"/>
  <c r="AG57" i="75" s="1"/>
  <c r="BB56" i="75"/>
  <c r="BC56" i="75" s="1"/>
  <c r="BD56" i="75" s="1"/>
  <c r="AK56" i="75"/>
  <c r="AL56" i="75" s="1"/>
  <c r="AN56" i="75" s="1"/>
  <c r="AW56" i="75"/>
  <c r="AX56" i="75" s="1"/>
  <c r="AY56" i="75" s="1"/>
  <c r="BT56" i="75"/>
  <c r="BU56" i="75" s="1"/>
  <c r="BW56" i="75" s="1"/>
  <c r="CC57" i="75"/>
  <c r="AZ57" i="75"/>
  <c r="AO57" i="75"/>
  <c r="AP57" i="75"/>
  <c r="BE57" i="75"/>
  <c r="U58" i="75"/>
  <c r="CL57" i="75"/>
  <c r="BG56" i="75"/>
  <c r="BH56" i="75" s="1"/>
  <c r="BI56" i="75" s="1"/>
  <c r="AR56" i="75"/>
  <c r="AS56" i="75" s="1"/>
  <c r="AT56" i="75" s="1"/>
  <c r="BL56" i="75"/>
  <c r="BM56" i="75" s="1"/>
  <c r="BN56" i="75" s="1"/>
  <c r="Y57" i="75"/>
  <c r="Z57" i="75" s="1"/>
  <c r="BJ57" i="75"/>
  <c r="AU57" i="75"/>
  <c r="O61" i="74"/>
  <c r="M75" i="65" s="1"/>
  <c r="N62" i="74"/>
  <c r="L76" i="65" s="1"/>
  <c r="AF58" i="77"/>
  <c r="AG58" i="77" s="1"/>
  <c r="AN58" i="74"/>
  <c r="AN57" i="74"/>
  <c r="AE56" i="76"/>
  <c r="BG57" i="77"/>
  <c r="BH57" i="77" s="1"/>
  <c r="BI57" i="77" s="1"/>
  <c r="BB57" i="77"/>
  <c r="BC57" i="77" s="1"/>
  <c r="BD57" i="77" s="1"/>
  <c r="AW57" i="77"/>
  <c r="AX57" i="77" s="1"/>
  <c r="AY57" i="77" s="1"/>
  <c r="BL57" i="77"/>
  <c r="BM57" i="77" s="1"/>
  <c r="BN57" i="77" s="1"/>
  <c r="AR57" i="77"/>
  <c r="AS57" i="77" s="1"/>
  <c r="AT57" i="77" s="1"/>
  <c r="N62" i="77"/>
  <c r="O61" i="77"/>
  <c r="O61" i="76"/>
  <c r="N62" i="76"/>
  <c r="AK57" i="77"/>
  <c r="AL57" i="77" s="1"/>
  <c r="AN57" i="77" s="1"/>
  <c r="AI58" i="77"/>
  <c r="AG58" i="76"/>
  <c r="AI58" i="75"/>
  <c r="BP57" i="77"/>
  <c r="BQ57" i="77" s="1"/>
  <c r="BS57" i="77" s="1"/>
  <c r="AG58" i="74"/>
  <c r="V58" i="77"/>
  <c r="AB58" i="77" s="1"/>
  <c r="T58" i="76"/>
  <c r="Z58" i="76" s="1"/>
  <c r="V58" i="75"/>
  <c r="AB58" i="75" s="1"/>
  <c r="AI58" i="74"/>
  <c r="CL59" i="77"/>
  <c r="Z57" i="77"/>
  <c r="BT57" i="77"/>
  <c r="BU57" i="77" s="1"/>
  <c r="BW57" i="77" s="1"/>
  <c r="CM59" i="75"/>
  <c r="O61" i="75"/>
  <c r="N62" i="75"/>
  <c r="AN58" i="76"/>
  <c r="AM58" i="76"/>
  <c r="AX58" i="76"/>
  <c r="BH58" i="76"/>
  <c r="S59" i="76"/>
  <c r="W58" i="76"/>
  <c r="V58" i="76"/>
  <c r="AS58" i="76"/>
  <c r="BC58" i="76"/>
  <c r="AD58" i="77"/>
  <c r="AB58" i="76"/>
  <c r="AD58" i="75"/>
  <c r="BH58" i="74"/>
  <c r="BI58" i="74" s="1"/>
  <c r="BJ58" i="74" s="1"/>
  <c r="AQ58" i="74"/>
  <c r="AR58" i="74" s="1"/>
  <c r="AS58" i="74" s="1"/>
  <c r="AU58" i="74" s="1"/>
  <c r="BQ58" i="74"/>
  <c r="BR58" i="74" s="1"/>
  <c r="BS58" i="74" s="1"/>
  <c r="BC58" i="74"/>
  <c r="BD58" i="74" s="1"/>
  <c r="BE58" i="74" s="1"/>
  <c r="AL58" i="74"/>
  <c r="AM59" i="74" s="1"/>
  <c r="BM58" i="74"/>
  <c r="BN58" i="74" s="1"/>
  <c r="BO58" i="74" s="1"/>
  <c r="AX58" i="74"/>
  <c r="AY58" i="74" s="1"/>
  <c r="AZ58" i="74" s="1"/>
  <c r="BD57" i="76"/>
  <c r="BE57" i="76" s="1"/>
  <c r="BF57" i="76" s="1"/>
  <c r="BG57" i="76" s="1"/>
  <c r="BM57" i="76"/>
  <c r="BN57" i="76" s="1"/>
  <c r="BO57" i="76" s="1"/>
  <c r="AO57" i="76"/>
  <c r="AP57" i="76" s="1"/>
  <c r="AQ57" i="76" s="1"/>
  <c r="AR57" i="76" s="1"/>
  <c r="AC57" i="76"/>
  <c r="AD58" i="76" s="1"/>
  <c r="AY57" i="76"/>
  <c r="AZ57" i="76" s="1"/>
  <c r="BA57" i="76" s="1"/>
  <c r="BB57" i="76" s="1"/>
  <c r="BI57" i="76"/>
  <c r="BJ57" i="76" s="1"/>
  <c r="BK57" i="76" s="1"/>
  <c r="BL57" i="76" s="1"/>
  <c r="AT57" i="76"/>
  <c r="AU57" i="76" s="1"/>
  <c r="AV57" i="76" s="1"/>
  <c r="AW57" i="76" s="1"/>
  <c r="AH57" i="76"/>
  <c r="AI57" i="76" s="1"/>
  <c r="AJ57" i="76" s="1"/>
  <c r="AL57" i="76" s="1"/>
  <c r="X57" i="76"/>
  <c r="CK58" i="77"/>
  <c r="U59" i="77"/>
  <c r="BE58" i="77"/>
  <c r="AP58" i="77"/>
  <c r="AO58" i="77"/>
  <c r="BJ58" i="77"/>
  <c r="Y58" i="77"/>
  <c r="AU58" i="77"/>
  <c r="AZ58" i="77"/>
  <c r="AB60" i="74"/>
  <c r="AJ59" i="74"/>
  <c r="CC59" i="74"/>
  <c r="AV59" i="74"/>
  <c r="AF59" i="74"/>
  <c r="AG59" i="74" s="1"/>
  <c r="AE59" i="74"/>
  <c r="AC59" i="74"/>
  <c r="AP59" i="74"/>
  <c r="AF58" i="75" l="1"/>
  <c r="BP58" i="75" s="1"/>
  <c r="BQ58" i="75" s="1"/>
  <c r="BS58" i="75" s="1"/>
  <c r="AP58" i="75"/>
  <c r="U59" i="75"/>
  <c r="AU58" i="75"/>
  <c r="CL58" i="75"/>
  <c r="BJ58" i="75"/>
  <c r="CC58" i="75"/>
  <c r="AZ58" i="75"/>
  <c r="Y58" i="75"/>
  <c r="Z58" i="75" s="1"/>
  <c r="AO58" i="75"/>
  <c r="BE58" i="75"/>
  <c r="AR57" i="75"/>
  <c r="AS57" i="75" s="1"/>
  <c r="AT57" i="75" s="1"/>
  <c r="AK57" i="75"/>
  <c r="AL57" i="75" s="1"/>
  <c r="AN57" i="75" s="1"/>
  <c r="BL57" i="75"/>
  <c r="BM57" i="75" s="1"/>
  <c r="BN57" i="75" s="1"/>
  <c r="BG57" i="75"/>
  <c r="BH57" i="75" s="1"/>
  <c r="BI57" i="75" s="1"/>
  <c r="BB57" i="75"/>
  <c r="BC57" i="75" s="1"/>
  <c r="BD57" i="75" s="1"/>
  <c r="AW57" i="75"/>
  <c r="AX57" i="75" s="1"/>
  <c r="AY57" i="75" s="1"/>
  <c r="N63" i="74"/>
  <c r="L77" i="65" s="1"/>
  <c r="O62" i="74"/>
  <c r="M76" i="65" s="1"/>
  <c r="AF59" i="77"/>
  <c r="AG59" i="77" s="1"/>
  <c r="BT57" i="75"/>
  <c r="BU57" i="75" s="1"/>
  <c r="BW57" i="75" s="1"/>
  <c r="BP57" i="75"/>
  <c r="BQ57" i="75" s="1"/>
  <c r="BS57" i="75" s="1"/>
  <c r="AE57" i="76"/>
  <c r="BT58" i="77"/>
  <c r="BU58" i="77" s="1"/>
  <c r="BW58" i="77" s="1"/>
  <c r="BB58" i="77"/>
  <c r="BC58" i="77" s="1"/>
  <c r="BD58" i="77" s="1"/>
  <c r="AE60" i="74"/>
  <c r="AC60" i="74"/>
  <c r="AP60" i="74"/>
  <c r="AB61" i="74"/>
  <c r="AJ60" i="74"/>
  <c r="CC60" i="74"/>
  <c r="AV60" i="74"/>
  <c r="AF60" i="74"/>
  <c r="AG60" i="74" s="1"/>
  <c r="CK59" i="77"/>
  <c r="U60" i="77"/>
  <c r="AU59" i="77"/>
  <c r="BE59" i="77"/>
  <c r="AP59" i="77"/>
  <c r="AZ59" i="77"/>
  <c r="BJ59" i="77"/>
  <c r="AO59" i="77"/>
  <c r="Y59" i="77"/>
  <c r="O62" i="75"/>
  <c r="N63" i="75"/>
  <c r="N63" i="76"/>
  <c r="O62" i="76"/>
  <c r="V59" i="77"/>
  <c r="AB59" i="77" s="1"/>
  <c r="T59" i="76"/>
  <c r="Z59" i="76" s="1"/>
  <c r="V59" i="75"/>
  <c r="AB59" i="75" s="1"/>
  <c r="AI59" i="74"/>
  <c r="AR58" i="77"/>
  <c r="AS58" i="77" s="1"/>
  <c r="AT58" i="77" s="1"/>
  <c r="BH59" i="76"/>
  <c r="S60" i="76"/>
  <c r="W59" i="76"/>
  <c r="X59" i="76" s="1"/>
  <c r="V59" i="76"/>
  <c r="AS59" i="76"/>
  <c r="BC59" i="76"/>
  <c r="AN59" i="76"/>
  <c r="AM59" i="76"/>
  <c r="AX59" i="76"/>
  <c r="N63" i="77"/>
  <c r="O62" i="77"/>
  <c r="AK58" i="77"/>
  <c r="AL58" i="77" s="1"/>
  <c r="AN58" i="77" s="1"/>
  <c r="X58" i="76"/>
  <c r="AL59" i="74"/>
  <c r="AM60" i="74" s="1"/>
  <c r="BM59" i="74"/>
  <c r="BN59" i="74" s="1"/>
  <c r="BO59" i="74" s="1"/>
  <c r="AX59" i="74"/>
  <c r="AY59" i="74" s="1"/>
  <c r="AZ59" i="74" s="1"/>
  <c r="BH59" i="74"/>
  <c r="BI59" i="74" s="1"/>
  <c r="BJ59" i="74" s="1"/>
  <c r="AQ59" i="74"/>
  <c r="AR59" i="74" s="1"/>
  <c r="AS59" i="74" s="1"/>
  <c r="AU59" i="74" s="1"/>
  <c r="BQ59" i="74"/>
  <c r="BR59" i="74" s="1"/>
  <c r="BS59" i="74" s="1"/>
  <c r="BC59" i="74"/>
  <c r="BD59" i="74" s="1"/>
  <c r="BE59" i="74" s="1"/>
  <c r="AW58" i="77"/>
  <c r="AX58" i="77" s="1"/>
  <c r="AY58" i="77" s="1"/>
  <c r="BP58" i="77"/>
  <c r="BQ58" i="77" s="1"/>
  <c r="BS58" i="77" s="1"/>
  <c r="AI59" i="77"/>
  <c r="AG59" i="76"/>
  <c r="AI59" i="75"/>
  <c r="CM60" i="75"/>
  <c r="AO59" i="75"/>
  <c r="CC59" i="75"/>
  <c r="BG58" i="77"/>
  <c r="BH58" i="77" s="1"/>
  <c r="BI58" i="77" s="1"/>
  <c r="AY58" i="76"/>
  <c r="AZ58" i="76" s="1"/>
  <c r="BA58" i="76" s="1"/>
  <c r="BB58" i="76" s="1"/>
  <c r="BI58" i="76"/>
  <c r="BJ58" i="76" s="1"/>
  <c r="BK58" i="76" s="1"/>
  <c r="BL58" i="76" s="1"/>
  <c r="AT58" i="76"/>
  <c r="AU58" i="76" s="1"/>
  <c r="AV58" i="76" s="1"/>
  <c r="AW58" i="76" s="1"/>
  <c r="AH58" i="76"/>
  <c r="AI58" i="76" s="1"/>
  <c r="AJ58" i="76" s="1"/>
  <c r="AL58" i="76" s="1"/>
  <c r="BD58" i="76"/>
  <c r="BE58" i="76" s="1"/>
  <c r="BF58" i="76" s="1"/>
  <c r="BG58" i="76" s="1"/>
  <c r="BM58" i="76"/>
  <c r="BN58" i="76" s="1"/>
  <c r="BO58" i="76" s="1"/>
  <c r="AO58" i="76"/>
  <c r="AP58" i="76" s="1"/>
  <c r="AQ58" i="76" s="1"/>
  <c r="AR58" i="76" s="1"/>
  <c r="AC58" i="76"/>
  <c r="AD59" i="76" s="1"/>
  <c r="AD59" i="77"/>
  <c r="AB59" i="76"/>
  <c r="AD59" i="75"/>
  <c r="Z58" i="77"/>
  <c r="CL60" i="77"/>
  <c r="BL58" i="77"/>
  <c r="BM58" i="77" s="1"/>
  <c r="BN58" i="77" s="1"/>
  <c r="AF59" i="75" l="1"/>
  <c r="BP59" i="75" s="1"/>
  <c r="BQ59" i="75" s="1"/>
  <c r="BS59" i="75" s="1"/>
  <c r="O63" i="74"/>
  <c r="M77" i="65" s="1"/>
  <c r="AU59" i="75"/>
  <c r="AP59" i="75"/>
  <c r="BE59" i="75"/>
  <c r="U60" i="75"/>
  <c r="CL59" i="75"/>
  <c r="Y59" i="75"/>
  <c r="Z59" i="75" s="1"/>
  <c r="BJ59" i="75"/>
  <c r="AZ59" i="75"/>
  <c r="N64" i="74"/>
  <c r="L78" i="65" s="1"/>
  <c r="AK58" i="75"/>
  <c r="AL58" i="75" s="1"/>
  <c r="AN58" i="75" s="1"/>
  <c r="AR58" i="75"/>
  <c r="AS58" i="75" s="1"/>
  <c r="AT58" i="75" s="1"/>
  <c r="BB58" i="75"/>
  <c r="BC58" i="75" s="1"/>
  <c r="BD58" i="75" s="1"/>
  <c r="BG58" i="75"/>
  <c r="BH58" i="75" s="1"/>
  <c r="BI58" i="75" s="1"/>
  <c r="BL58" i="75"/>
  <c r="BM58" i="75" s="1"/>
  <c r="BN58" i="75" s="1"/>
  <c r="AW58" i="75"/>
  <c r="AX58" i="75" s="1"/>
  <c r="AY58" i="75" s="1"/>
  <c r="AF60" i="77"/>
  <c r="BP60" i="77" s="1"/>
  <c r="BQ60" i="77" s="1"/>
  <c r="BS60" i="77" s="1"/>
  <c r="AG58" i="75"/>
  <c r="BT58" i="75"/>
  <c r="BU58" i="75" s="1"/>
  <c r="BW58" i="75" s="1"/>
  <c r="AN60" i="74"/>
  <c r="AN59" i="74"/>
  <c r="AE58" i="76"/>
  <c r="BL59" i="77"/>
  <c r="BM59" i="77" s="1"/>
  <c r="BN59" i="77" s="1"/>
  <c r="BT59" i="77"/>
  <c r="BU59" i="77" s="1"/>
  <c r="BW59" i="77" s="1"/>
  <c r="Z59" i="77"/>
  <c r="BB59" i="77"/>
  <c r="BC59" i="77" s="1"/>
  <c r="BD59" i="77" s="1"/>
  <c r="BC60" i="76"/>
  <c r="AN60" i="76"/>
  <c r="AM60" i="76"/>
  <c r="AX60" i="76"/>
  <c r="BH60" i="76"/>
  <c r="S61" i="76"/>
  <c r="W60" i="76"/>
  <c r="X60" i="76" s="1"/>
  <c r="AS60" i="76"/>
  <c r="V60" i="76"/>
  <c r="AD60" i="77"/>
  <c r="AB60" i="76"/>
  <c r="AD60" i="75"/>
  <c r="AQ60" i="74"/>
  <c r="AR60" i="74" s="1"/>
  <c r="AS60" i="74" s="1"/>
  <c r="AU60" i="74" s="1"/>
  <c r="BQ60" i="74"/>
  <c r="BR60" i="74" s="1"/>
  <c r="BS60" i="74" s="1"/>
  <c r="BC60" i="74"/>
  <c r="BD60" i="74" s="1"/>
  <c r="BE60" i="74" s="1"/>
  <c r="AL60" i="74"/>
  <c r="AM61" i="74" s="1"/>
  <c r="BM60" i="74"/>
  <c r="BN60" i="74" s="1"/>
  <c r="BO60" i="74" s="1"/>
  <c r="AX60" i="74"/>
  <c r="AY60" i="74" s="1"/>
  <c r="AZ60" i="74" s="1"/>
  <c r="BH60" i="74"/>
  <c r="BI60" i="74" s="1"/>
  <c r="BJ60" i="74" s="1"/>
  <c r="BG59" i="77"/>
  <c r="BH59" i="77" s="1"/>
  <c r="BI59" i="77" s="1"/>
  <c r="CL61" i="77"/>
  <c r="N64" i="77"/>
  <c r="O63" i="77"/>
  <c r="AR59" i="77"/>
  <c r="AS59" i="77" s="1"/>
  <c r="AT59" i="77" s="1"/>
  <c r="AB62" i="74"/>
  <c r="AJ61" i="74"/>
  <c r="CC61" i="74"/>
  <c r="AV61" i="74"/>
  <c r="AF61" i="74"/>
  <c r="AE61" i="74"/>
  <c r="AC61" i="74"/>
  <c r="AP61" i="74"/>
  <c r="AT59" i="76"/>
  <c r="AU59" i="76" s="1"/>
  <c r="AV59" i="76" s="1"/>
  <c r="AW59" i="76" s="1"/>
  <c r="AH59" i="76"/>
  <c r="AI59" i="76" s="1"/>
  <c r="AJ59" i="76" s="1"/>
  <c r="AL59" i="76" s="1"/>
  <c r="BD59" i="76"/>
  <c r="BE59" i="76" s="1"/>
  <c r="BF59" i="76" s="1"/>
  <c r="BG59" i="76" s="1"/>
  <c r="BM59" i="76"/>
  <c r="BN59" i="76" s="1"/>
  <c r="BO59" i="76" s="1"/>
  <c r="AO59" i="76"/>
  <c r="AP59" i="76" s="1"/>
  <c r="AQ59" i="76" s="1"/>
  <c r="AR59" i="76" s="1"/>
  <c r="AC59" i="76"/>
  <c r="AD60" i="76" s="1"/>
  <c r="AY59" i="76"/>
  <c r="AZ59" i="76" s="1"/>
  <c r="BA59" i="76" s="1"/>
  <c r="BB59" i="76" s="1"/>
  <c r="BI59" i="76"/>
  <c r="BJ59" i="76" s="1"/>
  <c r="BK59" i="76" s="1"/>
  <c r="BL59" i="76" s="1"/>
  <c r="O63" i="75"/>
  <c r="N64" i="75"/>
  <c r="AK59" i="77"/>
  <c r="AL59" i="77" s="1"/>
  <c r="AN59" i="77" s="1"/>
  <c r="BP59" i="77"/>
  <c r="BQ59" i="77" s="1"/>
  <c r="BS59" i="77" s="1"/>
  <c r="AI60" i="77"/>
  <c r="AG60" i="76"/>
  <c r="AI60" i="75"/>
  <c r="CM61" i="75"/>
  <c r="V60" i="77"/>
  <c r="AB60" i="77" s="1"/>
  <c r="T60" i="76"/>
  <c r="Z60" i="76" s="1"/>
  <c r="V60" i="75"/>
  <c r="AB60" i="75" s="1"/>
  <c r="AI60" i="74"/>
  <c r="Y60" i="77"/>
  <c r="AU60" i="77"/>
  <c r="CK60" i="77"/>
  <c r="U61" i="77"/>
  <c r="BE60" i="77"/>
  <c r="AP60" i="77"/>
  <c r="AO60" i="77"/>
  <c r="BJ60" i="77"/>
  <c r="AZ60" i="77"/>
  <c r="N64" i="76"/>
  <c r="O63" i="76"/>
  <c r="AW59" i="77"/>
  <c r="AX59" i="77" s="1"/>
  <c r="AY59" i="77" s="1"/>
  <c r="AF60" i="75" l="1"/>
  <c r="BP60" i="75" s="1"/>
  <c r="BQ60" i="75" s="1"/>
  <c r="BS60" i="75" s="1"/>
  <c r="BB59" i="75"/>
  <c r="BC59" i="75" s="1"/>
  <c r="BD59" i="75" s="1"/>
  <c r="BL59" i="75"/>
  <c r="BM59" i="75" s="1"/>
  <c r="BN59" i="75" s="1"/>
  <c r="BT59" i="75"/>
  <c r="BU59" i="75" s="1"/>
  <c r="BW59" i="75" s="1"/>
  <c r="AO60" i="75"/>
  <c r="AR59" i="75"/>
  <c r="AS59" i="75" s="1"/>
  <c r="AT59" i="75" s="1"/>
  <c r="BJ60" i="75"/>
  <c r="CC60" i="75"/>
  <c r="AZ60" i="75"/>
  <c r="AP60" i="75"/>
  <c r="BE60" i="75"/>
  <c r="U61" i="75"/>
  <c r="AU60" i="75"/>
  <c r="CL60" i="75"/>
  <c r="O64" i="74"/>
  <c r="M78" i="65" s="1"/>
  <c r="N65" i="74"/>
  <c r="L79" i="65" s="1"/>
  <c r="Y60" i="75"/>
  <c r="AK60" i="75" s="1"/>
  <c r="AL60" i="75" s="1"/>
  <c r="AW59" i="75"/>
  <c r="AX59" i="75" s="1"/>
  <c r="AY59" i="75" s="1"/>
  <c r="AK59" i="75"/>
  <c r="AL59" i="75" s="1"/>
  <c r="AN59" i="75" s="1"/>
  <c r="BG59" i="75"/>
  <c r="BH59" i="75" s="1"/>
  <c r="BI59" i="75" s="1"/>
  <c r="AF61" i="77"/>
  <c r="AG61" i="77" s="1"/>
  <c r="AG59" i="75"/>
  <c r="AN61" i="74"/>
  <c r="AE59" i="76"/>
  <c r="BT60" i="77"/>
  <c r="BU60" i="77" s="1"/>
  <c r="BW60" i="77" s="1"/>
  <c r="Z60" i="77"/>
  <c r="AG60" i="77"/>
  <c r="BG60" i="77"/>
  <c r="BH60" i="77" s="1"/>
  <c r="BI60" i="77" s="1"/>
  <c r="AR60" i="77"/>
  <c r="AS60" i="77" s="1"/>
  <c r="AT60" i="77" s="1"/>
  <c r="BL60" i="77"/>
  <c r="BM60" i="77" s="1"/>
  <c r="BN60" i="77" s="1"/>
  <c r="AI61" i="77"/>
  <c r="AG61" i="76"/>
  <c r="AI61" i="75"/>
  <c r="BD60" i="76"/>
  <c r="BE60" i="76" s="1"/>
  <c r="BF60" i="76" s="1"/>
  <c r="BG60" i="76" s="1"/>
  <c r="BM60" i="76"/>
  <c r="BN60" i="76" s="1"/>
  <c r="BO60" i="76" s="1"/>
  <c r="AO60" i="76"/>
  <c r="AP60" i="76" s="1"/>
  <c r="AQ60" i="76" s="1"/>
  <c r="AR60" i="76" s="1"/>
  <c r="AC60" i="76"/>
  <c r="AD61" i="76" s="1"/>
  <c r="AY60" i="76"/>
  <c r="AZ60" i="76" s="1"/>
  <c r="BA60" i="76" s="1"/>
  <c r="BB60" i="76" s="1"/>
  <c r="BI60" i="76"/>
  <c r="BJ60" i="76" s="1"/>
  <c r="BK60" i="76" s="1"/>
  <c r="BL60" i="76" s="1"/>
  <c r="AT60" i="76"/>
  <c r="AU60" i="76" s="1"/>
  <c r="AV60" i="76" s="1"/>
  <c r="AW60" i="76" s="1"/>
  <c r="AH60" i="76"/>
  <c r="AI60" i="76" s="1"/>
  <c r="AJ60" i="76" s="1"/>
  <c r="AL60" i="76" s="1"/>
  <c r="AD61" i="77"/>
  <c r="AB61" i="76"/>
  <c r="AD61" i="75"/>
  <c r="AG61" i="74"/>
  <c r="O64" i="75"/>
  <c r="N65" i="75"/>
  <c r="V61" i="77"/>
  <c r="AB61" i="77" s="1"/>
  <c r="T61" i="76"/>
  <c r="Z61" i="76" s="1"/>
  <c r="V61" i="75"/>
  <c r="AB61" i="75" s="1"/>
  <c r="AI61" i="74"/>
  <c r="AP62" i="74"/>
  <c r="AB63" i="74"/>
  <c r="AJ62" i="74"/>
  <c r="CC62" i="74"/>
  <c r="AV62" i="74"/>
  <c r="AF62" i="74"/>
  <c r="AG62" i="74" s="1"/>
  <c r="AE62" i="74"/>
  <c r="AC62" i="74"/>
  <c r="CM62" i="75"/>
  <c r="CL62" i="77"/>
  <c r="AK60" i="77"/>
  <c r="AL60" i="77" s="1"/>
  <c r="AN60" i="77" s="1"/>
  <c r="BJ61" i="77"/>
  <c r="Y61" i="77"/>
  <c r="AU61" i="77"/>
  <c r="CK61" i="77"/>
  <c r="U62" i="77"/>
  <c r="BE61" i="77"/>
  <c r="AP61" i="77"/>
  <c r="AZ61" i="77"/>
  <c r="AO61" i="77"/>
  <c r="AW60" i="77"/>
  <c r="AX60" i="77" s="1"/>
  <c r="AY60" i="77" s="1"/>
  <c r="BB60" i="77"/>
  <c r="BC60" i="77" s="1"/>
  <c r="BD60" i="77" s="1"/>
  <c r="BM61" i="74"/>
  <c r="BN61" i="74" s="1"/>
  <c r="BO61" i="74" s="1"/>
  <c r="AX61" i="74"/>
  <c r="AY61" i="74" s="1"/>
  <c r="AZ61" i="74" s="1"/>
  <c r="BH61" i="74"/>
  <c r="BI61" i="74" s="1"/>
  <c r="BJ61" i="74" s="1"/>
  <c r="AQ61" i="74"/>
  <c r="AR61" i="74" s="1"/>
  <c r="AS61" i="74" s="1"/>
  <c r="AU61" i="74" s="1"/>
  <c r="BQ61" i="74"/>
  <c r="BR61" i="74" s="1"/>
  <c r="BS61" i="74" s="1"/>
  <c r="BC61" i="74"/>
  <c r="BD61" i="74" s="1"/>
  <c r="BE61" i="74" s="1"/>
  <c r="AL61" i="74"/>
  <c r="AM62" i="74" s="1"/>
  <c r="O64" i="77"/>
  <c r="N65" i="77"/>
  <c r="AN61" i="76"/>
  <c r="AM61" i="76"/>
  <c r="AX61" i="76"/>
  <c r="BH61" i="76"/>
  <c r="S62" i="76"/>
  <c r="W61" i="76"/>
  <c r="V61" i="76"/>
  <c r="AS61" i="76"/>
  <c r="BC61" i="76"/>
  <c r="O64" i="76"/>
  <c r="N65" i="76"/>
  <c r="AN60" i="75" l="1"/>
  <c r="AG60" i="75"/>
  <c r="AF61" i="75"/>
  <c r="AG61" i="75" s="1"/>
  <c r="AZ61" i="75"/>
  <c r="BE61" i="75"/>
  <c r="AO61" i="75"/>
  <c r="AP61" i="75"/>
  <c r="CL61" i="75"/>
  <c r="AU61" i="75"/>
  <c r="U62" i="75"/>
  <c r="AF62" i="75" s="1"/>
  <c r="AG62" i="75" s="1"/>
  <c r="CC61" i="75"/>
  <c r="BJ61" i="75"/>
  <c r="BL60" i="75"/>
  <c r="BM60" i="75" s="1"/>
  <c r="BN60" i="75" s="1"/>
  <c r="Y61" i="75"/>
  <c r="Z61" i="75" s="1"/>
  <c r="BG60" i="75"/>
  <c r="BH60" i="75" s="1"/>
  <c r="BI60" i="75" s="1"/>
  <c r="BB60" i="75"/>
  <c r="BC60" i="75" s="1"/>
  <c r="BD60" i="75" s="1"/>
  <c r="BT60" i="75"/>
  <c r="BU60" i="75" s="1"/>
  <c r="BW60" i="75" s="1"/>
  <c r="Z60" i="75"/>
  <c r="O65" i="74"/>
  <c r="M79" i="65" s="1"/>
  <c r="N66" i="74"/>
  <c r="L80" i="65" s="1"/>
  <c r="AW60" i="75"/>
  <c r="AX60" i="75" s="1"/>
  <c r="AY60" i="75" s="1"/>
  <c r="AR60" i="75"/>
  <c r="AS60" i="75" s="1"/>
  <c r="AT60" i="75" s="1"/>
  <c r="AF62" i="77"/>
  <c r="BP62" i="77" s="1"/>
  <c r="BQ62" i="77" s="1"/>
  <c r="BS62" i="77" s="1"/>
  <c r="AN62" i="74"/>
  <c r="AE60" i="76"/>
  <c r="BT61" i="77"/>
  <c r="BU61" i="77" s="1"/>
  <c r="BW61" i="77" s="1"/>
  <c r="BP61" i="77"/>
  <c r="BQ61" i="77" s="1"/>
  <c r="BS61" i="77" s="1"/>
  <c r="BL61" i="77"/>
  <c r="BM61" i="77" s="1"/>
  <c r="BN61" i="77" s="1"/>
  <c r="AK61" i="77"/>
  <c r="AL61" i="77" s="1"/>
  <c r="AN61" i="77" s="1"/>
  <c r="BP61" i="75"/>
  <c r="BQ61" i="75" s="1"/>
  <c r="BS61" i="75" s="1"/>
  <c r="BQ62" i="74"/>
  <c r="BR62" i="74" s="1"/>
  <c r="BS62" i="74" s="1"/>
  <c r="BC62" i="74"/>
  <c r="BD62" i="74" s="1"/>
  <c r="BE62" i="74" s="1"/>
  <c r="AL62" i="74"/>
  <c r="AM63" i="74" s="1"/>
  <c r="BM62" i="74"/>
  <c r="BN62" i="74" s="1"/>
  <c r="BO62" i="74" s="1"/>
  <c r="AX62" i="74"/>
  <c r="AY62" i="74" s="1"/>
  <c r="AZ62" i="74" s="1"/>
  <c r="BH62" i="74"/>
  <c r="BI62" i="74" s="1"/>
  <c r="BJ62" i="74" s="1"/>
  <c r="AQ62" i="74"/>
  <c r="AR62" i="74" s="1"/>
  <c r="AS62" i="74" s="1"/>
  <c r="AU62" i="74" s="1"/>
  <c r="N66" i="76"/>
  <c r="O65" i="76"/>
  <c r="CL63" i="77"/>
  <c r="BJ62" i="77"/>
  <c r="Y62" i="77"/>
  <c r="Z62" i="77" s="1"/>
  <c r="AU62" i="77"/>
  <c r="CK62" i="77"/>
  <c r="AP62" i="77"/>
  <c r="AO62" i="77"/>
  <c r="U63" i="77"/>
  <c r="BE62" i="77"/>
  <c r="AZ62" i="77"/>
  <c r="AW61" i="77"/>
  <c r="AX61" i="77" s="1"/>
  <c r="AY61" i="77" s="1"/>
  <c r="BH62" i="76"/>
  <c r="S63" i="76"/>
  <c r="W62" i="76"/>
  <c r="X62" i="76" s="1"/>
  <c r="V62" i="76"/>
  <c r="AS62" i="76"/>
  <c r="BC62" i="76"/>
  <c r="AN62" i="76"/>
  <c r="AM62" i="76"/>
  <c r="AX62" i="76"/>
  <c r="CM63" i="75"/>
  <c r="X61" i="76"/>
  <c r="BB61" i="77"/>
  <c r="BC61" i="77" s="1"/>
  <c r="BD61" i="77" s="1"/>
  <c r="AD62" i="77"/>
  <c r="AB62" i="76"/>
  <c r="AD62" i="75"/>
  <c r="O65" i="75"/>
  <c r="N66" i="75"/>
  <c r="Z61" i="77"/>
  <c r="AR61" i="77"/>
  <c r="AS61" i="77" s="1"/>
  <c r="AT61" i="77" s="1"/>
  <c r="V62" i="77"/>
  <c r="AB62" i="77" s="1"/>
  <c r="T62" i="76"/>
  <c r="Z62" i="76" s="1"/>
  <c r="V62" i="75"/>
  <c r="AB62" i="75" s="1"/>
  <c r="AI62" i="74"/>
  <c r="AF63" i="74"/>
  <c r="AG63" i="74" s="1"/>
  <c r="AE63" i="74"/>
  <c r="AC63" i="74"/>
  <c r="AP63" i="74"/>
  <c r="AB64" i="74"/>
  <c r="AJ63" i="74"/>
  <c r="CC63" i="74"/>
  <c r="AV63" i="74"/>
  <c r="AY61" i="76"/>
  <c r="AZ61" i="76" s="1"/>
  <c r="BA61" i="76" s="1"/>
  <c r="BB61" i="76" s="1"/>
  <c r="BI61" i="76"/>
  <c r="BJ61" i="76" s="1"/>
  <c r="BK61" i="76" s="1"/>
  <c r="BL61" i="76" s="1"/>
  <c r="AT61" i="76"/>
  <c r="AU61" i="76" s="1"/>
  <c r="AV61" i="76" s="1"/>
  <c r="AW61" i="76" s="1"/>
  <c r="AH61" i="76"/>
  <c r="AI61" i="76" s="1"/>
  <c r="AJ61" i="76" s="1"/>
  <c r="AL61" i="76" s="1"/>
  <c r="BD61" i="76"/>
  <c r="BE61" i="76" s="1"/>
  <c r="BF61" i="76" s="1"/>
  <c r="BG61" i="76" s="1"/>
  <c r="BM61" i="76"/>
  <c r="BN61" i="76" s="1"/>
  <c r="BO61" i="76" s="1"/>
  <c r="AO61" i="76"/>
  <c r="AP61" i="76" s="1"/>
  <c r="AQ61" i="76" s="1"/>
  <c r="AR61" i="76" s="1"/>
  <c r="AC61" i="76"/>
  <c r="AD62" i="76" s="1"/>
  <c r="O65" i="77"/>
  <c r="N66" i="77"/>
  <c r="BG61" i="77"/>
  <c r="BH61" i="77" s="1"/>
  <c r="BI61" i="77" s="1"/>
  <c r="AI62" i="77"/>
  <c r="AG62" i="76"/>
  <c r="AI62" i="75"/>
  <c r="CC62" i="75" l="1"/>
  <c r="AO62" i="75"/>
  <c r="BE62" i="75"/>
  <c r="U63" i="75"/>
  <c r="AF63" i="75" s="1"/>
  <c r="AG63" i="75" s="1"/>
  <c r="AU62" i="75"/>
  <c r="CL62" i="75"/>
  <c r="BJ62" i="75"/>
  <c r="AZ62" i="75"/>
  <c r="AP62" i="75"/>
  <c r="AR61" i="75"/>
  <c r="AS61" i="75" s="1"/>
  <c r="AT61" i="75" s="1"/>
  <c r="BT61" i="75"/>
  <c r="BU61" i="75" s="1"/>
  <c r="BW61" i="75" s="1"/>
  <c r="AW61" i="75"/>
  <c r="AX61" i="75" s="1"/>
  <c r="AY61" i="75" s="1"/>
  <c r="AK61" i="75"/>
  <c r="AL61" i="75" s="1"/>
  <c r="AN61" i="75" s="1"/>
  <c r="BG61" i="75"/>
  <c r="BH61" i="75" s="1"/>
  <c r="BI61" i="75" s="1"/>
  <c r="BB61" i="75"/>
  <c r="BC61" i="75" s="1"/>
  <c r="BD61" i="75" s="1"/>
  <c r="BL61" i="75"/>
  <c r="BM61" i="75" s="1"/>
  <c r="BN61" i="75" s="1"/>
  <c r="Y62" i="75"/>
  <c r="Z62" i="75" s="1"/>
  <c r="N67" i="74"/>
  <c r="L81" i="65" s="1"/>
  <c r="O66" i="74"/>
  <c r="M80" i="65" s="1"/>
  <c r="AF63" i="77"/>
  <c r="AG63" i="77" s="1"/>
  <c r="AE61" i="76"/>
  <c r="BL62" i="77"/>
  <c r="BM62" i="77" s="1"/>
  <c r="BN62" i="77" s="1"/>
  <c r="BP62" i="75"/>
  <c r="BQ62" i="75" s="1"/>
  <c r="BS62" i="75" s="1"/>
  <c r="AR62" i="77"/>
  <c r="AS62" i="77" s="1"/>
  <c r="AT62" i="77" s="1"/>
  <c r="BG62" i="77"/>
  <c r="BH62" i="77" s="1"/>
  <c r="BI62" i="77" s="1"/>
  <c r="AG62" i="77"/>
  <c r="BT62" i="77"/>
  <c r="BU62" i="77" s="1"/>
  <c r="BW62" i="77" s="1"/>
  <c r="BB62" i="77"/>
  <c r="BC62" i="77" s="1"/>
  <c r="BD62" i="77" s="1"/>
  <c r="AT62" i="76"/>
  <c r="AU62" i="76" s="1"/>
  <c r="AV62" i="76" s="1"/>
  <c r="AW62" i="76" s="1"/>
  <c r="AH62" i="76"/>
  <c r="AI62" i="76" s="1"/>
  <c r="AJ62" i="76" s="1"/>
  <c r="AL62" i="76" s="1"/>
  <c r="BD62" i="76"/>
  <c r="BE62" i="76" s="1"/>
  <c r="BF62" i="76" s="1"/>
  <c r="BG62" i="76" s="1"/>
  <c r="BM62" i="76"/>
  <c r="BN62" i="76" s="1"/>
  <c r="BO62" i="76" s="1"/>
  <c r="AO62" i="76"/>
  <c r="AP62" i="76" s="1"/>
  <c r="AQ62" i="76" s="1"/>
  <c r="AR62" i="76" s="1"/>
  <c r="AC62" i="76"/>
  <c r="AD63" i="76" s="1"/>
  <c r="AY62" i="76"/>
  <c r="AZ62" i="76" s="1"/>
  <c r="BA62" i="76" s="1"/>
  <c r="BB62" i="76" s="1"/>
  <c r="BI62" i="76"/>
  <c r="BJ62" i="76" s="1"/>
  <c r="BK62" i="76" s="1"/>
  <c r="BL62" i="76" s="1"/>
  <c r="N67" i="76"/>
  <c r="O66" i="76"/>
  <c r="CM64" i="75"/>
  <c r="AD63" i="77"/>
  <c r="AB63" i="76"/>
  <c r="AD63" i="75"/>
  <c r="BH63" i="74"/>
  <c r="BI63" i="74" s="1"/>
  <c r="BJ63" i="74" s="1"/>
  <c r="AQ63" i="74"/>
  <c r="AR63" i="74" s="1"/>
  <c r="AS63" i="74" s="1"/>
  <c r="AU63" i="74" s="1"/>
  <c r="BQ63" i="74"/>
  <c r="BR63" i="74" s="1"/>
  <c r="BS63" i="74" s="1"/>
  <c r="BC63" i="74"/>
  <c r="BD63" i="74" s="1"/>
  <c r="BE63" i="74" s="1"/>
  <c r="AL63" i="74"/>
  <c r="AM64" i="74" s="1"/>
  <c r="BM63" i="74"/>
  <c r="BN63" i="74" s="1"/>
  <c r="BO63" i="74" s="1"/>
  <c r="AX63" i="74"/>
  <c r="AY63" i="74" s="1"/>
  <c r="AZ63" i="74" s="1"/>
  <c r="AZ63" i="77"/>
  <c r="BJ63" i="77"/>
  <c r="Y63" i="77"/>
  <c r="AU63" i="77"/>
  <c r="U64" i="77"/>
  <c r="BE63" i="77"/>
  <c r="CK63" i="77"/>
  <c r="AP63" i="77"/>
  <c r="AO63" i="77"/>
  <c r="AK62" i="77"/>
  <c r="AL62" i="77" s="1"/>
  <c r="AN62" i="77" s="1"/>
  <c r="V63" i="77"/>
  <c r="AB63" i="77" s="1"/>
  <c r="T63" i="76"/>
  <c r="Z63" i="76" s="1"/>
  <c r="V63" i="75"/>
  <c r="AB63" i="75" s="1"/>
  <c r="AI63" i="74"/>
  <c r="N67" i="75"/>
  <c r="O66" i="75"/>
  <c r="AW62" i="77"/>
  <c r="AX62" i="77" s="1"/>
  <c r="AY62" i="77" s="1"/>
  <c r="CL64" i="77"/>
  <c r="AI63" i="77"/>
  <c r="AG63" i="76"/>
  <c r="AI63" i="75"/>
  <c r="BC63" i="76"/>
  <c r="AN63" i="76"/>
  <c r="AM63" i="76"/>
  <c r="AX63" i="76"/>
  <c r="BH63" i="76"/>
  <c r="S64" i="76"/>
  <c r="W63" i="76"/>
  <c r="X63" i="76" s="1"/>
  <c r="V63" i="76"/>
  <c r="AS63" i="76"/>
  <c r="O66" i="77"/>
  <c r="N67" i="77"/>
  <c r="AB65" i="74"/>
  <c r="AJ64" i="74"/>
  <c r="CC64" i="74"/>
  <c r="AV64" i="74"/>
  <c r="AF64" i="74"/>
  <c r="AE64" i="74"/>
  <c r="AC64" i="74"/>
  <c r="AP64" i="74"/>
  <c r="CL63" i="75"/>
  <c r="BE63" i="75"/>
  <c r="AZ63" i="75"/>
  <c r="CC63" i="75"/>
  <c r="BJ63" i="75"/>
  <c r="AO63" i="75" l="1"/>
  <c r="U64" i="75"/>
  <c r="CL64" i="75" s="1"/>
  <c r="AU63" i="75"/>
  <c r="AP63" i="75"/>
  <c r="Y63" i="75"/>
  <c r="Z63" i="75" s="1"/>
  <c r="BL62" i="75"/>
  <c r="BM62" i="75" s="1"/>
  <c r="BN62" i="75" s="1"/>
  <c r="AR62" i="75"/>
  <c r="AS62" i="75" s="1"/>
  <c r="AT62" i="75" s="1"/>
  <c r="AK62" i="75"/>
  <c r="AL62" i="75" s="1"/>
  <c r="AN62" i="75" s="1"/>
  <c r="N68" i="74"/>
  <c r="L82" i="65" s="1"/>
  <c r="BT62" i="75"/>
  <c r="BU62" i="75" s="1"/>
  <c r="BW62" i="75" s="1"/>
  <c r="BG62" i="75"/>
  <c r="BH62" i="75" s="1"/>
  <c r="BI62" i="75" s="1"/>
  <c r="AW62" i="75"/>
  <c r="AX62" i="75" s="1"/>
  <c r="AY62" i="75" s="1"/>
  <c r="O67" i="74"/>
  <c r="M81" i="65" s="1"/>
  <c r="BB62" i="75"/>
  <c r="BC62" i="75" s="1"/>
  <c r="BD62" i="75" s="1"/>
  <c r="AF64" i="77"/>
  <c r="BP64" i="77" s="1"/>
  <c r="BQ64" i="77" s="1"/>
  <c r="BS64" i="77" s="1"/>
  <c r="AR63" i="77"/>
  <c r="AS63" i="77" s="1"/>
  <c r="AT63" i="77" s="1"/>
  <c r="AN64" i="74"/>
  <c r="AN63" i="74"/>
  <c r="AE62" i="76"/>
  <c r="BB63" i="77"/>
  <c r="BC63" i="77" s="1"/>
  <c r="BD63" i="77" s="1"/>
  <c r="BL63" i="77"/>
  <c r="BM63" i="77" s="1"/>
  <c r="BN63" i="77" s="1"/>
  <c r="BP63" i="75"/>
  <c r="BQ63" i="75" s="1"/>
  <c r="BS63" i="75" s="1"/>
  <c r="BT63" i="77"/>
  <c r="BU63" i="77" s="1"/>
  <c r="BW63" i="77" s="1"/>
  <c r="Z63" i="77"/>
  <c r="AL64" i="74"/>
  <c r="AM65" i="74" s="1"/>
  <c r="BM64" i="74"/>
  <c r="BN64" i="74" s="1"/>
  <c r="BO64" i="74" s="1"/>
  <c r="AX64" i="74"/>
  <c r="AY64" i="74" s="1"/>
  <c r="AZ64" i="74" s="1"/>
  <c r="BH64" i="74"/>
  <c r="BI64" i="74" s="1"/>
  <c r="BJ64" i="74" s="1"/>
  <c r="AQ64" i="74"/>
  <c r="AR64" i="74" s="1"/>
  <c r="AS64" i="74" s="1"/>
  <c r="AU64" i="74" s="1"/>
  <c r="BQ64" i="74"/>
  <c r="BR64" i="74" s="1"/>
  <c r="BS64" i="74" s="1"/>
  <c r="BC64" i="74"/>
  <c r="BD64" i="74" s="1"/>
  <c r="BE64" i="74" s="1"/>
  <c r="AO64" i="77"/>
  <c r="AZ64" i="77"/>
  <c r="BJ64" i="77"/>
  <c r="Y64" i="77"/>
  <c r="CK64" i="77"/>
  <c r="U65" i="77"/>
  <c r="BE64" i="77"/>
  <c r="AU64" i="77"/>
  <c r="AP64" i="77"/>
  <c r="AN64" i="76"/>
  <c r="AM64" i="76"/>
  <c r="AX64" i="76"/>
  <c r="BH64" i="76"/>
  <c r="S65" i="76"/>
  <c r="W64" i="76"/>
  <c r="V64" i="76"/>
  <c r="AS64" i="76"/>
  <c r="BC64" i="76"/>
  <c r="O67" i="76"/>
  <c r="N68" i="76"/>
  <c r="BG63" i="77"/>
  <c r="BH63" i="77" s="1"/>
  <c r="BI63" i="77" s="1"/>
  <c r="AI64" i="77"/>
  <c r="AG64" i="76"/>
  <c r="AI64" i="75"/>
  <c r="O67" i="75"/>
  <c r="N68" i="75"/>
  <c r="CM65" i="75"/>
  <c r="AD64" i="77"/>
  <c r="AB64" i="76"/>
  <c r="AD64" i="75"/>
  <c r="O67" i="77"/>
  <c r="N68" i="77"/>
  <c r="BP63" i="77"/>
  <c r="BQ63" i="77" s="1"/>
  <c r="BS63" i="77" s="1"/>
  <c r="AG64" i="74"/>
  <c r="V64" i="77"/>
  <c r="AB64" i="77" s="1"/>
  <c r="T64" i="76"/>
  <c r="Z64" i="76" s="1"/>
  <c r="V64" i="75"/>
  <c r="AB64" i="75" s="1"/>
  <c r="AI64" i="74"/>
  <c r="BD63" i="76"/>
  <c r="BE63" i="76" s="1"/>
  <c r="BF63" i="76" s="1"/>
  <c r="BG63" i="76" s="1"/>
  <c r="BM63" i="76"/>
  <c r="BN63" i="76" s="1"/>
  <c r="BO63" i="76" s="1"/>
  <c r="AO63" i="76"/>
  <c r="AP63" i="76" s="1"/>
  <c r="AQ63" i="76" s="1"/>
  <c r="AR63" i="76" s="1"/>
  <c r="AC63" i="76"/>
  <c r="AD64" i="76" s="1"/>
  <c r="AY63" i="76"/>
  <c r="AZ63" i="76" s="1"/>
  <c r="BA63" i="76" s="1"/>
  <c r="BB63" i="76" s="1"/>
  <c r="BI63" i="76"/>
  <c r="BJ63" i="76" s="1"/>
  <c r="BK63" i="76" s="1"/>
  <c r="BL63" i="76" s="1"/>
  <c r="AT63" i="76"/>
  <c r="AU63" i="76" s="1"/>
  <c r="AV63" i="76" s="1"/>
  <c r="AW63" i="76" s="1"/>
  <c r="AH63" i="76"/>
  <c r="AI63" i="76" s="1"/>
  <c r="AJ63" i="76" s="1"/>
  <c r="AL63" i="76" s="1"/>
  <c r="AK63" i="77"/>
  <c r="AL63" i="77" s="1"/>
  <c r="AN63" i="77" s="1"/>
  <c r="CL65" i="77"/>
  <c r="AW63" i="77"/>
  <c r="AX63" i="77" s="1"/>
  <c r="AY63" i="77" s="1"/>
  <c r="AB66" i="74"/>
  <c r="CC65" i="74"/>
  <c r="AE65" i="74"/>
  <c r="AC65" i="74"/>
  <c r="AF65" i="74"/>
  <c r="AG65" i="74" s="1"/>
  <c r="AV65" i="74"/>
  <c r="AP65" i="74"/>
  <c r="AJ65" i="74"/>
  <c r="AK63" i="75" l="1"/>
  <c r="AL63" i="75" s="1"/>
  <c r="AN63" i="75" s="1"/>
  <c r="AF64" i="75"/>
  <c r="AG64" i="75" s="1"/>
  <c r="BJ64" i="75"/>
  <c r="AZ64" i="75"/>
  <c r="CC64" i="75"/>
  <c r="AP64" i="75"/>
  <c r="Y64" i="75"/>
  <c r="Z64" i="75" s="1"/>
  <c r="AO64" i="75"/>
  <c r="BE64" i="75"/>
  <c r="AW63" i="75"/>
  <c r="AX63" i="75" s="1"/>
  <c r="AY63" i="75" s="1"/>
  <c r="U65" i="75"/>
  <c r="BJ65" i="75" s="1"/>
  <c r="AU64" i="75"/>
  <c r="BT63" i="75"/>
  <c r="BU63" i="75" s="1"/>
  <c r="BW63" i="75" s="1"/>
  <c r="BG63" i="75"/>
  <c r="BH63" i="75" s="1"/>
  <c r="BI63" i="75" s="1"/>
  <c r="AR63" i="75"/>
  <c r="AS63" i="75" s="1"/>
  <c r="AT63" i="75" s="1"/>
  <c r="BL63" i="75"/>
  <c r="BM63" i="75" s="1"/>
  <c r="BN63" i="75" s="1"/>
  <c r="BB63" i="75"/>
  <c r="BC63" i="75" s="1"/>
  <c r="BD63" i="75" s="1"/>
  <c r="O68" i="74"/>
  <c r="M82" i="65" s="1"/>
  <c r="N69" i="74"/>
  <c r="L83" i="65" s="1"/>
  <c r="AF65" i="77"/>
  <c r="AG65" i="77" s="1"/>
  <c r="AE63" i="76"/>
  <c r="BB64" i="77"/>
  <c r="BC64" i="77" s="1"/>
  <c r="BD64" i="77" s="1"/>
  <c r="AK64" i="77"/>
  <c r="AL64" i="77" s="1"/>
  <c r="AN64" i="77" s="1"/>
  <c r="BT64" i="77"/>
  <c r="BU64" i="77" s="1"/>
  <c r="BW64" i="77" s="1"/>
  <c r="AG64" i="77"/>
  <c r="AR64" i="77"/>
  <c r="AS64" i="77" s="1"/>
  <c r="AT64" i="77" s="1"/>
  <c r="CM66" i="75"/>
  <c r="AC66" i="74"/>
  <c r="AP66" i="74"/>
  <c r="CC66" i="74"/>
  <c r="AV66" i="74"/>
  <c r="AF66" i="74"/>
  <c r="AB67" i="74"/>
  <c r="AJ66" i="74"/>
  <c r="AE66" i="74"/>
  <c r="CL66" i="77"/>
  <c r="BH65" i="76"/>
  <c r="S66" i="76"/>
  <c r="W65" i="76"/>
  <c r="V65" i="76"/>
  <c r="AS65" i="76"/>
  <c r="BC65" i="76"/>
  <c r="AN65" i="76"/>
  <c r="AM65" i="76"/>
  <c r="AX65" i="76"/>
  <c r="AD65" i="77"/>
  <c r="AB65" i="76"/>
  <c r="AD65" i="75"/>
  <c r="O68" i="77"/>
  <c r="N69" i="77"/>
  <c r="X64" i="76"/>
  <c r="AW64" i="77"/>
  <c r="AX64" i="77" s="1"/>
  <c r="AY64" i="77" s="1"/>
  <c r="V65" i="77"/>
  <c r="AB65" i="77" s="1"/>
  <c r="T65" i="76"/>
  <c r="Z65" i="76" s="1"/>
  <c r="V65" i="75"/>
  <c r="AB65" i="75" s="1"/>
  <c r="AI65" i="74"/>
  <c r="BG64" i="77"/>
  <c r="BH64" i="77" s="1"/>
  <c r="BI64" i="77" s="1"/>
  <c r="AI65" i="77"/>
  <c r="AG65" i="76"/>
  <c r="AI65" i="75"/>
  <c r="BL64" i="77"/>
  <c r="BM64" i="77" s="1"/>
  <c r="BN64" i="77" s="1"/>
  <c r="O68" i="75"/>
  <c r="N69" i="75"/>
  <c r="AY64" i="76"/>
  <c r="AZ64" i="76" s="1"/>
  <c r="BA64" i="76" s="1"/>
  <c r="BB64" i="76" s="1"/>
  <c r="BI64" i="76"/>
  <c r="BJ64" i="76" s="1"/>
  <c r="BK64" i="76" s="1"/>
  <c r="BL64" i="76" s="1"/>
  <c r="AT64" i="76"/>
  <c r="AU64" i="76" s="1"/>
  <c r="AV64" i="76" s="1"/>
  <c r="AW64" i="76" s="1"/>
  <c r="AH64" i="76"/>
  <c r="AI64" i="76" s="1"/>
  <c r="AJ64" i="76" s="1"/>
  <c r="AL64" i="76" s="1"/>
  <c r="BD64" i="76"/>
  <c r="BE64" i="76" s="1"/>
  <c r="BF64" i="76" s="1"/>
  <c r="BG64" i="76" s="1"/>
  <c r="AC64" i="76"/>
  <c r="AD65" i="76" s="1"/>
  <c r="BM64" i="76"/>
  <c r="BN64" i="76" s="1"/>
  <c r="BO64" i="76" s="1"/>
  <c r="AO64" i="76"/>
  <c r="AP64" i="76" s="1"/>
  <c r="AQ64" i="76" s="1"/>
  <c r="AR64" i="76" s="1"/>
  <c r="AP65" i="77"/>
  <c r="AO65" i="77"/>
  <c r="AZ65" i="77"/>
  <c r="BJ65" i="77"/>
  <c r="Y65" i="77"/>
  <c r="Z65" i="77" s="1"/>
  <c r="AU65" i="77"/>
  <c r="CK65" i="77"/>
  <c r="U66" i="77"/>
  <c r="BE65" i="77"/>
  <c r="Z64" i="77"/>
  <c r="AL65" i="74"/>
  <c r="AM66" i="74" s="1"/>
  <c r="BM65" i="74"/>
  <c r="BN65" i="74" s="1"/>
  <c r="BO65" i="74" s="1"/>
  <c r="AQ65" i="74"/>
  <c r="AR65" i="74" s="1"/>
  <c r="AS65" i="74" s="1"/>
  <c r="AU65" i="74" s="1"/>
  <c r="BQ65" i="74"/>
  <c r="BR65" i="74" s="1"/>
  <c r="BS65" i="74" s="1"/>
  <c r="BC65" i="74"/>
  <c r="BD65" i="74" s="1"/>
  <c r="BE65" i="74" s="1"/>
  <c r="BH65" i="74"/>
  <c r="BI65" i="74" s="1"/>
  <c r="BJ65" i="74" s="1"/>
  <c r="AX65" i="74"/>
  <c r="AY65" i="74" s="1"/>
  <c r="AZ65" i="74" s="1"/>
  <c r="N69" i="76"/>
  <c r="O68" i="76"/>
  <c r="BT64" i="75" l="1"/>
  <c r="BU64" i="75" s="1"/>
  <c r="BW64" i="75" s="1"/>
  <c r="AW64" i="75"/>
  <c r="AX64" i="75" s="1"/>
  <c r="AY64" i="75" s="1"/>
  <c r="BG64" i="75"/>
  <c r="BH64" i="75" s="1"/>
  <c r="BI64" i="75" s="1"/>
  <c r="BL64" i="75"/>
  <c r="BM64" i="75" s="1"/>
  <c r="BN64" i="75" s="1"/>
  <c r="AK64" i="75"/>
  <c r="AL64" i="75" s="1"/>
  <c r="AN64" i="75" s="1"/>
  <c r="AR64" i="75"/>
  <c r="AS64" i="75" s="1"/>
  <c r="AT64" i="75" s="1"/>
  <c r="AF65" i="75"/>
  <c r="BP65" i="75" s="1"/>
  <c r="BQ65" i="75" s="1"/>
  <c r="BS65" i="75" s="1"/>
  <c r="BP64" i="75"/>
  <c r="BQ64" i="75" s="1"/>
  <c r="BS64" i="75" s="1"/>
  <c r="BB64" i="75"/>
  <c r="BC64" i="75" s="1"/>
  <c r="BD64" i="75" s="1"/>
  <c r="CC65" i="75"/>
  <c r="AZ65" i="75"/>
  <c r="AO65" i="75"/>
  <c r="AP65" i="75"/>
  <c r="BE65" i="75"/>
  <c r="U66" i="75"/>
  <c r="AU66" i="75" s="1"/>
  <c r="AU65" i="75"/>
  <c r="CL65" i="75"/>
  <c r="Y65" i="75"/>
  <c r="O69" i="74"/>
  <c r="M83" i="65" s="1"/>
  <c r="N70" i="74"/>
  <c r="L84" i="65" s="1"/>
  <c r="AF66" i="77"/>
  <c r="AG66" i="77" s="1"/>
  <c r="AN66" i="74"/>
  <c r="AN65" i="74"/>
  <c r="AE64" i="76"/>
  <c r="BT65" i="77"/>
  <c r="BU65" i="77" s="1"/>
  <c r="BW65" i="77" s="1"/>
  <c r="AW65" i="77"/>
  <c r="AX65" i="77" s="1"/>
  <c r="AY65" i="77" s="1"/>
  <c r="BP65" i="77"/>
  <c r="BQ65" i="77" s="1"/>
  <c r="BS65" i="77" s="1"/>
  <c r="BC66" i="76"/>
  <c r="AN66" i="76"/>
  <c r="AM66" i="76"/>
  <c r="AX66" i="76"/>
  <c r="BH66" i="76"/>
  <c r="S67" i="76"/>
  <c r="W66" i="76"/>
  <c r="X66" i="76" s="1"/>
  <c r="V66" i="76"/>
  <c r="AS66" i="76"/>
  <c r="X65" i="76"/>
  <c r="BG65" i="77"/>
  <c r="BH65" i="77" s="1"/>
  <c r="BI65" i="77" s="1"/>
  <c r="BB65" i="77"/>
  <c r="BC65" i="77" s="1"/>
  <c r="BD65" i="77" s="1"/>
  <c r="V66" i="77"/>
  <c r="AB66" i="77" s="1"/>
  <c r="T66" i="76"/>
  <c r="Z66" i="76" s="1"/>
  <c r="V66" i="75"/>
  <c r="AB66" i="75" s="1"/>
  <c r="AI66" i="74"/>
  <c r="CL67" i="77"/>
  <c r="AT65" i="76"/>
  <c r="AU65" i="76" s="1"/>
  <c r="AV65" i="76" s="1"/>
  <c r="AW65" i="76" s="1"/>
  <c r="AH65" i="76"/>
  <c r="AI65" i="76" s="1"/>
  <c r="AJ65" i="76" s="1"/>
  <c r="AL65" i="76" s="1"/>
  <c r="BD65" i="76"/>
  <c r="BE65" i="76" s="1"/>
  <c r="BF65" i="76" s="1"/>
  <c r="BG65" i="76" s="1"/>
  <c r="BM65" i="76"/>
  <c r="BN65" i="76" s="1"/>
  <c r="BO65" i="76" s="1"/>
  <c r="AO65" i="76"/>
  <c r="AP65" i="76" s="1"/>
  <c r="AQ65" i="76" s="1"/>
  <c r="AR65" i="76" s="1"/>
  <c r="AC65" i="76"/>
  <c r="AD66" i="76" s="1"/>
  <c r="AY65" i="76"/>
  <c r="AZ65" i="76" s="1"/>
  <c r="BA65" i="76" s="1"/>
  <c r="BB65" i="76" s="1"/>
  <c r="BI65" i="76"/>
  <c r="BJ65" i="76" s="1"/>
  <c r="BK65" i="76" s="1"/>
  <c r="BL65" i="76" s="1"/>
  <c r="AI66" i="77"/>
  <c r="AG66" i="76"/>
  <c r="AI66" i="75"/>
  <c r="AP66" i="77"/>
  <c r="AO66" i="77"/>
  <c r="AZ66" i="77"/>
  <c r="BJ66" i="77"/>
  <c r="AU66" i="77"/>
  <c r="CK66" i="77"/>
  <c r="Y66" i="77"/>
  <c r="U67" i="77"/>
  <c r="BE66" i="77"/>
  <c r="O69" i="75"/>
  <c r="N70" i="75"/>
  <c r="N70" i="76"/>
  <c r="O69" i="76"/>
  <c r="AK65" i="77"/>
  <c r="AL65" i="77" s="1"/>
  <c r="AN65" i="77" s="1"/>
  <c r="O69" i="77"/>
  <c r="N70" i="77"/>
  <c r="AQ66" i="74"/>
  <c r="AR66" i="74" s="1"/>
  <c r="AS66" i="74" s="1"/>
  <c r="AU66" i="74" s="1"/>
  <c r="BQ66" i="74"/>
  <c r="BR66" i="74" s="1"/>
  <c r="BS66" i="74" s="1"/>
  <c r="BC66" i="74"/>
  <c r="BD66" i="74" s="1"/>
  <c r="BE66" i="74" s="1"/>
  <c r="AL66" i="74"/>
  <c r="AM67" i="74" s="1"/>
  <c r="BH66" i="74"/>
  <c r="BI66" i="74" s="1"/>
  <c r="BJ66" i="74" s="1"/>
  <c r="BM66" i="74"/>
  <c r="BN66" i="74" s="1"/>
  <c r="BO66" i="74" s="1"/>
  <c r="AX66" i="74"/>
  <c r="AY66" i="74" s="1"/>
  <c r="AZ66" i="74" s="1"/>
  <c r="AR65" i="77"/>
  <c r="AS65" i="77" s="1"/>
  <c r="AT65" i="77" s="1"/>
  <c r="AG66" i="74"/>
  <c r="BL65" i="77"/>
  <c r="BM65" i="77" s="1"/>
  <c r="BN65" i="77" s="1"/>
  <c r="AD66" i="77"/>
  <c r="AB66" i="76"/>
  <c r="AD66" i="75"/>
  <c r="CC67" i="74"/>
  <c r="AV67" i="74"/>
  <c r="AF67" i="74"/>
  <c r="AG67" i="74" s="1"/>
  <c r="AE67" i="74"/>
  <c r="AC67" i="74"/>
  <c r="AB68" i="74"/>
  <c r="AP67" i="74"/>
  <c r="AJ67" i="74"/>
  <c r="CM67" i="75"/>
  <c r="CL66" i="75" l="1"/>
  <c r="BE66" i="75"/>
  <c r="AF66" i="75"/>
  <c r="AG66" i="75" s="1"/>
  <c r="AP66" i="75"/>
  <c r="AO66" i="75"/>
  <c r="U67" i="75"/>
  <c r="CC67" i="75" s="1"/>
  <c r="CC66" i="75"/>
  <c r="AZ66" i="75"/>
  <c r="BJ66" i="75"/>
  <c r="BG65" i="75"/>
  <c r="BH65" i="75" s="1"/>
  <c r="BI65" i="75" s="1"/>
  <c r="BB65" i="75"/>
  <c r="BC65" i="75" s="1"/>
  <c r="BD65" i="75" s="1"/>
  <c r="Z65" i="75"/>
  <c r="AR65" i="75"/>
  <c r="AS65" i="75" s="1"/>
  <c r="AT65" i="75" s="1"/>
  <c r="AG65" i="75"/>
  <c r="BT65" i="75"/>
  <c r="BU65" i="75" s="1"/>
  <c r="BW65" i="75" s="1"/>
  <c r="BL65" i="75"/>
  <c r="BM65" i="75" s="1"/>
  <c r="BN65" i="75" s="1"/>
  <c r="AW65" i="75"/>
  <c r="AX65" i="75" s="1"/>
  <c r="AY65" i="75" s="1"/>
  <c r="AK65" i="75"/>
  <c r="AL65" i="75" s="1"/>
  <c r="AN65" i="75" s="1"/>
  <c r="Y66" i="75"/>
  <c r="Z66" i="75" s="1"/>
  <c r="N71" i="74"/>
  <c r="L85" i="65" s="1"/>
  <c r="O70" i="74"/>
  <c r="M84" i="65" s="1"/>
  <c r="AF67" i="77"/>
  <c r="AN67" i="74"/>
  <c r="AE65" i="76"/>
  <c r="AK66" i="77"/>
  <c r="AL66" i="77" s="1"/>
  <c r="AN66" i="77" s="1"/>
  <c r="BB66" i="77"/>
  <c r="BC66" i="77" s="1"/>
  <c r="BD66" i="77" s="1"/>
  <c r="AR66" i="77"/>
  <c r="AS66" i="77" s="1"/>
  <c r="AT66" i="77" s="1"/>
  <c r="AP67" i="77"/>
  <c r="AO67" i="77"/>
  <c r="AZ67" i="77"/>
  <c r="Y67" i="77"/>
  <c r="Z67" i="77" s="1"/>
  <c r="BJ67" i="77"/>
  <c r="U68" i="77"/>
  <c r="BE67" i="77"/>
  <c r="CK67" i="77"/>
  <c r="AU67" i="77"/>
  <c r="AN67" i="76"/>
  <c r="AM67" i="76"/>
  <c r="AX67" i="76"/>
  <c r="BH67" i="76"/>
  <c r="S68" i="76"/>
  <c r="W67" i="76"/>
  <c r="X67" i="76" s="1"/>
  <c r="V67" i="76"/>
  <c r="AS67" i="76"/>
  <c r="BC67" i="76"/>
  <c r="N71" i="77"/>
  <c r="O70" i="77"/>
  <c r="AI67" i="77"/>
  <c r="AG67" i="76"/>
  <c r="AI67" i="75"/>
  <c r="BH67" i="74"/>
  <c r="BI67" i="74" s="1"/>
  <c r="BJ67" i="74" s="1"/>
  <c r="AQ67" i="74"/>
  <c r="AR67" i="74" s="1"/>
  <c r="AS67" i="74" s="1"/>
  <c r="AU67" i="74" s="1"/>
  <c r="BQ67" i="74"/>
  <c r="BR67" i="74" s="1"/>
  <c r="BS67" i="74" s="1"/>
  <c r="BC67" i="74"/>
  <c r="BD67" i="74" s="1"/>
  <c r="BE67" i="74" s="1"/>
  <c r="AL67" i="74"/>
  <c r="AM68" i="74" s="1"/>
  <c r="BM67" i="74"/>
  <c r="BN67" i="74" s="1"/>
  <c r="BO67" i="74" s="1"/>
  <c r="AX67" i="74"/>
  <c r="AY67" i="74" s="1"/>
  <c r="AZ67" i="74" s="1"/>
  <c r="O70" i="76"/>
  <c r="N71" i="76"/>
  <c r="O70" i="75"/>
  <c r="N71" i="75"/>
  <c r="BG66" i="77"/>
  <c r="BH66" i="77" s="1"/>
  <c r="BI66" i="77" s="1"/>
  <c r="BT66" i="77"/>
  <c r="BU66" i="77" s="1"/>
  <c r="BW66" i="77" s="1"/>
  <c r="BL66" i="77"/>
  <c r="BM66" i="77" s="1"/>
  <c r="BN66" i="77" s="1"/>
  <c r="BD66" i="76"/>
  <c r="BE66" i="76" s="1"/>
  <c r="BF66" i="76" s="1"/>
  <c r="BG66" i="76" s="1"/>
  <c r="BM66" i="76"/>
  <c r="BN66" i="76" s="1"/>
  <c r="BO66" i="76" s="1"/>
  <c r="AO66" i="76"/>
  <c r="AP66" i="76" s="1"/>
  <c r="AQ66" i="76" s="1"/>
  <c r="AR66" i="76" s="1"/>
  <c r="AC66" i="76"/>
  <c r="AD67" i="76" s="1"/>
  <c r="AY66" i="76"/>
  <c r="AZ66" i="76" s="1"/>
  <c r="BA66" i="76" s="1"/>
  <c r="BB66" i="76" s="1"/>
  <c r="BI66" i="76"/>
  <c r="BJ66" i="76" s="1"/>
  <c r="BK66" i="76" s="1"/>
  <c r="BL66" i="76" s="1"/>
  <c r="AH66" i="76"/>
  <c r="AI66" i="76" s="1"/>
  <c r="AJ66" i="76" s="1"/>
  <c r="AL66" i="76" s="1"/>
  <c r="AT66" i="76"/>
  <c r="AU66" i="76" s="1"/>
  <c r="AV66" i="76" s="1"/>
  <c r="AW66" i="76" s="1"/>
  <c r="AB69" i="74"/>
  <c r="AJ68" i="74"/>
  <c r="CC68" i="74"/>
  <c r="AV68" i="74"/>
  <c r="AF68" i="74"/>
  <c r="AG68" i="74" s="1"/>
  <c r="AE68" i="74"/>
  <c r="AC68" i="74"/>
  <c r="AP68" i="74"/>
  <c r="BP66" i="77"/>
  <c r="BQ66" i="77" s="1"/>
  <c r="BS66" i="77" s="1"/>
  <c r="Z66" i="77"/>
  <c r="CL68" i="77"/>
  <c r="CM68" i="75"/>
  <c r="AW66" i="77"/>
  <c r="AX66" i="77" s="1"/>
  <c r="AY66" i="77" s="1"/>
  <c r="V67" i="77"/>
  <c r="AB67" i="77" s="1"/>
  <c r="T67" i="76"/>
  <c r="Z67" i="76" s="1"/>
  <c r="V67" i="75"/>
  <c r="AB67" i="75" s="1"/>
  <c r="AI67" i="74"/>
  <c r="AD67" i="77"/>
  <c r="AB67" i="76"/>
  <c r="AD67" i="75"/>
  <c r="AZ67" i="75" l="1"/>
  <c r="AU67" i="75"/>
  <c r="BE67" i="75"/>
  <c r="CL67" i="75"/>
  <c r="BJ67" i="75"/>
  <c r="AO67" i="75"/>
  <c r="U68" i="75"/>
  <c r="AO68" i="75" s="1"/>
  <c r="AP67" i="75"/>
  <c r="AF67" i="75"/>
  <c r="BP67" i="75" s="1"/>
  <c r="BQ67" i="75" s="1"/>
  <c r="BS67" i="75" s="1"/>
  <c r="AR66" i="75"/>
  <c r="AS66" i="75" s="1"/>
  <c r="AT66" i="75" s="1"/>
  <c r="BP66" i="75"/>
  <c r="BQ66" i="75" s="1"/>
  <c r="BS66" i="75" s="1"/>
  <c r="AK66" i="75"/>
  <c r="AL66" i="75" s="1"/>
  <c r="AN66" i="75" s="1"/>
  <c r="BL66" i="75"/>
  <c r="BM66" i="75" s="1"/>
  <c r="BN66" i="75" s="1"/>
  <c r="BG66" i="75"/>
  <c r="BH66" i="75" s="1"/>
  <c r="BI66" i="75" s="1"/>
  <c r="BB66" i="75"/>
  <c r="BC66" i="75" s="1"/>
  <c r="BD66" i="75" s="1"/>
  <c r="AW66" i="75"/>
  <c r="AX66" i="75" s="1"/>
  <c r="AY66" i="75" s="1"/>
  <c r="Y67" i="75"/>
  <c r="Z67" i="75" s="1"/>
  <c r="BT66" i="75"/>
  <c r="BU66" i="75" s="1"/>
  <c r="BW66" i="75" s="1"/>
  <c r="N72" i="74"/>
  <c r="L86" i="65" s="1"/>
  <c r="O71" i="74"/>
  <c r="M85" i="65" s="1"/>
  <c r="AF68" i="77"/>
  <c r="AG68" i="77" s="1"/>
  <c r="AG67" i="77"/>
  <c r="AN68" i="74"/>
  <c r="AE66" i="76"/>
  <c r="BG67" i="77"/>
  <c r="BH67" i="77" s="1"/>
  <c r="BI67" i="77" s="1"/>
  <c r="BT67" i="77"/>
  <c r="BU67" i="77" s="1"/>
  <c r="BW67" i="77" s="1"/>
  <c r="CM69" i="75"/>
  <c r="U69" i="77"/>
  <c r="BE68" i="77"/>
  <c r="AP68" i="77"/>
  <c r="AO68" i="77"/>
  <c r="AZ68" i="77"/>
  <c r="BJ68" i="77"/>
  <c r="Y68" i="77"/>
  <c r="Z68" i="77" s="1"/>
  <c r="CK68" i="77"/>
  <c r="AU68" i="77"/>
  <c r="AI68" i="77"/>
  <c r="AG68" i="76"/>
  <c r="AI68" i="75"/>
  <c r="BQ68" i="74"/>
  <c r="BR68" i="74" s="1"/>
  <c r="BS68" i="74" s="1"/>
  <c r="BC68" i="74"/>
  <c r="BD68" i="74" s="1"/>
  <c r="BE68" i="74" s="1"/>
  <c r="AL68" i="74"/>
  <c r="AM69" i="74" s="1"/>
  <c r="BM68" i="74"/>
  <c r="BN68" i="74" s="1"/>
  <c r="BO68" i="74" s="1"/>
  <c r="AX68" i="74"/>
  <c r="AY68" i="74" s="1"/>
  <c r="AZ68" i="74" s="1"/>
  <c r="BH68" i="74"/>
  <c r="BI68" i="74" s="1"/>
  <c r="BJ68" i="74" s="1"/>
  <c r="AQ68" i="74"/>
  <c r="AR68" i="74" s="1"/>
  <c r="AS68" i="74" s="1"/>
  <c r="AU68" i="74" s="1"/>
  <c r="O71" i="75"/>
  <c r="N72" i="75"/>
  <c r="N72" i="77"/>
  <c r="O71" i="77"/>
  <c r="AY67" i="76"/>
  <c r="AZ67" i="76" s="1"/>
  <c r="BA67" i="76" s="1"/>
  <c r="BB67" i="76" s="1"/>
  <c r="BI67" i="76"/>
  <c r="BJ67" i="76" s="1"/>
  <c r="BK67" i="76" s="1"/>
  <c r="BL67" i="76" s="1"/>
  <c r="AT67" i="76"/>
  <c r="AU67" i="76" s="1"/>
  <c r="AV67" i="76" s="1"/>
  <c r="AW67" i="76" s="1"/>
  <c r="AH67" i="76"/>
  <c r="AI67" i="76" s="1"/>
  <c r="AJ67" i="76" s="1"/>
  <c r="AL67" i="76" s="1"/>
  <c r="BD67" i="76"/>
  <c r="BE67" i="76" s="1"/>
  <c r="BF67" i="76" s="1"/>
  <c r="BG67" i="76" s="1"/>
  <c r="AO67" i="76"/>
  <c r="AP67" i="76" s="1"/>
  <c r="AQ67" i="76" s="1"/>
  <c r="AR67" i="76" s="1"/>
  <c r="AC67" i="76"/>
  <c r="AD68" i="76" s="1"/>
  <c r="BM67" i="76"/>
  <c r="BN67" i="76" s="1"/>
  <c r="BO67" i="76" s="1"/>
  <c r="CL69" i="77"/>
  <c r="AD68" i="77"/>
  <c r="AB68" i="76"/>
  <c r="AD68" i="75"/>
  <c r="BL67" i="77"/>
  <c r="BM67" i="77" s="1"/>
  <c r="BN67" i="77" s="1"/>
  <c r="AR67" i="77"/>
  <c r="AS67" i="77" s="1"/>
  <c r="AT67" i="77" s="1"/>
  <c r="AF69" i="74"/>
  <c r="AG69" i="74" s="1"/>
  <c r="AE69" i="74"/>
  <c r="AC69" i="74"/>
  <c r="AP69" i="74"/>
  <c r="AB70" i="74"/>
  <c r="AJ69" i="74"/>
  <c r="CC69" i="74"/>
  <c r="AV69" i="74"/>
  <c r="AK67" i="77"/>
  <c r="AL67" i="77" s="1"/>
  <c r="AN67" i="77" s="1"/>
  <c r="BP67" i="77"/>
  <c r="BQ67" i="77" s="1"/>
  <c r="BS67" i="77" s="1"/>
  <c r="AW67" i="77"/>
  <c r="AX67" i="77" s="1"/>
  <c r="AY67" i="77" s="1"/>
  <c r="N72" i="76"/>
  <c r="O71" i="76"/>
  <c r="V68" i="77"/>
  <c r="AB68" i="77" s="1"/>
  <c r="T68" i="76"/>
  <c r="Z68" i="76" s="1"/>
  <c r="V68" i="75"/>
  <c r="AB68" i="75" s="1"/>
  <c r="AI68" i="74"/>
  <c r="BB67" i="77"/>
  <c r="BC67" i="77" s="1"/>
  <c r="BD67" i="77" s="1"/>
  <c r="BH68" i="76"/>
  <c r="S69" i="76"/>
  <c r="W68" i="76"/>
  <c r="X68" i="76" s="1"/>
  <c r="V68" i="76"/>
  <c r="AS68" i="76"/>
  <c r="BC68" i="76"/>
  <c r="AN68" i="76"/>
  <c r="AM68" i="76"/>
  <c r="AX68" i="76"/>
  <c r="BE68" i="75" l="1"/>
  <c r="U69" i="75"/>
  <c r="CL68" i="75"/>
  <c r="AU68" i="75"/>
  <c r="BJ68" i="75"/>
  <c r="CC68" i="75"/>
  <c r="AZ68" i="75"/>
  <c r="AP68" i="75"/>
  <c r="AF68" i="75"/>
  <c r="AG68" i="75" s="1"/>
  <c r="AG67" i="75"/>
  <c r="BG67" i="75"/>
  <c r="BH67" i="75" s="1"/>
  <c r="BI67" i="75" s="1"/>
  <c r="BB67" i="75"/>
  <c r="BC67" i="75" s="1"/>
  <c r="BD67" i="75" s="1"/>
  <c r="BL67" i="75"/>
  <c r="BM67" i="75" s="1"/>
  <c r="BN67" i="75" s="1"/>
  <c r="Y68" i="75"/>
  <c r="Z68" i="75" s="1"/>
  <c r="AK67" i="75"/>
  <c r="AL67" i="75" s="1"/>
  <c r="AN67" i="75" s="1"/>
  <c r="AR67" i="75"/>
  <c r="AS67" i="75" s="1"/>
  <c r="AT67" i="75" s="1"/>
  <c r="AW67" i="75"/>
  <c r="AX67" i="75" s="1"/>
  <c r="AY67" i="75" s="1"/>
  <c r="O72" i="74"/>
  <c r="M86" i="65" s="1"/>
  <c r="BT67" i="75"/>
  <c r="BU67" i="75" s="1"/>
  <c r="BW67" i="75" s="1"/>
  <c r="N73" i="74"/>
  <c r="L87" i="65" s="1"/>
  <c r="AF69" i="77"/>
  <c r="AG69" i="77" s="1"/>
  <c r="AE67" i="76"/>
  <c r="BG68" i="77"/>
  <c r="BH68" i="77" s="1"/>
  <c r="BI68" i="77" s="1"/>
  <c r="BB68" i="77"/>
  <c r="BC68" i="77" s="1"/>
  <c r="BD68" i="77" s="1"/>
  <c r="BC69" i="76"/>
  <c r="AN69" i="76"/>
  <c r="AM69" i="76"/>
  <c r="AX69" i="76"/>
  <c r="BH69" i="76"/>
  <c r="S70" i="76"/>
  <c r="W69" i="76"/>
  <c r="X69" i="76" s="1"/>
  <c r="AS69" i="76"/>
  <c r="V69" i="76"/>
  <c r="N73" i="76"/>
  <c r="O72" i="76"/>
  <c r="O72" i="75"/>
  <c r="N73" i="75"/>
  <c r="BH69" i="74"/>
  <c r="BI69" i="74" s="1"/>
  <c r="BJ69" i="74" s="1"/>
  <c r="AQ69" i="74"/>
  <c r="AR69" i="74" s="1"/>
  <c r="AS69" i="74" s="1"/>
  <c r="AU69" i="74" s="1"/>
  <c r="BQ69" i="74"/>
  <c r="BR69" i="74" s="1"/>
  <c r="BS69" i="74" s="1"/>
  <c r="BC69" i="74"/>
  <c r="BD69" i="74" s="1"/>
  <c r="BE69" i="74" s="1"/>
  <c r="AL69" i="74"/>
  <c r="AM70" i="74" s="1"/>
  <c r="BM69" i="74"/>
  <c r="BN69" i="74" s="1"/>
  <c r="BO69" i="74" s="1"/>
  <c r="AX69" i="74"/>
  <c r="AY69" i="74" s="1"/>
  <c r="AZ69" i="74" s="1"/>
  <c r="CL70" i="77"/>
  <c r="O72" i="77"/>
  <c r="N73" i="77"/>
  <c r="U70" i="77"/>
  <c r="BE69" i="77"/>
  <c r="BJ69" i="77"/>
  <c r="AZ69" i="77"/>
  <c r="AU69" i="77"/>
  <c r="AP69" i="77"/>
  <c r="AO69" i="77"/>
  <c r="CK69" i="77"/>
  <c r="Y69" i="77"/>
  <c r="CM70" i="75"/>
  <c r="AT68" i="76"/>
  <c r="AU68" i="76" s="1"/>
  <c r="AV68" i="76" s="1"/>
  <c r="AW68" i="76" s="1"/>
  <c r="AH68" i="76"/>
  <c r="AI68" i="76" s="1"/>
  <c r="AJ68" i="76" s="1"/>
  <c r="AL68" i="76" s="1"/>
  <c r="BD68" i="76"/>
  <c r="BE68" i="76" s="1"/>
  <c r="BF68" i="76" s="1"/>
  <c r="BG68" i="76" s="1"/>
  <c r="BM68" i="76"/>
  <c r="BN68" i="76" s="1"/>
  <c r="BO68" i="76" s="1"/>
  <c r="AO68" i="76"/>
  <c r="AP68" i="76" s="1"/>
  <c r="AQ68" i="76" s="1"/>
  <c r="AR68" i="76" s="1"/>
  <c r="AC68" i="76"/>
  <c r="AD69" i="76" s="1"/>
  <c r="AY68" i="76"/>
  <c r="AZ68" i="76" s="1"/>
  <c r="BA68" i="76" s="1"/>
  <c r="BB68" i="76" s="1"/>
  <c r="BI68" i="76"/>
  <c r="BJ68" i="76" s="1"/>
  <c r="BK68" i="76" s="1"/>
  <c r="BL68" i="76" s="1"/>
  <c r="AD69" i="77"/>
  <c r="AB69" i="76"/>
  <c r="AD69" i="75"/>
  <c r="BL68" i="77"/>
  <c r="BM68" i="77" s="1"/>
  <c r="BN68" i="77" s="1"/>
  <c r="AR68" i="77"/>
  <c r="AS68" i="77" s="1"/>
  <c r="AT68" i="77" s="1"/>
  <c r="AI69" i="77"/>
  <c r="AG69" i="76"/>
  <c r="AI69" i="75"/>
  <c r="AK68" i="77"/>
  <c r="AL68" i="77" s="1"/>
  <c r="AN68" i="77" s="1"/>
  <c r="AB71" i="74"/>
  <c r="AJ70" i="74"/>
  <c r="CC70" i="74"/>
  <c r="AV70" i="74"/>
  <c r="AF70" i="74"/>
  <c r="AE70" i="74"/>
  <c r="AC70" i="74"/>
  <c r="AP70" i="74"/>
  <c r="AW68" i="77"/>
  <c r="AX68" i="77" s="1"/>
  <c r="AY68" i="77" s="1"/>
  <c r="BP68" i="77"/>
  <c r="BQ68" i="77" s="1"/>
  <c r="BS68" i="77" s="1"/>
  <c r="AP69" i="75"/>
  <c r="AO69" i="75"/>
  <c r="AZ69" i="75"/>
  <c r="CC69" i="75"/>
  <c r="BJ69" i="75"/>
  <c r="CL69" i="75"/>
  <c r="AU69" i="75"/>
  <c r="U70" i="75"/>
  <c r="BE69" i="75"/>
  <c r="V69" i="77"/>
  <c r="AB69" i="77" s="1"/>
  <c r="T69" i="76"/>
  <c r="Z69" i="76" s="1"/>
  <c r="V69" i="75"/>
  <c r="AB69" i="75" s="1"/>
  <c r="AI69" i="74"/>
  <c r="BT68" i="77"/>
  <c r="BU68" i="77" s="1"/>
  <c r="BW68" i="77" s="1"/>
  <c r="AF69" i="75" l="1"/>
  <c r="AG69" i="75" s="1"/>
  <c r="AW68" i="75"/>
  <c r="AX68" i="75" s="1"/>
  <c r="AY68" i="75" s="1"/>
  <c r="Y69" i="75"/>
  <c r="AR69" i="75" s="1"/>
  <c r="AS69" i="75" s="1"/>
  <c r="AT69" i="75" s="1"/>
  <c r="BT68" i="75"/>
  <c r="BU68" i="75" s="1"/>
  <c r="BW68" i="75" s="1"/>
  <c r="BG68" i="75"/>
  <c r="BH68" i="75" s="1"/>
  <c r="BI68" i="75" s="1"/>
  <c r="BP68" i="75"/>
  <c r="BQ68" i="75" s="1"/>
  <c r="BS68" i="75" s="1"/>
  <c r="AK68" i="75"/>
  <c r="AL68" i="75" s="1"/>
  <c r="AN68" i="75" s="1"/>
  <c r="AR68" i="75"/>
  <c r="AS68" i="75" s="1"/>
  <c r="AT68" i="75" s="1"/>
  <c r="BB68" i="75"/>
  <c r="BC68" i="75" s="1"/>
  <c r="BD68" i="75" s="1"/>
  <c r="BL68" i="75"/>
  <c r="BM68" i="75" s="1"/>
  <c r="BN68" i="75" s="1"/>
  <c r="O73" i="74"/>
  <c r="M87" i="65" s="1"/>
  <c r="N74" i="74"/>
  <c r="L88" i="65" s="1"/>
  <c r="AF70" i="77"/>
  <c r="AG70" i="77" s="1"/>
  <c r="AN70" i="74"/>
  <c r="AN69" i="74"/>
  <c r="AE68" i="76"/>
  <c r="BT69" i="77"/>
  <c r="BU69" i="77" s="1"/>
  <c r="BW69" i="77" s="1"/>
  <c r="BP69" i="77"/>
  <c r="BQ69" i="77" s="1"/>
  <c r="BS69" i="77" s="1"/>
  <c r="BG69" i="77"/>
  <c r="BH69" i="77" s="1"/>
  <c r="BI69" i="77" s="1"/>
  <c r="AI70" i="77"/>
  <c r="AG70" i="76"/>
  <c r="AI70" i="75"/>
  <c r="AW69" i="75"/>
  <c r="AX69" i="75" s="1"/>
  <c r="AY69" i="75" s="1"/>
  <c r="AD70" i="77"/>
  <c r="AB70" i="76"/>
  <c r="AD70" i="75"/>
  <c r="CL71" i="77"/>
  <c r="BL69" i="75"/>
  <c r="BM69" i="75" s="1"/>
  <c r="BN69" i="75" s="1"/>
  <c r="AG70" i="74"/>
  <c r="Z69" i="77"/>
  <c r="BD69" i="76"/>
  <c r="BE69" i="76" s="1"/>
  <c r="BF69" i="76" s="1"/>
  <c r="BG69" i="76" s="1"/>
  <c r="BM69" i="76"/>
  <c r="BN69" i="76" s="1"/>
  <c r="BO69" i="76" s="1"/>
  <c r="AO69" i="76"/>
  <c r="AP69" i="76" s="1"/>
  <c r="AQ69" i="76" s="1"/>
  <c r="AR69" i="76" s="1"/>
  <c r="AC69" i="76"/>
  <c r="AD70" i="76" s="1"/>
  <c r="AY69" i="76"/>
  <c r="AZ69" i="76" s="1"/>
  <c r="BA69" i="76" s="1"/>
  <c r="BB69" i="76" s="1"/>
  <c r="BI69" i="76"/>
  <c r="BJ69" i="76" s="1"/>
  <c r="BK69" i="76" s="1"/>
  <c r="BL69" i="76" s="1"/>
  <c r="AH69" i="76"/>
  <c r="AI69" i="76" s="1"/>
  <c r="AJ69" i="76" s="1"/>
  <c r="AL69" i="76" s="1"/>
  <c r="AT69" i="76"/>
  <c r="AU69" i="76" s="1"/>
  <c r="AV69" i="76" s="1"/>
  <c r="AW69" i="76" s="1"/>
  <c r="V70" i="77"/>
  <c r="AB70" i="77" s="1"/>
  <c r="T70" i="76"/>
  <c r="Z70" i="76" s="1"/>
  <c r="V70" i="75"/>
  <c r="AB70" i="75" s="1"/>
  <c r="AI70" i="74"/>
  <c r="AE71" i="74"/>
  <c r="AC71" i="74"/>
  <c r="AP71" i="74"/>
  <c r="AB72" i="74"/>
  <c r="AJ71" i="74"/>
  <c r="CC71" i="74"/>
  <c r="AV71" i="74"/>
  <c r="AF71" i="74"/>
  <c r="O73" i="75"/>
  <c r="N74" i="75"/>
  <c r="Z69" i="75"/>
  <c r="BG69" i="75"/>
  <c r="BH69" i="75" s="1"/>
  <c r="BI69" i="75" s="1"/>
  <c r="CK70" i="77"/>
  <c r="U71" i="77"/>
  <c r="BE70" i="77"/>
  <c r="AP70" i="77"/>
  <c r="AO70" i="77"/>
  <c r="BJ70" i="77"/>
  <c r="Y70" i="77"/>
  <c r="AZ70" i="77"/>
  <c r="AU70" i="77"/>
  <c r="AK69" i="77"/>
  <c r="AL69" i="77" s="1"/>
  <c r="AN69" i="77" s="1"/>
  <c r="AL70" i="74"/>
  <c r="AM71" i="74" s="1"/>
  <c r="BM70" i="74"/>
  <c r="BN70" i="74" s="1"/>
  <c r="BO70" i="74" s="1"/>
  <c r="AX70" i="74"/>
  <c r="AY70" i="74" s="1"/>
  <c r="AZ70" i="74" s="1"/>
  <c r="BH70" i="74"/>
  <c r="BI70" i="74" s="1"/>
  <c r="BJ70" i="74" s="1"/>
  <c r="AQ70" i="74"/>
  <c r="AR70" i="74" s="1"/>
  <c r="AS70" i="74" s="1"/>
  <c r="AU70" i="74" s="1"/>
  <c r="BQ70" i="74"/>
  <c r="BR70" i="74" s="1"/>
  <c r="BS70" i="74" s="1"/>
  <c r="BC70" i="74"/>
  <c r="BD70" i="74" s="1"/>
  <c r="BE70" i="74" s="1"/>
  <c r="BB69" i="77"/>
  <c r="BC69" i="77" s="1"/>
  <c r="BD69" i="77" s="1"/>
  <c r="AW69" i="77"/>
  <c r="AX69" i="77" s="1"/>
  <c r="AY69" i="77" s="1"/>
  <c r="AP70" i="75"/>
  <c r="AO70" i="75"/>
  <c r="AZ70" i="75"/>
  <c r="CC70" i="75"/>
  <c r="BJ70" i="75"/>
  <c r="Y70" i="75"/>
  <c r="Z70" i="75" s="1"/>
  <c r="CL70" i="75"/>
  <c r="AU70" i="75"/>
  <c r="U71" i="75"/>
  <c r="BE70" i="75"/>
  <c r="BB69" i="75"/>
  <c r="BC69" i="75" s="1"/>
  <c r="BD69" i="75" s="1"/>
  <c r="BL69" i="77"/>
  <c r="BM69" i="77" s="1"/>
  <c r="BN69" i="77" s="1"/>
  <c r="AR69" i="77"/>
  <c r="AS69" i="77" s="1"/>
  <c r="AT69" i="77" s="1"/>
  <c r="O73" i="77"/>
  <c r="N74" i="77"/>
  <c r="CM71" i="75"/>
  <c r="O73" i="76"/>
  <c r="N74" i="76"/>
  <c r="AN70" i="76"/>
  <c r="AM70" i="76"/>
  <c r="AX70" i="76"/>
  <c r="BH70" i="76"/>
  <c r="S71" i="76"/>
  <c r="W70" i="76"/>
  <c r="X70" i="76" s="1"/>
  <c r="V70" i="76"/>
  <c r="AS70" i="76"/>
  <c r="BC70" i="76"/>
  <c r="BP69" i="75" l="1"/>
  <c r="BQ69" i="75" s="1"/>
  <c r="BS69" i="75" s="1"/>
  <c r="AF70" i="75"/>
  <c r="AG70" i="75" s="1"/>
  <c r="BT69" i="75"/>
  <c r="BU69" i="75" s="1"/>
  <c r="BW69" i="75" s="1"/>
  <c r="AK69" i="75"/>
  <c r="AL69" i="75" s="1"/>
  <c r="AN69" i="75" s="1"/>
  <c r="O74" i="74"/>
  <c r="M88" i="65" s="1"/>
  <c r="N75" i="74"/>
  <c r="L89" i="65" s="1"/>
  <c r="AF71" i="77"/>
  <c r="AG71" i="77" s="1"/>
  <c r="AF71" i="75"/>
  <c r="AG71" i="75" s="1"/>
  <c r="AN71" i="74"/>
  <c r="AE69" i="76"/>
  <c r="BP70" i="75"/>
  <c r="BQ70" i="75" s="1"/>
  <c r="BS70" i="75" s="1"/>
  <c r="AW70" i="75"/>
  <c r="AX70" i="75" s="1"/>
  <c r="AY70" i="75" s="1"/>
  <c r="BL70" i="75"/>
  <c r="BM70" i="75" s="1"/>
  <c r="BN70" i="75" s="1"/>
  <c r="BP70" i="77"/>
  <c r="BQ70" i="77" s="1"/>
  <c r="BS70" i="77" s="1"/>
  <c r="AR70" i="77"/>
  <c r="AS70" i="77" s="1"/>
  <c r="AT70" i="77" s="1"/>
  <c r="AI71" i="77"/>
  <c r="AG71" i="76"/>
  <c r="AI71" i="75"/>
  <c r="BG70" i="77"/>
  <c r="BH70" i="77" s="1"/>
  <c r="BI70" i="77" s="1"/>
  <c r="N75" i="77"/>
  <c r="O74" i="77"/>
  <c r="O74" i="75"/>
  <c r="N75" i="75"/>
  <c r="AP71" i="75"/>
  <c r="AO71" i="75"/>
  <c r="AZ71" i="75"/>
  <c r="CC71" i="75"/>
  <c r="BJ71" i="75"/>
  <c r="Y71" i="75"/>
  <c r="CL71" i="75"/>
  <c r="AU71" i="75"/>
  <c r="U72" i="75"/>
  <c r="BE71" i="75"/>
  <c r="N75" i="76"/>
  <c r="O74" i="76"/>
  <c r="BG70" i="75"/>
  <c r="BH70" i="75" s="1"/>
  <c r="BI70" i="75" s="1"/>
  <c r="AK70" i="77"/>
  <c r="AL70" i="77" s="1"/>
  <c r="AN70" i="77" s="1"/>
  <c r="BH71" i="76"/>
  <c r="S72" i="76"/>
  <c r="W71" i="76"/>
  <c r="V71" i="76"/>
  <c r="AS71" i="76"/>
  <c r="BC71" i="76"/>
  <c r="AN71" i="76"/>
  <c r="AM71" i="76"/>
  <c r="AX71" i="76"/>
  <c r="BT70" i="75"/>
  <c r="BU70" i="75" s="1"/>
  <c r="BW70" i="75" s="1"/>
  <c r="Z70" i="77"/>
  <c r="V71" i="77"/>
  <c r="AB71" i="77" s="1"/>
  <c r="T71" i="76"/>
  <c r="Z71" i="76" s="1"/>
  <c r="V71" i="75"/>
  <c r="AB71" i="75" s="1"/>
  <c r="AI71" i="74"/>
  <c r="AW70" i="77"/>
  <c r="AX70" i="77" s="1"/>
  <c r="AY70" i="77" s="1"/>
  <c r="BB70" i="77"/>
  <c r="BC70" i="77" s="1"/>
  <c r="BD70" i="77" s="1"/>
  <c r="CL72" i="77"/>
  <c r="BB70" i="75"/>
  <c r="BC70" i="75" s="1"/>
  <c r="BD70" i="75" s="1"/>
  <c r="BL70" i="77"/>
  <c r="BM70" i="77" s="1"/>
  <c r="BN70" i="77" s="1"/>
  <c r="N76" i="74"/>
  <c r="L90" i="65" s="1"/>
  <c r="O75" i="74"/>
  <c r="M89" i="65" s="1"/>
  <c r="AY70" i="76"/>
  <c r="AZ70" i="76" s="1"/>
  <c r="BA70" i="76" s="1"/>
  <c r="BB70" i="76" s="1"/>
  <c r="BI70" i="76"/>
  <c r="BJ70" i="76" s="1"/>
  <c r="BK70" i="76" s="1"/>
  <c r="BL70" i="76" s="1"/>
  <c r="AT70" i="76"/>
  <c r="AU70" i="76" s="1"/>
  <c r="AV70" i="76" s="1"/>
  <c r="AW70" i="76" s="1"/>
  <c r="AH70" i="76"/>
  <c r="AI70" i="76" s="1"/>
  <c r="AJ70" i="76" s="1"/>
  <c r="AL70" i="76" s="1"/>
  <c r="BD70" i="76"/>
  <c r="BE70" i="76" s="1"/>
  <c r="BF70" i="76" s="1"/>
  <c r="BG70" i="76" s="1"/>
  <c r="AO70" i="76"/>
  <c r="AP70" i="76" s="1"/>
  <c r="AQ70" i="76" s="1"/>
  <c r="AR70" i="76" s="1"/>
  <c r="AC70" i="76"/>
  <c r="AD71" i="76" s="1"/>
  <c r="BM70" i="76"/>
  <c r="BN70" i="76" s="1"/>
  <c r="BO70" i="76" s="1"/>
  <c r="CM72" i="75"/>
  <c r="BT70" i="77"/>
  <c r="BU70" i="77" s="1"/>
  <c r="BW70" i="77" s="1"/>
  <c r="AU71" i="77"/>
  <c r="CK71" i="77"/>
  <c r="U72" i="77"/>
  <c r="BE71" i="77"/>
  <c r="AP71" i="77"/>
  <c r="AZ71" i="77"/>
  <c r="AO71" i="77"/>
  <c r="BJ71" i="77"/>
  <c r="Y71" i="77"/>
  <c r="AD71" i="77"/>
  <c r="AB71" i="76"/>
  <c r="AD71" i="75"/>
  <c r="AQ71" i="74"/>
  <c r="AR71" i="74" s="1"/>
  <c r="AS71" i="74" s="1"/>
  <c r="AU71" i="74" s="1"/>
  <c r="BQ71" i="74"/>
  <c r="BR71" i="74" s="1"/>
  <c r="BS71" i="74" s="1"/>
  <c r="BC71" i="74"/>
  <c r="BD71" i="74" s="1"/>
  <c r="BE71" i="74" s="1"/>
  <c r="AL71" i="74"/>
  <c r="AM72" i="74" s="1"/>
  <c r="BM71" i="74"/>
  <c r="BN71" i="74" s="1"/>
  <c r="BO71" i="74" s="1"/>
  <c r="AX71" i="74"/>
  <c r="AY71" i="74" s="1"/>
  <c r="AZ71" i="74" s="1"/>
  <c r="BH71" i="74"/>
  <c r="BI71" i="74" s="1"/>
  <c r="BJ71" i="74" s="1"/>
  <c r="AR70" i="75"/>
  <c r="AS70" i="75" s="1"/>
  <c r="AT70" i="75" s="1"/>
  <c r="AK70" i="75"/>
  <c r="AL70" i="75" s="1"/>
  <c r="AN70" i="75" s="1"/>
  <c r="AG71" i="74"/>
  <c r="AB73" i="74"/>
  <c r="AJ72" i="74"/>
  <c r="CC72" i="74"/>
  <c r="AV72" i="74"/>
  <c r="AF72" i="74"/>
  <c r="AE72" i="74"/>
  <c r="AC72" i="74"/>
  <c r="AP72" i="74"/>
  <c r="AF72" i="75" l="1"/>
  <c r="AF72" i="77"/>
  <c r="AG72" i="77" s="1"/>
  <c r="AN72" i="74"/>
  <c r="AE70" i="76"/>
  <c r="BB71" i="75"/>
  <c r="BC71" i="75" s="1"/>
  <c r="BD71" i="75" s="1"/>
  <c r="BL71" i="77"/>
  <c r="BM71" i="77" s="1"/>
  <c r="BN71" i="77" s="1"/>
  <c r="BP71" i="75"/>
  <c r="BQ71" i="75" s="1"/>
  <c r="BS71" i="75" s="1"/>
  <c r="BP71" i="77"/>
  <c r="BQ71" i="77" s="1"/>
  <c r="BS71" i="77" s="1"/>
  <c r="AR71" i="77"/>
  <c r="AS71" i="77" s="1"/>
  <c r="AT71" i="77" s="1"/>
  <c r="AK71" i="75"/>
  <c r="AL71" i="75" s="1"/>
  <c r="AN71" i="75" s="1"/>
  <c r="AW71" i="77"/>
  <c r="AX71" i="77" s="1"/>
  <c r="AY71" i="77" s="1"/>
  <c r="BT71" i="77"/>
  <c r="BU71" i="77" s="1"/>
  <c r="BW71" i="77" s="1"/>
  <c r="BM72" i="74"/>
  <c r="BN72" i="74" s="1"/>
  <c r="BO72" i="74" s="1"/>
  <c r="AX72" i="74"/>
  <c r="AY72" i="74" s="1"/>
  <c r="AZ72" i="74" s="1"/>
  <c r="BH72" i="74"/>
  <c r="BI72" i="74" s="1"/>
  <c r="BJ72" i="74" s="1"/>
  <c r="AQ72" i="74"/>
  <c r="AR72" i="74" s="1"/>
  <c r="AS72" i="74" s="1"/>
  <c r="AU72" i="74" s="1"/>
  <c r="BQ72" i="74"/>
  <c r="BR72" i="74" s="1"/>
  <c r="BS72" i="74" s="1"/>
  <c r="BC72" i="74"/>
  <c r="BD72" i="74" s="1"/>
  <c r="BE72" i="74" s="1"/>
  <c r="AL72" i="74"/>
  <c r="AM73" i="74" s="1"/>
  <c r="BG71" i="77"/>
  <c r="BH71" i="77" s="1"/>
  <c r="BI71" i="77" s="1"/>
  <c r="N76" i="76"/>
  <c r="O75" i="76"/>
  <c r="AW71" i="75"/>
  <c r="AX71" i="75" s="1"/>
  <c r="AY71" i="75" s="1"/>
  <c r="BB71" i="77"/>
  <c r="BC71" i="77" s="1"/>
  <c r="BD71" i="77" s="1"/>
  <c r="CM73" i="75"/>
  <c r="CL73" i="77"/>
  <c r="AI72" i="77"/>
  <c r="AG72" i="76"/>
  <c r="AI72" i="75"/>
  <c r="BL71" i="75"/>
  <c r="BM71" i="75" s="1"/>
  <c r="BN71" i="75" s="1"/>
  <c r="N76" i="75"/>
  <c r="O75" i="75"/>
  <c r="N76" i="77"/>
  <c r="O75" i="77"/>
  <c r="Z71" i="77"/>
  <c r="AR71" i="75"/>
  <c r="AS71" i="75" s="1"/>
  <c r="AT71" i="75" s="1"/>
  <c r="AP72" i="75"/>
  <c r="AO72" i="75"/>
  <c r="AZ72" i="75"/>
  <c r="CC72" i="75"/>
  <c r="BJ72" i="75"/>
  <c r="Y72" i="75"/>
  <c r="CL72" i="75"/>
  <c r="AU72" i="75"/>
  <c r="U73" i="75"/>
  <c r="BE72" i="75"/>
  <c r="Z71" i="75"/>
  <c r="AD72" i="77"/>
  <c r="AB72" i="76"/>
  <c r="AD72" i="75"/>
  <c r="AK71" i="77"/>
  <c r="AL71" i="77" s="1"/>
  <c r="AN71" i="77" s="1"/>
  <c r="AU72" i="77"/>
  <c r="CK72" i="77"/>
  <c r="U73" i="77"/>
  <c r="BE72" i="77"/>
  <c r="AO72" i="77"/>
  <c r="AZ72" i="77"/>
  <c r="Y72" i="77"/>
  <c r="Z72" i="77" s="1"/>
  <c r="BJ72" i="77"/>
  <c r="AP72" i="77"/>
  <c r="AG72" i="74"/>
  <c r="BC72" i="76"/>
  <c r="AN72" i="76"/>
  <c r="AM72" i="76"/>
  <c r="AX72" i="76"/>
  <c r="BH72" i="76"/>
  <c r="S73" i="76"/>
  <c r="W72" i="76"/>
  <c r="X72" i="76" s="1"/>
  <c r="AS72" i="76"/>
  <c r="V72" i="76"/>
  <c r="BG71" i="75"/>
  <c r="BH71" i="75" s="1"/>
  <c r="BI71" i="75" s="1"/>
  <c r="V72" i="77"/>
  <c r="AB72" i="77" s="1"/>
  <c r="T72" i="76"/>
  <c r="Z72" i="76" s="1"/>
  <c r="V72" i="75"/>
  <c r="AB72" i="75" s="1"/>
  <c r="AI72" i="74"/>
  <c r="AP73" i="74"/>
  <c r="AB74" i="74"/>
  <c r="AJ73" i="74"/>
  <c r="CC73" i="74"/>
  <c r="AV73" i="74"/>
  <c r="AF73" i="74"/>
  <c r="AG73" i="74" s="1"/>
  <c r="AE73" i="74"/>
  <c r="AC73" i="74"/>
  <c r="O76" i="74"/>
  <c r="M90" i="65" s="1"/>
  <c r="N77" i="74"/>
  <c r="L91" i="65" s="1"/>
  <c r="X71" i="76"/>
  <c r="BT71" i="75"/>
  <c r="BU71" i="75" s="1"/>
  <c r="BW71" i="75" s="1"/>
  <c r="AT71" i="76"/>
  <c r="AU71" i="76" s="1"/>
  <c r="AV71" i="76" s="1"/>
  <c r="AW71" i="76" s="1"/>
  <c r="AH71" i="76"/>
  <c r="AI71" i="76" s="1"/>
  <c r="AJ71" i="76" s="1"/>
  <c r="AL71" i="76" s="1"/>
  <c r="BD71" i="76"/>
  <c r="BE71" i="76" s="1"/>
  <c r="BF71" i="76" s="1"/>
  <c r="BG71" i="76" s="1"/>
  <c r="BM71" i="76"/>
  <c r="BN71" i="76" s="1"/>
  <c r="BO71" i="76" s="1"/>
  <c r="AO71" i="76"/>
  <c r="AP71" i="76" s="1"/>
  <c r="AQ71" i="76" s="1"/>
  <c r="AR71" i="76" s="1"/>
  <c r="AC71" i="76"/>
  <c r="AD72" i="76" s="1"/>
  <c r="AY71" i="76"/>
  <c r="AZ71" i="76" s="1"/>
  <c r="BA71" i="76" s="1"/>
  <c r="BB71" i="76" s="1"/>
  <c r="BI71" i="76"/>
  <c r="BJ71" i="76" s="1"/>
  <c r="BK71" i="76" s="1"/>
  <c r="BL71" i="76" s="1"/>
  <c r="AF73" i="77" l="1"/>
  <c r="AG73" i="77" s="1"/>
  <c r="AF73" i="75"/>
  <c r="AG73" i="75" s="1"/>
  <c r="AN73" i="74"/>
  <c r="AE71" i="76"/>
  <c r="AW72" i="77"/>
  <c r="AX72" i="77" s="1"/>
  <c r="AY72" i="77" s="1"/>
  <c r="AR72" i="75"/>
  <c r="AS72" i="75" s="1"/>
  <c r="AT72" i="75" s="1"/>
  <c r="BL72" i="75"/>
  <c r="BM72" i="75" s="1"/>
  <c r="BN72" i="75" s="1"/>
  <c r="BT72" i="75"/>
  <c r="BU72" i="75" s="1"/>
  <c r="BW72" i="75" s="1"/>
  <c r="BG72" i="75"/>
  <c r="BH72" i="75" s="1"/>
  <c r="BI72" i="75" s="1"/>
  <c r="BP72" i="75"/>
  <c r="BQ72" i="75" s="1"/>
  <c r="BS72" i="75" s="1"/>
  <c r="AW72" i="75"/>
  <c r="AX72" i="75" s="1"/>
  <c r="AY72" i="75" s="1"/>
  <c r="AK72" i="75"/>
  <c r="AL72" i="75" s="1"/>
  <c r="AN72" i="75" s="1"/>
  <c r="BT72" i="77"/>
  <c r="BU72" i="77" s="1"/>
  <c r="BW72" i="77" s="1"/>
  <c r="Z72" i="75"/>
  <c r="V73" i="77"/>
  <c r="AB73" i="77" s="1"/>
  <c r="T73" i="76"/>
  <c r="Z73" i="76" s="1"/>
  <c r="V73" i="75"/>
  <c r="AB73" i="75" s="1"/>
  <c r="AI73" i="74"/>
  <c r="AN73" i="76"/>
  <c r="AM73" i="76"/>
  <c r="AX73" i="76"/>
  <c r="BH73" i="76"/>
  <c r="S74" i="76"/>
  <c r="W73" i="76"/>
  <c r="X73" i="76" s="1"/>
  <c r="V73" i="76"/>
  <c r="AS73" i="76"/>
  <c r="BC73" i="76"/>
  <c r="N77" i="75"/>
  <c r="O76" i="75"/>
  <c r="CM74" i="75"/>
  <c r="BQ73" i="74"/>
  <c r="BR73" i="74" s="1"/>
  <c r="BS73" i="74" s="1"/>
  <c r="BC73" i="74"/>
  <c r="BD73" i="74" s="1"/>
  <c r="BE73" i="74" s="1"/>
  <c r="AL73" i="74"/>
  <c r="AM74" i="74" s="1"/>
  <c r="BM73" i="74"/>
  <c r="BN73" i="74" s="1"/>
  <c r="BO73" i="74" s="1"/>
  <c r="AX73" i="74"/>
  <c r="AY73" i="74" s="1"/>
  <c r="AZ73" i="74" s="1"/>
  <c r="BH73" i="74"/>
  <c r="BI73" i="74" s="1"/>
  <c r="BJ73" i="74" s="1"/>
  <c r="AQ73" i="74"/>
  <c r="AR73" i="74" s="1"/>
  <c r="AS73" i="74" s="1"/>
  <c r="AU73" i="74" s="1"/>
  <c r="AP73" i="75"/>
  <c r="AO73" i="75"/>
  <c r="AZ73" i="75"/>
  <c r="CC73" i="75"/>
  <c r="BJ73" i="75"/>
  <c r="Y73" i="75"/>
  <c r="CL73" i="75"/>
  <c r="AU73" i="75"/>
  <c r="U74" i="75"/>
  <c r="BE73" i="75"/>
  <c r="N77" i="76"/>
  <c r="O76" i="76"/>
  <c r="CL74" i="77"/>
  <c r="Y73" i="77"/>
  <c r="AU73" i="77"/>
  <c r="CK73" i="77"/>
  <c r="U74" i="77"/>
  <c r="BE73" i="77"/>
  <c r="AP73" i="77"/>
  <c r="AO73" i="77"/>
  <c r="BJ73" i="77"/>
  <c r="AZ73" i="77"/>
  <c r="N78" i="74"/>
  <c r="L92" i="65" s="1"/>
  <c r="O77" i="74"/>
  <c r="M91" i="65" s="1"/>
  <c r="BD72" i="76"/>
  <c r="BE72" i="76" s="1"/>
  <c r="BF72" i="76" s="1"/>
  <c r="BG72" i="76" s="1"/>
  <c r="BM72" i="76"/>
  <c r="BN72" i="76" s="1"/>
  <c r="BO72" i="76" s="1"/>
  <c r="AO72" i="76"/>
  <c r="AP72" i="76" s="1"/>
  <c r="AQ72" i="76" s="1"/>
  <c r="AR72" i="76" s="1"/>
  <c r="AC72" i="76"/>
  <c r="AD73" i="76" s="1"/>
  <c r="AY72" i="76"/>
  <c r="AZ72" i="76" s="1"/>
  <c r="BA72" i="76" s="1"/>
  <c r="BB72" i="76" s="1"/>
  <c r="BI72" i="76"/>
  <c r="BJ72" i="76" s="1"/>
  <c r="BK72" i="76" s="1"/>
  <c r="BL72" i="76" s="1"/>
  <c r="AT72" i="76"/>
  <c r="AU72" i="76" s="1"/>
  <c r="AV72" i="76" s="1"/>
  <c r="AW72" i="76" s="1"/>
  <c r="AH72" i="76"/>
  <c r="AI72" i="76" s="1"/>
  <c r="AJ72" i="76" s="1"/>
  <c r="AL72" i="76" s="1"/>
  <c r="AG72" i="75"/>
  <c r="AI73" i="77"/>
  <c r="AG73" i="76"/>
  <c r="AI73" i="75"/>
  <c r="BB72" i="77"/>
  <c r="BC72" i="77" s="1"/>
  <c r="BD72" i="77" s="1"/>
  <c r="AK72" i="77"/>
  <c r="AL72" i="77" s="1"/>
  <c r="AN72" i="77" s="1"/>
  <c r="AR72" i="77"/>
  <c r="AS72" i="77" s="1"/>
  <c r="AT72" i="77" s="1"/>
  <c r="BB72" i="75"/>
  <c r="BC72" i="75" s="1"/>
  <c r="BD72" i="75" s="1"/>
  <c r="AD73" i="77"/>
  <c r="AB73" i="76"/>
  <c r="AD73" i="75"/>
  <c r="N77" i="77"/>
  <c r="O76" i="77"/>
  <c r="BP72" i="77"/>
  <c r="BQ72" i="77" s="1"/>
  <c r="BS72" i="77" s="1"/>
  <c r="AF74" i="74"/>
  <c r="AE74" i="74"/>
  <c r="AC74" i="74"/>
  <c r="AP74" i="74"/>
  <c r="AB75" i="74"/>
  <c r="AJ74" i="74"/>
  <c r="CC74" i="74"/>
  <c r="AV74" i="74"/>
  <c r="BG72" i="77"/>
  <c r="BH72" i="77" s="1"/>
  <c r="BI72" i="77" s="1"/>
  <c r="BL72" i="77"/>
  <c r="BM72" i="77" s="1"/>
  <c r="BN72" i="77" s="1"/>
  <c r="AF74" i="75" l="1"/>
  <c r="AF74" i="77"/>
  <c r="AN74" i="74"/>
  <c r="AE72" i="76"/>
  <c r="BT73" i="75"/>
  <c r="BU73" i="75" s="1"/>
  <c r="BW73" i="75" s="1"/>
  <c r="BT73" i="77"/>
  <c r="BU73" i="77" s="1"/>
  <c r="BW73" i="77" s="1"/>
  <c r="BP73" i="75"/>
  <c r="BQ73" i="75" s="1"/>
  <c r="BS73" i="75" s="1"/>
  <c r="BB73" i="75"/>
  <c r="BC73" i="75" s="1"/>
  <c r="BD73" i="75" s="1"/>
  <c r="N78" i="76"/>
  <c r="O77" i="76"/>
  <c r="BB73" i="77"/>
  <c r="BC73" i="77" s="1"/>
  <c r="BD73" i="77" s="1"/>
  <c r="AK73" i="77"/>
  <c r="AL73" i="77" s="1"/>
  <c r="AN73" i="77" s="1"/>
  <c r="BH74" i="76"/>
  <c r="S75" i="76"/>
  <c r="W74" i="76"/>
  <c r="X74" i="76" s="1"/>
  <c r="V74" i="76"/>
  <c r="AS74" i="76"/>
  <c r="BC74" i="76"/>
  <c r="AN74" i="76"/>
  <c r="AM74" i="76"/>
  <c r="AX74" i="76"/>
  <c r="BJ74" i="77"/>
  <c r="Y74" i="77"/>
  <c r="AU74" i="77"/>
  <c r="CK74" i="77"/>
  <c r="U75" i="77"/>
  <c r="BE74" i="77"/>
  <c r="AP74" i="77"/>
  <c r="AZ74" i="77"/>
  <c r="AO74" i="77"/>
  <c r="AW73" i="77"/>
  <c r="AX73" i="77" s="1"/>
  <c r="AY73" i="77" s="1"/>
  <c r="AK73" i="75"/>
  <c r="AL73" i="75" s="1"/>
  <c r="AN73" i="75" s="1"/>
  <c r="CM75" i="75"/>
  <c r="O77" i="77"/>
  <c r="N78" i="77"/>
  <c r="BL73" i="77"/>
  <c r="BM73" i="77" s="1"/>
  <c r="BN73" i="77" s="1"/>
  <c r="AW73" i="75"/>
  <c r="AX73" i="75" s="1"/>
  <c r="AY73" i="75" s="1"/>
  <c r="AG74" i="74"/>
  <c r="O78" i="74"/>
  <c r="M92" i="65" s="1"/>
  <c r="N79" i="74"/>
  <c r="L93" i="65" s="1"/>
  <c r="V74" i="77"/>
  <c r="AB74" i="77" s="1"/>
  <c r="T74" i="76"/>
  <c r="Z74" i="76" s="1"/>
  <c r="V74" i="75"/>
  <c r="AB74" i="75" s="1"/>
  <c r="AI74" i="74"/>
  <c r="AR73" i="77"/>
  <c r="AS73" i="77" s="1"/>
  <c r="AT73" i="77" s="1"/>
  <c r="BL73" i="75"/>
  <c r="BM73" i="75" s="1"/>
  <c r="BN73" i="75" s="1"/>
  <c r="AY73" i="76"/>
  <c r="AZ73" i="76" s="1"/>
  <c r="BA73" i="76" s="1"/>
  <c r="BB73" i="76" s="1"/>
  <c r="BI73" i="76"/>
  <c r="BJ73" i="76" s="1"/>
  <c r="BK73" i="76" s="1"/>
  <c r="BL73" i="76" s="1"/>
  <c r="AT73" i="76"/>
  <c r="AU73" i="76" s="1"/>
  <c r="AV73" i="76" s="1"/>
  <c r="AW73" i="76" s="1"/>
  <c r="AH73" i="76"/>
  <c r="AI73" i="76" s="1"/>
  <c r="AJ73" i="76" s="1"/>
  <c r="AL73" i="76" s="1"/>
  <c r="BD73" i="76"/>
  <c r="BE73" i="76" s="1"/>
  <c r="BF73" i="76" s="1"/>
  <c r="BG73" i="76" s="1"/>
  <c r="AO73" i="76"/>
  <c r="AP73" i="76" s="1"/>
  <c r="AQ73" i="76" s="1"/>
  <c r="AR73" i="76" s="1"/>
  <c r="AC73" i="76"/>
  <c r="AD74" i="76" s="1"/>
  <c r="BM73" i="76"/>
  <c r="BN73" i="76" s="1"/>
  <c r="BO73" i="76" s="1"/>
  <c r="AR73" i="75"/>
  <c r="AS73" i="75" s="1"/>
  <c r="AT73" i="75" s="1"/>
  <c r="AP74" i="75"/>
  <c r="AO74" i="75"/>
  <c r="AZ74" i="75"/>
  <c r="CC74" i="75"/>
  <c r="BJ74" i="75"/>
  <c r="Y74" i="75"/>
  <c r="CL74" i="75"/>
  <c r="AU74" i="75"/>
  <c r="U75" i="75"/>
  <c r="BE74" i="75"/>
  <c r="Z73" i="75"/>
  <c r="AI74" i="77"/>
  <c r="AG74" i="76"/>
  <c r="AI74" i="75"/>
  <c r="Z73" i="77"/>
  <c r="BP73" i="77"/>
  <c r="BQ73" i="77" s="1"/>
  <c r="BS73" i="77" s="1"/>
  <c r="CL75" i="77"/>
  <c r="BG73" i="77"/>
  <c r="BH73" i="77" s="1"/>
  <c r="BI73" i="77" s="1"/>
  <c r="BG73" i="75"/>
  <c r="BH73" i="75" s="1"/>
  <c r="BI73" i="75" s="1"/>
  <c r="AD74" i="77"/>
  <c r="AB74" i="76"/>
  <c r="AD74" i="75"/>
  <c r="BH74" i="74"/>
  <c r="BI74" i="74" s="1"/>
  <c r="BJ74" i="74" s="1"/>
  <c r="AQ74" i="74"/>
  <c r="AR74" i="74" s="1"/>
  <c r="AS74" i="74" s="1"/>
  <c r="AU74" i="74" s="1"/>
  <c r="BQ74" i="74"/>
  <c r="BR74" i="74" s="1"/>
  <c r="BS74" i="74" s="1"/>
  <c r="BC74" i="74"/>
  <c r="BD74" i="74" s="1"/>
  <c r="BE74" i="74" s="1"/>
  <c r="AL74" i="74"/>
  <c r="AM75" i="74" s="1"/>
  <c r="BM74" i="74"/>
  <c r="BN74" i="74" s="1"/>
  <c r="BO74" i="74" s="1"/>
  <c r="AX74" i="74"/>
  <c r="AY74" i="74" s="1"/>
  <c r="AZ74" i="74" s="1"/>
  <c r="N78" i="75"/>
  <c r="O77" i="75"/>
  <c r="AB76" i="74"/>
  <c r="AJ75" i="74"/>
  <c r="CC75" i="74"/>
  <c r="AV75" i="74"/>
  <c r="AF75" i="74"/>
  <c r="AG75" i="74" s="1"/>
  <c r="AE75" i="74"/>
  <c r="AC75" i="74"/>
  <c r="AP75" i="74"/>
  <c r="AF75" i="77" l="1"/>
  <c r="BP75" i="77" s="1"/>
  <c r="BQ75" i="77" s="1"/>
  <c r="BS75" i="77" s="1"/>
  <c r="AF75" i="75"/>
  <c r="BP75" i="75" s="1"/>
  <c r="BQ75" i="75" s="1"/>
  <c r="BS75" i="75" s="1"/>
  <c r="AN75" i="74"/>
  <c r="AE73" i="76"/>
  <c r="BB74" i="77"/>
  <c r="BC74" i="77" s="1"/>
  <c r="BD74" i="77" s="1"/>
  <c r="BL74" i="75"/>
  <c r="BM74" i="75" s="1"/>
  <c r="BN74" i="75" s="1"/>
  <c r="BG74" i="77"/>
  <c r="BH74" i="77" s="1"/>
  <c r="BI74" i="77" s="1"/>
  <c r="BB74" i="75"/>
  <c r="BC74" i="75" s="1"/>
  <c r="BD74" i="75" s="1"/>
  <c r="BT74" i="75"/>
  <c r="BU74" i="75" s="1"/>
  <c r="BW74" i="75" s="1"/>
  <c r="BG74" i="75"/>
  <c r="BH74" i="75" s="1"/>
  <c r="BI74" i="75" s="1"/>
  <c r="AK74" i="77"/>
  <c r="AL74" i="77" s="1"/>
  <c r="AN74" i="77" s="1"/>
  <c r="AW74" i="77"/>
  <c r="AX74" i="77" s="1"/>
  <c r="AY74" i="77" s="1"/>
  <c r="Z74" i="77"/>
  <c r="BT74" i="77"/>
  <c r="BU74" i="77" s="1"/>
  <c r="BW74" i="77" s="1"/>
  <c r="BL74" i="77"/>
  <c r="BM74" i="77" s="1"/>
  <c r="BN74" i="77" s="1"/>
  <c r="AW74" i="75"/>
  <c r="AX74" i="75" s="1"/>
  <c r="AY74" i="75" s="1"/>
  <c r="AR74" i="77"/>
  <c r="AS74" i="77" s="1"/>
  <c r="AT74" i="77" s="1"/>
  <c r="Z74" i="75"/>
  <c r="BP74" i="75"/>
  <c r="BQ74" i="75" s="1"/>
  <c r="BS74" i="75" s="1"/>
  <c r="BJ75" i="77"/>
  <c r="Y75" i="77"/>
  <c r="Z75" i="77" s="1"/>
  <c r="AU75" i="77"/>
  <c r="CK75" i="77"/>
  <c r="AP75" i="77"/>
  <c r="AO75" i="77"/>
  <c r="U76" i="77"/>
  <c r="BE75" i="77"/>
  <c r="AZ75" i="77"/>
  <c r="CL76" i="77"/>
  <c r="AP75" i="75"/>
  <c r="AO75" i="75"/>
  <c r="AZ75" i="75"/>
  <c r="CC75" i="75"/>
  <c r="BJ75" i="75"/>
  <c r="Y75" i="75"/>
  <c r="U76" i="75"/>
  <c r="CL75" i="75"/>
  <c r="AU75" i="75"/>
  <c r="BE75" i="75"/>
  <c r="N80" i="74"/>
  <c r="L94" i="65" s="1"/>
  <c r="O79" i="74"/>
  <c r="M93" i="65" s="1"/>
  <c r="O78" i="77"/>
  <c r="N79" i="77"/>
  <c r="BC75" i="76"/>
  <c r="AN75" i="76"/>
  <c r="AM75" i="76"/>
  <c r="AX75" i="76"/>
  <c r="S76" i="76"/>
  <c r="BH75" i="76"/>
  <c r="W75" i="76"/>
  <c r="AS75" i="76"/>
  <c r="V75" i="76"/>
  <c r="AI75" i="77"/>
  <c r="AG75" i="76"/>
  <c r="AI75" i="75"/>
  <c r="BP74" i="77"/>
  <c r="BQ74" i="77" s="1"/>
  <c r="BS74" i="77" s="1"/>
  <c r="AG74" i="75"/>
  <c r="CM76" i="75"/>
  <c r="O78" i="76"/>
  <c r="N79" i="76"/>
  <c r="AD75" i="77"/>
  <c r="AB75" i="76"/>
  <c r="AD75" i="75"/>
  <c r="AL75" i="74"/>
  <c r="AM76" i="74" s="1"/>
  <c r="BM75" i="74"/>
  <c r="BN75" i="74" s="1"/>
  <c r="BO75" i="74" s="1"/>
  <c r="AX75" i="74"/>
  <c r="AY75" i="74" s="1"/>
  <c r="AZ75" i="74" s="1"/>
  <c r="BH75" i="74"/>
  <c r="BI75" i="74" s="1"/>
  <c r="BJ75" i="74" s="1"/>
  <c r="AQ75" i="74"/>
  <c r="AR75" i="74" s="1"/>
  <c r="AS75" i="74" s="1"/>
  <c r="AU75" i="74" s="1"/>
  <c r="BQ75" i="74"/>
  <c r="BR75" i="74" s="1"/>
  <c r="BS75" i="74" s="1"/>
  <c r="BC75" i="74"/>
  <c r="BD75" i="74" s="1"/>
  <c r="BE75" i="74" s="1"/>
  <c r="AT74" i="76"/>
  <c r="AU74" i="76" s="1"/>
  <c r="AV74" i="76" s="1"/>
  <c r="AW74" i="76" s="1"/>
  <c r="AH74" i="76"/>
  <c r="AI74" i="76" s="1"/>
  <c r="AJ74" i="76" s="1"/>
  <c r="AL74" i="76" s="1"/>
  <c r="BD74" i="76"/>
  <c r="BE74" i="76" s="1"/>
  <c r="BF74" i="76" s="1"/>
  <c r="BG74" i="76" s="1"/>
  <c r="BM74" i="76"/>
  <c r="BN74" i="76" s="1"/>
  <c r="BO74" i="76" s="1"/>
  <c r="AO74" i="76"/>
  <c r="AP74" i="76" s="1"/>
  <c r="AQ74" i="76" s="1"/>
  <c r="AR74" i="76" s="1"/>
  <c r="AC74" i="76"/>
  <c r="AD75" i="76" s="1"/>
  <c r="AY74" i="76"/>
  <c r="AZ74" i="76" s="1"/>
  <c r="BA74" i="76" s="1"/>
  <c r="BB74" i="76" s="1"/>
  <c r="BI74" i="76"/>
  <c r="BJ74" i="76" s="1"/>
  <c r="BK74" i="76" s="1"/>
  <c r="BL74" i="76" s="1"/>
  <c r="AF76" i="74"/>
  <c r="AG76" i="74" s="1"/>
  <c r="AE76" i="74"/>
  <c r="AC76" i="74"/>
  <c r="AP76" i="74"/>
  <c r="AB77" i="74"/>
  <c r="AJ76" i="74"/>
  <c r="CC76" i="74"/>
  <c r="AV76" i="74"/>
  <c r="AG74" i="77"/>
  <c r="V75" i="77"/>
  <c r="AB75" i="77" s="1"/>
  <c r="T75" i="76"/>
  <c r="Z75" i="76" s="1"/>
  <c r="V75" i="75"/>
  <c r="AB75" i="75" s="1"/>
  <c r="AI75" i="74"/>
  <c r="AR74" i="75"/>
  <c r="AS74" i="75" s="1"/>
  <c r="AT74" i="75" s="1"/>
  <c r="AK74" i="75"/>
  <c r="AL74" i="75" s="1"/>
  <c r="AN74" i="75" s="1"/>
  <c r="O78" i="75"/>
  <c r="N79" i="75"/>
  <c r="AF76" i="75" l="1"/>
  <c r="BP76" i="75" s="1"/>
  <c r="BQ76" i="75" s="1"/>
  <c r="BS76" i="75" s="1"/>
  <c r="AF76" i="77"/>
  <c r="BP76" i="77" s="1"/>
  <c r="BQ76" i="77" s="1"/>
  <c r="BS76" i="77" s="1"/>
  <c r="AN76" i="74"/>
  <c r="AE74" i="76"/>
  <c r="BG75" i="75"/>
  <c r="BH75" i="75" s="1"/>
  <c r="BI75" i="75" s="1"/>
  <c r="BB75" i="77"/>
  <c r="BC75" i="77" s="1"/>
  <c r="BD75" i="77" s="1"/>
  <c r="BG75" i="77"/>
  <c r="BH75" i="77" s="1"/>
  <c r="BI75" i="77" s="1"/>
  <c r="AR75" i="77"/>
  <c r="AS75" i="77" s="1"/>
  <c r="AT75" i="77" s="1"/>
  <c r="BT75" i="75"/>
  <c r="BU75" i="75" s="1"/>
  <c r="BW75" i="75" s="1"/>
  <c r="AW75" i="77"/>
  <c r="AX75" i="77" s="1"/>
  <c r="AY75" i="77" s="1"/>
  <c r="AG75" i="77"/>
  <c r="BL75" i="77"/>
  <c r="BM75" i="77" s="1"/>
  <c r="BN75" i="77" s="1"/>
  <c r="AW75" i="75"/>
  <c r="AX75" i="75" s="1"/>
  <c r="AY75" i="75" s="1"/>
  <c r="Z75" i="75"/>
  <c r="AR75" i="75"/>
  <c r="AS75" i="75" s="1"/>
  <c r="AT75" i="75" s="1"/>
  <c r="AG75" i="75"/>
  <c r="BL75" i="75"/>
  <c r="BM75" i="75" s="1"/>
  <c r="BN75" i="75" s="1"/>
  <c r="AK75" i="77"/>
  <c r="AL75" i="77" s="1"/>
  <c r="AN75" i="77" s="1"/>
  <c r="AM76" i="76"/>
  <c r="AX76" i="76"/>
  <c r="S77" i="76"/>
  <c r="BH76" i="76"/>
  <c r="W76" i="76"/>
  <c r="V76" i="76"/>
  <c r="AS76" i="76"/>
  <c r="BC76" i="76"/>
  <c r="AN76" i="76"/>
  <c r="AI76" i="77"/>
  <c r="AG76" i="76"/>
  <c r="AI76" i="75"/>
  <c r="CM77" i="75"/>
  <c r="AB78" i="74"/>
  <c r="AJ77" i="74"/>
  <c r="CC77" i="74"/>
  <c r="AV77" i="74"/>
  <c r="AF77" i="74"/>
  <c r="AE77" i="74"/>
  <c r="AC77" i="74"/>
  <c r="AP77" i="74"/>
  <c r="N80" i="76"/>
  <c r="O79" i="76"/>
  <c r="AO76" i="75"/>
  <c r="AZ76" i="75"/>
  <c r="CC76" i="75"/>
  <c r="BJ76" i="75"/>
  <c r="Y76" i="75"/>
  <c r="U77" i="75"/>
  <c r="CL76" i="75"/>
  <c r="AU76" i="75"/>
  <c r="BE76" i="75"/>
  <c r="AP76" i="75"/>
  <c r="BB75" i="75"/>
  <c r="BC75" i="75" s="1"/>
  <c r="BD75" i="75" s="1"/>
  <c r="BT75" i="77"/>
  <c r="BU75" i="77" s="1"/>
  <c r="BW75" i="77" s="1"/>
  <c r="BH76" i="74"/>
  <c r="BI76" i="74" s="1"/>
  <c r="BJ76" i="74" s="1"/>
  <c r="AQ76" i="74"/>
  <c r="AR76" i="74" s="1"/>
  <c r="AS76" i="74" s="1"/>
  <c r="AU76" i="74" s="1"/>
  <c r="BQ76" i="74"/>
  <c r="BR76" i="74" s="1"/>
  <c r="BS76" i="74" s="1"/>
  <c r="BC76" i="74"/>
  <c r="BD76" i="74" s="1"/>
  <c r="BE76" i="74" s="1"/>
  <c r="AL76" i="74"/>
  <c r="AM77" i="74" s="1"/>
  <c r="BM76" i="74"/>
  <c r="BN76" i="74" s="1"/>
  <c r="BO76" i="74" s="1"/>
  <c r="AX76" i="74"/>
  <c r="AY76" i="74" s="1"/>
  <c r="AZ76" i="74" s="1"/>
  <c r="N80" i="75"/>
  <c r="O79" i="75"/>
  <c r="V76" i="77"/>
  <c r="AB76" i="77" s="1"/>
  <c r="T76" i="76"/>
  <c r="Z76" i="76" s="1"/>
  <c r="V76" i="75"/>
  <c r="AB76" i="75" s="1"/>
  <c r="AI76" i="74"/>
  <c r="X75" i="76"/>
  <c r="AD76" i="77"/>
  <c r="AB76" i="76"/>
  <c r="AD76" i="75"/>
  <c r="N81" i="74"/>
  <c r="L95" i="65" s="1"/>
  <c r="O80" i="74"/>
  <c r="M94" i="65" s="1"/>
  <c r="BD75" i="76"/>
  <c r="BE75" i="76" s="1"/>
  <c r="BF75" i="76" s="1"/>
  <c r="BG75" i="76" s="1"/>
  <c r="BM75" i="76"/>
  <c r="BN75" i="76" s="1"/>
  <c r="BO75" i="76" s="1"/>
  <c r="AO75" i="76"/>
  <c r="AP75" i="76" s="1"/>
  <c r="AQ75" i="76" s="1"/>
  <c r="AR75" i="76" s="1"/>
  <c r="AC75" i="76"/>
  <c r="AD76" i="76" s="1"/>
  <c r="AY75" i="76"/>
  <c r="AZ75" i="76" s="1"/>
  <c r="BA75" i="76" s="1"/>
  <c r="BB75" i="76" s="1"/>
  <c r="BI75" i="76"/>
  <c r="BJ75" i="76" s="1"/>
  <c r="BK75" i="76" s="1"/>
  <c r="BL75" i="76" s="1"/>
  <c r="AT75" i="76"/>
  <c r="AU75" i="76" s="1"/>
  <c r="AV75" i="76" s="1"/>
  <c r="AW75" i="76" s="1"/>
  <c r="AH75" i="76"/>
  <c r="AI75" i="76" s="1"/>
  <c r="AJ75" i="76" s="1"/>
  <c r="AL75" i="76" s="1"/>
  <c r="N80" i="77"/>
  <c r="O79" i="77"/>
  <c r="AK75" i="75"/>
  <c r="AL75" i="75" s="1"/>
  <c r="AN75" i="75" s="1"/>
  <c r="CL77" i="77"/>
  <c r="AZ76" i="77"/>
  <c r="BJ76" i="77"/>
  <c r="Y76" i="77"/>
  <c r="AU76" i="77"/>
  <c r="U77" i="77"/>
  <c r="BE76" i="77"/>
  <c r="CK76" i="77"/>
  <c r="AP76" i="77"/>
  <c r="AO76" i="77"/>
  <c r="AF77" i="77" l="1"/>
  <c r="BP77" i="77" s="1"/>
  <c r="BQ77" i="77" s="1"/>
  <c r="BS77" i="77" s="1"/>
  <c r="AF77" i="75"/>
  <c r="AG77" i="75" s="1"/>
  <c r="AN77" i="74"/>
  <c r="AE75" i="76"/>
  <c r="AK76" i="77"/>
  <c r="AL76" i="77" s="1"/>
  <c r="AN76" i="77" s="1"/>
  <c r="BG76" i="75"/>
  <c r="BH76" i="75" s="1"/>
  <c r="BI76" i="75" s="1"/>
  <c r="BL76" i="77"/>
  <c r="BM76" i="77" s="1"/>
  <c r="BN76" i="77" s="1"/>
  <c r="BB76" i="77"/>
  <c r="BC76" i="77" s="1"/>
  <c r="BD76" i="77" s="1"/>
  <c r="Z76" i="77"/>
  <c r="AG76" i="75"/>
  <c r="BB76" i="75"/>
  <c r="BC76" i="75" s="1"/>
  <c r="BD76" i="75" s="1"/>
  <c r="AG76" i="77"/>
  <c r="BT76" i="75"/>
  <c r="BU76" i="75" s="1"/>
  <c r="BW76" i="75" s="1"/>
  <c r="AW76" i="77"/>
  <c r="AX76" i="77" s="1"/>
  <c r="AY76" i="77" s="1"/>
  <c r="AZ77" i="75"/>
  <c r="CC77" i="75"/>
  <c r="BJ77" i="75"/>
  <c r="Y77" i="75"/>
  <c r="U78" i="75"/>
  <c r="CL77" i="75"/>
  <c r="AU77" i="75"/>
  <c r="BE77" i="75"/>
  <c r="AP77" i="75"/>
  <c r="AO77" i="75"/>
  <c r="AL77" i="74"/>
  <c r="AM78" i="74" s="1"/>
  <c r="BM77" i="74"/>
  <c r="BN77" i="74" s="1"/>
  <c r="BO77" i="74" s="1"/>
  <c r="AX77" i="74"/>
  <c r="AY77" i="74" s="1"/>
  <c r="AZ77" i="74" s="1"/>
  <c r="BH77" i="74"/>
  <c r="BI77" i="74" s="1"/>
  <c r="BJ77" i="74" s="1"/>
  <c r="AQ77" i="74"/>
  <c r="AR77" i="74" s="1"/>
  <c r="AS77" i="74" s="1"/>
  <c r="AU77" i="74" s="1"/>
  <c r="BQ77" i="74"/>
  <c r="BR77" i="74" s="1"/>
  <c r="BS77" i="74" s="1"/>
  <c r="BC77" i="74"/>
  <c r="BD77" i="74" s="1"/>
  <c r="BE77" i="74" s="1"/>
  <c r="AY76" i="76"/>
  <c r="AZ76" i="76" s="1"/>
  <c r="BA76" i="76" s="1"/>
  <c r="BB76" i="76" s="1"/>
  <c r="BI76" i="76"/>
  <c r="BJ76" i="76" s="1"/>
  <c r="BK76" i="76" s="1"/>
  <c r="BL76" i="76" s="1"/>
  <c r="AT76" i="76"/>
  <c r="AU76" i="76" s="1"/>
  <c r="AV76" i="76" s="1"/>
  <c r="AW76" i="76" s="1"/>
  <c r="AH76" i="76"/>
  <c r="AI76" i="76" s="1"/>
  <c r="AJ76" i="76" s="1"/>
  <c r="AL76" i="76" s="1"/>
  <c r="BD76" i="76"/>
  <c r="BE76" i="76" s="1"/>
  <c r="BF76" i="76" s="1"/>
  <c r="BG76" i="76" s="1"/>
  <c r="AO76" i="76"/>
  <c r="AP76" i="76" s="1"/>
  <c r="AQ76" i="76" s="1"/>
  <c r="AR76" i="76" s="1"/>
  <c r="AC76" i="76"/>
  <c r="AD77" i="76" s="1"/>
  <c r="BM76" i="76"/>
  <c r="BN76" i="76" s="1"/>
  <c r="BO76" i="76" s="1"/>
  <c r="O81" i="74"/>
  <c r="M95" i="65" s="1"/>
  <c r="N82" i="74"/>
  <c r="L96" i="65" s="1"/>
  <c r="O80" i="76"/>
  <c r="N81" i="76"/>
  <c r="CM78" i="75"/>
  <c r="V77" i="76"/>
  <c r="AS77" i="76"/>
  <c r="BC77" i="76"/>
  <c r="AN77" i="76"/>
  <c r="AM77" i="76"/>
  <c r="AX77" i="76"/>
  <c r="S78" i="76"/>
  <c r="W77" i="76"/>
  <c r="BH77" i="76"/>
  <c r="O80" i="77"/>
  <c r="N81" i="77"/>
  <c r="BG76" i="77"/>
  <c r="BH76" i="77" s="1"/>
  <c r="BI76" i="77" s="1"/>
  <c r="CL78" i="77"/>
  <c r="AK76" i="75"/>
  <c r="AL76" i="75" s="1"/>
  <c r="AN76" i="75" s="1"/>
  <c r="AI77" i="77"/>
  <c r="AG77" i="76"/>
  <c r="AI77" i="75"/>
  <c r="AO77" i="77"/>
  <c r="AZ77" i="77"/>
  <c r="BJ77" i="77"/>
  <c r="Y77" i="77"/>
  <c r="CK77" i="77"/>
  <c r="U78" i="77"/>
  <c r="BE77" i="77"/>
  <c r="AU77" i="77"/>
  <c r="AP77" i="77"/>
  <c r="AR76" i="77"/>
  <c r="AS76" i="77" s="1"/>
  <c r="AT76" i="77" s="1"/>
  <c r="BT76" i="77"/>
  <c r="BU76" i="77" s="1"/>
  <c r="BW76" i="77" s="1"/>
  <c r="AW76" i="75"/>
  <c r="AX76" i="75" s="1"/>
  <c r="AY76" i="75" s="1"/>
  <c r="AD77" i="77"/>
  <c r="AB77" i="76"/>
  <c r="AD77" i="75"/>
  <c r="AR76" i="75"/>
  <c r="AS76" i="75" s="1"/>
  <c r="AT76" i="75" s="1"/>
  <c r="BL76" i="75"/>
  <c r="BM76" i="75" s="1"/>
  <c r="BN76" i="75" s="1"/>
  <c r="AG77" i="74"/>
  <c r="N81" i="75"/>
  <c r="O80" i="75"/>
  <c r="Z76" i="75"/>
  <c r="V77" i="77"/>
  <c r="AB77" i="77" s="1"/>
  <c r="T77" i="76"/>
  <c r="Z77" i="76" s="1"/>
  <c r="V77" i="75"/>
  <c r="AB77" i="75" s="1"/>
  <c r="AI77" i="74"/>
  <c r="AC78" i="74"/>
  <c r="AP78" i="74"/>
  <c r="AB79" i="74"/>
  <c r="AJ78" i="74"/>
  <c r="CC78" i="74"/>
  <c r="AV78" i="74"/>
  <c r="AF78" i="74"/>
  <c r="AG78" i="74" s="1"/>
  <c r="AE78" i="74"/>
  <c r="X76" i="76"/>
  <c r="AF78" i="75" l="1"/>
  <c r="BP78" i="75" s="1"/>
  <c r="BQ78" i="75" s="1"/>
  <c r="BS78" i="75" s="1"/>
  <c r="AF78" i="77"/>
  <c r="BP78" i="77" s="1"/>
  <c r="BQ78" i="77" s="1"/>
  <c r="BS78" i="77" s="1"/>
  <c r="AE76" i="76"/>
  <c r="BT77" i="75"/>
  <c r="BU77" i="75" s="1"/>
  <c r="BW77" i="75" s="1"/>
  <c r="BT77" i="77"/>
  <c r="BU77" i="77" s="1"/>
  <c r="BW77" i="77" s="1"/>
  <c r="BB77" i="77"/>
  <c r="BC77" i="77" s="1"/>
  <c r="BD77" i="77" s="1"/>
  <c r="AG77" i="77"/>
  <c r="AD78" i="77"/>
  <c r="AB78" i="76"/>
  <c r="AD78" i="75"/>
  <c r="N83" i="74"/>
  <c r="L97" i="65" s="1"/>
  <c r="O82" i="74"/>
  <c r="M96" i="65" s="1"/>
  <c r="AK77" i="75"/>
  <c r="AL77" i="75" s="1"/>
  <c r="AN77" i="75" s="1"/>
  <c r="AK77" i="77"/>
  <c r="AL77" i="77" s="1"/>
  <c r="AN77" i="77" s="1"/>
  <c r="CM79" i="75"/>
  <c r="AW77" i="75"/>
  <c r="AX77" i="75" s="1"/>
  <c r="AY77" i="75" s="1"/>
  <c r="AI78" i="77"/>
  <c r="AG78" i="76"/>
  <c r="AI78" i="75"/>
  <c r="AW77" i="77"/>
  <c r="AX77" i="77" s="1"/>
  <c r="AY77" i="77" s="1"/>
  <c r="BG77" i="77"/>
  <c r="BH77" i="77" s="1"/>
  <c r="BI77" i="77" s="1"/>
  <c r="CL79" i="77"/>
  <c r="N82" i="76"/>
  <c r="O81" i="76"/>
  <c r="AR77" i="75"/>
  <c r="AS77" i="75" s="1"/>
  <c r="AT77" i="75" s="1"/>
  <c r="BL77" i="75"/>
  <c r="BM77" i="75" s="1"/>
  <c r="BN77" i="75" s="1"/>
  <c r="AQ78" i="74"/>
  <c r="AR78" i="74" s="1"/>
  <c r="AS78" i="74" s="1"/>
  <c r="AU78" i="74" s="1"/>
  <c r="BQ78" i="74"/>
  <c r="BR78" i="74" s="1"/>
  <c r="BS78" i="74" s="1"/>
  <c r="BC78" i="74"/>
  <c r="BD78" i="74" s="1"/>
  <c r="BE78" i="74" s="1"/>
  <c r="AL78" i="74"/>
  <c r="AM79" i="74" s="1"/>
  <c r="BM78" i="74"/>
  <c r="BN78" i="74" s="1"/>
  <c r="BO78" i="74" s="1"/>
  <c r="AX78" i="74"/>
  <c r="AY78" i="74" s="1"/>
  <c r="AZ78" i="74" s="1"/>
  <c r="BH78" i="74"/>
  <c r="BI78" i="74" s="1"/>
  <c r="BJ78" i="74" s="1"/>
  <c r="BL77" i="77"/>
  <c r="BM77" i="77" s="1"/>
  <c r="BN77" i="77" s="1"/>
  <c r="Z77" i="75"/>
  <c r="AT77" i="76"/>
  <c r="AU77" i="76" s="1"/>
  <c r="AV77" i="76" s="1"/>
  <c r="AW77" i="76" s="1"/>
  <c r="AH77" i="76"/>
  <c r="AI77" i="76" s="1"/>
  <c r="AJ77" i="76" s="1"/>
  <c r="AL77" i="76" s="1"/>
  <c r="BD77" i="76"/>
  <c r="BE77" i="76" s="1"/>
  <c r="BF77" i="76" s="1"/>
  <c r="BG77" i="76" s="1"/>
  <c r="BM77" i="76"/>
  <c r="BN77" i="76" s="1"/>
  <c r="BO77" i="76" s="1"/>
  <c r="AO77" i="76"/>
  <c r="AP77" i="76" s="1"/>
  <c r="AQ77" i="76" s="1"/>
  <c r="AR77" i="76" s="1"/>
  <c r="AC77" i="76"/>
  <c r="AD78" i="76" s="1"/>
  <c r="AY77" i="76"/>
  <c r="AZ77" i="76" s="1"/>
  <c r="BA77" i="76" s="1"/>
  <c r="BB77" i="76" s="1"/>
  <c r="BI77" i="76"/>
  <c r="BJ77" i="76" s="1"/>
  <c r="BK77" i="76" s="1"/>
  <c r="BL77" i="76" s="1"/>
  <c r="CC79" i="74"/>
  <c r="AV79" i="74"/>
  <c r="AF79" i="74"/>
  <c r="AE79" i="74"/>
  <c r="AC79" i="74"/>
  <c r="AP79" i="74"/>
  <c r="AJ79" i="74"/>
  <c r="AB80" i="74"/>
  <c r="N82" i="75"/>
  <c r="O81" i="75"/>
  <c r="AP78" i="77"/>
  <c r="AO78" i="77"/>
  <c r="AZ78" i="77"/>
  <c r="BJ78" i="77"/>
  <c r="Y78" i="77"/>
  <c r="Z78" i="77" s="1"/>
  <c r="AU78" i="77"/>
  <c r="CK78" i="77"/>
  <c r="U79" i="77"/>
  <c r="BE78" i="77"/>
  <c r="Z77" i="77"/>
  <c r="BB77" i="75"/>
  <c r="BC77" i="75" s="1"/>
  <c r="BD77" i="75" s="1"/>
  <c r="BP77" i="75"/>
  <c r="BQ77" i="75" s="1"/>
  <c r="BS77" i="75" s="1"/>
  <c r="BG77" i="75"/>
  <c r="BH77" i="75" s="1"/>
  <c r="BI77" i="75" s="1"/>
  <c r="V78" i="77"/>
  <c r="AB78" i="77" s="1"/>
  <c r="T78" i="76"/>
  <c r="Z78" i="76" s="1"/>
  <c r="V78" i="75"/>
  <c r="AB78" i="75" s="1"/>
  <c r="AI78" i="74"/>
  <c r="AR77" i="77"/>
  <c r="AS77" i="77" s="1"/>
  <c r="AT77" i="77" s="1"/>
  <c r="O81" i="77"/>
  <c r="N82" i="77"/>
  <c r="AN78" i="76"/>
  <c r="AM78" i="76"/>
  <c r="AX78" i="76"/>
  <c r="S79" i="76"/>
  <c r="BH78" i="76"/>
  <c r="W78" i="76"/>
  <c r="V78" i="76"/>
  <c r="AS78" i="76"/>
  <c r="BC78" i="76"/>
  <c r="X77" i="76"/>
  <c r="CC78" i="75"/>
  <c r="BJ78" i="75"/>
  <c r="Y78" i="75"/>
  <c r="U79" i="75"/>
  <c r="CL78" i="75"/>
  <c r="AU78" i="75"/>
  <c r="BE78" i="75"/>
  <c r="AP78" i="75"/>
  <c r="AZ78" i="75"/>
  <c r="AO78" i="75"/>
  <c r="AF79" i="77" l="1"/>
  <c r="BP79" i="77" s="1"/>
  <c r="BQ79" i="77" s="1"/>
  <c r="BS79" i="77" s="1"/>
  <c r="AF79" i="75"/>
  <c r="BP79" i="75" s="1"/>
  <c r="BQ79" i="75" s="1"/>
  <c r="BS79" i="75" s="1"/>
  <c r="AN79" i="74"/>
  <c r="AN78" i="74"/>
  <c r="AE77" i="76"/>
  <c r="BG78" i="77"/>
  <c r="BH78" i="77" s="1"/>
  <c r="BI78" i="77" s="1"/>
  <c r="AG78" i="75"/>
  <c r="BB78" i="75"/>
  <c r="BC78" i="75" s="1"/>
  <c r="BD78" i="75" s="1"/>
  <c r="BL78" i="75"/>
  <c r="BM78" i="75" s="1"/>
  <c r="BN78" i="75" s="1"/>
  <c r="AK78" i="75"/>
  <c r="AL78" i="75" s="1"/>
  <c r="AN78" i="75" s="1"/>
  <c r="AR78" i="77"/>
  <c r="AS78" i="77" s="1"/>
  <c r="AT78" i="77" s="1"/>
  <c r="BB78" i="77"/>
  <c r="BC78" i="77" s="1"/>
  <c r="BD78" i="77" s="1"/>
  <c r="AD79" i="77"/>
  <c r="AB79" i="76"/>
  <c r="AD79" i="75"/>
  <c r="BM78" i="76"/>
  <c r="BN78" i="76" s="1"/>
  <c r="BO78" i="76" s="1"/>
  <c r="AO78" i="76"/>
  <c r="AP78" i="76" s="1"/>
  <c r="AQ78" i="76" s="1"/>
  <c r="AR78" i="76" s="1"/>
  <c r="AC78" i="76"/>
  <c r="AD79" i="76" s="1"/>
  <c r="AY78" i="76"/>
  <c r="AZ78" i="76" s="1"/>
  <c r="BA78" i="76" s="1"/>
  <c r="BB78" i="76" s="1"/>
  <c r="BI78" i="76"/>
  <c r="BJ78" i="76" s="1"/>
  <c r="BK78" i="76" s="1"/>
  <c r="BL78" i="76" s="1"/>
  <c r="AT78" i="76"/>
  <c r="AU78" i="76" s="1"/>
  <c r="AV78" i="76" s="1"/>
  <c r="AW78" i="76" s="1"/>
  <c r="AH78" i="76"/>
  <c r="AI78" i="76" s="1"/>
  <c r="AJ78" i="76" s="1"/>
  <c r="AL78" i="76" s="1"/>
  <c r="BD78" i="76"/>
  <c r="BE78" i="76" s="1"/>
  <c r="BF78" i="76" s="1"/>
  <c r="BG78" i="76" s="1"/>
  <c r="BT78" i="77"/>
  <c r="BU78" i="77" s="1"/>
  <c r="BW78" i="77" s="1"/>
  <c r="AW78" i="75"/>
  <c r="AX78" i="75" s="1"/>
  <c r="AY78" i="75" s="1"/>
  <c r="S80" i="76"/>
  <c r="BH79" i="76"/>
  <c r="W79" i="76"/>
  <c r="X79" i="76" s="1"/>
  <c r="V79" i="76"/>
  <c r="AS79" i="76"/>
  <c r="BC79" i="76"/>
  <c r="AN79" i="76"/>
  <c r="AM79" i="76"/>
  <c r="AX79" i="76"/>
  <c r="U80" i="77"/>
  <c r="AP79" i="77"/>
  <c r="AO79" i="77"/>
  <c r="AZ79" i="77"/>
  <c r="BJ79" i="77"/>
  <c r="AU79" i="77"/>
  <c r="CK79" i="77"/>
  <c r="Y79" i="77"/>
  <c r="Z79" i="77" s="1"/>
  <c r="BE79" i="77"/>
  <c r="AI79" i="77"/>
  <c r="AG79" i="76"/>
  <c r="AI79" i="75"/>
  <c r="AG78" i="77"/>
  <c r="AK78" i="77"/>
  <c r="AL78" i="77" s="1"/>
  <c r="AN78" i="77" s="1"/>
  <c r="AR78" i="75"/>
  <c r="AS78" i="75" s="1"/>
  <c r="AT78" i="75" s="1"/>
  <c r="AW78" i="77"/>
  <c r="AX78" i="77" s="1"/>
  <c r="AY78" i="77" s="1"/>
  <c r="Z78" i="75"/>
  <c r="N83" i="75"/>
  <c r="O82" i="75"/>
  <c r="AG79" i="74"/>
  <c r="N83" i="76"/>
  <c r="O82" i="76"/>
  <c r="BG78" i="75"/>
  <c r="BH78" i="75" s="1"/>
  <c r="BI78" i="75" s="1"/>
  <c r="BL78" i="77"/>
  <c r="BM78" i="77" s="1"/>
  <c r="BN78" i="77" s="1"/>
  <c r="V79" i="77"/>
  <c r="AB79" i="77" s="1"/>
  <c r="T79" i="76"/>
  <c r="Z79" i="76" s="1"/>
  <c r="V79" i="75"/>
  <c r="AB79" i="75" s="1"/>
  <c r="AI79" i="74"/>
  <c r="CL80" i="77"/>
  <c r="BT78" i="75"/>
  <c r="BU78" i="75" s="1"/>
  <c r="BW78" i="75" s="1"/>
  <c r="CM80" i="75"/>
  <c r="O83" i="74"/>
  <c r="M97" i="65" s="1"/>
  <c r="N84" i="74"/>
  <c r="L98" i="65" s="1"/>
  <c r="AB81" i="74"/>
  <c r="AJ80" i="74"/>
  <c r="CC80" i="74"/>
  <c r="AV80" i="74"/>
  <c r="AF80" i="74"/>
  <c r="AE80" i="74"/>
  <c r="AC80" i="74"/>
  <c r="AP80" i="74"/>
  <c r="BJ79" i="75"/>
  <c r="Y79" i="75"/>
  <c r="U80" i="75"/>
  <c r="CL79" i="75"/>
  <c r="AU79" i="75"/>
  <c r="BE79" i="75"/>
  <c r="AP79" i="75"/>
  <c r="AO79" i="75"/>
  <c r="AZ79" i="75"/>
  <c r="CC79" i="75"/>
  <c r="X78" i="76"/>
  <c r="N83" i="77"/>
  <c r="O82" i="77"/>
  <c r="BH79" i="74"/>
  <c r="BI79" i="74" s="1"/>
  <c r="BJ79" i="74" s="1"/>
  <c r="AQ79" i="74"/>
  <c r="AR79" i="74" s="1"/>
  <c r="AS79" i="74" s="1"/>
  <c r="AU79" i="74" s="1"/>
  <c r="BQ79" i="74"/>
  <c r="BR79" i="74" s="1"/>
  <c r="BS79" i="74" s="1"/>
  <c r="BC79" i="74"/>
  <c r="BD79" i="74" s="1"/>
  <c r="BE79" i="74" s="1"/>
  <c r="AL79" i="74"/>
  <c r="AM80" i="74" s="1"/>
  <c r="BM79" i="74"/>
  <c r="BN79" i="74" s="1"/>
  <c r="BO79" i="74" s="1"/>
  <c r="AX79" i="74"/>
  <c r="AY79" i="74" s="1"/>
  <c r="AZ79" i="74" s="1"/>
  <c r="AF80" i="77" l="1"/>
  <c r="AG80" i="77" s="1"/>
  <c r="AF80" i="75"/>
  <c r="AG80" i="75" s="1"/>
  <c r="AE78" i="76"/>
  <c r="AK79" i="77"/>
  <c r="AL79" i="77" s="1"/>
  <c r="AN79" i="77" s="1"/>
  <c r="AG79" i="75"/>
  <c r="BT79" i="77"/>
  <c r="BU79" i="77" s="1"/>
  <c r="BW79" i="77" s="1"/>
  <c r="AG79" i="77"/>
  <c r="BL79" i="77"/>
  <c r="BM79" i="77" s="1"/>
  <c r="BN79" i="77" s="1"/>
  <c r="BB79" i="75"/>
  <c r="BC79" i="75" s="1"/>
  <c r="BD79" i="75" s="1"/>
  <c r="AK79" i="75"/>
  <c r="AL79" i="75" s="1"/>
  <c r="AN79" i="75" s="1"/>
  <c r="BB79" i="77"/>
  <c r="BC79" i="77" s="1"/>
  <c r="BD79" i="77" s="1"/>
  <c r="BT79" i="75"/>
  <c r="BU79" i="75" s="1"/>
  <c r="BW79" i="75" s="1"/>
  <c r="BG79" i="77"/>
  <c r="BH79" i="77" s="1"/>
  <c r="BI79" i="77" s="1"/>
  <c r="BQ80" i="74"/>
  <c r="BR80" i="74" s="1"/>
  <c r="BS80" i="74" s="1"/>
  <c r="BC80" i="74"/>
  <c r="BD80" i="74" s="1"/>
  <c r="BE80" i="74" s="1"/>
  <c r="AL80" i="74"/>
  <c r="AM81" i="74" s="1"/>
  <c r="BM80" i="74"/>
  <c r="BN80" i="74" s="1"/>
  <c r="BO80" i="74" s="1"/>
  <c r="AX80" i="74"/>
  <c r="AY80" i="74" s="1"/>
  <c r="AZ80" i="74" s="1"/>
  <c r="BH80" i="74"/>
  <c r="BI80" i="74" s="1"/>
  <c r="BJ80" i="74" s="1"/>
  <c r="AQ80" i="74"/>
  <c r="AR80" i="74" s="1"/>
  <c r="AS80" i="74" s="1"/>
  <c r="AU80" i="74" s="1"/>
  <c r="N85" i="74"/>
  <c r="L99" i="65" s="1"/>
  <c r="O84" i="74"/>
  <c r="M98" i="65" s="1"/>
  <c r="AT79" i="76"/>
  <c r="AU79" i="76" s="1"/>
  <c r="AV79" i="76" s="1"/>
  <c r="AW79" i="76" s="1"/>
  <c r="AH79" i="76"/>
  <c r="AI79" i="76" s="1"/>
  <c r="AJ79" i="76" s="1"/>
  <c r="AL79" i="76" s="1"/>
  <c r="BD79" i="76"/>
  <c r="BE79" i="76" s="1"/>
  <c r="BF79" i="76" s="1"/>
  <c r="BG79" i="76" s="1"/>
  <c r="BM79" i="76"/>
  <c r="BN79" i="76" s="1"/>
  <c r="BO79" i="76" s="1"/>
  <c r="AO79" i="76"/>
  <c r="AP79" i="76" s="1"/>
  <c r="AQ79" i="76" s="1"/>
  <c r="AR79" i="76" s="1"/>
  <c r="AC79" i="76"/>
  <c r="AD80" i="76" s="1"/>
  <c r="AY79" i="76"/>
  <c r="AZ79" i="76" s="1"/>
  <c r="BA79" i="76" s="1"/>
  <c r="BB79" i="76" s="1"/>
  <c r="BI79" i="76"/>
  <c r="BJ79" i="76" s="1"/>
  <c r="BK79" i="76" s="1"/>
  <c r="BL79" i="76" s="1"/>
  <c r="N84" i="75"/>
  <c r="O83" i="75"/>
  <c r="BC80" i="76"/>
  <c r="AN80" i="76"/>
  <c r="AM80" i="76"/>
  <c r="AX80" i="76"/>
  <c r="S81" i="76"/>
  <c r="BH80" i="76"/>
  <c r="W80" i="76"/>
  <c r="X80" i="76" s="1"/>
  <c r="V80" i="76"/>
  <c r="AS80" i="76"/>
  <c r="Y80" i="75"/>
  <c r="U81" i="75"/>
  <c r="CL80" i="75"/>
  <c r="AU80" i="75"/>
  <c r="BE80" i="75"/>
  <c r="AP80" i="75"/>
  <c r="AO80" i="75"/>
  <c r="AZ80" i="75"/>
  <c r="CC80" i="75"/>
  <c r="BJ80" i="75"/>
  <c r="AI80" i="77"/>
  <c r="AG80" i="76"/>
  <c r="AI80" i="75"/>
  <c r="AU80" i="77"/>
  <c r="CK80" i="77"/>
  <c r="U81" i="77"/>
  <c r="BE80" i="77"/>
  <c r="AO80" i="77"/>
  <c r="AZ80" i="77"/>
  <c r="Y80" i="77"/>
  <c r="BJ80" i="77"/>
  <c r="AP80" i="77"/>
  <c r="AW79" i="75"/>
  <c r="AX79" i="75" s="1"/>
  <c r="AY79" i="75" s="1"/>
  <c r="CL81" i="77"/>
  <c r="AD80" i="77"/>
  <c r="AB80" i="76"/>
  <c r="AD80" i="75"/>
  <c r="AR79" i="75"/>
  <c r="AS79" i="75" s="1"/>
  <c r="AT79" i="75" s="1"/>
  <c r="AG80" i="74"/>
  <c r="O83" i="76"/>
  <c r="N84" i="76"/>
  <c r="AW79" i="77"/>
  <c r="AX79" i="77" s="1"/>
  <c r="AY79" i="77" s="1"/>
  <c r="N84" i="77"/>
  <c r="O83" i="77"/>
  <c r="BL79" i="75"/>
  <c r="BM79" i="75" s="1"/>
  <c r="BN79" i="75" s="1"/>
  <c r="Z79" i="75"/>
  <c r="V80" i="77"/>
  <c r="AB80" i="77" s="1"/>
  <c r="T80" i="76"/>
  <c r="Z80" i="76" s="1"/>
  <c r="V80" i="75"/>
  <c r="AB80" i="75" s="1"/>
  <c r="AI80" i="74"/>
  <c r="AF81" i="74"/>
  <c r="AG81" i="74" s="1"/>
  <c r="AE81" i="74"/>
  <c r="AC81" i="74"/>
  <c r="AP81" i="74"/>
  <c r="AB82" i="74"/>
  <c r="AJ81" i="74"/>
  <c r="CC81" i="74"/>
  <c r="AV81" i="74"/>
  <c r="BG79" i="75"/>
  <c r="BH79" i="75" s="1"/>
  <c r="BI79" i="75" s="1"/>
  <c r="CM81" i="75"/>
  <c r="AR79" i="77"/>
  <c r="AS79" i="77" s="1"/>
  <c r="AT79" i="77" s="1"/>
  <c r="AF81" i="77" l="1"/>
  <c r="AG81" i="77" s="1"/>
  <c r="AF81" i="75"/>
  <c r="AN81" i="74"/>
  <c r="AN80" i="74"/>
  <c r="AE79" i="76"/>
  <c r="BT80" i="75"/>
  <c r="BU80" i="75" s="1"/>
  <c r="BW80" i="75" s="1"/>
  <c r="BP80" i="77"/>
  <c r="BQ80" i="77" s="1"/>
  <c r="BS80" i="77" s="1"/>
  <c r="BG80" i="77"/>
  <c r="BH80" i="77" s="1"/>
  <c r="BI80" i="77" s="1"/>
  <c r="AW80" i="75"/>
  <c r="AX80" i="75" s="1"/>
  <c r="AY80" i="75" s="1"/>
  <c r="BB80" i="75"/>
  <c r="BC80" i="75" s="1"/>
  <c r="BD80" i="75" s="1"/>
  <c r="AR80" i="77"/>
  <c r="AS80" i="77" s="1"/>
  <c r="AT80" i="77" s="1"/>
  <c r="CM82" i="75"/>
  <c r="N85" i="76"/>
  <c r="O84" i="76"/>
  <c r="BL80" i="77"/>
  <c r="BM80" i="77" s="1"/>
  <c r="BN80" i="77" s="1"/>
  <c r="BT80" i="77"/>
  <c r="BU80" i="77" s="1"/>
  <c r="BW80" i="77" s="1"/>
  <c r="V81" i="77"/>
  <c r="AB81" i="77" s="1"/>
  <c r="T81" i="76"/>
  <c r="Z81" i="76" s="1"/>
  <c r="V81" i="75"/>
  <c r="AB81" i="75" s="1"/>
  <c r="AI81" i="74"/>
  <c r="AW80" i="77"/>
  <c r="AX80" i="77" s="1"/>
  <c r="AY80" i="77" s="1"/>
  <c r="AK80" i="75"/>
  <c r="AL80" i="75" s="1"/>
  <c r="AN80" i="75" s="1"/>
  <c r="N85" i="77"/>
  <c r="O84" i="77"/>
  <c r="BM80" i="76"/>
  <c r="BN80" i="76" s="1"/>
  <c r="BO80" i="76" s="1"/>
  <c r="AO80" i="76"/>
  <c r="AP80" i="76" s="1"/>
  <c r="AQ80" i="76" s="1"/>
  <c r="AR80" i="76" s="1"/>
  <c r="AC80" i="76"/>
  <c r="AD81" i="76" s="1"/>
  <c r="AY80" i="76"/>
  <c r="AZ80" i="76" s="1"/>
  <c r="BA80" i="76" s="1"/>
  <c r="BB80" i="76" s="1"/>
  <c r="BI80" i="76"/>
  <c r="BJ80" i="76" s="1"/>
  <c r="BK80" i="76" s="1"/>
  <c r="BL80" i="76" s="1"/>
  <c r="AT80" i="76"/>
  <c r="AU80" i="76" s="1"/>
  <c r="AV80" i="76" s="1"/>
  <c r="AW80" i="76" s="1"/>
  <c r="AH80" i="76"/>
  <c r="AI80" i="76" s="1"/>
  <c r="AJ80" i="76" s="1"/>
  <c r="AL80" i="76" s="1"/>
  <c r="BD80" i="76"/>
  <c r="BE80" i="76" s="1"/>
  <c r="BF80" i="76" s="1"/>
  <c r="BG80" i="76" s="1"/>
  <c r="Z80" i="77"/>
  <c r="BC81" i="76"/>
  <c r="AX81" i="76"/>
  <c r="W81" i="76"/>
  <c r="V81" i="76"/>
  <c r="AS81" i="76"/>
  <c r="BH81" i="76"/>
  <c r="AN81" i="76"/>
  <c r="AM81" i="76"/>
  <c r="S82" i="76"/>
  <c r="AD81" i="77"/>
  <c r="AB81" i="76"/>
  <c r="AD81" i="75"/>
  <c r="BH81" i="74"/>
  <c r="BI81" i="74" s="1"/>
  <c r="BJ81" i="74" s="1"/>
  <c r="AQ81" i="74"/>
  <c r="AR81" i="74" s="1"/>
  <c r="AS81" i="74" s="1"/>
  <c r="AU81" i="74" s="1"/>
  <c r="BQ81" i="74"/>
  <c r="BR81" i="74" s="1"/>
  <c r="BS81" i="74" s="1"/>
  <c r="BC81" i="74"/>
  <c r="BD81" i="74" s="1"/>
  <c r="BE81" i="74" s="1"/>
  <c r="AL81" i="74"/>
  <c r="AM82" i="74" s="1"/>
  <c r="BM81" i="74"/>
  <c r="BN81" i="74" s="1"/>
  <c r="BO81" i="74" s="1"/>
  <c r="AX81" i="74"/>
  <c r="AY81" i="74" s="1"/>
  <c r="AZ81" i="74" s="1"/>
  <c r="Y81" i="77"/>
  <c r="AU81" i="77"/>
  <c r="CK81" i="77"/>
  <c r="U82" i="77"/>
  <c r="BE81" i="77"/>
  <c r="AP81" i="77"/>
  <c r="AO81" i="77"/>
  <c r="BJ81" i="77"/>
  <c r="AZ81" i="77"/>
  <c r="BL80" i="75"/>
  <c r="BM80" i="75" s="1"/>
  <c r="BN80" i="75" s="1"/>
  <c r="AR80" i="75"/>
  <c r="AS80" i="75" s="1"/>
  <c r="AT80" i="75" s="1"/>
  <c r="AK80" i="77"/>
  <c r="AL80" i="77" s="1"/>
  <c r="AN80" i="77" s="1"/>
  <c r="AB83" i="74"/>
  <c r="AJ82" i="74"/>
  <c r="CC82" i="74"/>
  <c r="AV82" i="74"/>
  <c r="AF82" i="74"/>
  <c r="AE82" i="74"/>
  <c r="AC82" i="74"/>
  <c r="AP82" i="74"/>
  <c r="CL82" i="77"/>
  <c r="BB80" i="77"/>
  <c r="BC80" i="77" s="1"/>
  <c r="BD80" i="77" s="1"/>
  <c r="BP80" i="75"/>
  <c r="BQ80" i="75" s="1"/>
  <c r="BS80" i="75" s="1"/>
  <c r="BG80" i="75"/>
  <c r="BH80" i="75" s="1"/>
  <c r="BI80" i="75" s="1"/>
  <c r="Z80" i="75"/>
  <c r="N85" i="75"/>
  <c r="O84" i="75"/>
  <c r="AI81" i="77"/>
  <c r="AG81" i="76"/>
  <c r="AI81" i="75"/>
  <c r="O85" i="74"/>
  <c r="M99" i="65" s="1"/>
  <c r="N86" i="74"/>
  <c r="L100" i="65" s="1"/>
  <c r="U82" i="75"/>
  <c r="CL81" i="75"/>
  <c r="AU81" i="75"/>
  <c r="BE81" i="75"/>
  <c r="AP81" i="75"/>
  <c r="AO81" i="75"/>
  <c r="AZ81" i="75"/>
  <c r="CC81" i="75"/>
  <c r="BJ81" i="75"/>
  <c r="Y81" i="75"/>
  <c r="AF82" i="75" l="1"/>
  <c r="AG82" i="75" s="1"/>
  <c r="AF82" i="77"/>
  <c r="BP82" i="77" s="1"/>
  <c r="BQ82" i="77" s="1"/>
  <c r="BS82" i="77" s="1"/>
  <c r="AE80" i="76"/>
  <c r="AR81" i="77"/>
  <c r="AS81" i="77" s="1"/>
  <c r="AT81" i="77" s="1"/>
  <c r="BL81" i="75"/>
  <c r="BM81" i="75" s="1"/>
  <c r="BN81" i="75" s="1"/>
  <c r="BB81" i="77"/>
  <c r="BC81" i="77" s="1"/>
  <c r="BD81" i="77" s="1"/>
  <c r="BG81" i="77"/>
  <c r="BH81" i="77" s="1"/>
  <c r="BI81" i="77" s="1"/>
  <c r="BL81" i="77"/>
  <c r="BM81" i="77" s="1"/>
  <c r="BN81" i="77" s="1"/>
  <c r="BP81" i="77"/>
  <c r="BQ81" i="77" s="1"/>
  <c r="BS81" i="77" s="1"/>
  <c r="BB81" i="75"/>
  <c r="BC81" i="75" s="1"/>
  <c r="BD81" i="75" s="1"/>
  <c r="AR81" i="75"/>
  <c r="AS81" i="75" s="1"/>
  <c r="AT81" i="75" s="1"/>
  <c r="BT81" i="75"/>
  <c r="BU81" i="75" s="1"/>
  <c r="BW81" i="75" s="1"/>
  <c r="AK81" i="75"/>
  <c r="AL81" i="75" s="1"/>
  <c r="AN81" i="75" s="1"/>
  <c r="BG81" i="75"/>
  <c r="BH81" i="75" s="1"/>
  <c r="BI81" i="75" s="1"/>
  <c r="Z81" i="75"/>
  <c r="AW81" i="75"/>
  <c r="AX81" i="75" s="1"/>
  <c r="AY81" i="75" s="1"/>
  <c r="BT81" i="77"/>
  <c r="BU81" i="77" s="1"/>
  <c r="BW81" i="77" s="1"/>
  <c r="BP81" i="75"/>
  <c r="BQ81" i="75" s="1"/>
  <c r="BS81" i="75" s="1"/>
  <c r="Z81" i="77"/>
  <c r="O85" i="77"/>
  <c r="N86" i="77"/>
  <c r="O86" i="74"/>
  <c r="M100" i="65" s="1"/>
  <c r="N87" i="74"/>
  <c r="L101" i="65" s="1"/>
  <c r="AY81" i="76"/>
  <c r="AZ81" i="76" s="1"/>
  <c r="BA81" i="76" s="1"/>
  <c r="BB81" i="76" s="1"/>
  <c r="BI81" i="76"/>
  <c r="BJ81" i="76" s="1"/>
  <c r="BK81" i="76" s="1"/>
  <c r="BL81" i="76" s="1"/>
  <c r="BD81" i="76"/>
  <c r="BE81" i="76" s="1"/>
  <c r="BF81" i="76" s="1"/>
  <c r="BG81" i="76" s="1"/>
  <c r="AT81" i="76"/>
  <c r="AU81" i="76" s="1"/>
  <c r="AV81" i="76" s="1"/>
  <c r="AW81" i="76" s="1"/>
  <c r="AH81" i="76"/>
  <c r="AI81" i="76" s="1"/>
  <c r="AJ81" i="76" s="1"/>
  <c r="AL81" i="76" s="1"/>
  <c r="BM81" i="76"/>
  <c r="BN81" i="76" s="1"/>
  <c r="BO81" i="76" s="1"/>
  <c r="AO81" i="76"/>
  <c r="AP81" i="76" s="1"/>
  <c r="AQ81" i="76" s="1"/>
  <c r="AR81" i="76" s="1"/>
  <c r="AC81" i="76"/>
  <c r="AD82" i="76" s="1"/>
  <c r="AI82" i="77"/>
  <c r="AG82" i="76"/>
  <c r="AI82" i="75"/>
  <c r="AG81" i="75"/>
  <c r="AD82" i="77"/>
  <c r="AB82" i="76"/>
  <c r="AD82" i="75"/>
  <c r="AL82" i="74"/>
  <c r="AM83" i="74" s="1"/>
  <c r="BM82" i="74"/>
  <c r="BN82" i="74" s="1"/>
  <c r="BO82" i="74" s="1"/>
  <c r="AX82" i="74"/>
  <c r="AY82" i="74" s="1"/>
  <c r="AZ82" i="74" s="1"/>
  <c r="BH82" i="74"/>
  <c r="BI82" i="74" s="1"/>
  <c r="BJ82" i="74" s="1"/>
  <c r="AQ82" i="74"/>
  <c r="AR82" i="74" s="1"/>
  <c r="AS82" i="74" s="1"/>
  <c r="AU82" i="74" s="1"/>
  <c r="BQ82" i="74"/>
  <c r="BR82" i="74" s="1"/>
  <c r="BS82" i="74" s="1"/>
  <c r="BC82" i="74"/>
  <c r="BD82" i="74" s="1"/>
  <c r="BE82" i="74" s="1"/>
  <c r="W82" i="76"/>
  <c r="X82" i="76" s="1"/>
  <c r="V82" i="76"/>
  <c r="AS82" i="76"/>
  <c r="AN82" i="76"/>
  <c r="AM82" i="76"/>
  <c r="AX82" i="76"/>
  <c r="S83" i="76"/>
  <c r="BH82" i="76"/>
  <c r="BC82" i="76"/>
  <c r="U83" i="75"/>
  <c r="CL82" i="75"/>
  <c r="AU82" i="75"/>
  <c r="BE82" i="75"/>
  <c r="AP82" i="75"/>
  <c r="AO82" i="75"/>
  <c r="AZ82" i="75"/>
  <c r="CC82" i="75"/>
  <c r="BJ82" i="75"/>
  <c r="Y82" i="75"/>
  <c r="CL83" i="77"/>
  <c r="AG82" i="74"/>
  <c r="AK81" i="77"/>
  <c r="AL81" i="77" s="1"/>
  <c r="AN81" i="77" s="1"/>
  <c r="V82" i="77"/>
  <c r="AB82" i="77" s="1"/>
  <c r="T82" i="76"/>
  <c r="Z82" i="76" s="1"/>
  <c r="V82" i="75"/>
  <c r="AB82" i="75" s="1"/>
  <c r="AI82" i="74"/>
  <c r="AE83" i="74"/>
  <c r="AC83" i="74"/>
  <c r="AP83" i="74"/>
  <c r="AB84" i="74"/>
  <c r="AJ83" i="74"/>
  <c r="CC83" i="74"/>
  <c r="AV83" i="74"/>
  <c r="AF83" i="74"/>
  <c r="BJ82" i="77"/>
  <c r="Y82" i="77"/>
  <c r="AU82" i="77"/>
  <c r="CK82" i="77"/>
  <c r="U83" i="77"/>
  <c r="BE82" i="77"/>
  <c r="AP82" i="77"/>
  <c r="AZ82" i="77"/>
  <c r="AO82" i="77"/>
  <c r="AW81" i="77"/>
  <c r="AX81" i="77" s="1"/>
  <c r="AY81" i="77" s="1"/>
  <c r="X81" i="76"/>
  <c r="N86" i="76"/>
  <c r="O85" i="76"/>
  <c r="CM83" i="75"/>
  <c r="N86" i="75"/>
  <c r="O85" i="75"/>
  <c r="AF83" i="77" l="1"/>
  <c r="AG83" i="77" s="1"/>
  <c r="AF83" i="75"/>
  <c r="AN83" i="74"/>
  <c r="AN82" i="74"/>
  <c r="AE81" i="76"/>
  <c r="BB82" i="75"/>
  <c r="BC82" i="75" s="1"/>
  <c r="BD82" i="75" s="1"/>
  <c r="BL82" i="75"/>
  <c r="BM82" i="75" s="1"/>
  <c r="BN82" i="75" s="1"/>
  <c r="AK82" i="75"/>
  <c r="AL82" i="75" s="1"/>
  <c r="AN82" i="75" s="1"/>
  <c r="AW82" i="75"/>
  <c r="AX82" i="75" s="1"/>
  <c r="AY82" i="75" s="1"/>
  <c r="Z82" i="75"/>
  <c r="BT82" i="77"/>
  <c r="BU82" i="77" s="1"/>
  <c r="BW82" i="77" s="1"/>
  <c r="BG82" i="77"/>
  <c r="BH82" i="77" s="1"/>
  <c r="BI82" i="77" s="1"/>
  <c r="BG82" i="75"/>
  <c r="BH82" i="75" s="1"/>
  <c r="BI82" i="75" s="1"/>
  <c r="AG82" i="77"/>
  <c r="AR82" i="75"/>
  <c r="AS82" i="75" s="1"/>
  <c r="AT82" i="75" s="1"/>
  <c r="BP82" i="75"/>
  <c r="BQ82" i="75" s="1"/>
  <c r="BS82" i="75" s="1"/>
  <c r="O86" i="77"/>
  <c r="N87" i="77"/>
  <c r="N87" i="75"/>
  <c r="O86" i="75"/>
  <c r="AD83" i="77"/>
  <c r="AB83" i="76"/>
  <c r="AD83" i="75"/>
  <c r="AQ83" i="74"/>
  <c r="AR83" i="74" s="1"/>
  <c r="AS83" i="74" s="1"/>
  <c r="AU83" i="74" s="1"/>
  <c r="BQ83" i="74"/>
  <c r="BR83" i="74" s="1"/>
  <c r="BS83" i="74" s="1"/>
  <c r="BC83" i="74"/>
  <c r="BD83" i="74" s="1"/>
  <c r="BE83" i="74" s="1"/>
  <c r="AL83" i="74"/>
  <c r="AM84" i="74" s="1"/>
  <c r="BM83" i="74"/>
  <c r="BN83" i="74" s="1"/>
  <c r="BO83" i="74" s="1"/>
  <c r="AX83" i="74"/>
  <c r="AY83" i="74" s="1"/>
  <c r="AZ83" i="74" s="1"/>
  <c r="BH83" i="74"/>
  <c r="BI83" i="74" s="1"/>
  <c r="BJ83" i="74" s="1"/>
  <c r="AK82" i="77"/>
  <c r="AL82" i="77" s="1"/>
  <c r="AN82" i="77" s="1"/>
  <c r="AG83" i="74"/>
  <c r="AB85" i="74"/>
  <c r="AJ84" i="74"/>
  <c r="CC84" i="74"/>
  <c r="AV84" i="74"/>
  <c r="AF84" i="74"/>
  <c r="AE84" i="74"/>
  <c r="AC84" i="74"/>
  <c r="AP84" i="74"/>
  <c r="CM84" i="75"/>
  <c r="BL82" i="77"/>
  <c r="BM82" i="77" s="1"/>
  <c r="BN82" i="77" s="1"/>
  <c r="BT82" i="75"/>
  <c r="BU82" i="75" s="1"/>
  <c r="BW82" i="75" s="1"/>
  <c r="AI83" i="77"/>
  <c r="AG83" i="76"/>
  <c r="AI83" i="75"/>
  <c r="CL84" i="77"/>
  <c r="BJ83" i="77"/>
  <c r="Y83" i="77"/>
  <c r="AU83" i="77"/>
  <c r="CK83" i="77"/>
  <c r="AO83" i="77"/>
  <c r="U84" i="77"/>
  <c r="BE83" i="77"/>
  <c r="AZ83" i="77"/>
  <c r="AP83" i="77"/>
  <c r="Z82" i="77"/>
  <c r="BE83" i="75"/>
  <c r="BP83" i="75"/>
  <c r="BQ83" i="75" s="1"/>
  <c r="BS83" i="75" s="1"/>
  <c r="AP83" i="75"/>
  <c r="AO83" i="75"/>
  <c r="AZ83" i="75"/>
  <c r="CC83" i="75"/>
  <c r="BJ83" i="75"/>
  <c r="Y83" i="75"/>
  <c r="CL83" i="75"/>
  <c r="AU83" i="75"/>
  <c r="U84" i="75"/>
  <c r="AN83" i="76"/>
  <c r="AM83" i="76"/>
  <c r="W83" i="76"/>
  <c r="V83" i="76"/>
  <c r="AS83" i="76"/>
  <c r="AX83" i="76"/>
  <c r="S84" i="76"/>
  <c r="BH83" i="76"/>
  <c r="BC83" i="76"/>
  <c r="N88" i="74"/>
  <c r="L102" i="65" s="1"/>
  <c r="O87" i="74"/>
  <c r="M101" i="65" s="1"/>
  <c r="N87" i="76"/>
  <c r="O86" i="76"/>
  <c r="AW82" i="77"/>
  <c r="AX82" i="77" s="1"/>
  <c r="AY82" i="77" s="1"/>
  <c r="BB82" i="77"/>
  <c r="BC82" i="77" s="1"/>
  <c r="BD82" i="77" s="1"/>
  <c r="AR82" i="77"/>
  <c r="AS82" i="77" s="1"/>
  <c r="AT82" i="77" s="1"/>
  <c r="V83" i="77"/>
  <c r="AB83" i="77" s="1"/>
  <c r="T83" i="76"/>
  <c r="Z83" i="76" s="1"/>
  <c r="V83" i="75"/>
  <c r="AB83" i="75" s="1"/>
  <c r="AI83" i="74"/>
  <c r="AT82" i="76"/>
  <c r="AU82" i="76" s="1"/>
  <c r="AV82" i="76" s="1"/>
  <c r="AW82" i="76" s="1"/>
  <c r="AH82" i="76"/>
  <c r="AI82" i="76" s="1"/>
  <c r="AJ82" i="76" s="1"/>
  <c r="AL82" i="76" s="1"/>
  <c r="BD82" i="76"/>
  <c r="BE82" i="76" s="1"/>
  <c r="BF82" i="76" s="1"/>
  <c r="BG82" i="76" s="1"/>
  <c r="AY82" i="76"/>
  <c r="AZ82" i="76" s="1"/>
  <c r="BA82" i="76" s="1"/>
  <c r="BB82" i="76" s="1"/>
  <c r="AO82" i="76"/>
  <c r="AP82" i="76" s="1"/>
  <c r="AQ82" i="76" s="1"/>
  <c r="AR82" i="76" s="1"/>
  <c r="BM82" i="76"/>
  <c r="BN82" i="76" s="1"/>
  <c r="BO82" i="76" s="1"/>
  <c r="AC82" i="76"/>
  <c r="AD83" i="76" s="1"/>
  <c r="BI82" i="76"/>
  <c r="BJ82" i="76" s="1"/>
  <c r="BK82" i="76" s="1"/>
  <c r="BL82" i="76" s="1"/>
  <c r="AF84" i="75" l="1"/>
  <c r="AG84" i="75" s="1"/>
  <c r="AF84" i="77"/>
  <c r="AG84" i="77" s="1"/>
  <c r="AN84" i="74"/>
  <c r="AE82" i="76"/>
  <c r="BL83" i="77"/>
  <c r="BM83" i="77" s="1"/>
  <c r="BN83" i="77" s="1"/>
  <c r="BB83" i="75"/>
  <c r="BC83" i="75" s="1"/>
  <c r="BD83" i="75" s="1"/>
  <c r="BG83" i="77"/>
  <c r="BH83" i="77" s="1"/>
  <c r="BI83" i="77" s="1"/>
  <c r="AR83" i="77"/>
  <c r="AS83" i="77" s="1"/>
  <c r="AT83" i="77" s="1"/>
  <c r="Z83" i="77"/>
  <c r="BB83" i="77"/>
  <c r="BC83" i="77" s="1"/>
  <c r="BD83" i="77" s="1"/>
  <c r="AG83" i="75"/>
  <c r="BT83" i="77"/>
  <c r="BU83" i="77" s="1"/>
  <c r="BW83" i="77" s="1"/>
  <c r="AW83" i="77"/>
  <c r="AX83" i="77" s="1"/>
  <c r="AY83" i="77" s="1"/>
  <c r="BG83" i="75"/>
  <c r="BH83" i="75" s="1"/>
  <c r="BI83" i="75" s="1"/>
  <c r="BT83" i="75"/>
  <c r="BU83" i="75" s="1"/>
  <c r="BW83" i="75" s="1"/>
  <c r="AZ84" i="77"/>
  <c r="BJ84" i="77"/>
  <c r="Y84" i="77"/>
  <c r="AU84" i="77"/>
  <c r="U85" i="77"/>
  <c r="BE84" i="77"/>
  <c r="CK84" i="77"/>
  <c r="AP84" i="77"/>
  <c r="AO84" i="77"/>
  <c r="CM85" i="75"/>
  <c r="N88" i="75"/>
  <c r="O87" i="75"/>
  <c r="BM84" i="74"/>
  <c r="BN84" i="74" s="1"/>
  <c r="BO84" i="74" s="1"/>
  <c r="AX84" i="74"/>
  <c r="AY84" i="74" s="1"/>
  <c r="AZ84" i="74" s="1"/>
  <c r="BH84" i="74"/>
  <c r="BI84" i="74" s="1"/>
  <c r="BJ84" i="74" s="1"/>
  <c r="AQ84" i="74"/>
  <c r="AR84" i="74" s="1"/>
  <c r="AS84" i="74" s="1"/>
  <c r="AU84" i="74" s="1"/>
  <c r="BQ84" i="74"/>
  <c r="BR84" i="74" s="1"/>
  <c r="BS84" i="74" s="1"/>
  <c r="BC84" i="74"/>
  <c r="BD84" i="74" s="1"/>
  <c r="BE84" i="74" s="1"/>
  <c r="AL84" i="74"/>
  <c r="AM85" i="74" s="1"/>
  <c r="O88" i="74"/>
  <c r="M102" i="65" s="1"/>
  <c r="N89" i="74"/>
  <c r="L103" i="65" s="1"/>
  <c r="BM83" i="76"/>
  <c r="BN83" i="76" s="1"/>
  <c r="BO83" i="76" s="1"/>
  <c r="AO83" i="76"/>
  <c r="AP83" i="76" s="1"/>
  <c r="AQ83" i="76" s="1"/>
  <c r="AR83" i="76" s="1"/>
  <c r="AC83" i="76"/>
  <c r="AD84" i="76" s="1"/>
  <c r="AY83" i="76"/>
  <c r="AZ83" i="76" s="1"/>
  <c r="BA83" i="76" s="1"/>
  <c r="BB83" i="76" s="1"/>
  <c r="BI83" i="76"/>
  <c r="BJ83" i="76" s="1"/>
  <c r="BK83" i="76" s="1"/>
  <c r="BL83" i="76" s="1"/>
  <c r="AT83" i="76"/>
  <c r="AU83" i="76" s="1"/>
  <c r="AV83" i="76" s="1"/>
  <c r="AW83" i="76" s="1"/>
  <c r="AH83" i="76"/>
  <c r="AI83" i="76" s="1"/>
  <c r="AJ83" i="76" s="1"/>
  <c r="AL83" i="76" s="1"/>
  <c r="BD83" i="76"/>
  <c r="BE83" i="76" s="1"/>
  <c r="BF83" i="76" s="1"/>
  <c r="BG83" i="76" s="1"/>
  <c r="AI84" i="77"/>
  <c r="AG84" i="76"/>
  <c r="AI84" i="75"/>
  <c r="AK83" i="75"/>
  <c r="AL83" i="75" s="1"/>
  <c r="AN83" i="75" s="1"/>
  <c r="AW83" i="75"/>
  <c r="AX83" i="75" s="1"/>
  <c r="AY83" i="75" s="1"/>
  <c r="AD84" i="77"/>
  <c r="AB84" i="76"/>
  <c r="AD84" i="75"/>
  <c r="N88" i="76"/>
  <c r="O87" i="76"/>
  <c r="CL85" i="77"/>
  <c r="AG84" i="74"/>
  <c r="BL83" i="75"/>
  <c r="BM83" i="75" s="1"/>
  <c r="BN83" i="75" s="1"/>
  <c r="AR83" i="75"/>
  <c r="AS83" i="75" s="1"/>
  <c r="AT83" i="75" s="1"/>
  <c r="V84" i="77"/>
  <c r="AB84" i="77" s="1"/>
  <c r="T84" i="76"/>
  <c r="Z84" i="76" s="1"/>
  <c r="V84" i="75"/>
  <c r="AB84" i="75" s="1"/>
  <c r="AI84" i="74"/>
  <c r="AP85" i="74"/>
  <c r="AB86" i="74"/>
  <c r="AJ85" i="74"/>
  <c r="CC85" i="74"/>
  <c r="AV85" i="74"/>
  <c r="AF85" i="74"/>
  <c r="AG85" i="74" s="1"/>
  <c r="AE85" i="74"/>
  <c r="AC85" i="74"/>
  <c r="O87" i="77"/>
  <c r="N88" i="77"/>
  <c r="X83" i="76"/>
  <c r="BE84" i="75"/>
  <c r="AP84" i="75"/>
  <c r="AO84" i="75"/>
  <c r="AZ84" i="75"/>
  <c r="CC84" i="75"/>
  <c r="BJ84" i="75"/>
  <c r="Y84" i="75"/>
  <c r="Z84" i="75" s="1"/>
  <c r="AU84" i="75"/>
  <c r="CL84" i="75"/>
  <c r="U85" i="75"/>
  <c r="Z83" i="75"/>
  <c r="BP83" i="77"/>
  <c r="BQ83" i="77" s="1"/>
  <c r="BS83" i="77" s="1"/>
  <c r="AK83" i="77"/>
  <c r="AL83" i="77" s="1"/>
  <c r="AN83" i="77" s="1"/>
  <c r="S85" i="76"/>
  <c r="BH84" i="76"/>
  <c r="W84" i="76"/>
  <c r="V84" i="76"/>
  <c r="AN84" i="76"/>
  <c r="BC84" i="76"/>
  <c r="AX84" i="76"/>
  <c r="AS84" i="76"/>
  <c r="AM84" i="76"/>
  <c r="AF85" i="77" l="1"/>
  <c r="AG85" i="77" s="1"/>
  <c r="AF85" i="75"/>
  <c r="AG85" i="75" s="1"/>
  <c r="AN85" i="74"/>
  <c r="AE83" i="76"/>
  <c r="BG84" i="77"/>
  <c r="BH84" i="77" s="1"/>
  <c r="BI84" i="77" s="1"/>
  <c r="BB84" i="75"/>
  <c r="BC84" i="75" s="1"/>
  <c r="BD84" i="75" s="1"/>
  <c r="AW84" i="77"/>
  <c r="AX84" i="77" s="1"/>
  <c r="AY84" i="77" s="1"/>
  <c r="Z84" i="77"/>
  <c r="BL84" i="77"/>
  <c r="BM84" i="77" s="1"/>
  <c r="BN84" i="77" s="1"/>
  <c r="BB84" i="77"/>
  <c r="BC84" i="77" s="1"/>
  <c r="BD84" i="77" s="1"/>
  <c r="AR84" i="77"/>
  <c r="AS84" i="77" s="1"/>
  <c r="AT84" i="77" s="1"/>
  <c r="V85" i="77"/>
  <c r="AB85" i="77" s="1"/>
  <c r="T85" i="76"/>
  <c r="Z85" i="76" s="1"/>
  <c r="V85" i="75"/>
  <c r="AB85" i="75" s="1"/>
  <c r="AI85" i="74"/>
  <c r="AF86" i="74"/>
  <c r="AG86" i="74" s="1"/>
  <c r="AE86" i="74"/>
  <c r="AC86" i="74"/>
  <c r="AP86" i="74"/>
  <c r="AB87" i="74"/>
  <c r="AJ86" i="74"/>
  <c r="CC86" i="74"/>
  <c r="AV86" i="74"/>
  <c r="CM86" i="75"/>
  <c r="N90" i="74"/>
  <c r="L104" i="65" s="1"/>
  <c r="O89" i="74"/>
  <c r="M103" i="65" s="1"/>
  <c r="AO85" i="77"/>
  <c r="AZ85" i="77"/>
  <c r="BJ85" i="77"/>
  <c r="Y85" i="77"/>
  <c r="CK85" i="77"/>
  <c r="U86" i="77"/>
  <c r="BE85" i="77"/>
  <c r="AP85" i="77"/>
  <c r="AU85" i="77"/>
  <c r="AP85" i="75"/>
  <c r="AO85" i="75"/>
  <c r="AZ85" i="75"/>
  <c r="CC85" i="75"/>
  <c r="BJ85" i="75"/>
  <c r="Y85" i="75"/>
  <c r="U86" i="75"/>
  <c r="CL85" i="75"/>
  <c r="AU85" i="75"/>
  <c r="BE85" i="75"/>
  <c r="AK84" i="75"/>
  <c r="AL84" i="75" s="1"/>
  <c r="AN84" i="75" s="1"/>
  <c r="AI85" i="77"/>
  <c r="AG85" i="76"/>
  <c r="AI85" i="75"/>
  <c r="BG84" i="75"/>
  <c r="BH84" i="75" s="1"/>
  <c r="BI84" i="75" s="1"/>
  <c r="AW84" i="75"/>
  <c r="AX84" i="75" s="1"/>
  <c r="AY84" i="75" s="1"/>
  <c r="BQ85" i="74"/>
  <c r="BR85" i="74" s="1"/>
  <c r="BS85" i="74" s="1"/>
  <c r="BC85" i="74"/>
  <c r="BD85" i="74" s="1"/>
  <c r="BE85" i="74" s="1"/>
  <c r="AL85" i="74"/>
  <c r="AM86" i="74" s="1"/>
  <c r="BM85" i="74"/>
  <c r="BN85" i="74" s="1"/>
  <c r="BO85" i="74" s="1"/>
  <c r="AX85" i="74"/>
  <c r="AY85" i="74" s="1"/>
  <c r="AZ85" i="74" s="1"/>
  <c r="BH85" i="74"/>
  <c r="BI85" i="74" s="1"/>
  <c r="BJ85" i="74" s="1"/>
  <c r="AQ85" i="74"/>
  <c r="AR85" i="74" s="1"/>
  <c r="AS85" i="74" s="1"/>
  <c r="AU85" i="74" s="1"/>
  <c r="CL86" i="77"/>
  <c r="BT84" i="77"/>
  <c r="BU84" i="77" s="1"/>
  <c r="BW84" i="77" s="1"/>
  <c r="X84" i="76"/>
  <c r="BL84" i="75"/>
  <c r="BM84" i="75" s="1"/>
  <c r="BN84" i="75" s="1"/>
  <c r="AR84" i="75"/>
  <c r="AS84" i="75" s="1"/>
  <c r="AT84" i="75" s="1"/>
  <c r="BT84" i="75"/>
  <c r="BU84" i="75" s="1"/>
  <c r="BW84" i="75" s="1"/>
  <c r="BP84" i="77"/>
  <c r="BQ84" i="77" s="1"/>
  <c r="BS84" i="77" s="1"/>
  <c r="BP84" i="75"/>
  <c r="BQ84" i="75" s="1"/>
  <c r="BS84" i="75" s="1"/>
  <c r="O88" i="77"/>
  <c r="N89" i="77"/>
  <c r="BI84" i="76"/>
  <c r="BJ84" i="76" s="1"/>
  <c r="BK84" i="76" s="1"/>
  <c r="BL84" i="76" s="1"/>
  <c r="AT84" i="76"/>
  <c r="AU84" i="76" s="1"/>
  <c r="AV84" i="76" s="1"/>
  <c r="AW84" i="76" s="1"/>
  <c r="AH84" i="76"/>
  <c r="AI84" i="76" s="1"/>
  <c r="AJ84" i="76" s="1"/>
  <c r="AL84" i="76" s="1"/>
  <c r="BD84" i="76"/>
  <c r="BE84" i="76" s="1"/>
  <c r="BF84" i="76" s="1"/>
  <c r="BG84" i="76" s="1"/>
  <c r="BM84" i="76"/>
  <c r="BN84" i="76" s="1"/>
  <c r="BO84" i="76" s="1"/>
  <c r="AO84" i="76"/>
  <c r="AP84" i="76" s="1"/>
  <c r="AQ84" i="76" s="1"/>
  <c r="AR84" i="76" s="1"/>
  <c r="AC84" i="76"/>
  <c r="AD85" i="76" s="1"/>
  <c r="AY84" i="76"/>
  <c r="AZ84" i="76" s="1"/>
  <c r="BA84" i="76" s="1"/>
  <c r="BB84" i="76" s="1"/>
  <c r="N89" i="75"/>
  <c r="O88" i="75"/>
  <c r="AK84" i="77"/>
  <c r="AL84" i="77" s="1"/>
  <c r="AN84" i="77" s="1"/>
  <c r="BC85" i="76"/>
  <c r="AN85" i="76"/>
  <c r="AM85" i="76"/>
  <c r="S86" i="76"/>
  <c r="BH85" i="76"/>
  <c r="W85" i="76"/>
  <c r="V85" i="76"/>
  <c r="AX85" i="76"/>
  <c r="AS85" i="76"/>
  <c r="N89" i="76"/>
  <c r="O88" i="76"/>
  <c r="AD85" i="77"/>
  <c r="AB85" i="76"/>
  <c r="AD85" i="75"/>
  <c r="AF86" i="75" l="1"/>
  <c r="AG86" i="75" s="1"/>
  <c r="AF86" i="77"/>
  <c r="AG86" i="77" s="1"/>
  <c r="AN86" i="74"/>
  <c r="AE84" i="76"/>
  <c r="BB85" i="77"/>
  <c r="BC85" i="77" s="1"/>
  <c r="BD85" i="77" s="1"/>
  <c r="AR85" i="77"/>
  <c r="AS85" i="77" s="1"/>
  <c r="AT85" i="77" s="1"/>
  <c r="BG85" i="77"/>
  <c r="BH85" i="77" s="1"/>
  <c r="BI85" i="77" s="1"/>
  <c r="BL85" i="77"/>
  <c r="BM85" i="77" s="1"/>
  <c r="BN85" i="77" s="1"/>
  <c r="BB85" i="75"/>
  <c r="BC85" i="75" s="1"/>
  <c r="BD85" i="75" s="1"/>
  <c r="AK85" i="77"/>
  <c r="AL85" i="77" s="1"/>
  <c r="AN85" i="77" s="1"/>
  <c r="AW85" i="77"/>
  <c r="AX85" i="77" s="1"/>
  <c r="AY85" i="77" s="1"/>
  <c r="Z85" i="77"/>
  <c r="AM86" i="76"/>
  <c r="AX86" i="76"/>
  <c r="S87" i="76"/>
  <c r="BH86" i="76"/>
  <c r="W86" i="76"/>
  <c r="V86" i="76"/>
  <c r="BC86" i="76"/>
  <c r="AS86" i="76"/>
  <c r="AN86" i="76"/>
  <c r="AK85" i="75"/>
  <c r="AL85" i="75" s="1"/>
  <c r="AN85" i="75" s="1"/>
  <c r="V86" i="77"/>
  <c r="AB86" i="77" s="1"/>
  <c r="T86" i="76"/>
  <c r="Z86" i="76" s="1"/>
  <c r="V86" i="75"/>
  <c r="AB86" i="75" s="1"/>
  <c r="AI86" i="74"/>
  <c r="AW85" i="75"/>
  <c r="AX85" i="75" s="1"/>
  <c r="AY85" i="75" s="1"/>
  <c r="AP86" i="77"/>
  <c r="AO86" i="77"/>
  <c r="AZ86" i="77"/>
  <c r="BJ86" i="77"/>
  <c r="Y86" i="77"/>
  <c r="Z86" i="77" s="1"/>
  <c r="AU86" i="77"/>
  <c r="CK86" i="77"/>
  <c r="U87" i="77"/>
  <c r="BE86" i="77"/>
  <c r="N90" i="76"/>
  <c r="O89" i="76"/>
  <c r="BL85" i="75"/>
  <c r="BM85" i="75" s="1"/>
  <c r="BN85" i="75" s="1"/>
  <c r="AR85" i="75"/>
  <c r="AS85" i="75" s="1"/>
  <c r="AT85" i="75" s="1"/>
  <c r="O90" i="74"/>
  <c r="M104" i="65" s="1"/>
  <c r="N91" i="74"/>
  <c r="L105" i="65" s="1"/>
  <c r="AD86" i="77"/>
  <c r="AB86" i="76"/>
  <c r="AD86" i="75"/>
  <c r="BH86" i="74"/>
  <c r="BI86" i="74" s="1"/>
  <c r="BJ86" i="74" s="1"/>
  <c r="AQ86" i="74"/>
  <c r="AR86" i="74" s="1"/>
  <c r="AS86" i="74" s="1"/>
  <c r="AU86" i="74" s="1"/>
  <c r="BQ86" i="74"/>
  <c r="BR86" i="74" s="1"/>
  <c r="BS86" i="74" s="1"/>
  <c r="BC86" i="74"/>
  <c r="BD86" i="74" s="1"/>
  <c r="BE86" i="74" s="1"/>
  <c r="AL86" i="74"/>
  <c r="AM87" i="74" s="1"/>
  <c r="BM86" i="74"/>
  <c r="BN86" i="74" s="1"/>
  <c r="BO86" i="74" s="1"/>
  <c r="AX86" i="74"/>
  <c r="AY86" i="74" s="1"/>
  <c r="AZ86" i="74" s="1"/>
  <c r="Z85" i="75"/>
  <c r="BG85" i="75"/>
  <c r="BH85" i="75" s="1"/>
  <c r="BI85" i="75" s="1"/>
  <c r="BP85" i="75"/>
  <c r="BQ85" i="75" s="1"/>
  <c r="BS85" i="75" s="1"/>
  <c r="AB88" i="74"/>
  <c r="AJ87" i="74"/>
  <c r="CC87" i="74"/>
  <c r="AV87" i="74"/>
  <c r="AF87" i="74"/>
  <c r="AG87" i="74" s="1"/>
  <c r="AE87" i="74"/>
  <c r="AC87" i="74"/>
  <c r="AP87" i="74"/>
  <c r="BT85" i="75"/>
  <c r="BU85" i="75" s="1"/>
  <c r="BW85" i="75" s="1"/>
  <c r="X85" i="76"/>
  <c r="AI86" i="77"/>
  <c r="AG86" i="76"/>
  <c r="AI86" i="75"/>
  <c r="O89" i="75"/>
  <c r="N90" i="75"/>
  <c r="AP86" i="75"/>
  <c r="AO86" i="75"/>
  <c r="AZ86" i="75"/>
  <c r="CC86" i="75"/>
  <c r="BJ86" i="75"/>
  <c r="Y86" i="75"/>
  <c r="U87" i="75"/>
  <c r="CL86" i="75"/>
  <c r="AU86" i="75"/>
  <c r="BE86" i="75"/>
  <c r="BP85" i="77"/>
  <c r="BQ85" i="77" s="1"/>
  <c r="BS85" i="77" s="1"/>
  <c r="BT85" i="77"/>
  <c r="BU85" i="77" s="1"/>
  <c r="BW85" i="77" s="1"/>
  <c r="BD85" i="76"/>
  <c r="BE85" i="76" s="1"/>
  <c r="BF85" i="76" s="1"/>
  <c r="BG85" i="76" s="1"/>
  <c r="BM85" i="76"/>
  <c r="BN85" i="76" s="1"/>
  <c r="BO85" i="76" s="1"/>
  <c r="AO85" i="76"/>
  <c r="AP85" i="76" s="1"/>
  <c r="AQ85" i="76" s="1"/>
  <c r="AR85" i="76" s="1"/>
  <c r="AC85" i="76"/>
  <c r="AD86" i="76" s="1"/>
  <c r="AY85" i="76"/>
  <c r="AZ85" i="76" s="1"/>
  <c r="BA85" i="76" s="1"/>
  <c r="BB85" i="76" s="1"/>
  <c r="BI85" i="76"/>
  <c r="BJ85" i="76" s="1"/>
  <c r="BK85" i="76" s="1"/>
  <c r="BL85" i="76" s="1"/>
  <c r="AH85" i="76"/>
  <c r="AI85" i="76" s="1"/>
  <c r="AJ85" i="76" s="1"/>
  <c r="AL85" i="76" s="1"/>
  <c r="AT85" i="76"/>
  <c r="AU85" i="76" s="1"/>
  <c r="AV85" i="76" s="1"/>
  <c r="AW85" i="76" s="1"/>
  <c r="O89" i="77"/>
  <c r="N90" i="77"/>
  <c r="CL87" i="77"/>
  <c r="CM87" i="75"/>
  <c r="AF87" i="77" l="1"/>
  <c r="AG87" i="77" s="1"/>
  <c r="AF87" i="75"/>
  <c r="BP87" i="75" s="1"/>
  <c r="BQ87" i="75" s="1"/>
  <c r="BS87" i="75" s="1"/>
  <c r="AE85" i="76"/>
  <c r="BB86" i="75"/>
  <c r="BC86" i="75" s="1"/>
  <c r="BD86" i="75" s="1"/>
  <c r="BP86" i="77"/>
  <c r="BQ86" i="77" s="1"/>
  <c r="BS86" i="77" s="1"/>
  <c r="BB86" i="77"/>
  <c r="BC86" i="77" s="1"/>
  <c r="BD86" i="77" s="1"/>
  <c r="BG86" i="77"/>
  <c r="BH86" i="77" s="1"/>
  <c r="BI86" i="77" s="1"/>
  <c r="AR86" i="75"/>
  <c r="AS86" i="75" s="1"/>
  <c r="AT86" i="75" s="1"/>
  <c r="BT86" i="77"/>
  <c r="BU86" i="77" s="1"/>
  <c r="BW86" i="77" s="1"/>
  <c r="AP87" i="75"/>
  <c r="AO87" i="75"/>
  <c r="AZ87" i="75"/>
  <c r="CC87" i="75"/>
  <c r="BJ87" i="75"/>
  <c r="Y87" i="75"/>
  <c r="Z87" i="75" s="1"/>
  <c r="U88" i="75"/>
  <c r="CL87" i="75"/>
  <c r="AU87" i="75"/>
  <c r="BE87" i="75"/>
  <c r="V87" i="76"/>
  <c r="AS87" i="76"/>
  <c r="BC87" i="76"/>
  <c r="AM87" i="76"/>
  <c r="S88" i="76"/>
  <c r="AX87" i="76"/>
  <c r="W87" i="76"/>
  <c r="BH87" i="76"/>
  <c r="AN87" i="76"/>
  <c r="AF88" i="74"/>
  <c r="AG88" i="74" s="1"/>
  <c r="AE88" i="74"/>
  <c r="AC88" i="74"/>
  <c r="AP88" i="74"/>
  <c r="AB89" i="74"/>
  <c r="AJ88" i="74"/>
  <c r="CC88" i="74"/>
  <c r="AV88" i="74"/>
  <c r="AY86" i="76"/>
  <c r="AZ86" i="76" s="1"/>
  <c r="BA86" i="76" s="1"/>
  <c r="BB86" i="76" s="1"/>
  <c r="BI86" i="76"/>
  <c r="BJ86" i="76" s="1"/>
  <c r="BK86" i="76" s="1"/>
  <c r="BL86" i="76" s="1"/>
  <c r="AT86" i="76"/>
  <c r="AU86" i="76" s="1"/>
  <c r="AV86" i="76" s="1"/>
  <c r="AW86" i="76" s="1"/>
  <c r="AH86" i="76"/>
  <c r="AI86" i="76" s="1"/>
  <c r="AJ86" i="76" s="1"/>
  <c r="AL86" i="76" s="1"/>
  <c r="BD86" i="76"/>
  <c r="BE86" i="76" s="1"/>
  <c r="BF86" i="76" s="1"/>
  <c r="BG86" i="76" s="1"/>
  <c r="BM86" i="76"/>
  <c r="BN86" i="76" s="1"/>
  <c r="BO86" i="76" s="1"/>
  <c r="AO86" i="76"/>
  <c r="AP86" i="76" s="1"/>
  <c r="AQ86" i="76" s="1"/>
  <c r="AR86" i="76" s="1"/>
  <c r="AC86" i="76"/>
  <c r="AD87" i="76" s="1"/>
  <c r="AK86" i="75"/>
  <c r="AL86" i="75" s="1"/>
  <c r="AN86" i="75" s="1"/>
  <c r="AL87" i="74"/>
  <c r="AM88" i="74" s="1"/>
  <c r="BM87" i="74"/>
  <c r="BN87" i="74" s="1"/>
  <c r="BO87" i="74" s="1"/>
  <c r="AX87" i="74"/>
  <c r="AY87" i="74" s="1"/>
  <c r="AZ87" i="74" s="1"/>
  <c r="BH87" i="74"/>
  <c r="BI87" i="74" s="1"/>
  <c r="BJ87" i="74" s="1"/>
  <c r="AQ87" i="74"/>
  <c r="AR87" i="74" s="1"/>
  <c r="AS87" i="74" s="1"/>
  <c r="AU87" i="74" s="1"/>
  <c r="BQ87" i="74"/>
  <c r="BR87" i="74" s="1"/>
  <c r="BS87" i="74" s="1"/>
  <c r="BC87" i="74"/>
  <c r="BD87" i="74" s="1"/>
  <c r="BE87" i="74" s="1"/>
  <c r="AK86" i="77"/>
  <c r="AL86" i="77" s="1"/>
  <c r="AN86" i="77" s="1"/>
  <c r="AW86" i="75"/>
  <c r="AX86" i="75" s="1"/>
  <c r="AY86" i="75" s="1"/>
  <c r="AR86" i="77"/>
  <c r="AS86" i="77" s="1"/>
  <c r="AT86" i="77" s="1"/>
  <c r="AW86" i="77"/>
  <c r="AX86" i="77" s="1"/>
  <c r="AY86" i="77" s="1"/>
  <c r="V87" i="77"/>
  <c r="AB87" i="77" s="1"/>
  <c r="T87" i="76"/>
  <c r="Z87" i="76" s="1"/>
  <c r="V87" i="75"/>
  <c r="AB87" i="75" s="1"/>
  <c r="AI87" i="74"/>
  <c r="CL88" i="77"/>
  <c r="BP86" i="75"/>
  <c r="BQ86" i="75" s="1"/>
  <c r="BS86" i="75" s="1"/>
  <c r="AP87" i="77"/>
  <c r="AO87" i="77"/>
  <c r="AZ87" i="77"/>
  <c r="BJ87" i="77"/>
  <c r="AU87" i="77"/>
  <c r="BE87" i="77"/>
  <c r="CK87" i="77"/>
  <c r="U88" i="77"/>
  <c r="Y87" i="77"/>
  <c r="BL86" i="75"/>
  <c r="BM86" i="75" s="1"/>
  <c r="BN86" i="75" s="1"/>
  <c r="BL86" i="77"/>
  <c r="BM86" i="77" s="1"/>
  <c r="BN86" i="77" s="1"/>
  <c r="O90" i="77"/>
  <c r="N91" i="77"/>
  <c r="Z86" i="75"/>
  <c r="O90" i="75"/>
  <c r="N91" i="75"/>
  <c r="AI87" i="77"/>
  <c r="AG87" i="76"/>
  <c r="AI87" i="75"/>
  <c r="N92" i="74"/>
  <c r="L106" i="65" s="1"/>
  <c r="O91" i="74"/>
  <c r="M105" i="65" s="1"/>
  <c r="X86" i="76"/>
  <c r="BG86" i="75"/>
  <c r="BH86" i="75" s="1"/>
  <c r="BI86" i="75" s="1"/>
  <c r="CM88" i="75"/>
  <c r="BT86" i="75"/>
  <c r="BU86" i="75" s="1"/>
  <c r="BW86" i="75" s="1"/>
  <c r="AD87" i="77"/>
  <c r="AB87" i="76"/>
  <c r="AD87" i="75"/>
  <c r="O90" i="76"/>
  <c r="N91" i="76"/>
  <c r="AF88" i="75" l="1"/>
  <c r="AG88" i="75" s="1"/>
  <c r="AF88" i="77"/>
  <c r="AG88" i="77" s="1"/>
  <c r="AN88" i="74"/>
  <c r="AN87" i="74"/>
  <c r="AE86" i="76"/>
  <c r="BT87" i="77"/>
  <c r="BU87" i="77" s="1"/>
  <c r="BW87" i="77" s="1"/>
  <c r="BT87" i="75"/>
  <c r="BU87" i="75" s="1"/>
  <c r="BW87" i="75" s="1"/>
  <c r="AK87" i="77"/>
  <c r="AL87" i="77" s="1"/>
  <c r="AN87" i="77" s="1"/>
  <c r="AG87" i="75"/>
  <c r="AR87" i="75"/>
  <c r="AS87" i="75" s="1"/>
  <c r="AT87" i="75" s="1"/>
  <c r="BB87" i="75"/>
  <c r="BC87" i="75" s="1"/>
  <c r="BD87" i="75" s="1"/>
  <c r="BG87" i="75"/>
  <c r="BH87" i="75" s="1"/>
  <c r="BI87" i="75" s="1"/>
  <c r="N92" i="77"/>
  <c r="O91" i="77"/>
  <c r="AR87" i="77"/>
  <c r="AS87" i="77" s="1"/>
  <c r="AT87" i="77" s="1"/>
  <c r="Z87" i="77"/>
  <c r="CL89" i="77"/>
  <c r="AD88" i="77"/>
  <c r="AB88" i="76"/>
  <c r="AD88" i="75"/>
  <c r="BH88" i="74"/>
  <c r="BI88" i="74" s="1"/>
  <c r="BJ88" i="74" s="1"/>
  <c r="AQ88" i="74"/>
  <c r="AR88" i="74" s="1"/>
  <c r="AS88" i="74" s="1"/>
  <c r="AU88" i="74" s="1"/>
  <c r="BQ88" i="74"/>
  <c r="BR88" i="74" s="1"/>
  <c r="BS88" i="74" s="1"/>
  <c r="BC88" i="74"/>
  <c r="BD88" i="74" s="1"/>
  <c r="BE88" i="74" s="1"/>
  <c r="AL88" i="74"/>
  <c r="AM89" i="74" s="1"/>
  <c r="BM88" i="74"/>
  <c r="BN88" i="74" s="1"/>
  <c r="BO88" i="74" s="1"/>
  <c r="AX88" i="74"/>
  <c r="AY88" i="74" s="1"/>
  <c r="AZ88" i="74" s="1"/>
  <c r="AP88" i="77"/>
  <c r="AO88" i="77"/>
  <c r="AZ88" i="77"/>
  <c r="Y88" i="77"/>
  <c r="BE88" i="77"/>
  <c r="CK88" i="77"/>
  <c r="AU88" i="77"/>
  <c r="U89" i="77"/>
  <c r="BJ88" i="77"/>
  <c r="BP87" i="77"/>
  <c r="BQ87" i="77" s="1"/>
  <c r="BS87" i="77" s="1"/>
  <c r="AB90" i="74"/>
  <c r="AJ89" i="74"/>
  <c r="CC89" i="74"/>
  <c r="AV89" i="74"/>
  <c r="AF89" i="74"/>
  <c r="AE89" i="74"/>
  <c r="AC89" i="74"/>
  <c r="AP89" i="74"/>
  <c r="AT87" i="76"/>
  <c r="AU87" i="76" s="1"/>
  <c r="AV87" i="76" s="1"/>
  <c r="AW87" i="76" s="1"/>
  <c r="AH87" i="76"/>
  <c r="AI87" i="76" s="1"/>
  <c r="AJ87" i="76" s="1"/>
  <c r="AL87" i="76" s="1"/>
  <c r="BD87" i="76"/>
  <c r="BE87" i="76" s="1"/>
  <c r="BF87" i="76" s="1"/>
  <c r="BG87" i="76" s="1"/>
  <c r="BM87" i="76"/>
  <c r="BN87" i="76" s="1"/>
  <c r="BO87" i="76" s="1"/>
  <c r="AO87" i="76"/>
  <c r="AP87" i="76" s="1"/>
  <c r="AQ87" i="76" s="1"/>
  <c r="AR87" i="76" s="1"/>
  <c r="AC87" i="76"/>
  <c r="AD88" i="76" s="1"/>
  <c r="AY87" i="76"/>
  <c r="AZ87" i="76" s="1"/>
  <c r="BA87" i="76" s="1"/>
  <c r="BB87" i="76" s="1"/>
  <c r="BI87" i="76"/>
  <c r="BJ87" i="76" s="1"/>
  <c r="BK87" i="76" s="1"/>
  <c r="BL87" i="76" s="1"/>
  <c r="AO88" i="75"/>
  <c r="AZ88" i="75"/>
  <c r="CC88" i="75"/>
  <c r="BJ88" i="75"/>
  <c r="Y88" i="75"/>
  <c r="U89" i="75"/>
  <c r="CL88" i="75"/>
  <c r="AU88" i="75"/>
  <c r="BE88" i="75"/>
  <c r="AP88" i="75"/>
  <c r="X87" i="76"/>
  <c r="N92" i="76"/>
  <c r="O91" i="76"/>
  <c r="AI88" i="77"/>
  <c r="AG88" i="76"/>
  <c r="AI88" i="75"/>
  <c r="N92" i="75"/>
  <c r="O91" i="75"/>
  <c r="AW87" i="77"/>
  <c r="AX87" i="77" s="1"/>
  <c r="AY87" i="77" s="1"/>
  <c r="BB87" i="77"/>
  <c r="BC87" i="77" s="1"/>
  <c r="BD87" i="77" s="1"/>
  <c r="AM88" i="76"/>
  <c r="S89" i="76"/>
  <c r="AX88" i="76"/>
  <c r="BH88" i="76"/>
  <c r="W88" i="76"/>
  <c r="V88" i="76"/>
  <c r="BC88" i="76"/>
  <c r="AS88" i="76"/>
  <c r="AN88" i="76"/>
  <c r="N93" i="74"/>
  <c r="L107" i="65" s="1"/>
  <c r="O92" i="74"/>
  <c r="M106" i="65" s="1"/>
  <c r="CM89" i="75"/>
  <c r="AK87" i="75"/>
  <c r="AL87" i="75" s="1"/>
  <c r="AN87" i="75" s="1"/>
  <c r="AW87" i="75"/>
  <c r="AX87" i="75" s="1"/>
  <c r="AY87" i="75" s="1"/>
  <c r="BG87" i="77"/>
  <c r="BH87" i="77" s="1"/>
  <c r="BI87" i="77" s="1"/>
  <c r="V88" i="77"/>
  <c r="AB88" i="77" s="1"/>
  <c r="T88" i="76"/>
  <c r="Z88" i="76" s="1"/>
  <c r="V88" i="75"/>
  <c r="AB88" i="75" s="1"/>
  <c r="AI88" i="74"/>
  <c r="BL87" i="77"/>
  <c r="BM87" i="77" s="1"/>
  <c r="BN87" i="77" s="1"/>
  <c r="BL87" i="75"/>
  <c r="BM87" i="75" s="1"/>
  <c r="BN87" i="75" s="1"/>
  <c r="AF89" i="77" l="1"/>
  <c r="AG89" i="77" s="1"/>
  <c r="AF89" i="75"/>
  <c r="AG89" i="75" s="1"/>
  <c r="AE87" i="76"/>
  <c r="BG88" i="75"/>
  <c r="BH88" i="75" s="1"/>
  <c r="BI88" i="75" s="1"/>
  <c r="AK88" i="75"/>
  <c r="AL88" i="75" s="1"/>
  <c r="AN88" i="75" s="1"/>
  <c r="BP88" i="77"/>
  <c r="BQ88" i="77" s="1"/>
  <c r="BS88" i="77" s="1"/>
  <c r="AW88" i="75"/>
  <c r="AX88" i="75" s="1"/>
  <c r="AY88" i="75" s="1"/>
  <c r="Z88" i="75"/>
  <c r="BL88" i="75"/>
  <c r="BM88" i="75" s="1"/>
  <c r="BN88" i="75" s="1"/>
  <c r="AR88" i="75"/>
  <c r="AS88" i="75" s="1"/>
  <c r="AT88" i="75" s="1"/>
  <c r="BB88" i="75"/>
  <c r="BC88" i="75" s="1"/>
  <c r="BD88" i="75" s="1"/>
  <c r="AR88" i="77"/>
  <c r="AS88" i="77" s="1"/>
  <c r="AT88" i="77" s="1"/>
  <c r="AY88" i="76"/>
  <c r="AZ88" i="76" s="1"/>
  <c r="BA88" i="76" s="1"/>
  <c r="BB88" i="76" s="1"/>
  <c r="BI88" i="76"/>
  <c r="BJ88" i="76" s="1"/>
  <c r="BK88" i="76" s="1"/>
  <c r="BL88" i="76" s="1"/>
  <c r="AT88" i="76"/>
  <c r="AU88" i="76" s="1"/>
  <c r="AV88" i="76" s="1"/>
  <c r="AW88" i="76" s="1"/>
  <c r="AH88" i="76"/>
  <c r="AI88" i="76" s="1"/>
  <c r="AJ88" i="76" s="1"/>
  <c r="AL88" i="76" s="1"/>
  <c r="BD88" i="76"/>
  <c r="BE88" i="76" s="1"/>
  <c r="BF88" i="76" s="1"/>
  <c r="BG88" i="76" s="1"/>
  <c r="AO88" i="76"/>
  <c r="AP88" i="76" s="1"/>
  <c r="AQ88" i="76" s="1"/>
  <c r="AR88" i="76" s="1"/>
  <c r="AC88" i="76"/>
  <c r="AD89" i="76" s="1"/>
  <c r="BM88" i="76"/>
  <c r="BN88" i="76" s="1"/>
  <c r="BO88" i="76" s="1"/>
  <c r="O92" i="76"/>
  <c r="N93" i="76"/>
  <c r="BT88" i="77"/>
  <c r="BU88" i="77" s="1"/>
  <c r="BW88" i="77" s="1"/>
  <c r="AK88" i="77"/>
  <c r="AL88" i="77" s="1"/>
  <c r="AN88" i="77" s="1"/>
  <c r="AI89" i="77"/>
  <c r="AG89" i="76"/>
  <c r="AI89" i="75"/>
  <c r="AW88" i="77"/>
  <c r="AX88" i="77" s="1"/>
  <c r="AY88" i="77" s="1"/>
  <c r="CM90" i="75"/>
  <c r="O92" i="75"/>
  <c r="N93" i="75"/>
  <c r="Z88" i="77"/>
  <c r="AD89" i="77"/>
  <c r="AB89" i="76"/>
  <c r="AD89" i="75"/>
  <c r="BP88" i="75"/>
  <c r="BQ88" i="75" s="1"/>
  <c r="BS88" i="75" s="1"/>
  <c r="AG89" i="74"/>
  <c r="BB88" i="77"/>
  <c r="BC88" i="77" s="1"/>
  <c r="BD88" i="77" s="1"/>
  <c r="N93" i="77"/>
  <c r="O92" i="77"/>
  <c r="BT88" i="75"/>
  <c r="BU88" i="75" s="1"/>
  <c r="BW88" i="75" s="1"/>
  <c r="V89" i="77"/>
  <c r="AB89" i="77" s="1"/>
  <c r="T89" i="76"/>
  <c r="Z89" i="76" s="1"/>
  <c r="V89" i="75"/>
  <c r="AB89" i="75" s="1"/>
  <c r="AI89" i="74"/>
  <c r="AC90" i="74"/>
  <c r="AP90" i="74"/>
  <c r="AB91" i="74"/>
  <c r="AJ90" i="74"/>
  <c r="CC90" i="74"/>
  <c r="AV90" i="74"/>
  <c r="AF90" i="74"/>
  <c r="AG90" i="74" s="1"/>
  <c r="AE90" i="74"/>
  <c r="BG88" i="77"/>
  <c r="BH88" i="77" s="1"/>
  <c r="BI88" i="77" s="1"/>
  <c r="AZ89" i="75"/>
  <c r="CC89" i="75"/>
  <c r="BJ89" i="75"/>
  <c r="Y89" i="75"/>
  <c r="Z89" i="75" s="1"/>
  <c r="U90" i="75"/>
  <c r="CL89" i="75"/>
  <c r="AU89" i="75"/>
  <c r="BE89" i="75"/>
  <c r="AP89" i="75"/>
  <c r="AO89" i="75"/>
  <c r="U90" i="77"/>
  <c r="BE89" i="77"/>
  <c r="AP89" i="77"/>
  <c r="AO89" i="77"/>
  <c r="AZ89" i="77"/>
  <c r="BJ89" i="77"/>
  <c r="Y89" i="77"/>
  <c r="AU89" i="77"/>
  <c r="CK89" i="77"/>
  <c r="CL90" i="77"/>
  <c r="X88" i="76"/>
  <c r="S90" i="76"/>
  <c r="BH89" i="76"/>
  <c r="BC89" i="76"/>
  <c r="AN89" i="76"/>
  <c r="AM89" i="76"/>
  <c r="AX89" i="76"/>
  <c r="W89" i="76"/>
  <c r="X89" i="76" s="1"/>
  <c r="V89" i="76"/>
  <c r="AS89" i="76"/>
  <c r="AL89" i="74"/>
  <c r="AM90" i="74" s="1"/>
  <c r="BM89" i="74"/>
  <c r="BN89" i="74" s="1"/>
  <c r="BO89" i="74" s="1"/>
  <c r="AX89" i="74"/>
  <c r="AY89" i="74" s="1"/>
  <c r="AZ89" i="74" s="1"/>
  <c r="BH89" i="74"/>
  <c r="BI89" i="74" s="1"/>
  <c r="BJ89" i="74" s="1"/>
  <c r="AQ89" i="74"/>
  <c r="AR89" i="74" s="1"/>
  <c r="AS89" i="74" s="1"/>
  <c r="AU89" i="74" s="1"/>
  <c r="BQ89" i="74"/>
  <c r="BR89" i="74" s="1"/>
  <c r="BS89" i="74" s="1"/>
  <c r="BC89" i="74"/>
  <c r="BD89" i="74" s="1"/>
  <c r="BE89" i="74" s="1"/>
  <c r="N94" i="74"/>
  <c r="L108" i="65" s="1"/>
  <c r="O93" i="74"/>
  <c r="M107" i="65" s="1"/>
  <c r="BL88" i="77"/>
  <c r="BM88" i="77" s="1"/>
  <c r="BN88" i="77" s="1"/>
  <c r="AF90" i="77" l="1"/>
  <c r="AG90" i="77" s="1"/>
  <c r="AF90" i="75"/>
  <c r="AG90" i="75" s="1"/>
  <c r="AN90" i="74"/>
  <c r="AN89" i="74"/>
  <c r="BT89" i="77"/>
  <c r="BU89" i="77" s="1"/>
  <c r="BW89" i="77" s="1"/>
  <c r="BG89" i="77"/>
  <c r="BH89" i="77" s="1"/>
  <c r="BI89" i="77" s="1"/>
  <c r="AK89" i="75"/>
  <c r="AL89" i="75" s="1"/>
  <c r="AN89" i="75" s="1"/>
  <c r="BB89" i="75"/>
  <c r="BC89" i="75" s="1"/>
  <c r="BD89" i="75" s="1"/>
  <c r="AK89" i="77"/>
  <c r="AL89" i="77" s="1"/>
  <c r="AN89" i="77" s="1"/>
  <c r="AW89" i="77"/>
  <c r="AX89" i="77" s="1"/>
  <c r="AY89" i="77" s="1"/>
  <c r="BP89" i="75"/>
  <c r="BQ89" i="75" s="1"/>
  <c r="BS89" i="75" s="1"/>
  <c r="BG89" i="75"/>
  <c r="BH89" i="75" s="1"/>
  <c r="BI89" i="75" s="1"/>
  <c r="BT89" i="75"/>
  <c r="BU89" i="75" s="1"/>
  <c r="BW89" i="75" s="1"/>
  <c r="O94" i="74"/>
  <c r="M108" i="65" s="1"/>
  <c r="N95" i="74"/>
  <c r="L109" i="65" s="1"/>
  <c r="BC90" i="76"/>
  <c r="AN90" i="76"/>
  <c r="BH90" i="76"/>
  <c r="W90" i="76"/>
  <c r="AX90" i="76"/>
  <c r="V90" i="76"/>
  <c r="AS90" i="76"/>
  <c r="AM90" i="76"/>
  <c r="S91" i="76"/>
  <c r="BL89" i="77"/>
  <c r="BM89" i="77" s="1"/>
  <c r="BN89" i="77" s="1"/>
  <c r="AR89" i="77"/>
  <c r="AS89" i="77" s="1"/>
  <c r="AT89" i="77" s="1"/>
  <c r="CC91" i="74"/>
  <c r="AV91" i="74"/>
  <c r="AF91" i="74"/>
  <c r="AE91" i="74"/>
  <c r="AC91" i="74"/>
  <c r="AP91" i="74"/>
  <c r="AB92" i="74"/>
  <c r="AJ91" i="74"/>
  <c r="N94" i="76"/>
  <c r="O93" i="76"/>
  <c r="BP89" i="77"/>
  <c r="BQ89" i="77" s="1"/>
  <c r="BS89" i="77" s="1"/>
  <c r="AZ90" i="75"/>
  <c r="CC90" i="75"/>
  <c r="BJ90" i="75"/>
  <c r="Y90" i="75"/>
  <c r="Z90" i="75" s="1"/>
  <c r="U91" i="75"/>
  <c r="CL90" i="75"/>
  <c r="AU90" i="75"/>
  <c r="BE90" i="75"/>
  <c r="AO90" i="75"/>
  <c r="AP90" i="75"/>
  <c r="AI90" i="77"/>
  <c r="AG90" i="76"/>
  <c r="AI90" i="75"/>
  <c r="CM91" i="75"/>
  <c r="Z89" i="77"/>
  <c r="BB89" i="77"/>
  <c r="BC89" i="77" s="1"/>
  <c r="BD89" i="77" s="1"/>
  <c r="AQ90" i="74"/>
  <c r="AR90" i="74" s="1"/>
  <c r="AS90" i="74" s="1"/>
  <c r="AU90" i="74" s="1"/>
  <c r="BQ90" i="74"/>
  <c r="BR90" i="74" s="1"/>
  <c r="BS90" i="74" s="1"/>
  <c r="BC90" i="74"/>
  <c r="BD90" i="74" s="1"/>
  <c r="BE90" i="74" s="1"/>
  <c r="AL90" i="74"/>
  <c r="AM91" i="74" s="1"/>
  <c r="BM90" i="74"/>
  <c r="BN90" i="74" s="1"/>
  <c r="BO90" i="74" s="1"/>
  <c r="AX90" i="74"/>
  <c r="AY90" i="74" s="1"/>
  <c r="AZ90" i="74" s="1"/>
  <c r="BH90" i="74"/>
  <c r="BI90" i="74" s="1"/>
  <c r="BJ90" i="74" s="1"/>
  <c r="V90" i="77"/>
  <c r="AB90" i="77" s="1"/>
  <c r="T90" i="76"/>
  <c r="Z90" i="76" s="1"/>
  <c r="V90" i="75"/>
  <c r="AB90" i="75" s="1"/>
  <c r="AI90" i="74"/>
  <c r="AW89" i="75"/>
  <c r="AX89" i="75" s="1"/>
  <c r="AY89" i="75" s="1"/>
  <c r="O93" i="77"/>
  <c r="N94" i="77"/>
  <c r="O93" i="75"/>
  <c r="N94" i="75"/>
  <c r="BI89" i="76"/>
  <c r="BJ89" i="76" s="1"/>
  <c r="BK89" i="76" s="1"/>
  <c r="BL89" i="76" s="1"/>
  <c r="BD89" i="76"/>
  <c r="BE89" i="76" s="1"/>
  <c r="BF89" i="76" s="1"/>
  <c r="BG89" i="76" s="1"/>
  <c r="AO89" i="76"/>
  <c r="AP89" i="76" s="1"/>
  <c r="AQ89" i="76" s="1"/>
  <c r="AR89" i="76" s="1"/>
  <c r="AC89" i="76"/>
  <c r="AD90" i="76" s="1"/>
  <c r="BM89" i="76"/>
  <c r="BN89" i="76" s="1"/>
  <c r="BO89" i="76" s="1"/>
  <c r="AY89" i="76"/>
  <c r="AZ89" i="76" s="1"/>
  <c r="BA89" i="76" s="1"/>
  <c r="BB89" i="76" s="1"/>
  <c r="AT89" i="76"/>
  <c r="AU89" i="76" s="1"/>
  <c r="AV89" i="76" s="1"/>
  <c r="AW89" i="76" s="1"/>
  <c r="AH89" i="76"/>
  <c r="AI89" i="76" s="1"/>
  <c r="AJ89" i="76" s="1"/>
  <c r="AL89" i="76" s="1"/>
  <c r="CL91" i="77"/>
  <c r="CK90" i="77"/>
  <c r="U91" i="77"/>
  <c r="BE90" i="77"/>
  <c r="AP90" i="77"/>
  <c r="AO90" i="77"/>
  <c r="BJ90" i="77"/>
  <c r="Y90" i="77"/>
  <c r="AZ90" i="77"/>
  <c r="AU90" i="77"/>
  <c r="AR89" i="75"/>
  <c r="AS89" i="75" s="1"/>
  <c r="AT89" i="75" s="1"/>
  <c r="BL89" i="75"/>
  <c r="BM89" i="75" s="1"/>
  <c r="BN89" i="75" s="1"/>
  <c r="AD90" i="77"/>
  <c r="AB90" i="76"/>
  <c r="AD90" i="75"/>
  <c r="AF91" i="75" l="1"/>
  <c r="AG91" i="75" s="1"/>
  <c r="AF91" i="77"/>
  <c r="AG91" i="77" s="1"/>
  <c r="AN91" i="74"/>
  <c r="AE88" i="76"/>
  <c r="AE89" i="76"/>
  <c r="BB90" i="77"/>
  <c r="BC90" i="77" s="1"/>
  <c r="BD90" i="77" s="1"/>
  <c r="BL90" i="75"/>
  <c r="BM90" i="75" s="1"/>
  <c r="BN90" i="75" s="1"/>
  <c r="AK90" i="75"/>
  <c r="AL90" i="75" s="1"/>
  <c r="AN90" i="75" s="1"/>
  <c r="BB90" i="75"/>
  <c r="BC90" i="75" s="1"/>
  <c r="BD90" i="75" s="1"/>
  <c r="AR90" i="75"/>
  <c r="AS90" i="75" s="1"/>
  <c r="AT90" i="75" s="1"/>
  <c r="BG90" i="75"/>
  <c r="BH90" i="75" s="1"/>
  <c r="BI90" i="75" s="1"/>
  <c r="AW90" i="77"/>
  <c r="AX90" i="77" s="1"/>
  <c r="AY90" i="77" s="1"/>
  <c r="AR90" i="77"/>
  <c r="AS90" i="77" s="1"/>
  <c r="AT90" i="77" s="1"/>
  <c r="AK90" i="77"/>
  <c r="AL90" i="77" s="1"/>
  <c r="AN90" i="77" s="1"/>
  <c r="Z90" i="77"/>
  <c r="BL90" i="77"/>
  <c r="BM90" i="77" s="1"/>
  <c r="BN90" i="77" s="1"/>
  <c r="BP90" i="77"/>
  <c r="BQ90" i="77" s="1"/>
  <c r="BS90" i="77" s="1"/>
  <c r="AW90" i="75"/>
  <c r="AX90" i="75" s="1"/>
  <c r="AY90" i="75" s="1"/>
  <c r="BT90" i="77"/>
  <c r="BU90" i="77" s="1"/>
  <c r="BW90" i="77" s="1"/>
  <c r="BG90" i="77"/>
  <c r="BH90" i="77" s="1"/>
  <c r="BI90" i="77" s="1"/>
  <c r="AB93" i="74"/>
  <c r="AJ92" i="74"/>
  <c r="CC92" i="74"/>
  <c r="AV92" i="74"/>
  <c r="AF92" i="74"/>
  <c r="AG92" i="74" s="1"/>
  <c r="AE92" i="74"/>
  <c r="AC92" i="74"/>
  <c r="AP92" i="74"/>
  <c r="X90" i="76"/>
  <c r="AI91" i="77"/>
  <c r="AG91" i="76"/>
  <c r="AI91" i="75"/>
  <c r="BP90" i="75"/>
  <c r="BQ90" i="75" s="1"/>
  <c r="BS90" i="75" s="1"/>
  <c r="BT90" i="75"/>
  <c r="BU90" i="75" s="1"/>
  <c r="BW90" i="75" s="1"/>
  <c r="CK91" i="77"/>
  <c r="U92" i="77"/>
  <c r="BE91" i="77"/>
  <c r="AP91" i="77"/>
  <c r="AO91" i="77"/>
  <c r="BJ91" i="77"/>
  <c r="AZ91" i="77"/>
  <c r="Y91" i="77"/>
  <c r="AU91" i="77"/>
  <c r="O94" i="77"/>
  <c r="N95" i="77"/>
  <c r="CM92" i="75"/>
  <c r="AG91" i="74"/>
  <c r="U92" i="75"/>
  <c r="CL91" i="75"/>
  <c r="BE91" i="75"/>
  <c r="AZ91" i="75"/>
  <c r="CC91" i="75"/>
  <c r="BJ91" i="75"/>
  <c r="AO91" i="75"/>
  <c r="Y91" i="75"/>
  <c r="AU91" i="75"/>
  <c r="AP91" i="75"/>
  <c r="V91" i="77"/>
  <c r="AB91" i="77" s="1"/>
  <c r="T91" i="76"/>
  <c r="Z91" i="76" s="1"/>
  <c r="V91" i="75"/>
  <c r="AB91" i="75" s="1"/>
  <c r="AI91" i="74"/>
  <c r="N96" i="74"/>
  <c r="L110" i="65" s="1"/>
  <c r="O95" i="74"/>
  <c r="M109" i="65" s="1"/>
  <c r="CL92" i="77"/>
  <c r="O94" i="76"/>
  <c r="N95" i="76"/>
  <c r="BH91" i="76"/>
  <c r="W91" i="76"/>
  <c r="X91" i="76" s="1"/>
  <c r="V91" i="76"/>
  <c r="AS91" i="76"/>
  <c r="AN91" i="76"/>
  <c r="AM91" i="76"/>
  <c r="BC91" i="76"/>
  <c r="S92" i="76"/>
  <c r="AX91" i="76"/>
  <c r="BD90" i="76"/>
  <c r="BE90" i="76" s="1"/>
  <c r="BF90" i="76" s="1"/>
  <c r="BG90" i="76" s="1"/>
  <c r="BM90" i="76"/>
  <c r="BN90" i="76" s="1"/>
  <c r="BO90" i="76" s="1"/>
  <c r="AO90" i="76"/>
  <c r="AP90" i="76" s="1"/>
  <c r="AQ90" i="76" s="1"/>
  <c r="AR90" i="76" s="1"/>
  <c r="AC90" i="76"/>
  <c r="AD91" i="76" s="1"/>
  <c r="BI90" i="76"/>
  <c r="BJ90" i="76" s="1"/>
  <c r="BK90" i="76" s="1"/>
  <c r="BL90" i="76" s="1"/>
  <c r="AY90" i="76"/>
  <c r="AZ90" i="76" s="1"/>
  <c r="BA90" i="76" s="1"/>
  <c r="BB90" i="76" s="1"/>
  <c r="AT90" i="76"/>
  <c r="AU90" i="76" s="1"/>
  <c r="AV90" i="76" s="1"/>
  <c r="AW90" i="76" s="1"/>
  <c r="AH90" i="76"/>
  <c r="AI90" i="76" s="1"/>
  <c r="AJ90" i="76" s="1"/>
  <c r="AL90" i="76" s="1"/>
  <c r="O94" i="75"/>
  <c r="N95" i="75"/>
  <c r="AD91" i="77"/>
  <c r="AB91" i="76"/>
  <c r="AD91" i="75"/>
  <c r="BH91" i="74"/>
  <c r="BI91" i="74" s="1"/>
  <c r="BJ91" i="74" s="1"/>
  <c r="AQ91" i="74"/>
  <c r="AR91" i="74" s="1"/>
  <c r="AS91" i="74" s="1"/>
  <c r="AU91" i="74" s="1"/>
  <c r="BQ91" i="74"/>
  <c r="BR91" i="74" s="1"/>
  <c r="BS91" i="74" s="1"/>
  <c r="BC91" i="74"/>
  <c r="BD91" i="74" s="1"/>
  <c r="BE91" i="74" s="1"/>
  <c r="AL91" i="74"/>
  <c r="AM92" i="74" s="1"/>
  <c r="BM91" i="74"/>
  <c r="BN91" i="74" s="1"/>
  <c r="BO91" i="74" s="1"/>
  <c r="AX91" i="74"/>
  <c r="AY91" i="74" s="1"/>
  <c r="AZ91" i="74" s="1"/>
  <c r="AF92" i="75" l="1"/>
  <c r="AG92" i="75" s="1"/>
  <c r="AF92" i="77"/>
  <c r="BP92" i="77" s="1"/>
  <c r="BQ92" i="77" s="1"/>
  <c r="BS92" i="77" s="1"/>
  <c r="AE90" i="76"/>
  <c r="BB91" i="75"/>
  <c r="BC91" i="75" s="1"/>
  <c r="BD91" i="75" s="1"/>
  <c r="BB91" i="77"/>
  <c r="BC91" i="77" s="1"/>
  <c r="BD91" i="77" s="1"/>
  <c r="BP91" i="75"/>
  <c r="BQ91" i="75" s="1"/>
  <c r="BS91" i="75" s="1"/>
  <c r="AW91" i="77"/>
  <c r="AX91" i="77" s="1"/>
  <c r="AY91" i="77" s="1"/>
  <c r="AR91" i="77"/>
  <c r="AS91" i="77" s="1"/>
  <c r="AT91" i="77" s="1"/>
  <c r="BL91" i="75"/>
  <c r="BM91" i="75" s="1"/>
  <c r="BN91" i="75" s="1"/>
  <c r="AN92" i="76"/>
  <c r="AM92" i="76"/>
  <c r="S93" i="76"/>
  <c r="AX92" i="76"/>
  <c r="W92" i="76"/>
  <c r="X92" i="76" s="1"/>
  <c r="V92" i="76"/>
  <c r="BH92" i="76"/>
  <c r="BC92" i="76"/>
  <c r="AS92" i="76"/>
  <c r="BG91" i="75"/>
  <c r="BH91" i="75" s="1"/>
  <c r="BI91" i="75" s="1"/>
  <c r="AU92" i="77"/>
  <c r="CK92" i="77"/>
  <c r="U93" i="77"/>
  <c r="BE92" i="77"/>
  <c r="AP92" i="77"/>
  <c r="AZ92" i="77"/>
  <c r="Y92" i="77"/>
  <c r="AO92" i="77"/>
  <c r="BJ92" i="77"/>
  <c r="BT91" i="75"/>
  <c r="BU91" i="75" s="1"/>
  <c r="BW91" i="75" s="1"/>
  <c r="O95" i="77"/>
  <c r="N96" i="77"/>
  <c r="BI91" i="76"/>
  <c r="BJ91" i="76" s="1"/>
  <c r="BK91" i="76" s="1"/>
  <c r="BL91" i="76" s="1"/>
  <c r="AT91" i="76"/>
  <c r="AU91" i="76" s="1"/>
  <c r="AV91" i="76" s="1"/>
  <c r="AW91" i="76" s="1"/>
  <c r="AH91" i="76"/>
  <c r="AI91" i="76" s="1"/>
  <c r="AJ91" i="76" s="1"/>
  <c r="AL91" i="76" s="1"/>
  <c r="BD91" i="76"/>
  <c r="BE91" i="76" s="1"/>
  <c r="BF91" i="76" s="1"/>
  <c r="BG91" i="76" s="1"/>
  <c r="BM91" i="76"/>
  <c r="BN91" i="76" s="1"/>
  <c r="BO91" i="76" s="1"/>
  <c r="AO91" i="76"/>
  <c r="AP91" i="76" s="1"/>
  <c r="AQ91" i="76" s="1"/>
  <c r="AR91" i="76" s="1"/>
  <c r="AC91" i="76"/>
  <c r="AD92" i="76" s="1"/>
  <c r="AY91" i="76"/>
  <c r="AZ91" i="76" s="1"/>
  <c r="BA91" i="76" s="1"/>
  <c r="BB91" i="76" s="1"/>
  <c r="AW91" i="75"/>
  <c r="AX91" i="75" s="1"/>
  <c r="AY91" i="75" s="1"/>
  <c r="AK91" i="75"/>
  <c r="AL91" i="75" s="1"/>
  <c r="AN91" i="75" s="1"/>
  <c r="BG91" i="77"/>
  <c r="BH91" i="77" s="1"/>
  <c r="BI91" i="77" s="1"/>
  <c r="O95" i="75"/>
  <c r="N96" i="75"/>
  <c r="Z91" i="75"/>
  <c r="BP91" i="77"/>
  <c r="BQ91" i="77" s="1"/>
  <c r="BS91" i="77" s="1"/>
  <c r="V92" i="77"/>
  <c r="AB92" i="77" s="1"/>
  <c r="T92" i="76"/>
  <c r="Z92" i="76" s="1"/>
  <c r="V92" i="75"/>
  <c r="AB92" i="75" s="1"/>
  <c r="AI92" i="74"/>
  <c r="AB94" i="74"/>
  <c r="CC93" i="74"/>
  <c r="AF93" i="74"/>
  <c r="AV93" i="74"/>
  <c r="AE93" i="74"/>
  <c r="AC93" i="74"/>
  <c r="AP93" i="74"/>
  <c r="AJ93" i="74"/>
  <c r="AD92" i="77"/>
  <c r="AB92" i="76"/>
  <c r="AD92" i="75"/>
  <c r="O96" i="74"/>
  <c r="M110" i="65" s="1"/>
  <c r="N97" i="74"/>
  <c r="L111" i="65" s="1"/>
  <c r="AR91" i="75"/>
  <c r="AS91" i="75" s="1"/>
  <c r="AT91" i="75" s="1"/>
  <c r="BT91" i="77"/>
  <c r="BU91" i="77" s="1"/>
  <c r="BW91" i="77" s="1"/>
  <c r="AI92" i="77"/>
  <c r="AG92" i="76"/>
  <c r="AI92" i="75"/>
  <c r="Z91" i="77"/>
  <c r="AK91" i="77"/>
  <c r="AL91" i="77" s="1"/>
  <c r="AN91" i="77" s="1"/>
  <c r="U93" i="75"/>
  <c r="CL92" i="75"/>
  <c r="AU92" i="75"/>
  <c r="BE92" i="75"/>
  <c r="AP92" i="75"/>
  <c r="AO92" i="75"/>
  <c r="AZ92" i="75"/>
  <c r="CC92" i="75"/>
  <c r="BJ92" i="75"/>
  <c r="Y92" i="75"/>
  <c r="Z92" i="75" s="1"/>
  <c r="O95" i="76"/>
  <c r="N96" i="76"/>
  <c r="CL93" i="77"/>
  <c r="CM93" i="75"/>
  <c r="BL91" i="77"/>
  <c r="BM91" i="77" s="1"/>
  <c r="BN91" i="77" s="1"/>
  <c r="BQ92" i="74"/>
  <c r="BR92" i="74" s="1"/>
  <c r="BS92" i="74" s="1"/>
  <c r="BC92" i="74"/>
  <c r="BD92" i="74" s="1"/>
  <c r="BE92" i="74" s="1"/>
  <c r="AL92" i="74"/>
  <c r="AM93" i="74" s="1"/>
  <c r="BM92" i="74"/>
  <c r="BN92" i="74" s="1"/>
  <c r="BO92" i="74" s="1"/>
  <c r="AX92" i="74"/>
  <c r="AY92" i="74" s="1"/>
  <c r="AZ92" i="74" s="1"/>
  <c r="BH92" i="74"/>
  <c r="BI92" i="74" s="1"/>
  <c r="BJ92" i="74" s="1"/>
  <c r="AQ92" i="74"/>
  <c r="AR92" i="74" s="1"/>
  <c r="AS92" i="74" s="1"/>
  <c r="AU92" i="74" s="1"/>
  <c r="AF93" i="75" l="1"/>
  <c r="AG93" i="75" s="1"/>
  <c r="AF93" i="77"/>
  <c r="BP93" i="77" s="1"/>
  <c r="BQ93" i="77" s="1"/>
  <c r="BS93" i="77" s="1"/>
  <c r="AN93" i="74"/>
  <c r="AN92" i="74"/>
  <c r="AE91" i="76"/>
  <c r="BG92" i="77"/>
  <c r="BH92" i="77" s="1"/>
  <c r="BI92" i="77" s="1"/>
  <c r="BG92" i="75"/>
  <c r="BH92" i="75" s="1"/>
  <c r="BI92" i="75" s="1"/>
  <c r="BL92" i="75"/>
  <c r="BM92" i="75" s="1"/>
  <c r="BN92" i="75" s="1"/>
  <c r="BB92" i="75"/>
  <c r="BC92" i="75" s="1"/>
  <c r="BD92" i="75" s="1"/>
  <c r="AK92" i="77"/>
  <c r="AL92" i="77" s="1"/>
  <c r="AN92" i="77" s="1"/>
  <c r="AW92" i="75"/>
  <c r="AX92" i="75" s="1"/>
  <c r="AY92" i="75" s="1"/>
  <c r="AG92" i="77"/>
  <c r="AK92" i="75"/>
  <c r="AL92" i="75" s="1"/>
  <c r="AN92" i="75" s="1"/>
  <c r="BT92" i="77"/>
  <c r="BU92" i="77" s="1"/>
  <c r="BW92" i="77" s="1"/>
  <c r="AR92" i="75"/>
  <c r="AS92" i="75" s="1"/>
  <c r="AT92" i="75" s="1"/>
  <c r="O96" i="75"/>
  <c r="N97" i="75"/>
  <c r="BM93" i="74"/>
  <c r="BN93" i="74" s="1"/>
  <c r="BO93" i="74" s="1"/>
  <c r="AX93" i="74"/>
  <c r="AY93" i="74" s="1"/>
  <c r="AZ93" i="74" s="1"/>
  <c r="BH93" i="74"/>
  <c r="BI93" i="74" s="1"/>
  <c r="BJ93" i="74" s="1"/>
  <c r="AQ93" i="74"/>
  <c r="AR93" i="74" s="1"/>
  <c r="AS93" i="74" s="1"/>
  <c r="AU93" i="74" s="1"/>
  <c r="BC93" i="74"/>
  <c r="BD93" i="74" s="1"/>
  <c r="BE93" i="74" s="1"/>
  <c r="AL93" i="74"/>
  <c r="AM94" i="74" s="1"/>
  <c r="BQ93" i="74"/>
  <c r="BR93" i="74" s="1"/>
  <c r="BS93" i="74" s="1"/>
  <c r="BB92" i="77"/>
  <c r="BC92" i="77" s="1"/>
  <c r="BD92" i="77" s="1"/>
  <c r="N97" i="76"/>
  <c r="O96" i="76"/>
  <c r="BP92" i="75"/>
  <c r="BQ92" i="75" s="1"/>
  <c r="BS92" i="75" s="1"/>
  <c r="N98" i="74"/>
  <c r="L112" i="65" s="1"/>
  <c r="O97" i="74"/>
  <c r="M111" i="65" s="1"/>
  <c r="Z92" i="77"/>
  <c r="BT92" i="75"/>
  <c r="BU92" i="75" s="1"/>
  <c r="BW92" i="75" s="1"/>
  <c r="AD93" i="77"/>
  <c r="AB93" i="76"/>
  <c r="AD93" i="75"/>
  <c r="N97" i="77"/>
  <c r="O96" i="77"/>
  <c r="AU93" i="77"/>
  <c r="CK93" i="77"/>
  <c r="U94" i="77"/>
  <c r="BE93" i="77"/>
  <c r="AO93" i="77"/>
  <c r="AZ93" i="77"/>
  <c r="AP93" i="77"/>
  <c r="BJ93" i="77"/>
  <c r="Y93" i="77"/>
  <c r="BM92" i="76"/>
  <c r="BN92" i="76" s="1"/>
  <c r="BO92" i="76" s="1"/>
  <c r="AO92" i="76"/>
  <c r="AP92" i="76" s="1"/>
  <c r="AQ92" i="76" s="1"/>
  <c r="AR92" i="76" s="1"/>
  <c r="AC92" i="76"/>
  <c r="AD93" i="76" s="1"/>
  <c r="AY92" i="76"/>
  <c r="AZ92" i="76" s="1"/>
  <c r="BA92" i="76" s="1"/>
  <c r="BB92" i="76" s="1"/>
  <c r="BI92" i="76"/>
  <c r="BJ92" i="76" s="1"/>
  <c r="BK92" i="76" s="1"/>
  <c r="BL92" i="76" s="1"/>
  <c r="AT92" i="76"/>
  <c r="AU92" i="76" s="1"/>
  <c r="AV92" i="76" s="1"/>
  <c r="AW92" i="76" s="1"/>
  <c r="AH92" i="76"/>
  <c r="AI92" i="76" s="1"/>
  <c r="AJ92" i="76" s="1"/>
  <c r="AL92" i="76" s="1"/>
  <c r="BD92" i="76"/>
  <c r="BE92" i="76" s="1"/>
  <c r="BF92" i="76" s="1"/>
  <c r="BG92" i="76" s="1"/>
  <c r="U94" i="75"/>
  <c r="CL93" i="75"/>
  <c r="AU93" i="75"/>
  <c r="BE93" i="75"/>
  <c r="AP93" i="75"/>
  <c r="AO93" i="75"/>
  <c r="AZ93" i="75"/>
  <c r="CC93" i="75"/>
  <c r="BJ93" i="75"/>
  <c r="Y93" i="75"/>
  <c r="AG93" i="74"/>
  <c r="AR92" i="77"/>
  <c r="AS92" i="77" s="1"/>
  <c r="AT92" i="77" s="1"/>
  <c r="V93" i="77"/>
  <c r="AB93" i="77" s="1"/>
  <c r="T93" i="76"/>
  <c r="Z93" i="76" s="1"/>
  <c r="V93" i="75"/>
  <c r="AB93" i="75" s="1"/>
  <c r="AI93" i="74"/>
  <c r="CL94" i="77"/>
  <c r="W93" i="76"/>
  <c r="X93" i="76" s="1"/>
  <c r="V93" i="76"/>
  <c r="AS93" i="76"/>
  <c r="BC93" i="76"/>
  <c r="AN93" i="76"/>
  <c r="AM93" i="76"/>
  <c r="S94" i="76"/>
  <c r="BH93" i="76"/>
  <c r="AX93" i="76"/>
  <c r="AI93" i="77"/>
  <c r="AG93" i="76"/>
  <c r="AI93" i="75"/>
  <c r="AW92" i="77"/>
  <c r="AX92" i="77" s="1"/>
  <c r="AY92" i="77" s="1"/>
  <c r="CM94" i="75"/>
  <c r="AE94" i="74"/>
  <c r="AC94" i="74"/>
  <c r="AP94" i="74"/>
  <c r="AB95" i="74"/>
  <c r="AJ94" i="74"/>
  <c r="CC94" i="74"/>
  <c r="AV94" i="74"/>
  <c r="AF94" i="74"/>
  <c r="BL92" i="77"/>
  <c r="BM92" i="77" s="1"/>
  <c r="BN92" i="77" s="1"/>
  <c r="AF94" i="77" l="1"/>
  <c r="AG94" i="77" s="1"/>
  <c r="AF94" i="75"/>
  <c r="AN94" i="74"/>
  <c r="AE92" i="76"/>
  <c r="AR93" i="77"/>
  <c r="AS93" i="77" s="1"/>
  <c r="AT93" i="77" s="1"/>
  <c r="AG93" i="77"/>
  <c r="BB93" i="75"/>
  <c r="BC93" i="75" s="1"/>
  <c r="BD93" i="75" s="1"/>
  <c r="AK93" i="77"/>
  <c r="AL93" i="77" s="1"/>
  <c r="AN93" i="77" s="1"/>
  <c r="Z93" i="77"/>
  <c r="AW93" i="77"/>
  <c r="AX93" i="77" s="1"/>
  <c r="AY93" i="77" s="1"/>
  <c r="BG93" i="77"/>
  <c r="BH93" i="77" s="1"/>
  <c r="BI93" i="77" s="1"/>
  <c r="BT93" i="75"/>
  <c r="BU93" i="75" s="1"/>
  <c r="BW93" i="75" s="1"/>
  <c r="BB93" i="77"/>
  <c r="BC93" i="77" s="1"/>
  <c r="BD93" i="77" s="1"/>
  <c r="BT93" i="77"/>
  <c r="BU93" i="77" s="1"/>
  <c r="BW93" i="77" s="1"/>
  <c r="BL93" i="77"/>
  <c r="BM93" i="77" s="1"/>
  <c r="BN93" i="77" s="1"/>
  <c r="AD94" i="77"/>
  <c r="AB94" i="76"/>
  <c r="AD94" i="75"/>
  <c r="AI94" i="77"/>
  <c r="AG94" i="76"/>
  <c r="AI94" i="75"/>
  <c r="CM95" i="75"/>
  <c r="AB96" i="74"/>
  <c r="AJ95" i="74"/>
  <c r="CC95" i="74"/>
  <c r="AV95" i="74"/>
  <c r="AF95" i="74"/>
  <c r="AG95" i="74" s="1"/>
  <c r="AC95" i="74"/>
  <c r="AP95" i="74"/>
  <c r="AE95" i="74"/>
  <c r="N98" i="77"/>
  <c r="O97" i="77"/>
  <c r="AN94" i="76"/>
  <c r="AM94" i="76"/>
  <c r="S95" i="76"/>
  <c r="AX94" i="76"/>
  <c r="BH94" i="76"/>
  <c r="W94" i="76"/>
  <c r="X94" i="76" s="1"/>
  <c r="AS94" i="76"/>
  <c r="V94" i="76"/>
  <c r="BC94" i="76"/>
  <c r="O97" i="76"/>
  <c r="N98" i="76"/>
  <c r="AG94" i="74"/>
  <c r="V94" i="77"/>
  <c r="AB94" i="77" s="1"/>
  <c r="T94" i="76"/>
  <c r="Z94" i="76" s="1"/>
  <c r="V94" i="75"/>
  <c r="AB94" i="75" s="1"/>
  <c r="AI94" i="74"/>
  <c r="AK93" i="75"/>
  <c r="AL93" i="75" s="1"/>
  <c r="AN93" i="75" s="1"/>
  <c r="O97" i="75"/>
  <c r="N98" i="75"/>
  <c r="AW93" i="75"/>
  <c r="AX93" i="75" s="1"/>
  <c r="AY93" i="75" s="1"/>
  <c r="BL93" i="75"/>
  <c r="BM93" i="75" s="1"/>
  <c r="BN93" i="75" s="1"/>
  <c r="AR93" i="75"/>
  <c r="AS93" i="75" s="1"/>
  <c r="AT93" i="75" s="1"/>
  <c r="Z93" i="75"/>
  <c r="BP93" i="75"/>
  <c r="BQ93" i="75" s="1"/>
  <c r="BS93" i="75" s="1"/>
  <c r="BG93" i="75"/>
  <c r="BH93" i="75" s="1"/>
  <c r="BI93" i="75" s="1"/>
  <c r="AQ94" i="74"/>
  <c r="AR94" i="74" s="1"/>
  <c r="AS94" i="74" s="1"/>
  <c r="AU94" i="74" s="1"/>
  <c r="BQ94" i="74"/>
  <c r="BR94" i="74" s="1"/>
  <c r="BS94" i="74" s="1"/>
  <c r="BC94" i="74"/>
  <c r="BD94" i="74" s="1"/>
  <c r="BE94" i="74" s="1"/>
  <c r="AL94" i="74"/>
  <c r="AM95" i="74" s="1"/>
  <c r="BM94" i="74"/>
  <c r="BN94" i="74" s="1"/>
  <c r="BO94" i="74" s="1"/>
  <c r="AX94" i="74"/>
  <c r="AY94" i="74" s="1"/>
  <c r="AZ94" i="74" s="1"/>
  <c r="BH94" i="74"/>
  <c r="BI94" i="74" s="1"/>
  <c r="BJ94" i="74" s="1"/>
  <c r="Y94" i="77"/>
  <c r="AU94" i="77"/>
  <c r="CK94" i="77"/>
  <c r="U95" i="77"/>
  <c r="BE94" i="77"/>
  <c r="AP94" i="77"/>
  <c r="AO94" i="77"/>
  <c r="AZ94" i="77"/>
  <c r="BJ94" i="77"/>
  <c r="CL95" i="77"/>
  <c r="AT93" i="76"/>
  <c r="AU93" i="76" s="1"/>
  <c r="AV93" i="76" s="1"/>
  <c r="AW93" i="76" s="1"/>
  <c r="AH93" i="76"/>
  <c r="AI93" i="76" s="1"/>
  <c r="AJ93" i="76" s="1"/>
  <c r="AL93" i="76" s="1"/>
  <c r="BD93" i="76"/>
  <c r="BE93" i="76" s="1"/>
  <c r="BF93" i="76" s="1"/>
  <c r="BG93" i="76" s="1"/>
  <c r="AY93" i="76"/>
  <c r="AZ93" i="76" s="1"/>
  <c r="BA93" i="76" s="1"/>
  <c r="BB93" i="76" s="1"/>
  <c r="AO93" i="76"/>
  <c r="AP93" i="76" s="1"/>
  <c r="AQ93" i="76" s="1"/>
  <c r="AR93" i="76" s="1"/>
  <c r="BM93" i="76"/>
  <c r="BN93" i="76" s="1"/>
  <c r="BO93" i="76" s="1"/>
  <c r="AC93" i="76"/>
  <c r="AD94" i="76" s="1"/>
  <c r="BI93" i="76"/>
  <c r="BJ93" i="76" s="1"/>
  <c r="BK93" i="76" s="1"/>
  <c r="BL93" i="76" s="1"/>
  <c r="U95" i="75"/>
  <c r="CL94" i="75"/>
  <c r="AU94" i="75"/>
  <c r="BE94" i="75"/>
  <c r="BP94" i="75"/>
  <c r="BQ94" i="75" s="1"/>
  <c r="BS94" i="75" s="1"/>
  <c r="AP94" i="75"/>
  <c r="AO94" i="75"/>
  <c r="AZ94" i="75"/>
  <c r="CC94" i="75"/>
  <c r="BJ94" i="75"/>
  <c r="Y94" i="75"/>
  <c r="N99" i="74"/>
  <c r="L113" i="65" s="1"/>
  <c r="O98" i="74"/>
  <c r="M112" i="65" s="1"/>
  <c r="AF95" i="75" l="1"/>
  <c r="AG95" i="75" s="1"/>
  <c r="AF95" i="77"/>
  <c r="BP95" i="77" s="1"/>
  <c r="BQ95" i="77" s="1"/>
  <c r="BS95" i="77" s="1"/>
  <c r="AE93" i="76"/>
  <c r="AR94" i="75"/>
  <c r="AS94" i="75" s="1"/>
  <c r="AT94" i="75" s="1"/>
  <c r="BL94" i="77"/>
  <c r="BM94" i="77" s="1"/>
  <c r="BN94" i="77" s="1"/>
  <c r="AG94" i="75"/>
  <c r="Z94" i="75"/>
  <c r="O99" i="74"/>
  <c r="M113" i="65" s="1"/>
  <c r="N100" i="74"/>
  <c r="L114" i="65" s="1"/>
  <c r="BG94" i="75"/>
  <c r="BH94" i="75" s="1"/>
  <c r="BI94" i="75" s="1"/>
  <c r="BB94" i="77"/>
  <c r="BC94" i="77" s="1"/>
  <c r="BD94" i="77" s="1"/>
  <c r="AK94" i="77"/>
  <c r="AL94" i="77" s="1"/>
  <c r="AN94" i="77" s="1"/>
  <c r="O98" i="77"/>
  <c r="N99" i="77"/>
  <c r="BT94" i="75"/>
  <c r="BU94" i="75" s="1"/>
  <c r="BW94" i="75" s="1"/>
  <c r="CL96" i="77"/>
  <c r="BJ95" i="77"/>
  <c r="Y95" i="77"/>
  <c r="AU95" i="77"/>
  <c r="CK95" i="77"/>
  <c r="U96" i="77"/>
  <c r="BE95" i="77"/>
  <c r="AP95" i="77"/>
  <c r="AO95" i="77"/>
  <c r="AZ95" i="77"/>
  <c r="AW94" i="77"/>
  <c r="AX94" i="77" s="1"/>
  <c r="AY94" i="77" s="1"/>
  <c r="N99" i="76"/>
  <c r="O98" i="76"/>
  <c r="AY94" i="76"/>
  <c r="AZ94" i="76" s="1"/>
  <c r="BA94" i="76" s="1"/>
  <c r="BB94" i="76" s="1"/>
  <c r="BI94" i="76"/>
  <c r="BJ94" i="76" s="1"/>
  <c r="BK94" i="76" s="1"/>
  <c r="BL94" i="76" s="1"/>
  <c r="BD94" i="76"/>
  <c r="BE94" i="76" s="1"/>
  <c r="BF94" i="76" s="1"/>
  <c r="BG94" i="76" s="1"/>
  <c r="AH94" i="76"/>
  <c r="AI94" i="76" s="1"/>
  <c r="AJ94" i="76" s="1"/>
  <c r="AL94" i="76" s="1"/>
  <c r="BM94" i="76"/>
  <c r="BN94" i="76" s="1"/>
  <c r="BO94" i="76" s="1"/>
  <c r="AC94" i="76"/>
  <c r="AD95" i="76" s="1"/>
  <c r="AT94" i="76"/>
  <c r="AU94" i="76" s="1"/>
  <c r="AV94" i="76" s="1"/>
  <c r="AW94" i="76" s="1"/>
  <c r="AO94" i="76"/>
  <c r="AP94" i="76" s="1"/>
  <c r="AQ94" i="76" s="1"/>
  <c r="AR94" i="76" s="1"/>
  <c r="U96" i="75"/>
  <c r="CL95" i="75"/>
  <c r="AU95" i="75"/>
  <c r="BE95" i="75"/>
  <c r="AP95" i="75"/>
  <c r="AO95" i="75"/>
  <c r="AZ95" i="75"/>
  <c r="CC95" i="75"/>
  <c r="BJ95" i="75"/>
  <c r="Y95" i="75"/>
  <c r="Z95" i="75" s="1"/>
  <c r="V95" i="77"/>
  <c r="AB95" i="77" s="1"/>
  <c r="T95" i="76"/>
  <c r="Z95" i="76" s="1"/>
  <c r="V95" i="75"/>
  <c r="AB95" i="75" s="1"/>
  <c r="AI95" i="74"/>
  <c r="BB94" i="75"/>
  <c r="BC94" i="75" s="1"/>
  <c r="BD94" i="75" s="1"/>
  <c r="AR94" i="77"/>
  <c r="AS94" i="77" s="1"/>
  <c r="AT94" i="77" s="1"/>
  <c r="Z94" i="77"/>
  <c r="BP94" i="77"/>
  <c r="BQ94" i="77" s="1"/>
  <c r="BS94" i="77" s="1"/>
  <c r="AK94" i="75"/>
  <c r="AL94" i="75" s="1"/>
  <c r="AN94" i="75" s="1"/>
  <c r="BG94" i="77"/>
  <c r="BH94" i="77" s="1"/>
  <c r="BI94" i="77" s="1"/>
  <c r="AP96" i="74"/>
  <c r="AP116" i="74" s="1"/>
  <c r="CC96" i="74"/>
  <c r="AV96" i="74"/>
  <c r="AV116" i="74" s="1"/>
  <c r="AF96" i="74"/>
  <c r="AB97" i="74"/>
  <c r="AJ96" i="74"/>
  <c r="AJ116" i="74" s="1"/>
  <c r="AE96" i="74"/>
  <c r="AE116" i="74" s="1"/>
  <c r="AC96" i="74"/>
  <c r="AC116" i="74" s="1"/>
  <c r="AW94" i="75"/>
  <c r="AX94" i="75" s="1"/>
  <c r="AY94" i="75" s="1"/>
  <c r="BT94" i="77"/>
  <c r="BU94" i="77" s="1"/>
  <c r="BW94" i="77" s="1"/>
  <c r="O98" i="75"/>
  <c r="N99" i="75"/>
  <c r="AI95" i="77"/>
  <c r="AG95" i="76"/>
  <c r="AI95" i="75"/>
  <c r="AS95" i="76"/>
  <c r="BC95" i="76"/>
  <c r="AN95" i="76"/>
  <c r="S96" i="76"/>
  <c r="AX95" i="76"/>
  <c r="BH95" i="76"/>
  <c r="W95" i="76"/>
  <c r="X95" i="76" s="1"/>
  <c r="V95" i="76"/>
  <c r="AM95" i="76"/>
  <c r="BM95" i="74"/>
  <c r="BN95" i="74" s="1"/>
  <c r="BO95" i="74" s="1"/>
  <c r="AX95" i="74"/>
  <c r="AY95" i="74" s="1"/>
  <c r="AZ95" i="74" s="1"/>
  <c r="BH95" i="74"/>
  <c r="BI95" i="74" s="1"/>
  <c r="BJ95" i="74" s="1"/>
  <c r="AQ95" i="74"/>
  <c r="AR95" i="74" s="1"/>
  <c r="AS95" i="74" s="1"/>
  <c r="AU95" i="74" s="1"/>
  <c r="BQ95" i="74"/>
  <c r="BR95" i="74" s="1"/>
  <c r="BS95" i="74" s="1"/>
  <c r="BC95" i="74"/>
  <c r="BD95" i="74" s="1"/>
  <c r="BE95" i="74" s="1"/>
  <c r="AL95" i="74"/>
  <c r="AM96" i="74" s="1"/>
  <c r="AM116" i="74" s="1"/>
  <c r="AD95" i="77"/>
  <c r="AB95" i="76"/>
  <c r="AD95" i="75"/>
  <c r="CM96" i="75"/>
  <c r="BL94" i="75"/>
  <c r="BM94" i="75" s="1"/>
  <c r="BN94" i="75" s="1"/>
  <c r="AG96" i="74" l="1"/>
  <c r="AF116" i="74"/>
  <c r="AF96" i="75"/>
  <c r="AF116" i="75" s="1"/>
  <c r="AF96" i="77"/>
  <c r="BP96" i="77" s="1"/>
  <c r="BQ96" i="77" s="1"/>
  <c r="BS96" i="77" s="1"/>
  <c r="AN96" i="74"/>
  <c r="AN95" i="74"/>
  <c r="BG95" i="77"/>
  <c r="BH95" i="77" s="1"/>
  <c r="BI95" i="77" s="1"/>
  <c r="AE94" i="76"/>
  <c r="BL95" i="75"/>
  <c r="BM95" i="75" s="1"/>
  <c r="BN95" i="75" s="1"/>
  <c r="BB95" i="75"/>
  <c r="BC95" i="75" s="1"/>
  <c r="BD95" i="75" s="1"/>
  <c r="AR95" i="75"/>
  <c r="AS95" i="75" s="1"/>
  <c r="AT95" i="75" s="1"/>
  <c r="BG95" i="75"/>
  <c r="BH95" i="75" s="1"/>
  <c r="BI95" i="75" s="1"/>
  <c r="AK95" i="75"/>
  <c r="AL95" i="75" s="1"/>
  <c r="AN95" i="75" s="1"/>
  <c r="AW95" i="75"/>
  <c r="AX95" i="75" s="1"/>
  <c r="AY95" i="75" s="1"/>
  <c r="BB95" i="77"/>
  <c r="BC95" i="77" s="1"/>
  <c r="BD95" i="77" s="1"/>
  <c r="Z95" i="77"/>
  <c r="BL95" i="77"/>
  <c r="BM95" i="77" s="1"/>
  <c r="BN95" i="77" s="1"/>
  <c r="CM97" i="75"/>
  <c r="S97" i="76"/>
  <c r="AX96" i="76"/>
  <c r="BH96" i="76"/>
  <c r="W96" i="76"/>
  <c r="X96" i="76" s="1"/>
  <c r="V96" i="76"/>
  <c r="AS96" i="76"/>
  <c r="BC96" i="76"/>
  <c r="AN96" i="76"/>
  <c r="AM96" i="76"/>
  <c r="O99" i="77"/>
  <c r="N100" i="77"/>
  <c r="AI96" i="77"/>
  <c r="AG96" i="76"/>
  <c r="AI96" i="75"/>
  <c r="AI116" i="75" s="1"/>
  <c r="BP95" i="75"/>
  <c r="BQ95" i="75" s="1"/>
  <c r="BS95" i="75" s="1"/>
  <c r="O99" i="75"/>
  <c r="N100" i="75"/>
  <c r="BT95" i="75"/>
  <c r="BU95" i="75" s="1"/>
  <c r="BW95" i="75" s="1"/>
  <c r="AG95" i="77"/>
  <c r="BT95" i="77"/>
  <c r="BU95" i="77" s="1"/>
  <c r="BW95" i="77" s="1"/>
  <c r="V96" i="77"/>
  <c r="AB96" i="77" s="1"/>
  <c r="T96" i="76"/>
  <c r="Z96" i="76" s="1"/>
  <c r="V96" i="75"/>
  <c r="AI96" i="74"/>
  <c r="AI116" i="74" s="1"/>
  <c r="CL97" i="77"/>
  <c r="U97" i="75"/>
  <c r="CL96" i="75"/>
  <c r="AU96" i="75"/>
  <c r="AU116" i="75" s="1"/>
  <c r="BE96" i="75"/>
  <c r="BE116" i="75" s="1"/>
  <c r="AG96" i="75"/>
  <c r="AP96" i="75"/>
  <c r="AP116" i="75" s="1"/>
  <c r="AO96" i="75"/>
  <c r="AO116" i="75" s="1"/>
  <c r="AZ96" i="75"/>
  <c r="AZ116" i="75" s="1"/>
  <c r="CC96" i="75"/>
  <c r="BJ96" i="75"/>
  <c r="BJ116" i="75" s="1"/>
  <c r="Y96" i="75"/>
  <c r="Y116" i="75" s="1"/>
  <c r="BQ96" i="74"/>
  <c r="BC96" i="74"/>
  <c r="AL96" i="74"/>
  <c r="AL116" i="74" s="1"/>
  <c r="BH96" i="74"/>
  <c r="AQ96" i="74"/>
  <c r="BM96" i="74"/>
  <c r="AX96" i="74"/>
  <c r="N101" i="74"/>
  <c r="L115" i="65" s="1"/>
  <c r="O100" i="74"/>
  <c r="M114" i="65" s="1"/>
  <c r="AD96" i="77"/>
  <c r="AB96" i="76"/>
  <c r="AD96" i="75"/>
  <c r="AD116" i="75" s="1"/>
  <c r="O99" i="76"/>
  <c r="N100" i="76"/>
  <c r="AR95" i="77"/>
  <c r="AS95" i="77" s="1"/>
  <c r="AT95" i="77" s="1"/>
  <c r="AK95" i="77"/>
  <c r="AL95" i="77" s="1"/>
  <c r="AN95" i="77" s="1"/>
  <c r="BD95" i="76"/>
  <c r="BE95" i="76" s="1"/>
  <c r="BF95" i="76" s="1"/>
  <c r="BG95" i="76" s="1"/>
  <c r="BM95" i="76"/>
  <c r="BN95" i="76" s="1"/>
  <c r="BO95" i="76" s="1"/>
  <c r="AO95" i="76"/>
  <c r="AP95" i="76" s="1"/>
  <c r="AQ95" i="76" s="1"/>
  <c r="AR95" i="76" s="1"/>
  <c r="AC95" i="76"/>
  <c r="AD96" i="76" s="1"/>
  <c r="BI95" i="76"/>
  <c r="BJ95" i="76" s="1"/>
  <c r="BK95" i="76" s="1"/>
  <c r="BL95" i="76" s="1"/>
  <c r="AH95" i="76"/>
  <c r="AI95" i="76" s="1"/>
  <c r="AJ95" i="76" s="1"/>
  <c r="AL95" i="76" s="1"/>
  <c r="AY95" i="76"/>
  <c r="AZ95" i="76" s="1"/>
  <c r="BA95" i="76" s="1"/>
  <c r="BB95" i="76" s="1"/>
  <c r="AT95" i="76"/>
  <c r="AU95" i="76" s="1"/>
  <c r="AV95" i="76" s="1"/>
  <c r="AW95" i="76" s="1"/>
  <c r="BJ96" i="77"/>
  <c r="Y96" i="77"/>
  <c r="AU96" i="77"/>
  <c r="CK96" i="77"/>
  <c r="AZ96" i="77"/>
  <c r="AP96" i="77"/>
  <c r="U97" i="77"/>
  <c r="AO96" i="77"/>
  <c r="BE96" i="77"/>
  <c r="AW95" i="77"/>
  <c r="AX95" i="77" s="1"/>
  <c r="AY95" i="77" s="1"/>
  <c r="CC97" i="74"/>
  <c r="AV97" i="74"/>
  <c r="AF97" i="74"/>
  <c r="AG97" i="74" s="1"/>
  <c r="AE97" i="74"/>
  <c r="AC97" i="74"/>
  <c r="AB98" i="74"/>
  <c r="AP97" i="74"/>
  <c r="AJ97" i="74"/>
  <c r="AM97" i="74" l="1"/>
  <c r="AN97" i="74" s="1"/>
  <c r="AN116" i="74"/>
  <c r="K27" i="74"/>
  <c r="AY96" i="74"/>
  <c r="AX116" i="74"/>
  <c r="AG116" i="75"/>
  <c r="K27" i="75"/>
  <c r="AR96" i="74"/>
  <c r="AQ116" i="74"/>
  <c r="BI96" i="74"/>
  <c r="BH116" i="74"/>
  <c r="BN96" i="74"/>
  <c r="BM116" i="74"/>
  <c r="BD96" i="74"/>
  <c r="BC116" i="74"/>
  <c r="AB96" i="75"/>
  <c r="AB116" i="75" s="1"/>
  <c r="V116" i="75"/>
  <c r="BR96" i="74"/>
  <c r="BQ116" i="74"/>
  <c r="AG116" i="74"/>
  <c r="K21" i="74"/>
  <c r="AF97" i="75"/>
  <c r="BP97" i="75" s="1"/>
  <c r="BQ97" i="75" s="1"/>
  <c r="BS97" i="75" s="1"/>
  <c r="AF97" i="77"/>
  <c r="BP97" i="77" s="1"/>
  <c r="BQ97" i="77" s="1"/>
  <c r="BS97" i="77" s="1"/>
  <c r="AE95" i="76"/>
  <c r="BT96" i="75"/>
  <c r="AG96" i="77"/>
  <c r="AK96" i="77"/>
  <c r="AL96" i="77" s="1"/>
  <c r="AN96" i="77" s="1"/>
  <c r="Z96" i="75"/>
  <c r="BL96" i="75"/>
  <c r="BB96" i="75"/>
  <c r="AR96" i="75"/>
  <c r="BG96" i="75"/>
  <c r="AW96" i="75"/>
  <c r="BL96" i="77"/>
  <c r="BM96" i="77" s="1"/>
  <c r="BN96" i="77" s="1"/>
  <c r="AW96" i="77"/>
  <c r="AX96" i="77" s="1"/>
  <c r="AY96" i="77" s="1"/>
  <c r="Z96" i="77"/>
  <c r="BB96" i="77"/>
  <c r="BC96" i="77" s="1"/>
  <c r="BD96" i="77" s="1"/>
  <c r="BG96" i="77"/>
  <c r="BH96" i="77" s="1"/>
  <c r="BI96" i="77" s="1"/>
  <c r="AR96" i="77"/>
  <c r="AS96" i="77" s="1"/>
  <c r="AT96" i="77" s="1"/>
  <c r="AK96" i="75"/>
  <c r="BP96" i="75"/>
  <c r="V97" i="77"/>
  <c r="AB97" i="77" s="1"/>
  <c r="T97" i="76"/>
  <c r="Z97" i="76" s="1"/>
  <c r="V97" i="75"/>
  <c r="AB97" i="75" s="1"/>
  <c r="AI97" i="74"/>
  <c r="N101" i="76"/>
  <c r="O100" i="76"/>
  <c r="O100" i="75"/>
  <c r="N101" i="75"/>
  <c r="BC97" i="76"/>
  <c r="AN97" i="76"/>
  <c r="AM97" i="76"/>
  <c r="S98" i="76"/>
  <c r="AX97" i="76"/>
  <c r="BH97" i="76"/>
  <c r="W97" i="76"/>
  <c r="X97" i="76" s="1"/>
  <c r="V97" i="76"/>
  <c r="AS97" i="76"/>
  <c r="CM98" i="75"/>
  <c r="BH97" i="74"/>
  <c r="BI97" i="74" s="1"/>
  <c r="BJ97" i="74" s="1"/>
  <c r="AQ97" i="74"/>
  <c r="AR97" i="74" s="1"/>
  <c r="AS97" i="74" s="1"/>
  <c r="AU97" i="74" s="1"/>
  <c r="BQ97" i="74"/>
  <c r="BR97" i="74" s="1"/>
  <c r="BS97" i="74" s="1"/>
  <c r="BC97" i="74"/>
  <c r="BD97" i="74" s="1"/>
  <c r="BE97" i="74" s="1"/>
  <c r="AL97" i="74"/>
  <c r="BM97" i="74"/>
  <c r="BN97" i="74" s="1"/>
  <c r="BO97" i="74" s="1"/>
  <c r="AX97" i="74"/>
  <c r="AY97" i="74" s="1"/>
  <c r="AZ97" i="74" s="1"/>
  <c r="O101" i="74"/>
  <c r="M115" i="65" s="1"/>
  <c r="N102" i="74"/>
  <c r="L116" i="65" s="1"/>
  <c r="U98" i="75"/>
  <c r="CL97" i="75"/>
  <c r="AU97" i="75"/>
  <c r="BE97" i="75"/>
  <c r="AP97" i="75"/>
  <c r="AO97" i="75"/>
  <c r="AZ97" i="75"/>
  <c r="CC97" i="75"/>
  <c r="BJ97" i="75"/>
  <c r="Y97" i="75"/>
  <c r="AI97" i="77"/>
  <c r="AG97" i="76"/>
  <c r="AI97" i="75"/>
  <c r="BI96" i="76"/>
  <c r="BJ96" i="76" s="1"/>
  <c r="BK96" i="76" s="1"/>
  <c r="BL96" i="76" s="1"/>
  <c r="AT96" i="76"/>
  <c r="AU96" i="76" s="1"/>
  <c r="AV96" i="76" s="1"/>
  <c r="AW96" i="76" s="1"/>
  <c r="AH96" i="76"/>
  <c r="AI96" i="76" s="1"/>
  <c r="AJ96" i="76" s="1"/>
  <c r="AL96" i="76" s="1"/>
  <c r="BD96" i="76"/>
  <c r="BE96" i="76" s="1"/>
  <c r="BF96" i="76" s="1"/>
  <c r="BG96" i="76" s="1"/>
  <c r="AY96" i="76"/>
  <c r="AZ96" i="76" s="1"/>
  <c r="BA96" i="76" s="1"/>
  <c r="BB96" i="76" s="1"/>
  <c r="AO96" i="76"/>
  <c r="AP96" i="76" s="1"/>
  <c r="AQ96" i="76" s="1"/>
  <c r="AR96" i="76" s="1"/>
  <c r="AC96" i="76"/>
  <c r="AD97" i="76" s="1"/>
  <c r="BM96" i="76"/>
  <c r="BN96" i="76" s="1"/>
  <c r="BO96" i="76" s="1"/>
  <c r="AD97" i="77"/>
  <c r="AB97" i="76"/>
  <c r="AD97" i="75"/>
  <c r="BT96" i="77"/>
  <c r="BU96" i="77" s="1"/>
  <c r="BW96" i="77" s="1"/>
  <c r="N101" i="77"/>
  <c r="O100" i="77"/>
  <c r="AZ97" i="77"/>
  <c r="BJ97" i="77"/>
  <c r="Y97" i="77"/>
  <c r="Z97" i="77" s="1"/>
  <c r="AU97" i="77"/>
  <c r="U98" i="77"/>
  <c r="BE97" i="77"/>
  <c r="AO97" i="77"/>
  <c r="CK97" i="77"/>
  <c r="AP97" i="77"/>
  <c r="CL98" i="77"/>
  <c r="AB99" i="74"/>
  <c r="AJ98" i="74"/>
  <c r="CC98" i="74"/>
  <c r="AV98" i="74"/>
  <c r="AF98" i="74"/>
  <c r="AE98" i="74"/>
  <c r="AC98" i="74"/>
  <c r="AP98" i="74"/>
  <c r="AM98" i="74" l="1"/>
  <c r="AN98" i="74" s="1"/>
  <c r="BQ96" i="75"/>
  <c r="BP116" i="75"/>
  <c r="BM96" i="75"/>
  <c r="BL116" i="75"/>
  <c r="BJ96" i="74"/>
  <c r="BJ116" i="74" s="1"/>
  <c r="BI116" i="74"/>
  <c r="BU96" i="75"/>
  <c r="BT116" i="75"/>
  <c r="AS96" i="74"/>
  <c r="AR116" i="74"/>
  <c r="AL96" i="75"/>
  <c r="AK116" i="75"/>
  <c r="BS96" i="74"/>
  <c r="BS116" i="74" s="1"/>
  <c r="BR116" i="74"/>
  <c r="Z116" i="75"/>
  <c r="K21" i="75"/>
  <c r="AX96" i="75"/>
  <c r="AW116" i="75"/>
  <c r="BH96" i="75"/>
  <c r="BG116" i="75"/>
  <c r="AZ96" i="74"/>
  <c r="AZ116" i="74" s="1"/>
  <c r="AY116" i="74"/>
  <c r="BO96" i="74"/>
  <c r="BO116" i="74" s="1"/>
  <c r="BN116" i="74"/>
  <c r="AS96" i="75"/>
  <c r="AR116" i="75"/>
  <c r="BC96" i="75"/>
  <c r="BB116" i="75"/>
  <c r="BE96" i="74"/>
  <c r="BE116" i="74" s="1"/>
  <c r="BD116" i="74"/>
  <c r="AF98" i="75"/>
  <c r="AG98" i="75" s="1"/>
  <c r="AF98" i="77"/>
  <c r="BP98" i="77" s="1"/>
  <c r="BQ98" i="77" s="1"/>
  <c r="BS98" i="77" s="1"/>
  <c r="AE96" i="76"/>
  <c r="BG97" i="77"/>
  <c r="BH97" i="77" s="1"/>
  <c r="BI97" i="77" s="1"/>
  <c r="BG97" i="75"/>
  <c r="BH97" i="75" s="1"/>
  <c r="BI97" i="75" s="1"/>
  <c r="BT97" i="75"/>
  <c r="BU97" i="75" s="1"/>
  <c r="BW97" i="75" s="1"/>
  <c r="AK97" i="77"/>
  <c r="AL97" i="77" s="1"/>
  <c r="AN97" i="77" s="1"/>
  <c r="AR97" i="77"/>
  <c r="AS97" i="77" s="1"/>
  <c r="AT97" i="77" s="1"/>
  <c r="AG97" i="75"/>
  <c r="AG97" i="77"/>
  <c r="AD98" i="77"/>
  <c r="AB98" i="76"/>
  <c r="AD98" i="75"/>
  <c r="BT97" i="77"/>
  <c r="BU97" i="77" s="1"/>
  <c r="BW97" i="77" s="1"/>
  <c r="U99" i="75"/>
  <c r="CL98" i="75"/>
  <c r="AU98" i="75"/>
  <c r="BE98" i="75"/>
  <c r="AP98" i="75"/>
  <c r="AO98" i="75"/>
  <c r="AZ98" i="75"/>
  <c r="CC98" i="75"/>
  <c r="BJ98" i="75"/>
  <c r="Y98" i="75"/>
  <c r="O101" i="75"/>
  <c r="N102" i="75"/>
  <c r="BQ98" i="74"/>
  <c r="BR98" i="74" s="1"/>
  <c r="BS98" i="74" s="1"/>
  <c r="BC98" i="74"/>
  <c r="BD98" i="74" s="1"/>
  <c r="BE98" i="74" s="1"/>
  <c r="AL98" i="74"/>
  <c r="AM99" i="74" s="1"/>
  <c r="BM98" i="74"/>
  <c r="BN98" i="74" s="1"/>
  <c r="BO98" i="74" s="1"/>
  <c r="AX98" i="74"/>
  <c r="AY98" i="74" s="1"/>
  <c r="AZ98" i="74" s="1"/>
  <c r="BH98" i="74"/>
  <c r="BI98" i="74" s="1"/>
  <c r="BJ98" i="74" s="1"/>
  <c r="AQ98" i="74"/>
  <c r="AR98" i="74" s="1"/>
  <c r="AS98" i="74" s="1"/>
  <c r="AU98" i="74" s="1"/>
  <c r="BB97" i="75"/>
  <c r="BC97" i="75" s="1"/>
  <c r="BD97" i="75" s="1"/>
  <c r="BM97" i="76"/>
  <c r="BN97" i="76" s="1"/>
  <c r="BO97" i="76" s="1"/>
  <c r="AO97" i="76"/>
  <c r="AP97" i="76" s="1"/>
  <c r="AQ97" i="76" s="1"/>
  <c r="AR97" i="76" s="1"/>
  <c r="AC97" i="76"/>
  <c r="AD98" i="76" s="1"/>
  <c r="AY97" i="76"/>
  <c r="AZ97" i="76" s="1"/>
  <c r="BA97" i="76" s="1"/>
  <c r="BB97" i="76" s="1"/>
  <c r="BD97" i="76"/>
  <c r="BE97" i="76" s="1"/>
  <c r="BF97" i="76" s="1"/>
  <c r="BG97" i="76" s="1"/>
  <c r="AT97" i="76"/>
  <c r="AU97" i="76" s="1"/>
  <c r="AV97" i="76" s="1"/>
  <c r="AW97" i="76" s="1"/>
  <c r="AH97" i="76"/>
  <c r="AI97" i="76" s="1"/>
  <c r="AJ97" i="76" s="1"/>
  <c r="AL97" i="76" s="1"/>
  <c r="BI97" i="76"/>
  <c r="BJ97" i="76" s="1"/>
  <c r="BK97" i="76" s="1"/>
  <c r="BL97" i="76" s="1"/>
  <c r="AF99" i="74"/>
  <c r="AG99" i="74" s="1"/>
  <c r="AE99" i="74"/>
  <c r="AC99" i="74"/>
  <c r="AP99" i="74"/>
  <c r="AB100" i="74"/>
  <c r="AJ99" i="74"/>
  <c r="CC99" i="74"/>
  <c r="AV99" i="74"/>
  <c r="BB97" i="77"/>
  <c r="BC97" i="77" s="1"/>
  <c r="BD97" i="77" s="1"/>
  <c r="N102" i="76"/>
  <c r="O101" i="76"/>
  <c r="AK97" i="75"/>
  <c r="AL97" i="75" s="1"/>
  <c r="AN97" i="75" s="1"/>
  <c r="N103" i="74"/>
  <c r="L117" i="65" s="1"/>
  <c r="O102" i="74"/>
  <c r="M116" i="65" s="1"/>
  <c r="AG98" i="74"/>
  <c r="AW97" i="77"/>
  <c r="AX97" i="77" s="1"/>
  <c r="AY97" i="77" s="1"/>
  <c r="AW97" i="75"/>
  <c r="AX97" i="75" s="1"/>
  <c r="AY97" i="75" s="1"/>
  <c r="BH98" i="76"/>
  <c r="W98" i="76"/>
  <c r="V98" i="76"/>
  <c r="AS98" i="76"/>
  <c r="BC98" i="76"/>
  <c r="AN98" i="76"/>
  <c r="S99" i="76"/>
  <c r="AX98" i="76"/>
  <c r="AM98" i="76"/>
  <c r="V98" i="77"/>
  <c r="AB98" i="77" s="1"/>
  <c r="T98" i="76"/>
  <c r="Z98" i="76" s="1"/>
  <c r="V98" i="75"/>
  <c r="AB98" i="75" s="1"/>
  <c r="AI98" i="74"/>
  <c r="CL99" i="77"/>
  <c r="BL97" i="77"/>
  <c r="BM97" i="77" s="1"/>
  <c r="BN97" i="77" s="1"/>
  <c r="BL97" i="75"/>
  <c r="BM97" i="75" s="1"/>
  <c r="BN97" i="75" s="1"/>
  <c r="AR97" i="75"/>
  <c r="AS97" i="75" s="1"/>
  <c r="AT97" i="75" s="1"/>
  <c r="O101" i="77"/>
  <c r="N102" i="77"/>
  <c r="Z97" i="75"/>
  <c r="CM99" i="75"/>
  <c r="AI98" i="77"/>
  <c r="AG98" i="76"/>
  <c r="AI98" i="75"/>
  <c r="AO98" i="77"/>
  <c r="AZ98" i="77"/>
  <c r="BJ98" i="77"/>
  <c r="Y98" i="77"/>
  <c r="Z98" i="77" s="1"/>
  <c r="CK98" i="77"/>
  <c r="U99" i="77"/>
  <c r="BE98" i="77"/>
  <c r="AU98" i="77"/>
  <c r="AP98" i="77"/>
  <c r="BG98" i="77" l="1"/>
  <c r="BH98" i="77" s="1"/>
  <c r="BI98" i="77" s="1"/>
  <c r="AN96" i="75"/>
  <c r="AN116" i="75" s="1"/>
  <c r="AL116" i="75"/>
  <c r="AU96" i="74"/>
  <c r="AU116" i="74" s="1"/>
  <c r="AS116" i="74"/>
  <c r="BI96" i="75"/>
  <c r="BI116" i="75" s="1"/>
  <c r="BH116" i="75"/>
  <c r="BW96" i="75"/>
  <c r="BW116" i="75" s="1"/>
  <c r="BU116" i="75"/>
  <c r="AY96" i="75"/>
  <c r="AY116" i="75" s="1"/>
  <c r="AX116" i="75"/>
  <c r="BD96" i="75"/>
  <c r="BD116" i="75" s="1"/>
  <c r="BC116" i="75"/>
  <c r="BN96" i="75"/>
  <c r="BN116" i="75" s="1"/>
  <c r="BM116" i="75"/>
  <c r="AT96" i="75"/>
  <c r="AT116" i="75" s="1"/>
  <c r="AS116" i="75"/>
  <c r="BS96" i="75"/>
  <c r="BS116" i="75" s="1"/>
  <c r="BQ116" i="75"/>
  <c r="AF99" i="75"/>
  <c r="BP99" i="75" s="1"/>
  <c r="AF99" i="77"/>
  <c r="AG99" i="77" s="1"/>
  <c r="AN99" i="74"/>
  <c r="AK98" i="75"/>
  <c r="AL98" i="75" s="1"/>
  <c r="AN98" i="75" s="1"/>
  <c r="AE97" i="76"/>
  <c r="BT98" i="75"/>
  <c r="BU98" i="75" s="1"/>
  <c r="BW98" i="75" s="1"/>
  <c r="BT98" i="77"/>
  <c r="BU98" i="77" s="1"/>
  <c r="BW98" i="77" s="1"/>
  <c r="AG98" i="77"/>
  <c r="BL98" i="77"/>
  <c r="BM98" i="77" s="1"/>
  <c r="BN98" i="77" s="1"/>
  <c r="AW98" i="75"/>
  <c r="AX98" i="75" s="1"/>
  <c r="AY98" i="75" s="1"/>
  <c r="AW98" i="77"/>
  <c r="AX98" i="77" s="1"/>
  <c r="AY98" i="77" s="1"/>
  <c r="BB98" i="75"/>
  <c r="BC98" i="75" s="1"/>
  <c r="BD98" i="75" s="1"/>
  <c r="O102" i="76"/>
  <c r="N103" i="76"/>
  <c r="AP99" i="77"/>
  <c r="AO99" i="77"/>
  <c r="AZ99" i="77"/>
  <c r="BJ99" i="77"/>
  <c r="Y99" i="77"/>
  <c r="AU99" i="77"/>
  <c r="CK99" i="77"/>
  <c r="U100" i="77"/>
  <c r="BE99" i="77"/>
  <c r="O103" i="74"/>
  <c r="M117" i="65" s="1"/>
  <c r="N104" i="74"/>
  <c r="L118" i="65" s="1"/>
  <c r="AI99" i="77"/>
  <c r="AG99" i="76"/>
  <c r="AI99" i="75"/>
  <c r="AN99" i="76"/>
  <c r="AM99" i="76"/>
  <c r="S100" i="76"/>
  <c r="AX99" i="76"/>
  <c r="BH99" i="76"/>
  <c r="V99" i="76"/>
  <c r="AS99" i="76"/>
  <c r="W99" i="76"/>
  <c r="X99" i="76" s="1"/>
  <c r="BC99" i="76"/>
  <c r="AB101" i="74"/>
  <c r="AJ100" i="74"/>
  <c r="CC100" i="74"/>
  <c r="AV100" i="74"/>
  <c r="AF100" i="74"/>
  <c r="AG100" i="74" s="1"/>
  <c r="AE100" i="74"/>
  <c r="AC100" i="74"/>
  <c r="AP100" i="74"/>
  <c r="BB98" i="77"/>
  <c r="BC98" i="77" s="1"/>
  <c r="BD98" i="77" s="1"/>
  <c r="CL100" i="77"/>
  <c r="X98" i="76"/>
  <c r="O102" i="75"/>
  <c r="N103" i="75"/>
  <c r="V99" i="77"/>
  <c r="T99" i="76"/>
  <c r="V99" i="75"/>
  <c r="AI99" i="74"/>
  <c r="BL98" i="75"/>
  <c r="BM98" i="75" s="1"/>
  <c r="BN98" i="75" s="1"/>
  <c r="AR98" i="75"/>
  <c r="AS98" i="75" s="1"/>
  <c r="AT98" i="75" s="1"/>
  <c r="U100" i="75"/>
  <c r="CL99" i="75"/>
  <c r="AU99" i="75"/>
  <c r="BE99" i="75"/>
  <c r="AP99" i="75"/>
  <c r="AO99" i="75"/>
  <c r="AZ99" i="75"/>
  <c r="CC99" i="75"/>
  <c r="BJ99" i="75"/>
  <c r="Y99" i="75"/>
  <c r="CM100" i="75"/>
  <c r="AT98" i="76"/>
  <c r="AU98" i="76" s="1"/>
  <c r="AV98" i="76" s="1"/>
  <c r="AW98" i="76" s="1"/>
  <c r="AH98" i="76"/>
  <c r="AI98" i="76" s="1"/>
  <c r="AJ98" i="76" s="1"/>
  <c r="AL98" i="76" s="1"/>
  <c r="BD98" i="76"/>
  <c r="BE98" i="76" s="1"/>
  <c r="BF98" i="76" s="1"/>
  <c r="BG98" i="76" s="1"/>
  <c r="BM98" i="76"/>
  <c r="BN98" i="76" s="1"/>
  <c r="BO98" i="76" s="1"/>
  <c r="AO98" i="76"/>
  <c r="AP98" i="76" s="1"/>
  <c r="AQ98" i="76" s="1"/>
  <c r="AR98" i="76" s="1"/>
  <c r="AC98" i="76"/>
  <c r="AD99" i="76" s="1"/>
  <c r="BI98" i="76"/>
  <c r="BJ98" i="76" s="1"/>
  <c r="BK98" i="76" s="1"/>
  <c r="BL98" i="76" s="1"/>
  <c r="AY98" i="76"/>
  <c r="AZ98" i="76" s="1"/>
  <c r="BA98" i="76" s="1"/>
  <c r="BB98" i="76" s="1"/>
  <c r="Z98" i="75"/>
  <c r="AR98" i="77"/>
  <c r="AS98" i="77" s="1"/>
  <c r="AT98" i="77" s="1"/>
  <c r="AK98" i="77"/>
  <c r="AL98" i="77" s="1"/>
  <c r="AN98" i="77" s="1"/>
  <c r="BP98" i="75"/>
  <c r="BQ98" i="75" s="1"/>
  <c r="BS98" i="75" s="1"/>
  <c r="BG98" i="75"/>
  <c r="BH98" i="75" s="1"/>
  <c r="BI98" i="75" s="1"/>
  <c r="AD99" i="77"/>
  <c r="AB99" i="76"/>
  <c r="AD99" i="75"/>
  <c r="BH99" i="74"/>
  <c r="AQ99" i="74"/>
  <c r="AR99" i="74" s="1"/>
  <c r="BQ99" i="74"/>
  <c r="BC99" i="74"/>
  <c r="AL99" i="74"/>
  <c r="AM100" i="74" s="1"/>
  <c r="BM99" i="74"/>
  <c r="AX99" i="74"/>
  <c r="O102" i="77"/>
  <c r="N103" i="77"/>
  <c r="AF100" i="77" l="1"/>
  <c r="AF100" i="75"/>
  <c r="BP100" i="75" s="1"/>
  <c r="BQ100" i="75" s="1"/>
  <c r="BS100" i="75" s="1"/>
  <c r="AN100" i="74"/>
  <c r="AE98" i="76"/>
  <c r="BG99" i="77"/>
  <c r="BH99" i="77" s="1"/>
  <c r="AK99" i="75"/>
  <c r="AL99" i="75" s="1"/>
  <c r="AN99" i="75" s="1"/>
  <c r="BP99" i="77"/>
  <c r="BQ99" i="77" s="1"/>
  <c r="AW99" i="75"/>
  <c r="AG99" i="75"/>
  <c r="Z99" i="75"/>
  <c r="BG99" i="75"/>
  <c r="BH99" i="75" s="1"/>
  <c r="BT99" i="75"/>
  <c r="BU99" i="75" s="1"/>
  <c r="Z99" i="77"/>
  <c r="BB99" i="75"/>
  <c r="BC99" i="75" s="1"/>
  <c r="BB99" i="77"/>
  <c r="BC99" i="77" s="1"/>
  <c r="CM101" i="75"/>
  <c r="AB99" i="77"/>
  <c r="V100" i="76"/>
  <c r="AS100" i="76"/>
  <c r="BC100" i="76"/>
  <c r="AM100" i="76"/>
  <c r="S101" i="76"/>
  <c r="AX100" i="76"/>
  <c r="AN100" i="76"/>
  <c r="BH100" i="76"/>
  <c r="W100" i="76"/>
  <c r="X100" i="76" s="1"/>
  <c r="U101" i="75"/>
  <c r="CL100" i="75"/>
  <c r="AU100" i="75"/>
  <c r="BE100" i="75"/>
  <c r="AP100" i="75"/>
  <c r="AO100" i="75"/>
  <c r="AZ100" i="75"/>
  <c r="CC100" i="75"/>
  <c r="BJ100" i="75"/>
  <c r="Y100" i="75"/>
  <c r="AL100" i="74"/>
  <c r="AM101" i="74" s="1"/>
  <c r="BM100" i="74"/>
  <c r="BN100" i="74" s="1"/>
  <c r="BO100" i="74" s="1"/>
  <c r="AX100" i="74"/>
  <c r="AY100" i="74" s="1"/>
  <c r="AZ100" i="74" s="1"/>
  <c r="BH100" i="74"/>
  <c r="BI100" i="74" s="1"/>
  <c r="BJ100" i="74" s="1"/>
  <c r="AQ100" i="74"/>
  <c r="AR100" i="74" s="1"/>
  <c r="AS100" i="74" s="1"/>
  <c r="AU100" i="74" s="1"/>
  <c r="BQ100" i="74"/>
  <c r="BR100" i="74" s="1"/>
  <c r="BS100" i="74" s="1"/>
  <c r="BC100" i="74"/>
  <c r="BD100" i="74" s="1"/>
  <c r="BE100" i="74" s="1"/>
  <c r="CK100" i="77"/>
  <c r="AP100" i="77"/>
  <c r="AO100" i="77"/>
  <c r="AZ100" i="77"/>
  <c r="BJ100" i="77"/>
  <c r="AU100" i="77"/>
  <c r="BE100" i="77"/>
  <c r="BP100" i="77"/>
  <c r="BQ100" i="77" s="1"/>
  <c r="BS100" i="77" s="1"/>
  <c r="U101" i="77"/>
  <c r="Y100" i="77"/>
  <c r="Z100" i="77" s="1"/>
  <c r="Z99" i="76"/>
  <c r="BQ99" i="75"/>
  <c r="AY99" i="74"/>
  <c r="BR99" i="74"/>
  <c r="AR99" i="77"/>
  <c r="BT99" i="77"/>
  <c r="N104" i="77"/>
  <c r="O103" i="77"/>
  <c r="N105" i="74"/>
  <c r="L119" i="65" s="1"/>
  <c r="O104" i="74"/>
  <c r="M118" i="65" s="1"/>
  <c r="BN99" i="74"/>
  <c r="BI99" i="74"/>
  <c r="O103" i="75"/>
  <c r="N104" i="75"/>
  <c r="AI100" i="77"/>
  <c r="AG100" i="76"/>
  <c r="AI100" i="75"/>
  <c r="BD99" i="74"/>
  <c r="AK99" i="77"/>
  <c r="N104" i="76"/>
  <c r="O103" i="76"/>
  <c r="AD100" i="77"/>
  <c r="AB100" i="76"/>
  <c r="AD100" i="75"/>
  <c r="AW99" i="77"/>
  <c r="AS99" i="74"/>
  <c r="BL99" i="75"/>
  <c r="AR99" i="75"/>
  <c r="BM99" i="76"/>
  <c r="AO99" i="76"/>
  <c r="AC99" i="76"/>
  <c r="AD100" i="76" s="1"/>
  <c r="AY99" i="76"/>
  <c r="BI99" i="76"/>
  <c r="AT99" i="76"/>
  <c r="AH99" i="76"/>
  <c r="AI99" i="76" s="1"/>
  <c r="BD99" i="76"/>
  <c r="AB99" i="75"/>
  <c r="CL101" i="77"/>
  <c r="V100" i="77"/>
  <c r="AB100" i="77" s="1"/>
  <c r="T100" i="76"/>
  <c r="Z100" i="76" s="1"/>
  <c r="V100" i="75"/>
  <c r="AB100" i="75" s="1"/>
  <c r="AI100" i="74"/>
  <c r="AB102" i="74"/>
  <c r="AE101" i="74"/>
  <c r="AC101" i="74"/>
  <c r="AP101" i="74"/>
  <c r="AJ101" i="74"/>
  <c r="CC101" i="74"/>
  <c r="AV101" i="74"/>
  <c r="AF101" i="74"/>
  <c r="BL99" i="77"/>
  <c r="AF101" i="77" l="1"/>
  <c r="BP101" i="77" s="1"/>
  <c r="BQ101" i="77" s="1"/>
  <c r="BS101" i="77" s="1"/>
  <c r="AF101" i="75"/>
  <c r="AN101" i="74"/>
  <c r="AE99" i="76"/>
  <c r="BB100" i="75"/>
  <c r="BC100" i="75" s="1"/>
  <c r="BD100" i="75" s="1"/>
  <c r="Z100" i="75"/>
  <c r="AG100" i="75"/>
  <c r="AW100" i="75"/>
  <c r="AX100" i="75" s="1"/>
  <c r="AY100" i="75" s="1"/>
  <c r="AK100" i="75"/>
  <c r="AL100" i="75" s="1"/>
  <c r="AN100" i="75" s="1"/>
  <c r="AX99" i="75"/>
  <c r="AK100" i="77"/>
  <c r="AL100" i="77" s="1"/>
  <c r="AN100" i="77" s="1"/>
  <c r="AR100" i="77"/>
  <c r="AS100" i="77" s="1"/>
  <c r="AT100" i="77" s="1"/>
  <c r="AG100" i="77"/>
  <c r="BB100" i="77"/>
  <c r="BC100" i="77" s="1"/>
  <c r="BD100" i="77" s="1"/>
  <c r="AG101" i="74"/>
  <c r="AE100" i="76"/>
  <c r="BL100" i="75"/>
  <c r="BM100" i="75" s="1"/>
  <c r="BN100" i="75" s="1"/>
  <c r="AR100" i="75"/>
  <c r="AS100" i="75" s="1"/>
  <c r="AT100" i="75" s="1"/>
  <c r="BG100" i="77"/>
  <c r="BH100" i="77" s="1"/>
  <c r="BI100" i="77" s="1"/>
  <c r="BG100" i="75"/>
  <c r="BH100" i="75" s="1"/>
  <c r="BI100" i="75" s="1"/>
  <c r="BT100" i="77"/>
  <c r="BU100" i="77" s="1"/>
  <c r="BW100" i="77" s="1"/>
  <c r="BT100" i="75"/>
  <c r="BU100" i="75" s="1"/>
  <c r="BW100" i="75" s="1"/>
  <c r="AW100" i="77"/>
  <c r="AX100" i="77" s="1"/>
  <c r="AY100" i="77" s="1"/>
  <c r="BL100" i="77"/>
  <c r="BM100" i="77" s="1"/>
  <c r="BN100" i="77" s="1"/>
  <c r="AI101" i="77"/>
  <c r="AG101" i="76"/>
  <c r="AI101" i="75"/>
  <c r="AB103" i="74"/>
  <c r="AJ102" i="74"/>
  <c r="CC102" i="74"/>
  <c r="AV102" i="74"/>
  <c r="AP102" i="74"/>
  <c r="AF102" i="74"/>
  <c r="AG102" i="74" s="1"/>
  <c r="AE102" i="74"/>
  <c r="AC102" i="74"/>
  <c r="BE99" i="74"/>
  <c r="BU99" i="77"/>
  <c r="AU99" i="76"/>
  <c r="AS99" i="75"/>
  <c r="AS99" i="77"/>
  <c r="V101" i="77"/>
  <c r="AB101" i="77" s="1"/>
  <c r="T101" i="76"/>
  <c r="Z101" i="76" s="1"/>
  <c r="V101" i="75"/>
  <c r="AB101" i="75" s="1"/>
  <c r="AI101" i="74"/>
  <c r="BM99" i="75"/>
  <c r="BS99" i="77"/>
  <c r="AM101" i="76"/>
  <c r="S102" i="76"/>
  <c r="AX101" i="76"/>
  <c r="BH101" i="76"/>
  <c r="W101" i="76"/>
  <c r="V101" i="76"/>
  <c r="BC101" i="76"/>
  <c r="AS101" i="76"/>
  <c r="AN101" i="76"/>
  <c r="AT100" i="76"/>
  <c r="AU100" i="76" s="1"/>
  <c r="AV100" i="76" s="1"/>
  <c r="AW100" i="76" s="1"/>
  <c r="AH100" i="76"/>
  <c r="AI100" i="76" s="1"/>
  <c r="AJ100" i="76" s="1"/>
  <c r="AL100" i="76" s="1"/>
  <c r="BD100" i="76"/>
  <c r="BE100" i="76" s="1"/>
  <c r="BF100" i="76" s="1"/>
  <c r="BG100" i="76" s="1"/>
  <c r="BM100" i="76"/>
  <c r="BN100" i="76" s="1"/>
  <c r="BO100" i="76" s="1"/>
  <c r="AO100" i="76"/>
  <c r="AP100" i="76" s="1"/>
  <c r="AQ100" i="76" s="1"/>
  <c r="AR100" i="76" s="1"/>
  <c r="AC100" i="76"/>
  <c r="AD101" i="76" s="1"/>
  <c r="AY100" i="76"/>
  <c r="AZ100" i="76" s="1"/>
  <c r="BA100" i="76" s="1"/>
  <c r="BB100" i="76" s="1"/>
  <c r="BI100" i="76"/>
  <c r="BJ100" i="76" s="1"/>
  <c r="BK100" i="76" s="1"/>
  <c r="BL100" i="76" s="1"/>
  <c r="BM99" i="77"/>
  <c r="BJ99" i="74"/>
  <c r="BN99" i="76"/>
  <c r="BS99" i="75"/>
  <c r="U102" i="75"/>
  <c r="CL101" i="75"/>
  <c r="AU101" i="75"/>
  <c r="BE101" i="75"/>
  <c r="AG101" i="75"/>
  <c r="AP101" i="75"/>
  <c r="AO101" i="75"/>
  <c r="AZ101" i="75"/>
  <c r="CC101" i="75"/>
  <c r="BJ101" i="75"/>
  <c r="Y101" i="75"/>
  <c r="AJ99" i="76"/>
  <c r="CL102" i="77"/>
  <c r="AU99" i="74"/>
  <c r="AZ99" i="76"/>
  <c r="BS99" i="74"/>
  <c r="BD99" i="75"/>
  <c r="N106" i="74"/>
  <c r="L120" i="65" s="1"/>
  <c r="O105" i="74"/>
  <c r="M119" i="65" s="1"/>
  <c r="BI99" i="75"/>
  <c r="AQ101" i="74"/>
  <c r="AR101" i="74" s="1"/>
  <c r="AS101" i="74" s="1"/>
  <c r="AU101" i="74" s="1"/>
  <c r="BQ101" i="74"/>
  <c r="BR101" i="74" s="1"/>
  <c r="BS101" i="74" s="1"/>
  <c r="BC101" i="74"/>
  <c r="BD101" i="74" s="1"/>
  <c r="BE101" i="74" s="1"/>
  <c r="AL101" i="74"/>
  <c r="AM102" i="74" s="1"/>
  <c r="BM101" i="74"/>
  <c r="BN101" i="74" s="1"/>
  <c r="BO101" i="74" s="1"/>
  <c r="AX101" i="74"/>
  <c r="AY101" i="74" s="1"/>
  <c r="AZ101" i="74" s="1"/>
  <c r="BH101" i="74"/>
  <c r="BI101" i="74" s="1"/>
  <c r="BJ101" i="74" s="1"/>
  <c r="AX99" i="77"/>
  <c r="BW99" i="75"/>
  <c r="AD101" i="77"/>
  <c r="AB101" i="76"/>
  <c r="AD101" i="75"/>
  <c r="BD99" i="77"/>
  <c r="O104" i="76"/>
  <c r="N105" i="76"/>
  <c r="BO99" i="74"/>
  <c r="AZ99" i="74"/>
  <c r="BJ99" i="76"/>
  <c r="AL99" i="77"/>
  <c r="O104" i="77"/>
  <c r="N105" i="77"/>
  <c r="BI99" i="77"/>
  <c r="AP99" i="76"/>
  <c r="BE99" i="76"/>
  <c r="O104" i="75"/>
  <c r="N105" i="75"/>
  <c r="AO101" i="77"/>
  <c r="AZ101" i="77"/>
  <c r="BJ101" i="77"/>
  <c r="Y101" i="77"/>
  <c r="Z101" i="77" s="1"/>
  <c r="AU101" i="77"/>
  <c r="U102" i="77"/>
  <c r="AP101" i="77"/>
  <c r="CK101" i="77"/>
  <c r="BE101" i="77"/>
  <c r="CM102" i="75"/>
  <c r="AF102" i="77" l="1"/>
  <c r="AF102" i="75"/>
  <c r="AN102" i="74"/>
  <c r="BB101" i="75"/>
  <c r="BC101" i="75" s="1"/>
  <c r="BD101" i="75" s="1"/>
  <c r="AK101" i="75"/>
  <c r="AL101" i="75" s="1"/>
  <c r="AN101" i="75" s="1"/>
  <c r="AR101" i="75"/>
  <c r="AS101" i="75" s="1"/>
  <c r="AT101" i="75" s="1"/>
  <c r="AE101" i="76"/>
  <c r="AW101" i="77"/>
  <c r="AX101" i="77" s="1"/>
  <c r="AY101" i="77" s="1"/>
  <c r="BT101" i="75"/>
  <c r="BU101" i="75" s="1"/>
  <c r="BW101" i="75" s="1"/>
  <c r="AG101" i="77"/>
  <c r="BL101" i="77"/>
  <c r="BM101" i="77" s="1"/>
  <c r="BN101" i="77" s="1"/>
  <c r="AK101" i="77"/>
  <c r="AL101" i="77" s="1"/>
  <c r="AN101" i="77" s="1"/>
  <c r="BL101" i="75"/>
  <c r="BM101" i="75" s="1"/>
  <c r="BN101" i="75" s="1"/>
  <c r="AW101" i="75"/>
  <c r="AX101" i="75" s="1"/>
  <c r="AY101" i="75" s="1"/>
  <c r="AR101" i="77"/>
  <c r="AS101" i="77" s="1"/>
  <c r="AT101" i="77" s="1"/>
  <c r="AY99" i="75"/>
  <c r="BG101" i="77"/>
  <c r="BH101" i="77" s="1"/>
  <c r="BI101" i="77" s="1"/>
  <c r="Z101" i="75"/>
  <c r="BB101" i="77"/>
  <c r="BC101" i="77" s="1"/>
  <c r="BD101" i="77" s="1"/>
  <c r="BT101" i="77"/>
  <c r="BU101" i="77" s="1"/>
  <c r="BW101" i="77" s="1"/>
  <c r="BP101" i="75"/>
  <c r="BQ101" i="75" s="1"/>
  <c r="BS101" i="75" s="1"/>
  <c r="BG101" i="75"/>
  <c r="BH101" i="75" s="1"/>
  <c r="BI101" i="75" s="1"/>
  <c r="X101" i="76"/>
  <c r="AN99" i="77"/>
  <c r="BM102" i="74"/>
  <c r="BN102" i="74" s="1"/>
  <c r="BO102" i="74" s="1"/>
  <c r="AX102" i="74"/>
  <c r="AY102" i="74" s="1"/>
  <c r="AZ102" i="74" s="1"/>
  <c r="AQ102" i="74"/>
  <c r="AR102" i="74" s="1"/>
  <c r="AS102" i="74" s="1"/>
  <c r="AU102" i="74" s="1"/>
  <c r="BQ102" i="74"/>
  <c r="BR102" i="74" s="1"/>
  <c r="BS102" i="74" s="1"/>
  <c r="BC102" i="74"/>
  <c r="BD102" i="74" s="1"/>
  <c r="BE102" i="74" s="1"/>
  <c r="AL102" i="74"/>
  <c r="AM103" i="74" s="1"/>
  <c r="BH102" i="74"/>
  <c r="BI102" i="74" s="1"/>
  <c r="BJ102" i="74" s="1"/>
  <c r="BN99" i="77"/>
  <c r="U103" i="77"/>
  <c r="BE102" i="77"/>
  <c r="AG102" i="77"/>
  <c r="AP102" i="77"/>
  <c r="AO102" i="77"/>
  <c r="BJ102" i="77"/>
  <c r="AU102" i="77"/>
  <c r="CK102" i="77"/>
  <c r="AZ102" i="77"/>
  <c r="Y102" i="77"/>
  <c r="BF99" i="76"/>
  <c r="AV99" i="76"/>
  <c r="AI102" i="77"/>
  <c r="AG102" i="76"/>
  <c r="AI102" i="75"/>
  <c r="N107" i="74"/>
  <c r="L121" i="65" s="1"/>
  <c r="O106" i="74"/>
  <c r="M120" i="65" s="1"/>
  <c r="CL103" i="77"/>
  <c r="AD102" i="77"/>
  <c r="AB102" i="76"/>
  <c r="AD102" i="75"/>
  <c r="BC102" i="76"/>
  <c r="AN102" i="76"/>
  <c r="AM102" i="76"/>
  <c r="BH102" i="76"/>
  <c r="AS102" i="76"/>
  <c r="W102" i="76"/>
  <c r="X102" i="76" s="1"/>
  <c r="S103" i="76"/>
  <c r="V102" i="76"/>
  <c r="AX102" i="76"/>
  <c r="AL99" i="76"/>
  <c r="AT99" i="77"/>
  <c r="AP103" i="74"/>
  <c r="CC103" i="74"/>
  <c r="AV103" i="74"/>
  <c r="AB104" i="74"/>
  <c r="AJ103" i="74"/>
  <c r="AF103" i="74"/>
  <c r="AE103" i="74"/>
  <c r="AC103" i="74"/>
  <c r="AQ99" i="76"/>
  <c r="CM103" i="75"/>
  <c r="N106" i="76"/>
  <c r="O105" i="76"/>
  <c r="U103" i="75"/>
  <c r="CL102" i="75"/>
  <c r="AU102" i="75"/>
  <c r="BE102" i="75"/>
  <c r="AG102" i="75"/>
  <c r="AP102" i="75"/>
  <c r="AO102" i="75"/>
  <c r="AZ102" i="75"/>
  <c r="CC102" i="75"/>
  <c r="BJ102" i="75"/>
  <c r="Y102" i="75"/>
  <c r="BK99" i="76"/>
  <c r="BW99" i="77"/>
  <c r="O105" i="75"/>
  <c r="N106" i="75"/>
  <c r="O105" i="77"/>
  <c r="N106" i="77"/>
  <c r="AY99" i="77"/>
  <c r="AY101" i="76"/>
  <c r="AZ101" i="76" s="1"/>
  <c r="BA101" i="76" s="1"/>
  <c r="BB101" i="76" s="1"/>
  <c r="BI101" i="76"/>
  <c r="BJ101" i="76" s="1"/>
  <c r="BK101" i="76" s="1"/>
  <c r="BL101" i="76" s="1"/>
  <c r="AT101" i="76"/>
  <c r="AU101" i="76" s="1"/>
  <c r="AV101" i="76" s="1"/>
  <c r="AW101" i="76" s="1"/>
  <c r="AH101" i="76"/>
  <c r="AI101" i="76" s="1"/>
  <c r="AJ101" i="76" s="1"/>
  <c r="AL101" i="76" s="1"/>
  <c r="BD101" i="76"/>
  <c r="BE101" i="76" s="1"/>
  <c r="BF101" i="76" s="1"/>
  <c r="BG101" i="76" s="1"/>
  <c r="AO101" i="76"/>
  <c r="AP101" i="76" s="1"/>
  <c r="AQ101" i="76" s="1"/>
  <c r="AR101" i="76" s="1"/>
  <c r="BM101" i="76"/>
  <c r="BN101" i="76" s="1"/>
  <c r="BO101" i="76" s="1"/>
  <c r="AC101" i="76"/>
  <c r="AD102" i="76" s="1"/>
  <c r="BA99" i="76"/>
  <c r="AT99" i="75"/>
  <c r="V102" i="77"/>
  <c r="AB102" i="77" s="1"/>
  <c r="T102" i="76"/>
  <c r="Z102" i="76" s="1"/>
  <c r="V102" i="75"/>
  <c r="AB102" i="75" s="1"/>
  <c r="AI102" i="74"/>
  <c r="BO99" i="76"/>
  <c r="BN99" i="75"/>
  <c r="AF103" i="75" l="1"/>
  <c r="AF103" i="77"/>
  <c r="AE102" i="76"/>
  <c r="BT102" i="75"/>
  <c r="BU102" i="75" s="1"/>
  <c r="BW102" i="75" s="1"/>
  <c r="BP102" i="75"/>
  <c r="BQ102" i="75" s="1"/>
  <c r="BS102" i="75" s="1"/>
  <c r="BB102" i="77"/>
  <c r="BC102" i="77" s="1"/>
  <c r="BD102" i="77" s="1"/>
  <c r="BB102" i="75"/>
  <c r="BC102" i="75" s="1"/>
  <c r="BD102" i="75" s="1"/>
  <c r="AK102" i="77"/>
  <c r="AL102" i="77" s="1"/>
  <c r="AN102" i="77" s="1"/>
  <c r="AG103" i="74"/>
  <c r="BG102" i="77"/>
  <c r="BH102" i="77" s="1"/>
  <c r="BI102" i="77" s="1"/>
  <c r="BL102" i="77"/>
  <c r="BM102" i="77" s="1"/>
  <c r="BN102" i="77" s="1"/>
  <c r="AR102" i="77"/>
  <c r="AS102" i="77" s="1"/>
  <c r="AT102" i="77" s="1"/>
  <c r="AK102" i="75"/>
  <c r="AL102" i="75" s="1"/>
  <c r="AN102" i="75" s="1"/>
  <c r="BP102" i="77"/>
  <c r="BQ102" i="77" s="1"/>
  <c r="BS102" i="77" s="1"/>
  <c r="AW102" i="75"/>
  <c r="AX102" i="75" s="1"/>
  <c r="AY102" i="75" s="1"/>
  <c r="BL102" i="75"/>
  <c r="BM102" i="75" s="1"/>
  <c r="BN102" i="75" s="1"/>
  <c r="AR102" i="75"/>
  <c r="AS102" i="75" s="1"/>
  <c r="AT102" i="75" s="1"/>
  <c r="Z102" i="75"/>
  <c r="AW102" i="77"/>
  <c r="AX102" i="77" s="1"/>
  <c r="AY102" i="77" s="1"/>
  <c r="BT102" i="77"/>
  <c r="BU102" i="77" s="1"/>
  <c r="BW102" i="77" s="1"/>
  <c r="BG102" i="75"/>
  <c r="BH102" i="75" s="1"/>
  <c r="BI102" i="75" s="1"/>
  <c r="Z102" i="77"/>
  <c r="N107" i="76"/>
  <c r="O106" i="76"/>
  <c r="AD103" i="77"/>
  <c r="AB103" i="76"/>
  <c r="AD103" i="75"/>
  <c r="N107" i="77"/>
  <c r="O106" i="77"/>
  <c r="AR99" i="76"/>
  <c r="BH103" i="76"/>
  <c r="W103" i="76"/>
  <c r="V103" i="76"/>
  <c r="AS103" i="76"/>
  <c r="AN103" i="76"/>
  <c r="AM103" i="76"/>
  <c r="BC103" i="76"/>
  <c r="S104" i="76"/>
  <c r="AX103" i="76"/>
  <c r="BG99" i="76"/>
  <c r="CK103" i="77"/>
  <c r="U104" i="77"/>
  <c r="BE103" i="77"/>
  <c r="AP103" i="77"/>
  <c r="AZ103" i="77"/>
  <c r="Y103" i="77"/>
  <c r="AU103" i="77"/>
  <c r="BJ103" i="77"/>
  <c r="AG103" i="77"/>
  <c r="AO103" i="77"/>
  <c r="BL99" i="76"/>
  <c r="AI103" i="77"/>
  <c r="AG103" i="76"/>
  <c r="AI103" i="75"/>
  <c r="CC104" i="74"/>
  <c r="AV104" i="74"/>
  <c r="AV117" i="74" s="1"/>
  <c r="AF104" i="74"/>
  <c r="AF117" i="74" s="1"/>
  <c r="AC104" i="74"/>
  <c r="AC117" i="74" s="1"/>
  <c r="AJ104" i="74"/>
  <c r="AJ117" i="74" s="1"/>
  <c r="AE104" i="74"/>
  <c r="AE117" i="74" s="1"/>
  <c r="AB105" i="74"/>
  <c r="AP104" i="74"/>
  <c r="AP117" i="74" s="1"/>
  <c r="CL104" i="77"/>
  <c r="BB99" i="76"/>
  <c r="O106" i="75"/>
  <c r="N107" i="75"/>
  <c r="U104" i="75"/>
  <c r="CL103" i="75"/>
  <c r="AU103" i="75"/>
  <c r="BE103" i="75"/>
  <c r="AG103" i="75"/>
  <c r="AP103" i="75"/>
  <c r="AO103" i="75"/>
  <c r="AZ103" i="75"/>
  <c r="CC103" i="75"/>
  <c r="BJ103" i="75"/>
  <c r="Y103" i="75"/>
  <c r="V103" i="77"/>
  <c r="AB103" i="77" s="1"/>
  <c r="T103" i="76"/>
  <c r="Z103" i="76" s="1"/>
  <c r="V103" i="75"/>
  <c r="AB103" i="75" s="1"/>
  <c r="AI103" i="74"/>
  <c r="CM104" i="75"/>
  <c r="AW99" i="76"/>
  <c r="BD102" i="76"/>
  <c r="BE102" i="76" s="1"/>
  <c r="BF102" i="76" s="1"/>
  <c r="BG102" i="76" s="1"/>
  <c r="BM102" i="76"/>
  <c r="BN102" i="76" s="1"/>
  <c r="BO102" i="76" s="1"/>
  <c r="AO102" i="76"/>
  <c r="AP102" i="76" s="1"/>
  <c r="AQ102" i="76" s="1"/>
  <c r="AR102" i="76" s="1"/>
  <c r="AC102" i="76"/>
  <c r="AD103" i="76" s="1"/>
  <c r="AY102" i="76"/>
  <c r="AZ102" i="76" s="1"/>
  <c r="BA102" i="76" s="1"/>
  <c r="BB102" i="76" s="1"/>
  <c r="BI102" i="76"/>
  <c r="BJ102" i="76" s="1"/>
  <c r="BK102" i="76" s="1"/>
  <c r="BL102" i="76" s="1"/>
  <c r="AT102" i="76"/>
  <c r="AU102" i="76" s="1"/>
  <c r="AV102" i="76" s="1"/>
  <c r="AW102" i="76" s="1"/>
  <c r="AH102" i="76"/>
  <c r="AI102" i="76" s="1"/>
  <c r="AJ102" i="76" s="1"/>
  <c r="AL102" i="76" s="1"/>
  <c r="BQ103" i="74"/>
  <c r="BR103" i="74" s="1"/>
  <c r="BS103" i="74" s="1"/>
  <c r="BC103" i="74"/>
  <c r="BD103" i="74" s="1"/>
  <c r="BE103" i="74" s="1"/>
  <c r="AQ103" i="74"/>
  <c r="AR103" i="74" s="1"/>
  <c r="AS103" i="74" s="1"/>
  <c r="AU103" i="74" s="1"/>
  <c r="AL103" i="74"/>
  <c r="AM104" i="74" s="1"/>
  <c r="BM103" i="74"/>
  <c r="BN103" i="74" s="1"/>
  <c r="BO103" i="74" s="1"/>
  <c r="BH103" i="74"/>
  <c r="BI103" i="74" s="1"/>
  <c r="BJ103" i="74" s="1"/>
  <c r="AX103" i="74"/>
  <c r="AY103" i="74" s="1"/>
  <c r="AZ103" i="74" s="1"/>
  <c r="X107" i="74"/>
  <c r="N108" i="74"/>
  <c r="L122" i="65" s="1"/>
  <c r="S107" i="74"/>
  <c r="Q121" i="65" s="1"/>
  <c r="Q107" i="74"/>
  <c r="O121" i="65" s="1"/>
  <c r="P107" i="74"/>
  <c r="N121" i="65" s="1"/>
  <c r="O107" i="74"/>
  <c r="M121" i="65" s="1"/>
  <c r="R107" i="74"/>
  <c r="Z107" i="74"/>
  <c r="Y107" i="74"/>
  <c r="AF104" i="77" l="1"/>
  <c r="CD105" i="74"/>
  <c r="AM105" i="74"/>
  <c r="AF104" i="75"/>
  <c r="AN104" i="74"/>
  <c r="AE103" i="76"/>
  <c r="AN103" i="74"/>
  <c r="P121" i="65"/>
  <c r="BP103" i="77"/>
  <c r="BQ103" i="77" s="1"/>
  <c r="BS103" i="77" s="1"/>
  <c r="BL103" i="77"/>
  <c r="BM103" i="77" s="1"/>
  <c r="BN103" i="77" s="1"/>
  <c r="AW103" i="75"/>
  <c r="AX103" i="75" s="1"/>
  <c r="AY103" i="75" s="1"/>
  <c r="Z103" i="75"/>
  <c r="AM117" i="74"/>
  <c r="BL103" i="75"/>
  <c r="BM103" i="75" s="1"/>
  <c r="BN103" i="75" s="1"/>
  <c r="AR103" i="75"/>
  <c r="AS103" i="75" s="1"/>
  <c r="AT103" i="75" s="1"/>
  <c r="AK103" i="77"/>
  <c r="AL103" i="77" s="1"/>
  <c r="AN103" i="77" s="1"/>
  <c r="AW103" i="77"/>
  <c r="AX103" i="77" s="1"/>
  <c r="AY103" i="77" s="1"/>
  <c r="BB103" i="77"/>
  <c r="BC103" i="77" s="1"/>
  <c r="BD103" i="77" s="1"/>
  <c r="BP103" i="75"/>
  <c r="BQ103" i="75" s="1"/>
  <c r="BS103" i="75" s="1"/>
  <c r="BG103" i="75"/>
  <c r="BH103" i="75" s="1"/>
  <c r="BI103" i="75" s="1"/>
  <c r="AG104" i="74"/>
  <c r="BT103" i="75"/>
  <c r="BU103" i="75" s="1"/>
  <c r="BW103" i="75" s="1"/>
  <c r="AR103" i="77"/>
  <c r="AS103" i="77" s="1"/>
  <c r="AT103" i="77" s="1"/>
  <c r="BT103" i="77"/>
  <c r="BU103" i="77" s="1"/>
  <c r="BW103" i="77" s="1"/>
  <c r="BG103" i="77"/>
  <c r="BH103" i="77" s="1"/>
  <c r="BI103" i="77" s="1"/>
  <c r="Z103" i="77"/>
  <c r="X103" i="76"/>
  <c r="BB103" i="75"/>
  <c r="BC103" i="75" s="1"/>
  <c r="BD103" i="75" s="1"/>
  <c r="AK103" i="75"/>
  <c r="AL103" i="75" s="1"/>
  <c r="AN103" i="75" s="1"/>
  <c r="CL104" i="75"/>
  <c r="AU104" i="75"/>
  <c r="AU117" i="75" s="1"/>
  <c r="U105" i="75"/>
  <c r="BE104" i="75"/>
  <c r="BE117" i="75" s="1"/>
  <c r="AF117" i="75"/>
  <c r="AP104" i="75"/>
  <c r="AP117" i="75" s="1"/>
  <c r="AO104" i="75"/>
  <c r="AO117" i="75" s="1"/>
  <c r="AZ104" i="75"/>
  <c r="AZ117" i="75" s="1"/>
  <c r="CC104" i="75"/>
  <c r="BJ104" i="75"/>
  <c r="BJ117" i="75" s="1"/>
  <c r="Y104" i="75"/>
  <c r="Y117" i="75" s="1"/>
  <c r="N108" i="76"/>
  <c r="Q107" i="76"/>
  <c r="P107" i="76"/>
  <c r="O107" i="76"/>
  <c r="AN104" i="76"/>
  <c r="AN117" i="76" s="1"/>
  <c r="AM104" i="76"/>
  <c r="AM117" i="76" s="1"/>
  <c r="AX104" i="76"/>
  <c r="AX117" i="76" s="1"/>
  <c r="S105" i="76"/>
  <c r="W104" i="76"/>
  <c r="W117" i="76" s="1"/>
  <c r="V104" i="76"/>
  <c r="V117" i="76" s="1"/>
  <c r="BP104" i="76"/>
  <c r="BH104" i="76"/>
  <c r="BH117" i="76" s="1"/>
  <c r="BC104" i="76"/>
  <c r="BC117" i="76" s="1"/>
  <c r="AS104" i="76"/>
  <c r="AS117" i="76" s="1"/>
  <c r="AU104" i="77"/>
  <c r="AU117" i="77" s="1"/>
  <c r="CK104" i="77"/>
  <c r="AF117" i="77"/>
  <c r="AO104" i="77"/>
  <c r="AO117" i="77" s="1"/>
  <c r="AZ104" i="77"/>
  <c r="AZ117" i="77" s="1"/>
  <c r="BJ104" i="77"/>
  <c r="BJ117" i="77" s="1"/>
  <c r="Y104" i="77"/>
  <c r="Y117" i="77" s="1"/>
  <c r="AP104" i="77"/>
  <c r="AP117" i="77" s="1"/>
  <c r="BE104" i="77"/>
  <c r="BE117" i="77" s="1"/>
  <c r="U105" i="77"/>
  <c r="CH105" i="74"/>
  <c r="AO105" i="74"/>
  <c r="CG105" i="74"/>
  <c r="BP105" i="74"/>
  <c r="BA105" i="74"/>
  <c r="AN105" i="74"/>
  <c r="CF105" i="74"/>
  <c r="BO105" i="74"/>
  <c r="AZ105" i="74"/>
  <c r="CE105" i="74"/>
  <c r="BN105" i="74"/>
  <c r="AY105" i="74"/>
  <c r="CC105" i="74"/>
  <c r="BK105" i="74"/>
  <c r="AV105" i="74"/>
  <c r="BZ105" i="74"/>
  <c r="BI105" i="74"/>
  <c r="AT105" i="74"/>
  <c r="AG105" i="74"/>
  <c r="BU105" i="74"/>
  <c r="AS105" i="74"/>
  <c r="AF105" i="74"/>
  <c r="BT105" i="74"/>
  <c r="BF105" i="74"/>
  <c r="AR105" i="74"/>
  <c r="AE105" i="74"/>
  <c r="CJ105" i="74"/>
  <c r="CI105" i="74"/>
  <c r="AP105" i="74"/>
  <c r="AJ105" i="74"/>
  <c r="AH105" i="74"/>
  <c r="BS105" i="74"/>
  <c r="AC105" i="74"/>
  <c r="BR105" i="74"/>
  <c r="AB106" i="74"/>
  <c r="BJ105" i="74"/>
  <c r="BE105" i="74"/>
  <c r="BD105" i="74"/>
  <c r="AU105" i="74"/>
  <c r="BI103" i="76"/>
  <c r="BJ103" i="76" s="1"/>
  <c r="BK103" i="76" s="1"/>
  <c r="BL103" i="76" s="1"/>
  <c r="AT103" i="76"/>
  <c r="AU103" i="76" s="1"/>
  <c r="AV103" i="76" s="1"/>
  <c r="AW103" i="76" s="1"/>
  <c r="AH103" i="76"/>
  <c r="AI103" i="76" s="1"/>
  <c r="AJ103" i="76" s="1"/>
  <c r="AL103" i="76" s="1"/>
  <c r="BD103" i="76"/>
  <c r="BE103" i="76" s="1"/>
  <c r="BF103" i="76" s="1"/>
  <c r="BG103" i="76" s="1"/>
  <c r="BM103" i="76"/>
  <c r="BN103" i="76" s="1"/>
  <c r="BO103" i="76" s="1"/>
  <c r="AO103" i="76"/>
  <c r="AP103" i="76" s="1"/>
  <c r="AQ103" i="76" s="1"/>
  <c r="AR103" i="76" s="1"/>
  <c r="AC103" i="76"/>
  <c r="AD104" i="76" s="1"/>
  <c r="AY103" i="76"/>
  <c r="AZ103" i="76" s="1"/>
  <c r="BA103" i="76" s="1"/>
  <c r="BB103" i="76" s="1"/>
  <c r="BH104" i="74"/>
  <c r="AQ104" i="74"/>
  <c r="AQ117" i="74" s="1"/>
  <c r="BQ104" i="74"/>
  <c r="BQ117" i="74" s="1"/>
  <c r="BC104" i="74"/>
  <c r="AL104" i="74"/>
  <c r="AL117" i="74" s="1"/>
  <c r="BM104" i="74"/>
  <c r="BM117" i="74" s="1"/>
  <c r="AX104" i="74"/>
  <c r="AX117" i="74" s="1"/>
  <c r="CM105" i="75"/>
  <c r="S107" i="75"/>
  <c r="W107" i="74" s="1"/>
  <c r="U121" i="65" s="1"/>
  <c r="R107" i="75"/>
  <c r="V107" i="74" s="1"/>
  <c r="T121" i="65" s="1"/>
  <c r="Q107" i="75"/>
  <c r="U107" i="74" s="1"/>
  <c r="S121" i="65" s="1"/>
  <c r="P107" i="75"/>
  <c r="T107" i="74" s="1"/>
  <c r="R121" i="65" s="1"/>
  <c r="O107" i="75"/>
  <c r="N108" i="75"/>
  <c r="AD104" i="77"/>
  <c r="AD117" i="77" s="1"/>
  <c r="AB104" i="76"/>
  <c r="AB117" i="76" s="1"/>
  <c r="AD104" i="75"/>
  <c r="AD117" i="75" s="1"/>
  <c r="R107" i="77"/>
  <c r="Q107" i="77"/>
  <c r="O107" i="77"/>
  <c r="S107" i="77"/>
  <c r="P107" i="77"/>
  <c r="N108" i="77"/>
  <c r="Q108" i="74"/>
  <c r="O122" i="65" s="1"/>
  <c r="P108" i="74"/>
  <c r="N122" i="65" s="1"/>
  <c r="O108" i="74"/>
  <c r="M122" i="65" s="1"/>
  <c r="Z108" i="74"/>
  <c r="Y108" i="74"/>
  <c r="X108" i="74"/>
  <c r="N109" i="74"/>
  <c r="L123" i="65" s="1"/>
  <c r="S108" i="74"/>
  <c r="Q122" i="65" s="1"/>
  <c r="R108" i="74"/>
  <c r="CL105" i="77"/>
  <c r="AI104" i="77"/>
  <c r="AI117" i="77" s="1"/>
  <c r="AG104" i="76"/>
  <c r="AG117" i="76" s="1"/>
  <c r="AI104" i="75"/>
  <c r="AI117" i="75" s="1"/>
  <c r="V104" i="77"/>
  <c r="T104" i="76"/>
  <c r="V104" i="75"/>
  <c r="AI104" i="74"/>
  <c r="AI117" i="74" s="1"/>
  <c r="CD105" i="75" l="1"/>
  <c r="AF105" i="75"/>
  <c r="AF105" i="77"/>
  <c r="CC105" i="77"/>
  <c r="AM106" i="74"/>
  <c r="CD106" i="74"/>
  <c r="CB105" i="76"/>
  <c r="AD105" i="76"/>
  <c r="Z104" i="75"/>
  <c r="K22" i="75" s="1"/>
  <c r="BP104" i="77"/>
  <c r="BP117" i="77" s="1"/>
  <c r="AG104" i="77"/>
  <c r="AG117" i="77" s="1"/>
  <c r="P122" i="65"/>
  <c r="BL104" i="75"/>
  <c r="BL117" i="75" s="1"/>
  <c r="BG104" i="77"/>
  <c r="BG117" i="77" s="1"/>
  <c r="BB104" i="77"/>
  <c r="BT104" i="77"/>
  <c r="BB104" i="75"/>
  <c r="BB117" i="75" s="1"/>
  <c r="Z104" i="77"/>
  <c r="K22" i="77" s="1"/>
  <c r="AR104" i="75"/>
  <c r="AR117" i="75" s="1"/>
  <c r="X104" i="76"/>
  <c r="K22" i="76" s="1"/>
  <c r="BP104" i="75"/>
  <c r="BP117" i="75" s="1"/>
  <c r="BL104" i="77"/>
  <c r="BL117" i="77" s="1"/>
  <c r="AD117" i="76"/>
  <c r="AE104" i="76"/>
  <c r="BH117" i="74"/>
  <c r="BI104" i="74"/>
  <c r="K28" i="74"/>
  <c r="AN117" i="74"/>
  <c r="BR104" i="74"/>
  <c r="BG104" i="75"/>
  <c r="AR104" i="77"/>
  <c r="AG104" i="75"/>
  <c r="BT104" i="75"/>
  <c r="AW104" i="77"/>
  <c r="AK104" i="75"/>
  <c r="AY104" i="74"/>
  <c r="AG117" i="74"/>
  <c r="K22" i="74"/>
  <c r="CA105" i="74"/>
  <c r="AW104" i="75"/>
  <c r="BN104" i="74"/>
  <c r="AK104" i="77"/>
  <c r="AR104" i="74"/>
  <c r="AB104" i="75"/>
  <c r="AB117" i="75" s="1"/>
  <c r="V117" i="75"/>
  <c r="Z104" i="76"/>
  <c r="Z117" i="76" s="1"/>
  <c r="T117" i="76"/>
  <c r="BC117" i="74"/>
  <c r="BD104" i="74"/>
  <c r="AB104" i="77"/>
  <c r="AB117" i="77" s="1"/>
  <c r="V117" i="77"/>
  <c r="BZ106" i="74"/>
  <c r="BI106" i="74"/>
  <c r="AT106" i="74"/>
  <c r="AG106" i="74"/>
  <c r="BU106" i="74"/>
  <c r="AS106" i="74"/>
  <c r="AF106" i="74"/>
  <c r="BT106" i="74"/>
  <c r="BF106" i="74"/>
  <c r="AR106" i="74"/>
  <c r="AE106" i="74"/>
  <c r="CJ106" i="74"/>
  <c r="BS106" i="74"/>
  <c r="BE106" i="74"/>
  <c r="AC106" i="74"/>
  <c r="CI106" i="74"/>
  <c r="CH106" i="74"/>
  <c r="AO106" i="74"/>
  <c r="CF106" i="74"/>
  <c r="BO106" i="74"/>
  <c r="AZ106" i="74"/>
  <c r="CE106" i="74"/>
  <c r="BN106" i="74"/>
  <c r="AY106" i="74"/>
  <c r="AB107" i="74"/>
  <c r="AJ106" i="74"/>
  <c r="AV106" i="74"/>
  <c r="AU106" i="74"/>
  <c r="AP106" i="74"/>
  <c r="CG106" i="74"/>
  <c r="AN106" i="74"/>
  <c r="CC106" i="74"/>
  <c r="AH106" i="74"/>
  <c r="BR106" i="74"/>
  <c r="BP106" i="74"/>
  <c r="BK106" i="74"/>
  <c r="BJ106" i="74"/>
  <c r="BD106" i="74"/>
  <c r="BA106" i="74"/>
  <c r="S108" i="75"/>
  <c r="W108" i="74" s="1"/>
  <c r="U122" i="65" s="1"/>
  <c r="R108" i="75"/>
  <c r="V108" i="74" s="1"/>
  <c r="T122" i="65" s="1"/>
  <c r="Q108" i="75"/>
  <c r="U108" i="74" s="1"/>
  <c r="S122" i="65" s="1"/>
  <c r="P108" i="75"/>
  <c r="T108" i="74" s="1"/>
  <c r="R122" i="65" s="1"/>
  <c r="O108" i="75"/>
  <c r="N109" i="75"/>
  <c r="V105" i="77"/>
  <c r="AB105" i="77" s="1"/>
  <c r="T105" i="76"/>
  <c r="Z105" i="76" s="1"/>
  <c r="V105" i="75"/>
  <c r="AB105" i="75" s="1"/>
  <c r="AI105" i="74"/>
  <c r="BU105" i="75"/>
  <c r="BH105" i="75"/>
  <c r="CL105" i="75"/>
  <c r="CO105" i="75" s="1"/>
  <c r="BT105" i="75"/>
  <c r="BG105" i="75"/>
  <c r="AU105" i="75"/>
  <c r="U106" i="75"/>
  <c r="CJ105" i="75"/>
  <c r="BS105" i="75"/>
  <c r="AT105" i="75"/>
  <c r="AH105" i="75"/>
  <c r="CI105" i="75"/>
  <c r="BQ105" i="75"/>
  <c r="BE105" i="75"/>
  <c r="AS105" i="75"/>
  <c r="AG105" i="75"/>
  <c r="CH105" i="75"/>
  <c r="BP105" i="75"/>
  <c r="BD105" i="75"/>
  <c r="AR105" i="75"/>
  <c r="CG105" i="75"/>
  <c r="BC105" i="75"/>
  <c r="CF105" i="75"/>
  <c r="BN105" i="75"/>
  <c r="BB105" i="75"/>
  <c r="AP105" i="75"/>
  <c r="CE105" i="75"/>
  <c r="BM105" i="75"/>
  <c r="AO105" i="75"/>
  <c r="BL105" i="75"/>
  <c r="AZ105" i="75"/>
  <c r="AN105" i="75"/>
  <c r="CC105" i="75"/>
  <c r="AY105" i="75"/>
  <c r="AM105" i="75"/>
  <c r="AA105" i="75"/>
  <c r="AW105" i="75"/>
  <c r="BX105" i="75"/>
  <c r="AL105" i="75"/>
  <c r="BW105" i="75"/>
  <c r="AK105" i="75"/>
  <c r="BJ105" i="75"/>
  <c r="BI105" i="75"/>
  <c r="Z105" i="75"/>
  <c r="Y105" i="75"/>
  <c r="AX105" i="75"/>
  <c r="BQ105" i="74"/>
  <c r="BC105" i="74"/>
  <c r="AL105" i="74"/>
  <c r="BH105" i="74"/>
  <c r="AQ105" i="74"/>
  <c r="BM105" i="74"/>
  <c r="AX105" i="74"/>
  <c r="N109" i="77"/>
  <c r="S108" i="77"/>
  <c r="R108" i="77"/>
  <c r="P108" i="77"/>
  <c r="O108" i="77"/>
  <c r="Q108" i="77"/>
  <c r="CD105" i="76"/>
  <c r="BJ105" i="76"/>
  <c r="AX105" i="76"/>
  <c r="AL105" i="76"/>
  <c r="CC105" i="76"/>
  <c r="AW105" i="76"/>
  <c r="AK105" i="76"/>
  <c r="Y105" i="76"/>
  <c r="BH105" i="76"/>
  <c r="AV105" i="76"/>
  <c r="AJ105" i="76"/>
  <c r="X105" i="76"/>
  <c r="S106" i="76"/>
  <c r="BW105" i="76"/>
  <c r="BG105" i="76"/>
  <c r="AU105" i="76"/>
  <c r="AI105" i="76"/>
  <c r="W105" i="76"/>
  <c r="BV105" i="76"/>
  <c r="BF105" i="76"/>
  <c r="V105" i="76"/>
  <c r="BQ105" i="76"/>
  <c r="BE105" i="76"/>
  <c r="AS105" i="76"/>
  <c r="BP105" i="76"/>
  <c r="AR105" i="76"/>
  <c r="AF105" i="76"/>
  <c r="BO105" i="76"/>
  <c r="BC105" i="76"/>
  <c r="AQ105" i="76"/>
  <c r="AE105" i="76"/>
  <c r="CH105" i="76"/>
  <c r="BN105" i="76"/>
  <c r="BB105" i="76"/>
  <c r="AP105" i="76"/>
  <c r="BA105" i="76"/>
  <c r="AZ105" i="76"/>
  <c r="AN105" i="76"/>
  <c r="AM105" i="76"/>
  <c r="CG105" i="76"/>
  <c r="CF105" i="76"/>
  <c r="CE105" i="76"/>
  <c r="BL105" i="76"/>
  <c r="BK105" i="76"/>
  <c r="AD105" i="77"/>
  <c r="AB105" i="76"/>
  <c r="AD105" i="75"/>
  <c r="CO105" i="77"/>
  <c r="CL106" i="77"/>
  <c r="N109" i="76"/>
  <c r="Q108" i="76"/>
  <c r="P108" i="76"/>
  <c r="O108" i="76"/>
  <c r="AI105" i="77"/>
  <c r="AG105" i="76"/>
  <c r="AI105" i="75"/>
  <c r="CM106" i="75"/>
  <c r="CP105" i="75"/>
  <c r="BM104" i="76"/>
  <c r="BM117" i="76" s="1"/>
  <c r="AO104" i="76"/>
  <c r="AO117" i="76" s="1"/>
  <c r="AC104" i="76"/>
  <c r="AC117" i="76" s="1"/>
  <c r="AY104" i="76"/>
  <c r="AY117" i="76" s="1"/>
  <c r="BI104" i="76"/>
  <c r="BI117" i="76" s="1"/>
  <c r="AT104" i="76"/>
  <c r="AH104" i="76"/>
  <c r="AH117" i="76" s="1"/>
  <c r="BD104" i="76"/>
  <c r="BD117" i="76" s="1"/>
  <c r="N110" i="74"/>
  <c r="L124" i="65" s="1"/>
  <c r="S109" i="74"/>
  <c r="Q123" i="65" s="1"/>
  <c r="R109" i="74"/>
  <c r="Q109" i="74"/>
  <c r="O123" i="65" s="1"/>
  <c r="O109" i="74"/>
  <c r="M123" i="65" s="1"/>
  <c r="Z109" i="74"/>
  <c r="Y109" i="74"/>
  <c r="X109" i="74"/>
  <c r="P109" i="74"/>
  <c r="N123" i="65" s="1"/>
  <c r="BU105" i="77"/>
  <c r="BH105" i="77"/>
  <c r="BT105" i="77"/>
  <c r="BG105" i="77"/>
  <c r="AU105" i="77"/>
  <c r="U106" i="77"/>
  <c r="CI105" i="77"/>
  <c r="CM105" i="77" s="1"/>
  <c r="BQ105" i="77"/>
  <c r="BE105" i="77"/>
  <c r="AS105" i="77"/>
  <c r="AG105" i="77"/>
  <c r="CH105" i="77"/>
  <c r="BP105" i="77"/>
  <c r="BD105" i="77"/>
  <c r="AR105" i="77"/>
  <c r="CF105" i="77"/>
  <c r="BN105" i="77"/>
  <c r="BB105" i="77"/>
  <c r="AP105" i="77"/>
  <c r="CE105" i="77"/>
  <c r="BM105" i="77"/>
  <c r="AO105" i="77"/>
  <c r="AY105" i="77"/>
  <c r="AM105" i="77"/>
  <c r="AA105" i="77"/>
  <c r="CK105" i="77"/>
  <c r="CN105" i="77" s="1"/>
  <c r="BC105" i="77"/>
  <c r="AH105" i="77"/>
  <c r="CG105" i="77"/>
  <c r="CD105" i="77"/>
  <c r="AZ105" i="77"/>
  <c r="BX105" i="77"/>
  <c r="AX105" i="77"/>
  <c r="Z105" i="77"/>
  <c r="BW105" i="77"/>
  <c r="AW105" i="77"/>
  <c r="Y105" i="77"/>
  <c r="BS105" i="77"/>
  <c r="BL105" i="77"/>
  <c r="AN105" i="77"/>
  <c r="AK105" i="77"/>
  <c r="BJ105" i="77"/>
  <c r="BI105" i="77"/>
  <c r="AT105" i="77"/>
  <c r="AL105" i="77"/>
  <c r="CC106" i="77" l="1"/>
  <c r="AF106" i="77"/>
  <c r="CD106" i="75"/>
  <c r="AF106" i="75"/>
  <c r="CB106" i="76"/>
  <c r="AD106" i="76"/>
  <c r="CD107" i="74"/>
  <c r="AM107" i="74"/>
  <c r="BQ104" i="77"/>
  <c r="BQ117" i="77" s="1"/>
  <c r="BM104" i="77"/>
  <c r="BM117" i="77" s="1"/>
  <c r="Z117" i="75"/>
  <c r="K28" i="77"/>
  <c r="X117" i="76"/>
  <c r="CN105" i="75"/>
  <c r="AB113" i="64"/>
  <c r="AS104" i="75"/>
  <c r="AS117" i="75" s="1"/>
  <c r="BH104" i="77"/>
  <c r="BI104" i="77" s="1"/>
  <c r="BI117" i="77" s="1"/>
  <c r="BM104" i="75"/>
  <c r="BM117" i="75" s="1"/>
  <c r="BC104" i="75"/>
  <c r="BC117" i="75" s="1"/>
  <c r="P123" i="65"/>
  <c r="BQ104" i="75"/>
  <c r="BQ117" i="75" s="1"/>
  <c r="Z117" i="77"/>
  <c r="BT117" i="77"/>
  <c r="BU104" i="77"/>
  <c r="BB117" i="77"/>
  <c r="BC104" i="77"/>
  <c r="AK117" i="75"/>
  <c r="AL104" i="75"/>
  <c r="AW117" i="75"/>
  <c r="AX104" i="75"/>
  <c r="AR117" i="74"/>
  <c r="AS104" i="74"/>
  <c r="BE104" i="76"/>
  <c r="BG117" i="75"/>
  <c r="BH104" i="75"/>
  <c r="AT117" i="76"/>
  <c r="AU104" i="76"/>
  <c r="BN104" i="76"/>
  <c r="K34" i="75"/>
  <c r="K19" i="75"/>
  <c r="AE117" i="76"/>
  <c r="K28" i="76"/>
  <c r="K19" i="76"/>
  <c r="K34" i="76"/>
  <c r="AZ104" i="76"/>
  <c r="K19" i="77"/>
  <c r="K34" i="77"/>
  <c r="AK117" i="77"/>
  <c r="AL104" i="77"/>
  <c r="K34" i="74"/>
  <c r="K19" i="74"/>
  <c r="BR117" i="74"/>
  <c r="BS104" i="74"/>
  <c r="BI117" i="74"/>
  <c r="BJ104" i="74"/>
  <c r="AP104" i="76"/>
  <c r="BN117" i="74"/>
  <c r="BO104" i="74"/>
  <c r="AW117" i="77"/>
  <c r="AX104" i="77"/>
  <c r="AI104" i="76"/>
  <c r="BJ104" i="76"/>
  <c r="BT117" i="75"/>
  <c r="BU104" i="75"/>
  <c r="BD117" i="74"/>
  <c r="BE104" i="74"/>
  <c r="AY117" i="74"/>
  <c r="AZ104" i="74"/>
  <c r="AG117" i="75"/>
  <c r="K28" i="75"/>
  <c r="AR117" i="77"/>
  <c r="AS104" i="77"/>
  <c r="CA106" i="74"/>
  <c r="BI105" i="76"/>
  <c r="AT105" i="76"/>
  <c r="AH105" i="76"/>
  <c r="BD105" i="76"/>
  <c r="AY105" i="76"/>
  <c r="AO105" i="76"/>
  <c r="AC105" i="76"/>
  <c r="BM105" i="76"/>
  <c r="N110" i="76"/>
  <c r="Q109" i="76"/>
  <c r="P109" i="76"/>
  <c r="O109" i="76"/>
  <c r="AD106" i="77"/>
  <c r="AB106" i="76"/>
  <c r="AD106" i="75"/>
  <c r="N110" i="77"/>
  <c r="S109" i="77"/>
  <c r="Q109" i="77"/>
  <c r="P109" i="77"/>
  <c r="O109" i="77"/>
  <c r="R109" i="77"/>
  <c r="V106" i="77"/>
  <c r="AB106" i="77" s="1"/>
  <c r="T106" i="76"/>
  <c r="Z106" i="76" s="1"/>
  <c r="V106" i="75"/>
  <c r="AB106" i="75" s="1"/>
  <c r="AI106" i="74"/>
  <c r="BW106" i="75"/>
  <c r="BI106" i="75"/>
  <c r="AW106" i="75"/>
  <c r="AK106" i="75"/>
  <c r="Y106" i="75"/>
  <c r="BU106" i="75"/>
  <c r="BH106" i="75"/>
  <c r="CL106" i="75"/>
  <c r="CO106" i="75" s="1"/>
  <c r="BT106" i="75"/>
  <c r="BG106" i="75"/>
  <c r="AU106" i="75"/>
  <c r="U107" i="75"/>
  <c r="CJ106" i="75"/>
  <c r="BS106" i="75"/>
  <c r="AT106" i="75"/>
  <c r="AH106" i="75"/>
  <c r="CI106" i="75"/>
  <c r="BQ106" i="75"/>
  <c r="BE106" i="75"/>
  <c r="AS106" i="75"/>
  <c r="AG106" i="75"/>
  <c r="CH106" i="75"/>
  <c r="BP106" i="75"/>
  <c r="BD106" i="75"/>
  <c r="AR106" i="75"/>
  <c r="CG106" i="75"/>
  <c r="BC106" i="75"/>
  <c r="CF106" i="75"/>
  <c r="BN106" i="75"/>
  <c r="BB106" i="75"/>
  <c r="AP106" i="75"/>
  <c r="CE106" i="75"/>
  <c r="BM106" i="75"/>
  <c r="AO106" i="75"/>
  <c r="BL106" i="75"/>
  <c r="AZ106" i="75"/>
  <c r="AN106" i="75"/>
  <c r="Z106" i="75"/>
  <c r="AY106" i="75"/>
  <c r="AX106" i="75"/>
  <c r="AM106" i="75"/>
  <c r="CC106" i="75"/>
  <c r="AL106" i="75"/>
  <c r="BX106" i="75"/>
  <c r="AA106" i="75"/>
  <c r="BJ106" i="75"/>
  <c r="CF107" i="74"/>
  <c r="BO107" i="74"/>
  <c r="AZ107" i="74"/>
  <c r="CE107" i="74"/>
  <c r="BN107" i="74"/>
  <c r="AY107" i="74"/>
  <c r="AB108" i="74"/>
  <c r="AJ107" i="74"/>
  <c r="CC107" i="74"/>
  <c r="BK107" i="74"/>
  <c r="AV107" i="74"/>
  <c r="BJ107" i="74"/>
  <c r="AU107" i="74"/>
  <c r="AH107" i="74"/>
  <c r="BZ107" i="74"/>
  <c r="BI107" i="74"/>
  <c r="AT107" i="74"/>
  <c r="AG107" i="74"/>
  <c r="BT107" i="74"/>
  <c r="BF107" i="74"/>
  <c r="AR107" i="74"/>
  <c r="AE107" i="74"/>
  <c r="CJ107" i="74"/>
  <c r="BS107" i="74"/>
  <c r="BE107" i="74"/>
  <c r="AC107" i="74"/>
  <c r="CI107" i="74"/>
  <c r="BR107" i="74"/>
  <c r="BD107" i="74"/>
  <c r="AP107" i="74"/>
  <c r="BU107" i="74"/>
  <c r="BP107" i="74"/>
  <c r="BA107" i="74"/>
  <c r="AS107" i="74"/>
  <c r="AO107" i="74"/>
  <c r="AN107" i="74"/>
  <c r="AF107" i="74"/>
  <c r="CH107" i="74"/>
  <c r="CG107" i="74"/>
  <c r="N110" i="75"/>
  <c r="S109" i="75"/>
  <c r="W109" i="74" s="1"/>
  <c r="U123" i="65" s="1"/>
  <c r="R109" i="75"/>
  <c r="V109" i="74" s="1"/>
  <c r="T123" i="65" s="1"/>
  <c r="Q109" i="75"/>
  <c r="U109" i="74" s="1"/>
  <c r="S123" i="65" s="1"/>
  <c r="P109" i="75"/>
  <c r="T109" i="74" s="1"/>
  <c r="R123" i="65" s="1"/>
  <c r="O109" i="75"/>
  <c r="BW106" i="77"/>
  <c r="BI106" i="77"/>
  <c r="AW106" i="77"/>
  <c r="AK106" i="77"/>
  <c r="Y106" i="77"/>
  <c r="BU106" i="77"/>
  <c r="BH106" i="77"/>
  <c r="CK106" i="77"/>
  <c r="CN106" i="77" s="1"/>
  <c r="BS106" i="77"/>
  <c r="AT106" i="77"/>
  <c r="AH106" i="77"/>
  <c r="U107" i="77"/>
  <c r="CI106" i="77"/>
  <c r="CM106" i="77" s="1"/>
  <c r="BQ106" i="77"/>
  <c r="BE106" i="77"/>
  <c r="AS106" i="77"/>
  <c r="AG106" i="77"/>
  <c r="CG106" i="77"/>
  <c r="BC106" i="77"/>
  <c r="CF106" i="77"/>
  <c r="BN106" i="77"/>
  <c r="BB106" i="77"/>
  <c r="AP106" i="77"/>
  <c r="CD106" i="77"/>
  <c r="BL106" i="77"/>
  <c r="AZ106" i="77"/>
  <c r="AN106" i="77"/>
  <c r="CH106" i="77"/>
  <c r="BD106" i="77"/>
  <c r="CE106" i="77"/>
  <c r="AY106" i="77"/>
  <c r="BX106" i="77"/>
  <c r="AX106" i="77"/>
  <c r="BT106" i="77"/>
  <c r="AA106" i="77"/>
  <c r="BP106" i="77"/>
  <c r="AU106" i="77"/>
  <c r="Z106" i="77"/>
  <c r="BM106" i="77"/>
  <c r="AO106" i="77"/>
  <c r="AR106" i="77"/>
  <c r="AM106" i="77"/>
  <c r="BG106" i="77"/>
  <c r="AL106" i="77"/>
  <c r="BJ106" i="77"/>
  <c r="CM107" i="75"/>
  <c r="CP106" i="75"/>
  <c r="CL107" i="77"/>
  <c r="CO106" i="77"/>
  <c r="BH106" i="74"/>
  <c r="AQ106" i="74"/>
  <c r="BQ106" i="74"/>
  <c r="BC106" i="74"/>
  <c r="AL106" i="74"/>
  <c r="BM106" i="74"/>
  <c r="AX106" i="74"/>
  <c r="BV106" i="76"/>
  <c r="BF106" i="76"/>
  <c r="V106" i="76"/>
  <c r="BQ106" i="76"/>
  <c r="BE106" i="76"/>
  <c r="AS106" i="76"/>
  <c r="BP106" i="76"/>
  <c r="AR106" i="76"/>
  <c r="AF106" i="76"/>
  <c r="BO106" i="76"/>
  <c r="BC106" i="76"/>
  <c r="AQ106" i="76"/>
  <c r="AE106" i="76"/>
  <c r="CH106" i="76"/>
  <c r="BN106" i="76"/>
  <c r="BB106" i="76"/>
  <c r="AP106" i="76"/>
  <c r="CG106" i="76"/>
  <c r="BA106" i="76"/>
  <c r="CF106" i="76"/>
  <c r="BL106" i="76"/>
  <c r="AZ106" i="76"/>
  <c r="AN106" i="76"/>
  <c r="CE106" i="76"/>
  <c r="BK106" i="76"/>
  <c r="AM106" i="76"/>
  <c r="CD106" i="76"/>
  <c r="BJ106" i="76"/>
  <c r="AX106" i="76"/>
  <c r="AL106" i="76"/>
  <c r="AJ106" i="76"/>
  <c r="S107" i="76"/>
  <c r="AI106" i="76"/>
  <c r="CC106" i="76"/>
  <c r="Y106" i="76"/>
  <c r="X106" i="76"/>
  <c r="BW106" i="76"/>
  <c r="W106" i="76"/>
  <c r="BH106" i="76"/>
  <c r="BG106" i="76"/>
  <c r="AW106" i="76"/>
  <c r="AV106" i="76"/>
  <c r="AU106" i="76"/>
  <c r="AK106" i="76"/>
  <c r="AI106" i="77"/>
  <c r="AG106" i="76"/>
  <c r="AI106" i="75"/>
  <c r="O110" i="74"/>
  <c r="M124" i="65" s="1"/>
  <c r="Z110" i="74"/>
  <c r="Y110" i="74"/>
  <c r="X110" i="74"/>
  <c r="S110" i="74"/>
  <c r="Q124" i="65" s="1"/>
  <c r="R110" i="74"/>
  <c r="N111" i="74"/>
  <c r="L125" i="65" s="1"/>
  <c r="Q110" i="74"/>
  <c r="O124" i="65" s="1"/>
  <c r="P110" i="74"/>
  <c r="N124" i="65" s="1"/>
  <c r="BH117" i="77" l="1"/>
  <c r="BN104" i="77"/>
  <c r="BN117" i="77" s="1"/>
  <c r="BS104" i="77"/>
  <c r="CD108" i="74"/>
  <c r="AM108" i="74"/>
  <c r="CD107" i="75"/>
  <c r="AF107" i="75"/>
  <c r="AD107" i="76"/>
  <c r="CB107" i="76"/>
  <c r="CC107" i="77"/>
  <c r="AF107" i="77"/>
  <c r="BD104" i="75"/>
  <c r="BD117" i="75" s="1"/>
  <c r="AT104" i="75"/>
  <c r="AT117" i="75" s="1"/>
  <c r="BN104" i="75"/>
  <c r="BN117" i="75" s="1"/>
  <c r="CN106" i="75"/>
  <c r="AB114" i="64"/>
  <c r="BS104" i="75"/>
  <c r="BS117" i="75" s="1"/>
  <c r="P124" i="65"/>
  <c r="BC117" i="77"/>
  <c r="BD104" i="77"/>
  <c r="BD117" i="77" s="1"/>
  <c r="BU117" i="77"/>
  <c r="BW104" i="77"/>
  <c r="BW117" i="77" s="1"/>
  <c r="BH117" i="75"/>
  <c r="BI104" i="75"/>
  <c r="BI117" i="75" s="1"/>
  <c r="BJ117" i="76"/>
  <c r="BK104" i="76"/>
  <c r="AI117" i="76"/>
  <c r="AJ104" i="76"/>
  <c r="BE117" i="76"/>
  <c r="BF104" i="76"/>
  <c r="AZ117" i="74"/>
  <c r="AX117" i="77"/>
  <c r="AY104" i="77"/>
  <c r="AY117" i="77" s="1"/>
  <c r="AL117" i="77"/>
  <c r="AN104" i="77"/>
  <c r="AS117" i="74"/>
  <c r="AU104" i="74"/>
  <c r="AL117" i="75"/>
  <c r="AN104" i="75"/>
  <c r="AS117" i="77"/>
  <c r="AT104" i="77"/>
  <c r="AT117" i="77" s="1"/>
  <c r="BO117" i="74"/>
  <c r="AZ117" i="76"/>
  <c r="BA104" i="76"/>
  <c r="AX117" i="75"/>
  <c r="AY104" i="75"/>
  <c r="AY117" i="75" s="1"/>
  <c r="BE117" i="74"/>
  <c r="AP117" i="76"/>
  <c r="AQ104" i="76"/>
  <c r="BN117" i="76"/>
  <c r="BO104" i="76"/>
  <c r="BU117" i="75"/>
  <c r="BW104" i="75"/>
  <c r="BW117" i="75" s="1"/>
  <c r="BJ117" i="74"/>
  <c r="BS117" i="77"/>
  <c r="AU117" i="76"/>
  <c r="AV104" i="76"/>
  <c r="BS117" i="74"/>
  <c r="N111" i="76"/>
  <c r="Q110" i="76"/>
  <c r="P110" i="76"/>
  <c r="O110" i="76"/>
  <c r="CO107" i="77"/>
  <c r="CL108" i="77"/>
  <c r="AT106" i="76"/>
  <c r="AH106" i="76"/>
  <c r="BD106" i="76"/>
  <c r="BM106" i="76"/>
  <c r="AO106" i="76"/>
  <c r="AC106" i="76"/>
  <c r="AY106" i="76"/>
  <c r="BI106" i="76"/>
  <c r="O110" i="77"/>
  <c r="R110" i="77"/>
  <c r="N111" i="77"/>
  <c r="S110" i="77"/>
  <c r="Q110" i="77"/>
  <c r="P110" i="77"/>
  <c r="CM108" i="75"/>
  <c r="CP107" i="75"/>
  <c r="BX107" i="77"/>
  <c r="BJ107" i="77"/>
  <c r="AX107" i="77"/>
  <c r="AL107" i="77"/>
  <c r="Z107" i="77"/>
  <c r="BW107" i="77"/>
  <c r="BI107" i="77"/>
  <c r="AW107" i="77"/>
  <c r="AK107" i="77"/>
  <c r="Y107" i="77"/>
  <c r="BT107" i="77"/>
  <c r="BG107" i="77"/>
  <c r="AU107" i="77"/>
  <c r="CK107" i="77"/>
  <c r="CN107" i="77" s="1"/>
  <c r="BS107" i="77"/>
  <c r="AT107" i="77"/>
  <c r="AH107" i="77"/>
  <c r="CH107" i="77"/>
  <c r="BP107" i="77"/>
  <c r="BD107" i="77"/>
  <c r="AR107" i="77"/>
  <c r="CG107" i="77"/>
  <c r="BC107" i="77"/>
  <c r="CE107" i="77"/>
  <c r="BM107" i="77"/>
  <c r="AO107" i="77"/>
  <c r="CI107" i="77"/>
  <c r="CM107" i="77" s="1"/>
  <c r="BE107" i="77"/>
  <c r="AG107" i="77"/>
  <c r="CF107" i="77"/>
  <c r="BB107" i="77"/>
  <c r="CD107" i="77"/>
  <c r="AZ107" i="77"/>
  <c r="BU107" i="77"/>
  <c r="AY107" i="77"/>
  <c r="AA107" i="77"/>
  <c r="AS107" i="77"/>
  <c r="U108" i="77"/>
  <c r="BN107" i="77"/>
  <c r="AN107" i="77"/>
  <c r="AM107" i="77"/>
  <c r="BQ107" i="77"/>
  <c r="BL107" i="77"/>
  <c r="AP107" i="77"/>
  <c r="BH107" i="77"/>
  <c r="CA107" i="74"/>
  <c r="AL107" i="74"/>
  <c r="BM107" i="74"/>
  <c r="AX107" i="74"/>
  <c r="AQ107" i="74"/>
  <c r="BQ107" i="74"/>
  <c r="BH107" i="74"/>
  <c r="BC107" i="74"/>
  <c r="BX107" i="75"/>
  <c r="BJ107" i="75"/>
  <c r="AX107" i="75"/>
  <c r="AL107" i="75"/>
  <c r="Z107" i="75"/>
  <c r="BW107" i="75"/>
  <c r="BI107" i="75"/>
  <c r="AW107" i="75"/>
  <c r="AK107" i="75"/>
  <c r="Y107" i="75"/>
  <c r="BU107" i="75"/>
  <c r="BH107" i="75"/>
  <c r="CL107" i="75"/>
  <c r="CO107" i="75" s="1"/>
  <c r="BT107" i="75"/>
  <c r="BG107" i="75"/>
  <c r="AU107" i="75"/>
  <c r="U108" i="75"/>
  <c r="CJ107" i="75"/>
  <c r="BS107" i="75"/>
  <c r="AT107" i="75"/>
  <c r="AH107" i="75"/>
  <c r="CI107" i="75"/>
  <c r="BQ107" i="75"/>
  <c r="BE107" i="75"/>
  <c r="AS107" i="75"/>
  <c r="AG107" i="75"/>
  <c r="CH107" i="75"/>
  <c r="BP107" i="75"/>
  <c r="BD107" i="75"/>
  <c r="AR107" i="75"/>
  <c r="CG107" i="75"/>
  <c r="BC107" i="75"/>
  <c r="CF107" i="75"/>
  <c r="BN107" i="75"/>
  <c r="BB107" i="75"/>
  <c r="AP107" i="75"/>
  <c r="CE107" i="75"/>
  <c r="BM107" i="75"/>
  <c r="AO107" i="75"/>
  <c r="CC107" i="75"/>
  <c r="BL107" i="75"/>
  <c r="AA107" i="75"/>
  <c r="AZ107" i="75"/>
  <c r="AY107" i="75"/>
  <c r="AN107" i="75"/>
  <c r="AM107" i="75"/>
  <c r="V107" i="77"/>
  <c r="AB107" i="77" s="1"/>
  <c r="T107" i="76"/>
  <c r="Z107" i="76" s="1"/>
  <c r="V107" i="75"/>
  <c r="AB107" i="75" s="1"/>
  <c r="AI107" i="74"/>
  <c r="AD107" i="77"/>
  <c r="AB107" i="76"/>
  <c r="AD107" i="75"/>
  <c r="CH107" i="76"/>
  <c r="BN107" i="76"/>
  <c r="BB107" i="76"/>
  <c r="AP107" i="76"/>
  <c r="CG107" i="76"/>
  <c r="BA107" i="76"/>
  <c r="CF107" i="76"/>
  <c r="BL107" i="76"/>
  <c r="AZ107" i="76"/>
  <c r="AN107" i="76"/>
  <c r="CE107" i="76"/>
  <c r="BK107" i="76"/>
  <c r="AM107" i="76"/>
  <c r="CD107" i="76"/>
  <c r="BJ107" i="76"/>
  <c r="AX107" i="76"/>
  <c r="AL107" i="76"/>
  <c r="CC107" i="76"/>
  <c r="AW107" i="76"/>
  <c r="AK107" i="76"/>
  <c r="Y107" i="76"/>
  <c r="BH107" i="76"/>
  <c r="AV107" i="76"/>
  <c r="AJ107" i="76"/>
  <c r="X107" i="76"/>
  <c r="S108" i="76"/>
  <c r="BW107" i="76"/>
  <c r="BG107" i="76"/>
  <c r="AU107" i="76"/>
  <c r="AI107" i="76"/>
  <c r="W107" i="76"/>
  <c r="BV107" i="76"/>
  <c r="BF107" i="76"/>
  <c r="V107" i="76"/>
  <c r="BP107" i="76"/>
  <c r="BO107" i="76"/>
  <c r="BE107" i="76"/>
  <c r="BC107" i="76"/>
  <c r="AS107" i="76"/>
  <c r="AR107" i="76"/>
  <c r="AQ107" i="76"/>
  <c r="AF107" i="76"/>
  <c r="BQ107" i="76"/>
  <c r="AE107" i="76"/>
  <c r="N111" i="75"/>
  <c r="S110" i="75"/>
  <c r="W110" i="74" s="1"/>
  <c r="U124" i="65" s="1"/>
  <c r="R110" i="75"/>
  <c r="V110" i="74" s="1"/>
  <c r="T124" i="65" s="1"/>
  <c r="Q110" i="75"/>
  <c r="U110" i="74" s="1"/>
  <c r="S124" i="65" s="1"/>
  <c r="P110" i="75"/>
  <c r="T110" i="74" s="1"/>
  <c r="R124" i="65" s="1"/>
  <c r="O110" i="75"/>
  <c r="AI107" i="77"/>
  <c r="AG107" i="76"/>
  <c r="AI107" i="75"/>
  <c r="S111" i="74"/>
  <c r="Q125" i="65" s="1"/>
  <c r="R111" i="74"/>
  <c r="Q111" i="74"/>
  <c r="O125" i="65" s="1"/>
  <c r="P111" i="74"/>
  <c r="N125" i="65" s="1"/>
  <c r="O111" i="74"/>
  <c r="M125" i="65" s="1"/>
  <c r="Y111" i="74"/>
  <c r="X111" i="74"/>
  <c r="N112" i="74"/>
  <c r="L126" i="65" s="1"/>
  <c r="Z111" i="74"/>
  <c r="BT108" i="74"/>
  <c r="BF108" i="74"/>
  <c r="AR108" i="74"/>
  <c r="AE108" i="74"/>
  <c r="CJ108" i="74"/>
  <c r="BS108" i="74"/>
  <c r="BE108" i="74"/>
  <c r="AC108" i="74"/>
  <c r="CI108" i="74"/>
  <c r="BR108" i="74"/>
  <c r="BD108" i="74"/>
  <c r="AP108" i="74"/>
  <c r="CH108" i="74"/>
  <c r="AO108" i="74"/>
  <c r="CG108" i="74"/>
  <c r="BP108" i="74"/>
  <c r="BA108" i="74"/>
  <c r="AN108" i="74"/>
  <c r="CF108" i="74"/>
  <c r="BO108" i="74"/>
  <c r="AZ108" i="74"/>
  <c r="AB109" i="74"/>
  <c r="AJ108" i="74"/>
  <c r="CC108" i="74"/>
  <c r="BK108" i="74"/>
  <c r="AV108" i="74"/>
  <c r="BJ108" i="74"/>
  <c r="AU108" i="74"/>
  <c r="AH108" i="74"/>
  <c r="AY108" i="74"/>
  <c r="AT108" i="74"/>
  <c r="AS108" i="74"/>
  <c r="AG108" i="74"/>
  <c r="AF108" i="74"/>
  <c r="CE108" i="74"/>
  <c r="BZ108" i="74"/>
  <c r="BU108" i="74"/>
  <c r="BN108" i="74"/>
  <c r="BI108" i="74"/>
  <c r="AF108" i="77" l="1"/>
  <c r="CC108" i="77"/>
  <c r="AD108" i="76"/>
  <c r="CB108" i="76"/>
  <c r="CD108" i="75"/>
  <c r="AF108" i="75"/>
  <c r="CD109" i="74"/>
  <c r="AM109" i="74"/>
  <c r="CN107" i="75"/>
  <c r="AB115" i="64"/>
  <c r="P125" i="65"/>
  <c r="BO117" i="76"/>
  <c r="BQ104" i="76"/>
  <c r="AN117" i="75"/>
  <c r="BF117" i="76"/>
  <c r="BG104" i="76"/>
  <c r="BG117" i="76" s="1"/>
  <c r="BA117" i="76"/>
  <c r="BB104" i="76"/>
  <c r="BB117" i="76" s="1"/>
  <c r="AU117" i="74"/>
  <c r="AV117" i="76"/>
  <c r="AW104" i="76"/>
  <c r="AW117" i="76" s="1"/>
  <c r="AQ117" i="76"/>
  <c r="AR104" i="76"/>
  <c r="AR117" i="76" s="1"/>
  <c r="AN117" i="77"/>
  <c r="AJ117" i="76"/>
  <c r="AL104" i="76"/>
  <c r="BK117" i="76"/>
  <c r="BL104" i="76"/>
  <c r="BL117" i="76" s="1"/>
  <c r="CA108" i="74"/>
  <c r="AQ108" i="74"/>
  <c r="BQ108" i="74"/>
  <c r="BC108" i="74"/>
  <c r="BM108" i="74"/>
  <c r="AX108" i="74"/>
  <c r="AL108" i="74"/>
  <c r="BH108" i="74"/>
  <c r="CO108" i="77"/>
  <c r="CL109" i="77"/>
  <c r="AD108" i="77"/>
  <c r="AB108" i="76"/>
  <c r="AD108" i="75"/>
  <c r="P111" i="77"/>
  <c r="O111" i="77"/>
  <c r="N112" i="77"/>
  <c r="S111" i="77"/>
  <c r="R111" i="77"/>
  <c r="Q111" i="77"/>
  <c r="AI108" i="77"/>
  <c r="AG108" i="76"/>
  <c r="AI108" i="75"/>
  <c r="CE108" i="76"/>
  <c r="BK108" i="76"/>
  <c r="AM108" i="76"/>
  <c r="CD108" i="76"/>
  <c r="BJ108" i="76"/>
  <c r="AX108" i="76"/>
  <c r="AL108" i="76"/>
  <c r="CC108" i="76"/>
  <c r="AW108" i="76"/>
  <c r="AK108" i="76"/>
  <c r="Y108" i="76"/>
  <c r="BH108" i="76"/>
  <c r="AV108" i="76"/>
  <c r="AJ108" i="76"/>
  <c r="X108" i="76"/>
  <c r="S109" i="76"/>
  <c r="BW108" i="76"/>
  <c r="BG108" i="76"/>
  <c r="AU108" i="76"/>
  <c r="AI108" i="76"/>
  <c r="W108" i="76"/>
  <c r="BV108" i="76"/>
  <c r="BF108" i="76"/>
  <c r="V108" i="76"/>
  <c r="BQ108" i="76"/>
  <c r="BE108" i="76"/>
  <c r="AS108" i="76"/>
  <c r="BP108" i="76"/>
  <c r="AR108" i="76"/>
  <c r="AF108" i="76"/>
  <c r="BO108" i="76"/>
  <c r="BC108" i="76"/>
  <c r="AQ108" i="76"/>
  <c r="AE108" i="76"/>
  <c r="CH108" i="76"/>
  <c r="BN108" i="76"/>
  <c r="BB108" i="76"/>
  <c r="AP108" i="76"/>
  <c r="BL108" i="76"/>
  <c r="BA108" i="76"/>
  <c r="AZ108" i="76"/>
  <c r="AN108" i="76"/>
  <c r="CG108" i="76"/>
  <c r="CF108" i="76"/>
  <c r="Y112" i="74"/>
  <c r="X112" i="74"/>
  <c r="N113" i="74"/>
  <c r="L127" i="65" s="1"/>
  <c r="R112" i="74"/>
  <c r="Q112" i="74"/>
  <c r="O126" i="65" s="1"/>
  <c r="P112" i="74"/>
  <c r="N126" i="65" s="1"/>
  <c r="S112" i="74"/>
  <c r="Q126" i="65" s="1"/>
  <c r="O112" i="74"/>
  <c r="M126" i="65" s="1"/>
  <c r="Z112" i="74"/>
  <c r="AB110" i="74"/>
  <c r="AJ109" i="74"/>
  <c r="CC109" i="74"/>
  <c r="BK109" i="74"/>
  <c r="AV109" i="74"/>
  <c r="BJ109" i="74"/>
  <c r="AU109" i="74"/>
  <c r="AH109" i="74"/>
  <c r="BZ109" i="74"/>
  <c r="BI109" i="74"/>
  <c r="AT109" i="74"/>
  <c r="AG109" i="74"/>
  <c r="BU109" i="74"/>
  <c r="AS109" i="74"/>
  <c r="AF109" i="74"/>
  <c r="BT109" i="74"/>
  <c r="BF109" i="74"/>
  <c r="AR109" i="74"/>
  <c r="AE109" i="74"/>
  <c r="CI109" i="74"/>
  <c r="BR109" i="74"/>
  <c r="BD109" i="74"/>
  <c r="AP109" i="74"/>
  <c r="CH109" i="74"/>
  <c r="AO109" i="74"/>
  <c r="CG109" i="74"/>
  <c r="BP109" i="74"/>
  <c r="BA109" i="74"/>
  <c r="AN109" i="74"/>
  <c r="CJ109" i="74"/>
  <c r="AC109" i="74"/>
  <c r="CF109" i="74"/>
  <c r="CE109" i="74"/>
  <c r="BS109" i="74"/>
  <c r="BO109" i="74"/>
  <c r="BN109" i="74"/>
  <c r="BE109" i="74"/>
  <c r="AZ109" i="74"/>
  <c r="AY109" i="74"/>
  <c r="AY108" i="77"/>
  <c r="AM108" i="77"/>
  <c r="AA108" i="77"/>
  <c r="BX108" i="77"/>
  <c r="BJ108" i="77"/>
  <c r="AX108" i="77"/>
  <c r="AL108" i="77"/>
  <c r="Z108" i="77"/>
  <c r="BU108" i="77"/>
  <c r="BH108" i="77"/>
  <c r="BT108" i="77"/>
  <c r="BG108" i="77"/>
  <c r="AU108" i="77"/>
  <c r="U109" i="77"/>
  <c r="CI108" i="77"/>
  <c r="CM108" i="77" s="1"/>
  <c r="BQ108" i="77"/>
  <c r="BE108" i="77"/>
  <c r="AS108" i="77"/>
  <c r="AG108" i="77"/>
  <c r="CH108" i="77"/>
  <c r="BP108" i="77"/>
  <c r="BD108" i="77"/>
  <c r="AR108" i="77"/>
  <c r="CF108" i="77"/>
  <c r="BN108" i="77"/>
  <c r="BB108" i="77"/>
  <c r="AP108" i="77"/>
  <c r="AK108" i="77"/>
  <c r="BI108" i="77"/>
  <c r="AH108" i="77"/>
  <c r="CK108" i="77"/>
  <c r="CN108" i="77" s="1"/>
  <c r="BC108" i="77"/>
  <c r="CG108" i="77"/>
  <c r="CE108" i="77"/>
  <c r="AZ108" i="77"/>
  <c r="BW108" i="77"/>
  <c r="BS108" i="77"/>
  <c r="AT108" i="77"/>
  <c r="AW108" i="77"/>
  <c r="AO108" i="77"/>
  <c r="AN108" i="77"/>
  <c r="BM108" i="77"/>
  <c r="CD108" i="77"/>
  <c r="Y108" i="77"/>
  <c r="BL108" i="77"/>
  <c r="N112" i="76"/>
  <c r="Q111" i="76"/>
  <c r="P111" i="76"/>
  <c r="O111" i="76"/>
  <c r="CP108" i="75"/>
  <c r="CM109" i="75"/>
  <c r="BM107" i="76"/>
  <c r="AO107" i="76"/>
  <c r="AC107" i="76"/>
  <c r="AY107" i="76"/>
  <c r="BI107" i="76"/>
  <c r="AT107" i="76"/>
  <c r="AH107" i="76"/>
  <c r="BD107" i="76"/>
  <c r="V108" i="77"/>
  <c r="AB108" i="77" s="1"/>
  <c r="T108" i="76"/>
  <c r="Z108" i="76" s="1"/>
  <c r="V108" i="75"/>
  <c r="AB108" i="75" s="1"/>
  <c r="AI108" i="74"/>
  <c r="O111" i="75"/>
  <c r="N112" i="75"/>
  <c r="S111" i="75"/>
  <c r="W111" i="74" s="1"/>
  <c r="U125" i="65" s="1"/>
  <c r="R111" i="75"/>
  <c r="V111" i="74" s="1"/>
  <c r="T125" i="65" s="1"/>
  <c r="Q111" i="75"/>
  <c r="U111" i="74" s="1"/>
  <c r="S125" i="65" s="1"/>
  <c r="P111" i="75"/>
  <c r="T111" i="74" s="1"/>
  <c r="R125" i="65" s="1"/>
  <c r="CC108" i="75"/>
  <c r="AY108" i="75"/>
  <c r="AM108" i="75"/>
  <c r="AA108" i="75"/>
  <c r="BX108" i="75"/>
  <c r="BJ108" i="75"/>
  <c r="AX108" i="75"/>
  <c r="AL108" i="75"/>
  <c r="Z108" i="75"/>
  <c r="BW108" i="75"/>
  <c r="BI108" i="75"/>
  <c r="AW108" i="75"/>
  <c r="AK108" i="75"/>
  <c r="Y108" i="75"/>
  <c r="BU108" i="75"/>
  <c r="BH108" i="75"/>
  <c r="CL108" i="75"/>
  <c r="CO108" i="75" s="1"/>
  <c r="BT108" i="75"/>
  <c r="BG108" i="75"/>
  <c r="AU108" i="75"/>
  <c r="U109" i="75"/>
  <c r="CJ108" i="75"/>
  <c r="BS108" i="75"/>
  <c r="AT108" i="75"/>
  <c r="AH108" i="75"/>
  <c r="CI108" i="75"/>
  <c r="BQ108" i="75"/>
  <c r="BE108" i="75"/>
  <c r="AS108" i="75"/>
  <c r="AG108" i="75"/>
  <c r="CH108" i="75"/>
  <c r="BP108" i="75"/>
  <c r="BD108" i="75"/>
  <c r="AR108" i="75"/>
  <c r="CG108" i="75"/>
  <c r="BC108" i="75"/>
  <c r="CF108" i="75"/>
  <c r="BN108" i="75"/>
  <c r="BB108" i="75"/>
  <c r="AP108" i="75"/>
  <c r="AZ108" i="75"/>
  <c r="AO108" i="75"/>
  <c r="CE108" i="75"/>
  <c r="AN108" i="75"/>
  <c r="BM108" i="75"/>
  <c r="BL108" i="75"/>
  <c r="CC109" i="77" l="1"/>
  <c r="AF109" i="77"/>
  <c r="CD110" i="74"/>
  <c r="AM110" i="74"/>
  <c r="AD109" i="76"/>
  <c r="CB109" i="76"/>
  <c r="AF109" i="75"/>
  <c r="CD109" i="75"/>
  <c r="CN108" i="75"/>
  <c r="AB116" i="64"/>
  <c r="P126" i="65"/>
  <c r="AL117" i="76"/>
  <c r="CA109" i="74"/>
  <c r="N113" i="76"/>
  <c r="Q112" i="76"/>
  <c r="P112" i="76"/>
  <c r="O112" i="76"/>
  <c r="R113" i="74"/>
  <c r="Q113" i="74"/>
  <c r="O127" i="65" s="1"/>
  <c r="P113" i="74"/>
  <c r="N127" i="65" s="1"/>
  <c r="O113" i="74"/>
  <c r="M127" i="65" s="1"/>
  <c r="Z113" i="74"/>
  <c r="Y113" i="74"/>
  <c r="N114" i="74"/>
  <c r="L128" i="65" s="1"/>
  <c r="X113" i="74"/>
  <c r="S113" i="74"/>
  <c r="Q127" i="65" s="1"/>
  <c r="AY108" i="76"/>
  <c r="BI108" i="76"/>
  <c r="AT108" i="76"/>
  <c r="AH108" i="76"/>
  <c r="BD108" i="76"/>
  <c r="AO108" i="76"/>
  <c r="AC108" i="76"/>
  <c r="BM108" i="76"/>
  <c r="CL110" i="77"/>
  <c r="CO109" i="77"/>
  <c r="BL109" i="75"/>
  <c r="AZ109" i="75"/>
  <c r="AN109" i="75"/>
  <c r="CC109" i="75"/>
  <c r="AY109" i="75"/>
  <c r="AM109" i="75"/>
  <c r="AA109" i="75"/>
  <c r="BX109" i="75"/>
  <c r="BJ109" i="75"/>
  <c r="AX109" i="75"/>
  <c r="AL109" i="75"/>
  <c r="Z109" i="75"/>
  <c r="BW109" i="75"/>
  <c r="BI109" i="75"/>
  <c r="AW109" i="75"/>
  <c r="AK109" i="75"/>
  <c r="Y109" i="75"/>
  <c r="BU109" i="75"/>
  <c r="BH109" i="75"/>
  <c r="CL109" i="75"/>
  <c r="CO109" i="75" s="1"/>
  <c r="BT109" i="75"/>
  <c r="BG109" i="75"/>
  <c r="AU109" i="75"/>
  <c r="U110" i="75"/>
  <c r="CJ109" i="75"/>
  <c r="BS109" i="75"/>
  <c r="AT109" i="75"/>
  <c r="AH109" i="75"/>
  <c r="CI109" i="75"/>
  <c r="BQ109" i="75"/>
  <c r="BE109" i="75"/>
  <c r="AS109" i="75"/>
  <c r="AG109" i="75"/>
  <c r="CH109" i="75"/>
  <c r="BP109" i="75"/>
  <c r="BD109" i="75"/>
  <c r="AR109" i="75"/>
  <c r="CG109" i="75"/>
  <c r="BC109" i="75"/>
  <c r="BN109" i="75"/>
  <c r="BM109" i="75"/>
  <c r="BB109" i="75"/>
  <c r="AP109" i="75"/>
  <c r="CF109" i="75"/>
  <c r="AO109" i="75"/>
  <c r="CE109" i="75"/>
  <c r="AD109" i="77"/>
  <c r="AB109" i="76"/>
  <c r="AD109" i="75"/>
  <c r="P112" i="75"/>
  <c r="T112" i="74" s="1"/>
  <c r="R126" i="65" s="1"/>
  <c r="O112" i="75"/>
  <c r="N113" i="75"/>
  <c r="S112" i="75"/>
  <c r="W112" i="74" s="1"/>
  <c r="U126" i="65" s="1"/>
  <c r="R112" i="75"/>
  <c r="V112" i="74" s="1"/>
  <c r="T126" i="65" s="1"/>
  <c r="Q112" i="75"/>
  <c r="U112" i="74" s="1"/>
  <c r="S126" i="65" s="1"/>
  <c r="AI109" i="77"/>
  <c r="AG109" i="76"/>
  <c r="AI109" i="75"/>
  <c r="CI110" i="74"/>
  <c r="BR110" i="74"/>
  <c r="BD110" i="74"/>
  <c r="AP110" i="74"/>
  <c r="CH110" i="74"/>
  <c r="AO110" i="74"/>
  <c r="CG110" i="74"/>
  <c r="BP110" i="74"/>
  <c r="BA110" i="74"/>
  <c r="AN110" i="74"/>
  <c r="CF110" i="74"/>
  <c r="BO110" i="74"/>
  <c r="AZ110" i="74"/>
  <c r="CE110" i="74"/>
  <c r="BN110" i="74"/>
  <c r="AY110" i="74"/>
  <c r="AB111" i="74"/>
  <c r="AJ110" i="74"/>
  <c r="BJ110" i="74"/>
  <c r="AU110" i="74"/>
  <c r="AH110" i="74"/>
  <c r="BZ110" i="74"/>
  <c r="BI110" i="74"/>
  <c r="AT110" i="74"/>
  <c r="AG110" i="74"/>
  <c r="BU110" i="74"/>
  <c r="AS110" i="74"/>
  <c r="AF110" i="74"/>
  <c r="BK110" i="74"/>
  <c r="BF110" i="74"/>
  <c r="BE110" i="74"/>
  <c r="AV110" i="74"/>
  <c r="AR110" i="74"/>
  <c r="AE110" i="74"/>
  <c r="CJ110" i="74"/>
  <c r="AC110" i="74"/>
  <c r="CC110" i="74"/>
  <c r="BT110" i="74"/>
  <c r="BS110" i="74"/>
  <c r="CP109" i="75"/>
  <c r="CM110" i="75"/>
  <c r="Q112" i="77"/>
  <c r="P112" i="77"/>
  <c r="N113" i="77"/>
  <c r="S112" i="77"/>
  <c r="R112" i="77"/>
  <c r="O112" i="77"/>
  <c r="S110" i="76"/>
  <c r="BW109" i="76"/>
  <c r="BG109" i="76"/>
  <c r="AU109" i="76"/>
  <c r="AI109" i="76"/>
  <c r="W109" i="76"/>
  <c r="BV109" i="76"/>
  <c r="BF109" i="76"/>
  <c r="V109" i="76"/>
  <c r="BQ109" i="76"/>
  <c r="BE109" i="76"/>
  <c r="AS109" i="76"/>
  <c r="BP109" i="76"/>
  <c r="AR109" i="76"/>
  <c r="AF109" i="76"/>
  <c r="BO109" i="76"/>
  <c r="BC109" i="76"/>
  <c r="AQ109" i="76"/>
  <c r="AE109" i="76"/>
  <c r="CH109" i="76"/>
  <c r="BN109" i="76"/>
  <c r="BB109" i="76"/>
  <c r="AP109" i="76"/>
  <c r="CG109" i="76"/>
  <c r="BA109" i="76"/>
  <c r="CF109" i="76"/>
  <c r="BL109" i="76"/>
  <c r="AZ109" i="76"/>
  <c r="AN109" i="76"/>
  <c r="CE109" i="76"/>
  <c r="BK109" i="76"/>
  <c r="AM109" i="76"/>
  <c r="CD109" i="76"/>
  <c r="BJ109" i="76"/>
  <c r="AX109" i="76"/>
  <c r="AL109" i="76"/>
  <c r="BH109" i="76"/>
  <c r="AW109" i="76"/>
  <c r="AV109" i="76"/>
  <c r="AK109" i="76"/>
  <c r="AJ109" i="76"/>
  <c r="Y109" i="76"/>
  <c r="X109" i="76"/>
  <c r="CC109" i="76"/>
  <c r="CD109" i="77"/>
  <c r="BL109" i="77"/>
  <c r="AZ109" i="77"/>
  <c r="AN109" i="77"/>
  <c r="AY109" i="77"/>
  <c r="AM109" i="77"/>
  <c r="AA109" i="77"/>
  <c r="BW109" i="77"/>
  <c r="BI109" i="77"/>
  <c r="AW109" i="77"/>
  <c r="AK109" i="77"/>
  <c r="Y109" i="77"/>
  <c r="BU109" i="77"/>
  <c r="BH109" i="77"/>
  <c r="CK109" i="77"/>
  <c r="CN109" i="77" s="1"/>
  <c r="BS109" i="77"/>
  <c r="AT109" i="77"/>
  <c r="AH109" i="77"/>
  <c r="U110" i="77"/>
  <c r="CI109" i="77"/>
  <c r="CM109" i="77" s="1"/>
  <c r="BQ109" i="77"/>
  <c r="BE109" i="77"/>
  <c r="AS109" i="77"/>
  <c r="AG109" i="77"/>
  <c r="CG109" i="77"/>
  <c r="BC109" i="77"/>
  <c r="BJ109" i="77"/>
  <c r="AO109" i="77"/>
  <c r="BG109" i="77"/>
  <c r="AL109" i="77"/>
  <c r="CH109" i="77"/>
  <c r="CF109" i="77"/>
  <c r="BD109" i="77"/>
  <c r="CE109" i="77"/>
  <c r="BB109" i="77"/>
  <c r="BX109" i="77"/>
  <c r="BP109" i="77"/>
  <c r="AU109" i="77"/>
  <c r="Z109" i="77"/>
  <c r="BN109" i="77"/>
  <c r="BM109" i="77"/>
  <c r="AR109" i="77"/>
  <c r="AP109" i="77"/>
  <c r="BT109" i="77"/>
  <c r="AX109" i="77"/>
  <c r="V109" i="77"/>
  <c r="AB109" i="77" s="1"/>
  <c r="T109" i="76"/>
  <c r="Z109" i="76" s="1"/>
  <c r="V109" i="75"/>
  <c r="AB109" i="75" s="1"/>
  <c r="AI109" i="74"/>
  <c r="BM109" i="74"/>
  <c r="AX109" i="74"/>
  <c r="BH109" i="74"/>
  <c r="BQ109" i="74"/>
  <c r="BC109" i="74"/>
  <c r="AQ109" i="74"/>
  <c r="AL109" i="74"/>
  <c r="CC110" i="77" l="1"/>
  <c r="AF110" i="77"/>
  <c r="CD110" i="75"/>
  <c r="AF110" i="75"/>
  <c r="CB110" i="76"/>
  <c r="AD110" i="76"/>
  <c r="AM111" i="74"/>
  <c r="CD111" i="74"/>
  <c r="CN109" i="75"/>
  <c r="AB117" i="64"/>
  <c r="P127" i="65"/>
  <c r="S114" i="74"/>
  <c r="Q128" i="65" s="1"/>
  <c r="R114" i="74"/>
  <c r="P114" i="74"/>
  <c r="N128" i="65" s="1"/>
  <c r="O114" i="74"/>
  <c r="M128" i="65" s="1"/>
  <c r="Z114" i="74"/>
  <c r="Y114" i="74"/>
  <c r="X114" i="74"/>
  <c r="Q114" i="74"/>
  <c r="O128" i="65" s="1"/>
  <c r="AT109" i="76"/>
  <c r="AH109" i="76"/>
  <c r="BD109" i="76"/>
  <c r="BM109" i="76"/>
  <c r="AO109" i="76"/>
  <c r="AC109" i="76"/>
  <c r="AY109" i="76"/>
  <c r="BI109" i="76"/>
  <c r="R113" i="77"/>
  <c r="Q113" i="77"/>
  <c r="O113" i="77"/>
  <c r="S113" i="77"/>
  <c r="P113" i="77"/>
  <c r="N114" i="77"/>
  <c r="CO110" i="77"/>
  <c r="CL111" i="77"/>
  <c r="CE110" i="75"/>
  <c r="BM110" i="75"/>
  <c r="AO110" i="75"/>
  <c r="BL110" i="75"/>
  <c r="AZ110" i="75"/>
  <c r="AN110" i="75"/>
  <c r="CC110" i="75"/>
  <c r="AY110" i="75"/>
  <c r="AM110" i="75"/>
  <c r="AA110" i="75"/>
  <c r="BX110" i="75"/>
  <c r="BJ110" i="75"/>
  <c r="AX110" i="75"/>
  <c r="AL110" i="75"/>
  <c r="Z110" i="75"/>
  <c r="BW110" i="75"/>
  <c r="BI110" i="75"/>
  <c r="AW110" i="75"/>
  <c r="AK110" i="75"/>
  <c r="Y110" i="75"/>
  <c r="BU110" i="75"/>
  <c r="BH110" i="75"/>
  <c r="CL110" i="75"/>
  <c r="CO110" i="75" s="1"/>
  <c r="BT110" i="75"/>
  <c r="BG110" i="75"/>
  <c r="AU110" i="75"/>
  <c r="U111" i="75"/>
  <c r="CJ110" i="75"/>
  <c r="BS110" i="75"/>
  <c r="AT110" i="75"/>
  <c r="AH110" i="75"/>
  <c r="CI110" i="75"/>
  <c r="BQ110" i="75"/>
  <c r="BE110" i="75"/>
  <c r="AS110" i="75"/>
  <c r="AG110" i="75"/>
  <c r="CH110" i="75"/>
  <c r="BP110" i="75"/>
  <c r="BD110" i="75"/>
  <c r="AR110" i="75"/>
  <c r="AP110" i="75"/>
  <c r="CG110" i="75"/>
  <c r="CF110" i="75"/>
  <c r="BN110" i="75"/>
  <c r="BC110" i="75"/>
  <c r="BB110" i="75"/>
  <c r="CA110" i="74"/>
  <c r="CE110" i="77"/>
  <c r="BM110" i="77"/>
  <c r="AO110" i="77"/>
  <c r="CD110" i="77"/>
  <c r="BL110" i="77"/>
  <c r="AZ110" i="77"/>
  <c r="AN110" i="77"/>
  <c r="BX110" i="77"/>
  <c r="BJ110" i="77"/>
  <c r="AX110" i="77"/>
  <c r="AL110" i="77"/>
  <c r="Z110" i="77"/>
  <c r="BW110" i="77"/>
  <c r="BI110" i="77"/>
  <c r="AW110" i="77"/>
  <c r="AK110" i="77"/>
  <c r="Y110" i="77"/>
  <c r="BT110" i="77"/>
  <c r="BG110" i="77"/>
  <c r="AU110" i="77"/>
  <c r="CK110" i="77"/>
  <c r="CN110" i="77" s="1"/>
  <c r="BS110" i="77"/>
  <c r="AT110" i="77"/>
  <c r="AH110" i="77"/>
  <c r="CH110" i="77"/>
  <c r="BP110" i="77"/>
  <c r="BD110" i="77"/>
  <c r="AR110" i="77"/>
  <c r="U111" i="77"/>
  <c r="BN110" i="77"/>
  <c r="AP110" i="77"/>
  <c r="AM110" i="77"/>
  <c r="BH110" i="77"/>
  <c r="AG110" i="77"/>
  <c r="BE110" i="77"/>
  <c r="CG110" i="77"/>
  <c r="BB110" i="77"/>
  <c r="AA110" i="77"/>
  <c r="CF110" i="77"/>
  <c r="AY110" i="77"/>
  <c r="AS110" i="77"/>
  <c r="CI110" i="77"/>
  <c r="CM110" i="77" s="1"/>
  <c r="BU110" i="77"/>
  <c r="BQ110" i="77"/>
  <c r="BC110" i="77"/>
  <c r="CP110" i="75"/>
  <c r="CM111" i="75"/>
  <c r="BJ111" i="74"/>
  <c r="AU111" i="74"/>
  <c r="AH111" i="74"/>
  <c r="BZ111" i="74"/>
  <c r="BI111" i="74"/>
  <c r="AT111" i="74"/>
  <c r="AG111" i="74"/>
  <c r="BU111" i="74"/>
  <c r="AS111" i="74"/>
  <c r="AF111" i="74"/>
  <c r="BT111" i="74"/>
  <c r="BF111" i="74"/>
  <c r="AR111" i="74"/>
  <c r="AE111" i="74"/>
  <c r="CJ111" i="74"/>
  <c r="BS111" i="74"/>
  <c r="BE111" i="74"/>
  <c r="AC111" i="74"/>
  <c r="CI111" i="74"/>
  <c r="BR111" i="74"/>
  <c r="BD111" i="74"/>
  <c r="AP111" i="74"/>
  <c r="CG111" i="74"/>
  <c r="BP111" i="74"/>
  <c r="BA111" i="74"/>
  <c r="AN111" i="74"/>
  <c r="CF111" i="74"/>
  <c r="BO111" i="74"/>
  <c r="AZ111" i="74"/>
  <c r="CE111" i="74"/>
  <c r="BN111" i="74"/>
  <c r="AY111" i="74"/>
  <c r="AO111" i="74"/>
  <c r="AJ111" i="74"/>
  <c r="CH111" i="74"/>
  <c r="CC111" i="74"/>
  <c r="BK111" i="74"/>
  <c r="AB112" i="74"/>
  <c r="AV111" i="74"/>
  <c r="Q113" i="75"/>
  <c r="U113" i="74" s="1"/>
  <c r="S127" i="65" s="1"/>
  <c r="P113" i="75"/>
  <c r="T113" i="74" s="1"/>
  <c r="R127" i="65" s="1"/>
  <c r="O113" i="75"/>
  <c r="N114" i="75"/>
  <c r="S113" i="75"/>
  <c r="W113" i="74" s="1"/>
  <c r="U127" i="65" s="1"/>
  <c r="R113" i="75"/>
  <c r="V113" i="74" s="1"/>
  <c r="T127" i="65" s="1"/>
  <c r="BQ110" i="74"/>
  <c r="BC110" i="74"/>
  <c r="AL110" i="74"/>
  <c r="BM110" i="74"/>
  <c r="AX110" i="74"/>
  <c r="BH110" i="74"/>
  <c r="AQ110" i="74"/>
  <c r="AD110" i="77"/>
  <c r="AB110" i="76"/>
  <c r="AD110" i="75"/>
  <c r="AI110" i="77"/>
  <c r="AG110" i="76"/>
  <c r="AI110" i="75"/>
  <c r="BO110" i="76"/>
  <c r="BC110" i="76"/>
  <c r="AQ110" i="76"/>
  <c r="AE110" i="76"/>
  <c r="CH110" i="76"/>
  <c r="BN110" i="76"/>
  <c r="BB110" i="76"/>
  <c r="AP110" i="76"/>
  <c r="CG110" i="76"/>
  <c r="BA110" i="76"/>
  <c r="CF110" i="76"/>
  <c r="BL110" i="76"/>
  <c r="AZ110" i="76"/>
  <c r="AN110" i="76"/>
  <c r="CE110" i="76"/>
  <c r="BK110" i="76"/>
  <c r="AM110" i="76"/>
  <c r="CD110" i="76"/>
  <c r="BJ110" i="76"/>
  <c r="AX110" i="76"/>
  <c r="AL110" i="76"/>
  <c r="CC110" i="76"/>
  <c r="AW110" i="76"/>
  <c r="AK110" i="76"/>
  <c r="Y110" i="76"/>
  <c r="BH110" i="76"/>
  <c r="AV110" i="76"/>
  <c r="AJ110" i="76"/>
  <c r="X110" i="76"/>
  <c r="S111" i="76"/>
  <c r="BW110" i="76"/>
  <c r="BG110" i="76"/>
  <c r="AU110" i="76"/>
  <c r="AI110" i="76"/>
  <c r="W110" i="76"/>
  <c r="BV110" i="76"/>
  <c r="BF110" i="76"/>
  <c r="V110" i="76"/>
  <c r="BQ110" i="76"/>
  <c r="BP110" i="76"/>
  <c r="BE110" i="76"/>
  <c r="AS110" i="76"/>
  <c r="AR110" i="76"/>
  <c r="AF110" i="76"/>
  <c r="V110" i="77"/>
  <c r="AB110" i="77" s="1"/>
  <c r="T110" i="76"/>
  <c r="Z110" i="76" s="1"/>
  <c r="V110" i="75"/>
  <c r="AB110" i="75" s="1"/>
  <c r="AI110" i="74"/>
  <c r="Q113" i="76"/>
  <c r="P113" i="76"/>
  <c r="O113" i="76"/>
  <c r="N114" i="76"/>
  <c r="AM112" i="74" l="1"/>
  <c r="CD112" i="74"/>
  <c r="CC111" i="77"/>
  <c r="AF111" i="77"/>
  <c r="CD111" i="75"/>
  <c r="AF111" i="75"/>
  <c r="CB111" i="76"/>
  <c r="AD111" i="76"/>
  <c r="CN110" i="75"/>
  <c r="AB118" i="64"/>
  <c r="P128" i="65"/>
  <c r="CA111" i="74"/>
  <c r="CE111" i="76"/>
  <c r="BK111" i="76"/>
  <c r="AM111" i="76"/>
  <c r="CD111" i="76"/>
  <c r="BJ111" i="76"/>
  <c r="AX111" i="76"/>
  <c r="AL111" i="76"/>
  <c r="CC111" i="76"/>
  <c r="AW111" i="76"/>
  <c r="AK111" i="76"/>
  <c r="Y111" i="76"/>
  <c r="BH111" i="76"/>
  <c r="AV111" i="76"/>
  <c r="AJ111" i="76"/>
  <c r="X111" i="76"/>
  <c r="S112" i="76"/>
  <c r="BW111" i="76"/>
  <c r="BG111" i="76"/>
  <c r="AU111" i="76"/>
  <c r="AI111" i="76"/>
  <c r="W111" i="76"/>
  <c r="BV111" i="76"/>
  <c r="BF111" i="76"/>
  <c r="V111" i="76"/>
  <c r="BQ111" i="76"/>
  <c r="BE111" i="76"/>
  <c r="AS111" i="76"/>
  <c r="BP111" i="76"/>
  <c r="AR111" i="76"/>
  <c r="AF111" i="76"/>
  <c r="BO111" i="76"/>
  <c r="BC111" i="76"/>
  <c r="AQ111" i="76"/>
  <c r="AE111" i="76"/>
  <c r="CH111" i="76"/>
  <c r="BN111" i="76"/>
  <c r="BB111" i="76"/>
  <c r="AP111" i="76"/>
  <c r="BL111" i="76"/>
  <c r="BA111" i="76"/>
  <c r="AZ111" i="76"/>
  <c r="AN111" i="76"/>
  <c r="CG111" i="76"/>
  <c r="CF111" i="76"/>
  <c r="BM110" i="76"/>
  <c r="AO110" i="76"/>
  <c r="AC110" i="76"/>
  <c r="AY110" i="76"/>
  <c r="BI110" i="76"/>
  <c r="AT110" i="76"/>
  <c r="AH110" i="76"/>
  <c r="BD110" i="76"/>
  <c r="CF111" i="77"/>
  <c r="BN111" i="77"/>
  <c r="BB111" i="77"/>
  <c r="AP111" i="77"/>
  <c r="CE111" i="77"/>
  <c r="BM111" i="77"/>
  <c r="AO111" i="77"/>
  <c r="AY111" i="77"/>
  <c r="AM111" i="77"/>
  <c r="AA111" i="77"/>
  <c r="BX111" i="77"/>
  <c r="BJ111" i="77"/>
  <c r="AX111" i="77"/>
  <c r="AL111" i="77"/>
  <c r="Z111" i="77"/>
  <c r="BU111" i="77"/>
  <c r="BH111" i="77"/>
  <c r="BT111" i="77"/>
  <c r="BG111" i="77"/>
  <c r="AU111" i="77"/>
  <c r="U112" i="77"/>
  <c r="CI111" i="77"/>
  <c r="CM111" i="77" s="1"/>
  <c r="BQ111" i="77"/>
  <c r="BE111" i="77"/>
  <c r="AS111" i="77"/>
  <c r="AG111" i="77"/>
  <c r="BS111" i="77"/>
  <c r="BP111" i="77"/>
  <c r="AT111" i="77"/>
  <c r="AR111" i="77"/>
  <c r="BL111" i="77"/>
  <c r="AN111" i="77"/>
  <c r="BI111" i="77"/>
  <c r="AK111" i="77"/>
  <c r="CK111" i="77"/>
  <c r="CN111" i="77" s="1"/>
  <c r="BD111" i="77"/>
  <c r="AH111" i="77"/>
  <c r="CH111" i="77"/>
  <c r="BC111" i="77"/>
  <c r="CD111" i="77"/>
  <c r="BW111" i="77"/>
  <c r="Y111" i="77"/>
  <c r="AW111" i="77"/>
  <c r="CG111" i="77"/>
  <c r="AZ111" i="77"/>
  <c r="R114" i="75"/>
  <c r="V114" i="74" s="1"/>
  <c r="T128" i="65" s="1"/>
  <c r="Q114" i="75"/>
  <c r="U114" i="74" s="1"/>
  <c r="S128" i="65" s="1"/>
  <c r="P114" i="75"/>
  <c r="T114" i="74" s="1"/>
  <c r="R128" i="65" s="1"/>
  <c r="O114" i="75"/>
  <c r="S114" i="75"/>
  <c r="W114" i="74" s="1"/>
  <c r="U128" i="65" s="1"/>
  <c r="S114" i="77"/>
  <c r="R114" i="77"/>
  <c r="P114" i="77"/>
  <c r="O114" i="77"/>
  <c r="Q114" i="77"/>
  <c r="P114" i="76"/>
  <c r="O114" i="76"/>
  <c r="Q114" i="76"/>
  <c r="V111" i="77"/>
  <c r="AB111" i="77" s="1"/>
  <c r="T111" i="76"/>
  <c r="Z111" i="76" s="1"/>
  <c r="V111" i="75"/>
  <c r="AB111" i="75" s="1"/>
  <c r="AI111" i="74"/>
  <c r="CO111" i="77"/>
  <c r="CL112" i="77"/>
  <c r="CG112" i="74"/>
  <c r="BP112" i="74"/>
  <c r="BA112" i="74"/>
  <c r="AN112" i="74"/>
  <c r="CF112" i="74"/>
  <c r="BO112" i="74"/>
  <c r="AZ112" i="74"/>
  <c r="CE112" i="74"/>
  <c r="BN112" i="74"/>
  <c r="AY112" i="74"/>
  <c r="AB113" i="74"/>
  <c r="AJ112" i="74"/>
  <c r="CC112" i="74"/>
  <c r="BK112" i="74"/>
  <c r="AV112" i="74"/>
  <c r="BJ112" i="74"/>
  <c r="AU112" i="74"/>
  <c r="AH112" i="74"/>
  <c r="BU112" i="74"/>
  <c r="AS112" i="74"/>
  <c r="AF112" i="74"/>
  <c r="BT112" i="74"/>
  <c r="BF112" i="74"/>
  <c r="AR112" i="74"/>
  <c r="AE112" i="74"/>
  <c r="CJ112" i="74"/>
  <c r="BS112" i="74"/>
  <c r="BE112" i="74"/>
  <c r="AC112" i="74"/>
  <c r="BZ112" i="74"/>
  <c r="BR112" i="74"/>
  <c r="BI112" i="74"/>
  <c r="BD112" i="74"/>
  <c r="AT112" i="74"/>
  <c r="AP112" i="74"/>
  <c r="AO112" i="74"/>
  <c r="AG112" i="74"/>
  <c r="CI112" i="74"/>
  <c r="CH112" i="74"/>
  <c r="BH111" i="74"/>
  <c r="AQ111" i="74"/>
  <c r="AL111" i="74"/>
  <c r="BQ111" i="74"/>
  <c r="BM111" i="74"/>
  <c r="BC111" i="74"/>
  <c r="AX111" i="74"/>
  <c r="CF111" i="75"/>
  <c r="BN111" i="75"/>
  <c r="BB111" i="75"/>
  <c r="AP111" i="75"/>
  <c r="CE111" i="75"/>
  <c r="BM111" i="75"/>
  <c r="AO111" i="75"/>
  <c r="BL111" i="75"/>
  <c r="AZ111" i="75"/>
  <c r="AN111" i="75"/>
  <c r="CC111" i="75"/>
  <c r="AY111" i="75"/>
  <c r="AM111" i="75"/>
  <c r="AA111" i="75"/>
  <c r="BX111" i="75"/>
  <c r="BJ111" i="75"/>
  <c r="AX111" i="75"/>
  <c r="AL111" i="75"/>
  <c r="Z111" i="75"/>
  <c r="BW111" i="75"/>
  <c r="BI111" i="75"/>
  <c r="AW111" i="75"/>
  <c r="AK111" i="75"/>
  <c r="Y111" i="75"/>
  <c r="BU111" i="75"/>
  <c r="BH111" i="75"/>
  <c r="CL111" i="75"/>
  <c r="CO111" i="75" s="1"/>
  <c r="BT111" i="75"/>
  <c r="BG111" i="75"/>
  <c r="AU111" i="75"/>
  <c r="U112" i="75"/>
  <c r="CJ111" i="75"/>
  <c r="BS111" i="75"/>
  <c r="AT111" i="75"/>
  <c r="AH111" i="75"/>
  <c r="CI111" i="75"/>
  <c r="BQ111" i="75"/>
  <c r="BE111" i="75"/>
  <c r="AS111" i="75"/>
  <c r="AG111" i="75"/>
  <c r="BD111" i="75"/>
  <c r="BC111" i="75"/>
  <c r="AR111" i="75"/>
  <c r="CH111" i="75"/>
  <c r="CG111" i="75"/>
  <c r="BP111" i="75"/>
  <c r="O116" i="74"/>
  <c r="O117" i="74"/>
  <c r="AD111" i="77"/>
  <c r="AB111" i="76"/>
  <c r="AD111" i="75"/>
  <c r="CP111" i="75"/>
  <c r="CM112" i="75"/>
  <c r="AI111" i="77"/>
  <c r="AG111" i="76"/>
  <c r="AI111" i="75"/>
  <c r="AM113" i="74" l="1"/>
  <c r="CD113" i="74"/>
  <c r="CB112" i="76"/>
  <c r="AD112" i="76"/>
  <c r="CD112" i="75"/>
  <c r="AF112" i="75"/>
  <c r="CC112" i="77"/>
  <c r="AF112" i="77"/>
  <c r="CN111" i="75"/>
  <c r="AB119" i="64"/>
  <c r="CA112" i="74"/>
  <c r="BU113" i="74"/>
  <c r="AS113" i="74"/>
  <c r="AF113" i="74"/>
  <c r="BT113" i="74"/>
  <c r="BF113" i="74"/>
  <c r="AR113" i="74"/>
  <c r="AE113" i="74"/>
  <c r="CJ113" i="74"/>
  <c r="BS113" i="74"/>
  <c r="BE113" i="74"/>
  <c r="AC113" i="74"/>
  <c r="CI113" i="74"/>
  <c r="BR113" i="74"/>
  <c r="BD113" i="74"/>
  <c r="AP113" i="74"/>
  <c r="CH113" i="74"/>
  <c r="AO113" i="74"/>
  <c r="CG113" i="74"/>
  <c r="BP113" i="74"/>
  <c r="BA113" i="74"/>
  <c r="AN113" i="74"/>
  <c r="CE113" i="74"/>
  <c r="BN113" i="74"/>
  <c r="AY113" i="74"/>
  <c r="AB114" i="74"/>
  <c r="AJ113" i="74"/>
  <c r="CC113" i="74"/>
  <c r="BK113" i="74"/>
  <c r="AV113" i="74"/>
  <c r="AZ113" i="74"/>
  <c r="AU113" i="74"/>
  <c r="AT113" i="74"/>
  <c r="AH113" i="74"/>
  <c r="AG113" i="74"/>
  <c r="CF113" i="74"/>
  <c r="CA113" i="74"/>
  <c r="BZ113" i="74"/>
  <c r="BO113" i="74"/>
  <c r="BJ113" i="74"/>
  <c r="BI113" i="74"/>
  <c r="CG112" i="75"/>
  <c r="BC112" i="75"/>
  <c r="CF112" i="75"/>
  <c r="BN112" i="75"/>
  <c r="BB112" i="75"/>
  <c r="AP112" i="75"/>
  <c r="CE112" i="75"/>
  <c r="BM112" i="75"/>
  <c r="AO112" i="75"/>
  <c r="BL112" i="75"/>
  <c r="AZ112" i="75"/>
  <c r="AN112" i="75"/>
  <c r="CC112" i="75"/>
  <c r="AY112" i="75"/>
  <c r="AM112" i="75"/>
  <c r="AA112" i="75"/>
  <c r="BX112" i="75"/>
  <c r="BJ112" i="75"/>
  <c r="AX112" i="75"/>
  <c r="AL112" i="75"/>
  <c r="Z112" i="75"/>
  <c r="BW112" i="75"/>
  <c r="BI112" i="75"/>
  <c r="AW112" i="75"/>
  <c r="AK112" i="75"/>
  <c r="Y112" i="75"/>
  <c r="BU112" i="75"/>
  <c r="BH112" i="75"/>
  <c r="CL112" i="75"/>
  <c r="CO112" i="75" s="1"/>
  <c r="BT112" i="75"/>
  <c r="BG112" i="75"/>
  <c r="AU112" i="75"/>
  <c r="U113" i="75"/>
  <c r="CJ112" i="75"/>
  <c r="BS112" i="75"/>
  <c r="AT112" i="75"/>
  <c r="AH112" i="75"/>
  <c r="CI112" i="75"/>
  <c r="AR112" i="75"/>
  <c r="CH112" i="75"/>
  <c r="BQ112" i="75"/>
  <c r="BP112" i="75"/>
  <c r="AG112" i="75"/>
  <c r="BE112" i="75"/>
  <c r="BD112" i="75"/>
  <c r="AS112" i="75"/>
  <c r="O117" i="75"/>
  <c r="O116" i="75"/>
  <c r="CL113" i="77"/>
  <c r="CO112" i="77"/>
  <c r="CP112" i="75"/>
  <c r="CM113" i="75"/>
  <c r="V112" i="77"/>
  <c r="AB112" i="77" s="1"/>
  <c r="T112" i="76"/>
  <c r="Z112" i="76" s="1"/>
  <c r="V112" i="75"/>
  <c r="AB112" i="75" s="1"/>
  <c r="AI112" i="74"/>
  <c r="O117" i="76"/>
  <c r="O116" i="76"/>
  <c r="S113" i="76"/>
  <c r="BW112" i="76"/>
  <c r="BG112" i="76"/>
  <c r="AU112" i="76"/>
  <c r="AI112" i="76"/>
  <c r="W112" i="76"/>
  <c r="BV112" i="76"/>
  <c r="BF112" i="76"/>
  <c r="V112" i="76"/>
  <c r="BQ112" i="76"/>
  <c r="BE112" i="76"/>
  <c r="AS112" i="76"/>
  <c r="BP112" i="76"/>
  <c r="AR112" i="76"/>
  <c r="AF112" i="76"/>
  <c r="BO112" i="76"/>
  <c r="BC112" i="76"/>
  <c r="AQ112" i="76"/>
  <c r="AE112" i="76"/>
  <c r="CH112" i="76"/>
  <c r="BN112" i="76"/>
  <c r="BB112" i="76"/>
  <c r="AP112" i="76"/>
  <c r="CG112" i="76"/>
  <c r="BA112" i="76"/>
  <c r="CF112" i="76"/>
  <c r="BL112" i="76"/>
  <c r="AZ112" i="76"/>
  <c r="AN112" i="76"/>
  <c r="CE112" i="76"/>
  <c r="BK112" i="76"/>
  <c r="AM112" i="76"/>
  <c r="CD112" i="76"/>
  <c r="BJ112" i="76"/>
  <c r="AX112" i="76"/>
  <c r="AL112" i="76"/>
  <c r="BH112" i="76"/>
  <c r="AW112" i="76"/>
  <c r="AV112" i="76"/>
  <c r="AK112" i="76"/>
  <c r="AJ112" i="76"/>
  <c r="Y112" i="76"/>
  <c r="X112" i="76"/>
  <c r="CC112" i="76"/>
  <c r="AL112" i="74"/>
  <c r="BM112" i="74"/>
  <c r="AX112" i="74"/>
  <c r="BH112" i="74"/>
  <c r="AQ112" i="74"/>
  <c r="BQ112" i="74"/>
  <c r="BC112" i="74"/>
  <c r="CG112" i="77"/>
  <c r="BC112" i="77"/>
  <c r="CF112" i="77"/>
  <c r="BN112" i="77"/>
  <c r="BB112" i="77"/>
  <c r="AP112" i="77"/>
  <c r="CD112" i="77"/>
  <c r="BL112" i="77"/>
  <c r="AZ112" i="77"/>
  <c r="AN112" i="77"/>
  <c r="AY112" i="77"/>
  <c r="AM112" i="77"/>
  <c r="AA112" i="77"/>
  <c r="BW112" i="77"/>
  <c r="BI112" i="77"/>
  <c r="AW112" i="77"/>
  <c r="AK112" i="77"/>
  <c r="Y112" i="77"/>
  <c r="BU112" i="77"/>
  <c r="BH112" i="77"/>
  <c r="CK112" i="77"/>
  <c r="CN112" i="77" s="1"/>
  <c r="BS112" i="77"/>
  <c r="AT112" i="77"/>
  <c r="AH112" i="77"/>
  <c r="BP112" i="77"/>
  <c r="AU112" i="77"/>
  <c r="Z112" i="77"/>
  <c r="U113" i="77"/>
  <c r="AS112" i="77"/>
  <c r="BM112" i="77"/>
  <c r="AR112" i="77"/>
  <c r="BJ112" i="77"/>
  <c r="AO112" i="77"/>
  <c r="BG112" i="77"/>
  <c r="AL112" i="77"/>
  <c r="CH112" i="77"/>
  <c r="BE112" i="77"/>
  <c r="CE112" i="77"/>
  <c r="BD112" i="77"/>
  <c r="AG112" i="77"/>
  <c r="AX112" i="77"/>
  <c r="BX112" i="77"/>
  <c r="BT112" i="77"/>
  <c r="CI112" i="77"/>
  <c r="CM112" i="77" s="1"/>
  <c r="BQ112" i="77"/>
  <c r="AI112" i="77"/>
  <c r="AG112" i="76"/>
  <c r="AI112" i="75"/>
  <c r="AD112" i="77"/>
  <c r="AB112" i="76"/>
  <c r="AD112" i="75"/>
  <c r="O116" i="77"/>
  <c r="O117" i="77"/>
  <c r="AY111" i="76"/>
  <c r="BI111" i="76"/>
  <c r="AT111" i="76"/>
  <c r="AH111" i="76"/>
  <c r="BD111" i="76"/>
  <c r="BM111" i="76"/>
  <c r="AO111" i="76"/>
  <c r="AC111" i="76"/>
  <c r="CD113" i="75" l="1"/>
  <c r="AF113" i="75"/>
  <c r="CD114" i="74"/>
  <c r="AM114" i="74"/>
  <c r="AF113" i="77"/>
  <c r="CC113" i="77"/>
  <c r="CB113" i="76"/>
  <c r="AD113" i="76"/>
  <c r="CN112" i="75"/>
  <c r="AB120" i="64"/>
  <c r="V113" i="77"/>
  <c r="AB113" i="77" s="1"/>
  <c r="T113" i="76"/>
  <c r="Z113" i="76" s="1"/>
  <c r="V113" i="75"/>
  <c r="AB113" i="75" s="1"/>
  <c r="AI113" i="74"/>
  <c r="CL114" i="77"/>
  <c r="CO114" i="77" s="1"/>
  <c r="CO113" i="77"/>
  <c r="CP113" i="75"/>
  <c r="CM114" i="75"/>
  <c r="CP114" i="75" s="1"/>
  <c r="CH113" i="77"/>
  <c r="BP113" i="77"/>
  <c r="BD113" i="77"/>
  <c r="AR113" i="77"/>
  <c r="CG113" i="77"/>
  <c r="BC113" i="77"/>
  <c r="CE113" i="77"/>
  <c r="BM113" i="77"/>
  <c r="AO113" i="77"/>
  <c r="CD113" i="77"/>
  <c r="BL113" i="77"/>
  <c r="AZ113" i="77"/>
  <c r="AN113" i="77"/>
  <c r="BX113" i="77"/>
  <c r="BJ113" i="77"/>
  <c r="AX113" i="77"/>
  <c r="AL113" i="77"/>
  <c r="Z113" i="77"/>
  <c r="BW113" i="77"/>
  <c r="BI113" i="77"/>
  <c r="AW113" i="77"/>
  <c r="AK113" i="77"/>
  <c r="Y113" i="77"/>
  <c r="BT113" i="77"/>
  <c r="BG113" i="77"/>
  <c r="AU113" i="77"/>
  <c r="BU113" i="77"/>
  <c r="BS113" i="77"/>
  <c r="AT113" i="77"/>
  <c r="BQ113" i="77"/>
  <c r="AS113" i="77"/>
  <c r="U114" i="77"/>
  <c r="BN113" i="77"/>
  <c r="AP113" i="77"/>
  <c r="AM113" i="77"/>
  <c r="AH113" i="77"/>
  <c r="CK113" i="77"/>
  <c r="CN113" i="77" s="1"/>
  <c r="BE113" i="77"/>
  <c r="AG113" i="77"/>
  <c r="CI113" i="77"/>
  <c r="CM113" i="77" s="1"/>
  <c r="CF113" i="77"/>
  <c r="AA113" i="77"/>
  <c r="BB113" i="77"/>
  <c r="BH113" i="77"/>
  <c r="AY113" i="77"/>
  <c r="CH113" i="75"/>
  <c r="BP113" i="75"/>
  <c r="BD113" i="75"/>
  <c r="AR113" i="75"/>
  <c r="CG113" i="75"/>
  <c r="BC113" i="75"/>
  <c r="CF113" i="75"/>
  <c r="BN113" i="75"/>
  <c r="BB113" i="75"/>
  <c r="AP113" i="75"/>
  <c r="CE113" i="75"/>
  <c r="BM113" i="75"/>
  <c r="AO113" i="75"/>
  <c r="BL113" i="75"/>
  <c r="AZ113" i="75"/>
  <c r="AN113" i="75"/>
  <c r="CC113" i="75"/>
  <c r="AY113" i="75"/>
  <c r="AM113" i="75"/>
  <c r="AA113" i="75"/>
  <c r="BX113" i="75"/>
  <c r="BJ113" i="75"/>
  <c r="AX113" i="75"/>
  <c r="AL113" i="75"/>
  <c r="Z113" i="75"/>
  <c r="BW113" i="75"/>
  <c r="BI113" i="75"/>
  <c r="AW113" i="75"/>
  <c r="AK113" i="75"/>
  <c r="Y113" i="75"/>
  <c r="BU113" i="75"/>
  <c r="BH113" i="75"/>
  <c r="CL113" i="75"/>
  <c r="CO113" i="75" s="1"/>
  <c r="BT113" i="75"/>
  <c r="BG113" i="75"/>
  <c r="AU113" i="75"/>
  <c r="U114" i="75"/>
  <c r="AT113" i="75"/>
  <c r="AS113" i="75"/>
  <c r="CJ113" i="75"/>
  <c r="CI113" i="75"/>
  <c r="BS113" i="75"/>
  <c r="AH113" i="75"/>
  <c r="BQ113" i="75"/>
  <c r="AG113" i="75"/>
  <c r="BE113" i="75"/>
  <c r="AT112" i="76"/>
  <c r="AH112" i="76"/>
  <c r="BD112" i="76"/>
  <c r="BM112" i="76"/>
  <c r="AO112" i="76"/>
  <c r="AC112" i="76"/>
  <c r="AY112" i="76"/>
  <c r="BI112" i="76"/>
  <c r="AD113" i="77"/>
  <c r="AB113" i="76"/>
  <c r="AD113" i="75"/>
  <c r="AI113" i="77"/>
  <c r="AG113" i="76"/>
  <c r="AI113" i="75"/>
  <c r="CC113" i="76"/>
  <c r="BQ113" i="76"/>
  <c r="CH113" i="76"/>
  <c r="CG113" i="76"/>
  <c r="BO113" i="76"/>
  <c r="BC113" i="76"/>
  <c r="AQ113" i="76"/>
  <c r="AE113" i="76"/>
  <c r="BN113" i="76"/>
  <c r="BB113" i="76"/>
  <c r="AP113" i="76"/>
  <c r="BA113" i="76"/>
  <c r="S114" i="76"/>
  <c r="BL113" i="76"/>
  <c r="AZ113" i="76"/>
  <c r="AN113" i="76"/>
  <c r="BK113" i="76"/>
  <c r="AM113" i="76"/>
  <c r="BJ113" i="76"/>
  <c r="AX113" i="76"/>
  <c r="AL113" i="76"/>
  <c r="CF113" i="76"/>
  <c r="AW113" i="76"/>
  <c r="AK113" i="76"/>
  <c r="Y113" i="76"/>
  <c r="CE113" i="76"/>
  <c r="BH113" i="76"/>
  <c r="AV113" i="76"/>
  <c r="AJ113" i="76"/>
  <c r="X113" i="76"/>
  <c r="CD113" i="76"/>
  <c r="BG113" i="76"/>
  <c r="AU113" i="76"/>
  <c r="AI113" i="76"/>
  <c r="W113" i="76"/>
  <c r="BW113" i="76"/>
  <c r="BF113" i="76"/>
  <c r="V113" i="76"/>
  <c r="BV113" i="76"/>
  <c r="BP113" i="76"/>
  <c r="BE113" i="76"/>
  <c r="AS113" i="76"/>
  <c r="AR113" i="76"/>
  <c r="AF113" i="76"/>
  <c r="BH113" i="74"/>
  <c r="AQ113" i="74"/>
  <c r="BQ113" i="74"/>
  <c r="BC113" i="74"/>
  <c r="AL113" i="74"/>
  <c r="BM113" i="74"/>
  <c r="AX113" i="74"/>
  <c r="CE114" i="74"/>
  <c r="BN114" i="74"/>
  <c r="AY114" i="74"/>
  <c r="AJ114" i="74"/>
  <c r="CC114" i="74"/>
  <c r="BK114" i="74"/>
  <c r="AV114" i="74"/>
  <c r="CA114" i="74"/>
  <c r="BJ114" i="74"/>
  <c r="AU114" i="74"/>
  <c r="AH114" i="74"/>
  <c r="BZ114" i="74"/>
  <c r="BI114" i="74"/>
  <c r="AT114" i="74"/>
  <c r="AG114" i="74"/>
  <c r="BU114" i="74"/>
  <c r="AS114" i="74"/>
  <c r="AF114" i="74"/>
  <c r="CJ114" i="74"/>
  <c r="BS114" i="74"/>
  <c r="BE114" i="74"/>
  <c r="AC114" i="74"/>
  <c r="CI114" i="74"/>
  <c r="BR114" i="74"/>
  <c r="BD114" i="74"/>
  <c r="AP114" i="74"/>
  <c r="CH114" i="74"/>
  <c r="AO114" i="74"/>
  <c r="AE114" i="74"/>
  <c r="CG114" i="74"/>
  <c r="CF114" i="74"/>
  <c r="BT114" i="74"/>
  <c r="BP114" i="74"/>
  <c r="BO114" i="74"/>
  <c r="BF114" i="74"/>
  <c r="BA114" i="74"/>
  <c r="AZ114" i="74"/>
  <c r="AR114" i="74"/>
  <c r="AN114" i="74"/>
  <c r="AD114" i="76" l="1"/>
  <c r="CB114" i="76"/>
  <c r="AF114" i="75"/>
  <c r="CD114" i="75"/>
  <c r="CC114" i="77"/>
  <c r="AF114" i="77"/>
  <c r="CN113" i="75"/>
  <c r="AB121" i="64"/>
  <c r="AH102" i="74"/>
  <c r="AH100" i="74"/>
  <c r="AH103" i="74"/>
  <c r="AH101" i="74"/>
  <c r="AH104" i="74"/>
  <c r="BA100" i="74"/>
  <c r="BA101" i="74"/>
  <c r="BA102" i="74"/>
  <c r="BA103" i="74"/>
  <c r="BA104" i="74"/>
  <c r="BP100" i="74"/>
  <c r="BP101" i="74"/>
  <c r="BP102" i="74"/>
  <c r="BP103" i="74"/>
  <c r="BP104" i="74"/>
  <c r="AT100" i="74"/>
  <c r="AT101" i="74"/>
  <c r="AT102" i="74"/>
  <c r="AT103" i="74"/>
  <c r="AT104" i="74"/>
  <c r="AO100" i="74"/>
  <c r="AO102" i="74"/>
  <c r="AO101" i="74"/>
  <c r="AO104" i="74"/>
  <c r="AO103" i="74"/>
  <c r="BF100" i="74"/>
  <c r="BF101" i="74"/>
  <c r="BF104" i="74"/>
  <c r="BF102" i="74"/>
  <c r="BF103" i="74"/>
  <c r="BK100" i="74"/>
  <c r="BK102" i="74"/>
  <c r="BK101" i="74"/>
  <c r="BK104" i="74"/>
  <c r="BK103" i="74"/>
  <c r="AD114" i="77"/>
  <c r="AB114" i="76"/>
  <c r="AD114" i="75"/>
  <c r="AO4" i="74"/>
  <c r="AO5" i="74"/>
  <c r="AO6" i="74"/>
  <c r="AO7" i="74"/>
  <c r="AO8" i="74"/>
  <c r="AO9" i="74"/>
  <c r="AO10" i="74"/>
  <c r="AO11" i="74"/>
  <c r="AO13" i="74"/>
  <c r="AO15" i="74"/>
  <c r="AO12" i="74"/>
  <c r="AO14" i="74"/>
  <c r="AO16" i="74"/>
  <c r="AO17" i="74"/>
  <c r="AO18" i="74"/>
  <c r="AO19" i="74"/>
  <c r="AO20" i="74"/>
  <c r="AO21" i="74"/>
  <c r="AO23" i="74"/>
  <c r="AO22" i="74"/>
  <c r="AO24" i="74"/>
  <c r="AO25" i="74"/>
  <c r="AO26" i="74"/>
  <c r="AO27" i="74"/>
  <c r="AO28" i="74"/>
  <c r="AO29" i="74"/>
  <c r="AO30" i="74"/>
  <c r="AO31" i="74"/>
  <c r="AO32" i="74"/>
  <c r="AO35" i="74"/>
  <c r="AO34" i="74"/>
  <c r="AO33" i="74"/>
  <c r="AO36" i="74"/>
  <c r="AO37" i="74"/>
  <c r="AO38" i="74"/>
  <c r="AO39" i="74"/>
  <c r="AO41" i="74"/>
  <c r="AO40" i="74"/>
  <c r="AO42" i="74"/>
  <c r="AO43" i="74"/>
  <c r="AO44" i="74"/>
  <c r="AO45" i="74"/>
  <c r="AO46" i="74"/>
  <c r="AO47" i="74"/>
  <c r="AO48" i="74"/>
  <c r="AO49" i="74"/>
  <c r="AO50" i="74"/>
  <c r="AO51" i="74"/>
  <c r="AO52" i="74"/>
  <c r="AO53" i="74"/>
  <c r="AO54" i="74"/>
  <c r="AO55" i="74"/>
  <c r="AO56" i="74"/>
  <c r="AO57" i="74"/>
  <c r="AO58" i="74"/>
  <c r="AO59" i="74"/>
  <c r="AO60" i="74"/>
  <c r="AO61" i="74"/>
  <c r="AO62" i="74"/>
  <c r="AO63" i="74"/>
  <c r="AO64" i="74"/>
  <c r="AO65" i="74"/>
  <c r="AO66" i="74"/>
  <c r="AO67" i="74"/>
  <c r="AO68" i="74"/>
  <c r="AO69" i="74"/>
  <c r="AO71" i="74"/>
  <c r="AO70" i="74"/>
  <c r="AO72" i="74"/>
  <c r="AO73" i="74"/>
  <c r="AO75" i="74"/>
  <c r="AO74" i="74"/>
  <c r="AO76" i="74"/>
  <c r="AO77" i="74"/>
  <c r="AO78" i="74"/>
  <c r="AO79" i="74"/>
  <c r="AO81" i="74"/>
  <c r="AO80" i="74"/>
  <c r="AO82" i="74"/>
  <c r="AO84" i="74"/>
  <c r="AO83" i="74"/>
  <c r="AO85" i="74"/>
  <c r="AO86" i="74"/>
  <c r="AO87" i="74"/>
  <c r="AO88" i="74"/>
  <c r="AO89" i="74"/>
  <c r="AO90" i="74"/>
  <c r="AO91" i="74"/>
  <c r="AO92" i="74"/>
  <c r="AO93" i="74"/>
  <c r="AO94" i="74"/>
  <c r="AO95" i="74"/>
  <c r="AO97" i="74"/>
  <c r="AO96" i="74"/>
  <c r="AO99" i="74"/>
  <c r="AO98" i="74"/>
  <c r="AH4" i="74"/>
  <c r="AH5" i="74"/>
  <c r="AH8" i="74"/>
  <c r="AH7" i="74"/>
  <c r="AH6" i="74"/>
  <c r="AH10" i="74"/>
  <c r="AH9" i="74"/>
  <c r="AH11" i="74"/>
  <c r="AH13" i="74"/>
  <c r="AH12" i="74"/>
  <c r="AH15" i="74"/>
  <c r="AH16" i="74"/>
  <c r="AH18" i="74"/>
  <c r="AH14" i="74"/>
  <c r="AH20" i="74"/>
  <c r="AH17" i="74"/>
  <c r="AH19" i="74"/>
  <c r="AH21" i="74"/>
  <c r="AH22" i="74"/>
  <c r="AH24" i="74"/>
  <c r="AH23" i="74"/>
  <c r="AH26" i="74"/>
  <c r="AH25" i="74"/>
  <c r="AH28" i="74"/>
  <c r="AH27" i="74"/>
  <c r="AH29" i="74"/>
  <c r="AH30" i="74"/>
  <c r="AH36" i="74"/>
  <c r="AH31" i="74"/>
  <c r="AH33" i="74"/>
  <c r="AH35" i="74"/>
  <c r="AH32" i="74"/>
  <c r="AH34" i="74"/>
  <c r="AH37" i="74"/>
  <c r="AH40" i="74"/>
  <c r="AH38" i="74"/>
  <c r="AH42" i="74"/>
  <c r="AH39" i="74"/>
  <c r="AH41" i="74"/>
  <c r="AH44" i="74"/>
  <c r="AH43" i="74"/>
  <c r="AH45" i="74"/>
  <c r="AH46" i="74"/>
  <c r="AH47" i="74"/>
  <c r="AH48" i="74"/>
  <c r="AH49" i="74"/>
  <c r="AH50" i="74"/>
  <c r="AH51" i="74"/>
  <c r="AH53" i="74"/>
  <c r="AH52" i="74"/>
  <c r="AH55" i="74"/>
  <c r="AH54" i="74"/>
  <c r="AH56" i="74"/>
  <c r="AH60" i="74"/>
  <c r="AH57" i="74"/>
  <c r="AH58" i="74"/>
  <c r="AH59" i="74"/>
  <c r="AH62" i="74"/>
  <c r="AH61" i="74"/>
  <c r="AH65" i="74"/>
  <c r="AH64" i="74"/>
  <c r="AH66" i="74"/>
  <c r="AH63" i="74"/>
  <c r="AH67" i="74"/>
  <c r="AH68" i="74"/>
  <c r="AH71" i="74"/>
  <c r="AH69" i="74"/>
  <c r="AH70" i="74"/>
  <c r="AH75" i="74"/>
  <c r="AH72" i="74"/>
  <c r="AH73" i="74"/>
  <c r="AH78" i="74"/>
  <c r="AH77" i="74"/>
  <c r="AH74" i="74"/>
  <c r="AH76" i="74"/>
  <c r="AH80" i="74"/>
  <c r="AH79" i="74"/>
  <c r="AH83" i="74"/>
  <c r="AH85" i="74"/>
  <c r="AH81" i="74"/>
  <c r="AH82" i="74"/>
  <c r="AH84" i="74"/>
  <c r="AH87" i="74"/>
  <c r="AH86" i="74"/>
  <c r="AH88" i="74"/>
  <c r="AH90" i="74"/>
  <c r="AH92" i="74"/>
  <c r="AH89" i="74"/>
  <c r="AH91" i="74"/>
  <c r="AH93" i="74"/>
  <c r="AH94" i="74"/>
  <c r="AH95" i="74"/>
  <c r="AH96" i="74"/>
  <c r="AH99" i="74"/>
  <c r="AH97" i="74"/>
  <c r="AH98" i="74"/>
  <c r="AI114" i="77"/>
  <c r="AG114" i="76"/>
  <c r="AI114" i="75"/>
  <c r="BA5" i="74"/>
  <c r="BA6" i="74"/>
  <c r="BA4" i="74"/>
  <c r="BA7" i="74"/>
  <c r="BA10" i="74"/>
  <c r="BA8" i="74"/>
  <c r="BA9" i="74"/>
  <c r="BA11" i="74"/>
  <c r="BA13" i="74"/>
  <c r="BA15" i="74"/>
  <c r="BA12" i="74"/>
  <c r="BA14" i="74"/>
  <c r="BA17" i="74"/>
  <c r="BA16" i="74"/>
  <c r="BA19" i="74"/>
  <c r="BA18" i="74"/>
  <c r="BA20" i="74"/>
  <c r="BA21" i="74"/>
  <c r="BA22" i="74"/>
  <c r="BA23" i="74"/>
  <c r="BA24" i="74"/>
  <c r="BA25" i="74"/>
  <c r="BA27" i="74"/>
  <c r="BA28" i="74"/>
  <c r="BA26" i="74"/>
  <c r="BA30" i="74"/>
  <c r="BA29" i="74"/>
  <c r="BA31" i="74"/>
  <c r="BA32" i="74"/>
  <c r="BA33" i="74"/>
  <c r="BA34" i="74"/>
  <c r="BA36" i="74"/>
  <c r="BA35" i="74"/>
  <c r="BA37" i="74"/>
  <c r="BA38" i="74"/>
  <c r="BA39" i="74"/>
  <c r="BA40" i="74"/>
  <c r="BA41" i="74"/>
  <c r="BA43" i="74"/>
  <c r="BA42" i="74"/>
  <c r="BA45" i="74"/>
  <c r="BA44" i="74"/>
  <c r="BA46" i="74"/>
  <c r="BA47" i="74"/>
  <c r="BA49" i="74"/>
  <c r="BA48" i="74"/>
  <c r="BA51" i="74"/>
  <c r="BA50" i="74"/>
  <c r="BA53" i="74"/>
  <c r="BA52" i="74"/>
  <c r="BA54" i="74"/>
  <c r="BA55" i="74"/>
  <c r="BA56" i="74"/>
  <c r="BA58" i="74"/>
  <c r="BA57" i="74"/>
  <c r="BA59" i="74"/>
  <c r="BA61" i="74"/>
  <c r="BA60" i="74"/>
  <c r="BA63" i="74"/>
  <c r="BA62" i="74"/>
  <c r="BA64" i="74"/>
  <c r="BA65" i="74"/>
  <c r="BA67" i="74"/>
  <c r="BA66" i="74"/>
  <c r="BA68" i="74"/>
  <c r="BA69" i="74"/>
  <c r="BA70" i="74"/>
  <c r="BA71" i="74"/>
  <c r="BA72" i="74"/>
  <c r="BA73" i="74"/>
  <c r="BA74" i="74"/>
  <c r="BA76" i="74"/>
  <c r="BA75" i="74"/>
  <c r="BA77" i="74"/>
  <c r="BA78" i="74"/>
  <c r="BA79" i="74"/>
  <c r="BA81" i="74"/>
  <c r="BA80" i="74"/>
  <c r="BA82" i="74"/>
  <c r="BA83" i="74"/>
  <c r="BA84" i="74"/>
  <c r="BA85" i="74"/>
  <c r="BA86" i="74"/>
  <c r="BA87" i="74"/>
  <c r="BA88" i="74"/>
  <c r="BA89" i="74"/>
  <c r="BA91" i="74"/>
  <c r="BA90" i="74"/>
  <c r="BA93" i="74"/>
  <c r="BA94" i="74"/>
  <c r="BA92" i="74"/>
  <c r="BA95" i="74"/>
  <c r="BA96" i="74"/>
  <c r="BA97" i="74"/>
  <c r="BA98" i="74"/>
  <c r="BA99" i="74"/>
  <c r="BT114" i="77"/>
  <c r="BG114" i="77"/>
  <c r="AU114" i="77"/>
  <c r="CI114" i="77"/>
  <c r="CM114" i="77" s="1"/>
  <c r="BQ114" i="77"/>
  <c r="BE114" i="77"/>
  <c r="AS114" i="77"/>
  <c r="AG114" i="77"/>
  <c r="CH114" i="77"/>
  <c r="BP114" i="77"/>
  <c r="BD114" i="77"/>
  <c r="AR114" i="77"/>
  <c r="CF114" i="77"/>
  <c r="BN114" i="77"/>
  <c r="BB114" i="77"/>
  <c r="AP114" i="77"/>
  <c r="CE114" i="77"/>
  <c r="BM114" i="77"/>
  <c r="AO114" i="77"/>
  <c r="CD114" i="77"/>
  <c r="BL114" i="77"/>
  <c r="AZ114" i="77"/>
  <c r="AY114" i="77"/>
  <c r="AM114" i="77"/>
  <c r="AA114" i="77"/>
  <c r="BX114" i="77"/>
  <c r="BJ114" i="77"/>
  <c r="AX114" i="77"/>
  <c r="AL114" i="77"/>
  <c r="Z114" i="77"/>
  <c r="BU114" i="77"/>
  <c r="BH114" i="77"/>
  <c r="BI114" i="77"/>
  <c r="BC114" i="77"/>
  <c r="Y114" i="77"/>
  <c r="AW114" i="77"/>
  <c r="CG114" i="77"/>
  <c r="BW114" i="77"/>
  <c r="AN114" i="77"/>
  <c r="AT114" i="77"/>
  <c r="AK114" i="77"/>
  <c r="AH114" i="77"/>
  <c r="CK114" i="77"/>
  <c r="CN114" i="77" s="1"/>
  <c r="BS114" i="77"/>
  <c r="BP5" i="74"/>
  <c r="BP6" i="74"/>
  <c r="BP4" i="74"/>
  <c r="BP7" i="74"/>
  <c r="BP8" i="74"/>
  <c r="BP10" i="74"/>
  <c r="BP9" i="74"/>
  <c r="BP11" i="74"/>
  <c r="BP15" i="74"/>
  <c r="BP12" i="74"/>
  <c r="BP13" i="74"/>
  <c r="BP14" i="74"/>
  <c r="BP16" i="74"/>
  <c r="BP17" i="74"/>
  <c r="BP18" i="74"/>
  <c r="BP19" i="74"/>
  <c r="BP20" i="74"/>
  <c r="BP21" i="74"/>
  <c r="BP22" i="74"/>
  <c r="BP23" i="74"/>
  <c r="BP24" i="74"/>
  <c r="BP25" i="74"/>
  <c r="BP26" i="74"/>
  <c r="BP27" i="74"/>
  <c r="BP28" i="74"/>
  <c r="BP29" i="74"/>
  <c r="BP31" i="74"/>
  <c r="BP30" i="74"/>
  <c r="BP33" i="74"/>
  <c r="BP32" i="74"/>
  <c r="BP34" i="74"/>
  <c r="BP35" i="74"/>
  <c r="BP36" i="74"/>
  <c r="BP37" i="74"/>
  <c r="BP38" i="74"/>
  <c r="BP40" i="74"/>
  <c r="BP39" i="74"/>
  <c r="BP42" i="74"/>
  <c r="BP43" i="74"/>
  <c r="BP41" i="74"/>
  <c r="BP44" i="74"/>
  <c r="BP46" i="74"/>
  <c r="BP45" i="74"/>
  <c r="BP47" i="74"/>
  <c r="BP49" i="74"/>
  <c r="BP48" i="74"/>
  <c r="BP51" i="74"/>
  <c r="BP50" i="74"/>
  <c r="BP52" i="74"/>
  <c r="BP53" i="74"/>
  <c r="BP54" i="74"/>
  <c r="BP56" i="74"/>
  <c r="BP55" i="74"/>
  <c r="BP57" i="74"/>
  <c r="BP58" i="74"/>
  <c r="BP59" i="74"/>
  <c r="BP60" i="74"/>
  <c r="BP61" i="74"/>
  <c r="BP62" i="74"/>
  <c r="BP63" i="74"/>
  <c r="BP66" i="74"/>
  <c r="BP65" i="74"/>
  <c r="BP64" i="74"/>
  <c r="BP67" i="74"/>
  <c r="BP68" i="74"/>
  <c r="BP69" i="74"/>
  <c r="BP70" i="74"/>
  <c r="BP71" i="74"/>
  <c r="BP72" i="74"/>
  <c r="BP74" i="74"/>
  <c r="BP73" i="74"/>
  <c r="BP75" i="74"/>
  <c r="BP76" i="74"/>
  <c r="BP77" i="74"/>
  <c r="BP78" i="74"/>
  <c r="BP79" i="74"/>
  <c r="BP80" i="74"/>
  <c r="BP81" i="74"/>
  <c r="BP83" i="74"/>
  <c r="BP82" i="74"/>
  <c r="BP85" i="74"/>
  <c r="BP84" i="74"/>
  <c r="BP86" i="74"/>
  <c r="BP87" i="74"/>
  <c r="BP90" i="74"/>
  <c r="BP88" i="74"/>
  <c r="BP91" i="74"/>
  <c r="BP89" i="74"/>
  <c r="BP92" i="74"/>
  <c r="BP93" i="74"/>
  <c r="BP95" i="74"/>
  <c r="BP94" i="74"/>
  <c r="BP96" i="74"/>
  <c r="BP97" i="74"/>
  <c r="BP98" i="74"/>
  <c r="BP99" i="74"/>
  <c r="V114" i="77"/>
  <c r="AB114" i="77" s="1"/>
  <c r="T114" i="76"/>
  <c r="Z114" i="76" s="1"/>
  <c r="V114" i="75"/>
  <c r="AB114" i="75" s="1"/>
  <c r="AI114" i="74"/>
  <c r="AT5" i="74"/>
  <c r="AT4" i="74"/>
  <c r="AT6" i="74"/>
  <c r="AT7" i="74"/>
  <c r="AT8" i="74"/>
  <c r="AT9" i="74"/>
  <c r="AT11" i="74"/>
  <c r="AT15" i="74"/>
  <c r="AT10" i="74"/>
  <c r="AT12" i="74"/>
  <c r="AT16" i="74"/>
  <c r="AT13" i="74"/>
  <c r="AT14" i="74"/>
  <c r="AT19" i="74"/>
  <c r="AT17" i="74"/>
  <c r="AT18" i="74"/>
  <c r="AT20" i="74"/>
  <c r="AT21" i="74"/>
  <c r="AT23" i="74"/>
  <c r="AT22" i="74"/>
  <c r="AT25" i="74"/>
  <c r="AT24" i="74"/>
  <c r="AT26" i="74"/>
  <c r="AT27" i="74"/>
  <c r="AT29" i="74"/>
  <c r="AT28" i="74"/>
  <c r="AT30" i="74"/>
  <c r="AT31" i="74"/>
  <c r="AT32" i="74"/>
  <c r="AT33" i="74"/>
  <c r="AT34" i="74"/>
  <c r="AT36" i="74"/>
  <c r="AT35" i="74"/>
  <c r="AT38" i="74"/>
  <c r="AT40" i="74"/>
  <c r="AT37" i="74"/>
  <c r="AT41" i="74"/>
  <c r="AT39" i="74"/>
  <c r="AT43" i="74"/>
  <c r="AT42" i="74"/>
  <c r="AT44" i="74"/>
  <c r="AT45" i="74"/>
  <c r="AT46" i="74"/>
  <c r="AT50" i="74"/>
  <c r="AT47" i="74"/>
  <c r="AT48" i="74"/>
  <c r="AT49" i="74"/>
  <c r="AT52" i="74"/>
  <c r="AT51" i="74"/>
  <c r="AT54" i="74"/>
  <c r="AT53" i="74"/>
  <c r="AT57" i="74"/>
  <c r="AT55" i="74"/>
  <c r="AT56" i="74"/>
  <c r="AT58" i="74"/>
  <c r="AT60" i="74"/>
  <c r="AT59" i="74"/>
  <c r="AT62" i="74"/>
  <c r="AT64" i="74"/>
  <c r="AT61" i="74"/>
  <c r="AT63" i="74"/>
  <c r="AT65" i="74"/>
  <c r="AT66" i="74"/>
  <c r="AT68" i="74"/>
  <c r="AT69" i="74"/>
  <c r="AT67" i="74"/>
  <c r="AT72" i="74"/>
  <c r="AT71" i="74"/>
  <c r="AT70" i="74"/>
  <c r="AT73" i="74"/>
  <c r="AT74" i="74"/>
  <c r="AT75" i="74"/>
  <c r="AT78" i="74"/>
  <c r="AT76" i="74"/>
  <c r="AT77" i="74"/>
  <c r="AT80" i="74"/>
  <c r="AT79" i="74"/>
  <c r="AT82" i="74"/>
  <c r="AT81" i="74"/>
  <c r="AT83" i="74"/>
  <c r="AT84" i="74"/>
  <c r="AT85" i="74"/>
  <c r="AT87" i="74"/>
  <c r="AT86" i="74"/>
  <c r="AT89" i="74"/>
  <c r="AT88" i="74"/>
  <c r="AT90" i="74"/>
  <c r="AT91" i="74"/>
  <c r="AT92" i="74"/>
  <c r="AT93" i="74"/>
  <c r="AT94" i="74"/>
  <c r="AT96" i="74"/>
  <c r="AT95" i="74"/>
  <c r="AT97" i="74"/>
  <c r="AT98" i="74"/>
  <c r="AT99" i="74"/>
  <c r="BM113" i="76"/>
  <c r="AO113" i="76"/>
  <c r="AC113" i="76"/>
  <c r="AY113" i="76"/>
  <c r="BI113" i="76"/>
  <c r="AT113" i="76"/>
  <c r="AH113" i="76"/>
  <c r="BD113" i="76"/>
  <c r="BF5" i="74"/>
  <c r="BF4" i="74"/>
  <c r="BF6" i="74"/>
  <c r="BF8" i="74"/>
  <c r="BF7" i="74"/>
  <c r="BF10" i="74"/>
  <c r="BF9" i="74"/>
  <c r="BF12" i="74"/>
  <c r="BF15" i="74"/>
  <c r="BF11" i="74"/>
  <c r="BF13" i="74"/>
  <c r="BF17" i="74"/>
  <c r="BF16" i="74"/>
  <c r="BF18" i="74"/>
  <c r="BF14" i="74"/>
  <c r="BF19" i="74"/>
  <c r="BF22" i="74"/>
  <c r="BF20" i="74"/>
  <c r="BF23" i="74"/>
  <c r="BF21" i="74"/>
  <c r="BF24" i="74"/>
  <c r="BF26" i="74"/>
  <c r="BF25" i="74"/>
  <c r="BF29" i="74"/>
  <c r="BF27" i="74"/>
  <c r="BF28" i="74"/>
  <c r="BF31" i="74"/>
  <c r="BF30" i="74"/>
  <c r="BF34" i="74"/>
  <c r="BF32" i="74"/>
  <c r="BF33" i="74"/>
  <c r="BF36" i="74"/>
  <c r="BF35" i="74"/>
  <c r="BF38" i="74"/>
  <c r="BF40" i="74"/>
  <c r="BF37" i="74"/>
  <c r="BF39" i="74"/>
  <c r="BF42" i="74"/>
  <c r="BF41" i="74"/>
  <c r="BF44" i="74"/>
  <c r="BF43" i="74"/>
  <c r="BF46" i="74"/>
  <c r="BF45" i="74"/>
  <c r="BF47" i="74"/>
  <c r="BF48" i="74"/>
  <c r="BF49" i="74"/>
  <c r="BF50" i="74"/>
  <c r="BF52" i="74"/>
  <c r="BF53" i="74"/>
  <c r="BF51" i="74"/>
  <c r="BF55" i="74"/>
  <c r="BF54" i="74"/>
  <c r="BF56" i="74"/>
  <c r="BF57" i="74"/>
  <c r="BF59" i="74"/>
  <c r="BF58" i="74"/>
  <c r="BF60" i="74"/>
  <c r="BF61" i="74"/>
  <c r="BF62" i="74"/>
  <c r="BF64" i="74"/>
  <c r="BF65" i="74"/>
  <c r="BF67" i="74"/>
  <c r="BF63" i="74"/>
  <c r="BF69" i="74"/>
  <c r="BF66" i="74"/>
  <c r="BF68" i="74"/>
  <c r="BF72" i="74"/>
  <c r="BF70" i="74"/>
  <c r="BF71" i="74"/>
  <c r="BF73" i="74"/>
  <c r="BF75" i="74"/>
  <c r="BF74" i="74"/>
  <c r="BF76" i="74"/>
  <c r="BF77" i="74"/>
  <c r="BF78" i="74"/>
  <c r="BF79" i="74"/>
  <c r="BF80" i="74"/>
  <c r="BF81" i="74"/>
  <c r="BF82" i="74"/>
  <c r="BF85" i="74"/>
  <c r="BF84" i="74"/>
  <c r="BF83" i="74"/>
  <c r="BF87" i="74"/>
  <c r="BF86" i="74"/>
  <c r="BF88" i="74"/>
  <c r="BF89" i="74"/>
  <c r="BF90" i="74"/>
  <c r="BF91" i="74"/>
  <c r="BF92" i="74"/>
  <c r="BF95" i="74"/>
  <c r="BF94" i="74"/>
  <c r="BF93" i="74"/>
  <c r="BF96" i="74"/>
  <c r="BF97" i="74"/>
  <c r="BF98" i="74"/>
  <c r="BF99" i="74"/>
  <c r="BK5" i="74"/>
  <c r="BK4" i="74"/>
  <c r="BK6" i="74"/>
  <c r="BK7" i="74"/>
  <c r="BK8" i="74"/>
  <c r="BK9" i="74"/>
  <c r="BK10" i="74"/>
  <c r="BK11" i="74"/>
  <c r="BK15" i="74"/>
  <c r="BK12" i="74"/>
  <c r="BK13" i="74"/>
  <c r="BK17" i="74"/>
  <c r="BK14" i="74"/>
  <c r="BK16" i="74"/>
  <c r="BK18" i="74"/>
  <c r="BK21" i="74"/>
  <c r="BK19" i="74"/>
  <c r="BK20" i="74"/>
  <c r="BK22" i="74"/>
  <c r="BK23" i="74"/>
  <c r="BK24" i="74"/>
  <c r="BK26" i="74"/>
  <c r="BK25" i="74"/>
  <c r="BK27" i="74"/>
  <c r="BK28" i="74"/>
  <c r="BK30" i="74"/>
  <c r="BK29" i="74"/>
  <c r="BK31" i="74"/>
  <c r="BK32" i="74"/>
  <c r="BK33" i="74"/>
  <c r="BK34" i="74"/>
  <c r="BK36" i="74"/>
  <c r="BK35" i="74"/>
  <c r="BK37" i="74"/>
  <c r="BK38" i="74"/>
  <c r="BK39" i="74"/>
  <c r="BK40" i="74"/>
  <c r="BK41" i="74"/>
  <c r="BK42" i="74"/>
  <c r="BK43" i="74"/>
  <c r="BK44" i="74"/>
  <c r="BK45" i="74"/>
  <c r="BK46" i="74"/>
  <c r="BK48" i="74"/>
  <c r="BK47" i="74"/>
  <c r="BK50" i="74"/>
  <c r="BK49" i="74"/>
  <c r="BK52" i="74"/>
  <c r="BK51" i="74"/>
  <c r="BK53" i="74"/>
  <c r="BK55" i="74"/>
  <c r="BK54" i="74"/>
  <c r="BK57" i="74"/>
  <c r="BK56" i="74"/>
  <c r="BK58" i="74"/>
  <c r="BK59" i="74"/>
  <c r="BK60" i="74"/>
  <c r="BK61" i="74"/>
  <c r="BK62" i="74"/>
  <c r="BK63" i="74"/>
  <c r="BK64" i="74"/>
  <c r="BK65" i="74"/>
  <c r="BK67" i="74"/>
  <c r="BK66" i="74"/>
  <c r="BK68" i="74"/>
  <c r="BK69" i="74"/>
  <c r="BK70" i="74"/>
  <c r="BK71" i="74"/>
  <c r="BK72" i="74"/>
  <c r="BK73" i="74"/>
  <c r="BK75" i="74"/>
  <c r="BK74" i="74"/>
  <c r="BK76" i="74"/>
  <c r="BK78" i="74"/>
  <c r="BK77" i="74"/>
  <c r="BK80" i="74"/>
  <c r="BK81" i="74"/>
  <c r="BK79" i="74"/>
  <c r="BK83" i="74"/>
  <c r="BK82" i="74"/>
  <c r="BK86" i="74"/>
  <c r="BK85" i="74"/>
  <c r="BK84" i="74"/>
  <c r="BK87" i="74"/>
  <c r="BK88" i="74"/>
  <c r="BK90" i="74"/>
  <c r="BK89" i="74"/>
  <c r="BK91" i="74"/>
  <c r="BK92" i="74"/>
  <c r="BK93" i="74"/>
  <c r="BK95" i="74"/>
  <c r="BK94" i="74"/>
  <c r="BK96" i="74"/>
  <c r="BK99" i="74"/>
  <c r="BK98" i="74"/>
  <c r="BK97" i="74"/>
  <c r="BQ114" i="76"/>
  <c r="BV104" i="76" s="1"/>
  <c r="BE114" i="76"/>
  <c r="AS114" i="76"/>
  <c r="BP114" i="76"/>
  <c r="AR114" i="76"/>
  <c r="AF114" i="76"/>
  <c r="CH114" i="76"/>
  <c r="BN114" i="76"/>
  <c r="BB114" i="76"/>
  <c r="AP114" i="76"/>
  <c r="CG114" i="76"/>
  <c r="BA114" i="76"/>
  <c r="CF114" i="76"/>
  <c r="BL114" i="76"/>
  <c r="AZ114" i="76"/>
  <c r="AN114" i="76"/>
  <c r="CD114" i="76"/>
  <c r="BJ114" i="76"/>
  <c r="AX114" i="76"/>
  <c r="AL114" i="76"/>
  <c r="CC114" i="76"/>
  <c r="AW114" i="76"/>
  <c r="AK114" i="76"/>
  <c r="Y114" i="76"/>
  <c r="AV114" i="76"/>
  <c r="W114" i="76"/>
  <c r="CE114" i="76"/>
  <c r="AU114" i="76"/>
  <c r="V114" i="76"/>
  <c r="BW114" i="76"/>
  <c r="AQ114" i="76"/>
  <c r="BV114" i="76"/>
  <c r="AM114" i="76"/>
  <c r="BO114" i="76"/>
  <c r="AJ114" i="76"/>
  <c r="BK114" i="76"/>
  <c r="AI114" i="76"/>
  <c r="BH114" i="76"/>
  <c r="BG114" i="76"/>
  <c r="AE114" i="76"/>
  <c r="BF114" i="76"/>
  <c r="BC114" i="76"/>
  <c r="X114" i="76"/>
  <c r="CI114" i="75"/>
  <c r="BQ114" i="75"/>
  <c r="BE114" i="75"/>
  <c r="AS114" i="75"/>
  <c r="AG114" i="75"/>
  <c r="CH114" i="75"/>
  <c r="BP114" i="75"/>
  <c r="BD114" i="75"/>
  <c r="AR114" i="75"/>
  <c r="CG114" i="75"/>
  <c r="BC114" i="75"/>
  <c r="CF114" i="75"/>
  <c r="BN114" i="75"/>
  <c r="BB114" i="75"/>
  <c r="AP114" i="75"/>
  <c r="CE114" i="75"/>
  <c r="BM114" i="75"/>
  <c r="AO114" i="75"/>
  <c r="BL114" i="75"/>
  <c r="AZ114" i="75"/>
  <c r="AN114" i="75"/>
  <c r="CC114" i="75"/>
  <c r="AY114" i="75"/>
  <c r="AM114" i="75"/>
  <c r="AA114" i="75"/>
  <c r="BX114" i="75"/>
  <c r="BJ114" i="75"/>
  <c r="AX114" i="75"/>
  <c r="AL114" i="75"/>
  <c r="Z114" i="75"/>
  <c r="BW114" i="75"/>
  <c r="BI114" i="75"/>
  <c r="AW114" i="75"/>
  <c r="AK114" i="75"/>
  <c r="Y114" i="75"/>
  <c r="BU114" i="75"/>
  <c r="BH114" i="75"/>
  <c r="BG114" i="75"/>
  <c r="AU114" i="75"/>
  <c r="AT114" i="75"/>
  <c r="CL114" i="75"/>
  <c r="CO114" i="75" s="1"/>
  <c r="CJ114" i="75"/>
  <c r="BT114" i="75"/>
  <c r="BS114" i="75"/>
  <c r="AH114" i="75"/>
  <c r="AL114" i="74"/>
  <c r="BM114" i="74"/>
  <c r="AX114" i="74"/>
  <c r="BH114" i="74"/>
  <c r="AQ114" i="74"/>
  <c r="BQ114" i="74"/>
  <c r="BC114" i="74"/>
  <c r="CN114" i="75" l="1"/>
  <c r="AB122" i="64"/>
  <c r="Y100" i="76"/>
  <c r="Y104" i="76"/>
  <c r="Y103" i="76"/>
  <c r="Y101" i="76"/>
  <c r="Y102" i="76"/>
  <c r="AK100" i="76"/>
  <c r="AK101" i="76"/>
  <c r="AK102" i="76"/>
  <c r="AK103" i="76"/>
  <c r="AK104" i="76"/>
  <c r="AM100" i="75"/>
  <c r="AM101" i="75"/>
  <c r="AM102" i="75"/>
  <c r="AM103" i="75"/>
  <c r="AM104" i="75"/>
  <c r="AM100" i="77"/>
  <c r="AM101" i="77"/>
  <c r="AM103" i="77"/>
  <c r="AM102" i="77"/>
  <c r="AM104" i="77"/>
  <c r="BX100" i="75"/>
  <c r="BX102" i="75"/>
  <c r="BX101" i="75"/>
  <c r="BX104" i="75"/>
  <c r="BX103" i="75"/>
  <c r="AA100" i="75"/>
  <c r="AA103" i="75"/>
  <c r="AA102" i="75"/>
  <c r="AA104" i="75"/>
  <c r="AA101" i="75"/>
  <c r="AF100" i="76"/>
  <c r="AF101" i="76"/>
  <c r="AF102" i="76"/>
  <c r="AF103" i="76"/>
  <c r="AF104" i="76"/>
  <c r="AH101" i="75"/>
  <c r="AH100" i="75"/>
  <c r="AH103" i="75"/>
  <c r="AH102" i="75"/>
  <c r="AH104" i="75"/>
  <c r="BX100" i="77"/>
  <c r="BX103" i="77"/>
  <c r="BX102" i="77"/>
  <c r="BX101" i="77"/>
  <c r="BX104" i="77"/>
  <c r="AA100" i="77"/>
  <c r="AA101" i="77"/>
  <c r="AA102" i="77"/>
  <c r="AA104" i="77"/>
  <c r="AA103" i="77"/>
  <c r="AH101" i="77"/>
  <c r="AH100" i="77"/>
  <c r="AH102" i="77"/>
  <c r="AH104" i="77"/>
  <c r="AH103" i="77"/>
  <c r="BK116" i="74"/>
  <c r="BA117" i="74"/>
  <c r="BF116" i="74"/>
  <c r="BA116" i="74"/>
  <c r="BF117" i="74"/>
  <c r="BP117" i="74"/>
  <c r="BP116" i="74"/>
  <c r="BK117" i="74"/>
  <c r="AA6" i="77"/>
  <c r="AA5" i="77"/>
  <c r="AA4" i="77"/>
  <c r="AA9" i="77"/>
  <c r="AA7" i="77"/>
  <c r="AA12" i="77"/>
  <c r="AA10" i="77"/>
  <c r="AA13" i="77"/>
  <c r="AA8" i="77"/>
  <c r="AA11" i="77"/>
  <c r="AA14" i="77"/>
  <c r="AA16" i="77"/>
  <c r="AA17" i="77"/>
  <c r="AA15" i="77"/>
  <c r="AA19" i="77"/>
  <c r="AA18" i="77"/>
  <c r="AA20" i="77"/>
  <c r="AA21" i="77"/>
  <c r="AA22" i="77"/>
  <c r="AA24" i="77"/>
  <c r="AA23" i="77"/>
  <c r="AA25" i="77"/>
  <c r="AA29" i="77"/>
  <c r="AA26" i="77"/>
  <c r="AA27" i="77"/>
  <c r="AA28" i="77"/>
  <c r="AA30" i="77"/>
  <c r="AA31" i="77"/>
  <c r="AA32" i="77"/>
  <c r="AA35" i="77"/>
  <c r="AA33" i="77"/>
  <c r="AA37" i="77"/>
  <c r="AA38" i="77"/>
  <c r="AA34" i="77"/>
  <c r="AA36" i="77"/>
  <c r="AA39" i="77"/>
  <c r="AA40" i="77"/>
  <c r="AA43" i="77"/>
  <c r="AA41" i="77"/>
  <c r="AA42" i="77"/>
  <c r="AA44" i="77"/>
  <c r="AA47" i="77"/>
  <c r="AA46" i="77"/>
  <c r="AA45" i="77"/>
  <c r="AA48" i="77"/>
  <c r="AA49" i="77"/>
  <c r="AA51" i="77"/>
  <c r="AA50" i="77"/>
  <c r="AA54" i="77"/>
  <c r="AA53" i="77"/>
  <c r="AA52" i="77"/>
  <c r="AA55" i="77"/>
  <c r="AA56" i="77"/>
  <c r="AA57" i="77"/>
  <c r="AA58" i="77"/>
  <c r="AA59" i="77"/>
  <c r="AA60" i="77"/>
  <c r="AA62" i="77"/>
  <c r="AA61" i="77"/>
  <c r="AA63" i="77"/>
  <c r="AA65" i="77"/>
  <c r="AA64" i="77"/>
  <c r="AA67" i="77"/>
  <c r="AA66" i="77"/>
  <c r="AA70" i="77"/>
  <c r="AA68" i="77"/>
  <c r="AA69" i="77"/>
  <c r="AA72" i="77"/>
  <c r="AA74" i="77"/>
  <c r="AA71" i="77"/>
  <c r="AA73" i="77"/>
  <c r="AA76" i="77"/>
  <c r="AA75" i="77"/>
  <c r="AA78" i="77"/>
  <c r="AA79" i="77"/>
  <c r="AA77" i="77"/>
  <c r="AA83" i="77"/>
  <c r="AA80" i="77"/>
  <c r="AA81" i="77"/>
  <c r="AA82" i="77"/>
  <c r="AA85" i="77"/>
  <c r="AA84" i="77"/>
  <c r="AA86" i="77"/>
  <c r="AA88" i="77"/>
  <c r="AA89" i="77"/>
  <c r="AA87" i="77"/>
  <c r="AA90" i="77"/>
  <c r="AA91" i="77"/>
  <c r="AA92" i="77"/>
  <c r="AA95" i="77"/>
  <c r="AA93" i="77"/>
  <c r="AA96" i="77"/>
  <c r="AA94" i="77"/>
  <c r="AA99" i="77"/>
  <c r="AA97" i="77"/>
  <c r="AA98" i="77"/>
  <c r="AH4" i="77"/>
  <c r="AH5" i="77"/>
  <c r="AH6" i="77"/>
  <c r="AH8" i="77"/>
  <c r="AH7" i="77"/>
  <c r="AH9" i="77"/>
  <c r="AH10" i="77"/>
  <c r="AH13" i="77"/>
  <c r="AH11" i="77"/>
  <c r="AH12" i="77"/>
  <c r="AH14" i="77"/>
  <c r="AH15" i="77"/>
  <c r="AH16" i="77"/>
  <c r="AH18" i="77"/>
  <c r="AH17" i="77"/>
  <c r="AH19" i="77"/>
  <c r="AH20" i="77"/>
  <c r="AH21" i="77"/>
  <c r="AH22" i="77"/>
  <c r="AH25" i="77"/>
  <c r="AH23" i="77"/>
  <c r="AH24" i="77"/>
  <c r="AH29" i="77"/>
  <c r="AH28" i="77"/>
  <c r="AH26" i="77"/>
  <c r="AH27" i="77"/>
  <c r="AH32" i="77"/>
  <c r="AH30" i="77"/>
  <c r="AH31" i="77"/>
  <c r="AH33" i="77"/>
  <c r="AH34" i="77"/>
  <c r="AH35" i="77"/>
  <c r="AH38" i="77"/>
  <c r="AH36" i="77"/>
  <c r="AH37" i="77"/>
  <c r="AH41" i="77"/>
  <c r="AH42" i="77"/>
  <c r="AH40" i="77"/>
  <c r="AH39" i="77"/>
  <c r="AH43" i="77"/>
  <c r="AH44" i="77"/>
  <c r="AH46" i="77"/>
  <c r="AH45" i="77"/>
  <c r="AH47" i="77"/>
  <c r="AH48" i="77"/>
  <c r="AH49" i="77"/>
  <c r="AH50" i="77"/>
  <c r="AH52" i="77"/>
  <c r="AH51" i="77"/>
  <c r="AH54" i="77"/>
  <c r="AH53" i="77"/>
  <c r="AH56" i="77"/>
  <c r="AH55" i="77"/>
  <c r="AH58" i="77"/>
  <c r="AH57" i="77"/>
  <c r="AH59" i="77"/>
  <c r="AH60" i="77"/>
  <c r="AH61" i="77"/>
  <c r="AH62" i="77"/>
  <c r="AH63" i="77"/>
  <c r="AH64" i="77"/>
  <c r="AH65" i="77"/>
  <c r="AH66" i="77"/>
  <c r="AH67" i="77"/>
  <c r="AH68" i="77"/>
  <c r="AH70" i="77"/>
  <c r="AH69" i="77"/>
  <c r="AH71" i="77"/>
  <c r="AH72" i="77"/>
  <c r="AH73" i="77"/>
  <c r="AH75" i="77"/>
  <c r="AH74" i="77"/>
  <c r="AH76" i="77"/>
  <c r="AH78" i="77"/>
  <c r="AH77" i="77"/>
  <c r="AH79" i="77"/>
  <c r="AH80" i="77"/>
  <c r="AH81" i="77"/>
  <c r="AH82" i="77"/>
  <c r="AH83" i="77"/>
  <c r="AH84" i="77"/>
  <c r="AH85" i="77"/>
  <c r="AH86" i="77"/>
  <c r="AH87" i="77"/>
  <c r="AH88" i="77"/>
  <c r="AH90" i="77"/>
  <c r="AH89" i="77"/>
  <c r="AH91" i="77"/>
  <c r="AH92" i="77"/>
  <c r="AH93" i="77"/>
  <c r="AH94" i="77"/>
  <c r="AH96" i="77"/>
  <c r="AH95" i="77"/>
  <c r="AH98" i="77"/>
  <c r="AH97" i="77"/>
  <c r="AH99" i="77"/>
  <c r="AO117" i="74"/>
  <c r="AO116" i="74"/>
  <c r="CF62" i="74" s="1"/>
  <c r="K30" i="74"/>
  <c r="Y8" i="76"/>
  <c r="Y7" i="76"/>
  <c r="Y5" i="76"/>
  <c r="Y6" i="76"/>
  <c r="Y4" i="76"/>
  <c r="Y11" i="76"/>
  <c r="Y13" i="76"/>
  <c r="Y10" i="76"/>
  <c r="Y9" i="76"/>
  <c r="Y12" i="76"/>
  <c r="Y14" i="76"/>
  <c r="Y16" i="76"/>
  <c r="Y15" i="76"/>
  <c r="Y17" i="76"/>
  <c r="Y19" i="76"/>
  <c r="Y18" i="76"/>
  <c r="Y21" i="76"/>
  <c r="Y20" i="76"/>
  <c r="Y24" i="76"/>
  <c r="Y23" i="76"/>
  <c r="Y22" i="76"/>
  <c r="Y26" i="76"/>
  <c r="Y25" i="76"/>
  <c r="Y27" i="76"/>
  <c r="Y28" i="76"/>
  <c r="Y29" i="76"/>
  <c r="Y30" i="76"/>
  <c r="Y32" i="76"/>
  <c r="Y31" i="76"/>
  <c r="Y33" i="76"/>
  <c r="Y38" i="76"/>
  <c r="Y34" i="76"/>
  <c r="Y35" i="76"/>
  <c r="Y37" i="76"/>
  <c r="Y36" i="76"/>
  <c r="Y39" i="76"/>
  <c r="Y40" i="76"/>
  <c r="Y41" i="76"/>
  <c r="Y42" i="76"/>
  <c r="Y44" i="76"/>
  <c r="Y45" i="76"/>
  <c r="Y43" i="76"/>
  <c r="Y47" i="76"/>
  <c r="Y46" i="76"/>
  <c r="Y50" i="76"/>
  <c r="Y48" i="76"/>
  <c r="Y51" i="76"/>
  <c r="Y52" i="76"/>
  <c r="Y49" i="76"/>
  <c r="Y53" i="76"/>
  <c r="Y54" i="76"/>
  <c r="Y55" i="76"/>
  <c r="Y59" i="76"/>
  <c r="Y56" i="76"/>
  <c r="Y58" i="76"/>
  <c r="Y62" i="76"/>
  <c r="Y57" i="76"/>
  <c r="Y60" i="76"/>
  <c r="Y63" i="76"/>
  <c r="Y66" i="76"/>
  <c r="Y61" i="76"/>
  <c r="Y65" i="76"/>
  <c r="Y64" i="76"/>
  <c r="Y67" i="76"/>
  <c r="Y68" i="76"/>
  <c r="Y69" i="76"/>
  <c r="Y72" i="76"/>
  <c r="Y70" i="76"/>
  <c r="Y73" i="76"/>
  <c r="Y71" i="76"/>
  <c r="Y74" i="76"/>
  <c r="Y77" i="76"/>
  <c r="Y76" i="76"/>
  <c r="Y75" i="76"/>
  <c r="Y78" i="76"/>
  <c r="Y79" i="76"/>
  <c r="Y80" i="76"/>
  <c r="Y82" i="76"/>
  <c r="Y81" i="76"/>
  <c r="Y85" i="76"/>
  <c r="Y84" i="76"/>
  <c r="Y83" i="76"/>
  <c r="Y87" i="76"/>
  <c r="Y91" i="76"/>
  <c r="Y89" i="76"/>
  <c r="Y86" i="76"/>
  <c r="Y88" i="76"/>
  <c r="Y90" i="76"/>
  <c r="Y93" i="76"/>
  <c r="Y92" i="76"/>
  <c r="Y94" i="76"/>
  <c r="Y95" i="76"/>
  <c r="Y96" i="76"/>
  <c r="Y97" i="76"/>
  <c r="Y98" i="76"/>
  <c r="Y99" i="76"/>
  <c r="K25" i="74"/>
  <c r="AH117" i="74"/>
  <c r="AK4" i="76"/>
  <c r="AK7" i="76"/>
  <c r="AK5" i="76"/>
  <c r="AK6" i="76"/>
  <c r="AK9" i="76"/>
  <c r="AK8" i="76"/>
  <c r="AK10" i="76"/>
  <c r="AK11" i="76"/>
  <c r="AK12" i="76"/>
  <c r="AK13" i="76"/>
  <c r="AK14" i="76"/>
  <c r="AK15" i="76"/>
  <c r="AK16" i="76"/>
  <c r="AK17" i="76"/>
  <c r="AK18" i="76"/>
  <c r="AK19" i="76"/>
  <c r="AK20" i="76"/>
  <c r="AK25" i="76"/>
  <c r="AK21" i="76"/>
  <c r="AK26" i="76"/>
  <c r="AK23" i="76"/>
  <c r="AK22" i="76"/>
  <c r="AK28" i="76"/>
  <c r="AK27" i="76"/>
  <c r="AK24" i="76"/>
  <c r="AK30" i="76"/>
  <c r="AK29" i="76"/>
  <c r="AK31" i="76"/>
  <c r="AK33" i="76"/>
  <c r="AK35" i="76"/>
  <c r="AK32" i="76"/>
  <c r="AK34" i="76"/>
  <c r="AK38" i="76"/>
  <c r="AK36" i="76"/>
  <c r="AK37" i="76"/>
  <c r="AK39" i="76"/>
  <c r="AK41" i="76"/>
  <c r="AK40" i="76"/>
  <c r="AK43" i="76"/>
  <c r="AK42" i="76"/>
  <c r="AK44" i="76"/>
  <c r="AK45" i="76"/>
  <c r="AK46" i="76"/>
  <c r="AK47" i="76"/>
  <c r="AK49" i="76"/>
  <c r="AK48" i="76"/>
  <c r="AK50" i="76"/>
  <c r="AK51" i="76"/>
  <c r="AK52" i="76"/>
  <c r="AK54" i="76"/>
  <c r="AK53" i="76"/>
  <c r="AK55" i="76"/>
  <c r="AK56" i="76"/>
  <c r="AK57" i="76"/>
  <c r="AK58" i="76"/>
  <c r="AK59" i="76"/>
  <c r="AK60" i="76"/>
  <c r="AK61" i="76"/>
  <c r="AK62" i="76"/>
  <c r="AK64" i="76"/>
  <c r="AK63" i="76"/>
  <c r="AK66" i="76"/>
  <c r="AK65" i="76"/>
  <c r="AK67" i="76"/>
  <c r="AK68" i="76"/>
  <c r="AK69" i="76"/>
  <c r="AK70" i="76"/>
  <c r="AK71" i="76"/>
  <c r="AK72" i="76"/>
  <c r="AK73" i="76"/>
  <c r="AK74" i="76"/>
  <c r="AK75" i="76"/>
  <c r="AK76" i="76"/>
  <c r="AK78" i="76"/>
  <c r="AK77" i="76"/>
  <c r="AK79" i="76"/>
  <c r="AK80" i="76"/>
  <c r="AK82" i="76"/>
  <c r="AK81" i="76"/>
  <c r="AK83" i="76"/>
  <c r="AK84" i="76"/>
  <c r="AK85" i="76"/>
  <c r="AK86" i="76"/>
  <c r="AK88" i="76"/>
  <c r="AK87" i="76"/>
  <c r="AK89" i="76"/>
  <c r="AK90" i="76"/>
  <c r="AK91" i="76"/>
  <c r="AK92" i="76"/>
  <c r="AK94" i="76"/>
  <c r="AK93" i="76"/>
  <c r="AK95" i="76"/>
  <c r="AK97" i="76"/>
  <c r="AK96" i="76"/>
  <c r="AK98" i="76"/>
  <c r="AK99" i="76"/>
  <c r="K23" i="74"/>
  <c r="BX4" i="75"/>
  <c r="BX6" i="75"/>
  <c r="BX7" i="75"/>
  <c r="BX5" i="75"/>
  <c r="BX9" i="75"/>
  <c r="BX8" i="75"/>
  <c r="BX15" i="75"/>
  <c r="BX10" i="75"/>
  <c r="BX11" i="75"/>
  <c r="BX13" i="75"/>
  <c r="BX16" i="75"/>
  <c r="BX12" i="75"/>
  <c r="BX14" i="75"/>
  <c r="BX17" i="75"/>
  <c r="BX18" i="75"/>
  <c r="BX21" i="75"/>
  <c r="BX19" i="75"/>
  <c r="BX20" i="75"/>
  <c r="BX22" i="75"/>
  <c r="BX23" i="75"/>
  <c r="BX24" i="75"/>
  <c r="BX25" i="75"/>
  <c r="BX26" i="75"/>
  <c r="BX27" i="75"/>
  <c r="BX28" i="75"/>
  <c r="BX29" i="75"/>
  <c r="BX31" i="75"/>
  <c r="BX30" i="75"/>
  <c r="BX32" i="75"/>
  <c r="BX33" i="75"/>
  <c r="BX35" i="75"/>
  <c r="BX34" i="75"/>
  <c r="BX36" i="75"/>
  <c r="BX39" i="75"/>
  <c r="BX37" i="75"/>
  <c r="BX38" i="75"/>
  <c r="BX40" i="75"/>
  <c r="BX41" i="75"/>
  <c r="BX42" i="75"/>
  <c r="BX43" i="75"/>
  <c r="BX45" i="75"/>
  <c r="BX44" i="75"/>
  <c r="BX46" i="75"/>
  <c r="BX47" i="75"/>
  <c r="BX49" i="75"/>
  <c r="BX51" i="75"/>
  <c r="BX48" i="75"/>
  <c r="BX50" i="75"/>
  <c r="BX54" i="75"/>
  <c r="BX53" i="75"/>
  <c r="BX52" i="75"/>
  <c r="BX55" i="75"/>
  <c r="BX56" i="75"/>
  <c r="BX57" i="75"/>
  <c r="BX60" i="75"/>
  <c r="BX58" i="75"/>
  <c r="BX59" i="75"/>
  <c r="BX61" i="75"/>
  <c r="BX62" i="75"/>
  <c r="BX63" i="75"/>
  <c r="BX64" i="75"/>
  <c r="BX65" i="75"/>
  <c r="BX66" i="75"/>
  <c r="BX67" i="75"/>
  <c r="BX68" i="75"/>
  <c r="BX69" i="75"/>
  <c r="BX70" i="75"/>
  <c r="BX71" i="75"/>
  <c r="BX72" i="75"/>
  <c r="BX75" i="75"/>
  <c r="BX73" i="75"/>
  <c r="BX74" i="75"/>
  <c r="BX76" i="75"/>
  <c r="BX78" i="75"/>
  <c r="BX77" i="75"/>
  <c r="BX81" i="75"/>
  <c r="BX79" i="75"/>
  <c r="BX80" i="75"/>
  <c r="BX82" i="75"/>
  <c r="BX83" i="75"/>
  <c r="BX84" i="75"/>
  <c r="BX85" i="75"/>
  <c r="BX86" i="75"/>
  <c r="BX87" i="75"/>
  <c r="BX89" i="75"/>
  <c r="BX91" i="75"/>
  <c r="BX88" i="75"/>
  <c r="BX90" i="75"/>
  <c r="BX92" i="75"/>
  <c r="BX93" i="75"/>
  <c r="BX96" i="75"/>
  <c r="BX94" i="75"/>
  <c r="BX95" i="75"/>
  <c r="BX98" i="75"/>
  <c r="BX97" i="75"/>
  <c r="BX99" i="75"/>
  <c r="AM4" i="77"/>
  <c r="AM6" i="77"/>
  <c r="AM5" i="77"/>
  <c r="AM9" i="77"/>
  <c r="AM7" i="77"/>
  <c r="AM8" i="77"/>
  <c r="AM10" i="77"/>
  <c r="AM12" i="77"/>
  <c r="AM11" i="77"/>
  <c r="AM14" i="77"/>
  <c r="AM15" i="77"/>
  <c r="AM13" i="77"/>
  <c r="AM17" i="77"/>
  <c r="AM16" i="77"/>
  <c r="AM21" i="77"/>
  <c r="AM18" i="77"/>
  <c r="AM19" i="77"/>
  <c r="AM20" i="77"/>
  <c r="AM22" i="77"/>
  <c r="AM25" i="77"/>
  <c r="AM23" i="77"/>
  <c r="AM27" i="77"/>
  <c r="AM26" i="77"/>
  <c r="AM24" i="77"/>
  <c r="AM28" i="77"/>
  <c r="AM29" i="77"/>
  <c r="AM31" i="77"/>
  <c r="AM30" i="77"/>
  <c r="AM34" i="77"/>
  <c r="AM32" i="77"/>
  <c r="AM33" i="77"/>
  <c r="AM36" i="77"/>
  <c r="AM35" i="77"/>
  <c r="AM37" i="77"/>
  <c r="AM39" i="77"/>
  <c r="AM41" i="77"/>
  <c r="AM38" i="77"/>
  <c r="AM40" i="77"/>
  <c r="AM44" i="77"/>
  <c r="AM43" i="77"/>
  <c r="AM42" i="77"/>
  <c r="AM46" i="77"/>
  <c r="AM45" i="77"/>
  <c r="AM47" i="77"/>
  <c r="AM48" i="77"/>
  <c r="AM49" i="77"/>
  <c r="AM50" i="77"/>
  <c r="AM51" i="77"/>
  <c r="AM52" i="77"/>
  <c r="AM53" i="77"/>
  <c r="AM54" i="77"/>
  <c r="AM55" i="77"/>
  <c r="AM57" i="77"/>
  <c r="AM59" i="77"/>
  <c r="AM56" i="77"/>
  <c r="AM58" i="77"/>
  <c r="AM61" i="77"/>
  <c r="AM60" i="77"/>
  <c r="AM62" i="77"/>
  <c r="AM63" i="77"/>
  <c r="AM64" i="77"/>
  <c r="AM66" i="77"/>
  <c r="AM68" i="77"/>
  <c r="AM67" i="77"/>
  <c r="AM65" i="77"/>
  <c r="AM69" i="77"/>
  <c r="AM70" i="77"/>
  <c r="AM71" i="77"/>
  <c r="AM72" i="77"/>
  <c r="AM73" i="77"/>
  <c r="AM74" i="77"/>
  <c r="AM75" i="77"/>
  <c r="AM76" i="77"/>
  <c r="AM78" i="77"/>
  <c r="AM77" i="77"/>
  <c r="AM80" i="77"/>
  <c r="AM79" i="77"/>
  <c r="AM81" i="77"/>
  <c r="AM82" i="77"/>
  <c r="AM85" i="77"/>
  <c r="AM84" i="77"/>
  <c r="AM83" i="77"/>
  <c r="AM87" i="77"/>
  <c r="AM89" i="77"/>
  <c r="AM86" i="77"/>
  <c r="AM88" i="77"/>
  <c r="AM90" i="77"/>
  <c r="AM92" i="77"/>
  <c r="AM91" i="77"/>
  <c r="AM93" i="77"/>
  <c r="AM94" i="77"/>
  <c r="AM96" i="77"/>
  <c r="AM95" i="77"/>
  <c r="AM97" i="77"/>
  <c r="AM99" i="77"/>
  <c r="AM98" i="77"/>
  <c r="K16" i="74"/>
  <c r="K29" i="74"/>
  <c r="K14" i="74"/>
  <c r="AA4" i="75"/>
  <c r="AA5" i="75"/>
  <c r="AA8" i="75"/>
  <c r="AA6" i="75"/>
  <c r="AA7" i="75"/>
  <c r="AA9" i="75"/>
  <c r="AA11" i="75"/>
  <c r="AA12" i="75"/>
  <c r="AA10" i="75"/>
  <c r="AA15" i="75"/>
  <c r="AA13" i="75"/>
  <c r="AA14" i="75"/>
  <c r="AA19" i="75"/>
  <c r="AA16" i="75"/>
  <c r="AA17" i="75"/>
  <c r="AA18" i="75"/>
  <c r="AA21" i="75"/>
  <c r="AA23" i="75"/>
  <c r="AA22" i="75"/>
  <c r="AA20" i="75"/>
  <c r="AA24" i="75"/>
  <c r="AA26" i="75"/>
  <c r="AA25" i="75"/>
  <c r="AA27" i="75"/>
  <c r="AA29" i="75"/>
  <c r="AA28" i="75"/>
  <c r="AA31" i="75"/>
  <c r="AA32" i="75"/>
  <c r="AA34" i="75"/>
  <c r="AA30" i="75"/>
  <c r="AA35" i="75"/>
  <c r="AA33" i="75"/>
  <c r="AA37" i="75"/>
  <c r="AA38" i="75"/>
  <c r="AA36" i="75"/>
  <c r="AA39" i="75"/>
  <c r="AA40" i="75"/>
  <c r="AA42" i="75"/>
  <c r="AA44" i="75"/>
  <c r="AA45" i="75"/>
  <c r="AA41" i="75"/>
  <c r="AA43" i="75"/>
  <c r="AA46" i="75"/>
  <c r="AA47" i="75"/>
  <c r="AA49" i="75"/>
  <c r="AA48" i="75"/>
  <c r="AA51" i="75"/>
  <c r="AA50" i="75"/>
  <c r="AA53" i="75"/>
  <c r="AA52" i="75"/>
  <c r="AA55" i="75"/>
  <c r="AA54" i="75"/>
  <c r="AA56" i="75"/>
  <c r="AA58" i="75"/>
  <c r="AA57" i="75"/>
  <c r="AA59" i="75"/>
  <c r="AA60" i="75"/>
  <c r="AA61" i="75"/>
  <c r="AA62" i="75"/>
  <c r="AA64" i="75"/>
  <c r="AA63" i="75"/>
  <c r="AA65" i="75"/>
  <c r="AA66" i="75"/>
  <c r="AA67" i="75"/>
  <c r="AA68" i="75"/>
  <c r="AA70" i="75"/>
  <c r="AA69" i="75"/>
  <c r="AA72" i="75"/>
  <c r="AA74" i="75"/>
  <c r="AA71" i="75"/>
  <c r="AA75" i="75"/>
  <c r="AA76" i="75"/>
  <c r="AA73" i="75"/>
  <c r="AA77" i="75"/>
  <c r="AA79" i="75"/>
  <c r="AA78" i="75"/>
  <c r="AA82" i="75"/>
  <c r="AA81" i="75"/>
  <c r="AA80" i="75"/>
  <c r="AA84" i="75"/>
  <c r="AA83" i="75"/>
  <c r="AA87" i="75"/>
  <c r="AA85" i="75"/>
  <c r="AA86" i="75"/>
  <c r="AA88" i="75"/>
  <c r="AA89" i="75"/>
  <c r="AA92" i="75"/>
  <c r="AA90" i="75"/>
  <c r="AA91" i="75"/>
  <c r="AA95" i="75"/>
  <c r="AA94" i="75"/>
  <c r="AA93" i="75"/>
  <c r="AA96" i="75"/>
  <c r="AA99" i="75"/>
  <c r="AA97" i="75"/>
  <c r="AA98" i="75"/>
  <c r="AF6" i="76"/>
  <c r="AF5" i="76"/>
  <c r="AF4" i="76"/>
  <c r="AF8" i="76"/>
  <c r="AF7" i="76"/>
  <c r="AF9" i="76"/>
  <c r="AF10" i="76"/>
  <c r="AF11" i="76"/>
  <c r="AF12" i="76"/>
  <c r="AF13" i="76"/>
  <c r="AF14" i="76"/>
  <c r="AF15" i="76"/>
  <c r="AF16" i="76"/>
  <c r="AF17" i="76"/>
  <c r="AF20" i="76"/>
  <c r="AF18" i="76"/>
  <c r="AF19" i="76"/>
  <c r="AF21" i="76"/>
  <c r="AF22" i="76"/>
  <c r="AF25" i="76"/>
  <c r="AF26" i="76"/>
  <c r="AF23" i="76"/>
  <c r="AF24" i="76"/>
  <c r="AF27" i="76"/>
  <c r="AF28" i="76"/>
  <c r="AF29" i="76"/>
  <c r="AF31" i="76"/>
  <c r="AF30" i="76"/>
  <c r="AF32" i="76"/>
  <c r="AF33" i="76"/>
  <c r="AF35" i="76"/>
  <c r="AF36" i="76"/>
  <c r="AF37" i="76"/>
  <c r="AF34" i="76"/>
  <c r="AF38" i="76"/>
  <c r="AF39" i="76"/>
  <c r="AF40" i="76"/>
  <c r="AF41" i="76"/>
  <c r="AF42" i="76"/>
  <c r="AF43" i="76"/>
  <c r="AF44" i="76"/>
  <c r="AF45" i="76"/>
  <c r="AF46" i="76"/>
  <c r="AF47" i="76"/>
  <c r="AF48" i="76"/>
  <c r="AF49" i="76"/>
  <c r="AF50" i="76"/>
  <c r="AF51" i="76"/>
  <c r="AF52" i="76"/>
  <c r="AF53" i="76"/>
  <c r="AF54" i="76"/>
  <c r="AF55" i="76"/>
  <c r="AF56" i="76"/>
  <c r="AF57" i="76"/>
  <c r="AF58" i="76"/>
  <c r="AF59" i="76"/>
  <c r="AF60" i="76"/>
  <c r="AF61" i="76"/>
  <c r="AF62" i="76"/>
  <c r="AF63" i="76"/>
  <c r="AF64" i="76"/>
  <c r="AF65" i="76"/>
  <c r="AF66" i="76"/>
  <c r="AF67" i="76"/>
  <c r="AF68" i="76"/>
  <c r="AF69" i="76"/>
  <c r="AF70" i="76"/>
  <c r="AF71" i="76"/>
  <c r="AF72" i="76"/>
  <c r="AF73" i="76"/>
  <c r="AF74" i="76"/>
  <c r="AF75" i="76"/>
  <c r="AF77" i="76"/>
  <c r="AF76" i="76"/>
  <c r="AF79" i="76"/>
  <c r="AF78" i="76"/>
  <c r="AF81" i="76"/>
  <c r="AF80" i="76"/>
  <c r="AF82" i="76"/>
  <c r="AF83" i="76"/>
  <c r="AF84" i="76"/>
  <c r="AF85" i="76"/>
  <c r="AF86" i="76"/>
  <c r="AF87" i="76"/>
  <c r="AF88" i="76"/>
  <c r="AF89" i="76"/>
  <c r="AF90" i="76"/>
  <c r="AF92" i="76"/>
  <c r="AF91" i="76"/>
  <c r="AF93" i="76"/>
  <c r="AF94" i="76"/>
  <c r="AF95" i="76"/>
  <c r="AF96" i="76"/>
  <c r="AF97" i="76"/>
  <c r="AF99" i="76"/>
  <c r="AF98" i="76"/>
  <c r="BD114" i="76"/>
  <c r="BM114" i="76"/>
  <c r="AO114" i="76"/>
  <c r="AC114" i="76"/>
  <c r="BI114" i="76"/>
  <c r="AT114" i="76"/>
  <c r="AH114" i="76"/>
  <c r="AY114" i="76"/>
  <c r="AT116" i="74"/>
  <c r="AT117" i="74"/>
  <c r="CD26" i="74" s="1"/>
  <c r="BX4" i="77"/>
  <c r="BX5" i="77"/>
  <c r="BX6" i="77"/>
  <c r="BX7" i="77"/>
  <c r="BX8" i="77"/>
  <c r="BX9" i="77"/>
  <c r="BX10" i="77"/>
  <c r="BX11" i="77"/>
  <c r="BX12" i="77"/>
  <c r="BX15" i="77"/>
  <c r="BX16" i="77"/>
  <c r="BX13" i="77"/>
  <c r="BX14" i="77"/>
  <c r="BX18" i="77"/>
  <c r="BX17" i="77"/>
  <c r="BX19" i="77"/>
  <c r="BX20" i="77"/>
  <c r="BX25" i="77"/>
  <c r="BX21" i="77"/>
  <c r="BX23" i="77"/>
  <c r="BX26" i="77"/>
  <c r="BX22" i="77"/>
  <c r="BX27" i="77"/>
  <c r="BX24" i="77"/>
  <c r="BX29" i="77"/>
  <c r="BX28" i="77"/>
  <c r="BX30" i="77"/>
  <c r="BX31" i="77"/>
  <c r="BX33" i="77"/>
  <c r="BX32" i="77"/>
  <c r="BX34" i="77"/>
  <c r="BX36" i="77"/>
  <c r="BX35" i="77"/>
  <c r="BX37" i="77"/>
  <c r="BX38" i="77"/>
  <c r="BX39" i="77"/>
  <c r="BX40" i="77"/>
  <c r="BX41" i="77"/>
  <c r="BX44" i="77"/>
  <c r="BX42" i="77"/>
  <c r="BX43" i="77"/>
  <c r="BX46" i="77"/>
  <c r="BX48" i="77"/>
  <c r="BX45" i="77"/>
  <c r="BX47" i="77"/>
  <c r="BX49" i="77"/>
  <c r="BX50" i="77"/>
  <c r="BX51" i="77"/>
  <c r="BX52" i="77"/>
  <c r="BX55" i="77"/>
  <c r="BX53" i="77"/>
  <c r="BX56" i="77"/>
  <c r="BX54" i="77"/>
  <c r="BX58" i="77"/>
  <c r="BX57" i="77"/>
  <c r="BX59" i="77"/>
  <c r="BX60" i="77"/>
  <c r="BX61" i="77"/>
  <c r="BX62" i="77"/>
  <c r="BX64" i="77"/>
  <c r="BX63" i="77"/>
  <c r="BX67" i="77"/>
  <c r="BX65" i="77"/>
  <c r="BX66" i="77"/>
  <c r="BX69" i="77"/>
  <c r="BX68" i="77"/>
  <c r="BX70" i="77"/>
  <c r="BX71" i="77"/>
  <c r="BX73" i="77"/>
  <c r="BX72" i="77"/>
  <c r="BX75" i="77"/>
  <c r="BX74" i="77"/>
  <c r="BX76" i="77"/>
  <c r="BX77" i="77"/>
  <c r="BX78" i="77"/>
  <c r="BX79" i="77"/>
  <c r="BX80" i="77"/>
  <c r="BX82" i="77"/>
  <c r="BX84" i="77"/>
  <c r="BX81" i="77"/>
  <c r="BX83" i="77"/>
  <c r="BX88" i="77"/>
  <c r="BX86" i="77"/>
  <c r="BX85" i="77"/>
  <c r="BX90" i="77"/>
  <c r="BX87" i="77"/>
  <c r="BX89" i="77"/>
  <c r="BX92" i="77"/>
  <c r="BX91" i="77"/>
  <c r="BX93" i="77"/>
  <c r="BX95" i="77"/>
  <c r="BX94" i="77"/>
  <c r="BX96" i="77"/>
  <c r="BX97" i="77"/>
  <c r="BX99" i="77"/>
  <c r="BX98" i="77"/>
  <c r="AM4" i="75"/>
  <c r="AM5" i="75"/>
  <c r="AM7" i="75"/>
  <c r="AM6" i="75"/>
  <c r="AM8" i="75"/>
  <c r="AM9" i="75"/>
  <c r="AM10" i="75"/>
  <c r="AM11" i="75"/>
  <c r="AM15" i="75"/>
  <c r="AM13" i="75"/>
  <c r="AM12" i="75"/>
  <c r="AM16" i="75"/>
  <c r="AM17" i="75"/>
  <c r="AM14" i="75"/>
  <c r="AM18" i="75"/>
  <c r="AM19" i="75"/>
  <c r="AM21" i="75"/>
  <c r="AM20" i="75"/>
  <c r="AM23" i="75"/>
  <c r="AM22" i="75"/>
  <c r="AM24" i="75"/>
  <c r="AM25" i="75"/>
  <c r="AM28" i="75"/>
  <c r="AM26" i="75"/>
  <c r="AM27" i="75"/>
  <c r="AM31" i="75"/>
  <c r="AM29" i="75"/>
  <c r="AM30" i="75"/>
  <c r="AM32" i="75"/>
  <c r="AM34" i="75"/>
  <c r="AM33" i="75"/>
  <c r="AM36" i="75"/>
  <c r="AM35" i="75"/>
  <c r="AM37" i="75"/>
  <c r="AM38" i="75"/>
  <c r="AM40" i="75"/>
  <c r="AM42" i="75"/>
  <c r="AM39" i="75"/>
  <c r="AM41" i="75"/>
  <c r="AM43" i="75"/>
  <c r="AM44" i="75"/>
  <c r="AM45" i="75"/>
  <c r="AM47" i="75"/>
  <c r="AM46" i="75"/>
  <c r="AM48" i="75"/>
  <c r="AM49" i="75"/>
  <c r="AM50" i="75"/>
  <c r="AM52" i="75"/>
  <c r="AM51" i="75"/>
  <c r="AM54" i="75"/>
  <c r="AM53" i="75"/>
  <c r="AM55" i="75"/>
  <c r="AM56" i="75"/>
  <c r="AM57" i="75"/>
  <c r="AM58" i="75"/>
  <c r="AM59" i="75"/>
  <c r="AM60" i="75"/>
  <c r="AM61" i="75"/>
  <c r="AM62" i="75"/>
  <c r="AM64" i="75"/>
  <c r="AM63" i="75"/>
  <c r="AM66" i="75"/>
  <c r="AM65" i="75"/>
  <c r="AM68" i="75"/>
  <c r="AM67" i="75"/>
  <c r="AM69" i="75"/>
  <c r="AM71" i="75"/>
  <c r="AM70" i="75"/>
  <c r="AM73" i="75"/>
  <c r="AM72" i="75"/>
  <c r="AM74" i="75"/>
  <c r="AM75" i="75"/>
  <c r="AM76" i="75"/>
  <c r="AM77" i="75"/>
  <c r="AM78" i="75"/>
  <c r="AM81" i="75"/>
  <c r="AM79" i="75"/>
  <c r="AM80" i="75"/>
  <c r="AM83" i="75"/>
  <c r="AM82" i="75"/>
  <c r="AM84" i="75"/>
  <c r="AM88" i="75"/>
  <c r="AM86" i="75"/>
  <c r="AM85" i="75"/>
  <c r="AM87" i="75"/>
  <c r="AM89" i="75"/>
  <c r="AM92" i="75"/>
  <c r="AM90" i="75"/>
  <c r="AM91" i="75"/>
  <c r="AM94" i="75"/>
  <c r="AM93" i="75"/>
  <c r="AM95" i="75"/>
  <c r="AM96" i="75"/>
  <c r="AM97" i="75"/>
  <c r="AM98" i="75"/>
  <c r="AM99" i="75"/>
  <c r="AH5" i="75"/>
  <c r="AH4" i="75"/>
  <c r="AH6" i="75"/>
  <c r="AH7" i="75"/>
  <c r="AH8" i="75"/>
  <c r="AH9" i="75"/>
  <c r="AH10" i="75"/>
  <c r="AH11" i="75"/>
  <c r="AH12" i="75"/>
  <c r="AH13" i="75"/>
  <c r="AH15" i="75"/>
  <c r="AH16" i="75"/>
  <c r="AH17" i="75"/>
  <c r="AH14" i="75"/>
  <c r="AH19" i="75"/>
  <c r="AH18" i="75"/>
  <c r="AH20" i="75"/>
  <c r="AH21" i="75"/>
  <c r="AH22" i="75"/>
  <c r="AH23" i="75"/>
  <c r="AH27" i="75"/>
  <c r="AH24" i="75"/>
  <c r="AH25" i="75"/>
  <c r="AH26" i="75"/>
  <c r="AH28" i="75"/>
  <c r="AH29" i="75"/>
  <c r="AH30" i="75"/>
  <c r="AH32" i="75"/>
  <c r="AH31" i="75"/>
  <c r="AH34" i="75"/>
  <c r="AH35" i="75"/>
  <c r="AH33" i="75"/>
  <c r="AH36" i="75"/>
  <c r="AH37" i="75"/>
  <c r="AH39" i="75"/>
  <c r="AH38" i="75"/>
  <c r="AH40" i="75"/>
  <c r="AH41" i="75"/>
  <c r="AH42" i="75"/>
  <c r="AH43" i="75"/>
  <c r="AH44" i="75"/>
  <c r="AH45" i="75"/>
  <c r="AH46" i="75"/>
  <c r="AH47" i="75"/>
  <c r="AH48" i="75"/>
  <c r="AH49" i="75"/>
  <c r="AH50" i="75"/>
  <c r="AH51" i="75"/>
  <c r="AH52" i="75"/>
  <c r="AH53" i="75"/>
  <c r="AH54" i="75"/>
  <c r="AH55" i="75"/>
  <c r="AH56" i="75"/>
  <c r="AH58" i="75"/>
  <c r="AH57" i="75"/>
  <c r="AH59" i="75"/>
  <c r="AH60" i="75"/>
  <c r="AH61" i="75"/>
  <c r="AH63" i="75"/>
  <c r="AH62" i="75"/>
  <c r="AH64" i="75"/>
  <c r="AH65" i="75"/>
  <c r="AH67" i="75"/>
  <c r="AH66" i="75"/>
  <c r="AH68" i="75"/>
  <c r="AH69" i="75"/>
  <c r="AH70" i="75"/>
  <c r="AH73" i="75"/>
  <c r="AH71" i="75"/>
  <c r="AH75" i="75"/>
  <c r="AH72" i="75"/>
  <c r="AH74" i="75"/>
  <c r="AH77" i="75"/>
  <c r="AH76" i="75"/>
  <c r="AH78" i="75"/>
  <c r="AH79" i="75"/>
  <c r="AH80" i="75"/>
  <c r="AH81" i="75"/>
  <c r="AH82" i="75"/>
  <c r="AH83" i="75"/>
  <c r="AH84" i="75"/>
  <c r="AH85" i="75"/>
  <c r="AH86" i="75"/>
  <c r="AH87" i="75"/>
  <c r="AH89" i="75"/>
  <c r="AH88" i="75"/>
  <c r="AH90" i="75"/>
  <c r="AH91" i="75"/>
  <c r="AH93" i="75"/>
  <c r="AH92" i="75"/>
  <c r="AH94" i="75"/>
  <c r="AH96" i="75"/>
  <c r="AH95" i="75"/>
  <c r="AH98" i="75"/>
  <c r="AH97" i="75"/>
  <c r="AH99" i="75"/>
  <c r="AH116" i="74"/>
  <c r="K24" i="74"/>
  <c r="CD101" i="74" l="1"/>
  <c r="CD99" i="74"/>
  <c r="CD102" i="74"/>
  <c r="CD103" i="74"/>
  <c r="CD104" i="74"/>
  <c r="CD100" i="74"/>
  <c r="CD98" i="74"/>
  <c r="CD97" i="74"/>
  <c r="CD78" i="74"/>
  <c r="CD66" i="74"/>
  <c r="CD55" i="74"/>
  <c r="CD58" i="74"/>
  <c r="CD47" i="74"/>
  <c r="CD89" i="74"/>
  <c r="CD77" i="74"/>
  <c r="CD69" i="74"/>
  <c r="CD72" i="74"/>
  <c r="CD59" i="74"/>
  <c r="CD28" i="74"/>
  <c r="CD90" i="74"/>
  <c r="CD79" i="74"/>
  <c r="CD81" i="74"/>
  <c r="CD70" i="74"/>
  <c r="CD37" i="74"/>
  <c r="CD39" i="74"/>
  <c r="CD48" i="74"/>
  <c r="CD92" i="74"/>
  <c r="CD94" i="74"/>
  <c r="CD84" i="74"/>
  <c r="CD52" i="74"/>
  <c r="CD54" i="74"/>
  <c r="CD31" i="74"/>
  <c r="CD33" i="74"/>
  <c r="CD73" i="74"/>
  <c r="CD95" i="74"/>
  <c r="CD61" i="74"/>
  <c r="CD65" i="74"/>
  <c r="CD42" i="74"/>
  <c r="CD45" i="74"/>
  <c r="CD36" i="74"/>
  <c r="CD38" i="74"/>
  <c r="CD75" i="74"/>
  <c r="CD76" i="74"/>
  <c r="CD57" i="74"/>
  <c r="CD56" i="74"/>
  <c r="CD50" i="74"/>
  <c r="CD40" i="74"/>
  <c r="CD86" i="74"/>
  <c r="CD88" i="74"/>
  <c r="CD68" i="74"/>
  <c r="CD67" i="74"/>
  <c r="CD60" i="74"/>
  <c r="CD49" i="74"/>
  <c r="CD29" i="74"/>
  <c r="CD62" i="74"/>
  <c r="CD80" i="74"/>
  <c r="CD82" i="74"/>
  <c r="CD71" i="74"/>
  <c r="CD64" i="74"/>
  <c r="CD41" i="74"/>
  <c r="CD30" i="74"/>
  <c r="CD91" i="74"/>
  <c r="CD93" i="74"/>
  <c r="CD83" i="74"/>
  <c r="CD74" i="74"/>
  <c r="CD51" i="74"/>
  <c r="CD43" i="74"/>
  <c r="CD32" i="74"/>
  <c r="CD34" i="74"/>
  <c r="CD96" i="74"/>
  <c r="CD87" i="74"/>
  <c r="CD63" i="74"/>
  <c r="CD53" i="74"/>
  <c r="CD44" i="74"/>
  <c r="CD46" i="74"/>
  <c r="CD35" i="74"/>
  <c r="CD85" i="74"/>
  <c r="CD14" i="74"/>
  <c r="CD9" i="74"/>
  <c r="CD13" i="74"/>
  <c r="CD18" i="74"/>
  <c r="CD27" i="74"/>
  <c r="CD8" i="74"/>
  <c r="CD5" i="74"/>
  <c r="CD20" i="74"/>
  <c r="CD23" i="74"/>
  <c r="CD21" i="74"/>
  <c r="CD4" i="74"/>
  <c r="CD10" i="74"/>
  <c r="CD19" i="74"/>
  <c r="CD25" i="74"/>
  <c r="CD11" i="74"/>
  <c r="CD12" i="74"/>
  <c r="CD6" i="74"/>
  <c r="CD24" i="74"/>
  <c r="CD17" i="74"/>
  <c r="CD22" i="74"/>
  <c r="CD15" i="74"/>
  <c r="CD16" i="74"/>
  <c r="CD7" i="74"/>
  <c r="CG97" i="74"/>
  <c r="CF98" i="74"/>
  <c r="CF99" i="74"/>
  <c r="CF101" i="74"/>
  <c r="CG102" i="74"/>
  <c r="CG100" i="74"/>
  <c r="CF102" i="74"/>
  <c r="CF103" i="74"/>
  <c r="CG103" i="74"/>
  <c r="CF104" i="74"/>
  <c r="CF100" i="74"/>
  <c r="CG101" i="74"/>
  <c r="CG104" i="74"/>
  <c r="CF34" i="74"/>
  <c r="CF92" i="74"/>
  <c r="CF97" i="74"/>
  <c r="CF33" i="74"/>
  <c r="CF36" i="74"/>
  <c r="CF66" i="74"/>
  <c r="CF79" i="74"/>
  <c r="CF48" i="74"/>
  <c r="CF89" i="74"/>
  <c r="CF54" i="74"/>
  <c r="CF67" i="74"/>
  <c r="CF81" i="74"/>
  <c r="CF23" i="74"/>
  <c r="CF22" i="74"/>
  <c r="CF90" i="74"/>
  <c r="CF74" i="74"/>
  <c r="CF58" i="74"/>
  <c r="CF59" i="74"/>
  <c r="CF60" i="74"/>
  <c r="CF39" i="74"/>
  <c r="CF9" i="74"/>
  <c r="CF71" i="74"/>
  <c r="CF70" i="74"/>
  <c r="CF72" i="74"/>
  <c r="CF5" i="74"/>
  <c r="CF51" i="74"/>
  <c r="CF52" i="74"/>
  <c r="CF21" i="74"/>
  <c r="CF82" i="74"/>
  <c r="CF84" i="74"/>
  <c r="CF83" i="74"/>
  <c r="CF76" i="74"/>
  <c r="CF8" i="74"/>
  <c r="CF35" i="74"/>
  <c r="CF94" i="74"/>
  <c r="CF95" i="74"/>
  <c r="CF78" i="74"/>
  <c r="CF46" i="74"/>
  <c r="CF29" i="74"/>
  <c r="CF16" i="74"/>
  <c r="CF7" i="74"/>
  <c r="CF20" i="74"/>
  <c r="CF45" i="74"/>
  <c r="CF87" i="74"/>
  <c r="CF40" i="74"/>
  <c r="CF6" i="74"/>
  <c r="CF19" i="74"/>
  <c r="CF32" i="74"/>
  <c r="CF57" i="74"/>
  <c r="CF4" i="74"/>
  <c r="CF27" i="74"/>
  <c r="CF64" i="74"/>
  <c r="CF91" i="74"/>
  <c r="CF47" i="74"/>
  <c r="CF53" i="74"/>
  <c r="CF18" i="74"/>
  <c r="CF31" i="74"/>
  <c r="CF44" i="74"/>
  <c r="CF69" i="74"/>
  <c r="CF63" i="74"/>
  <c r="CF61" i="74"/>
  <c r="CF17" i="74"/>
  <c r="CF65" i="74"/>
  <c r="CF30" i="74"/>
  <c r="CF43" i="74"/>
  <c r="CF56" i="74"/>
  <c r="CF80" i="74"/>
  <c r="CF41" i="74"/>
  <c r="CF13" i="74"/>
  <c r="CF77" i="74"/>
  <c r="CF42" i="74"/>
  <c r="CF55" i="74"/>
  <c r="CF68" i="74"/>
  <c r="CF93" i="74"/>
  <c r="CF10" i="74"/>
  <c r="CF11" i="74"/>
  <c r="CF24" i="74"/>
  <c r="K17" i="74"/>
  <c r="K40" i="74" s="1"/>
  <c r="CF15" i="74"/>
  <c r="CF25" i="74"/>
  <c r="CF37" i="74"/>
  <c r="CF49" i="74"/>
  <c r="CF73" i="74"/>
  <c r="CF85" i="74"/>
  <c r="CF96" i="74"/>
  <c r="K33" i="74"/>
  <c r="K18" i="74"/>
  <c r="CF26" i="74"/>
  <c r="CF86" i="74"/>
  <c r="CG90" i="74"/>
  <c r="CG70" i="74"/>
  <c r="CG81" i="74"/>
  <c r="CG13" i="74"/>
  <c r="CG4" i="74"/>
  <c r="CG23" i="74"/>
  <c r="CG44" i="74"/>
  <c r="CG84" i="74"/>
  <c r="CG54" i="74"/>
  <c r="CG39" i="74"/>
  <c r="CG35" i="74"/>
  <c r="CF14" i="74"/>
  <c r="CG71" i="74"/>
  <c r="CG46" i="74"/>
  <c r="CG83" i="74"/>
  <c r="CG77" i="74"/>
  <c r="BX116" i="77"/>
  <c r="CG74" i="74"/>
  <c r="CG92" i="74"/>
  <c r="CG42" i="74"/>
  <c r="CG36" i="74"/>
  <c r="CG60" i="74"/>
  <c r="K16" i="75"/>
  <c r="CG22" i="74"/>
  <c r="CG58" i="74"/>
  <c r="BX117" i="75"/>
  <c r="CE38" i="75" s="1"/>
  <c r="CG72" i="74"/>
  <c r="CF75" i="74"/>
  <c r="AH117" i="77"/>
  <c r="CG67" i="74"/>
  <c r="CG38" i="74"/>
  <c r="CG93" i="74"/>
  <c r="CG57" i="74"/>
  <c r="CG95" i="74"/>
  <c r="CG34" i="74"/>
  <c r="CG99" i="74"/>
  <c r="CG5" i="74"/>
  <c r="CG80" i="74"/>
  <c r="CG6" i="74"/>
  <c r="CG69" i="74"/>
  <c r="CG51" i="74"/>
  <c r="AM116" i="77"/>
  <c r="CG48" i="74"/>
  <c r="AK116" i="76"/>
  <c r="CG15" i="74"/>
  <c r="K24" i="77"/>
  <c r="AA116" i="77"/>
  <c r="K16" i="77"/>
  <c r="CG14" i="74"/>
  <c r="CG86" i="74"/>
  <c r="CG8" i="74"/>
  <c r="CG89" i="74"/>
  <c r="CG19" i="74"/>
  <c r="CG85" i="74"/>
  <c r="AM117" i="77"/>
  <c r="CC8" i="77" s="1"/>
  <c r="CG59" i="74"/>
  <c r="AK117" i="76"/>
  <c r="CB24" i="76" s="1"/>
  <c r="CF88" i="74"/>
  <c r="CG25" i="74"/>
  <c r="CG20" i="74"/>
  <c r="CG64" i="74"/>
  <c r="CG31" i="74"/>
  <c r="K29" i="76"/>
  <c r="K14" i="76"/>
  <c r="CG94" i="74"/>
  <c r="CG75" i="74"/>
  <c r="CG28" i="74"/>
  <c r="K24" i="76"/>
  <c r="Y116" i="76"/>
  <c r="K16" i="76"/>
  <c r="CG27" i="74"/>
  <c r="CG40" i="74"/>
  <c r="CG30" i="74"/>
  <c r="K30" i="75"/>
  <c r="AH116" i="75"/>
  <c r="CF58" i="75" s="1"/>
  <c r="K29" i="75"/>
  <c r="K14" i="75"/>
  <c r="AM116" i="75"/>
  <c r="CG43" i="74"/>
  <c r="CG11" i="74"/>
  <c r="CG82" i="74"/>
  <c r="CG65" i="74"/>
  <c r="CG12" i="74"/>
  <c r="CF12" i="74"/>
  <c r="CG50" i="74"/>
  <c r="K25" i="76"/>
  <c r="Y117" i="76"/>
  <c r="CG29" i="74"/>
  <c r="CG41" i="74"/>
  <c r="CG56" i="74"/>
  <c r="CG10" i="74"/>
  <c r="K23" i="75"/>
  <c r="K32" i="74"/>
  <c r="K31" i="74"/>
  <c r="CG24" i="74"/>
  <c r="CG96" i="74"/>
  <c r="CG26" i="74"/>
  <c r="K23" i="76"/>
  <c r="CG61" i="74"/>
  <c r="CG98" i="74"/>
  <c r="BX117" i="77"/>
  <c r="CD52" i="77" s="1"/>
  <c r="CG55" i="74"/>
  <c r="AH117" i="75"/>
  <c r="AM117" i="75"/>
  <c r="CD12" i="75" s="1"/>
  <c r="CG16" i="74"/>
  <c r="CG68" i="74"/>
  <c r="CG21" i="74"/>
  <c r="AA116" i="75"/>
  <c r="K24" i="75"/>
  <c r="CG88" i="74"/>
  <c r="CG53" i="74"/>
  <c r="CG37" i="74"/>
  <c r="CF38" i="74"/>
  <c r="CG73" i="74"/>
  <c r="K23" i="77"/>
  <c r="CG52" i="74"/>
  <c r="CG63" i="74"/>
  <c r="CG7" i="74"/>
  <c r="CG79" i="74"/>
  <c r="CG33" i="74"/>
  <c r="AF117" i="76"/>
  <c r="AF116" i="76"/>
  <c r="CD96" i="76" s="1"/>
  <c r="K30" i="76"/>
  <c r="K15" i="76"/>
  <c r="CG78" i="74"/>
  <c r="CG32" i="74"/>
  <c r="CG49" i="74"/>
  <c r="CF50" i="74"/>
  <c r="CG87" i="74"/>
  <c r="CF28" i="74"/>
  <c r="AH116" i="77"/>
  <c r="CE14" i="77" s="1"/>
  <c r="K30" i="77"/>
  <c r="K15" i="77"/>
  <c r="K25" i="77"/>
  <c r="AA117" i="77"/>
  <c r="CG66" i="74"/>
  <c r="CG76" i="74"/>
  <c r="K15" i="75"/>
  <c r="CG17" i="74"/>
  <c r="CG91" i="74"/>
  <c r="CG18" i="74"/>
  <c r="CG45" i="74"/>
  <c r="K25" i="75"/>
  <c r="AA117" i="75"/>
  <c r="CG9" i="74"/>
  <c r="CG47" i="74"/>
  <c r="BX116" i="75"/>
  <c r="CG62" i="74"/>
  <c r="K29" i="77"/>
  <c r="K14" i="77"/>
  <c r="CB103" i="76" l="1"/>
  <c r="CB100" i="76"/>
  <c r="CC99" i="77"/>
  <c r="CC103" i="77"/>
  <c r="CB104" i="76"/>
  <c r="CB101" i="76"/>
  <c r="CC98" i="77"/>
  <c r="CC102" i="77"/>
  <c r="CD98" i="75"/>
  <c r="CB98" i="76"/>
  <c r="CD100" i="75"/>
  <c r="CD99" i="75"/>
  <c r="CB102" i="76"/>
  <c r="CD101" i="75"/>
  <c r="CC100" i="77"/>
  <c r="CC104" i="77"/>
  <c r="CD102" i="75"/>
  <c r="CB99" i="76"/>
  <c r="CD103" i="75"/>
  <c r="CC101" i="77"/>
  <c r="CD104" i="75"/>
  <c r="CB97" i="76"/>
  <c r="CC97" i="77"/>
  <c r="CD97" i="75"/>
  <c r="CC93" i="77"/>
  <c r="CC52" i="77"/>
  <c r="CC47" i="77"/>
  <c r="CB32" i="76"/>
  <c r="CC49" i="77"/>
  <c r="CD30" i="75"/>
  <c r="CC63" i="77"/>
  <c r="CC53" i="77"/>
  <c r="CC70" i="77"/>
  <c r="CB45" i="76"/>
  <c r="CD41" i="75"/>
  <c r="CC35" i="77"/>
  <c r="CC62" i="77"/>
  <c r="CB57" i="76"/>
  <c r="CD53" i="75"/>
  <c r="CB46" i="76"/>
  <c r="CD43" i="75"/>
  <c r="CB34" i="76"/>
  <c r="CD32" i="75"/>
  <c r="CC82" i="77"/>
  <c r="CC58" i="77"/>
  <c r="CC48" i="77"/>
  <c r="CC60" i="77"/>
  <c r="CC74" i="77"/>
  <c r="CC75" i="77"/>
  <c r="CC64" i="77"/>
  <c r="CC66" i="77"/>
  <c r="CB69" i="76"/>
  <c r="CD65" i="75"/>
  <c r="CB58" i="76"/>
  <c r="CD55" i="75"/>
  <c r="CB47" i="76"/>
  <c r="CD44" i="75"/>
  <c r="CC94" i="77"/>
  <c r="CC71" i="77"/>
  <c r="CC61" i="77"/>
  <c r="CC73" i="77"/>
  <c r="CC87" i="77"/>
  <c r="CC89" i="77"/>
  <c r="CC76" i="77"/>
  <c r="CC78" i="77"/>
  <c r="CB82" i="76"/>
  <c r="CD78" i="75"/>
  <c r="CB70" i="76"/>
  <c r="CD68" i="75"/>
  <c r="CB59" i="76"/>
  <c r="CD56" i="75"/>
  <c r="CD34" i="75"/>
  <c r="CC85" i="77"/>
  <c r="CC72" i="77"/>
  <c r="CC83" i="77"/>
  <c r="CD37" i="75"/>
  <c r="CD28" i="75"/>
  <c r="CC86" i="77"/>
  <c r="CC88" i="77"/>
  <c r="CB94" i="76"/>
  <c r="CD92" i="75"/>
  <c r="CB81" i="76"/>
  <c r="CD81" i="75"/>
  <c r="CB71" i="76"/>
  <c r="CD67" i="75"/>
  <c r="CB38" i="76"/>
  <c r="CD45" i="75"/>
  <c r="CC96" i="77"/>
  <c r="CC84" i="77"/>
  <c r="CD35" i="75"/>
  <c r="CD49" i="75"/>
  <c r="CB30" i="76"/>
  <c r="CD38" i="75"/>
  <c r="CB29" i="76"/>
  <c r="CD40" i="75"/>
  <c r="CB31" i="76"/>
  <c r="CD42" i="75"/>
  <c r="CC30" i="77"/>
  <c r="CD39" i="75"/>
  <c r="CB93" i="76"/>
  <c r="CD90" i="75"/>
  <c r="CB83" i="76"/>
  <c r="CD79" i="75"/>
  <c r="CB49" i="76"/>
  <c r="CD57" i="75"/>
  <c r="CB36" i="76"/>
  <c r="CD33" i="75"/>
  <c r="CC95" i="77"/>
  <c r="CD48" i="75"/>
  <c r="CB41" i="76"/>
  <c r="CD61" i="75"/>
  <c r="CB40" i="76"/>
  <c r="CD50" i="75"/>
  <c r="CB43" i="76"/>
  <c r="CD52" i="75"/>
  <c r="CB42" i="76"/>
  <c r="CD51" i="75"/>
  <c r="CC43" i="77"/>
  <c r="CC34" i="77"/>
  <c r="CC90" i="77"/>
  <c r="CB95" i="76"/>
  <c r="CD91" i="75"/>
  <c r="CB60" i="76"/>
  <c r="CD69" i="75"/>
  <c r="CB48" i="76"/>
  <c r="CD47" i="75"/>
  <c r="CB28" i="76"/>
  <c r="CD36" i="75"/>
  <c r="CB39" i="76"/>
  <c r="CD60" i="75"/>
  <c r="CB52" i="76"/>
  <c r="CD72" i="75"/>
  <c r="CB54" i="76"/>
  <c r="CD62" i="75"/>
  <c r="CB53" i="76"/>
  <c r="CD64" i="75"/>
  <c r="CB55" i="76"/>
  <c r="CD63" i="75"/>
  <c r="CC55" i="77"/>
  <c r="CC42" i="77"/>
  <c r="CC32" i="77"/>
  <c r="CB92" i="76"/>
  <c r="CB72" i="76"/>
  <c r="CD80" i="75"/>
  <c r="CB61" i="76"/>
  <c r="CD58" i="75"/>
  <c r="CB37" i="76"/>
  <c r="CD46" i="75"/>
  <c r="CB51" i="76"/>
  <c r="CD73" i="75"/>
  <c r="CB63" i="76"/>
  <c r="CD88" i="75"/>
  <c r="CB66" i="76"/>
  <c r="CD74" i="75"/>
  <c r="CB65" i="76"/>
  <c r="CD75" i="75"/>
  <c r="CB67" i="76"/>
  <c r="CD76" i="75"/>
  <c r="CC67" i="77"/>
  <c r="CC57" i="77"/>
  <c r="CC46" i="77"/>
  <c r="CC44" i="77"/>
  <c r="CB84" i="76"/>
  <c r="CD94" i="75"/>
  <c r="CB73" i="76"/>
  <c r="CD71" i="75"/>
  <c r="CB50" i="76"/>
  <c r="CD59" i="75"/>
  <c r="CB64" i="76"/>
  <c r="CD84" i="75"/>
  <c r="CB76" i="76"/>
  <c r="CB44" i="76"/>
  <c r="CB78" i="76"/>
  <c r="CD86" i="75"/>
  <c r="CB77" i="76"/>
  <c r="CD85" i="75"/>
  <c r="CB79" i="76"/>
  <c r="CD87" i="75"/>
  <c r="CC80" i="77"/>
  <c r="CC65" i="77"/>
  <c r="CC59" i="77"/>
  <c r="CD31" i="75"/>
  <c r="CC33" i="77"/>
  <c r="CB80" i="76"/>
  <c r="CB85" i="76"/>
  <c r="CD83" i="75"/>
  <c r="CB62" i="76"/>
  <c r="CD70" i="75"/>
  <c r="CB75" i="76"/>
  <c r="CD96" i="75"/>
  <c r="CB87" i="76"/>
  <c r="CD77" i="75"/>
  <c r="CB89" i="76"/>
  <c r="CB33" i="76"/>
  <c r="CB90" i="76"/>
  <c r="CB56" i="76"/>
  <c r="CB91" i="76"/>
  <c r="CB68" i="76"/>
  <c r="CC92" i="77"/>
  <c r="CC79" i="77"/>
  <c r="CC69" i="77"/>
  <c r="CC45" i="77"/>
  <c r="CC77" i="77"/>
  <c r="CB96" i="76"/>
  <c r="CD93" i="75"/>
  <c r="CB74" i="76"/>
  <c r="CD82" i="75"/>
  <c r="CB88" i="76"/>
  <c r="CD54" i="75"/>
  <c r="CC39" i="77"/>
  <c r="CC41" i="77"/>
  <c r="CC31" i="77"/>
  <c r="CC28" i="77"/>
  <c r="CD66" i="75"/>
  <c r="CC29" i="77"/>
  <c r="CC54" i="77"/>
  <c r="CB35" i="76"/>
  <c r="CD29" i="75"/>
  <c r="CC91" i="77"/>
  <c r="CC81" i="77"/>
  <c r="CC56" i="77"/>
  <c r="CC36" i="77"/>
  <c r="CC68" i="77"/>
  <c r="CB86" i="76"/>
  <c r="CD95" i="75"/>
  <c r="CC37" i="77"/>
  <c r="CC50" i="77"/>
  <c r="CC51" i="77"/>
  <c r="CC38" i="77"/>
  <c r="CC40" i="77"/>
  <c r="CD89" i="75"/>
  <c r="CB6" i="76"/>
  <c r="CC21" i="77"/>
  <c r="CC20" i="77"/>
  <c r="CB15" i="76"/>
  <c r="CC15" i="77"/>
  <c r="CB19" i="76"/>
  <c r="CD5" i="75"/>
  <c r="CB10" i="76"/>
  <c r="CD8" i="75"/>
  <c r="CB27" i="76"/>
  <c r="CC26" i="77"/>
  <c r="CC6" i="77"/>
  <c r="CD14" i="75"/>
  <c r="CB21" i="76"/>
  <c r="CD21" i="75"/>
  <c r="CB13" i="76"/>
  <c r="CC14" i="77"/>
  <c r="CD13" i="75"/>
  <c r="CC16" i="77"/>
  <c r="CC7" i="77"/>
  <c r="CC23" i="77"/>
  <c r="CB22" i="76"/>
  <c r="CC27" i="77"/>
  <c r="CD25" i="75"/>
  <c r="CB5" i="76"/>
  <c r="CD4" i="75"/>
  <c r="K35" i="75" s="1"/>
  <c r="CC19" i="77"/>
  <c r="CC12" i="77"/>
  <c r="CD15" i="75"/>
  <c r="CD22" i="75"/>
  <c r="CB18" i="76"/>
  <c r="CD17" i="75"/>
  <c r="CB8" i="76"/>
  <c r="CD6" i="75"/>
  <c r="CC25" i="77"/>
  <c r="CD24" i="75"/>
  <c r="CC4" i="77"/>
  <c r="CD27" i="75"/>
  <c r="CB25" i="76"/>
  <c r="CD19" i="75"/>
  <c r="CB12" i="76"/>
  <c r="CD10" i="75"/>
  <c r="CC11" i="77"/>
  <c r="CC17" i="77"/>
  <c r="CC9" i="77"/>
  <c r="CB23" i="76"/>
  <c r="CD23" i="75"/>
  <c r="CB7" i="76"/>
  <c r="CD16" i="75"/>
  <c r="CC18" i="77"/>
  <c r="CC10" i="77"/>
  <c r="CB14" i="76"/>
  <c r="CB17" i="76"/>
  <c r="CD26" i="75"/>
  <c r="CB9" i="76"/>
  <c r="CD7" i="75"/>
  <c r="CB11" i="76"/>
  <c r="CC22" i="77"/>
  <c r="CD11" i="75"/>
  <c r="CB4" i="76"/>
  <c r="CC13" i="77"/>
  <c r="CB20" i="76"/>
  <c r="CD18" i="75"/>
  <c r="CB26" i="76"/>
  <c r="CD9" i="75"/>
  <c r="CB16" i="76"/>
  <c r="CC24" i="77"/>
  <c r="CC5" i="77"/>
  <c r="CD20" i="75"/>
  <c r="CF99" i="77"/>
  <c r="CD97" i="76"/>
  <c r="CE99" i="76"/>
  <c r="CF85" i="75"/>
  <c r="CF98" i="75"/>
  <c r="CF99" i="75"/>
  <c r="CG99" i="75"/>
  <c r="CE29" i="75"/>
  <c r="CE16" i="75"/>
  <c r="CD73" i="76"/>
  <c r="CE98" i="75"/>
  <c r="CD49" i="76"/>
  <c r="CE104" i="76"/>
  <c r="CF100" i="77"/>
  <c r="CD98" i="77"/>
  <c r="CG101" i="75"/>
  <c r="CF37" i="75"/>
  <c r="CE97" i="75"/>
  <c r="CE42" i="76"/>
  <c r="CF39" i="75"/>
  <c r="CF50" i="75"/>
  <c r="CF63" i="75"/>
  <c r="CF72" i="75"/>
  <c r="CF86" i="75"/>
  <c r="CF49" i="75"/>
  <c r="CF46" i="75"/>
  <c r="CF51" i="75"/>
  <c r="CF61" i="75"/>
  <c r="CF96" i="75"/>
  <c r="CF75" i="75"/>
  <c r="CF33" i="75"/>
  <c r="CF102" i="77"/>
  <c r="CF103" i="77"/>
  <c r="CE100" i="77"/>
  <c r="CE104" i="77"/>
  <c r="CE103" i="76"/>
  <c r="CE102" i="76"/>
  <c r="CE100" i="76"/>
  <c r="CE104" i="75"/>
  <c r="CG103" i="75"/>
  <c r="CG104" i="75"/>
  <c r="CD100" i="76"/>
  <c r="CD98" i="76"/>
  <c r="CD99" i="77"/>
  <c r="CE102" i="75"/>
  <c r="CD104" i="76"/>
  <c r="CF101" i="75"/>
  <c r="CF103" i="75"/>
  <c r="CF104" i="75"/>
  <c r="CD102" i="76"/>
  <c r="CD100" i="77"/>
  <c r="CD102" i="77"/>
  <c r="CD104" i="77"/>
  <c r="CF104" i="77"/>
  <c r="CE101" i="77"/>
  <c r="CE102" i="77"/>
  <c r="CE103" i="77"/>
  <c r="CF101" i="77"/>
  <c r="CE101" i="76"/>
  <c r="CE100" i="75"/>
  <c r="CE98" i="77"/>
  <c r="CE103" i="75"/>
  <c r="CG100" i="75"/>
  <c r="CG102" i="75"/>
  <c r="CD101" i="76"/>
  <c r="CE101" i="75"/>
  <c r="CF100" i="75"/>
  <c r="CF102" i="75"/>
  <c r="CD103" i="76"/>
  <c r="CD103" i="77"/>
  <c r="CD101" i="77"/>
  <c r="CF13" i="75"/>
  <c r="CF25" i="75"/>
  <c r="CF24" i="75"/>
  <c r="CF26" i="75"/>
  <c r="CF22" i="75"/>
  <c r="CF15" i="75"/>
  <c r="CE26" i="77"/>
  <c r="CF62" i="75"/>
  <c r="CF73" i="75"/>
  <c r="CF16" i="75"/>
  <c r="CF38" i="75"/>
  <c r="CF74" i="75"/>
  <c r="CF87" i="75"/>
  <c r="CF97" i="75"/>
  <c r="CF5" i="75"/>
  <c r="CF52" i="75"/>
  <c r="CE41" i="75"/>
  <c r="CE91" i="75"/>
  <c r="CE92" i="75"/>
  <c r="CE8" i="75"/>
  <c r="CE77" i="75"/>
  <c r="CE39" i="75"/>
  <c r="CE93" i="75"/>
  <c r="CF28" i="75"/>
  <c r="CF57" i="75"/>
  <c r="CE90" i="75"/>
  <c r="CF40" i="75"/>
  <c r="CE54" i="75"/>
  <c r="CF64" i="75"/>
  <c r="CE64" i="75"/>
  <c r="CF89" i="75"/>
  <c r="CF17" i="75"/>
  <c r="CF77" i="75"/>
  <c r="CF65" i="77"/>
  <c r="CE95" i="75"/>
  <c r="CD6" i="77"/>
  <c r="CE74" i="75"/>
  <c r="CD5" i="77"/>
  <c r="CD18" i="77"/>
  <c r="CD30" i="77"/>
  <c r="CD17" i="77"/>
  <c r="CD28" i="77"/>
  <c r="CD53" i="77"/>
  <c r="CD41" i="77"/>
  <c r="CD86" i="77"/>
  <c r="CD65" i="77"/>
  <c r="CD55" i="77"/>
  <c r="CD78" i="77"/>
  <c r="CD67" i="77"/>
  <c r="CD89" i="77"/>
  <c r="CE83" i="75"/>
  <c r="CD77" i="77"/>
  <c r="CD50" i="77"/>
  <c r="CE60" i="75"/>
  <c r="CD87" i="77"/>
  <c r="CE96" i="75"/>
  <c r="CG92" i="75"/>
  <c r="CE94" i="75"/>
  <c r="CF94" i="75"/>
  <c r="CD95" i="77"/>
  <c r="CF46" i="77"/>
  <c r="CF89" i="77"/>
  <c r="CG85" i="75"/>
  <c r="CF75" i="77"/>
  <c r="CF6" i="77"/>
  <c r="CF17" i="77"/>
  <c r="CF27" i="77"/>
  <c r="CF40" i="77"/>
  <c r="CF54" i="77"/>
  <c r="CE92" i="77"/>
  <c r="CF94" i="77"/>
  <c r="CF92" i="75"/>
  <c r="CE90" i="77"/>
  <c r="CD92" i="76"/>
  <c r="CF90" i="77"/>
  <c r="CD90" i="77"/>
  <c r="CF93" i="75"/>
  <c r="CD92" i="77"/>
  <c r="CE50" i="77"/>
  <c r="CD44" i="77"/>
  <c r="CF55" i="77"/>
  <c r="CE36" i="75"/>
  <c r="CE79" i="76"/>
  <c r="CF80" i="75"/>
  <c r="CD64" i="77"/>
  <c r="CD38" i="77"/>
  <c r="CF78" i="77"/>
  <c r="CD7" i="77"/>
  <c r="CD13" i="77"/>
  <c r="CD19" i="77"/>
  <c r="CE53" i="77"/>
  <c r="CD31" i="77"/>
  <c r="CD56" i="77"/>
  <c r="CD59" i="77"/>
  <c r="CD66" i="77"/>
  <c r="CD79" i="77"/>
  <c r="CE65" i="76"/>
  <c r="CE88" i="75"/>
  <c r="CE76" i="75"/>
  <c r="CE53" i="75"/>
  <c r="CE61" i="75"/>
  <c r="CG83" i="75"/>
  <c r="CE33" i="75"/>
  <c r="CE82" i="75"/>
  <c r="CE59" i="75"/>
  <c r="CE26" i="75"/>
  <c r="CE70" i="75"/>
  <c r="CE89" i="75"/>
  <c r="CE65" i="75"/>
  <c r="CE44" i="75"/>
  <c r="CE72" i="75"/>
  <c r="CE20" i="75"/>
  <c r="CE78" i="75"/>
  <c r="CE9" i="75"/>
  <c r="CE62" i="75"/>
  <c r="CE57" i="75"/>
  <c r="CE84" i="75"/>
  <c r="CE49" i="75"/>
  <c r="CE85" i="75"/>
  <c r="CE5" i="75"/>
  <c r="CE19" i="75"/>
  <c r="CE69" i="75"/>
  <c r="CE7" i="75"/>
  <c r="CE21" i="75"/>
  <c r="CE32" i="75"/>
  <c r="CE80" i="75"/>
  <c r="CE10" i="75"/>
  <c r="CE4" i="75"/>
  <c r="K36" i="75" s="1"/>
  <c r="CE18" i="75"/>
  <c r="CE30" i="75"/>
  <c r="CE45" i="75"/>
  <c r="CF42" i="75"/>
  <c r="CE75" i="75"/>
  <c r="CE23" i="75"/>
  <c r="CE14" i="75"/>
  <c r="CE37" i="75"/>
  <c r="CE31" i="75"/>
  <c r="CE43" i="75"/>
  <c r="CE56" i="75"/>
  <c r="CF53" i="75"/>
  <c r="CE15" i="75"/>
  <c r="CE86" i="75"/>
  <c r="CE34" i="75"/>
  <c r="CE51" i="75"/>
  <c r="CE42" i="75"/>
  <c r="CE55" i="75"/>
  <c r="CE68" i="75"/>
  <c r="CF88" i="75"/>
  <c r="CE22" i="75"/>
  <c r="CE47" i="75"/>
  <c r="CE28" i="75"/>
  <c r="CE6" i="75"/>
  <c r="CE52" i="75"/>
  <c r="CE67" i="75"/>
  <c r="CE48" i="75"/>
  <c r="CE79" i="75"/>
  <c r="CE35" i="75"/>
  <c r="CE58" i="75"/>
  <c r="CE11" i="75"/>
  <c r="CE50" i="75"/>
  <c r="CE40" i="75"/>
  <c r="CE17" i="75"/>
  <c r="CE66" i="75"/>
  <c r="CE81" i="75"/>
  <c r="CE46" i="75"/>
  <c r="CE71" i="75"/>
  <c r="CE24" i="75"/>
  <c r="CE63" i="75"/>
  <c r="CE16" i="77"/>
  <c r="CE5" i="77"/>
  <c r="CE66" i="77"/>
  <c r="CF66" i="77"/>
  <c r="CG19" i="75"/>
  <c r="CD68" i="77"/>
  <c r="CF65" i="75"/>
  <c r="CF23" i="75"/>
  <c r="CF54" i="75"/>
  <c r="CD71" i="77"/>
  <c r="CF24" i="77"/>
  <c r="CD21" i="76"/>
  <c r="CG84" i="75"/>
  <c r="CE18" i="77"/>
  <c r="CG49" i="75"/>
  <c r="CG29" i="75"/>
  <c r="CD82" i="77"/>
  <c r="CF7" i="75"/>
  <c r="CD33" i="76"/>
  <c r="CD74" i="77"/>
  <c r="CE36" i="77"/>
  <c r="CE42" i="77"/>
  <c r="CD13" i="76"/>
  <c r="CD36" i="76"/>
  <c r="CE27" i="77"/>
  <c r="CD38" i="76"/>
  <c r="CD25" i="76"/>
  <c r="CD39" i="76"/>
  <c r="CD64" i="76"/>
  <c r="CE21" i="77"/>
  <c r="CF18" i="75"/>
  <c r="CF88" i="77"/>
  <c r="CD19" i="76"/>
  <c r="CD35" i="76"/>
  <c r="CG74" i="75"/>
  <c r="CE51" i="77"/>
  <c r="CD23" i="76"/>
  <c r="CE40" i="77"/>
  <c r="CD50" i="76"/>
  <c r="CD51" i="76"/>
  <c r="CD77" i="76"/>
  <c r="CF4" i="75"/>
  <c r="CE33" i="77"/>
  <c r="CD4" i="76"/>
  <c r="CD32" i="76"/>
  <c r="CE64" i="77"/>
  <c r="CD34" i="76"/>
  <c r="CE54" i="77"/>
  <c r="CD62" i="76"/>
  <c r="K17" i="75"/>
  <c r="K40" i="75" s="1"/>
  <c r="CG45" i="75"/>
  <c r="CE35" i="77"/>
  <c r="CD83" i="76"/>
  <c r="CE15" i="77"/>
  <c r="CE87" i="75"/>
  <c r="CG15" i="75"/>
  <c r="CD46" i="76"/>
  <c r="CE78" i="77"/>
  <c r="CD74" i="76"/>
  <c r="CG54" i="75"/>
  <c r="CE47" i="77"/>
  <c r="CE28" i="77"/>
  <c r="CE76" i="77"/>
  <c r="CE88" i="77"/>
  <c r="CG38" i="75"/>
  <c r="CD61" i="76"/>
  <c r="CF5" i="77"/>
  <c r="CD86" i="76"/>
  <c r="CF44" i="77"/>
  <c r="CG52" i="75"/>
  <c r="CF14" i="75"/>
  <c r="CD75" i="77"/>
  <c r="CF25" i="77"/>
  <c r="CD76" i="77"/>
  <c r="CG48" i="75"/>
  <c r="CF28" i="77"/>
  <c r="CG25" i="75"/>
  <c r="CG20" i="75"/>
  <c r="CD43" i="77"/>
  <c r="CF56" i="77"/>
  <c r="CG65" i="75"/>
  <c r="CE8" i="76"/>
  <c r="CF69" i="77"/>
  <c r="CE11" i="77"/>
  <c r="CG14" i="75"/>
  <c r="CG61" i="75"/>
  <c r="CD85" i="76"/>
  <c r="CF43" i="77"/>
  <c r="CG51" i="75"/>
  <c r="CG35" i="75"/>
  <c r="CF19" i="77"/>
  <c r="CD54" i="77"/>
  <c r="CF81" i="77"/>
  <c r="CF81" i="75"/>
  <c r="CE4" i="77"/>
  <c r="CG71" i="75"/>
  <c r="CF14" i="77"/>
  <c r="CF53" i="77"/>
  <c r="CD14" i="76"/>
  <c r="CF67" i="77"/>
  <c r="CF29" i="75"/>
  <c r="CE75" i="77"/>
  <c r="CF27" i="75"/>
  <c r="K17" i="77"/>
  <c r="CG87" i="75"/>
  <c r="CE24" i="77"/>
  <c r="CF64" i="77"/>
  <c r="CD24" i="76"/>
  <c r="CF41" i="75"/>
  <c r="CG46" i="75"/>
  <c r="CF36" i="75"/>
  <c r="CE90" i="76"/>
  <c r="K18" i="77"/>
  <c r="CE7" i="76"/>
  <c r="K32" i="77"/>
  <c r="K31" i="77"/>
  <c r="CE53" i="76"/>
  <c r="CE30" i="76"/>
  <c r="CG97" i="75"/>
  <c r="CF51" i="77"/>
  <c r="CF4" i="77"/>
  <c r="CE39" i="77"/>
  <c r="CE67" i="76"/>
  <c r="CD27" i="76"/>
  <c r="CF42" i="77"/>
  <c r="CE91" i="77"/>
  <c r="CD52" i="76"/>
  <c r="CD33" i="77"/>
  <c r="CF32" i="77"/>
  <c r="CE80" i="77"/>
  <c r="CG42" i="75"/>
  <c r="CD89" i="76"/>
  <c r="CD58" i="77"/>
  <c r="CD58" i="76"/>
  <c r="CD59" i="76"/>
  <c r="CE9" i="77"/>
  <c r="K18" i="76"/>
  <c r="CG79" i="75"/>
  <c r="CD84" i="77"/>
  <c r="CF30" i="75"/>
  <c r="CE36" i="76"/>
  <c r="CF58" i="77"/>
  <c r="CG32" i="75"/>
  <c r="CD78" i="76"/>
  <c r="CD45" i="77"/>
  <c r="CF86" i="77"/>
  <c r="CF13" i="77"/>
  <c r="CE25" i="77"/>
  <c r="CE50" i="76"/>
  <c r="CD7" i="76"/>
  <c r="CF68" i="75"/>
  <c r="CG69" i="75"/>
  <c r="CG12" i="75"/>
  <c r="CF85" i="77"/>
  <c r="CE37" i="76"/>
  <c r="CD9" i="76"/>
  <c r="CF69" i="75"/>
  <c r="CF98" i="77"/>
  <c r="CE15" i="76"/>
  <c r="CG60" i="75"/>
  <c r="CD63" i="77"/>
  <c r="CF12" i="75"/>
  <c r="CF84" i="77"/>
  <c r="CE62" i="77"/>
  <c r="CE57" i="76"/>
  <c r="CE75" i="76"/>
  <c r="CE39" i="76"/>
  <c r="CE63" i="76"/>
  <c r="CE86" i="76"/>
  <c r="CE64" i="76"/>
  <c r="CF62" i="77"/>
  <c r="CF30" i="77"/>
  <c r="CE77" i="77"/>
  <c r="CD63" i="76"/>
  <c r="CG22" i="75"/>
  <c r="CD47" i="76"/>
  <c r="CF77" i="77"/>
  <c r="CE4" i="76"/>
  <c r="CG40" i="75"/>
  <c r="CD88" i="76"/>
  <c r="CD69" i="77"/>
  <c r="CF70" i="77"/>
  <c r="CG77" i="75"/>
  <c r="CD93" i="77"/>
  <c r="K32" i="75"/>
  <c r="K31" i="75"/>
  <c r="K43" i="75" s="1"/>
  <c r="CE46" i="77"/>
  <c r="CE38" i="76"/>
  <c r="K17" i="76"/>
  <c r="CF67" i="75"/>
  <c r="CG59" i="75"/>
  <c r="CF93" i="77"/>
  <c r="CE23" i="76"/>
  <c r="CG67" i="75"/>
  <c r="CD81" i="77"/>
  <c r="CF32" i="75"/>
  <c r="CE59" i="77"/>
  <c r="CE84" i="76"/>
  <c r="CD44" i="76"/>
  <c r="CD12" i="77"/>
  <c r="CE23" i="77"/>
  <c r="CE71" i="76"/>
  <c r="CD45" i="76"/>
  <c r="CD15" i="77"/>
  <c r="CF83" i="75"/>
  <c r="CE41" i="77"/>
  <c r="CE49" i="76"/>
  <c r="CG96" i="75"/>
  <c r="CF48" i="75"/>
  <c r="CE73" i="75"/>
  <c r="CE16" i="76"/>
  <c r="CE10" i="76"/>
  <c r="CE78" i="76"/>
  <c r="CF41" i="77"/>
  <c r="CE89" i="77"/>
  <c r="CG27" i="75"/>
  <c r="CD75" i="76"/>
  <c r="CD82" i="76"/>
  <c r="CF91" i="77"/>
  <c r="CG53" i="75"/>
  <c r="CD80" i="77"/>
  <c r="CF34" i="77"/>
  <c r="CF83" i="77"/>
  <c r="CE11" i="76"/>
  <c r="CG89" i="75"/>
  <c r="CF12" i="77"/>
  <c r="CE58" i="77"/>
  <c r="CE47" i="76"/>
  <c r="K32" i="76"/>
  <c r="K31" i="76"/>
  <c r="CF78" i="75"/>
  <c r="CD51" i="77"/>
  <c r="CE10" i="77"/>
  <c r="CE34" i="76"/>
  <c r="CG78" i="75"/>
  <c r="CD94" i="77"/>
  <c r="CF43" i="75"/>
  <c r="K33" i="77"/>
  <c r="CE71" i="77"/>
  <c r="CE96" i="76"/>
  <c r="CG7" i="75"/>
  <c r="CD56" i="76"/>
  <c r="CD26" i="77"/>
  <c r="CF35" i="75"/>
  <c r="CF47" i="75"/>
  <c r="CE38" i="77"/>
  <c r="CE83" i="76"/>
  <c r="CG9" i="75"/>
  <c r="CD57" i="76"/>
  <c r="CD22" i="77"/>
  <c r="CE52" i="77"/>
  <c r="CE61" i="76"/>
  <c r="CE99" i="75"/>
  <c r="CD12" i="76"/>
  <c r="CF60" i="75"/>
  <c r="CE25" i="75"/>
  <c r="CE60" i="76"/>
  <c r="CG26" i="75"/>
  <c r="CF15" i="77"/>
  <c r="CE65" i="77"/>
  <c r="CE88" i="76"/>
  <c r="CG13" i="75"/>
  <c r="CF52" i="77"/>
  <c r="CG39" i="75"/>
  <c r="CD87" i="76"/>
  <c r="CD42" i="77"/>
  <c r="CE8" i="77"/>
  <c r="CE21" i="76"/>
  <c r="CG63" i="75"/>
  <c r="CD91" i="77"/>
  <c r="CE74" i="76"/>
  <c r="CG72" i="75"/>
  <c r="CF92" i="77"/>
  <c r="CE20" i="76"/>
  <c r="CD5" i="76"/>
  <c r="CF49" i="77"/>
  <c r="CF61" i="77"/>
  <c r="CF21" i="77"/>
  <c r="CE70" i="77"/>
  <c r="CE58" i="76"/>
  <c r="CD20" i="76"/>
  <c r="CF90" i="75"/>
  <c r="CD22" i="76"/>
  <c r="CE22" i="77"/>
  <c r="CE46" i="76"/>
  <c r="CG90" i="75"/>
  <c r="CF55" i="75"/>
  <c r="CF37" i="77"/>
  <c r="CE83" i="77"/>
  <c r="CG21" i="75"/>
  <c r="CD68" i="76"/>
  <c r="CD35" i="77"/>
  <c r="CE48" i="77"/>
  <c r="CE97" i="76"/>
  <c r="CG23" i="75"/>
  <c r="CD69" i="76"/>
  <c r="CD37" i="77"/>
  <c r="CF36" i="77"/>
  <c r="CF16" i="77"/>
  <c r="CE63" i="77"/>
  <c r="CE76" i="76"/>
  <c r="CD26" i="76"/>
  <c r="CF71" i="75"/>
  <c r="CG57" i="75"/>
  <c r="CG47" i="75"/>
  <c r="CE54" i="76"/>
  <c r="K33" i="76"/>
  <c r="CE40" i="76"/>
  <c r="CG50" i="75"/>
  <c r="CE19" i="77"/>
  <c r="CE31" i="76"/>
  <c r="CG73" i="75"/>
  <c r="CD39" i="77"/>
  <c r="CE7" i="77"/>
  <c r="CE33" i="76"/>
  <c r="CD17" i="76"/>
  <c r="CE73" i="77"/>
  <c r="CE86" i="77"/>
  <c r="CF35" i="77"/>
  <c r="CE81" i="77"/>
  <c r="CE72" i="76"/>
  <c r="CG8" i="75"/>
  <c r="CD31" i="76"/>
  <c r="CD10" i="77"/>
  <c r="CE34" i="77"/>
  <c r="CE62" i="76"/>
  <c r="CD8" i="76"/>
  <c r="CF66" i="75"/>
  <c r="CD11" i="76"/>
  <c r="CF45" i="77"/>
  <c r="CE96" i="77"/>
  <c r="CG34" i="75"/>
  <c r="CD81" i="76"/>
  <c r="CD47" i="77"/>
  <c r="CF73" i="77"/>
  <c r="CF8" i="77"/>
  <c r="CE60" i="77"/>
  <c r="CG30" i="75"/>
  <c r="CD80" i="76"/>
  <c r="CD49" i="77"/>
  <c r="CE37" i="77"/>
  <c r="CF26" i="77"/>
  <c r="CE74" i="77"/>
  <c r="CE89" i="76"/>
  <c r="CD37" i="76"/>
  <c r="CF84" i="75"/>
  <c r="CD70" i="76"/>
  <c r="CD71" i="76"/>
  <c r="CE48" i="76"/>
  <c r="CE51" i="76"/>
  <c r="CG36" i="75"/>
  <c r="CF79" i="77"/>
  <c r="CE6" i="76"/>
  <c r="CG64" i="75"/>
  <c r="CE30" i="77"/>
  <c r="CE45" i="76"/>
  <c r="CG88" i="75"/>
  <c r="CE20" i="77"/>
  <c r="CE43" i="76"/>
  <c r="K35" i="74"/>
  <c r="CD29" i="76"/>
  <c r="CE87" i="76"/>
  <c r="CE66" i="76"/>
  <c r="CF47" i="77"/>
  <c r="CE93" i="77"/>
  <c r="CE81" i="76"/>
  <c r="CG17" i="75"/>
  <c r="CD42" i="76"/>
  <c r="CD21" i="77"/>
  <c r="CE45" i="77"/>
  <c r="CE70" i="76"/>
  <c r="CD18" i="76"/>
  <c r="CF79" i="75"/>
  <c r="CG11" i="75"/>
  <c r="CF59" i="77"/>
  <c r="CG41" i="75"/>
  <c r="CD91" i="76"/>
  <c r="CD60" i="77"/>
  <c r="CF8" i="75"/>
  <c r="CE97" i="77"/>
  <c r="CF23" i="77"/>
  <c r="CE72" i="77"/>
  <c r="CG43" i="75"/>
  <c r="CD93" i="76"/>
  <c r="CD61" i="77"/>
  <c r="CF9" i="75"/>
  <c r="CE77" i="76"/>
  <c r="CF39" i="77"/>
  <c r="CE87" i="77"/>
  <c r="CG10" i="75"/>
  <c r="CD48" i="76"/>
  <c r="CD4" i="77"/>
  <c r="K36" i="77" s="1"/>
  <c r="CF95" i="75"/>
  <c r="CD24" i="77"/>
  <c r="CE28" i="76"/>
  <c r="CE18" i="76"/>
  <c r="CG76" i="75"/>
  <c r="CE43" i="77"/>
  <c r="CE59" i="76"/>
  <c r="K54" i="74"/>
  <c r="K46" i="74"/>
  <c r="CD6" i="76"/>
  <c r="CD10" i="76"/>
  <c r="CE31" i="77"/>
  <c r="CE56" i="76"/>
  <c r="CD41" i="76"/>
  <c r="CD9" i="77"/>
  <c r="CF57" i="77"/>
  <c r="CE94" i="76"/>
  <c r="CG31" i="75"/>
  <c r="CD54" i="76"/>
  <c r="CD34" i="77"/>
  <c r="CF70" i="75"/>
  <c r="CF10" i="77"/>
  <c r="CE57" i="77"/>
  <c r="CE85" i="76"/>
  <c r="CD30" i="76"/>
  <c r="CF91" i="75"/>
  <c r="CD94" i="76"/>
  <c r="CD85" i="77"/>
  <c r="CF72" i="77"/>
  <c r="CG56" i="75"/>
  <c r="CD73" i="77"/>
  <c r="CF20" i="75"/>
  <c r="CF11" i="77"/>
  <c r="CE52" i="76"/>
  <c r="CF38" i="77"/>
  <c r="CE84" i="77"/>
  <c r="CG58" i="75"/>
  <c r="CD72" i="77"/>
  <c r="CF21" i="75"/>
  <c r="CE85" i="77"/>
  <c r="CF50" i="77"/>
  <c r="CE99" i="77"/>
  <c r="CG24" i="75"/>
  <c r="CD60" i="76"/>
  <c r="CD14" i="77"/>
  <c r="CD62" i="77"/>
  <c r="K33" i="75"/>
  <c r="CE73" i="76"/>
  <c r="CE17" i="76"/>
  <c r="CG62" i="75"/>
  <c r="CE6" i="77"/>
  <c r="CE32" i="76"/>
  <c r="CG86" i="75"/>
  <c r="CF71" i="77"/>
  <c r="CF9" i="77"/>
  <c r="CE56" i="77"/>
  <c r="CE68" i="76"/>
  <c r="CD16" i="76"/>
  <c r="CD27" i="77"/>
  <c r="CE44" i="77"/>
  <c r="CE69" i="76"/>
  <c r="CG5" i="75"/>
  <c r="CD53" i="76"/>
  <c r="CD25" i="77"/>
  <c r="CF68" i="77"/>
  <c r="CG44" i="75"/>
  <c r="CD66" i="76"/>
  <c r="CD48" i="77"/>
  <c r="CF22" i="77"/>
  <c r="CE69" i="77"/>
  <c r="CE95" i="76"/>
  <c r="CD43" i="76"/>
  <c r="CD11" i="77"/>
  <c r="CD16" i="77"/>
  <c r="CF82" i="77"/>
  <c r="CE9" i="76"/>
  <c r="CG68" i="75"/>
  <c r="CD83" i="77"/>
  <c r="CF31" i="75"/>
  <c r="CE14" i="76"/>
  <c r="CF48" i="77"/>
  <c r="CE95" i="77"/>
  <c r="CG70" i="75"/>
  <c r="CD88" i="77"/>
  <c r="CF34" i="75"/>
  <c r="CE98" i="76"/>
  <c r="CF63" i="77"/>
  <c r="CE12" i="75"/>
  <c r="K18" i="75"/>
  <c r="CD72" i="76"/>
  <c r="CD29" i="77"/>
  <c r="CF11" i="75"/>
  <c r="CE29" i="76"/>
  <c r="CE5" i="76"/>
  <c r="CG75" i="75"/>
  <c r="CE17" i="77"/>
  <c r="CE44" i="76"/>
  <c r="CG98" i="75"/>
  <c r="CE49" i="77"/>
  <c r="CF29" i="77"/>
  <c r="CF18" i="77"/>
  <c r="CE67" i="77"/>
  <c r="CE80" i="76"/>
  <c r="CD28" i="76"/>
  <c r="CD8" i="77"/>
  <c r="CF7" i="77"/>
  <c r="CE55" i="77"/>
  <c r="CE82" i="76"/>
  <c r="CG16" i="75"/>
  <c r="CD65" i="76"/>
  <c r="CD32" i="77"/>
  <c r="CF80" i="77"/>
  <c r="CE13" i="76"/>
  <c r="CG55" i="75"/>
  <c r="CD79" i="76"/>
  <c r="CD57" i="77"/>
  <c r="CF6" i="75"/>
  <c r="CE12" i="77"/>
  <c r="CE29" i="77"/>
  <c r="CF33" i="77"/>
  <c r="CE82" i="77"/>
  <c r="CG6" i="75"/>
  <c r="CD55" i="76"/>
  <c r="CD23" i="77"/>
  <c r="CF10" i="75"/>
  <c r="CF59" i="75"/>
  <c r="CF96" i="77"/>
  <c r="CE22" i="76"/>
  <c r="CG82" i="75"/>
  <c r="CD96" i="77"/>
  <c r="CF44" i="75"/>
  <c r="CF60" i="77"/>
  <c r="CE12" i="76"/>
  <c r="CG81" i="75"/>
  <c r="CD97" i="77"/>
  <c r="CF45" i="75"/>
  <c r="CG93" i="75"/>
  <c r="CF76" i="77"/>
  <c r="CE27" i="75"/>
  <c r="CG37" i="75"/>
  <c r="CD84" i="76"/>
  <c r="CD40" i="77"/>
  <c r="CF82" i="75"/>
  <c r="CE91" i="76"/>
  <c r="CE41" i="76"/>
  <c r="CG80" i="75"/>
  <c r="CF87" i="77"/>
  <c r="CE19" i="76"/>
  <c r="CD99" i="76"/>
  <c r="CE32" i="77"/>
  <c r="CE55" i="76"/>
  <c r="CD15" i="76"/>
  <c r="CE25" i="76"/>
  <c r="CF31" i="77"/>
  <c r="CE79" i="77"/>
  <c r="CE93" i="76"/>
  <c r="CG4" i="75"/>
  <c r="CD40" i="76"/>
  <c r="CD20" i="77"/>
  <c r="CF97" i="77"/>
  <c r="CF20" i="77"/>
  <c r="CE68" i="77"/>
  <c r="CE92" i="76"/>
  <c r="CG28" i="75"/>
  <c r="CD76" i="76"/>
  <c r="CD46" i="77"/>
  <c r="CF76" i="75"/>
  <c r="CG94" i="75"/>
  <c r="CG33" i="75"/>
  <c r="CF95" i="77"/>
  <c r="CE24" i="76"/>
  <c r="CG66" i="75"/>
  <c r="CD90" i="76"/>
  <c r="CD70" i="77"/>
  <c r="CF19" i="75"/>
  <c r="CE61" i="77"/>
  <c r="CE27" i="76"/>
  <c r="CE94" i="77"/>
  <c r="CG18" i="75"/>
  <c r="CD67" i="76"/>
  <c r="CD36" i="77"/>
  <c r="CE13" i="77"/>
  <c r="CE35" i="76"/>
  <c r="CG91" i="75"/>
  <c r="CF56" i="75"/>
  <c r="CF74" i="77"/>
  <c r="CE26" i="76"/>
  <c r="CG95" i="75"/>
  <c r="CE13" i="75"/>
  <c r="CD95" i="76"/>
  <c r="K40" i="77" l="1"/>
  <c r="K35" i="77"/>
  <c r="K39" i="77" s="1"/>
  <c r="K39" i="75"/>
  <c r="K41" i="75" s="1"/>
  <c r="K42" i="75" s="1"/>
  <c r="K44" i="75" s="1"/>
  <c r="K43" i="77"/>
  <c r="K51" i="77"/>
  <c r="K46" i="77"/>
  <c r="K54" i="77"/>
  <c r="K54" i="76"/>
  <c r="K46" i="76"/>
  <c r="K35" i="76"/>
  <c r="K51" i="75"/>
  <c r="K54" i="75"/>
  <c r="K41" i="77" l="1"/>
  <c r="K42" i="77" s="1"/>
  <c r="K44" i="77" s="1"/>
  <c r="K50" i="75"/>
  <c r="K52" i="75" s="1"/>
  <c r="K45" i="75"/>
  <c r="K47" i="75" s="1"/>
  <c r="K48" i="75"/>
  <c r="K11" i="75"/>
  <c r="L11" i="74" s="1"/>
  <c r="K10" i="75"/>
  <c r="K11" i="77" l="1"/>
  <c r="K10" i="77"/>
  <c r="K50" i="77"/>
  <c r="K52" i="77" s="1"/>
  <c r="K7" i="77" s="1"/>
  <c r="K45" i="77"/>
  <c r="K47" i="77" s="1"/>
  <c r="K48" i="77"/>
  <c r="CG101" i="77" s="1"/>
  <c r="N8" i="65"/>
  <c r="CH103" i="75"/>
  <c r="CI103" i="75" s="1"/>
  <c r="CJ103" i="75" s="1"/>
  <c r="CH100" i="75"/>
  <c r="CI100" i="75" s="1"/>
  <c r="CJ100" i="75" s="1"/>
  <c r="CH101" i="75"/>
  <c r="CI101" i="75" s="1"/>
  <c r="CJ101" i="75" s="1"/>
  <c r="CH102" i="75"/>
  <c r="CI102" i="75" s="1"/>
  <c r="CJ102" i="75" s="1"/>
  <c r="CH104" i="75"/>
  <c r="CI104" i="75" s="1"/>
  <c r="CJ104" i="75" s="1"/>
  <c r="K7" i="75"/>
  <c r="K53" i="75"/>
  <c r="K55" i="75" s="1"/>
  <c r="K8" i="75" s="1"/>
  <c r="K9" i="75"/>
  <c r="L9" i="74" s="1"/>
  <c r="CH62" i="75"/>
  <c r="CI62" i="75" s="1"/>
  <c r="CJ62" i="75" s="1"/>
  <c r="CH36" i="75"/>
  <c r="CI36" i="75" s="1"/>
  <c r="CJ36" i="75" s="1"/>
  <c r="CH28" i="75"/>
  <c r="CI28" i="75" s="1"/>
  <c r="CJ28" i="75" s="1"/>
  <c r="CH58" i="75"/>
  <c r="CI58" i="75" s="1"/>
  <c r="CJ58" i="75" s="1"/>
  <c r="CH5" i="75"/>
  <c r="CI5" i="75" s="1"/>
  <c r="CJ5" i="75" s="1"/>
  <c r="AG5" i="64" s="1"/>
  <c r="CH61" i="75"/>
  <c r="CI61" i="75" s="1"/>
  <c r="CJ61" i="75" s="1"/>
  <c r="CH80" i="75"/>
  <c r="CI80" i="75" s="1"/>
  <c r="CJ80" i="75" s="1"/>
  <c r="CH51" i="75"/>
  <c r="CI51" i="75" s="1"/>
  <c r="CJ51" i="75" s="1"/>
  <c r="CH46" i="75"/>
  <c r="CI46" i="75" s="1"/>
  <c r="CJ46" i="75" s="1"/>
  <c r="CH81" i="75"/>
  <c r="CI81" i="75" s="1"/>
  <c r="CJ81" i="75" s="1"/>
  <c r="CH63" i="75"/>
  <c r="CI63" i="75" s="1"/>
  <c r="CJ63" i="75" s="1"/>
  <c r="CH73" i="75"/>
  <c r="CI73" i="75" s="1"/>
  <c r="CJ73" i="75" s="1"/>
  <c r="CH23" i="75"/>
  <c r="CI23" i="75" s="1"/>
  <c r="CJ23" i="75" s="1"/>
  <c r="CH25" i="75"/>
  <c r="CI25" i="75" s="1"/>
  <c r="CJ25" i="75" s="1"/>
  <c r="CH65" i="75"/>
  <c r="CI65" i="75" s="1"/>
  <c r="CJ65" i="75" s="1"/>
  <c r="CH39" i="75"/>
  <c r="CI39" i="75" s="1"/>
  <c r="CJ39" i="75" s="1"/>
  <c r="CH92" i="75"/>
  <c r="CI92" i="75" s="1"/>
  <c r="CJ92" i="75" s="1"/>
  <c r="CH33" i="75"/>
  <c r="CI33" i="75" s="1"/>
  <c r="CJ33" i="75" s="1"/>
  <c r="CH97" i="75"/>
  <c r="CI97" i="75" s="1"/>
  <c r="CJ97" i="75" s="1"/>
  <c r="CH13" i="75"/>
  <c r="CI13" i="75" s="1"/>
  <c r="CJ13" i="75" s="1"/>
  <c r="CH17" i="75"/>
  <c r="CI17" i="75" s="1"/>
  <c r="CJ17" i="75" s="1"/>
  <c r="CH98" i="75"/>
  <c r="CI98" i="75" s="1"/>
  <c r="CJ98" i="75" s="1"/>
  <c r="CH41" i="75"/>
  <c r="CI41" i="75" s="1"/>
  <c r="CJ41" i="75" s="1"/>
  <c r="CH37" i="75"/>
  <c r="CI37" i="75" s="1"/>
  <c r="CJ37" i="75" s="1"/>
  <c r="CH53" i="75"/>
  <c r="CI53" i="75" s="1"/>
  <c r="CJ53" i="75" s="1"/>
  <c r="CH22" i="75"/>
  <c r="CI22" i="75" s="1"/>
  <c r="CJ22" i="75" s="1"/>
  <c r="CH24" i="75"/>
  <c r="CI24" i="75" s="1"/>
  <c r="CJ24" i="75" s="1"/>
  <c r="CH75" i="75"/>
  <c r="CI75" i="75" s="1"/>
  <c r="CJ75" i="75" s="1"/>
  <c r="CH40" i="75"/>
  <c r="CI40" i="75" s="1"/>
  <c r="CJ40" i="75" s="1"/>
  <c r="CH86" i="75"/>
  <c r="CI86" i="75" s="1"/>
  <c r="CJ86" i="75" s="1"/>
  <c r="CH29" i="75"/>
  <c r="CI29" i="75" s="1"/>
  <c r="CJ29" i="75" s="1"/>
  <c r="CH89" i="75"/>
  <c r="CI89" i="75" s="1"/>
  <c r="CJ89" i="75" s="1"/>
  <c r="CH38" i="75"/>
  <c r="CI38" i="75" s="1"/>
  <c r="CJ38" i="75" s="1"/>
  <c r="CH93" i="75"/>
  <c r="CI93" i="75" s="1"/>
  <c r="CJ93" i="75" s="1"/>
  <c r="CH15" i="75"/>
  <c r="CI15" i="75" s="1"/>
  <c r="CJ15" i="75" s="1"/>
  <c r="CH88" i="75"/>
  <c r="CI88" i="75" s="1"/>
  <c r="CJ88" i="75" s="1"/>
  <c r="CH99" i="75"/>
  <c r="CI99" i="75" s="1"/>
  <c r="CJ99" i="75" s="1"/>
  <c r="CH85" i="75"/>
  <c r="CI85" i="75" s="1"/>
  <c r="CJ85" i="75" s="1"/>
  <c r="CH72" i="75"/>
  <c r="CI72" i="75" s="1"/>
  <c r="CJ72" i="75" s="1"/>
  <c r="CH26" i="75"/>
  <c r="CI26" i="75" s="1"/>
  <c r="CJ26" i="75" s="1"/>
  <c r="CH94" i="75"/>
  <c r="CI94" i="75" s="1"/>
  <c r="CJ94" i="75" s="1"/>
  <c r="CH74" i="75"/>
  <c r="CI74" i="75" s="1"/>
  <c r="CJ74" i="75" s="1"/>
  <c r="CH4" i="75"/>
  <c r="CI4" i="75" s="1"/>
  <c r="CJ4" i="75" s="1"/>
  <c r="CH42" i="75"/>
  <c r="CI42" i="75" s="1"/>
  <c r="CJ42" i="75" s="1"/>
  <c r="CH64" i="75"/>
  <c r="CI64" i="75" s="1"/>
  <c r="CJ64" i="75" s="1"/>
  <c r="CH87" i="75"/>
  <c r="CI87" i="75" s="1"/>
  <c r="CJ87" i="75" s="1"/>
  <c r="CH50" i="75"/>
  <c r="CI50" i="75" s="1"/>
  <c r="CJ50" i="75" s="1"/>
  <c r="CH18" i="75"/>
  <c r="CI18" i="75" s="1"/>
  <c r="CJ18" i="75" s="1"/>
  <c r="CH7" i="75"/>
  <c r="CI7" i="75" s="1"/>
  <c r="CJ7" i="75" s="1"/>
  <c r="AG7" i="64" s="1"/>
  <c r="CH54" i="75"/>
  <c r="CI54" i="75" s="1"/>
  <c r="CJ54" i="75" s="1"/>
  <c r="CH16" i="75"/>
  <c r="CI16" i="75" s="1"/>
  <c r="CJ16" i="75" s="1"/>
  <c r="CH77" i="75"/>
  <c r="CI77" i="75" s="1"/>
  <c r="CJ77" i="75" s="1"/>
  <c r="CH57" i="75"/>
  <c r="CI57" i="75" s="1"/>
  <c r="CJ57" i="75" s="1"/>
  <c r="CH27" i="75"/>
  <c r="CI27" i="75" s="1"/>
  <c r="CJ27" i="75" s="1"/>
  <c r="CH14" i="75"/>
  <c r="CI14" i="75" s="1"/>
  <c r="CJ14" i="75" s="1"/>
  <c r="CH52" i="75"/>
  <c r="CI52" i="75" s="1"/>
  <c r="CJ52" i="75" s="1"/>
  <c r="CH49" i="75"/>
  <c r="CI49" i="75" s="1"/>
  <c r="CJ49" i="75" s="1"/>
  <c r="CH96" i="75"/>
  <c r="CI96" i="75" s="1"/>
  <c r="CJ96" i="75" s="1"/>
  <c r="CH34" i="75"/>
  <c r="CI34" i="75" s="1"/>
  <c r="CJ34" i="75" s="1"/>
  <c r="CH32" i="75"/>
  <c r="CI32" i="75" s="1"/>
  <c r="CJ32" i="75" s="1"/>
  <c r="CH21" i="75"/>
  <c r="CI21" i="75" s="1"/>
  <c r="CJ21" i="75" s="1"/>
  <c r="CH43" i="75"/>
  <c r="CI43" i="75" s="1"/>
  <c r="CJ43" i="75" s="1"/>
  <c r="CH91" i="75"/>
  <c r="CI91" i="75" s="1"/>
  <c r="CJ91" i="75" s="1"/>
  <c r="CH20" i="75"/>
  <c r="CI20" i="75" s="1"/>
  <c r="CJ20" i="75" s="1"/>
  <c r="CH68" i="75"/>
  <c r="CI68" i="75" s="1"/>
  <c r="CJ68" i="75" s="1"/>
  <c r="CH9" i="75"/>
  <c r="CI9" i="75" s="1"/>
  <c r="CJ9" i="75" s="1"/>
  <c r="CH82" i="75"/>
  <c r="CI82" i="75" s="1"/>
  <c r="CJ82" i="75" s="1"/>
  <c r="CH47" i="75"/>
  <c r="CI47" i="75" s="1"/>
  <c r="CJ47" i="75" s="1"/>
  <c r="CH35" i="75"/>
  <c r="CI35" i="75" s="1"/>
  <c r="CJ35" i="75" s="1"/>
  <c r="CH6" i="75"/>
  <c r="CI6" i="75" s="1"/>
  <c r="CJ6" i="75" s="1"/>
  <c r="AG6" i="64" s="1"/>
  <c r="CH44" i="75"/>
  <c r="CI44" i="75" s="1"/>
  <c r="CJ44" i="75" s="1"/>
  <c r="CH45" i="75"/>
  <c r="CI45" i="75" s="1"/>
  <c r="CJ45" i="75" s="1"/>
  <c r="CH83" i="75"/>
  <c r="CI83" i="75" s="1"/>
  <c r="CJ83" i="75" s="1"/>
  <c r="CH8" i="75"/>
  <c r="CI8" i="75" s="1"/>
  <c r="CJ8" i="75" s="1"/>
  <c r="AG8" i="64" s="1"/>
  <c r="CH95" i="75"/>
  <c r="CI95" i="75" s="1"/>
  <c r="CJ95" i="75" s="1"/>
  <c r="CH79" i="75"/>
  <c r="CI79" i="75" s="1"/>
  <c r="CJ79" i="75" s="1"/>
  <c r="CH66" i="75"/>
  <c r="CI66" i="75" s="1"/>
  <c r="CJ66" i="75" s="1"/>
  <c r="CH60" i="75"/>
  <c r="CI60" i="75" s="1"/>
  <c r="CJ60" i="75" s="1"/>
  <c r="CH76" i="75"/>
  <c r="CI76" i="75" s="1"/>
  <c r="CJ76" i="75" s="1"/>
  <c r="CH71" i="75"/>
  <c r="CI71" i="75" s="1"/>
  <c r="CJ71" i="75" s="1"/>
  <c r="CH31" i="75"/>
  <c r="CI31" i="75" s="1"/>
  <c r="CJ31" i="75" s="1"/>
  <c r="CH55" i="75"/>
  <c r="CI55" i="75" s="1"/>
  <c r="CJ55" i="75" s="1"/>
  <c r="CH56" i="75"/>
  <c r="CI56" i="75" s="1"/>
  <c r="CJ56" i="75" s="1"/>
  <c r="CH84" i="75"/>
  <c r="CI84" i="75" s="1"/>
  <c r="CJ84" i="75" s="1"/>
  <c r="CH30" i="75"/>
  <c r="CI30" i="75" s="1"/>
  <c r="CJ30" i="75" s="1"/>
  <c r="CH48" i="75"/>
  <c r="CI48" i="75" s="1"/>
  <c r="CJ48" i="75" s="1"/>
  <c r="CH69" i="75"/>
  <c r="CI69" i="75" s="1"/>
  <c r="CJ69" i="75" s="1"/>
  <c r="CH67" i="75"/>
  <c r="CI67" i="75" s="1"/>
  <c r="CJ67" i="75" s="1"/>
  <c r="CH59" i="75"/>
  <c r="CI59" i="75" s="1"/>
  <c r="CJ59" i="75" s="1"/>
  <c r="CH70" i="75"/>
  <c r="CI70" i="75" s="1"/>
  <c r="CJ70" i="75" s="1"/>
  <c r="CH12" i="75"/>
  <c r="CI12" i="75" s="1"/>
  <c r="CJ12" i="75" s="1"/>
  <c r="CH10" i="75"/>
  <c r="CI10" i="75" s="1"/>
  <c r="CJ10" i="75" s="1"/>
  <c r="CH11" i="75"/>
  <c r="CI11" i="75" s="1"/>
  <c r="CJ11" i="75" s="1"/>
  <c r="CH78" i="75"/>
  <c r="CI78" i="75" s="1"/>
  <c r="CJ78" i="75" s="1"/>
  <c r="CH19" i="75"/>
  <c r="CI19" i="75" s="1"/>
  <c r="CJ19" i="75" s="1"/>
  <c r="CH90" i="75"/>
  <c r="CI90" i="75" s="1"/>
  <c r="CJ90" i="75" s="1"/>
  <c r="CO2" i="75"/>
  <c r="L10" i="74"/>
  <c r="CG103" i="77" l="1"/>
  <c r="CN2" i="77"/>
  <c r="CN11" i="77" s="1"/>
  <c r="CH103" i="77"/>
  <c r="CI103" i="77" s="1"/>
  <c r="CM103" i="77" s="1"/>
  <c r="CH101" i="77"/>
  <c r="CI101" i="77" s="1"/>
  <c r="CM101" i="77" s="1"/>
  <c r="CG104" i="77"/>
  <c r="CH104" i="77" s="1"/>
  <c r="CI104" i="77" s="1"/>
  <c r="CM104" i="77" s="1"/>
  <c r="CG37" i="77"/>
  <c r="CH37" i="77" s="1"/>
  <c r="CI37" i="77" s="1"/>
  <c r="CM37" i="77" s="1"/>
  <c r="CG96" i="77"/>
  <c r="CH96" i="77" s="1"/>
  <c r="CI96" i="77" s="1"/>
  <c r="CM96" i="77" s="1"/>
  <c r="CG41" i="77"/>
  <c r="CH41" i="77" s="1"/>
  <c r="CI41" i="77" s="1"/>
  <c r="CM41" i="77" s="1"/>
  <c r="CG94" i="77"/>
  <c r="CH94" i="77" s="1"/>
  <c r="CI94" i="77" s="1"/>
  <c r="CM94" i="77" s="1"/>
  <c r="CG73" i="77"/>
  <c r="CH73" i="77" s="1"/>
  <c r="CI73" i="77" s="1"/>
  <c r="CM73" i="77" s="1"/>
  <c r="CG92" i="77"/>
  <c r="CH92" i="77" s="1"/>
  <c r="CI92" i="77" s="1"/>
  <c r="CM92" i="77" s="1"/>
  <c r="CG8" i="77"/>
  <c r="CH8" i="77" s="1"/>
  <c r="CI8" i="77" s="1"/>
  <c r="CM8" i="77" s="1"/>
  <c r="CG9" i="77"/>
  <c r="CH9" i="77" s="1"/>
  <c r="CI9" i="77" s="1"/>
  <c r="CM9" i="77" s="1"/>
  <c r="CG74" i="77"/>
  <c r="CH74" i="77" s="1"/>
  <c r="CI74" i="77" s="1"/>
  <c r="CG77" i="77"/>
  <c r="CH77" i="77" s="1"/>
  <c r="CI77" i="77" s="1"/>
  <c r="CM77" i="77" s="1"/>
  <c r="CG79" i="77"/>
  <c r="CH79" i="77" s="1"/>
  <c r="CI79" i="77" s="1"/>
  <c r="CM79" i="77" s="1"/>
  <c r="CG42" i="77"/>
  <c r="CH42" i="77" s="1"/>
  <c r="CI42" i="77" s="1"/>
  <c r="CM42" i="77" s="1"/>
  <c r="CG71" i="77"/>
  <c r="CH71" i="77" s="1"/>
  <c r="CI71" i="77" s="1"/>
  <c r="CM71" i="77" s="1"/>
  <c r="CG34" i="77"/>
  <c r="CH34" i="77" s="1"/>
  <c r="CI34" i="77" s="1"/>
  <c r="CM34" i="77" s="1"/>
  <c r="CG72" i="77"/>
  <c r="CH72" i="77" s="1"/>
  <c r="CI72" i="77" s="1"/>
  <c r="CM72" i="77" s="1"/>
  <c r="CG39" i="77"/>
  <c r="CH39" i="77" s="1"/>
  <c r="CI39" i="77" s="1"/>
  <c r="CM39" i="77" s="1"/>
  <c r="CG44" i="77"/>
  <c r="CH44" i="77" s="1"/>
  <c r="CI44" i="77" s="1"/>
  <c r="CG53" i="77"/>
  <c r="CH53" i="77" s="1"/>
  <c r="CI53" i="77" s="1"/>
  <c r="CM53" i="77" s="1"/>
  <c r="CG13" i="77"/>
  <c r="CH13" i="77" s="1"/>
  <c r="CI13" i="77" s="1"/>
  <c r="CG46" i="77"/>
  <c r="CH46" i="77" s="1"/>
  <c r="CI46" i="77" s="1"/>
  <c r="CG25" i="77"/>
  <c r="CH25" i="77" s="1"/>
  <c r="CI25" i="77" s="1"/>
  <c r="CM25" i="77" s="1"/>
  <c r="CG85" i="77"/>
  <c r="CH85" i="77" s="1"/>
  <c r="CI85" i="77" s="1"/>
  <c r="CM85" i="77" s="1"/>
  <c r="CG52" i="77"/>
  <c r="CH52" i="77" s="1"/>
  <c r="CI52" i="77" s="1"/>
  <c r="CM52" i="77" s="1"/>
  <c r="CG50" i="77"/>
  <c r="CH50" i="77" s="1"/>
  <c r="CI50" i="77" s="1"/>
  <c r="CM50" i="77" s="1"/>
  <c r="CG69" i="77"/>
  <c r="CH69" i="77" s="1"/>
  <c r="CI69" i="77" s="1"/>
  <c r="CM69" i="77" s="1"/>
  <c r="CG57" i="77"/>
  <c r="CH57" i="77" s="1"/>
  <c r="CI57" i="77" s="1"/>
  <c r="CM57" i="77" s="1"/>
  <c r="CG30" i="77"/>
  <c r="CH30" i="77" s="1"/>
  <c r="CI30" i="77" s="1"/>
  <c r="CM30" i="77" s="1"/>
  <c r="CG87" i="77"/>
  <c r="CH87" i="77" s="1"/>
  <c r="CI87" i="77" s="1"/>
  <c r="CM87" i="77" s="1"/>
  <c r="CG98" i="77"/>
  <c r="CH98" i="77" s="1"/>
  <c r="CI98" i="77" s="1"/>
  <c r="CM98" i="77" s="1"/>
  <c r="CG4" i="77"/>
  <c r="CH4" i="77" s="1"/>
  <c r="CI4" i="77" s="1"/>
  <c r="L8" i="74"/>
  <c r="CG19" i="77"/>
  <c r="CH19" i="77" s="1"/>
  <c r="CI19" i="77" s="1"/>
  <c r="CM19" i="77" s="1"/>
  <c r="CG67" i="77"/>
  <c r="CH67" i="77" s="1"/>
  <c r="CI67" i="77" s="1"/>
  <c r="CM67" i="77" s="1"/>
  <c r="CG38" i="77"/>
  <c r="CH38" i="77" s="1"/>
  <c r="CI38" i="77" s="1"/>
  <c r="CM38" i="77" s="1"/>
  <c r="CG63" i="77"/>
  <c r="CH63" i="77" s="1"/>
  <c r="CI63" i="77" s="1"/>
  <c r="CG18" i="77"/>
  <c r="CH18" i="77" s="1"/>
  <c r="CI18" i="77" s="1"/>
  <c r="CM18" i="77" s="1"/>
  <c r="CG27" i="77"/>
  <c r="CH27" i="77" s="1"/>
  <c r="CI27" i="77" s="1"/>
  <c r="CG102" i="77"/>
  <c r="CH102" i="77" s="1"/>
  <c r="CI102" i="77" s="1"/>
  <c r="CM102" i="77" s="1"/>
  <c r="CG70" i="77"/>
  <c r="CH70" i="77" s="1"/>
  <c r="CI70" i="77" s="1"/>
  <c r="CM70" i="77" s="1"/>
  <c r="CG65" i="77"/>
  <c r="CH65" i="77" s="1"/>
  <c r="CI65" i="77" s="1"/>
  <c r="CG20" i="77"/>
  <c r="CH20" i="77" s="1"/>
  <c r="CI20" i="77" s="1"/>
  <c r="CG59" i="77"/>
  <c r="CH59" i="77" s="1"/>
  <c r="CI59" i="77" s="1"/>
  <c r="CM59" i="77" s="1"/>
  <c r="CG47" i="77"/>
  <c r="CH47" i="77" s="1"/>
  <c r="CI47" i="77" s="1"/>
  <c r="CM47" i="77" s="1"/>
  <c r="CG24" i="77"/>
  <c r="CH24" i="77" s="1"/>
  <c r="CI24" i="77" s="1"/>
  <c r="CM24" i="77" s="1"/>
  <c r="CG61" i="77"/>
  <c r="CH61" i="77" s="1"/>
  <c r="CI61" i="77" s="1"/>
  <c r="CG45" i="77"/>
  <c r="CH45" i="77" s="1"/>
  <c r="CI45" i="77" s="1"/>
  <c r="CM45" i="77" s="1"/>
  <c r="CG32" i="77"/>
  <c r="CH32" i="77" s="1"/>
  <c r="CI32" i="77" s="1"/>
  <c r="CG68" i="77"/>
  <c r="CH68" i="77" s="1"/>
  <c r="CI68" i="77" s="1"/>
  <c r="CM68" i="77" s="1"/>
  <c r="CG60" i="77"/>
  <c r="CH60" i="77" s="1"/>
  <c r="CI60" i="77" s="1"/>
  <c r="CM60" i="77" s="1"/>
  <c r="CG35" i="77"/>
  <c r="CH35" i="77" s="1"/>
  <c r="CI35" i="77" s="1"/>
  <c r="CM35" i="77" s="1"/>
  <c r="CG64" i="77"/>
  <c r="CH64" i="77" s="1"/>
  <c r="CI64" i="77" s="1"/>
  <c r="CG100" i="77"/>
  <c r="CH100" i="77" s="1"/>
  <c r="CI100" i="77" s="1"/>
  <c r="CM100" i="77" s="1"/>
  <c r="CG22" i="77"/>
  <c r="CH22" i="77" s="1"/>
  <c r="CI22" i="77" s="1"/>
  <c r="CM22" i="77" s="1"/>
  <c r="CG97" i="77"/>
  <c r="CH97" i="77" s="1"/>
  <c r="CI97" i="77" s="1"/>
  <c r="CM97" i="77" s="1"/>
  <c r="CG43" i="77"/>
  <c r="CH43" i="77" s="1"/>
  <c r="CI43" i="77" s="1"/>
  <c r="CM43" i="77" s="1"/>
  <c r="CG86" i="77"/>
  <c r="CH86" i="77" s="1"/>
  <c r="CI86" i="77" s="1"/>
  <c r="CM86" i="77" s="1"/>
  <c r="CG17" i="77"/>
  <c r="CH17" i="77" s="1"/>
  <c r="CI17" i="77" s="1"/>
  <c r="CM17" i="77" s="1"/>
  <c r="CG28" i="77"/>
  <c r="CH28" i="77" s="1"/>
  <c r="CI28" i="77" s="1"/>
  <c r="CM28" i="77" s="1"/>
  <c r="CG51" i="77"/>
  <c r="CH51" i="77" s="1"/>
  <c r="CI51" i="77" s="1"/>
  <c r="CM51" i="77" s="1"/>
  <c r="CG91" i="77"/>
  <c r="CH91" i="77" s="1"/>
  <c r="CI91" i="77" s="1"/>
  <c r="CM91" i="77" s="1"/>
  <c r="CG83" i="77"/>
  <c r="CH83" i="77" s="1"/>
  <c r="CI83" i="77" s="1"/>
  <c r="CM83" i="77" s="1"/>
  <c r="CG29" i="77"/>
  <c r="CH29" i="77" s="1"/>
  <c r="CI29" i="77" s="1"/>
  <c r="CM29" i="77" s="1"/>
  <c r="CG93" i="77"/>
  <c r="CH93" i="77" s="1"/>
  <c r="CI93" i="77" s="1"/>
  <c r="CM93" i="77" s="1"/>
  <c r="CG99" i="77"/>
  <c r="CH99" i="77" s="1"/>
  <c r="CI99" i="77" s="1"/>
  <c r="CM99" i="77" s="1"/>
  <c r="CG54" i="77"/>
  <c r="CH54" i="77" s="1"/>
  <c r="CI54" i="77" s="1"/>
  <c r="CM54" i="77" s="1"/>
  <c r="CG15" i="77"/>
  <c r="CH15" i="77" s="1"/>
  <c r="CI15" i="77" s="1"/>
  <c r="CM15" i="77" s="1"/>
  <c r="CG55" i="77"/>
  <c r="CH55" i="77" s="1"/>
  <c r="CI55" i="77" s="1"/>
  <c r="CM55" i="77" s="1"/>
  <c r="CG82" i="77"/>
  <c r="CH82" i="77" s="1"/>
  <c r="CI82" i="77" s="1"/>
  <c r="CM82" i="77" s="1"/>
  <c r="CG6" i="77"/>
  <c r="CH6" i="77" s="1"/>
  <c r="CI6" i="77" s="1"/>
  <c r="CM6" i="77" s="1"/>
  <c r="CG89" i="77"/>
  <c r="CH89" i="77" s="1"/>
  <c r="CI89" i="77" s="1"/>
  <c r="CM89" i="77" s="1"/>
  <c r="CG95" i="77"/>
  <c r="CH95" i="77" s="1"/>
  <c r="CI95" i="77" s="1"/>
  <c r="CM95" i="77" s="1"/>
  <c r="CG11" i="77"/>
  <c r="CH11" i="77" s="1"/>
  <c r="CI11" i="77" s="1"/>
  <c r="CM11" i="77" s="1"/>
  <c r="CG81" i="77"/>
  <c r="CH81" i="77" s="1"/>
  <c r="CI81" i="77" s="1"/>
  <c r="CG56" i="77"/>
  <c r="CH56" i="77" s="1"/>
  <c r="CI56" i="77" s="1"/>
  <c r="CM56" i="77" s="1"/>
  <c r="CG48" i="77"/>
  <c r="CH48" i="77" s="1"/>
  <c r="CI48" i="77" s="1"/>
  <c r="CG84" i="77"/>
  <c r="CH84" i="77" s="1"/>
  <c r="CI84" i="77" s="1"/>
  <c r="CM84" i="77" s="1"/>
  <c r="CG12" i="77"/>
  <c r="CH12" i="77" s="1"/>
  <c r="CI12" i="77" s="1"/>
  <c r="CG88" i="77"/>
  <c r="CH88" i="77" s="1"/>
  <c r="CI88" i="77" s="1"/>
  <c r="CM88" i="77" s="1"/>
  <c r="K53" i="77"/>
  <c r="K55" i="77" s="1"/>
  <c r="K8" i="77" s="1"/>
  <c r="CG36" i="77"/>
  <c r="CH36" i="77" s="1"/>
  <c r="CI36" i="77" s="1"/>
  <c r="CM36" i="77" s="1"/>
  <c r="CG14" i="77"/>
  <c r="CH14" i="77" s="1"/>
  <c r="CI14" i="77" s="1"/>
  <c r="CM14" i="77" s="1"/>
  <c r="CG90" i="77"/>
  <c r="CH90" i="77" s="1"/>
  <c r="CI90" i="77" s="1"/>
  <c r="CM90" i="77" s="1"/>
  <c r="CG78" i="77"/>
  <c r="CH78" i="77" s="1"/>
  <c r="CI78" i="77" s="1"/>
  <c r="CM78" i="77" s="1"/>
  <c r="CG80" i="77"/>
  <c r="CH80" i="77" s="1"/>
  <c r="CI80" i="77" s="1"/>
  <c r="CM80" i="77" s="1"/>
  <c r="CG31" i="77"/>
  <c r="CH31" i="77" s="1"/>
  <c r="CI31" i="77" s="1"/>
  <c r="CM31" i="77" s="1"/>
  <c r="CG33" i="77"/>
  <c r="CH33" i="77" s="1"/>
  <c r="CI33" i="77" s="1"/>
  <c r="CM33" i="77" s="1"/>
  <c r="CG40" i="77"/>
  <c r="CH40" i="77" s="1"/>
  <c r="CI40" i="77" s="1"/>
  <c r="CM40" i="77" s="1"/>
  <c r="CG75" i="77"/>
  <c r="CH75" i="77" s="1"/>
  <c r="CI75" i="77" s="1"/>
  <c r="CG23" i="77"/>
  <c r="CH23" i="77" s="1"/>
  <c r="CI23" i="77" s="1"/>
  <c r="CM23" i="77" s="1"/>
  <c r="CG26" i="77"/>
  <c r="CH26" i="77" s="1"/>
  <c r="CI26" i="77" s="1"/>
  <c r="CG76" i="77"/>
  <c r="CH76" i="77" s="1"/>
  <c r="CI76" i="77" s="1"/>
  <c r="CM76" i="77" s="1"/>
  <c r="CG21" i="77"/>
  <c r="CH21" i="77" s="1"/>
  <c r="CI21" i="77" s="1"/>
  <c r="CG16" i="77"/>
  <c r="CH16" i="77" s="1"/>
  <c r="CI16" i="77" s="1"/>
  <c r="CG10" i="77"/>
  <c r="CH10" i="77" s="1"/>
  <c r="CI10" i="77" s="1"/>
  <c r="CM10" i="77" s="1"/>
  <c r="CG7" i="77"/>
  <c r="CH7" i="77" s="1"/>
  <c r="CI7" i="77" s="1"/>
  <c r="CM7" i="77" s="1"/>
  <c r="CG62" i="77"/>
  <c r="CH62" i="77" s="1"/>
  <c r="CI62" i="77" s="1"/>
  <c r="CM62" i="77" s="1"/>
  <c r="CG58" i="77"/>
  <c r="CH58" i="77" s="1"/>
  <c r="CI58" i="77" s="1"/>
  <c r="CG49" i="77"/>
  <c r="CH49" i="77" s="1"/>
  <c r="CI49" i="77" s="1"/>
  <c r="CM49" i="77" s="1"/>
  <c r="CG66" i="77"/>
  <c r="CH66" i="77" s="1"/>
  <c r="CI66" i="77" s="1"/>
  <c r="CM66" i="77" s="1"/>
  <c r="CG5" i="77"/>
  <c r="CH5" i="77" s="1"/>
  <c r="CI5" i="77" s="1"/>
  <c r="CM5" i="77" s="1"/>
  <c r="L7" i="74"/>
  <c r="K9" i="77"/>
  <c r="AG4" i="64"/>
  <c r="N7" i="65"/>
  <c r="CN102" i="75"/>
  <c r="CN100" i="75"/>
  <c r="CN104" i="75"/>
  <c r="CO100" i="75"/>
  <c r="CO101" i="75"/>
  <c r="CO102" i="75"/>
  <c r="CO103" i="75"/>
  <c r="CO104" i="75"/>
  <c r="CN100" i="77"/>
  <c r="CN101" i="77"/>
  <c r="CN102" i="77"/>
  <c r="CN103" i="77"/>
  <c r="CN104" i="77"/>
  <c r="CN101" i="75"/>
  <c r="CN103" i="75"/>
  <c r="CN8" i="75"/>
  <c r="CN22" i="75"/>
  <c r="CN99" i="75"/>
  <c r="CN53" i="75"/>
  <c r="CN23" i="75"/>
  <c r="CN62" i="75"/>
  <c r="CN21" i="75"/>
  <c r="CN45" i="75"/>
  <c r="CN88" i="75"/>
  <c r="CN37" i="75"/>
  <c r="CN73" i="75"/>
  <c r="CN90" i="75"/>
  <c r="CN7" i="75"/>
  <c r="CN83" i="75"/>
  <c r="CN32" i="75"/>
  <c r="CN30" i="75"/>
  <c r="CN18" i="75"/>
  <c r="CN29" i="75"/>
  <c r="CN20" i="75"/>
  <c r="CN71" i="75"/>
  <c r="CN94" i="75"/>
  <c r="CN81" i="75"/>
  <c r="CN57" i="75"/>
  <c r="CN63" i="75"/>
  <c r="CN93" i="75"/>
  <c r="CN40" i="75"/>
  <c r="CN12" i="75"/>
  <c r="CN70" i="75"/>
  <c r="CN80" i="75"/>
  <c r="CN35" i="75"/>
  <c r="CN48" i="75"/>
  <c r="CN26" i="75"/>
  <c r="CN49" i="75"/>
  <c r="CN50" i="75"/>
  <c r="CN83" i="77"/>
  <c r="CN99" i="77"/>
  <c r="CN85" i="75"/>
  <c r="CN28" i="75"/>
  <c r="CN51" i="75"/>
  <c r="CN41" i="75"/>
  <c r="CN31" i="75"/>
  <c r="CN13" i="75"/>
  <c r="CN64" i="75"/>
  <c r="CN98" i="75"/>
  <c r="CO4" i="75"/>
  <c r="CO5" i="75"/>
  <c r="CO6" i="75"/>
  <c r="CO7" i="75"/>
  <c r="CO8" i="75"/>
  <c r="CO9" i="75"/>
  <c r="CO10" i="75"/>
  <c r="CO11" i="75"/>
  <c r="CO12" i="75"/>
  <c r="CO13" i="75"/>
  <c r="CO14" i="75"/>
  <c r="CO15" i="75"/>
  <c r="CO16" i="75"/>
  <c r="CO17" i="75"/>
  <c r="CO18" i="75"/>
  <c r="CO19" i="75"/>
  <c r="CO20" i="75"/>
  <c r="CO21" i="75"/>
  <c r="CO22" i="75"/>
  <c r="CO23" i="75"/>
  <c r="CO24" i="75"/>
  <c r="CO25" i="75"/>
  <c r="CO26" i="75"/>
  <c r="CO27" i="75"/>
  <c r="CO28" i="75"/>
  <c r="CO29" i="75"/>
  <c r="CO30" i="75"/>
  <c r="CO31" i="75"/>
  <c r="CO32" i="75"/>
  <c r="CO33" i="75"/>
  <c r="CO34" i="75"/>
  <c r="CO35" i="75"/>
  <c r="CO36" i="75"/>
  <c r="CO37" i="75"/>
  <c r="CO38" i="75"/>
  <c r="CO39" i="75"/>
  <c r="CO40" i="75"/>
  <c r="CO41" i="75"/>
  <c r="CO42" i="75"/>
  <c r="CO43" i="75"/>
  <c r="CO44" i="75"/>
  <c r="CO45" i="75"/>
  <c r="CO46" i="75"/>
  <c r="CO47" i="75"/>
  <c r="CO48" i="75"/>
  <c r="CO49" i="75"/>
  <c r="CO50" i="75"/>
  <c r="CO51" i="75"/>
  <c r="CO52" i="75"/>
  <c r="CO53" i="75"/>
  <c r="CO54" i="75"/>
  <c r="CO55" i="75"/>
  <c r="CO56" i="75"/>
  <c r="CO57" i="75"/>
  <c r="CO58" i="75"/>
  <c r="CO59" i="75"/>
  <c r="CO60" i="75"/>
  <c r="CO61" i="75"/>
  <c r="CO62" i="75"/>
  <c r="CO63" i="75"/>
  <c r="CO64" i="75"/>
  <c r="CO65" i="75"/>
  <c r="CO66" i="75"/>
  <c r="CO67" i="75"/>
  <c r="CO68" i="75"/>
  <c r="CO69" i="75"/>
  <c r="CO70" i="75"/>
  <c r="CO71" i="75"/>
  <c r="CO72" i="75"/>
  <c r="CO73" i="75"/>
  <c r="CO74" i="75"/>
  <c r="CO75" i="75"/>
  <c r="CO76" i="75"/>
  <c r="CO77" i="75"/>
  <c r="CO78" i="75"/>
  <c r="CO79" i="75"/>
  <c r="CO80" i="75"/>
  <c r="CO81" i="75"/>
  <c r="CO82" i="75"/>
  <c r="CO83" i="75"/>
  <c r="CO84" i="75"/>
  <c r="CO85" i="75"/>
  <c r="CO86" i="75"/>
  <c r="CO87" i="75"/>
  <c r="CO88" i="75"/>
  <c r="CO89" i="75"/>
  <c r="CO90" i="75"/>
  <c r="CO91" i="75"/>
  <c r="CO92" i="75"/>
  <c r="CO93" i="75"/>
  <c r="CO94" i="75"/>
  <c r="CO95" i="75"/>
  <c r="CO96" i="75"/>
  <c r="CO97" i="75"/>
  <c r="CO98" i="75"/>
  <c r="CO99" i="75"/>
  <c r="CN43" i="75"/>
  <c r="CN65" i="75"/>
  <c r="CN66" i="75"/>
  <c r="CN42" i="75"/>
  <c r="CN79" i="75"/>
  <c r="CN44" i="75"/>
  <c r="CN61" i="75"/>
  <c r="CN96" i="75"/>
  <c r="CN82" i="75"/>
  <c r="CN34" i="75"/>
  <c r="CN68" i="75"/>
  <c r="CN56" i="75"/>
  <c r="CN17" i="75"/>
  <c r="CN77" i="75"/>
  <c r="CN4" i="75"/>
  <c r="CN15" i="75"/>
  <c r="CN58" i="75"/>
  <c r="CN60" i="75"/>
  <c r="CN95" i="75"/>
  <c r="CN67" i="75"/>
  <c r="CN38" i="75"/>
  <c r="CN33" i="75"/>
  <c r="CN74" i="75"/>
  <c r="CN76" i="75"/>
  <c r="CN10" i="75"/>
  <c r="CN14" i="75"/>
  <c r="CN39" i="75"/>
  <c r="CN36" i="75"/>
  <c r="CN87" i="75"/>
  <c r="CN52" i="75"/>
  <c r="CN72" i="75"/>
  <c r="CN84" i="75"/>
  <c r="CN47" i="75"/>
  <c r="CN25" i="75"/>
  <c r="CN91" i="75"/>
  <c r="CN6" i="75"/>
  <c r="CN89" i="75"/>
  <c r="CN16" i="75"/>
  <c r="CN86" i="75"/>
  <c r="CN75" i="75"/>
  <c r="CN46" i="75"/>
  <c r="CN54" i="75"/>
  <c r="CN19" i="75"/>
  <c r="CN27" i="75"/>
  <c r="CN55" i="75"/>
  <c r="CN5" i="75"/>
  <c r="CN59" i="75"/>
  <c r="CN92" i="75"/>
  <c r="CN11" i="75"/>
  <c r="CN69" i="75"/>
  <c r="CN9" i="75"/>
  <c r="CN24" i="75"/>
  <c r="CN78" i="75"/>
  <c r="CN97" i="75"/>
  <c r="CN27" i="77" l="1"/>
  <c r="CN96" i="77"/>
  <c r="CN63" i="77"/>
  <c r="CN60" i="77"/>
  <c r="CN47" i="77"/>
  <c r="CN24" i="77"/>
  <c r="CN74" i="77"/>
  <c r="CN38" i="77"/>
  <c r="CN72" i="77"/>
  <c r="CO72" i="77" s="1"/>
  <c r="CN36" i="77"/>
  <c r="CO36" i="77" s="1"/>
  <c r="CN71" i="77"/>
  <c r="CO71" i="77" s="1"/>
  <c r="CN35" i="77"/>
  <c r="CO35" i="77" s="1"/>
  <c r="CN98" i="77"/>
  <c r="CO98" i="77" s="1"/>
  <c r="CN62" i="77"/>
  <c r="CO62" i="77" s="1"/>
  <c r="CN26" i="77"/>
  <c r="CN95" i="77"/>
  <c r="CO95" i="77" s="1"/>
  <c r="CN59" i="77"/>
  <c r="CO59" i="77" s="1"/>
  <c r="CN22" i="77"/>
  <c r="CO22" i="77" s="1"/>
  <c r="CN87" i="77"/>
  <c r="CO87" i="77" s="1"/>
  <c r="CN51" i="77"/>
  <c r="CO51" i="77" s="1"/>
  <c r="CN86" i="77"/>
  <c r="CO86" i="77" s="1"/>
  <c r="CN50" i="77"/>
  <c r="CO50" i="77" s="1"/>
  <c r="CN84" i="77"/>
  <c r="CO84" i="77" s="1"/>
  <c r="CN48" i="77"/>
  <c r="CN75" i="77"/>
  <c r="CN39" i="77"/>
  <c r="CO39" i="77" s="1"/>
  <c r="CN97" i="77"/>
  <c r="CO97" i="77" s="1"/>
  <c r="CN85" i="77"/>
  <c r="CN73" i="77"/>
  <c r="CO73" i="77" s="1"/>
  <c r="CN61" i="77"/>
  <c r="CN49" i="77"/>
  <c r="CO49" i="77" s="1"/>
  <c r="CN37" i="77"/>
  <c r="CO37" i="77" s="1"/>
  <c r="CN25" i="77"/>
  <c r="CO25" i="77" s="1"/>
  <c r="CN94" i="77"/>
  <c r="CO94" i="77" s="1"/>
  <c r="CN82" i="77"/>
  <c r="CO82" i="77" s="1"/>
  <c r="CN70" i="77"/>
  <c r="CO70" i="77" s="1"/>
  <c r="CN58" i="77"/>
  <c r="CN46" i="77"/>
  <c r="CN34" i="77"/>
  <c r="CO34" i="77" s="1"/>
  <c r="CN17" i="77"/>
  <c r="CO17" i="77" s="1"/>
  <c r="CN93" i="77"/>
  <c r="CO93" i="77" s="1"/>
  <c r="CN81" i="77"/>
  <c r="CN69" i="77"/>
  <c r="CO69" i="77" s="1"/>
  <c r="CN57" i="77"/>
  <c r="CO57" i="77" s="1"/>
  <c r="CN45" i="77"/>
  <c r="CO45" i="77" s="1"/>
  <c r="CN33" i="77"/>
  <c r="CO33" i="77" s="1"/>
  <c r="CN12" i="77"/>
  <c r="CN92" i="77"/>
  <c r="CO92" i="77" s="1"/>
  <c r="CN80" i="77"/>
  <c r="CO80" i="77" s="1"/>
  <c r="CN68" i="77"/>
  <c r="CO68" i="77" s="1"/>
  <c r="CN56" i="77"/>
  <c r="CO56" i="77" s="1"/>
  <c r="CN44" i="77"/>
  <c r="CN32" i="77"/>
  <c r="CN10" i="77"/>
  <c r="CO10" i="77" s="1"/>
  <c r="CN91" i="77"/>
  <c r="CO91" i="77" s="1"/>
  <c r="CN79" i="77"/>
  <c r="CO79" i="77" s="1"/>
  <c r="CN67" i="77"/>
  <c r="CO67" i="77" s="1"/>
  <c r="CN55" i="77"/>
  <c r="CO55" i="77" s="1"/>
  <c r="CN43" i="77"/>
  <c r="CO43" i="77" s="1"/>
  <c r="CN31" i="77"/>
  <c r="CO31" i="77" s="1"/>
  <c r="CN5" i="77"/>
  <c r="CO5" i="77" s="1"/>
  <c r="CN90" i="77"/>
  <c r="CO90" i="77" s="1"/>
  <c r="CN78" i="77"/>
  <c r="CO78" i="77" s="1"/>
  <c r="CN66" i="77"/>
  <c r="CO66" i="77" s="1"/>
  <c r="CN54" i="77"/>
  <c r="CN42" i="77"/>
  <c r="CO42" i="77" s="1"/>
  <c r="CN30" i="77"/>
  <c r="CO30" i="77" s="1"/>
  <c r="CN89" i="77"/>
  <c r="CO89" i="77" s="1"/>
  <c r="CN77" i="77"/>
  <c r="CO77" i="77" s="1"/>
  <c r="CN65" i="77"/>
  <c r="CN53" i="77"/>
  <c r="CO53" i="77" s="1"/>
  <c r="CN41" i="77"/>
  <c r="CO41" i="77" s="1"/>
  <c r="CN29" i="77"/>
  <c r="CO29" i="77" s="1"/>
  <c r="CN88" i="77"/>
  <c r="CO88" i="77" s="1"/>
  <c r="CN76" i="77"/>
  <c r="CO76" i="77" s="1"/>
  <c r="CN64" i="77"/>
  <c r="CN52" i="77"/>
  <c r="CO52" i="77" s="1"/>
  <c r="CN40" i="77"/>
  <c r="CO40" i="77" s="1"/>
  <c r="CN28" i="77"/>
  <c r="CO28" i="77" s="1"/>
  <c r="CN21" i="77"/>
  <c r="CN9" i="77"/>
  <c r="CO9" i="77" s="1"/>
  <c r="CN20" i="77"/>
  <c r="CN8" i="77"/>
  <c r="CO8" i="77" s="1"/>
  <c r="CN19" i="77"/>
  <c r="CO19" i="77" s="1"/>
  <c r="CN7" i="77"/>
  <c r="CO7" i="77" s="1"/>
  <c r="CN18" i="77"/>
  <c r="CO18" i="77" s="1"/>
  <c r="CN6" i="77"/>
  <c r="CO6" i="77" s="1"/>
  <c r="CN16" i="77"/>
  <c r="CN4" i="77"/>
  <c r="CN15" i="77"/>
  <c r="CO15" i="77" s="1"/>
  <c r="CN14" i="77"/>
  <c r="CO14" i="77" s="1"/>
  <c r="CN13" i="77"/>
  <c r="CN23" i="77"/>
  <c r="CO23" i="77" s="1"/>
  <c r="AH12" i="64"/>
  <c r="CM46" i="77"/>
  <c r="CM61" i="77"/>
  <c r="CM32" i="77"/>
  <c r="CM63" i="77"/>
  <c r="CM81" i="77"/>
  <c r="CM27" i="77"/>
  <c r="CM4" i="77"/>
  <c r="CM58" i="77"/>
  <c r="CM48" i="77"/>
  <c r="CM75" i="77"/>
  <c r="CM44" i="77"/>
  <c r="CM20" i="77"/>
  <c r="CM12" i="77"/>
  <c r="CM16" i="77"/>
  <c r="CM13" i="77"/>
  <c r="CM26" i="77"/>
  <c r="CM21" i="77"/>
  <c r="CM74" i="77"/>
  <c r="CP92" i="75"/>
  <c r="CM65" i="77"/>
  <c r="CP54" i="75"/>
  <c r="CM64" i="77"/>
  <c r="CP52" i="75"/>
  <c r="CP76" i="75"/>
  <c r="CP84" i="75"/>
  <c r="CP36" i="75"/>
  <c r="CP60" i="75"/>
  <c r="CP58" i="75"/>
  <c r="CP9" i="75"/>
  <c r="CO60" i="77"/>
  <c r="CP24" i="75"/>
  <c r="CO96" i="77"/>
  <c r="CO24" i="77"/>
  <c r="CP72" i="75"/>
  <c r="CP46" i="75"/>
  <c r="CP10" i="75"/>
  <c r="CO103" i="77"/>
  <c r="CP5" i="75"/>
  <c r="CO83" i="77"/>
  <c r="CO11" i="77"/>
  <c r="CO47" i="77"/>
  <c r="CP11" i="75"/>
  <c r="CP56" i="75"/>
  <c r="CP68" i="75"/>
  <c r="CP16" i="75"/>
  <c r="CP4" i="75"/>
  <c r="CO101" i="77"/>
  <c r="CP82" i="75"/>
  <c r="CO104" i="77"/>
  <c r="CO100" i="77"/>
  <c r="CO102" i="77"/>
  <c r="CP103" i="75"/>
  <c r="CP100" i="75"/>
  <c r="CP34" i="75"/>
  <c r="CP101" i="75"/>
  <c r="CP104" i="75"/>
  <c r="CP102" i="75"/>
  <c r="CP6" i="75"/>
  <c r="CP42" i="75"/>
  <c r="CP96" i="75"/>
  <c r="CP95" i="75"/>
  <c r="CP44" i="75"/>
  <c r="CP66" i="75"/>
  <c r="CP78" i="75"/>
  <c r="CP55" i="75"/>
  <c r="CP19" i="75"/>
  <c r="CP69" i="75"/>
  <c r="CP59" i="75"/>
  <c r="CP89" i="75"/>
  <c r="CP47" i="75"/>
  <c r="CP87" i="75"/>
  <c r="CP17" i="75"/>
  <c r="CP51" i="75"/>
  <c r="CP70" i="75"/>
  <c r="CP63" i="75"/>
  <c r="CP29" i="75"/>
  <c r="CP83" i="75"/>
  <c r="CP73" i="75"/>
  <c r="CP8" i="75"/>
  <c r="CP27" i="75"/>
  <c r="CP97" i="75"/>
  <c r="CO85" i="77"/>
  <c r="CP91" i="75"/>
  <c r="CP74" i="75"/>
  <c r="CP98" i="75"/>
  <c r="CO99" i="77"/>
  <c r="CP49" i="75"/>
  <c r="CP57" i="75"/>
  <c r="CP37" i="75"/>
  <c r="CP23" i="75"/>
  <c r="CP75" i="75"/>
  <c r="CP25" i="75"/>
  <c r="CP39" i="75"/>
  <c r="CP65" i="75"/>
  <c r="CP64" i="75"/>
  <c r="CP26" i="75"/>
  <c r="CP12" i="75"/>
  <c r="CP81" i="75"/>
  <c r="CP18" i="75"/>
  <c r="CP7" i="75"/>
  <c r="CP88" i="75"/>
  <c r="CP53" i="75"/>
  <c r="CP62" i="75"/>
  <c r="CP86" i="75"/>
  <c r="CP14" i="75"/>
  <c r="CP33" i="75"/>
  <c r="CP15" i="75"/>
  <c r="CP61" i="75"/>
  <c r="CP13" i="75"/>
  <c r="CP28" i="75"/>
  <c r="CP48" i="75"/>
  <c r="CP94" i="75"/>
  <c r="CP30" i="75"/>
  <c r="CP45" i="75"/>
  <c r="CP99" i="75"/>
  <c r="CO54" i="77"/>
  <c r="CP38" i="75"/>
  <c r="CP43" i="75"/>
  <c r="CP31" i="75"/>
  <c r="CO38" i="77"/>
  <c r="CP35" i="75"/>
  <c r="CP40" i="75"/>
  <c r="CP71" i="75"/>
  <c r="CP90" i="75"/>
  <c r="CP21" i="75"/>
  <c r="CP50" i="75"/>
  <c r="CP67" i="75"/>
  <c r="CP77" i="75"/>
  <c r="CP79" i="75"/>
  <c r="CP41" i="75"/>
  <c r="CP85" i="75"/>
  <c r="CP80" i="75"/>
  <c r="CP93" i="75"/>
  <c r="CP20" i="75"/>
  <c r="CP32" i="75"/>
  <c r="CP22" i="75"/>
  <c r="CO27" i="77" l="1"/>
  <c r="CO61" i="77"/>
  <c r="CO13" i="77"/>
  <c r="CO44" i="77"/>
  <c r="CO32" i="77"/>
  <c r="CO81" i="77"/>
  <c r="CO74" i="77"/>
  <c r="CO75" i="77"/>
  <c r="CO63" i="77"/>
  <c r="CO21" i="77"/>
  <c r="CO48" i="77"/>
  <c r="CO26" i="77"/>
  <c r="CO65" i="77"/>
  <c r="CO64" i="77"/>
  <c r="CO46" i="77"/>
  <c r="CO12" i="77"/>
  <c r="CO58" i="77"/>
  <c r="CO20" i="77"/>
  <c r="CO16" i="77"/>
  <c r="CO4" i="77"/>
  <c r="F5" i="65" l="1"/>
  <c r="F4" i="65"/>
  <c r="F2" i="65"/>
  <c r="E12" i="74" l="1"/>
  <c r="X92" i="74" l="1"/>
  <c r="X93" i="74"/>
  <c r="X94" i="74"/>
  <c r="X95" i="74"/>
  <c r="X96" i="74"/>
  <c r="X97" i="74"/>
  <c r="X98" i="74"/>
  <c r="X99" i="74"/>
  <c r="X100" i="74"/>
  <c r="X101" i="74"/>
  <c r="X102" i="74"/>
  <c r="X103" i="74"/>
  <c r="X104" i="74"/>
  <c r="X105" i="74"/>
  <c r="X106" i="74"/>
  <c r="X30" i="74"/>
  <c r="X31" i="74"/>
  <c r="X32" i="74"/>
  <c r="X33" i="74"/>
  <c r="X34" i="74"/>
  <c r="X35" i="74"/>
  <c r="X36" i="74"/>
  <c r="X37" i="74"/>
  <c r="X38" i="74"/>
  <c r="X39" i="74"/>
  <c r="X40" i="74"/>
  <c r="X41" i="74"/>
  <c r="X42" i="74"/>
  <c r="X43" i="74"/>
  <c r="X44" i="74"/>
  <c r="X45" i="74"/>
  <c r="X46" i="74"/>
  <c r="X47" i="74"/>
  <c r="X48" i="74"/>
  <c r="X49" i="74"/>
  <c r="X50" i="74"/>
  <c r="X51" i="74"/>
  <c r="X52" i="74"/>
  <c r="X53" i="74"/>
  <c r="X54" i="74"/>
  <c r="X55" i="74"/>
  <c r="X56" i="74"/>
  <c r="X57" i="74"/>
  <c r="X58" i="74"/>
  <c r="X59" i="74"/>
  <c r="X60" i="74"/>
  <c r="X61" i="74"/>
  <c r="X62" i="74"/>
  <c r="X63" i="74"/>
  <c r="X64" i="74"/>
  <c r="X65" i="74"/>
  <c r="X66" i="74"/>
  <c r="X67" i="74"/>
  <c r="X68" i="74"/>
  <c r="X69" i="74"/>
  <c r="X70" i="74"/>
  <c r="X71" i="74"/>
  <c r="X72" i="74"/>
  <c r="X73" i="74"/>
  <c r="X74" i="74"/>
  <c r="X75" i="74"/>
  <c r="X76" i="74"/>
  <c r="X77" i="74"/>
  <c r="X78" i="74"/>
  <c r="X79" i="74"/>
  <c r="X80" i="74"/>
  <c r="X81" i="74"/>
  <c r="X82" i="74"/>
  <c r="X83" i="74"/>
  <c r="X84" i="74"/>
  <c r="X85" i="74"/>
  <c r="X86" i="74"/>
  <c r="X87" i="74"/>
  <c r="X88" i="74"/>
  <c r="X89" i="74"/>
  <c r="X90" i="74"/>
  <c r="X91" i="74"/>
  <c r="E12" i="76"/>
  <c r="X6" i="74"/>
  <c r="X5" i="74"/>
  <c r="X4" i="74"/>
  <c r="E12" i="75"/>
  <c r="X7" i="74"/>
  <c r="X8" i="74"/>
  <c r="X9" i="74"/>
  <c r="X10" i="74"/>
  <c r="X11" i="74"/>
  <c r="X12" i="74"/>
  <c r="X13" i="74"/>
  <c r="X14" i="74"/>
  <c r="X15" i="74"/>
  <c r="X16" i="74"/>
  <c r="X17" i="74"/>
  <c r="X18" i="74"/>
  <c r="X19" i="74"/>
  <c r="X20" i="74"/>
  <c r="X21" i="74"/>
  <c r="X22" i="74"/>
  <c r="X23" i="74"/>
  <c r="X24" i="74"/>
  <c r="X25" i="74"/>
  <c r="X26" i="74"/>
  <c r="X27" i="74"/>
  <c r="X28" i="74"/>
  <c r="X29" i="74"/>
  <c r="Q19" i="63"/>
  <c r="P19" i="63"/>
  <c r="H19" i="63"/>
  <c r="Q106" i="75" l="1"/>
  <c r="Q103" i="75"/>
  <c r="Q101" i="75"/>
  <c r="Q105" i="75"/>
  <c r="Q95" i="75"/>
  <c r="Q94" i="75"/>
  <c r="Q104" i="75"/>
  <c r="Q98" i="75"/>
  <c r="Q97" i="75"/>
  <c r="Q102" i="75"/>
  <c r="Q92" i="75"/>
  <c r="Q99" i="75"/>
  <c r="Q96" i="75"/>
  <c r="Q100" i="75"/>
  <c r="Q93" i="75"/>
  <c r="Q32" i="75"/>
  <c r="Q59" i="75"/>
  <c r="Q46" i="75"/>
  <c r="Q58" i="75"/>
  <c r="Q86" i="75"/>
  <c r="Q61" i="75"/>
  <c r="Q52" i="75"/>
  <c r="Q76" i="75"/>
  <c r="Q39" i="75"/>
  <c r="Q37" i="75"/>
  <c r="Q30" i="75"/>
  <c r="Q69" i="75"/>
  <c r="Q77" i="75"/>
  <c r="Q54" i="75"/>
  <c r="Q65" i="75"/>
  <c r="Q45" i="75"/>
  <c r="Q63" i="75"/>
  <c r="Q41" i="75"/>
  <c r="Q49" i="75"/>
  <c r="Q55" i="75"/>
  <c r="Q75" i="75"/>
  <c r="Q31" i="75"/>
  <c r="Q50" i="75"/>
  <c r="Q53" i="75"/>
  <c r="Q79" i="75"/>
  <c r="Q40" i="75"/>
  <c r="Q48" i="75"/>
  <c r="Q85" i="75"/>
  <c r="Q67" i="75"/>
  <c r="Q38" i="75"/>
  <c r="Q74" i="75"/>
  <c r="Q43" i="75"/>
  <c r="Q35" i="75"/>
  <c r="Q71" i="75"/>
  <c r="Q36" i="75"/>
  <c r="Q70" i="75"/>
  <c r="Q78" i="75"/>
  <c r="Q64" i="75"/>
  <c r="Q73" i="75"/>
  <c r="Q42" i="75"/>
  <c r="Q51" i="75"/>
  <c r="Q68" i="75"/>
  <c r="Q84" i="75"/>
  <c r="Q89" i="75"/>
  <c r="Q44" i="75"/>
  <c r="Q91" i="75"/>
  <c r="Q33" i="75"/>
  <c r="Q60" i="75"/>
  <c r="Q47" i="75"/>
  <c r="Q72" i="75"/>
  <c r="Q62" i="75"/>
  <c r="Q34" i="75"/>
  <c r="Q83" i="75"/>
  <c r="Q90" i="75"/>
  <c r="Q82" i="75"/>
  <c r="Q87" i="75"/>
  <c r="Q88" i="75"/>
  <c r="Q57" i="75"/>
  <c r="Q80" i="75"/>
  <c r="Q56" i="75"/>
  <c r="Q66" i="75"/>
  <c r="Q81" i="75"/>
  <c r="E12" i="77"/>
  <c r="K3" i="75"/>
  <c r="Q19" i="75"/>
  <c r="Q7" i="75"/>
  <c r="K2" i="75"/>
  <c r="L2" i="74" s="1"/>
  <c r="N4" i="65" s="1"/>
  <c r="Q24" i="75"/>
  <c r="Q28" i="75"/>
  <c r="Q26" i="75"/>
  <c r="Q29" i="75"/>
  <c r="Q14" i="75"/>
  <c r="Q3" i="75"/>
  <c r="Q8" i="75"/>
  <c r="Q12" i="75"/>
  <c r="Q15" i="75"/>
  <c r="Q17" i="75"/>
  <c r="Q16" i="75"/>
  <c r="Q21" i="75"/>
  <c r="Q25" i="75"/>
  <c r="Q20" i="75"/>
  <c r="Q18" i="75"/>
  <c r="Q13" i="75"/>
  <c r="Q10" i="75"/>
  <c r="Q23" i="75"/>
  <c r="Q9" i="75"/>
  <c r="Q22" i="75"/>
  <c r="Q27" i="75"/>
  <c r="Q11" i="75"/>
  <c r="W29" i="64"/>
  <c r="U92" i="74" l="1"/>
  <c r="S106" i="65" s="1"/>
  <c r="R92" i="75"/>
  <c r="R102" i="75"/>
  <c r="U102" i="74"/>
  <c r="S116" i="65" s="1"/>
  <c r="R97" i="75"/>
  <c r="U97" i="74"/>
  <c r="S111" i="65" s="1"/>
  <c r="U98" i="74"/>
  <c r="S112" i="65" s="1"/>
  <c r="R98" i="75"/>
  <c r="U104" i="74"/>
  <c r="S118" i="65" s="1"/>
  <c r="R104" i="75"/>
  <c r="Q101" i="77"/>
  <c r="R101" i="77" s="1"/>
  <c r="Q98" i="77"/>
  <c r="R98" i="77" s="1"/>
  <c r="Q104" i="77"/>
  <c r="R104" i="77" s="1"/>
  <c r="Q96" i="77"/>
  <c r="R96" i="77" s="1"/>
  <c r="Q102" i="77"/>
  <c r="R102" i="77" s="1"/>
  <c r="Q105" i="77"/>
  <c r="R105" i="77" s="1"/>
  <c r="Q106" i="77"/>
  <c r="R106" i="77" s="1"/>
  <c r="S106" i="77" s="1"/>
  <c r="BW104" i="76" s="1"/>
  <c r="Q103" i="77"/>
  <c r="R103" i="77" s="1"/>
  <c r="Q93" i="77"/>
  <c r="R93" i="77" s="1"/>
  <c r="Q97" i="77"/>
  <c r="R97" i="77" s="1"/>
  <c r="Q94" i="77"/>
  <c r="R94" i="77" s="1"/>
  <c r="Q95" i="77"/>
  <c r="R95" i="77" s="1"/>
  <c r="Q99" i="77"/>
  <c r="R99" i="77" s="1"/>
  <c r="Q92" i="77"/>
  <c r="R92" i="77" s="1"/>
  <c r="Q100" i="77"/>
  <c r="R100" i="77" s="1"/>
  <c r="U94" i="74"/>
  <c r="S108" i="65" s="1"/>
  <c r="R94" i="75"/>
  <c r="U95" i="74"/>
  <c r="S109" i="65" s="1"/>
  <c r="R95" i="75"/>
  <c r="U99" i="74"/>
  <c r="S113" i="65" s="1"/>
  <c r="R99" i="75"/>
  <c r="P94" i="75"/>
  <c r="T94" i="74" s="1"/>
  <c r="R108" i="65" s="1"/>
  <c r="P95" i="75"/>
  <c r="T95" i="74" s="1"/>
  <c r="R109" i="65" s="1"/>
  <c r="P101" i="75"/>
  <c r="T101" i="74" s="1"/>
  <c r="R115" i="65" s="1"/>
  <c r="P96" i="75"/>
  <c r="T96" i="74" s="1"/>
  <c r="R110" i="65" s="1"/>
  <c r="P102" i="75"/>
  <c r="T102" i="74" s="1"/>
  <c r="R116" i="65" s="1"/>
  <c r="P97" i="75"/>
  <c r="T97" i="74" s="1"/>
  <c r="R111" i="65" s="1"/>
  <c r="P103" i="75"/>
  <c r="T103" i="74" s="1"/>
  <c r="R117" i="65" s="1"/>
  <c r="P98" i="75"/>
  <c r="T98" i="74" s="1"/>
  <c r="R112" i="65" s="1"/>
  <c r="P104" i="75"/>
  <c r="T104" i="74" s="1"/>
  <c r="R118" i="65" s="1"/>
  <c r="P99" i="75"/>
  <c r="T99" i="74" s="1"/>
  <c r="R113" i="65" s="1"/>
  <c r="P105" i="75"/>
  <c r="T105" i="74" s="1"/>
  <c r="R119" i="65" s="1"/>
  <c r="P100" i="75"/>
  <c r="T100" i="74" s="1"/>
  <c r="R114" i="65" s="1"/>
  <c r="P106" i="75"/>
  <c r="T106" i="74" s="1"/>
  <c r="R120" i="65" s="1"/>
  <c r="P93" i="75"/>
  <c r="T93" i="74" s="1"/>
  <c r="R107" i="65" s="1"/>
  <c r="P92" i="75"/>
  <c r="T92" i="74" s="1"/>
  <c r="R106" i="65" s="1"/>
  <c r="U105" i="74"/>
  <c r="S119" i="65" s="1"/>
  <c r="R105" i="75"/>
  <c r="U93" i="74"/>
  <c r="S107" i="65" s="1"/>
  <c r="R93" i="75"/>
  <c r="U101" i="74"/>
  <c r="S115" i="65" s="1"/>
  <c r="R101" i="75"/>
  <c r="R100" i="75"/>
  <c r="U100" i="74"/>
  <c r="S114" i="65" s="1"/>
  <c r="U103" i="74"/>
  <c r="S117" i="65" s="1"/>
  <c r="R103" i="75"/>
  <c r="U96" i="74"/>
  <c r="S110" i="65" s="1"/>
  <c r="R96" i="75"/>
  <c r="U106" i="74"/>
  <c r="S120" i="65" s="1"/>
  <c r="R106" i="75"/>
  <c r="U60" i="74"/>
  <c r="S74" i="65" s="1"/>
  <c r="R60" i="75"/>
  <c r="U70" i="74"/>
  <c r="S84" i="65" s="1"/>
  <c r="R70" i="75"/>
  <c r="R53" i="75"/>
  <c r="U53" i="74"/>
  <c r="S67" i="65" s="1"/>
  <c r="R69" i="75"/>
  <c r="U69" i="74"/>
  <c r="S83" i="65" s="1"/>
  <c r="U80" i="74"/>
  <c r="S94" i="65" s="1"/>
  <c r="R80" i="75"/>
  <c r="R33" i="75"/>
  <c r="U33" i="74"/>
  <c r="S47" i="65" s="1"/>
  <c r="U36" i="74"/>
  <c r="S50" i="65" s="1"/>
  <c r="R36" i="75"/>
  <c r="U50" i="74"/>
  <c r="S64" i="65" s="1"/>
  <c r="R50" i="75"/>
  <c r="U30" i="74"/>
  <c r="S44" i="65" s="1"/>
  <c r="R30" i="75"/>
  <c r="U57" i="74"/>
  <c r="S71" i="65" s="1"/>
  <c r="R57" i="75"/>
  <c r="U91" i="74"/>
  <c r="S105" i="65" s="1"/>
  <c r="R91" i="75"/>
  <c r="U71" i="74"/>
  <c r="S85" i="65" s="1"/>
  <c r="R71" i="75"/>
  <c r="U31" i="74"/>
  <c r="S45" i="65" s="1"/>
  <c r="R31" i="75"/>
  <c r="U37" i="74"/>
  <c r="S51" i="65" s="1"/>
  <c r="R37" i="75"/>
  <c r="U89" i="74"/>
  <c r="S103" i="65" s="1"/>
  <c r="R89" i="75"/>
  <c r="U43" i="74"/>
  <c r="S57" i="65" s="1"/>
  <c r="R43" i="75"/>
  <c r="U55" i="74"/>
  <c r="S69" i="65" s="1"/>
  <c r="R55" i="75"/>
  <c r="R76" i="75"/>
  <c r="U76" i="74"/>
  <c r="S90" i="65" s="1"/>
  <c r="U84" i="74"/>
  <c r="S98" i="65" s="1"/>
  <c r="R84" i="75"/>
  <c r="U74" i="74"/>
  <c r="S88" i="65" s="1"/>
  <c r="R74" i="75"/>
  <c r="U49" i="74"/>
  <c r="S63" i="65" s="1"/>
  <c r="R49" i="75"/>
  <c r="U52" i="74"/>
  <c r="S66" i="65" s="1"/>
  <c r="R52" i="75"/>
  <c r="R88" i="75"/>
  <c r="U88" i="74"/>
  <c r="S102" i="65" s="1"/>
  <c r="R87" i="75"/>
  <c r="U87" i="74"/>
  <c r="S101" i="65" s="1"/>
  <c r="U90" i="74"/>
  <c r="S104" i="65" s="1"/>
  <c r="R90" i="75"/>
  <c r="U68" i="74"/>
  <c r="S82" i="65" s="1"/>
  <c r="R68" i="75"/>
  <c r="R38" i="75"/>
  <c r="U38" i="74"/>
  <c r="S52" i="65" s="1"/>
  <c r="R41" i="75"/>
  <c r="U41" i="74"/>
  <c r="S55" i="65" s="1"/>
  <c r="U61" i="74"/>
  <c r="S75" i="65" s="1"/>
  <c r="R61" i="75"/>
  <c r="U75" i="74"/>
  <c r="S89" i="65" s="1"/>
  <c r="R75" i="75"/>
  <c r="U83" i="74"/>
  <c r="S97" i="65" s="1"/>
  <c r="R83" i="75"/>
  <c r="U51" i="74"/>
  <c r="S65" i="65" s="1"/>
  <c r="R51" i="75"/>
  <c r="R67" i="75"/>
  <c r="U67" i="74"/>
  <c r="S81" i="65" s="1"/>
  <c r="U63" i="74"/>
  <c r="S77" i="65" s="1"/>
  <c r="R63" i="75"/>
  <c r="U86" i="74"/>
  <c r="S100" i="65" s="1"/>
  <c r="R86" i="75"/>
  <c r="U39" i="74"/>
  <c r="S53" i="65" s="1"/>
  <c r="R39" i="75"/>
  <c r="P36" i="75"/>
  <c r="T36" i="74" s="1"/>
  <c r="R50" i="65" s="1"/>
  <c r="P48" i="75"/>
  <c r="T48" i="74" s="1"/>
  <c r="R62" i="65" s="1"/>
  <c r="P60" i="75"/>
  <c r="T60" i="74" s="1"/>
  <c r="R74" i="65" s="1"/>
  <c r="P72" i="75"/>
  <c r="T72" i="74" s="1"/>
  <c r="R86" i="65" s="1"/>
  <c r="P84" i="75"/>
  <c r="T84" i="74" s="1"/>
  <c r="R98" i="65" s="1"/>
  <c r="P32" i="75"/>
  <c r="T32" i="74" s="1"/>
  <c r="R46" i="65" s="1"/>
  <c r="P37" i="75"/>
  <c r="T37" i="74" s="1"/>
  <c r="R51" i="65" s="1"/>
  <c r="P49" i="75"/>
  <c r="T49" i="74" s="1"/>
  <c r="R63" i="65" s="1"/>
  <c r="P61" i="75"/>
  <c r="T61" i="74" s="1"/>
  <c r="R75" i="65" s="1"/>
  <c r="P73" i="75"/>
  <c r="T73" i="74" s="1"/>
  <c r="R87" i="65" s="1"/>
  <c r="P85" i="75"/>
  <c r="T85" i="74" s="1"/>
  <c r="R99" i="65" s="1"/>
  <c r="P91" i="75"/>
  <c r="T91" i="74" s="1"/>
  <c r="R105" i="65" s="1"/>
  <c r="P44" i="75"/>
  <c r="T44" i="74" s="1"/>
  <c r="R58" i="65" s="1"/>
  <c r="P70" i="75"/>
  <c r="T70" i="74" s="1"/>
  <c r="R84" i="65" s="1"/>
  <c r="P38" i="75"/>
  <c r="T38" i="74" s="1"/>
  <c r="R52" i="65" s="1"/>
  <c r="P50" i="75"/>
  <c r="T50" i="74" s="1"/>
  <c r="R64" i="65" s="1"/>
  <c r="P62" i="75"/>
  <c r="T62" i="74" s="1"/>
  <c r="R76" i="65" s="1"/>
  <c r="P74" i="75"/>
  <c r="T74" i="74" s="1"/>
  <c r="R88" i="65" s="1"/>
  <c r="P86" i="75"/>
  <c r="T86" i="74" s="1"/>
  <c r="R100" i="65" s="1"/>
  <c r="P39" i="75"/>
  <c r="T39" i="74" s="1"/>
  <c r="R53" i="65" s="1"/>
  <c r="P51" i="75"/>
  <c r="T51" i="74" s="1"/>
  <c r="R65" i="65" s="1"/>
  <c r="P63" i="75"/>
  <c r="T63" i="74" s="1"/>
  <c r="R77" i="65" s="1"/>
  <c r="P75" i="75"/>
  <c r="T75" i="74" s="1"/>
  <c r="R89" i="65" s="1"/>
  <c r="P87" i="75"/>
  <c r="T87" i="74" s="1"/>
  <c r="R101" i="65" s="1"/>
  <c r="P79" i="75"/>
  <c r="T79" i="74" s="1"/>
  <c r="R93" i="65" s="1"/>
  <c r="P56" i="75"/>
  <c r="T56" i="74" s="1"/>
  <c r="R70" i="65" s="1"/>
  <c r="P40" i="75"/>
  <c r="T40" i="74" s="1"/>
  <c r="R54" i="65" s="1"/>
  <c r="P52" i="75"/>
  <c r="T52" i="74" s="1"/>
  <c r="R66" i="65" s="1"/>
  <c r="P64" i="75"/>
  <c r="T64" i="74" s="1"/>
  <c r="R78" i="65" s="1"/>
  <c r="P76" i="75"/>
  <c r="T76" i="74" s="1"/>
  <c r="R90" i="65" s="1"/>
  <c r="P88" i="75"/>
  <c r="T88" i="74" s="1"/>
  <c r="R102" i="65" s="1"/>
  <c r="P80" i="75"/>
  <c r="T80" i="74" s="1"/>
  <c r="R94" i="65" s="1"/>
  <c r="P41" i="75"/>
  <c r="T41" i="74" s="1"/>
  <c r="R55" i="65" s="1"/>
  <c r="P53" i="75"/>
  <c r="T53" i="74" s="1"/>
  <c r="R67" i="65" s="1"/>
  <c r="P65" i="75"/>
  <c r="T65" i="74" s="1"/>
  <c r="R79" i="65" s="1"/>
  <c r="P77" i="75"/>
  <c r="T77" i="74" s="1"/>
  <c r="R91" i="65" s="1"/>
  <c r="P89" i="75"/>
  <c r="T89" i="74" s="1"/>
  <c r="R103" i="65" s="1"/>
  <c r="P58" i="75"/>
  <c r="T58" i="74" s="1"/>
  <c r="R72" i="65" s="1"/>
  <c r="P30" i="75"/>
  <c r="T30" i="74" s="1"/>
  <c r="R44" i="65" s="1"/>
  <c r="P42" i="75"/>
  <c r="T42" i="74" s="1"/>
  <c r="R56" i="65" s="1"/>
  <c r="P54" i="75"/>
  <c r="T54" i="74" s="1"/>
  <c r="R68" i="65" s="1"/>
  <c r="P66" i="75"/>
  <c r="T66" i="74" s="1"/>
  <c r="R80" i="65" s="1"/>
  <c r="P78" i="75"/>
  <c r="T78" i="74" s="1"/>
  <c r="R92" i="65" s="1"/>
  <c r="P90" i="75"/>
  <c r="T90" i="74" s="1"/>
  <c r="R104" i="65" s="1"/>
  <c r="P55" i="75"/>
  <c r="T55" i="74" s="1"/>
  <c r="R69" i="65" s="1"/>
  <c r="P31" i="75"/>
  <c r="T31" i="74" s="1"/>
  <c r="R45" i="65" s="1"/>
  <c r="P43" i="75"/>
  <c r="T43" i="74" s="1"/>
  <c r="R57" i="65" s="1"/>
  <c r="P67" i="75"/>
  <c r="T67" i="74" s="1"/>
  <c r="R81" i="65" s="1"/>
  <c r="P82" i="75"/>
  <c r="T82" i="74" s="1"/>
  <c r="R96" i="65" s="1"/>
  <c r="P33" i="75"/>
  <c r="T33" i="74" s="1"/>
  <c r="R47" i="65" s="1"/>
  <c r="P45" i="75"/>
  <c r="T45" i="74" s="1"/>
  <c r="R59" i="65" s="1"/>
  <c r="P57" i="75"/>
  <c r="T57" i="74" s="1"/>
  <c r="R71" i="65" s="1"/>
  <c r="P69" i="75"/>
  <c r="T69" i="74" s="1"/>
  <c r="R83" i="65" s="1"/>
  <c r="P81" i="75"/>
  <c r="T81" i="74" s="1"/>
  <c r="R95" i="65" s="1"/>
  <c r="P34" i="75"/>
  <c r="T34" i="74" s="1"/>
  <c r="R48" i="65" s="1"/>
  <c r="P35" i="75"/>
  <c r="T35" i="74" s="1"/>
  <c r="R49" i="65" s="1"/>
  <c r="P47" i="75"/>
  <c r="T47" i="74" s="1"/>
  <c r="R61" i="65" s="1"/>
  <c r="P59" i="75"/>
  <c r="T59" i="74" s="1"/>
  <c r="R73" i="65" s="1"/>
  <c r="P71" i="75"/>
  <c r="T71" i="74" s="1"/>
  <c r="R85" i="65" s="1"/>
  <c r="P83" i="75"/>
  <c r="T83" i="74" s="1"/>
  <c r="R97" i="65" s="1"/>
  <c r="P68" i="75"/>
  <c r="T68" i="74" s="1"/>
  <c r="R82" i="65" s="1"/>
  <c r="P46" i="75"/>
  <c r="T46" i="74" s="1"/>
  <c r="R60" i="65" s="1"/>
  <c r="U34" i="74"/>
  <c r="S48" i="65" s="1"/>
  <c r="R34" i="75"/>
  <c r="U42" i="74"/>
  <c r="S56" i="65" s="1"/>
  <c r="R42" i="75"/>
  <c r="U85" i="74"/>
  <c r="S99" i="65" s="1"/>
  <c r="R85" i="75"/>
  <c r="U45" i="74"/>
  <c r="S59" i="65" s="1"/>
  <c r="R45" i="75"/>
  <c r="U58" i="74"/>
  <c r="S72" i="65" s="1"/>
  <c r="R58" i="75"/>
  <c r="U56" i="74"/>
  <c r="S70" i="65" s="1"/>
  <c r="R56" i="75"/>
  <c r="U44" i="74"/>
  <c r="S58" i="65" s="1"/>
  <c r="R44" i="75"/>
  <c r="U82" i="74"/>
  <c r="S96" i="65" s="1"/>
  <c r="R82" i="75"/>
  <c r="Q67" i="77"/>
  <c r="R67" i="77" s="1"/>
  <c r="Q82" i="77"/>
  <c r="R82" i="77" s="1"/>
  <c r="Q37" i="77"/>
  <c r="R37" i="77" s="1"/>
  <c r="Q87" i="77"/>
  <c r="R87" i="77" s="1"/>
  <c r="Q35" i="77"/>
  <c r="R35" i="77" s="1"/>
  <c r="Q33" i="77"/>
  <c r="R33" i="77" s="1"/>
  <c r="Q60" i="77"/>
  <c r="R60" i="77" s="1"/>
  <c r="Q61" i="77"/>
  <c r="R61" i="77" s="1"/>
  <c r="Q36" i="77"/>
  <c r="R36" i="77" s="1"/>
  <c r="Q70" i="77"/>
  <c r="R70" i="77" s="1"/>
  <c r="Q62" i="77"/>
  <c r="R62" i="77" s="1"/>
  <c r="Q40" i="77"/>
  <c r="R40" i="77" s="1"/>
  <c r="Q34" i="77"/>
  <c r="R34" i="77" s="1"/>
  <c r="Q43" i="77"/>
  <c r="R43" i="77" s="1"/>
  <c r="Q83" i="77"/>
  <c r="R83" i="77" s="1"/>
  <c r="Q73" i="77"/>
  <c r="R73" i="77" s="1"/>
  <c r="Q58" i="77"/>
  <c r="R58" i="77" s="1"/>
  <c r="Q39" i="77"/>
  <c r="R39" i="77" s="1"/>
  <c r="Q44" i="77"/>
  <c r="R44" i="77" s="1"/>
  <c r="Q71" i="77"/>
  <c r="R71" i="77" s="1"/>
  <c r="Q88" i="77"/>
  <c r="R88" i="77" s="1"/>
  <c r="Q59" i="77"/>
  <c r="R59" i="77" s="1"/>
  <c r="Q76" i="77"/>
  <c r="R76" i="77" s="1"/>
  <c r="Q63" i="77"/>
  <c r="R63" i="77" s="1"/>
  <c r="Q81" i="77"/>
  <c r="R81" i="77" s="1"/>
  <c r="Q79" i="77"/>
  <c r="R79" i="77" s="1"/>
  <c r="Q72" i="77"/>
  <c r="R72" i="77" s="1"/>
  <c r="Q41" i="77"/>
  <c r="R41" i="77" s="1"/>
  <c r="Q51" i="77"/>
  <c r="R51" i="77" s="1"/>
  <c r="Q86" i="77"/>
  <c r="R86" i="77" s="1"/>
  <c r="Q66" i="77"/>
  <c r="R66" i="77" s="1"/>
  <c r="Q47" i="77"/>
  <c r="R47" i="77" s="1"/>
  <c r="Q80" i="77"/>
  <c r="R80" i="77" s="1"/>
  <c r="Q32" i="77"/>
  <c r="R32" i="77" s="1"/>
  <c r="Q64" i="77"/>
  <c r="R64" i="77" s="1"/>
  <c r="Q50" i="77"/>
  <c r="R50" i="77" s="1"/>
  <c r="Q69" i="77"/>
  <c r="R69" i="77" s="1"/>
  <c r="Q68" i="77"/>
  <c r="R68" i="77" s="1"/>
  <c r="Q55" i="77"/>
  <c r="R55" i="77" s="1"/>
  <c r="Q84" i="77"/>
  <c r="R84" i="77" s="1"/>
  <c r="Q91" i="77"/>
  <c r="R91" i="77" s="1"/>
  <c r="Q57" i="77"/>
  <c r="R57" i="77" s="1"/>
  <c r="Q77" i="77"/>
  <c r="R77" i="77" s="1"/>
  <c r="Q38" i="77"/>
  <c r="R38" i="77" s="1"/>
  <c r="Q45" i="77"/>
  <c r="R45" i="77" s="1"/>
  <c r="Q90" i="77"/>
  <c r="R90" i="77" s="1"/>
  <c r="Q48" i="77"/>
  <c r="R48" i="77" s="1"/>
  <c r="Q65" i="77"/>
  <c r="R65" i="77" s="1"/>
  <c r="Q30" i="77"/>
  <c r="R30" i="77" s="1"/>
  <c r="Q54" i="77"/>
  <c r="R54" i="77" s="1"/>
  <c r="Q52" i="77"/>
  <c r="R52" i="77" s="1"/>
  <c r="Q56" i="77"/>
  <c r="R56" i="77" s="1"/>
  <c r="Q42" i="77"/>
  <c r="R42" i="77" s="1"/>
  <c r="Q53" i="77"/>
  <c r="R53" i="77" s="1"/>
  <c r="Q49" i="77"/>
  <c r="R49" i="77" s="1"/>
  <c r="Q46" i="77"/>
  <c r="R46" i="77" s="1"/>
  <c r="Q78" i="77"/>
  <c r="R78" i="77" s="1"/>
  <c r="Q31" i="77"/>
  <c r="R31" i="77" s="1"/>
  <c r="Q89" i="77"/>
  <c r="R89" i="77" s="1"/>
  <c r="Q75" i="77"/>
  <c r="R75" i="77" s="1"/>
  <c r="Q85" i="77"/>
  <c r="R85" i="77" s="1"/>
  <c r="Q74" i="77"/>
  <c r="R74" i="77" s="1"/>
  <c r="U62" i="74"/>
  <c r="S76" i="65" s="1"/>
  <c r="R62" i="75"/>
  <c r="U73" i="74"/>
  <c r="S87" i="65" s="1"/>
  <c r="R73" i="75"/>
  <c r="R48" i="75"/>
  <c r="U48" i="74"/>
  <c r="S62" i="65" s="1"/>
  <c r="U65" i="74"/>
  <c r="S79" i="65" s="1"/>
  <c r="R65" i="75"/>
  <c r="U46" i="74"/>
  <c r="S60" i="65" s="1"/>
  <c r="R46" i="75"/>
  <c r="U35" i="74"/>
  <c r="S49" i="65" s="1"/>
  <c r="R35" i="75"/>
  <c r="U81" i="74"/>
  <c r="S95" i="65" s="1"/>
  <c r="R81" i="75"/>
  <c r="U72" i="74"/>
  <c r="S86" i="65" s="1"/>
  <c r="R72" i="75"/>
  <c r="U64" i="74"/>
  <c r="S78" i="65" s="1"/>
  <c r="R64" i="75"/>
  <c r="U40" i="74"/>
  <c r="S54" i="65" s="1"/>
  <c r="R40" i="75"/>
  <c r="R54" i="75"/>
  <c r="U54" i="74"/>
  <c r="S68" i="65" s="1"/>
  <c r="R59" i="75"/>
  <c r="U59" i="74"/>
  <c r="S73" i="65" s="1"/>
  <c r="U66" i="74"/>
  <c r="S80" i="65" s="1"/>
  <c r="R66" i="75"/>
  <c r="U47" i="74"/>
  <c r="S61" i="65" s="1"/>
  <c r="R47" i="75"/>
  <c r="R78" i="75"/>
  <c r="U78" i="74"/>
  <c r="S92" i="65" s="1"/>
  <c r="U79" i="74"/>
  <c r="S93" i="65" s="1"/>
  <c r="R79" i="75"/>
  <c r="U77" i="74"/>
  <c r="S91" i="65" s="1"/>
  <c r="R77" i="75"/>
  <c r="R32" i="75"/>
  <c r="U32" i="74"/>
  <c r="S46" i="65" s="1"/>
  <c r="Q6" i="75"/>
  <c r="Q4" i="75"/>
  <c r="Q5" i="75"/>
  <c r="U3" i="74"/>
  <c r="S17" i="65" s="1"/>
  <c r="R3" i="75"/>
  <c r="V3" i="74" s="1"/>
  <c r="T17" i="65" s="1"/>
  <c r="U28" i="74"/>
  <c r="S42" i="65" s="1"/>
  <c r="R28" i="75"/>
  <c r="U23" i="74"/>
  <c r="S37" i="65" s="1"/>
  <c r="R23" i="75"/>
  <c r="U13" i="74"/>
  <c r="S27" i="65" s="1"/>
  <c r="R13" i="75"/>
  <c r="U25" i="74"/>
  <c r="S39" i="65" s="1"/>
  <c r="R25" i="75"/>
  <c r="U24" i="74"/>
  <c r="S38" i="65" s="1"/>
  <c r="R24" i="75"/>
  <c r="U9" i="74"/>
  <c r="S23" i="65" s="1"/>
  <c r="R9" i="75"/>
  <c r="U14" i="74"/>
  <c r="S28" i="65" s="1"/>
  <c r="R14" i="75"/>
  <c r="U18" i="74"/>
  <c r="S32" i="65" s="1"/>
  <c r="R18" i="75"/>
  <c r="R7" i="75"/>
  <c r="U7" i="74"/>
  <c r="S21" i="65" s="1"/>
  <c r="U10" i="74"/>
  <c r="S24" i="65" s="1"/>
  <c r="R10" i="75"/>
  <c r="U26" i="74"/>
  <c r="S40" i="65" s="1"/>
  <c r="R26" i="75"/>
  <c r="U19" i="74"/>
  <c r="S33" i="65" s="1"/>
  <c r="R19" i="75"/>
  <c r="U8" i="74"/>
  <c r="S22" i="65" s="1"/>
  <c r="R8" i="75"/>
  <c r="U29" i="74"/>
  <c r="S43" i="65" s="1"/>
  <c r="R29" i="75"/>
  <c r="U20" i="74"/>
  <c r="S34" i="65" s="1"/>
  <c r="R20" i="75"/>
  <c r="U21" i="74"/>
  <c r="S35" i="65" s="1"/>
  <c r="R21" i="75"/>
  <c r="U16" i="74"/>
  <c r="S30" i="65" s="1"/>
  <c r="R16" i="75"/>
  <c r="U27" i="74"/>
  <c r="S41" i="65" s="1"/>
  <c r="R27" i="75"/>
  <c r="U15" i="74"/>
  <c r="S29" i="65" s="1"/>
  <c r="R15" i="75"/>
  <c r="P7" i="75"/>
  <c r="T7" i="74" s="1"/>
  <c r="R21" i="65" s="1"/>
  <c r="P19" i="75"/>
  <c r="T19" i="74" s="1"/>
  <c r="R33" i="65" s="1"/>
  <c r="P8" i="75"/>
  <c r="T8" i="74" s="1"/>
  <c r="R22" i="65" s="1"/>
  <c r="P20" i="75"/>
  <c r="T20" i="74" s="1"/>
  <c r="R34" i="65" s="1"/>
  <c r="P9" i="75"/>
  <c r="T9" i="74" s="1"/>
  <c r="R23" i="65" s="1"/>
  <c r="P21" i="75"/>
  <c r="T21" i="74" s="1"/>
  <c r="R35" i="65" s="1"/>
  <c r="P10" i="75"/>
  <c r="T10" i="74" s="1"/>
  <c r="R24" i="65" s="1"/>
  <c r="P22" i="75"/>
  <c r="T22" i="74" s="1"/>
  <c r="R36" i="65" s="1"/>
  <c r="P11" i="75"/>
  <c r="T11" i="74" s="1"/>
  <c r="R25" i="65" s="1"/>
  <c r="P23" i="75"/>
  <c r="T23" i="74" s="1"/>
  <c r="R37" i="65" s="1"/>
  <c r="P12" i="75"/>
  <c r="T12" i="74" s="1"/>
  <c r="R26" i="65" s="1"/>
  <c r="P24" i="75"/>
  <c r="T24" i="74" s="1"/>
  <c r="R38" i="65" s="1"/>
  <c r="P13" i="75"/>
  <c r="T13" i="74" s="1"/>
  <c r="R27" i="65" s="1"/>
  <c r="P25" i="75"/>
  <c r="T25" i="74" s="1"/>
  <c r="R39" i="65" s="1"/>
  <c r="K4" i="75"/>
  <c r="P14" i="75"/>
  <c r="T14" i="74" s="1"/>
  <c r="R28" i="65" s="1"/>
  <c r="P26" i="75"/>
  <c r="T26" i="74" s="1"/>
  <c r="R40" i="65" s="1"/>
  <c r="L3" i="74"/>
  <c r="N5" i="65" s="1"/>
  <c r="N6" i="65" s="1"/>
  <c r="P15" i="75"/>
  <c r="T15" i="74" s="1"/>
  <c r="R29" i="65" s="1"/>
  <c r="P27" i="75"/>
  <c r="T27" i="74" s="1"/>
  <c r="R41" i="65" s="1"/>
  <c r="P6" i="75"/>
  <c r="T6" i="74" s="1"/>
  <c r="R20" i="65" s="1"/>
  <c r="P16" i="75"/>
  <c r="T16" i="74" s="1"/>
  <c r="R30" i="65" s="1"/>
  <c r="P28" i="75"/>
  <c r="T28" i="74" s="1"/>
  <c r="R42" i="65" s="1"/>
  <c r="P4" i="75"/>
  <c r="T4" i="74" s="1"/>
  <c r="R18" i="65" s="1"/>
  <c r="P17" i="75"/>
  <c r="T17" i="74" s="1"/>
  <c r="R31" i="65" s="1"/>
  <c r="P29" i="75"/>
  <c r="T29" i="74" s="1"/>
  <c r="R43" i="65" s="1"/>
  <c r="P5" i="75"/>
  <c r="T5" i="74" s="1"/>
  <c r="R19" i="65" s="1"/>
  <c r="P18" i="75"/>
  <c r="T18" i="74" s="1"/>
  <c r="R32" i="65" s="1"/>
  <c r="R11" i="75"/>
  <c r="U11" i="74"/>
  <c r="S25" i="65" s="1"/>
  <c r="U17" i="74"/>
  <c r="S31" i="65" s="1"/>
  <c r="R17" i="75"/>
  <c r="U22" i="74"/>
  <c r="S36" i="65" s="1"/>
  <c r="R22" i="75"/>
  <c r="U12" i="74"/>
  <c r="S26" i="65" s="1"/>
  <c r="R12" i="75"/>
  <c r="K2" i="77"/>
  <c r="Q3" i="77"/>
  <c r="Q14" i="77"/>
  <c r="R14" i="77" s="1"/>
  <c r="Q11" i="77"/>
  <c r="R11" i="77" s="1"/>
  <c r="Q27" i="77"/>
  <c r="R27" i="77" s="1"/>
  <c r="Q8" i="77"/>
  <c r="R8" i="77" s="1"/>
  <c r="Q7" i="77"/>
  <c r="R7" i="77" s="1"/>
  <c r="Q17" i="77"/>
  <c r="R17" i="77" s="1"/>
  <c r="Q18" i="77"/>
  <c r="R18" i="77" s="1"/>
  <c r="Q26" i="77"/>
  <c r="R26" i="77" s="1"/>
  <c r="Q23" i="77"/>
  <c r="R23" i="77" s="1"/>
  <c r="Q10" i="77"/>
  <c r="R10" i="77" s="1"/>
  <c r="K3" i="77"/>
  <c r="Q22" i="77"/>
  <c r="R22" i="77" s="1"/>
  <c r="Q21" i="77"/>
  <c r="R21" i="77" s="1"/>
  <c r="Q15" i="77"/>
  <c r="R15" i="77" s="1"/>
  <c r="Q9" i="77"/>
  <c r="R9" i="77" s="1"/>
  <c r="Q16" i="77"/>
  <c r="R16" i="77" s="1"/>
  <c r="Q28" i="77"/>
  <c r="R28" i="77" s="1"/>
  <c r="Q24" i="77"/>
  <c r="R24" i="77" s="1"/>
  <c r="Q29" i="77"/>
  <c r="R29" i="77" s="1"/>
  <c r="Q13" i="77"/>
  <c r="R13" i="77" s="1"/>
  <c r="Q20" i="77"/>
  <c r="R20" i="77" s="1"/>
  <c r="Q12" i="77"/>
  <c r="R12" i="77" s="1"/>
  <c r="Q19" i="77"/>
  <c r="R19" i="77" s="1"/>
  <c r="Q25" i="77"/>
  <c r="R25" i="77" s="1"/>
  <c r="Y23" i="64"/>
  <c r="AF13" i="64"/>
  <c r="AH13" i="64" s="1"/>
  <c r="R3" i="64"/>
  <c r="Q3" i="64"/>
  <c r="M3" i="64"/>
  <c r="L3" i="64"/>
  <c r="K3" i="64"/>
  <c r="J3" i="64"/>
  <c r="I3" i="64"/>
  <c r="H3" i="64"/>
  <c r="G3" i="64"/>
  <c r="F3" i="64"/>
  <c r="E3" i="64"/>
  <c r="D3" i="64"/>
  <c r="C3" i="64"/>
  <c r="B3" i="64"/>
  <c r="AL2" i="64"/>
  <c r="AI2" i="64"/>
  <c r="AD2" i="64"/>
  <c r="AB2" i="64"/>
  <c r="W2" i="64"/>
  <c r="AB1" i="64"/>
  <c r="V96" i="74" l="1"/>
  <c r="T110" i="65" s="1"/>
  <c r="S96" i="75"/>
  <c r="S104" i="75"/>
  <c r="V104" i="74"/>
  <c r="T118" i="65" s="1"/>
  <c r="V103" i="74"/>
  <c r="T117" i="65" s="1"/>
  <c r="S103" i="75"/>
  <c r="S98" i="75"/>
  <c r="V98" i="74"/>
  <c r="T112" i="65" s="1"/>
  <c r="V99" i="74"/>
  <c r="T113" i="65" s="1"/>
  <c r="S99" i="75"/>
  <c r="V106" i="74"/>
  <c r="T120" i="65" s="1"/>
  <c r="S106" i="75"/>
  <c r="V100" i="74"/>
  <c r="T114" i="65" s="1"/>
  <c r="S100" i="75"/>
  <c r="S95" i="75"/>
  <c r="V95" i="74"/>
  <c r="T109" i="65" s="1"/>
  <c r="V97" i="74"/>
  <c r="T111" i="65" s="1"/>
  <c r="S97" i="75"/>
  <c r="P93" i="77"/>
  <c r="S93" i="77" s="1"/>
  <c r="BW91" i="76" s="1"/>
  <c r="P102" i="77"/>
  <c r="S102" i="77" s="1"/>
  <c r="BW100" i="76" s="1"/>
  <c r="P106" i="77"/>
  <c r="P94" i="77"/>
  <c r="S94" i="77" s="1"/>
  <c r="BW92" i="76" s="1"/>
  <c r="P104" i="77"/>
  <c r="S104" i="77" s="1"/>
  <c r="BW102" i="76" s="1"/>
  <c r="P95" i="77"/>
  <c r="S95" i="77" s="1"/>
  <c r="BW93" i="76" s="1"/>
  <c r="P103" i="77"/>
  <c r="S103" i="77" s="1"/>
  <c r="BW101" i="76" s="1"/>
  <c r="P96" i="77"/>
  <c r="S96" i="77" s="1"/>
  <c r="BW94" i="76" s="1"/>
  <c r="P97" i="77"/>
  <c r="S97" i="77" s="1"/>
  <c r="BW95" i="76" s="1"/>
  <c r="P98" i="77"/>
  <c r="S98" i="77" s="1"/>
  <c r="BW96" i="76" s="1"/>
  <c r="P99" i="77"/>
  <c r="S99" i="77" s="1"/>
  <c r="BW97" i="76" s="1"/>
  <c r="P92" i="77"/>
  <c r="S92" i="77" s="1"/>
  <c r="BW90" i="76" s="1"/>
  <c r="P100" i="77"/>
  <c r="S100" i="77" s="1"/>
  <c r="BW98" i="76" s="1"/>
  <c r="P101" i="77"/>
  <c r="S101" i="77" s="1"/>
  <c r="BW99" i="76" s="1"/>
  <c r="S101" i="75"/>
  <c r="V101" i="74"/>
  <c r="T115" i="65" s="1"/>
  <c r="S94" i="75"/>
  <c r="V94" i="74"/>
  <c r="T108" i="65" s="1"/>
  <c r="V102" i="74"/>
  <c r="T116" i="65" s="1"/>
  <c r="S102" i="75"/>
  <c r="V93" i="74"/>
  <c r="T107" i="65" s="1"/>
  <c r="S93" i="75"/>
  <c r="S92" i="75"/>
  <c r="V92" i="74"/>
  <c r="T106" i="65" s="1"/>
  <c r="V105" i="74"/>
  <c r="T119" i="65" s="1"/>
  <c r="S105" i="75"/>
  <c r="S47" i="75"/>
  <c r="V47" i="74"/>
  <c r="T61" i="65" s="1"/>
  <c r="S72" i="75"/>
  <c r="V72" i="74"/>
  <c r="T86" i="65" s="1"/>
  <c r="V73" i="74"/>
  <c r="T87" i="65" s="1"/>
  <c r="S73" i="75"/>
  <c r="S58" i="75"/>
  <c r="V58" i="74"/>
  <c r="T72" i="65" s="1"/>
  <c r="V39" i="74"/>
  <c r="T53" i="65" s="1"/>
  <c r="S39" i="75"/>
  <c r="S75" i="75"/>
  <c r="V75" i="74"/>
  <c r="T89" i="65" s="1"/>
  <c r="V71" i="74"/>
  <c r="T85" i="65" s="1"/>
  <c r="S71" i="75"/>
  <c r="V87" i="74"/>
  <c r="T101" i="65" s="1"/>
  <c r="S87" i="75"/>
  <c r="V76" i="74"/>
  <c r="T90" i="65" s="1"/>
  <c r="S76" i="75"/>
  <c r="V33" i="74"/>
  <c r="T47" i="65" s="1"/>
  <c r="S33" i="75"/>
  <c r="S66" i="75"/>
  <c r="V66" i="74"/>
  <c r="T80" i="65" s="1"/>
  <c r="S81" i="75"/>
  <c r="V81" i="74"/>
  <c r="T95" i="65" s="1"/>
  <c r="S62" i="75"/>
  <c r="V62" i="74"/>
  <c r="T76" i="65" s="1"/>
  <c r="S45" i="75"/>
  <c r="V45" i="74"/>
  <c r="T59" i="65" s="1"/>
  <c r="V86" i="74"/>
  <c r="T100" i="65" s="1"/>
  <c r="S86" i="75"/>
  <c r="S61" i="75"/>
  <c r="V61" i="74"/>
  <c r="T75" i="65" s="1"/>
  <c r="V55" i="74"/>
  <c r="T69" i="65" s="1"/>
  <c r="S55" i="75"/>
  <c r="S91" i="75"/>
  <c r="V91" i="74"/>
  <c r="T105" i="65" s="1"/>
  <c r="V80" i="74"/>
  <c r="T94" i="65" s="1"/>
  <c r="S80" i="75"/>
  <c r="V35" i="74"/>
  <c r="T49" i="65" s="1"/>
  <c r="S35" i="75"/>
  <c r="V85" i="74"/>
  <c r="T99" i="65" s="1"/>
  <c r="S85" i="75"/>
  <c r="V63" i="74"/>
  <c r="T77" i="65" s="1"/>
  <c r="S63" i="75"/>
  <c r="V52" i="74"/>
  <c r="T66" i="65" s="1"/>
  <c r="S52" i="75"/>
  <c r="V43" i="74"/>
  <c r="T57" i="65" s="1"/>
  <c r="S43" i="75"/>
  <c r="V57" i="74"/>
  <c r="T71" i="65" s="1"/>
  <c r="S57" i="75"/>
  <c r="S32" i="75"/>
  <c r="V32" i="74"/>
  <c r="T46" i="65" s="1"/>
  <c r="V59" i="74"/>
  <c r="T73" i="65" s="1"/>
  <c r="S59" i="75"/>
  <c r="V41" i="74"/>
  <c r="T55" i="65" s="1"/>
  <c r="S41" i="75"/>
  <c r="V69" i="74"/>
  <c r="T83" i="65" s="1"/>
  <c r="S69" i="75"/>
  <c r="S77" i="75"/>
  <c r="V77" i="74"/>
  <c r="T91" i="65" s="1"/>
  <c r="V46" i="74"/>
  <c r="T60" i="65" s="1"/>
  <c r="S46" i="75"/>
  <c r="V82" i="74"/>
  <c r="T96" i="65" s="1"/>
  <c r="S82" i="75"/>
  <c r="V42" i="74"/>
  <c r="T56" i="65" s="1"/>
  <c r="S42" i="75"/>
  <c r="V49" i="74"/>
  <c r="T63" i="65" s="1"/>
  <c r="S49" i="75"/>
  <c r="V89" i="74"/>
  <c r="T103" i="65" s="1"/>
  <c r="S89" i="75"/>
  <c r="S30" i="75"/>
  <c r="V30" i="74"/>
  <c r="T44" i="65" s="1"/>
  <c r="V54" i="74"/>
  <c r="T68" i="65" s="1"/>
  <c r="S54" i="75"/>
  <c r="V67" i="74"/>
  <c r="T81" i="65" s="1"/>
  <c r="S67" i="75"/>
  <c r="V38" i="74"/>
  <c r="T52" i="65" s="1"/>
  <c r="S38" i="75"/>
  <c r="V53" i="74"/>
  <c r="T67" i="65" s="1"/>
  <c r="S53" i="75"/>
  <c r="P80" i="77"/>
  <c r="S80" i="77" s="1"/>
  <c r="BW78" i="76" s="1"/>
  <c r="P37" i="77"/>
  <c r="S37" i="77" s="1"/>
  <c r="BW35" i="76" s="1"/>
  <c r="P88" i="77"/>
  <c r="S88" i="77" s="1"/>
  <c r="BW86" i="76" s="1"/>
  <c r="P32" i="77"/>
  <c r="S32" i="77" s="1"/>
  <c r="BW30" i="76" s="1"/>
  <c r="P47" i="77"/>
  <c r="S47" i="77" s="1"/>
  <c r="BW45" i="76" s="1"/>
  <c r="P49" i="77"/>
  <c r="S49" i="77" s="1"/>
  <c r="BW47" i="76" s="1"/>
  <c r="P39" i="77"/>
  <c r="S39" i="77" s="1"/>
  <c r="BW37" i="76" s="1"/>
  <c r="P33" i="77"/>
  <c r="S33" i="77" s="1"/>
  <c r="BW31" i="76" s="1"/>
  <c r="P45" i="77"/>
  <c r="S45" i="77" s="1"/>
  <c r="BW43" i="76" s="1"/>
  <c r="P59" i="77"/>
  <c r="S59" i="77" s="1"/>
  <c r="BW57" i="76" s="1"/>
  <c r="P61" i="77"/>
  <c r="S61" i="77" s="1"/>
  <c r="BW59" i="76" s="1"/>
  <c r="P51" i="77"/>
  <c r="S51" i="77" s="1"/>
  <c r="BW49" i="76" s="1"/>
  <c r="P41" i="77"/>
  <c r="S41" i="77" s="1"/>
  <c r="BW39" i="76" s="1"/>
  <c r="P34" i="77"/>
  <c r="S34" i="77" s="1"/>
  <c r="BW32" i="76" s="1"/>
  <c r="P43" i="77"/>
  <c r="S43" i="77" s="1"/>
  <c r="BW41" i="76" s="1"/>
  <c r="P57" i="77"/>
  <c r="S57" i="77" s="1"/>
  <c r="BW55" i="76" s="1"/>
  <c r="P71" i="77"/>
  <c r="S71" i="77" s="1"/>
  <c r="BW69" i="76" s="1"/>
  <c r="P73" i="77"/>
  <c r="S73" i="77" s="1"/>
  <c r="BW71" i="76" s="1"/>
  <c r="P63" i="77"/>
  <c r="S63" i="77" s="1"/>
  <c r="BW61" i="76" s="1"/>
  <c r="P53" i="77"/>
  <c r="S53" i="77" s="1"/>
  <c r="BW51" i="76" s="1"/>
  <c r="P35" i="77"/>
  <c r="S35" i="77" s="1"/>
  <c r="BW33" i="76" s="1"/>
  <c r="P82" i="77"/>
  <c r="S82" i="77" s="1"/>
  <c r="BW80" i="76" s="1"/>
  <c r="P55" i="77"/>
  <c r="S55" i="77" s="1"/>
  <c r="BW53" i="76" s="1"/>
  <c r="P69" i="77"/>
  <c r="S69" i="77" s="1"/>
  <c r="BW67" i="76" s="1"/>
  <c r="P83" i="77"/>
  <c r="S83" i="77" s="1"/>
  <c r="BW81" i="76" s="1"/>
  <c r="P85" i="77"/>
  <c r="S85" i="77" s="1"/>
  <c r="BW83" i="76" s="1"/>
  <c r="P75" i="77"/>
  <c r="S75" i="77" s="1"/>
  <c r="BW73" i="76" s="1"/>
  <c r="P65" i="77"/>
  <c r="S65" i="77" s="1"/>
  <c r="BW63" i="76" s="1"/>
  <c r="P36" i="77"/>
  <c r="S36" i="77" s="1"/>
  <c r="BW34" i="76" s="1"/>
  <c r="P86" i="77"/>
  <c r="S86" i="77" s="1"/>
  <c r="BW84" i="76" s="1"/>
  <c r="P67" i="77"/>
  <c r="S67" i="77" s="1"/>
  <c r="BW65" i="76" s="1"/>
  <c r="P81" i="77"/>
  <c r="S81" i="77" s="1"/>
  <c r="BW79" i="76" s="1"/>
  <c r="P87" i="77"/>
  <c r="S87" i="77" s="1"/>
  <c r="BW85" i="76" s="1"/>
  <c r="P77" i="77"/>
  <c r="S77" i="77" s="1"/>
  <c r="BW75" i="76" s="1"/>
  <c r="P30" i="77"/>
  <c r="S30" i="77" s="1"/>
  <c r="BW28" i="76" s="1"/>
  <c r="P68" i="77"/>
  <c r="S68" i="77" s="1"/>
  <c r="BW66" i="76" s="1"/>
  <c r="P79" i="77"/>
  <c r="S79" i="77" s="1"/>
  <c r="BW77" i="76" s="1"/>
  <c r="P78" i="77"/>
  <c r="S78" i="77" s="1"/>
  <c r="BW76" i="76" s="1"/>
  <c r="P90" i="77"/>
  <c r="S90" i="77" s="1"/>
  <c r="BW88" i="76" s="1"/>
  <c r="P89" i="77"/>
  <c r="S89" i="77" s="1"/>
  <c r="BW87" i="76" s="1"/>
  <c r="P31" i="77"/>
  <c r="S31" i="77" s="1"/>
  <c r="BW29" i="76" s="1"/>
  <c r="P91" i="77"/>
  <c r="S91" i="77" s="1"/>
  <c r="BW89" i="76" s="1"/>
  <c r="P66" i="77"/>
  <c r="S66" i="77" s="1"/>
  <c r="BW64" i="76" s="1"/>
  <c r="P48" i="77"/>
  <c r="S48" i="77" s="1"/>
  <c r="BW46" i="76" s="1"/>
  <c r="P38" i="77"/>
  <c r="S38" i="77" s="1"/>
  <c r="BW36" i="76" s="1"/>
  <c r="P54" i="77"/>
  <c r="S54" i="77" s="1"/>
  <c r="BW52" i="76" s="1"/>
  <c r="P42" i="77"/>
  <c r="S42" i="77" s="1"/>
  <c r="BW40" i="76" s="1"/>
  <c r="P46" i="77"/>
  <c r="S46" i="77" s="1"/>
  <c r="BW44" i="76" s="1"/>
  <c r="P60" i="77"/>
  <c r="S60" i="77" s="1"/>
  <c r="BW58" i="76" s="1"/>
  <c r="P50" i="77"/>
  <c r="S50" i="77" s="1"/>
  <c r="BW48" i="76" s="1"/>
  <c r="P40" i="77"/>
  <c r="S40" i="77" s="1"/>
  <c r="BW38" i="76" s="1"/>
  <c r="P44" i="77"/>
  <c r="S44" i="77" s="1"/>
  <c r="BW42" i="76" s="1"/>
  <c r="P58" i="77"/>
  <c r="S58" i="77" s="1"/>
  <c r="BW56" i="76" s="1"/>
  <c r="P72" i="77"/>
  <c r="S72" i="77" s="1"/>
  <c r="BW70" i="76" s="1"/>
  <c r="P62" i="77"/>
  <c r="S62" i="77" s="1"/>
  <c r="BW60" i="76" s="1"/>
  <c r="P52" i="77"/>
  <c r="S52" i="77" s="1"/>
  <c r="BW50" i="76" s="1"/>
  <c r="P76" i="77"/>
  <c r="S76" i="77" s="1"/>
  <c r="BW74" i="76" s="1"/>
  <c r="P56" i="77"/>
  <c r="S56" i="77" s="1"/>
  <c r="BW54" i="76" s="1"/>
  <c r="P70" i="77"/>
  <c r="S70" i="77" s="1"/>
  <c r="BW68" i="76" s="1"/>
  <c r="P84" i="77"/>
  <c r="S84" i="77" s="1"/>
  <c r="BW82" i="76" s="1"/>
  <c r="P74" i="77"/>
  <c r="S74" i="77" s="1"/>
  <c r="BW72" i="76" s="1"/>
  <c r="P64" i="77"/>
  <c r="S64" i="77" s="1"/>
  <c r="BW62" i="76" s="1"/>
  <c r="S79" i="75"/>
  <c r="V79" i="74"/>
  <c r="T93" i="65" s="1"/>
  <c r="S40" i="75"/>
  <c r="V40" i="74"/>
  <c r="T54" i="65" s="1"/>
  <c r="V65" i="74"/>
  <c r="T79" i="65" s="1"/>
  <c r="S65" i="75"/>
  <c r="V44" i="74"/>
  <c r="T58" i="65" s="1"/>
  <c r="S44" i="75"/>
  <c r="V34" i="74"/>
  <c r="T48" i="65" s="1"/>
  <c r="S34" i="75"/>
  <c r="V51" i="74"/>
  <c r="T65" i="65" s="1"/>
  <c r="S51" i="75"/>
  <c r="S68" i="75"/>
  <c r="V68" i="74"/>
  <c r="T82" i="65" s="1"/>
  <c r="V74" i="74"/>
  <c r="T88" i="65" s="1"/>
  <c r="S74" i="75"/>
  <c r="V37" i="74"/>
  <c r="T51" i="65" s="1"/>
  <c r="S37" i="75"/>
  <c r="S50" i="75"/>
  <c r="V50" i="74"/>
  <c r="T64" i="65" s="1"/>
  <c r="S70" i="75"/>
  <c r="V70" i="74"/>
  <c r="T84" i="65" s="1"/>
  <c r="S64" i="75"/>
  <c r="V64" i="74"/>
  <c r="T78" i="65" s="1"/>
  <c r="V56" i="74"/>
  <c r="T70" i="65" s="1"/>
  <c r="S56" i="75"/>
  <c r="V83" i="74"/>
  <c r="T97" i="65" s="1"/>
  <c r="S83" i="75"/>
  <c r="S90" i="75"/>
  <c r="V90" i="74"/>
  <c r="T104" i="65" s="1"/>
  <c r="V84" i="74"/>
  <c r="T98" i="65" s="1"/>
  <c r="S84" i="75"/>
  <c r="V31" i="74"/>
  <c r="T45" i="65" s="1"/>
  <c r="S31" i="75"/>
  <c r="V36" i="74"/>
  <c r="T50" i="65" s="1"/>
  <c r="S36" i="75"/>
  <c r="V60" i="74"/>
  <c r="T74" i="65" s="1"/>
  <c r="S60" i="75"/>
  <c r="V88" i="74"/>
  <c r="T102" i="65" s="1"/>
  <c r="S88" i="75"/>
  <c r="S78" i="75"/>
  <c r="V78" i="74"/>
  <c r="T92" i="65" s="1"/>
  <c r="S48" i="75"/>
  <c r="V48" i="74"/>
  <c r="T62" i="65" s="1"/>
  <c r="V11" i="74"/>
  <c r="T25" i="65" s="1"/>
  <c r="S11" i="75"/>
  <c r="V20" i="74"/>
  <c r="T34" i="65" s="1"/>
  <c r="S20" i="75"/>
  <c r="V13" i="74"/>
  <c r="T27" i="65" s="1"/>
  <c r="S13" i="75"/>
  <c r="K5" i="75"/>
  <c r="L4" i="74"/>
  <c r="L5" i="74" s="1"/>
  <c r="L12" i="74" s="1"/>
  <c r="S7" i="75"/>
  <c r="V7" i="74"/>
  <c r="T21" i="65" s="1"/>
  <c r="S29" i="75"/>
  <c r="V29" i="74"/>
  <c r="T43" i="65" s="1"/>
  <c r="V18" i="74"/>
  <c r="T32" i="65" s="1"/>
  <c r="S18" i="75"/>
  <c r="V23" i="74"/>
  <c r="T37" i="65" s="1"/>
  <c r="S23" i="75"/>
  <c r="P105" i="77"/>
  <c r="S105" i="77" s="1"/>
  <c r="BW103" i="76" s="1"/>
  <c r="BP103" i="76" s="1"/>
  <c r="BQ103" i="76" s="1"/>
  <c r="BV103" i="76" s="1"/>
  <c r="P9" i="77"/>
  <c r="S9" i="77" s="1"/>
  <c r="BW7" i="76" s="1"/>
  <c r="P11" i="77"/>
  <c r="S11" i="77" s="1"/>
  <c r="BW9" i="76" s="1"/>
  <c r="K4" i="77"/>
  <c r="K5" i="77" s="1"/>
  <c r="P6" i="77"/>
  <c r="P23" i="77"/>
  <c r="S23" i="77" s="1"/>
  <c r="BW21" i="76" s="1"/>
  <c r="P15" i="77"/>
  <c r="S15" i="77" s="1"/>
  <c r="BW13" i="76" s="1"/>
  <c r="P19" i="77"/>
  <c r="S19" i="77" s="1"/>
  <c r="BW17" i="76" s="1"/>
  <c r="P27" i="77"/>
  <c r="S27" i="77" s="1"/>
  <c r="BW25" i="76" s="1"/>
  <c r="P12" i="77"/>
  <c r="S12" i="77" s="1"/>
  <c r="BW10" i="76" s="1"/>
  <c r="P7" i="77"/>
  <c r="S7" i="77" s="1"/>
  <c r="BW5" i="76" s="1"/>
  <c r="P24" i="77"/>
  <c r="S24" i="77" s="1"/>
  <c r="BW22" i="76" s="1"/>
  <c r="P16" i="77"/>
  <c r="S16" i="77" s="1"/>
  <c r="BW14" i="76" s="1"/>
  <c r="P4" i="77"/>
  <c r="P28" i="77"/>
  <c r="S28" i="77" s="1"/>
  <c r="BW26" i="76" s="1"/>
  <c r="P20" i="77"/>
  <c r="S20" i="77" s="1"/>
  <c r="BW18" i="76" s="1"/>
  <c r="P13" i="77"/>
  <c r="S13" i="77" s="1"/>
  <c r="BW11" i="76" s="1"/>
  <c r="P5" i="77"/>
  <c r="P25" i="77"/>
  <c r="S25" i="77" s="1"/>
  <c r="BW23" i="76" s="1"/>
  <c r="P17" i="77"/>
  <c r="S17" i="77" s="1"/>
  <c r="BW15" i="76" s="1"/>
  <c r="P21" i="77"/>
  <c r="S21" i="77" s="1"/>
  <c r="BW19" i="76" s="1"/>
  <c r="P29" i="77"/>
  <c r="S29" i="77" s="1"/>
  <c r="BW27" i="76" s="1"/>
  <c r="P10" i="77"/>
  <c r="S10" i="77" s="1"/>
  <c r="BW8" i="76" s="1"/>
  <c r="P14" i="77"/>
  <c r="S14" i="77" s="1"/>
  <c r="BW12" i="76" s="1"/>
  <c r="P8" i="77"/>
  <c r="S8" i="77" s="1"/>
  <c r="BW6" i="76" s="1"/>
  <c r="P22" i="77"/>
  <c r="S22" i="77" s="1"/>
  <c r="BW20" i="76" s="1"/>
  <c r="P26" i="77"/>
  <c r="S26" i="77" s="1"/>
  <c r="BW24" i="76" s="1"/>
  <c r="P18" i="77"/>
  <c r="S18" i="77" s="1"/>
  <c r="BW16" i="76" s="1"/>
  <c r="V15" i="74"/>
  <c r="T29" i="65" s="1"/>
  <c r="S15" i="75"/>
  <c r="V8" i="74"/>
  <c r="T22" i="65" s="1"/>
  <c r="S8" i="75"/>
  <c r="V14" i="74"/>
  <c r="T28" i="65" s="1"/>
  <c r="S14" i="75"/>
  <c r="V28" i="74"/>
  <c r="T42" i="65" s="1"/>
  <c r="S28" i="75"/>
  <c r="V12" i="74"/>
  <c r="T26" i="65" s="1"/>
  <c r="S12" i="75"/>
  <c r="V22" i="74"/>
  <c r="T36" i="65" s="1"/>
  <c r="S22" i="75"/>
  <c r="S27" i="75"/>
  <c r="V27" i="74"/>
  <c r="T41" i="65" s="1"/>
  <c r="V19" i="74"/>
  <c r="T33" i="65" s="1"/>
  <c r="S19" i="75"/>
  <c r="S9" i="75"/>
  <c r="V9" i="74"/>
  <c r="T23" i="65" s="1"/>
  <c r="R3" i="77"/>
  <c r="Q6" i="77"/>
  <c r="R6" i="77" s="1"/>
  <c r="S6" i="77" s="1"/>
  <c r="BW4" i="76" s="1"/>
  <c r="Q5" i="77"/>
  <c r="R5" i="77" s="1"/>
  <c r="S5" i="77" s="1"/>
  <c r="Q4" i="77"/>
  <c r="R4" i="77" s="1"/>
  <c r="S4" i="77" s="1"/>
  <c r="V17" i="74"/>
  <c r="T31" i="65" s="1"/>
  <c r="S17" i="75"/>
  <c r="V16" i="74"/>
  <c r="T30" i="65" s="1"/>
  <c r="S16" i="75"/>
  <c r="V26" i="74"/>
  <c r="T40" i="65" s="1"/>
  <c r="S26" i="75"/>
  <c r="V24" i="74"/>
  <c r="T38" i="65" s="1"/>
  <c r="S24" i="75"/>
  <c r="R5" i="75"/>
  <c r="U5" i="74"/>
  <c r="S19" i="65" s="1"/>
  <c r="U4" i="74"/>
  <c r="S18" i="65" s="1"/>
  <c r="R4" i="75"/>
  <c r="S21" i="75"/>
  <c r="V21" i="74"/>
  <c r="T35" i="65" s="1"/>
  <c r="V10" i="74"/>
  <c r="T24" i="65" s="1"/>
  <c r="S10" i="75"/>
  <c r="V25" i="74"/>
  <c r="T39" i="65" s="1"/>
  <c r="S25" i="75"/>
  <c r="U6" i="74"/>
  <c r="S20" i="65" s="1"/>
  <c r="R6" i="75"/>
  <c r="AF14" i="64"/>
  <c r="AH14" i="64" s="1"/>
  <c r="BP99" i="76" l="1"/>
  <c r="BQ99" i="76" s="1"/>
  <c r="BP70" i="76"/>
  <c r="BQ70" i="76" s="1"/>
  <c r="BP48" i="76"/>
  <c r="BQ48" i="76" s="1"/>
  <c r="BP60" i="76"/>
  <c r="BQ60" i="76" s="1"/>
  <c r="BP50" i="76"/>
  <c r="BQ50" i="76" s="1"/>
  <c r="BP38" i="76"/>
  <c r="BQ38" i="76" s="1"/>
  <c r="BP64" i="76"/>
  <c r="BQ64" i="76" s="1"/>
  <c r="BP52" i="76"/>
  <c r="BQ52" i="76" s="1"/>
  <c r="BP98" i="76"/>
  <c r="BQ98" i="76" s="1"/>
  <c r="BP92" i="76"/>
  <c r="BQ92" i="76" s="1"/>
  <c r="BP88" i="76"/>
  <c r="BQ88" i="76" s="1"/>
  <c r="BP90" i="76"/>
  <c r="BQ90" i="76" s="1"/>
  <c r="BP84" i="76"/>
  <c r="BQ84" i="76" s="1"/>
  <c r="BP93" i="76"/>
  <c r="BQ93" i="76" s="1"/>
  <c r="BP41" i="76"/>
  <c r="BQ41" i="76" s="1"/>
  <c r="BP57" i="76"/>
  <c r="BQ57" i="76" s="1"/>
  <c r="BP80" i="76"/>
  <c r="BQ80" i="76" s="1"/>
  <c r="BP29" i="76"/>
  <c r="BQ29" i="76" s="1"/>
  <c r="BP89" i="76"/>
  <c r="BQ89" i="76" s="1"/>
  <c r="BP101" i="76"/>
  <c r="BQ101" i="76" s="1"/>
  <c r="BP96" i="76"/>
  <c r="BQ96" i="76" s="1"/>
  <c r="BP97" i="76"/>
  <c r="BQ97" i="76" s="1"/>
  <c r="BP94" i="76"/>
  <c r="BQ94" i="76" s="1"/>
  <c r="BP95" i="76"/>
  <c r="BQ95" i="76" s="1"/>
  <c r="W98" i="74"/>
  <c r="U112" i="65" s="1"/>
  <c r="CA96" i="74"/>
  <c r="CA100" i="74"/>
  <c r="W102" i="74"/>
  <c r="U116" i="65" s="1"/>
  <c r="BP72" i="76"/>
  <c r="BQ72" i="76" s="1"/>
  <c r="BP77" i="76"/>
  <c r="BQ77" i="76" s="1"/>
  <c r="BP39" i="76"/>
  <c r="BQ39" i="76" s="1"/>
  <c r="CA93" i="74"/>
  <c r="W95" i="74"/>
  <c r="U109" i="65" s="1"/>
  <c r="W103" i="74"/>
  <c r="U117" i="65" s="1"/>
  <c r="CA101" i="74"/>
  <c r="BP82" i="76"/>
  <c r="BQ82" i="76" s="1"/>
  <c r="BP67" i="76"/>
  <c r="BQ67" i="76" s="1"/>
  <c r="W100" i="74"/>
  <c r="U114" i="65" s="1"/>
  <c r="CA98" i="74"/>
  <c r="W94" i="74"/>
  <c r="U108" i="65" s="1"/>
  <c r="CA92" i="74"/>
  <c r="BP54" i="76"/>
  <c r="BQ54" i="76" s="1"/>
  <c r="BP102" i="76"/>
  <c r="BQ102" i="76" s="1"/>
  <c r="BV102" i="76" s="1"/>
  <c r="BP34" i="76"/>
  <c r="BP85" i="76"/>
  <c r="BQ85" i="76" s="1"/>
  <c r="BP43" i="76"/>
  <c r="BQ43" i="76" s="1"/>
  <c r="CA104" i="74"/>
  <c r="BT104" i="74" s="1"/>
  <c r="BU104" i="74" s="1"/>
  <c r="BZ104" i="74" s="1"/>
  <c r="W106" i="74"/>
  <c r="U120" i="65" s="1"/>
  <c r="W104" i="74"/>
  <c r="U118" i="65" s="1"/>
  <c r="CA102" i="74"/>
  <c r="BP79" i="76"/>
  <c r="BQ79" i="76" s="1"/>
  <c r="BP31" i="76"/>
  <c r="BQ31" i="76" s="1"/>
  <c r="W105" i="74"/>
  <c r="U119" i="65" s="1"/>
  <c r="CA103" i="74"/>
  <c r="BP37" i="76"/>
  <c r="BQ37" i="76" s="1"/>
  <c r="W101" i="74"/>
  <c r="U115" i="65" s="1"/>
  <c r="CA99" i="74"/>
  <c r="BP91" i="76"/>
  <c r="BQ91" i="76" s="1"/>
  <c r="W96" i="74"/>
  <c r="U110" i="65" s="1"/>
  <c r="CA94" i="74"/>
  <c r="BP71" i="76"/>
  <c r="BQ71" i="76" s="1"/>
  <c r="BP100" i="76"/>
  <c r="BQ100" i="76" s="1"/>
  <c r="W99" i="74"/>
  <c r="U113" i="65" s="1"/>
  <c r="CA97" i="74"/>
  <c r="BP56" i="76"/>
  <c r="BQ56" i="76" s="1"/>
  <c r="W92" i="74"/>
  <c r="U106" i="65" s="1"/>
  <c r="CA90" i="74"/>
  <c r="BP24" i="76"/>
  <c r="BQ24" i="76" s="1"/>
  <c r="BP87" i="76"/>
  <c r="BQ87" i="76" s="1"/>
  <c r="BP63" i="76"/>
  <c r="BQ63" i="76" s="1"/>
  <c r="W93" i="74"/>
  <c r="U107" i="65" s="1"/>
  <c r="CA91" i="74"/>
  <c r="W97" i="74"/>
  <c r="U111" i="65" s="1"/>
  <c r="CA95" i="74"/>
  <c r="W13" i="74"/>
  <c r="U27" i="65" s="1"/>
  <c r="CA11" i="74"/>
  <c r="W33" i="74"/>
  <c r="U47" i="65" s="1"/>
  <c r="CA31" i="74"/>
  <c r="W22" i="74"/>
  <c r="U36" i="65" s="1"/>
  <c r="CA20" i="74"/>
  <c r="W17" i="74"/>
  <c r="U31" i="65" s="1"/>
  <c r="CA15" i="74"/>
  <c r="W23" i="74"/>
  <c r="U37" i="65" s="1"/>
  <c r="CA21" i="74"/>
  <c r="W20" i="74"/>
  <c r="U34" i="65" s="1"/>
  <c r="CA18" i="74"/>
  <c r="W21" i="74"/>
  <c r="U35" i="65" s="1"/>
  <c r="CA19" i="74"/>
  <c r="W28" i="74"/>
  <c r="U42" i="65" s="1"/>
  <c r="CA26" i="74"/>
  <c r="W34" i="74"/>
  <c r="U48" i="65" s="1"/>
  <c r="CA32" i="74"/>
  <c r="W14" i="74"/>
  <c r="U28" i="65" s="1"/>
  <c r="CA12" i="74"/>
  <c r="W18" i="74"/>
  <c r="U32" i="65" s="1"/>
  <c r="CA16" i="74"/>
  <c r="W11" i="74"/>
  <c r="U25" i="65" s="1"/>
  <c r="CA9" i="74"/>
  <c r="W35" i="74"/>
  <c r="U49" i="65" s="1"/>
  <c r="CA33" i="74"/>
  <c r="W12" i="74"/>
  <c r="U26" i="65" s="1"/>
  <c r="CA10" i="74"/>
  <c r="W24" i="74"/>
  <c r="U38" i="65" s="1"/>
  <c r="CA22" i="74"/>
  <c r="W9" i="74"/>
  <c r="U23" i="65" s="1"/>
  <c r="CA7" i="74"/>
  <c r="W30" i="74"/>
  <c r="U44" i="65" s="1"/>
  <c r="CA28" i="74"/>
  <c r="W32" i="74"/>
  <c r="U46" i="65" s="1"/>
  <c r="CA30" i="74"/>
  <c r="W25" i="74"/>
  <c r="U39" i="65" s="1"/>
  <c r="CA23" i="74"/>
  <c r="W26" i="74"/>
  <c r="U40" i="65" s="1"/>
  <c r="CA24" i="74"/>
  <c r="W19" i="74"/>
  <c r="U33" i="65" s="1"/>
  <c r="CA17" i="74"/>
  <c r="W8" i="74"/>
  <c r="U22" i="65" s="1"/>
  <c r="CA6" i="74"/>
  <c r="W31" i="74"/>
  <c r="U45" i="65" s="1"/>
  <c r="CA29" i="74"/>
  <c r="W10" i="74"/>
  <c r="U24" i="65" s="1"/>
  <c r="CA8" i="74"/>
  <c r="W15" i="74"/>
  <c r="U29" i="65" s="1"/>
  <c r="CA13" i="74"/>
  <c r="W16" i="74"/>
  <c r="U30" i="65" s="1"/>
  <c r="CA14" i="74"/>
  <c r="W27" i="74"/>
  <c r="U41" i="65" s="1"/>
  <c r="CA25" i="74"/>
  <c r="W7" i="74"/>
  <c r="U21" i="65" s="1"/>
  <c r="CA5" i="74"/>
  <c r="BP36" i="76"/>
  <c r="BQ36" i="76" s="1"/>
  <c r="BP32" i="76"/>
  <c r="BQ32" i="76" s="1"/>
  <c r="BP33" i="76"/>
  <c r="BQ33" i="76" s="1"/>
  <c r="BP51" i="76"/>
  <c r="BQ51" i="76" s="1"/>
  <c r="BP61" i="76"/>
  <c r="BQ61" i="76" s="1"/>
  <c r="BP62" i="76"/>
  <c r="BQ62" i="76" s="1"/>
  <c r="BP81" i="76"/>
  <c r="BQ81" i="76" s="1"/>
  <c r="BP65" i="76"/>
  <c r="BQ65" i="76" s="1"/>
  <c r="BP66" i="76"/>
  <c r="BQ66" i="76" s="1"/>
  <c r="BP49" i="76"/>
  <c r="BQ49" i="76" s="1"/>
  <c r="BP53" i="76"/>
  <c r="BQ53" i="76" s="1"/>
  <c r="BP55" i="76"/>
  <c r="BQ55" i="76" s="1"/>
  <c r="W64" i="74"/>
  <c r="U78" i="65" s="1"/>
  <c r="CA62" i="74"/>
  <c r="CA60" i="74"/>
  <c r="W62" i="74"/>
  <c r="U76" i="65" s="1"/>
  <c r="W38" i="74"/>
  <c r="U52" i="65" s="1"/>
  <c r="CA36" i="74"/>
  <c r="BP26" i="76"/>
  <c r="BQ26" i="76" s="1"/>
  <c r="CA76" i="74"/>
  <c r="W78" i="74"/>
  <c r="U92" i="65" s="1"/>
  <c r="W90" i="74"/>
  <c r="U104" i="65" s="1"/>
  <c r="CA88" i="74"/>
  <c r="W74" i="74"/>
  <c r="U88" i="65" s="1"/>
  <c r="CA72" i="74"/>
  <c r="BP30" i="76"/>
  <c r="BQ30" i="76" s="1"/>
  <c r="CA51" i="74"/>
  <c r="W53" i="74"/>
  <c r="U67" i="65" s="1"/>
  <c r="W43" i="74"/>
  <c r="U57" i="65" s="1"/>
  <c r="CA41" i="74"/>
  <c r="W61" i="74"/>
  <c r="U75" i="65" s="1"/>
  <c r="CA59" i="74"/>
  <c r="BP40" i="76"/>
  <c r="BQ40" i="76" s="1"/>
  <c r="CA86" i="74"/>
  <c r="W88" i="74"/>
  <c r="U102" i="65" s="1"/>
  <c r="CA81" i="74"/>
  <c r="W83" i="74"/>
  <c r="U97" i="65" s="1"/>
  <c r="W86" i="74"/>
  <c r="U100" i="65" s="1"/>
  <c r="CA84" i="74"/>
  <c r="W81" i="74"/>
  <c r="U95" i="65" s="1"/>
  <c r="CA79" i="74"/>
  <c r="BP86" i="76"/>
  <c r="BQ86" i="76" s="1"/>
  <c r="BP27" i="76"/>
  <c r="BQ27" i="76" s="1"/>
  <c r="BP28" i="76"/>
  <c r="BQ28" i="76" s="1"/>
  <c r="W65" i="74"/>
  <c r="U79" i="65" s="1"/>
  <c r="CA63" i="74"/>
  <c r="CA49" i="74"/>
  <c r="W51" i="74"/>
  <c r="U65" i="65" s="1"/>
  <c r="W67" i="74"/>
  <c r="U81" i="65" s="1"/>
  <c r="CA65" i="74"/>
  <c r="W49" i="74"/>
  <c r="U63" i="65" s="1"/>
  <c r="CA47" i="74"/>
  <c r="W59" i="74"/>
  <c r="U73" i="65" s="1"/>
  <c r="CA57" i="74"/>
  <c r="W63" i="74"/>
  <c r="U77" i="65" s="1"/>
  <c r="CA61" i="74"/>
  <c r="W45" i="74"/>
  <c r="U59" i="65" s="1"/>
  <c r="CA43" i="74"/>
  <c r="CA71" i="74"/>
  <c r="W73" i="74"/>
  <c r="U87" i="65" s="1"/>
  <c r="BP73" i="76"/>
  <c r="BQ73" i="76" s="1"/>
  <c r="BP78" i="76"/>
  <c r="BQ78" i="76" s="1"/>
  <c r="W66" i="74"/>
  <c r="U80" i="65" s="1"/>
  <c r="CA64" i="74"/>
  <c r="W36" i="74"/>
  <c r="U50" i="65" s="1"/>
  <c r="CA34" i="74"/>
  <c r="BP58" i="76"/>
  <c r="BQ58" i="76" s="1"/>
  <c r="BP59" i="76"/>
  <c r="BQ59" i="76" s="1"/>
  <c r="BP76" i="76"/>
  <c r="BQ76" i="76" s="1"/>
  <c r="W80" i="74"/>
  <c r="U94" i="65" s="1"/>
  <c r="CA78" i="74"/>
  <c r="W89" i="74"/>
  <c r="U103" i="65" s="1"/>
  <c r="CA87" i="74"/>
  <c r="W60" i="74"/>
  <c r="U74" i="65" s="1"/>
  <c r="CA58" i="74"/>
  <c r="BP42" i="76"/>
  <c r="BQ42" i="76" s="1"/>
  <c r="BP69" i="76"/>
  <c r="BQ69" i="76" s="1"/>
  <c r="W40" i="74"/>
  <c r="U54" i="65" s="1"/>
  <c r="CA38" i="74"/>
  <c r="W42" i="74"/>
  <c r="U56" i="65" s="1"/>
  <c r="CA40" i="74"/>
  <c r="W77" i="74"/>
  <c r="U91" i="65" s="1"/>
  <c r="CA75" i="74"/>
  <c r="W85" i="74"/>
  <c r="U99" i="65" s="1"/>
  <c r="CA83" i="74"/>
  <c r="W75" i="74"/>
  <c r="U89" i="65" s="1"/>
  <c r="CA73" i="74"/>
  <c r="W52" i="74"/>
  <c r="U66" i="65" s="1"/>
  <c r="CA50" i="74"/>
  <c r="W46" i="74"/>
  <c r="U60" i="65" s="1"/>
  <c r="CA44" i="74"/>
  <c r="W71" i="74"/>
  <c r="U85" i="65" s="1"/>
  <c r="CA69" i="74"/>
  <c r="BP74" i="76"/>
  <c r="BQ74" i="76" s="1"/>
  <c r="BP75" i="76"/>
  <c r="BQ75" i="76" s="1"/>
  <c r="BP45" i="76"/>
  <c r="BQ45" i="76" s="1"/>
  <c r="W70" i="74"/>
  <c r="U84" i="65" s="1"/>
  <c r="CA68" i="74"/>
  <c r="BP35" i="76"/>
  <c r="BQ35" i="76" s="1"/>
  <c r="W76" i="74"/>
  <c r="U90" i="65" s="1"/>
  <c r="CA74" i="74"/>
  <c r="W39" i="74"/>
  <c r="U53" i="65" s="1"/>
  <c r="CA37" i="74"/>
  <c r="W72" i="74"/>
  <c r="U86" i="65" s="1"/>
  <c r="CA70" i="74"/>
  <c r="W56" i="74"/>
  <c r="U70" i="65" s="1"/>
  <c r="CA54" i="74"/>
  <c r="BP83" i="76"/>
  <c r="BQ83" i="76" s="1"/>
  <c r="BP46" i="76"/>
  <c r="BQ46" i="76" s="1"/>
  <c r="BP47" i="76"/>
  <c r="BQ47" i="76" s="1"/>
  <c r="CA42" i="74"/>
  <c r="W44" i="74"/>
  <c r="U58" i="65" s="1"/>
  <c r="W79" i="74"/>
  <c r="U93" i="65" s="1"/>
  <c r="CA77" i="74"/>
  <c r="W82" i="74"/>
  <c r="U96" i="65" s="1"/>
  <c r="CA80" i="74"/>
  <c r="W69" i="74"/>
  <c r="U83" i="65" s="1"/>
  <c r="CA67" i="74"/>
  <c r="W91" i="74"/>
  <c r="U105" i="65" s="1"/>
  <c r="CA89" i="74"/>
  <c r="W68" i="74"/>
  <c r="U82" i="65" s="1"/>
  <c r="CA66" i="74"/>
  <c r="CA82" i="74"/>
  <c r="W84" i="74"/>
  <c r="U98" i="65" s="1"/>
  <c r="BP44" i="76"/>
  <c r="BQ44" i="76" s="1"/>
  <c r="CA48" i="74"/>
  <c r="W50" i="74"/>
  <c r="U64" i="65" s="1"/>
  <c r="W55" i="74"/>
  <c r="U69" i="65" s="1"/>
  <c r="CA53" i="74"/>
  <c r="W87" i="74"/>
  <c r="U101" i="65" s="1"/>
  <c r="CA85" i="74"/>
  <c r="W47" i="74"/>
  <c r="U61" i="65" s="1"/>
  <c r="CA45" i="74"/>
  <c r="W48" i="74"/>
  <c r="U62" i="65" s="1"/>
  <c r="CA46" i="74"/>
  <c r="W37" i="74"/>
  <c r="U51" i="65" s="1"/>
  <c r="CA35" i="74"/>
  <c r="BP68" i="76"/>
  <c r="BQ68" i="76" s="1"/>
  <c r="W54" i="74"/>
  <c r="U68" i="65" s="1"/>
  <c r="CA52" i="74"/>
  <c r="W41" i="74"/>
  <c r="U55" i="65" s="1"/>
  <c r="CA39" i="74"/>
  <c r="W57" i="74"/>
  <c r="U71" i="65" s="1"/>
  <c r="CA55" i="74"/>
  <c r="W58" i="74"/>
  <c r="U72" i="65" s="1"/>
  <c r="CA56" i="74"/>
  <c r="BP25" i="76"/>
  <c r="BQ25" i="76" s="1"/>
  <c r="S4" i="75"/>
  <c r="W4" i="74" s="1"/>
  <c r="U18" i="65" s="1"/>
  <c r="V4" i="74"/>
  <c r="T18" i="65" s="1"/>
  <c r="R4" i="74"/>
  <c r="W29" i="74"/>
  <c r="U43" i="65" s="1"/>
  <c r="CA27" i="74"/>
  <c r="S6" i="75"/>
  <c r="V6" i="74"/>
  <c r="T20" i="65" s="1"/>
  <c r="R6" i="74"/>
  <c r="R5" i="74"/>
  <c r="S5" i="75"/>
  <c r="W5" i="74" s="1"/>
  <c r="U19" i="65" s="1"/>
  <c r="V5" i="74"/>
  <c r="T19" i="65" s="1"/>
  <c r="AF15" i="64"/>
  <c r="AH15" i="64" s="1"/>
  <c r="BT6" i="74" l="1"/>
  <c r="BU6" i="74" s="1"/>
  <c r="BT8" i="74"/>
  <c r="BU8" i="74" s="1"/>
  <c r="BT5" i="74"/>
  <c r="BU5" i="74" s="1"/>
  <c r="BT37" i="74"/>
  <c r="BU37" i="74" s="1"/>
  <c r="BT7" i="74"/>
  <c r="BU7" i="74" s="1"/>
  <c r="BT27" i="74"/>
  <c r="BU27" i="74" s="1"/>
  <c r="BT61" i="74"/>
  <c r="BU61" i="74" s="1"/>
  <c r="BT97" i="74"/>
  <c r="BU97" i="74" s="1"/>
  <c r="BT46" i="74"/>
  <c r="BU46" i="74" s="1"/>
  <c r="BT17" i="74"/>
  <c r="BU17" i="74" s="1"/>
  <c r="BT25" i="74"/>
  <c r="BU25" i="74" s="1"/>
  <c r="BT10" i="74"/>
  <c r="BU10" i="74" s="1"/>
  <c r="BT13" i="74"/>
  <c r="BU13" i="74" s="1"/>
  <c r="BT89" i="74"/>
  <c r="BU89" i="74" s="1"/>
  <c r="BT35" i="74"/>
  <c r="BU35" i="74" s="1"/>
  <c r="BT40" i="74"/>
  <c r="BU40" i="74" s="1"/>
  <c r="BT99" i="74"/>
  <c r="BU99" i="74" s="1"/>
  <c r="BT85" i="74"/>
  <c r="BU85" i="74" s="1"/>
  <c r="BP116" i="76"/>
  <c r="BT15" i="74"/>
  <c r="BU15" i="74" s="1"/>
  <c r="BT92" i="74"/>
  <c r="BU92" i="74" s="1"/>
  <c r="BT12" i="74"/>
  <c r="BU12" i="74" s="1"/>
  <c r="BT22" i="74"/>
  <c r="BU22" i="74" s="1"/>
  <c r="BT32" i="74"/>
  <c r="BU32" i="74" s="1"/>
  <c r="BQ34" i="76"/>
  <c r="BQ117" i="76" s="1"/>
  <c r="BP117" i="76"/>
  <c r="BT11" i="74"/>
  <c r="BU11" i="74" s="1"/>
  <c r="BT9" i="74"/>
  <c r="BU9" i="74" s="1"/>
  <c r="BT91" i="74"/>
  <c r="BU91" i="74" s="1"/>
  <c r="BV79" i="76"/>
  <c r="BV91" i="76"/>
  <c r="BT71" i="74"/>
  <c r="BU71" i="74" s="1"/>
  <c r="BV87" i="76"/>
  <c r="BV86" i="76"/>
  <c r="BT66" i="74"/>
  <c r="BU66" i="74" s="1"/>
  <c r="BV99" i="76"/>
  <c r="BT82" i="74"/>
  <c r="BU82" i="74" s="1"/>
  <c r="BV92" i="76"/>
  <c r="BT30" i="74"/>
  <c r="BU30" i="74" s="1"/>
  <c r="BT42" i="74"/>
  <c r="BU42" i="74" s="1"/>
  <c r="BT102" i="74"/>
  <c r="BU102" i="74" s="1"/>
  <c r="BT96" i="74"/>
  <c r="BU96" i="74" s="1"/>
  <c r="BV77" i="76"/>
  <c r="BT83" i="74"/>
  <c r="BU83" i="74" s="1"/>
  <c r="BT20" i="74"/>
  <c r="BU20" i="74" s="1"/>
  <c r="BT90" i="74"/>
  <c r="BU90" i="74" s="1"/>
  <c r="BT80" i="74"/>
  <c r="BU80" i="74" s="1"/>
  <c r="BT44" i="74"/>
  <c r="BU44" i="74" s="1"/>
  <c r="BT38" i="74"/>
  <c r="BU38" i="74" s="1"/>
  <c r="BT50" i="74"/>
  <c r="BU50" i="74" s="1"/>
  <c r="BT64" i="74"/>
  <c r="BU64" i="74" s="1"/>
  <c r="BT18" i="74"/>
  <c r="BU18" i="74" s="1"/>
  <c r="BV100" i="76"/>
  <c r="BT39" i="74"/>
  <c r="BU39" i="74" s="1"/>
  <c r="BT86" i="74"/>
  <c r="BU86" i="74" s="1"/>
  <c r="BV82" i="76"/>
  <c r="BV98" i="76"/>
  <c r="BT53" i="74"/>
  <c r="BU53" i="74" s="1"/>
  <c r="BV48" i="76"/>
  <c r="BV94" i="76"/>
  <c r="BV93" i="76"/>
  <c r="BT70" i="74"/>
  <c r="BU70" i="74" s="1"/>
  <c r="BT52" i="74"/>
  <c r="BU52" i="74" s="1"/>
  <c r="BT59" i="74"/>
  <c r="BU59" i="74" s="1"/>
  <c r="BT101" i="74"/>
  <c r="BU101" i="74" s="1"/>
  <c r="BT14" i="74"/>
  <c r="BU14" i="74" s="1"/>
  <c r="BT24" i="74"/>
  <c r="BU24" i="74" s="1"/>
  <c r="BT26" i="74"/>
  <c r="BU26" i="74" s="1"/>
  <c r="BT31" i="74"/>
  <c r="BU31" i="74" s="1"/>
  <c r="BV101" i="76"/>
  <c r="BV68" i="76"/>
  <c r="BT48" i="74"/>
  <c r="BU48" i="74" s="1"/>
  <c r="BT77" i="74"/>
  <c r="BU77" i="74" s="1"/>
  <c r="BT34" i="74"/>
  <c r="BU34" i="74" s="1"/>
  <c r="BT57" i="74"/>
  <c r="BU57" i="74" s="1"/>
  <c r="BV80" i="76"/>
  <c r="BT103" i="74"/>
  <c r="BU103" i="74" s="1"/>
  <c r="BZ103" i="74" s="1"/>
  <c r="BV89" i="76"/>
  <c r="BT74" i="74"/>
  <c r="BU74" i="74" s="1"/>
  <c r="BV69" i="76"/>
  <c r="BV50" i="76"/>
  <c r="BT23" i="74"/>
  <c r="BU23" i="74" s="1"/>
  <c r="BT33" i="74"/>
  <c r="BU33" i="74" s="1"/>
  <c r="BT19" i="74"/>
  <c r="BU19" i="74" s="1"/>
  <c r="BV90" i="76"/>
  <c r="BT93" i="74"/>
  <c r="BU93" i="74" s="1"/>
  <c r="BV88" i="76"/>
  <c r="BV95" i="76"/>
  <c r="BT95" i="74"/>
  <c r="BU95" i="74" s="1"/>
  <c r="BV97" i="76"/>
  <c r="BT45" i="74"/>
  <c r="BU45" i="74" s="1"/>
  <c r="BT87" i="74"/>
  <c r="BU87" i="74" s="1"/>
  <c r="BV72" i="76"/>
  <c r="BT29" i="74"/>
  <c r="BU29" i="74" s="1"/>
  <c r="BT28" i="74"/>
  <c r="BU28" i="74" s="1"/>
  <c r="BT16" i="74"/>
  <c r="BU16" i="74" s="1"/>
  <c r="BT21" i="74"/>
  <c r="BU21" i="74" s="1"/>
  <c r="BV96" i="76"/>
  <c r="BT94" i="74"/>
  <c r="BU94" i="74" s="1"/>
  <c r="BT98" i="74"/>
  <c r="BU98" i="74" s="1"/>
  <c r="BT100" i="74"/>
  <c r="BU100" i="74" s="1"/>
  <c r="W6" i="74"/>
  <c r="U20" i="65" s="1"/>
  <c r="CA4" i="74"/>
  <c r="BT4" i="74" s="1"/>
  <c r="BU4" i="74" s="1"/>
  <c r="BT69" i="74"/>
  <c r="BU69" i="74" s="1"/>
  <c r="BV76" i="76"/>
  <c r="BT63" i="74"/>
  <c r="BU63" i="74" s="1"/>
  <c r="BT88" i="74"/>
  <c r="BU88" i="74" s="1"/>
  <c r="BV62" i="76"/>
  <c r="BV59" i="76"/>
  <c r="BV55" i="76"/>
  <c r="BV51" i="76"/>
  <c r="BV58" i="76"/>
  <c r="BV40" i="76"/>
  <c r="BV53" i="76"/>
  <c r="BV42" i="76"/>
  <c r="BT47" i="74"/>
  <c r="BU47" i="74" s="1"/>
  <c r="BT79" i="74"/>
  <c r="BU79" i="74" s="1"/>
  <c r="BT41" i="74"/>
  <c r="BU41" i="74" s="1"/>
  <c r="BT36" i="74"/>
  <c r="BU36" i="74" s="1"/>
  <c r="BV49" i="76"/>
  <c r="BV37" i="76"/>
  <c r="BV61" i="76"/>
  <c r="BV35" i="76"/>
  <c r="BT73" i="74"/>
  <c r="BU73" i="74" s="1"/>
  <c r="BT58" i="74"/>
  <c r="BU58" i="74" s="1"/>
  <c r="BV67" i="76"/>
  <c r="BV41" i="76"/>
  <c r="BT76" i="74"/>
  <c r="BU76" i="74" s="1"/>
  <c r="BV47" i="76"/>
  <c r="BT68" i="74"/>
  <c r="BU68" i="74" s="1"/>
  <c r="BV78" i="76"/>
  <c r="BT65" i="74"/>
  <c r="BU65" i="74" s="1"/>
  <c r="BT84" i="74"/>
  <c r="BU84" i="74" s="1"/>
  <c r="BV66" i="76"/>
  <c r="BV38" i="76"/>
  <c r="BV85" i="76"/>
  <c r="BV71" i="76"/>
  <c r="BV46" i="76"/>
  <c r="BV73" i="76"/>
  <c r="BT51" i="74"/>
  <c r="BU51" i="74" s="1"/>
  <c r="BV65" i="76"/>
  <c r="BV60" i="76"/>
  <c r="BV36" i="76"/>
  <c r="BV83" i="76"/>
  <c r="BV45" i="76"/>
  <c r="BV64" i="76"/>
  <c r="BT60" i="74"/>
  <c r="BU60" i="74" s="1"/>
  <c r="BV84" i="76"/>
  <c r="BV63" i="76"/>
  <c r="BT56" i="74"/>
  <c r="BU56" i="74" s="1"/>
  <c r="BT54" i="74"/>
  <c r="BU54" i="74" s="1"/>
  <c r="BV75" i="76"/>
  <c r="BT75" i="74"/>
  <c r="BU75" i="74" s="1"/>
  <c r="BT78" i="74"/>
  <c r="BU78" i="74" s="1"/>
  <c r="BT72" i="74"/>
  <c r="BU72" i="74" s="1"/>
  <c r="BV57" i="76"/>
  <c r="BV39" i="76"/>
  <c r="BV70" i="76"/>
  <c r="BV52" i="76"/>
  <c r="BV44" i="76"/>
  <c r="BV43" i="76"/>
  <c r="BT55" i="74"/>
  <c r="BU55" i="74" s="1"/>
  <c r="BT67" i="74"/>
  <c r="BU67" i="74" s="1"/>
  <c r="BV74" i="76"/>
  <c r="BT43" i="74"/>
  <c r="BU43" i="74" s="1"/>
  <c r="BT49" i="74"/>
  <c r="BU49" i="74" s="1"/>
  <c r="BT81" i="74"/>
  <c r="BU81" i="74" s="1"/>
  <c r="BT62" i="74"/>
  <c r="BU62" i="74" s="1"/>
  <c r="BV81" i="76"/>
  <c r="BV56" i="76"/>
  <c r="BV54" i="76"/>
  <c r="P19" i="65"/>
  <c r="Z5" i="74"/>
  <c r="S5" i="74"/>
  <c r="Q19" i="65" s="1"/>
  <c r="P18" i="65"/>
  <c r="Z4" i="74"/>
  <c r="S4" i="74"/>
  <c r="Q18" i="65" s="1"/>
  <c r="P20" i="65"/>
  <c r="Z6" i="74"/>
  <c r="S6" i="74"/>
  <c r="Q20" i="65" s="1"/>
  <c r="BQ116" i="76"/>
  <c r="AF16" i="64"/>
  <c r="AH16" i="64" s="1"/>
  <c r="BV9" i="76" l="1"/>
  <c r="BV11" i="76"/>
  <c r="BV6" i="76"/>
  <c r="BV14" i="76"/>
  <c r="BV23" i="76"/>
  <c r="BV24" i="76"/>
  <c r="BV28" i="76"/>
  <c r="BV4" i="76"/>
  <c r="BV19" i="76"/>
  <c r="BV17" i="76"/>
  <c r="BV16" i="76"/>
  <c r="BV18" i="76"/>
  <c r="BV20" i="76"/>
  <c r="BV22" i="76"/>
  <c r="BV32" i="76"/>
  <c r="BV12" i="76"/>
  <c r="BV30" i="76"/>
  <c r="BV34" i="76"/>
  <c r="BV13" i="76"/>
  <c r="BV26" i="76"/>
  <c r="BV8" i="76"/>
  <c r="BV15" i="76"/>
  <c r="BV29" i="76"/>
  <c r="BV27" i="76"/>
  <c r="BV7" i="76"/>
  <c r="BV10" i="76"/>
  <c r="BV25" i="76"/>
  <c r="BV21" i="76"/>
  <c r="BV5" i="76"/>
  <c r="BV33" i="76"/>
  <c r="BV31" i="76"/>
  <c r="BT117" i="74"/>
  <c r="BZ100" i="74"/>
  <c r="BT116" i="74"/>
  <c r="BZ80" i="74"/>
  <c r="BZ84" i="74"/>
  <c r="BZ73" i="74"/>
  <c r="BZ95" i="74"/>
  <c r="BZ99" i="74"/>
  <c r="BZ67" i="74"/>
  <c r="BZ98" i="74"/>
  <c r="BZ101" i="74"/>
  <c r="BZ94" i="74"/>
  <c r="BZ93" i="74"/>
  <c r="BZ90" i="74"/>
  <c r="BZ92" i="74"/>
  <c r="BZ89" i="74"/>
  <c r="BZ102" i="74"/>
  <c r="BZ97" i="74"/>
  <c r="BZ59" i="74"/>
  <c r="BZ79" i="74"/>
  <c r="BZ88" i="74"/>
  <c r="BZ96" i="74"/>
  <c r="BZ31" i="74"/>
  <c r="BZ91" i="74"/>
  <c r="BZ49" i="74"/>
  <c r="BZ33" i="74"/>
  <c r="BZ54" i="74"/>
  <c r="BZ74" i="74"/>
  <c r="BZ43" i="74"/>
  <c r="BZ29" i="74"/>
  <c r="BZ85" i="74"/>
  <c r="BZ36" i="74"/>
  <c r="BZ52" i="74"/>
  <c r="BZ56" i="74"/>
  <c r="BZ58" i="74"/>
  <c r="BZ41" i="74"/>
  <c r="BZ38" i="74"/>
  <c r="BZ55" i="74"/>
  <c r="BZ51" i="74"/>
  <c r="BZ65" i="74"/>
  <c r="BZ42" i="74"/>
  <c r="BZ64" i="74"/>
  <c r="BZ35" i="74"/>
  <c r="BZ63" i="74"/>
  <c r="BZ47" i="74"/>
  <c r="BZ82" i="74"/>
  <c r="BZ77" i="74"/>
  <c r="BZ72" i="74"/>
  <c r="BZ60" i="74"/>
  <c r="BZ87" i="74"/>
  <c r="BZ68" i="74"/>
  <c r="BZ46" i="74"/>
  <c r="BZ40" i="74"/>
  <c r="BZ48" i="74"/>
  <c r="BZ37" i="74"/>
  <c r="BZ28" i="74"/>
  <c r="BZ71" i="74"/>
  <c r="BZ83" i="74"/>
  <c r="BZ50" i="74"/>
  <c r="BZ69" i="74"/>
  <c r="BZ30" i="74"/>
  <c r="BZ78" i="74"/>
  <c r="BZ66" i="74"/>
  <c r="BZ57" i="74"/>
  <c r="BZ86" i="74"/>
  <c r="BZ70" i="74"/>
  <c r="BZ44" i="74"/>
  <c r="BZ62" i="74"/>
  <c r="BZ32" i="74"/>
  <c r="BZ75" i="74"/>
  <c r="BZ45" i="74"/>
  <c r="BZ76" i="74"/>
  <c r="BZ61" i="74"/>
  <c r="BZ53" i="74"/>
  <c r="BZ39" i="74"/>
  <c r="BZ81" i="74"/>
  <c r="BZ34" i="74"/>
  <c r="BZ11" i="74"/>
  <c r="BZ15" i="74"/>
  <c r="BU116" i="74"/>
  <c r="BZ17" i="74"/>
  <c r="BZ24" i="74"/>
  <c r="BZ14" i="74"/>
  <c r="BZ27" i="74"/>
  <c r="BZ21" i="74"/>
  <c r="BZ20" i="74"/>
  <c r="BZ12" i="74"/>
  <c r="BZ18" i="74"/>
  <c r="BZ22" i="74"/>
  <c r="BZ23" i="74"/>
  <c r="BZ13" i="74"/>
  <c r="BZ5" i="74"/>
  <c r="BZ19" i="74"/>
  <c r="BZ26" i="74"/>
  <c r="BZ10" i="74"/>
  <c r="BZ4" i="74"/>
  <c r="BZ6" i="74"/>
  <c r="BU117" i="74"/>
  <c r="BZ8" i="74"/>
  <c r="BZ16" i="74"/>
  <c r="BZ25" i="74"/>
  <c r="BZ7" i="74"/>
  <c r="BZ9" i="74"/>
  <c r="AF17" i="64"/>
  <c r="AH17" i="64" s="1"/>
  <c r="BV116" i="76" l="1"/>
  <c r="BV117" i="76"/>
  <c r="CC10" i="76" s="1"/>
  <c r="BZ117" i="74"/>
  <c r="CE96" i="74" s="1"/>
  <c r="BZ116" i="74"/>
  <c r="AF18" i="64"/>
  <c r="AH18" i="64" s="1"/>
  <c r="CC92" i="76" l="1"/>
  <c r="CC77" i="76"/>
  <c r="CC97" i="76"/>
  <c r="CC100" i="76"/>
  <c r="CC104" i="76"/>
  <c r="CC103" i="76"/>
  <c r="CC57" i="76"/>
  <c r="CC64" i="76"/>
  <c r="CC61" i="76"/>
  <c r="CC88" i="76"/>
  <c r="CC38" i="76"/>
  <c r="CC40" i="76"/>
  <c r="CC74" i="76"/>
  <c r="CC37" i="76"/>
  <c r="CC101" i="76"/>
  <c r="CC102" i="76"/>
  <c r="CC99" i="76"/>
  <c r="CC54" i="76"/>
  <c r="CC82" i="76"/>
  <c r="CC45" i="76"/>
  <c r="CC91" i="76"/>
  <c r="CC75" i="76"/>
  <c r="CC95" i="76"/>
  <c r="CC53" i="76"/>
  <c r="CC51" i="76"/>
  <c r="CC44" i="76"/>
  <c r="CC87" i="76"/>
  <c r="CC86" i="76"/>
  <c r="CC90" i="76"/>
  <c r="CC47" i="76"/>
  <c r="CC42" i="76"/>
  <c r="CC79" i="76"/>
  <c r="CC11" i="76"/>
  <c r="CC36" i="76"/>
  <c r="CC60" i="76"/>
  <c r="CC81" i="76"/>
  <c r="CC23" i="76"/>
  <c r="CC83" i="76"/>
  <c r="CC35" i="76"/>
  <c r="CC65" i="76"/>
  <c r="CC78" i="76"/>
  <c r="CC73" i="76"/>
  <c r="CC84" i="76"/>
  <c r="CC66" i="76"/>
  <c r="CC96" i="76"/>
  <c r="CC80" i="76"/>
  <c r="CC39" i="76"/>
  <c r="CC62" i="76"/>
  <c r="CC56" i="76"/>
  <c r="CC72" i="76"/>
  <c r="CC58" i="76"/>
  <c r="CC17" i="76"/>
  <c r="CC70" i="76"/>
  <c r="CC94" i="76"/>
  <c r="CC55" i="76"/>
  <c r="CC50" i="76"/>
  <c r="CC48" i="76"/>
  <c r="CC98" i="76"/>
  <c r="CC68" i="76"/>
  <c r="CC41" i="76"/>
  <c r="CC43" i="76"/>
  <c r="CC46" i="76"/>
  <c r="CC34" i="76"/>
  <c r="CC49" i="76"/>
  <c r="CC85" i="76"/>
  <c r="CC59" i="76"/>
  <c r="CC22" i="76"/>
  <c r="CC26" i="76"/>
  <c r="CC31" i="76"/>
  <c r="CC30" i="76"/>
  <c r="CC28" i="76"/>
  <c r="CC33" i="76"/>
  <c r="CC6" i="76"/>
  <c r="CC20" i="76"/>
  <c r="CC32" i="76"/>
  <c r="CC8" i="76"/>
  <c r="CC15" i="76"/>
  <c r="CC16" i="76"/>
  <c r="K36" i="76"/>
  <c r="K43" i="76" s="1"/>
  <c r="CC7" i="76"/>
  <c r="CC27" i="76"/>
  <c r="CC9" i="76"/>
  <c r="CC29" i="76"/>
  <c r="CC14" i="76"/>
  <c r="CC13" i="76"/>
  <c r="CC5" i="76"/>
  <c r="CC21" i="76"/>
  <c r="CC12" i="76"/>
  <c r="CC24" i="76"/>
  <c r="CC18" i="76"/>
  <c r="CC69" i="76"/>
  <c r="CC67" i="76"/>
  <c r="CC4" i="76"/>
  <c r="CC25" i="76"/>
  <c r="CC52" i="76"/>
  <c r="CC89" i="76"/>
  <c r="CC19" i="76"/>
  <c r="CC76" i="76"/>
  <c r="CC63" i="76"/>
  <c r="CC71" i="76"/>
  <c r="CC93" i="76"/>
  <c r="CE44" i="74"/>
  <c r="CE78" i="74"/>
  <c r="CE71" i="74"/>
  <c r="CE93" i="74"/>
  <c r="CE32" i="74"/>
  <c r="CE49" i="74"/>
  <c r="CE97" i="74"/>
  <c r="CE94" i="74"/>
  <c r="CE102" i="74"/>
  <c r="CE72" i="74"/>
  <c r="CE36" i="74"/>
  <c r="CE104" i="74"/>
  <c r="CE100" i="74"/>
  <c r="CE103" i="74"/>
  <c r="CE98" i="74"/>
  <c r="CE95" i="74"/>
  <c r="CE92" i="74"/>
  <c r="CE53" i="74"/>
  <c r="CE68" i="74"/>
  <c r="CE90" i="74"/>
  <c r="CE99" i="74"/>
  <c r="CE63" i="74"/>
  <c r="CE66" i="74"/>
  <c r="CE45" i="74"/>
  <c r="CE54" i="74"/>
  <c r="CE69" i="74"/>
  <c r="CE37" i="74"/>
  <c r="CE101" i="74"/>
  <c r="CE91" i="74"/>
  <c r="CE39" i="74"/>
  <c r="CE46" i="74"/>
  <c r="CE43" i="74"/>
  <c r="CE42" i="74"/>
  <c r="CE55" i="74"/>
  <c r="CE57" i="74"/>
  <c r="CE4" i="74"/>
  <c r="CE89" i="74"/>
  <c r="CE59" i="74"/>
  <c r="CE31" i="74"/>
  <c r="CE73" i="74"/>
  <c r="CE80" i="74"/>
  <c r="CE67" i="74"/>
  <c r="CE79" i="74"/>
  <c r="CE84" i="74"/>
  <c r="CE88" i="74"/>
  <c r="CE30" i="74"/>
  <c r="CE64" i="74"/>
  <c r="CE85" i="74"/>
  <c r="CE41" i="74"/>
  <c r="CE83" i="74"/>
  <c r="CE47" i="74"/>
  <c r="CE28" i="74"/>
  <c r="CE48" i="74"/>
  <c r="CE38" i="74"/>
  <c r="CE61" i="74"/>
  <c r="CE40" i="74"/>
  <c r="CE74" i="74"/>
  <c r="CE52" i="74"/>
  <c r="CE60" i="74"/>
  <c r="CE62" i="74"/>
  <c r="CE51" i="74"/>
  <c r="CE70" i="74"/>
  <c r="CE58" i="74"/>
  <c r="CE77" i="74"/>
  <c r="CE29" i="74"/>
  <c r="CE86" i="74"/>
  <c r="CE76" i="74"/>
  <c r="CE56" i="74"/>
  <c r="CE75" i="74"/>
  <c r="CE87" i="74"/>
  <c r="CE35" i="74"/>
  <c r="CE33" i="74"/>
  <c r="CE34" i="74"/>
  <c r="CE82" i="74"/>
  <c r="CE50" i="74"/>
  <c r="CE65" i="74"/>
  <c r="CE81" i="74"/>
  <c r="CE11" i="74"/>
  <c r="CE8" i="74"/>
  <c r="CE23" i="74"/>
  <c r="CE7" i="74"/>
  <c r="CE15" i="74"/>
  <c r="CE27" i="74"/>
  <c r="CE5" i="74"/>
  <c r="CE9" i="74"/>
  <c r="CE24" i="74"/>
  <c r="CE22" i="74"/>
  <c r="K36" i="74"/>
  <c r="CE6" i="74"/>
  <c r="CE20" i="74"/>
  <c r="CE14" i="74"/>
  <c r="CE25" i="74"/>
  <c r="CE17" i="74"/>
  <c r="CE21" i="74"/>
  <c r="CE13" i="74"/>
  <c r="CE18" i="74"/>
  <c r="CE16" i="74"/>
  <c r="CE26" i="74"/>
  <c r="CE10" i="74"/>
  <c r="CE19" i="74"/>
  <c r="CE12" i="74"/>
  <c r="AF19" i="64"/>
  <c r="AH19" i="64" s="1"/>
  <c r="K40" i="76" l="1"/>
  <c r="K39" i="76"/>
  <c r="K51" i="76"/>
  <c r="K51" i="74"/>
  <c r="K39" i="74"/>
  <c r="K43" i="74"/>
  <c r="AF20" i="64"/>
  <c r="AH20" i="64" s="1"/>
  <c r="K41" i="76" l="1"/>
  <c r="K42" i="76" s="1"/>
  <c r="K44" i="76" s="1"/>
  <c r="K48" i="76" s="1"/>
  <c r="CF85" i="76" s="1"/>
  <c r="AF21" i="64"/>
  <c r="AH21" i="64" s="1"/>
  <c r="K9" i="76" l="1"/>
  <c r="CF22" i="76"/>
  <c r="CF10" i="76"/>
  <c r="CF90" i="76"/>
  <c r="CF13" i="76"/>
  <c r="CF37" i="76"/>
  <c r="CF19" i="76"/>
  <c r="CF17" i="76"/>
  <c r="CF31" i="76"/>
  <c r="CF9" i="76"/>
  <c r="CF69" i="76"/>
  <c r="CF7" i="76"/>
  <c r="CF21" i="76"/>
  <c r="CF11" i="76"/>
  <c r="CF60" i="76"/>
  <c r="CF6" i="76"/>
  <c r="CF4" i="76"/>
  <c r="CF53" i="76"/>
  <c r="CF84" i="76"/>
  <c r="CF89" i="76"/>
  <c r="CF25" i="76"/>
  <c r="CF28" i="76"/>
  <c r="CF8" i="76"/>
  <c r="CF20" i="76"/>
  <c r="CF68" i="76"/>
  <c r="CF65" i="76"/>
  <c r="CF83" i="76"/>
  <c r="CF59" i="76"/>
  <c r="CF67" i="76"/>
  <c r="CF63" i="76"/>
  <c r="CF15" i="76"/>
  <c r="CF51" i="76"/>
  <c r="CF50" i="76"/>
  <c r="CF74" i="76"/>
  <c r="CF34" i="76"/>
  <c r="CF5" i="76"/>
  <c r="CF76" i="76"/>
  <c r="CF81" i="76"/>
  <c r="CF61" i="76"/>
  <c r="CF45" i="76"/>
  <c r="CF46" i="76"/>
  <c r="CF101" i="76"/>
  <c r="CF40" i="76"/>
  <c r="CF43" i="76"/>
  <c r="CF102" i="76"/>
  <c r="CF96" i="76"/>
  <c r="CF52" i="76"/>
  <c r="CF100" i="76"/>
  <c r="CF62" i="76"/>
  <c r="CF97" i="76"/>
  <c r="CF86" i="76"/>
  <c r="CF99" i="76"/>
  <c r="CF54" i="76"/>
  <c r="CF104" i="76"/>
  <c r="CF57" i="76"/>
  <c r="CF103" i="76"/>
  <c r="CF49" i="76"/>
  <c r="CF98" i="76"/>
  <c r="CF56" i="76"/>
  <c r="CF16" i="76"/>
  <c r="CF35" i="76"/>
  <c r="CF39" i="76"/>
  <c r="CF70" i="76"/>
  <c r="CF79" i="76"/>
  <c r="CF73" i="76"/>
  <c r="CF55" i="76"/>
  <c r="CF95" i="76"/>
  <c r="CF91" i="76"/>
  <c r="CF38" i="76"/>
  <c r="CF78" i="76"/>
  <c r="CF29" i="76"/>
  <c r="CF41" i="76"/>
  <c r="CF94" i="76"/>
  <c r="K11" i="76"/>
  <c r="CF48" i="76"/>
  <c r="CF30" i="76"/>
  <c r="CF72" i="76"/>
  <c r="K50" i="76"/>
  <c r="K52" i="76" s="1"/>
  <c r="CF75" i="76"/>
  <c r="CF12" i="76"/>
  <c r="CF14" i="76"/>
  <c r="CF47" i="76"/>
  <c r="CF36" i="76"/>
  <c r="CF33" i="76"/>
  <c r="CF44" i="76"/>
  <c r="CF80" i="76"/>
  <c r="CF92" i="76"/>
  <c r="K41" i="74"/>
  <c r="K42" i="74" s="1"/>
  <c r="K44" i="74" s="1"/>
  <c r="K45" i="74" s="1"/>
  <c r="K47" i="74" s="1"/>
  <c r="CF87" i="76"/>
  <c r="CF26" i="76"/>
  <c r="CF23" i="76"/>
  <c r="CF77" i="76"/>
  <c r="CF66" i="76"/>
  <c r="CF32" i="76"/>
  <c r="CF82" i="76"/>
  <c r="CF71" i="76"/>
  <c r="CF93" i="76"/>
  <c r="K10" i="76"/>
  <c r="CF24" i="76"/>
  <c r="CF27" i="76"/>
  <c r="CF18" i="76"/>
  <c r="CF64" i="76"/>
  <c r="CF58" i="76"/>
  <c r="CF88" i="76"/>
  <c r="CF42" i="76"/>
  <c r="K45" i="76"/>
  <c r="K47" i="76" s="1"/>
  <c r="CG90" i="76" s="1"/>
  <c r="CH90" i="76" s="1"/>
  <c r="Q92" i="76" s="1"/>
  <c r="AF22" i="64"/>
  <c r="AH22" i="64" s="1"/>
  <c r="CG103" i="76" l="1"/>
  <c r="CH103" i="76" s="1"/>
  <c r="Q105" i="76" s="1"/>
  <c r="CG104" i="76"/>
  <c r="CH104" i="76" s="1"/>
  <c r="Q106" i="76" s="1"/>
  <c r="CG99" i="76"/>
  <c r="CH99" i="76" s="1"/>
  <c r="Q101" i="76" s="1"/>
  <c r="CG98" i="76"/>
  <c r="CH98" i="76" s="1"/>
  <c r="Q100" i="76" s="1"/>
  <c r="CG17" i="76"/>
  <c r="CH17" i="76" s="1"/>
  <c r="Q19" i="76" s="1"/>
  <c r="CG63" i="76"/>
  <c r="CH63" i="76" s="1"/>
  <c r="Q65" i="76" s="1"/>
  <c r="CG97" i="76"/>
  <c r="CH97" i="76" s="1"/>
  <c r="Q99" i="76" s="1"/>
  <c r="CG100" i="76"/>
  <c r="CH100" i="76" s="1"/>
  <c r="Q102" i="76" s="1"/>
  <c r="CG96" i="76"/>
  <c r="CH96" i="76" s="1"/>
  <c r="Q98" i="76" s="1"/>
  <c r="CG102" i="76"/>
  <c r="CH102" i="76" s="1"/>
  <c r="Q104" i="76" s="1"/>
  <c r="CG101" i="76"/>
  <c r="CH101" i="76" s="1"/>
  <c r="Q103" i="76" s="1"/>
  <c r="CG56" i="76"/>
  <c r="CH56" i="76" s="1"/>
  <c r="Q58" i="76" s="1"/>
  <c r="K50" i="74"/>
  <c r="K52" i="74" s="1"/>
  <c r="CH40" i="74" s="1"/>
  <c r="K11" i="74"/>
  <c r="M8" i="65" s="1"/>
  <c r="CG46" i="76"/>
  <c r="CH46" i="76" s="1"/>
  <c r="Q48" i="76" s="1"/>
  <c r="CG59" i="76"/>
  <c r="CH59" i="76" s="1"/>
  <c r="Q61" i="76" s="1"/>
  <c r="CG80" i="76"/>
  <c r="CH80" i="76" s="1"/>
  <c r="Q82" i="76" s="1"/>
  <c r="CG15" i="76"/>
  <c r="CH15" i="76" s="1"/>
  <c r="Q17" i="76" s="1"/>
  <c r="CG33" i="76"/>
  <c r="CH33" i="76" s="1"/>
  <c r="Q35" i="76" s="1"/>
  <c r="CG88" i="76"/>
  <c r="CH88" i="76" s="1"/>
  <c r="Q90" i="76" s="1"/>
  <c r="CG94" i="76"/>
  <c r="CH94" i="76" s="1"/>
  <c r="Q96" i="76" s="1"/>
  <c r="CG77" i="76"/>
  <c r="CH77" i="76" s="1"/>
  <c r="Q79" i="76" s="1"/>
  <c r="CG29" i="76"/>
  <c r="CH29" i="76" s="1"/>
  <c r="Q31" i="76" s="1"/>
  <c r="CG39" i="76"/>
  <c r="CH39" i="76" s="1"/>
  <c r="Q41" i="76" s="1"/>
  <c r="CG12" i="76"/>
  <c r="CH12" i="76" s="1"/>
  <c r="Q14" i="76" s="1"/>
  <c r="CG26" i="76"/>
  <c r="CH26" i="76" s="1"/>
  <c r="Q28" i="76" s="1"/>
  <c r="CG16" i="76"/>
  <c r="CH16" i="76" s="1"/>
  <c r="Q18" i="76" s="1"/>
  <c r="K10" i="74"/>
  <c r="M7" i="65" s="1"/>
  <c r="CG19" i="76"/>
  <c r="CH19" i="76" s="1"/>
  <c r="Q21" i="76" s="1"/>
  <c r="CG4" i="76"/>
  <c r="CH4" i="76" s="1"/>
  <c r="Q3" i="76" s="1"/>
  <c r="CG81" i="76"/>
  <c r="CH81" i="76" s="1"/>
  <c r="Q83" i="76" s="1"/>
  <c r="CG10" i="76"/>
  <c r="CH10" i="76" s="1"/>
  <c r="Q12" i="76" s="1"/>
  <c r="CG60" i="76"/>
  <c r="CH60" i="76" s="1"/>
  <c r="Q62" i="76" s="1"/>
  <c r="CG91" i="76"/>
  <c r="CH91" i="76" s="1"/>
  <c r="Q93" i="76" s="1"/>
  <c r="CG85" i="76"/>
  <c r="CH85" i="76" s="1"/>
  <c r="Q87" i="76" s="1"/>
  <c r="CG86" i="76"/>
  <c r="CH86" i="76" s="1"/>
  <c r="Q88" i="76" s="1"/>
  <c r="CG89" i="76"/>
  <c r="CH89" i="76" s="1"/>
  <c r="Q91" i="76" s="1"/>
  <c r="CG23" i="76"/>
  <c r="CH23" i="76" s="1"/>
  <c r="Q25" i="76" s="1"/>
  <c r="CG44" i="76"/>
  <c r="CH44" i="76" s="1"/>
  <c r="Q46" i="76" s="1"/>
  <c r="CG21" i="76"/>
  <c r="CH21" i="76" s="1"/>
  <c r="Q23" i="76" s="1"/>
  <c r="CG41" i="76"/>
  <c r="CH41" i="76" s="1"/>
  <c r="Q43" i="76" s="1"/>
  <c r="CG57" i="76"/>
  <c r="CH57" i="76" s="1"/>
  <c r="Q59" i="76" s="1"/>
  <c r="CG35" i="76"/>
  <c r="CH35" i="76" s="1"/>
  <c r="Q37" i="76" s="1"/>
  <c r="CG51" i="76"/>
  <c r="CH51" i="76" s="1"/>
  <c r="Q53" i="76" s="1"/>
  <c r="CG6" i="76"/>
  <c r="CH6" i="76" s="1"/>
  <c r="Q8" i="76" s="1"/>
  <c r="CG87" i="76"/>
  <c r="CH87" i="76" s="1"/>
  <c r="Q89" i="76" s="1"/>
  <c r="CG36" i="76"/>
  <c r="CH36" i="76" s="1"/>
  <c r="Q38" i="76" s="1"/>
  <c r="CG72" i="76"/>
  <c r="CH72" i="76" s="1"/>
  <c r="Q74" i="76" s="1"/>
  <c r="CG78" i="76"/>
  <c r="CH78" i="76" s="1"/>
  <c r="Q80" i="76" s="1"/>
  <c r="CG34" i="76"/>
  <c r="CH34" i="76" s="1"/>
  <c r="Q36" i="76" s="1"/>
  <c r="CG13" i="76"/>
  <c r="CH13" i="76" s="1"/>
  <c r="Q15" i="76" s="1"/>
  <c r="K7" i="76"/>
  <c r="K2" i="76" s="1"/>
  <c r="K53" i="76"/>
  <c r="K55" i="76" s="1"/>
  <c r="K8" i="76" s="1"/>
  <c r="K3" i="76" s="1"/>
  <c r="CG52" i="76"/>
  <c r="CH52" i="76" s="1"/>
  <c r="Q54" i="76" s="1"/>
  <c r="CG49" i="76"/>
  <c r="CH49" i="76" s="1"/>
  <c r="Q51" i="76" s="1"/>
  <c r="CG47" i="76"/>
  <c r="CH47" i="76" s="1"/>
  <c r="Q49" i="76" s="1"/>
  <c r="CG30" i="76"/>
  <c r="CH30" i="76" s="1"/>
  <c r="Q32" i="76" s="1"/>
  <c r="CG38" i="76"/>
  <c r="CH38" i="76" s="1"/>
  <c r="Q40" i="76" s="1"/>
  <c r="CG62" i="76"/>
  <c r="CH62" i="76" s="1"/>
  <c r="Q64" i="76" s="1"/>
  <c r="CG45" i="76"/>
  <c r="CH45" i="76" s="1"/>
  <c r="Q47" i="76" s="1"/>
  <c r="CG42" i="76"/>
  <c r="CH42" i="76" s="1"/>
  <c r="Q44" i="76" s="1"/>
  <c r="CG8" i="76"/>
  <c r="CH8" i="76" s="1"/>
  <c r="Q10" i="76" s="1"/>
  <c r="CG20" i="76"/>
  <c r="CH20" i="76" s="1"/>
  <c r="Q22" i="76" s="1"/>
  <c r="CG14" i="76"/>
  <c r="CH14" i="76" s="1"/>
  <c r="Q16" i="76" s="1"/>
  <c r="CG48" i="76"/>
  <c r="CH48" i="76" s="1"/>
  <c r="Q50" i="76" s="1"/>
  <c r="CG37" i="76"/>
  <c r="CH37" i="76" s="1"/>
  <c r="Q39" i="76" s="1"/>
  <c r="CG31" i="76"/>
  <c r="CH31" i="76" s="1"/>
  <c r="Q33" i="76" s="1"/>
  <c r="CG11" i="76"/>
  <c r="CH11" i="76" s="1"/>
  <c r="Q13" i="76" s="1"/>
  <c r="CG58" i="76"/>
  <c r="CH58" i="76" s="1"/>
  <c r="Q60" i="76" s="1"/>
  <c r="CG93" i="76"/>
  <c r="CH93" i="76" s="1"/>
  <c r="Q95" i="76" s="1"/>
  <c r="CG65" i="76"/>
  <c r="CH65" i="76" s="1"/>
  <c r="Q67" i="76" s="1"/>
  <c r="CG75" i="76"/>
  <c r="CH75" i="76" s="1"/>
  <c r="Q77" i="76" s="1"/>
  <c r="CG40" i="76"/>
  <c r="CH40" i="76" s="1"/>
  <c r="Q42" i="76" s="1"/>
  <c r="CG5" i="76"/>
  <c r="CH5" i="76" s="1"/>
  <c r="Q7" i="76" s="1"/>
  <c r="CG95" i="76"/>
  <c r="CH95" i="76" s="1"/>
  <c r="Q97" i="76" s="1"/>
  <c r="CG54" i="76"/>
  <c r="CH54" i="76" s="1"/>
  <c r="Q56" i="76" s="1"/>
  <c r="CG64" i="76"/>
  <c r="CH64" i="76" s="1"/>
  <c r="Q66" i="76" s="1"/>
  <c r="CG71" i="76"/>
  <c r="CH71" i="76" s="1"/>
  <c r="Q73" i="76" s="1"/>
  <c r="CG53" i="76"/>
  <c r="CH53" i="76" s="1"/>
  <c r="Q55" i="76" s="1"/>
  <c r="CG22" i="76"/>
  <c r="CH22" i="76" s="1"/>
  <c r="Q24" i="76" s="1"/>
  <c r="CG76" i="76"/>
  <c r="CH76" i="76" s="1"/>
  <c r="Q78" i="76" s="1"/>
  <c r="CG9" i="76"/>
  <c r="CH9" i="76" s="1"/>
  <c r="Q11" i="76" s="1"/>
  <c r="CG55" i="76"/>
  <c r="CH55" i="76" s="1"/>
  <c r="Q57" i="76" s="1"/>
  <c r="CG67" i="76"/>
  <c r="CH67" i="76" s="1"/>
  <c r="Q69" i="76" s="1"/>
  <c r="CG18" i="76"/>
  <c r="CH18" i="76" s="1"/>
  <c r="Q20" i="76" s="1"/>
  <c r="CG82" i="76"/>
  <c r="CH82" i="76" s="1"/>
  <c r="Q84" i="76" s="1"/>
  <c r="CG7" i="76"/>
  <c r="CH7" i="76" s="1"/>
  <c r="Q9" i="76" s="1"/>
  <c r="CG83" i="76"/>
  <c r="CH83" i="76" s="1"/>
  <c r="Q85" i="76" s="1"/>
  <c r="CG84" i="76"/>
  <c r="CH84" i="76" s="1"/>
  <c r="Q86" i="76" s="1"/>
  <c r="CG61" i="76"/>
  <c r="CH61" i="76" s="1"/>
  <c r="Q63" i="76" s="1"/>
  <c r="CG73" i="76"/>
  <c r="CH73" i="76" s="1"/>
  <c r="Q75" i="76" s="1"/>
  <c r="CG28" i="76"/>
  <c r="CH28" i="76" s="1"/>
  <c r="Q30" i="76" s="1"/>
  <c r="CG27" i="76"/>
  <c r="CH27" i="76" s="1"/>
  <c r="Q29" i="76" s="1"/>
  <c r="CG32" i="76"/>
  <c r="CH32" i="76" s="1"/>
  <c r="Q34" i="76" s="1"/>
  <c r="CG43" i="76"/>
  <c r="CH43" i="76" s="1"/>
  <c r="Q45" i="76" s="1"/>
  <c r="CG68" i="76"/>
  <c r="CH68" i="76" s="1"/>
  <c r="Q70" i="76" s="1"/>
  <c r="CG50" i="76"/>
  <c r="CH50" i="76" s="1"/>
  <c r="Q52" i="76" s="1"/>
  <c r="CG79" i="76"/>
  <c r="CH79" i="76" s="1"/>
  <c r="Q81" i="76" s="1"/>
  <c r="CG69" i="76"/>
  <c r="CH69" i="76" s="1"/>
  <c r="Q71" i="76" s="1"/>
  <c r="CG24" i="76"/>
  <c r="CH24" i="76" s="1"/>
  <c r="Q26" i="76" s="1"/>
  <c r="CG66" i="76"/>
  <c r="CH66" i="76" s="1"/>
  <c r="Q68" i="76" s="1"/>
  <c r="CG92" i="76"/>
  <c r="CH92" i="76" s="1"/>
  <c r="Q94" i="76" s="1"/>
  <c r="CG25" i="76"/>
  <c r="CH25" i="76" s="1"/>
  <c r="Q27" i="76" s="1"/>
  <c r="CG74" i="76"/>
  <c r="CH74" i="76" s="1"/>
  <c r="Q76" i="76" s="1"/>
  <c r="CG70" i="76"/>
  <c r="CH70" i="76" s="1"/>
  <c r="Q72" i="76" s="1"/>
  <c r="AF23" i="64"/>
  <c r="AH23" i="64" s="1"/>
  <c r="CH67" i="74" l="1"/>
  <c r="CH95" i="74"/>
  <c r="CH102" i="74"/>
  <c r="CH63" i="74"/>
  <c r="CH43" i="74"/>
  <c r="CH48" i="74"/>
  <c r="CH91" i="74"/>
  <c r="AB9" i="64"/>
  <c r="AH4" i="64" s="1"/>
  <c r="CH31" i="74"/>
  <c r="CH93" i="74"/>
  <c r="CH96" i="74"/>
  <c r="CH73" i="74"/>
  <c r="CH77" i="74"/>
  <c r="CH30" i="74"/>
  <c r="CH90" i="74"/>
  <c r="CH50" i="74"/>
  <c r="CH32" i="74"/>
  <c r="CH83" i="74"/>
  <c r="CH72" i="74"/>
  <c r="CH44" i="74"/>
  <c r="CH64" i="74"/>
  <c r="CH41" i="74"/>
  <c r="AB8" i="64"/>
  <c r="AI4" i="64" s="1"/>
  <c r="P103" i="76"/>
  <c r="P105" i="76"/>
  <c r="P101" i="76"/>
  <c r="P106" i="76"/>
  <c r="P104" i="76"/>
  <c r="P98" i="76"/>
  <c r="P100" i="76"/>
  <c r="P99" i="76"/>
  <c r="CH49" i="74"/>
  <c r="CH98" i="74"/>
  <c r="CH103" i="74"/>
  <c r="CH100" i="74"/>
  <c r="CH97" i="74"/>
  <c r="CH104" i="74"/>
  <c r="CH99" i="74"/>
  <c r="CH101" i="74"/>
  <c r="CH61" i="74"/>
  <c r="CH47" i="74"/>
  <c r="CH66" i="74"/>
  <c r="CH68" i="74"/>
  <c r="CH92" i="74"/>
  <c r="CH94" i="74"/>
  <c r="CH81" i="74"/>
  <c r="CH46" i="74"/>
  <c r="CH65" i="74"/>
  <c r="CH5" i="74"/>
  <c r="CH17" i="74"/>
  <c r="CH22" i="74"/>
  <c r="CH12" i="74"/>
  <c r="K7" i="74"/>
  <c r="K2" i="74" s="1"/>
  <c r="M4" i="65" s="1"/>
  <c r="CH15" i="74"/>
  <c r="CH54" i="74"/>
  <c r="CH87" i="74"/>
  <c r="CH62" i="74"/>
  <c r="CH13" i="74"/>
  <c r="CH19" i="74"/>
  <c r="CH59" i="74"/>
  <c r="CH69" i="74"/>
  <c r="CH76" i="74"/>
  <c r="CH55" i="74"/>
  <c r="CH39" i="74"/>
  <c r="K53" i="74"/>
  <c r="K55" i="74" s="1"/>
  <c r="CH4" i="74"/>
  <c r="CH79" i="74"/>
  <c r="CH75" i="74"/>
  <c r="CH84" i="74"/>
  <c r="CH24" i="74"/>
  <c r="CH45" i="74"/>
  <c r="CH35" i="74"/>
  <c r="CH78" i="74"/>
  <c r="CH8" i="74"/>
  <c r="CH23" i="74"/>
  <c r="CH26" i="74"/>
  <c r="CH74" i="74"/>
  <c r="CH34" i="74"/>
  <c r="CH14" i="74"/>
  <c r="CH57" i="74"/>
  <c r="CH80" i="74"/>
  <c r="CH56" i="74"/>
  <c r="K48" i="74"/>
  <c r="K9" i="74" s="1"/>
  <c r="CH16" i="74"/>
  <c r="CH85" i="74"/>
  <c r="CH27" i="74"/>
  <c r="CH33" i="74"/>
  <c r="CH60" i="74"/>
  <c r="CH7" i="74"/>
  <c r="CH70" i="74"/>
  <c r="CH38" i="74"/>
  <c r="CH28" i="74"/>
  <c r="CH88" i="74"/>
  <c r="CH11" i="74"/>
  <c r="CH25" i="74"/>
  <c r="CH51" i="74"/>
  <c r="CH29" i="74"/>
  <c r="CH86" i="74"/>
  <c r="CH82" i="74"/>
  <c r="CH6" i="74"/>
  <c r="CH52" i="74"/>
  <c r="CH42" i="74"/>
  <c r="CH37" i="74"/>
  <c r="CH89" i="74"/>
  <c r="CH36" i="74"/>
  <c r="CH9" i="74"/>
  <c r="CH18" i="74"/>
  <c r="CH71" i="74"/>
  <c r="CH53" i="74"/>
  <c r="CH58" i="74"/>
  <c r="CH10" i="74"/>
  <c r="CH20" i="74"/>
  <c r="CH21" i="74"/>
  <c r="Q4" i="76"/>
  <c r="Q5" i="76"/>
  <c r="P102" i="76"/>
  <c r="P94" i="76"/>
  <c r="P84" i="76"/>
  <c r="P79" i="76"/>
  <c r="P91" i="76"/>
  <c r="P39" i="76"/>
  <c r="P35" i="76"/>
  <c r="P21" i="76"/>
  <c r="P5" i="76"/>
  <c r="P68" i="76"/>
  <c r="P80" i="76"/>
  <c r="P13" i="76"/>
  <c r="P4" i="76"/>
  <c r="P92" i="76"/>
  <c r="P22" i="76"/>
  <c r="P46" i="76"/>
  <c r="P90" i="76"/>
  <c r="P51" i="76"/>
  <c r="P52" i="76"/>
  <c r="P9" i="76"/>
  <c r="P82" i="76"/>
  <c r="P6" i="76"/>
  <c r="P33" i="76"/>
  <c r="P30" i="76"/>
  <c r="P83" i="76"/>
  <c r="P73" i="76"/>
  <c r="P43" i="76"/>
  <c r="P48" i="76"/>
  <c r="P54" i="76"/>
  <c r="P17" i="76"/>
  <c r="P20" i="76"/>
  <c r="P81" i="76"/>
  <c r="P86" i="76"/>
  <c r="P74" i="76"/>
  <c r="P34" i="76"/>
  <c r="P76" i="76"/>
  <c r="P69" i="76"/>
  <c r="P75" i="76"/>
  <c r="P12" i="76"/>
  <c r="P28" i="76"/>
  <c r="P25" i="76"/>
  <c r="P77" i="76"/>
  <c r="P53" i="76"/>
  <c r="P93" i="76"/>
  <c r="P50" i="76"/>
  <c r="P55" i="76"/>
  <c r="P66" i="76"/>
  <c r="P89" i="76"/>
  <c r="P44" i="76"/>
  <c r="P26" i="76"/>
  <c r="P96" i="76"/>
  <c r="K4" i="76"/>
  <c r="K5" i="76" s="1"/>
  <c r="P65" i="76"/>
  <c r="P78" i="76"/>
  <c r="P29" i="76"/>
  <c r="P10" i="76"/>
  <c r="P70" i="76"/>
  <c r="P49" i="76"/>
  <c r="P95" i="76"/>
  <c r="P37" i="76"/>
  <c r="P47" i="76"/>
  <c r="P57" i="76"/>
  <c r="P64" i="76"/>
  <c r="P36" i="76"/>
  <c r="P67" i="76"/>
  <c r="P24" i="76"/>
  <c r="P19" i="76"/>
  <c r="P42" i="76"/>
  <c r="P60" i="76"/>
  <c r="P27" i="76"/>
  <c r="P23" i="76"/>
  <c r="P11" i="76"/>
  <c r="P87" i="76"/>
  <c r="P97" i="76"/>
  <c r="P62" i="76"/>
  <c r="P41" i="76"/>
  <c r="P38" i="76"/>
  <c r="P63" i="76"/>
  <c r="P45" i="76"/>
  <c r="P85" i="76"/>
  <c r="P71" i="76"/>
  <c r="P40" i="76"/>
  <c r="P59" i="76"/>
  <c r="P56" i="76"/>
  <c r="P18" i="76"/>
  <c r="P16" i="76"/>
  <c r="P8" i="76"/>
  <c r="P31" i="76"/>
  <c r="P14" i="76"/>
  <c r="P61" i="76"/>
  <c r="P88" i="76"/>
  <c r="P72" i="76"/>
  <c r="P58" i="76"/>
  <c r="P32" i="76"/>
  <c r="P15" i="76"/>
  <c r="P7" i="76"/>
  <c r="Q6" i="76"/>
  <c r="AF24" i="64"/>
  <c r="AF25" i="64" l="1"/>
  <c r="AH24" i="64"/>
  <c r="CI50" i="74"/>
  <c r="CJ50" i="74" s="1"/>
  <c r="Q52" i="74" s="1"/>
  <c r="O66" i="65" s="1"/>
  <c r="CI102" i="74"/>
  <c r="CJ102" i="74" s="1"/>
  <c r="Q104" i="74" s="1"/>
  <c r="O118" i="65" s="1"/>
  <c r="CI103" i="74"/>
  <c r="CJ103" i="74" s="1"/>
  <c r="Q105" i="74" s="1"/>
  <c r="O119" i="65" s="1"/>
  <c r="CI101" i="74"/>
  <c r="CJ101" i="74" s="1"/>
  <c r="Q103" i="74" s="1"/>
  <c r="O117" i="65" s="1"/>
  <c r="CI100" i="74"/>
  <c r="CJ100" i="74" s="1"/>
  <c r="Q102" i="74" s="1"/>
  <c r="O116" i="65" s="1"/>
  <c r="CI99" i="74"/>
  <c r="CJ99" i="74" s="1"/>
  <c r="CI104" i="74"/>
  <c r="CJ104" i="74" s="1"/>
  <c r="Q106" i="74" s="1"/>
  <c r="O120" i="65" s="1"/>
  <c r="CI96" i="74"/>
  <c r="CJ96" i="74" s="1"/>
  <c r="Q98" i="74" s="1"/>
  <c r="O112" i="65" s="1"/>
  <c r="CI98" i="74"/>
  <c r="CJ98" i="74" s="1"/>
  <c r="Q100" i="74" s="1"/>
  <c r="O114" i="65" s="1"/>
  <c r="CI97" i="74"/>
  <c r="CJ97" i="74" s="1"/>
  <c r="Q99" i="74" s="1"/>
  <c r="O113" i="65" s="1"/>
  <c r="CI95" i="74"/>
  <c r="CJ95" i="74" s="1"/>
  <c r="Q97" i="74" s="1"/>
  <c r="O111" i="65" s="1"/>
  <c r="AD4" i="64"/>
  <c r="AB7" i="64"/>
  <c r="CI68" i="74"/>
  <c r="CJ68" i="74" s="1"/>
  <c r="Q70" i="74" s="1"/>
  <c r="O84" i="65" s="1"/>
  <c r="CI41" i="74"/>
  <c r="CJ41" i="74" s="1"/>
  <c r="Q43" i="74" s="1"/>
  <c r="O57" i="65" s="1"/>
  <c r="CI51" i="74"/>
  <c r="CJ51" i="74" s="1"/>
  <c r="Q53" i="74" s="1"/>
  <c r="O67" i="65" s="1"/>
  <c r="CI64" i="74"/>
  <c r="CJ64" i="74" s="1"/>
  <c r="Q66" i="74" s="1"/>
  <c r="O80" i="65" s="1"/>
  <c r="CI35" i="74"/>
  <c r="CJ35" i="74" s="1"/>
  <c r="Q37" i="74" s="1"/>
  <c r="O51" i="65" s="1"/>
  <c r="CI39" i="74"/>
  <c r="CJ39" i="74" s="1"/>
  <c r="Q41" i="74" s="1"/>
  <c r="O55" i="65" s="1"/>
  <c r="CI27" i="74"/>
  <c r="CJ27" i="74" s="1"/>
  <c r="Q29" i="74" s="1"/>
  <c r="O43" i="65" s="1"/>
  <c r="CI18" i="74"/>
  <c r="CJ18" i="74" s="1"/>
  <c r="Q20" i="74" s="1"/>
  <c r="O34" i="65" s="1"/>
  <c r="CI5" i="74"/>
  <c r="CJ5" i="74" s="1"/>
  <c r="Q7" i="74" s="1"/>
  <c r="O21" i="65" s="1"/>
  <c r="CI77" i="74"/>
  <c r="CJ77" i="74" s="1"/>
  <c r="Q79" i="74" s="1"/>
  <c r="O93" i="65" s="1"/>
  <c r="CI72" i="74"/>
  <c r="CJ72" i="74" s="1"/>
  <c r="Q74" i="74" s="1"/>
  <c r="O88" i="65" s="1"/>
  <c r="CI30" i="74"/>
  <c r="CJ30" i="74" s="1"/>
  <c r="Q32" i="74" s="1"/>
  <c r="O46" i="65" s="1"/>
  <c r="CI75" i="74"/>
  <c r="CJ75" i="74" s="1"/>
  <c r="Q77" i="74" s="1"/>
  <c r="O91" i="65" s="1"/>
  <c r="CI32" i="74"/>
  <c r="CJ32" i="74" s="1"/>
  <c r="Q34" i="74" s="1"/>
  <c r="O48" i="65" s="1"/>
  <c r="CI26" i="74"/>
  <c r="CJ26" i="74" s="1"/>
  <c r="Q28" i="74" s="1"/>
  <c r="O42" i="65" s="1"/>
  <c r="CI19" i="74"/>
  <c r="CJ19" i="74" s="1"/>
  <c r="Q21" i="74" s="1"/>
  <c r="O35" i="65" s="1"/>
  <c r="CI53" i="74"/>
  <c r="CJ53" i="74" s="1"/>
  <c r="Q55" i="74" s="1"/>
  <c r="O69" i="65" s="1"/>
  <c r="CI62" i="74"/>
  <c r="CJ62" i="74" s="1"/>
  <c r="Q64" i="74" s="1"/>
  <c r="O78" i="65" s="1"/>
  <c r="CI15" i="74"/>
  <c r="CJ15" i="74" s="1"/>
  <c r="Q17" i="74" s="1"/>
  <c r="O31" i="65" s="1"/>
  <c r="CI33" i="74"/>
  <c r="CJ33" i="74" s="1"/>
  <c r="Q35" i="74" s="1"/>
  <c r="O49" i="65" s="1"/>
  <c r="CI54" i="74"/>
  <c r="CJ54" i="74" s="1"/>
  <c r="Q56" i="74" s="1"/>
  <c r="O70" i="65" s="1"/>
  <c r="CI92" i="74"/>
  <c r="CJ92" i="74" s="1"/>
  <c r="Q94" i="74" s="1"/>
  <c r="O108" i="65" s="1"/>
  <c r="CI48" i="74"/>
  <c r="CJ48" i="74" s="1"/>
  <c r="Q50" i="74" s="1"/>
  <c r="O64" i="65" s="1"/>
  <c r="CI65" i="74"/>
  <c r="CJ65" i="74" s="1"/>
  <c r="Q67" i="74" s="1"/>
  <c r="O81" i="65" s="1"/>
  <c r="CI78" i="74"/>
  <c r="CJ78" i="74" s="1"/>
  <c r="Q80" i="74" s="1"/>
  <c r="O94" i="65" s="1"/>
  <c r="CI43" i="74"/>
  <c r="CJ43" i="74" s="1"/>
  <c r="Q45" i="74" s="1"/>
  <c r="O59" i="65" s="1"/>
  <c r="CI70" i="74"/>
  <c r="CJ70" i="74" s="1"/>
  <c r="Q72" i="74" s="1"/>
  <c r="O86" i="65" s="1"/>
  <c r="CI20" i="74"/>
  <c r="CJ20" i="74" s="1"/>
  <c r="Q22" i="74" s="1"/>
  <c r="O36" i="65" s="1"/>
  <c r="CI11" i="74"/>
  <c r="CJ11" i="74" s="1"/>
  <c r="Q13" i="74" s="1"/>
  <c r="O27" i="65" s="1"/>
  <c r="CI56" i="74"/>
  <c r="CJ56" i="74" s="1"/>
  <c r="Q58" i="74" s="1"/>
  <c r="O72" i="65" s="1"/>
  <c r="CI7" i="74"/>
  <c r="CJ7" i="74" s="1"/>
  <c r="Q9" i="74" s="1"/>
  <c r="O23" i="65" s="1"/>
  <c r="CI4" i="74"/>
  <c r="CJ4" i="74" s="1"/>
  <c r="CI16" i="74"/>
  <c r="CJ16" i="74" s="1"/>
  <c r="Q18" i="74" s="1"/>
  <c r="O32" i="65" s="1"/>
  <c r="CI52" i="74"/>
  <c r="CJ52" i="74" s="1"/>
  <c r="Q54" i="74" s="1"/>
  <c r="O68" i="65" s="1"/>
  <c r="CI67" i="74"/>
  <c r="CJ67" i="74" s="1"/>
  <c r="Q69" i="74" s="1"/>
  <c r="O83" i="65" s="1"/>
  <c r="CI73" i="74"/>
  <c r="CJ73" i="74" s="1"/>
  <c r="Q75" i="74" s="1"/>
  <c r="O89" i="65" s="1"/>
  <c r="CI37" i="74"/>
  <c r="CJ37" i="74" s="1"/>
  <c r="Q39" i="74" s="1"/>
  <c r="O53" i="65" s="1"/>
  <c r="CI79" i="74"/>
  <c r="CJ79" i="74" s="1"/>
  <c r="Q81" i="74" s="1"/>
  <c r="O95" i="65" s="1"/>
  <c r="CI71" i="74"/>
  <c r="CJ71" i="74" s="1"/>
  <c r="Q73" i="74" s="1"/>
  <c r="O87" i="65" s="1"/>
  <c r="CI13" i="74"/>
  <c r="CJ13" i="74" s="1"/>
  <c r="Q15" i="74" s="1"/>
  <c r="O29" i="65" s="1"/>
  <c r="CI89" i="74"/>
  <c r="CJ89" i="74" s="1"/>
  <c r="Q91" i="74" s="1"/>
  <c r="O105" i="65" s="1"/>
  <c r="CI74" i="74"/>
  <c r="CJ74" i="74" s="1"/>
  <c r="Q76" i="74" s="1"/>
  <c r="O90" i="65" s="1"/>
  <c r="CI12" i="74"/>
  <c r="CJ12" i="74" s="1"/>
  <c r="Q14" i="74" s="1"/>
  <c r="O28" i="65" s="1"/>
  <c r="CI21" i="74"/>
  <c r="CJ21" i="74" s="1"/>
  <c r="Q23" i="74" s="1"/>
  <c r="O37" i="65" s="1"/>
  <c r="CI58" i="74"/>
  <c r="CJ58" i="74" s="1"/>
  <c r="Q60" i="74" s="1"/>
  <c r="O74" i="65" s="1"/>
  <c r="CI34" i="74"/>
  <c r="CJ34" i="74" s="1"/>
  <c r="Q36" i="74" s="1"/>
  <c r="O50" i="65" s="1"/>
  <c r="CI86" i="74"/>
  <c r="CJ86" i="74" s="1"/>
  <c r="Q88" i="74" s="1"/>
  <c r="O102" i="65" s="1"/>
  <c r="CI23" i="74"/>
  <c r="CJ23" i="74" s="1"/>
  <c r="Q25" i="74" s="1"/>
  <c r="O39" i="65" s="1"/>
  <c r="CI91" i="74"/>
  <c r="CJ91" i="74" s="1"/>
  <c r="Q93" i="74" s="1"/>
  <c r="O107" i="65" s="1"/>
  <c r="CI45" i="74"/>
  <c r="CJ45" i="74" s="1"/>
  <c r="Q47" i="74" s="1"/>
  <c r="O61" i="65" s="1"/>
  <c r="CI40" i="74"/>
  <c r="CJ40" i="74" s="1"/>
  <c r="Q42" i="74" s="1"/>
  <c r="O56" i="65" s="1"/>
  <c r="CI69" i="74"/>
  <c r="CJ69" i="74" s="1"/>
  <c r="Q71" i="74" s="1"/>
  <c r="O85" i="65" s="1"/>
  <c r="CI82" i="74"/>
  <c r="CJ82" i="74" s="1"/>
  <c r="Q84" i="74" s="1"/>
  <c r="O98" i="65" s="1"/>
  <c r="CI55" i="74"/>
  <c r="CJ55" i="74" s="1"/>
  <c r="Q57" i="74" s="1"/>
  <c r="O71" i="65" s="1"/>
  <c r="K8" i="74"/>
  <c r="CI25" i="74"/>
  <c r="CJ25" i="74" s="1"/>
  <c r="Q27" i="74" s="1"/>
  <c r="O41" i="65" s="1"/>
  <c r="CI9" i="74"/>
  <c r="CJ9" i="74" s="1"/>
  <c r="Q11" i="74" s="1"/>
  <c r="O25" i="65" s="1"/>
  <c r="CI42" i="74"/>
  <c r="CJ42" i="74" s="1"/>
  <c r="Q44" i="74" s="1"/>
  <c r="O58" i="65" s="1"/>
  <c r="CI47" i="74"/>
  <c r="CJ47" i="74" s="1"/>
  <c r="Q49" i="74" s="1"/>
  <c r="O63" i="65" s="1"/>
  <c r="CI8" i="74"/>
  <c r="CJ8" i="74" s="1"/>
  <c r="Q10" i="74" s="1"/>
  <c r="O24" i="65" s="1"/>
  <c r="CI81" i="74"/>
  <c r="CJ81" i="74" s="1"/>
  <c r="Q83" i="74" s="1"/>
  <c r="O97" i="65" s="1"/>
  <c r="CI76" i="74"/>
  <c r="CJ76" i="74" s="1"/>
  <c r="Q78" i="74" s="1"/>
  <c r="O92" i="65" s="1"/>
  <c r="CI36" i="74"/>
  <c r="CJ36" i="74" s="1"/>
  <c r="Q38" i="74" s="1"/>
  <c r="O52" i="65" s="1"/>
  <c r="CI59" i="74"/>
  <c r="CJ59" i="74" s="1"/>
  <c r="Q61" i="74" s="1"/>
  <c r="O75" i="65" s="1"/>
  <c r="CI46" i="74"/>
  <c r="CJ46" i="74" s="1"/>
  <c r="Q48" i="74" s="1"/>
  <c r="O62" i="65" s="1"/>
  <c r="CI60" i="74"/>
  <c r="CJ60" i="74" s="1"/>
  <c r="Q62" i="74" s="1"/>
  <c r="O76" i="65" s="1"/>
  <c r="CI61" i="74"/>
  <c r="CJ61" i="74" s="1"/>
  <c r="Q63" i="74" s="1"/>
  <c r="O77" i="65" s="1"/>
  <c r="CI93" i="74"/>
  <c r="CJ93" i="74" s="1"/>
  <c r="Q95" i="74" s="1"/>
  <c r="O109" i="65" s="1"/>
  <c r="CI49" i="74"/>
  <c r="CJ49" i="74" s="1"/>
  <c r="Q51" i="74" s="1"/>
  <c r="O65" i="65" s="1"/>
  <c r="CI14" i="74"/>
  <c r="CJ14" i="74" s="1"/>
  <c r="Q16" i="74" s="1"/>
  <c r="O30" i="65" s="1"/>
  <c r="CI94" i="74"/>
  <c r="CJ94" i="74" s="1"/>
  <c r="Q96" i="74" s="1"/>
  <c r="O110" i="65" s="1"/>
  <c r="CI83" i="74"/>
  <c r="CJ83" i="74" s="1"/>
  <c r="Q85" i="74" s="1"/>
  <c r="O99" i="65" s="1"/>
  <c r="CI38" i="74"/>
  <c r="CJ38" i="74" s="1"/>
  <c r="Q40" i="74" s="1"/>
  <c r="O54" i="65" s="1"/>
  <c r="CI87" i="74"/>
  <c r="CJ87" i="74" s="1"/>
  <c r="Q89" i="74" s="1"/>
  <c r="O103" i="65" s="1"/>
  <c r="CI88" i="74"/>
  <c r="CJ88" i="74" s="1"/>
  <c r="Q90" i="74" s="1"/>
  <c r="O104" i="65" s="1"/>
  <c r="CI80" i="74"/>
  <c r="CJ80" i="74" s="1"/>
  <c r="Q82" i="74" s="1"/>
  <c r="O96" i="65" s="1"/>
  <c r="CI6" i="74"/>
  <c r="CJ6" i="74" s="1"/>
  <c r="Q8" i="74" s="1"/>
  <c r="O22" i="65" s="1"/>
  <c r="CI10" i="74"/>
  <c r="CJ10" i="74" s="1"/>
  <c r="Q12" i="74" s="1"/>
  <c r="O26" i="65" s="1"/>
  <c r="CI85" i="74"/>
  <c r="CJ85" i="74" s="1"/>
  <c r="Q87" i="74" s="1"/>
  <c r="O101" i="65" s="1"/>
  <c r="CI84" i="74"/>
  <c r="CJ84" i="74" s="1"/>
  <c r="Q86" i="74" s="1"/>
  <c r="O100" i="65" s="1"/>
  <c r="CI63" i="74"/>
  <c r="CJ63" i="74" s="1"/>
  <c r="Q65" i="74" s="1"/>
  <c r="O79" i="65" s="1"/>
  <c r="CI44" i="74"/>
  <c r="CJ44" i="74" s="1"/>
  <c r="Q46" i="74" s="1"/>
  <c r="O60" i="65" s="1"/>
  <c r="CI57" i="74"/>
  <c r="CJ57" i="74" s="1"/>
  <c r="Q59" i="74" s="1"/>
  <c r="O73" i="65" s="1"/>
  <c r="CI29" i="74"/>
  <c r="CJ29" i="74" s="1"/>
  <c r="Q31" i="74" s="1"/>
  <c r="O45" i="65" s="1"/>
  <c r="CI17" i="74"/>
  <c r="CJ17" i="74" s="1"/>
  <c r="Q19" i="74" s="1"/>
  <c r="O33" i="65" s="1"/>
  <c r="CI24" i="74"/>
  <c r="CJ24" i="74" s="1"/>
  <c r="Q26" i="74" s="1"/>
  <c r="O40" i="65" s="1"/>
  <c r="CI28" i="74"/>
  <c r="CJ28" i="74" s="1"/>
  <c r="Q30" i="74" s="1"/>
  <c r="O44" i="65" s="1"/>
  <c r="CI22" i="74"/>
  <c r="CJ22" i="74" s="1"/>
  <c r="Q24" i="74" s="1"/>
  <c r="O38" i="65" s="1"/>
  <c r="CI90" i="74"/>
  <c r="CJ90" i="74" s="1"/>
  <c r="Q92" i="74" s="1"/>
  <c r="O106" i="65" s="1"/>
  <c r="CI66" i="74"/>
  <c r="CJ66" i="74" s="1"/>
  <c r="Q68" i="74" s="1"/>
  <c r="O82" i="65" s="1"/>
  <c r="CI31" i="74"/>
  <c r="CJ31" i="74" s="1"/>
  <c r="Q33" i="74" s="1"/>
  <c r="O47" i="65" s="1"/>
  <c r="AH25" i="64" l="1"/>
  <c r="AF26" i="64"/>
  <c r="R100" i="74"/>
  <c r="AB106" i="64" s="1"/>
  <c r="R97" i="74"/>
  <c r="AB103" i="64" s="1"/>
  <c r="R104" i="74"/>
  <c r="AB110" i="64" s="1"/>
  <c r="R102" i="74"/>
  <c r="AB108" i="64" s="1"/>
  <c r="R99" i="74"/>
  <c r="AB105" i="64" s="1"/>
  <c r="R106" i="74"/>
  <c r="AB112" i="64" s="1"/>
  <c r="R105" i="74"/>
  <c r="AB111" i="64" s="1"/>
  <c r="R101" i="74"/>
  <c r="AB107" i="64" s="1"/>
  <c r="R98" i="74"/>
  <c r="AB104" i="64" s="1"/>
  <c r="R103" i="74"/>
  <c r="AB109" i="64" s="1"/>
  <c r="Q101" i="74"/>
  <c r="O115" i="65" s="1"/>
  <c r="R94" i="74"/>
  <c r="AB100" i="64" s="1"/>
  <c r="R53" i="74"/>
  <c r="AB59" i="64" s="1"/>
  <c r="R67" i="74"/>
  <c r="AB73" i="64" s="1"/>
  <c r="R91" i="74"/>
  <c r="AB97" i="64" s="1"/>
  <c r="R54" i="74"/>
  <c r="AB60" i="64" s="1"/>
  <c r="R75" i="74"/>
  <c r="AB81" i="64" s="1"/>
  <c r="R29" i="74"/>
  <c r="R9" i="74"/>
  <c r="R31" i="74"/>
  <c r="AB37" i="64" s="1"/>
  <c r="R62" i="74"/>
  <c r="AB68" i="64" s="1"/>
  <c r="R11" i="74"/>
  <c r="R38" i="74"/>
  <c r="AB44" i="64" s="1"/>
  <c r="R69" i="74"/>
  <c r="AB75" i="64" s="1"/>
  <c r="R13" i="74"/>
  <c r="R93" i="74"/>
  <c r="AB99" i="64" s="1"/>
  <c r="R33" i="74"/>
  <c r="AB39" i="64" s="1"/>
  <c r="R61" i="74"/>
  <c r="AB67" i="64" s="1"/>
  <c r="R80" i="74"/>
  <c r="AB86" i="64" s="1"/>
  <c r="R55" i="74"/>
  <c r="AB61" i="64" s="1"/>
  <c r="R87" i="74"/>
  <c r="AB93" i="64" s="1"/>
  <c r="R21" i="74"/>
  <c r="R23" i="74"/>
  <c r="R70" i="74"/>
  <c r="AB76" i="64" s="1"/>
  <c r="R15" i="74"/>
  <c r="R12" i="74"/>
  <c r="R42" i="74"/>
  <c r="AB48" i="64" s="1"/>
  <c r="R85" i="74"/>
  <c r="AB91" i="64" s="1"/>
  <c r="R92" i="74"/>
  <c r="AB98" i="64" s="1"/>
  <c r="R50" i="74"/>
  <c r="AB56" i="64" s="1"/>
  <c r="R78" i="74"/>
  <c r="AB84" i="64" s="1"/>
  <c r="R84" i="74"/>
  <c r="AB90" i="64" s="1"/>
  <c r="R17" i="74"/>
  <c r="AB23" i="64" s="1"/>
  <c r="R48" i="74"/>
  <c r="AB54" i="64" s="1"/>
  <c r="R58" i="74"/>
  <c r="AB64" i="64" s="1"/>
  <c r="R44" i="74"/>
  <c r="AB50" i="64" s="1"/>
  <c r="R89" i="74"/>
  <c r="AB95" i="64" s="1"/>
  <c r="R36" i="74"/>
  <c r="AB42" i="64" s="1"/>
  <c r="R77" i="74"/>
  <c r="AB83" i="64" s="1"/>
  <c r="R27" i="74"/>
  <c r="R18" i="74"/>
  <c r="R56" i="74"/>
  <c r="AB62" i="64" s="1"/>
  <c r="R34" i="74"/>
  <c r="AB40" i="64" s="1"/>
  <c r="K3" i="74"/>
  <c r="R68" i="74"/>
  <c r="AB74" i="64" s="1"/>
  <c r="R25" i="74"/>
  <c r="AB4" i="64"/>
  <c r="R39" i="74"/>
  <c r="AB45" i="64" s="1"/>
  <c r="R59" i="74"/>
  <c r="AB65" i="64" s="1"/>
  <c r="R43" i="74"/>
  <c r="AB49" i="64" s="1"/>
  <c r="R72" i="74"/>
  <c r="AB78" i="64" s="1"/>
  <c r="R83" i="74"/>
  <c r="AB89" i="64" s="1"/>
  <c r="R88" i="74"/>
  <c r="AB94" i="64" s="1"/>
  <c r="R28" i="74"/>
  <c r="R47" i="74"/>
  <c r="AB53" i="64" s="1"/>
  <c r="R96" i="74"/>
  <c r="AB102" i="64" s="1"/>
  <c r="R51" i="74"/>
  <c r="AB57" i="64" s="1"/>
  <c r="R90" i="74"/>
  <c r="AB96" i="64" s="1"/>
  <c r="R76" i="74"/>
  <c r="AB82" i="64" s="1"/>
  <c r="R86" i="74"/>
  <c r="AB92" i="64" s="1"/>
  <c r="R73" i="74"/>
  <c r="AB79" i="64" s="1"/>
  <c r="R10" i="74"/>
  <c r="R24" i="74"/>
  <c r="R64" i="74"/>
  <c r="AB70" i="64" s="1"/>
  <c r="R40" i="74"/>
  <c r="AB46" i="64" s="1"/>
  <c r="R8" i="74"/>
  <c r="R81" i="74"/>
  <c r="AB87" i="64" s="1"/>
  <c r="R30" i="74"/>
  <c r="AB36" i="64" s="1"/>
  <c r="R37" i="74"/>
  <c r="AB43" i="64" s="1"/>
  <c r="R63" i="74"/>
  <c r="AB69" i="64" s="1"/>
  <c r="R82" i="74"/>
  <c r="AB88" i="64" s="1"/>
  <c r="R7" i="74"/>
  <c r="AB13" i="64" s="1"/>
  <c r="R14" i="74"/>
  <c r="R45" i="74"/>
  <c r="AB51" i="64" s="1"/>
  <c r="R19" i="74"/>
  <c r="R46" i="74"/>
  <c r="AB52" i="64" s="1"/>
  <c r="R79" i="74"/>
  <c r="AB85" i="64" s="1"/>
  <c r="R95" i="74"/>
  <c r="AB101" i="64" s="1"/>
  <c r="R57" i="74"/>
  <c r="AB63" i="64" s="1"/>
  <c r="R71" i="74"/>
  <c r="AB77" i="64" s="1"/>
  <c r="R65" i="74"/>
  <c r="AB71" i="64" s="1"/>
  <c r="R41" i="74"/>
  <c r="AB47" i="64" s="1"/>
  <c r="R22" i="74"/>
  <c r="R20" i="74"/>
  <c r="R74" i="74"/>
  <c r="AB80" i="64" s="1"/>
  <c r="R52" i="74"/>
  <c r="AB58" i="64" s="1"/>
  <c r="R32" i="74"/>
  <c r="AB38" i="64" s="1"/>
  <c r="R66" i="74"/>
  <c r="AB72" i="64" s="1"/>
  <c r="R35" i="74"/>
  <c r="AB41" i="64" s="1"/>
  <c r="R60" i="74"/>
  <c r="AB66" i="64" s="1"/>
  <c r="R16" i="74"/>
  <c r="R26" i="74"/>
  <c r="AB32" i="64" s="1"/>
  <c r="R49" i="74"/>
  <c r="AB55" i="64" s="1"/>
  <c r="AB12" i="64"/>
  <c r="Q3" i="74"/>
  <c r="AH26" i="64" l="1"/>
  <c r="AF27" i="64"/>
  <c r="AB14" i="64"/>
  <c r="Z101" i="74"/>
  <c r="P115" i="65"/>
  <c r="P119" i="65"/>
  <c r="Z105" i="74"/>
  <c r="Z106" i="74"/>
  <c r="S106" i="74"/>
  <c r="Q120" i="65" s="1"/>
  <c r="P120" i="65"/>
  <c r="P113" i="65"/>
  <c r="Z99" i="74"/>
  <c r="P116" i="65"/>
  <c r="Z102" i="74"/>
  <c r="P112" i="65"/>
  <c r="Z98" i="74"/>
  <c r="P118" i="65"/>
  <c r="Z104" i="74"/>
  <c r="P106" i="74"/>
  <c r="P103" i="74"/>
  <c r="P105" i="74"/>
  <c r="P99" i="74"/>
  <c r="P98" i="74"/>
  <c r="P104" i="74"/>
  <c r="P97" i="74"/>
  <c r="P101" i="74"/>
  <c r="P100" i="74"/>
  <c r="P102" i="74"/>
  <c r="Z97" i="74"/>
  <c r="P111" i="65"/>
  <c r="P114" i="65"/>
  <c r="Z100" i="74"/>
  <c r="P117" i="65"/>
  <c r="Z103" i="74"/>
  <c r="O17" i="65"/>
  <c r="Q6" i="74"/>
  <c r="O20" i="65" s="1"/>
  <c r="Q5" i="74"/>
  <c r="O19" i="65" s="1"/>
  <c r="Q4" i="74"/>
  <c r="O18" i="65" s="1"/>
  <c r="AB28" i="64"/>
  <c r="P36" i="65"/>
  <c r="Z22" i="74"/>
  <c r="Z82" i="74"/>
  <c r="P96" i="65"/>
  <c r="Z76" i="74"/>
  <c r="P90" i="65"/>
  <c r="Z58" i="74"/>
  <c r="P72" i="65"/>
  <c r="AB29" i="64"/>
  <c r="Z23" i="74"/>
  <c r="P37" i="65"/>
  <c r="P76" i="65"/>
  <c r="Z62" i="74"/>
  <c r="Z90" i="74"/>
  <c r="P104" i="65"/>
  <c r="P40" i="65"/>
  <c r="Z26" i="74"/>
  <c r="P85" i="65"/>
  <c r="Z71" i="74"/>
  <c r="P44" i="65"/>
  <c r="Z30" i="74"/>
  <c r="Z96" i="74"/>
  <c r="P110" i="65"/>
  <c r="P45" i="74"/>
  <c r="P88" i="74"/>
  <c r="P48" i="74"/>
  <c r="S48" i="74" s="1"/>
  <c r="Q62" i="65" s="1"/>
  <c r="P70" i="74"/>
  <c r="P72" i="74"/>
  <c r="P25" i="74"/>
  <c r="P7" i="74"/>
  <c r="P40" i="74"/>
  <c r="P23" i="74"/>
  <c r="S23" i="74" s="1"/>
  <c r="Q37" i="65" s="1"/>
  <c r="P96" i="74"/>
  <c r="P69" i="74"/>
  <c r="S69" i="74" s="1"/>
  <c r="Q83" i="65" s="1"/>
  <c r="P43" i="74"/>
  <c r="P74" i="74"/>
  <c r="P38" i="74"/>
  <c r="P57" i="74"/>
  <c r="P13" i="74"/>
  <c r="S13" i="74" s="1"/>
  <c r="Q27" i="65" s="1"/>
  <c r="P15" i="74"/>
  <c r="S15" i="74" s="1"/>
  <c r="Q29" i="65" s="1"/>
  <c r="P32" i="74"/>
  <c r="P85" i="74"/>
  <c r="P58" i="74"/>
  <c r="P60" i="74"/>
  <c r="P54" i="74"/>
  <c r="P36" i="74"/>
  <c r="P11" i="74"/>
  <c r="S11" i="74" s="1"/>
  <c r="Q25" i="65" s="1"/>
  <c r="P28" i="74"/>
  <c r="P12" i="74"/>
  <c r="S12" i="74" s="1"/>
  <c r="Q26" i="65" s="1"/>
  <c r="P37" i="74"/>
  <c r="P95" i="74"/>
  <c r="P65" i="74"/>
  <c r="P47" i="74"/>
  <c r="P53" i="74"/>
  <c r="P51" i="74"/>
  <c r="P67" i="74"/>
  <c r="P24" i="74"/>
  <c r="P18" i="74"/>
  <c r="S18" i="74" s="1"/>
  <c r="Q32" i="65" s="1"/>
  <c r="P19" i="74"/>
  <c r="P80" i="74"/>
  <c r="P17" i="74"/>
  <c r="S17" i="74" s="1"/>
  <c r="Q31" i="65" s="1"/>
  <c r="P41" i="74"/>
  <c r="S41" i="74" s="1"/>
  <c r="Q55" i="65" s="1"/>
  <c r="P87" i="74"/>
  <c r="P39" i="74"/>
  <c r="P73" i="74"/>
  <c r="P59" i="74"/>
  <c r="P22" i="74"/>
  <c r="P30" i="74"/>
  <c r="P93" i="74"/>
  <c r="P62" i="74"/>
  <c r="P82" i="74"/>
  <c r="P79" i="74"/>
  <c r="P71" i="74"/>
  <c r="P91" i="74"/>
  <c r="K4" i="74"/>
  <c r="K5" i="74" s="1"/>
  <c r="K12" i="74" s="1"/>
  <c r="P76" i="74"/>
  <c r="P4" i="74"/>
  <c r="P66" i="74"/>
  <c r="P94" i="74"/>
  <c r="P34" i="74"/>
  <c r="P77" i="74"/>
  <c r="P61" i="74"/>
  <c r="P84" i="74"/>
  <c r="P42" i="74"/>
  <c r="M5" i="65"/>
  <c r="M6" i="65" s="1"/>
  <c r="P6" i="74"/>
  <c r="P52" i="74"/>
  <c r="P63" i="74"/>
  <c r="S63" i="74" s="1"/>
  <c r="Q77" i="65" s="1"/>
  <c r="P5" i="74"/>
  <c r="P68" i="74"/>
  <c r="P64" i="74"/>
  <c r="P83" i="74"/>
  <c r="P33" i="74"/>
  <c r="P78" i="74"/>
  <c r="P9" i="74"/>
  <c r="S9" i="74" s="1"/>
  <c r="Q23" i="65" s="1"/>
  <c r="P21" i="74"/>
  <c r="P86" i="74"/>
  <c r="P8" i="74"/>
  <c r="S8" i="74" s="1"/>
  <c r="Q22" i="65" s="1"/>
  <c r="P92" i="74"/>
  <c r="P44" i="74"/>
  <c r="P31" i="74"/>
  <c r="P89" i="74"/>
  <c r="P35" i="74"/>
  <c r="P75" i="74"/>
  <c r="P10" i="74"/>
  <c r="S10" i="74" s="1"/>
  <c r="Q24" i="65" s="1"/>
  <c r="P20" i="74"/>
  <c r="P29" i="74"/>
  <c r="P16" i="74"/>
  <c r="S16" i="74" s="1"/>
  <c r="Q30" i="65" s="1"/>
  <c r="P55" i="74"/>
  <c r="P56" i="74"/>
  <c r="P46" i="74"/>
  <c r="P81" i="74"/>
  <c r="P50" i="74"/>
  <c r="P26" i="74"/>
  <c r="P14" i="74"/>
  <c r="S14" i="74" s="1"/>
  <c r="Q28" i="65" s="1"/>
  <c r="P27" i="74"/>
  <c r="P49" i="74"/>
  <c r="P90" i="74"/>
  <c r="S90" i="74" s="1"/>
  <c r="Q104" i="65" s="1"/>
  <c r="P98" i="65"/>
  <c r="Z84" i="74"/>
  <c r="P69" i="65"/>
  <c r="Z55" i="74"/>
  <c r="AB35" i="64"/>
  <c r="Z29" i="74"/>
  <c r="P43" i="65"/>
  <c r="AB31" i="64"/>
  <c r="P39" i="65"/>
  <c r="Z25" i="74"/>
  <c r="Z68" i="74"/>
  <c r="P82" i="65"/>
  <c r="AB22" i="64"/>
  <c r="Z16" i="74"/>
  <c r="P30" i="65"/>
  <c r="P71" i="65"/>
  <c r="Z57" i="74"/>
  <c r="P95" i="65"/>
  <c r="Z81" i="74"/>
  <c r="P61" i="65"/>
  <c r="Z47" i="74"/>
  <c r="Z34" i="74"/>
  <c r="P48" i="65"/>
  <c r="P92" i="65"/>
  <c r="Z78" i="74"/>
  <c r="Z80" i="74"/>
  <c r="P94" i="65"/>
  <c r="P89" i="65"/>
  <c r="Z75" i="74"/>
  <c r="P77" i="65"/>
  <c r="Z63" i="74"/>
  <c r="P63" i="65"/>
  <c r="Z49" i="74"/>
  <c r="Z60" i="74"/>
  <c r="P74" i="65"/>
  <c r="Z95" i="74"/>
  <c r="P109" i="65"/>
  <c r="Z8" i="74"/>
  <c r="P22" i="65"/>
  <c r="AB34" i="64"/>
  <c r="Z28" i="74"/>
  <c r="P42" i="65"/>
  <c r="Z56" i="74"/>
  <c r="P70" i="65"/>
  <c r="Z50" i="74"/>
  <c r="P64" i="65"/>
  <c r="Z61" i="74"/>
  <c r="P75" i="65"/>
  <c r="P68" i="65"/>
  <c r="Z54" i="74"/>
  <c r="P45" i="65"/>
  <c r="Z31" i="74"/>
  <c r="P51" i="65"/>
  <c r="Z37" i="74"/>
  <c r="Z35" i="74"/>
  <c r="P49" i="65"/>
  <c r="P93" i="65"/>
  <c r="Z79" i="74"/>
  <c r="P54" i="65"/>
  <c r="Z40" i="74"/>
  <c r="P102" i="65"/>
  <c r="Z88" i="74"/>
  <c r="AB24" i="64"/>
  <c r="Z18" i="74"/>
  <c r="P32" i="65"/>
  <c r="P106" i="65"/>
  <c r="Z92" i="74"/>
  <c r="P47" i="65"/>
  <c r="Z33" i="74"/>
  <c r="P105" i="65"/>
  <c r="Z91" i="74"/>
  <c r="Z41" i="74"/>
  <c r="P55" i="65"/>
  <c r="AB15" i="64"/>
  <c r="Z9" i="74"/>
  <c r="P23" i="65"/>
  <c r="P80" i="65"/>
  <c r="Z66" i="74"/>
  <c r="P60" i="65"/>
  <c r="Z46" i="74"/>
  <c r="P78" i="65"/>
  <c r="Z64" i="74"/>
  <c r="P97" i="65"/>
  <c r="Z83" i="74"/>
  <c r="AB33" i="64"/>
  <c r="P41" i="65"/>
  <c r="Z27" i="74"/>
  <c r="P99" i="65"/>
  <c r="Z85" i="74"/>
  <c r="Z93" i="74"/>
  <c r="P107" i="65"/>
  <c r="P81" i="65"/>
  <c r="Z67" i="74"/>
  <c r="Z17" i="74"/>
  <c r="P31" i="65"/>
  <c r="P46" i="65"/>
  <c r="Z32" i="74"/>
  <c r="AB25" i="64"/>
  <c r="Z19" i="74"/>
  <c r="P33" i="65"/>
  <c r="AB30" i="64"/>
  <c r="P38" i="65"/>
  <c r="Z24" i="74"/>
  <c r="P86" i="65"/>
  <c r="Z72" i="74"/>
  <c r="P91" i="65"/>
  <c r="Z77" i="74"/>
  <c r="Z42" i="74"/>
  <c r="P56" i="65"/>
  <c r="AB19" i="64"/>
  <c r="Z13" i="74"/>
  <c r="P27" i="65"/>
  <c r="P67" i="65"/>
  <c r="Z53" i="74"/>
  <c r="P62" i="65"/>
  <c r="Z48" i="74"/>
  <c r="P65" i="65"/>
  <c r="Z51" i="74"/>
  <c r="Z52" i="74"/>
  <c r="P66" i="65"/>
  <c r="Z45" i="74"/>
  <c r="P59" i="65"/>
  <c r="AB16" i="64"/>
  <c r="P24" i="65"/>
  <c r="Z10" i="74"/>
  <c r="Z43" i="74"/>
  <c r="P57" i="65"/>
  <c r="Z36" i="74"/>
  <c r="P50" i="65"/>
  <c r="AB18" i="64"/>
  <c r="Z12" i="74"/>
  <c r="P26" i="65"/>
  <c r="Z69" i="74"/>
  <c r="P83" i="65"/>
  <c r="P108" i="65"/>
  <c r="Z94" i="74"/>
  <c r="P101" i="65"/>
  <c r="Z87" i="74"/>
  <c r="Z74" i="74"/>
  <c r="P88" i="65"/>
  <c r="AB20" i="64"/>
  <c r="P28" i="65"/>
  <c r="Z14" i="74"/>
  <c r="P87" i="65"/>
  <c r="Z73" i="74"/>
  <c r="P73" i="65"/>
  <c r="Z59" i="74"/>
  <c r="P103" i="65"/>
  <c r="Z89" i="74"/>
  <c r="AB21" i="64"/>
  <c r="Z15" i="74"/>
  <c r="P29" i="65"/>
  <c r="Z38" i="74"/>
  <c r="P52" i="65"/>
  <c r="AB27" i="64"/>
  <c r="P35" i="65"/>
  <c r="Z21" i="74"/>
  <c r="P79" i="65"/>
  <c r="Z65" i="74"/>
  <c r="AB26" i="64"/>
  <c r="Z20" i="74"/>
  <c r="P34" i="65"/>
  <c r="S7" i="74"/>
  <c r="Q21" i="65" s="1"/>
  <c r="Z7" i="74"/>
  <c r="P21" i="65"/>
  <c r="P100" i="65"/>
  <c r="Z86" i="74"/>
  <c r="Z39" i="74"/>
  <c r="P53" i="65"/>
  <c r="P58" i="65"/>
  <c r="Z44" i="74"/>
  <c r="Z70" i="74"/>
  <c r="P84" i="65"/>
  <c r="AB17" i="64"/>
  <c r="Z11" i="74"/>
  <c r="P25" i="65"/>
  <c r="AH27" i="64" l="1"/>
  <c r="AF28" i="64"/>
  <c r="S100" i="74"/>
  <c r="Q114" i="65" s="1"/>
  <c r="Y100" i="74"/>
  <c r="N114" i="65"/>
  <c r="S101" i="74"/>
  <c r="Q115" i="65" s="1"/>
  <c r="N115" i="65"/>
  <c r="Y101" i="74"/>
  <c r="S97" i="74"/>
  <c r="Q111" i="65" s="1"/>
  <c r="N111" i="65"/>
  <c r="Y97" i="74"/>
  <c r="N118" i="65"/>
  <c r="Y104" i="74"/>
  <c r="S104" i="74"/>
  <c r="Q118" i="65" s="1"/>
  <c r="Y98" i="74"/>
  <c r="N112" i="65"/>
  <c r="S99" i="74"/>
  <c r="Q113" i="65" s="1"/>
  <c r="Y99" i="74"/>
  <c r="N113" i="65"/>
  <c r="N119" i="65"/>
  <c r="Y105" i="74"/>
  <c r="S105" i="74"/>
  <c r="Q119" i="65" s="1"/>
  <c r="S103" i="74"/>
  <c r="Q117" i="65" s="1"/>
  <c r="N117" i="65"/>
  <c r="Y103" i="74"/>
  <c r="S98" i="74"/>
  <c r="Q112" i="65" s="1"/>
  <c r="N120" i="65"/>
  <c r="Y106" i="74"/>
  <c r="S102" i="74"/>
  <c r="Q116" i="65" s="1"/>
  <c r="Y102" i="74"/>
  <c r="N116" i="65"/>
  <c r="Y65" i="74"/>
  <c r="N79" i="65"/>
  <c r="S92" i="74"/>
  <c r="Q106" i="65" s="1"/>
  <c r="N106" i="65"/>
  <c r="Y92" i="74"/>
  <c r="N64" i="65"/>
  <c r="Y50" i="74"/>
  <c r="S50" i="74"/>
  <c r="Q64" i="65" s="1"/>
  <c r="S31" i="74"/>
  <c r="Q45" i="65" s="1"/>
  <c r="N45" i="65"/>
  <c r="Y31" i="74"/>
  <c r="Y5" i="74"/>
  <c r="N19" i="65"/>
  <c r="Y4" i="74"/>
  <c r="N18" i="65"/>
  <c r="S73" i="74"/>
  <c r="Q87" i="65" s="1"/>
  <c r="Y73" i="74"/>
  <c r="N87" i="65"/>
  <c r="S47" i="74"/>
  <c r="Q61" i="65" s="1"/>
  <c r="Y47" i="74"/>
  <c r="N61" i="65"/>
  <c r="S32" i="74"/>
  <c r="Q46" i="65" s="1"/>
  <c r="N46" i="65"/>
  <c r="Y32" i="74"/>
  <c r="S25" i="74"/>
  <c r="Q39" i="65" s="1"/>
  <c r="Y25" i="74"/>
  <c r="N39" i="65"/>
  <c r="N29" i="65"/>
  <c r="Y15" i="74"/>
  <c r="N109" i="65"/>
  <c r="S95" i="74"/>
  <c r="Q109" i="65" s="1"/>
  <c r="Y95" i="74"/>
  <c r="S56" i="74"/>
  <c r="Q70" i="65" s="1"/>
  <c r="N70" i="65"/>
  <c r="Y56" i="74"/>
  <c r="Y8" i="74"/>
  <c r="N22" i="65"/>
  <c r="Y6" i="74"/>
  <c r="N20" i="65"/>
  <c r="S91" i="74"/>
  <c r="Q105" i="65" s="1"/>
  <c r="Y91" i="74"/>
  <c r="N105" i="65"/>
  <c r="N55" i="65"/>
  <c r="Y41" i="74"/>
  <c r="N51" i="65"/>
  <c r="Y37" i="74"/>
  <c r="N71" i="65"/>
  <c r="Y57" i="74"/>
  <c r="S57" i="74"/>
  <c r="Q71" i="65" s="1"/>
  <c r="Y48" i="74"/>
  <c r="N62" i="65"/>
  <c r="Y72" i="74"/>
  <c r="N86" i="65"/>
  <c r="S72" i="74"/>
  <c r="Q86" i="65" s="1"/>
  <c r="S55" i="74"/>
  <c r="Q69" i="65" s="1"/>
  <c r="N69" i="65"/>
  <c r="Y55" i="74"/>
  <c r="S86" i="74"/>
  <c r="Q100" i="65" s="1"/>
  <c r="N100" i="65"/>
  <c r="Y86" i="74"/>
  <c r="S71" i="74"/>
  <c r="Q85" i="65" s="1"/>
  <c r="N85" i="65"/>
  <c r="Y71" i="74"/>
  <c r="Y17" i="74"/>
  <c r="N31" i="65"/>
  <c r="Y12" i="74"/>
  <c r="N26" i="65"/>
  <c r="N52" i="65"/>
  <c r="Y38" i="74"/>
  <c r="S38" i="74"/>
  <c r="Q52" i="65" s="1"/>
  <c r="S88" i="74"/>
  <c r="Q102" i="65" s="1"/>
  <c r="Y88" i="74"/>
  <c r="N102" i="65"/>
  <c r="Y16" i="74"/>
  <c r="N30" i="65"/>
  <c r="S21" i="74"/>
  <c r="Q35" i="65" s="1"/>
  <c r="Y21" i="74"/>
  <c r="N35" i="65"/>
  <c r="S42" i="74"/>
  <c r="Q56" i="65" s="1"/>
  <c r="Y42" i="74"/>
  <c r="N56" i="65"/>
  <c r="N93" i="65"/>
  <c r="Y79" i="74"/>
  <c r="S79" i="74"/>
  <c r="Q93" i="65" s="1"/>
  <c r="S80" i="74"/>
  <c r="Q94" i="65" s="1"/>
  <c r="N94" i="65"/>
  <c r="Y80" i="74"/>
  <c r="S28" i="74"/>
  <c r="Q42" i="65" s="1"/>
  <c r="N42" i="65"/>
  <c r="Y28" i="74"/>
  <c r="N88" i="65"/>
  <c r="Y74" i="74"/>
  <c r="S74" i="74"/>
  <c r="Q88" i="65" s="1"/>
  <c r="S45" i="74"/>
  <c r="Q59" i="65" s="1"/>
  <c r="Y45" i="74"/>
  <c r="N59" i="65"/>
  <c r="S76" i="74"/>
  <c r="Q90" i="65" s="1"/>
  <c r="N90" i="65"/>
  <c r="Y76" i="74"/>
  <c r="Y29" i="74"/>
  <c r="S29" i="74"/>
  <c r="Q43" i="65" s="1"/>
  <c r="N43" i="65"/>
  <c r="Y9" i="74"/>
  <c r="N23" i="65"/>
  <c r="Y84" i="74"/>
  <c r="N98" i="65"/>
  <c r="S84" i="74"/>
  <c r="Q98" i="65" s="1"/>
  <c r="S82" i="74"/>
  <c r="Q96" i="65" s="1"/>
  <c r="Y82" i="74"/>
  <c r="N96" i="65"/>
  <c r="S19" i="74"/>
  <c r="Q33" i="65" s="1"/>
  <c r="Y19" i="74"/>
  <c r="N33" i="65"/>
  <c r="N25" i="65"/>
  <c r="Y11" i="74"/>
  <c r="S43" i="74"/>
  <c r="Q57" i="65" s="1"/>
  <c r="N57" i="65"/>
  <c r="Y43" i="74"/>
  <c r="S39" i="74"/>
  <c r="Q53" i="65" s="1"/>
  <c r="Y39" i="74"/>
  <c r="N53" i="65"/>
  <c r="Y90" i="74"/>
  <c r="N104" i="65"/>
  <c r="S20" i="74"/>
  <c r="Q34" i="65" s="1"/>
  <c r="N34" i="65"/>
  <c r="Y20" i="74"/>
  <c r="S78" i="74"/>
  <c r="Q92" i="65" s="1"/>
  <c r="N92" i="65"/>
  <c r="Y78" i="74"/>
  <c r="S61" i="74"/>
  <c r="Q75" i="65" s="1"/>
  <c r="Y61" i="74"/>
  <c r="N75" i="65"/>
  <c r="S62" i="74"/>
  <c r="Q76" i="65" s="1"/>
  <c r="Y62" i="74"/>
  <c r="N76" i="65"/>
  <c r="N32" i="65"/>
  <c r="Y18" i="74"/>
  <c r="S36" i="74"/>
  <c r="Q50" i="65" s="1"/>
  <c r="N50" i="65"/>
  <c r="Y36" i="74"/>
  <c r="N83" i="65"/>
  <c r="Y69" i="74"/>
  <c r="Y81" i="74"/>
  <c r="N95" i="65"/>
  <c r="S81" i="74"/>
  <c r="Q95" i="65" s="1"/>
  <c r="S46" i="74"/>
  <c r="Q60" i="65" s="1"/>
  <c r="Y46" i="74"/>
  <c r="N60" i="65"/>
  <c r="N66" i="65"/>
  <c r="Y52" i="74"/>
  <c r="S52" i="74"/>
  <c r="Q66" i="65" s="1"/>
  <c r="Z3" i="74"/>
  <c r="E41" i="74" s="1"/>
  <c r="S49" i="74"/>
  <c r="Q63" i="65" s="1"/>
  <c r="N63" i="65"/>
  <c r="Y49" i="74"/>
  <c r="N24" i="65"/>
  <c r="Y10" i="74"/>
  <c r="Y33" i="74"/>
  <c r="S33" i="74"/>
  <c r="Q47" i="65" s="1"/>
  <c r="N47" i="65"/>
  <c r="S77" i="74"/>
  <c r="Q91" i="65" s="1"/>
  <c r="Y77" i="74"/>
  <c r="N91" i="65"/>
  <c r="S93" i="74"/>
  <c r="Q107" i="65" s="1"/>
  <c r="Y93" i="74"/>
  <c r="N107" i="65"/>
  <c r="S24" i="74"/>
  <c r="Q38" i="65" s="1"/>
  <c r="Y24" i="74"/>
  <c r="N38" i="65"/>
  <c r="Y54" i="74"/>
  <c r="N68" i="65"/>
  <c r="S54" i="74"/>
  <c r="Q68" i="65" s="1"/>
  <c r="S96" i="74"/>
  <c r="Q110" i="65" s="1"/>
  <c r="N110" i="65"/>
  <c r="Y96" i="74"/>
  <c r="S44" i="74"/>
  <c r="Q58" i="65" s="1"/>
  <c r="Y44" i="74"/>
  <c r="N58" i="65"/>
  <c r="N84" i="65"/>
  <c r="S70" i="74"/>
  <c r="Q84" i="65" s="1"/>
  <c r="Y70" i="74"/>
  <c r="S27" i="74"/>
  <c r="Q41" i="65" s="1"/>
  <c r="Y27" i="74"/>
  <c r="N41" i="65"/>
  <c r="Y75" i="74"/>
  <c r="S75" i="74"/>
  <c r="Q89" i="65" s="1"/>
  <c r="N89" i="65"/>
  <c r="S83" i="74"/>
  <c r="Q97" i="65" s="1"/>
  <c r="Y83" i="74"/>
  <c r="N97" i="65"/>
  <c r="S34" i="74"/>
  <c r="Q48" i="65" s="1"/>
  <c r="Y34" i="74"/>
  <c r="N48" i="65"/>
  <c r="S30" i="74"/>
  <c r="Q44" i="65" s="1"/>
  <c r="N44" i="65"/>
  <c r="Y30" i="74"/>
  <c r="S67" i="74"/>
  <c r="Q81" i="65" s="1"/>
  <c r="N81" i="65"/>
  <c r="Y67" i="74"/>
  <c r="Y60" i="74"/>
  <c r="N74" i="65"/>
  <c r="S60" i="74"/>
  <c r="Q74" i="65" s="1"/>
  <c r="Y23" i="74"/>
  <c r="N37" i="65"/>
  <c r="Y63" i="74"/>
  <c r="N77" i="65"/>
  <c r="N101" i="65"/>
  <c r="Y87" i="74"/>
  <c r="S87" i="74"/>
  <c r="Q101" i="65" s="1"/>
  <c r="Y14" i="74"/>
  <c r="N28" i="65"/>
  <c r="S35" i="74"/>
  <c r="Q49" i="65" s="1"/>
  <c r="Y35" i="74"/>
  <c r="N49" i="65"/>
  <c r="S64" i="74"/>
  <c r="Q78" i="65" s="1"/>
  <c r="Y64" i="74"/>
  <c r="N78" i="65"/>
  <c r="S94" i="74"/>
  <c r="Q108" i="65" s="1"/>
  <c r="N108" i="65"/>
  <c r="Y94" i="74"/>
  <c r="S22" i="74"/>
  <c r="Q36" i="65" s="1"/>
  <c r="N36" i="65"/>
  <c r="Y22" i="74"/>
  <c r="N65" i="65"/>
  <c r="S51" i="74"/>
  <c r="Q65" i="65" s="1"/>
  <c r="Y51" i="74"/>
  <c r="S58" i="74"/>
  <c r="Q72" i="65" s="1"/>
  <c r="N72" i="65"/>
  <c r="Y58" i="74"/>
  <c r="S40" i="74"/>
  <c r="Q54" i="65" s="1"/>
  <c r="Y40" i="74"/>
  <c r="N54" i="65"/>
  <c r="S65" i="74"/>
  <c r="Q79" i="65" s="1"/>
  <c r="N27" i="65"/>
  <c r="Y13" i="74"/>
  <c r="S26" i="74"/>
  <c r="Q40" i="65" s="1"/>
  <c r="Y26" i="74"/>
  <c r="N40" i="65"/>
  <c r="S89" i="74"/>
  <c r="Q103" i="65" s="1"/>
  <c r="N103" i="65"/>
  <c r="Y89" i="74"/>
  <c r="S68" i="74"/>
  <c r="Q82" i="65" s="1"/>
  <c r="Y68" i="74"/>
  <c r="N82" i="65"/>
  <c r="S66" i="74"/>
  <c r="Q80" i="65" s="1"/>
  <c r="N80" i="65"/>
  <c r="Y66" i="74"/>
  <c r="S59" i="74"/>
  <c r="Q73" i="65" s="1"/>
  <c r="N73" i="65"/>
  <c r="Y59" i="74"/>
  <c r="S53" i="74"/>
  <c r="Q67" i="65" s="1"/>
  <c r="Y53" i="74"/>
  <c r="N67" i="65"/>
  <c r="S85" i="74"/>
  <c r="Q99" i="65" s="1"/>
  <c r="Y85" i="74"/>
  <c r="N99" i="65"/>
  <c r="N21" i="65"/>
  <c r="Y7" i="74"/>
  <c r="S37" i="74"/>
  <c r="Q51" i="65" s="1"/>
  <c r="AH28" i="64" l="1"/>
  <c r="AF29" i="64"/>
  <c r="Y3" i="74"/>
  <c r="E42" i="74" s="1"/>
  <c r="AH29" i="64" l="1"/>
  <c r="AF30" i="64"/>
  <c r="AH30" i="64" l="1"/>
  <c r="AF31" i="64"/>
  <c r="AH31" i="64" l="1"/>
  <c r="AF32" i="64"/>
  <c r="AH32" i="64" l="1"/>
  <c r="AF33" i="64"/>
  <c r="AH33" i="64" l="1"/>
  <c r="AF34" i="64"/>
  <c r="AH34" i="64" l="1"/>
  <c r="AF35" i="64"/>
  <c r="AH35" i="64" l="1"/>
  <c r="AF36" i="64"/>
  <c r="L4" i="63"/>
  <c r="AH36" i="64" l="1"/>
  <c r="AF37" i="64"/>
  <c r="P51" i="63"/>
  <c r="P50" i="63"/>
  <c r="P49" i="63"/>
  <c r="P48" i="63"/>
  <c r="P47" i="63"/>
  <c r="P46" i="63"/>
  <c r="P45" i="63"/>
  <c r="P44" i="63"/>
  <c r="P43" i="63"/>
  <c r="P42" i="63"/>
  <c r="P41" i="63"/>
  <c r="P40" i="63"/>
  <c r="P39" i="63"/>
  <c r="P38" i="63"/>
  <c r="P37" i="63"/>
  <c r="P36" i="63"/>
  <c r="P35" i="63"/>
  <c r="P34" i="63"/>
  <c r="P33" i="63"/>
  <c r="P32" i="63"/>
  <c r="P31" i="63"/>
  <c r="P30" i="63"/>
  <c r="P29" i="63"/>
  <c r="P28" i="63"/>
  <c r="P27" i="63"/>
  <c r="H27" i="63"/>
  <c r="P26" i="63"/>
  <c r="H26" i="63"/>
  <c r="P25" i="63"/>
  <c r="H25" i="63"/>
  <c r="P24" i="63"/>
  <c r="H24" i="63"/>
  <c r="P23" i="63"/>
  <c r="H23" i="63"/>
  <c r="P22" i="63"/>
  <c r="H22" i="63"/>
  <c r="P21" i="63"/>
  <c r="P20" i="63"/>
  <c r="Q18" i="63"/>
  <c r="P18" i="63"/>
  <c r="H18" i="63"/>
  <c r="Q17" i="63"/>
  <c r="P17" i="63"/>
  <c r="H17" i="63"/>
  <c r="Q16" i="63"/>
  <c r="P16" i="63"/>
  <c r="H16" i="63"/>
  <c r="Q15" i="63"/>
  <c r="P15" i="63"/>
  <c r="H15" i="63"/>
  <c r="Q14" i="63"/>
  <c r="P14" i="63"/>
  <c r="H14" i="63"/>
  <c r="Q13" i="63"/>
  <c r="P13" i="63"/>
  <c r="H13" i="63"/>
  <c r="D9" i="63"/>
  <c r="C9" i="63"/>
  <c r="AB6" i="63"/>
  <c r="AB7" i="63" s="1"/>
  <c r="AB8" i="63" s="1"/>
  <c r="AB9" i="63" s="1"/>
  <c r="AB10" i="63" s="1"/>
  <c r="AB11" i="63" s="1"/>
  <c r="AB12" i="63" s="1"/>
  <c r="AB13" i="63" s="1"/>
  <c r="AB14" i="63" s="1"/>
  <c r="AB15" i="63" s="1"/>
  <c r="AB16" i="63" s="1"/>
  <c r="AB17" i="63" s="1"/>
  <c r="AB18" i="63" s="1"/>
  <c r="AB19" i="63" s="1"/>
  <c r="AB20" i="63" s="1"/>
  <c r="AB21" i="63" s="1"/>
  <c r="AB22" i="63" s="1"/>
  <c r="AB23" i="63" s="1"/>
  <c r="AB24" i="63" s="1"/>
  <c r="AB25" i="63" s="1"/>
  <c r="AB26" i="63" s="1"/>
  <c r="AB27" i="63" s="1"/>
  <c r="AB28" i="63" s="1"/>
  <c r="AB29" i="63" s="1"/>
  <c r="AB30" i="63" s="1"/>
  <c r="AB31" i="63" s="1"/>
  <c r="AB32" i="63" s="1"/>
  <c r="AB33" i="63" s="1"/>
  <c r="AB34" i="63" s="1"/>
  <c r="AB35" i="63" s="1"/>
  <c r="AB36" i="63" s="1"/>
  <c r="AB37" i="63" s="1"/>
  <c r="AB38" i="63" s="1"/>
  <c r="AB39" i="63" s="1"/>
  <c r="AB40" i="63" s="1"/>
  <c r="AB41" i="63" s="1"/>
  <c r="AB42" i="63" s="1"/>
  <c r="AB43" i="63" s="1"/>
  <c r="AB44" i="63" s="1"/>
  <c r="AB45" i="63" s="1"/>
  <c r="AB46" i="63" s="1"/>
  <c r="AB47" i="63" s="1"/>
  <c r="AB48" i="63" s="1"/>
  <c r="AB49" i="63" s="1"/>
  <c r="AB50" i="63" s="1"/>
  <c r="AB51" i="63" s="1"/>
  <c r="AB52" i="63" s="1"/>
  <c r="AB53" i="63" s="1"/>
  <c r="AB54" i="63" s="1"/>
  <c r="AB55" i="63" s="1"/>
  <c r="AB56" i="63" s="1"/>
  <c r="AB57" i="63" s="1"/>
  <c r="AB58" i="63" s="1"/>
  <c r="AB59" i="63" s="1"/>
  <c r="AB60" i="63" s="1"/>
  <c r="AB61" i="63" s="1"/>
  <c r="AB62" i="63" s="1"/>
  <c r="AB63" i="63" s="1"/>
  <c r="AB64" i="63" s="1"/>
  <c r="AB65" i="63" s="1"/>
  <c r="AB66" i="63" s="1"/>
  <c r="AB67" i="63" s="1"/>
  <c r="AB68" i="63" s="1"/>
  <c r="AB69" i="63" s="1"/>
  <c r="AB70" i="63" s="1"/>
  <c r="AB71" i="63" s="1"/>
  <c r="AB72" i="63" s="1"/>
  <c r="AB73" i="63" s="1"/>
  <c r="AB74" i="63" s="1"/>
  <c r="AB75" i="63" s="1"/>
  <c r="AB76" i="63" s="1"/>
  <c r="AB77" i="63" s="1"/>
  <c r="AB78" i="63" s="1"/>
  <c r="AB79" i="63" s="1"/>
  <c r="AB80" i="63" s="1"/>
  <c r="AB81" i="63" s="1"/>
  <c r="AB82" i="63" s="1"/>
  <c r="AB83" i="63" s="1"/>
  <c r="AB84" i="63" s="1"/>
  <c r="AB85" i="63" s="1"/>
  <c r="AB86" i="63" s="1"/>
  <c r="AB87" i="63" s="1"/>
  <c r="AB88" i="63" s="1"/>
  <c r="AB89" i="63" s="1"/>
  <c r="AB90" i="63" s="1"/>
  <c r="AB91" i="63" s="1"/>
  <c r="AB92" i="63" s="1"/>
  <c r="AB93" i="63" s="1"/>
  <c r="AB94" i="63" s="1"/>
  <c r="AB95" i="63" s="1"/>
  <c r="AB96" i="63" s="1"/>
  <c r="AB97" i="63" s="1"/>
  <c r="AB98" i="63" s="1"/>
  <c r="AB99" i="63" s="1"/>
  <c r="AB100" i="63" s="1"/>
  <c r="AB101" i="63" s="1"/>
  <c r="AB102" i="63" s="1"/>
  <c r="AB103" i="63" s="1"/>
  <c r="AB104" i="63" s="1"/>
  <c r="AB105" i="63" s="1"/>
  <c r="AB106" i="63" s="1"/>
  <c r="AB107" i="63" s="1"/>
  <c r="AB108" i="63" s="1"/>
  <c r="AB109" i="63" s="1"/>
  <c r="AB110" i="63" s="1"/>
  <c r="AB111" i="63" s="1"/>
  <c r="AB112" i="63" s="1"/>
  <c r="AB113" i="63" s="1"/>
  <c r="AB114" i="63" s="1"/>
  <c r="AB115" i="63" s="1"/>
  <c r="AB116" i="63" s="1"/>
  <c r="AB117" i="63" s="1"/>
  <c r="E4" i="63"/>
  <c r="T2" i="63"/>
  <c r="Y5" i="63" s="1"/>
  <c r="J4" i="63"/>
  <c r="AF38" i="64" l="1"/>
  <c r="AH37" i="64"/>
  <c r="J10" i="63"/>
  <c r="S5" i="63"/>
  <c r="U5" i="63" s="1"/>
  <c r="AF39" i="64" l="1"/>
  <c r="AH38" i="64"/>
  <c r="V5" i="63"/>
  <c r="W5" i="63"/>
  <c r="I4" i="63"/>
  <c r="AF40" i="64" l="1"/>
  <c r="AH39" i="64"/>
  <c r="R6" i="63"/>
  <c r="AF41" i="64" l="1"/>
  <c r="AH40" i="64"/>
  <c r="R7" i="63"/>
  <c r="T6" i="63"/>
  <c r="Y6" i="63" s="1"/>
  <c r="S6" i="63"/>
  <c r="U6" i="63" s="1"/>
  <c r="AF42" i="64" l="1"/>
  <c r="AH41" i="64"/>
  <c r="V6" i="63"/>
  <c r="T7" i="63" s="1"/>
  <c r="W6" i="63"/>
  <c r="R8" i="63"/>
  <c r="S7" i="63"/>
  <c r="U7" i="63" s="1"/>
  <c r="AF43" i="64" l="1"/>
  <c r="AH42" i="64"/>
  <c r="Y7" i="63"/>
  <c r="V7" i="63"/>
  <c r="T8" i="63" s="1"/>
  <c r="W7" i="63"/>
  <c r="S8" i="63"/>
  <c r="U8" i="63" s="1"/>
  <c r="R9" i="63"/>
  <c r="AF44" i="64" l="1"/>
  <c r="AH43" i="64"/>
  <c r="S9" i="63"/>
  <c r="U9" i="63" s="1"/>
  <c r="R10" i="63"/>
  <c r="Y8" i="63"/>
  <c r="V8" i="63"/>
  <c r="T9" i="63" s="1"/>
  <c r="W8" i="63"/>
  <c r="AF45" i="64" l="1"/>
  <c r="AH44" i="64"/>
  <c r="Y9" i="63"/>
  <c r="V9" i="63"/>
  <c r="T10" i="63" s="1"/>
  <c r="W9" i="63"/>
  <c r="R11" i="63"/>
  <c r="S10" i="63"/>
  <c r="U10" i="63" s="1"/>
  <c r="AF46" i="64" l="1"/>
  <c r="AH45" i="64"/>
  <c r="R12" i="63"/>
  <c r="S11" i="63"/>
  <c r="U11" i="63" s="1"/>
  <c r="V10" i="63"/>
  <c r="T11" i="63" s="1"/>
  <c r="W10" i="63"/>
  <c r="Y10" i="63"/>
  <c r="AF47" i="64" l="1"/>
  <c r="AH46" i="64"/>
  <c r="Y11" i="63"/>
  <c r="V11" i="63"/>
  <c r="T12" i="63" s="1"/>
  <c r="Y12" i="63" s="1"/>
  <c r="R13" i="63"/>
  <c r="S12" i="63"/>
  <c r="U12" i="63" s="1"/>
  <c r="W11" i="63"/>
  <c r="AF48" i="64" l="1"/>
  <c r="AH47" i="64"/>
  <c r="V12" i="63"/>
  <c r="T13" i="63" s="1"/>
  <c r="W12" i="63"/>
  <c r="S13" i="63"/>
  <c r="U13" i="63" s="1"/>
  <c r="R14" i="63"/>
  <c r="AF49" i="64" l="1"/>
  <c r="AH49" i="64" s="1"/>
  <c r="AH48" i="64"/>
  <c r="Y13" i="63"/>
  <c r="W13" i="63"/>
  <c r="V13" i="63"/>
  <c r="T14" i="63" s="1"/>
  <c r="R15" i="63"/>
  <c r="S14" i="63"/>
  <c r="U14" i="63" s="1"/>
  <c r="S15" i="63" l="1"/>
  <c r="U15" i="63" s="1"/>
  <c r="R16" i="63"/>
  <c r="W14" i="63"/>
  <c r="V14" i="63"/>
  <c r="T15" i="63" s="1"/>
  <c r="Y14" i="63"/>
  <c r="Y15" i="63" l="1"/>
  <c r="V15" i="63"/>
  <c r="T16" i="63" s="1"/>
  <c r="Y16" i="63" s="1"/>
  <c r="W15" i="63"/>
  <c r="R17" i="63"/>
  <c r="S16" i="63"/>
  <c r="U16" i="63" s="1"/>
  <c r="V16" i="63" l="1"/>
  <c r="T17" i="63" s="1"/>
  <c r="Y17" i="63" s="1"/>
  <c r="W16" i="63"/>
  <c r="R18" i="63"/>
  <c r="S17" i="63"/>
  <c r="U17" i="63" s="1"/>
  <c r="V17" i="63" l="1"/>
  <c r="T18" i="63" s="1"/>
  <c r="Y18" i="63" s="1"/>
  <c r="S18" i="63"/>
  <c r="U18" i="63" s="1"/>
  <c r="R19" i="63"/>
  <c r="W17" i="63"/>
  <c r="V18" i="63" l="1"/>
  <c r="T19" i="63" s="1"/>
  <c r="W18" i="63"/>
  <c r="R20" i="63"/>
  <c r="S19" i="63"/>
  <c r="U19" i="63" s="1"/>
  <c r="Y19" i="63" l="1"/>
  <c r="W19" i="63"/>
  <c r="V19" i="63"/>
  <c r="T20" i="63" s="1"/>
  <c r="Y20" i="63" s="1"/>
  <c r="R21" i="63"/>
  <c r="S20" i="63"/>
  <c r="U20" i="63" s="1"/>
  <c r="V20" i="63" l="1"/>
  <c r="T21" i="63" s="1"/>
  <c r="Y21" i="63" s="1"/>
  <c r="W20" i="63"/>
  <c r="R22" i="63"/>
  <c r="S21" i="63"/>
  <c r="U21" i="63" s="1"/>
  <c r="W21" i="63" l="1"/>
  <c r="V21" i="63"/>
  <c r="T22" i="63" s="1"/>
  <c r="S22" i="63"/>
  <c r="U22" i="63" s="1"/>
  <c r="R23" i="63"/>
  <c r="S23" i="63" l="1"/>
  <c r="U23" i="63" s="1"/>
  <c r="R24" i="63"/>
  <c r="Y22" i="63"/>
  <c r="W22" i="63"/>
  <c r="V22" i="63"/>
  <c r="T23" i="63" s="1"/>
  <c r="W23" i="63" l="1"/>
  <c r="V23" i="63"/>
  <c r="T24" i="63" s="1"/>
  <c r="Y23" i="63"/>
  <c r="R25" i="63"/>
  <c r="S24" i="63"/>
  <c r="U24" i="63" s="1"/>
  <c r="S25" i="63" l="1"/>
  <c r="U25" i="63" s="1"/>
  <c r="R26" i="63"/>
  <c r="W24" i="63"/>
  <c r="V24" i="63"/>
  <c r="T25" i="63" s="1"/>
  <c r="Y24" i="63"/>
  <c r="Y25" i="63" l="1"/>
  <c r="W25" i="63"/>
  <c r="V25" i="63"/>
  <c r="T26" i="63" s="1"/>
  <c r="S26" i="63"/>
  <c r="U26" i="63" s="1"/>
  <c r="R27" i="63"/>
  <c r="R28" i="63" l="1"/>
  <c r="S27" i="63"/>
  <c r="U27" i="63" s="1"/>
  <c r="Y26" i="63"/>
  <c r="V26" i="63"/>
  <c r="T27" i="63" s="1"/>
  <c r="W26" i="63"/>
  <c r="Y27" i="63" l="1"/>
  <c r="V27" i="63"/>
  <c r="T28" i="63" s="1"/>
  <c r="W27" i="63"/>
  <c r="R29" i="63"/>
  <c r="S28" i="63"/>
  <c r="U28" i="63" s="1"/>
  <c r="S29" i="63" l="1"/>
  <c r="U29" i="63" s="1"/>
  <c r="R30" i="63"/>
  <c r="W28" i="63"/>
  <c r="Y28" i="63"/>
  <c r="V28" i="63"/>
  <c r="T29" i="63" s="1"/>
  <c r="Y29" i="63" l="1"/>
  <c r="W29" i="63"/>
  <c r="V29" i="63"/>
  <c r="T30" i="63" s="1"/>
  <c r="S30" i="63"/>
  <c r="U30" i="63" s="1"/>
  <c r="R31" i="63"/>
  <c r="Y30" i="63" l="1"/>
  <c r="V30" i="63"/>
  <c r="T31" i="63" s="1"/>
  <c r="W30" i="63"/>
  <c r="R32" i="63"/>
  <c r="S31" i="63"/>
  <c r="U31" i="63" s="1"/>
  <c r="V31" i="63" l="1"/>
  <c r="T32" i="63" s="1"/>
  <c r="Y31" i="63"/>
  <c r="W31" i="63"/>
  <c r="S32" i="63"/>
  <c r="U32" i="63" s="1"/>
  <c r="R33" i="63"/>
  <c r="W32" i="63" l="1"/>
  <c r="V32" i="63"/>
  <c r="T33" i="63" s="1"/>
  <c r="Y32" i="63"/>
  <c r="R34" i="63"/>
  <c r="S33" i="63"/>
  <c r="U33" i="63" s="1"/>
  <c r="Y33" i="63" l="1"/>
  <c r="W33" i="63"/>
  <c r="V33" i="63"/>
  <c r="T34" i="63" s="1"/>
  <c r="S34" i="63"/>
  <c r="U34" i="63" s="1"/>
  <c r="R35" i="63"/>
  <c r="R36" i="63" l="1"/>
  <c r="S35" i="63"/>
  <c r="U35" i="63" s="1"/>
  <c r="Y34" i="63"/>
  <c r="V34" i="63"/>
  <c r="T35" i="63" s="1"/>
  <c r="W34" i="63"/>
  <c r="Y35" i="63" l="1"/>
  <c r="W35" i="63"/>
  <c r="V35" i="63"/>
  <c r="T36" i="63" s="1"/>
  <c r="S36" i="63"/>
  <c r="U36" i="63" s="1"/>
  <c r="R37" i="63"/>
  <c r="R38" i="63" l="1"/>
  <c r="S37" i="63"/>
  <c r="U37" i="63" s="1"/>
  <c r="Y36" i="63"/>
  <c r="W36" i="63"/>
  <c r="V36" i="63"/>
  <c r="T37" i="63" s="1"/>
  <c r="Y37" i="63" l="1"/>
  <c r="V37" i="63"/>
  <c r="T38" i="63" s="1"/>
  <c r="W37" i="63"/>
  <c r="S38" i="63"/>
  <c r="U38" i="63" s="1"/>
  <c r="R39" i="63"/>
  <c r="V38" i="63" l="1"/>
  <c r="T39" i="63" s="1"/>
  <c r="Y39" i="63" s="1"/>
  <c r="R40" i="63"/>
  <c r="S39" i="63"/>
  <c r="U39" i="63" s="1"/>
  <c r="Y38" i="63"/>
  <c r="W38" i="63"/>
  <c r="W39" i="63" l="1"/>
  <c r="V39" i="63"/>
  <c r="T40" i="63" s="1"/>
  <c r="S40" i="63"/>
  <c r="U40" i="63" s="1"/>
  <c r="R41" i="63"/>
  <c r="R42" i="63" l="1"/>
  <c r="S41" i="63"/>
  <c r="U41" i="63" s="1"/>
  <c r="Y40" i="63"/>
  <c r="V40" i="63"/>
  <c r="T41" i="63" s="1"/>
  <c r="W40" i="63"/>
  <c r="Y41" i="63" l="1"/>
  <c r="W41" i="63"/>
  <c r="V41" i="63"/>
  <c r="T42" i="63" s="1"/>
  <c r="Y42" i="63" s="1"/>
  <c r="R43" i="63"/>
  <c r="S42" i="63"/>
  <c r="U42" i="63" s="1"/>
  <c r="W42" i="63" l="1"/>
  <c r="V42" i="63"/>
  <c r="T43" i="63" s="1"/>
  <c r="S43" i="63"/>
  <c r="U43" i="63" s="1"/>
  <c r="R44" i="63"/>
  <c r="V43" i="63" l="1"/>
  <c r="T44" i="63" s="1"/>
  <c r="Y44" i="63" s="1"/>
  <c r="Y43" i="63"/>
  <c r="W43" i="63"/>
  <c r="S44" i="63"/>
  <c r="U44" i="63" s="1"/>
  <c r="R45" i="63"/>
  <c r="W44" i="63" l="1"/>
  <c r="V44" i="63"/>
  <c r="T45" i="63" s="1"/>
  <c r="S45" i="63"/>
  <c r="U45" i="63" s="1"/>
  <c r="R46" i="63"/>
  <c r="S46" i="63" l="1"/>
  <c r="U46" i="63" s="1"/>
  <c r="R47" i="63"/>
  <c r="Y45" i="63"/>
  <c r="V45" i="63"/>
  <c r="T46" i="63" s="1"/>
  <c r="W45" i="63"/>
  <c r="Y46" i="63" l="1"/>
  <c r="V46" i="63"/>
  <c r="T47" i="63" s="1"/>
  <c r="W46" i="63"/>
  <c r="R48" i="63"/>
  <c r="S47" i="63"/>
  <c r="U47" i="63" s="1"/>
  <c r="V47" i="63" l="1"/>
  <c r="T48" i="63" s="1"/>
  <c r="S48" i="63"/>
  <c r="U48" i="63" s="1"/>
  <c r="R49" i="63"/>
  <c r="Y47" i="63"/>
  <c r="W47" i="63"/>
  <c r="W48" i="63" l="1"/>
  <c r="R50" i="63"/>
  <c r="S49" i="63"/>
  <c r="U49" i="63" s="1"/>
  <c r="Y48" i="63"/>
  <c r="V48" i="63"/>
  <c r="T49" i="63" s="1"/>
  <c r="Y49" i="63" l="1"/>
  <c r="W49" i="63"/>
  <c r="V49" i="63"/>
  <c r="T50" i="63" s="1"/>
  <c r="S50" i="63"/>
  <c r="U50" i="63" s="1"/>
  <c r="R51" i="63"/>
  <c r="S51" i="63" l="1"/>
  <c r="U51" i="63" s="1"/>
  <c r="R52" i="63"/>
  <c r="W50" i="63"/>
  <c r="V50" i="63"/>
  <c r="T51" i="63" s="1"/>
  <c r="Y51" i="63" s="1"/>
  <c r="Y50" i="63"/>
  <c r="V51" i="63" l="1"/>
  <c r="T52" i="63" s="1"/>
  <c r="Y52" i="63" s="1"/>
  <c r="W51" i="63"/>
  <c r="S52" i="63"/>
  <c r="U52" i="63" s="1"/>
  <c r="R53" i="63"/>
  <c r="V52" i="63" l="1"/>
  <c r="T53" i="63" s="1"/>
  <c r="W52" i="63"/>
  <c r="S53" i="63"/>
  <c r="U53" i="63" s="1"/>
  <c r="R54" i="63"/>
  <c r="R55" i="63" l="1"/>
  <c r="S54" i="63"/>
  <c r="U54" i="63" s="1"/>
  <c r="Y53" i="63"/>
  <c r="V53" i="63"/>
  <c r="T54" i="63" s="1"/>
  <c r="W53" i="63"/>
  <c r="Y54" i="63" l="1"/>
  <c r="V54" i="63"/>
  <c r="T55" i="63" s="1"/>
  <c r="S55" i="63"/>
  <c r="U55" i="63" s="1"/>
  <c r="R56" i="63"/>
  <c r="W54" i="63"/>
  <c r="W55" i="63" l="1"/>
  <c r="R57" i="63"/>
  <c r="S56" i="63"/>
  <c r="U56" i="63" s="1"/>
  <c r="Y55" i="63"/>
  <c r="V55" i="63"/>
  <c r="T56" i="63" s="1"/>
  <c r="W56" i="63" l="1"/>
  <c r="V56" i="63"/>
  <c r="T57" i="63" s="1"/>
  <c r="Y56" i="63"/>
  <c r="S57" i="63"/>
  <c r="U57" i="63" s="1"/>
  <c r="R58" i="63"/>
  <c r="Y57" i="63" l="1"/>
  <c r="V57" i="63"/>
  <c r="T58" i="63" s="1"/>
  <c r="W57" i="63"/>
  <c r="R59" i="63"/>
  <c r="S58" i="63"/>
  <c r="U58" i="63" s="1"/>
  <c r="W58" i="63" l="1"/>
  <c r="Y58" i="63"/>
  <c r="V58" i="63"/>
  <c r="T59" i="63" s="1"/>
  <c r="Y59" i="63" s="1"/>
  <c r="R60" i="63"/>
  <c r="S59" i="63"/>
  <c r="U59" i="63" s="1"/>
  <c r="W59" i="63" l="1"/>
  <c r="S60" i="63"/>
  <c r="U60" i="63" s="1"/>
  <c r="R61" i="63"/>
  <c r="V59" i="63"/>
  <c r="T60" i="63" s="1"/>
  <c r="S61" i="63" l="1"/>
  <c r="U61" i="63" s="1"/>
  <c r="R62" i="63"/>
  <c r="Y60" i="63"/>
  <c r="V60" i="63"/>
  <c r="T61" i="63" s="1"/>
  <c r="W60" i="63"/>
  <c r="V61" i="63" l="1"/>
  <c r="T62" i="63" s="1"/>
  <c r="Y61" i="63"/>
  <c r="W61" i="63"/>
  <c r="S62" i="63"/>
  <c r="U62" i="63" s="1"/>
  <c r="R63" i="63"/>
  <c r="V62" i="63" l="1"/>
  <c r="T63" i="63" s="1"/>
  <c r="Y63" i="63" s="1"/>
  <c r="S63" i="63"/>
  <c r="U63" i="63" s="1"/>
  <c r="R64" i="63"/>
  <c r="Y62" i="63"/>
  <c r="W62" i="63"/>
  <c r="V63" i="63" l="1"/>
  <c r="T64" i="63" s="1"/>
  <c r="W63" i="63"/>
  <c r="R65" i="63"/>
  <c r="S64" i="63"/>
  <c r="U64" i="63" s="1"/>
  <c r="V64" i="63" l="1"/>
  <c r="T65" i="63" s="1"/>
  <c r="W64" i="63"/>
  <c r="Y64" i="63"/>
  <c r="S65" i="63"/>
  <c r="U65" i="63" s="1"/>
  <c r="R66" i="63"/>
  <c r="W65" i="63" l="1"/>
  <c r="Y65" i="63"/>
  <c r="V65" i="63"/>
  <c r="T66" i="63" s="1"/>
  <c r="S66" i="63"/>
  <c r="U66" i="63" s="1"/>
  <c r="R67" i="63"/>
  <c r="R68" i="63" l="1"/>
  <c r="S67" i="63"/>
  <c r="U67" i="63" s="1"/>
  <c r="Y66" i="63"/>
  <c r="V66" i="63"/>
  <c r="T67" i="63" s="1"/>
  <c r="W66" i="63"/>
  <c r="V67" i="63" l="1"/>
  <c r="T68" i="63" s="1"/>
  <c r="Y67" i="63"/>
  <c r="W67" i="63"/>
  <c r="R69" i="63"/>
  <c r="S68" i="63"/>
  <c r="U68" i="63" s="1"/>
  <c r="Y68" i="63" l="1"/>
  <c r="W68" i="63"/>
  <c r="V68" i="63"/>
  <c r="T69" i="63" s="1"/>
  <c r="R70" i="63"/>
  <c r="S69" i="63"/>
  <c r="U69" i="63" s="1"/>
  <c r="W69" i="63" l="1"/>
  <c r="S70" i="63"/>
  <c r="U70" i="63" s="1"/>
  <c r="R71" i="63"/>
  <c r="Y69" i="63"/>
  <c r="V69" i="63"/>
  <c r="T70" i="63" s="1"/>
  <c r="Y70" i="63" l="1"/>
  <c r="V70" i="63"/>
  <c r="T71" i="63" s="1"/>
  <c r="S71" i="63"/>
  <c r="U71" i="63" s="1"/>
  <c r="R72" i="63"/>
  <c r="W70" i="63"/>
  <c r="S72" i="63" l="1"/>
  <c r="U72" i="63" s="1"/>
  <c r="R73" i="63"/>
  <c r="V71" i="63"/>
  <c r="T72" i="63" s="1"/>
  <c r="Y71" i="63"/>
  <c r="W71" i="63"/>
  <c r="Y72" i="63" l="1"/>
  <c r="W72" i="63"/>
  <c r="V72" i="63"/>
  <c r="T73" i="63" s="1"/>
  <c r="R74" i="63"/>
  <c r="S73" i="63"/>
  <c r="U73" i="63" s="1"/>
  <c r="R75" i="63" l="1"/>
  <c r="S74" i="63"/>
  <c r="U74" i="63" s="1"/>
  <c r="Y73" i="63"/>
  <c r="V73" i="63"/>
  <c r="T74" i="63" s="1"/>
  <c r="W73" i="63"/>
  <c r="Y74" i="63" l="1"/>
  <c r="W74" i="63"/>
  <c r="V74" i="63"/>
  <c r="T75" i="63" s="1"/>
  <c r="S75" i="63"/>
  <c r="U75" i="63" s="1"/>
  <c r="R76" i="63"/>
  <c r="V75" i="63" l="1"/>
  <c r="T76" i="63" s="1"/>
  <c r="Y76" i="63" s="1"/>
  <c r="Y75" i="63"/>
  <c r="W75" i="63"/>
  <c r="R77" i="63"/>
  <c r="S76" i="63"/>
  <c r="U76" i="63" s="1"/>
  <c r="V76" i="63" l="1"/>
  <c r="T77" i="63" s="1"/>
  <c r="W76" i="63"/>
  <c r="R78" i="63"/>
  <c r="S77" i="63"/>
  <c r="U77" i="63" s="1"/>
  <c r="V77" i="63" l="1"/>
  <c r="T78" i="63" s="1"/>
  <c r="Y78" i="63" s="1"/>
  <c r="W77" i="63"/>
  <c r="Y77" i="63"/>
  <c r="R79" i="63"/>
  <c r="S78" i="63"/>
  <c r="U78" i="63" s="1"/>
  <c r="V78" i="63" l="1"/>
  <c r="T79" i="63" s="1"/>
  <c r="W78" i="63"/>
  <c r="R80" i="63"/>
  <c r="S79" i="63"/>
  <c r="U79" i="63" s="1"/>
  <c r="W79" i="63" l="1"/>
  <c r="V79" i="63"/>
  <c r="T80" i="63" s="1"/>
  <c r="Y80" i="63" s="1"/>
  <c r="Y79" i="63"/>
  <c r="R81" i="63"/>
  <c r="S80" i="63"/>
  <c r="U80" i="63" s="1"/>
  <c r="V80" i="63" l="1"/>
  <c r="T81" i="63" s="1"/>
  <c r="W80" i="63"/>
  <c r="S81" i="63"/>
  <c r="U81" i="63" s="1"/>
  <c r="R82" i="63"/>
  <c r="V81" i="63" l="1"/>
  <c r="T82" i="63" s="1"/>
  <c r="Y82" i="63" s="1"/>
  <c r="W81" i="63"/>
  <c r="Y81" i="63"/>
  <c r="S82" i="63"/>
  <c r="U82" i="63" s="1"/>
  <c r="R83" i="63"/>
  <c r="W82" i="63" l="1"/>
  <c r="V82" i="63"/>
  <c r="T83" i="63" s="1"/>
  <c r="R84" i="63"/>
  <c r="S83" i="63"/>
  <c r="U83" i="63" s="1"/>
  <c r="W83" i="63" l="1"/>
  <c r="V83" i="63"/>
  <c r="T84" i="63" s="1"/>
  <c r="Y84" i="63" s="1"/>
  <c r="Y83" i="63"/>
  <c r="R85" i="63"/>
  <c r="S84" i="63"/>
  <c r="U84" i="63" s="1"/>
  <c r="V84" i="63" l="1"/>
  <c r="T85" i="63" s="1"/>
  <c r="W84" i="63"/>
  <c r="S85" i="63"/>
  <c r="U85" i="63" s="1"/>
  <c r="R86" i="63"/>
  <c r="V85" i="63" l="1"/>
  <c r="T86" i="63" s="1"/>
  <c r="Y86" i="63" s="1"/>
  <c r="W85" i="63"/>
  <c r="Y85" i="63"/>
  <c r="S86" i="63"/>
  <c r="U86" i="63" s="1"/>
  <c r="R87" i="63"/>
  <c r="W86" i="63" l="1"/>
  <c r="V86" i="63"/>
  <c r="T87" i="63" s="1"/>
  <c r="R88" i="63"/>
  <c r="S87" i="63"/>
  <c r="U87" i="63" s="1"/>
  <c r="W87" i="63" l="1"/>
  <c r="V87" i="63"/>
  <c r="T88" i="63" s="1"/>
  <c r="Y88" i="63" s="1"/>
  <c r="Y87" i="63"/>
  <c r="R89" i="63"/>
  <c r="S88" i="63"/>
  <c r="U88" i="63" s="1"/>
  <c r="V88" i="63" l="1"/>
  <c r="T89" i="63" s="1"/>
  <c r="W88" i="63"/>
  <c r="S89" i="63"/>
  <c r="U89" i="63" s="1"/>
  <c r="R90" i="63"/>
  <c r="W89" i="63" l="1"/>
  <c r="Y89" i="63"/>
  <c r="V89" i="63"/>
  <c r="T90" i="63" s="1"/>
  <c r="Y90" i="63" s="1"/>
  <c r="S90" i="63"/>
  <c r="U90" i="63" s="1"/>
  <c r="R91" i="63"/>
  <c r="W90" i="63" l="1"/>
  <c r="V90" i="63"/>
  <c r="T91" i="63" s="1"/>
  <c r="R92" i="63"/>
  <c r="S91" i="63"/>
  <c r="U91" i="63" s="1"/>
  <c r="W91" i="63" l="1"/>
  <c r="V91" i="63"/>
  <c r="T92" i="63" s="1"/>
  <c r="Y92" i="63" s="1"/>
  <c r="Y91" i="63"/>
  <c r="R93" i="63"/>
  <c r="S92" i="63"/>
  <c r="U92" i="63" s="1"/>
  <c r="V92" i="63" l="1"/>
  <c r="T93" i="63" s="1"/>
  <c r="Y93" i="63" s="1"/>
  <c r="W92" i="63"/>
  <c r="S93" i="63"/>
  <c r="U93" i="63" s="1"/>
  <c r="R94" i="63"/>
  <c r="W93" i="63" l="1"/>
  <c r="V93" i="63"/>
  <c r="T94" i="63" s="1"/>
  <c r="Y94" i="63" s="1"/>
  <c r="S94" i="63"/>
  <c r="U94" i="63" s="1"/>
  <c r="R95" i="63"/>
  <c r="W94" i="63" l="1"/>
  <c r="V94" i="63"/>
  <c r="T95" i="63" s="1"/>
  <c r="R96" i="63"/>
  <c r="S95" i="63"/>
  <c r="U95" i="63" s="1"/>
  <c r="W95" i="63" l="1"/>
  <c r="V95" i="63"/>
  <c r="T96" i="63" s="1"/>
  <c r="Y96" i="63" s="1"/>
  <c r="Y95" i="63"/>
  <c r="R97" i="63"/>
  <c r="S96" i="63"/>
  <c r="U96" i="63" s="1"/>
  <c r="V96" i="63" l="1"/>
  <c r="T97" i="63" s="1"/>
  <c r="W96" i="63"/>
  <c r="S97" i="63"/>
  <c r="U97" i="63" s="1"/>
  <c r="R98" i="63"/>
  <c r="W97" i="63" l="1"/>
  <c r="V97" i="63"/>
  <c r="T98" i="63" s="1"/>
  <c r="Y97" i="63"/>
  <c r="S98" i="63"/>
  <c r="U98" i="63" s="1"/>
  <c r="R99" i="63"/>
  <c r="Y98" i="63" l="1"/>
  <c r="W98" i="63"/>
  <c r="V98" i="63"/>
  <c r="T99" i="63" s="1"/>
  <c r="S99" i="63"/>
  <c r="U99" i="63" s="1"/>
  <c r="R100" i="63"/>
  <c r="V99" i="63" l="1"/>
  <c r="T100" i="63" s="1"/>
  <c r="W99" i="63"/>
  <c r="Y99" i="63"/>
  <c r="R101" i="63"/>
  <c r="S100" i="63"/>
  <c r="U100" i="63" s="1"/>
  <c r="V100" i="63" l="1"/>
  <c r="T101" i="63" s="1"/>
  <c r="Y101" i="63" s="1"/>
  <c r="W100" i="63"/>
  <c r="Y100" i="63"/>
  <c r="S101" i="63"/>
  <c r="U101" i="63" s="1"/>
  <c r="R102" i="63"/>
  <c r="V101" i="63" l="1"/>
  <c r="T102" i="63" s="1"/>
  <c r="Y102" i="63" s="1"/>
  <c r="W101" i="63"/>
  <c r="S102" i="63"/>
  <c r="U102" i="63" s="1"/>
  <c r="R103" i="63"/>
  <c r="W102" i="63" l="1"/>
  <c r="V102" i="63"/>
  <c r="T103" i="63" s="1"/>
  <c r="R104" i="63"/>
  <c r="S103" i="63"/>
  <c r="U103" i="63" s="1"/>
  <c r="W103" i="63" l="1"/>
  <c r="V103" i="63"/>
  <c r="T104" i="63" s="1"/>
  <c r="Y104" i="63" s="1"/>
  <c r="Y103" i="63"/>
  <c r="R105" i="63"/>
  <c r="S104" i="63"/>
  <c r="U104" i="63" s="1"/>
  <c r="W104" i="63" l="1"/>
  <c r="V104" i="63"/>
  <c r="T105" i="63" s="1"/>
  <c r="S105" i="63"/>
  <c r="U105" i="63" s="1"/>
  <c r="R106" i="63"/>
  <c r="V105" i="63" l="1"/>
  <c r="Y105" i="63"/>
  <c r="W105" i="63"/>
  <c r="T106" i="63"/>
  <c r="Y106" i="63"/>
  <c r="S106" i="63"/>
  <c r="U106" i="63"/>
  <c r="W106" i="63" s="1"/>
  <c r="R107" i="63"/>
  <c r="V106" i="63" l="1"/>
  <c r="R108" i="63"/>
  <c r="T107" i="63"/>
  <c r="S107" i="63"/>
  <c r="U107" i="63" s="1"/>
  <c r="W107" i="63" l="1"/>
  <c r="V107" i="63"/>
  <c r="Y107" i="63"/>
  <c r="R109" i="63"/>
  <c r="T108" i="63"/>
  <c r="Y108" i="63" s="1"/>
  <c r="S108" i="63"/>
  <c r="U108" i="63" s="1"/>
  <c r="W108" i="63" l="1"/>
  <c r="V108" i="63"/>
  <c r="V109" i="63"/>
  <c r="S109" i="63"/>
  <c r="U109" i="63"/>
  <c r="Z109" i="63"/>
  <c r="Z108" i="63" s="1"/>
  <c r="Z107" i="63" s="1"/>
  <c r="Z106" i="63" s="1"/>
  <c r="Z105" i="63" s="1"/>
  <c r="Z104" i="63" s="1"/>
  <c r="Z103" i="63" s="1"/>
  <c r="Z102" i="63" s="1"/>
  <c r="Z101" i="63" s="1"/>
  <c r="Z100" i="63" s="1"/>
  <c r="Z99" i="63" s="1"/>
  <c r="Z98" i="63" s="1"/>
  <c r="Z97" i="63" s="1"/>
  <c r="Z96" i="63" s="1"/>
  <c r="Z95" i="63" s="1"/>
  <c r="Z94" i="63" s="1"/>
  <c r="Z93" i="63" s="1"/>
  <c r="Z92" i="63" s="1"/>
  <c r="Z91" i="63" s="1"/>
  <c r="Z90" i="63" s="1"/>
  <c r="Z89" i="63" s="1"/>
  <c r="Z88" i="63" s="1"/>
  <c r="Z87" i="63" s="1"/>
  <c r="Z86" i="63" s="1"/>
  <c r="Z85" i="63" s="1"/>
  <c r="Z84" i="63" s="1"/>
  <c r="Z83" i="63" s="1"/>
  <c r="Z82" i="63" s="1"/>
  <c r="Z81" i="63" s="1"/>
  <c r="Z80" i="63" s="1"/>
  <c r="Z79" i="63" s="1"/>
  <c r="Z78" i="63" s="1"/>
  <c r="Z77" i="63" s="1"/>
  <c r="Z76" i="63" s="1"/>
  <c r="Z75" i="63" s="1"/>
  <c r="Z74" i="63" s="1"/>
  <c r="Z73" i="63" s="1"/>
  <c r="Z72" i="63" s="1"/>
  <c r="Z71" i="63" s="1"/>
  <c r="Z70" i="63" s="1"/>
  <c r="Z69" i="63" s="1"/>
  <c r="Z68" i="63" s="1"/>
  <c r="Z67" i="63" s="1"/>
  <c r="Z66" i="63" s="1"/>
  <c r="Z65" i="63" s="1"/>
  <c r="Z64" i="63" s="1"/>
  <c r="Z63" i="63" s="1"/>
  <c r="Z62" i="63" s="1"/>
  <c r="Z61" i="63" s="1"/>
  <c r="Z60" i="63" s="1"/>
  <c r="Z59" i="63" s="1"/>
  <c r="Z58" i="63" s="1"/>
  <c r="Z57" i="63" s="1"/>
  <c r="Z56" i="63" s="1"/>
  <c r="Z55" i="63" s="1"/>
  <c r="Z54" i="63" s="1"/>
  <c r="Z53" i="63" s="1"/>
  <c r="Z52" i="63" s="1"/>
  <c r="Z51" i="63" s="1"/>
  <c r="Z50" i="63" s="1"/>
  <c r="Z49" i="63" s="1"/>
  <c r="Z48" i="63" s="1"/>
  <c r="Z47" i="63" s="1"/>
  <c r="Z46" i="63" s="1"/>
  <c r="Z45" i="63" s="1"/>
  <c r="Z44" i="63" s="1"/>
  <c r="Z43" i="63" s="1"/>
  <c r="Z42" i="63" s="1"/>
  <c r="Z41" i="63" s="1"/>
  <c r="Z40" i="63" s="1"/>
  <c r="Z39" i="63" s="1"/>
  <c r="Z38" i="63" s="1"/>
  <c r="Z37" i="63" s="1"/>
  <c r="Z36" i="63" s="1"/>
  <c r="Z35" i="63" s="1"/>
  <c r="Z34" i="63" s="1"/>
  <c r="Z33" i="63" s="1"/>
  <c r="Z32" i="63" s="1"/>
  <c r="Z31" i="63" s="1"/>
  <c r="Z30" i="63" s="1"/>
  <c r="Z29" i="63" s="1"/>
  <c r="Z28" i="63" s="1"/>
  <c r="Z27" i="63" s="1"/>
  <c r="Z26" i="63" s="1"/>
  <c r="Z25" i="63" s="1"/>
  <c r="Z24" i="63" s="1"/>
  <c r="Z23" i="63" s="1"/>
  <c r="Z22" i="63" s="1"/>
  <c r="Z21" i="63" s="1"/>
  <c r="Z20" i="63" s="1"/>
  <c r="Z19" i="63" s="1"/>
  <c r="Z18" i="63" s="1"/>
  <c r="Z17" i="63" s="1"/>
  <c r="Z16" i="63" s="1"/>
  <c r="Z15" i="63" s="1"/>
  <c r="Z14" i="63" s="1"/>
  <c r="Z13" i="63" s="1"/>
  <c r="Z12" i="63" s="1"/>
  <c r="Z11" i="63" s="1"/>
  <c r="Z10" i="63" s="1"/>
  <c r="Z9" i="63" s="1"/>
  <c r="Z8" i="63" s="1"/>
  <c r="Z7" i="63" s="1"/>
  <c r="Z6" i="63" s="1"/>
  <c r="Z5" i="63" s="1"/>
  <c r="Y109" i="63"/>
  <c r="R110" i="63"/>
  <c r="X109" i="63"/>
  <c r="X108" i="63" s="1"/>
  <c r="X107" i="63" s="1"/>
  <c r="X106" i="63" s="1"/>
  <c r="X105" i="63" s="1"/>
  <c r="X104" i="63" s="1"/>
  <c r="X103" i="63" s="1"/>
  <c r="X102" i="63" s="1"/>
  <c r="X101" i="63" s="1"/>
  <c r="X100" i="63" s="1"/>
  <c r="X99" i="63" s="1"/>
  <c r="X98" i="63" s="1"/>
  <c r="X97" i="63" s="1"/>
  <c r="X96" i="63" s="1"/>
  <c r="X95" i="63" s="1"/>
  <c r="X94" i="63" s="1"/>
  <c r="X93" i="63" s="1"/>
  <c r="X92" i="63" s="1"/>
  <c r="X91" i="63" s="1"/>
  <c r="X90" i="63" s="1"/>
  <c r="X89" i="63" s="1"/>
  <c r="X88" i="63" s="1"/>
  <c r="X87" i="63" s="1"/>
  <c r="X86" i="63" s="1"/>
  <c r="X85" i="63" s="1"/>
  <c r="X84" i="63" s="1"/>
  <c r="X83" i="63" s="1"/>
  <c r="X82" i="63" s="1"/>
  <c r="X81" i="63" s="1"/>
  <c r="X80" i="63" s="1"/>
  <c r="X79" i="63" s="1"/>
  <c r="X78" i="63" s="1"/>
  <c r="X77" i="63" s="1"/>
  <c r="X76" i="63" s="1"/>
  <c r="X75" i="63" s="1"/>
  <c r="X74" i="63" s="1"/>
  <c r="X73" i="63" s="1"/>
  <c r="X72" i="63" s="1"/>
  <c r="X71" i="63" s="1"/>
  <c r="X70" i="63" s="1"/>
  <c r="X69" i="63" s="1"/>
  <c r="X68" i="63" s="1"/>
  <c r="X67" i="63" s="1"/>
  <c r="X66" i="63" s="1"/>
  <c r="X65" i="63" s="1"/>
  <c r="X64" i="63" s="1"/>
  <c r="X63" i="63" s="1"/>
  <c r="X62" i="63" s="1"/>
  <c r="X61" i="63" s="1"/>
  <c r="X60" i="63" s="1"/>
  <c r="X59" i="63" s="1"/>
  <c r="X58" i="63" s="1"/>
  <c r="X57" i="63" s="1"/>
  <c r="X56" i="63" s="1"/>
  <c r="X55" i="63" s="1"/>
  <c r="X54" i="63" s="1"/>
  <c r="X53" i="63" s="1"/>
  <c r="X52" i="63" s="1"/>
  <c r="X51" i="63" s="1"/>
  <c r="X50" i="63" s="1"/>
  <c r="X49" i="63" s="1"/>
  <c r="X48" i="63" s="1"/>
  <c r="X47" i="63" s="1"/>
  <c r="X46" i="63" s="1"/>
  <c r="X45" i="63" s="1"/>
  <c r="X44" i="63" s="1"/>
  <c r="X43" i="63" s="1"/>
  <c r="X42" i="63" s="1"/>
  <c r="X41" i="63" s="1"/>
  <c r="X40" i="63" s="1"/>
  <c r="X39" i="63" s="1"/>
  <c r="X38" i="63" s="1"/>
  <c r="X37" i="63" s="1"/>
  <c r="X36" i="63" s="1"/>
  <c r="X35" i="63" s="1"/>
  <c r="X34" i="63" s="1"/>
  <c r="X33" i="63" s="1"/>
  <c r="X32" i="63" s="1"/>
  <c r="X31" i="63" s="1"/>
  <c r="X30" i="63" s="1"/>
  <c r="X29" i="63" s="1"/>
  <c r="X28" i="63" s="1"/>
  <c r="X27" i="63" s="1"/>
  <c r="X26" i="63" s="1"/>
  <c r="X25" i="63" s="1"/>
  <c r="X24" i="63" s="1"/>
  <c r="X23" i="63" s="1"/>
  <c r="X22" i="63" s="1"/>
  <c r="X21" i="63" s="1"/>
  <c r="X20" i="63" s="1"/>
  <c r="X19" i="63" s="1"/>
  <c r="X18" i="63" s="1"/>
  <c r="X17" i="63" s="1"/>
  <c r="X16" i="63" s="1"/>
  <c r="X15" i="63" s="1"/>
  <c r="X14" i="63" s="1"/>
  <c r="X13" i="63" s="1"/>
  <c r="X12" i="63" s="1"/>
  <c r="X11" i="63" s="1"/>
  <c r="X10" i="63" s="1"/>
  <c r="X9" i="63" s="1"/>
  <c r="X8" i="63" s="1"/>
  <c r="X7" i="63" s="1"/>
  <c r="X6" i="63" s="1"/>
  <c r="X5" i="63" s="1"/>
  <c r="W109" i="63"/>
  <c r="T109" i="63"/>
  <c r="T110" i="63" l="1"/>
  <c r="Y110" i="63"/>
  <c r="S110" i="63"/>
  <c r="X110" i="63"/>
  <c r="W110" i="63"/>
  <c r="V110" i="63"/>
  <c r="R111" i="63"/>
  <c r="U110" i="63"/>
  <c r="Z110" i="63"/>
  <c r="Z111" i="63" l="1"/>
  <c r="W111" i="63"/>
  <c r="Y111" i="63"/>
  <c r="V111" i="63"/>
  <c r="U111" i="63"/>
  <c r="R112" i="63"/>
  <c r="T111" i="63"/>
  <c r="S111" i="63"/>
  <c r="X111" i="63"/>
  <c r="X112" i="63" l="1"/>
  <c r="U112" i="63"/>
  <c r="W112" i="63"/>
  <c r="R113" i="63"/>
  <c r="T112" i="63"/>
  <c r="S112" i="63"/>
  <c r="Z112" i="63"/>
  <c r="Y112" i="63"/>
  <c r="V112" i="63"/>
  <c r="V113" i="63" l="1"/>
  <c r="S113" i="63"/>
  <c r="U113" i="63"/>
  <c r="Z113" i="63"/>
  <c r="Y113" i="63"/>
  <c r="X113" i="63"/>
  <c r="W113" i="63"/>
  <c r="R114" i="63"/>
  <c r="T113" i="63"/>
  <c r="S114" i="63" l="1"/>
  <c r="Y114" i="63"/>
  <c r="R115" i="63"/>
  <c r="X114" i="63"/>
  <c r="W114" i="63"/>
  <c r="V114" i="63"/>
  <c r="U114" i="63"/>
  <c r="Z114" i="63"/>
  <c r="T114" i="63"/>
  <c r="Z115" i="63" l="1"/>
  <c r="W115" i="63"/>
  <c r="Y115" i="63"/>
  <c r="V115" i="63"/>
  <c r="U115" i="63"/>
  <c r="R116" i="63"/>
  <c r="T115" i="63"/>
  <c r="S115" i="63"/>
  <c r="X115" i="63"/>
  <c r="X116" i="63" l="1"/>
  <c r="U116" i="63"/>
  <c r="W116" i="63"/>
  <c r="R117" i="63"/>
  <c r="T116" i="63"/>
  <c r="S116" i="63"/>
  <c r="Z116" i="63"/>
  <c r="Y116" i="63"/>
  <c r="V116" i="63"/>
  <c r="U117" i="63" l="1"/>
  <c r="S117" i="63"/>
  <c r="Z117" i="63"/>
  <c r="Y117" i="63"/>
  <c r="X117" i="63"/>
  <c r="W117" i="63"/>
  <c r="T117" i="63"/>
  <c r="V117" i="63"/>
  <c r="H4" i="63"/>
  <c r="G4" i="63"/>
  <c r="E18" i="48" l="1"/>
  <c r="E17" i="48" l="1"/>
  <c r="E19" i="48"/>
  <c r="E16" i="48"/>
  <c r="E14" i="48"/>
  <c r="E13" i="48" l="1"/>
  <c r="E15" i="48"/>
  <c r="F19" i="48" l="1"/>
  <c r="F13" i="48" l="1"/>
  <c r="F14" i="48"/>
  <c r="F16" i="48"/>
  <c r="F18" i="48"/>
  <c r="F15" i="48"/>
  <c r="F17" i="48"/>
  <c r="F4" i="63"/>
  <c r="AI28" i="64" l="1"/>
  <c r="AI20" i="64"/>
  <c r="AI14" i="64"/>
  <c r="AI19" i="64"/>
  <c r="AI41" i="64"/>
  <c r="AI37" i="64"/>
  <c r="AI36" i="64"/>
  <c r="AI15" i="64"/>
  <c r="AI27" i="64"/>
  <c r="AI38" i="64"/>
  <c r="AI49" i="64"/>
  <c r="AI29" i="64"/>
  <c r="AI13" i="64"/>
  <c r="AI24" i="64"/>
  <c r="AI35" i="64"/>
  <c r="AI42" i="64"/>
  <c r="AI44" i="64"/>
  <c r="AI17" i="64"/>
  <c r="AI43" i="64"/>
  <c r="AI18" i="64"/>
  <c r="AI30" i="64"/>
  <c r="AI33" i="64"/>
  <c r="AI32" i="64"/>
  <c r="AI12" i="64"/>
  <c r="AI46" i="64"/>
  <c r="AI40" i="64"/>
  <c r="AI21" i="64"/>
  <c r="AI47" i="64"/>
  <c r="AI45" i="64"/>
  <c r="AI34" i="64"/>
  <c r="AI25" i="64"/>
  <c r="AI48" i="64"/>
  <c r="AI16" i="64"/>
  <c r="AI26" i="64"/>
  <c r="AI22" i="64"/>
  <c r="AI23" i="64"/>
  <c r="AI39" i="64"/>
  <c r="AI31" i="64"/>
  <c r="AG17" i="64"/>
  <c r="AK21" i="64"/>
  <c r="AG40" i="64"/>
  <c r="AK44" i="64"/>
  <c r="AK32" i="64"/>
  <c r="AK20" i="64"/>
  <c r="AG15" i="64"/>
  <c r="AK43" i="64"/>
  <c r="AK31" i="64"/>
  <c r="AK19" i="64"/>
  <c r="AG38" i="64"/>
  <c r="AG26" i="64"/>
  <c r="AG14" i="64"/>
  <c r="AJ14" i="64" s="1"/>
  <c r="AK42" i="64"/>
  <c r="AK30" i="64"/>
  <c r="AK18" i="64"/>
  <c r="AG49" i="64"/>
  <c r="AG37" i="64"/>
  <c r="AG25" i="64"/>
  <c r="AG13" i="64"/>
  <c r="AK41" i="64"/>
  <c r="AK29" i="64"/>
  <c r="AK17" i="64"/>
  <c r="AG48" i="64"/>
  <c r="AG36" i="64"/>
  <c r="AG24" i="64"/>
  <c r="AG12" i="64"/>
  <c r="AK40" i="64"/>
  <c r="AK28" i="64"/>
  <c r="AK16" i="64"/>
  <c r="AG47" i="64"/>
  <c r="AG35" i="64"/>
  <c r="AG23" i="64"/>
  <c r="AK39" i="64"/>
  <c r="AK27" i="64"/>
  <c r="AK15" i="64"/>
  <c r="AG46" i="64"/>
  <c r="AG34" i="64"/>
  <c r="AG22" i="64"/>
  <c r="AK33" i="64"/>
  <c r="AG28" i="64"/>
  <c r="AG27" i="64"/>
  <c r="AK38" i="64"/>
  <c r="AK26" i="64"/>
  <c r="AK14" i="64"/>
  <c r="AG45" i="64"/>
  <c r="AG33" i="64"/>
  <c r="AG21" i="64"/>
  <c r="AK49" i="64"/>
  <c r="AK37" i="64"/>
  <c r="AK25" i="64"/>
  <c r="AK13" i="64"/>
  <c r="AG44" i="64"/>
  <c r="AG32" i="64"/>
  <c r="AG20" i="64"/>
  <c r="AK48" i="64"/>
  <c r="AK36" i="64"/>
  <c r="AK24" i="64"/>
  <c r="AK12" i="64"/>
  <c r="AL12" i="64" s="1"/>
  <c r="AG43" i="64"/>
  <c r="AG31" i="64"/>
  <c r="AG19" i="64"/>
  <c r="AK47" i="64"/>
  <c r="AK35" i="64"/>
  <c r="AK23" i="64"/>
  <c r="AG42" i="64"/>
  <c r="AG30" i="64"/>
  <c r="AG18" i="64"/>
  <c r="AK46" i="64"/>
  <c r="AK34" i="64"/>
  <c r="AK22" i="64"/>
  <c r="AG41" i="64"/>
  <c r="AG29" i="64"/>
  <c r="AK45" i="64"/>
  <c r="AG16" i="64"/>
  <c r="AG39" i="64"/>
  <c r="AJ35" i="64" l="1"/>
  <c r="AJ41" i="64"/>
  <c r="AJ44" i="64"/>
  <c r="AL44" i="64" s="1"/>
  <c r="AJ21" i="64"/>
  <c r="AL21" i="64" s="1"/>
  <c r="AL14" i="64"/>
  <c r="AJ13" i="64"/>
  <c r="AL13" i="64" s="1"/>
  <c r="AJ28" i="64"/>
  <c r="AL28" i="64" s="1"/>
  <c r="AJ39" i="64"/>
  <c r="AL39" i="64" s="1"/>
  <c r="AJ46" i="64"/>
  <c r="AL46" i="64" s="1"/>
  <c r="AJ20" i="64"/>
  <c r="AL20" i="64" s="1"/>
  <c r="AJ40" i="64"/>
  <c r="AL40" i="64" s="1"/>
  <c r="AJ24" i="64"/>
  <c r="AL24" i="64" s="1"/>
  <c r="AJ31" i="64"/>
  <c r="AL31" i="64" s="1"/>
  <c r="AJ47" i="64"/>
  <c r="AL47" i="64" s="1"/>
  <c r="AJ42" i="64"/>
  <c r="AL42" i="64" s="1"/>
  <c r="AJ19" i="64"/>
  <c r="AL19" i="64" s="1"/>
  <c r="AJ25" i="64"/>
  <c r="AL25" i="64" s="1"/>
  <c r="AJ37" i="64"/>
  <c r="AL37" i="64" s="1"/>
  <c r="AJ36" i="64"/>
  <c r="AL36" i="64" s="1"/>
  <c r="AJ43" i="64"/>
  <c r="AL43" i="64" s="1"/>
  <c r="AJ15" i="64"/>
  <c r="AL15" i="64" s="1"/>
  <c r="AJ34" i="64"/>
  <c r="AL34" i="64" s="1"/>
  <c r="AJ27" i="64"/>
  <c r="AL27" i="64" s="1"/>
  <c r="AJ30" i="64"/>
  <c r="AL30" i="64" s="1"/>
  <c r="AJ45" i="64"/>
  <c r="AL45" i="64" s="1"/>
  <c r="AJ16" i="64"/>
  <c r="AL16" i="64" s="1"/>
  <c r="AJ32" i="64"/>
  <c r="AL32" i="64" s="1"/>
  <c r="AJ49" i="64"/>
  <c r="AL49" i="64" s="1"/>
  <c r="AJ17" i="64"/>
  <c r="AL17" i="64" s="1"/>
  <c r="AJ18" i="64"/>
  <c r="AL18" i="64" s="1"/>
  <c r="AJ22" i="64"/>
  <c r="AL22" i="64" s="1"/>
  <c r="AJ23" i="64"/>
  <c r="AL23" i="64" s="1"/>
  <c r="AJ29" i="64"/>
  <c r="AL29" i="64" s="1"/>
  <c r="AJ48" i="64"/>
  <c r="AL48" i="64" s="1"/>
  <c r="AJ26" i="64"/>
  <c r="AL26" i="64" s="1"/>
  <c r="AJ33" i="64"/>
  <c r="AL33" i="64" s="1"/>
  <c r="AJ38" i="64"/>
  <c r="AL38" i="64" s="1"/>
  <c r="AL35" i="64"/>
  <c r="AL41" i="64"/>
  <c r="C19" i="48"/>
  <c r="C17" i="48"/>
  <c r="C14" i="48"/>
  <c r="C18" i="48"/>
  <c r="C16" i="48"/>
  <c r="C15" i="48"/>
  <c r="C13" i="48"/>
  <c r="D14" i="48" l="1"/>
  <c r="D13" i="48" l="1"/>
  <c r="D18" i="48"/>
  <c r="D15" i="48"/>
  <c r="D19" i="48"/>
  <c r="D16" i="48"/>
  <c r="D17" i="4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임혜정/상품개발1챕터</author>
  </authors>
  <commentList>
    <comment ref="X1" authorId="0" shapeId="0" xr:uid="{00000000-0006-0000-0400-000001000000}">
      <text>
        <r>
          <rPr>
            <b/>
            <sz val="9"/>
            <color indexed="81"/>
            <rFont val="돋움"/>
            <family val="3"/>
            <charset val="129"/>
          </rPr>
          <t>필요시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임혜정/상품개발1챕터</author>
  </authors>
  <commentList>
    <comment ref="B12" authorId="0" shapeId="0" xr:uid="{00000000-0006-0000-0800-000001000000}">
      <text>
        <r>
          <rPr>
            <b/>
            <sz val="9"/>
            <color indexed="81"/>
            <rFont val="돋움"/>
            <family val="3"/>
            <charset val="129"/>
          </rPr>
          <t>순P 구분항목과 항목명 일치해야 함</t>
        </r>
      </text>
    </comment>
    <comment ref="J12" authorId="0" shapeId="0" xr:uid="{00000000-0006-0000-0800-000002000000}">
      <text>
        <r>
          <rPr>
            <b/>
            <sz val="9"/>
            <color indexed="81"/>
            <rFont val="돋움"/>
            <family val="3"/>
            <charset val="129"/>
          </rPr>
          <t>순P 구분항목과 항목명 일치해야 함</t>
        </r>
      </text>
    </comment>
  </commentList>
</comments>
</file>

<file path=xl/sharedStrings.xml><?xml version="1.0" encoding="utf-8"?>
<sst xmlns="http://schemas.openxmlformats.org/spreadsheetml/2006/main" count="1288" uniqueCount="467">
  <si>
    <t>성 별</t>
    <phoneticPr fontId="12" type="noConversion"/>
  </si>
  <si>
    <t>납입 순보험료</t>
    <phoneticPr fontId="12" type="noConversion"/>
  </si>
  <si>
    <t>납입자</t>
    <phoneticPr fontId="3" type="noConversion"/>
  </si>
  <si>
    <t>납입자현가누계</t>
    <phoneticPr fontId="12" type="noConversion"/>
  </si>
  <si>
    <t>m'=</t>
    <phoneticPr fontId="3" type="noConversion"/>
  </si>
  <si>
    <t>무배당 예정 경험 사망률</t>
    <phoneticPr fontId="20" type="noConversion"/>
  </si>
  <si>
    <t>연령(x)</t>
    <phoneticPr fontId="12" type="noConversion"/>
  </si>
  <si>
    <t>납입 영업보험료</t>
    <phoneticPr fontId="12" type="noConversion"/>
  </si>
  <si>
    <t>연 령</t>
    <phoneticPr fontId="9" type="noConversion"/>
  </si>
  <si>
    <t>qx</t>
    <phoneticPr fontId="12" type="noConversion"/>
  </si>
  <si>
    <t>l'x</t>
    <phoneticPr fontId="3" type="noConversion"/>
  </si>
  <si>
    <t>D'x</t>
    <phoneticPr fontId="12" type="noConversion"/>
  </si>
  <si>
    <t>N'x</t>
    <phoneticPr fontId="12" type="noConversion"/>
  </si>
  <si>
    <t>q1x</t>
    <phoneticPr fontId="3" type="noConversion"/>
  </si>
  <si>
    <t>경험사망률</t>
    <phoneticPr fontId="12" type="noConversion"/>
  </si>
  <si>
    <t>남자</t>
    <phoneticPr fontId="9" type="noConversion"/>
  </si>
  <si>
    <t>여자</t>
    <phoneticPr fontId="9" type="noConversion"/>
  </si>
  <si>
    <t>보험기간(n)</t>
    <phoneticPr fontId="12" type="noConversion"/>
  </si>
  <si>
    <t>0세</t>
    <phoneticPr fontId="9" type="noConversion"/>
  </si>
  <si>
    <t>납입기간(m)</t>
    <phoneticPr fontId="12" type="noConversion"/>
  </si>
  <si>
    <t>m*</t>
    <phoneticPr fontId="12" type="noConversion"/>
  </si>
  <si>
    <t>납입주기(m')</t>
    <phoneticPr fontId="12" type="noConversion"/>
  </si>
  <si>
    <t>신계약비</t>
    <phoneticPr fontId="12" type="noConversion"/>
  </si>
  <si>
    <t>N'x+m*</t>
    <phoneticPr fontId="12" type="noConversion"/>
  </si>
  <si>
    <t>적용</t>
    <phoneticPr fontId="12" type="noConversion"/>
  </si>
  <si>
    <t>Nx+m*</t>
    <phoneticPr fontId="12" type="noConversion"/>
  </si>
  <si>
    <t>연납순보험료</t>
    <phoneticPr fontId="12" type="noConversion"/>
  </si>
  <si>
    <t>관련기수</t>
    <phoneticPr fontId="12" type="noConversion"/>
  </si>
  <si>
    <t>예정이율(i)</t>
    <phoneticPr fontId="12" type="noConversion"/>
  </si>
  <si>
    <t>Dx+m</t>
    <phoneticPr fontId="12" type="noConversion"/>
  </si>
  <si>
    <t>Nx+m</t>
    <phoneticPr fontId="12" type="noConversion"/>
  </si>
  <si>
    <t>위험지수반영유무</t>
    <phoneticPr fontId="12" type="noConversion"/>
  </si>
  <si>
    <t>D'x+m</t>
    <phoneticPr fontId="12" type="noConversion"/>
  </si>
  <si>
    <t>위험등급</t>
    <phoneticPr fontId="12" type="noConversion"/>
  </si>
  <si>
    <t>순보험료</t>
    <phoneticPr fontId="12" type="noConversion"/>
  </si>
  <si>
    <t>N'x+m</t>
    <phoneticPr fontId="12" type="noConversion"/>
  </si>
  <si>
    <t>영업보험료</t>
    <phoneticPr fontId="12" type="noConversion"/>
  </si>
  <si>
    <t>현가율</t>
    <phoneticPr fontId="12" type="noConversion"/>
  </si>
  <si>
    <t>◆ 단·전기납</t>
    <phoneticPr fontId="12" type="noConversion"/>
  </si>
  <si>
    <t>m' =</t>
    <phoneticPr fontId="12" type="noConversion"/>
  </si>
  <si>
    <t>초년도 가입금액(α1)</t>
    <phoneticPr fontId="12" type="noConversion"/>
  </si>
  <si>
    <t>신계약비적용</t>
    <phoneticPr fontId="12" type="noConversion"/>
  </si>
  <si>
    <t>분자</t>
    <phoneticPr fontId="12" type="noConversion"/>
  </si>
  <si>
    <t>P(α)대비(α2)</t>
    <phoneticPr fontId="12" type="noConversion"/>
  </si>
  <si>
    <t>분모</t>
    <phoneticPr fontId="12" type="noConversion"/>
  </si>
  <si>
    <t>매년P'대비(α3)</t>
    <phoneticPr fontId="12" type="noConversion"/>
  </si>
  <si>
    <t>Pα=</t>
    <phoneticPr fontId="12" type="noConversion"/>
  </si>
  <si>
    <t>α4</t>
    <phoneticPr fontId="12" type="noConversion"/>
  </si>
  <si>
    <t>β1</t>
    <phoneticPr fontId="12" type="noConversion"/>
  </si>
  <si>
    <t>β2</t>
    <phoneticPr fontId="12" type="noConversion"/>
  </si>
  <si>
    <t>PN =</t>
    <phoneticPr fontId="12" type="noConversion"/>
  </si>
  <si>
    <t>β'</t>
    <phoneticPr fontId="12" type="noConversion"/>
  </si>
  <si>
    <t>γ</t>
    <phoneticPr fontId="12" type="noConversion"/>
  </si>
  <si>
    <t>◆ 일시납</t>
    <phoneticPr fontId="12" type="noConversion"/>
  </si>
  <si>
    <t>P' =</t>
    <phoneticPr fontId="12" type="noConversion"/>
  </si>
  <si>
    <t>P(β')</t>
  </si>
  <si>
    <t>일시납P(n)대비(α2)</t>
    <phoneticPr fontId="12" type="noConversion"/>
  </si>
  <si>
    <t>β</t>
    <phoneticPr fontId="12" type="noConversion"/>
  </si>
  <si>
    <t>납입주기</t>
    <phoneticPr fontId="12" type="noConversion"/>
  </si>
  <si>
    <t>납입기간</t>
    <phoneticPr fontId="12" type="noConversion"/>
  </si>
  <si>
    <t>보험기간</t>
    <phoneticPr fontId="12" type="noConversion"/>
  </si>
  <si>
    <t>x+m</t>
    <phoneticPr fontId="3" type="noConversion"/>
  </si>
  <si>
    <t>x+n</t>
    <phoneticPr fontId="3" type="noConversion"/>
  </si>
  <si>
    <t>사망보험금대소</t>
    <phoneticPr fontId="12" type="noConversion"/>
  </si>
  <si>
    <t>기납입P'대소</t>
    <phoneticPr fontId="12" type="noConversion"/>
  </si>
  <si>
    <t>기타 등등</t>
    <phoneticPr fontId="12" type="noConversion"/>
  </si>
  <si>
    <t>급부반영</t>
    <phoneticPr fontId="3" type="noConversion"/>
  </si>
  <si>
    <t>책임준비금</t>
    <phoneticPr fontId="3" type="noConversion"/>
  </si>
  <si>
    <t>남자</t>
  </si>
  <si>
    <t>여자</t>
  </si>
  <si>
    <t>경과기간</t>
    <phoneticPr fontId="12" type="noConversion"/>
  </si>
  <si>
    <t>납입보험료</t>
    <phoneticPr fontId="12" type="noConversion"/>
  </si>
  <si>
    <t>책임준비금</t>
    <phoneticPr fontId="12" type="noConversion"/>
  </si>
  <si>
    <t>환급율</t>
    <phoneticPr fontId="12" type="noConversion"/>
  </si>
  <si>
    <t>가입시점</t>
    <phoneticPr fontId="12" type="noConversion"/>
  </si>
  <si>
    <t xml:space="preserve">  신계약비</t>
    <phoneticPr fontId="3" type="noConversion"/>
  </si>
  <si>
    <t>만원</t>
    <phoneticPr fontId="3" type="noConversion"/>
  </si>
  <si>
    <t>가입금액</t>
    <phoneticPr fontId="12" type="noConversion"/>
  </si>
  <si>
    <t>일시납</t>
    <phoneticPr fontId="3" type="noConversion"/>
  </si>
  <si>
    <t>무배당 예정 재해장해 50%이상 발생률</t>
  </si>
  <si>
    <t>무배당 질병장해 50%이상 발생률</t>
  </si>
  <si>
    <t>재해장해50%</t>
    <phoneticPr fontId="12" type="noConversion"/>
  </si>
  <si>
    <t>질병장해50%</t>
    <phoneticPr fontId="12" type="noConversion"/>
  </si>
  <si>
    <t>적용</t>
    <phoneticPr fontId="3" type="noConversion"/>
  </si>
  <si>
    <t>표준</t>
    <phoneticPr fontId="3" type="noConversion"/>
  </si>
  <si>
    <t>해지환급금</t>
    <phoneticPr fontId="12" type="noConversion"/>
  </si>
  <si>
    <t>N'x</t>
  </si>
  <si>
    <t>납입자현가</t>
    <phoneticPr fontId="3" type="noConversion"/>
  </si>
  <si>
    <t>Dx</t>
    <phoneticPr fontId="12" type="noConversion"/>
  </si>
  <si>
    <t>Dx+n</t>
    <phoneticPr fontId="12" type="noConversion"/>
  </si>
  <si>
    <t>Nx</t>
    <phoneticPr fontId="12" type="noConversion"/>
  </si>
  <si>
    <t>Nx+n</t>
    <phoneticPr fontId="12" type="noConversion"/>
  </si>
  <si>
    <t>D'x+n</t>
    <phoneticPr fontId="12" type="noConversion"/>
  </si>
  <si>
    <t>K (순수0, 100%환급1)</t>
    <phoneticPr fontId="12" type="noConversion"/>
  </si>
  <si>
    <t>10만당:5/100만당:6</t>
    <phoneticPr fontId="12" type="noConversion"/>
  </si>
  <si>
    <t>나이</t>
    <phoneticPr fontId="12" type="noConversion"/>
  </si>
  <si>
    <t>보험형태</t>
    <phoneticPr fontId="12" type="noConversion"/>
  </si>
  <si>
    <t>보험종목</t>
    <phoneticPr fontId="12" type="noConversion"/>
  </si>
  <si>
    <t>체증시작나이</t>
    <phoneticPr fontId="12" type="noConversion"/>
  </si>
  <si>
    <t>체증기간</t>
    <phoneticPr fontId="12" type="noConversion"/>
  </si>
  <si>
    <t>체증률</t>
    <phoneticPr fontId="12" type="noConversion"/>
  </si>
  <si>
    <t>보험종목</t>
    <phoneticPr fontId="3" type="noConversion"/>
  </si>
  <si>
    <t>기본형</t>
    <phoneticPr fontId="3" type="noConversion"/>
  </si>
  <si>
    <t>체증형</t>
    <phoneticPr fontId="3" type="noConversion"/>
  </si>
  <si>
    <t>사망</t>
  </si>
  <si>
    <t>사망</t>
    <phoneticPr fontId="12" type="noConversion"/>
  </si>
  <si>
    <t>해지</t>
  </si>
  <si>
    <t>해지</t>
    <phoneticPr fontId="12" type="noConversion"/>
  </si>
  <si>
    <t>유지자</t>
  </si>
  <si>
    <t>유지자현가</t>
  </si>
  <si>
    <t>유지자현가누계</t>
  </si>
  <si>
    <t>l(w)x</t>
  </si>
  <si>
    <t>D(w)x</t>
  </si>
  <si>
    <t>N(w)x</t>
  </si>
  <si>
    <t>50%장해</t>
  </si>
  <si>
    <t>qx</t>
  </si>
  <si>
    <t>q50x+k</t>
  </si>
  <si>
    <t>사망</t>
    <phoneticPr fontId="3" type="noConversion"/>
  </si>
  <si>
    <t>해지</t>
    <phoneticPr fontId="3" type="noConversion"/>
  </si>
  <si>
    <t>d(w)x</t>
  </si>
  <si>
    <t>C(w)x</t>
  </si>
  <si>
    <t>M(w)x</t>
  </si>
  <si>
    <t>qLx</t>
  </si>
  <si>
    <t>C1x'</t>
    <phoneticPr fontId="3" type="noConversion"/>
  </si>
  <si>
    <t>체증기간</t>
    <phoneticPr fontId="3" type="noConversion"/>
  </si>
  <si>
    <t>납입자 중 해지자</t>
  </si>
  <si>
    <t>납입면제자 중 해지자</t>
  </si>
  <si>
    <t>wx</t>
  </si>
  <si>
    <t>CWx</t>
  </si>
  <si>
    <t>∑tWx/2</t>
  </si>
  <si>
    <t>CWx * ∑tWx/2</t>
  </si>
  <si>
    <t>w'x</t>
  </si>
  <si>
    <t>CW ' x</t>
  </si>
  <si>
    <t>∑tVx/2</t>
  </si>
  <si>
    <t>CW ' x * ∑tVx/2</t>
  </si>
  <si>
    <t>MWx</t>
  </si>
  <si>
    <t>연시준비금</t>
    <phoneticPr fontId="3" type="noConversion"/>
  </si>
  <si>
    <t>미상각a</t>
  </si>
  <si>
    <t>경과년수</t>
    <phoneticPr fontId="9" type="noConversion"/>
  </si>
  <si>
    <t>10만당 환급금</t>
    <phoneticPr fontId="3" type="noConversion"/>
  </si>
  <si>
    <t>tW 100%형</t>
    <phoneticPr fontId="3" type="noConversion"/>
  </si>
  <si>
    <r>
      <t xml:space="preserve">※ 기준 </t>
    </r>
    <r>
      <rPr>
        <b/>
        <sz val="12"/>
        <color rgb="FF315F97"/>
        <rFont val="신명 신문명조"/>
        <family val="3"/>
        <charset val="129"/>
      </rPr>
      <t xml:space="preserve">: </t>
    </r>
    <r>
      <rPr>
        <b/>
        <sz val="12"/>
        <color rgb="FF315F97"/>
        <rFont val="맑은 고딕"/>
        <family val="3"/>
        <charset val="129"/>
        <scheme val="minor"/>
      </rPr>
      <t>기본형</t>
    </r>
    <r>
      <rPr>
        <b/>
        <sz val="12"/>
        <color rgb="FF315F97"/>
        <rFont val="신명 신문명조"/>
        <family val="3"/>
        <charset val="129"/>
      </rPr>
      <t xml:space="preserve">, </t>
    </r>
    <r>
      <rPr>
        <b/>
        <sz val="12"/>
        <color rgb="FF315F97"/>
        <rFont val="맑은 고딕"/>
        <family val="3"/>
        <charset val="129"/>
        <scheme val="minor"/>
      </rPr>
      <t xml:space="preserve">남자 </t>
    </r>
    <r>
      <rPr>
        <b/>
        <sz val="12"/>
        <color rgb="FF315F97"/>
        <rFont val="신명 신문명조"/>
        <family val="3"/>
        <charset val="129"/>
      </rPr>
      <t>40</t>
    </r>
    <r>
      <rPr>
        <b/>
        <sz val="12"/>
        <color rgb="FF315F97"/>
        <rFont val="맑은 고딕"/>
        <family val="3"/>
        <charset val="129"/>
        <scheme val="minor"/>
      </rPr>
      <t>세</t>
    </r>
    <r>
      <rPr>
        <b/>
        <sz val="12"/>
        <color rgb="FF315F97"/>
        <rFont val="신명 신문명조"/>
        <family val="3"/>
        <charset val="129"/>
      </rPr>
      <t>, 90</t>
    </r>
    <r>
      <rPr>
        <b/>
        <sz val="12"/>
        <color rgb="FF315F97"/>
        <rFont val="맑은 고딕"/>
        <family val="3"/>
        <charset val="129"/>
        <scheme val="minor"/>
      </rPr>
      <t>세만기</t>
    </r>
    <r>
      <rPr>
        <b/>
        <sz val="12"/>
        <color rgb="FF315F97"/>
        <rFont val="신명 신문명조"/>
        <family val="3"/>
        <charset val="129"/>
      </rPr>
      <t>, 20</t>
    </r>
    <r>
      <rPr>
        <b/>
        <sz val="12"/>
        <color rgb="FF315F97"/>
        <rFont val="맑은 고딕"/>
        <family val="3"/>
        <charset val="129"/>
        <scheme val="minor"/>
      </rPr>
      <t>년납</t>
    </r>
    <r>
      <rPr>
        <b/>
        <sz val="12"/>
        <color rgb="FF315F97"/>
        <rFont val="신명 신문명조"/>
        <family val="3"/>
        <charset val="129"/>
      </rPr>
      <t xml:space="preserve">, </t>
    </r>
    <r>
      <rPr>
        <b/>
        <sz val="12"/>
        <color rgb="FF315F97"/>
        <rFont val="맑은 고딕"/>
        <family val="3"/>
        <charset val="129"/>
        <scheme val="minor"/>
      </rPr>
      <t>월납</t>
    </r>
    <r>
      <rPr>
        <b/>
        <sz val="12"/>
        <color rgb="FF315F97"/>
        <rFont val="신명 신문명조"/>
        <family val="3"/>
        <charset val="129"/>
      </rPr>
      <t xml:space="preserve">, </t>
    </r>
    <r>
      <rPr>
        <b/>
        <sz val="12"/>
        <color rgb="FF315F97"/>
        <rFont val="맑은 고딕"/>
        <family val="3"/>
        <charset val="129"/>
        <scheme val="minor"/>
      </rPr>
      <t xml:space="preserve">주계약 보험가입금액 </t>
    </r>
    <r>
      <rPr>
        <b/>
        <sz val="12"/>
        <color rgb="FF315F97"/>
        <rFont val="신명 신문명조"/>
        <family val="3"/>
        <charset val="129"/>
      </rPr>
      <t>1</t>
    </r>
    <r>
      <rPr>
        <b/>
        <sz val="12"/>
        <color rgb="FF315F97"/>
        <rFont val="맑은 고딕"/>
        <family val="3"/>
        <charset val="129"/>
        <scheme val="minor"/>
      </rPr>
      <t>억원</t>
    </r>
    <r>
      <rPr>
        <b/>
        <sz val="12"/>
        <color rgb="FF315F97"/>
        <rFont val="신명 신문명조"/>
        <family val="3"/>
        <charset val="129"/>
      </rPr>
      <t xml:space="preserve">, </t>
    </r>
    <r>
      <rPr>
        <b/>
        <sz val="12"/>
        <color rgb="FF315F97"/>
        <rFont val="맑은 고딕"/>
        <family val="3"/>
        <charset val="129"/>
        <scheme val="minor"/>
      </rPr>
      <t>특약 제외</t>
    </r>
  </si>
  <si>
    <t xml:space="preserve">  </t>
  </si>
  <si>
    <t>▣ 납입보험료 비교</t>
  </si>
  <si>
    <t>구 분</t>
  </si>
  <si>
    <t>저해지환급형</t>
  </si>
  <si>
    <t>일반형</t>
  </si>
  <si>
    <r>
      <t>50%</t>
    </r>
    <r>
      <rPr>
        <sz val="11"/>
        <color rgb="FF000000"/>
        <rFont val="맑은 고딕"/>
        <family val="3"/>
        <charset val="129"/>
        <scheme val="minor"/>
      </rPr>
      <t>형</t>
    </r>
  </si>
  <si>
    <r>
      <t>100%</t>
    </r>
    <r>
      <rPr>
        <sz val="11"/>
        <color rgb="FF000000"/>
        <rFont val="맑은 고딕"/>
        <family val="3"/>
        <charset val="129"/>
        <scheme val="minor"/>
      </rPr>
      <t>형</t>
    </r>
  </si>
  <si>
    <t>보험료</t>
  </si>
  <si>
    <t>▣ 해지환급금 및 환급률 비교</t>
  </si>
  <si>
    <t>경과기간</t>
  </si>
  <si>
    <t>해지환급금</t>
  </si>
  <si>
    <t>환급률</t>
  </si>
  <si>
    <r>
      <t>※ 상기 환급률은 경과기간동안 이미 납입하신 보험료 대비 환급률입니다</t>
    </r>
    <r>
      <rPr>
        <sz val="12"/>
        <color rgb="FF000000"/>
        <rFont val="신명 신문명조"/>
        <family val="3"/>
        <charset val="129"/>
      </rPr>
      <t>.</t>
    </r>
  </si>
  <si>
    <r>
      <t xml:space="preserve">S vs </t>
    </r>
    <r>
      <rPr>
        <sz val="9"/>
        <color theme="1"/>
        <rFont val="맑은 고딕"/>
        <family val="3"/>
        <charset val="129"/>
      </rPr>
      <t>∑P'</t>
    </r>
    <phoneticPr fontId="3" type="noConversion"/>
  </si>
  <si>
    <t>사망보험금</t>
    <phoneticPr fontId="3" type="noConversion"/>
  </si>
  <si>
    <t>d</t>
    <phoneticPr fontId="3" type="noConversion"/>
  </si>
  <si>
    <t>유지자 중 해지자</t>
    <phoneticPr fontId="3" type="noConversion"/>
  </si>
  <si>
    <t>해지자현가</t>
    <phoneticPr fontId="3" type="noConversion"/>
  </si>
  <si>
    <t>해지자현가*100%환급금</t>
    <phoneticPr fontId="3" type="noConversion"/>
  </si>
  <si>
    <t>qLx</t>
    <phoneticPr fontId="3" type="noConversion"/>
  </si>
  <si>
    <t>일반재해사망</t>
    <phoneticPr fontId="3" type="noConversion"/>
  </si>
  <si>
    <t>대중교통재해장해급여금</t>
    <phoneticPr fontId="3" type="noConversion"/>
  </si>
  <si>
    <t>교통재해장해급여금</t>
    <phoneticPr fontId="3" type="noConversion"/>
  </si>
  <si>
    <t>일반재해장해급여금</t>
    <phoneticPr fontId="3" type="noConversion"/>
  </si>
  <si>
    <t>무해지</t>
    <phoneticPr fontId="3" type="noConversion"/>
  </si>
  <si>
    <t>해지율</t>
    <phoneticPr fontId="12" type="noConversion"/>
  </si>
  <si>
    <t>Bx</t>
  </si>
  <si>
    <t>Bx</t>
    <phoneticPr fontId="12" type="noConversion"/>
  </si>
  <si>
    <t>Wx</t>
  </si>
  <si>
    <t>RRx (k · m · Dx+n)</t>
  </si>
  <si>
    <t>RRx (k · m · Dx+n)</t>
    <phoneticPr fontId="3" type="noConversion"/>
  </si>
  <si>
    <t>NBx(납후)</t>
  </si>
  <si>
    <t>NBx(납후)</t>
    <phoneticPr fontId="12" type="noConversion"/>
  </si>
  <si>
    <t>NNx 납중(순수/만기)</t>
  </si>
  <si>
    <t>NNx 납중(순수/만기)</t>
    <phoneticPr fontId="12" type="noConversion"/>
  </si>
  <si>
    <t>NNx 납중(주기별)</t>
  </si>
  <si>
    <t>NNx 납중(주기별)</t>
    <phoneticPr fontId="12" type="noConversion"/>
  </si>
  <si>
    <t>RRx* (k · m* · Dx+n)</t>
  </si>
  <si>
    <t>RRx* (k · m* · Dx+n)</t>
    <phoneticPr fontId="12" type="noConversion"/>
  </si>
  <si>
    <t>NBx* (Nx+m*-Nx+n)</t>
  </si>
  <si>
    <t>NBx* (Nx+m*-Nx+n)</t>
    <phoneticPr fontId="12" type="noConversion"/>
  </si>
  <si>
    <t>NNx* (N'-N'x+m*)</t>
  </si>
  <si>
    <t>NNx* (N'-N'x+m*)</t>
    <phoneticPr fontId="12" type="noConversion"/>
  </si>
  <si>
    <t>B(w)x+t</t>
  </si>
  <si>
    <t>B(w)x+t</t>
    <phoneticPr fontId="3" type="noConversion"/>
  </si>
  <si>
    <t>Wx+t</t>
  </si>
  <si>
    <t>Wx+t</t>
    <phoneticPr fontId="3" type="noConversion"/>
  </si>
  <si>
    <t>NNx+t</t>
  </si>
  <si>
    <t>NNx+t</t>
    <phoneticPr fontId="3" type="noConversion"/>
  </si>
  <si>
    <t>NBx+t</t>
  </si>
  <si>
    <t>NBx+t</t>
    <phoneticPr fontId="3" type="noConversion"/>
  </si>
  <si>
    <t>FPIx+t</t>
  </si>
  <si>
    <t>FPIx+t</t>
    <phoneticPr fontId="3" type="noConversion"/>
  </si>
  <si>
    <t>Vx+t</t>
  </si>
  <si>
    <t>Vx+t</t>
    <phoneticPr fontId="3" type="noConversion"/>
  </si>
  <si>
    <t>Vx+t(적용)</t>
  </si>
  <si>
    <t>Vx+t(적용)</t>
    <phoneticPr fontId="3" type="noConversion"/>
  </si>
  <si>
    <t>m*</t>
  </si>
  <si>
    <t>N'x+m*</t>
  </si>
  <si>
    <t>Nx+m*</t>
  </si>
  <si>
    <t>Dx</t>
  </si>
  <si>
    <t>Dx+m</t>
  </si>
  <si>
    <t>Dx+n</t>
  </si>
  <si>
    <t>Nx</t>
  </si>
  <si>
    <t>Nx+m</t>
  </si>
  <si>
    <t>Nx+n</t>
  </si>
  <si>
    <t>D'x</t>
  </si>
  <si>
    <t>D'x+m</t>
  </si>
  <si>
    <t>D'x+n</t>
  </si>
  <si>
    <t>N'x+m</t>
  </si>
  <si>
    <t>K (순수0, 100%환급1)</t>
  </si>
  <si>
    <t>m' =</t>
  </si>
  <si>
    <t>Rx</t>
    <phoneticPr fontId="3" type="noConversion"/>
  </si>
  <si>
    <t>WWx</t>
    <phoneticPr fontId="3" type="noConversion"/>
  </si>
  <si>
    <t>WWx</t>
    <phoneticPr fontId="12" type="noConversion"/>
  </si>
  <si>
    <t>50%장해</t>
    <phoneticPr fontId="12" type="noConversion"/>
  </si>
  <si>
    <t>q50x+k</t>
    <phoneticPr fontId="3" type="noConversion"/>
  </si>
  <si>
    <t>상급종합입원</t>
    <phoneticPr fontId="3" type="noConversion"/>
  </si>
  <si>
    <t>상급종합병원입원</t>
    <phoneticPr fontId="3" type="noConversion"/>
  </si>
  <si>
    <t>상급종합병원</t>
    <phoneticPr fontId="3" type="noConversion"/>
  </si>
  <si>
    <t>qLx</t>
    <phoneticPr fontId="12" type="noConversion"/>
  </si>
  <si>
    <t>계약자적립액</t>
    <phoneticPr fontId="12" type="noConversion"/>
  </si>
  <si>
    <t>보험형태</t>
  </si>
  <si>
    <t>월납</t>
  </si>
  <si>
    <t>기본형</t>
  </si>
  <si>
    <t>해당없음</t>
  </si>
  <si>
    <t>미반영</t>
  </si>
  <si>
    <t xml:space="preserve">  표준신계약비</t>
    <phoneticPr fontId="3" type="noConversion"/>
  </si>
  <si>
    <t>납입 부가보험료</t>
    <phoneticPr fontId="12" type="noConversion"/>
  </si>
  <si>
    <t>일반형</t>
    <phoneticPr fontId="12" type="noConversion"/>
  </si>
  <si>
    <t>tW환급률연동형</t>
    <phoneticPr fontId="12" type="noConversion"/>
  </si>
  <si>
    <t>규정체크</t>
    <phoneticPr fontId="12" type="noConversion"/>
  </si>
  <si>
    <t>S vs tW</t>
    <phoneticPr fontId="12" type="noConversion"/>
  </si>
  <si>
    <t>경과기간</t>
    <phoneticPr fontId="3" type="noConversion"/>
  </si>
  <si>
    <t>납중</t>
    <phoneticPr fontId="3" type="noConversion"/>
  </si>
  <si>
    <t>납후</t>
    <phoneticPr fontId="3" type="noConversion"/>
  </si>
  <si>
    <t>주기명</t>
    <phoneticPr fontId="12" type="noConversion"/>
  </si>
  <si>
    <t>분활횟수</t>
    <phoneticPr fontId="3" type="noConversion"/>
  </si>
  <si>
    <t>종목명</t>
    <phoneticPr fontId="3" type="noConversion"/>
  </si>
  <si>
    <t>구분자</t>
    <phoneticPr fontId="3" type="noConversion"/>
  </si>
  <si>
    <t>형태명</t>
    <phoneticPr fontId="3" type="noConversion"/>
  </si>
  <si>
    <t>환급율연동형</t>
    <phoneticPr fontId="12" type="noConversion"/>
  </si>
  <si>
    <t>체증시작연령</t>
  </si>
  <si>
    <t>체증시작연령</t>
    <phoneticPr fontId="3" type="noConversion"/>
  </si>
  <si>
    <t>연령(세)</t>
    <phoneticPr fontId="3" type="noConversion"/>
  </si>
  <si>
    <t>경과시점</t>
    <phoneticPr fontId="3" type="noConversion"/>
  </si>
  <si>
    <t>체증시작연령</t>
    <phoneticPr fontId="12" type="noConversion"/>
  </si>
  <si>
    <t>월납</t>
    <phoneticPr fontId="12" type="noConversion"/>
  </si>
  <si>
    <t>3개월납</t>
    <phoneticPr fontId="12" type="noConversion"/>
  </si>
  <si>
    <t>6개월납</t>
    <phoneticPr fontId="12" type="noConversion"/>
  </si>
  <si>
    <t>연납</t>
    <phoneticPr fontId="12" type="noConversion"/>
  </si>
  <si>
    <t>일반형</t>
    <phoneticPr fontId="3" type="noConversion"/>
  </si>
  <si>
    <t>연납</t>
  </si>
  <si>
    <t>계약자적립액</t>
    <phoneticPr fontId="3" type="noConversion"/>
  </si>
  <si>
    <t>l'x</t>
    <phoneticPr fontId="12" type="noConversion"/>
  </si>
  <si>
    <t>연납P(β')</t>
    <phoneticPr fontId="3" type="noConversion"/>
  </si>
  <si>
    <t>환급률연동형</t>
    <phoneticPr fontId="12" type="noConversion"/>
  </si>
  <si>
    <t>월납(일반형 연납)P(β')</t>
    <phoneticPr fontId="3" type="noConversion"/>
  </si>
  <si>
    <r>
      <rPr>
        <b/>
        <sz val="8"/>
        <color theme="1"/>
        <rFont val="맑은 고딕"/>
        <family val="3"/>
        <charset val="129"/>
      </rPr>
      <t xml:space="preserve">※ </t>
    </r>
    <r>
      <rPr>
        <b/>
        <sz val="8"/>
        <color theme="1"/>
        <rFont val="맑은 고딕"/>
        <family val="3"/>
        <charset val="129"/>
        <scheme val="minor"/>
      </rPr>
      <t>정기보험</t>
    </r>
    <phoneticPr fontId="3" type="noConversion"/>
  </si>
  <si>
    <t>현가 v</t>
    <phoneticPr fontId="3" type="noConversion"/>
  </si>
  <si>
    <t>연령</t>
    <phoneticPr fontId="20" type="noConversion"/>
  </si>
  <si>
    <t>무배당 예정사망률 (80%포함안함)</t>
    <phoneticPr fontId="20" type="noConversion"/>
  </si>
  <si>
    <t>Year</t>
    <phoneticPr fontId="132" type="noConversion"/>
  </si>
  <si>
    <t>Age</t>
    <phoneticPr fontId="3" type="noConversion"/>
  </si>
  <si>
    <t>lx+t</t>
    <phoneticPr fontId="3" type="noConversion"/>
  </si>
  <si>
    <t>qx+t</t>
    <phoneticPr fontId="20" type="noConversion"/>
  </si>
  <si>
    <t>lx+t+1</t>
    <phoneticPr fontId="3" type="noConversion"/>
  </si>
  <si>
    <t>Cx</t>
  </si>
  <si>
    <t>Mx</t>
  </si>
  <si>
    <t>BE</t>
    <phoneticPr fontId="20" type="noConversion"/>
  </si>
  <si>
    <t>기준연령</t>
    <phoneticPr fontId="3" type="noConversion"/>
  </si>
  <si>
    <t>순P/정기</t>
    <phoneticPr fontId="3" type="noConversion"/>
  </si>
  <si>
    <t>(t)</t>
    <phoneticPr fontId="3" type="noConversion"/>
  </si>
  <si>
    <t>(x)</t>
    <phoneticPr fontId="3" type="noConversion"/>
  </si>
  <si>
    <t>무해지</t>
  </si>
  <si>
    <t>유해지</t>
    <phoneticPr fontId="3" type="noConversion"/>
  </si>
  <si>
    <t>S 결과</t>
    <phoneticPr fontId="3" type="noConversion"/>
  </si>
  <si>
    <t>구분</t>
    <phoneticPr fontId="3" type="noConversion"/>
  </si>
  <si>
    <t>보기</t>
    <phoneticPr fontId="3" type="noConversion"/>
  </si>
  <si>
    <t>납기</t>
    <phoneticPr fontId="3" type="noConversion"/>
  </si>
  <si>
    <t>check</t>
    <phoneticPr fontId="3" type="noConversion"/>
  </si>
  <si>
    <t>N</t>
    <phoneticPr fontId="3" type="noConversion"/>
  </si>
  <si>
    <t>통합위험률 교체 확인</t>
    <phoneticPr fontId="3" type="noConversion"/>
  </si>
  <si>
    <t>저장경로</t>
    <phoneticPr fontId="3" type="noConversion"/>
  </si>
  <si>
    <t>일시납0</t>
    <phoneticPr fontId="3" type="noConversion"/>
  </si>
  <si>
    <t>일시납99</t>
    <phoneticPr fontId="3" type="noConversion"/>
  </si>
  <si>
    <t>매트릭스위험률</t>
    <phoneticPr fontId="3" type="noConversion"/>
  </si>
  <si>
    <t>갱신형:최초계약연령</t>
    <phoneticPr fontId="3" type="noConversion"/>
  </si>
  <si>
    <t>※ 갱신형상품의 경우</t>
    <phoneticPr fontId="3" type="noConversion"/>
  </si>
  <si>
    <t>전기납유무</t>
    <phoneticPr fontId="3" type="noConversion"/>
  </si>
  <si>
    <t>연납유무</t>
    <phoneticPr fontId="3" type="noConversion"/>
  </si>
  <si>
    <t>기준금액</t>
    <phoneticPr fontId="3" type="noConversion"/>
  </si>
  <si>
    <t>종신999</t>
    <phoneticPr fontId="3" type="noConversion"/>
  </si>
  <si>
    <t>전기납99</t>
    <phoneticPr fontId="3" type="noConversion"/>
  </si>
  <si>
    <t>월납12</t>
    <phoneticPr fontId="3" type="noConversion"/>
  </si>
  <si>
    <t>0부터 최초계약최대연령까지</t>
    <phoneticPr fontId="3" type="noConversion"/>
  </si>
  <si>
    <t>↓갱신여부 Y일때만 읽음↓</t>
    <phoneticPr fontId="3" type="noConversion"/>
  </si>
  <si>
    <t>아래W열각셀을 CK의 해당변수로 연결</t>
  </si>
  <si>
    <t>CK의 해당변수 셀을 아래 각 셀로 연결</t>
  </si>
  <si>
    <t>경과년수</t>
    <phoneticPr fontId="3" type="noConversion"/>
  </si>
  <si>
    <t>준비금</t>
    <phoneticPr fontId="3" type="noConversion"/>
  </si>
  <si>
    <t>표준알파</t>
    <phoneticPr fontId="3" type="noConversion"/>
  </si>
  <si>
    <t>적용알파</t>
    <phoneticPr fontId="3" type="noConversion"/>
  </si>
  <si>
    <t>보종코드</t>
    <phoneticPr fontId="3" type="noConversion"/>
  </si>
  <si>
    <t>갱신여부</t>
    <phoneticPr fontId="3" type="noConversion"/>
  </si>
  <si>
    <t>보기(1보기)</t>
    <phoneticPr fontId="3" type="noConversion"/>
  </si>
  <si>
    <t>2보기</t>
    <phoneticPr fontId="3" type="noConversion"/>
  </si>
  <si>
    <t>납입주기</t>
    <phoneticPr fontId="3" type="noConversion"/>
  </si>
  <si>
    <t>주피최초연령</t>
    <phoneticPr fontId="3" type="noConversion"/>
  </si>
  <si>
    <t>주피연령</t>
    <phoneticPr fontId="3" type="noConversion"/>
  </si>
  <si>
    <t>종피연령</t>
    <phoneticPr fontId="3" type="noConversion"/>
  </si>
  <si>
    <t>종피성별</t>
    <phoneticPr fontId="3" type="noConversion"/>
  </si>
  <si>
    <t>표책구분코드</t>
    <phoneticPr fontId="3" type="noConversion"/>
  </si>
  <si>
    <t>생사구분</t>
    <phoneticPr fontId="3" type="noConversion"/>
  </si>
  <si>
    <t>갱신보험기간</t>
    <phoneticPr fontId="3" type="noConversion"/>
  </si>
  <si>
    <t>갱신가입연령</t>
    <phoneticPr fontId="3" type="noConversion"/>
  </si>
  <si>
    <t>주피성별</t>
    <phoneticPr fontId="3" type="noConversion"/>
  </si>
  <si>
    <t>영업보험료</t>
    <phoneticPr fontId="3" type="noConversion"/>
  </si>
  <si>
    <t>최초연령</t>
    <phoneticPr fontId="3" type="noConversion"/>
  </si>
  <si>
    <t>(사용하는 상품만)</t>
    <phoneticPr fontId="3" type="noConversion"/>
  </si>
  <si>
    <t>※ 값의 셀위치가 조건별로 다른 경우 함수로 걸어주시면 됩니다.  (ex. IF(W12(납입기간) = 0, 일시납보험료셀, 일시납외보험료셀))</t>
    <phoneticPr fontId="3" type="noConversion"/>
  </si>
  <si>
    <t>준비금순보험료</t>
    <phoneticPr fontId="3" type="noConversion"/>
  </si>
  <si>
    <t>←일시납의 경우 P(β') (FC2CK주의), 13테이블의 경우 0입력</t>
    <phoneticPr fontId="0" type="Hiragana"/>
  </si>
  <si>
    <t>적용신계약비</t>
    <phoneticPr fontId="3" type="noConversion"/>
  </si>
  <si>
    <t>←13테이블의 경우 납중 일반형W*xx%형(용감종류)는 일반형적용α*xx%입력(납후 자동0찍힘), 무해지형은 0입력</t>
    <phoneticPr fontId="0" type="Hiragana"/>
  </si>
  <si>
    <t>택1</t>
    <phoneticPr fontId="3" type="noConversion"/>
  </si>
  <si>
    <t>보험기간(1보기)_명목</t>
    <phoneticPr fontId="3" type="noConversion"/>
  </si>
  <si>
    <t>=IF(PV!W9=999, 0, PV!W9) (FC1CK)</t>
    <phoneticPr fontId="3" type="noConversion"/>
  </si>
  <si>
    <t>표준신계약비</t>
    <phoneticPr fontId="3" type="noConversion"/>
  </si>
  <si>
    <t>←일시납의 경우 0, 13테이블의 경우 용감종류(납중 일반형W*xx%)는 일반형표준α*xx%값입력(납후 자동0찍힘), 무해지형은 0입력</t>
    <phoneticPr fontId="0" type="Hiragana"/>
  </si>
  <si>
    <t>보험기간(1보기)_실보기</t>
    <phoneticPr fontId="3" type="noConversion"/>
  </si>
  <si>
    <t>구분</t>
    <phoneticPr fontId="0" type="Hiragana"/>
  </si>
  <si>
    <t>일반형</t>
    <phoneticPr fontId="0" type="Hiragana"/>
  </si>
  <si>
    <t>무저해지</t>
    <phoneticPr fontId="0" type="Hiragana"/>
  </si>
  <si>
    <t>제2보험기간</t>
    <phoneticPr fontId="3" type="noConversion"/>
  </si>
  <si>
    <t>생사구분2번째</t>
  </si>
  <si>
    <t>생사구분3번째</t>
  </si>
  <si>
    <t>←13테이블의 경우 납중은 일반형W*xx%형(용감종류) 일반형V*xx%입력/무해지 0입력 , 납후는 가입금액당W값(※용감종류는 일반형V동일)</t>
    <phoneticPr fontId="0" type="Hiragana"/>
  </si>
  <si>
    <t>경과월별</t>
    <phoneticPr fontId="0" type="Hiragana"/>
  </si>
  <si>
    <t>납입보험료</t>
    <phoneticPr fontId="0" type="Hiragana"/>
  </si>
  <si>
    <t>준비금</t>
    <phoneticPr fontId="0" type="Hiragana"/>
  </si>
  <si>
    <t>해지환급금</t>
    <phoneticPr fontId="0" type="Hiragana"/>
  </si>
  <si>
    <t>환급률</t>
    <phoneticPr fontId="0" type="Hiragana"/>
  </si>
  <si>
    <t>납입기간_실납기</t>
    <phoneticPr fontId="3" type="noConversion"/>
  </si>
  <si>
    <t>가입금액</t>
    <phoneticPr fontId="3" type="noConversion"/>
  </si>
  <si>
    <t>(만원)</t>
    <phoneticPr fontId="3" type="noConversion"/>
  </si>
  <si>
    <t>=IF(PV!W15="N", "N", "R") (FC1CK)</t>
    <phoneticPr fontId="3" type="noConversion"/>
  </si>
  <si>
    <t xml:space="preserve"> ↑=IF(PV!W15="N", 1, 2) (FC2CK)</t>
    <phoneticPr fontId="3" type="noConversion"/>
  </si>
  <si>
    <t>테이블생성유무</t>
    <phoneticPr fontId="3" type="noConversion"/>
  </si>
  <si>
    <t>0:무, 1:유</t>
    <phoneticPr fontId="3" type="noConversion"/>
  </si>
  <si>
    <t>건수</t>
    <phoneticPr fontId="3" type="noConversion"/>
  </si>
  <si>
    <t>P</t>
    <phoneticPr fontId="3" type="noConversion"/>
  </si>
  <si>
    <t>V</t>
    <phoneticPr fontId="3" type="noConversion"/>
  </si>
  <si>
    <t>투입P</t>
    <phoneticPr fontId="3" type="noConversion"/>
  </si>
  <si>
    <t>x값</t>
    <phoneticPr fontId="3" type="noConversion"/>
  </si>
  <si>
    <t>최대보기(x세)</t>
    <phoneticPr fontId="3" type="noConversion"/>
  </si>
  <si>
    <t>(종신115)</t>
    <phoneticPr fontId="3" type="noConversion"/>
  </si>
  <si>
    <t>최대납기제한(x세)</t>
    <phoneticPr fontId="3" type="noConversion"/>
  </si>
  <si>
    <t>(갱신 등 제한 없는경우 임의큰숫자)</t>
    <phoneticPr fontId="3" type="noConversion"/>
  </si>
  <si>
    <t>세만기최대연령 세만기-x세</t>
    <phoneticPr fontId="3" type="noConversion"/>
  </si>
  <si>
    <t>세납최대연령 세납-x세</t>
    <phoneticPr fontId="3" type="noConversion"/>
  </si>
  <si>
    <t>n&gt;m조건 (환급률연동형만 1, 나머지0)</t>
    <phoneticPr fontId="3" type="noConversion"/>
  </si>
  <si>
    <t>무해지여부</t>
    <phoneticPr fontId="3" type="noConversion"/>
  </si>
  <si>
    <t>0:일반, 1:납중무해지</t>
    <phoneticPr fontId="3" type="noConversion"/>
  </si>
  <si>
    <t>무저해지종류</t>
    <phoneticPr fontId="3" type="noConversion"/>
  </si>
  <si>
    <t>Main_무해지</t>
  </si>
  <si>
    <t>순P</t>
    <phoneticPr fontId="3" type="noConversion"/>
  </si>
  <si>
    <t>정기순P</t>
    <phoneticPr fontId="3" type="noConversion"/>
  </si>
  <si>
    <r>
      <rPr>
        <b/>
        <sz val="11"/>
        <color theme="1"/>
        <rFont val="맑은 고딕"/>
        <family val="3"/>
        <charset val="129"/>
      </rPr>
      <t>α</t>
    </r>
    <r>
      <rPr>
        <b/>
        <sz val="11"/>
        <color theme="1"/>
        <rFont val="맑은 고딕"/>
        <family val="3"/>
        <charset val="129"/>
        <scheme val="minor"/>
      </rPr>
      <t xml:space="preserve"> 결과</t>
    </r>
    <phoneticPr fontId="3" type="noConversion"/>
  </si>
  <si>
    <t>S</t>
    <phoneticPr fontId="3" type="noConversion"/>
  </si>
  <si>
    <t>무해지</t>
    <phoneticPr fontId="12" type="noConversion"/>
  </si>
  <si>
    <t>납입보험료</t>
  </si>
  <si>
    <t>부가보험료 비율</t>
    <phoneticPr fontId="12" type="noConversion"/>
  </si>
  <si>
    <t>실보기</t>
    <phoneticPr fontId="3" type="noConversion"/>
  </si>
  <si>
    <t>N</t>
  </si>
  <si>
    <t>-&gt;입력</t>
    <phoneticPr fontId="3" type="noConversion"/>
  </si>
  <si>
    <t>참조시트</t>
  </si>
  <si>
    <t>적용이율</t>
    <phoneticPr fontId="3" type="noConversion"/>
  </si>
  <si>
    <t>기준금액</t>
  </si>
  <si>
    <t>연령</t>
    <phoneticPr fontId="3" type="noConversion"/>
  </si>
  <si>
    <t>갱신여부</t>
  </si>
  <si>
    <t>산출 시작</t>
  </si>
  <si>
    <t>자릿수</t>
    <phoneticPr fontId="3" type="noConversion"/>
  </si>
  <si>
    <t>유해지</t>
  </si>
  <si>
    <t>태아</t>
    <phoneticPr fontId="3" type="noConversion"/>
  </si>
  <si>
    <t>←0시점 값(일시납 외 0)</t>
    <phoneticPr fontId="0" type="Hiragana"/>
  </si>
  <si>
    <t>보종코드</t>
    <phoneticPr fontId="0" type="Hiragana"/>
  </si>
  <si>
    <t>1: 납입후환급률연동형</t>
    <phoneticPr fontId="3" type="noConversion"/>
  </si>
  <si>
    <t>납입후환급률연동형</t>
    <phoneticPr fontId="3" type="noConversion"/>
  </si>
  <si>
    <t>보험기간</t>
    <phoneticPr fontId="3" type="noConversion"/>
  </si>
  <si>
    <t>납입기간</t>
    <phoneticPr fontId="3" type="noConversion"/>
  </si>
  <si>
    <t>100세만기</t>
  </si>
  <si>
    <t>10/20/30년납</t>
  </si>
  <si>
    <t>30세만기</t>
  </si>
  <si>
    <t>C1148001의 가코드</t>
    <phoneticPr fontId="3" type="noConversion"/>
  </si>
  <si>
    <t>C1149001의 가코드</t>
    <phoneticPr fontId="3" type="noConversion"/>
  </si>
  <si>
    <t>태아여부</t>
    <phoneticPr fontId="12" type="noConversion"/>
  </si>
  <si>
    <t>1: 출생전가입(태아), 0.5: 출생후가입</t>
    <phoneticPr fontId="12" type="noConversion"/>
  </si>
  <si>
    <t>전기납</t>
    <phoneticPr fontId="12" type="noConversion"/>
  </si>
  <si>
    <t>출생여부</t>
    <phoneticPr fontId="3" type="noConversion"/>
  </si>
  <si>
    <t>1: 출생전, 0: 출생후</t>
    <phoneticPr fontId="3" type="noConversion"/>
  </si>
  <si>
    <t>5년납</t>
    <phoneticPr fontId="3" type="noConversion"/>
  </si>
  <si>
    <t>보종코드별 규칙 vba상 나열</t>
    <phoneticPr fontId="3" type="noConversion"/>
  </si>
  <si>
    <t>구분키정보</t>
  </si>
  <si>
    <t>납입후환급률연동형</t>
  </si>
  <si>
    <t>아래 보종코드 순서와 규칙 순서 일치시켜야함</t>
    <phoneticPr fontId="3" type="noConversion"/>
  </si>
  <si>
    <t>vba: "Public Sub 추가입력설정()
"</t>
    <phoneticPr fontId="3" type="noConversion"/>
  </si>
  <si>
    <t>태아삭감(1: 삭감X, 0: 삭감50%)</t>
    <phoneticPr fontId="3" type="noConversion"/>
  </si>
  <si>
    <t>1: 무해지, 0: 일반형</t>
    <phoneticPr fontId="0" type="Hiragana"/>
  </si>
  <si>
    <t>태아삭감여부</t>
    <phoneticPr fontId="3" type="noConversion"/>
  </si>
  <si>
    <t>1: 태아삭감X, 0: 태아삭감O</t>
    <phoneticPr fontId="3" type="noConversion"/>
  </si>
  <si>
    <t>태아</t>
    <phoneticPr fontId="3" type="noConversion"/>
  </si>
  <si>
    <t>=PV!W6</t>
    <phoneticPr fontId="12" type="noConversion"/>
  </si>
  <si>
    <t>=+PV!W9</t>
    <phoneticPr fontId="12" type="noConversion"/>
  </si>
  <si>
    <t>PV 연결KEY</t>
    <phoneticPr fontId="12" type="noConversion"/>
  </si>
  <si>
    <t>=+IF(PV!W10=PV!W12,"전기납",PV!W12)</t>
    <phoneticPr fontId="12" type="noConversion"/>
  </si>
  <si>
    <t>=+PV!W14</t>
    <phoneticPr fontId="12" type="noConversion"/>
  </si>
  <si>
    <t>PV용 '=+IF(PV!$W$33=1,1,0.5)</t>
    <phoneticPr fontId="12" type="noConversion"/>
  </si>
  <si>
    <t>PV 연결KEY(태아여부)</t>
    <phoneticPr fontId="12" type="noConversion"/>
  </si>
  <si>
    <t>** 태아형 S산출을 위해 "Main_무해지"시트 "G3" 식 아래 S용으로 수정 필요</t>
    <phoneticPr fontId="3" type="noConversion"/>
  </si>
  <si>
    <t>S용   '=+IF($E$3=0,1,0.5)</t>
    <phoneticPr fontId="12" type="noConversion"/>
  </si>
  <si>
    <t>1년</t>
  </si>
  <si>
    <t>[보종코드 정보]</t>
    <phoneticPr fontId="3" type="noConversion"/>
  </si>
  <si>
    <t>=IF(PV!$W$4=1,"남자","여자")</t>
    <phoneticPr fontId="12" type="noConversion"/>
  </si>
  <si>
    <t>순보험료</t>
    <phoneticPr fontId="3" type="noConversion"/>
  </si>
  <si>
    <t>사업비율</t>
    <phoneticPr fontId="3" type="noConversion"/>
  </si>
  <si>
    <t>모드설정</t>
    <phoneticPr fontId="3" type="noConversion"/>
  </si>
  <si>
    <t>모드</t>
    <phoneticPr fontId="12" type="noConversion"/>
  </si>
  <si>
    <t>PV</t>
    <phoneticPr fontId="3" type="noConversion"/>
  </si>
  <si>
    <t>CK</t>
    <phoneticPr fontId="3" type="noConversion"/>
  </si>
  <si>
    <t>구분</t>
    <phoneticPr fontId="3" type="noConversion"/>
  </si>
  <si>
    <t>해약환급금미지급형</t>
  </si>
  <si>
    <t>해약환급금미지급형</t>
    <phoneticPr fontId="3" type="noConversion"/>
  </si>
  <si>
    <t>입력</t>
    <phoneticPr fontId="3" type="noConversion"/>
  </si>
  <si>
    <t>속성
입력</t>
    <phoneticPr fontId="3" type="noConversion"/>
  </si>
  <si>
    <t>** pv통합본 ck에서 속성입력 구분</t>
    <phoneticPr fontId="3" type="noConversion"/>
  </si>
  <si>
    <t>태아</t>
    <phoneticPr fontId="12" type="noConversion"/>
  </si>
  <si>
    <t>C4242001</t>
  </si>
  <si>
    <t>C4243001</t>
  </si>
  <si>
    <t>C4244001</t>
  </si>
  <si>
    <t>C4245001</t>
  </si>
  <si>
    <t>C4246001</t>
  </si>
  <si>
    <t>생사구분1번째</t>
  </si>
  <si>
    <t>=IF(해당셀="",0,해당셀) (종신의 경우 최대연령 이후 ""부분 에러)</t>
  </si>
  <si>
    <t>가입시점</t>
  </si>
  <si>
    <t>재해장해</t>
    <phoneticPr fontId="3" type="noConversion"/>
  </si>
  <si>
    <t>예정재해장해율(3%~100%)</t>
    <phoneticPr fontId="12" type="noConversion"/>
  </si>
  <si>
    <t>재해장해</t>
    <phoneticPr fontId="12" type="noConversion"/>
  </si>
  <si>
    <t>21709001</t>
  </si>
  <si>
    <t>21710001</t>
  </si>
  <si>
    <t>21711001</t>
  </si>
  <si>
    <t>21712001</t>
  </si>
  <si>
    <t>21713001</t>
  </si>
  <si>
    <t>C:\Users\61007899\Desktop\업무\1. 상품개발\2024\2. 4월 개정\개정대상상품\1. 주계약\신한주니어큐브종합건강상해보험(무배당, 해약환급금 미지급형)\주계약\프로그램\</t>
    <phoneticPr fontId="3" type="noConversion"/>
  </si>
  <si>
    <t>[출생전보장]신한주니어큐브종합건강상해보험(무배당)</t>
    <phoneticPr fontId="3" type="noConversion"/>
  </si>
  <si>
    <t>[출생후보장]신한주니어큐브종합건강상해보험(무배당, 해약환급금 미지급형)</t>
    <phoneticPr fontId="3" type="noConversion"/>
  </si>
  <si>
    <t>[출생후보장]신한주니어큐브종합건강상해보험(무배당)</t>
    <phoneticPr fontId="3" type="noConversion"/>
  </si>
  <si>
    <t>신한주니어큐브종합건강상해보험(무배당, 해약환급금 미지급형)</t>
    <phoneticPr fontId="3" type="noConversion"/>
  </si>
  <si>
    <t>신한주니어큐브종합건강상해보험(무배당)</t>
    <phoneticPr fontId="3" type="noConversion"/>
  </si>
  <si>
    <t>월피베타(투입P)</t>
  </si>
  <si>
    <t>21713001</t>
    <phoneticPr fontId="3" type="noConversion"/>
  </si>
  <si>
    <t>태아여부</t>
    <phoneticPr fontId="3" type="noConversion"/>
  </si>
  <si>
    <t>출생전가입 :Y, 출생후가입 N</t>
    <phoneticPr fontId="3" type="noConversion"/>
  </si>
  <si>
    <t>Y</t>
    <phoneticPr fontId="3" type="noConversion"/>
  </si>
  <si>
    <t>남자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</si>
</sst>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4">
    <numFmt numFmtId="176" formatCode="_(* #,##0_);_(* \(#,##0\);_(* &quot;-&quot;_);_(@_)"/>
    <numFmt numFmtId="177" formatCode="_(&quot;₩&quot;* #,##0_);_(&quot;₩&quot;* \(#,##0\);_(&quot;₩&quot;* &quot;-&quot;_);_(@_)"/>
    <numFmt numFmtId="178" formatCode="_(* #,##0.00_);_(* \(#,##0.00\);_(* &quot;-&quot;??_);_(@_)"/>
    <numFmt numFmtId="179" formatCode="_ * #,##0.000000_ ;_ * \-#,##0.000000_ ;_ * &quot;-&quot;_ ;_ @_ "/>
    <numFmt numFmtId="180" formatCode="_-* #,##0.000_-;\-* #,##0.000_-;_-* &quot;-&quot;_-;_-@_-"/>
    <numFmt numFmtId="181" formatCode="_-* #,##0.000_-;\-* #,##0.000_-;_-* &quot;-&quot;??_-;_-@_-"/>
    <numFmt numFmtId="182" formatCode="0.000_);[Red]\(0.000\)"/>
    <numFmt numFmtId="183" formatCode="###,###&quot;원&quot;"/>
    <numFmt numFmtId="184" formatCode="0.0%"/>
    <numFmt numFmtId="185" formatCode="0.000000_);[Red]\(0.000000\)"/>
    <numFmt numFmtId="186" formatCode="?&quot;세&quot;"/>
    <numFmt numFmtId="187" formatCode="###&quot;개월&quot;"/>
    <numFmt numFmtId="188" formatCode="##&quot;세&quot;"/>
    <numFmt numFmtId="189" formatCode="0&quot;년&quot;"/>
    <numFmt numFmtId="190" formatCode="_ * #,##0.000000000000_ ;_ * \-#,##0.000000000000_ ;_ * &quot;-&quot;_ ;_ @_ "/>
    <numFmt numFmtId="191" formatCode="##0&quot;년&quot;"/>
    <numFmt numFmtId="192" formatCode="###&quot;년&quot;"/>
    <numFmt numFmtId="193" formatCode="_-* #,##0.0_-;\-* #,##0.0_-;_-* &quot;-&quot;_-;_-@_-"/>
    <numFmt numFmtId="194" formatCode="###,###,##0&quot;원&quot;"/>
    <numFmt numFmtId="195" formatCode="_-* #,##0.000000000_-;\-* #,##0.000000000_-;_-* &quot;-&quot;_-;_-@_-"/>
    <numFmt numFmtId="196" formatCode="_-* #,##0.00000_-;\-* #,##0.00000_-;_-* &quot;-&quot;_-;_-@_-"/>
    <numFmt numFmtId="197" formatCode="_-* #,##0.000000000000000_-;\-* #,##0.000000000000000_-;_-* &quot;-&quot;_-;_-@_-"/>
    <numFmt numFmtId="198" formatCode="0.00000_);[Red]\(0.00000\)"/>
    <numFmt numFmtId="199" formatCode="0.00000_ "/>
    <numFmt numFmtId="200" formatCode="0.0000_);[Red]\(0.0000\)"/>
    <numFmt numFmtId="201" formatCode="##0&quot;세&quot;"/>
    <numFmt numFmtId="202" formatCode="###,##0&quot;년 만기&quot;"/>
    <numFmt numFmtId="203" formatCode="###&quot;년납&quot;"/>
    <numFmt numFmtId="204" formatCode="###&quot;세납&quot;"/>
    <numFmt numFmtId="205" formatCode="0_ "/>
    <numFmt numFmtId="206" formatCode="##&quot;년 만기&quot;"/>
    <numFmt numFmtId="207" formatCode="##&quot;년납&quot;"/>
    <numFmt numFmtId="208" formatCode="##0"/>
    <numFmt numFmtId="209" formatCode="_-[$€-2]* #,##0.00_-;\-[$€-2]* #,##0.00_-;_-[$€-2]* &quot;-&quot;??_-"/>
    <numFmt numFmtId="210" formatCode="###&quot;세&quot;"/>
    <numFmt numFmtId="211" formatCode="###,###,###,##0.00"/>
    <numFmt numFmtId="212" formatCode="0.000%"/>
    <numFmt numFmtId="213" formatCode="_([$€]* #,##0.00_);_([$€]* \(#,##0.00\);_([$€]* &quot;-&quot;??_);_(@_)"/>
    <numFmt numFmtId="214" formatCode="General_)"/>
    <numFmt numFmtId="215" formatCode="#,##0_);[Red]\(#,##0\)"/>
    <numFmt numFmtId="216" formatCode="0&quot;세&quot;"/>
    <numFmt numFmtId="217" formatCode="_-* #,##0.0000000000000_-;\-* #,##0.0000000000000_-;_-* &quot;-&quot;_-;_-@_-"/>
    <numFmt numFmtId="218" formatCode="General&quot;년&quot;"/>
    <numFmt numFmtId="219" formatCode="_ * #,##0_ ;_ * \-#,##0_ ;_ * &quot;-&quot;_ ;_ @_ "/>
    <numFmt numFmtId="220" formatCode="###,###,##0.000&quot;원&quot;"/>
    <numFmt numFmtId="221" formatCode="_-* #,##0.00000000000000_-;\-* #,##0.00000000000000_-;_-* &quot;-&quot;_-;_-@_-"/>
    <numFmt numFmtId="222" formatCode="0.00000000_);[Red]\(0.00000000\)"/>
    <numFmt numFmtId="223" formatCode="_ * #,##0.000000000_ ;_ * \-#,##0.000000000_ ;_ * &quot;-&quot;_ ;_ @_ "/>
    <numFmt numFmtId="224" formatCode="0_);[Red]\(0\)"/>
    <numFmt numFmtId="225" formatCode="[&lt;=30]#,##0&quot;년&quot;;[&gt;30]#,##0&quot;세&quot;"/>
    <numFmt numFmtId="226" formatCode="_-* #,##0.000000_-;\-* #,##0.000000_-;_-* &quot;-&quot;??????_-;_-@_-"/>
    <numFmt numFmtId="227" formatCode="0.000000"/>
    <numFmt numFmtId="228" formatCode="0.000000_ "/>
    <numFmt numFmtId="229" formatCode="General&quot;세&quot;"/>
    <numFmt numFmtId="230" formatCode="_-* #,##0.000000_-;\-* #,##0.000000_-;_-* &quot;-&quot;_-;_-@_-"/>
    <numFmt numFmtId="231" formatCode="0.0000000_ "/>
    <numFmt numFmtId="232" formatCode="_(&quot;₩&quot;* #,##0.00_);_(&quot;₩&quot;* \(#,##0.00\);_(&quot;₩&quot;* &quot;-&quot;??_);_(@_)"/>
    <numFmt numFmtId="233" formatCode="0.000"/>
    <numFmt numFmtId="234" formatCode="_-* #,##0.0000000_-;\-* #,##0.0000000_-;_-* &quot;-&quot;_-;_-@_-"/>
    <numFmt numFmtId="235" formatCode="0.000000000"/>
    <numFmt numFmtId="236" formatCode="0.0000000000"/>
    <numFmt numFmtId="237" formatCode="[&lt;30]#,##0&quot;년&quot;;[&gt;=30]#,##0&quot;세&quot;"/>
    <numFmt numFmtId="238" formatCode="[&lt;=29]#,##0&quot;년&quot;;[&gt;29]#,##0&quot;세&quot;"/>
    <numFmt numFmtId="239" formatCode="0E+00"/>
  </numFmts>
  <fonts count="142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color rgb="FF0033CC"/>
      <name val="맑은 고딕"/>
      <family val="3"/>
      <charset val="129"/>
      <scheme val="minor"/>
    </font>
    <font>
      <b/>
      <sz val="11"/>
      <color rgb="FF0033CC"/>
      <name val="맑은 고딕"/>
      <family val="3"/>
      <charset val="129"/>
      <scheme val="minor"/>
    </font>
    <font>
      <sz val="8"/>
      <name val="바탕체"/>
      <family val="1"/>
      <charset val="129"/>
    </font>
    <font>
      <sz val="9"/>
      <name val="굴림체"/>
      <family val="3"/>
      <charset val="129"/>
    </font>
    <font>
      <b/>
      <sz val="9"/>
      <color theme="1"/>
      <name val="맑은 고딕"/>
      <family val="3"/>
      <charset val="129"/>
      <scheme val="minor"/>
    </font>
    <font>
      <sz val="8"/>
      <name val="굴림체"/>
      <family val="3"/>
      <charset val="129"/>
    </font>
    <font>
      <b/>
      <sz val="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11"/>
      <color theme="1"/>
      <name val="휴먼둥근헤드라인"/>
      <family val="1"/>
      <charset val="129"/>
    </font>
    <font>
      <sz val="9"/>
      <color theme="1"/>
      <name val="휴먼둥근헤드라인"/>
      <family val="1"/>
      <charset val="129"/>
    </font>
    <font>
      <sz val="12"/>
      <name val="바탕체"/>
      <family val="1"/>
      <charset val="129"/>
    </font>
    <font>
      <b/>
      <sz val="9"/>
      <color rgb="FF0033CC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9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name val="굴림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sz val="11"/>
      <name val="굴림체"/>
      <family val="3"/>
      <charset val="129"/>
    </font>
    <font>
      <sz val="9"/>
      <color rgb="FFFF000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0"/>
      <name val="Arial"/>
      <family val="2"/>
    </font>
    <font>
      <sz val="9"/>
      <color theme="1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11"/>
      <name val="ＭＳ 明朝"/>
      <family val="3"/>
      <charset val="255"/>
    </font>
    <font>
      <b/>
      <sz val="8"/>
      <color indexed="0"/>
      <name val="굴림"/>
      <family val="3"/>
      <charset val="129"/>
    </font>
    <font>
      <sz val="8"/>
      <color indexed="0"/>
      <name val="굴림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rgb="FF9C0006"/>
      <name val="맑은 고딕"/>
      <family val="3"/>
      <charset val="129"/>
      <scheme val="minor"/>
    </font>
    <font>
      <sz val="11"/>
      <color indexed="20"/>
      <name val="맑은 고딕"/>
      <family val="3"/>
      <charset val="129"/>
    </font>
    <font>
      <b/>
      <sz val="18"/>
      <color indexed="8"/>
      <name val="-윤명조140"/>
      <family val="1"/>
      <charset val="129"/>
    </font>
    <font>
      <sz val="11"/>
      <color rgb="FF9C6500"/>
      <name val="맑은 고딕"/>
      <family val="3"/>
      <charset val="129"/>
      <scheme val="minor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0"/>
      <color theme="1"/>
      <name val="돋움"/>
      <family val="3"/>
      <charset val="129"/>
    </font>
    <font>
      <sz val="11"/>
      <color theme="1"/>
      <name val="맑은 고딕"/>
      <family val="2"/>
      <scheme val="minor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sz val="12"/>
      <name val="돋움"/>
      <family val="3"/>
    </font>
    <font>
      <sz val="13"/>
      <name val="견고딕"/>
      <family val="1"/>
      <charset val="129"/>
    </font>
    <font>
      <b/>
      <sz val="11"/>
      <color indexed="63"/>
      <name val="맑은 고딕"/>
      <family val="3"/>
      <charset val="129"/>
    </font>
    <font>
      <sz val="10"/>
      <color theme="1"/>
      <name val="Arial"/>
      <family val="2"/>
      <charset val="129"/>
    </font>
    <font>
      <sz val="10"/>
      <color theme="1"/>
      <name val="Arial"/>
      <family val="2"/>
    </font>
    <font>
      <sz val="10"/>
      <color theme="1"/>
      <name val="Arial"/>
      <family val="2"/>
      <charset val="128"/>
    </font>
    <font>
      <b/>
      <sz val="12"/>
      <color indexed="8"/>
      <name val="Arial"/>
      <family val="2"/>
    </font>
    <font>
      <sz val="11"/>
      <name val="바탕체"/>
      <family val="1"/>
      <charset val="129"/>
    </font>
    <font>
      <sz val="12"/>
      <name val="굴림"/>
      <family val="3"/>
      <charset val="129"/>
    </font>
    <font>
      <sz val="12"/>
      <name val="Arial"/>
      <family val="1"/>
    </font>
    <font>
      <sz val="12"/>
      <name val="돋움"/>
      <family val="1"/>
    </font>
    <font>
      <sz val="12"/>
      <name val="Arial"/>
      <family val="2"/>
    </font>
    <font>
      <sz val="11"/>
      <color rgb="FF000000"/>
      <name val="맑은 고딕"/>
      <family val="3"/>
      <charset val="129"/>
      <scheme val="minor"/>
    </font>
    <font>
      <b/>
      <sz val="12"/>
      <color rgb="FF315F97"/>
      <name val="맑은 고딕"/>
      <family val="3"/>
      <charset val="129"/>
      <scheme val="minor"/>
    </font>
    <font>
      <b/>
      <sz val="12"/>
      <color rgb="FF315F97"/>
      <name val="신명 신문명조"/>
      <family val="3"/>
      <charset val="129"/>
    </font>
    <font>
      <sz val="12"/>
      <color rgb="FF000000"/>
      <name val="맑은 고딕"/>
      <family val="3"/>
      <charset val="129"/>
      <scheme val="minor"/>
    </font>
    <font>
      <sz val="12"/>
      <color rgb="FF000000"/>
      <name val="신명 신문명조"/>
      <family val="3"/>
      <charset val="129"/>
    </font>
    <font>
      <b/>
      <sz val="12"/>
      <color rgb="FF000000"/>
      <name val="맑은 고딕"/>
      <family val="3"/>
      <charset val="129"/>
      <scheme val="minor"/>
    </font>
    <font>
      <sz val="11"/>
      <color rgb="FF000000"/>
      <name val="신명 신문명조"/>
      <family val="3"/>
      <charset val="129"/>
    </font>
    <font>
      <sz val="10"/>
      <color rgb="FF000000"/>
      <name val="한양신명조"/>
      <family val="3"/>
      <charset val="129"/>
    </font>
    <font>
      <sz val="9"/>
      <color theme="1"/>
      <name val="맑은 고딕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1"/>
      <color rgb="FF3F3F3F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b/>
      <sz val="15"/>
      <color theme="3"/>
      <name val="맑은 고딕"/>
      <family val="2"/>
      <charset val="129"/>
    </font>
    <font>
      <b/>
      <sz val="13"/>
      <color theme="3"/>
      <name val="맑은 고딕"/>
      <family val="2"/>
      <charset val="129"/>
    </font>
    <font>
      <b/>
      <sz val="11"/>
      <color theme="3"/>
      <name val="맑은 고딕"/>
      <family val="2"/>
      <charset val="129"/>
    </font>
    <font>
      <sz val="10"/>
      <color rgb="FF006100"/>
      <name val="맑은 고딕"/>
      <family val="2"/>
      <charset val="129"/>
    </font>
    <font>
      <sz val="10"/>
      <color rgb="FF9C0006"/>
      <name val="맑은 고딕"/>
      <family val="2"/>
      <charset val="129"/>
    </font>
    <font>
      <sz val="10"/>
      <color rgb="FF9C6500"/>
      <name val="맑은 고딕"/>
      <family val="2"/>
      <charset val="129"/>
    </font>
    <font>
      <sz val="10"/>
      <color rgb="FF3F3F76"/>
      <name val="맑은 고딕"/>
      <family val="2"/>
      <charset val="129"/>
    </font>
    <font>
      <b/>
      <sz val="10"/>
      <color rgb="FF3F3F3F"/>
      <name val="맑은 고딕"/>
      <family val="2"/>
      <charset val="129"/>
    </font>
    <font>
      <b/>
      <sz val="10"/>
      <color rgb="FFFA7D00"/>
      <name val="맑은 고딕"/>
      <family val="2"/>
      <charset val="129"/>
    </font>
    <font>
      <sz val="10"/>
      <color rgb="FFFA7D00"/>
      <name val="맑은 고딕"/>
      <family val="2"/>
      <charset val="129"/>
    </font>
    <font>
      <b/>
      <sz val="10"/>
      <color theme="0"/>
      <name val="맑은 고딕"/>
      <family val="2"/>
      <charset val="129"/>
    </font>
    <font>
      <sz val="10"/>
      <color rgb="FFFF0000"/>
      <name val="맑은 고딕"/>
      <family val="2"/>
      <charset val="129"/>
    </font>
    <font>
      <i/>
      <sz val="10"/>
      <color rgb="FF7F7F7F"/>
      <name val="맑은 고딕"/>
      <family val="2"/>
      <charset val="129"/>
    </font>
    <font>
      <b/>
      <sz val="10"/>
      <color theme="1"/>
      <name val="맑은 고딕"/>
      <family val="2"/>
      <charset val="129"/>
    </font>
    <font>
      <sz val="10"/>
      <color theme="0"/>
      <name val="맑은 고딕"/>
      <family val="2"/>
      <charset val="129"/>
    </font>
    <font>
      <b/>
      <sz val="9"/>
      <color rgb="FF0070C0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0"/>
      <color rgb="FFFF0000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b/>
      <sz val="8"/>
      <color theme="1"/>
      <name val="맑은 고딕"/>
      <family val="3"/>
      <charset val="129"/>
    </font>
    <font>
      <sz val="8"/>
      <color theme="1"/>
      <name val="맑은 고딕"/>
      <family val="3"/>
      <charset val="129"/>
    </font>
    <font>
      <sz val="8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sz val="8"/>
      <name val="바탕"/>
      <family val="1"/>
      <charset val="129"/>
    </font>
    <font>
      <sz val="8"/>
      <color theme="1"/>
      <name val="맑은 고딕"/>
      <family val="2"/>
      <charset val="129"/>
      <scheme val="minor"/>
    </font>
    <font>
      <sz val="9"/>
      <name val="맑은 고딕"/>
      <family val="3"/>
      <charset val="129"/>
    </font>
    <font>
      <sz val="11"/>
      <color theme="0" tint="-0.14999847407452621"/>
      <name val="맑은 고딕"/>
      <family val="2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</font>
    <font>
      <b/>
      <sz val="8"/>
      <name val="맑은 고딕"/>
      <family val="3"/>
      <charset val="129"/>
    </font>
    <font>
      <b/>
      <sz val="8"/>
      <color rgb="FFFF0000"/>
      <name val="맑은 고딕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sz val="11"/>
      <color rgb="FF00B0F0"/>
      <name val="맑은 고딕"/>
      <family val="2"/>
      <charset val="129"/>
      <scheme val="minor"/>
    </font>
  </fonts>
  <fills count="7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22"/>
      </patternFill>
    </fill>
    <fill>
      <patternFill patternType="solid">
        <fgColor indexed="1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0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31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E8B8B8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</fills>
  <borders count="245">
    <border>
      <left/>
      <right/>
      <top/>
      <bottom/>
      <diagonal/>
    </border>
    <border>
      <left/>
      <right/>
      <top/>
      <bottom style="thick">
        <color rgb="FF0033CC"/>
      </bottom>
      <diagonal/>
    </border>
    <border>
      <left style="thick">
        <color theme="0" tint="-0.499984740745262"/>
      </left>
      <right/>
      <top style="thick">
        <color theme="0" tint="-0.499984740745262"/>
      </top>
      <bottom/>
      <diagonal/>
    </border>
    <border>
      <left/>
      <right/>
      <top style="thick">
        <color theme="0" tint="-0.499984740745262"/>
      </top>
      <bottom/>
      <diagonal/>
    </border>
    <border>
      <left/>
      <right style="thick">
        <color theme="0" tint="-0.499984740745262"/>
      </right>
      <top style="thick">
        <color theme="0" tint="-0.499984740745262"/>
      </top>
      <bottom/>
      <diagonal/>
    </border>
    <border>
      <left style="medium">
        <color rgb="FF0033CC"/>
      </left>
      <right/>
      <top style="thick">
        <color rgb="FF0033CC"/>
      </top>
      <bottom/>
      <diagonal/>
    </border>
    <border>
      <left/>
      <right/>
      <top style="thick">
        <color rgb="FF0033CC"/>
      </top>
      <bottom/>
      <diagonal/>
    </border>
    <border>
      <left/>
      <right style="medium">
        <color rgb="FF0033CC"/>
      </right>
      <top style="thick">
        <color rgb="FF0033CC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33CC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rgb="FF0033CC"/>
      </right>
      <top/>
      <bottom/>
      <diagonal/>
    </border>
    <border>
      <left style="thick">
        <color theme="0" tint="-0.499984740745262"/>
      </left>
      <right/>
      <top/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hair">
        <color auto="1"/>
      </top>
      <bottom style="hair">
        <color auto="1"/>
      </bottom>
      <diagonal/>
    </border>
    <border>
      <left style="thick">
        <color indexed="64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ck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rgb="FF0033CC"/>
      </left>
      <right/>
      <top/>
      <bottom style="medium">
        <color rgb="FF0033CC"/>
      </bottom>
      <diagonal/>
    </border>
    <border>
      <left/>
      <right/>
      <top/>
      <bottom style="medium">
        <color rgb="FF0033CC"/>
      </bottom>
      <diagonal/>
    </border>
    <border>
      <left/>
      <right style="medium">
        <color rgb="FF0033CC"/>
      </right>
      <top/>
      <bottom style="medium">
        <color rgb="FF0033CC"/>
      </bottom>
      <diagonal/>
    </border>
    <border>
      <left style="thick">
        <color indexed="64"/>
      </left>
      <right style="thick">
        <color indexed="64"/>
      </right>
      <top style="hair">
        <color auto="1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ck">
        <color indexed="64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theme="0" tint="-0.24994659260841701"/>
      </left>
      <right/>
      <top style="thick">
        <color rgb="FF0033CC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ck">
        <color rgb="FF0033CC"/>
      </top>
      <bottom style="thin">
        <color theme="0" tint="-0.24994659260841701"/>
      </bottom>
      <diagonal/>
    </border>
    <border>
      <left style="medium">
        <color rgb="FF0033CC"/>
      </left>
      <right/>
      <top style="thick">
        <color theme="0" tint="-0.499984740745262"/>
      </top>
      <bottom/>
      <diagonal/>
    </border>
    <border>
      <left/>
      <right style="medium">
        <color rgb="FF0033CC"/>
      </right>
      <top style="thick">
        <color theme="0" tint="-0.499984740745262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rgb="FF0033CC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rgb="FF0033CC"/>
      </bottom>
      <diagonal/>
    </border>
    <border>
      <left style="medium">
        <color rgb="FF0033CC"/>
      </left>
      <right/>
      <top/>
      <bottom style="thick">
        <color theme="0" tint="-0.499984740745262"/>
      </bottom>
      <diagonal/>
    </border>
    <border>
      <left/>
      <right/>
      <top/>
      <bottom style="thick">
        <color theme="0" tint="-0.499984740745262"/>
      </bottom>
      <diagonal/>
    </border>
    <border>
      <left/>
      <right style="medium">
        <color rgb="FF0033CC"/>
      </right>
      <top/>
      <bottom style="thick">
        <color theme="0" tint="-0.499984740745262"/>
      </bottom>
      <diagonal/>
    </border>
    <border>
      <left style="medium">
        <color rgb="FF0033CC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medium">
        <color rgb="FF0033CC"/>
      </right>
      <top style="thin">
        <color theme="0" tint="-0.24994659260841701"/>
      </top>
      <bottom/>
      <diagonal/>
    </border>
    <border>
      <left style="medium">
        <color rgb="FF0033CC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medium">
        <color rgb="FF0033CC"/>
      </right>
      <top/>
      <bottom style="thin">
        <color theme="0" tint="-0.24994659260841701"/>
      </bottom>
      <diagonal/>
    </border>
    <border>
      <left style="medium">
        <color rgb="FF0033CC"/>
      </left>
      <right/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rgb="FF0033CC"/>
      </right>
      <top style="medium">
        <color theme="0" tint="-0.34998626667073579"/>
      </top>
      <bottom/>
      <diagonal/>
    </border>
    <border>
      <left style="medium">
        <color rgb="FF0033CC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medium">
        <color rgb="FF0033CC"/>
      </right>
      <top style="thin">
        <color theme="0" tint="-0.499984740745262"/>
      </top>
      <bottom/>
      <diagonal/>
    </border>
    <border>
      <left style="medium">
        <color rgb="FF0033CC"/>
      </left>
      <right/>
      <top style="medium">
        <color rgb="FF0033CC"/>
      </top>
      <bottom/>
      <diagonal/>
    </border>
    <border>
      <left/>
      <right/>
      <top style="medium">
        <color rgb="FF0033CC"/>
      </top>
      <bottom/>
      <diagonal/>
    </border>
    <border>
      <left/>
      <right style="medium">
        <color rgb="FF0033CC"/>
      </right>
      <top style="medium">
        <color rgb="FF0033CC"/>
      </top>
      <bottom/>
      <diagonal/>
    </border>
    <border>
      <left style="thick">
        <color indexed="64"/>
      </left>
      <right style="thick">
        <color indexed="64"/>
      </right>
      <top style="hair">
        <color auto="1"/>
      </top>
      <bottom/>
      <diagonal/>
    </border>
    <border>
      <left style="thick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ck">
        <color indexed="64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0" tint="-0.499984740745262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0" tint="-0.499984740745262"/>
      </left>
      <right/>
      <top style="thin">
        <color theme="0" tint="-0.499984740745262"/>
      </top>
      <bottom/>
      <diagonal/>
    </border>
    <border>
      <left/>
      <right style="thick">
        <color theme="0" tint="-0.499984740745262"/>
      </right>
      <top style="thin">
        <color theme="0" tint="-0.499984740745262"/>
      </top>
      <bottom/>
      <diagonal/>
    </border>
    <border>
      <left style="thick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ck">
        <color theme="0" tint="-0.499984740745262"/>
      </right>
      <top/>
      <bottom style="thin">
        <color theme="0" tint="-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 style="medium">
        <color rgb="FF0033CC"/>
      </bottom>
      <diagonal/>
    </border>
    <border>
      <left style="thin">
        <color theme="0" tint="-0.24994659260841701"/>
      </left>
      <right style="medium">
        <color rgb="FF0033CC"/>
      </right>
      <top/>
      <bottom style="medium">
        <color rgb="FF0033CC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FF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ck">
        <color rgb="FFFF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FF0000"/>
      </top>
      <bottom/>
      <diagonal/>
    </border>
    <border>
      <left style="thin">
        <color rgb="FF000000"/>
      </left>
      <right style="thick">
        <color rgb="FFFF0000"/>
      </right>
      <top style="thick">
        <color rgb="FFFF0000"/>
      </top>
      <bottom/>
      <diagonal/>
    </border>
    <border>
      <left style="thin">
        <color rgb="FF000000"/>
      </left>
      <right style="thick">
        <color rgb="FFFF0000"/>
      </right>
      <top/>
      <bottom/>
      <diagonal/>
    </border>
    <border>
      <left style="thin">
        <color rgb="FF000000"/>
      </left>
      <right style="thick">
        <color rgb="FFFF0000"/>
      </right>
      <top/>
      <bottom style="thick">
        <color rgb="FFFF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/>
      <bottom style="thick">
        <color rgb="FFFF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FF0000"/>
      </bottom>
      <diagonal/>
    </border>
    <border>
      <left style="thick">
        <color rgb="FF000000"/>
      </left>
      <right style="thin">
        <color rgb="FF000000"/>
      </right>
      <top style="thick">
        <color rgb="FFFF0000"/>
      </top>
      <bottom/>
      <diagonal/>
    </border>
    <border>
      <left style="thin">
        <color rgb="FF000000"/>
      </left>
      <right style="thick">
        <color rgb="FF000000"/>
      </right>
      <top style="thick">
        <color rgb="FFFF0000"/>
      </top>
      <bottom/>
      <diagonal/>
    </border>
    <border>
      <left style="thin">
        <color rgb="FF000000"/>
      </left>
      <right style="thick">
        <color rgb="FF000000"/>
      </right>
      <top/>
      <bottom/>
      <diagonal/>
    </border>
    <border>
      <left style="thin">
        <color rgb="FF000000"/>
      </left>
      <right style="thick">
        <color rgb="FF000000"/>
      </right>
      <top/>
      <bottom style="thick">
        <color rgb="FFFF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ck">
        <color rgb="FF000000"/>
      </bottom>
      <diagonal/>
    </border>
    <border>
      <left/>
      <right/>
      <top style="thin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medium">
        <color rgb="FF0033CC"/>
      </top>
      <bottom style="thin">
        <color theme="0" tint="-0.249977111117893"/>
      </bottom>
      <diagonal/>
    </border>
    <border>
      <left style="medium">
        <color rgb="FF0033CC"/>
      </left>
      <right/>
      <top/>
      <bottom style="thick">
        <color rgb="FF0033CC"/>
      </bottom>
      <diagonal/>
    </border>
    <border>
      <left/>
      <right style="medium">
        <color rgb="FF0033CC"/>
      </right>
      <top/>
      <bottom style="thick">
        <color rgb="FF0033CC"/>
      </bottom>
      <diagonal/>
    </border>
    <border>
      <left style="thick">
        <color theme="0" tint="-0.499984740745262"/>
      </left>
      <right/>
      <top/>
      <bottom style="thin">
        <color theme="0" tint="-0.2499465926084170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33CC"/>
      </left>
      <right/>
      <top style="medium">
        <color rgb="FF0033CC"/>
      </top>
      <bottom style="thin">
        <color indexed="64"/>
      </bottom>
      <diagonal/>
    </border>
    <border>
      <left/>
      <right/>
      <top style="medium">
        <color rgb="FF0033CC"/>
      </top>
      <bottom style="thin">
        <color indexed="64"/>
      </bottom>
      <diagonal/>
    </border>
    <border>
      <left/>
      <right style="medium">
        <color rgb="FF0033CC"/>
      </right>
      <top style="medium">
        <color rgb="FF0033CC"/>
      </top>
      <bottom style="thin">
        <color indexed="64"/>
      </bottom>
      <diagonal/>
    </border>
    <border>
      <left style="medium">
        <color rgb="FF0033CC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rgb="FF0033CC"/>
      </right>
      <top style="thin">
        <color indexed="64"/>
      </top>
      <bottom style="thin">
        <color indexed="64"/>
      </bottom>
      <diagonal/>
    </border>
    <border>
      <left style="medium">
        <color rgb="FF0033CC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rgb="FF0033CC"/>
      </right>
      <top style="dotted">
        <color indexed="64"/>
      </top>
      <bottom style="dotted">
        <color indexed="64"/>
      </bottom>
      <diagonal/>
    </border>
    <border>
      <left style="medium">
        <color rgb="FF0033CC"/>
      </left>
      <right style="dotted">
        <color indexed="64"/>
      </right>
      <top style="dotted">
        <color indexed="64"/>
      </top>
      <bottom style="medium">
        <color rgb="FF0033CC"/>
      </bottom>
      <diagonal/>
    </border>
    <border>
      <left style="dotted">
        <color indexed="64"/>
      </left>
      <right/>
      <top style="dotted">
        <color indexed="64"/>
      </top>
      <bottom style="medium">
        <color rgb="FF0033CC"/>
      </bottom>
      <diagonal/>
    </border>
    <border>
      <left style="dotted">
        <color indexed="64"/>
      </left>
      <right style="medium">
        <color rgb="FF0033CC"/>
      </right>
      <top style="dotted">
        <color indexed="64"/>
      </top>
      <bottom style="medium">
        <color rgb="FF0033CC"/>
      </bottom>
      <diagonal/>
    </border>
    <border>
      <left style="medium">
        <color rgb="FF0033CC"/>
      </left>
      <right style="thin">
        <color indexed="64"/>
      </right>
      <top style="medium">
        <color rgb="FF0033CC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33CC"/>
      </top>
      <bottom style="thin">
        <color indexed="64"/>
      </bottom>
      <diagonal/>
    </border>
    <border>
      <left style="thin">
        <color indexed="64"/>
      </left>
      <right style="medium">
        <color rgb="FF0033CC"/>
      </right>
      <top style="medium">
        <color rgb="FF0033CC"/>
      </top>
      <bottom style="thin">
        <color indexed="64"/>
      </bottom>
      <diagonal/>
    </border>
    <border>
      <left style="medium">
        <color rgb="FF0033CC"/>
      </left>
      <right style="medium">
        <color rgb="FF0033CC"/>
      </right>
      <top style="medium">
        <color rgb="FF0033CC"/>
      </top>
      <bottom style="thin">
        <color indexed="64"/>
      </bottom>
      <diagonal/>
    </border>
    <border>
      <left style="medium">
        <color rgb="FF0033CC"/>
      </left>
      <right style="medium">
        <color rgb="FF0033CC"/>
      </right>
      <top style="dotted">
        <color indexed="64"/>
      </top>
      <bottom style="dotted">
        <color indexed="64"/>
      </bottom>
      <diagonal/>
    </border>
    <border>
      <left style="medium">
        <color rgb="FF0033CC"/>
      </left>
      <right style="medium">
        <color rgb="FF0033CC"/>
      </right>
      <top style="dotted">
        <color indexed="64"/>
      </top>
      <bottom style="medium">
        <color rgb="FF0033CC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rgb="FF00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rgb="FF0033CC"/>
      </left>
      <right/>
      <top style="thick">
        <color rgb="FF0033CC"/>
      </top>
      <bottom/>
      <diagonal/>
    </border>
    <border>
      <left/>
      <right style="thick">
        <color rgb="FF0033CC"/>
      </right>
      <top style="thick">
        <color rgb="FF0033CC"/>
      </top>
      <bottom/>
      <diagonal/>
    </border>
    <border>
      <left style="thick">
        <color rgb="FF0033CC"/>
      </left>
      <right/>
      <top/>
      <bottom/>
      <diagonal/>
    </border>
    <border>
      <left/>
      <right style="thick">
        <color rgb="FF0033CC"/>
      </right>
      <top/>
      <bottom/>
      <diagonal/>
    </border>
    <border>
      <left style="thick">
        <color rgb="FF0033CC"/>
      </left>
      <right/>
      <top style="medium">
        <color rgb="FF0033CC"/>
      </top>
      <bottom/>
      <diagonal/>
    </border>
    <border>
      <left/>
      <right style="thick">
        <color rgb="FF0033CC"/>
      </right>
      <top style="medium">
        <color rgb="FF0033CC"/>
      </top>
      <bottom/>
      <diagonal/>
    </border>
    <border>
      <left style="thick">
        <color rgb="FF0033CC"/>
      </left>
      <right/>
      <top/>
      <bottom style="thick">
        <color rgb="FF0033CC"/>
      </bottom>
      <diagonal/>
    </border>
    <border>
      <left/>
      <right style="thick">
        <color rgb="FF0033CC"/>
      </right>
      <top/>
      <bottom style="thick">
        <color rgb="FF0033CC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auto="1"/>
      </top>
      <bottom style="hair">
        <color auto="1"/>
      </bottom>
      <diagonal/>
    </border>
    <border>
      <left style="thick">
        <color indexed="64"/>
      </left>
      <right/>
      <top style="hair">
        <color auto="1"/>
      </top>
      <bottom style="hair">
        <color auto="1"/>
      </bottom>
      <diagonal/>
    </border>
    <border>
      <left style="thick">
        <color indexed="64"/>
      </left>
      <right/>
      <top style="hair">
        <color auto="1"/>
      </top>
      <bottom style="thin">
        <color auto="1"/>
      </bottom>
      <diagonal/>
    </border>
    <border>
      <left style="thick">
        <color indexed="64"/>
      </left>
      <right/>
      <top style="hair">
        <color auto="1"/>
      </top>
      <bottom/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hair">
        <color auto="1"/>
      </bottom>
      <diagonal/>
    </border>
    <border>
      <left style="thick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2383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8" fillId="0" borderId="0"/>
    <xf numFmtId="0" fontId="18" fillId="0" borderId="0"/>
    <xf numFmtId="179" fontId="18" fillId="0" borderId="0" applyFont="0" applyFill="0" applyBorder="0" applyAlignment="0" applyProtection="0"/>
    <xf numFmtId="0" fontId="25" fillId="0" borderId="0"/>
    <xf numFmtId="176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5" fillId="0" borderId="0" applyFont="0" applyFill="0" applyBorder="0" applyAlignment="0" applyProtection="0"/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209" fontId="30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1" fillId="0" borderId="0" applyNumberFormat="0" applyFill="0" applyBorder="0" applyAlignment="0" applyProtection="0"/>
    <xf numFmtId="9" fontId="31" fillId="0" borderId="0" applyFont="0" applyFill="0" applyBorder="0" applyAlignment="0" applyProtection="0"/>
    <xf numFmtId="9" fontId="32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2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25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0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0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0" fillId="0" borderId="0" applyFont="0" applyFill="0" applyBorder="0" applyAlignment="0" applyProtection="0"/>
    <xf numFmtId="176" fontId="30" fillId="0" borderId="0" applyFont="0" applyFill="0" applyBorder="0" applyAlignment="0" applyProtection="0"/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1" fillId="0" borderId="0" applyNumberFormat="0" applyFill="0" applyBorder="0" applyAlignment="0" applyProtection="0"/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1" fillId="0" borderId="0" applyNumberFormat="0" applyFill="0" applyBorder="0" applyAlignment="0" applyProtection="0"/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1" fillId="0" borderId="0" applyFont="0" applyFill="0" applyBorder="0" applyAlignment="0" applyProtection="0"/>
    <xf numFmtId="176" fontId="3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3" fillId="0" borderId="0" applyFont="0" applyFill="0" applyBorder="0" applyAlignment="0" applyProtection="0">
      <alignment vertical="center"/>
    </xf>
    <xf numFmtId="176" fontId="3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0" fillId="0" borderId="0" applyFont="0" applyFill="0" applyBorder="0" applyAlignment="0" applyProtection="0"/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5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/>
    <xf numFmtId="0" fontId="3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5" fillId="0" borderId="0"/>
    <xf numFmtId="0" fontId="30" fillId="0" borderId="0">
      <alignment vertical="center"/>
    </xf>
    <xf numFmtId="0" fontId="32" fillId="0" borderId="0">
      <alignment vertical="center"/>
    </xf>
    <xf numFmtId="0" fontId="1" fillId="0" borderId="0">
      <alignment vertical="center"/>
    </xf>
    <xf numFmtId="0" fontId="30" fillId="0" borderId="0">
      <alignment vertical="center"/>
    </xf>
    <xf numFmtId="0" fontId="3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  <xf numFmtId="0" fontId="35" fillId="12" borderId="0">
      <alignment horizontal="left" vertical="top" wrapText="1"/>
    </xf>
    <xf numFmtId="0" fontId="35" fillId="12" borderId="0">
      <alignment horizontal="left" vertical="top" wrapText="1"/>
    </xf>
    <xf numFmtId="211" fontId="36" fillId="13" borderId="0">
      <alignment horizontal="right" vertical="top" wrapText="1"/>
    </xf>
    <xf numFmtId="211" fontId="36" fillId="13" borderId="0">
      <alignment horizontal="right" vertical="top" wrapText="1"/>
    </xf>
    <xf numFmtId="0" fontId="36" fillId="13" borderId="0">
      <alignment horizontal="right" vertical="top" wrapText="1"/>
    </xf>
    <xf numFmtId="0" fontId="36" fillId="13" borderId="0">
      <alignment horizontal="right" vertical="top" wrapText="1"/>
    </xf>
    <xf numFmtId="176" fontId="30" fillId="0" borderId="0" applyFont="0" applyFill="0" applyBorder="0" applyAlignment="0" applyProtection="0">
      <alignment vertical="center"/>
    </xf>
    <xf numFmtId="209" fontId="30" fillId="0" borderId="0" applyFont="0" applyFill="0" applyBorder="0" applyAlignment="0" applyProtection="0">
      <alignment vertical="center"/>
    </xf>
    <xf numFmtId="0" fontId="30" fillId="0" borderId="0" applyFont="0" applyFill="0" applyBorder="0" applyAlignment="0" applyProtection="0">
      <alignment vertical="center"/>
    </xf>
    <xf numFmtId="0" fontId="31" fillId="0" borderId="0"/>
    <xf numFmtId="0" fontId="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/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7" fillId="33" borderId="0" applyNumberFormat="0" applyBorder="0" applyAlignment="0" applyProtection="0">
      <alignment vertical="center"/>
    </xf>
    <xf numFmtId="0" fontId="37" fillId="33" borderId="0" applyNumberFormat="0" applyBorder="0" applyAlignment="0" applyProtection="0">
      <alignment vertical="center"/>
    </xf>
    <xf numFmtId="0" fontId="37" fillId="33" borderId="0" applyNumberFormat="0" applyBorder="0" applyAlignment="0" applyProtection="0">
      <alignment vertical="center"/>
    </xf>
    <xf numFmtId="0" fontId="37" fillId="33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7" fillId="35" borderId="0" applyNumberFormat="0" applyBorder="0" applyAlignment="0" applyProtection="0">
      <alignment vertical="center"/>
    </xf>
    <xf numFmtId="0" fontId="37" fillId="35" borderId="0" applyNumberFormat="0" applyBorder="0" applyAlignment="0" applyProtection="0">
      <alignment vertical="center"/>
    </xf>
    <xf numFmtId="0" fontId="37" fillId="35" borderId="0" applyNumberFormat="0" applyBorder="0" applyAlignment="0" applyProtection="0">
      <alignment vertical="center"/>
    </xf>
    <xf numFmtId="0" fontId="37" fillId="35" borderId="0" applyNumberFormat="0" applyBorder="0" applyAlignment="0" applyProtection="0">
      <alignment vertical="center"/>
    </xf>
    <xf numFmtId="0" fontId="37" fillId="36" borderId="0" applyNumberFormat="0" applyBorder="0" applyAlignment="0" applyProtection="0">
      <alignment vertical="center"/>
    </xf>
    <xf numFmtId="0" fontId="37" fillId="36" borderId="0" applyNumberFormat="0" applyBorder="0" applyAlignment="0" applyProtection="0">
      <alignment vertical="center"/>
    </xf>
    <xf numFmtId="0" fontId="37" fillId="36" borderId="0" applyNumberFormat="0" applyBorder="0" applyAlignment="0" applyProtection="0">
      <alignment vertical="center"/>
    </xf>
    <xf numFmtId="0" fontId="37" fillId="36" borderId="0" applyNumberFormat="0" applyBorder="0" applyAlignment="0" applyProtection="0">
      <alignment vertical="center"/>
    </xf>
    <xf numFmtId="0" fontId="37" fillId="37" borderId="0" applyNumberFormat="0" applyBorder="0" applyAlignment="0" applyProtection="0">
      <alignment vertical="center"/>
    </xf>
    <xf numFmtId="0" fontId="37" fillId="37" borderId="0" applyNumberFormat="0" applyBorder="0" applyAlignment="0" applyProtection="0">
      <alignment vertical="center"/>
    </xf>
    <xf numFmtId="0" fontId="37" fillId="37" borderId="0" applyNumberFormat="0" applyBorder="0" applyAlignment="0" applyProtection="0">
      <alignment vertical="center"/>
    </xf>
    <xf numFmtId="0" fontId="37" fillId="37" borderId="0" applyNumberFormat="0" applyBorder="0" applyAlignment="0" applyProtection="0">
      <alignment vertical="center"/>
    </xf>
    <xf numFmtId="0" fontId="37" fillId="38" borderId="0" applyNumberFormat="0" applyBorder="0" applyAlignment="0" applyProtection="0">
      <alignment vertical="center"/>
    </xf>
    <xf numFmtId="0" fontId="37" fillId="38" borderId="0" applyNumberFormat="0" applyBorder="0" applyAlignment="0" applyProtection="0">
      <alignment vertical="center"/>
    </xf>
    <xf numFmtId="0" fontId="37" fillId="38" borderId="0" applyNumberFormat="0" applyBorder="0" applyAlignment="0" applyProtection="0">
      <alignment vertical="center"/>
    </xf>
    <xf numFmtId="0" fontId="37" fillId="38" borderId="0" applyNumberFormat="0" applyBorder="0" applyAlignment="0" applyProtection="0">
      <alignment vertical="center"/>
    </xf>
    <xf numFmtId="0" fontId="37" fillId="33" borderId="0" applyNumberFormat="0" applyBorder="0" applyAlignment="0" applyProtection="0">
      <alignment vertical="center"/>
    </xf>
    <xf numFmtId="0" fontId="37" fillId="33" borderId="0" applyNumberFormat="0" applyBorder="0" applyAlignment="0" applyProtection="0">
      <alignment vertical="center"/>
    </xf>
    <xf numFmtId="0" fontId="37" fillId="33" borderId="0" applyNumberFormat="0" applyBorder="0" applyAlignment="0" applyProtection="0">
      <alignment vertical="center"/>
    </xf>
    <xf numFmtId="0" fontId="37" fillId="33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7" fillId="39" borderId="0" applyNumberFormat="0" applyBorder="0" applyAlignment="0" applyProtection="0">
      <alignment vertical="center"/>
    </xf>
    <xf numFmtId="0" fontId="37" fillId="39" borderId="0" applyNumberFormat="0" applyBorder="0" applyAlignment="0" applyProtection="0">
      <alignment vertical="center"/>
    </xf>
    <xf numFmtId="0" fontId="37" fillId="39" borderId="0" applyNumberFormat="0" applyBorder="0" applyAlignment="0" applyProtection="0">
      <alignment vertical="center"/>
    </xf>
    <xf numFmtId="0" fontId="37" fillId="39" borderId="0" applyNumberFormat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39" fillId="12" borderId="88" applyNumberFormat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2" fillId="0" borderId="0">
      <alignment horizont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89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89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89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3" fillId="0" borderId="0" applyFont="0" applyFill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4" fillId="42" borderId="0" applyNumberFormat="0" applyBorder="0" applyAlignment="0" applyProtection="0">
      <alignment vertical="center"/>
    </xf>
    <xf numFmtId="0" fontId="44" fillId="42" borderId="0" applyNumberFormat="0" applyBorder="0" applyAlignment="0" applyProtection="0">
      <alignment vertical="center"/>
    </xf>
    <xf numFmtId="0" fontId="44" fillId="4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43" borderId="90" applyNumberFormat="0" applyAlignment="0" applyProtection="0">
      <alignment vertical="center"/>
    </xf>
    <xf numFmtId="0" fontId="46" fillId="43" borderId="90" applyNumberFormat="0" applyAlignment="0" applyProtection="0">
      <alignment vertical="center"/>
    </xf>
    <xf numFmtId="0" fontId="46" fillId="43" borderId="90" applyNumberFormat="0" applyAlignment="0" applyProtection="0">
      <alignment vertical="center"/>
    </xf>
    <xf numFmtId="0" fontId="46" fillId="43" borderId="90" applyNumberFormat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0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0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47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3" fillId="0" borderId="0" applyFont="0" applyFill="0" applyBorder="0" applyAlignment="0" applyProtection="0">
      <alignment vertical="center"/>
    </xf>
    <xf numFmtId="178" fontId="48" fillId="0" borderId="0" applyFont="0" applyFill="0" applyBorder="0" applyAlignment="0" applyProtection="0"/>
    <xf numFmtId="178" fontId="48" fillId="0" borderId="0" applyFont="0" applyFill="0" applyBorder="0" applyAlignment="0" applyProtection="0"/>
    <xf numFmtId="178" fontId="48" fillId="0" borderId="0" applyFont="0" applyFill="0" applyBorder="0" applyAlignment="0" applyProtection="0"/>
    <xf numFmtId="178" fontId="48" fillId="0" borderId="0" applyFont="0" applyFill="0" applyBorder="0" applyAlignment="0" applyProtection="0"/>
    <xf numFmtId="0" fontId="49" fillId="0" borderId="91" applyNumberFormat="0" applyFill="0" applyAlignment="0" applyProtection="0">
      <alignment vertical="center"/>
    </xf>
    <xf numFmtId="0" fontId="49" fillId="0" borderId="91" applyNumberFormat="0" applyFill="0" applyAlignment="0" applyProtection="0">
      <alignment vertical="center"/>
    </xf>
    <xf numFmtId="0" fontId="49" fillId="0" borderId="91" applyNumberFormat="0" applyFill="0" applyAlignment="0" applyProtection="0">
      <alignment vertical="center"/>
    </xf>
    <xf numFmtId="0" fontId="49" fillId="0" borderId="91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1" fillId="44" borderId="88" applyNumberFormat="0" applyAlignment="0" applyProtection="0">
      <alignment vertical="center"/>
    </xf>
    <xf numFmtId="0" fontId="52" fillId="0" borderId="93" applyNumberFormat="0" applyFill="0" applyAlignment="0" applyProtection="0">
      <alignment vertical="center"/>
    </xf>
    <xf numFmtId="0" fontId="52" fillId="0" borderId="93" applyNumberFormat="0" applyFill="0" applyAlignment="0" applyProtection="0">
      <alignment vertical="center"/>
    </xf>
    <xf numFmtId="0" fontId="52" fillId="0" borderId="93" applyNumberFormat="0" applyFill="0" applyAlignment="0" applyProtection="0">
      <alignment vertical="center"/>
    </xf>
    <xf numFmtId="0" fontId="52" fillId="0" borderId="93" applyNumberFormat="0" applyFill="0" applyAlignment="0" applyProtection="0">
      <alignment vertical="center"/>
    </xf>
    <xf numFmtId="0" fontId="53" fillId="0" borderId="94" applyNumberFormat="0" applyFill="0" applyAlignment="0" applyProtection="0">
      <alignment vertical="center"/>
    </xf>
    <xf numFmtId="0" fontId="53" fillId="0" borderId="94" applyNumberFormat="0" applyFill="0" applyAlignment="0" applyProtection="0">
      <alignment vertical="center"/>
    </xf>
    <xf numFmtId="0" fontId="53" fillId="0" borderId="94" applyNumberFormat="0" applyFill="0" applyAlignment="0" applyProtection="0">
      <alignment vertical="center"/>
    </xf>
    <xf numFmtId="0" fontId="53" fillId="0" borderId="94" applyNumberFormat="0" applyFill="0" applyAlignment="0" applyProtection="0">
      <alignment vertical="center"/>
    </xf>
    <xf numFmtId="0" fontId="54" fillId="0" borderId="95" applyNumberFormat="0" applyFill="0" applyAlignment="0" applyProtection="0">
      <alignment vertical="center"/>
    </xf>
    <xf numFmtId="0" fontId="54" fillId="0" borderId="95" applyNumberFormat="0" applyFill="0" applyAlignment="0" applyProtection="0">
      <alignment vertical="center"/>
    </xf>
    <xf numFmtId="0" fontId="54" fillId="0" borderId="95" applyNumberFormat="0" applyFill="0" applyAlignment="0" applyProtection="0">
      <alignment vertical="center"/>
    </xf>
    <xf numFmtId="0" fontId="54" fillId="0" borderId="95" applyNumberFormat="0" applyFill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6" fillId="14" borderId="0" applyNumberFormat="0" applyBorder="0" applyAlignment="0" applyProtection="0">
      <alignment vertical="center"/>
    </xf>
    <xf numFmtId="0" fontId="57" fillId="45" borderId="0" applyNumberFormat="0" applyBorder="0" applyAlignment="0" applyProtection="0">
      <alignment vertical="center"/>
    </xf>
    <xf numFmtId="0" fontId="57" fillId="45" borderId="0" applyNumberFormat="0" applyBorder="0" applyAlignment="0" applyProtection="0">
      <alignment vertical="center"/>
    </xf>
    <xf numFmtId="0" fontId="57" fillId="45" borderId="0" applyNumberFormat="0" applyBorder="0" applyAlignment="0" applyProtection="0">
      <alignment vertical="center"/>
    </xf>
    <xf numFmtId="0" fontId="58" fillId="0" borderId="0"/>
    <xf numFmtId="0" fontId="59" fillId="0" borderId="0" applyNumberFormat="0" applyFill="0" applyBorder="0" applyProtection="0">
      <alignment horizontal="left" wrapText="1" readingOrder="1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177" fontId="25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5" fillId="0" borderId="0"/>
    <xf numFmtId="0" fontId="25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/>
    <xf numFmtId="0" fontId="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178" fontId="31" fillId="0" borderId="0" applyFont="0" applyFill="0" applyBorder="0" applyAlignment="0" applyProtection="0"/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0" fillId="41" borderId="98" applyNumberFormat="0" applyFon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7" applyNumberForma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30" fillId="41" borderId="89" applyNumberFormat="0" applyFont="0" applyAlignment="0" applyProtection="0">
      <alignment vertical="center"/>
    </xf>
    <xf numFmtId="0" fontId="30" fillId="41" borderId="89" applyNumberFormat="0" applyFont="0" applyAlignment="0" applyProtection="0">
      <alignment vertical="center"/>
    </xf>
    <xf numFmtId="0" fontId="30" fillId="41" borderId="89" applyNumberFormat="0" applyFont="0" applyAlignment="0" applyProtection="0">
      <alignment vertical="center"/>
    </xf>
    <xf numFmtId="0" fontId="30" fillId="41" borderId="89" applyNumberFormat="0" applyFont="0" applyAlignment="0" applyProtection="0">
      <alignment vertical="center"/>
    </xf>
    <xf numFmtId="0" fontId="30" fillId="41" borderId="89" applyNumberFormat="0" applyFont="0" applyAlignment="0" applyProtection="0">
      <alignment vertical="center"/>
    </xf>
    <xf numFmtId="0" fontId="30" fillId="41" borderId="89" applyNumberFormat="0" applyFont="0" applyAlignment="0" applyProtection="0">
      <alignment vertical="center"/>
    </xf>
    <xf numFmtId="0" fontId="30" fillId="41" borderId="89" applyNumberFormat="0" applyFont="0" applyAlignment="0" applyProtection="0">
      <alignment vertical="center"/>
    </xf>
    <xf numFmtId="0" fontId="30" fillId="41" borderId="89" applyNumberFormat="0" applyFont="0" applyAlignment="0" applyProtection="0">
      <alignment vertical="center"/>
    </xf>
    <xf numFmtId="0" fontId="30" fillId="41" borderId="89" applyNumberFormat="0" applyFont="0" applyAlignment="0" applyProtection="0">
      <alignment vertical="center"/>
    </xf>
    <xf numFmtId="0" fontId="30" fillId="41" borderId="89" applyNumberFormat="0" applyFont="0" applyAlignment="0" applyProtection="0">
      <alignment vertical="center"/>
    </xf>
    <xf numFmtId="0" fontId="30" fillId="41" borderId="89" applyNumberFormat="0" applyFont="0" applyAlignment="0" applyProtection="0">
      <alignment vertical="center"/>
    </xf>
    <xf numFmtId="0" fontId="30" fillId="41" borderId="89" applyNumberFormat="0" applyFont="0" applyAlignment="0" applyProtection="0">
      <alignment vertical="center"/>
    </xf>
    <xf numFmtId="0" fontId="30" fillId="41" borderId="89" applyNumberFormat="0" applyFont="0" applyAlignment="0" applyProtection="0">
      <alignment vertical="center"/>
    </xf>
    <xf numFmtId="0" fontId="30" fillId="41" borderId="89" applyNumberFormat="0" applyFont="0" applyAlignment="0" applyProtection="0">
      <alignment vertical="center"/>
    </xf>
    <xf numFmtId="0" fontId="30" fillId="41" borderId="89" applyNumberFormat="0" applyFont="0" applyAlignment="0" applyProtection="0">
      <alignment vertical="center"/>
    </xf>
    <xf numFmtId="0" fontId="30" fillId="41" borderId="89" applyNumberFormat="0" applyFont="0" applyAlignment="0" applyProtection="0">
      <alignment vertical="center"/>
    </xf>
    <xf numFmtId="0" fontId="30" fillId="41" borderId="89" applyNumberFormat="0" applyFont="0" applyAlignment="0" applyProtection="0">
      <alignment vertical="center"/>
    </xf>
    <xf numFmtId="0" fontId="30" fillId="41" borderId="89" applyNumberFormat="0" applyFont="0" applyAlignment="0" applyProtection="0">
      <alignment vertical="center"/>
    </xf>
    <xf numFmtId="0" fontId="30" fillId="41" borderId="89" applyNumberFormat="0" applyFont="0" applyAlignment="0" applyProtection="0">
      <alignment vertical="center"/>
    </xf>
    <xf numFmtId="0" fontId="30" fillId="41" borderId="89" applyNumberFormat="0" applyFont="0" applyAlignment="0" applyProtection="0">
      <alignment vertical="center"/>
    </xf>
    <xf numFmtId="0" fontId="30" fillId="41" borderId="89" applyNumberFormat="0" applyFont="0" applyAlignment="0" applyProtection="0">
      <alignment vertical="center"/>
    </xf>
    <xf numFmtId="0" fontId="30" fillId="41" borderId="89" applyNumberFormat="0" applyFont="0" applyAlignment="0" applyProtection="0">
      <alignment vertical="center"/>
    </xf>
    <xf numFmtId="0" fontId="44" fillId="42" borderId="0" applyNumberFormat="0" applyBorder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0" fillId="41" borderId="100" applyNumberFormat="0" applyFon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9" fillId="12" borderId="99" applyNumberFormat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9" fillId="12" borderId="99" applyNumberFormat="0" applyAlignment="0" applyProtection="0">
      <alignment vertical="center"/>
    </xf>
    <xf numFmtId="0" fontId="30" fillId="41" borderId="98" applyNumberFormat="0" applyFon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0" fillId="41" borderId="104" applyNumberFormat="0" applyFon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3" applyNumberForma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9" fillId="12" borderId="101" applyNumberForma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0" fillId="41" borderId="102" applyNumberFormat="0" applyFon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0" fillId="41" borderId="108" applyNumberFormat="0" applyFon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9" fillId="12" borderId="107" applyNumberForma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9" fillId="12" borderId="105" applyNumberForma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0" fillId="41" borderId="106" applyNumberFormat="0" applyFon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54" fillId="0" borderId="114" applyNumberFormat="0" applyFill="0" applyAlignment="0" applyProtection="0">
      <alignment vertical="center"/>
    </xf>
    <xf numFmtId="0" fontId="54" fillId="0" borderId="114" applyNumberFormat="0" applyFill="0" applyAlignment="0" applyProtection="0">
      <alignment vertical="center"/>
    </xf>
    <xf numFmtId="0" fontId="54" fillId="0" borderId="114" applyNumberFormat="0" applyFill="0" applyAlignment="0" applyProtection="0">
      <alignment vertical="center"/>
    </xf>
    <xf numFmtId="0" fontId="54" fillId="0" borderId="114" applyNumberFormat="0" applyFill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9" fillId="0" borderId="91" applyNumberFormat="0" applyFill="0" applyAlignment="0" applyProtection="0">
      <alignment vertical="center"/>
    </xf>
    <xf numFmtId="0" fontId="49" fillId="0" borderId="91" applyNumberFormat="0" applyFill="0" applyAlignment="0" applyProtection="0">
      <alignment vertical="center"/>
    </xf>
    <xf numFmtId="0" fontId="49" fillId="0" borderId="91" applyNumberFormat="0" applyFill="0" applyAlignment="0" applyProtection="0">
      <alignment vertical="center"/>
    </xf>
    <xf numFmtId="0" fontId="49" fillId="0" borderId="91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0" fillId="0" borderId="92" applyNumberFormat="0" applyFill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1" fillId="44" borderId="109" applyNumberFormat="0" applyAlignment="0" applyProtection="0">
      <alignment vertical="center"/>
    </xf>
    <xf numFmtId="0" fontId="52" fillId="0" borderId="93" applyNumberFormat="0" applyFill="0" applyAlignment="0" applyProtection="0">
      <alignment vertical="center"/>
    </xf>
    <xf numFmtId="0" fontId="52" fillId="0" borderId="93" applyNumberFormat="0" applyFill="0" applyAlignment="0" applyProtection="0">
      <alignment vertical="center"/>
    </xf>
    <xf numFmtId="0" fontId="52" fillId="0" borderId="93" applyNumberFormat="0" applyFill="0" applyAlignment="0" applyProtection="0">
      <alignment vertical="center"/>
    </xf>
    <xf numFmtId="0" fontId="52" fillId="0" borderId="93" applyNumberFormat="0" applyFill="0" applyAlignment="0" applyProtection="0">
      <alignment vertical="center"/>
    </xf>
    <xf numFmtId="0" fontId="53" fillId="0" borderId="94" applyNumberFormat="0" applyFill="0" applyAlignment="0" applyProtection="0">
      <alignment vertical="center"/>
    </xf>
    <xf numFmtId="0" fontId="53" fillId="0" borderId="94" applyNumberFormat="0" applyFill="0" applyAlignment="0" applyProtection="0">
      <alignment vertical="center"/>
    </xf>
    <xf numFmtId="0" fontId="53" fillId="0" borderId="94" applyNumberFormat="0" applyFill="0" applyAlignment="0" applyProtection="0">
      <alignment vertical="center"/>
    </xf>
    <xf numFmtId="0" fontId="53" fillId="0" borderId="94" applyNumberFormat="0" applyFill="0" applyAlignment="0" applyProtection="0">
      <alignment vertical="center"/>
    </xf>
    <xf numFmtId="0" fontId="54" fillId="0" borderId="95" applyNumberFormat="0" applyFill="0" applyAlignment="0" applyProtection="0">
      <alignment vertical="center"/>
    </xf>
    <xf numFmtId="0" fontId="54" fillId="0" borderId="95" applyNumberFormat="0" applyFill="0" applyAlignment="0" applyProtection="0">
      <alignment vertical="center"/>
    </xf>
    <xf numFmtId="0" fontId="54" fillId="0" borderId="95" applyNumberFormat="0" applyFill="0" applyAlignment="0" applyProtection="0">
      <alignment vertical="center"/>
    </xf>
    <xf numFmtId="0" fontId="54" fillId="0" borderId="95" applyNumberFormat="0" applyFill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6" fillId="14" borderId="0" applyNumberFormat="0" applyBorder="0" applyAlignment="0" applyProtection="0">
      <alignment vertical="center"/>
    </xf>
    <xf numFmtId="0" fontId="57" fillId="45" borderId="0" applyNumberFormat="0" applyBorder="0" applyAlignment="0" applyProtection="0">
      <alignment vertical="center"/>
    </xf>
    <xf numFmtId="0" fontId="57" fillId="45" borderId="0" applyNumberFormat="0" applyBorder="0" applyAlignment="0" applyProtection="0">
      <alignment vertical="center"/>
    </xf>
    <xf numFmtId="0" fontId="57" fillId="45" borderId="0" applyNumberFormat="0" applyBorder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60" fillId="12" borderId="96" applyNumberFormat="0" applyAlignment="0" applyProtection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0" fillId="41" borderId="110" applyNumberFormat="0" applyFon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9" fillId="12" borderId="109" applyNumberForma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0" fillId="41" borderId="110" applyNumberFormat="0" applyFon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9" fillId="12" borderId="111" applyNumberForma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30" fillId="41" borderId="112" applyNumberFormat="0" applyFont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0" fillId="0" borderId="113" applyNumberFormat="0" applyFill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51" fillId="44" borderId="111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60" fillId="12" borderId="115" applyNumberFormat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176" fontId="61" fillId="0" borderId="0" applyFont="0" applyFill="0" applyBorder="0" applyAlignment="0" applyProtection="0">
      <alignment vertical="center"/>
    </xf>
    <xf numFmtId="176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213" fontId="18" fillId="0" borderId="0" applyFont="0" applyFill="0" applyBorder="0" applyAlignment="0" applyProtection="0"/>
    <xf numFmtId="0" fontId="61" fillId="0" borderId="0">
      <alignment vertical="center"/>
    </xf>
    <xf numFmtId="0" fontId="62" fillId="0" borderId="0">
      <alignment vertical="center"/>
    </xf>
    <xf numFmtId="0" fontId="2" fillId="0" borderId="0"/>
    <xf numFmtId="0" fontId="31" fillId="0" borderId="0"/>
    <xf numFmtId="0" fontId="48" fillId="0" borderId="0"/>
    <xf numFmtId="0" fontId="2" fillId="0" borderId="0"/>
    <xf numFmtId="0" fontId="1" fillId="0" borderId="0">
      <alignment vertical="center"/>
    </xf>
    <xf numFmtId="0" fontId="63" fillId="0" borderId="0">
      <alignment vertical="center"/>
    </xf>
    <xf numFmtId="0" fontId="2" fillId="0" borderId="0"/>
    <xf numFmtId="9" fontId="6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/>
    <xf numFmtId="9" fontId="48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214" fontId="64" fillId="0" borderId="0"/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3" fillId="41" borderId="117" applyNumberFormat="0" applyFont="0" applyAlignment="0" applyProtection="0">
      <alignment vertical="center"/>
    </xf>
    <xf numFmtId="0" fontId="33" fillId="41" borderId="117" applyNumberFormat="0" applyFont="0" applyAlignment="0" applyProtection="0">
      <alignment vertical="center"/>
    </xf>
    <xf numFmtId="9" fontId="31" fillId="0" borderId="0" applyFont="0" applyFill="0" applyBorder="0" applyAlignment="0" applyProtection="0"/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/>
    <xf numFmtId="9" fontId="61" fillId="0" borderId="0" applyFont="0" applyFill="0" applyBorder="0" applyAlignment="0" applyProtection="0">
      <alignment vertical="center"/>
    </xf>
    <xf numFmtId="9" fontId="65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0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65" fillId="0" borderId="0" applyFont="0" applyFill="0" applyBorder="0" applyAlignment="0" applyProtection="0"/>
    <xf numFmtId="9" fontId="66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6" fontId="33" fillId="0" borderId="0" applyFont="0" applyFill="0" applyBorder="0" applyAlignment="0" applyProtection="0">
      <alignment vertical="center"/>
    </xf>
    <xf numFmtId="176" fontId="31" fillId="0" borderId="0" applyFont="0" applyFill="0" applyBorder="0" applyAlignment="0" applyProtection="0"/>
    <xf numFmtId="176" fontId="14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61" fillId="0" borderId="0" applyFont="0" applyFill="0" applyBorder="0" applyAlignment="0" applyProtection="0">
      <alignment vertical="center"/>
    </xf>
    <xf numFmtId="176" fontId="25" fillId="0" borderId="0" applyFont="0" applyFill="0" applyBorder="0" applyAlignment="0" applyProtection="0"/>
    <xf numFmtId="176" fontId="31" fillId="0" borderId="0" applyFont="0" applyFill="0" applyBorder="0" applyAlignment="0" applyProtection="0"/>
    <xf numFmtId="176" fontId="65" fillId="0" borderId="0" applyFont="0" applyFill="0" applyBorder="0" applyAlignment="0" applyProtection="0"/>
    <xf numFmtId="176" fontId="66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7" fillId="0" borderId="0"/>
    <xf numFmtId="0" fontId="68" fillId="0" borderId="0"/>
    <xf numFmtId="0" fontId="69" fillId="0" borderId="0"/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176" fontId="69" fillId="0" borderId="0" applyFont="0" applyFill="0" applyBorder="0" applyAlignment="0" applyProtection="0"/>
    <xf numFmtId="178" fontId="69" fillId="0" borderId="0" applyFont="0" applyFill="0" applyBorder="0" applyAlignment="0" applyProtection="0"/>
    <xf numFmtId="0" fontId="2" fillId="0" borderId="0">
      <alignment vertical="center"/>
    </xf>
    <xf numFmtId="0" fontId="65" fillId="0" borderId="0"/>
    <xf numFmtId="0" fontId="6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0" fillId="0" borderId="0">
      <alignment vertical="center"/>
    </xf>
    <xf numFmtId="0" fontId="30" fillId="0" borderId="0"/>
    <xf numFmtId="0" fontId="31" fillId="0" borderId="0"/>
    <xf numFmtId="0" fontId="2" fillId="0" borderId="0">
      <alignment vertical="center"/>
    </xf>
    <xf numFmtId="0" fontId="31" fillId="0" borderId="0"/>
    <xf numFmtId="0" fontId="65" fillId="0" borderId="0"/>
    <xf numFmtId="0" fontId="2" fillId="0" borderId="0">
      <alignment vertical="center"/>
    </xf>
    <xf numFmtId="0" fontId="65" fillId="0" borderId="0"/>
    <xf numFmtId="0" fontId="2" fillId="0" borderId="0">
      <alignment vertical="center"/>
    </xf>
    <xf numFmtId="0" fontId="14" fillId="0" borderId="0">
      <alignment vertical="center"/>
    </xf>
    <xf numFmtId="0" fontId="61" fillId="0" borderId="0">
      <alignment vertical="center"/>
    </xf>
    <xf numFmtId="0" fontId="30" fillId="0" borderId="0"/>
    <xf numFmtId="0" fontId="65" fillId="0" borderId="0"/>
    <xf numFmtId="0" fontId="30" fillId="0" borderId="0"/>
    <xf numFmtId="0" fontId="31" fillId="0" borderId="0"/>
    <xf numFmtId="0" fontId="30" fillId="0" borderId="0"/>
    <xf numFmtId="0" fontId="25" fillId="0" borderId="0"/>
    <xf numFmtId="0" fontId="47" fillId="0" borderId="0">
      <alignment vertical="center"/>
    </xf>
    <xf numFmtId="0" fontId="79" fillId="0" borderId="0" applyNumberFormat="0" applyFill="0" applyBorder="0" applyAlignment="0" applyProtection="0">
      <alignment vertical="center"/>
    </xf>
    <xf numFmtId="0" fontId="80" fillId="0" borderId="158" applyNumberFormat="0" applyFill="0" applyAlignment="0" applyProtection="0">
      <alignment vertical="center"/>
    </xf>
    <xf numFmtId="0" fontId="81" fillId="0" borderId="159" applyNumberFormat="0" applyFill="0" applyAlignment="0" applyProtection="0">
      <alignment vertical="center"/>
    </xf>
    <xf numFmtId="0" fontId="82" fillId="0" borderId="160" applyNumberFormat="0" applyFill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0" fontId="83" fillId="14" borderId="0" applyNumberFormat="0" applyBorder="0" applyAlignment="0" applyProtection="0">
      <alignment vertical="center"/>
    </xf>
    <xf numFmtId="0" fontId="84" fillId="15" borderId="0" applyNumberFormat="0" applyBorder="0" applyAlignment="0" applyProtection="0">
      <alignment vertical="center"/>
    </xf>
    <xf numFmtId="0" fontId="85" fillId="16" borderId="0" applyNumberFormat="0" applyBorder="0" applyAlignment="0" applyProtection="0">
      <alignment vertical="center"/>
    </xf>
    <xf numFmtId="0" fontId="86" fillId="55" borderId="161" applyNumberFormat="0" applyAlignment="0" applyProtection="0">
      <alignment vertical="center"/>
    </xf>
    <xf numFmtId="0" fontId="87" fillId="56" borderId="162" applyNumberFormat="0" applyAlignment="0" applyProtection="0">
      <alignment vertical="center"/>
    </xf>
    <xf numFmtId="0" fontId="88" fillId="56" borderId="161" applyNumberFormat="0" applyAlignment="0" applyProtection="0">
      <alignment vertical="center"/>
    </xf>
    <xf numFmtId="0" fontId="89" fillId="0" borderId="163" applyNumberFormat="0" applyFill="0" applyAlignment="0" applyProtection="0">
      <alignment vertical="center"/>
    </xf>
    <xf numFmtId="0" fontId="90" fillId="57" borderId="164" applyNumberFormat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3" fillId="0" borderId="165" applyNumberFormat="0" applyFill="0" applyAlignment="0" applyProtection="0">
      <alignment vertical="center"/>
    </xf>
    <xf numFmtId="0" fontId="94" fillId="5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94" fillId="59" borderId="0" applyNumberFormat="0" applyBorder="0" applyAlignment="0" applyProtection="0">
      <alignment vertical="center"/>
    </xf>
    <xf numFmtId="0" fontId="94" fillId="6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94" fillId="61" borderId="0" applyNumberFormat="0" applyBorder="0" applyAlignment="0" applyProtection="0">
      <alignment vertical="center"/>
    </xf>
    <xf numFmtId="0" fontId="94" fillId="6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94" fillId="63" borderId="0" applyNumberFormat="0" applyBorder="0" applyAlignment="0" applyProtection="0">
      <alignment vertical="center"/>
    </xf>
    <xf numFmtId="0" fontId="94" fillId="6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94" fillId="65" borderId="0" applyNumberFormat="0" applyBorder="0" applyAlignment="0" applyProtection="0">
      <alignment vertical="center"/>
    </xf>
    <xf numFmtId="0" fontId="94" fillId="6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94" fillId="67" borderId="0" applyNumberFormat="0" applyBorder="0" applyAlignment="0" applyProtection="0">
      <alignment vertical="center"/>
    </xf>
    <xf numFmtId="0" fontId="94" fillId="6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94" fillId="69" borderId="0" applyNumberFormat="0" applyBorder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30" fillId="0" borderId="0" applyFont="0" applyFill="0" applyBorder="0" applyAlignment="0" applyProtection="0"/>
    <xf numFmtId="219" fontId="18" fillId="0" borderId="0" applyFont="0" applyFill="0" applyBorder="0" applyAlignment="0" applyProtection="0"/>
    <xf numFmtId="0" fontId="18" fillId="0" borderId="0"/>
    <xf numFmtId="0" fontId="2" fillId="18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95" fillId="59" borderId="0" applyNumberFormat="0" applyBorder="0" applyAlignment="0" applyProtection="0">
      <alignment vertical="center"/>
    </xf>
    <xf numFmtId="0" fontId="95" fillId="61" borderId="0" applyNumberFormat="0" applyBorder="0" applyAlignment="0" applyProtection="0">
      <alignment vertical="center"/>
    </xf>
    <xf numFmtId="0" fontId="95" fillId="63" borderId="0" applyNumberFormat="0" applyBorder="0" applyAlignment="0" applyProtection="0">
      <alignment vertical="center"/>
    </xf>
    <xf numFmtId="0" fontId="95" fillId="65" borderId="0" applyNumberFormat="0" applyBorder="0" applyAlignment="0" applyProtection="0">
      <alignment vertical="center"/>
    </xf>
    <xf numFmtId="0" fontId="95" fillId="67" borderId="0" applyNumberFormat="0" applyBorder="0" applyAlignment="0" applyProtection="0">
      <alignment vertical="center"/>
    </xf>
    <xf numFmtId="0" fontId="95" fillId="69" borderId="0" applyNumberFormat="0" applyBorder="0" applyAlignment="0" applyProtection="0">
      <alignment vertical="center"/>
    </xf>
    <xf numFmtId="0" fontId="95" fillId="58" borderId="0" applyNumberFormat="0" applyBorder="0" applyAlignment="0" applyProtection="0">
      <alignment vertical="center"/>
    </xf>
    <xf numFmtId="0" fontId="95" fillId="60" borderId="0" applyNumberFormat="0" applyBorder="0" applyAlignment="0" applyProtection="0">
      <alignment vertical="center"/>
    </xf>
    <xf numFmtId="0" fontId="95" fillId="62" borderId="0" applyNumberFormat="0" applyBorder="0" applyAlignment="0" applyProtection="0">
      <alignment vertical="center"/>
    </xf>
    <xf numFmtId="0" fontId="95" fillId="64" borderId="0" applyNumberFormat="0" applyBorder="0" applyAlignment="0" applyProtection="0">
      <alignment vertical="center"/>
    </xf>
    <xf numFmtId="0" fontId="95" fillId="66" borderId="0" applyNumberFormat="0" applyBorder="0" applyAlignment="0" applyProtection="0">
      <alignment vertical="center"/>
    </xf>
    <xf numFmtId="0" fontId="95" fillId="68" borderId="0" applyNumberFormat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56" borderId="161" applyNumberFormat="0" applyAlignment="0" applyProtection="0">
      <alignment vertical="center"/>
    </xf>
    <xf numFmtId="0" fontId="2" fillId="17" borderId="87" applyNumberFormat="0" applyFont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9" fillId="57" borderId="164" applyNumberFormat="0" applyAlignment="0" applyProtection="0">
      <alignment vertical="center"/>
    </xf>
    <xf numFmtId="0" fontId="100" fillId="0" borderId="163" applyNumberFormat="0" applyFill="0" applyAlignment="0" applyProtection="0">
      <alignment vertical="center"/>
    </xf>
    <xf numFmtId="0" fontId="4" fillId="0" borderId="165" applyNumberFormat="0" applyFill="0" applyAlignment="0" applyProtection="0">
      <alignment vertical="center"/>
    </xf>
    <xf numFmtId="0" fontId="101" fillId="55" borderId="161" applyNumberFormat="0" applyAlignment="0" applyProtection="0">
      <alignment vertical="center"/>
    </xf>
    <xf numFmtId="0" fontId="102" fillId="0" borderId="158" applyNumberFormat="0" applyFill="0" applyAlignment="0" applyProtection="0">
      <alignment vertical="center"/>
    </xf>
    <xf numFmtId="0" fontId="103" fillId="0" borderId="159" applyNumberFormat="0" applyFill="0" applyAlignment="0" applyProtection="0">
      <alignment vertical="center"/>
    </xf>
    <xf numFmtId="0" fontId="104" fillId="0" borderId="160" applyNumberFormat="0" applyFill="0" applyAlignment="0" applyProtection="0">
      <alignment vertical="center"/>
    </xf>
    <xf numFmtId="0" fontId="104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6" fillId="56" borderId="162" applyNumberFormat="0" applyAlignment="0" applyProtection="0">
      <alignment vertical="center"/>
    </xf>
    <xf numFmtId="0" fontId="2" fillId="0" borderId="0">
      <alignment vertical="center"/>
    </xf>
    <xf numFmtId="176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9" fontId="25" fillId="0" borderId="0" applyFont="0" applyFill="0" applyBorder="0" applyAlignment="0" applyProtection="0"/>
    <xf numFmtId="0" fontId="43" fillId="16" borderId="0" applyNumberFormat="0" applyBorder="0" applyAlignment="0" applyProtection="0">
      <alignment vertical="center"/>
    </xf>
    <xf numFmtId="0" fontId="44" fillId="42" borderId="0" applyNumberFormat="0" applyBorder="0" applyAlignment="0" applyProtection="0">
      <alignment vertical="center"/>
    </xf>
    <xf numFmtId="176" fontId="30" fillId="0" borderId="0" applyFont="0" applyFill="0" applyBorder="0" applyAlignment="0" applyProtection="0"/>
    <xf numFmtId="176" fontId="25" fillId="0" borderId="0" applyFont="0" applyFill="0" applyBorder="0" applyAlignment="0" applyProtection="0"/>
    <xf numFmtId="176" fontId="1" fillId="0" borderId="0" applyFont="0" applyFill="0" applyBorder="0" applyAlignment="0" applyProtection="0">
      <alignment vertical="center"/>
    </xf>
    <xf numFmtId="176" fontId="25" fillId="0" borderId="0" applyFont="0" applyFill="0" applyBorder="0" applyAlignment="0" applyProtection="0"/>
    <xf numFmtId="176" fontId="1" fillId="0" borderId="0" applyFont="0" applyFill="0" applyBorder="0" applyAlignment="0" applyProtection="0">
      <alignment vertical="center"/>
    </xf>
    <xf numFmtId="176" fontId="25" fillId="0" borderId="0" applyFont="0" applyFill="0" applyBorder="0" applyAlignment="0" applyProtection="0"/>
    <xf numFmtId="176" fontId="1" fillId="0" borderId="0" applyFont="0" applyFill="0" applyBorder="0" applyAlignment="0" applyProtection="0">
      <alignment vertical="center"/>
    </xf>
    <xf numFmtId="176" fontId="25" fillId="0" borderId="0" applyFont="0" applyFill="0" applyBorder="0" applyAlignment="0" applyProtection="0"/>
    <xf numFmtId="176" fontId="1" fillId="0" borderId="0" applyFont="0" applyFill="0" applyBorder="0" applyAlignment="0" applyProtection="0">
      <alignment vertical="center"/>
    </xf>
    <xf numFmtId="176" fontId="25" fillId="0" borderId="0" applyFont="0" applyFill="0" applyBorder="0" applyAlignment="0" applyProtection="0"/>
    <xf numFmtId="176" fontId="1" fillId="0" borderId="0" applyFont="0" applyFill="0" applyBorder="0" applyAlignment="0" applyProtection="0">
      <alignment vertical="center"/>
    </xf>
    <xf numFmtId="176" fontId="25" fillId="0" borderId="0" applyFont="0" applyFill="0" applyBorder="0" applyAlignment="0" applyProtection="0"/>
    <xf numFmtId="176" fontId="1" fillId="0" borderId="0" applyFont="0" applyFill="0" applyBorder="0" applyAlignment="0" applyProtection="0">
      <alignment vertical="center"/>
    </xf>
    <xf numFmtId="176" fontId="25" fillId="0" borderId="0" applyFont="0" applyFill="0" applyBorder="0" applyAlignment="0" applyProtection="0"/>
    <xf numFmtId="176" fontId="31" fillId="0" borderId="0" applyNumberFormat="0" applyFill="0" applyBorder="0" applyAlignment="0" applyProtection="0"/>
    <xf numFmtId="176" fontId="25" fillId="0" borderId="0" applyFont="0" applyFill="0" applyBorder="0" applyAlignment="0" applyProtection="0"/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6" fillId="14" borderId="0" applyNumberFormat="0" applyBorder="0" applyAlignment="0" applyProtection="0">
      <alignment vertical="center"/>
    </xf>
    <xf numFmtId="0" fontId="57" fillId="4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5" fillId="0" borderId="0"/>
    <xf numFmtId="0" fontId="1" fillId="0" borderId="0">
      <alignment vertical="center"/>
    </xf>
    <xf numFmtId="0" fontId="25" fillId="0" borderId="0"/>
    <xf numFmtId="0" fontId="1" fillId="0" borderId="0">
      <alignment vertical="center"/>
    </xf>
    <xf numFmtId="0" fontId="25" fillId="0" borderId="0"/>
    <xf numFmtId="0" fontId="1" fillId="0" borderId="0">
      <alignment vertical="center"/>
    </xf>
    <xf numFmtId="0" fontId="25" fillId="0" borderId="0"/>
    <xf numFmtId="0" fontId="1" fillId="0" borderId="0">
      <alignment vertical="center"/>
    </xf>
    <xf numFmtId="0" fontId="25" fillId="0" borderId="0"/>
    <xf numFmtId="0" fontId="31" fillId="0" borderId="0"/>
    <xf numFmtId="0" fontId="25" fillId="0" borderId="0"/>
    <xf numFmtId="0" fontId="1" fillId="0" borderId="0">
      <alignment vertical="center"/>
    </xf>
    <xf numFmtId="0" fontId="32" fillId="0" borderId="0">
      <alignment vertical="center"/>
    </xf>
    <xf numFmtId="0" fontId="25" fillId="0" borderId="0"/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176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108" fillId="0" borderId="158" applyNumberFormat="0" applyFill="0" applyAlignment="0" applyProtection="0">
      <alignment vertical="center"/>
    </xf>
    <xf numFmtId="0" fontId="109" fillId="0" borderId="159" applyNumberFormat="0" applyFill="0" applyAlignment="0" applyProtection="0">
      <alignment vertical="center"/>
    </xf>
    <xf numFmtId="0" fontId="110" fillId="0" borderId="160" applyNumberFormat="0" applyFill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1" fillId="14" borderId="0" applyNumberFormat="0" applyBorder="0" applyAlignment="0" applyProtection="0">
      <alignment vertical="center"/>
    </xf>
    <xf numFmtId="0" fontId="112" fillId="15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4" fillId="55" borderId="161" applyNumberFormat="0" applyAlignment="0" applyProtection="0">
      <alignment vertical="center"/>
    </xf>
    <xf numFmtId="0" fontId="115" fillId="56" borderId="162" applyNumberFormat="0" applyAlignment="0" applyProtection="0">
      <alignment vertical="center"/>
    </xf>
    <xf numFmtId="0" fontId="116" fillId="56" borderId="161" applyNumberFormat="0" applyAlignment="0" applyProtection="0">
      <alignment vertical="center"/>
    </xf>
    <xf numFmtId="0" fontId="117" fillId="0" borderId="163" applyNumberFormat="0" applyFill="0" applyAlignment="0" applyProtection="0">
      <alignment vertical="center"/>
    </xf>
    <xf numFmtId="0" fontId="118" fillId="57" borderId="164" applyNumberFormat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20" fillId="0" borderId="0" applyNumberFormat="0" applyFill="0" applyBorder="0" applyAlignment="0" applyProtection="0">
      <alignment vertical="center"/>
    </xf>
    <xf numFmtId="0" fontId="121" fillId="0" borderId="165" applyNumberFormat="0" applyFill="0" applyAlignment="0" applyProtection="0">
      <alignment vertical="center"/>
    </xf>
    <xf numFmtId="0" fontId="122" fillId="58" borderId="0" applyNumberFormat="0" applyBorder="0" applyAlignment="0" applyProtection="0">
      <alignment vertical="center"/>
    </xf>
    <xf numFmtId="0" fontId="107" fillId="18" borderId="0" applyNumberFormat="0" applyBorder="0" applyAlignment="0" applyProtection="0">
      <alignment vertical="center"/>
    </xf>
    <xf numFmtId="0" fontId="107" fillId="19" borderId="0" applyNumberFormat="0" applyBorder="0" applyAlignment="0" applyProtection="0">
      <alignment vertical="center"/>
    </xf>
    <xf numFmtId="0" fontId="122" fillId="59" borderId="0" applyNumberFormat="0" applyBorder="0" applyAlignment="0" applyProtection="0">
      <alignment vertical="center"/>
    </xf>
    <xf numFmtId="0" fontId="122" fillId="60" borderId="0" applyNumberFormat="0" applyBorder="0" applyAlignment="0" applyProtection="0">
      <alignment vertical="center"/>
    </xf>
    <xf numFmtId="0" fontId="107" fillId="20" borderId="0" applyNumberFormat="0" applyBorder="0" applyAlignment="0" applyProtection="0">
      <alignment vertical="center"/>
    </xf>
    <xf numFmtId="0" fontId="107" fillId="21" borderId="0" applyNumberFormat="0" applyBorder="0" applyAlignment="0" applyProtection="0">
      <alignment vertical="center"/>
    </xf>
    <xf numFmtId="0" fontId="122" fillId="61" borderId="0" applyNumberFormat="0" applyBorder="0" applyAlignment="0" applyProtection="0">
      <alignment vertical="center"/>
    </xf>
    <xf numFmtId="0" fontId="122" fillId="62" borderId="0" applyNumberFormat="0" applyBorder="0" applyAlignment="0" applyProtection="0">
      <alignment vertical="center"/>
    </xf>
    <xf numFmtId="0" fontId="107" fillId="22" borderId="0" applyNumberFormat="0" applyBorder="0" applyAlignment="0" applyProtection="0">
      <alignment vertical="center"/>
    </xf>
    <xf numFmtId="0" fontId="107" fillId="23" borderId="0" applyNumberFormat="0" applyBorder="0" applyAlignment="0" applyProtection="0">
      <alignment vertical="center"/>
    </xf>
    <xf numFmtId="0" fontId="122" fillId="63" borderId="0" applyNumberFormat="0" applyBorder="0" applyAlignment="0" applyProtection="0">
      <alignment vertical="center"/>
    </xf>
    <xf numFmtId="0" fontId="122" fillId="64" borderId="0" applyNumberFormat="0" applyBorder="0" applyAlignment="0" applyProtection="0">
      <alignment vertical="center"/>
    </xf>
    <xf numFmtId="0" fontId="107" fillId="24" borderId="0" applyNumberFormat="0" applyBorder="0" applyAlignment="0" applyProtection="0">
      <alignment vertical="center"/>
    </xf>
    <xf numFmtId="0" fontId="107" fillId="25" borderId="0" applyNumberFormat="0" applyBorder="0" applyAlignment="0" applyProtection="0">
      <alignment vertical="center"/>
    </xf>
    <xf numFmtId="0" fontId="122" fillId="65" borderId="0" applyNumberFormat="0" applyBorder="0" applyAlignment="0" applyProtection="0">
      <alignment vertical="center"/>
    </xf>
    <xf numFmtId="0" fontId="122" fillId="66" borderId="0" applyNumberFormat="0" applyBorder="0" applyAlignment="0" applyProtection="0">
      <alignment vertical="center"/>
    </xf>
    <xf numFmtId="0" fontId="107" fillId="26" borderId="0" applyNumberFormat="0" applyBorder="0" applyAlignment="0" applyProtection="0">
      <alignment vertical="center"/>
    </xf>
    <xf numFmtId="0" fontId="107" fillId="27" borderId="0" applyNumberFormat="0" applyBorder="0" applyAlignment="0" applyProtection="0">
      <alignment vertical="center"/>
    </xf>
    <xf numFmtId="0" fontId="122" fillId="67" borderId="0" applyNumberFormat="0" applyBorder="0" applyAlignment="0" applyProtection="0">
      <alignment vertical="center"/>
    </xf>
    <xf numFmtId="0" fontId="122" fillId="68" borderId="0" applyNumberFormat="0" applyBorder="0" applyAlignment="0" applyProtection="0">
      <alignment vertical="center"/>
    </xf>
    <xf numFmtId="0" fontId="107" fillId="28" borderId="0" applyNumberFormat="0" applyBorder="0" applyAlignment="0" applyProtection="0">
      <alignment vertical="center"/>
    </xf>
    <xf numFmtId="0" fontId="107" fillId="29" borderId="0" applyNumberFormat="0" applyBorder="0" applyAlignment="0" applyProtection="0">
      <alignment vertical="center"/>
    </xf>
    <xf numFmtId="0" fontId="122" fillId="69" borderId="0" applyNumberFormat="0" applyBorder="0" applyAlignment="0" applyProtection="0">
      <alignment vertical="center"/>
    </xf>
    <xf numFmtId="9" fontId="31" fillId="0" borderId="0" applyNumberFormat="0" applyFill="0" applyBorder="0" applyAlignment="0" applyProtection="0"/>
    <xf numFmtId="176" fontId="31" fillId="0" borderId="0" applyFont="0" applyFill="0" applyBorder="0" applyAlignment="0" applyProtection="0"/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07" fillId="0" borderId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07" fillId="17" borderId="8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1" fillId="17" borderId="8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176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0" fontId="39" fillId="12" borderId="16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108" fillId="0" borderId="158" applyNumberFormat="0" applyFill="0" applyAlignment="0" applyProtection="0">
      <alignment vertical="center"/>
    </xf>
    <xf numFmtId="0" fontId="109" fillId="0" borderId="159" applyNumberFormat="0" applyFill="0" applyAlignment="0" applyProtection="0">
      <alignment vertical="center"/>
    </xf>
    <xf numFmtId="0" fontId="110" fillId="0" borderId="160" applyNumberFormat="0" applyFill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1" fillId="14" borderId="0" applyNumberFormat="0" applyBorder="0" applyAlignment="0" applyProtection="0">
      <alignment vertical="center"/>
    </xf>
    <xf numFmtId="0" fontId="112" fillId="15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4" fillId="55" borderId="161" applyNumberFormat="0" applyAlignment="0" applyProtection="0">
      <alignment vertical="center"/>
    </xf>
    <xf numFmtId="0" fontId="115" fillId="56" borderId="162" applyNumberFormat="0" applyAlignment="0" applyProtection="0">
      <alignment vertical="center"/>
    </xf>
    <xf numFmtId="0" fontId="116" fillId="56" borderId="161" applyNumberFormat="0" applyAlignment="0" applyProtection="0">
      <alignment vertical="center"/>
    </xf>
    <xf numFmtId="0" fontId="117" fillId="0" borderId="163" applyNumberFormat="0" applyFill="0" applyAlignment="0" applyProtection="0">
      <alignment vertical="center"/>
    </xf>
    <xf numFmtId="0" fontId="118" fillId="57" borderId="164" applyNumberFormat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20" fillId="0" borderId="0" applyNumberFormat="0" applyFill="0" applyBorder="0" applyAlignment="0" applyProtection="0">
      <alignment vertical="center"/>
    </xf>
    <xf numFmtId="0" fontId="121" fillId="0" borderId="165" applyNumberFormat="0" applyFill="0" applyAlignment="0" applyProtection="0">
      <alignment vertical="center"/>
    </xf>
    <xf numFmtId="0" fontId="122" fillId="58" borderId="0" applyNumberFormat="0" applyBorder="0" applyAlignment="0" applyProtection="0">
      <alignment vertical="center"/>
    </xf>
    <xf numFmtId="0" fontId="107" fillId="18" borderId="0" applyNumberFormat="0" applyBorder="0" applyAlignment="0" applyProtection="0">
      <alignment vertical="center"/>
    </xf>
    <xf numFmtId="0" fontId="107" fillId="19" borderId="0" applyNumberFormat="0" applyBorder="0" applyAlignment="0" applyProtection="0">
      <alignment vertical="center"/>
    </xf>
    <xf numFmtId="0" fontId="122" fillId="59" borderId="0" applyNumberFormat="0" applyBorder="0" applyAlignment="0" applyProtection="0">
      <alignment vertical="center"/>
    </xf>
    <xf numFmtId="0" fontId="122" fillId="60" borderId="0" applyNumberFormat="0" applyBorder="0" applyAlignment="0" applyProtection="0">
      <alignment vertical="center"/>
    </xf>
    <xf numFmtId="0" fontId="107" fillId="20" borderId="0" applyNumberFormat="0" applyBorder="0" applyAlignment="0" applyProtection="0">
      <alignment vertical="center"/>
    </xf>
    <xf numFmtId="0" fontId="107" fillId="21" borderId="0" applyNumberFormat="0" applyBorder="0" applyAlignment="0" applyProtection="0">
      <alignment vertical="center"/>
    </xf>
    <xf numFmtId="0" fontId="122" fillId="61" borderId="0" applyNumberFormat="0" applyBorder="0" applyAlignment="0" applyProtection="0">
      <alignment vertical="center"/>
    </xf>
    <xf numFmtId="0" fontId="122" fillId="62" borderId="0" applyNumberFormat="0" applyBorder="0" applyAlignment="0" applyProtection="0">
      <alignment vertical="center"/>
    </xf>
    <xf numFmtId="0" fontId="107" fillId="22" borderId="0" applyNumberFormat="0" applyBorder="0" applyAlignment="0" applyProtection="0">
      <alignment vertical="center"/>
    </xf>
    <xf numFmtId="0" fontId="107" fillId="23" borderId="0" applyNumberFormat="0" applyBorder="0" applyAlignment="0" applyProtection="0">
      <alignment vertical="center"/>
    </xf>
    <xf numFmtId="0" fontId="122" fillId="63" borderId="0" applyNumberFormat="0" applyBorder="0" applyAlignment="0" applyProtection="0">
      <alignment vertical="center"/>
    </xf>
    <xf numFmtId="0" fontId="122" fillId="64" borderId="0" applyNumberFormat="0" applyBorder="0" applyAlignment="0" applyProtection="0">
      <alignment vertical="center"/>
    </xf>
    <xf numFmtId="0" fontId="107" fillId="24" borderId="0" applyNumberFormat="0" applyBorder="0" applyAlignment="0" applyProtection="0">
      <alignment vertical="center"/>
    </xf>
    <xf numFmtId="0" fontId="107" fillId="25" borderId="0" applyNumberFormat="0" applyBorder="0" applyAlignment="0" applyProtection="0">
      <alignment vertical="center"/>
    </xf>
    <xf numFmtId="0" fontId="122" fillId="65" borderId="0" applyNumberFormat="0" applyBorder="0" applyAlignment="0" applyProtection="0">
      <alignment vertical="center"/>
    </xf>
    <xf numFmtId="0" fontId="122" fillId="66" borderId="0" applyNumberFormat="0" applyBorder="0" applyAlignment="0" applyProtection="0">
      <alignment vertical="center"/>
    </xf>
    <xf numFmtId="0" fontId="107" fillId="26" borderId="0" applyNumberFormat="0" applyBorder="0" applyAlignment="0" applyProtection="0">
      <alignment vertical="center"/>
    </xf>
    <xf numFmtId="0" fontId="107" fillId="27" borderId="0" applyNumberFormat="0" applyBorder="0" applyAlignment="0" applyProtection="0">
      <alignment vertical="center"/>
    </xf>
    <xf numFmtId="0" fontId="122" fillId="67" borderId="0" applyNumberFormat="0" applyBorder="0" applyAlignment="0" applyProtection="0">
      <alignment vertical="center"/>
    </xf>
    <xf numFmtId="0" fontId="122" fillId="68" borderId="0" applyNumberFormat="0" applyBorder="0" applyAlignment="0" applyProtection="0">
      <alignment vertical="center"/>
    </xf>
    <xf numFmtId="0" fontId="107" fillId="28" borderId="0" applyNumberFormat="0" applyBorder="0" applyAlignment="0" applyProtection="0">
      <alignment vertical="center"/>
    </xf>
    <xf numFmtId="0" fontId="107" fillId="29" borderId="0" applyNumberFormat="0" applyBorder="0" applyAlignment="0" applyProtection="0">
      <alignment vertical="center"/>
    </xf>
    <xf numFmtId="0" fontId="122" fillId="69" borderId="0" applyNumberFormat="0" applyBorder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39" fillId="12" borderId="166" applyNumberForma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30" fillId="41" borderId="167" applyNumberFormat="0" applyFont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0" fillId="0" borderId="168" applyNumberFormat="0" applyFill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51" fillId="44" borderId="166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6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4" fillId="42" borderId="0" applyNumberFormat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56" fillId="14" borderId="0" applyNumberFormat="0" applyBorder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0" fillId="41" borderId="117" applyNumberFormat="0" applyFon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9" fillId="12" borderId="116" applyNumberFormat="0" applyAlignment="0" applyProtection="0">
      <alignment vertical="center"/>
    </xf>
    <xf numFmtId="0" fontId="33" fillId="41" borderId="117" applyNumberFormat="0" applyFont="0" applyAlignment="0" applyProtection="0">
      <alignment vertical="center"/>
    </xf>
    <xf numFmtId="0" fontId="33" fillId="41" borderId="117" applyNumberFormat="0" applyFont="0" applyAlignment="0" applyProtection="0">
      <alignment vertical="center"/>
    </xf>
    <xf numFmtId="9" fontId="61" fillId="0" borderId="0" applyFont="0" applyFill="0" applyBorder="0" applyAlignment="0" applyProtection="0">
      <alignment vertical="center"/>
    </xf>
    <xf numFmtId="9" fontId="65" fillId="0" borderId="0" applyFont="0" applyFill="0" applyBorder="0" applyAlignment="0" applyProtection="0"/>
    <xf numFmtId="176" fontId="33" fillId="0" borderId="0" applyFont="0" applyFill="0" applyBorder="0" applyAlignment="0" applyProtection="0">
      <alignment vertical="center"/>
    </xf>
    <xf numFmtId="176" fontId="14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31" fillId="0" borderId="0" applyFont="0" applyFill="0" applyBorder="0" applyAlignment="0" applyProtection="0"/>
    <xf numFmtId="0" fontId="50" fillId="0" borderId="118" applyNumberFormat="0" applyFill="0" applyAlignment="0" applyProtection="0">
      <alignment vertical="center"/>
    </xf>
    <xf numFmtId="0" fontId="50" fillId="0" borderId="118" applyNumberFormat="0" applyFill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51" fillId="44" borderId="116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60" fillId="12" borderId="119" applyNumberFormat="0" applyAlignment="0" applyProtection="0">
      <alignment vertical="center"/>
    </xf>
    <xf numFmtId="0" fontId="2" fillId="0" borderId="0">
      <alignment vertical="center"/>
    </xf>
    <xf numFmtId="0" fontId="30" fillId="0" borderId="0"/>
    <xf numFmtId="0" fontId="1" fillId="0" borderId="0">
      <alignment vertical="center"/>
    </xf>
    <xf numFmtId="0" fontId="1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0" fontId="69" fillId="0" borderId="0"/>
    <xf numFmtId="176" fontId="2" fillId="0" borderId="0" applyFont="0" applyFill="0" applyBorder="0" applyAlignment="0" applyProtection="0">
      <alignment vertical="center"/>
    </xf>
    <xf numFmtId="176" fontId="30" fillId="0" borderId="0" applyFont="0" applyFill="0" applyBorder="0" applyAlignment="0" applyProtection="0"/>
    <xf numFmtId="0" fontId="30" fillId="0" borderId="0"/>
    <xf numFmtId="0" fontId="30" fillId="0" borderId="0"/>
    <xf numFmtId="176" fontId="25" fillId="0" borderId="0" applyFont="0" applyFill="0" applyBorder="0" applyAlignment="0" applyProtection="0"/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5" fillId="0" borderId="0" applyFont="0" applyFill="0" applyBorder="0" applyAlignment="0" applyProtection="0"/>
    <xf numFmtId="176" fontId="25" fillId="0" borderId="0" applyFont="0" applyFill="0" applyBorder="0" applyAlignment="0" applyProtection="0"/>
  </cellStyleXfs>
  <cellXfs count="853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2" fillId="3" borderId="1" xfId="0" applyFont="1" applyFill="1" applyBorder="1">
      <alignment vertical="center"/>
    </xf>
    <xf numFmtId="0" fontId="4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6" fillId="3" borderId="0" xfId="0" applyFont="1" applyFill="1">
      <alignment vertical="center"/>
    </xf>
    <xf numFmtId="0" fontId="5" fillId="3" borderId="0" xfId="0" applyFont="1" applyFill="1" applyAlignment="1">
      <alignment horizontal="right" vertical="center"/>
    </xf>
    <xf numFmtId="179" fontId="5" fillId="3" borderId="0" xfId="0" applyNumberFormat="1" applyFont="1" applyFill="1" applyAlignment="1">
      <alignment horizontal="right" vertical="center"/>
    </xf>
    <xf numFmtId="178" fontId="5" fillId="3" borderId="0" xfId="0" applyNumberFormat="1" applyFont="1" applyFill="1" applyAlignment="1">
      <alignment horizontal="right" vertical="center"/>
    </xf>
    <xf numFmtId="180" fontId="5" fillId="3" borderId="0" xfId="1" applyNumberFormat="1" applyFont="1" applyFill="1" applyBorder="1" applyAlignment="1" applyProtection="1">
      <alignment horizontal="right" vertical="center"/>
    </xf>
    <xf numFmtId="181" fontId="5" fillId="3" borderId="0" xfId="0" applyNumberFormat="1" applyFont="1" applyFill="1">
      <alignment vertical="center"/>
    </xf>
    <xf numFmtId="0" fontId="7" fillId="3" borderId="0" xfId="0" applyFont="1" applyFill="1" applyAlignment="1">
      <alignment horizontal="right" vertical="center"/>
    </xf>
    <xf numFmtId="176" fontId="10" fillId="3" borderId="0" xfId="1" applyFont="1" applyFill="1" applyBorder="1" applyAlignment="1" applyProtection="1">
      <alignment vertical="center"/>
    </xf>
    <xf numFmtId="0" fontId="5" fillId="2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5" fillId="4" borderId="5" xfId="0" applyFont="1" applyFill="1" applyBorder="1" applyAlignment="1">
      <alignment horizontal="left" vertical="center"/>
    </xf>
    <xf numFmtId="0" fontId="11" fillId="4" borderId="6" xfId="0" applyFont="1" applyFill="1" applyBorder="1" applyAlignment="1">
      <alignment horizontal="center" vertical="center"/>
    </xf>
    <xf numFmtId="0" fontId="15" fillId="4" borderId="7" xfId="0" applyFont="1" applyFill="1" applyBorder="1" applyAlignment="1">
      <alignment horizontal="center" vertical="center"/>
    </xf>
    <xf numFmtId="0" fontId="16" fillId="4" borderId="5" xfId="0" applyFont="1" applyFill="1" applyBorder="1" applyAlignment="1">
      <alignment horizontal="left" vertical="center"/>
    </xf>
    <xf numFmtId="0" fontId="16" fillId="4" borderId="6" xfId="0" applyFont="1" applyFill="1" applyBorder="1">
      <alignment vertical="center"/>
    </xf>
    <xf numFmtId="0" fontId="15" fillId="3" borderId="0" xfId="0" applyFont="1" applyFill="1" applyAlignment="1">
      <alignment horizontal="center" vertical="center"/>
    </xf>
    <xf numFmtId="185" fontId="5" fillId="3" borderId="0" xfId="0" applyNumberFormat="1" applyFont="1" applyFill="1" applyAlignment="1">
      <alignment horizontal="left" vertical="center"/>
    </xf>
    <xf numFmtId="185" fontId="5" fillId="3" borderId="0" xfId="0" applyNumberFormat="1" applyFont="1" applyFill="1" applyAlignment="1">
      <alignment horizontal="center" vertical="center"/>
    </xf>
    <xf numFmtId="182" fontId="5" fillId="3" borderId="0" xfId="0" applyNumberFormat="1" applyFont="1" applyFill="1" applyAlignment="1">
      <alignment horizontal="center" vertical="center"/>
    </xf>
    <xf numFmtId="182" fontId="5" fillId="3" borderId="0" xfId="0" applyNumberFormat="1" applyFont="1" applyFill="1" applyAlignment="1">
      <alignment horizontal="right" vertical="center"/>
    </xf>
    <xf numFmtId="176" fontId="5" fillId="3" borderId="0" xfId="1" applyFont="1" applyFill="1" applyBorder="1" applyAlignment="1" applyProtection="1">
      <alignment horizontal="left" vertical="center"/>
    </xf>
    <xf numFmtId="179" fontId="19" fillId="5" borderId="8" xfId="3" applyNumberFormat="1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left" vertical="center"/>
    </xf>
    <xf numFmtId="0" fontId="11" fillId="4" borderId="0" xfId="0" applyFont="1" applyFill="1" applyAlignment="1">
      <alignment horizontal="center" vertical="center"/>
    </xf>
    <xf numFmtId="0" fontId="15" fillId="4" borderId="13" xfId="0" applyFont="1" applyFill="1" applyBorder="1">
      <alignment vertical="center"/>
    </xf>
    <xf numFmtId="0" fontId="16" fillId="4" borderId="10" xfId="0" applyFont="1" applyFill="1" applyBorder="1" applyAlignment="1">
      <alignment horizontal="left" vertical="center"/>
    </xf>
    <xf numFmtId="0" fontId="16" fillId="4" borderId="0" xfId="0" applyFont="1" applyFill="1">
      <alignment vertical="center"/>
    </xf>
    <xf numFmtId="0" fontId="15" fillId="3" borderId="0" xfId="0" applyFont="1" applyFill="1">
      <alignment vertical="center"/>
    </xf>
    <xf numFmtId="188" fontId="21" fillId="5" borderId="16" xfId="3" applyNumberFormat="1" applyFont="1" applyFill="1" applyBorder="1" applyAlignment="1">
      <alignment horizontal="center" vertical="center"/>
    </xf>
    <xf numFmtId="179" fontId="21" fillId="5" borderId="17" xfId="3" applyNumberFormat="1" applyFont="1" applyFill="1" applyBorder="1" applyAlignment="1">
      <alignment horizontal="center" vertical="center"/>
    </xf>
    <xf numFmtId="179" fontId="21" fillId="5" borderId="8" xfId="3" applyNumberFormat="1" applyFont="1" applyFill="1" applyBorder="1" applyAlignment="1">
      <alignment horizontal="center" vertical="center"/>
    </xf>
    <xf numFmtId="179" fontId="21" fillId="5" borderId="9" xfId="3" applyNumberFormat="1" applyFont="1" applyFill="1" applyBorder="1" applyAlignment="1">
      <alignment horizontal="center" vertical="center"/>
    </xf>
    <xf numFmtId="179" fontId="21" fillId="5" borderId="18" xfId="3" applyNumberFormat="1" applyFont="1" applyFill="1" applyBorder="1" applyAlignment="1">
      <alignment horizontal="center" vertical="center"/>
    </xf>
    <xf numFmtId="179" fontId="21" fillId="5" borderId="19" xfId="3" applyNumberFormat="1" applyFont="1" applyFill="1" applyBorder="1" applyAlignment="1">
      <alignment horizontal="center" vertical="center"/>
    </xf>
    <xf numFmtId="189" fontId="14" fillId="4" borderId="0" xfId="0" applyNumberFormat="1" applyFont="1" applyFill="1">
      <alignment vertical="center"/>
    </xf>
    <xf numFmtId="188" fontId="6" fillId="3" borderId="22" xfId="3" applyNumberFormat="1" applyFont="1" applyFill="1" applyBorder="1" applyAlignment="1">
      <alignment horizontal="center" vertical="center"/>
    </xf>
    <xf numFmtId="179" fontId="6" fillId="3" borderId="23" xfId="3" applyNumberFormat="1" applyFont="1" applyFill="1" applyBorder="1" applyAlignment="1">
      <alignment horizontal="center" vertical="center"/>
    </xf>
    <xf numFmtId="179" fontId="6" fillId="3" borderId="25" xfId="3" applyNumberFormat="1" applyFont="1" applyFill="1" applyBorder="1" applyAlignment="1">
      <alignment horizontal="center" vertical="center"/>
    </xf>
    <xf numFmtId="179" fontId="6" fillId="3" borderId="26" xfId="3" applyNumberFormat="1" applyFont="1" applyFill="1" applyBorder="1" applyAlignment="1">
      <alignment horizontal="center" vertical="center"/>
    </xf>
    <xf numFmtId="179" fontId="6" fillId="3" borderId="27" xfId="3" applyNumberFormat="1" applyFont="1" applyFill="1" applyBorder="1" applyAlignment="1">
      <alignment horizontal="center" vertical="center"/>
    </xf>
    <xf numFmtId="179" fontId="6" fillId="3" borderId="28" xfId="3" applyNumberFormat="1" applyFont="1" applyFill="1" applyBorder="1" applyAlignment="1">
      <alignment horizontal="center" vertical="center"/>
    </xf>
    <xf numFmtId="176" fontId="7" fillId="3" borderId="24" xfId="1" applyFont="1" applyFill="1" applyBorder="1" applyAlignment="1" applyProtection="1">
      <alignment horizontal="center" vertical="center"/>
    </xf>
    <xf numFmtId="0" fontId="22" fillId="4" borderId="10" xfId="0" applyFont="1" applyFill="1" applyBorder="1" applyAlignment="1">
      <alignment horizontal="left" vertical="center"/>
    </xf>
    <xf numFmtId="0" fontId="14" fillId="4" borderId="0" xfId="0" applyFont="1" applyFill="1" applyAlignment="1">
      <alignment horizontal="left" vertical="center"/>
    </xf>
    <xf numFmtId="176" fontId="15" fillId="3" borderId="0" xfId="1" applyFont="1" applyFill="1" applyBorder="1" applyAlignment="1" applyProtection="1">
      <alignment vertical="center"/>
    </xf>
    <xf numFmtId="0" fontId="14" fillId="4" borderId="0" xfId="0" applyFont="1" applyFill="1">
      <alignment vertical="center"/>
    </xf>
    <xf numFmtId="188" fontId="6" fillId="5" borderId="29" xfId="3" applyNumberFormat="1" applyFont="1" applyFill="1" applyBorder="1" applyAlignment="1">
      <alignment horizontal="center" vertical="center"/>
    </xf>
    <xf numFmtId="179" fontId="6" fillId="5" borderId="30" xfId="3" applyNumberFormat="1" applyFont="1" applyFill="1" applyBorder="1" applyAlignment="1">
      <alignment horizontal="center" vertical="center"/>
    </xf>
    <xf numFmtId="179" fontId="6" fillId="5" borderId="32" xfId="3" applyNumberFormat="1" applyFont="1" applyFill="1" applyBorder="1" applyAlignment="1">
      <alignment horizontal="center" vertical="center"/>
    </xf>
    <xf numFmtId="179" fontId="6" fillId="5" borderId="33" xfId="3" applyNumberFormat="1" applyFont="1" applyFill="1" applyBorder="1" applyAlignment="1">
      <alignment horizontal="center" vertical="center"/>
    </xf>
    <xf numFmtId="179" fontId="6" fillId="5" borderId="34" xfId="3" applyNumberFormat="1" applyFont="1" applyFill="1" applyBorder="1" applyAlignment="1">
      <alignment horizontal="center" vertical="center"/>
    </xf>
    <xf numFmtId="179" fontId="6" fillId="5" borderId="35" xfId="3" applyNumberFormat="1" applyFont="1" applyFill="1" applyBorder="1" applyAlignment="1">
      <alignment horizontal="center" vertical="center"/>
    </xf>
    <xf numFmtId="190" fontId="6" fillId="5" borderId="32" xfId="3" applyNumberFormat="1" applyFont="1" applyFill="1" applyBorder="1" applyAlignment="1">
      <alignment horizontal="center" vertical="center"/>
    </xf>
    <xf numFmtId="176" fontId="7" fillId="5" borderId="31" xfId="3" applyNumberFormat="1" applyFont="1" applyFill="1" applyBorder="1" applyAlignment="1">
      <alignment horizontal="center" vertical="center"/>
    </xf>
    <xf numFmtId="188" fontId="6" fillId="5" borderId="39" xfId="3" applyNumberFormat="1" applyFont="1" applyFill="1" applyBorder="1" applyAlignment="1">
      <alignment horizontal="center" vertical="center"/>
    </xf>
    <xf numFmtId="179" fontId="6" fillId="5" borderId="40" xfId="3" applyNumberFormat="1" applyFont="1" applyFill="1" applyBorder="1" applyAlignment="1">
      <alignment horizontal="center" vertical="center"/>
    </xf>
    <xf numFmtId="179" fontId="6" fillId="5" borderId="42" xfId="3" applyNumberFormat="1" applyFont="1" applyFill="1" applyBorder="1" applyAlignment="1">
      <alignment horizontal="center" vertical="center"/>
    </xf>
    <xf numFmtId="179" fontId="6" fillId="5" borderId="43" xfId="3" applyNumberFormat="1" applyFont="1" applyFill="1" applyBorder="1" applyAlignment="1">
      <alignment horizontal="center" vertical="center"/>
    </xf>
    <xf numFmtId="179" fontId="6" fillId="5" borderId="44" xfId="3" applyNumberFormat="1" applyFont="1" applyFill="1" applyBorder="1" applyAlignment="1">
      <alignment horizontal="center" vertical="center"/>
    </xf>
    <xf numFmtId="179" fontId="6" fillId="5" borderId="45" xfId="3" applyNumberFormat="1" applyFont="1" applyFill="1" applyBorder="1" applyAlignment="1">
      <alignment horizontal="center" vertical="center"/>
    </xf>
    <xf numFmtId="190" fontId="6" fillId="5" borderId="42" xfId="3" applyNumberFormat="1" applyFont="1" applyFill="1" applyBorder="1" applyAlignment="1">
      <alignment horizontal="center" vertical="center"/>
    </xf>
    <xf numFmtId="176" fontId="7" fillId="5" borderId="41" xfId="3" applyNumberFormat="1" applyFont="1" applyFill="1" applyBorder="1" applyAlignment="1">
      <alignment horizontal="center" vertical="center"/>
    </xf>
    <xf numFmtId="0" fontId="2" fillId="4" borderId="5" xfId="0" applyFont="1" applyFill="1" applyBorder="1">
      <alignment vertical="center"/>
    </xf>
    <xf numFmtId="0" fontId="2" fillId="4" borderId="7" xfId="0" applyFont="1" applyFill="1" applyBorder="1">
      <alignment vertical="center"/>
    </xf>
    <xf numFmtId="188" fontId="6" fillId="3" borderId="29" xfId="3" applyNumberFormat="1" applyFont="1" applyFill="1" applyBorder="1" applyAlignment="1">
      <alignment horizontal="center" vertical="center"/>
    </xf>
    <xf numFmtId="179" fontId="6" fillId="3" borderId="30" xfId="3" applyNumberFormat="1" applyFont="1" applyFill="1" applyBorder="1" applyAlignment="1">
      <alignment horizontal="center" vertical="center"/>
    </xf>
    <xf numFmtId="179" fontId="6" fillId="3" borderId="32" xfId="3" applyNumberFormat="1" applyFont="1" applyFill="1" applyBorder="1" applyAlignment="1">
      <alignment horizontal="center" vertical="center"/>
    </xf>
    <xf numFmtId="179" fontId="6" fillId="3" borderId="33" xfId="3" applyNumberFormat="1" applyFont="1" applyFill="1" applyBorder="1" applyAlignment="1">
      <alignment horizontal="center" vertical="center"/>
    </xf>
    <xf numFmtId="179" fontId="6" fillId="3" borderId="34" xfId="3" applyNumberFormat="1" applyFont="1" applyFill="1" applyBorder="1" applyAlignment="1">
      <alignment horizontal="center" vertical="center"/>
    </xf>
    <xf numFmtId="179" fontId="6" fillId="3" borderId="35" xfId="3" applyNumberFormat="1" applyFont="1" applyFill="1" applyBorder="1" applyAlignment="1">
      <alignment horizontal="center" vertical="center"/>
    </xf>
    <xf numFmtId="190" fontId="6" fillId="3" borderId="32" xfId="3" applyNumberFormat="1" applyFont="1" applyFill="1" applyBorder="1" applyAlignment="1">
      <alignment horizontal="center" vertical="center"/>
    </xf>
    <xf numFmtId="176" fontId="7" fillId="3" borderId="31" xfId="3" applyNumberFormat="1" applyFont="1" applyFill="1" applyBorder="1" applyAlignment="1">
      <alignment horizontal="center" vertical="center"/>
    </xf>
    <xf numFmtId="0" fontId="2" fillId="4" borderId="10" xfId="0" applyFont="1" applyFill="1" applyBorder="1">
      <alignment vertical="center"/>
    </xf>
    <xf numFmtId="0" fontId="2" fillId="4" borderId="13" xfId="0" applyFont="1" applyFill="1" applyBorder="1">
      <alignment vertical="center"/>
    </xf>
    <xf numFmtId="0" fontId="22" fillId="4" borderId="48" xfId="0" applyFont="1" applyFill="1" applyBorder="1" applyAlignment="1">
      <alignment horizontal="left" vertical="center"/>
    </xf>
    <xf numFmtId="0" fontId="14" fillId="4" borderId="3" xfId="0" applyFont="1" applyFill="1" applyBorder="1" applyAlignment="1">
      <alignment horizontal="left" vertical="center"/>
    </xf>
    <xf numFmtId="0" fontId="4" fillId="4" borderId="10" xfId="0" applyFont="1" applyFill="1" applyBorder="1" applyAlignment="1">
      <alignment horizontal="left" vertical="center"/>
    </xf>
    <xf numFmtId="188" fontId="6" fillId="3" borderId="39" xfId="3" applyNumberFormat="1" applyFont="1" applyFill="1" applyBorder="1" applyAlignment="1">
      <alignment horizontal="center" vertical="center"/>
    </xf>
    <xf numFmtId="179" fontId="6" fillId="3" borderId="40" xfId="3" applyNumberFormat="1" applyFont="1" applyFill="1" applyBorder="1" applyAlignment="1">
      <alignment horizontal="center" vertical="center"/>
    </xf>
    <xf numFmtId="179" fontId="6" fillId="3" borderId="42" xfId="3" applyNumberFormat="1" applyFont="1" applyFill="1" applyBorder="1" applyAlignment="1">
      <alignment horizontal="center" vertical="center"/>
    </xf>
    <xf numFmtId="179" fontId="6" fillId="3" borderId="43" xfId="3" applyNumberFormat="1" applyFont="1" applyFill="1" applyBorder="1" applyAlignment="1">
      <alignment horizontal="center" vertical="center"/>
    </xf>
    <xf numFmtId="179" fontId="6" fillId="3" borderId="44" xfId="3" applyNumberFormat="1" applyFont="1" applyFill="1" applyBorder="1" applyAlignment="1">
      <alignment horizontal="center" vertical="center"/>
    </xf>
    <xf numFmtId="179" fontId="6" fillId="3" borderId="45" xfId="3" applyNumberFormat="1" applyFont="1" applyFill="1" applyBorder="1" applyAlignment="1">
      <alignment horizontal="center" vertical="center"/>
    </xf>
    <xf numFmtId="190" fontId="6" fillId="3" borderId="42" xfId="3" applyNumberFormat="1" applyFont="1" applyFill="1" applyBorder="1" applyAlignment="1">
      <alignment horizontal="center" vertical="center"/>
    </xf>
    <xf numFmtId="176" fontId="7" fillId="3" borderId="41" xfId="3" applyNumberFormat="1" applyFont="1" applyFill="1" applyBorder="1" applyAlignment="1">
      <alignment horizontal="center" vertical="center"/>
    </xf>
    <xf numFmtId="9" fontId="5" fillId="7" borderId="0" xfId="0" applyNumberFormat="1" applyFont="1" applyFill="1" applyAlignment="1">
      <alignment horizontal="center" vertical="center"/>
    </xf>
    <xf numFmtId="9" fontId="5" fillId="7" borderId="0" xfId="0" applyNumberFormat="1" applyFont="1" applyFill="1">
      <alignment vertical="center"/>
    </xf>
    <xf numFmtId="0" fontId="2" fillId="4" borderId="36" xfId="0" applyFont="1" applyFill="1" applyBorder="1">
      <alignment vertical="center"/>
    </xf>
    <xf numFmtId="0" fontId="2" fillId="4" borderId="38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5" fillId="4" borderId="0" xfId="0" applyFont="1" applyFill="1">
      <alignment vertical="center"/>
    </xf>
    <xf numFmtId="0" fontId="22" fillId="4" borderId="6" xfId="4" applyFont="1" applyFill="1" applyBorder="1" applyAlignment="1">
      <alignment horizontal="left" vertical="center"/>
    </xf>
    <xf numFmtId="0" fontId="14" fillId="4" borderId="6" xfId="4" applyFont="1" applyFill="1" applyBorder="1" applyAlignment="1">
      <alignment horizontal="center" vertical="center"/>
    </xf>
    <xf numFmtId="0" fontId="4" fillId="4" borderId="52" xfId="0" applyFont="1" applyFill="1" applyBorder="1" applyAlignment="1">
      <alignment horizontal="left" vertical="center"/>
    </xf>
    <xf numFmtId="0" fontId="14" fillId="4" borderId="53" xfId="0" applyFont="1" applyFill="1" applyBorder="1" applyAlignment="1">
      <alignment horizontal="left" vertical="center"/>
    </xf>
    <xf numFmtId="188" fontId="6" fillId="3" borderId="29" xfId="5" applyNumberFormat="1" applyFont="1" applyFill="1" applyBorder="1" applyAlignment="1" applyProtection="1">
      <alignment horizontal="center" vertical="center"/>
    </xf>
    <xf numFmtId="179" fontId="6" fillId="3" borderId="32" xfId="5" applyFont="1" applyFill="1" applyBorder="1" applyAlignment="1" applyProtection="1">
      <alignment vertical="center"/>
    </xf>
    <xf numFmtId="179" fontId="6" fillId="3" borderId="33" xfId="5" applyFont="1" applyFill="1" applyBorder="1" applyAlignment="1" applyProtection="1">
      <alignment vertical="center"/>
    </xf>
    <xf numFmtId="190" fontId="6" fillId="3" borderId="32" xfId="5" applyNumberFormat="1" applyFont="1" applyFill="1" applyBorder="1" applyAlignment="1" applyProtection="1">
      <alignment vertical="center"/>
    </xf>
    <xf numFmtId="176" fontId="7" fillId="3" borderId="31" xfId="5" applyNumberFormat="1" applyFont="1" applyFill="1" applyBorder="1" applyAlignment="1" applyProtection="1">
      <alignment vertical="center"/>
    </xf>
    <xf numFmtId="0" fontId="14" fillId="4" borderId="0" xfId="0" applyFont="1" applyFill="1" applyAlignment="1">
      <alignment horizontal="right" vertical="center"/>
    </xf>
    <xf numFmtId="0" fontId="14" fillId="4" borderId="0" xfId="0" applyFont="1" applyFill="1" applyAlignment="1">
      <alignment horizontal="center" vertical="center"/>
    </xf>
    <xf numFmtId="176" fontId="2" fillId="3" borderId="0" xfId="0" applyNumberFormat="1" applyFont="1" applyFill="1">
      <alignment vertical="center"/>
    </xf>
    <xf numFmtId="0" fontId="4" fillId="4" borderId="0" xfId="0" applyFont="1" applyFill="1">
      <alignment vertical="center"/>
    </xf>
    <xf numFmtId="188" fontId="6" fillId="3" borderId="39" xfId="5" applyNumberFormat="1" applyFont="1" applyFill="1" applyBorder="1" applyAlignment="1" applyProtection="1">
      <alignment horizontal="center" vertical="center"/>
    </xf>
    <xf numFmtId="179" fontId="6" fillId="3" borderId="42" xfId="5" applyFont="1" applyFill="1" applyBorder="1" applyAlignment="1" applyProtection="1">
      <alignment vertical="center"/>
    </xf>
    <xf numFmtId="179" fontId="6" fillId="3" borderId="43" xfId="5" applyFont="1" applyFill="1" applyBorder="1" applyAlignment="1" applyProtection="1">
      <alignment vertical="center"/>
    </xf>
    <xf numFmtId="190" fontId="6" fillId="3" borderId="42" xfId="5" applyNumberFormat="1" applyFont="1" applyFill="1" applyBorder="1" applyAlignment="1" applyProtection="1">
      <alignment vertical="center"/>
    </xf>
    <xf numFmtId="176" fontId="7" fillId="3" borderId="41" xfId="5" applyNumberFormat="1" applyFont="1" applyFill="1" applyBorder="1" applyAlignment="1" applyProtection="1">
      <alignment vertical="center"/>
    </xf>
    <xf numFmtId="0" fontId="22" fillId="4" borderId="55" xfId="0" applyFont="1" applyFill="1" applyBorder="1" applyAlignment="1">
      <alignment horizontal="left" vertical="center"/>
    </xf>
    <xf numFmtId="0" fontId="14" fillId="4" borderId="56" xfId="0" applyFont="1" applyFill="1" applyBorder="1" applyAlignment="1">
      <alignment horizontal="left" vertical="center"/>
    </xf>
    <xf numFmtId="0" fontId="2" fillId="4" borderId="55" xfId="0" applyFont="1" applyFill="1" applyBorder="1">
      <alignment vertical="center"/>
    </xf>
    <xf numFmtId="0" fontId="14" fillId="4" borderId="56" xfId="0" applyFont="1" applyFill="1" applyBorder="1" applyAlignment="1">
      <alignment horizontal="center" vertical="center"/>
    </xf>
    <xf numFmtId="0" fontId="2" fillId="4" borderId="57" xfId="0" applyFont="1" applyFill="1" applyBorder="1">
      <alignment vertical="center"/>
    </xf>
    <xf numFmtId="188" fontId="6" fillId="5" borderId="29" xfId="5" applyNumberFormat="1" applyFont="1" applyFill="1" applyBorder="1" applyAlignment="1" applyProtection="1">
      <alignment horizontal="center" vertical="center"/>
    </xf>
    <xf numFmtId="179" fontId="6" fillId="5" borderId="32" xfId="5" applyFont="1" applyFill="1" applyBorder="1" applyAlignment="1" applyProtection="1">
      <alignment vertical="center"/>
    </xf>
    <xf numFmtId="179" fontId="6" fillId="5" borderId="33" xfId="5" applyFont="1" applyFill="1" applyBorder="1" applyAlignment="1" applyProtection="1">
      <alignment vertical="center"/>
    </xf>
    <xf numFmtId="190" fontId="6" fillId="5" borderId="32" xfId="5" applyNumberFormat="1" applyFont="1" applyFill="1" applyBorder="1" applyAlignment="1" applyProtection="1">
      <alignment vertical="center"/>
    </xf>
    <xf numFmtId="176" fontId="7" fillId="5" borderId="31" xfId="5" applyNumberFormat="1" applyFont="1" applyFill="1" applyBorder="1" applyAlignment="1" applyProtection="1">
      <alignment vertical="center"/>
    </xf>
    <xf numFmtId="0" fontId="22" fillId="4" borderId="58" xfId="0" applyFont="1" applyFill="1" applyBorder="1" applyAlignment="1">
      <alignment horizontal="left" vertical="center"/>
    </xf>
    <xf numFmtId="0" fontId="4" fillId="4" borderId="59" xfId="0" applyFont="1" applyFill="1" applyBorder="1" applyAlignment="1">
      <alignment horizontal="left" vertical="center"/>
    </xf>
    <xf numFmtId="0" fontId="2" fillId="4" borderId="58" xfId="0" applyFont="1" applyFill="1" applyBorder="1">
      <alignment vertical="center"/>
    </xf>
    <xf numFmtId="0" fontId="14" fillId="4" borderId="59" xfId="0" applyFont="1" applyFill="1" applyBorder="1" applyAlignment="1">
      <alignment horizontal="center" vertical="center"/>
    </xf>
    <xf numFmtId="0" fontId="2" fillId="4" borderId="60" xfId="0" applyFont="1" applyFill="1" applyBorder="1">
      <alignment vertical="center"/>
    </xf>
    <xf numFmtId="188" fontId="6" fillId="5" borderId="39" xfId="5" applyNumberFormat="1" applyFont="1" applyFill="1" applyBorder="1" applyAlignment="1" applyProtection="1">
      <alignment horizontal="center" vertical="center"/>
    </xf>
    <xf numFmtId="179" fontId="6" fillId="5" borderId="42" xfId="5" applyFont="1" applyFill="1" applyBorder="1" applyAlignment="1" applyProtection="1">
      <alignment vertical="center"/>
    </xf>
    <xf numFmtId="179" fontId="6" fillId="5" borderId="43" xfId="5" applyFont="1" applyFill="1" applyBorder="1" applyAlignment="1" applyProtection="1">
      <alignment vertical="center"/>
    </xf>
    <xf numFmtId="190" fontId="6" fillId="5" borderId="42" xfId="5" applyNumberFormat="1" applyFont="1" applyFill="1" applyBorder="1" applyAlignment="1" applyProtection="1">
      <alignment vertical="center"/>
    </xf>
    <xf numFmtId="176" fontId="7" fillId="5" borderId="41" xfId="5" applyNumberFormat="1" applyFont="1" applyFill="1" applyBorder="1" applyAlignment="1" applyProtection="1">
      <alignment vertical="center"/>
    </xf>
    <xf numFmtId="0" fontId="2" fillId="4" borderId="61" xfId="0" applyFont="1" applyFill="1" applyBorder="1">
      <alignment vertical="center"/>
    </xf>
    <xf numFmtId="0" fontId="22" fillId="4" borderId="62" xfId="0" applyFont="1" applyFill="1" applyBorder="1" applyAlignment="1">
      <alignment horizontal="left" vertical="center"/>
    </xf>
    <xf numFmtId="0" fontId="2" fillId="4" borderId="63" xfId="0" applyFont="1" applyFill="1" applyBorder="1">
      <alignment vertical="center"/>
    </xf>
    <xf numFmtId="0" fontId="22" fillId="4" borderId="64" xfId="0" applyFont="1" applyFill="1" applyBorder="1" applyAlignment="1">
      <alignment horizontal="left" vertical="center"/>
    </xf>
    <xf numFmtId="0" fontId="4" fillId="4" borderId="65" xfId="0" applyFont="1" applyFill="1" applyBorder="1">
      <alignment vertical="center"/>
    </xf>
    <xf numFmtId="0" fontId="4" fillId="4" borderId="58" xfId="0" applyFont="1" applyFill="1" applyBorder="1" applyAlignment="1">
      <alignment horizontal="left" vertical="center"/>
    </xf>
    <xf numFmtId="0" fontId="14" fillId="4" borderId="59" xfId="0" applyFont="1" applyFill="1" applyBorder="1" applyAlignment="1">
      <alignment horizontal="left" vertical="center"/>
    </xf>
    <xf numFmtId="0" fontId="13" fillId="4" borderId="10" xfId="0" applyFont="1" applyFill="1" applyBorder="1" applyAlignment="1">
      <alignment horizontal="left" vertical="center"/>
    </xf>
    <xf numFmtId="0" fontId="14" fillId="4" borderId="37" xfId="0" applyFont="1" applyFill="1" applyBorder="1" applyAlignment="1">
      <alignment horizontal="center" vertical="center"/>
    </xf>
    <xf numFmtId="0" fontId="22" fillId="4" borderId="36" xfId="0" applyFont="1" applyFill="1" applyBorder="1" applyAlignment="1">
      <alignment horizontal="left" vertical="center"/>
    </xf>
    <xf numFmtId="0" fontId="4" fillId="4" borderId="37" xfId="0" applyFont="1" applyFill="1" applyBorder="1" applyAlignment="1">
      <alignment horizontal="left" vertical="center"/>
    </xf>
    <xf numFmtId="0" fontId="0" fillId="8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6" fillId="8" borderId="0" xfId="0" applyFont="1" applyFill="1" applyAlignment="1">
      <alignment horizontal="center"/>
    </xf>
    <xf numFmtId="0" fontId="23" fillId="3" borderId="0" xfId="0" applyFont="1" applyFill="1" applyAlignment="1">
      <alignment horizontal="center"/>
    </xf>
    <xf numFmtId="202" fontId="6" fillId="8" borderId="0" xfId="0" applyNumberFormat="1" applyFont="1" applyFill="1" applyAlignment="1">
      <alignment horizontal="center"/>
    </xf>
    <xf numFmtId="203" fontId="23" fillId="3" borderId="0" xfId="0" applyNumberFormat="1" applyFont="1" applyFill="1" applyAlignment="1">
      <alignment horizontal="center"/>
    </xf>
    <xf numFmtId="201" fontId="6" fillId="8" borderId="0" xfId="0" applyNumberFormat="1" applyFont="1" applyFill="1" applyAlignment="1">
      <alignment horizontal="center"/>
    </xf>
    <xf numFmtId="204" fontId="23" fillId="3" borderId="0" xfId="0" applyNumberFormat="1" applyFont="1" applyFill="1" applyAlignment="1">
      <alignment horizontal="center"/>
    </xf>
    <xf numFmtId="204" fontId="23" fillId="8" borderId="0" xfId="0" applyNumberFormat="1" applyFont="1" applyFill="1" applyAlignment="1">
      <alignment horizontal="center"/>
    </xf>
    <xf numFmtId="0" fontId="23" fillId="8" borderId="0" xfId="0" applyFont="1" applyFill="1" applyAlignment="1"/>
    <xf numFmtId="208" fontId="23" fillId="8" borderId="0" xfId="0" applyNumberFormat="1" applyFont="1" applyFill="1" applyAlignment="1">
      <alignment horizontal="center"/>
    </xf>
    <xf numFmtId="206" fontId="5" fillId="3" borderId="0" xfId="0" applyNumberFormat="1" applyFont="1" applyFill="1" applyAlignment="1">
      <alignment horizontal="center" vertical="center"/>
    </xf>
    <xf numFmtId="0" fontId="23" fillId="8" borderId="0" xfId="0" applyFont="1" applyFill="1" applyAlignment="1">
      <alignment horizontal="center"/>
    </xf>
    <xf numFmtId="188" fontId="5" fillId="3" borderId="0" xfId="0" applyNumberFormat="1" applyFont="1" applyFill="1" applyAlignment="1">
      <alignment horizontal="center" vertical="center"/>
    </xf>
    <xf numFmtId="205" fontId="5" fillId="3" borderId="0" xfId="0" applyNumberFormat="1" applyFont="1" applyFill="1">
      <alignment vertical="center"/>
    </xf>
    <xf numFmtId="188" fontId="6" fillId="3" borderId="70" xfId="5" applyNumberFormat="1" applyFont="1" applyFill="1" applyBorder="1" applyAlignment="1" applyProtection="1">
      <alignment horizontal="center" vertical="center"/>
    </xf>
    <xf numFmtId="179" fontId="6" fillId="3" borderId="73" xfId="5" applyFont="1" applyFill="1" applyBorder="1" applyAlignment="1" applyProtection="1">
      <alignment vertical="center"/>
    </xf>
    <xf numFmtId="179" fontId="6" fillId="3" borderId="74" xfId="5" applyFont="1" applyFill="1" applyBorder="1" applyAlignment="1" applyProtection="1">
      <alignment vertical="center"/>
    </xf>
    <xf numFmtId="190" fontId="6" fillId="3" borderId="73" xfId="5" applyNumberFormat="1" applyFont="1" applyFill="1" applyBorder="1" applyAlignment="1" applyProtection="1">
      <alignment vertical="center"/>
    </xf>
    <xf numFmtId="176" fontId="7" fillId="3" borderId="72" xfId="5" applyNumberFormat="1" applyFont="1" applyFill="1" applyBorder="1" applyAlignment="1" applyProtection="1">
      <alignment vertical="center"/>
    </xf>
    <xf numFmtId="188" fontId="5" fillId="5" borderId="0" xfId="0" applyNumberFormat="1" applyFont="1" applyFill="1" applyAlignment="1">
      <alignment horizontal="center" vertical="center"/>
    </xf>
    <xf numFmtId="0" fontId="23" fillId="5" borderId="0" xfId="0" applyFont="1" applyFill="1" applyAlignment="1">
      <alignment horizontal="center"/>
    </xf>
    <xf numFmtId="0" fontId="5" fillId="5" borderId="0" xfId="0" applyFont="1" applyFill="1">
      <alignment vertical="center"/>
    </xf>
    <xf numFmtId="0" fontId="7" fillId="5" borderId="0" xfId="0" applyFont="1" applyFill="1" applyAlignment="1">
      <alignment horizontal="right" vertical="center"/>
    </xf>
    <xf numFmtId="0" fontId="7" fillId="3" borderId="0" xfId="0" applyFont="1" applyFill="1">
      <alignment vertical="center"/>
    </xf>
    <xf numFmtId="176" fontId="5" fillId="3" borderId="0" xfId="1" applyFont="1" applyFill="1" applyBorder="1" applyAlignment="1" applyProtection="1">
      <alignment vertical="center"/>
    </xf>
    <xf numFmtId="176" fontId="5" fillId="3" borderId="0" xfId="1" applyFont="1" applyFill="1" applyBorder="1" applyAlignment="1" applyProtection="1">
      <alignment horizontal="right" vertical="center"/>
    </xf>
    <xf numFmtId="188" fontId="15" fillId="3" borderId="0" xfId="0" applyNumberFormat="1" applyFont="1" applyFill="1" applyAlignment="1">
      <alignment horizontal="center" vertical="center"/>
    </xf>
    <xf numFmtId="206" fontId="15" fillId="3" borderId="0" xfId="0" applyNumberFormat="1" applyFont="1" applyFill="1" applyAlignment="1">
      <alignment horizontal="center" vertical="center"/>
    </xf>
    <xf numFmtId="0" fontId="0" fillId="8" borderId="0" xfId="0" applyFill="1">
      <alignment vertical="center"/>
    </xf>
    <xf numFmtId="0" fontId="24" fillId="3" borderId="0" xfId="0" applyFont="1" applyFill="1">
      <alignment vertical="center"/>
    </xf>
    <xf numFmtId="184" fontId="24" fillId="3" borderId="0" xfId="2" applyNumberFormat="1" applyFont="1" applyFill="1" applyBorder="1" applyAlignment="1" applyProtection="1">
      <alignment horizontal="center" vertical="center"/>
    </xf>
    <xf numFmtId="176" fontId="24" fillId="3" borderId="0" xfId="1" applyFont="1" applyFill="1" applyBorder="1" applyAlignment="1" applyProtection="1">
      <alignment horizontal="center" vertical="center"/>
    </xf>
    <xf numFmtId="0" fontId="24" fillId="4" borderId="62" xfId="0" applyFont="1" applyFill="1" applyBorder="1" applyAlignment="1">
      <alignment horizontal="center" vertical="center"/>
    </xf>
    <xf numFmtId="0" fontId="24" fillId="4" borderId="62" xfId="0" applyFont="1" applyFill="1" applyBorder="1">
      <alignment vertical="center"/>
    </xf>
    <xf numFmtId="199" fontId="24" fillId="3" borderId="59" xfId="2" applyNumberFormat="1" applyFont="1" applyFill="1" applyBorder="1" applyAlignment="1" applyProtection="1">
      <alignment horizontal="center" vertical="center"/>
    </xf>
    <xf numFmtId="184" fontId="24" fillId="3" borderId="37" xfId="2" applyNumberFormat="1" applyFont="1" applyFill="1" applyBorder="1" applyAlignment="1" applyProtection="1">
      <alignment horizontal="center" vertical="center"/>
    </xf>
    <xf numFmtId="0" fontId="24" fillId="3" borderId="37" xfId="0" applyFont="1" applyFill="1" applyBorder="1">
      <alignment vertical="center"/>
    </xf>
    <xf numFmtId="0" fontId="24" fillId="4" borderId="5" xfId="0" applyFont="1" applyFill="1" applyBorder="1">
      <alignment vertical="center"/>
    </xf>
    <xf numFmtId="0" fontId="24" fillId="4" borderId="6" xfId="4" applyFont="1" applyFill="1" applyBorder="1" applyAlignment="1">
      <alignment horizontal="left" vertical="center"/>
    </xf>
    <xf numFmtId="0" fontId="24" fillId="3" borderId="6" xfId="4" applyFont="1" applyFill="1" applyBorder="1" applyAlignment="1">
      <alignment horizontal="center" vertical="center"/>
    </xf>
    <xf numFmtId="0" fontId="24" fillId="3" borderId="6" xfId="0" applyFont="1" applyFill="1" applyBorder="1">
      <alignment vertical="center"/>
    </xf>
    <xf numFmtId="0" fontId="24" fillId="4" borderId="7" xfId="0" applyFont="1" applyFill="1" applyBorder="1">
      <alignment vertical="center"/>
    </xf>
    <xf numFmtId="0" fontId="24" fillId="4" borderId="10" xfId="0" applyFont="1" applyFill="1" applyBorder="1">
      <alignment vertical="center"/>
    </xf>
    <xf numFmtId="0" fontId="24" fillId="4" borderId="0" xfId="0" applyFont="1" applyFill="1" applyAlignment="1">
      <alignment horizontal="left" vertical="center"/>
    </xf>
    <xf numFmtId="200" fontId="24" fillId="3" borderId="0" xfId="1" applyNumberFormat="1" applyFont="1" applyFill="1" applyBorder="1" applyAlignment="1" applyProtection="1">
      <alignment horizontal="center" vertical="center"/>
    </xf>
    <xf numFmtId="0" fontId="24" fillId="4" borderId="13" xfId="0" applyFont="1" applyFill="1" applyBorder="1">
      <alignment vertical="center"/>
    </xf>
    <xf numFmtId="0" fontId="24" fillId="4" borderId="0" xfId="0" applyFont="1" applyFill="1" applyAlignment="1">
      <alignment horizontal="center" vertical="center"/>
    </xf>
    <xf numFmtId="0" fontId="24" fillId="4" borderId="36" xfId="0" applyFont="1" applyFill="1" applyBorder="1">
      <alignment vertical="center"/>
    </xf>
    <xf numFmtId="0" fontId="24" fillId="4" borderId="37" xfId="0" applyFont="1" applyFill="1" applyBorder="1" applyAlignment="1">
      <alignment horizontal="center" vertical="center"/>
    </xf>
    <xf numFmtId="10" fontId="24" fillId="3" borderId="37" xfId="0" applyNumberFormat="1" applyFont="1" applyFill="1" applyBorder="1" applyAlignment="1">
      <alignment horizontal="center" vertical="center"/>
    </xf>
    <xf numFmtId="0" fontId="24" fillId="4" borderId="38" xfId="0" applyFont="1" applyFill="1" applyBorder="1">
      <alignment vertical="center"/>
    </xf>
    <xf numFmtId="182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right" vertical="center"/>
    </xf>
    <xf numFmtId="179" fontId="21" fillId="5" borderId="78" xfId="3" applyNumberFormat="1" applyFont="1" applyFill="1" applyBorder="1" applyAlignment="1">
      <alignment horizontal="center" vertical="center"/>
    </xf>
    <xf numFmtId="188" fontId="6" fillId="3" borderId="23" xfId="3" applyNumberFormat="1" applyFont="1" applyFill="1" applyBorder="1" applyAlignment="1">
      <alignment horizontal="center" vertical="center"/>
    </xf>
    <xf numFmtId="188" fontId="6" fillId="5" borderId="30" xfId="3" applyNumberFormat="1" applyFont="1" applyFill="1" applyBorder="1" applyAlignment="1">
      <alignment horizontal="center" vertical="center"/>
    </xf>
    <xf numFmtId="188" fontId="6" fillId="5" borderId="40" xfId="3" applyNumberFormat="1" applyFont="1" applyFill="1" applyBorder="1" applyAlignment="1">
      <alignment horizontal="center" vertical="center"/>
    </xf>
    <xf numFmtId="188" fontId="6" fillId="3" borderId="30" xfId="3" applyNumberFormat="1" applyFont="1" applyFill="1" applyBorder="1" applyAlignment="1">
      <alignment horizontal="center" vertical="center"/>
    </xf>
    <xf numFmtId="188" fontId="6" fillId="3" borderId="40" xfId="3" applyNumberFormat="1" applyFont="1" applyFill="1" applyBorder="1" applyAlignment="1">
      <alignment horizontal="center" vertical="center"/>
    </xf>
    <xf numFmtId="188" fontId="6" fillId="3" borderId="30" xfId="5" applyNumberFormat="1" applyFont="1" applyFill="1" applyBorder="1" applyAlignment="1" applyProtection="1">
      <alignment horizontal="center" vertical="center"/>
    </xf>
    <xf numFmtId="188" fontId="6" fillId="3" borderId="40" xfId="5" applyNumberFormat="1" applyFont="1" applyFill="1" applyBorder="1" applyAlignment="1" applyProtection="1">
      <alignment horizontal="center" vertical="center"/>
    </xf>
    <xf numFmtId="188" fontId="6" fillId="5" borderId="30" xfId="5" applyNumberFormat="1" applyFont="1" applyFill="1" applyBorder="1" applyAlignment="1" applyProtection="1">
      <alignment horizontal="center" vertical="center"/>
    </xf>
    <xf numFmtId="188" fontId="6" fillId="5" borderId="40" xfId="5" applyNumberFormat="1" applyFont="1" applyFill="1" applyBorder="1" applyAlignment="1" applyProtection="1">
      <alignment horizontal="center" vertical="center"/>
    </xf>
    <xf numFmtId="188" fontId="6" fillId="3" borderId="71" xfId="5" applyNumberFormat="1" applyFont="1" applyFill="1" applyBorder="1" applyAlignment="1" applyProtection="1">
      <alignment horizontal="center" vertical="center"/>
    </xf>
    <xf numFmtId="0" fontId="5" fillId="3" borderId="69" xfId="0" applyFont="1" applyFill="1" applyBorder="1" applyAlignment="1">
      <alignment horizontal="right" vertical="center"/>
    </xf>
    <xf numFmtId="194" fontId="5" fillId="9" borderId="80" xfId="0" applyNumberFormat="1" applyFont="1" applyFill="1" applyBorder="1" applyAlignment="1">
      <alignment horizontal="right" vertical="center" indent="1"/>
    </xf>
    <xf numFmtId="194" fontId="26" fillId="3" borderId="0" xfId="0" applyNumberFormat="1" applyFont="1" applyFill="1" applyAlignment="1">
      <alignment horizontal="right" vertical="center" indent="1"/>
    </xf>
    <xf numFmtId="189" fontId="5" fillId="3" borderId="14" xfId="0" applyNumberFormat="1" applyFont="1" applyFill="1" applyBorder="1" applyAlignment="1">
      <alignment horizontal="center" vertical="center"/>
    </xf>
    <xf numFmtId="194" fontId="5" fillId="3" borderId="0" xfId="0" applyNumberFormat="1" applyFont="1" applyFill="1" applyAlignment="1">
      <alignment horizontal="right" vertical="center" indent="1"/>
    </xf>
    <xf numFmtId="192" fontId="5" fillId="5" borderId="0" xfId="0" applyNumberFormat="1" applyFont="1" applyFill="1" applyAlignment="1">
      <alignment horizontal="center" vertical="center"/>
    </xf>
    <xf numFmtId="194" fontId="5" fillId="5" borderId="0" xfId="0" applyNumberFormat="1" applyFont="1" applyFill="1" applyAlignment="1">
      <alignment horizontal="center" vertical="center"/>
    </xf>
    <xf numFmtId="10" fontId="5" fillId="5" borderId="0" xfId="0" applyNumberFormat="1" applyFont="1" applyFill="1" applyAlignment="1">
      <alignment horizontal="center" vertical="center"/>
    </xf>
    <xf numFmtId="207" fontId="5" fillId="3" borderId="0" xfId="0" applyNumberFormat="1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2" fillId="4" borderId="68" xfId="0" applyFont="1" applyFill="1" applyBorder="1">
      <alignment vertical="center"/>
    </xf>
    <xf numFmtId="190" fontId="6" fillId="11" borderId="24" xfId="3" applyNumberFormat="1" applyFont="1" applyFill="1" applyBorder="1" applyAlignment="1">
      <alignment horizontal="center" vertical="center"/>
    </xf>
    <xf numFmtId="176" fontId="4" fillId="3" borderId="13" xfId="7" applyFont="1" applyFill="1" applyBorder="1" applyAlignment="1">
      <alignment horizontal="right" vertical="center"/>
    </xf>
    <xf numFmtId="178" fontId="2" fillId="3" borderId="0" xfId="0" applyNumberFormat="1" applyFont="1" applyFill="1">
      <alignment vertical="center"/>
    </xf>
    <xf numFmtId="184" fontId="11" fillId="9" borderId="0" xfId="0" applyNumberFormat="1" applyFont="1" applyFill="1" applyAlignment="1">
      <alignment horizontal="center" vertical="center"/>
    </xf>
    <xf numFmtId="176" fontId="5" fillId="9" borderId="0" xfId="7" applyFont="1" applyFill="1" applyBorder="1" applyAlignment="1">
      <alignment horizontal="right" vertical="center" indent="1"/>
    </xf>
    <xf numFmtId="10" fontId="26" fillId="3" borderId="0" xfId="8" applyNumberFormat="1" applyFont="1" applyFill="1" applyBorder="1" applyAlignment="1">
      <alignment horizontal="right" vertical="center" indent="1"/>
    </xf>
    <xf numFmtId="10" fontId="5" fillId="3" borderId="0" xfId="8" applyNumberFormat="1" applyFont="1" applyFill="1" applyBorder="1" applyAlignment="1">
      <alignment horizontal="right" vertical="center" indent="1"/>
    </xf>
    <xf numFmtId="176" fontId="5" fillId="3" borderId="0" xfId="8" applyNumberFormat="1" applyFont="1" applyFill="1" applyBorder="1" applyAlignment="1">
      <alignment horizontal="right" vertical="center" indent="1"/>
    </xf>
    <xf numFmtId="179" fontId="19" fillId="5" borderId="77" xfId="3" applyNumberFormat="1" applyFont="1" applyFill="1" applyBorder="1" applyAlignment="1">
      <alignment horizontal="center" vertical="center"/>
    </xf>
    <xf numFmtId="179" fontId="19" fillId="5" borderId="0" xfId="3" applyNumberFormat="1" applyFont="1" applyFill="1" applyAlignment="1">
      <alignment horizontal="center" vertical="center"/>
    </xf>
    <xf numFmtId="176" fontId="7" fillId="3" borderId="26" xfId="1" applyFont="1" applyFill="1" applyBorder="1" applyAlignment="1" applyProtection="1">
      <alignment horizontal="center" vertical="center"/>
    </xf>
    <xf numFmtId="176" fontId="7" fillId="5" borderId="33" xfId="3" applyNumberFormat="1" applyFont="1" applyFill="1" applyBorder="1" applyAlignment="1">
      <alignment horizontal="center" vertical="center"/>
    </xf>
    <xf numFmtId="176" fontId="7" fillId="5" borderId="43" xfId="3" applyNumberFormat="1" applyFont="1" applyFill="1" applyBorder="1" applyAlignment="1">
      <alignment horizontal="center" vertical="center"/>
    </xf>
    <xf numFmtId="176" fontId="7" fillId="3" borderId="33" xfId="3" applyNumberFormat="1" applyFont="1" applyFill="1" applyBorder="1" applyAlignment="1">
      <alignment horizontal="center" vertical="center"/>
    </xf>
    <xf numFmtId="176" fontId="7" fillId="3" borderId="43" xfId="3" applyNumberFormat="1" applyFont="1" applyFill="1" applyBorder="1" applyAlignment="1">
      <alignment horizontal="center" vertical="center"/>
    </xf>
    <xf numFmtId="176" fontId="7" fillId="3" borderId="33" xfId="5" applyNumberFormat="1" applyFont="1" applyFill="1" applyBorder="1" applyAlignment="1" applyProtection="1">
      <alignment vertical="center"/>
    </xf>
    <xf numFmtId="176" fontId="7" fillId="3" borderId="43" xfId="5" applyNumberFormat="1" applyFont="1" applyFill="1" applyBorder="1" applyAlignment="1" applyProtection="1">
      <alignment vertical="center"/>
    </xf>
    <xf numFmtId="176" fontId="7" fillId="5" borderId="33" xfId="5" applyNumberFormat="1" applyFont="1" applyFill="1" applyBorder="1" applyAlignment="1" applyProtection="1">
      <alignment vertical="center"/>
    </xf>
    <xf numFmtId="176" fontId="7" fillId="5" borderId="43" xfId="5" applyNumberFormat="1" applyFont="1" applyFill="1" applyBorder="1" applyAlignment="1" applyProtection="1">
      <alignment vertical="center"/>
    </xf>
    <xf numFmtId="176" fontId="7" fillId="3" borderId="74" xfId="5" applyNumberFormat="1" applyFont="1" applyFill="1" applyBorder="1" applyAlignment="1" applyProtection="1">
      <alignment vertical="center"/>
    </xf>
    <xf numFmtId="0" fontId="5" fillId="4" borderId="36" xfId="0" applyFont="1" applyFill="1" applyBorder="1" applyAlignment="1">
      <alignment horizontal="left" vertical="center"/>
    </xf>
    <xf numFmtId="0" fontId="11" fillId="4" borderId="37" xfId="0" applyFont="1" applyFill="1" applyBorder="1" applyAlignment="1">
      <alignment horizontal="center" vertical="center"/>
    </xf>
    <xf numFmtId="176" fontId="14" fillId="4" borderId="37" xfId="0" applyNumberFormat="1" applyFont="1" applyFill="1" applyBorder="1">
      <alignment vertical="center"/>
    </xf>
    <xf numFmtId="176" fontId="28" fillId="3" borderId="37" xfId="1" applyFont="1" applyFill="1" applyBorder="1" applyAlignment="1" applyProtection="1">
      <alignment horizontal="center" vertical="center"/>
    </xf>
    <xf numFmtId="0" fontId="15" fillId="4" borderId="38" xfId="0" applyFont="1" applyFill="1" applyBorder="1">
      <alignment vertical="center"/>
    </xf>
    <xf numFmtId="196" fontId="24" fillId="3" borderId="0" xfId="1" applyNumberFormat="1" applyFont="1" applyFill="1" applyBorder="1" applyAlignment="1" applyProtection="1">
      <alignment horizontal="center" vertical="center"/>
    </xf>
    <xf numFmtId="0" fontId="26" fillId="5" borderId="0" xfId="0" applyFont="1" applyFill="1" applyAlignment="1">
      <alignment horizontal="right" vertical="center"/>
    </xf>
    <xf numFmtId="179" fontId="6" fillId="3" borderId="72" xfId="5" applyFont="1" applyFill="1" applyBorder="1" applyAlignment="1" applyProtection="1">
      <alignment vertical="center"/>
    </xf>
    <xf numFmtId="179" fontId="21" fillId="5" borderId="21" xfId="3" applyNumberFormat="1" applyFont="1" applyFill="1" applyBorder="1" applyAlignment="1">
      <alignment horizontal="center" vertical="center"/>
    </xf>
    <xf numFmtId="179" fontId="6" fillId="5" borderId="31" xfId="3" applyNumberFormat="1" applyFont="1" applyFill="1" applyBorder="1" applyAlignment="1">
      <alignment horizontal="center" vertical="center"/>
    </xf>
    <xf numFmtId="179" fontId="6" fillId="5" borderId="41" xfId="3" applyNumberFormat="1" applyFont="1" applyFill="1" applyBorder="1" applyAlignment="1">
      <alignment horizontal="center" vertical="center"/>
    </xf>
    <xf numFmtId="179" fontId="6" fillId="3" borderId="31" xfId="3" applyNumberFormat="1" applyFont="1" applyFill="1" applyBorder="1" applyAlignment="1">
      <alignment horizontal="center" vertical="center"/>
    </xf>
    <xf numFmtId="179" fontId="6" fillId="3" borderId="41" xfId="3" applyNumberFormat="1" applyFont="1" applyFill="1" applyBorder="1" applyAlignment="1">
      <alignment horizontal="center" vertical="center"/>
    </xf>
    <xf numFmtId="179" fontId="6" fillId="3" borderId="31" xfId="5" applyFont="1" applyFill="1" applyBorder="1" applyAlignment="1" applyProtection="1">
      <alignment vertical="center"/>
    </xf>
    <xf numFmtId="179" fontId="6" fillId="3" borderId="41" xfId="5" applyFont="1" applyFill="1" applyBorder="1" applyAlignment="1" applyProtection="1">
      <alignment vertical="center"/>
    </xf>
    <xf numFmtId="179" fontId="6" fillId="5" borderId="31" xfId="5" applyFont="1" applyFill="1" applyBorder="1" applyAlignment="1" applyProtection="1">
      <alignment vertical="center"/>
    </xf>
    <xf numFmtId="179" fontId="6" fillId="5" borderId="41" xfId="5" applyFont="1" applyFill="1" applyBorder="1" applyAlignment="1" applyProtection="1">
      <alignment vertical="center"/>
    </xf>
    <xf numFmtId="179" fontId="6" fillId="3" borderId="24" xfId="3" applyNumberFormat="1" applyFont="1" applyFill="1" applyBorder="1" applyAlignment="1">
      <alignment horizontal="center" vertical="center"/>
    </xf>
    <xf numFmtId="0" fontId="5" fillId="5" borderId="0" xfId="0" applyFont="1" applyFill="1" applyAlignment="1">
      <alignment horizontal="right" vertical="center"/>
    </xf>
    <xf numFmtId="0" fontId="26" fillId="3" borderId="0" xfId="0" applyFont="1" applyFill="1">
      <alignment vertical="center"/>
    </xf>
    <xf numFmtId="0" fontId="26" fillId="3" borderId="0" xfId="0" applyFont="1" applyFill="1" applyAlignment="1">
      <alignment horizontal="right" vertical="center"/>
    </xf>
    <xf numFmtId="182" fontId="26" fillId="3" borderId="0" xfId="0" applyNumberFormat="1" applyFont="1" applyFill="1" applyAlignment="1">
      <alignment horizontal="center" vertical="center"/>
    </xf>
    <xf numFmtId="179" fontId="5" fillId="5" borderId="0" xfId="0" applyNumberFormat="1" applyFont="1" applyFill="1" applyAlignment="1">
      <alignment horizontal="right" vertical="center"/>
    </xf>
    <xf numFmtId="182" fontId="5" fillId="0" borderId="77" xfId="0" applyNumberFormat="1" applyFont="1" applyBorder="1" applyAlignment="1">
      <alignment horizontal="center" vertical="center"/>
    </xf>
    <xf numFmtId="0" fontId="14" fillId="4" borderId="6" xfId="0" applyFont="1" applyFill="1" applyBorder="1" applyAlignment="1">
      <alignment horizontal="center" vertical="center"/>
    </xf>
    <xf numFmtId="189" fontId="5" fillId="3" borderId="0" xfId="0" applyNumberFormat="1" applyFont="1" applyFill="1" applyAlignment="1">
      <alignment horizontal="center" vertical="center"/>
    </xf>
    <xf numFmtId="194" fontId="6" fillId="3" borderId="0" xfId="0" applyNumberFormat="1" applyFont="1" applyFill="1" applyAlignment="1">
      <alignment horizontal="right" vertical="center" indent="1"/>
    </xf>
    <xf numFmtId="187" fontId="6" fillId="3" borderId="14" xfId="0" applyNumberFormat="1" applyFont="1" applyFill="1" applyBorder="1" applyAlignment="1">
      <alignment horizontal="center" vertical="center"/>
    </xf>
    <xf numFmtId="210" fontId="6" fillId="3" borderId="56" xfId="0" applyNumberFormat="1" applyFont="1" applyFill="1" applyBorder="1" applyAlignment="1">
      <alignment horizontal="center" vertical="center"/>
    </xf>
    <xf numFmtId="210" fontId="6" fillId="3" borderId="0" xfId="0" applyNumberFormat="1" applyFont="1" applyFill="1" applyAlignment="1">
      <alignment horizontal="center" vertical="center"/>
    </xf>
    <xf numFmtId="189" fontId="6" fillId="3" borderId="82" xfId="0" applyNumberFormat="1" applyFont="1" applyFill="1" applyBorder="1" applyAlignment="1">
      <alignment horizontal="center" vertical="center"/>
    </xf>
    <xf numFmtId="216" fontId="6" fillId="3" borderId="65" xfId="0" applyNumberFormat="1" applyFont="1" applyFill="1" applyBorder="1" applyAlignment="1">
      <alignment horizontal="center" vertical="center"/>
    </xf>
    <xf numFmtId="194" fontId="6" fillId="3" borderId="65" xfId="0" applyNumberFormat="1" applyFont="1" applyFill="1" applyBorder="1" applyAlignment="1">
      <alignment horizontal="right" vertical="center" indent="1"/>
    </xf>
    <xf numFmtId="189" fontId="6" fillId="3" borderId="14" xfId="0" applyNumberFormat="1" applyFont="1" applyFill="1" applyBorder="1" applyAlignment="1">
      <alignment horizontal="center" vertical="center"/>
    </xf>
    <xf numFmtId="216" fontId="6" fillId="3" borderId="0" xfId="0" applyNumberFormat="1" applyFont="1" applyFill="1" applyAlignment="1">
      <alignment horizontal="center" vertical="center"/>
    </xf>
    <xf numFmtId="189" fontId="6" fillId="3" borderId="84" xfId="0" applyNumberFormat="1" applyFont="1" applyFill="1" applyBorder="1" applyAlignment="1">
      <alignment horizontal="center" vertical="center"/>
    </xf>
    <xf numFmtId="216" fontId="6" fillId="3" borderId="85" xfId="0" applyNumberFormat="1" applyFont="1" applyFill="1" applyBorder="1" applyAlignment="1">
      <alignment horizontal="center" vertical="center"/>
    </xf>
    <xf numFmtId="194" fontId="6" fillId="3" borderId="85" xfId="0" applyNumberFormat="1" applyFont="1" applyFill="1" applyBorder="1" applyAlignment="1">
      <alignment horizontal="right" vertical="center" indent="1"/>
    </xf>
    <xf numFmtId="210" fontId="5" fillId="9" borderId="80" xfId="0" applyNumberFormat="1" applyFont="1" applyFill="1" applyBorder="1" applyAlignment="1">
      <alignment horizontal="center" vertical="center"/>
    </xf>
    <xf numFmtId="187" fontId="5" fillId="9" borderId="79" xfId="0" applyNumberFormat="1" applyFont="1" applyFill="1" applyBorder="1" applyAlignment="1">
      <alignment horizontal="center" vertical="center"/>
    </xf>
    <xf numFmtId="179" fontId="6" fillId="3" borderId="30" xfId="5" applyFont="1" applyFill="1" applyBorder="1" applyAlignment="1" applyProtection="1">
      <alignment vertical="center"/>
    </xf>
    <xf numFmtId="179" fontId="6" fillId="3" borderId="40" xfId="5" applyFont="1" applyFill="1" applyBorder="1" applyAlignment="1" applyProtection="1">
      <alignment vertical="center"/>
    </xf>
    <xf numFmtId="179" fontId="6" fillId="5" borderId="30" xfId="5" applyFont="1" applyFill="1" applyBorder="1" applyAlignment="1" applyProtection="1">
      <alignment vertical="center"/>
    </xf>
    <xf numFmtId="179" fontId="6" fillId="5" borderId="40" xfId="5" applyFont="1" applyFill="1" applyBorder="1" applyAlignment="1" applyProtection="1">
      <alignment vertical="center"/>
    </xf>
    <xf numFmtId="179" fontId="6" fillId="3" borderId="71" xfId="5" applyFont="1" applyFill="1" applyBorder="1" applyAlignment="1" applyProtection="1">
      <alignment vertical="center"/>
    </xf>
    <xf numFmtId="179" fontId="21" fillId="5" borderId="20" xfId="3" applyNumberFormat="1" applyFont="1" applyFill="1" applyBorder="1" applyAlignment="1">
      <alignment horizontal="center" vertical="center"/>
    </xf>
    <xf numFmtId="217" fontId="2" fillId="3" borderId="0" xfId="0" applyNumberFormat="1" applyFont="1" applyFill="1">
      <alignment vertical="center"/>
    </xf>
    <xf numFmtId="197" fontId="2" fillId="3" borderId="0" xfId="0" applyNumberFormat="1" applyFont="1" applyFill="1">
      <alignment vertical="center"/>
    </xf>
    <xf numFmtId="0" fontId="11" fillId="4" borderId="123" xfId="0" applyFont="1" applyFill="1" applyBorder="1" applyAlignment="1">
      <alignment horizontal="center" vertical="center"/>
    </xf>
    <xf numFmtId="0" fontId="2" fillId="4" borderId="124" xfId="0" applyFont="1" applyFill="1" applyBorder="1">
      <alignment vertical="center"/>
    </xf>
    <xf numFmtId="191" fontId="5" fillId="3" borderId="7" xfId="1" applyNumberFormat="1" applyFont="1" applyFill="1" applyBorder="1" applyAlignment="1" applyProtection="1">
      <alignment horizontal="right" vertical="center"/>
    </xf>
    <xf numFmtId="193" fontId="5" fillId="3" borderId="13" xfId="1" applyNumberFormat="1" applyFont="1" applyFill="1" applyBorder="1" applyAlignment="1" applyProtection="1">
      <alignment horizontal="right" vertical="center"/>
    </xf>
    <xf numFmtId="176" fontId="5" fillId="3" borderId="54" xfId="0" applyNumberFormat="1" applyFont="1" applyFill="1" applyBorder="1" applyAlignment="1">
      <alignment horizontal="right" vertical="center"/>
    </xf>
    <xf numFmtId="176" fontId="5" fillId="3" borderId="60" xfId="1" applyFont="1" applyFill="1" applyBorder="1" applyAlignment="1" applyProtection="1">
      <alignment horizontal="right" vertical="center"/>
    </xf>
    <xf numFmtId="176" fontId="5" fillId="3" borderId="0" xfId="0" applyNumberFormat="1" applyFont="1" applyFill="1" applyAlignment="1">
      <alignment horizontal="center" vertical="center"/>
    </xf>
    <xf numFmtId="176" fontId="27" fillId="3" borderId="0" xfId="0" applyNumberFormat="1" applyFont="1" applyFill="1" applyAlignment="1">
      <alignment horizontal="left" vertical="center"/>
    </xf>
    <xf numFmtId="0" fontId="11" fillId="9" borderId="2" xfId="0" applyFont="1" applyFill="1" applyBorder="1" applyAlignment="1">
      <alignment horizontal="center" vertical="center"/>
    </xf>
    <xf numFmtId="0" fontId="11" fillId="9" borderId="3" xfId="0" applyFont="1" applyFill="1" applyBorder="1" applyAlignment="1">
      <alignment horizontal="center" vertical="center"/>
    </xf>
    <xf numFmtId="183" fontId="11" fillId="9" borderId="3" xfId="0" applyNumberFormat="1" applyFont="1" applyFill="1" applyBorder="1" applyAlignment="1">
      <alignment horizontal="center" vertical="center"/>
    </xf>
    <xf numFmtId="184" fontId="11" fillId="9" borderId="4" xfId="0" applyNumberFormat="1" applyFont="1" applyFill="1" applyBorder="1" applyAlignment="1">
      <alignment horizontal="center" vertical="center"/>
    </xf>
    <xf numFmtId="0" fontId="0" fillId="2" borderId="0" xfId="0" applyFill="1" applyAlignment="1"/>
    <xf numFmtId="176" fontId="14" fillId="4" borderId="0" xfId="0" applyNumberFormat="1" applyFont="1" applyFill="1">
      <alignment vertical="center"/>
    </xf>
    <xf numFmtId="184" fontId="24" fillId="3" borderId="0" xfId="1" applyNumberFormat="1" applyFont="1" applyFill="1" applyBorder="1" applyAlignment="1" applyProtection="1">
      <alignment horizontal="center" vertical="center"/>
    </xf>
    <xf numFmtId="179" fontId="6" fillId="3" borderId="34" xfId="5" applyFont="1" applyFill="1" applyBorder="1" applyAlignment="1" applyProtection="1">
      <alignment vertical="center"/>
    </xf>
    <xf numFmtId="179" fontId="6" fillId="3" borderId="44" xfId="5" applyFont="1" applyFill="1" applyBorder="1" applyAlignment="1" applyProtection="1">
      <alignment vertical="center"/>
    </xf>
    <xf numFmtId="179" fontId="6" fillId="5" borderId="34" xfId="5" applyFont="1" applyFill="1" applyBorder="1" applyAlignment="1" applyProtection="1">
      <alignment vertical="center"/>
    </xf>
    <xf numFmtId="179" fontId="6" fillId="5" borderId="44" xfId="5" applyFont="1" applyFill="1" applyBorder="1" applyAlignment="1" applyProtection="1">
      <alignment vertical="center"/>
    </xf>
    <xf numFmtId="179" fontId="6" fillId="3" borderId="75" xfId="5" applyFont="1" applyFill="1" applyBorder="1" applyAlignment="1" applyProtection="1">
      <alignment vertical="center"/>
    </xf>
    <xf numFmtId="179" fontId="21" fillId="52" borderId="8" xfId="3" applyNumberFormat="1" applyFont="1" applyFill="1" applyBorder="1" applyAlignment="1">
      <alignment horizontal="center" vertical="center"/>
    </xf>
    <xf numFmtId="179" fontId="21" fillId="52" borderId="20" xfId="3" applyNumberFormat="1" applyFont="1" applyFill="1" applyBorder="1" applyAlignment="1">
      <alignment horizontal="center" vertical="center"/>
    </xf>
    <xf numFmtId="179" fontId="6" fillId="3" borderId="35" xfId="5" applyFont="1" applyFill="1" applyBorder="1" applyAlignment="1" applyProtection="1">
      <alignment vertical="center"/>
    </xf>
    <xf numFmtId="179" fontId="6" fillId="3" borderId="45" xfId="5" applyFont="1" applyFill="1" applyBorder="1" applyAlignment="1" applyProtection="1">
      <alignment vertical="center"/>
    </xf>
    <xf numFmtId="179" fontId="6" fillId="5" borderId="35" xfId="5" applyFont="1" applyFill="1" applyBorder="1" applyAlignment="1" applyProtection="1">
      <alignment vertical="center"/>
    </xf>
    <xf numFmtId="179" fontId="6" fillId="5" borderId="45" xfId="5" applyFont="1" applyFill="1" applyBorder="1" applyAlignment="1" applyProtection="1">
      <alignment vertical="center"/>
    </xf>
    <xf numFmtId="179" fontId="6" fillId="3" borderId="76" xfId="5" applyFont="1" applyFill="1" applyBorder="1" applyAlignment="1" applyProtection="1">
      <alignment vertical="center"/>
    </xf>
    <xf numFmtId="9" fontId="24" fillId="3" borderId="0" xfId="2" applyFont="1" applyFill="1" applyBorder="1" applyAlignment="1" applyProtection="1">
      <alignment horizontal="center" vertical="center"/>
    </xf>
    <xf numFmtId="176" fontId="11" fillId="3" borderId="0" xfId="1" applyFont="1" applyFill="1" applyBorder="1" applyAlignment="1" applyProtection="1">
      <alignment horizontal="center" vertical="center"/>
    </xf>
    <xf numFmtId="215" fontId="11" fillId="3" borderId="0" xfId="1" applyNumberFormat="1" applyFont="1" applyFill="1" applyBorder="1" applyAlignment="1" applyProtection="1">
      <alignment horizontal="center" vertical="center"/>
    </xf>
    <xf numFmtId="184" fontId="11" fillId="3" borderId="0" xfId="2" applyNumberFormat="1" applyFont="1" applyFill="1" applyBorder="1" applyAlignment="1" applyProtection="1">
      <alignment horizontal="center" vertical="center"/>
    </xf>
    <xf numFmtId="179" fontId="19" fillId="5" borderId="19" xfId="3" applyNumberFormat="1" applyFont="1" applyFill="1" applyBorder="1" applyAlignment="1">
      <alignment horizontal="center" vertical="center"/>
    </xf>
    <xf numFmtId="188" fontId="21" fillId="5" borderId="17" xfId="3" applyNumberFormat="1" applyFont="1" applyFill="1" applyBorder="1" applyAlignment="1">
      <alignment horizontal="center" vertical="center"/>
    </xf>
    <xf numFmtId="0" fontId="70" fillId="0" borderId="120" xfId="0" applyFont="1" applyBorder="1" applyAlignment="1">
      <alignment horizontal="center" vertical="center" wrapText="1"/>
    </xf>
    <xf numFmtId="0" fontId="76" fillId="0" borderId="120" xfId="0" applyFont="1" applyBorder="1" applyAlignment="1">
      <alignment horizontal="center" vertical="center" wrapText="1"/>
    </xf>
    <xf numFmtId="0" fontId="70" fillId="0" borderId="126" xfId="0" applyFont="1" applyBorder="1" applyAlignment="1">
      <alignment horizontal="center" vertical="center" wrapText="1"/>
    </xf>
    <xf numFmtId="0" fontId="0" fillId="0" borderId="139" xfId="0" applyBorder="1">
      <alignment vertical="center"/>
    </xf>
    <xf numFmtId="0" fontId="70" fillId="0" borderId="142" xfId="0" applyFont="1" applyBorder="1" applyAlignment="1">
      <alignment horizontal="center" vertical="center" wrapText="1"/>
    </xf>
    <xf numFmtId="0" fontId="70" fillId="0" borderId="146" xfId="0" applyFont="1" applyBorder="1" applyAlignment="1">
      <alignment horizontal="center" vertical="center" wrapText="1"/>
    </xf>
    <xf numFmtId="0" fontId="76" fillId="53" borderId="147" xfId="0" applyFont="1" applyFill="1" applyBorder="1" applyAlignment="1">
      <alignment horizontal="center" vertical="center" wrapText="1"/>
    </xf>
    <xf numFmtId="0" fontId="76" fillId="53" borderId="144" xfId="0" applyFont="1" applyFill="1" applyBorder="1" applyAlignment="1">
      <alignment horizontal="center" vertical="center" wrapText="1"/>
    </xf>
    <xf numFmtId="0" fontId="76" fillId="53" borderId="145" xfId="0" applyFont="1" applyFill="1" applyBorder="1" applyAlignment="1">
      <alignment horizontal="center" vertical="center" wrapText="1"/>
    </xf>
    <xf numFmtId="0" fontId="76" fillId="0" borderId="147" xfId="0" applyFont="1" applyBorder="1" applyAlignment="1">
      <alignment horizontal="center" vertical="center" wrapText="1"/>
    </xf>
    <xf numFmtId="0" fontId="76" fillId="0" borderId="144" xfId="0" applyFont="1" applyBorder="1" applyAlignment="1">
      <alignment horizontal="center" vertical="center" wrapText="1"/>
    </xf>
    <xf numFmtId="0" fontId="76" fillId="0" borderId="141" xfId="0" applyFont="1" applyBorder="1" applyAlignment="1">
      <alignment horizontal="center" vertical="center" wrapText="1"/>
    </xf>
    <xf numFmtId="215" fontId="76" fillId="53" borderId="131" xfId="1" applyNumberFormat="1" applyFont="1" applyFill="1" applyBorder="1" applyAlignment="1">
      <alignment horizontal="right" vertical="center" wrapText="1"/>
    </xf>
    <xf numFmtId="215" fontId="76" fillId="53" borderId="127" xfId="1" applyNumberFormat="1" applyFont="1" applyFill="1" applyBorder="1" applyAlignment="1">
      <alignment horizontal="right" vertical="center" wrapText="1"/>
    </xf>
    <xf numFmtId="215" fontId="76" fillId="53" borderId="128" xfId="1" applyNumberFormat="1" applyFont="1" applyFill="1" applyBorder="1" applyAlignment="1">
      <alignment horizontal="right" vertical="center" wrapText="1"/>
    </xf>
    <xf numFmtId="215" fontId="76" fillId="0" borderId="131" xfId="1" applyNumberFormat="1" applyFont="1" applyBorder="1" applyAlignment="1">
      <alignment horizontal="right" vertical="center" wrapText="1"/>
    </xf>
    <xf numFmtId="215" fontId="76" fillId="0" borderId="127" xfId="1" applyNumberFormat="1" applyFont="1" applyBorder="1" applyAlignment="1">
      <alignment horizontal="right" vertical="center" wrapText="1"/>
    </xf>
    <xf numFmtId="215" fontId="76" fillId="0" borderId="125" xfId="1" applyNumberFormat="1" applyFont="1" applyBorder="1" applyAlignment="1">
      <alignment horizontal="right" vertical="center" wrapText="1"/>
    </xf>
    <xf numFmtId="215" fontId="76" fillId="53" borderId="131" xfId="0" applyNumberFormat="1" applyFont="1" applyFill="1" applyBorder="1" applyAlignment="1">
      <alignment horizontal="right" vertical="center" wrapText="1"/>
    </xf>
    <xf numFmtId="215" fontId="76" fillId="53" borderId="127" xfId="0" applyNumberFormat="1" applyFont="1" applyFill="1" applyBorder="1" applyAlignment="1">
      <alignment horizontal="right" vertical="center" wrapText="1"/>
    </xf>
    <xf numFmtId="215" fontId="76" fillId="53" borderId="128" xfId="0" applyNumberFormat="1" applyFont="1" applyFill="1" applyBorder="1" applyAlignment="1">
      <alignment horizontal="right" vertical="center" wrapText="1"/>
    </xf>
    <xf numFmtId="215" fontId="76" fillId="0" borderId="131" xfId="0" applyNumberFormat="1" applyFont="1" applyBorder="1" applyAlignment="1">
      <alignment horizontal="right" vertical="center" wrapText="1"/>
    </xf>
    <xf numFmtId="215" fontId="76" fillId="0" borderId="127" xfId="0" applyNumberFormat="1" applyFont="1" applyBorder="1" applyAlignment="1">
      <alignment horizontal="right" vertical="center" wrapText="1"/>
    </xf>
    <xf numFmtId="215" fontId="76" fillId="0" borderId="125" xfId="0" applyNumberFormat="1" applyFont="1" applyBorder="1" applyAlignment="1">
      <alignment horizontal="right" vertical="center" wrapText="1"/>
    </xf>
    <xf numFmtId="184" fontId="76" fillId="53" borderId="131" xfId="0" applyNumberFormat="1" applyFont="1" applyFill="1" applyBorder="1" applyAlignment="1">
      <alignment horizontal="right" vertical="center" wrapText="1"/>
    </xf>
    <xf numFmtId="184" fontId="76" fillId="53" borderId="127" xfId="0" applyNumberFormat="1" applyFont="1" applyFill="1" applyBorder="1" applyAlignment="1">
      <alignment horizontal="right" vertical="center" wrapText="1"/>
    </xf>
    <xf numFmtId="184" fontId="76" fillId="53" borderId="128" xfId="0" applyNumberFormat="1" applyFont="1" applyFill="1" applyBorder="1" applyAlignment="1">
      <alignment horizontal="right" vertical="center" wrapText="1"/>
    </xf>
    <xf numFmtId="184" fontId="76" fillId="0" borderId="131" xfId="0" applyNumberFormat="1" applyFont="1" applyBorder="1" applyAlignment="1">
      <alignment horizontal="right" vertical="center" wrapText="1"/>
    </xf>
    <xf numFmtId="184" fontId="76" fillId="0" borderId="127" xfId="0" applyNumberFormat="1" applyFont="1" applyBorder="1" applyAlignment="1">
      <alignment horizontal="right" vertical="center" wrapText="1"/>
    </xf>
    <xf numFmtId="184" fontId="76" fillId="0" borderId="125" xfId="0" applyNumberFormat="1" applyFont="1" applyBorder="1" applyAlignment="1">
      <alignment horizontal="right" vertical="center" wrapText="1"/>
    </xf>
    <xf numFmtId="184" fontId="76" fillId="53" borderId="148" xfId="0" applyNumberFormat="1" applyFont="1" applyFill="1" applyBorder="1" applyAlignment="1">
      <alignment horizontal="right" vertical="center" wrapText="1"/>
    </xf>
    <xf numFmtId="184" fontId="76" fillId="53" borderId="149" xfId="0" applyNumberFormat="1" applyFont="1" applyFill="1" applyBorder="1" applyAlignment="1">
      <alignment horizontal="right" vertical="center" wrapText="1"/>
    </xf>
    <xf numFmtId="184" fontId="76" fillId="53" borderId="150" xfId="0" applyNumberFormat="1" applyFont="1" applyFill="1" applyBorder="1" applyAlignment="1">
      <alignment horizontal="right" vertical="center" wrapText="1"/>
    </xf>
    <xf numFmtId="184" fontId="76" fillId="0" borderId="148" xfId="0" applyNumberFormat="1" applyFont="1" applyBorder="1" applyAlignment="1">
      <alignment horizontal="right" vertical="center" wrapText="1"/>
    </xf>
    <xf numFmtId="184" fontId="76" fillId="0" borderId="149" xfId="0" applyNumberFormat="1" applyFont="1" applyBorder="1" applyAlignment="1">
      <alignment horizontal="right" vertical="center" wrapText="1"/>
    </xf>
    <xf numFmtId="184" fontId="76" fillId="0" borderId="151" xfId="0" applyNumberFormat="1" applyFont="1" applyBorder="1" applyAlignment="1">
      <alignment horizontal="right" vertical="center" wrapText="1"/>
    </xf>
    <xf numFmtId="176" fontId="76" fillId="0" borderId="120" xfId="1" applyFont="1" applyBorder="1" applyAlignment="1">
      <alignment horizontal="center" vertical="center" wrapText="1"/>
    </xf>
    <xf numFmtId="176" fontId="2" fillId="3" borderId="0" xfId="1" applyFont="1" applyFill="1" applyBorder="1" applyAlignment="1" applyProtection="1">
      <alignment vertical="center"/>
    </xf>
    <xf numFmtId="176" fontId="2" fillId="3" borderId="0" xfId="1" applyFont="1" applyFill="1" applyBorder="1" applyAlignment="1" applyProtection="1">
      <alignment horizontal="center" vertical="center"/>
    </xf>
    <xf numFmtId="176" fontId="29" fillId="8" borderId="0" xfId="1" applyFont="1" applyFill="1" applyBorder="1" applyAlignment="1" applyProtection="1">
      <alignment horizontal="center"/>
    </xf>
    <xf numFmtId="186" fontId="5" fillId="54" borderId="0" xfId="0" applyNumberFormat="1" applyFont="1" applyFill="1" applyAlignment="1">
      <alignment horizontal="center" vertical="center"/>
    </xf>
    <xf numFmtId="184" fontId="76" fillId="53" borderId="132" xfId="0" applyNumberFormat="1" applyFont="1" applyFill="1" applyBorder="1" applyAlignment="1">
      <alignment horizontal="right" vertical="center" wrapText="1"/>
    </xf>
    <xf numFmtId="184" fontId="76" fillId="53" borderId="133" xfId="0" applyNumberFormat="1" applyFont="1" applyFill="1" applyBorder="1" applyAlignment="1">
      <alignment horizontal="right" vertical="center" wrapText="1"/>
    </xf>
    <xf numFmtId="184" fontId="76" fillId="53" borderId="134" xfId="0" applyNumberFormat="1" applyFont="1" applyFill="1" applyBorder="1" applyAlignment="1">
      <alignment horizontal="right" vertical="center" wrapText="1"/>
    </xf>
    <xf numFmtId="0" fontId="70" fillId="0" borderId="0" xfId="0" applyFont="1" applyAlignment="1">
      <alignment horizontal="center" vertical="center" wrapText="1"/>
    </xf>
    <xf numFmtId="185" fontId="5" fillId="6" borderId="0" xfId="0" applyNumberFormat="1" applyFont="1" applyFill="1" applyAlignment="1">
      <alignment horizontal="left" vertical="center"/>
    </xf>
    <xf numFmtId="0" fontId="5" fillId="3" borderId="0" xfId="0" applyFont="1" applyFill="1">
      <alignment vertical="center"/>
    </xf>
    <xf numFmtId="0" fontId="0" fillId="3" borderId="0" xfId="0" applyFill="1" applyAlignment="1"/>
    <xf numFmtId="212" fontId="23" fillId="8" borderId="0" xfId="2" applyNumberFormat="1" applyFont="1" applyFill="1" applyAlignment="1" applyProtection="1">
      <alignment horizontal="center"/>
    </xf>
    <xf numFmtId="212" fontId="5" fillId="3" borderId="14" xfId="2" applyNumberFormat="1" applyFont="1" applyFill="1" applyBorder="1" applyAlignment="1">
      <alignment horizontal="center" vertical="center"/>
    </xf>
    <xf numFmtId="212" fontId="23" fillId="8" borderId="0" xfId="2" applyNumberFormat="1" applyFont="1" applyFill="1" applyBorder="1" applyAlignment="1" applyProtection="1">
      <alignment horizontal="center"/>
    </xf>
    <xf numFmtId="212" fontId="5" fillId="3" borderId="0" xfId="2" applyNumberFormat="1" applyFont="1" applyFill="1" applyBorder="1" applyAlignment="1">
      <alignment horizontal="center" vertical="center"/>
    </xf>
    <xf numFmtId="212" fontId="2" fillId="3" borderId="0" xfId="2" applyNumberFormat="1" applyFont="1" applyFill="1" applyBorder="1" applyAlignment="1" applyProtection="1">
      <alignment vertical="center"/>
    </xf>
    <xf numFmtId="212" fontId="0" fillId="3" borderId="0" xfId="2" applyNumberFormat="1" applyFont="1" applyFill="1" applyBorder="1" applyAlignment="1" applyProtection="1"/>
    <xf numFmtId="212" fontId="0" fillId="6" borderId="0" xfId="2" applyNumberFormat="1" applyFont="1" applyFill="1" applyBorder="1" applyAlignment="1" applyProtection="1"/>
    <xf numFmtId="220" fontId="6" fillId="3" borderId="65" xfId="0" applyNumberFormat="1" applyFont="1" applyFill="1" applyBorder="1" applyAlignment="1">
      <alignment horizontal="right" vertical="center" indent="1"/>
    </xf>
    <xf numFmtId="220" fontId="6" fillId="3" borderId="0" xfId="0" applyNumberFormat="1" applyFont="1" applyFill="1" applyAlignment="1">
      <alignment horizontal="right" vertical="center" indent="1"/>
    </xf>
    <xf numFmtId="220" fontId="6" fillId="3" borderId="85" xfId="0" applyNumberFormat="1" applyFont="1" applyFill="1" applyBorder="1" applyAlignment="1">
      <alignment horizontal="right" vertical="center" indent="1"/>
    </xf>
    <xf numFmtId="176" fontId="5" fillId="3" borderId="0" xfId="1" applyFont="1" applyFill="1" applyBorder="1" applyAlignment="1" applyProtection="1">
      <alignment horizontal="center" vertical="center"/>
    </xf>
    <xf numFmtId="176" fontId="5" fillId="3" borderId="170" xfId="1" applyFont="1" applyFill="1" applyBorder="1" applyAlignment="1" applyProtection="1">
      <alignment vertical="center"/>
    </xf>
    <xf numFmtId="176" fontId="5" fillId="3" borderId="28" xfId="1" applyFont="1" applyFill="1" applyBorder="1" applyAlignment="1" applyProtection="1">
      <alignment vertical="center"/>
    </xf>
    <xf numFmtId="176" fontId="5" fillId="3" borderId="26" xfId="1" applyFont="1" applyFill="1" applyBorder="1" applyAlignment="1" applyProtection="1">
      <alignment horizontal="center" vertical="center"/>
    </xf>
    <xf numFmtId="221" fontId="15" fillId="3" borderId="0" xfId="1" applyNumberFormat="1" applyFont="1" applyFill="1" applyBorder="1" applyAlignment="1" applyProtection="1">
      <alignment vertical="center"/>
    </xf>
    <xf numFmtId="176" fontId="6" fillId="3" borderId="26" xfId="1" applyFont="1" applyFill="1" applyBorder="1" applyAlignment="1" applyProtection="1">
      <alignment horizontal="center" vertical="center"/>
    </xf>
    <xf numFmtId="176" fontId="6" fillId="5" borderId="33" xfId="1" applyFont="1" applyFill="1" applyBorder="1" applyAlignment="1" applyProtection="1">
      <alignment horizontal="center" vertical="center"/>
    </xf>
    <xf numFmtId="176" fontId="6" fillId="5" borderId="43" xfId="1" applyFont="1" applyFill="1" applyBorder="1" applyAlignment="1" applyProtection="1">
      <alignment horizontal="center" vertical="center"/>
    </xf>
    <xf numFmtId="176" fontId="6" fillId="3" borderId="33" xfId="1" applyFont="1" applyFill="1" applyBorder="1" applyAlignment="1" applyProtection="1">
      <alignment horizontal="center" vertical="center"/>
    </xf>
    <xf numFmtId="176" fontId="6" fillId="3" borderId="43" xfId="1" applyFont="1" applyFill="1" applyBorder="1" applyAlignment="1" applyProtection="1">
      <alignment horizontal="center" vertical="center"/>
    </xf>
    <xf numFmtId="176" fontId="6" fillId="3" borderId="33" xfId="1" applyFont="1" applyFill="1" applyBorder="1" applyAlignment="1" applyProtection="1">
      <alignment vertical="center"/>
    </xf>
    <xf numFmtId="176" fontId="6" fillId="3" borderId="43" xfId="1" applyFont="1" applyFill="1" applyBorder="1" applyAlignment="1" applyProtection="1">
      <alignment vertical="center"/>
    </xf>
    <xf numFmtId="176" fontId="6" fillId="5" borderId="33" xfId="1" applyFont="1" applyFill="1" applyBorder="1" applyAlignment="1" applyProtection="1">
      <alignment vertical="center"/>
    </xf>
    <xf numFmtId="176" fontId="6" fillId="5" borderId="43" xfId="1" applyFont="1" applyFill="1" applyBorder="1" applyAlignment="1" applyProtection="1">
      <alignment vertical="center"/>
    </xf>
    <xf numFmtId="176" fontId="6" fillId="3" borderId="74" xfId="1" applyFont="1" applyFill="1" applyBorder="1" applyAlignment="1" applyProtection="1">
      <alignment vertical="center"/>
    </xf>
    <xf numFmtId="184" fontId="5" fillId="9" borderId="81" xfId="7" applyNumberFormat="1" applyFont="1" applyFill="1" applyBorder="1" applyAlignment="1">
      <alignment horizontal="right" vertical="center" indent="1"/>
    </xf>
    <xf numFmtId="184" fontId="6" fillId="3" borderId="15" xfId="8" applyNumberFormat="1" applyFont="1" applyFill="1" applyBorder="1" applyAlignment="1">
      <alignment horizontal="right" vertical="center" indent="1"/>
    </xf>
    <xf numFmtId="184" fontId="6" fillId="3" borderId="83" xfId="8" applyNumberFormat="1" applyFont="1" applyFill="1" applyBorder="1" applyAlignment="1">
      <alignment horizontal="right" vertical="center" indent="1"/>
    </xf>
    <xf numFmtId="184" fontId="6" fillId="3" borderId="86" xfId="8" applyNumberFormat="1" applyFont="1" applyFill="1" applyBorder="1" applyAlignment="1">
      <alignment horizontal="right" vertical="center" indent="1"/>
    </xf>
    <xf numFmtId="178" fontId="2" fillId="0" borderId="0" xfId="0" applyNumberFormat="1" applyFont="1">
      <alignment vertical="center"/>
    </xf>
    <xf numFmtId="222" fontId="5" fillId="3" borderId="0" xfId="0" applyNumberFormat="1" applyFont="1" applyFill="1" applyAlignment="1">
      <alignment horizontal="center" vertical="center"/>
    </xf>
    <xf numFmtId="176" fontId="5" fillId="3" borderId="0" xfId="1" applyFont="1" applyFill="1" applyBorder="1" applyAlignment="1">
      <alignment horizontal="right" vertical="center" indent="1"/>
    </xf>
    <xf numFmtId="0" fontId="5" fillId="6" borderId="0" xfId="0" applyFont="1" applyFill="1">
      <alignment vertical="center"/>
    </xf>
    <xf numFmtId="223" fontId="6" fillId="5" borderId="31" xfId="3" applyNumberFormat="1" applyFont="1" applyFill="1" applyBorder="1" applyAlignment="1">
      <alignment horizontal="center" vertical="center"/>
    </xf>
    <xf numFmtId="179" fontId="6" fillId="5" borderId="173" xfId="3" applyNumberFormat="1" applyFont="1" applyFill="1" applyBorder="1" applyAlignment="1">
      <alignment horizontal="center" vertical="center"/>
    </xf>
    <xf numFmtId="179" fontId="6" fillId="3" borderId="173" xfId="3" applyNumberFormat="1" applyFont="1" applyFill="1" applyBorder="1" applyAlignment="1">
      <alignment horizontal="center" vertical="center"/>
    </xf>
    <xf numFmtId="179" fontId="6" fillId="5" borderId="173" xfId="5" applyFont="1" applyFill="1" applyBorder="1" applyAlignment="1" applyProtection="1">
      <alignment vertical="center"/>
    </xf>
    <xf numFmtId="179" fontId="21" fillId="3" borderId="31" xfId="3" applyNumberFormat="1" applyFont="1" applyFill="1" applyBorder="1" applyAlignment="1">
      <alignment horizontal="center" vertical="center"/>
    </xf>
    <xf numFmtId="0" fontId="0" fillId="5" borderId="0" xfId="0" applyFill="1" applyAlignment="1"/>
    <xf numFmtId="176" fontId="7" fillId="5" borderId="174" xfId="3" applyNumberFormat="1" applyFont="1" applyFill="1" applyBorder="1" applyAlignment="1">
      <alignment horizontal="center" vertical="center"/>
    </xf>
    <xf numFmtId="176" fontId="7" fillId="3" borderId="174" xfId="3" applyNumberFormat="1" applyFont="1" applyFill="1" applyBorder="1" applyAlignment="1">
      <alignment horizontal="center" vertical="center"/>
    </xf>
    <xf numFmtId="176" fontId="7" fillId="5" borderId="174" xfId="5" applyNumberFormat="1" applyFont="1" applyFill="1" applyBorder="1" applyAlignment="1" applyProtection="1">
      <alignment vertical="center"/>
    </xf>
    <xf numFmtId="198" fontId="24" fillId="0" borderId="56" xfId="1" applyNumberFormat="1" applyFont="1" applyFill="1" applyBorder="1" applyAlignment="1" applyProtection="1">
      <alignment horizontal="center" vertical="center"/>
    </xf>
    <xf numFmtId="212" fontId="24" fillId="3" borderId="56" xfId="0" applyNumberFormat="1" applyFont="1" applyFill="1" applyBorder="1" applyAlignment="1">
      <alignment horizontal="center" vertical="center"/>
    </xf>
    <xf numFmtId="184" fontId="26" fillId="3" borderId="0" xfId="2" applyNumberFormat="1" applyFont="1" applyFill="1" applyBorder="1" applyAlignment="1">
      <alignment horizontal="right" vertical="center" indent="1"/>
    </xf>
    <xf numFmtId="184" fontId="5" fillId="3" borderId="0" xfId="2" applyNumberFormat="1" applyFont="1" applyFill="1" applyBorder="1" applyAlignment="1">
      <alignment horizontal="right" vertical="center" indent="1"/>
    </xf>
    <xf numFmtId="0" fontId="5" fillId="4" borderId="67" xfId="0" applyFont="1" applyFill="1" applyBorder="1" applyAlignment="1">
      <alignment horizontal="left" vertical="center"/>
    </xf>
    <xf numFmtId="0" fontId="11" fillId="4" borderId="68" xfId="0" applyFont="1" applyFill="1" applyBorder="1" applyAlignment="1">
      <alignment horizontal="center" vertical="center"/>
    </xf>
    <xf numFmtId="176" fontId="14" fillId="4" borderId="68" xfId="0" applyNumberFormat="1" applyFont="1" applyFill="1" applyBorder="1">
      <alignment vertical="center"/>
    </xf>
    <xf numFmtId="0" fontId="15" fillId="4" borderId="69" xfId="0" applyFont="1" applyFill="1" applyBorder="1" applyAlignment="1">
      <alignment horizontal="center" vertical="center"/>
    </xf>
    <xf numFmtId="176" fontId="17" fillId="3" borderId="7" xfId="1" applyFont="1" applyFill="1" applyBorder="1" applyAlignment="1" applyProtection="1">
      <alignment horizontal="right" vertical="center"/>
    </xf>
    <xf numFmtId="176" fontId="17" fillId="3" borderId="13" xfId="1" applyFont="1" applyFill="1" applyBorder="1" applyAlignment="1" applyProtection="1">
      <alignment horizontal="right" vertical="center"/>
    </xf>
    <xf numFmtId="0" fontId="22" fillId="4" borderId="178" xfId="0" applyFont="1" applyFill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176" fontId="4" fillId="3" borderId="179" xfId="7" applyFont="1" applyFill="1" applyBorder="1" applyAlignment="1">
      <alignment horizontal="right" vertical="center"/>
    </xf>
    <xf numFmtId="201" fontId="22" fillId="51" borderId="0" xfId="0" applyNumberFormat="1" applyFont="1" applyFill="1" applyAlignment="1">
      <alignment horizontal="center" vertical="center"/>
    </xf>
    <xf numFmtId="218" fontId="22" fillId="51" borderId="0" xfId="1" applyNumberFormat="1" applyFont="1" applyFill="1" applyBorder="1" applyAlignment="1" applyProtection="1">
      <alignment horizontal="center" vertical="center"/>
    </xf>
    <xf numFmtId="9" fontId="22" fillId="51" borderId="0" xfId="1" applyNumberFormat="1" applyFont="1" applyFill="1" applyBorder="1" applyAlignment="1" applyProtection="1">
      <alignment horizontal="center" vertical="center"/>
    </xf>
    <xf numFmtId="9" fontId="14" fillId="4" borderId="0" xfId="2" applyFont="1" applyFill="1" applyBorder="1" applyAlignment="1" applyProtection="1">
      <alignment vertical="center"/>
    </xf>
    <xf numFmtId="194" fontId="24" fillId="3" borderId="6" xfId="4" applyNumberFormat="1" applyFont="1" applyFill="1" applyBorder="1" applyAlignment="1">
      <alignment horizontal="center" vertical="center"/>
    </xf>
    <xf numFmtId="0" fontId="16" fillId="4" borderId="67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center" vertical="center"/>
    </xf>
    <xf numFmtId="176" fontId="50" fillId="6" borderId="0" xfId="17080" applyNumberFormat="1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76" fontId="50" fillId="70" borderId="0" xfId="17080" applyNumberFormat="1" applyFont="1" applyFill="1" applyBorder="1" applyAlignment="1">
      <alignment horizontal="center" vertical="center"/>
    </xf>
    <xf numFmtId="0" fontId="50" fillId="70" borderId="0" xfId="17080" applyFont="1" applyFill="1" applyBorder="1" applyAlignment="1">
      <alignment horizontal="center" vertical="center"/>
    </xf>
    <xf numFmtId="176" fontId="50" fillId="71" borderId="0" xfId="17080" applyNumberFormat="1" applyFont="1" applyFill="1" applyBorder="1" applyAlignment="1">
      <alignment horizontal="center" vertical="center"/>
    </xf>
    <xf numFmtId="0" fontId="50" fillId="71" borderId="0" xfId="17080" applyFont="1" applyFill="1" applyBorder="1" applyAlignment="1">
      <alignment horizontal="center" vertical="center"/>
    </xf>
    <xf numFmtId="176" fontId="6" fillId="3" borderId="0" xfId="1" applyFont="1" applyFill="1" applyBorder="1" applyAlignment="1">
      <alignment horizontal="right" vertical="center" indent="1"/>
    </xf>
    <xf numFmtId="176" fontId="6" fillId="3" borderId="15" xfId="1" applyFont="1" applyFill="1" applyBorder="1" applyAlignment="1">
      <alignment horizontal="right" vertical="center" indent="1"/>
    </xf>
    <xf numFmtId="176" fontId="6" fillId="3" borderId="65" xfId="1" applyFont="1" applyFill="1" applyBorder="1" applyAlignment="1">
      <alignment horizontal="right" vertical="center" indent="1"/>
    </xf>
    <xf numFmtId="176" fontId="6" fillId="3" borderId="83" xfId="1" applyFont="1" applyFill="1" applyBorder="1" applyAlignment="1">
      <alignment horizontal="right" vertical="center" indent="1"/>
    </xf>
    <xf numFmtId="176" fontId="6" fillId="3" borderId="85" xfId="1" applyFont="1" applyFill="1" applyBorder="1" applyAlignment="1">
      <alignment horizontal="right" vertical="center" indent="1"/>
    </xf>
    <xf numFmtId="176" fontId="6" fillId="3" borderId="86" xfId="1" applyFont="1" applyFill="1" applyBorder="1" applyAlignment="1">
      <alignment horizontal="right" vertical="center" indent="1"/>
    </xf>
    <xf numFmtId="179" fontId="21" fillId="6" borderId="17" xfId="3" applyNumberFormat="1" applyFont="1" applyFill="1" applyBorder="1" applyAlignment="1">
      <alignment horizontal="center" vertical="center"/>
    </xf>
    <xf numFmtId="0" fontId="16" fillId="4" borderId="68" xfId="0" applyFont="1" applyFill="1" applyBorder="1">
      <alignment vertical="center"/>
    </xf>
    <xf numFmtId="176" fontId="17" fillId="3" borderId="13" xfId="7" applyFont="1" applyFill="1" applyBorder="1" applyAlignment="1">
      <alignment horizontal="right" vertical="center"/>
    </xf>
    <xf numFmtId="176" fontId="17" fillId="3" borderId="69" xfId="1" applyFont="1" applyFill="1" applyBorder="1" applyAlignment="1">
      <alignment horizontal="right" vertical="center"/>
    </xf>
    <xf numFmtId="196" fontId="24" fillId="3" borderId="37" xfId="1" applyNumberFormat="1" applyFont="1" applyFill="1" applyBorder="1" applyAlignment="1" applyProtection="1">
      <alignment horizontal="center" vertical="center"/>
    </xf>
    <xf numFmtId="0" fontId="22" fillId="4" borderId="188" xfId="0" applyFont="1" applyFill="1" applyBorder="1" applyAlignment="1">
      <alignment horizontal="center" vertical="center"/>
    </xf>
    <xf numFmtId="0" fontId="22" fillId="4" borderId="183" xfId="0" applyFont="1" applyFill="1" applyBorder="1" applyAlignment="1">
      <alignment horizontal="center" vertical="center"/>
    </xf>
    <xf numFmtId="0" fontId="22" fillId="4" borderId="189" xfId="0" applyFont="1" applyFill="1" applyBorder="1" applyAlignment="1">
      <alignment horizontal="center" vertical="center"/>
    </xf>
    <xf numFmtId="0" fontId="14" fillId="0" borderId="190" xfId="0" applyFont="1" applyBorder="1" applyAlignment="1">
      <alignment horizontal="center" vertical="center"/>
    </xf>
    <xf numFmtId="0" fontId="14" fillId="0" borderId="182" xfId="0" applyFont="1" applyBorder="1">
      <alignment vertical="center"/>
    </xf>
    <xf numFmtId="9" fontId="14" fillId="0" borderId="191" xfId="2" applyFont="1" applyFill="1" applyBorder="1">
      <alignment vertical="center"/>
    </xf>
    <xf numFmtId="0" fontId="14" fillId="0" borderId="190" xfId="0" applyFont="1" applyBorder="1">
      <alignment vertical="center"/>
    </xf>
    <xf numFmtId="0" fontId="14" fillId="0" borderId="191" xfId="0" applyFont="1" applyBorder="1">
      <alignment vertical="center"/>
    </xf>
    <xf numFmtId="0" fontId="14" fillId="0" borderId="192" xfId="0" applyFont="1" applyBorder="1">
      <alignment vertical="center"/>
    </xf>
    <xf numFmtId="0" fontId="14" fillId="0" borderId="193" xfId="0" applyFont="1" applyBorder="1">
      <alignment vertical="center"/>
    </xf>
    <xf numFmtId="0" fontId="14" fillId="0" borderId="192" xfId="0" applyFont="1" applyBorder="1" applyAlignment="1">
      <alignment horizontal="center" vertical="center"/>
    </xf>
    <xf numFmtId="0" fontId="14" fillId="0" borderId="194" xfId="0" applyFont="1" applyBorder="1">
      <alignment vertical="center"/>
    </xf>
    <xf numFmtId="0" fontId="14" fillId="4" borderId="191" xfId="0" applyFont="1" applyFill="1" applyBorder="1">
      <alignment vertical="center"/>
    </xf>
    <xf numFmtId="0" fontId="14" fillId="4" borderId="194" xfId="0" applyFont="1" applyFill="1" applyBorder="1">
      <alignment vertical="center"/>
    </xf>
    <xf numFmtId="0" fontId="22" fillId="4" borderId="198" xfId="0" applyFont="1" applyFill="1" applyBorder="1" applyAlignment="1">
      <alignment horizontal="center" vertical="center"/>
    </xf>
    <xf numFmtId="0" fontId="22" fillId="4" borderId="184" xfId="0" applyFont="1" applyFill="1" applyBorder="1" applyAlignment="1">
      <alignment horizontal="center" vertical="center"/>
    </xf>
    <xf numFmtId="225" fontId="14" fillId="0" borderId="199" xfId="0" applyNumberFormat="1" applyFont="1" applyBorder="1" applyAlignment="1">
      <alignment horizontal="center" vertical="center"/>
    </xf>
    <xf numFmtId="0" fontId="14" fillId="0" borderId="181" xfId="0" applyFont="1" applyBorder="1">
      <alignment vertical="center"/>
    </xf>
    <xf numFmtId="225" fontId="125" fillId="0" borderId="199" xfId="0" applyNumberFormat="1" applyFont="1" applyBorder="1" applyAlignment="1">
      <alignment horizontal="center" vertical="center"/>
    </xf>
    <xf numFmtId="225" fontId="14" fillId="0" borderId="200" xfId="0" applyNumberFormat="1" applyFont="1" applyBorder="1" applyAlignment="1">
      <alignment horizontal="center" vertical="center"/>
    </xf>
    <xf numFmtId="0" fontId="14" fillId="0" borderId="201" xfId="0" applyFont="1" applyBorder="1">
      <alignment vertical="center"/>
    </xf>
    <xf numFmtId="0" fontId="126" fillId="3" borderId="0" xfId="0" applyFont="1" applyFill="1" applyAlignment="1">
      <alignment horizontal="right" vertical="center"/>
    </xf>
    <xf numFmtId="182" fontId="5" fillId="0" borderId="172" xfId="0" applyNumberFormat="1" applyFont="1" applyBorder="1" applyAlignment="1">
      <alignment horizontal="center" vertical="center"/>
    </xf>
    <xf numFmtId="0" fontId="8" fillId="3" borderId="0" xfId="0" applyFont="1" applyFill="1" applyAlignment="1">
      <alignment horizontal="left" vertical="center"/>
    </xf>
    <xf numFmtId="182" fontId="5" fillId="0" borderId="172" xfId="0" applyNumberFormat="1" applyFont="1" applyBorder="1" applyAlignment="1">
      <alignment horizontal="left" vertical="center"/>
    </xf>
    <xf numFmtId="226" fontId="0" fillId="3" borderId="0" xfId="0" applyNumberFormat="1" applyFill="1" applyAlignment="1"/>
    <xf numFmtId="178" fontId="0" fillId="3" borderId="0" xfId="0" applyNumberFormat="1" applyFill="1" applyAlignment="1"/>
    <xf numFmtId="0" fontId="22" fillId="4" borderId="0" xfId="0" applyFont="1" applyFill="1" applyAlignment="1">
      <alignment horizontal="left" vertical="center"/>
    </xf>
    <xf numFmtId="0" fontId="22" fillId="4" borderId="0" xfId="0" applyFont="1" applyFill="1">
      <alignment vertical="center"/>
    </xf>
    <xf numFmtId="0" fontId="22" fillId="4" borderId="1" xfId="0" applyFont="1" applyFill="1" applyBorder="1">
      <alignment vertical="center"/>
    </xf>
    <xf numFmtId="227" fontId="5" fillId="3" borderId="13" xfId="0" applyNumberFormat="1" applyFont="1" applyFill="1" applyBorder="1" applyAlignment="1">
      <alignment horizontal="right" vertical="center"/>
    </xf>
    <xf numFmtId="227" fontId="5" fillId="3" borderId="49" xfId="0" applyNumberFormat="1" applyFont="1" applyFill="1" applyBorder="1" applyAlignment="1">
      <alignment horizontal="right" vertical="center"/>
    </xf>
    <xf numFmtId="227" fontId="4" fillId="3" borderId="13" xfId="0" applyNumberFormat="1" applyFont="1" applyFill="1" applyBorder="1" applyAlignment="1">
      <alignment horizontal="right" vertical="center"/>
    </xf>
    <xf numFmtId="227" fontId="5" fillId="3" borderId="13" xfId="1" applyNumberFormat="1" applyFont="1" applyFill="1" applyBorder="1" applyAlignment="1" applyProtection="1">
      <alignment horizontal="right" vertical="center"/>
    </xf>
    <xf numFmtId="227" fontId="5" fillId="0" borderId="13" xfId="1" applyNumberFormat="1" applyFont="1" applyFill="1" applyBorder="1" applyAlignment="1" applyProtection="1">
      <alignment horizontal="right" vertical="center"/>
    </xf>
    <xf numFmtId="227" fontId="5" fillId="3" borderId="57" xfId="1" applyNumberFormat="1" applyFont="1" applyFill="1" applyBorder="1" applyAlignment="1" applyProtection="1">
      <alignment horizontal="right" vertical="center"/>
    </xf>
    <xf numFmtId="227" fontId="4" fillId="3" borderId="60" xfId="1" applyNumberFormat="1" applyFont="1" applyFill="1" applyBorder="1" applyAlignment="1" applyProtection="1">
      <alignment horizontal="right" vertical="center"/>
    </xf>
    <xf numFmtId="227" fontId="4" fillId="3" borderId="13" xfId="1" applyNumberFormat="1" applyFont="1" applyFill="1" applyBorder="1" applyAlignment="1" applyProtection="1">
      <alignment horizontal="right" vertical="center"/>
    </xf>
    <xf numFmtId="227" fontId="4" fillId="0" borderId="66" xfId="1" applyNumberFormat="1" applyFont="1" applyFill="1" applyBorder="1" applyAlignment="1" applyProtection="1">
      <alignment horizontal="right" vertical="center"/>
    </xf>
    <xf numFmtId="227" fontId="4" fillId="3" borderId="38" xfId="1" applyNumberFormat="1" applyFont="1" applyFill="1" applyBorder="1" applyAlignment="1" applyProtection="1">
      <alignment horizontal="right" vertical="center"/>
    </xf>
    <xf numFmtId="227" fontId="4" fillId="3" borderId="66" xfId="1" applyNumberFormat="1" applyFont="1" applyFill="1" applyBorder="1" applyAlignment="1" applyProtection="1">
      <alignment horizontal="right" vertical="center"/>
    </xf>
    <xf numFmtId="176" fontId="15" fillId="3" borderId="6" xfId="1" applyFont="1" applyFill="1" applyBorder="1" applyAlignment="1" applyProtection="1">
      <alignment vertical="center"/>
    </xf>
    <xf numFmtId="184" fontId="2" fillId="3" borderId="1" xfId="0" applyNumberFormat="1" applyFont="1" applyFill="1" applyBorder="1" applyAlignment="1">
      <alignment horizontal="left" vertical="center"/>
    </xf>
    <xf numFmtId="184" fontId="2" fillId="3" borderId="1" xfId="2" applyNumberFormat="1" applyFont="1" applyFill="1" applyBorder="1" applyAlignment="1" applyProtection="1">
      <alignment vertical="center"/>
    </xf>
    <xf numFmtId="176" fontId="2" fillId="3" borderId="1" xfId="1" applyFont="1" applyFill="1" applyBorder="1" applyAlignment="1" applyProtection="1">
      <alignment vertical="center"/>
    </xf>
    <xf numFmtId="0" fontId="22" fillId="4" borderId="67" xfId="0" applyFont="1" applyFill="1" applyBorder="1" applyAlignment="1">
      <alignment horizontal="left" vertical="center"/>
    </xf>
    <xf numFmtId="0" fontId="14" fillId="4" borderId="68" xfId="0" applyFont="1" applyFill="1" applyBorder="1" applyAlignment="1">
      <alignment horizontal="left" vertical="center"/>
    </xf>
    <xf numFmtId="191" fontId="5" fillId="3" borderId="69" xfId="1" applyNumberFormat="1" applyFont="1" applyFill="1" applyBorder="1" applyAlignment="1" applyProtection="1">
      <alignment horizontal="right" vertical="center"/>
    </xf>
    <xf numFmtId="0" fontId="22" fillId="4" borderId="52" xfId="0" applyFont="1" applyFill="1" applyBorder="1" applyAlignment="1">
      <alignment horizontal="left" vertical="center"/>
    </xf>
    <xf numFmtId="227" fontId="5" fillId="3" borderId="54" xfId="0" applyNumberFormat="1" applyFont="1" applyFill="1" applyBorder="1" applyAlignment="1">
      <alignment horizontal="right" vertical="center"/>
    </xf>
    <xf numFmtId="176" fontId="15" fillId="3" borderId="15" xfId="1" applyFont="1" applyFill="1" applyBorder="1" applyAlignment="1" applyProtection="1">
      <alignment vertical="center"/>
    </xf>
    <xf numFmtId="0" fontId="5" fillId="72" borderId="0" xfId="0" applyFont="1" applyFill="1" applyAlignment="1">
      <alignment horizontal="right" vertical="center"/>
    </xf>
    <xf numFmtId="0" fontId="24" fillId="72" borderId="0" xfId="0" applyFont="1" applyFill="1" applyAlignment="1">
      <alignment horizontal="center" vertical="center"/>
    </xf>
    <xf numFmtId="185" fontId="5" fillId="72" borderId="0" xfId="0" applyNumberFormat="1" applyFont="1" applyFill="1" applyAlignment="1">
      <alignment horizontal="left" vertical="center"/>
    </xf>
    <xf numFmtId="182" fontId="24" fillId="72" borderId="0" xfId="0" applyNumberFormat="1" applyFont="1" applyFill="1" applyAlignment="1">
      <alignment horizontal="center" vertical="center"/>
    </xf>
    <xf numFmtId="0" fontId="14" fillId="6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228" fontId="129" fillId="0" borderId="0" xfId="0" applyNumberFormat="1" applyFont="1">
      <alignment vertical="center"/>
    </xf>
    <xf numFmtId="0" fontId="131" fillId="0" borderId="0" xfId="0" applyFont="1">
      <alignment vertical="center"/>
    </xf>
    <xf numFmtId="0" fontId="14" fillId="0" borderId="0" xfId="0" applyFont="1">
      <alignment vertical="center"/>
    </xf>
    <xf numFmtId="37" fontId="130" fillId="54" borderId="202" xfId="0" quotePrefix="1" applyNumberFormat="1" applyFont="1" applyFill="1" applyBorder="1" applyAlignment="1">
      <alignment horizontal="center" vertical="center" wrapText="1"/>
    </xf>
    <xf numFmtId="37" fontId="130" fillId="54" borderId="202" xfId="0" quotePrefix="1" applyNumberFormat="1" applyFont="1" applyFill="1" applyBorder="1" applyAlignment="1">
      <alignment horizontal="center" vertical="center"/>
    </xf>
    <xf numFmtId="0" fontId="133" fillId="54" borderId="203" xfId="0" applyFont="1" applyFill="1" applyBorder="1" applyAlignment="1">
      <alignment horizontal="center" vertical="center"/>
    </xf>
    <xf numFmtId="0" fontId="133" fillId="54" borderId="204" xfId="0" applyFont="1" applyFill="1" applyBorder="1" applyAlignment="1">
      <alignment horizontal="center" vertical="center"/>
    </xf>
    <xf numFmtId="0" fontId="15" fillId="54" borderId="204" xfId="0" applyFont="1" applyFill="1" applyBorder="1" applyAlignment="1">
      <alignment horizontal="center" vertical="center"/>
    </xf>
    <xf numFmtId="0" fontId="15" fillId="54" borderId="205" xfId="0" applyFont="1" applyFill="1" applyBorder="1" applyAlignment="1">
      <alignment horizontal="center" vertical="center"/>
    </xf>
    <xf numFmtId="0" fontId="0" fillId="0" borderId="170" xfId="0" applyBorder="1">
      <alignment vertical="center"/>
    </xf>
    <xf numFmtId="37" fontId="130" fillId="54" borderId="24" xfId="0" quotePrefix="1" applyNumberFormat="1" applyFont="1" applyFill="1" applyBorder="1" applyAlignment="1">
      <alignment horizontal="center" wrapText="1"/>
    </xf>
    <xf numFmtId="37" fontId="130" fillId="54" borderId="24" xfId="0" quotePrefix="1" applyNumberFormat="1" applyFont="1" applyFill="1" applyBorder="1" applyAlignment="1">
      <alignment horizontal="center"/>
    </xf>
    <xf numFmtId="0" fontId="0" fillId="54" borderId="28" xfId="0" applyFill="1" applyBorder="1">
      <alignment vertical="center"/>
    </xf>
    <xf numFmtId="0" fontId="0" fillId="54" borderId="26" xfId="0" applyFill="1" applyBorder="1">
      <alignment vertical="center"/>
    </xf>
    <xf numFmtId="0" fontId="0" fillId="54" borderId="27" xfId="0" applyFill="1" applyBorder="1">
      <alignment vertical="center"/>
    </xf>
    <xf numFmtId="0" fontId="130" fillId="73" borderId="171" xfId="32376" applyFont="1" applyFill="1" applyBorder="1" applyAlignment="1">
      <alignment horizontal="center"/>
    </xf>
    <xf numFmtId="176" fontId="129" fillId="0" borderId="204" xfId="32372" applyFont="1" applyBorder="1">
      <alignment vertical="center"/>
    </xf>
    <xf numFmtId="0" fontId="130" fillId="0" borderId="170" xfId="32377" applyFont="1" applyBorder="1" applyAlignment="1">
      <alignment horizontal="center"/>
    </xf>
    <xf numFmtId="0" fontId="129" fillId="0" borderId="207" xfId="0" applyFont="1" applyBorder="1" applyAlignment="1">
      <alignment horizontal="center" vertical="center"/>
    </xf>
    <xf numFmtId="228" fontId="129" fillId="0" borderId="170" xfId="0" applyNumberFormat="1" applyFont="1" applyBorder="1">
      <alignment vertical="center"/>
    </xf>
    <xf numFmtId="230" fontId="129" fillId="0" borderId="0" xfId="32374" applyNumberFormat="1" applyFont="1" applyFill="1" applyBorder="1">
      <alignment vertical="center"/>
    </xf>
    <xf numFmtId="230" fontId="129" fillId="0" borderId="207" xfId="32374" applyNumberFormat="1" applyFont="1" applyBorder="1">
      <alignment vertical="center"/>
    </xf>
    <xf numFmtId="0" fontId="130" fillId="0" borderId="202" xfId="0" applyFont="1" applyBorder="1" applyAlignment="1">
      <alignment horizontal="center"/>
    </xf>
    <xf numFmtId="230" fontId="130" fillId="70" borderId="202" xfId="32374" applyNumberFormat="1" applyFont="1" applyFill="1" applyBorder="1" applyAlignment="1">
      <alignment horizontal="center" vertical="center"/>
    </xf>
    <xf numFmtId="225" fontId="129" fillId="6" borderId="170" xfId="32377" applyNumberFormat="1" applyFont="1" applyFill="1" applyBorder="1" applyAlignment="1">
      <alignment horizontal="center"/>
    </xf>
    <xf numFmtId="225" fontId="129" fillId="6" borderId="0" xfId="32377" applyNumberFormat="1" applyFont="1" applyFill="1" applyAlignment="1">
      <alignment horizontal="center"/>
    </xf>
    <xf numFmtId="216" fontId="129" fillId="6" borderId="0" xfId="32377" applyNumberFormat="1" applyFont="1" applyFill="1" applyAlignment="1">
      <alignment horizontal="center"/>
    </xf>
    <xf numFmtId="176" fontId="129" fillId="0" borderId="0" xfId="32372" applyFont="1" applyBorder="1">
      <alignment vertical="center"/>
    </xf>
    <xf numFmtId="0" fontId="130" fillId="0" borderId="206" xfId="0" applyFont="1" applyBorder="1" applyAlignment="1">
      <alignment horizontal="center"/>
    </xf>
    <xf numFmtId="230" fontId="130" fillId="70" borderId="206" xfId="32374" applyNumberFormat="1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176" fontId="129" fillId="6" borderId="0" xfId="32372" applyFont="1" applyFill="1" applyBorder="1">
      <alignment vertical="center"/>
    </xf>
    <xf numFmtId="231" fontId="130" fillId="0" borderId="0" xfId="32377" applyNumberFormat="1" applyFont="1"/>
    <xf numFmtId="0" fontId="134" fillId="0" borderId="0" xfId="32377" applyFont="1" applyAlignment="1">
      <alignment horizontal="center" vertical="center"/>
    </xf>
    <xf numFmtId="184" fontId="133" fillId="0" borderId="0" xfId="2" applyNumberFormat="1" applyFont="1">
      <alignment vertical="center"/>
    </xf>
    <xf numFmtId="225" fontId="129" fillId="6" borderId="0" xfId="32372" applyNumberFormat="1" applyFont="1" applyFill="1" applyBorder="1">
      <alignment vertical="center"/>
    </xf>
    <xf numFmtId="0" fontId="78" fillId="70" borderId="0" xfId="0" applyFont="1" applyFill="1" applyProtection="1">
      <alignment vertical="center"/>
      <protection locked="0"/>
    </xf>
    <xf numFmtId="232" fontId="0" fillId="0" borderId="0" xfId="0" applyNumberFormat="1">
      <alignment vertical="center"/>
    </xf>
    <xf numFmtId="0" fontId="130" fillId="0" borderId="28" xfId="32377" applyFont="1" applyBorder="1" applyAlignment="1">
      <alignment horizontal="center"/>
    </xf>
    <xf numFmtId="0" fontId="129" fillId="0" borderId="27" xfId="0" applyFont="1" applyBorder="1" applyAlignment="1">
      <alignment horizontal="center" vertical="center"/>
    </xf>
    <xf numFmtId="228" fontId="129" fillId="0" borderId="28" xfId="0" applyNumberFormat="1" applyFont="1" applyBorder="1">
      <alignment vertical="center"/>
    </xf>
    <xf numFmtId="228" fontId="129" fillId="0" borderId="26" xfId="0" applyNumberFormat="1" applyFont="1" applyBorder="1">
      <alignment vertical="center"/>
    </xf>
    <xf numFmtId="230" fontId="129" fillId="0" borderId="26" xfId="32374" applyNumberFormat="1" applyFont="1" applyFill="1" applyBorder="1">
      <alignment vertical="center"/>
    </xf>
    <xf numFmtId="230" fontId="129" fillId="0" borderId="27" xfId="32374" applyNumberFormat="1" applyFont="1" applyBorder="1">
      <alignment vertical="center"/>
    </xf>
    <xf numFmtId="0" fontId="130" fillId="0" borderId="24" xfId="0" applyFont="1" applyBorder="1" applyAlignment="1">
      <alignment horizontal="center"/>
    </xf>
    <xf numFmtId="230" fontId="130" fillId="70" borderId="24" xfId="32374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74" borderId="171" xfId="0" applyFont="1" applyFill="1" applyBorder="1" applyAlignment="1">
      <alignment horizontal="center" vertical="center"/>
    </xf>
    <xf numFmtId="0" fontId="24" fillId="6" borderId="171" xfId="0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135" fillId="3" borderId="171" xfId="0" applyFont="1" applyFill="1" applyBorder="1" applyAlignment="1">
      <alignment horizontal="center" vertical="center"/>
    </xf>
    <xf numFmtId="0" fontId="136" fillId="3" borderId="171" xfId="0" applyFont="1" applyFill="1" applyBorder="1">
      <alignment vertical="center"/>
    </xf>
    <xf numFmtId="0" fontId="0" fillId="7" borderId="171" xfId="0" applyFill="1" applyBorder="1" applyAlignment="1">
      <alignment horizontal="center" vertical="center"/>
    </xf>
    <xf numFmtId="3" fontId="0" fillId="3" borderId="171" xfId="0" applyNumberFormat="1" applyFill="1" applyBorder="1">
      <alignment vertical="center"/>
    </xf>
    <xf numFmtId="3" fontId="0" fillId="3" borderId="171" xfId="0" applyNumberFormat="1" applyFill="1" applyBorder="1" applyAlignment="1">
      <alignment horizontal="right" vertical="center"/>
    </xf>
    <xf numFmtId="176" fontId="0" fillId="3" borderId="171" xfId="0" applyNumberFormat="1" applyFill="1" applyBorder="1" applyAlignment="1">
      <alignment horizontal="right" vertical="center"/>
    </xf>
    <xf numFmtId="0" fontId="0" fillId="74" borderId="171" xfId="0" applyFill="1" applyBorder="1" applyAlignment="1">
      <alignment horizontal="center" vertical="center"/>
    </xf>
    <xf numFmtId="3" fontId="0" fillId="3" borderId="171" xfId="0" applyNumberFormat="1" applyFill="1" applyBorder="1" applyAlignment="1">
      <alignment horizontal="center" vertical="center"/>
    </xf>
    <xf numFmtId="0" fontId="0" fillId="3" borderId="0" xfId="0" quotePrefix="1" applyFill="1">
      <alignment vertical="center"/>
    </xf>
    <xf numFmtId="0" fontId="0" fillId="7" borderId="171" xfId="0" applyFill="1" applyBorder="1" applyAlignment="1">
      <alignment horizontal="center" vertical="center" shrinkToFit="1"/>
    </xf>
    <xf numFmtId="0" fontId="0" fillId="7" borderId="171" xfId="0" applyFill="1" applyBorder="1" applyAlignment="1">
      <alignment vertical="center" shrinkToFit="1"/>
    </xf>
    <xf numFmtId="233" fontId="0" fillId="3" borderId="171" xfId="0" applyNumberFormat="1" applyFill="1" applyBorder="1">
      <alignment vertical="center"/>
    </xf>
    <xf numFmtId="0" fontId="0" fillId="3" borderId="171" xfId="0" applyFill="1" applyBorder="1">
      <alignment vertical="center"/>
    </xf>
    <xf numFmtId="0" fontId="0" fillId="3" borderId="208" xfId="0" applyFill="1" applyBorder="1">
      <alignment vertical="center"/>
    </xf>
    <xf numFmtId="3" fontId="0" fillId="6" borderId="171" xfId="0" applyNumberFormat="1" applyFill="1" applyBorder="1">
      <alignment vertical="center"/>
    </xf>
    <xf numFmtId="0" fontId="0" fillId="6" borderId="171" xfId="0" applyFill="1" applyBorder="1">
      <alignment vertical="center"/>
    </xf>
    <xf numFmtId="3" fontId="0" fillId="2" borderId="171" xfId="0" applyNumberFormat="1" applyFill="1" applyBorder="1">
      <alignment vertical="center"/>
    </xf>
    <xf numFmtId="184" fontId="15" fillId="3" borderId="0" xfId="2" applyNumberFormat="1" applyFont="1" applyFill="1" applyBorder="1" applyAlignment="1" applyProtection="1">
      <alignment vertical="center"/>
    </xf>
    <xf numFmtId="176" fontId="15" fillId="3" borderId="6" xfId="1" applyFont="1" applyFill="1" applyBorder="1" applyAlignment="1" applyProtection="1">
      <alignment horizontal="right" vertical="center"/>
    </xf>
    <xf numFmtId="229" fontId="130" fillId="10" borderId="171" xfId="32377" applyNumberFormat="1" applyFont="1" applyFill="1" applyBorder="1" applyAlignment="1">
      <alignment horizontal="center"/>
    </xf>
    <xf numFmtId="199" fontId="130" fillId="0" borderId="171" xfId="32377" applyNumberFormat="1" applyFont="1" applyBorder="1"/>
    <xf numFmtId="227" fontId="14" fillId="0" borderId="0" xfId="0" applyNumberFormat="1" applyFont="1">
      <alignment vertical="center"/>
    </xf>
    <xf numFmtId="0" fontId="4" fillId="0" borderId="0" xfId="0" applyFont="1">
      <alignment vertical="center"/>
    </xf>
    <xf numFmtId="184" fontId="17" fillId="4" borderId="0" xfId="2" applyNumberFormat="1" applyFont="1" applyFill="1" applyBorder="1" applyAlignment="1" applyProtection="1">
      <alignment horizontal="right" vertical="center"/>
    </xf>
    <xf numFmtId="0" fontId="16" fillId="4" borderId="211" xfId="0" applyFont="1" applyFill="1" applyBorder="1" applyAlignment="1">
      <alignment horizontal="left" vertical="center"/>
    </xf>
    <xf numFmtId="176" fontId="17" fillId="3" borderId="212" xfId="1" applyFont="1" applyFill="1" applyBorder="1" applyAlignment="1" applyProtection="1">
      <alignment horizontal="right" vertical="center"/>
    </xf>
    <xf numFmtId="0" fontId="16" fillId="4" borderId="213" xfId="0" applyFont="1" applyFill="1" applyBorder="1" applyAlignment="1">
      <alignment horizontal="left" vertical="center"/>
    </xf>
    <xf numFmtId="176" fontId="17" fillId="3" borderId="214" xfId="1" applyFont="1" applyFill="1" applyBorder="1" applyAlignment="1" applyProtection="1">
      <alignment horizontal="right" vertical="center"/>
    </xf>
    <xf numFmtId="0" fontId="16" fillId="4" borderId="215" xfId="0" applyFont="1" applyFill="1" applyBorder="1">
      <alignment vertical="center"/>
    </xf>
    <xf numFmtId="0" fontId="5" fillId="3" borderId="216" xfId="0" applyFont="1" applyFill="1" applyBorder="1" applyAlignment="1">
      <alignment horizontal="right" vertical="center"/>
    </xf>
    <xf numFmtId="0" fontId="22" fillId="4" borderId="213" xfId="0" applyFont="1" applyFill="1" applyBorder="1" applyAlignment="1">
      <alignment horizontal="left" vertical="center"/>
    </xf>
    <xf numFmtId="176" fontId="4" fillId="3" borderId="214" xfId="7" applyFont="1" applyFill="1" applyBorder="1" applyAlignment="1">
      <alignment horizontal="right" vertical="center"/>
    </xf>
    <xf numFmtId="0" fontId="22" fillId="4" borderId="217" xfId="0" applyFont="1" applyFill="1" applyBorder="1" applyAlignment="1">
      <alignment horizontal="left" vertical="center"/>
    </xf>
    <xf numFmtId="176" fontId="4" fillId="3" borderId="218" xfId="7" applyFont="1" applyFill="1" applyBorder="1" applyAlignment="1">
      <alignment horizontal="right" vertical="center"/>
    </xf>
    <xf numFmtId="184" fontId="17" fillId="0" borderId="214" xfId="2" applyNumberFormat="1" applyFont="1" applyFill="1" applyBorder="1" applyAlignment="1" applyProtection="1">
      <alignment horizontal="right" vertical="center"/>
    </xf>
    <xf numFmtId="176" fontId="17" fillId="3" borderId="0" xfId="1" applyFont="1" applyFill="1" applyBorder="1" applyAlignment="1" applyProtection="1">
      <alignment horizontal="right" vertical="center"/>
    </xf>
    <xf numFmtId="176" fontId="17" fillId="0" borderId="0" xfId="1" applyFont="1" applyFill="1" applyBorder="1" applyAlignment="1" applyProtection="1">
      <alignment horizontal="right" vertical="center"/>
    </xf>
    <xf numFmtId="176" fontId="4" fillId="3" borderId="0" xfId="7" applyFont="1" applyFill="1" applyBorder="1" applyAlignment="1">
      <alignment horizontal="right" vertical="center"/>
    </xf>
    <xf numFmtId="227" fontId="5" fillId="6" borderId="13" xfId="0" applyNumberFormat="1" applyFont="1" applyFill="1" applyBorder="1" applyAlignment="1">
      <alignment horizontal="right" vertical="center"/>
    </xf>
    <xf numFmtId="176" fontId="17" fillId="3" borderId="0" xfId="1" applyFont="1" applyFill="1" applyBorder="1" applyAlignment="1">
      <alignment horizontal="right" vertical="center"/>
    </xf>
    <xf numFmtId="176" fontId="17" fillId="3" borderId="0" xfId="7" applyFont="1" applyFill="1" applyBorder="1" applyAlignment="1">
      <alignment horizontal="right" vertical="center"/>
    </xf>
    <xf numFmtId="10" fontId="5" fillId="9" borderId="0" xfId="7" applyNumberFormat="1" applyFont="1" applyFill="1" applyBorder="1" applyAlignment="1">
      <alignment horizontal="right" vertical="center" indent="1"/>
    </xf>
    <xf numFmtId="184" fontId="17" fillId="0" borderId="13" xfId="2" applyNumberFormat="1" applyFont="1" applyFill="1" applyBorder="1" applyAlignment="1" applyProtection="1">
      <alignment horizontal="right" vertical="center"/>
    </xf>
    <xf numFmtId="0" fontId="15" fillId="4" borderId="13" xfId="0" quotePrefix="1" applyFont="1" applyFill="1" applyBorder="1">
      <alignment vertical="center"/>
    </xf>
    <xf numFmtId="0" fontId="0" fillId="6" borderId="0" xfId="0" applyFill="1">
      <alignment vertical="center"/>
    </xf>
    <xf numFmtId="0" fontId="5" fillId="0" borderId="0" xfId="0" quotePrefix="1" applyFont="1">
      <alignment vertical="center"/>
    </xf>
    <xf numFmtId="184" fontId="32" fillId="0" borderId="0" xfId="2" applyNumberFormat="1" applyFont="1">
      <alignment vertical="center"/>
    </xf>
    <xf numFmtId="0" fontId="5" fillId="0" borderId="171" xfId="0" applyFont="1" applyBorder="1" applyAlignment="1">
      <alignment horizontal="center" vertical="center"/>
    </xf>
    <xf numFmtId="0" fontId="5" fillId="6" borderId="171" xfId="0" applyFont="1" applyFill="1" applyBorder="1" applyAlignment="1">
      <alignment horizontal="center" vertical="center"/>
    </xf>
    <xf numFmtId="10" fontId="5" fillId="6" borderId="171" xfId="32372" applyNumberFormat="1" applyFont="1" applyFill="1" applyBorder="1" applyAlignment="1">
      <alignment horizontal="center" vertical="center"/>
    </xf>
    <xf numFmtId="176" fontId="5" fillId="6" borderId="171" xfId="32372" applyFont="1" applyFill="1" applyBorder="1">
      <alignment vertical="center"/>
    </xf>
    <xf numFmtId="176" fontId="5" fillId="0" borderId="171" xfId="32372" applyFont="1" applyFill="1" applyBorder="1" applyAlignment="1">
      <alignment horizontal="center" vertical="center"/>
    </xf>
    <xf numFmtId="176" fontId="5" fillId="6" borderId="171" xfId="32372" applyFont="1" applyFill="1" applyBorder="1" applyAlignment="1">
      <alignment horizontal="center" vertical="center"/>
    </xf>
    <xf numFmtId="176" fontId="5" fillId="6" borderId="171" xfId="32378" applyFont="1" applyFill="1" applyBorder="1" applyAlignment="1">
      <alignment horizontal="center" vertical="center"/>
    </xf>
    <xf numFmtId="176" fontId="5" fillId="0" borderId="171" xfId="32372" applyFont="1" applyFill="1" applyBorder="1">
      <alignment vertical="center"/>
    </xf>
    <xf numFmtId="229" fontId="138" fillId="10" borderId="171" xfId="32377" applyNumberFormat="1" applyFont="1" applyFill="1" applyBorder="1" applyAlignment="1">
      <alignment horizontal="center"/>
    </xf>
    <xf numFmtId="229" fontId="139" fillId="10" borderId="171" xfId="32377" applyNumberFormat="1" applyFont="1" applyFill="1" applyBorder="1" applyAlignment="1">
      <alignment horizontal="center"/>
    </xf>
    <xf numFmtId="229" fontId="130" fillId="10" borderId="208" xfId="32377" applyNumberFormat="1" applyFont="1" applyFill="1" applyBorder="1" applyAlignment="1">
      <alignment horizontal="center"/>
    </xf>
    <xf numFmtId="228" fontId="129" fillId="0" borderId="202" xfId="0" applyNumberFormat="1" applyFont="1" applyBorder="1" applyAlignment="1">
      <alignment horizontal="center" vertical="center"/>
    </xf>
    <xf numFmtId="230" fontId="129" fillId="0" borderId="206" xfId="32372" applyNumberFormat="1" applyFont="1" applyFill="1" applyBorder="1">
      <alignment vertical="center"/>
    </xf>
    <xf numFmtId="228" fontId="129" fillId="0" borderId="206" xfId="0" applyNumberFormat="1" applyFont="1" applyBorder="1" applyAlignment="1">
      <alignment horizontal="center" vertical="center"/>
    </xf>
    <xf numFmtId="225" fontId="2" fillId="6" borderId="0" xfId="0" applyNumberFormat="1" applyFont="1" applyFill="1">
      <alignment vertical="center"/>
    </xf>
    <xf numFmtId="0" fontId="2" fillId="6" borderId="0" xfId="0" applyFont="1" applyFill="1">
      <alignment vertical="center"/>
    </xf>
    <xf numFmtId="225" fontId="129" fillId="6" borderId="28" xfId="32377" applyNumberFormat="1" applyFont="1" applyFill="1" applyBorder="1" applyAlignment="1">
      <alignment horizontal="center"/>
    </xf>
    <xf numFmtId="225" fontId="129" fillId="6" borderId="26" xfId="32377" applyNumberFormat="1" applyFont="1" applyFill="1" applyBorder="1" applyAlignment="1">
      <alignment horizontal="center"/>
    </xf>
    <xf numFmtId="176" fontId="129" fillId="6" borderId="26" xfId="32372" applyFont="1" applyFill="1" applyBorder="1">
      <alignment vertical="center"/>
    </xf>
    <xf numFmtId="176" fontId="129" fillId="0" borderId="26" xfId="32372" applyFont="1" applyBorder="1">
      <alignment vertical="center"/>
    </xf>
    <xf numFmtId="230" fontId="129" fillId="0" borderId="24" xfId="32372" applyNumberFormat="1" applyFont="1" applyFill="1" applyBorder="1">
      <alignment vertical="center"/>
    </xf>
    <xf numFmtId="205" fontId="24" fillId="3" borderId="177" xfId="0" applyNumberFormat="1" applyFont="1" applyFill="1" applyBorder="1" applyAlignment="1">
      <alignment horizontal="center" vertical="center"/>
    </xf>
    <xf numFmtId="186" fontId="24" fillId="3" borderId="175" xfId="0" applyNumberFormat="1" applyFont="1" applyFill="1" applyBorder="1" applyAlignment="1">
      <alignment horizontal="center" vertical="center"/>
    </xf>
    <xf numFmtId="225" fontId="24" fillId="3" borderId="175" xfId="0" applyNumberFormat="1" applyFont="1" applyFill="1" applyBorder="1" applyAlignment="1">
      <alignment horizontal="center" vertical="center"/>
    </xf>
    <xf numFmtId="0" fontId="22" fillId="0" borderId="175" xfId="0" applyFont="1" applyBorder="1" applyAlignment="1">
      <alignment horizontal="center" vertical="center"/>
    </xf>
    <xf numFmtId="235" fontId="4" fillId="0" borderId="66" xfId="1" applyNumberFormat="1" applyFont="1" applyFill="1" applyBorder="1" applyAlignment="1" applyProtection="1">
      <alignment horizontal="right" vertical="center"/>
    </xf>
    <xf numFmtId="236" fontId="4" fillId="0" borderId="13" xfId="1" applyNumberFormat="1" applyFont="1" applyFill="1" applyBorder="1" applyAlignment="1" applyProtection="1">
      <alignment horizontal="right" vertical="center"/>
    </xf>
    <xf numFmtId="200" fontId="24" fillId="3" borderId="0" xfId="0" applyNumberFormat="1" applyFont="1" applyFill="1" applyAlignment="1">
      <alignment horizontal="center" vertical="center"/>
    </xf>
    <xf numFmtId="237" fontId="14" fillId="0" borderId="199" xfId="0" applyNumberFormat="1" applyFont="1" applyBorder="1" applyAlignment="1">
      <alignment horizontal="center" vertical="center"/>
    </xf>
    <xf numFmtId="179" fontId="6" fillId="5" borderId="219" xfId="3" applyNumberFormat="1" applyFont="1" applyFill="1" applyBorder="1" applyAlignment="1">
      <alignment horizontal="center" vertical="center"/>
    </xf>
    <xf numFmtId="179" fontId="6" fillId="3" borderId="219" xfId="3" applyNumberFormat="1" applyFont="1" applyFill="1" applyBorder="1" applyAlignment="1">
      <alignment horizontal="center" vertical="center"/>
    </xf>
    <xf numFmtId="179" fontId="6" fillId="5" borderId="219" xfId="5" applyFont="1" applyFill="1" applyBorder="1" applyAlignment="1" applyProtection="1">
      <alignment vertical="center"/>
    </xf>
    <xf numFmtId="179" fontId="21" fillId="5" borderId="220" xfId="3" applyNumberFormat="1" applyFont="1" applyFill="1" applyBorder="1" applyAlignment="1">
      <alignment horizontal="center" vertical="center"/>
    </xf>
    <xf numFmtId="179" fontId="6" fillId="3" borderId="221" xfId="3" applyNumberFormat="1" applyFont="1" applyFill="1" applyBorder="1" applyAlignment="1">
      <alignment horizontal="center" vertical="center"/>
    </xf>
    <xf numFmtId="179" fontId="6" fillId="5" borderId="222" xfId="3" applyNumberFormat="1" applyFont="1" applyFill="1" applyBorder="1" applyAlignment="1">
      <alignment horizontal="center" vertical="center"/>
    </xf>
    <xf numFmtId="179" fontId="6" fillId="5" borderId="223" xfId="3" applyNumberFormat="1" applyFont="1" applyFill="1" applyBorder="1" applyAlignment="1">
      <alignment horizontal="center" vertical="center"/>
    </xf>
    <xf numFmtId="179" fontId="6" fillId="5" borderId="224" xfId="3" applyNumberFormat="1" applyFont="1" applyFill="1" applyBorder="1" applyAlignment="1">
      <alignment horizontal="center" vertical="center"/>
    </xf>
    <xf numFmtId="179" fontId="6" fillId="3" borderId="222" xfId="3" applyNumberFormat="1" applyFont="1" applyFill="1" applyBorder="1" applyAlignment="1">
      <alignment horizontal="center" vertical="center"/>
    </xf>
    <xf numFmtId="179" fontId="6" fillId="3" borderId="223" xfId="3" applyNumberFormat="1" applyFont="1" applyFill="1" applyBorder="1" applyAlignment="1">
      <alignment horizontal="center" vertical="center"/>
    </xf>
    <xf numFmtId="179" fontId="6" fillId="3" borderId="224" xfId="3" applyNumberFormat="1" applyFont="1" applyFill="1" applyBorder="1" applyAlignment="1">
      <alignment horizontal="center" vertical="center"/>
    </xf>
    <xf numFmtId="179" fontId="6" fillId="3" borderId="223" xfId="5" applyFont="1" applyFill="1" applyBorder="1" applyAlignment="1" applyProtection="1">
      <alignment vertical="center"/>
    </xf>
    <xf numFmtId="179" fontId="6" fillId="3" borderId="224" xfId="5" applyFont="1" applyFill="1" applyBorder="1" applyAlignment="1" applyProtection="1">
      <alignment vertical="center"/>
    </xf>
    <xf numFmtId="179" fontId="6" fillId="5" borderId="222" xfId="5" applyFont="1" applyFill="1" applyBorder="1" applyAlignment="1" applyProtection="1">
      <alignment vertical="center"/>
    </xf>
    <xf numFmtId="179" fontId="6" fillId="5" borderId="223" xfId="5" applyFont="1" applyFill="1" applyBorder="1" applyAlignment="1" applyProtection="1">
      <alignment vertical="center"/>
    </xf>
    <xf numFmtId="179" fontId="6" fillId="5" borderId="224" xfId="5" applyFont="1" applyFill="1" applyBorder="1" applyAlignment="1" applyProtection="1">
      <alignment vertical="center"/>
    </xf>
    <xf numFmtId="179" fontId="6" fillId="3" borderId="225" xfId="5" applyFont="1" applyFill="1" applyBorder="1" applyAlignment="1" applyProtection="1">
      <alignment vertical="center"/>
    </xf>
    <xf numFmtId="235" fontId="4" fillId="3" borderId="60" xfId="1" applyNumberFormat="1" applyFont="1" applyFill="1" applyBorder="1" applyAlignment="1" applyProtection="1">
      <alignment horizontal="right" vertical="center"/>
    </xf>
    <xf numFmtId="236" fontId="4" fillId="3" borderId="38" xfId="1" applyNumberFormat="1" applyFont="1" applyFill="1" applyBorder="1" applyAlignment="1" applyProtection="1">
      <alignment horizontal="right" vertical="center"/>
    </xf>
    <xf numFmtId="236" fontId="4" fillId="3" borderId="60" xfId="1" applyNumberFormat="1" applyFont="1" applyFill="1" applyBorder="1" applyAlignment="1" applyProtection="1">
      <alignment horizontal="right" vertical="center"/>
    </xf>
    <xf numFmtId="216" fontId="24" fillId="6" borderId="175" xfId="0" applyNumberFormat="1" applyFont="1" applyFill="1" applyBorder="1" applyAlignment="1">
      <alignment horizontal="center" vertical="center"/>
    </xf>
    <xf numFmtId="176" fontId="28" fillId="6" borderId="37" xfId="1" applyFont="1" applyFill="1" applyBorder="1" applyAlignment="1" applyProtection="1">
      <alignment horizontal="center" vertical="center"/>
    </xf>
    <xf numFmtId="225" fontId="24" fillId="6" borderId="175" xfId="0" applyNumberFormat="1" applyFont="1" applyFill="1" applyBorder="1" applyAlignment="1">
      <alignment horizontal="center" vertical="center"/>
    </xf>
    <xf numFmtId="237" fontId="129" fillId="6" borderId="0" xfId="32377" applyNumberFormat="1" applyFont="1" applyFill="1" applyAlignment="1">
      <alignment horizontal="center"/>
    </xf>
    <xf numFmtId="229" fontId="130" fillId="10" borderId="209" xfId="32377" applyNumberFormat="1" applyFont="1" applyFill="1" applyBorder="1" applyAlignment="1">
      <alignment horizontal="center"/>
    </xf>
    <xf numFmtId="225" fontId="129" fillId="6" borderId="206" xfId="32377" applyNumberFormat="1" applyFont="1" applyFill="1" applyBorder="1" applyAlignment="1">
      <alignment horizontal="center"/>
    </xf>
    <xf numFmtId="225" fontId="129" fillId="6" borderId="24" xfId="32377" applyNumberFormat="1" applyFont="1" applyFill="1" applyBorder="1" applyAlignment="1">
      <alignment horizontal="center"/>
    </xf>
    <xf numFmtId="238" fontId="24" fillId="6" borderId="175" xfId="0" applyNumberFormat="1" applyFont="1" applyFill="1" applyBorder="1" applyAlignment="1">
      <alignment horizontal="center" vertical="center"/>
    </xf>
    <xf numFmtId="0" fontId="0" fillId="3" borderId="171" xfId="0" applyFill="1" applyBorder="1" applyAlignment="1">
      <alignment horizontal="center" vertical="center"/>
    </xf>
    <xf numFmtId="176" fontId="24" fillId="6" borderId="171" xfId="1" applyFont="1" applyFill="1" applyBorder="1" applyAlignment="1">
      <alignment horizontal="center" vertical="center"/>
    </xf>
    <xf numFmtId="49" fontId="0" fillId="3" borderId="171" xfId="0" applyNumberFormat="1" applyFill="1" applyBorder="1" applyAlignment="1">
      <alignment horizontal="center" vertical="center"/>
    </xf>
    <xf numFmtId="0" fontId="0" fillId="6" borderId="17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71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02" xfId="0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209" xfId="0" applyFill="1" applyBorder="1" applyAlignment="1">
      <alignment horizontal="center" vertical="center"/>
    </xf>
    <xf numFmtId="189" fontId="14" fillId="70" borderId="176" xfId="0" applyNumberFormat="1" applyFont="1" applyFill="1" applyBorder="1" applyAlignment="1">
      <alignment horizontal="right" vertical="center"/>
    </xf>
    <xf numFmtId="0" fontId="140" fillId="6" borderId="226" xfId="0" applyFont="1" applyFill="1" applyBorder="1" applyAlignment="1">
      <alignment horizontal="center" vertical="center"/>
    </xf>
    <xf numFmtId="0" fontId="140" fillId="3" borderId="226" xfId="0" applyFont="1" applyFill="1" applyBorder="1" applyAlignment="1">
      <alignment horizontal="center" vertical="center"/>
    </xf>
    <xf numFmtId="238" fontId="24" fillId="3" borderId="175" xfId="0" applyNumberFormat="1" applyFont="1" applyFill="1" applyBorder="1" applyAlignment="1">
      <alignment horizontal="center" vertical="center"/>
    </xf>
    <xf numFmtId="0" fontId="0" fillId="3" borderId="227" xfId="0" applyFill="1" applyBorder="1" applyAlignment="1">
      <alignment horizontal="center" vertical="center"/>
    </xf>
    <xf numFmtId="0" fontId="0" fillId="3" borderId="228" xfId="0" applyFill="1" applyBorder="1" applyAlignment="1">
      <alignment horizontal="center" vertical="center"/>
    </xf>
    <xf numFmtId="0" fontId="0" fillId="3" borderId="229" xfId="0" applyFill="1" applyBorder="1" applyAlignment="1">
      <alignment horizontal="center" vertical="center"/>
    </xf>
    <xf numFmtId="0" fontId="24" fillId="6" borderId="230" xfId="0" applyFont="1" applyFill="1" applyBorder="1" applyAlignment="1">
      <alignment horizontal="center" vertical="center"/>
    </xf>
    <xf numFmtId="0" fontId="0" fillId="3" borderId="231" xfId="0" applyFill="1" applyBorder="1" applyAlignment="1">
      <alignment horizontal="center" vertical="center"/>
    </xf>
    <xf numFmtId="0" fontId="24" fillId="2" borderId="232" xfId="0" applyFont="1" applyFill="1" applyBorder="1" applyAlignment="1">
      <alignment horizontal="center" vertical="center"/>
    </xf>
    <xf numFmtId="0" fontId="24" fillId="2" borderId="230" xfId="0" applyFont="1" applyFill="1" applyBorder="1" applyAlignment="1">
      <alignment horizontal="center" vertical="center"/>
    </xf>
    <xf numFmtId="0" fontId="0" fillId="2" borderId="0" xfId="0" applyFill="1">
      <alignment vertical="center"/>
    </xf>
    <xf numFmtId="0" fontId="0" fillId="2" borderId="171" xfId="0" applyFill="1" applyBorder="1" applyAlignment="1">
      <alignment horizontal="left" vertical="center"/>
    </xf>
    <xf numFmtId="0" fontId="0" fillId="2" borderId="171" xfId="0" applyFill="1" applyBorder="1" applyAlignment="1">
      <alignment horizontal="center" vertical="center"/>
    </xf>
    <xf numFmtId="0" fontId="91" fillId="2" borderId="0" xfId="0" applyFont="1" applyFill="1">
      <alignment vertical="center"/>
    </xf>
    <xf numFmtId="0" fontId="27" fillId="6" borderId="0" xfId="0" applyFont="1" applyFill="1" applyAlignment="1">
      <alignment horizontal="left" vertical="center"/>
    </xf>
    <xf numFmtId="0" fontId="5" fillId="6" borderId="0" xfId="0" quotePrefix="1" applyFont="1" applyFill="1" applyAlignment="1">
      <alignment horizontal="left" vertical="center"/>
    </xf>
    <xf numFmtId="0" fontId="2" fillId="6" borderId="0" xfId="0" quotePrefix="1" applyFont="1" applyFill="1">
      <alignment vertical="center"/>
    </xf>
    <xf numFmtId="176" fontId="11" fillId="6" borderId="0" xfId="1" applyFont="1" applyFill="1" applyBorder="1" applyAlignment="1" applyProtection="1">
      <alignment vertical="center"/>
    </xf>
    <xf numFmtId="215" fontId="11" fillId="6" borderId="0" xfId="1" applyNumberFormat="1" applyFont="1" applyFill="1" applyBorder="1" applyAlignment="1" applyProtection="1">
      <alignment vertical="center"/>
    </xf>
    <xf numFmtId="189" fontId="14" fillId="76" borderId="176" xfId="0" applyNumberFormat="1" applyFont="1" applyFill="1" applyBorder="1" applyAlignment="1">
      <alignment horizontal="right" vertical="center"/>
    </xf>
    <xf numFmtId="225" fontId="129" fillId="76" borderId="206" xfId="32377" applyNumberFormat="1" applyFont="1" applyFill="1" applyBorder="1" applyAlignment="1">
      <alignment horizontal="center"/>
    </xf>
    <xf numFmtId="225" fontId="129" fillId="76" borderId="170" xfId="32377" applyNumberFormat="1" applyFont="1" applyFill="1" applyBorder="1" applyAlignment="1">
      <alignment horizontal="center"/>
    </xf>
    <xf numFmtId="225" fontId="129" fillId="76" borderId="0" xfId="32377" applyNumberFormat="1" applyFont="1" applyFill="1" applyAlignment="1">
      <alignment horizontal="center"/>
    </xf>
    <xf numFmtId="216" fontId="129" fillId="76" borderId="0" xfId="32377" applyNumberFormat="1" applyFont="1" applyFill="1" applyAlignment="1">
      <alignment horizontal="center"/>
    </xf>
    <xf numFmtId="229" fontId="138" fillId="76" borderId="171" xfId="32377" applyNumberFormat="1" applyFont="1" applyFill="1" applyBorder="1" applyAlignment="1">
      <alignment horizontal="center"/>
    </xf>
    <xf numFmtId="0" fontId="5" fillId="76" borderId="171" xfId="0" applyFont="1" applyFill="1" applyBorder="1" applyAlignment="1">
      <alignment horizontal="center" vertical="center"/>
    </xf>
    <xf numFmtId="176" fontId="5" fillId="76" borderId="171" xfId="32372" applyFont="1" applyFill="1" applyBorder="1" applyAlignment="1">
      <alignment horizontal="center" vertical="center"/>
    </xf>
    <xf numFmtId="0" fontId="131" fillId="76" borderId="0" xfId="0" applyFont="1" applyFill="1">
      <alignment vertical="center"/>
    </xf>
    <xf numFmtId="0" fontId="0" fillId="76" borderId="0" xfId="0" applyFill="1">
      <alignment vertical="center"/>
    </xf>
    <xf numFmtId="176" fontId="11" fillId="3" borderId="0" xfId="1" applyFont="1" applyFill="1" applyBorder="1" applyAlignment="1" applyProtection="1">
      <alignment horizontal="left" vertical="center"/>
    </xf>
    <xf numFmtId="0" fontId="141" fillId="76" borderId="0" xfId="0" applyFont="1" applyFill="1">
      <alignment vertical="center"/>
    </xf>
    <xf numFmtId="176" fontId="11" fillId="76" borderId="0" xfId="1" applyFont="1" applyFill="1" applyBorder="1" applyAlignment="1" applyProtection="1">
      <alignment vertical="center"/>
    </xf>
    <xf numFmtId="176" fontId="11" fillId="76" borderId="0" xfId="1" applyFont="1" applyFill="1" applyBorder="1" applyAlignment="1" applyProtection="1">
      <alignment horizontal="left" vertical="center"/>
    </xf>
    <xf numFmtId="0" fontId="5" fillId="76" borderId="0" xfId="0" applyFont="1" applyFill="1">
      <alignment vertical="center"/>
    </xf>
    <xf numFmtId="0" fontId="4" fillId="2" borderId="0" xfId="0" applyFont="1" applyFill="1">
      <alignment vertical="center"/>
    </xf>
    <xf numFmtId="0" fontId="22" fillId="3" borderId="175" xfId="0" applyFont="1" applyFill="1" applyBorder="1" applyAlignment="1">
      <alignment horizontal="center" vertical="center"/>
    </xf>
    <xf numFmtId="205" fontId="24" fillId="6" borderId="177" xfId="0" applyNumberFormat="1" applyFont="1" applyFill="1" applyBorder="1" applyAlignment="1">
      <alignment horizontal="center" vertical="center"/>
    </xf>
    <xf numFmtId="189" fontId="14" fillId="4" borderId="176" xfId="0" applyNumberFormat="1" applyFont="1" applyFill="1" applyBorder="1">
      <alignment vertical="center"/>
    </xf>
    <xf numFmtId="0" fontId="4" fillId="70" borderId="233" xfId="0" applyFont="1" applyFill="1" applyBorder="1" applyAlignment="1">
      <alignment horizontal="center"/>
    </xf>
    <xf numFmtId="176" fontId="0" fillId="3" borderId="230" xfId="32379" applyFont="1" applyFill="1" applyBorder="1" applyAlignment="1" applyProtection="1">
      <alignment horizontal="center"/>
    </xf>
    <xf numFmtId="176" fontId="0" fillId="3" borderId="0" xfId="32379" applyFont="1" applyFill="1" applyBorder="1" applyAlignment="1" applyProtection="1">
      <alignment horizontal="center"/>
    </xf>
    <xf numFmtId="184" fontId="0" fillId="3" borderId="0" xfId="2" applyNumberFormat="1" applyFont="1" applyFill="1" applyBorder="1" applyAlignment="1" applyProtection="1"/>
    <xf numFmtId="0" fontId="0" fillId="77" borderId="0" xfId="0" applyFill="1">
      <alignment vertical="center"/>
    </xf>
    <xf numFmtId="0" fontId="0" fillId="3" borderId="234" xfId="0" applyFill="1" applyBorder="1" applyAlignment="1">
      <alignment horizontal="center" vertical="center"/>
    </xf>
    <xf numFmtId="0" fontId="0" fillId="3" borderId="0" xfId="0" applyFill="1" applyAlignment="1">
      <alignment horizontal="right"/>
    </xf>
    <xf numFmtId="0" fontId="2" fillId="77" borderId="0" xfId="0" applyFont="1" applyFill="1">
      <alignment vertical="center"/>
    </xf>
    <xf numFmtId="0" fontId="0" fillId="77" borderId="0" xfId="0" applyFill="1" applyAlignment="1"/>
    <xf numFmtId="192" fontId="5" fillId="77" borderId="0" xfId="0" applyNumberFormat="1" applyFont="1" applyFill="1" applyAlignment="1">
      <alignment horizontal="center" vertical="center"/>
    </xf>
    <xf numFmtId="194" fontId="5" fillId="77" borderId="0" xfId="0" applyNumberFormat="1" applyFont="1" applyFill="1" applyAlignment="1">
      <alignment horizontal="center" vertical="center"/>
    </xf>
    <xf numFmtId="10" fontId="5" fillId="77" borderId="0" xfId="0" applyNumberFormat="1" applyFont="1" applyFill="1" applyAlignment="1">
      <alignment horizontal="center" vertical="center"/>
    </xf>
    <xf numFmtId="176" fontId="0" fillId="3" borderId="171" xfId="32379" applyFont="1" applyFill="1" applyBorder="1" applyAlignment="1" applyProtection="1">
      <alignment horizontal="center"/>
    </xf>
    <xf numFmtId="0" fontId="4" fillId="78" borderId="235" xfId="0" applyFont="1" applyFill="1" applyBorder="1" applyAlignment="1">
      <alignment horizontal="center"/>
    </xf>
    <xf numFmtId="0" fontId="4" fillId="78" borderId="228" xfId="0" applyFont="1" applyFill="1" applyBorder="1" applyAlignment="1">
      <alignment horizontal="center"/>
    </xf>
    <xf numFmtId="184" fontId="0" fillId="3" borderId="171" xfId="2" applyNumberFormat="1" applyFont="1" applyFill="1" applyBorder="1" applyAlignment="1" applyProtection="1">
      <alignment horizontal="center"/>
    </xf>
    <xf numFmtId="184" fontId="0" fillId="3" borderId="230" xfId="2" applyNumberFormat="1" applyFont="1" applyFill="1" applyBorder="1" applyAlignment="1" applyProtection="1">
      <alignment horizontal="center"/>
    </xf>
    <xf numFmtId="176" fontId="2" fillId="3" borderId="171" xfId="32381" applyFont="1" applyFill="1" applyBorder="1" applyAlignment="1">
      <alignment horizontal="center" vertical="center"/>
    </xf>
    <xf numFmtId="176" fontId="2" fillId="3" borderId="230" xfId="32381" applyFont="1" applyFill="1" applyBorder="1" applyAlignment="1">
      <alignment horizontal="center" vertical="center"/>
    </xf>
    <xf numFmtId="176" fontId="2" fillId="3" borderId="236" xfId="32381" applyFont="1" applyFill="1" applyBorder="1" applyAlignment="1">
      <alignment horizontal="center" vertical="center"/>
    </xf>
    <xf numFmtId="176" fontId="2" fillId="3" borderId="232" xfId="32381" applyFont="1" applyFill="1" applyBorder="1" applyAlignment="1">
      <alignment horizontal="center" vertical="center"/>
    </xf>
    <xf numFmtId="0" fontId="4" fillId="78" borderId="227" xfId="0" applyFont="1" applyFill="1" applyBorder="1" applyAlignment="1">
      <alignment horizontal="center"/>
    </xf>
    <xf numFmtId="0" fontId="4" fillId="78" borderId="229" xfId="0" applyFont="1" applyFill="1" applyBorder="1" applyAlignment="1">
      <alignment horizontal="center"/>
    </xf>
    <xf numFmtId="0" fontId="4" fillId="78" borderId="231" xfId="0" applyFont="1" applyFill="1" applyBorder="1" applyAlignment="1">
      <alignment horizontal="center"/>
    </xf>
    <xf numFmtId="0" fontId="11" fillId="78" borderId="2" xfId="0" applyFont="1" applyFill="1" applyBorder="1" applyAlignment="1">
      <alignment horizontal="center" vertical="center"/>
    </xf>
    <xf numFmtId="0" fontId="11" fillId="78" borderId="3" xfId="0" applyFont="1" applyFill="1" applyBorder="1" applyAlignment="1">
      <alignment horizontal="center" vertical="center"/>
    </xf>
    <xf numFmtId="183" fontId="11" fillId="78" borderId="3" xfId="0" applyNumberFormat="1" applyFont="1" applyFill="1" applyBorder="1" applyAlignment="1">
      <alignment horizontal="center" vertical="center"/>
    </xf>
    <xf numFmtId="184" fontId="11" fillId="78" borderId="4" xfId="0" applyNumberFormat="1" applyFont="1" applyFill="1" applyBorder="1" applyAlignment="1">
      <alignment horizontal="center" vertical="center"/>
    </xf>
    <xf numFmtId="187" fontId="5" fillId="78" borderId="79" xfId="0" applyNumberFormat="1" applyFont="1" applyFill="1" applyBorder="1" applyAlignment="1">
      <alignment horizontal="center" vertical="center"/>
    </xf>
    <xf numFmtId="210" fontId="5" fillId="78" borderId="80" xfId="0" applyNumberFormat="1" applyFont="1" applyFill="1" applyBorder="1" applyAlignment="1">
      <alignment horizontal="center" vertical="center"/>
    </xf>
    <xf numFmtId="194" fontId="5" fillId="78" borderId="80" xfId="0" applyNumberFormat="1" applyFont="1" applyFill="1" applyBorder="1" applyAlignment="1">
      <alignment horizontal="right" vertical="center" indent="1"/>
    </xf>
    <xf numFmtId="184" fontId="5" fillId="78" borderId="81" xfId="7" applyNumberFormat="1" applyFont="1" applyFill="1" applyBorder="1" applyAlignment="1">
      <alignment horizontal="right" vertical="center" indent="1"/>
    </xf>
    <xf numFmtId="176" fontId="133" fillId="0" borderId="0" xfId="1" applyFont="1">
      <alignment vertical="center"/>
    </xf>
    <xf numFmtId="0" fontId="5" fillId="2" borderId="171" xfId="0" applyFont="1" applyFill="1" applyBorder="1" applyAlignment="1">
      <alignment horizontal="center" vertical="center"/>
    </xf>
    <xf numFmtId="0" fontId="131" fillId="2" borderId="0" xfId="0" applyFont="1" applyFill="1">
      <alignment vertical="center"/>
    </xf>
    <xf numFmtId="188" fontId="6" fillId="5" borderId="237" xfId="3" applyNumberFormat="1" applyFont="1" applyFill="1" applyBorder="1" applyAlignment="1">
      <alignment horizontal="center" vertical="center"/>
    </xf>
    <xf numFmtId="179" fontId="6" fillId="5" borderId="238" xfId="3" applyNumberFormat="1" applyFont="1" applyFill="1" applyBorder="1" applyAlignment="1">
      <alignment horizontal="center" vertical="center"/>
    </xf>
    <xf numFmtId="179" fontId="6" fillId="5" borderId="239" xfId="3" applyNumberFormat="1" applyFont="1" applyFill="1" applyBorder="1" applyAlignment="1">
      <alignment horizontal="center" vertical="center"/>
    </xf>
    <xf numFmtId="179" fontId="6" fillId="5" borderId="240" xfId="3" applyNumberFormat="1" applyFont="1" applyFill="1" applyBorder="1" applyAlignment="1">
      <alignment horizontal="center" vertical="center"/>
    </xf>
    <xf numFmtId="179" fontId="6" fillId="5" borderId="174" xfId="3" applyNumberFormat="1" applyFont="1" applyFill="1" applyBorder="1" applyAlignment="1">
      <alignment horizontal="center" vertical="center"/>
    </xf>
    <xf numFmtId="176" fontId="6" fillId="5" borderId="174" xfId="1" applyFont="1" applyFill="1" applyBorder="1" applyAlignment="1" applyProtection="1">
      <alignment horizontal="center" vertical="center"/>
    </xf>
    <xf numFmtId="190" fontId="6" fillId="5" borderId="238" xfId="3" applyNumberFormat="1" applyFont="1" applyFill="1" applyBorder="1" applyAlignment="1">
      <alignment horizontal="center" vertical="center"/>
    </xf>
    <xf numFmtId="176" fontId="7" fillId="5" borderId="173" xfId="3" applyNumberFormat="1" applyFont="1" applyFill="1" applyBorder="1" applyAlignment="1">
      <alignment horizontal="center" vertical="center"/>
    </xf>
    <xf numFmtId="188" fontId="6" fillId="5" borderId="239" xfId="3" applyNumberFormat="1" applyFont="1" applyFill="1" applyBorder="1" applyAlignment="1">
      <alignment horizontal="center" vertical="center"/>
    </xf>
    <xf numFmtId="188" fontId="6" fillId="3" borderId="237" xfId="3" applyNumberFormat="1" applyFont="1" applyFill="1" applyBorder="1" applyAlignment="1">
      <alignment horizontal="center" vertical="center"/>
    </xf>
    <xf numFmtId="179" fontId="6" fillId="3" borderId="238" xfId="3" applyNumberFormat="1" applyFont="1" applyFill="1" applyBorder="1" applyAlignment="1">
      <alignment horizontal="center" vertical="center"/>
    </xf>
    <xf numFmtId="179" fontId="6" fillId="3" borderId="239" xfId="3" applyNumberFormat="1" applyFont="1" applyFill="1" applyBorder="1" applyAlignment="1">
      <alignment horizontal="center" vertical="center"/>
    </xf>
    <xf numFmtId="179" fontId="6" fillId="3" borderId="240" xfId="3" applyNumberFormat="1" applyFont="1" applyFill="1" applyBorder="1" applyAlignment="1">
      <alignment horizontal="center" vertical="center"/>
    </xf>
    <xf numFmtId="179" fontId="6" fillId="3" borderId="174" xfId="3" applyNumberFormat="1" applyFont="1" applyFill="1" applyBorder="1" applyAlignment="1">
      <alignment horizontal="center" vertical="center"/>
    </xf>
    <xf numFmtId="176" fontId="6" fillId="3" borderId="174" xfId="1" applyFont="1" applyFill="1" applyBorder="1" applyAlignment="1" applyProtection="1">
      <alignment horizontal="center" vertical="center"/>
    </xf>
    <xf numFmtId="190" fontId="6" fillId="3" borderId="238" xfId="3" applyNumberFormat="1" applyFont="1" applyFill="1" applyBorder="1" applyAlignment="1">
      <alignment horizontal="center" vertical="center"/>
    </xf>
    <xf numFmtId="176" fontId="7" fillId="3" borderId="173" xfId="3" applyNumberFormat="1" applyFont="1" applyFill="1" applyBorder="1" applyAlignment="1">
      <alignment horizontal="center" vertical="center"/>
    </xf>
    <xf numFmtId="188" fontId="6" fillId="3" borderId="239" xfId="3" applyNumberFormat="1" applyFont="1" applyFill="1" applyBorder="1" applyAlignment="1">
      <alignment horizontal="center" vertical="center"/>
    </xf>
    <xf numFmtId="230" fontId="24" fillId="3" borderId="0" xfId="1" applyNumberFormat="1" applyFont="1" applyFill="1" applyBorder="1" applyAlignment="1" applyProtection="1">
      <alignment horizontal="center" vertical="center"/>
    </xf>
    <xf numFmtId="184" fontId="24" fillId="3" borderId="0" xfId="0" applyNumberFormat="1" applyFont="1" applyFill="1">
      <alignment vertical="center"/>
    </xf>
    <xf numFmtId="188" fontId="6" fillId="5" borderId="237" xfId="5" applyNumberFormat="1" applyFont="1" applyFill="1" applyBorder="1" applyAlignment="1" applyProtection="1">
      <alignment horizontal="center" vertical="center"/>
    </xf>
    <xf numFmtId="179" fontId="6" fillId="5" borderId="238" xfId="5" applyFont="1" applyFill="1" applyBorder="1" applyAlignment="1" applyProtection="1">
      <alignment vertical="center"/>
    </xf>
    <xf numFmtId="179" fontId="6" fillId="5" borderId="239" xfId="5" applyFont="1" applyFill="1" applyBorder="1" applyAlignment="1" applyProtection="1">
      <alignment vertical="center"/>
    </xf>
    <xf numFmtId="179" fontId="6" fillId="5" borderId="240" xfId="5" applyFont="1" applyFill="1" applyBorder="1" applyAlignment="1" applyProtection="1">
      <alignment vertical="center"/>
    </xf>
    <xf numFmtId="179" fontId="6" fillId="5" borderId="174" xfId="5" applyFont="1" applyFill="1" applyBorder="1" applyAlignment="1" applyProtection="1">
      <alignment vertical="center"/>
    </xf>
    <xf numFmtId="176" fontId="6" fillId="5" borderId="174" xfId="1" applyFont="1" applyFill="1" applyBorder="1" applyAlignment="1" applyProtection="1">
      <alignment vertical="center"/>
    </xf>
    <xf numFmtId="190" fontId="6" fillId="5" borderId="238" xfId="5" applyNumberFormat="1" applyFont="1" applyFill="1" applyBorder="1" applyAlignment="1" applyProtection="1">
      <alignment vertical="center"/>
    </xf>
    <xf numFmtId="176" fontId="7" fillId="5" borderId="173" xfId="5" applyNumberFormat="1" applyFont="1" applyFill="1" applyBorder="1" applyAlignment="1" applyProtection="1">
      <alignment vertical="center"/>
    </xf>
    <xf numFmtId="188" fontId="6" fillId="5" borderId="239" xfId="5" applyNumberFormat="1" applyFont="1" applyFill="1" applyBorder="1" applyAlignment="1" applyProtection="1">
      <alignment horizontal="center" vertical="center"/>
    </xf>
    <xf numFmtId="212" fontId="24" fillId="0" borderId="0" xfId="2" applyNumberFormat="1" applyFont="1" applyFill="1" applyBorder="1" applyAlignment="1" applyProtection="1">
      <alignment horizontal="center" vertical="center"/>
    </xf>
    <xf numFmtId="234" fontId="24" fillId="3" borderId="0" xfId="1" applyNumberFormat="1" applyFont="1" applyFill="1" applyBorder="1" applyAlignment="1" applyProtection="1">
      <alignment horizontal="center" vertical="center"/>
    </xf>
    <xf numFmtId="0" fontId="0" fillId="0" borderId="0" xfId="0" applyAlignment="1">
      <alignment vertical="center" wrapText="1"/>
    </xf>
    <xf numFmtId="176" fontId="5" fillId="3" borderId="241" xfId="1" applyFont="1" applyFill="1" applyBorder="1" applyAlignment="1" applyProtection="1">
      <alignment vertical="center"/>
    </xf>
    <xf numFmtId="176" fontId="5" fillId="3" borderId="242" xfId="1" applyFont="1" applyFill="1" applyBorder="1" applyAlignment="1" applyProtection="1">
      <alignment horizontal="center" vertical="center"/>
    </xf>
    <xf numFmtId="0" fontId="11" fillId="4" borderId="243" xfId="0" applyFont="1" applyFill="1" applyBorder="1" applyAlignment="1">
      <alignment horizontal="center" vertical="center"/>
    </xf>
    <xf numFmtId="225" fontId="24" fillId="3" borderId="244" xfId="0" applyNumberFormat="1" applyFont="1" applyFill="1" applyBorder="1" applyAlignment="1">
      <alignment horizontal="center" vertical="center"/>
    </xf>
    <xf numFmtId="239" fontId="0" fillId="0" borderId="0" xfId="0" applyNumberFormat="1">
      <alignment vertical="center"/>
    </xf>
    <xf numFmtId="0" fontId="71" fillId="0" borderId="135" xfId="0" applyFont="1" applyBorder="1" applyAlignment="1">
      <alignment horizontal="justify" vertical="center" wrapText="1"/>
    </xf>
    <xf numFmtId="0" fontId="71" fillId="0" borderId="136" xfId="0" applyFont="1" applyBorder="1" applyAlignment="1">
      <alignment horizontal="justify" vertical="center" wrapText="1"/>
    </xf>
    <xf numFmtId="0" fontId="71" fillId="0" borderId="137" xfId="0" applyFont="1" applyBorder="1" applyAlignment="1">
      <alignment horizontal="justify" vertical="center" wrapText="1"/>
    </xf>
    <xf numFmtId="0" fontId="74" fillId="0" borderId="138" xfId="0" applyFont="1" applyBorder="1" applyAlignment="1">
      <alignment horizontal="justify" vertical="center" wrapText="1"/>
    </xf>
    <xf numFmtId="0" fontId="74" fillId="0" borderId="0" xfId="0" applyFont="1" applyAlignment="1">
      <alignment horizontal="justify" vertical="center" wrapText="1"/>
    </xf>
    <xf numFmtId="0" fontId="74" fillId="0" borderId="139" xfId="0" applyFont="1" applyBorder="1" applyAlignment="1">
      <alignment horizontal="justify" vertical="center" wrapText="1"/>
    </xf>
    <xf numFmtId="0" fontId="75" fillId="0" borderId="138" xfId="0" applyFont="1" applyBorder="1" applyAlignment="1">
      <alignment horizontal="justify" vertical="center" wrapText="1"/>
    </xf>
    <xf numFmtId="0" fontId="75" fillId="0" borderId="0" xfId="0" applyFont="1" applyAlignment="1">
      <alignment horizontal="justify" vertical="center" wrapText="1"/>
    </xf>
    <xf numFmtId="0" fontId="75" fillId="0" borderId="139" xfId="0" applyFont="1" applyBorder="1" applyAlignment="1">
      <alignment horizontal="justify" vertical="center" wrapText="1"/>
    </xf>
    <xf numFmtId="0" fontId="77" fillId="0" borderId="138" xfId="0" applyFont="1" applyBorder="1" applyAlignment="1">
      <alignment horizontal="justify" vertical="center" wrapText="1"/>
    </xf>
    <xf numFmtId="0" fontId="77" fillId="0" borderId="0" xfId="0" applyFont="1" applyAlignment="1">
      <alignment horizontal="justify" vertical="center" wrapText="1"/>
    </xf>
    <xf numFmtId="0" fontId="77" fillId="0" borderId="139" xfId="0" applyFont="1" applyBorder="1" applyAlignment="1">
      <alignment horizontal="justify" vertical="center" wrapText="1"/>
    </xf>
    <xf numFmtId="0" fontId="75" fillId="0" borderId="152" xfId="0" applyFont="1" applyBorder="1" applyAlignment="1">
      <alignment horizontal="justify" vertical="center" wrapText="1"/>
    </xf>
    <xf numFmtId="0" fontId="75" fillId="0" borderId="153" xfId="0" applyFont="1" applyBorder="1" applyAlignment="1">
      <alignment horizontal="justify" vertical="center" wrapText="1"/>
    </xf>
    <xf numFmtId="0" fontId="75" fillId="0" borderId="154" xfId="0" applyFont="1" applyBorder="1" applyAlignment="1">
      <alignment horizontal="justify" vertical="center" wrapText="1"/>
    </xf>
    <xf numFmtId="0" fontId="73" fillId="0" borderId="155" xfId="0" applyFont="1" applyBorder="1" applyAlignment="1">
      <alignment horizontal="justify" vertical="center" wrapText="1"/>
    </xf>
    <xf numFmtId="0" fontId="73" fillId="0" borderId="156" xfId="0" applyFont="1" applyBorder="1" applyAlignment="1">
      <alignment horizontal="justify" vertical="center" wrapText="1"/>
    </xf>
    <xf numFmtId="0" fontId="73" fillId="0" borderId="157" xfId="0" applyFont="1" applyBorder="1" applyAlignment="1">
      <alignment horizontal="justify" vertical="center" wrapText="1"/>
    </xf>
    <xf numFmtId="0" fontId="70" fillId="0" borderId="140" xfId="0" applyFont="1" applyBorder="1" applyAlignment="1">
      <alignment horizontal="center" vertical="center" wrapText="1"/>
    </xf>
    <xf numFmtId="0" fontId="70" fillId="0" borderId="141" xfId="0" applyFont="1" applyBorder="1" applyAlignment="1">
      <alignment horizontal="center" vertical="center" wrapText="1"/>
    </xf>
    <xf numFmtId="0" fontId="70" fillId="0" borderId="144" xfId="0" applyFont="1" applyBorder="1" applyAlignment="1">
      <alignment horizontal="center" vertical="center" wrapText="1"/>
    </xf>
    <xf numFmtId="0" fontId="70" fillId="0" borderId="145" xfId="0" applyFont="1" applyBorder="1" applyAlignment="1">
      <alignment horizontal="center" vertical="center" wrapText="1"/>
    </xf>
    <xf numFmtId="0" fontId="70" fillId="0" borderId="129" xfId="0" applyFont="1" applyBorder="1" applyAlignment="1">
      <alignment horizontal="center" vertical="center" wrapText="1"/>
    </xf>
    <xf numFmtId="0" fontId="70" fillId="0" borderId="130" xfId="0" applyFont="1" applyBorder="1" applyAlignment="1">
      <alignment horizontal="center" vertical="center" wrapText="1"/>
    </xf>
    <xf numFmtId="0" fontId="70" fillId="0" borderId="143" xfId="0" applyFont="1" applyBorder="1" applyAlignment="1">
      <alignment horizontal="center" vertical="center" wrapText="1"/>
    </xf>
    <xf numFmtId="0" fontId="76" fillId="0" borderId="129" xfId="0" applyFont="1" applyBorder="1" applyAlignment="1">
      <alignment horizontal="center" vertical="center" wrapText="1"/>
    </xf>
    <xf numFmtId="0" fontId="76" fillId="0" borderId="130" xfId="0" applyFont="1" applyBorder="1" applyAlignment="1">
      <alignment horizontal="center" vertical="center" wrapText="1"/>
    </xf>
    <xf numFmtId="0" fontId="76" fillId="0" borderId="143" xfId="0" applyFont="1" applyBorder="1" applyAlignment="1">
      <alignment horizontal="center" vertical="center" wrapText="1"/>
    </xf>
    <xf numFmtId="0" fontId="0" fillId="6" borderId="208" xfId="0" applyFill="1" applyBorder="1" applyAlignment="1">
      <alignment horizontal="center" vertical="center"/>
    </xf>
    <xf numFmtId="0" fontId="0" fillId="6" borderId="209" xfId="0" applyFill="1" applyBorder="1" applyAlignment="1">
      <alignment horizontal="center" vertical="center"/>
    </xf>
    <xf numFmtId="0" fontId="0" fillId="6" borderId="210" xfId="0" applyFill="1" applyBorder="1" applyAlignment="1">
      <alignment horizontal="center" vertical="center"/>
    </xf>
    <xf numFmtId="0" fontId="0" fillId="3" borderId="171" xfId="0" applyFill="1" applyBorder="1" applyAlignment="1">
      <alignment horizontal="center" vertical="center"/>
    </xf>
    <xf numFmtId="0" fontId="22" fillId="4" borderId="195" xfId="0" applyFont="1" applyFill="1" applyBorder="1" applyAlignment="1">
      <alignment horizontal="center" vertical="center"/>
    </xf>
    <xf numFmtId="0" fontId="22" fillId="4" borderId="196" xfId="0" applyFont="1" applyFill="1" applyBorder="1" applyAlignment="1">
      <alignment horizontal="center" vertical="center"/>
    </xf>
    <xf numFmtId="0" fontId="22" fillId="4" borderId="197" xfId="0" applyFont="1" applyFill="1" applyBorder="1" applyAlignment="1">
      <alignment horizontal="center" vertical="center"/>
    </xf>
    <xf numFmtId="195" fontId="14" fillId="3" borderId="121" xfId="1" applyNumberFormat="1" applyFont="1" applyFill="1" applyBorder="1" applyAlignment="1" applyProtection="1">
      <alignment horizontal="center" vertical="center"/>
    </xf>
    <xf numFmtId="195" fontId="14" fillId="3" borderId="122" xfId="1" applyNumberFormat="1" applyFont="1" applyFill="1" applyBorder="1" applyAlignment="1" applyProtection="1">
      <alignment horizontal="center" vertical="center"/>
    </xf>
    <xf numFmtId="176" fontId="14" fillId="3" borderId="121" xfId="1" applyFont="1" applyFill="1" applyBorder="1" applyAlignment="1" applyProtection="1">
      <alignment horizontal="center" vertical="center"/>
    </xf>
    <xf numFmtId="176" fontId="14" fillId="3" borderId="122" xfId="1" applyFont="1" applyFill="1" applyBorder="1" applyAlignment="1" applyProtection="1">
      <alignment horizontal="center" vertical="center"/>
    </xf>
    <xf numFmtId="176" fontId="14" fillId="3" borderId="50" xfId="1" applyFont="1" applyFill="1" applyBorder="1" applyAlignment="1" applyProtection="1">
      <alignment horizontal="center" vertical="center"/>
    </xf>
    <xf numFmtId="176" fontId="14" fillId="3" borderId="51" xfId="1" applyFont="1" applyFill="1" applyBorder="1" applyAlignment="1" applyProtection="1">
      <alignment horizontal="center" vertical="center"/>
    </xf>
    <xf numFmtId="0" fontId="22" fillId="4" borderId="185" xfId="0" applyFont="1" applyFill="1" applyBorder="1" applyAlignment="1">
      <alignment horizontal="center" vertical="center"/>
    </xf>
    <xf numFmtId="0" fontId="22" fillId="4" borderId="186" xfId="0" applyFont="1" applyFill="1" applyBorder="1" applyAlignment="1">
      <alignment horizontal="center" vertical="center"/>
    </xf>
    <xf numFmtId="0" fontId="22" fillId="4" borderId="187" xfId="0" applyFont="1" applyFill="1" applyBorder="1" applyAlignment="1">
      <alignment horizontal="center" vertical="center"/>
    </xf>
    <xf numFmtId="224" fontId="14" fillId="3" borderId="11" xfId="0" applyNumberFormat="1" applyFont="1" applyFill="1" applyBorder="1" applyAlignment="1">
      <alignment horizontal="center" vertical="center"/>
    </xf>
    <xf numFmtId="224" fontId="14" fillId="3" borderId="12" xfId="0" applyNumberFormat="1" applyFont="1" applyFill="1" applyBorder="1" applyAlignment="1">
      <alignment horizontal="center" vertical="center"/>
    </xf>
    <xf numFmtId="194" fontId="5" fillId="9" borderId="2" xfId="0" applyNumberFormat="1" applyFont="1" applyFill="1" applyBorder="1" applyAlignment="1">
      <alignment horizontal="center" vertical="center"/>
    </xf>
    <xf numFmtId="194" fontId="5" fillId="9" borderId="180" xfId="0" applyNumberFormat="1" applyFont="1" applyFill="1" applyBorder="1" applyAlignment="1">
      <alignment horizontal="center" vertical="center"/>
    </xf>
    <xf numFmtId="182" fontId="5" fillId="75" borderId="172" xfId="0" applyNumberFormat="1" applyFont="1" applyFill="1" applyBorder="1" applyAlignment="1">
      <alignment horizontal="center" vertical="center"/>
    </xf>
    <xf numFmtId="182" fontId="123" fillId="0" borderId="172" xfId="0" applyNumberFormat="1" applyFont="1" applyBorder="1" applyAlignment="1">
      <alignment horizontal="center" vertical="center"/>
    </xf>
    <xf numFmtId="0" fontId="0" fillId="3" borderId="172" xfId="0" applyFill="1" applyBorder="1" applyAlignment="1">
      <alignment horizontal="center"/>
    </xf>
    <xf numFmtId="10" fontId="24" fillId="3" borderId="46" xfId="0" applyNumberFormat="1" applyFont="1" applyFill="1" applyBorder="1" applyAlignment="1">
      <alignment horizontal="center" vertical="center"/>
    </xf>
    <xf numFmtId="10" fontId="24" fillId="3" borderId="47" xfId="0" applyNumberFormat="1" applyFont="1" applyFill="1" applyBorder="1" applyAlignment="1">
      <alignment horizontal="center" vertical="center"/>
    </xf>
    <xf numFmtId="186" fontId="14" fillId="3" borderId="11" xfId="0" applyNumberFormat="1" applyFont="1" applyFill="1" applyBorder="1" applyAlignment="1">
      <alignment horizontal="center" vertical="center"/>
    </xf>
    <xf numFmtId="186" fontId="14" fillId="3" borderId="12" xfId="0" applyNumberFormat="1" applyFont="1" applyFill="1" applyBorder="1" applyAlignment="1">
      <alignment horizontal="center" vertical="center"/>
    </xf>
    <xf numFmtId="0" fontId="5" fillId="0" borderId="171" xfId="0" applyFont="1" applyBorder="1" applyAlignment="1">
      <alignment horizontal="center" vertical="center"/>
    </xf>
    <xf numFmtId="37" fontId="130" fillId="0" borderId="202" xfId="0" applyNumberFormat="1" applyFont="1" applyBorder="1" applyAlignment="1">
      <alignment horizontal="center" vertical="center"/>
    </xf>
    <xf numFmtId="37" fontId="130" fillId="0" borderId="206" xfId="0" applyNumberFormat="1" applyFont="1" applyBorder="1" applyAlignment="1">
      <alignment horizontal="center" vertical="center"/>
    </xf>
    <xf numFmtId="37" fontId="130" fillId="0" borderId="24" xfId="0" applyNumberFormat="1" applyFont="1" applyBorder="1" applyAlignment="1">
      <alignment horizontal="center" vertical="center"/>
    </xf>
    <xf numFmtId="0" fontId="130" fillId="73" borderId="171" xfId="32376" applyFont="1" applyFill="1" applyBorder="1" applyAlignment="1">
      <alignment horizontal="center" vertical="center" wrapText="1"/>
    </xf>
    <xf numFmtId="0" fontId="130" fillId="73" borderId="28" xfId="32376" applyFont="1" applyFill="1" applyBorder="1" applyAlignment="1">
      <alignment horizontal="center" vertical="center" wrapText="1"/>
    </xf>
    <xf numFmtId="0" fontId="130" fillId="73" borderId="27" xfId="32376" applyFont="1" applyFill="1" applyBorder="1" applyAlignment="1">
      <alignment horizontal="center" vertical="center" wrapText="1"/>
    </xf>
    <xf numFmtId="0" fontId="5" fillId="0" borderId="171" xfId="0" applyFont="1" applyBorder="1" applyAlignment="1">
      <alignment horizontal="center" vertical="center" wrapText="1"/>
    </xf>
    <xf numFmtId="0" fontId="5" fillId="0" borderId="208" xfId="0" applyFont="1" applyBorder="1" applyAlignment="1">
      <alignment horizontal="center" vertical="center"/>
    </xf>
    <xf numFmtId="0" fontId="5" fillId="0" borderId="210" xfId="0" applyFont="1" applyBorder="1" applyAlignment="1">
      <alignment horizontal="center" vertical="center"/>
    </xf>
    <xf numFmtId="0" fontId="5" fillId="0" borderId="209" xfId="0" applyFont="1" applyBorder="1" applyAlignment="1">
      <alignment horizontal="center" vertical="center"/>
    </xf>
  </cellXfs>
  <cellStyles count="32383">
    <cellStyle name="20% - 강조색1" xfId="17191" builtinId="30" customBuiltin="1"/>
    <cellStyle name="20% - 강조색1 10" xfId="10524" xr:uid="{00000000-0005-0000-0000-000001000000}"/>
    <cellStyle name="20% - 강조색1 11" xfId="10525" xr:uid="{00000000-0005-0000-0000-000002000000}"/>
    <cellStyle name="20% - 강조색1 12" xfId="10526" xr:uid="{00000000-0005-0000-0000-000003000000}"/>
    <cellStyle name="20% - 강조색1 13" xfId="17080" xr:uid="{00000000-0005-0000-0000-000004000000}"/>
    <cellStyle name="20% - 강조색1 13 2" xfId="21534" xr:uid="{00000000-0005-0000-0000-000005000000}"/>
    <cellStyle name="20% - 강조색1 14" xfId="20500" xr:uid="{00000000-0005-0000-0000-000006000000}"/>
    <cellStyle name="20% - 강조색1 2" xfId="10527" xr:uid="{00000000-0005-0000-0000-000007000000}"/>
    <cellStyle name="20% - 강조색1 2 10" xfId="10528" xr:uid="{00000000-0005-0000-0000-000008000000}"/>
    <cellStyle name="20% - 강조색1 2 11" xfId="10529" xr:uid="{00000000-0005-0000-0000-000009000000}"/>
    <cellStyle name="20% - 강조색1 2 12" xfId="14669" xr:uid="{00000000-0005-0000-0000-00000A000000}"/>
    <cellStyle name="20% - 강조색1 2 12 2" xfId="21122" xr:uid="{00000000-0005-0000-0000-00000B000000}"/>
    <cellStyle name="20% - 강조색1 2 12 3" xfId="31020" xr:uid="{00000000-0005-0000-0000-00000C000000}"/>
    <cellStyle name="20% - 강조색1 2 12 4" xfId="17333" xr:uid="{00000000-0005-0000-0000-00000D000000}"/>
    <cellStyle name="20% - 강조색1 2 13" xfId="17720" xr:uid="{00000000-0005-0000-0000-00000E000000}"/>
    <cellStyle name="20% - 강조색1 2 2" xfId="10530" xr:uid="{00000000-0005-0000-0000-00000F000000}"/>
    <cellStyle name="20% - 강조색1 2 2 2" xfId="10531" xr:uid="{00000000-0005-0000-0000-000010000000}"/>
    <cellStyle name="20% - 강조색1 2 2 2 2" xfId="10532" xr:uid="{00000000-0005-0000-0000-000011000000}"/>
    <cellStyle name="20% - 강조색1 2 2 2 3" xfId="10533" xr:uid="{00000000-0005-0000-0000-000012000000}"/>
    <cellStyle name="20% - 강조색1 2 2 2 4" xfId="10534" xr:uid="{00000000-0005-0000-0000-000013000000}"/>
    <cellStyle name="20% - 강조색1 2 2 3" xfId="10535" xr:uid="{00000000-0005-0000-0000-000014000000}"/>
    <cellStyle name="20% - 강조색1 2 2 3 2" xfId="10536" xr:uid="{00000000-0005-0000-0000-000015000000}"/>
    <cellStyle name="20% - 강조색1 2 2 3 3" xfId="10537" xr:uid="{00000000-0005-0000-0000-000016000000}"/>
    <cellStyle name="20% - 강조색1 2 2 3 4" xfId="10538" xr:uid="{00000000-0005-0000-0000-000017000000}"/>
    <cellStyle name="20% - 강조색1 2 2 4" xfId="10539" xr:uid="{00000000-0005-0000-0000-000018000000}"/>
    <cellStyle name="20% - 강조색1 2 2 5" xfId="10540" xr:uid="{00000000-0005-0000-0000-000019000000}"/>
    <cellStyle name="20% - 강조색1 2 2 6" xfId="10541" xr:uid="{00000000-0005-0000-0000-00001A000000}"/>
    <cellStyle name="20% - 강조색1 2 3" xfId="10542" xr:uid="{00000000-0005-0000-0000-00001B000000}"/>
    <cellStyle name="20% - 강조색1 2 3 2" xfId="10543" xr:uid="{00000000-0005-0000-0000-00001C000000}"/>
    <cellStyle name="20% - 강조색1 2 3 2 2" xfId="10544" xr:uid="{00000000-0005-0000-0000-00001D000000}"/>
    <cellStyle name="20% - 강조색1 2 3 2 3" xfId="10545" xr:uid="{00000000-0005-0000-0000-00001E000000}"/>
    <cellStyle name="20% - 강조색1 2 3 2 4" xfId="10546" xr:uid="{00000000-0005-0000-0000-00001F000000}"/>
    <cellStyle name="20% - 강조색1 2 3 3" xfId="10547" xr:uid="{00000000-0005-0000-0000-000020000000}"/>
    <cellStyle name="20% - 강조색1 2 3 3 2" xfId="10548" xr:uid="{00000000-0005-0000-0000-000021000000}"/>
    <cellStyle name="20% - 강조색1 2 3 3 3" xfId="10549" xr:uid="{00000000-0005-0000-0000-000022000000}"/>
    <cellStyle name="20% - 강조색1 2 3 3 4" xfId="10550" xr:uid="{00000000-0005-0000-0000-000023000000}"/>
    <cellStyle name="20% - 강조색1 2 3 4" xfId="10551" xr:uid="{00000000-0005-0000-0000-000024000000}"/>
    <cellStyle name="20% - 강조색1 2 3 5" xfId="10552" xr:uid="{00000000-0005-0000-0000-000025000000}"/>
    <cellStyle name="20% - 강조색1 2 3 6" xfId="10553" xr:uid="{00000000-0005-0000-0000-000026000000}"/>
    <cellStyle name="20% - 강조색1 2 4" xfId="10554" xr:uid="{00000000-0005-0000-0000-000027000000}"/>
    <cellStyle name="20% - 강조색1 2 4 2" xfId="10555" xr:uid="{00000000-0005-0000-0000-000028000000}"/>
    <cellStyle name="20% - 강조색1 2 4 2 2" xfId="10556" xr:uid="{00000000-0005-0000-0000-000029000000}"/>
    <cellStyle name="20% - 강조색1 2 4 2 3" xfId="10557" xr:uid="{00000000-0005-0000-0000-00002A000000}"/>
    <cellStyle name="20% - 강조색1 2 4 2 4" xfId="10558" xr:uid="{00000000-0005-0000-0000-00002B000000}"/>
    <cellStyle name="20% - 강조색1 2 4 3" xfId="10559" xr:uid="{00000000-0005-0000-0000-00002C000000}"/>
    <cellStyle name="20% - 강조색1 2 4 3 2" xfId="10560" xr:uid="{00000000-0005-0000-0000-00002D000000}"/>
    <cellStyle name="20% - 강조색1 2 4 3 3" xfId="10561" xr:uid="{00000000-0005-0000-0000-00002E000000}"/>
    <cellStyle name="20% - 강조색1 2 4 3 4" xfId="10562" xr:uid="{00000000-0005-0000-0000-00002F000000}"/>
    <cellStyle name="20% - 강조색1 2 4 4" xfId="10563" xr:uid="{00000000-0005-0000-0000-000030000000}"/>
    <cellStyle name="20% - 강조색1 2 4 5" xfId="10564" xr:uid="{00000000-0005-0000-0000-000031000000}"/>
    <cellStyle name="20% - 강조색1 2 4 6" xfId="10565" xr:uid="{00000000-0005-0000-0000-000032000000}"/>
    <cellStyle name="20% - 강조색1 2 5" xfId="10566" xr:uid="{00000000-0005-0000-0000-000033000000}"/>
    <cellStyle name="20% - 강조색1 2 5 2" xfId="10567" xr:uid="{00000000-0005-0000-0000-000034000000}"/>
    <cellStyle name="20% - 강조색1 2 5 3" xfId="10568" xr:uid="{00000000-0005-0000-0000-000035000000}"/>
    <cellStyle name="20% - 강조색1 2 5 4" xfId="10569" xr:uid="{00000000-0005-0000-0000-000036000000}"/>
    <cellStyle name="20% - 강조색1 2 6" xfId="10570" xr:uid="{00000000-0005-0000-0000-000037000000}"/>
    <cellStyle name="20% - 강조색1 2 6 2" xfId="10571" xr:uid="{00000000-0005-0000-0000-000038000000}"/>
    <cellStyle name="20% - 강조색1 2 6 3" xfId="10572" xr:uid="{00000000-0005-0000-0000-000039000000}"/>
    <cellStyle name="20% - 강조색1 2 6 4" xfId="10573" xr:uid="{00000000-0005-0000-0000-00003A000000}"/>
    <cellStyle name="20% - 강조색1 2 7" xfId="10574" xr:uid="{00000000-0005-0000-0000-00003B000000}"/>
    <cellStyle name="20% - 강조색1 2 7 2" xfId="10575" xr:uid="{00000000-0005-0000-0000-00003C000000}"/>
    <cellStyle name="20% - 강조색1 2 7 3" xfId="10576" xr:uid="{00000000-0005-0000-0000-00003D000000}"/>
    <cellStyle name="20% - 강조색1 2 7 4" xfId="10577" xr:uid="{00000000-0005-0000-0000-00003E000000}"/>
    <cellStyle name="20% - 강조색1 2 8" xfId="10578" xr:uid="{00000000-0005-0000-0000-00003F000000}"/>
    <cellStyle name="20% - 강조색1 2 9" xfId="10579" xr:uid="{00000000-0005-0000-0000-000040000000}"/>
    <cellStyle name="20% - 강조색1 3" xfId="10580" xr:uid="{00000000-0005-0000-0000-000041000000}"/>
    <cellStyle name="20% - 강조색1 3 2" xfId="10581" xr:uid="{00000000-0005-0000-0000-000042000000}"/>
    <cellStyle name="20% - 강조색1 3 2 2" xfId="10582" xr:uid="{00000000-0005-0000-0000-000043000000}"/>
    <cellStyle name="20% - 강조색1 3 2 3" xfId="10583" xr:uid="{00000000-0005-0000-0000-000044000000}"/>
    <cellStyle name="20% - 강조색1 3 2 4" xfId="10584" xr:uid="{00000000-0005-0000-0000-000045000000}"/>
    <cellStyle name="20% - 강조색1 3 3" xfId="10585" xr:uid="{00000000-0005-0000-0000-000046000000}"/>
    <cellStyle name="20% - 강조색1 3 3 2" xfId="10586" xr:uid="{00000000-0005-0000-0000-000047000000}"/>
    <cellStyle name="20% - 강조색1 3 3 3" xfId="10587" xr:uid="{00000000-0005-0000-0000-000048000000}"/>
    <cellStyle name="20% - 강조색1 3 3 4" xfId="10588" xr:uid="{00000000-0005-0000-0000-000049000000}"/>
    <cellStyle name="20% - 강조색1 3 4" xfId="10589" xr:uid="{00000000-0005-0000-0000-00004A000000}"/>
    <cellStyle name="20% - 강조색1 3 5" xfId="10590" xr:uid="{00000000-0005-0000-0000-00004B000000}"/>
    <cellStyle name="20% - 강조색1 3 6" xfId="10591" xr:uid="{00000000-0005-0000-0000-00004C000000}"/>
    <cellStyle name="20% - 강조색1 3 7" xfId="14670" xr:uid="{00000000-0005-0000-0000-00004D000000}"/>
    <cellStyle name="20% - 강조색1 3 7 2" xfId="31021" xr:uid="{00000000-0005-0000-0000-00004E000000}"/>
    <cellStyle name="20% - 강조색1 3 7 3" xfId="17721" xr:uid="{00000000-0005-0000-0000-00004F000000}"/>
    <cellStyle name="20% - 강조색1 3 8" xfId="17722" xr:uid="{00000000-0005-0000-0000-000050000000}"/>
    <cellStyle name="20% - 강조색1 4" xfId="10592" xr:uid="{00000000-0005-0000-0000-000051000000}"/>
    <cellStyle name="20% - 강조색1 4 2" xfId="10593" xr:uid="{00000000-0005-0000-0000-000052000000}"/>
    <cellStyle name="20% - 강조색1 4 2 2" xfId="10594" xr:uid="{00000000-0005-0000-0000-000053000000}"/>
    <cellStyle name="20% - 강조색1 4 2 3" xfId="10595" xr:uid="{00000000-0005-0000-0000-000054000000}"/>
    <cellStyle name="20% - 강조색1 4 2 4" xfId="10596" xr:uid="{00000000-0005-0000-0000-000055000000}"/>
    <cellStyle name="20% - 강조색1 4 3" xfId="10597" xr:uid="{00000000-0005-0000-0000-000056000000}"/>
    <cellStyle name="20% - 강조색1 4 3 2" xfId="10598" xr:uid="{00000000-0005-0000-0000-000057000000}"/>
    <cellStyle name="20% - 강조색1 4 3 3" xfId="10599" xr:uid="{00000000-0005-0000-0000-000058000000}"/>
    <cellStyle name="20% - 강조색1 4 3 4" xfId="10600" xr:uid="{00000000-0005-0000-0000-000059000000}"/>
    <cellStyle name="20% - 강조색1 4 4" xfId="10601" xr:uid="{00000000-0005-0000-0000-00005A000000}"/>
    <cellStyle name="20% - 강조색1 4 5" xfId="10602" xr:uid="{00000000-0005-0000-0000-00005B000000}"/>
    <cellStyle name="20% - 강조색1 4 6" xfId="10603" xr:uid="{00000000-0005-0000-0000-00005C000000}"/>
    <cellStyle name="20% - 강조색1 4 7" xfId="14671" xr:uid="{00000000-0005-0000-0000-00005D000000}"/>
    <cellStyle name="20% - 강조색1 4 7 2" xfId="31022" xr:uid="{00000000-0005-0000-0000-00005E000000}"/>
    <cellStyle name="20% - 강조색1 4 7 3" xfId="17723" xr:uid="{00000000-0005-0000-0000-00005F000000}"/>
    <cellStyle name="20% - 강조색1 4 8" xfId="17724" xr:uid="{00000000-0005-0000-0000-000060000000}"/>
    <cellStyle name="20% - 강조색1 5" xfId="10604" xr:uid="{00000000-0005-0000-0000-000061000000}"/>
    <cellStyle name="20% - 강조색1 5 2" xfId="10605" xr:uid="{00000000-0005-0000-0000-000062000000}"/>
    <cellStyle name="20% - 강조색1 5 2 2" xfId="10606" xr:uid="{00000000-0005-0000-0000-000063000000}"/>
    <cellStyle name="20% - 강조색1 5 2 3" xfId="10607" xr:uid="{00000000-0005-0000-0000-000064000000}"/>
    <cellStyle name="20% - 강조색1 5 2 4" xfId="10608" xr:uid="{00000000-0005-0000-0000-000065000000}"/>
    <cellStyle name="20% - 강조색1 5 3" xfId="10609" xr:uid="{00000000-0005-0000-0000-000066000000}"/>
    <cellStyle name="20% - 강조색1 5 3 2" xfId="10610" xr:uid="{00000000-0005-0000-0000-000067000000}"/>
    <cellStyle name="20% - 강조색1 5 3 3" xfId="10611" xr:uid="{00000000-0005-0000-0000-000068000000}"/>
    <cellStyle name="20% - 강조색1 5 3 4" xfId="10612" xr:uid="{00000000-0005-0000-0000-000069000000}"/>
    <cellStyle name="20% - 강조색1 5 4" xfId="10613" xr:uid="{00000000-0005-0000-0000-00006A000000}"/>
    <cellStyle name="20% - 강조색1 5 5" xfId="10614" xr:uid="{00000000-0005-0000-0000-00006B000000}"/>
    <cellStyle name="20% - 강조색1 5 6" xfId="10615" xr:uid="{00000000-0005-0000-0000-00006C000000}"/>
    <cellStyle name="20% - 강조색1 5 7" xfId="14672" xr:uid="{00000000-0005-0000-0000-00006D000000}"/>
    <cellStyle name="20% - 강조색1 5 7 2" xfId="31023" xr:uid="{00000000-0005-0000-0000-00006E000000}"/>
    <cellStyle name="20% - 강조색1 5 7 3" xfId="17725" xr:uid="{00000000-0005-0000-0000-00006F000000}"/>
    <cellStyle name="20% - 강조색1 5 8" xfId="17726" xr:uid="{00000000-0005-0000-0000-000070000000}"/>
    <cellStyle name="20% - 강조색1 6" xfId="10616" xr:uid="{00000000-0005-0000-0000-000071000000}"/>
    <cellStyle name="20% - 강조색1 6 2" xfId="10617" xr:uid="{00000000-0005-0000-0000-000072000000}"/>
    <cellStyle name="20% - 강조색1 6 3" xfId="10618" xr:uid="{00000000-0005-0000-0000-000073000000}"/>
    <cellStyle name="20% - 강조색1 6 4" xfId="10619" xr:uid="{00000000-0005-0000-0000-000074000000}"/>
    <cellStyle name="20% - 강조색1 7" xfId="10620" xr:uid="{00000000-0005-0000-0000-000075000000}"/>
    <cellStyle name="20% - 강조색1 7 2" xfId="10621" xr:uid="{00000000-0005-0000-0000-000076000000}"/>
    <cellStyle name="20% - 강조색1 7 3" xfId="10622" xr:uid="{00000000-0005-0000-0000-000077000000}"/>
    <cellStyle name="20% - 강조색1 7 4" xfId="10623" xr:uid="{00000000-0005-0000-0000-000078000000}"/>
    <cellStyle name="20% - 강조색1 8" xfId="10624" xr:uid="{00000000-0005-0000-0000-000079000000}"/>
    <cellStyle name="20% - 강조색1 8 2" xfId="10625" xr:uid="{00000000-0005-0000-0000-00007A000000}"/>
    <cellStyle name="20% - 강조색1 8 3" xfId="10626" xr:uid="{00000000-0005-0000-0000-00007B000000}"/>
    <cellStyle name="20% - 강조색1 8 4" xfId="10627" xr:uid="{00000000-0005-0000-0000-00007C000000}"/>
    <cellStyle name="20% - 강조색1 9" xfId="10628" xr:uid="{00000000-0005-0000-0000-00007D000000}"/>
    <cellStyle name="20% - 강조색2" xfId="17195" builtinId="34" customBuiltin="1"/>
    <cellStyle name="20% - 강조색2 10" xfId="10629" xr:uid="{00000000-0005-0000-0000-00007F000000}"/>
    <cellStyle name="20% - 강조색2 11" xfId="10630" xr:uid="{00000000-0005-0000-0000-000080000000}"/>
    <cellStyle name="20% - 강조색2 12" xfId="10631" xr:uid="{00000000-0005-0000-0000-000081000000}"/>
    <cellStyle name="20% - 강조색2 13" xfId="17081" xr:uid="{00000000-0005-0000-0000-000082000000}"/>
    <cellStyle name="20% - 강조색2 13 2" xfId="21538" xr:uid="{00000000-0005-0000-0000-000083000000}"/>
    <cellStyle name="20% - 강조색2 14" xfId="20504" xr:uid="{00000000-0005-0000-0000-000084000000}"/>
    <cellStyle name="20% - 강조색2 2" xfId="10632" xr:uid="{00000000-0005-0000-0000-000085000000}"/>
    <cellStyle name="20% - 강조색2 2 10" xfId="10633" xr:uid="{00000000-0005-0000-0000-000086000000}"/>
    <cellStyle name="20% - 강조색2 2 11" xfId="10634" xr:uid="{00000000-0005-0000-0000-000087000000}"/>
    <cellStyle name="20% - 강조색2 2 12" xfId="14673" xr:uid="{00000000-0005-0000-0000-000088000000}"/>
    <cellStyle name="20% - 강조색2 2 12 2" xfId="21163" xr:uid="{00000000-0005-0000-0000-000089000000}"/>
    <cellStyle name="20% - 강조색2 2 12 3" xfId="31024" xr:uid="{00000000-0005-0000-0000-00008A000000}"/>
    <cellStyle name="20% - 강조색2 2 12 4" xfId="17334" xr:uid="{00000000-0005-0000-0000-00008B000000}"/>
    <cellStyle name="20% - 강조색2 2 13" xfId="17727" xr:uid="{00000000-0005-0000-0000-00008C000000}"/>
    <cellStyle name="20% - 강조색2 2 2" xfId="10635" xr:uid="{00000000-0005-0000-0000-00008D000000}"/>
    <cellStyle name="20% - 강조색2 2 2 2" xfId="10636" xr:uid="{00000000-0005-0000-0000-00008E000000}"/>
    <cellStyle name="20% - 강조색2 2 2 2 2" xfId="10637" xr:uid="{00000000-0005-0000-0000-00008F000000}"/>
    <cellStyle name="20% - 강조색2 2 2 2 3" xfId="10638" xr:uid="{00000000-0005-0000-0000-000090000000}"/>
    <cellStyle name="20% - 강조색2 2 2 2 4" xfId="10639" xr:uid="{00000000-0005-0000-0000-000091000000}"/>
    <cellStyle name="20% - 강조색2 2 2 3" xfId="10640" xr:uid="{00000000-0005-0000-0000-000092000000}"/>
    <cellStyle name="20% - 강조색2 2 2 3 2" xfId="10641" xr:uid="{00000000-0005-0000-0000-000093000000}"/>
    <cellStyle name="20% - 강조색2 2 2 3 3" xfId="10642" xr:uid="{00000000-0005-0000-0000-000094000000}"/>
    <cellStyle name="20% - 강조색2 2 2 3 4" xfId="10643" xr:uid="{00000000-0005-0000-0000-000095000000}"/>
    <cellStyle name="20% - 강조색2 2 2 4" xfId="10644" xr:uid="{00000000-0005-0000-0000-000096000000}"/>
    <cellStyle name="20% - 강조색2 2 2 5" xfId="10645" xr:uid="{00000000-0005-0000-0000-000097000000}"/>
    <cellStyle name="20% - 강조색2 2 2 6" xfId="10646" xr:uid="{00000000-0005-0000-0000-000098000000}"/>
    <cellStyle name="20% - 강조색2 2 3" xfId="10647" xr:uid="{00000000-0005-0000-0000-000099000000}"/>
    <cellStyle name="20% - 강조색2 2 3 2" xfId="10648" xr:uid="{00000000-0005-0000-0000-00009A000000}"/>
    <cellStyle name="20% - 강조색2 2 3 2 2" xfId="10649" xr:uid="{00000000-0005-0000-0000-00009B000000}"/>
    <cellStyle name="20% - 강조색2 2 3 2 3" xfId="10650" xr:uid="{00000000-0005-0000-0000-00009C000000}"/>
    <cellStyle name="20% - 강조색2 2 3 2 4" xfId="10651" xr:uid="{00000000-0005-0000-0000-00009D000000}"/>
    <cellStyle name="20% - 강조색2 2 3 3" xfId="10652" xr:uid="{00000000-0005-0000-0000-00009E000000}"/>
    <cellStyle name="20% - 강조색2 2 3 3 2" xfId="10653" xr:uid="{00000000-0005-0000-0000-00009F000000}"/>
    <cellStyle name="20% - 강조색2 2 3 3 3" xfId="10654" xr:uid="{00000000-0005-0000-0000-0000A0000000}"/>
    <cellStyle name="20% - 강조색2 2 3 3 4" xfId="10655" xr:uid="{00000000-0005-0000-0000-0000A1000000}"/>
    <cellStyle name="20% - 강조색2 2 3 4" xfId="10656" xr:uid="{00000000-0005-0000-0000-0000A2000000}"/>
    <cellStyle name="20% - 강조색2 2 3 5" xfId="10657" xr:uid="{00000000-0005-0000-0000-0000A3000000}"/>
    <cellStyle name="20% - 강조색2 2 3 6" xfId="10658" xr:uid="{00000000-0005-0000-0000-0000A4000000}"/>
    <cellStyle name="20% - 강조색2 2 4" xfId="10659" xr:uid="{00000000-0005-0000-0000-0000A5000000}"/>
    <cellStyle name="20% - 강조색2 2 4 2" xfId="10660" xr:uid="{00000000-0005-0000-0000-0000A6000000}"/>
    <cellStyle name="20% - 강조색2 2 4 2 2" xfId="10661" xr:uid="{00000000-0005-0000-0000-0000A7000000}"/>
    <cellStyle name="20% - 강조색2 2 4 2 3" xfId="10662" xr:uid="{00000000-0005-0000-0000-0000A8000000}"/>
    <cellStyle name="20% - 강조색2 2 4 2 4" xfId="10663" xr:uid="{00000000-0005-0000-0000-0000A9000000}"/>
    <cellStyle name="20% - 강조색2 2 4 3" xfId="10664" xr:uid="{00000000-0005-0000-0000-0000AA000000}"/>
    <cellStyle name="20% - 강조색2 2 4 3 2" xfId="10665" xr:uid="{00000000-0005-0000-0000-0000AB000000}"/>
    <cellStyle name="20% - 강조색2 2 4 3 3" xfId="10666" xr:uid="{00000000-0005-0000-0000-0000AC000000}"/>
    <cellStyle name="20% - 강조색2 2 4 3 4" xfId="10667" xr:uid="{00000000-0005-0000-0000-0000AD000000}"/>
    <cellStyle name="20% - 강조색2 2 4 4" xfId="10668" xr:uid="{00000000-0005-0000-0000-0000AE000000}"/>
    <cellStyle name="20% - 강조색2 2 4 5" xfId="10669" xr:uid="{00000000-0005-0000-0000-0000AF000000}"/>
    <cellStyle name="20% - 강조색2 2 4 6" xfId="10670" xr:uid="{00000000-0005-0000-0000-0000B0000000}"/>
    <cellStyle name="20% - 강조색2 2 5" xfId="10671" xr:uid="{00000000-0005-0000-0000-0000B1000000}"/>
    <cellStyle name="20% - 강조색2 2 5 2" xfId="10672" xr:uid="{00000000-0005-0000-0000-0000B2000000}"/>
    <cellStyle name="20% - 강조색2 2 5 3" xfId="10673" xr:uid="{00000000-0005-0000-0000-0000B3000000}"/>
    <cellStyle name="20% - 강조색2 2 5 4" xfId="10674" xr:uid="{00000000-0005-0000-0000-0000B4000000}"/>
    <cellStyle name="20% - 강조색2 2 6" xfId="10675" xr:uid="{00000000-0005-0000-0000-0000B5000000}"/>
    <cellStyle name="20% - 강조색2 2 6 2" xfId="10676" xr:uid="{00000000-0005-0000-0000-0000B6000000}"/>
    <cellStyle name="20% - 강조색2 2 6 3" xfId="10677" xr:uid="{00000000-0005-0000-0000-0000B7000000}"/>
    <cellStyle name="20% - 강조색2 2 6 4" xfId="10678" xr:uid="{00000000-0005-0000-0000-0000B8000000}"/>
    <cellStyle name="20% - 강조색2 2 7" xfId="10679" xr:uid="{00000000-0005-0000-0000-0000B9000000}"/>
    <cellStyle name="20% - 강조색2 2 7 2" xfId="10680" xr:uid="{00000000-0005-0000-0000-0000BA000000}"/>
    <cellStyle name="20% - 강조색2 2 7 3" xfId="10681" xr:uid="{00000000-0005-0000-0000-0000BB000000}"/>
    <cellStyle name="20% - 강조색2 2 7 4" xfId="10682" xr:uid="{00000000-0005-0000-0000-0000BC000000}"/>
    <cellStyle name="20% - 강조색2 2 8" xfId="10683" xr:uid="{00000000-0005-0000-0000-0000BD000000}"/>
    <cellStyle name="20% - 강조색2 2 9" xfId="10684" xr:uid="{00000000-0005-0000-0000-0000BE000000}"/>
    <cellStyle name="20% - 강조색2 3" xfId="10685" xr:uid="{00000000-0005-0000-0000-0000BF000000}"/>
    <cellStyle name="20% - 강조색2 3 2" xfId="10686" xr:uid="{00000000-0005-0000-0000-0000C0000000}"/>
    <cellStyle name="20% - 강조색2 3 2 2" xfId="10687" xr:uid="{00000000-0005-0000-0000-0000C1000000}"/>
    <cellStyle name="20% - 강조색2 3 2 3" xfId="10688" xr:uid="{00000000-0005-0000-0000-0000C2000000}"/>
    <cellStyle name="20% - 강조색2 3 2 4" xfId="10689" xr:uid="{00000000-0005-0000-0000-0000C3000000}"/>
    <cellStyle name="20% - 강조색2 3 3" xfId="10690" xr:uid="{00000000-0005-0000-0000-0000C4000000}"/>
    <cellStyle name="20% - 강조색2 3 3 2" xfId="10691" xr:uid="{00000000-0005-0000-0000-0000C5000000}"/>
    <cellStyle name="20% - 강조색2 3 3 3" xfId="10692" xr:uid="{00000000-0005-0000-0000-0000C6000000}"/>
    <cellStyle name="20% - 강조색2 3 3 4" xfId="10693" xr:uid="{00000000-0005-0000-0000-0000C7000000}"/>
    <cellStyle name="20% - 강조색2 3 4" xfId="10694" xr:uid="{00000000-0005-0000-0000-0000C8000000}"/>
    <cellStyle name="20% - 강조색2 3 5" xfId="10695" xr:uid="{00000000-0005-0000-0000-0000C9000000}"/>
    <cellStyle name="20% - 강조색2 3 6" xfId="10696" xr:uid="{00000000-0005-0000-0000-0000CA000000}"/>
    <cellStyle name="20% - 강조색2 3 7" xfId="14674" xr:uid="{00000000-0005-0000-0000-0000CB000000}"/>
    <cellStyle name="20% - 강조색2 3 7 2" xfId="31025" xr:uid="{00000000-0005-0000-0000-0000CC000000}"/>
    <cellStyle name="20% - 강조색2 3 7 3" xfId="17728" xr:uid="{00000000-0005-0000-0000-0000CD000000}"/>
    <cellStyle name="20% - 강조색2 3 8" xfId="17729" xr:uid="{00000000-0005-0000-0000-0000CE000000}"/>
    <cellStyle name="20% - 강조색2 4" xfId="10697" xr:uid="{00000000-0005-0000-0000-0000CF000000}"/>
    <cellStyle name="20% - 강조색2 4 2" xfId="10698" xr:uid="{00000000-0005-0000-0000-0000D0000000}"/>
    <cellStyle name="20% - 강조색2 4 2 2" xfId="10699" xr:uid="{00000000-0005-0000-0000-0000D1000000}"/>
    <cellStyle name="20% - 강조색2 4 2 3" xfId="10700" xr:uid="{00000000-0005-0000-0000-0000D2000000}"/>
    <cellStyle name="20% - 강조색2 4 2 4" xfId="10701" xr:uid="{00000000-0005-0000-0000-0000D3000000}"/>
    <cellStyle name="20% - 강조색2 4 3" xfId="10702" xr:uid="{00000000-0005-0000-0000-0000D4000000}"/>
    <cellStyle name="20% - 강조색2 4 3 2" xfId="10703" xr:uid="{00000000-0005-0000-0000-0000D5000000}"/>
    <cellStyle name="20% - 강조색2 4 3 3" xfId="10704" xr:uid="{00000000-0005-0000-0000-0000D6000000}"/>
    <cellStyle name="20% - 강조색2 4 3 4" xfId="10705" xr:uid="{00000000-0005-0000-0000-0000D7000000}"/>
    <cellStyle name="20% - 강조색2 4 4" xfId="10706" xr:uid="{00000000-0005-0000-0000-0000D8000000}"/>
    <cellStyle name="20% - 강조색2 4 5" xfId="10707" xr:uid="{00000000-0005-0000-0000-0000D9000000}"/>
    <cellStyle name="20% - 강조색2 4 6" xfId="10708" xr:uid="{00000000-0005-0000-0000-0000DA000000}"/>
    <cellStyle name="20% - 강조색2 4 7" xfId="14675" xr:uid="{00000000-0005-0000-0000-0000DB000000}"/>
    <cellStyle name="20% - 강조색2 4 7 2" xfId="31026" xr:uid="{00000000-0005-0000-0000-0000DC000000}"/>
    <cellStyle name="20% - 강조색2 4 7 3" xfId="17730" xr:uid="{00000000-0005-0000-0000-0000DD000000}"/>
    <cellStyle name="20% - 강조색2 4 8" xfId="17731" xr:uid="{00000000-0005-0000-0000-0000DE000000}"/>
    <cellStyle name="20% - 강조색2 5" xfId="10709" xr:uid="{00000000-0005-0000-0000-0000DF000000}"/>
    <cellStyle name="20% - 강조색2 5 2" xfId="10710" xr:uid="{00000000-0005-0000-0000-0000E0000000}"/>
    <cellStyle name="20% - 강조색2 5 2 2" xfId="10711" xr:uid="{00000000-0005-0000-0000-0000E1000000}"/>
    <cellStyle name="20% - 강조색2 5 2 3" xfId="10712" xr:uid="{00000000-0005-0000-0000-0000E2000000}"/>
    <cellStyle name="20% - 강조색2 5 2 4" xfId="10713" xr:uid="{00000000-0005-0000-0000-0000E3000000}"/>
    <cellStyle name="20% - 강조색2 5 3" xfId="10714" xr:uid="{00000000-0005-0000-0000-0000E4000000}"/>
    <cellStyle name="20% - 강조색2 5 3 2" xfId="10715" xr:uid="{00000000-0005-0000-0000-0000E5000000}"/>
    <cellStyle name="20% - 강조색2 5 3 3" xfId="10716" xr:uid="{00000000-0005-0000-0000-0000E6000000}"/>
    <cellStyle name="20% - 강조색2 5 3 4" xfId="10717" xr:uid="{00000000-0005-0000-0000-0000E7000000}"/>
    <cellStyle name="20% - 강조색2 5 4" xfId="10718" xr:uid="{00000000-0005-0000-0000-0000E8000000}"/>
    <cellStyle name="20% - 강조색2 5 5" xfId="10719" xr:uid="{00000000-0005-0000-0000-0000E9000000}"/>
    <cellStyle name="20% - 강조색2 5 6" xfId="10720" xr:uid="{00000000-0005-0000-0000-0000EA000000}"/>
    <cellStyle name="20% - 강조색2 5 7" xfId="14676" xr:uid="{00000000-0005-0000-0000-0000EB000000}"/>
    <cellStyle name="20% - 강조색2 5 7 2" xfId="31027" xr:uid="{00000000-0005-0000-0000-0000EC000000}"/>
    <cellStyle name="20% - 강조색2 5 7 3" xfId="17732" xr:uid="{00000000-0005-0000-0000-0000ED000000}"/>
    <cellStyle name="20% - 강조색2 5 8" xfId="17733" xr:uid="{00000000-0005-0000-0000-0000EE000000}"/>
    <cellStyle name="20% - 강조색2 6" xfId="10721" xr:uid="{00000000-0005-0000-0000-0000EF000000}"/>
    <cellStyle name="20% - 강조색2 6 2" xfId="10722" xr:uid="{00000000-0005-0000-0000-0000F0000000}"/>
    <cellStyle name="20% - 강조색2 6 3" xfId="10723" xr:uid="{00000000-0005-0000-0000-0000F1000000}"/>
    <cellStyle name="20% - 강조색2 6 4" xfId="10724" xr:uid="{00000000-0005-0000-0000-0000F2000000}"/>
    <cellStyle name="20% - 강조색2 7" xfId="10725" xr:uid="{00000000-0005-0000-0000-0000F3000000}"/>
    <cellStyle name="20% - 강조색2 7 2" xfId="10726" xr:uid="{00000000-0005-0000-0000-0000F4000000}"/>
    <cellStyle name="20% - 강조색2 7 3" xfId="10727" xr:uid="{00000000-0005-0000-0000-0000F5000000}"/>
    <cellStyle name="20% - 강조색2 7 4" xfId="10728" xr:uid="{00000000-0005-0000-0000-0000F6000000}"/>
    <cellStyle name="20% - 강조색2 8" xfId="10729" xr:uid="{00000000-0005-0000-0000-0000F7000000}"/>
    <cellStyle name="20% - 강조색2 8 2" xfId="10730" xr:uid="{00000000-0005-0000-0000-0000F8000000}"/>
    <cellStyle name="20% - 강조색2 8 3" xfId="10731" xr:uid="{00000000-0005-0000-0000-0000F9000000}"/>
    <cellStyle name="20% - 강조색2 8 4" xfId="10732" xr:uid="{00000000-0005-0000-0000-0000FA000000}"/>
    <cellStyle name="20% - 강조색2 9" xfId="10733" xr:uid="{00000000-0005-0000-0000-0000FB000000}"/>
    <cellStyle name="20% - 강조색3" xfId="17199" builtinId="38" customBuiltin="1"/>
    <cellStyle name="20% - 강조색3 10" xfId="10734" xr:uid="{00000000-0005-0000-0000-0000FD000000}"/>
    <cellStyle name="20% - 강조색3 11" xfId="10735" xr:uid="{00000000-0005-0000-0000-0000FE000000}"/>
    <cellStyle name="20% - 강조색3 12" xfId="10736" xr:uid="{00000000-0005-0000-0000-0000FF000000}"/>
    <cellStyle name="20% - 강조색3 13" xfId="17082" xr:uid="{00000000-0005-0000-0000-000000010000}"/>
    <cellStyle name="20% - 강조색3 13 2" xfId="21542" xr:uid="{00000000-0005-0000-0000-000001010000}"/>
    <cellStyle name="20% - 강조색3 14" xfId="20508" xr:uid="{00000000-0005-0000-0000-000002010000}"/>
    <cellStyle name="20% - 강조색3 2" xfId="10737" xr:uid="{00000000-0005-0000-0000-000003010000}"/>
    <cellStyle name="20% - 강조색3 2 10" xfId="10738" xr:uid="{00000000-0005-0000-0000-000004010000}"/>
    <cellStyle name="20% - 강조색3 2 11" xfId="10739" xr:uid="{00000000-0005-0000-0000-000005010000}"/>
    <cellStyle name="20% - 강조색3 2 12" xfId="14677" xr:uid="{00000000-0005-0000-0000-000006010000}"/>
    <cellStyle name="20% - 강조색3 2 12 2" xfId="21164" xr:uid="{00000000-0005-0000-0000-000007010000}"/>
    <cellStyle name="20% - 강조색3 2 12 3" xfId="31028" xr:uid="{00000000-0005-0000-0000-000008010000}"/>
    <cellStyle name="20% - 강조색3 2 12 4" xfId="17335" xr:uid="{00000000-0005-0000-0000-000009010000}"/>
    <cellStyle name="20% - 강조색3 2 13" xfId="17734" xr:uid="{00000000-0005-0000-0000-00000A010000}"/>
    <cellStyle name="20% - 강조색3 2 2" xfId="10740" xr:uid="{00000000-0005-0000-0000-00000B010000}"/>
    <cellStyle name="20% - 강조색3 2 2 2" xfId="10741" xr:uid="{00000000-0005-0000-0000-00000C010000}"/>
    <cellStyle name="20% - 강조색3 2 2 2 2" xfId="10742" xr:uid="{00000000-0005-0000-0000-00000D010000}"/>
    <cellStyle name="20% - 강조색3 2 2 2 3" xfId="10743" xr:uid="{00000000-0005-0000-0000-00000E010000}"/>
    <cellStyle name="20% - 강조색3 2 2 2 4" xfId="10744" xr:uid="{00000000-0005-0000-0000-00000F010000}"/>
    <cellStyle name="20% - 강조색3 2 2 3" xfId="10745" xr:uid="{00000000-0005-0000-0000-000010010000}"/>
    <cellStyle name="20% - 강조색3 2 2 3 2" xfId="10746" xr:uid="{00000000-0005-0000-0000-000011010000}"/>
    <cellStyle name="20% - 강조색3 2 2 3 3" xfId="10747" xr:uid="{00000000-0005-0000-0000-000012010000}"/>
    <cellStyle name="20% - 강조색3 2 2 3 4" xfId="10748" xr:uid="{00000000-0005-0000-0000-000013010000}"/>
    <cellStyle name="20% - 강조색3 2 2 4" xfId="10749" xr:uid="{00000000-0005-0000-0000-000014010000}"/>
    <cellStyle name="20% - 강조색3 2 2 5" xfId="10750" xr:uid="{00000000-0005-0000-0000-000015010000}"/>
    <cellStyle name="20% - 강조색3 2 2 6" xfId="10751" xr:uid="{00000000-0005-0000-0000-000016010000}"/>
    <cellStyle name="20% - 강조색3 2 3" xfId="10752" xr:uid="{00000000-0005-0000-0000-000017010000}"/>
    <cellStyle name="20% - 강조색3 2 3 2" xfId="10753" xr:uid="{00000000-0005-0000-0000-000018010000}"/>
    <cellStyle name="20% - 강조색3 2 3 2 2" xfId="10754" xr:uid="{00000000-0005-0000-0000-000019010000}"/>
    <cellStyle name="20% - 강조색3 2 3 2 3" xfId="10755" xr:uid="{00000000-0005-0000-0000-00001A010000}"/>
    <cellStyle name="20% - 강조색3 2 3 2 4" xfId="10756" xr:uid="{00000000-0005-0000-0000-00001B010000}"/>
    <cellStyle name="20% - 강조색3 2 3 3" xfId="10757" xr:uid="{00000000-0005-0000-0000-00001C010000}"/>
    <cellStyle name="20% - 강조색3 2 3 3 2" xfId="10758" xr:uid="{00000000-0005-0000-0000-00001D010000}"/>
    <cellStyle name="20% - 강조색3 2 3 3 3" xfId="10759" xr:uid="{00000000-0005-0000-0000-00001E010000}"/>
    <cellStyle name="20% - 강조색3 2 3 3 4" xfId="10760" xr:uid="{00000000-0005-0000-0000-00001F010000}"/>
    <cellStyle name="20% - 강조색3 2 3 4" xfId="10761" xr:uid="{00000000-0005-0000-0000-000020010000}"/>
    <cellStyle name="20% - 강조색3 2 3 5" xfId="10762" xr:uid="{00000000-0005-0000-0000-000021010000}"/>
    <cellStyle name="20% - 강조색3 2 3 6" xfId="10763" xr:uid="{00000000-0005-0000-0000-000022010000}"/>
    <cellStyle name="20% - 강조색3 2 4" xfId="10764" xr:uid="{00000000-0005-0000-0000-000023010000}"/>
    <cellStyle name="20% - 강조색3 2 4 2" xfId="10765" xr:uid="{00000000-0005-0000-0000-000024010000}"/>
    <cellStyle name="20% - 강조색3 2 4 2 2" xfId="10766" xr:uid="{00000000-0005-0000-0000-000025010000}"/>
    <cellStyle name="20% - 강조색3 2 4 2 3" xfId="10767" xr:uid="{00000000-0005-0000-0000-000026010000}"/>
    <cellStyle name="20% - 강조색3 2 4 2 4" xfId="10768" xr:uid="{00000000-0005-0000-0000-000027010000}"/>
    <cellStyle name="20% - 강조색3 2 4 3" xfId="10769" xr:uid="{00000000-0005-0000-0000-000028010000}"/>
    <cellStyle name="20% - 강조색3 2 4 3 2" xfId="10770" xr:uid="{00000000-0005-0000-0000-000029010000}"/>
    <cellStyle name="20% - 강조색3 2 4 3 3" xfId="10771" xr:uid="{00000000-0005-0000-0000-00002A010000}"/>
    <cellStyle name="20% - 강조색3 2 4 3 4" xfId="10772" xr:uid="{00000000-0005-0000-0000-00002B010000}"/>
    <cellStyle name="20% - 강조색3 2 4 4" xfId="10773" xr:uid="{00000000-0005-0000-0000-00002C010000}"/>
    <cellStyle name="20% - 강조색3 2 4 5" xfId="10774" xr:uid="{00000000-0005-0000-0000-00002D010000}"/>
    <cellStyle name="20% - 강조색3 2 4 6" xfId="10775" xr:uid="{00000000-0005-0000-0000-00002E010000}"/>
    <cellStyle name="20% - 강조색3 2 5" xfId="10776" xr:uid="{00000000-0005-0000-0000-00002F010000}"/>
    <cellStyle name="20% - 강조색3 2 5 2" xfId="10777" xr:uid="{00000000-0005-0000-0000-000030010000}"/>
    <cellStyle name="20% - 강조색3 2 5 3" xfId="10778" xr:uid="{00000000-0005-0000-0000-000031010000}"/>
    <cellStyle name="20% - 강조색3 2 5 4" xfId="10779" xr:uid="{00000000-0005-0000-0000-000032010000}"/>
    <cellStyle name="20% - 강조색3 2 6" xfId="10780" xr:uid="{00000000-0005-0000-0000-000033010000}"/>
    <cellStyle name="20% - 강조색3 2 6 2" xfId="10781" xr:uid="{00000000-0005-0000-0000-000034010000}"/>
    <cellStyle name="20% - 강조색3 2 6 3" xfId="10782" xr:uid="{00000000-0005-0000-0000-000035010000}"/>
    <cellStyle name="20% - 강조색3 2 6 4" xfId="10783" xr:uid="{00000000-0005-0000-0000-000036010000}"/>
    <cellStyle name="20% - 강조색3 2 7" xfId="10784" xr:uid="{00000000-0005-0000-0000-000037010000}"/>
    <cellStyle name="20% - 강조색3 2 7 2" xfId="10785" xr:uid="{00000000-0005-0000-0000-000038010000}"/>
    <cellStyle name="20% - 강조색3 2 7 3" xfId="10786" xr:uid="{00000000-0005-0000-0000-000039010000}"/>
    <cellStyle name="20% - 강조색3 2 7 4" xfId="10787" xr:uid="{00000000-0005-0000-0000-00003A010000}"/>
    <cellStyle name="20% - 강조색3 2 8" xfId="10788" xr:uid="{00000000-0005-0000-0000-00003B010000}"/>
    <cellStyle name="20% - 강조색3 2 9" xfId="10789" xr:uid="{00000000-0005-0000-0000-00003C010000}"/>
    <cellStyle name="20% - 강조색3 3" xfId="10790" xr:uid="{00000000-0005-0000-0000-00003D010000}"/>
    <cellStyle name="20% - 강조색3 3 2" xfId="10791" xr:uid="{00000000-0005-0000-0000-00003E010000}"/>
    <cellStyle name="20% - 강조색3 3 2 2" xfId="10792" xr:uid="{00000000-0005-0000-0000-00003F010000}"/>
    <cellStyle name="20% - 강조색3 3 2 3" xfId="10793" xr:uid="{00000000-0005-0000-0000-000040010000}"/>
    <cellStyle name="20% - 강조색3 3 2 4" xfId="10794" xr:uid="{00000000-0005-0000-0000-000041010000}"/>
    <cellStyle name="20% - 강조색3 3 3" xfId="10795" xr:uid="{00000000-0005-0000-0000-000042010000}"/>
    <cellStyle name="20% - 강조색3 3 3 2" xfId="10796" xr:uid="{00000000-0005-0000-0000-000043010000}"/>
    <cellStyle name="20% - 강조색3 3 3 3" xfId="10797" xr:uid="{00000000-0005-0000-0000-000044010000}"/>
    <cellStyle name="20% - 강조색3 3 3 4" xfId="10798" xr:uid="{00000000-0005-0000-0000-000045010000}"/>
    <cellStyle name="20% - 강조색3 3 4" xfId="10799" xr:uid="{00000000-0005-0000-0000-000046010000}"/>
    <cellStyle name="20% - 강조색3 3 5" xfId="10800" xr:uid="{00000000-0005-0000-0000-000047010000}"/>
    <cellStyle name="20% - 강조색3 3 6" xfId="10801" xr:uid="{00000000-0005-0000-0000-000048010000}"/>
    <cellStyle name="20% - 강조색3 3 7" xfId="14678" xr:uid="{00000000-0005-0000-0000-000049010000}"/>
    <cellStyle name="20% - 강조색3 3 7 2" xfId="31029" xr:uid="{00000000-0005-0000-0000-00004A010000}"/>
    <cellStyle name="20% - 강조색3 3 7 3" xfId="17735" xr:uid="{00000000-0005-0000-0000-00004B010000}"/>
    <cellStyle name="20% - 강조색3 3 8" xfId="17736" xr:uid="{00000000-0005-0000-0000-00004C010000}"/>
    <cellStyle name="20% - 강조색3 4" xfId="10802" xr:uid="{00000000-0005-0000-0000-00004D010000}"/>
    <cellStyle name="20% - 강조색3 4 2" xfId="10803" xr:uid="{00000000-0005-0000-0000-00004E010000}"/>
    <cellStyle name="20% - 강조색3 4 2 2" xfId="10804" xr:uid="{00000000-0005-0000-0000-00004F010000}"/>
    <cellStyle name="20% - 강조색3 4 2 3" xfId="10805" xr:uid="{00000000-0005-0000-0000-000050010000}"/>
    <cellStyle name="20% - 강조색3 4 2 4" xfId="10806" xr:uid="{00000000-0005-0000-0000-000051010000}"/>
    <cellStyle name="20% - 강조색3 4 3" xfId="10807" xr:uid="{00000000-0005-0000-0000-000052010000}"/>
    <cellStyle name="20% - 강조색3 4 3 2" xfId="10808" xr:uid="{00000000-0005-0000-0000-000053010000}"/>
    <cellStyle name="20% - 강조색3 4 3 3" xfId="10809" xr:uid="{00000000-0005-0000-0000-000054010000}"/>
    <cellStyle name="20% - 강조색3 4 3 4" xfId="10810" xr:uid="{00000000-0005-0000-0000-000055010000}"/>
    <cellStyle name="20% - 강조색3 4 4" xfId="10811" xr:uid="{00000000-0005-0000-0000-000056010000}"/>
    <cellStyle name="20% - 강조색3 4 5" xfId="10812" xr:uid="{00000000-0005-0000-0000-000057010000}"/>
    <cellStyle name="20% - 강조색3 4 6" xfId="10813" xr:uid="{00000000-0005-0000-0000-000058010000}"/>
    <cellStyle name="20% - 강조색3 4 7" xfId="14679" xr:uid="{00000000-0005-0000-0000-000059010000}"/>
    <cellStyle name="20% - 강조색3 4 7 2" xfId="31030" xr:uid="{00000000-0005-0000-0000-00005A010000}"/>
    <cellStyle name="20% - 강조색3 4 7 3" xfId="17737" xr:uid="{00000000-0005-0000-0000-00005B010000}"/>
    <cellStyle name="20% - 강조색3 4 8" xfId="17738" xr:uid="{00000000-0005-0000-0000-00005C010000}"/>
    <cellStyle name="20% - 강조색3 5" xfId="10814" xr:uid="{00000000-0005-0000-0000-00005D010000}"/>
    <cellStyle name="20% - 강조색3 5 2" xfId="10815" xr:uid="{00000000-0005-0000-0000-00005E010000}"/>
    <cellStyle name="20% - 강조색3 5 2 2" xfId="10816" xr:uid="{00000000-0005-0000-0000-00005F010000}"/>
    <cellStyle name="20% - 강조색3 5 2 3" xfId="10817" xr:uid="{00000000-0005-0000-0000-000060010000}"/>
    <cellStyle name="20% - 강조색3 5 2 4" xfId="10818" xr:uid="{00000000-0005-0000-0000-000061010000}"/>
    <cellStyle name="20% - 강조색3 5 3" xfId="10819" xr:uid="{00000000-0005-0000-0000-000062010000}"/>
    <cellStyle name="20% - 강조색3 5 3 2" xfId="10820" xr:uid="{00000000-0005-0000-0000-000063010000}"/>
    <cellStyle name="20% - 강조색3 5 3 3" xfId="10821" xr:uid="{00000000-0005-0000-0000-000064010000}"/>
    <cellStyle name="20% - 강조색3 5 3 4" xfId="10822" xr:uid="{00000000-0005-0000-0000-000065010000}"/>
    <cellStyle name="20% - 강조색3 5 4" xfId="10823" xr:uid="{00000000-0005-0000-0000-000066010000}"/>
    <cellStyle name="20% - 강조색3 5 5" xfId="10824" xr:uid="{00000000-0005-0000-0000-000067010000}"/>
    <cellStyle name="20% - 강조색3 5 6" xfId="10825" xr:uid="{00000000-0005-0000-0000-000068010000}"/>
    <cellStyle name="20% - 강조색3 5 7" xfId="14680" xr:uid="{00000000-0005-0000-0000-000069010000}"/>
    <cellStyle name="20% - 강조색3 5 7 2" xfId="31031" xr:uid="{00000000-0005-0000-0000-00006A010000}"/>
    <cellStyle name="20% - 강조색3 5 7 3" xfId="17739" xr:uid="{00000000-0005-0000-0000-00006B010000}"/>
    <cellStyle name="20% - 강조색3 5 8" xfId="17740" xr:uid="{00000000-0005-0000-0000-00006C010000}"/>
    <cellStyle name="20% - 강조색3 6" xfId="10826" xr:uid="{00000000-0005-0000-0000-00006D010000}"/>
    <cellStyle name="20% - 강조색3 6 2" xfId="10827" xr:uid="{00000000-0005-0000-0000-00006E010000}"/>
    <cellStyle name="20% - 강조색3 6 3" xfId="10828" xr:uid="{00000000-0005-0000-0000-00006F010000}"/>
    <cellStyle name="20% - 강조색3 6 4" xfId="10829" xr:uid="{00000000-0005-0000-0000-000070010000}"/>
    <cellStyle name="20% - 강조색3 7" xfId="10830" xr:uid="{00000000-0005-0000-0000-000071010000}"/>
    <cellStyle name="20% - 강조색3 7 2" xfId="10831" xr:uid="{00000000-0005-0000-0000-000072010000}"/>
    <cellStyle name="20% - 강조색3 7 3" xfId="10832" xr:uid="{00000000-0005-0000-0000-000073010000}"/>
    <cellStyle name="20% - 강조색3 7 4" xfId="10833" xr:uid="{00000000-0005-0000-0000-000074010000}"/>
    <cellStyle name="20% - 강조색3 8" xfId="10834" xr:uid="{00000000-0005-0000-0000-000075010000}"/>
    <cellStyle name="20% - 강조색3 8 2" xfId="10835" xr:uid="{00000000-0005-0000-0000-000076010000}"/>
    <cellStyle name="20% - 강조색3 8 3" xfId="10836" xr:uid="{00000000-0005-0000-0000-000077010000}"/>
    <cellStyle name="20% - 강조색3 8 4" xfId="10837" xr:uid="{00000000-0005-0000-0000-000078010000}"/>
    <cellStyle name="20% - 강조색3 9" xfId="10838" xr:uid="{00000000-0005-0000-0000-000079010000}"/>
    <cellStyle name="20% - 강조색4" xfId="17203" builtinId="42" customBuiltin="1"/>
    <cellStyle name="20% - 강조색4 10" xfId="10839" xr:uid="{00000000-0005-0000-0000-00007B010000}"/>
    <cellStyle name="20% - 강조색4 11" xfId="10840" xr:uid="{00000000-0005-0000-0000-00007C010000}"/>
    <cellStyle name="20% - 강조색4 12" xfId="10841" xr:uid="{00000000-0005-0000-0000-00007D010000}"/>
    <cellStyle name="20% - 강조색4 13" xfId="17083" xr:uid="{00000000-0005-0000-0000-00007E010000}"/>
    <cellStyle name="20% - 강조색4 13 2" xfId="21546" xr:uid="{00000000-0005-0000-0000-00007F010000}"/>
    <cellStyle name="20% - 강조색4 14" xfId="20512" xr:uid="{00000000-0005-0000-0000-000080010000}"/>
    <cellStyle name="20% - 강조색4 2" xfId="10842" xr:uid="{00000000-0005-0000-0000-000081010000}"/>
    <cellStyle name="20% - 강조색4 2 10" xfId="10843" xr:uid="{00000000-0005-0000-0000-000082010000}"/>
    <cellStyle name="20% - 강조색4 2 11" xfId="10844" xr:uid="{00000000-0005-0000-0000-000083010000}"/>
    <cellStyle name="20% - 강조색4 2 12" xfId="14681" xr:uid="{00000000-0005-0000-0000-000084010000}"/>
    <cellStyle name="20% - 강조색4 2 12 2" xfId="21165" xr:uid="{00000000-0005-0000-0000-000085010000}"/>
    <cellStyle name="20% - 강조색4 2 12 3" xfId="31032" xr:uid="{00000000-0005-0000-0000-000086010000}"/>
    <cellStyle name="20% - 강조색4 2 12 4" xfId="17336" xr:uid="{00000000-0005-0000-0000-000087010000}"/>
    <cellStyle name="20% - 강조색4 2 13" xfId="17741" xr:uid="{00000000-0005-0000-0000-000088010000}"/>
    <cellStyle name="20% - 강조색4 2 2" xfId="10845" xr:uid="{00000000-0005-0000-0000-000089010000}"/>
    <cellStyle name="20% - 강조색4 2 2 2" xfId="10846" xr:uid="{00000000-0005-0000-0000-00008A010000}"/>
    <cellStyle name="20% - 강조색4 2 2 2 2" xfId="10847" xr:uid="{00000000-0005-0000-0000-00008B010000}"/>
    <cellStyle name="20% - 강조색4 2 2 2 3" xfId="10848" xr:uid="{00000000-0005-0000-0000-00008C010000}"/>
    <cellStyle name="20% - 강조색4 2 2 2 4" xfId="10849" xr:uid="{00000000-0005-0000-0000-00008D010000}"/>
    <cellStyle name="20% - 강조색4 2 2 3" xfId="10850" xr:uid="{00000000-0005-0000-0000-00008E010000}"/>
    <cellStyle name="20% - 강조색4 2 2 3 2" xfId="10851" xr:uid="{00000000-0005-0000-0000-00008F010000}"/>
    <cellStyle name="20% - 강조색4 2 2 3 3" xfId="10852" xr:uid="{00000000-0005-0000-0000-000090010000}"/>
    <cellStyle name="20% - 강조색4 2 2 3 4" xfId="10853" xr:uid="{00000000-0005-0000-0000-000091010000}"/>
    <cellStyle name="20% - 강조색4 2 2 4" xfId="10854" xr:uid="{00000000-0005-0000-0000-000092010000}"/>
    <cellStyle name="20% - 강조색4 2 2 5" xfId="10855" xr:uid="{00000000-0005-0000-0000-000093010000}"/>
    <cellStyle name="20% - 강조색4 2 2 6" xfId="10856" xr:uid="{00000000-0005-0000-0000-000094010000}"/>
    <cellStyle name="20% - 강조색4 2 3" xfId="10857" xr:uid="{00000000-0005-0000-0000-000095010000}"/>
    <cellStyle name="20% - 강조색4 2 3 2" xfId="10858" xr:uid="{00000000-0005-0000-0000-000096010000}"/>
    <cellStyle name="20% - 강조색4 2 3 2 2" xfId="10859" xr:uid="{00000000-0005-0000-0000-000097010000}"/>
    <cellStyle name="20% - 강조색4 2 3 2 3" xfId="10860" xr:uid="{00000000-0005-0000-0000-000098010000}"/>
    <cellStyle name="20% - 강조색4 2 3 2 4" xfId="10861" xr:uid="{00000000-0005-0000-0000-000099010000}"/>
    <cellStyle name="20% - 강조색4 2 3 3" xfId="10862" xr:uid="{00000000-0005-0000-0000-00009A010000}"/>
    <cellStyle name="20% - 강조색4 2 3 3 2" xfId="10863" xr:uid="{00000000-0005-0000-0000-00009B010000}"/>
    <cellStyle name="20% - 강조색4 2 3 3 3" xfId="10864" xr:uid="{00000000-0005-0000-0000-00009C010000}"/>
    <cellStyle name="20% - 강조색4 2 3 3 4" xfId="10865" xr:uid="{00000000-0005-0000-0000-00009D010000}"/>
    <cellStyle name="20% - 강조색4 2 3 4" xfId="10866" xr:uid="{00000000-0005-0000-0000-00009E010000}"/>
    <cellStyle name="20% - 강조색4 2 3 5" xfId="10867" xr:uid="{00000000-0005-0000-0000-00009F010000}"/>
    <cellStyle name="20% - 강조색4 2 3 6" xfId="10868" xr:uid="{00000000-0005-0000-0000-0000A0010000}"/>
    <cellStyle name="20% - 강조색4 2 4" xfId="10869" xr:uid="{00000000-0005-0000-0000-0000A1010000}"/>
    <cellStyle name="20% - 강조색4 2 4 2" xfId="10870" xr:uid="{00000000-0005-0000-0000-0000A2010000}"/>
    <cellStyle name="20% - 강조색4 2 4 2 2" xfId="10871" xr:uid="{00000000-0005-0000-0000-0000A3010000}"/>
    <cellStyle name="20% - 강조색4 2 4 2 3" xfId="10872" xr:uid="{00000000-0005-0000-0000-0000A4010000}"/>
    <cellStyle name="20% - 강조색4 2 4 2 4" xfId="10873" xr:uid="{00000000-0005-0000-0000-0000A5010000}"/>
    <cellStyle name="20% - 강조색4 2 4 3" xfId="10874" xr:uid="{00000000-0005-0000-0000-0000A6010000}"/>
    <cellStyle name="20% - 강조색4 2 4 3 2" xfId="10875" xr:uid="{00000000-0005-0000-0000-0000A7010000}"/>
    <cellStyle name="20% - 강조색4 2 4 3 3" xfId="10876" xr:uid="{00000000-0005-0000-0000-0000A8010000}"/>
    <cellStyle name="20% - 강조색4 2 4 3 4" xfId="10877" xr:uid="{00000000-0005-0000-0000-0000A9010000}"/>
    <cellStyle name="20% - 강조색4 2 4 4" xfId="10878" xr:uid="{00000000-0005-0000-0000-0000AA010000}"/>
    <cellStyle name="20% - 강조색4 2 4 5" xfId="10879" xr:uid="{00000000-0005-0000-0000-0000AB010000}"/>
    <cellStyle name="20% - 강조색4 2 4 6" xfId="10880" xr:uid="{00000000-0005-0000-0000-0000AC010000}"/>
    <cellStyle name="20% - 강조색4 2 5" xfId="10881" xr:uid="{00000000-0005-0000-0000-0000AD010000}"/>
    <cellStyle name="20% - 강조색4 2 5 2" xfId="10882" xr:uid="{00000000-0005-0000-0000-0000AE010000}"/>
    <cellStyle name="20% - 강조색4 2 5 3" xfId="10883" xr:uid="{00000000-0005-0000-0000-0000AF010000}"/>
    <cellStyle name="20% - 강조색4 2 5 4" xfId="10884" xr:uid="{00000000-0005-0000-0000-0000B0010000}"/>
    <cellStyle name="20% - 강조색4 2 6" xfId="10885" xr:uid="{00000000-0005-0000-0000-0000B1010000}"/>
    <cellStyle name="20% - 강조색4 2 6 2" xfId="10886" xr:uid="{00000000-0005-0000-0000-0000B2010000}"/>
    <cellStyle name="20% - 강조색4 2 6 3" xfId="10887" xr:uid="{00000000-0005-0000-0000-0000B3010000}"/>
    <cellStyle name="20% - 강조색4 2 6 4" xfId="10888" xr:uid="{00000000-0005-0000-0000-0000B4010000}"/>
    <cellStyle name="20% - 강조색4 2 7" xfId="10889" xr:uid="{00000000-0005-0000-0000-0000B5010000}"/>
    <cellStyle name="20% - 강조색4 2 7 2" xfId="10890" xr:uid="{00000000-0005-0000-0000-0000B6010000}"/>
    <cellStyle name="20% - 강조색4 2 7 3" xfId="10891" xr:uid="{00000000-0005-0000-0000-0000B7010000}"/>
    <cellStyle name="20% - 강조색4 2 7 4" xfId="10892" xr:uid="{00000000-0005-0000-0000-0000B8010000}"/>
    <cellStyle name="20% - 강조색4 2 8" xfId="10893" xr:uid="{00000000-0005-0000-0000-0000B9010000}"/>
    <cellStyle name="20% - 강조색4 2 9" xfId="10894" xr:uid="{00000000-0005-0000-0000-0000BA010000}"/>
    <cellStyle name="20% - 강조색4 3" xfId="10895" xr:uid="{00000000-0005-0000-0000-0000BB010000}"/>
    <cellStyle name="20% - 강조색4 3 2" xfId="10896" xr:uid="{00000000-0005-0000-0000-0000BC010000}"/>
    <cellStyle name="20% - 강조색4 3 2 2" xfId="10897" xr:uid="{00000000-0005-0000-0000-0000BD010000}"/>
    <cellStyle name="20% - 강조색4 3 2 3" xfId="10898" xr:uid="{00000000-0005-0000-0000-0000BE010000}"/>
    <cellStyle name="20% - 강조색4 3 2 4" xfId="10899" xr:uid="{00000000-0005-0000-0000-0000BF010000}"/>
    <cellStyle name="20% - 강조색4 3 3" xfId="10900" xr:uid="{00000000-0005-0000-0000-0000C0010000}"/>
    <cellStyle name="20% - 강조색4 3 3 2" xfId="10901" xr:uid="{00000000-0005-0000-0000-0000C1010000}"/>
    <cellStyle name="20% - 강조색4 3 3 3" xfId="10902" xr:uid="{00000000-0005-0000-0000-0000C2010000}"/>
    <cellStyle name="20% - 강조색4 3 3 4" xfId="10903" xr:uid="{00000000-0005-0000-0000-0000C3010000}"/>
    <cellStyle name="20% - 강조색4 3 4" xfId="10904" xr:uid="{00000000-0005-0000-0000-0000C4010000}"/>
    <cellStyle name="20% - 강조색4 3 5" xfId="10905" xr:uid="{00000000-0005-0000-0000-0000C5010000}"/>
    <cellStyle name="20% - 강조색4 3 6" xfId="10906" xr:uid="{00000000-0005-0000-0000-0000C6010000}"/>
    <cellStyle name="20% - 강조색4 3 7" xfId="14682" xr:uid="{00000000-0005-0000-0000-0000C7010000}"/>
    <cellStyle name="20% - 강조색4 3 7 2" xfId="31033" xr:uid="{00000000-0005-0000-0000-0000C8010000}"/>
    <cellStyle name="20% - 강조색4 3 7 3" xfId="17742" xr:uid="{00000000-0005-0000-0000-0000C9010000}"/>
    <cellStyle name="20% - 강조색4 3 8" xfId="17743" xr:uid="{00000000-0005-0000-0000-0000CA010000}"/>
    <cellStyle name="20% - 강조색4 4" xfId="10907" xr:uid="{00000000-0005-0000-0000-0000CB010000}"/>
    <cellStyle name="20% - 강조색4 4 2" xfId="10908" xr:uid="{00000000-0005-0000-0000-0000CC010000}"/>
    <cellStyle name="20% - 강조색4 4 2 2" xfId="10909" xr:uid="{00000000-0005-0000-0000-0000CD010000}"/>
    <cellStyle name="20% - 강조색4 4 2 3" xfId="10910" xr:uid="{00000000-0005-0000-0000-0000CE010000}"/>
    <cellStyle name="20% - 강조색4 4 2 4" xfId="10911" xr:uid="{00000000-0005-0000-0000-0000CF010000}"/>
    <cellStyle name="20% - 강조색4 4 3" xfId="10912" xr:uid="{00000000-0005-0000-0000-0000D0010000}"/>
    <cellStyle name="20% - 강조색4 4 3 2" xfId="10913" xr:uid="{00000000-0005-0000-0000-0000D1010000}"/>
    <cellStyle name="20% - 강조색4 4 3 3" xfId="10914" xr:uid="{00000000-0005-0000-0000-0000D2010000}"/>
    <cellStyle name="20% - 강조색4 4 3 4" xfId="10915" xr:uid="{00000000-0005-0000-0000-0000D3010000}"/>
    <cellStyle name="20% - 강조색4 4 4" xfId="10916" xr:uid="{00000000-0005-0000-0000-0000D4010000}"/>
    <cellStyle name="20% - 강조색4 4 5" xfId="10917" xr:uid="{00000000-0005-0000-0000-0000D5010000}"/>
    <cellStyle name="20% - 강조색4 4 6" xfId="10918" xr:uid="{00000000-0005-0000-0000-0000D6010000}"/>
    <cellStyle name="20% - 강조색4 4 7" xfId="14683" xr:uid="{00000000-0005-0000-0000-0000D7010000}"/>
    <cellStyle name="20% - 강조색4 4 7 2" xfId="31034" xr:uid="{00000000-0005-0000-0000-0000D8010000}"/>
    <cellStyle name="20% - 강조색4 4 7 3" xfId="17744" xr:uid="{00000000-0005-0000-0000-0000D9010000}"/>
    <cellStyle name="20% - 강조색4 4 8" xfId="17745" xr:uid="{00000000-0005-0000-0000-0000DA010000}"/>
    <cellStyle name="20% - 강조색4 5" xfId="10919" xr:uid="{00000000-0005-0000-0000-0000DB010000}"/>
    <cellStyle name="20% - 강조색4 5 2" xfId="10920" xr:uid="{00000000-0005-0000-0000-0000DC010000}"/>
    <cellStyle name="20% - 강조색4 5 2 2" xfId="10921" xr:uid="{00000000-0005-0000-0000-0000DD010000}"/>
    <cellStyle name="20% - 강조색4 5 2 3" xfId="10922" xr:uid="{00000000-0005-0000-0000-0000DE010000}"/>
    <cellStyle name="20% - 강조색4 5 2 4" xfId="10923" xr:uid="{00000000-0005-0000-0000-0000DF010000}"/>
    <cellStyle name="20% - 강조색4 5 3" xfId="10924" xr:uid="{00000000-0005-0000-0000-0000E0010000}"/>
    <cellStyle name="20% - 강조색4 5 3 2" xfId="10925" xr:uid="{00000000-0005-0000-0000-0000E1010000}"/>
    <cellStyle name="20% - 강조색4 5 3 3" xfId="10926" xr:uid="{00000000-0005-0000-0000-0000E2010000}"/>
    <cellStyle name="20% - 강조색4 5 3 4" xfId="10927" xr:uid="{00000000-0005-0000-0000-0000E3010000}"/>
    <cellStyle name="20% - 강조색4 5 4" xfId="10928" xr:uid="{00000000-0005-0000-0000-0000E4010000}"/>
    <cellStyle name="20% - 강조색4 5 5" xfId="10929" xr:uid="{00000000-0005-0000-0000-0000E5010000}"/>
    <cellStyle name="20% - 강조색4 5 6" xfId="10930" xr:uid="{00000000-0005-0000-0000-0000E6010000}"/>
    <cellStyle name="20% - 강조색4 5 7" xfId="14684" xr:uid="{00000000-0005-0000-0000-0000E7010000}"/>
    <cellStyle name="20% - 강조색4 5 7 2" xfId="31035" xr:uid="{00000000-0005-0000-0000-0000E8010000}"/>
    <cellStyle name="20% - 강조색4 5 7 3" xfId="17746" xr:uid="{00000000-0005-0000-0000-0000E9010000}"/>
    <cellStyle name="20% - 강조색4 5 8" xfId="17747" xr:uid="{00000000-0005-0000-0000-0000EA010000}"/>
    <cellStyle name="20% - 강조색4 6" xfId="10931" xr:uid="{00000000-0005-0000-0000-0000EB010000}"/>
    <cellStyle name="20% - 강조색4 6 2" xfId="10932" xr:uid="{00000000-0005-0000-0000-0000EC010000}"/>
    <cellStyle name="20% - 강조색4 6 3" xfId="10933" xr:uid="{00000000-0005-0000-0000-0000ED010000}"/>
    <cellStyle name="20% - 강조색4 6 4" xfId="10934" xr:uid="{00000000-0005-0000-0000-0000EE010000}"/>
    <cellStyle name="20% - 강조색4 7" xfId="10935" xr:uid="{00000000-0005-0000-0000-0000EF010000}"/>
    <cellStyle name="20% - 강조색4 7 2" xfId="10936" xr:uid="{00000000-0005-0000-0000-0000F0010000}"/>
    <cellStyle name="20% - 강조색4 7 3" xfId="10937" xr:uid="{00000000-0005-0000-0000-0000F1010000}"/>
    <cellStyle name="20% - 강조색4 7 4" xfId="10938" xr:uid="{00000000-0005-0000-0000-0000F2010000}"/>
    <cellStyle name="20% - 강조색4 8" xfId="10939" xr:uid="{00000000-0005-0000-0000-0000F3010000}"/>
    <cellStyle name="20% - 강조색4 8 2" xfId="10940" xr:uid="{00000000-0005-0000-0000-0000F4010000}"/>
    <cellStyle name="20% - 강조색4 8 3" xfId="10941" xr:uid="{00000000-0005-0000-0000-0000F5010000}"/>
    <cellStyle name="20% - 강조색4 8 4" xfId="10942" xr:uid="{00000000-0005-0000-0000-0000F6010000}"/>
    <cellStyle name="20% - 강조색4 9" xfId="10943" xr:uid="{00000000-0005-0000-0000-0000F7010000}"/>
    <cellStyle name="20% - 강조색5" xfId="17207" builtinId="46" customBuiltin="1"/>
    <cellStyle name="20% - 강조색5 10" xfId="10944" xr:uid="{00000000-0005-0000-0000-0000F9010000}"/>
    <cellStyle name="20% - 강조색5 11" xfId="10945" xr:uid="{00000000-0005-0000-0000-0000FA010000}"/>
    <cellStyle name="20% - 강조색5 12" xfId="10946" xr:uid="{00000000-0005-0000-0000-0000FB010000}"/>
    <cellStyle name="20% - 강조색5 13" xfId="17084" xr:uid="{00000000-0005-0000-0000-0000FC010000}"/>
    <cellStyle name="20% - 강조색5 13 2" xfId="21550" xr:uid="{00000000-0005-0000-0000-0000FD010000}"/>
    <cellStyle name="20% - 강조색5 14" xfId="20516" xr:uid="{00000000-0005-0000-0000-0000FE010000}"/>
    <cellStyle name="20% - 강조색5 2" xfId="10947" xr:uid="{00000000-0005-0000-0000-0000FF010000}"/>
    <cellStyle name="20% - 강조색5 2 10" xfId="10948" xr:uid="{00000000-0005-0000-0000-000000020000}"/>
    <cellStyle name="20% - 강조색5 2 11" xfId="10949" xr:uid="{00000000-0005-0000-0000-000001020000}"/>
    <cellStyle name="20% - 강조색5 2 12" xfId="14685" xr:uid="{00000000-0005-0000-0000-000002020000}"/>
    <cellStyle name="20% - 강조색5 2 12 2" xfId="21167" xr:uid="{00000000-0005-0000-0000-000003020000}"/>
    <cellStyle name="20% - 강조색5 2 12 3" xfId="31036" xr:uid="{00000000-0005-0000-0000-000004020000}"/>
    <cellStyle name="20% - 강조색5 2 12 4" xfId="17337" xr:uid="{00000000-0005-0000-0000-000005020000}"/>
    <cellStyle name="20% - 강조색5 2 13" xfId="17748" xr:uid="{00000000-0005-0000-0000-000006020000}"/>
    <cellStyle name="20% - 강조색5 2 2" xfId="10950" xr:uid="{00000000-0005-0000-0000-000007020000}"/>
    <cellStyle name="20% - 강조색5 2 2 2" xfId="10951" xr:uid="{00000000-0005-0000-0000-000008020000}"/>
    <cellStyle name="20% - 강조색5 2 2 2 2" xfId="10952" xr:uid="{00000000-0005-0000-0000-000009020000}"/>
    <cellStyle name="20% - 강조색5 2 2 2 3" xfId="10953" xr:uid="{00000000-0005-0000-0000-00000A020000}"/>
    <cellStyle name="20% - 강조색5 2 2 2 4" xfId="10954" xr:uid="{00000000-0005-0000-0000-00000B020000}"/>
    <cellStyle name="20% - 강조색5 2 2 3" xfId="10955" xr:uid="{00000000-0005-0000-0000-00000C020000}"/>
    <cellStyle name="20% - 강조색5 2 2 3 2" xfId="10956" xr:uid="{00000000-0005-0000-0000-00000D020000}"/>
    <cellStyle name="20% - 강조색5 2 2 3 3" xfId="10957" xr:uid="{00000000-0005-0000-0000-00000E020000}"/>
    <cellStyle name="20% - 강조색5 2 2 3 4" xfId="10958" xr:uid="{00000000-0005-0000-0000-00000F020000}"/>
    <cellStyle name="20% - 강조색5 2 2 4" xfId="10959" xr:uid="{00000000-0005-0000-0000-000010020000}"/>
    <cellStyle name="20% - 강조색5 2 2 5" xfId="10960" xr:uid="{00000000-0005-0000-0000-000011020000}"/>
    <cellStyle name="20% - 강조색5 2 2 6" xfId="10961" xr:uid="{00000000-0005-0000-0000-000012020000}"/>
    <cellStyle name="20% - 강조색5 2 3" xfId="10962" xr:uid="{00000000-0005-0000-0000-000013020000}"/>
    <cellStyle name="20% - 강조색5 2 3 2" xfId="10963" xr:uid="{00000000-0005-0000-0000-000014020000}"/>
    <cellStyle name="20% - 강조색5 2 3 2 2" xfId="10964" xr:uid="{00000000-0005-0000-0000-000015020000}"/>
    <cellStyle name="20% - 강조색5 2 3 2 3" xfId="10965" xr:uid="{00000000-0005-0000-0000-000016020000}"/>
    <cellStyle name="20% - 강조색5 2 3 2 4" xfId="10966" xr:uid="{00000000-0005-0000-0000-000017020000}"/>
    <cellStyle name="20% - 강조색5 2 3 3" xfId="10967" xr:uid="{00000000-0005-0000-0000-000018020000}"/>
    <cellStyle name="20% - 강조색5 2 3 3 2" xfId="10968" xr:uid="{00000000-0005-0000-0000-000019020000}"/>
    <cellStyle name="20% - 강조색5 2 3 3 3" xfId="10969" xr:uid="{00000000-0005-0000-0000-00001A020000}"/>
    <cellStyle name="20% - 강조색5 2 3 3 4" xfId="10970" xr:uid="{00000000-0005-0000-0000-00001B020000}"/>
    <cellStyle name="20% - 강조색5 2 3 4" xfId="10971" xr:uid="{00000000-0005-0000-0000-00001C020000}"/>
    <cellStyle name="20% - 강조색5 2 3 5" xfId="10972" xr:uid="{00000000-0005-0000-0000-00001D020000}"/>
    <cellStyle name="20% - 강조색5 2 3 6" xfId="10973" xr:uid="{00000000-0005-0000-0000-00001E020000}"/>
    <cellStyle name="20% - 강조색5 2 4" xfId="10974" xr:uid="{00000000-0005-0000-0000-00001F020000}"/>
    <cellStyle name="20% - 강조색5 2 4 2" xfId="10975" xr:uid="{00000000-0005-0000-0000-000020020000}"/>
    <cellStyle name="20% - 강조색5 2 4 2 2" xfId="10976" xr:uid="{00000000-0005-0000-0000-000021020000}"/>
    <cellStyle name="20% - 강조색5 2 4 2 3" xfId="10977" xr:uid="{00000000-0005-0000-0000-000022020000}"/>
    <cellStyle name="20% - 강조색5 2 4 2 4" xfId="10978" xr:uid="{00000000-0005-0000-0000-000023020000}"/>
    <cellStyle name="20% - 강조색5 2 4 3" xfId="10979" xr:uid="{00000000-0005-0000-0000-000024020000}"/>
    <cellStyle name="20% - 강조색5 2 4 3 2" xfId="10980" xr:uid="{00000000-0005-0000-0000-000025020000}"/>
    <cellStyle name="20% - 강조색5 2 4 3 3" xfId="10981" xr:uid="{00000000-0005-0000-0000-000026020000}"/>
    <cellStyle name="20% - 강조색5 2 4 3 4" xfId="10982" xr:uid="{00000000-0005-0000-0000-000027020000}"/>
    <cellStyle name="20% - 강조색5 2 4 4" xfId="10983" xr:uid="{00000000-0005-0000-0000-000028020000}"/>
    <cellStyle name="20% - 강조색5 2 4 5" xfId="10984" xr:uid="{00000000-0005-0000-0000-000029020000}"/>
    <cellStyle name="20% - 강조색5 2 4 6" xfId="10985" xr:uid="{00000000-0005-0000-0000-00002A020000}"/>
    <cellStyle name="20% - 강조색5 2 5" xfId="10986" xr:uid="{00000000-0005-0000-0000-00002B020000}"/>
    <cellStyle name="20% - 강조색5 2 5 2" xfId="10987" xr:uid="{00000000-0005-0000-0000-00002C020000}"/>
    <cellStyle name="20% - 강조색5 2 5 3" xfId="10988" xr:uid="{00000000-0005-0000-0000-00002D020000}"/>
    <cellStyle name="20% - 강조색5 2 5 4" xfId="10989" xr:uid="{00000000-0005-0000-0000-00002E020000}"/>
    <cellStyle name="20% - 강조색5 2 6" xfId="10990" xr:uid="{00000000-0005-0000-0000-00002F020000}"/>
    <cellStyle name="20% - 강조색5 2 6 2" xfId="10991" xr:uid="{00000000-0005-0000-0000-000030020000}"/>
    <cellStyle name="20% - 강조색5 2 6 3" xfId="10992" xr:uid="{00000000-0005-0000-0000-000031020000}"/>
    <cellStyle name="20% - 강조색5 2 6 4" xfId="10993" xr:uid="{00000000-0005-0000-0000-000032020000}"/>
    <cellStyle name="20% - 강조색5 2 7" xfId="10994" xr:uid="{00000000-0005-0000-0000-000033020000}"/>
    <cellStyle name="20% - 강조색5 2 7 2" xfId="10995" xr:uid="{00000000-0005-0000-0000-000034020000}"/>
    <cellStyle name="20% - 강조색5 2 7 3" xfId="10996" xr:uid="{00000000-0005-0000-0000-000035020000}"/>
    <cellStyle name="20% - 강조색5 2 7 4" xfId="10997" xr:uid="{00000000-0005-0000-0000-000036020000}"/>
    <cellStyle name="20% - 강조색5 2 8" xfId="10998" xr:uid="{00000000-0005-0000-0000-000037020000}"/>
    <cellStyle name="20% - 강조색5 2 9" xfId="10999" xr:uid="{00000000-0005-0000-0000-000038020000}"/>
    <cellStyle name="20% - 강조색5 3" xfId="11000" xr:uid="{00000000-0005-0000-0000-000039020000}"/>
    <cellStyle name="20% - 강조색5 3 2" xfId="11001" xr:uid="{00000000-0005-0000-0000-00003A020000}"/>
    <cellStyle name="20% - 강조색5 3 2 2" xfId="11002" xr:uid="{00000000-0005-0000-0000-00003B020000}"/>
    <cellStyle name="20% - 강조색5 3 2 3" xfId="11003" xr:uid="{00000000-0005-0000-0000-00003C020000}"/>
    <cellStyle name="20% - 강조색5 3 2 4" xfId="11004" xr:uid="{00000000-0005-0000-0000-00003D020000}"/>
    <cellStyle name="20% - 강조색5 3 3" xfId="11005" xr:uid="{00000000-0005-0000-0000-00003E020000}"/>
    <cellStyle name="20% - 강조색5 3 3 2" xfId="11006" xr:uid="{00000000-0005-0000-0000-00003F020000}"/>
    <cellStyle name="20% - 강조색5 3 3 3" xfId="11007" xr:uid="{00000000-0005-0000-0000-000040020000}"/>
    <cellStyle name="20% - 강조색5 3 3 4" xfId="11008" xr:uid="{00000000-0005-0000-0000-000041020000}"/>
    <cellStyle name="20% - 강조색5 3 4" xfId="11009" xr:uid="{00000000-0005-0000-0000-000042020000}"/>
    <cellStyle name="20% - 강조색5 3 5" xfId="11010" xr:uid="{00000000-0005-0000-0000-000043020000}"/>
    <cellStyle name="20% - 강조색5 3 6" xfId="11011" xr:uid="{00000000-0005-0000-0000-000044020000}"/>
    <cellStyle name="20% - 강조색5 3 7" xfId="14686" xr:uid="{00000000-0005-0000-0000-000045020000}"/>
    <cellStyle name="20% - 강조색5 3 7 2" xfId="31037" xr:uid="{00000000-0005-0000-0000-000046020000}"/>
    <cellStyle name="20% - 강조색5 3 7 3" xfId="17749" xr:uid="{00000000-0005-0000-0000-000047020000}"/>
    <cellStyle name="20% - 강조색5 3 8" xfId="17750" xr:uid="{00000000-0005-0000-0000-000048020000}"/>
    <cellStyle name="20% - 강조색5 4" xfId="11012" xr:uid="{00000000-0005-0000-0000-000049020000}"/>
    <cellStyle name="20% - 강조색5 4 2" xfId="11013" xr:uid="{00000000-0005-0000-0000-00004A020000}"/>
    <cellStyle name="20% - 강조색5 4 2 2" xfId="11014" xr:uid="{00000000-0005-0000-0000-00004B020000}"/>
    <cellStyle name="20% - 강조색5 4 2 3" xfId="11015" xr:uid="{00000000-0005-0000-0000-00004C020000}"/>
    <cellStyle name="20% - 강조색5 4 2 4" xfId="11016" xr:uid="{00000000-0005-0000-0000-00004D020000}"/>
    <cellStyle name="20% - 강조색5 4 3" xfId="11017" xr:uid="{00000000-0005-0000-0000-00004E020000}"/>
    <cellStyle name="20% - 강조색5 4 3 2" xfId="11018" xr:uid="{00000000-0005-0000-0000-00004F020000}"/>
    <cellStyle name="20% - 강조색5 4 3 3" xfId="11019" xr:uid="{00000000-0005-0000-0000-000050020000}"/>
    <cellStyle name="20% - 강조색5 4 3 4" xfId="11020" xr:uid="{00000000-0005-0000-0000-000051020000}"/>
    <cellStyle name="20% - 강조색5 4 4" xfId="11021" xr:uid="{00000000-0005-0000-0000-000052020000}"/>
    <cellStyle name="20% - 강조색5 4 5" xfId="11022" xr:uid="{00000000-0005-0000-0000-000053020000}"/>
    <cellStyle name="20% - 강조색5 4 6" xfId="11023" xr:uid="{00000000-0005-0000-0000-000054020000}"/>
    <cellStyle name="20% - 강조색5 4 7" xfId="14687" xr:uid="{00000000-0005-0000-0000-000055020000}"/>
    <cellStyle name="20% - 강조색5 4 7 2" xfId="31038" xr:uid="{00000000-0005-0000-0000-000056020000}"/>
    <cellStyle name="20% - 강조색5 4 7 3" xfId="17751" xr:uid="{00000000-0005-0000-0000-000057020000}"/>
    <cellStyle name="20% - 강조색5 4 8" xfId="17752" xr:uid="{00000000-0005-0000-0000-000058020000}"/>
    <cellStyle name="20% - 강조색5 5" xfId="11024" xr:uid="{00000000-0005-0000-0000-000059020000}"/>
    <cellStyle name="20% - 강조색5 5 2" xfId="11025" xr:uid="{00000000-0005-0000-0000-00005A020000}"/>
    <cellStyle name="20% - 강조색5 5 2 2" xfId="11026" xr:uid="{00000000-0005-0000-0000-00005B020000}"/>
    <cellStyle name="20% - 강조색5 5 2 3" xfId="11027" xr:uid="{00000000-0005-0000-0000-00005C020000}"/>
    <cellStyle name="20% - 강조색5 5 2 4" xfId="11028" xr:uid="{00000000-0005-0000-0000-00005D020000}"/>
    <cellStyle name="20% - 강조색5 5 3" xfId="11029" xr:uid="{00000000-0005-0000-0000-00005E020000}"/>
    <cellStyle name="20% - 강조색5 5 3 2" xfId="11030" xr:uid="{00000000-0005-0000-0000-00005F020000}"/>
    <cellStyle name="20% - 강조색5 5 3 3" xfId="11031" xr:uid="{00000000-0005-0000-0000-000060020000}"/>
    <cellStyle name="20% - 강조색5 5 3 4" xfId="11032" xr:uid="{00000000-0005-0000-0000-000061020000}"/>
    <cellStyle name="20% - 강조색5 5 4" xfId="11033" xr:uid="{00000000-0005-0000-0000-000062020000}"/>
    <cellStyle name="20% - 강조색5 5 5" xfId="11034" xr:uid="{00000000-0005-0000-0000-000063020000}"/>
    <cellStyle name="20% - 강조색5 5 6" xfId="11035" xr:uid="{00000000-0005-0000-0000-000064020000}"/>
    <cellStyle name="20% - 강조색5 5 7" xfId="14688" xr:uid="{00000000-0005-0000-0000-000065020000}"/>
    <cellStyle name="20% - 강조색5 5 7 2" xfId="31039" xr:uid="{00000000-0005-0000-0000-000066020000}"/>
    <cellStyle name="20% - 강조색5 5 7 3" xfId="17753" xr:uid="{00000000-0005-0000-0000-000067020000}"/>
    <cellStyle name="20% - 강조색5 5 8" xfId="17754" xr:uid="{00000000-0005-0000-0000-000068020000}"/>
    <cellStyle name="20% - 강조색5 6" xfId="11036" xr:uid="{00000000-0005-0000-0000-000069020000}"/>
    <cellStyle name="20% - 강조색5 6 2" xfId="11037" xr:uid="{00000000-0005-0000-0000-00006A020000}"/>
    <cellStyle name="20% - 강조색5 6 3" xfId="11038" xr:uid="{00000000-0005-0000-0000-00006B020000}"/>
    <cellStyle name="20% - 강조색5 6 4" xfId="11039" xr:uid="{00000000-0005-0000-0000-00006C020000}"/>
    <cellStyle name="20% - 강조색5 7" xfId="11040" xr:uid="{00000000-0005-0000-0000-00006D020000}"/>
    <cellStyle name="20% - 강조색5 7 2" xfId="11041" xr:uid="{00000000-0005-0000-0000-00006E020000}"/>
    <cellStyle name="20% - 강조색5 7 3" xfId="11042" xr:uid="{00000000-0005-0000-0000-00006F020000}"/>
    <cellStyle name="20% - 강조색5 7 4" xfId="11043" xr:uid="{00000000-0005-0000-0000-000070020000}"/>
    <cellStyle name="20% - 강조색5 8" xfId="11044" xr:uid="{00000000-0005-0000-0000-000071020000}"/>
    <cellStyle name="20% - 강조색5 8 2" xfId="11045" xr:uid="{00000000-0005-0000-0000-000072020000}"/>
    <cellStyle name="20% - 강조색5 8 3" xfId="11046" xr:uid="{00000000-0005-0000-0000-000073020000}"/>
    <cellStyle name="20% - 강조색5 8 4" xfId="11047" xr:uid="{00000000-0005-0000-0000-000074020000}"/>
    <cellStyle name="20% - 강조색5 9" xfId="11048" xr:uid="{00000000-0005-0000-0000-000075020000}"/>
    <cellStyle name="20% - 강조색6" xfId="17211" builtinId="50" customBuiltin="1"/>
    <cellStyle name="20% - 강조색6 10" xfId="11049" xr:uid="{00000000-0005-0000-0000-000077020000}"/>
    <cellStyle name="20% - 강조색6 11" xfId="11050" xr:uid="{00000000-0005-0000-0000-000078020000}"/>
    <cellStyle name="20% - 강조색6 12" xfId="11051" xr:uid="{00000000-0005-0000-0000-000079020000}"/>
    <cellStyle name="20% - 강조색6 13" xfId="17085" xr:uid="{00000000-0005-0000-0000-00007A020000}"/>
    <cellStyle name="20% - 강조색6 13 2" xfId="21554" xr:uid="{00000000-0005-0000-0000-00007B020000}"/>
    <cellStyle name="20% - 강조색6 14" xfId="20520" xr:uid="{00000000-0005-0000-0000-00007C020000}"/>
    <cellStyle name="20% - 강조색6 2" xfId="11052" xr:uid="{00000000-0005-0000-0000-00007D020000}"/>
    <cellStyle name="20% - 강조색6 2 10" xfId="11053" xr:uid="{00000000-0005-0000-0000-00007E020000}"/>
    <cellStyle name="20% - 강조색6 2 11" xfId="11054" xr:uid="{00000000-0005-0000-0000-00007F020000}"/>
    <cellStyle name="20% - 강조색6 2 12" xfId="14689" xr:uid="{00000000-0005-0000-0000-000080020000}"/>
    <cellStyle name="20% - 강조색6 2 12 2" xfId="21171" xr:uid="{00000000-0005-0000-0000-000081020000}"/>
    <cellStyle name="20% - 강조색6 2 12 3" xfId="31040" xr:uid="{00000000-0005-0000-0000-000082020000}"/>
    <cellStyle name="20% - 강조색6 2 12 4" xfId="17338" xr:uid="{00000000-0005-0000-0000-000083020000}"/>
    <cellStyle name="20% - 강조색6 2 13" xfId="17755" xr:uid="{00000000-0005-0000-0000-000084020000}"/>
    <cellStyle name="20% - 강조색6 2 2" xfId="11055" xr:uid="{00000000-0005-0000-0000-000085020000}"/>
    <cellStyle name="20% - 강조색6 2 2 2" xfId="11056" xr:uid="{00000000-0005-0000-0000-000086020000}"/>
    <cellStyle name="20% - 강조색6 2 2 2 2" xfId="11057" xr:uid="{00000000-0005-0000-0000-000087020000}"/>
    <cellStyle name="20% - 강조색6 2 2 2 3" xfId="11058" xr:uid="{00000000-0005-0000-0000-000088020000}"/>
    <cellStyle name="20% - 강조색6 2 2 2 4" xfId="11059" xr:uid="{00000000-0005-0000-0000-000089020000}"/>
    <cellStyle name="20% - 강조색6 2 2 3" xfId="11060" xr:uid="{00000000-0005-0000-0000-00008A020000}"/>
    <cellStyle name="20% - 강조색6 2 2 3 2" xfId="11061" xr:uid="{00000000-0005-0000-0000-00008B020000}"/>
    <cellStyle name="20% - 강조색6 2 2 3 3" xfId="11062" xr:uid="{00000000-0005-0000-0000-00008C020000}"/>
    <cellStyle name="20% - 강조색6 2 2 3 4" xfId="11063" xr:uid="{00000000-0005-0000-0000-00008D020000}"/>
    <cellStyle name="20% - 강조색6 2 2 4" xfId="11064" xr:uid="{00000000-0005-0000-0000-00008E020000}"/>
    <cellStyle name="20% - 강조색6 2 2 5" xfId="11065" xr:uid="{00000000-0005-0000-0000-00008F020000}"/>
    <cellStyle name="20% - 강조색6 2 2 6" xfId="11066" xr:uid="{00000000-0005-0000-0000-000090020000}"/>
    <cellStyle name="20% - 강조색6 2 3" xfId="11067" xr:uid="{00000000-0005-0000-0000-000091020000}"/>
    <cellStyle name="20% - 강조색6 2 3 2" xfId="11068" xr:uid="{00000000-0005-0000-0000-000092020000}"/>
    <cellStyle name="20% - 강조색6 2 3 2 2" xfId="11069" xr:uid="{00000000-0005-0000-0000-000093020000}"/>
    <cellStyle name="20% - 강조색6 2 3 2 3" xfId="11070" xr:uid="{00000000-0005-0000-0000-000094020000}"/>
    <cellStyle name="20% - 강조색6 2 3 2 4" xfId="11071" xr:uid="{00000000-0005-0000-0000-000095020000}"/>
    <cellStyle name="20% - 강조색6 2 3 3" xfId="11072" xr:uid="{00000000-0005-0000-0000-000096020000}"/>
    <cellStyle name="20% - 강조색6 2 3 3 2" xfId="11073" xr:uid="{00000000-0005-0000-0000-000097020000}"/>
    <cellStyle name="20% - 강조색6 2 3 3 3" xfId="11074" xr:uid="{00000000-0005-0000-0000-000098020000}"/>
    <cellStyle name="20% - 강조색6 2 3 3 4" xfId="11075" xr:uid="{00000000-0005-0000-0000-000099020000}"/>
    <cellStyle name="20% - 강조색6 2 3 4" xfId="11076" xr:uid="{00000000-0005-0000-0000-00009A020000}"/>
    <cellStyle name="20% - 강조색6 2 3 5" xfId="11077" xr:uid="{00000000-0005-0000-0000-00009B020000}"/>
    <cellStyle name="20% - 강조색6 2 3 6" xfId="11078" xr:uid="{00000000-0005-0000-0000-00009C020000}"/>
    <cellStyle name="20% - 강조색6 2 4" xfId="11079" xr:uid="{00000000-0005-0000-0000-00009D020000}"/>
    <cellStyle name="20% - 강조색6 2 4 2" xfId="11080" xr:uid="{00000000-0005-0000-0000-00009E020000}"/>
    <cellStyle name="20% - 강조색6 2 4 2 2" xfId="11081" xr:uid="{00000000-0005-0000-0000-00009F020000}"/>
    <cellStyle name="20% - 강조색6 2 4 2 3" xfId="11082" xr:uid="{00000000-0005-0000-0000-0000A0020000}"/>
    <cellStyle name="20% - 강조색6 2 4 2 4" xfId="11083" xr:uid="{00000000-0005-0000-0000-0000A1020000}"/>
    <cellStyle name="20% - 강조색6 2 4 3" xfId="11084" xr:uid="{00000000-0005-0000-0000-0000A2020000}"/>
    <cellStyle name="20% - 강조색6 2 4 3 2" xfId="11085" xr:uid="{00000000-0005-0000-0000-0000A3020000}"/>
    <cellStyle name="20% - 강조색6 2 4 3 3" xfId="11086" xr:uid="{00000000-0005-0000-0000-0000A4020000}"/>
    <cellStyle name="20% - 강조색6 2 4 3 4" xfId="11087" xr:uid="{00000000-0005-0000-0000-0000A5020000}"/>
    <cellStyle name="20% - 강조색6 2 4 4" xfId="11088" xr:uid="{00000000-0005-0000-0000-0000A6020000}"/>
    <cellStyle name="20% - 강조색6 2 4 5" xfId="11089" xr:uid="{00000000-0005-0000-0000-0000A7020000}"/>
    <cellStyle name="20% - 강조색6 2 4 6" xfId="11090" xr:uid="{00000000-0005-0000-0000-0000A8020000}"/>
    <cellStyle name="20% - 강조색6 2 5" xfId="11091" xr:uid="{00000000-0005-0000-0000-0000A9020000}"/>
    <cellStyle name="20% - 강조색6 2 5 2" xfId="11092" xr:uid="{00000000-0005-0000-0000-0000AA020000}"/>
    <cellStyle name="20% - 강조색6 2 5 3" xfId="11093" xr:uid="{00000000-0005-0000-0000-0000AB020000}"/>
    <cellStyle name="20% - 강조색6 2 5 4" xfId="11094" xr:uid="{00000000-0005-0000-0000-0000AC020000}"/>
    <cellStyle name="20% - 강조색6 2 6" xfId="11095" xr:uid="{00000000-0005-0000-0000-0000AD020000}"/>
    <cellStyle name="20% - 강조색6 2 6 2" xfId="11096" xr:uid="{00000000-0005-0000-0000-0000AE020000}"/>
    <cellStyle name="20% - 강조색6 2 6 3" xfId="11097" xr:uid="{00000000-0005-0000-0000-0000AF020000}"/>
    <cellStyle name="20% - 강조색6 2 6 4" xfId="11098" xr:uid="{00000000-0005-0000-0000-0000B0020000}"/>
    <cellStyle name="20% - 강조색6 2 7" xfId="11099" xr:uid="{00000000-0005-0000-0000-0000B1020000}"/>
    <cellStyle name="20% - 강조색6 2 7 2" xfId="11100" xr:uid="{00000000-0005-0000-0000-0000B2020000}"/>
    <cellStyle name="20% - 강조색6 2 7 3" xfId="11101" xr:uid="{00000000-0005-0000-0000-0000B3020000}"/>
    <cellStyle name="20% - 강조색6 2 7 4" xfId="11102" xr:uid="{00000000-0005-0000-0000-0000B4020000}"/>
    <cellStyle name="20% - 강조색6 2 8" xfId="11103" xr:uid="{00000000-0005-0000-0000-0000B5020000}"/>
    <cellStyle name="20% - 강조색6 2 9" xfId="11104" xr:uid="{00000000-0005-0000-0000-0000B6020000}"/>
    <cellStyle name="20% - 강조색6 3" xfId="11105" xr:uid="{00000000-0005-0000-0000-0000B7020000}"/>
    <cellStyle name="20% - 강조색6 3 2" xfId="11106" xr:uid="{00000000-0005-0000-0000-0000B8020000}"/>
    <cellStyle name="20% - 강조색6 3 2 2" xfId="11107" xr:uid="{00000000-0005-0000-0000-0000B9020000}"/>
    <cellStyle name="20% - 강조색6 3 2 3" xfId="11108" xr:uid="{00000000-0005-0000-0000-0000BA020000}"/>
    <cellStyle name="20% - 강조색6 3 2 4" xfId="11109" xr:uid="{00000000-0005-0000-0000-0000BB020000}"/>
    <cellStyle name="20% - 강조색6 3 3" xfId="11110" xr:uid="{00000000-0005-0000-0000-0000BC020000}"/>
    <cellStyle name="20% - 강조색6 3 3 2" xfId="11111" xr:uid="{00000000-0005-0000-0000-0000BD020000}"/>
    <cellStyle name="20% - 강조색6 3 3 3" xfId="11112" xr:uid="{00000000-0005-0000-0000-0000BE020000}"/>
    <cellStyle name="20% - 강조색6 3 3 4" xfId="11113" xr:uid="{00000000-0005-0000-0000-0000BF020000}"/>
    <cellStyle name="20% - 강조색6 3 4" xfId="11114" xr:uid="{00000000-0005-0000-0000-0000C0020000}"/>
    <cellStyle name="20% - 강조색6 3 5" xfId="11115" xr:uid="{00000000-0005-0000-0000-0000C1020000}"/>
    <cellStyle name="20% - 강조색6 3 6" xfId="11116" xr:uid="{00000000-0005-0000-0000-0000C2020000}"/>
    <cellStyle name="20% - 강조색6 3 7" xfId="14690" xr:uid="{00000000-0005-0000-0000-0000C3020000}"/>
    <cellStyle name="20% - 강조색6 3 7 2" xfId="31041" xr:uid="{00000000-0005-0000-0000-0000C4020000}"/>
    <cellStyle name="20% - 강조색6 3 7 3" xfId="17756" xr:uid="{00000000-0005-0000-0000-0000C5020000}"/>
    <cellStyle name="20% - 강조색6 3 8" xfId="17757" xr:uid="{00000000-0005-0000-0000-0000C6020000}"/>
    <cellStyle name="20% - 강조색6 4" xfId="11117" xr:uid="{00000000-0005-0000-0000-0000C7020000}"/>
    <cellStyle name="20% - 강조색6 4 2" xfId="11118" xr:uid="{00000000-0005-0000-0000-0000C8020000}"/>
    <cellStyle name="20% - 강조색6 4 2 2" xfId="11119" xr:uid="{00000000-0005-0000-0000-0000C9020000}"/>
    <cellStyle name="20% - 강조색6 4 2 3" xfId="11120" xr:uid="{00000000-0005-0000-0000-0000CA020000}"/>
    <cellStyle name="20% - 강조색6 4 2 4" xfId="11121" xr:uid="{00000000-0005-0000-0000-0000CB020000}"/>
    <cellStyle name="20% - 강조색6 4 3" xfId="11122" xr:uid="{00000000-0005-0000-0000-0000CC020000}"/>
    <cellStyle name="20% - 강조색6 4 3 2" xfId="11123" xr:uid="{00000000-0005-0000-0000-0000CD020000}"/>
    <cellStyle name="20% - 강조색6 4 3 3" xfId="11124" xr:uid="{00000000-0005-0000-0000-0000CE020000}"/>
    <cellStyle name="20% - 강조색6 4 3 4" xfId="11125" xr:uid="{00000000-0005-0000-0000-0000CF020000}"/>
    <cellStyle name="20% - 강조색6 4 4" xfId="11126" xr:uid="{00000000-0005-0000-0000-0000D0020000}"/>
    <cellStyle name="20% - 강조색6 4 5" xfId="11127" xr:uid="{00000000-0005-0000-0000-0000D1020000}"/>
    <cellStyle name="20% - 강조색6 4 6" xfId="11128" xr:uid="{00000000-0005-0000-0000-0000D2020000}"/>
    <cellStyle name="20% - 강조색6 4 7" xfId="14691" xr:uid="{00000000-0005-0000-0000-0000D3020000}"/>
    <cellStyle name="20% - 강조색6 4 7 2" xfId="31042" xr:uid="{00000000-0005-0000-0000-0000D4020000}"/>
    <cellStyle name="20% - 강조색6 4 7 3" xfId="17758" xr:uid="{00000000-0005-0000-0000-0000D5020000}"/>
    <cellStyle name="20% - 강조색6 4 8" xfId="17759" xr:uid="{00000000-0005-0000-0000-0000D6020000}"/>
    <cellStyle name="20% - 강조색6 5" xfId="11129" xr:uid="{00000000-0005-0000-0000-0000D7020000}"/>
    <cellStyle name="20% - 강조색6 5 2" xfId="11130" xr:uid="{00000000-0005-0000-0000-0000D8020000}"/>
    <cellStyle name="20% - 강조색6 5 2 2" xfId="11131" xr:uid="{00000000-0005-0000-0000-0000D9020000}"/>
    <cellStyle name="20% - 강조색6 5 2 3" xfId="11132" xr:uid="{00000000-0005-0000-0000-0000DA020000}"/>
    <cellStyle name="20% - 강조색6 5 2 4" xfId="11133" xr:uid="{00000000-0005-0000-0000-0000DB020000}"/>
    <cellStyle name="20% - 강조색6 5 3" xfId="11134" xr:uid="{00000000-0005-0000-0000-0000DC020000}"/>
    <cellStyle name="20% - 강조색6 5 3 2" xfId="11135" xr:uid="{00000000-0005-0000-0000-0000DD020000}"/>
    <cellStyle name="20% - 강조색6 5 3 3" xfId="11136" xr:uid="{00000000-0005-0000-0000-0000DE020000}"/>
    <cellStyle name="20% - 강조색6 5 3 4" xfId="11137" xr:uid="{00000000-0005-0000-0000-0000DF020000}"/>
    <cellStyle name="20% - 강조색6 5 4" xfId="11138" xr:uid="{00000000-0005-0000-0000-0000E0020000}"/>
    <cellStyle name="20% - 강조색6 5 5" xfId="11139" xr:uid="{00000000-0005-0000-0000-0000E1020000}"/>
    <cellStyle name="20% - 강조색6 5 6" xfId="11140" xr:uid="{00000000-0005-0000-0000-0000E2020000}"/>
    <cellStyle name="20% - 강조색6 5 7" xfId="14692" xr:uid="{00000000-0005-0000-0000-0000E3020000}"/>
    <cellStyle name="20% - 강조색6 5 7 2" xfId="31043" xr:uid="{00000000-0005-0000-0000-0000E4020000}"/>
    <cellStyle name="20% - 강조색6 5 7 3" xfId="17760" xr:uid="{00000000-0005-0000-0000-0000E5020000}"/>
    <cellStyle name="20% - 강조색6 5 8" xfId="17761" xr:uid="{00000000-0005-0000-0000-0000E6020000}"/>
    <cellStyle name="20% - 강조색6 6" xfId="11141" xr:uid="{00000000-0005-0000-0000-0000E7020000}"/>
    <cellStyle name="20% - 강조색6 6 2" xfId="11142" xr:uid="{00000000-0005-0000-0000-0000E8020000}"/>
    <cellStyle name="20% - 강조색6 6 3" xfId="11143" xr:uid="{00000000-0005-0000-0000-0000E9020000}"/>
    <cellStyle name="20% - 강조색6 6 4" xfId="11144" xr:uid="{00000000-0005-0000-0000-0000EA020000}"/>
    <cellStyle name="20% - 강조색6 7" xfId="11145" xr:uid="{00000000-0005-0000-0000-0000EB020000}"/>
    <cellStyle name="20% - 강조색6 7 2" xfId="11146" xr:uid="{00000000-0005-0000-0000-0000EC020000}"/>
    <cellStyle name="20% - 강조색6 7 3" xfId="11147" xr:uid="{00000000-0005-0000-0000-0000ED020000}"/>
    <cellStyle name="20% - 강조색6 7 4" xfId="11148" xr:uid="{00000000-0005-0000-0000-0000EE020000}"/>
    <cellStyle name="20% - 강조색6 8" xfId="11149" xr:uid="{00000000-0005-0000-0000-0000EF020000}"/>
    <cellStyle name="20% - 강조색6 8 2" xfId="11150" xr:uid="{00000000-0005-0000-0000-0000F0020000}"/>
    <cellStyle name="20% - 강조색6 8 3" xfId="11151" xr:uid="{00000000-0005-0000-0000-0000F1020000}"/>
    <cellStyle name="20% - 강조색6 8 4" xfId="11152" xr:uid="{00000000-0005-0000-0000-0000F2020000}"/>
    <cellStyle name="20% - 강조색6 9" xfId="11153" xr:uid="{00000000-0005-0000-0000-0000F3020000}"/>
    <cellStyle name="40% - 강조색1" xfId="17192" builtinId="31" customBuiltin="1"/>
    <cellStyle name="40% - 강조색1 10" xfId="11154" xr:uid="{00000000-0005-0000-0000-0000F5020000}"/>
    <cellStyle name="40% - 강조색1 11" xfId="11155" xr:uid="{00000000-0005-0000-0000-0000F6020000}"/>
    <cellStyle name="40% - 강조색1 12" xfId="11156" xr:uid="{00000000-0005-0000-0000-0000F7020000}"/>
    <cellStyle name="40% - 강조색1 13" xfId="17086" xr:uid="{00000000-0005-0000-0000-0000F8020000}"/>
    <cellStyle name="40% - 강조색1 13 2" xfId="21535" xr:uid="{00000000-0005-0000-0000-0000F9020000}"/>
    <cellStyle name="40% - 강조색1 14" xfId="20501" xr:uid="{00000000-0005-0000-0000-0000FA020000}"/>
    <cellStyle name="40% - 강조색1 2" xfId="11157" xr:uid="{00000000-0005-0000-0000-0000FB020000}"/>
    <cellStyle name="40% - 강조색1 2 10" xfId="11158" xr:uid="{00000000-0005-0000-0000-0000FC020000}"/>
    <cellStyle name="40% - 강조색1 2 11" xfId="11159" xr:uid="{00000000-0005-0000-0000-0000FD020000}"/>
    <cellStyle name="40% - 강조색1 2 12" xfId="14693" xr:uid="{00000000-0005-0000-0000-0000FE020000}"/>
    <cellStyle name="40% - 강조색1 2 12 2" xfId="21175" xr:uid="{00000000-0005-0000-0000-0000FF020000}"/>
    <cellStyle name="40% - 강조색1 2 12 3" xfId="31044" xr:uid="{00000000-0005-0000-0000-000000030000}"/>
    <cellStyle name="40% - 강조색1 2 12 4" xfId="17339" xr:uid="{00000000-0005-0000-0000-000001030000}"/>
    <cellStyle name="40% - 강조색1 2 13" xfId="17762" xr:uid="{00000000-0005-0000-0000-000002030000}"/>
    <cellStyle name="40% - 강조색1 2 2" xfId="11160" xr:uid="{00000000-0005-0000-0000-000003030000}"/>
    <cellStyle name="40% - 강조색1 2 2 2" xfId="11161" xr:uid="{00000000-0005-0000-0000-000004030000}"/>
    <cellStyle name="40% - 강조색1 2 2 2 2" xfId="11162" xr:uid="{00000000-0005-0000-0000-000005030000}"/>
    <cellStyle name="40% - 강조색1 2 2 2 3" xfId="11163" xr:uid="{00000000-0005-0000-0000-000006030000}"/>
    <cellStyle name="40% - 강조색1 2 2 2 4" xfId="11164" xr:uid="{00000000-0005-0000-0000-000007030000}"/>
    <cellStyle name="40% - 강조색1 2 2 3" xfId="11165" xr:uid="{00000000-0005-0000-0000-000008030000}"/>
    <cellStyle name="40% - 강조색1 2 2 3 2" xfId="11166" xr:uid="{00000000-0005-0000-0000-000009030000}"/>
    <cellStyle name="40% - 강조색1 2 2 3 3" xfId="11167" xr:uid="{00000000-0005-0000-0000-00000A030000}"/>
    <cellStyle name="40% - 강조색1 2 2 3 4" xfId="11168" xr:uid="{00000000-0005-0000-0000-00000B030000}"/>
    <cellStyle name="40% - 강조색1 2 2 4" xfId="11169" xr:uid="{00000000-0005-0000-0000-00000C030000}"/>
    <cellStyle name="40% - 강조색1 2 2 5" xfId="11170" xr:uid="{00000000-0005-0000-0000-00000D030000}"/>
    <cellStyle name="40% - 강조색1 2 2 6" xfId="11171" xr:uid="{00000000-0005-0000-0000-00000E030000}"/>
    <cellStyle name="40% - 강조색1 2 3" xfId="11172" xr:uid="{00000000-0005-0000-0000-00000F030000}"/>
    <cellStyle name="40% - 강조색1 2 3 2" xfId="11173" xr:uid="{00000000-0005-0000-0000-000010030000}"/>
    <cellStyle name="40% - 강조색1 2 3 2 2" xfId="11174" xr:uid="{00000000-0005-0000-0000-000011030000}"/>
    <cellStyle name="40% - 강조색1 2 3 2 3" xfId="11175" xr:uid="{00000000-0005-0000-0000-000012030000}"/>
    <cellStyle name="40% - 강조색1 2 3 2 4" xfId="11176" xr:uid="{00000000-0005-0000-0000-000013030000}"/>
    <cellStyle name="40% - 강조색1 2 3 3" xfId="11177" xr:uid="{00000000-0005-0000-0000-000014030000}"/>
    <cellStyle name="40% - 강조색1 2 3 3 2" xfId="11178" xr:uid="{00000000-0005-0000-0000-000015030000}"/>
    <cellStyle name="40% - 강조색1 2 3 3 3" xfId="11179" xr:uid="{00000000-0005-0000-0000-000016030000}"/>
    <cellStyle name="40% - 강조색1 2 3 3 4" xfId="11180" xr:uid="{00000000-0005-0000-0000-000017030000}"/>
    <cellStyle name="40% - 강조색1 2 3 4" xfId="11181" xr:uid="{00000000-0005-0000-0000-000018030000}"/>
    <cellStyle name="40% - 강조색1 2 3 5" xfId="11182" xr:uid="{00000000-0005-0000-0000-000019030000}"/>
    <cellStyle name="40% - 강조색1 2 3 6" xfId="11183" xr:uid="{00000000-0005-0000-0000-00001A030000}"/>
    <cellStyle name="40% - 강조색1 2 4" xfId="11184" xr:uid="{00000000-0005-0000-0000-00001B030000}"/>
    <cellStyle name="40% - 강조색1 2 4 2" xfId="11185" xr:uid="{00000000-0005-0000-0000-00001C030000}"/>
    <cellStyle name="40% - 강조색1 2 4 2 2" xfId="11186" xr:uid="{00000000-0005-0000-0000-00001D030000}"/>
    <cellStyle name="40% - 강조색1 2 4 2 3" xfId="11187" xr:uid="{00000000-0005-0000-0000-00001E030000}"/>
    <cellStyle name="40% - 강조색1 2 4 2 4" xfId="11188" xr:uid="{00000000-0005-0000-0000-00001F030000}"/>
    <cellStyle name="40% - 강조색1 2 4 3" xfId="11189" xr:uid="{00000000-0005-0000-0000-000020030000}"/>
    <cellStyle name="40% - 강조색1 2 4 3 2" xfId="11190" xr:uid="{00000000-0005-0000-0000-000021030000}"/>
    <cellStyle name="40% - 강조색1 2 4 3 3" xfId="11191" xr:uid="{00000000-0005-0000-0000-000022030000}"/>
    <cellStyle name="40% - 강조색1 2 4 3 4" xfId="11192" xr:uid="{00000000-0005-0000-0000-000023030000}"/>
    <cellStyle name="40% - 강조색1 2 4 4" xfId="11193" xr:uid="{00000000-0005-0000-0000-000024030000}"/>
    <cellStyle name="40% - 강조색1 2 4 5" xfId="11194" xr:uid="{00000000-0005-0000-0000-000025030000}"/>
    <cellStyle name="40% - 강조색1 2 4 6" xfId="11195" xr:uid="{00000000-0005-0000-0000-000026030000}"/>
    <cellStyle name="40% - 강조색1 2 5" xfId="11196" xr:uid="{00000000-0005-0000-0000-000027030000}"/>
    <cellStyle name="40% - 강조색1 2 5 2" xfId="11197" xr:uid="{00000000-0005-0000-0000-000028030000}"/>
    <cellStyle name="40% - 강조색1 2 5 3" xfId="11198" xr:uid="{00000000-0005-0000-0000-000029030000}"/>
    <cellStyle name="40% - 강조색1 2 5 4" xfId="11199" xr:uid="{00000000-0005-0000-0000-00002A030000}"/>
    <cellStyle name="40% - 강조색1 2 6" xfId="11200" xr:uid="{00000000-0005-0000-0000-00002B030000}"/>
    <cellStyle name="40% - 강조색1 2 6 2" xfId="11201" xr:uid="{00000000-0005-0000-0000-00002C030000}"/>
    <cellStyle name="40% - 강조색1 2 6 3" xfId="11202" xr:uid="{00000000-0005-0000-0000-00002D030000}"/>
    <cellStyle name="40% - 강조색1 2 6 4" xfId="11203" xr:uid="{00000000-0005-0000-0000-00002E030000}"/>
    <cellStyle name="40% - 강조색1 2 7" xfId="11204" xr:uid="{00000000-0005-0000-0000-00002F030000}"/>
    <cellStyle name="40% - 강조색1 2 7 2" xfId="11205" xr:uid="{00000000-0005-0000-0000-000030030000}"/>
    <cellStyle name="40% - 강조색1 2 7 3" xfId="11206" xr:uid="{00000000-0005-0000-0000-000031030000}"/>
    <cellStyle name="40% - 강조색1 2 7 4" xfId="11207" xr:uid="{00000000-0005-0000-0000-000032030000}"/>
    <cellStyle name="40% - 강조색1 2 8" xfId="11208" xr:uid="{00000000-0005-0000-0000-000033030000}"/>
    <cellStyle name="40% - 강조색1 2 9" xfId="11209" xr:uid="{00000000-0005-0000-0000-000034030000}"/>
    <cellStyle name="40% - 강조색1 3" xfId="11210" xr:uid="{00000000-0005-0000-0000-000035030000}"/>
    <cellStyle name="40% - 강조색1 3 2" xfId="11211" xr:uid="{00000000-0005-0000-0000-000036030000}"/>
    <cellStyle name="40% - 강조색1 3 2 2" xfId="11212" xr:uid="{00000000-0005-0000-0000-000037030000}"/>
    <cellStyle name="40% - 강조색1 3 2 3" xfId="11213" xr:uid="{00000000-0005-0000-0000-000038030000}"/>
    <cellStyle name="40% - 강조색1 3 2 4" xfId="11214" xr:uid="{00000000-0005-0000-0000-000039030000}"/>
    <cellStyle name="40% - 강조색1 3 3" xfId="11215" xr:uid="{00000000-0005-0000-0000-00003A030000}"/>
    <cellStyle name="40% - 강조색1 3 3 2" xfId="11216" xr:uid="{00000000-0005-0000-0000-00003B030000}"/>
    <cellStyle name="40% - 강조색1 3 3 3" xfId="11217" xr:uid="{00000000-0005-0000-0000-00003C030000}"/>
    <cellStyle name="40% - 강조색1 3 3 4" xfId="11218" xr:uid="{00000000-0005-0000-0000-00003D030000}"/>
    <cellStyle name="40% - 강조색1 3 4" xfId="11219" xr:uid="{00000000-0005-0000-0000-00003E030000}"/>
    <cellStyle name="40% - 강조색1 3 5" xfId="11220" xr:uid="{00000000-0005-0000-0000-00003F030000}"/>
    <cellStyle name="40% - 강조색1 3 6" xfId="11221" xr:uid="{00000000-0005-0000-0000-000040030000}"/>
    <cellStyle name="40% - 강조색1 3 7" xfId="14694" xr:uid="{00000000-0005-0000-0000-000041030000}"/>
    <cellStyle name="40% - 강조색1 3 7 2" xfId="31045" xr:uid="{00000000-0005-0000-0000-000042030000}"/>
    <cellStyle name="40% - 강조색1 3 7 3" xfId="17763" xr:uid="{00000000-0005-0000-0000-000043030000}"/>
    <cellStyle name="40% - 강조색1 3 8" xfId="17764" xr:uid="{00000000-0005-0000-0000-000044030000}"/>
    <cellStyle name="40% - 강조색1 4" xfId="11222" xr:uid="{00000000-0005-0000-0000-000045030000}"/>
    <cellStyle name="40% - 강조색1 4 2" xfId="11223" xr:uid="{00000000-0005-0000-0000-000046030000}"/>
    <cellStyle name="40% - 강조색1 4 2 2" xfId="11224" xr:uid="{00000000-0005-0000-0000-000047030000}"/>
    <cellStyle name="40% - 강조색1 4 2 3" xfId="11225" xr:uid="{00000000-0005-0000-0000-000048030000}"/>
    <cellStyle name="40% - 강조색1 4 2 4" xfId="11226" xr:uid="{00000000-0005-0000-0000-000049030000}"/>
    <cellStyle name="40% - 강조색1 4 3" xfId="11227" xr:uid="{00000000-0005-0000-0000-00004A030000}"/>
    <cellStyle name="40% - 강조색1 4 3 2" xfId="11228" xr:uid="{00000000-0005-0000-0000-00004B030000}"/>
    <cellStyle name="40% - 강조색1 4 3 3" xfId="11229" xr:uid="{00000000-0005-0000-0000-00004C030000}"/>
    <cellStyle name="40% - 강조색1 4 3 4" xfId="11230" xr:uid="{00000000-0005-0000-0000-00004D030000}"/>
    <cellStyle name="40% - 강조색1 4 4" xfId="11231" xr:uid="{00000000-0005-0000-0000-00004E030000}"/>
    <cellStyle name="40% - 강조색1 4 5" xfId="11232" xr:uid="{00000000-0005-0000-0000-00004F030000}"/>
    <cellStyle name="40% - 강조색1 4 6" xfId="11233" xr:uid="{00000000-0005-0000-0000-000050030000}"/>
    <cellStyle name="40% - 강조색1 4 7" xfId="14695" xr:uid="{00000000-0005-0000-0000-000051030000}"/>
    <cellStyle name="40% - 강조색1 4 7 2" xfId="31046" xr:uid="{00000000-0005-0000-0000-000052030000}"/>
    <cellStyle name="40% - 강조색1 4 7 3" xfId="17765" xr:uid="{00000000-0005-0000-0000-000053030000}"/>
    <cellStyle name="40% - 강조색1 4 8" xfId="17766" xr:uid="{00000000-0005-0000-0000-000054030000}"/>
    <cellStyle name="40% - 강조색1 5" xfId="11234" xr:uid="{00000000-0005-0000-0000-000055030000}"/>
    <cellStyle name="40% - 강조색1 5 2" xfId="11235" xr:uid="{00000000-0005-0000-0000-000056030000}"/>
    <cellStyle name="40% - 강조색1 5 2 2" xfId="11236" xr:uid="{00000000-0005-0000-0000-000057030000}"/>
    <cellStyle name="40% - 강조색1 5 2 3" xfId="11237" xr:uid="{00000000-0005-0000-0000-000058030000}"/>
    <cellStyle name="40% - 강조색1 5 2 4" xfId="11238" xr:uid="{00000000-0005-0000-0000-000059030000}"/>
    <cellStyle name="40% - 강조색1 5 3" xfId="11239" xr:uid="{00000000-0005-0000-0000-00005A030000}"/>
    <cellStyle name="40% - 강조색1 5 3 2" xfId="11240" xr:uid="{00000000-0005-0000-0000-00005B030000}"/>
    <cellStyle name="40% - 강조색1 5 3 3" xfId="11241" xr:uid="{00000000-0005-0000-0000-00005C030000}"/>
    <cellStyle name="40% - 강조색1 5 3 4" xfId="11242" xr:uid="{00000000-0005-0000-0000-00005D030000}"/>
    <cellStyle name="40% - 강조색1 5 4" xfId="11243" xr:uid="{00000000-0005-0000-0000-00005E030000}"/>
    <cellStyle name="40% - 강조색1 5 5" xfId="11244" xr:uid="{00000000-0005-0000-0000-00005F030000}"/>
    <cellStyle name="40% - 강조색1 5 6" xfId="11245" xr:uid="{00000000-0005-0000-0000-000060030000}"/>
    <cellStyle name="40% - 강조색1 5 7" xfId="14696" xr:uid="{00000000-0005-0000-0000-000061030000}"/>
    <cellStyle name="40% - 강조색1 5 7 2" xfId="31047" xr:uid="{00000000-0005-0000-0000-000062030000}"/>
    <cellStyle name="40% - 강조색1 5 7 3" xfId="17767" xr:uid="{00000000-0005-0000-0000-000063030000}"/>
    <cellStyle name="40% - 강조색1 5 8" xfId="17768" xr:uid="{00000000-0005-0000-0000-000064030000}"/>
    <cellStyle name="40% - 강조색1 6" xfId="11246" xr:uid="{00000000-0005-0000-0000-000065030000}"/>
    <cellStyle name="40% - 강조색1 6 2" xfId="11247" xr:uid="{00000000-0005-0000-0000-000066030000}"/>
    <cellStyle name="40% - 강조색1 6 3" xfId="11248" xr:uid="{00000000-0005-0000-0000-000067030000}"/>
    <cellStyle name="40% - 강조색1 6 4" xfId="11249" xr:uid="{00000000-0005-0000-0000-000068030000}"/>
    <cellStyle name="40% - 강조색1 7" xfId="11250" xr:uid="{00000000-0005-0000-0000-000069030000}"/>
    <cellStyle name="40% - 강조색1 7 2" xfId="11251" xr:uid="{00000000-0005-0000-0000-00006A030000}"/>
    <cellStyle name="40% - 강조색1 7 3" xfId="11252" xr:uid="{00000000-0005-0000-0000-00006B030000}"/>
    <cellStyle name="40% - 강조색1 7 4" xfId="11253" xr:uid="{00000000-0005-0000-0000-00006C030000}"/>
    <cellStyle name="40% - 강조색1 8" xfId="11254" xr:uid="{00000000-0005-0000-0000-00006D030000}"/>
    <cellStyle name="40% - 강조색1 8 2" xfId="11255" xr:uid="{00000000-0005-0000-0000-00006E030000}"/>
    <cellStyle name="40% - 강조색1 8 3" xfId="11256" xr:uid="{00000000-0005-0000-0000-00006F030000}"/>
    <cellStyle name="40% - 강조색1 8 4" xfId="11257" xr:uid="{00000000-0005-0000-0000-000070030000}"/>
    <cellStyle name="40% - 강조색1 9" xfId="11258" xr:uid="{00000000-0005-0000-0000-000071030000}"/>
    <cellStyle name="40% - 강조색2" xfId="17196" builtinId="35" customBuiltin="1"/>
    <cellStyle name="40% - 강조색2 10" xfId="11259" xr:uid="{00000000-0005-0000-0000-000073030000}"/>
    <cellStyle name="40% - 강조색2 11" xfId="11260" xr:uid="{00000000-0005-0000-0000-000074030000}"/>
    <cellStyle name="40% - 강조색2 12" xfId="11261" xr:uid="{00000000-0005-0000-0000-000075030000}"/>
    <cellStyle name="40% - 강조색2 13" xfId="17087" xr:uid="{00000000-0005-0000-0000-000076030000}"/>
    <cellStyle name="40% - 강조색2 13 2" xfId="21539" xr:uid="{00000000-0005-0000-0000-000077030000}"/>
    <cellStyle name="40% - 강조색2 14" xfId="20505" xr:uid="{00000000-0005-0000-0000-000078030000}"/>
    <cellStyle name="40% - 강조색2 2" xfId="11262" xr:uid="{00000000-0005-0000-0000-000079030000}"/>
    <cellStyle name="40% - 강조색2 2 10" xfId="11263" xr:uid="{00000000-0005-0000-0000-00007A030000}"/>
    <cellStyle name="40% - 강조색2 2 11" xfId="11264" xr:uid="{00000000-0005-0000-0000-00007B030000}"/>
    <cellStyle name="40% - 강조색2 2 12" xfId="14697" xr:uid="{00000000-0005-0000-0000-00007C030000}"/>
    <cellStyle name="40% - 강조색2 2 12 2" xfId="21179" xr:uid="{00000000-0005-0000-0000-00007D030000}"/>
    <cellStyle name="40% - 강조색2 2 12 3" xfId="31048" xr:uid="{00000000-0005-0000-0000-00007E030000}"/>
    <cellStyle name="40% - 강조색2 2 12 4" xfId="17340" xr:uid="{00000000-0005-0000-0000-00007F030000}"/>
    <cellStyle name="40% - 강조색2 2 13" xfId="17769" xr:uid="{00000000-0005-0000-0000-000080030000}"/>
    <cellStyle name="40% - 강조색2 2 2" xfId="11265" xr:uid="{00000000-0005-0000-0000-000081030000}"/>
    <cellStyle name="40% - 강조색2 2 2 2" xfId="11266" xr:uid="{00000000-0005-0000-0000-000082030000}"/>
    <cellStyle name="40% - 강조색2 2 2 2 2" xfId="11267" xr:uid="{00000000-0005-0000-0000-000083030000}"/>
    <cellStyle name="40% - 강조색2 2 2 2 3" xfId="11268" xr:uid="{00000000-0005-0000-0000-000084030000}"/>
    <cellStyle name="40% - 강조색2 2 2 2 4" xfId="11269" xr:uid="{00000000-0005-0000-0000-000085030000}"/>
    <cellStyle name="40% - 강조색2 2 2 3" xfId="11270" xr:uid="{00000000-0005-0000-0000-000086030000}"/>
    <cellStyle name="40% - 강조색2 2 2 3 2" xfId="11271" xr:uid="{00000000-0005-0000-0000-000087030000}"/>
    <cellStyle name="40% - 강조색2 2 2 3 3" xfId="11272" xr:uid="{00000000-0005-0000-0000-000088030000}"/>
    <cellStyle name="40% - 강조색2 2 2 3 4" xfId="11273" xr:uid="{00000000-0005-0000-0000-000089030000}"/>
    <cellStyle name="40% - 강조색2 2 2 4" xfId="11274" xr:uid="{00000000-0005-0000-0000-00008A030000}"/>
    <cellStyle name="40% - 강조색2 2 2 5" xfId="11275" xr:uid="{00000000-0005-0000-0000-00008B030000}"/>
    <cellStyle name="40% - 강조색2 2 2 6" xfId="11276" xr:uid="{00000000-0005-0000-0000-00008C030000}"/>
    <cellStyle name="40% - 강조색2 2 3" xfId="11277" xr:uid="{00000000-0005-0000-0000-00008D030000}"/>
    <cellStyle name="40% - 강조색2 2 3 2" xfId="11278" xr:uid="{00000000-0005-0000-0000-00008E030000}"/>
    <cellStyle name="40% - 강조색2 2 3 2 2" xfId="11279" xr:uid="{00000000-0005-0000-0000-00008F030000}"/>
    <cellStyle name="40% - 강조색2 2 3 2 3" xfId="11280" xr:uid="{00000000-0005-0000-0000-000090030000}"/>
    <cellStyle name="40% - 강조색2 2 3 2 4" xfId="11281" xr:uid="{00000000-0005-0000-0000-000091030000}"/>
    <cellStyle name="40% - 강조색2 2 3 3" xfId="11282" xr:uid="{00000000-0005-0000-0000-000092030000}"/>
    <cellStyle name="40% - 강조색2 2 3 3 2" xfId="11283" xr:uid="{00000000-0005-0000-0000-000093030000}"/>
    <cellStyle name="40% - 강조색2 2 3 3 3" xfId="11284" xr:uid="{00000000-0005-0000-0000-000094030000}"/>
    <cellStyle name="40% - 강조색2 2 3 3 4" xfId="11285" xr:uid="{00000000-0005-0000-0000-000095030000}"/>
    <cellStyle name="40% - 강조색2 2 3 4" xfId="11286" xr:uid="{00000000-0005-0000-0000-000096030000}"/>
    <cellStyle name="40% - 강조색2 2 3 5" xfId="11287" xr:uid="{00000000-0005-0000-0000-000097030000}"/>
    <cellStyle name="40% - 강조색2 2 3 6" xfId="11288" xr:uid="{00000000-0005-0000-0000-000098030000}"/>
    <cellStyle name="40% - 강조색2 2 4" xfId="11289" xr:uid="{00000000-0005-0000-0000-000099030000}"/>
    <cellStyle name="40% - 강조색2 2 4 2" xfId="11290" xr:uid="{00000000-0005-0000-0000-00009A030000}"/>
    <cellStyle name="40% - 강조색2 2 4 2 2" xfId="11291" xr:uid="{00000000-0005-0000-0000-00009B030000}"/>
    <cellStyle name="40% - 강조색2 2 4 2 3" xfId="11292" xr:uid="{00000000-0005-0000-0000-00009C030000}"/>
    <cellStyle name="40% - 강조색2 2 4 2 4" xfId="11293" xr:uid="{00000000-0005-0000-0000-00009D030000}"/>
    <cellStyle name="40% - 강조색2 2 4 3" xfId="11294" xr:uid="{00000000-0005-0000-0000-00009E030000}"/>
    <cellStyle name="40% - 강조색2 2 4 3 2" xfId="11295" xr:uid="{00000000-0005-0000-0000-00009F030000}"/>
    <cellStyle name="40% - 강조색2 2 4 3 3" xfId="11296" xr:uid="{00000000-0005-0000-0000-0000A0030000}"/>
    <cellStyle name="40% - 강조색2 2 4 3 4" xfId="11297" xr:uid="{00000000-0005-0000-0000-0000A1030000}"/>
    <cellStyle name="40% - 강조색2 2 4 4" xfId="11298" xr:uid="{00000000-0005-0000-0000-0000A2030000}"/>
    <cellStyle name="40% - 강조색2 2 4 5" xfId="11299" xr:uid="{00000000-0005-0000-0000-0000A3030000}"/>
    <cellStyle name="40% - 강조색2 2 4 6" xfId="11300" xr:uid="{00000000-0005-0000-0000-0000A4030000}"/>
    <cellStyle name="40% - 강조색2 2 5" xfId="11301" xr:uid="{00000000-0005-0000-0000-0000A5030000}"/>
    <cellStyle name="40% - 강조색2 2 5 2" xfId="11302" xr:uid="{00000000-0005-0000-0000-0000A6030000}"/>
    <cellStyle name="40% - 강조색2 2 5 3" xfId="11303" xr:uid="{00000000-0005-0000-0000-0000A7030000}"/>
    <cellStyle name="40% - 강조색2 2 5 4" xfId="11304" xr:uid="{00000000-0005-0000-0000-0000A8030000}"/>
    <cellStyle name="40% - 강조색2 2 6" xfId="11305" xr:uid="{00000000-0005-0000-0000-0000A9030000}"/>
    <cellStyle name="40% - 강조색2 2 6 2" xfId="11306" xr:uid="{00000000-0005-0000-0000-0000AA030000}"/>
    <cellStyle name="40% - 강조색2 2 6 3" xfId="11307" xr:uid="{00000000-0005-0000-0000-0000AB030000}"/>
    <cellStyle name="40% - 강조색2 2 6 4" xfId="11308" xr:uid="{00000000-0005-0000-0000-0000AC030000}"/>
    <cellStyle name="40% - 강조색2 2 7" xfId="11309" xr:uid="{00000000-0005-0000-0000-0000AD030000}"/>
    <cellStyle name="40% - 강조색2 2 7 2" xfId="11310" xr:uid="{00000000-0005-0000-0000-0000AE030000}"/>
    <cellStyle name="40% - 강조색2 2 7 3" xfId="11311" xr:uid="{00000000-0005-0000-0000-0000AF030000}"/>
    <cellStyle name="40% - 강조색2 2 7 4" xfId="11312" xr:uid="{00000000-0005-0000-0000-0000B0030000}"/>
    <cellStyle name="40% - 강조색2 2 8" xfId="11313" xr:uid="{00000000-0005-0000-0000-0000B1030000}"/>
    <cellStyle name="40% - 강조색2 2 9" xfId="11314" xr:uid="{00000000-0005-0000-0000-0000B2030000}"/>
    <cellStyle name="40% - 강조색2 3" xfId="11315" xr:uid="{00000000-0005-0000-0000-0000B3030000}"/>
    <cellStyle name="40% - 강조색2 3 2" xfId="11316" xr:uid="{00000000-0005-0000-0000-0000B4030000}"/>
    <cellStyle name="40% - 강조색2 3 2 2" xfId="11317" xr:uid="{00000000-0005-0000-0000-0000B5030000}"/>
    <cellStyle name="40% - 강조색2 3 2 3" xfId="11318" xr:uid="{00000000-0005-0000-0000-0000B6030000}"/>
    <cellStyle name="40% - 강조색2 3 2 4" xfId="11319" xr:uid="{00000000-0005-0000-0000-0000B7030000}"/>
    <cellStyle name="40% - 강조색2 3 3" xfId="11320" xr:uid="{00000000-0005-0000-0000-0000B8030000}"/>
    <cellStyle name="40% - 강조색2 3 3 2" xfId="11321" xr:uid="{00000000-0005-0000-0000-0000B9030000}"/>
    <cellStyle name="40% - 강조색2 3 3 3" xfId="11322" xr:uid="{00000000-0005-0000-0000-0000BA030000}"/>
    <cellStyle name="40% - 강조색2 3 3 4" xfId="11323" xr:uid="{00000000-0005-0000-0000-0000BB030000}"/>
    <cellStyle name="40% - 강조색2 3 4" xfId="11324" xr:uid="{00000000-0005-0000-0000-0000BC030000}"/>
    <cellStyle name="40% - 강조색2 3 5" xfId="11325" xr:uid="{00000000-0005-0000-0000-0000BD030000}"/>
    <cellStyle name="40% - 강조색2 3 6" xfId="11326" xr:uid="{00000000-0005-0000-0000-0000BE030000}"/>
    <cellStyle name="40% - 강조색2 3 7" xfId="14698" xr:uid="{00000000-0005-0000-0000-0000BF030000}"/>
    <cellStyle name="40% - 강조색2 3 7 2" xfId="31049" xr:uid="{00000000-0005-0000-0000-0000C0030000}"/>
    <cellStyle name="40% - 강조색2 3 7 3" xfId="17770" xr:uid="{00000000-0005-0000-0000-0000C1030000}"/>
    <cellStyle name="40% - 강조색2 3 8" xfId="17771" xr:uid="{00000000-0005-0000-0000-0000C2030000}"/>
    <cellStyle name="40% - 강조색2 4" xfId="11327" xr:uid="{00000000-0005-0000-0000-0000C3030000}"/>
    <cellStyle name="40% - 강조색2 4 2" xfId="11328" xr:uid="{00000000-0005-0000-0000-0000C4030000}"/>
    <cellStyle name="40% - 강조색2 4 2 2" xfId="11329" xr:uid="{00000000-0005-0000-0000-0000C5030000}"/>
    <cellStyle name="40% - 강조색2 4 2 3" xfId="11330" xr:uid="{00000000-0005-0000-0000-0000C6030000}"/>
    <cellStyle name="40% - 강조색2 4 2 4" xfId="11331" xr:uid="{00000000-0005-0000-0000-0000C7030000}"/>
    <cellStyle name="40% - 강조색2 4 3" xfId="11332" xr:uid="{00000000-0005-0000-0000-0000C8030000}"/>
    <cellStyle name="40% - 강조색2 4 3 2" xfId="11333" xr:uid="{00000000-0005-0000-0000-0000C9030000}"/>
    <cellStyle name="40% - 강조색2 4 3 3" xfId="11334" xr:uid="{00000000-0005-0000-0000-0000CA030000}"/>
    <cellStyle name="40% - 강조색2 4 3 4" xfId="11335" xr:uid="{00000000-0005-0000-0000-0000CB030000}"/>
    <cellStyle name="40% - 강조색2 4 4" xfId="11336" xr:uid="{00000000-0005-0000-0000-0000CC030000}"/>
    <cellStyle name="40% - 강조색2 4 5" xfId="11337" xr:uid="{00000000-0005-0000-0000-0000CD030000}"/>
    <cellStyle name="40% - 강조색2 4 6" xfId="11338" xr:uid="{00000000-0005-0000-0000-0000CE030000}"/>
    <cellStyle name="40% - 강조색2 4 7" xfId="14699" xr:uid="{00000000-0005-0000-0000-0000CF030000}"/>
    <cellStyle name="40% - 강조색2 4 7 2" xfId="31050" xr:uid="{00000000-0005-0000-0000-0000D0030000}"/>
    <cellStyle name="40% - 강조색2 4 7 3" xfId="17772" xr:uid="{00000000-0005-0000-0000-0000D1030000}"/>
    <cellStyle name="40% - 강조색2 4 8" xfId="17773" xr:uid="{00000000-0005-0000-0000-0000D2030000}"/>
    <cellStyle name="40% - 강조색2 5" xfId="11339" xr:uid="{00000000-0005-0000-0000-0000D3030000}"/>
    <cellStyle name="40% - 강조색2 5 2" xfId="11340" xr:uid="{00000000-0005-0000-0000-0000D4030000}"/>
    <cellStyle name="40% - 강조색2 5 2 2" xfId="11341" xr:uid="{00000000-0005-0000-0000-0000D5030000}"/>
    <cellStyle name="40% - 강조색2 5 2 3" xfId="11342" xr:uid="{00000000-0005-0000-0000-0000D6030000}"/>
    <cellStyle name="40% - 강조색2 5 2 4" xfId="11343" xr:uid="{00000000-0005-0000-0000-0000D7030000}"/>
    <cellStyle name="40% - 강조색2 5 3" xfId="11344" xr:uid="{00000000-0005-0000-0000-0000D8030000}"/>
    <cellStyle name="40% - 강조색2 5 3 2" xfId="11345" xr:uid="{00000000-0005-0000-0000-0000D9030000}"/>
    <cellStyle name="40% - 강조색2 5 3 3" xfId="11346" xr:uid="{00000000-0005-0000-0000-0000DA030000}"/>
    <cellStyle name="40% - 강조색2 5 3 4" xfId="11347" xr:uid="{00000000-0005-0000-0000-0000DB030000}"/>
    <cellStyle name="40% - 강조색2 5 4" xfId="11348" xr:uid="{00000000-0005-0000-0000-0000DC030000}"/>
    <cellStyle name="40% - 강조색2 5 5" xfId="11349" xr:uid="{00000000-0005-0000-0000-0000DD030000}"/>
    <cellStyle name="40% - 강조색2 5 6" xfId="11350" xr:uid="{00000000-0005-0000-0000-0000DE030000}"/>
    <cellStyle name="40% - 강조색2 5 7" xfId="14700" xr:uid="{00000000-0005-0000-0000-0000DF030000}"/>
    <cellStyle name="40% - 강조색2 5 7 2" xfId="31051" xr:uid="{00000000-0005-0000-0000-0000E0030000}"/>
    <cellStyle name="40% - 강조색2 5 7 3" xfId="17774" xr:uid="{00000000-0005-0000-0000-0000E1030000}"/>
    <cellStyle name="40% - 강조색2 5 8" xfId="17775" xr:uid="{00000000-0005-0000-0000-0000E2030000}"/>
    <cellStyle name="40% - 강조색2 6" xfId="11351" xr:uid="{00000000-0005-0000-0000-0000E3030000}"/>
    <cellStyle name="40% - 강조색2 6 2" xfId="11352" xr:uid="{00000000-0005-0000-0000-0000E4030000}"/>
    <cellStyle name="40% - 강조색2 6 3" xfId="11353" xr:uid="{00000000-0005-0000-0000-0000E5030000}"/>
    <cellStyle name="40% - 강조색2 6 4" xfId="11354" xr:uid="{00000000-0005-0000-0000-0000E6030000}"/>
    <cellStyle name="40% - 강조색2 7" xfId="11355" xr:uid="{00000000-0005-0000-0000-0000E7030000}"/>
    <cellStyle name="40% - 강조색2 7 2" xfId="11356" xr:uid="{00000000-0005-0000-0000-0000E8030000}"/>
    <cellStyle name="40% - 강조색2 7 3" xfId="11357" xr:uid="{00000000-0005-0000-0000-0000E9030000}"/>
    <cellStyle name="40% - 강조색2 7 4" xfId="11358" xr:uid="{00000000-0005-0000-0000-0000EA030000}"/>
    <cellStyle name="40% - 강조색2 8" xfId="11359" xr:uid="{00000000-0005-0000-0000-0000EB030000}"/>
    <cellStyle name="40% - 강조색2 8 2" xfId="11360" xr:uid="{00000000-0005-0000-0000-0000EC030000}"/>
    <cellStyle name="40% - 강조색2 8 3" xfId="11361" xr:uid="{00000000-0005-0000-0000-0000ED030000}"/>
    <cellStyle name="40% - 강조색2 8 4" xfId="11362" xr:uid="{00000000-0005-0000-0000-0000EE030000}"/>
    <cellStyle name="40% - 강조색2 9" xfId="11363" xr:uid="{00000000-0005-0000-0000-0000EF030000}"/>
    <cellStyle name="40% - 강조색3" xfId="17200" builtinId="39" customBuiltin="1"/>
    <cellStyle name="40% - 강조색3 10" xfId="11364" xr:uid="{00000000-0005-0000-0000-0000F1030000}"/>
    <cellStyle name="40% - 강조색3 11" xfId="11365" xr:uid="{00000000-0005-0000-0000-0000F2030000}"/>
    <cellStyle name="40% - 강조색3 12" xfId="11366" xr:uid="{00000000-0005-0000-0000-0000F3030000}"/>
    <cellStyle name="40% - 강조색3 13" xfId="17088" xr:uid="{00000000-0005-0000-0000-0000F4030000}"/>
    <cellStyle name="40% - 강조색3 13 2" xfId="21543" xr:uid="{00000000-0005-0000-0000-0000F5030000}"/>
    <cellStyle name="40% - 강조색3 14" xfId="20509" xr:uid="{00000000-0005-0000-0000-0000F6030000}"/>
    <cellStyle name="40% - 강조색3 2" xfId="11367" xr:uid="{00000000-0005-0000-0000-0000F7030000}"/>
    <cellStyle name="40% - 강조색3 2 10" xfId="11368" xr:uid="{00000000-0005-0000-0000-0000F8030000}"/>
    <cellStyle name="40% - 강조색3 2 11" xfId="11369" xr:uid="{00000000-0005-0000-0000-0000F9030000}"/>
    <cellStyle name="40% - 강조색3 2 12" xfId="14701" xr:uid="{00000000-0005-0000-0000-0000FA030000}"/>
    <cellStyle name="40% - 강조색3 2 12 2" xfId="21183" xr:uid="{00000000-0005-0000-0000-0000FB030000}"/>
    <cellStyle name="40% - 강조색3 2 12 3" xfId="31052" xr:uid="{00000000-0005-0000-0000-0000FC030000}"/>
    <cellStyle name="40% - 강조색3 2 12 4" xfId="17341" xr:uid="{00000000-0005-0000-0000-0000FD030000}"/>
    <cellStyle name="40% - 강조색3 2 13" xfId="17776" xr:uid="{00000000-0005-0000-0000-0000FE030000}"/>
    <cellStyle name="40% - 강조색3 2 2" xfId="11370" xr:uid="{00000000-0005-0000-0000-0000FF030000}"/>
    <cellStyle name="40% - 강조색3 2 2 2" xfId="11371" xr:uid="{00000000-0005-0000-0000-000000040000}"/>
    <cellStyle name="40% - 강조색3 2 2 2 2" xfId="11372" xr:uid="{00000000-0005-0000-0000-000001040000}"/>
    <cellStyle name="40% - 강조색3 2 2 2 3" xfId="11373" xr:uid="{00000000-0005-0000-0000-000002040000}"/>
    <cellStyle name="40% - 강조색3 2 2 2 4" xfId="11374" xr:uid="{00000000-0005-0000-0000-000003040000}"/>
    <cellStyle name="40% - 강조색3 2 2 3" xfId="11375" xr:uid="{00000000-0005-0000-0000-000004040000}"/>
    <cellStyle name="40% - 강조색3 2 2 3 2" xfId="11376" xr:uid="{00000000-0005-0000-0000-000005040000}"/>
    <cellStyle name="40% - 강조색3 2 2 3 3" xfId="11377" xr:uid="{00000000-0005-0000-0000-000006040000}"/>
    <cellStyle name="40% - 강조색3 2 2 3 4" xfId="11378" xr:uid="{00000000-0005-0000-0000-000007040000}"/>
    <cellStyle name="40% - 강조색3 2 2 4" xfId="11379" xr:uid="{00000000-0005-0000-0000-000008040000}"/>
    <cellStyle name="40% - 강조색3 2 2 5" xfId="11380" xr:uid="{00000000-0005-0000-0000-000009040000}"/>
    <cellStyle name="40% - 강조색3 2 2 6" xfId="11381" xr:uid="{00000000-0005-0000-0000-00000A040000}"/>
    <cellStyle name="40% - 강조색3 2 3" xfId="11382" xr:uid="{00000000-0005-0000-0000-00000B040000}"/>
    <cellStyle name="40% - 강조색3 2 3 2" xfId="11383" xr:uid="{00000000-0005-0000-0000-00000C040000}"/>
    <cellStyle name="40% - 강조색3 2 3 2 2" xfId="11384" xr:uid="{00000000-0005-0000-0000-00000D040000}"/>
    <cellStyle name="40% - 강조색3 2 3 2 3" xfId="11385" xr:uid="{00000000-0005-0000-0000-00000E040000}"/>
    <cellStyle name="40% - 강조색3 2 3 2 4" xfId="11386" xr:uid="{00000000-0005-0000-0000-00000F040000}"/>
    <cellStyle name="40% - 강조색3 2 3 3" xfId="11387" xr:uid="{00000000-0005-0000-0000-000010040000}"/>
    <cellStyle name="40% - 강조색3 2 3 3 2" xfId="11388" xr:uid="{00000000-0005-0000-0000-000011040000}"/>
    <cellStyle name="40% - 강조색3 2 3 3 3" xfId="11389" xr:uid="{00000000-0005-0000-0000-000012040000}"/>
    <cellStyle name="40% - 강조색3 2 3 3 4" xfId="11390" xr:uid="{00000000-0005-0000-0000-000013040000}"/>
    <cellStyle name="40% - 강조색3 2 3 4" xfId="11391" xr:uid="{00000000-0005-0000-0000-000014040000}"/>
    <cellStyle name="40% - 강조색3 2 3 5" xfId="11392" xr:uid="{00000000-0005-0000-0000-000015040000}"/>
    <cellStyle name="40% - 강조색3 2 3 6" xfId="11393" xr:uid="{00000000-0005-0000-0000-000016040000}"/>
    <cellStyle name="40% - 강조색3 2 4" xfId="11394" xr:uid="{00000000-0005-0000-0000-000017040000}"/>
    <cellStyle name="40% - 강조색3 2 4 2" xfId="11395" xr:uid="{00000000-0005-0000-0000-000018040000}"/>
    <cellStyle name="40% - 강조색3 2 4 2 2" xfId="11396" xr:uid="{00000000-0005-0000-0000-000019040000}"/>
    <cellStyle name="40% - 강조색3 2 4 2 3" xfId="11397" xr:uid="{00000000-0005-0000-0000-00001A040000}"/>
    <cellStyle name="40% - 강조색3 2 4 2 4" xfId="11398" xr:uid="{00000000-0005-0000-0000-00001B040000}"/>
    <cellStyle name="40% - 강조색3 2 4 3" xfId="11399" xr:uid="{00000000-0005-0000-0000-00001C040000}"/>
    <cellStyle name="40% - 강조색3 2 4 3 2" xfId="11400" xr:uid="{00000000-0005-0000-0000-00001D040000}"/>
    <cellStyle name="40% - 강조색3 2 4 3 3" xfId="11401" xr:uid="{00000000-0005-0000-0000-00001E040000}"/>
    <cellStyle name="40% - 강조색3 2 4 3 4" xfId="11402" xr:uid="{00000000-0005-0000-0000-00001F040000}"/>
    <cellStyle name="40% - 강조색3 2 4 4" xfId="11403" xr:uid="{00000000-0005-0000-0000-000020040000}"/>
    <cellStyle name="40% - 강조색3 2 4 5" xfId="11404" xr:uid="{00000000-0005-0000-0000-000021040000}"/>
    <cellStyle name="40% - 강조색3 2 4 6" xfId="11405" xr:uid="{00000000-0005-0000-0000-000022040000}"/>
    <cellStyle name="40% - 강조색3 2 5" xfId="11406" xr:uid="{00000000-0005-0000-0000-000023040000}"/>
    <cellStyle name="40% - 강조색3 2 5 2" xfId="11407" xr:uid="{00000000-0005-0000-0000-000024040000}"/>
    <cellStyle name="40% - 강조색3 2 5 3" xfId="11408" xr:uid="{00000000-0005-0000-0000-000025040000}"/>
    <cellStyle name="40% - 강조색3 2 5 4" xfId="11409" xr:uid="{00000000-0005-0000-0000-000026040000}"/>
    <cellStyle name="40% - 강조색3 2 6" xfId="11410" xr:uid="{00000000-0005-0000-0000-000027040000}"/>
    <cellStyle name="40% - 강조색3 2 6 2" xfId="11411" xr:uid="{00000000-0005-0000-0000-000028040000}"/>
    <cellStyle name="40% - 강조색3 2 6 3" xfId="11412" xr:uid="{00000000-0005-0000-0000-000029040000}"/>
    <cellStyle name="40% - 강조색3 2 6 4" xfId="11413" xr:uid="{00000000-0005-0000-0000-00002A040000}"/>
    <cellStyle name="40% - 강조색3 2 7" xfId="11414" xr:uid="{00000000-0005-0000-0000-00002B040000}"/>
    <cellStyle name="40% - 강조색3 2 7 2" xfId="11415" xr:uid="{00000000-0005-0000-0000-00002C040000}"/>
    <cellStyle name="40% - 강조색3 2 7 3" xfId="11416" xr:uid="{00000000-0005-0000-0000-00002D040000}"/>
    <cellStyle name="40% - 강조색3 2 7 4" xfId="11417" xr:uid="{00000000-0005-0000-0000-00002E040000}"/>
    <cellStyle name="40% - 강조색3 2 8" xfId="11418" xr:uid="{00000000-0005-0000-0000-00002F040000}"/>
    <cellStyle name="40% - 강조색3 2 9" xfId="11419" xr:uid="{00000000-0005-0000-0000-000030040000}"/>
    <cellStyle name="40% - 강조색3 3" xfId="11420" xr:uid="{00000000-0005-0000-0000-000031040000}"/>
    <cellStyle name="40% - 강조색3 3 2" xfId="11421" xr:uid="{00000000-0005-0000-0000-000032040000}"/>
    <cellStyle name="40% - 강조색3 3 2 2" xfId="11422" xr:uid="{00000000-0005-0000-0000-000033040000}"/>
    <cellStyle name="40% - 강조색3 3 2 3" xfId="11423" xr:uid="{00000000-0005-0000-0000-000034040000}"/>
    <cellStyle name="40% - 강조색3 3 2 4" xfId="11424" xr:uid="{00000000-0005-0000-0000-000035040000}"/>
    <cellStyle name="40% - 강조색3 3 3" xfId="11425" xr:uid="{00000000-0005-0000-0000-000036040000}"/>
    <cellStyle name="40% - 강조색3 3 3 2" xfId="11426" xr:uid="{00000000-0005-0000-0000-000037040000}"/>
    <cellStyle name="40% - 강조색3 3 3 3" xfId="11427" xr:uid="{00000000-0005-0000-0000-000038040000}"/>
    <cellStyle name="40% - 강조색3 3 3 4" xfId="11428" xr:uid="{00000000-0005-0000-0000-000039040000}"/>
    <cellStyle name="40% - 강조색3 3 4" xfId="11429" xr:uid="{00000000-0005-0000-0000-00003A040000}"/>
    <cellStyle name="40% - 강조색3 3 5" xfId="11430" xr:uid="{00000000-0005-0000-0000-00003B040000}"/>
    <cellStyle name="40% - 강조색3 3 6" xfId="11431" xr:uid="{00000000-0005-0000-0000-00003C040000}"/>
    <cellStyle name="40% - 강조색3 3 7" xfId="14702" xr:uid="{00000000-0005-0000-0000-00003D040000}"/>
    <cellStyle name="40% - 강조색3 3 7 2" xfId="31053" xr:uid="{00000000-0005-0000-0000-00003E040000}"/>
    <cellStyle name="40% - 강조색3 3 7 3" xfId="17777" xr:uid="{00000000-0005-0000-0000-00003F040000}"/>
    <cellStyle name="40% - 강조색3 3 8" xfId="17778" xr:uid="{00000000-0005-0000-0000-000040040000}"/>
    <cellStyle name="40% - 강조색3 4" xfId="11432" xr:uid="{00000000-0005-0000-0000-000041040000}"/>
    <cellStyle name="40% - 강조색3 4 2" xfId="11433" xr:uid="{00000000-0005-0000-0000-000042040000}"/>
    <cellStyle name="40% - 강조색3 4 2 2" xfId="11434" xr:uid="{00000000-0005-0000-0000-000043040000}"/>
    <cellStyle name="40% - 강조색3 4 2 3" xfId="11435" xr:uid="{00000000-0005-0000-0000-000044040000}"/>
    <cellStyle name="40% - 강조색3 4 2 4" xfId="11436" xr:uid="{00000000-0005-0000-0000-000045040000}"/>
    <cellStyle name="40% - 강조색3 4 3" xfId="11437" xr:uid="{00000000-0005-0000-0000-000046040000}"/>
    <cellStyle name="40% - 강조색3 4 3 2" xfId="11438" xr:uid="{00000000-0005-0000-0000-000047040000}"/>
    <cellStyle name="40% - 강조색3 4 3 3" xfId="11439" xr:uid="{00000000-0005-0000-0000-000048040000}"/>
    <cellStyle name="40% - 강조색3 4 3 4" xfId="11440" xr:uid="{00000000-0005-0000-0000-000049040000}"/>
    <cellStyle name="40% - 강조색3 4 4" xfId="11441" xr:uid="{00000000-0005-0000-0000-00004A040000}"/>
    <cellStyle name="40% - 강조색3 4 5" xfId="11442" xr:uid="{00000000-0005-0000-0000-00004B040000}"/>
    <cellStyle name="40% - 강조색3 4 6" xfId="11443" xr:uid="{00000000-0005-0000-0000-00004C040000}"/>
    <cellStyle name="40% - 강조색3 4 7" xfId="14703" xr:uid="{00000000-0005-0000-0000-00004D040000}"/>
    <cellStyle name="40% - 강조색3 4 7 2" xfId="31054" xr:uid="{00000000-0005-0000-0000-00004E040000}"/>
    <cellStyle name="40% - 강조색3 4 7 3" xfId="17779" xr:uid="{00000000-0005-0000-0000-00004F040000}"/>
    <cellStyle name="40% - 강조색3 4 8" xfId="17780" xr:uid="{00000000-0005-0000-0000-000050040000}"/>
    <cellStyle name="40% - 강조색3 5" xfId="11444" xr:uid="{00000000-0005-0000-0000-000051040000}"/>
    <cellStyle name="40% - 강조색3 5 2" xfId="11445" xr:uid="{00000000-0005-0000-0000-000052040000}"/>
    <cellStyle name="40% - 강조색3 5 2 2" xfId="11446" xr:uid="{00000000-0005-0000-0000-000053040000}"/>
    <cellStyle name="40% - 강조색3 5 2 3" xfId="11447" xr:uid="{00000000-0005-0000-0000-000054040000}"/>
    <cellStyle name="40% - 강조색3 5 2 4" xfId="11448" xr:uid="{00000000-0005-0000-0000-000055040000}"/>
    <cellStyle name="40% - 강조색3 5 3" xfId="11449" xr:uid="{00000000-0005-0000-0000-000056040000}"/>
    <cellStyle name="40% - 강조색3 5 3 2" xfId="11450" xr:uid="{00000000-0005-0000-0000-000057040000}"/>
    <cellStyle name="40% - 강조색3 5 3 3" xfId="11451" xr:uid="{00000000-0005-0000-0000-000058040000}"/>
    <cellStyle name="40% - 강조색3 5 3 4" xfId="11452" xr:uid="{00000000-0005-0000-0000-000059040000}"/>
    <cellStyle name="40% - 강조색3 5 4" xfId="11453" xr:uid="{00000000-0005-0000-0000-00005A040000}"/>
    <cellStyle name="40% - 강조색3 5 5" xfId="11454" xr:uid="{00000000-0005-0000-0000-00005B040000}"/>
    <cellStyle name="40% - 강조색3 5 6" xfId="11455" xr:uid="{00000000-0005-0000-0000-00005C040000}"/>
    <cellStyle name="40% - 강조색3 5 7" xfId="14704" xr:uid="{00000000-0005-0000-0000-00005D040000}"/>
    <cellStyle name="40% - 강조색3 5 7 2" xfId="31055" xr:uid="{00000000-0005-0000-0000-00005E040000}"/>
    <cellStyle name="40% - 강조색3 5 7 3" xfId="17781" xr:uid="{00000000-0005-0000-0000-00005F040000}"/>
    <cellStyle name="40% - 강조색3 5 8" xfId="17782" xr:uid="{00000000-0005-0000-0000-000060040000}"/>
    <cellStyle name="40% - 강조색3 6" xfId="11456" xr:uid="{00000000-0005-0000-0000-000061040000}"/>
    <cellStyle name="40% - 강조색3 6 2" xfId="11457" xr:uid="{00000000-0005-0000-0000-000062040000}"/>
    <cellStyle name="40% - 강조색3 6 3" xfId="11458" xr:uid="{00000000-0005-0000-0000-000063040000}"/>
    <cellStyle name="40% - 강조색3 6 4" xfId="11459" xr:uid="{00000000-0005-0000-0000-000064040000}"/>
    <cellStyle name="40% - 강조색3 7" xfId="11460" xr:uid="{00000000-0005-0000-0000-000065040000}"/>
    <cellStyle name="40% - 강조색3 7 2" xfId="11461" xr:uid="{00000000-0005-0000-0000-000066040000}"/>
    <cellStyle name="40% - 강조색3 7 3" xfId="11462" xr:uid="{00000000-0005-0000-0000-000067040000}"/>
    <cellStyle name="40% - 강조색3 7 4" xfId="11463" xr:uid="{00000000-0005-0000-0000-000068040000}"/>
    <cellStyle name="40% - 강조색3 8" xfId="11464" xr:uid="{00000000-0005-0000-0000-000069040000}"/>
    <cellStyle name="40% - 강조색3 8 2" xfId="11465" xr:uid="{00000000-0005-0000-0000-00006A040000}"/>
    <cellStyle name="40% - 강조색3 8 3" xfId="11466" xr:uid="{00000000-0005-0000-0000-00006B040000}"/>
    <cellStyle name="40% - 강조색3 8 4" xfId="11467" xr:uid="{00000000-0005-0000-0000-00006C040000}"/>
    <cellStyle name="40% - 강조색3 9" xfId="11468" xr:uid="{00000000-0005-0000-0000-00006D040000}"/>
    <cellStyle name="40% - 강조색4" xfId="17204" builtinId="43" customBuiltin="1"/>
    <cellStyle name="40% - 강조색4 10" xfId="11469" xr:uid="{00000000-0005-0000-0000-00006F040000}"/>
    <cellStyle name="40% - 강조색4 11" xfId="11470" xr:uid="{00000000-0005-0000-0000-000070040000}"/>
    <cellStyle name="40% - 강조색4 12" xfId="11471" xr:uid="{00000000-0005-0000-0000-000071040000}"/>
    <cellStyle name="40% - 강조색4 13" xfId="17089" xr:uid="{00000000-0005-0000-0000-000072040000}"/>
    <cellStyle name="40% - 강조색4 13 2" xfId="21547" xr:uid="{00000000-0005-0000-0000-000073040000}"/>
    <cellStyle name="40% - 강조색4 14" xfId="20513" xr:uid="{00000000-0005-0000-0000-000074040000}"/>
    <cellStyle name="40% - 강조색4 2" xfId="11472" xr:uid="{00000000-0005-0000-0000-000075040000}"/>
    <cellStyle name="40% - 강조색4 2 10" xfId="11473" xr:uid="{00000000-0005-0000-0000-000076040000}"/>
    <cellStyle name="40% - 강조색4 2 11" xfId="11474" xr:uid="{00000000-0005-0000-0000-000077040000}"/>
    <cellStyle name="40% - 강조색4 2 12" xfId="14705" xr:uid="{00000000-0005-0000-0000-000078040000}"/>
    <cellStyle name="40% - 강조색4 2 12 2" xfId="21209" xr:uid="{00000000-0005-0000-0000-000079040000}"/>
    <cellStyle name="40% - 강조색4 2 12 3" xfId="31056" xr:uid="{00000000-0005-0000-0000-00007A040000}"/>
    <cellStyle name="40% - 강조색4 2 12 4" xfId="17342" xr:uid="{00000000-0005-0000-0000-00007B040000}"/>
    <cellStyle name="40% - 강조색4 2 13" xfId="17783" xr:uid="{00000000-0005-0000-0000-00007C040000}"/>
    <cellStyle name="40% - 강조색4 2 2" xfId="11475" xr:uid="{00000000-0005-0000-0000-00007D040000}"/>
    <cellStyle name="40% - 강조색4 2 2 2" xfId="11476" xr:uid="{00000000-0005-0000-0000-00007E040000}"/>
    <cellStyle name="40% - 강조색4 2 2 2 2" xfId="11477" xr:uid="{00000000-0005-0000-0000-00007F040000}"/>
    <cellStyle name="40% - 강조색4 2 2 2 3" xfId="11478" xr:uid="{00000000-0005-0000-0000-000080040000}"/>
    <cellStyle name="40% - 강조색4 2 2 2 4" xfId="11479" xr:uid="{00000000-0005-0000-0000-000081040000}"/>
    <cellStyle name="40% - 강조색4 2 2 3" xfId="11480" xr:uid="{00000000-0005-0000-0000-000082040000}"/>
    <cellStyle name="40% - 강조색4 2 2 3 2" xfId="11481" xr:uid="{00000000-0005-0000-0000-000083040000}"/>
    <cellStyle name="40% - 강조색4 2 2 3 3" xfId="11482" xr:uid="{00000000-0005-0000-0000-000084040000}"/>
    <cellStyle name="40% - 강조색4 2 2 3 4" xfId="11483" xr:uid="{00000000-0005-0000-0000-000085040000}"/>
    <cellStyle name="40% - 강조색4 2 2 4" xfId="11484" xr:uid="{00000000-0005-0000-0000-000086040000}"/>
    <cellStyle name="40% - 강조색4 2 2 5" xfId="11485" xr:uid="{00000000-0005-0000-0000-000087040000}"/>
    <cellStyle name="40% - 강조색4 2 2 6" xfId="11486" xr:uid="{00000000-0005-0000-0000-000088040000}"/>
    <cellStyle name="40% - 강조색4 2 3" xfId="11487" xr:uid="{00000000-0005-0000-0000-000089040000}"/>
    <cellStyle name="40% - 강조색4 2 3 2" xfId="11488" xr:uid="{00000000-0005-0000-0000-00008A040000}"/>
    <cellStyle name="40% - 강조색4 2 3 2 2" xfId="11489" xr:uid="{00000000-0005-0000-0000-00008B040000}"/>
    <cellStyle name="40% - 강조색4 2 3 2 3" xfId="11490" xr:uid="{00000000-0005-0000-0000-00008C040000}"/>
    <cellStyle name="40% - 강조색4 2 3 2 4" xfId="11491" xr:uid="{00000000-0005-0000-0000-00008D040000}"/>
    <cellStyle name="40% - 강조색4 2 3 3" xfId="11492" xr:uid="{00000000-0005-0000-0000-00008E040000}"/>
    <cellStyle name="40% - 강조색4 2 3 3 2" xfId="11493" xr:uid="{00000000-0005-0000-0000-00008F040000}"/>
    <cellStyle name="40% - 강조색4 2 3 3 3" xfId="11494" xr:uid="{00000000-0005-0000-0000-000090040000}"/>
    <cellStyle name="40% - 강조색4 2 3 3 4" xfId="11495" xr:uid="{00000000-0005-0000-0000-000091040000}"/>
    <cellStyle name="40% - 강조색4 2 3 4" xfId="11496" xr:uid="{00000000-0005-0000-0000-000092040000}"/>
    <cellStyle name="40% - 강조색4 2 3 5" xfId="11497" xr:uid="{00000000-0005-0000-0000-000093040000}"/>
    <cellStyle name="40% - 강조색4 2 3 6" xfId="11498" xr:uid="{00000000-0005-0000-0000-000094040000}"/>
    <cellStyle name="40% - 강조색4 2 4" xfId="11499" xr:uid="{00000000-0005-0000-0000-000095040000}"/>
    <cellStyle name="40% - 강조색4 2 4 2" xfId="11500" xr:uid="{00000000-0005-0000-0000-000096040000}"/>
    <cellStyle name="40% - 강조색4 2 4 2 2" xfId="11501" xr:uid="{00000000-0005-0000-0000-000097040000}"/>
    <cellStyle name="40% - 강조색4 2 4 2 3" xfId="11502" xr:uid="{00000000-0005-0000-0000-000098040000}"/>
    <cellStyle name="40% - 강조색4 2 4 2 4" xfId="11503" xr:uid="{00000000-0005-0000-0000-000099040000}"/>
    <cellStyle name="40% - 강조색4 2 4 3" xfId="11504" xr:uid="{00000000-0005-0000-0000-00009A040000}"/>
    <cellStyle name="40% - 강조색4 2 4 3 2" xfId="11505" xr:uid="{00000000-0005-0000-0000-00009B040000}"/>
    <cellStyle name="40% - 강조색4 2 4 3 3" xfId="11506" xr:uid="{00000000-0005-0000-0000-00009C040000}"/>
    <cellStyle name="40% - 강조색4 2 4 3 4" xfId="11507" xr:uid="{00000000-0005-0000-0000-00009D040000}"/>
    <cellStyle name="40% - 강조색4 2 4 4" xfId="11508" xr:uid="{00000000-0005-0000-0000-00009E040000}"/>
    <cellStyle name="40% - 강조색4 2 4 5" xfId="11509" xr:uid="{00000000-0005-0000-0000-00009F040000}"/>
    <cellStyle name="40% - 강조색4 2 4 6" xfId="11510" xr:uid="{00000000-0005-0000-0000-0000A0040000}"/>
    <cellStyle name="40% - 강조색4 2 5" xfId="11511" xr:uid="{00000000-0005-0000-0000-0000A1040000}"/>
    <cellStyle name="40% - 강조색4 2 5 2" xfId="11512" xr:uid="{00000000-0005-0000-0000-0000A2040000}"/>
    <cellStyle name="40% - 강조색4 2 5 3" xfId="11513" xr:uid="{00000000-0005-0000-0000-0000A3040000}"/>
    <cellStyle name="40% - 강조색4 2 5 4" xfId="11514" xr:uid="{00000000-0005-0000-0000-0000A4040000}"/>
    <cellStyle name="40% - 강조색4 2 6" xfId="11515" xr:uid="{00000000-0005-0000-0000-0000A5040000}"/>
    <cellStyle name="40% - 강조색4 2 6 2" xfId="11516" xr:uid="{00000000-0005-0000-0000-0000A6040000}"/>
    <cellStyle name="40% - 강조색4 2 6 3" xfId="11517" xr:uid="{00000000-0005-0000-0000-0000A7040000}"/>
    <cellStyle name="40% - 강조색4 2 6 4" xfId="11518" xr:uid="{00000000-0005-0000-0000-0000A8040000}"/>
    <cellStyle name="40% - 강조색4 2 7" xfId="11519" xr:uid="{00000000-0005-0000-0000-0000A9040000}"/>
    <cellStyle name="40% - 강조색4 2 7 2" xfId="11520" xr:uid="{00000000-0005-0000-0000-0000AA040000}"/>
    <cellStyle name="40% - 강조색4 2 7 3" xfId="11521" xr:uid="{00000000-0005-0000-0000-0000AB040000}"/>
    <cellStyle name="40% - 강조색4 2 7 4" xfId="11522" xr:uid="{00000000-0005-0000-0000-0000AC040000}"/>
    <cellStyle name="40% - 강조색4 2 8" xfId="11523" xr:uid="{00000000-0005-0000-0000-0000AD040000}"/>
    <cellStyle name="40% - 강조색4 2 9" xfId="11524" xr:uid="{00000000-0005-0000-0000-0000AE040000}"/>
    <cellStyle name="40% - 강조색4 3" xfId="11525" xr:uid="{00000000-0005-0000-0000-0000AF040000}"/>
    <cellStyle name="40% - 강조색4 3 2" xfId="11526" xr:uid="{00000000-0005-0000-0000-0000B0040000}"/>
    <cellStyle name="40% - 강조색4 3 2 2" xfId="11527" xr:uid="{00000000-0005-0000-0000-0000B1040000}"/>
    <cellStyle name="40% - 강조색4 3 2 3" xfId="11528" xr:uid="{00000000-0005-0000-0000-0000B2040000}"/>
    <cellStyle name="40% - 강조색4 3 2 4" xfId="11529" xr:uid="{00000000-0005-0000-0000-0000B3040000}"/>
    <cellStyle name="40% - 강조색4 3 3" xfId="11530" xr:uid="{00000000-0005-0000-0000-0000B4040000}"/>
    <cellStyle name="40% - 강조색4 3 3 2" xfId="11531" xr:uid="{00000000-0005-0000-0000-0000B5040000}"/>
    <cellStyle name="40% - 강조색4 3 3 3" xfId="11532" xr:uid="{00000000-0005-0000-0000-0000B6040000}"/>
    <cellStyle name="40% - 강조색4 3 3 4" xfId="11533" xr:uid="{00000000-0005-0000-0000-0000B7040000}"/>
    <cellStyle name="40% - 강조색4 3 4" xfId="11534" xr:uid="{00000000-0005-0000-0000-0000B8040000}"/>
    <cellStyle name="40% - 강조색4 3 5" xfId="11535" xr:uid="{00000000-0005-0000-0000-0000B9040000}"/>
    <cellStyle name="40% - 강조색4 3 6" xfId="11536" xr:uid="{00000000-0005-0000-0000-0000BA040000}"/>
    <cellStyle name="40% - 강조색4 3 7" xfId="14706" xr:uid="{00000000-0005-0000-0000-0000BB040000}"/>
    <cellStyle name="40% - 강조색4 3 7 2" xfId="31057" xr:uid="{00000000-0005-0000-0000-0000BC040000}"/>
    <cellStyle name="40% - 강조색4 3 7 3" xfId="17784" xr:uid="{00000000-0005-0000-0000-0000BD040000}"/>
    <cellStyle name="40% - 강조색4 3 8" xfId="17785" xr:uid="{00000000-0005-0000-0000-0000BE040000}"/>
    <cellStyle name="40% - 강조색4 4" xfId="11537" xr:uid="{00000000-0005-0000-0000-0000BF040000}"/>
    <cellStyle name="40% - 강조색4 4 2" xfId="11538" xr:uid="{00000000-0005-0000-0000-0000C0040000}"/>
    <cellStyle name="40% - 강조색4 4 2 2" xfId="11539" xr:uid="{00000000-0005-0000-0000-0000C1040000}"/>
    <cellStyle name="40% - 강조색4 4 2 3" xfId="11540" xr:uid="{00000000-0005-0000-0000-0000C2040000}"/>
    <cellStyle name="40% - 강조색4 4 2 4" xfId="11541" xr:uid="{00000000-0005-0000-0000-0000C3040000}"/>
    <cellStyle name="40% - 강조색4 4 3" xfId="11542" xr:uid="{00000000-0005-0000-0000-0000C4040000}"/>
    <cellStyle name="40% - 강조색4 4 3 2" xfId="11543" xr:uid="{00000000-0005-0000-0000-0000C5040000}"/>
    <cellStyle name="40% - 강조색4 4 3 3" xfId="11544" xr:uid="{00000000-0005-0000-0000-0000C6040000}"/>
    <cellStyle name="40% - 강조색4 4 3 4" xfId="11545" xr:uid="{00000000-0005-0000-0000-0000C7040000}"/>
    <cellStyle name="40% - 강조색4 4 4" xfId="11546" xr:uid="{00000000-0005-0000-0000-0000C8040000}"/>
    <cellStyle name="40% - 강조색4 4 5" xfId="11547" xr:uid="{00000000-0005-0000-0000-0000C9040000}"/>
    <cellStyle name="40% - 강조색4 4 6" xfId="11548" xr:uid="{00000000-0005-0000-0000-0000CA040000}"/>
    <cellStyle name="40% - 강조색4 4 7" xfId="14707" xr:uid="{00000000-0005-0000-0000-0000CB040000}"/>
    <cellStyle name="40% - 강조색4 4 7 2" xfId="31058" xr:uid="{00000000-0005-0000-0000-0000CC040000}"/>
    <cellStyle name="40% - 강조색4 4 7 3" xfId="17786" xr:uid="{00000000-0005-0000-0000-0000CD040000}"/>
    <cellStyle name="40% - 강조색4 4 8" xfId="17787" xr:uid="{00000000-0005-0000-0000-0000CE040000}"/>
    <cellStyle name="40% - 강조색4 5" xfId="11549" xr:uid="{00000000-0005-0000-0000-0000CF040000}"/>
    <cellStyle name="40% - 강조색4 5 2" xfId="11550" xr:uid="{00000000-0005-0000-0000-0000D0040000}"/>
    <cellStyle name="40% - 강조색4 5 2 2" xfId="11551" xr:uid="{00000000-0005-0000-0000-0000D1040000}"/>
    <cellStyle name="40% - 강조색4 5 2 3" xfId="11552" xr:uid="{00000000-0005-0000-0000-0000D2040000}"/>
    <cellStyle name="40% - 강조색4 5 2 4" xfId="11553" xr:uid="{00000000-0005-0000-0000-0000D3040000}"/>
    <cellStyle name="40% - 강조색4 5 3" xfId="11554" xr:uid="{00000000-0005-0000-0000-0000D4040000}"/>
    <cellStyle name="40% - 강조색4 5 3 2" xfId="11555" xr:uid="{00000000-0005-0000-0000-0000D5040000}"/>
    <cellStyle name="40% - 강조색4 5 3 3" xfId="11556" xr:uid="{00000000-0005-0000-0000-0000D6040000}"/>
    <cellStyle name="40% - 강조색4 5 3 4" xfId="11557" xr:uid="{00000000-0005-0000-0000-0000D7040000}"/>
    <cellStyle name="40% - 강조색4 5 4" xfId="11558" xr:uid="{00000000-0005-0000-0000-0000D8040000}"/>
    <cellStyle name="40% - 강조색4 5 5" xfId="11559" xr:uid="{00000000-0005-0000-0000-0000D9040000}"/>
    <cellStyle name="40% - 강조색4 5 6" xfId="11560" xr:uid="{00000000-0005-0000-0000-0000DA040000}"/>
    <cellStyle name="40% - 강조색4 5 7" xfId="14708" xr:uid="{00000000-0005-0000-0000-0000DB040000}"/>
    <cellStyle name="40% - 강조색4 5 7 2" xfId="31059" xr:uid="{00000000-0005-0000-0000-0000DC040000}"/>
    <cellStyle name="40% - 강조색4 5 7 3" xfId="17788" xr:uid="{00000000-0005-0000-0000-0000DD040000}"/>
    <cellStyle name="40% - 강조색4 5 8" xfId="17789" xr:uid="{00000000-0005-0000-0000-0000DE040000}"/>
    <cellStyle name="40% - 강조색4 6" xfId="11561" xr:uid="{00000000-0005-0000-0000-0000DF040000}"/>
    <cellStyle name="40% - 강조색4 6 2" xfId="11562" xr:uid="{00000000-0005-0000-0000-0000E0040000}"/>
    <cellStyle name="40% - 강조색4 6 3" xfId="11563" xr:uid="{00000000-0005-0000-0000-0000E1040000}"/>
    <cellStyle name="40% - 강조색4 6 4" xfId="11564" xr:uid="{00000000-0005-0000-0000-0000E2040000}"/>
    <cellStyle name="40% - 강조색4 7" xfId="11565" xr:uid="{00000000-0005-0000-0000-0000E3040000}"/>
    <cellStyle name="40% - 강조색4 7 2" xfId="11566" xr:uid="{00000000-0005-0000-0000-0000E4040000}"/>
    <cellStyle name="40% - 강조색4 7 3" xfId="11567" xr:uid="{00000000-0005-0000-0000-0000E5040000}"/>
    <cellStyle name="40% - 강조색4 7 4" xfId="11568" xr:uid="{00000000-0005-0000-0000-0000E6040000}"/>
    <cellStyle name="40% - 강조색4 8" xfId="11569" xr:uid="{00000000-0005-0000-0000-0000E7040000}"/>
    <cellStyle name="40% - 강조색4 8 2" xfId="11570" xr:uid="{00000000-0005-0000-0000-0000E8040000}"/>
    <cellStyle name="40% - 강조색4 8 3" xfId="11571" xr:uid="{00000000-0005-0000-0000-0000E9040000}"/>
    <cellStyle name="40% - 강조색4 8 4" xfId="11572" xr:uid="{00000000-0005-0000-0000-0000EA040000}"/>
    <cellStyle name="40% - 강조색4 9" xfId="11573" xr:uid="{00000000-0005-0000-0000-0000EB040000}"/>
    <cellStyle name="40% - 강조색5" xfId="17208" builtinId="47" customBuiltin="1"/>
    <cellStyle name="40% - 강조색5 10" xfId="11574" xr:uid="{00000000-0005-0000-0000-0000ED040000}"/>
    <cellStyle name="40% - 강조색5 11" xfId="11575" xr:uid="{00000000-0005-0000-0000-0000EE040000}"/>
    <cellStyle name="40% - 강조색5 12" xfId="11576" xr:uid="{00000000-0005-0000-0000-0000EF040000}"/>
    <cellStyle name="40% - 강조색5 13" xfId="17090" xr:uid="{00000000-0005-0000-0000-0000F0040000}"/>
    <cellStyle name="40% - 강조색5 13 2" xfId="21551" xr:uid="{00000000-0005-0000-0000-0000F1040000}"/>
    <cellStyle name="40% - 강조색5 14" xfId="20517" xr:uid="{00000000-0005-0000-0000-0000F2040000}"/>
    <cellStyle name="40% - 강조색5 2" xfId="11577" xr:uid="{00000000-0005-0000-0000-0000F3040000}"/>
    <cellStyle name="40% - 강조색5 2 10" xfId="11578" xr:uid="{00000000-0005-0000-0000-0000F4040000}"/>
    <cellStyle name="40% - 강조색5 2 11" xfId="11579" xr:uid="{00000000-0005-0000-0000-0000F5040000}"/>
    <cellStyle name="40% - 강조색5 2 12" xfId="14709" xr:uid="{00000000-0005-0000-0000-0000F6040000}"/>
    <cellStyle name="40% - 강조색5 2 12 2" xfId="21247" xr:uid="{00000000-0005-0000-0000-0000F7040000}"/>
    <cellStyle name="40% - 강조색5 2 12 3" xfId="31060" xr:uid="{00000000-0005-0000-0000-0000F8040000}"/>
    <cellStyle name="40% - 강조색5 2 12 4" xfId="17343" xr:uid="{00000000-0005-0000-0000-0000F9040000}"/>
    <cellStyle name="40% - 강조색5 2 13" xfId="17790" xr:uid="{00000000-0005-0000-0000-0000FA040000}"/>
    <cellStyle name="40% - 강조색5 2 2" xfId="11580" xr:uid="{00000000-0005-0000-0000-0000FB040000}"/>
    <cellStyle name="40% - 강조색5 2 2 2" xfId="11581" xr:uid="{00000000-0005-0000-0000-0000FC040000}"/>
    <cellStyle name="40% - 강조색5 2 2 2 2" xfId="11582" xr:uid="{00000000-0005-0000-0000-0000FD040000}"/>
    <cellStyle name="40% - 강조색5 2 2 2 3" xfId="11583" xr:uid="{00000000-0005-0000-0000-0000FE040000}"/>
    <cellStyle name="40% - 강조색5 2 2 2 4" xfId="11584" xr:uid="{00000000-0005-0000-0000-0000FF040000}"/>
    <cellStyle name="40% - 강조색5 2 2 3" xfId="11585" xr:uid="{00000000-0005-0000-0000-000000050000}"/>
    <cellStyle name="40% - 강조색5 2 2 3 2" xfId="11586" xr:uid="{00000000-0005-0000-0000-000001050000}"/>
    <cellStyle name="40% - 강조색5 2 2 3 3" xfId="11587" xr:uid="{00000000-0005-0000-0000-000002050000}"/>
    <cellStyle name="40% - 강조색5 2 2 3 4" xfId="11588" xr:uid="{00000000-0005-0000-0000-000003050000}"/>
    <cellStyle name="40% - 강조색5 2 2 4" xfId="11589" xr:uid="{00000000-0005-0000-0000-000004050000}"/>
    <cellStyle name="40% - 강조색5 2 2 5" xfId="11590" xr:uid="{00000000-0005-0000-0000-000005050000}"/>
    <cellStyle name="40% - 강조색5 2 2 6" xfId="11591" xr:uid="{00000000-0005-0000-0000-000006050000}"/>
    <cellStyle name="40% - 강조색5 2 3" xfId="11592" xr:uid="{00000000-0005-0000-0000-000007050000}"/>
    <cellStyle name="40% - 강조색5 2 3 2" xfId="11593" xr:uid="{00000000-0005-0000-0000-000008050000}"/>
    <cellStyle name="40% - 강조색5 2 3 2 2" xfId="11594" xr:uid="{00000000-0005-0000-0000-000009050000}"/>
    <cellStyle name="40% - 강조색5 2 3 2 3" xfId="11595" xr:uid="{00000000-0005-0000-0000-00000A050000}"/>
    <cellStyle name="40% - 강조색5 2 3 2 4" xfId="11596" xr:uid="{00000000-0005-0000-0000-00000B050000}"/>
    <cellStyle name="40% - 강조색5 2 3 3" xfId="11597" xr:uid="{00000000-0005-0000-0000-00000C050000}"/>
    <cellStyle name="40% - 강조색5 2 3 3 2" xfId="11598" xr:uid="{00000000-0005-0000-0000-00000D050000}"/>
    <cellStyle name="40% - 강조색5 2 3 3 3" xfId="11599" xr:uid="{00000000-0005-0000-0000-00000E050000}"/>
    <cellStyle name="40% - 강조색5 2 3 3 4" xfId="11600" xr:uid="{00000000-0005-0000-0000-00000F050000}"/>
    <cellStyle name="40% - 강조색5 2 3 4" xfId="11601" xr:uid="{00000000-0005-0000-0000-000010050000}"/>
    <cellStyle name="40% - 강조색5 2 3 5" xfId="11602" xr:uid="{00000000-0005-0000-0000-000011050000}"/>
    <cellStyle name="40% - 강조색5 2 3 6" xfId="11603" xr:uid="{00000000-0005-0000-0000-000012050000}"/>
    <cellStyle name="40% - 강조색5 2 4" xfId="11604" xr:uid="{00000000-0005-0000-0000-000013050000}"/>
    <cellStyle name="40% - 강조색5 2 4 2" xfId="11605" xr:uid="{00000000-0005-0000-0000-000014050000}"/>
    <cellStyle name="40% - 강조색5 2 4 2 2" xfId="11606" xr:uid="{00000000-0005-0000-0000-000015050000}"/>
    <cellStyle name="40% - 강조색5 2 4 2 3" xfId="11607" xr:uid="{00000000-0005-0000-0000-000016050000}"/>
    <cellStyle name="40% - 강조색5 2 4 2 4" xfId="11608" xr:uid="{00000000-0005-0000-0000-000017050000}"/>
    <cellStyle name="40% - 강조색5 2 4 3" xfId="11609" xr:uid="{00000000-0005-0000-0000-000018050000}"/>
    <cellStyle name="40% - 강조색5 2 4 3 2" xfId="11610" xr:uid="{00000000-0005-0000-0000-000019050000}"/>
    <cellStyle name="40% - 강조색5 2 4 3 3" xfId="11611" xr:uid="{00000000-0005-0000-0000-00001A050000}"/>
    <cellStyle name="40% - 강조색5 2 4 3 4" xfId="11612" xr:uid="{00000000-0005-0000-0000-00001B050000}"/>
    <cellStyle name="40% - 강조색5 2 4 4" xfId="11613" xr:uid="{00000000-0005-0000-0000-00001C050000}"/>
    <cellStyle name="40% - 강조색5 2 4 5" xfId="11614" xr:uid="{00000000-0005-0000-0000-00001D050000}"/>
    <cellStyle name="40% - 강조색5 2 4 6" xfId="11615" xr:uid="{00000000-0005-0000-0000-00001E050000}"/>
    <cellStyle name="40% - 강조색5 2 5" xfId="11616" xr:uid="{00000000-0005-0000-0000-00001F050000}"/>
    <cellStyle name="40% - 강조색5 2 5 2" xfId="11617" xr:uid="{00000000-0005-0000-0000-000020050000}"/>
    <cellStyle name="40% - 강조색5 2 5 3" xfId="11618" xr:uid="{00000000-0005-0000-0000-000021050000}"/>
    <cellStyle name="40% - 강조색5 2 5 4" xfId="11619" xr:uid="{00000000-0005-0000-0000-000022050000}"/>
    <cellStyle name="40% - 강조색5 2 6" xfId="11620" xr:uid="{00000000-0005-0000-0000-000023050000}"/>
    <cellStyle name="40% - 강조색5 2 6 2" xfId="11621" xr:uid="{00000000-0005-0000-0000-000024050000}"/>
    <cellStyle name="40% - 강조색5 2 6 3" xfId="11622" xr:uid="{00000000-0005-0000-0000-000025050000}"/>
    <cellStyle name="40% - 강조색5 2 6 4" xfId="11623" xr:uid="{00000000-0005-0000-0000-000026050000}"/>
    <cellStyle name="40% - 강조색5 2 7" xfId="11624" xr:uid="{00000000-0005-0000-0000-000027050000}"/>
    <cellStyle name="40% - 강조색5 2 7 2" xfId="11625" xr:uid="{00000000-0005-0000-0000-000028050000}"/>
    <cellStyle name="40% - 강조색5 2 7 3" xfId="11626" xr:uid="{00000000-0005-0000-0000-000029050000}"/>
    <cellStyle name="40% - 강조색5 2 7 4" xfId="11627" xr:uid="{00000000-0005-0000-0000-00002A050000}"/>
    <cellStyle name="40% - 강조색5 2 8" xfId="11628" xr:uid="{00000000-0005-0000-0000-00002B050000}"/>
    <cellStyle name="40% - 강조색5 2 9" xfId="11629" xr:uid="{00000000-0005-0000-0000-00002C050000}"/>
    <cellStyle name="40% - 강조색5 3" xfId="11630" xr:uid="{00000000-0005-0000-0000-00002D050000}"/>
    <cellStyle name="40% - 강조색5 3 2" xfId="11631" xr:uid="{00000000-0005-0000-0000-00002E050000}"/>
    <cellStyle name="40% - 강조색5 3 2 2" xfId="11632" xr:uid="{00000000-0005-0000-0000-00002F050000}"/>
    <cellStyle name="40% - 강조색5 3 2 3" xfId="11633" xr:uid="{00000000-0005-0000-0000-000030050000}"/>
    <cellStyle name="40% - 강조색5 3 2 4" xfId="11634" xr:uid="{00000000-0005-0000-0000-000031050000}"/>
    <cellStyle name="40% - 강조색5 3 3" xfId="11635" xr:uid="{00000000-0005-0000-0000-000032050000}"/>
    <cellStyle name="40% - 강조색5 3 3 2" xfId="11636" xr:uid="{00000000-0005-0000-0000-000033050000}"/>
    <cellStyle name="40% - 강조색5 3 3 3" xfId="11637" xr:uid="{00000000-0005-0000-0000-000034050000}"/>
    <cellStyle name="40% - 강조색5 3 3 4" xfId="11638" xr:uid="{00000000-0005-0000-0000-000035050000}"/>
    <cellStyle name="40% - 강조색5 3 4" xfId="11639" xr:uid="{00000000-0005-0000-0000-000036050000}"/>
    <cellStyle name="40% - 강조색5 3 5" xfId="11640" xr:uid="{00000000-0005-0000-0000-000037050000}"/>
    <cellStyle name="40% - 강조색5 3 6" xfId="11641" xr:uid="{00000000-0005-0000-0000-000038050000}"/>
    <cellStyle name="40% - 강조색5 3 7" xfId="14710" xr:uid="{00000000-0005-0000-0000-000039050000}"/>
    <cellStyle name="40% - 강조색5 3 7 2" xfId="31061" xr:uid="{00000000-0005-0000-0000-00003A050000}"/>
    <cellStyle name="40% - 강조색5 3 7 3" xfId="17791" xr:uid="{00000000-0005-0000-0000-00003B050000}"/>
    <cellStyle name="40% - 강조색5 3 8" xfId="17792" xr:uid="{00000000-0005-0000-0000-00003C050000}"/>
    <cellStyle name="40% - 강조색5 4" xfId="11642" xr:uid="{00000000-0005-0000-0000-00003D050000}"/>
    <cellStyle name="40% - 강조색5 4 2" xfId="11643" xr:uid="{00000000-0005-0000-0000-00003E050000}"/>
    <cellStyle name="40% - 강조색5 4 2 2" xfId="11644" xr:uid="{00000000-0005-0000-0000-00003F050000}"/>
    <cellStyle name="40% - 강조색5 4 2 3" xfId="11645" xr:uid="{00000000-0005-0000-0000-000040050000}"/>
    <cellStyle name="40% - 강조색5 4 2 4" xfId="11646" xr:uid="{00000000-0005-0000-0000-000041050000}"/>
    <cellStyle name="40% - 강조색5 4 3" xfId="11647" xr:uid="{00000000-0005-0000-0000-000042050000}"/>
    <cellStyle name="40% - 강조색5 4 3 2" xfId="11648" xr:uid="{00000000-0005-0000-0000-000043050000}"/>
    <cellStyle name="40% - 강조색5 4 3 3" xfId="11649" xr:uid="{00000000-0005-0000-0000-000044050000}"/>
    <cellStyle name="40% - 강조색5 4 3 4" xfId="11650" xr:uid="{00000000-0005-0000-0000-000045050000}"/>
    <cellStyle name="40% - 강조색5 4 4" xfId="11651" xr:uid="{00000000-0005-0000-0000-000046050000}"/>
    <cellStyle name="40% - 강조색5 4 5" xfId="11652" xr:uid="{00000000-0005-0000-0000-000047050000}"/>
    <cellStyle name="40% - 강조색5 4 6" xfId="11653" xr:uid="{00000000-0005-0000-0000-000048050000}"/>
    <cellStyle name="40% - 강조색5 4 7" xfId="14711" xr:uid="{00000000-0005-0000-0000-000049050000}"/>
    <cellStyle name="40% - 강조색5 4 7 2" xfId="31062" xr:uid="{00000000-0005-0000-0000-00004A050000}"/>
    <cellStyle name="40% - 강조색5 4 7 3" xfId="17793" xr:uid="{00000000-0005-0000-0000-00004B050000}"/>
    <cellStyle name="40% - 강조색5 4 8" xfId="17794" xr:uid="{00000000-0005-0000-0000-00004C050000}"/>
    <cellStyle name="40% - 강조색5 5" xfId="11654" xr:uid="{00000000-0005-0000-0000-00004D050000}"/>
    <cellStyle name="40% - 강조색5 5 2" xfId="11655" xr:uid="{00000000-0005-0000-0000-00004E050000}"/>
    <cellStyle name="40% - 강조색5 5 2 2" xfId="11656" xr:uid="{00000000-0005-0000-0000-00004F050000}"/>
    <cellStyle name="40% - 강조색5 5 2 3" xfId="11657" xr:uid="{00000000-0005-0000-0000-000050050000}"/>
    <cellStyle name="40% - 강조색5 5 2 4" xfId="11658" xr:uid="{00000000-0005-0000-0000-000051050000}"/>
    <cellStyle name="40% - 강조색5 5 3" xfId="11659" xr:uid="{00000000-0005-0000-0000-000052050000}"/>
    <cellStyle name="40% - 강조색5 5 3 2" xfId="11660" xr:uid="{00000000-0005-0000-0000-000053050000}"/>
    <cellStyle name="40% - 강조색5 5 3 3" xfId="11661" xr:uid="{00000000-0005-0000-0000-000054050000}"/>
    <cellStyle name="40% - 강조색5 5 3 4" xfId="11662" xr:uid="{00000000-0005-0000-0000-000055050000}"/>
    <cellStyle name="40% - 강조색5 5 4" xfId="11663" xr:uid="{00000000-0005-0000-0000-000056050000}"/>
    <cellStyle name="40% - 강조색5 5 5" xfId="11664" xr:uid="{00000000-0005-0000-0000-000057050000}"/>
    <cellStyle name="40% - 강조색5 5 6" xfId="11665" xr:uid="{00000000-0005-0000-0000-000058050000}"/>
    <cellStyle name="40% - 강조색5 5 7" xfId="14712" xr:uid="{00000000-0005-0000-0000-000059050000}"/>
    <cellStyle name="40% - 강조색5 5 7 2" xfId="31063" xr:uid="{00000000-0005-0000-0000-00005A050000}"/>
    <cellStyle name="40% - 강조색5 5 7 3" xfId="17795" xr:uid="{00000000-0005-0000-0000-00005B050000}"/>
    <cellStyle name="40% - 강조색5 5 8" xfId="17796" xr:uid="{00000000-0005-0000-0000-00005C050000}"/>
    <cellStyle name="40% - 강조색5 6" xfId="11666" xr:uid="{00000000-0005-0000-0000-00005D050000}"/>
    <cellStyle name="40% - 강조색5 6 2" xfId="11667" xr:uid="{00000000-0005-0000-0000-00005E050000}"/>
    <cellStyle name="40% - 강조색5 6 3" xfId="11668" xr:uid="{00000000-0005-0000-0000-00005F050000}"/>
    <cellStyle name="40% - 강조색5 6 4" xfId="11669" xr:uid="{00000000-0005-0000-0000-000060050000}"/>
    <cellStyle name="40% - 강조색5 7" xfId="11670" xr:uid="{00000000-0005-0000-0000-000061050000}"/>
    <cellStyle name="40% - 강조색5 7 2" xfId="11671" xr:uid="{00000000-0005-0000-0000-000062050000}"/>
    <cellStyle name="40% - 강조색5 7 3" xfId="11672" xr:uid="{00000000-0005-0000-0000-000063050000}"/>
    <cellStyle name="40% - 강조색5 7 4" xfId="11673" xr:uid="{00000000-0005-0000-0000-000064050000}"/>
    <cellStyle name="40% - 강조색5 8" xfId="11674" xr:uid="{00000000-0005-0000-0000-000065050000}"/>
    <cellStyle name="40% - 강조색5 8 2" xfId="11675" xr:uid="{00000000-0005-0000-0000-000066050000}"/>
    <cellStyle name="40% - 강조색5 8 3" xfId="11676" xr:uid="{00000000-0005-0000-0000-000067050000}"/>
    <cellStyle name="40% - 강조색5 8 4" xfId="11677" xr:uid="{00000000-0005-0000-0000-000068050000}"/>
    <cellStyle name="40% - 강조색5 9" xfId="11678" xr:uid="{00000000-0005-0000-0000-000069050000}"/>
    <cellStyle name="40% - 강조색6" xfId="17212" builtinId="51" customBuiltin="1"/>
    <cellStyle name="40% - 강조색6 10" xfId="11679" xr:uid="{00000000-0005-0000-0000-00006B050000}"/>
    <cellStyle name="40% - 강조색6 11" xfId="11680" xr:uid="{00000000-0005-0000-0000-00006C050000}"/>
    <cellStyle name="40% - 강조색6 12" xfId="11681" xr:uid="{00000000-0005-0000-0000-00006D050000}"/>
    <cellStyle name="40% - 강조색6 13" xfId="17091" xr:uid="{00000000-0005-0000-0000-00006E050000}"/>
    <cellStyle name="40% - 강조색6 13 2" xfId="21555" xr:uid="{00000000-0005-0000-0000-00006F050000}"/>
    <cellStyle name="40% - 강조색6 14" xfId="20521" xr:uid="{00000000-0005-0000-0000-000070050000}"/>
    <cellStyle name="40% - 강조색6 2" xfId="11682" xr:uid="{00000000-0005-0000-0000-000071050000}"/>
    <cellStyle name="40% - 강조색6 2 10" xfId="11683" xr:uid="{00000000-0005-0000-0000-000072050000}"/>
    <cellStyle name="40% - 강조색6 2 11" xfId="11684" xr:uid="{00000000-0005-0000-0000-000073050000}"/>
    <cellStyle name="40% - 강조색6 2 12" xfId="14713" xr:uid="{00000000-0005-0000-0000-000074050000}"/>
    <cellStyle name="40% - 강조색6 2 12 2" xfId="21253" xr:uid="{00000000-0005-0000-0000-000075050000}"/>
    <cellStyle name="40% - 강조색6 2 12 3" xfId="31064" xr:uid="{00000000-0005-0000-0000-000076050000}"/>
    <cellStyle name="40% - 강조색6 2 12 4" xfId="17344" xr:uid="{00000000-0005-0000-0000-000077050000}"/>
    <cellStyle name="40% - 강조색6 2 13" xfId="17797" xr:uid="{00000000-0005-0000-0000-000078050000}"/>
    <cellStyle name="40% - 강조색6 2 2" xfId="11685" xr:uid="{00000000-0005-0000-0000-000079050000}"/>
    <cellStyle name="40% - 강조색6 2 2 2" xfId="11686" xr:uid="{00000000-0005-0000-0000-00007A050000}"/>
    <cellStyle name="40% - 강조색6 2 2 2 2" xfId="11687" xr:uid="{00000000-0005-0000-0000-00007B050000}"/>
    <cellStyle name="40% - 강조색6 2 2 2 3" xfId="11688" xr:uid="{00000000-0005-0000-0000-00007C050000}"/>
    <cellStyle name="40% - 강조색6 2 2 2 4" xfId="11689" xr:uid="{00000000-0005-0000-0000-00007D050000}"/>
    <cellStyle name="40% - 강조색6 2 2 3" xfId="11690" xr:uid="{00000000-0005-0000-0000-00007E050000}"/>
    <cellStyle name="40% - 강조색6 2 2 3 2" xfId="11691" xr:uid="{00000000-0005-0000-0000-00007F050000}"/>
    <cellStyle name="40% - 강조색6 2 2 3 3" xfId="11692" xr:uid="{00000000-0005-0000-0000-000080050000}"/>
    <cellStyle name="40% - 강조색6 2 2 3 4" xfId="11693" xr:uid="{00000000-0005-0000-0000-000081050000}"/>
    <cellStyle name="40% - 강조색6 2 2 4" xfId="11694" xr:uid="{00000000-0005-0000-0000-000082050000}"/>
    <cellStyle name="40% - 강조색6 2 2 5" xfId="11695" xr:uid="{00000000-0005-0000-0000-000083050000}"/>
    <cellStyle name="40% - 강조색6 2 2 6" xfId="11696" xr:uid="{00000000-0005-0000-0000-000084050000}"/>
    <cellStyle name="40% - 강조색6 2 3" xfId="11697" xr:uid="{00000000-0005-0000-0000-000085050000}"/>
    <cellStyle name="40% - 강조색6 2 3 2" xfId="11698" xr:uid="{00000000-0005-0000-0000-000086050000}"/>
    <cellStyle name="40% - 강조색6 2 3 2 2" xfId="11699" xr:uid="{00000000-0005-0000-0000-000087050000}"/>
    <cellStyle name="40% - 강조색6 2 3 2 3" xfId="11700" xr:uid="{00000000-0005-0000-0000-000088050000}"/>
    <cellStyle name="40% - 강조색6 2 3 2 4" xfId="11701" xr:uid="{00000000-0005-0000-0000-000089050000}"/>
    <cellStyle name="40% - 강조색6 2 3 3" xfId="11702" xr:uid="{00000000-0005-0000-0000-00008A050000}"/>
    <cellStyle name="40% - 강조색6 2 3 3 2" xfId="11703" xr:uid="{00000000-0005-0000-0000-00008B050000}"/>
    <cellStyle name="40% - 강조색6 2 3 3 3" xfId="11704" xr:uid="{00000000-0005-0000-0000-00008C050000}"/>
    <cellStyle name="40% - 강조색6 2 3 3 4" xfId="11705" xr:uid="{00000000-0005-0000-0000-00008D050000}"/>
    <cellStyle name="40% - 강조색6 2 3 4" xfId="11706" xr:uid="{00000000-0005-0000-0000-00008E050000}"/>
    <cellStyle name="40% - 강조색6 2 3 5" xfId="11707" xr:uid="{00000000-0005-0000-0000-00008F050000}"/>
    <cellStyle name="40% - 강조색6 2 3 6" xfId="11708" xr:uid="{00000000-0005-0000-0000-000090050000}"/>
    <cellStyle name="40% - 강조색6 2 4" xfId="11709" xr:uid="{00000000-0005-0000-0000-000091050000}"/>
    <cellStyle name="40% - 강조색6 2 4 2" xfId="11710" xr:uid="{00000000-0005-0000-0000-000092050000}"/>
    <cellStyle name="40% - 강조색6 2 4 2 2" xfId="11711" xr:uid="{00000000-0005-0000-0000-000093050000}"/>
    <cellStyle name="40% - 강조색6 2 4 2 3" xfId="11712" xr:uid="{00000000-0005-0000-0000-000094050000}"/>
    <cellStyle name="40% - 강조색6 2 4 2 4" xfId="11713" xr:uid="{00000000-0005-0000-0000-000095050000}"/>
    <cellStyle name="40% - 강조색6 2 4 3" xfId="11714" xr:uid="{00000000-0005-0000-0000-000096050000}"/>
    <cellStyle name="40% - 강조색6 2 4 3 2" xfId="11715" xr:uid="{00000000-0005-0000-0000-000097050000}"/>
    <cellStyle name="40% - 강조색6 2 4 3 3" xfId="11716" xr:uid="{00000000-0005-0000-0000-000098050000}"/>
    <cellStyle name="40% - 강조색6 2 4 3 4" xfId="11717" xr:uid="{00000000-0005-0000-0000-000099050000}"/>
    <cellStyle name="40% - 강조색6 2 4 4" xfId="11718" xr:uid="{00000000-0005-0000-0000-00009A050000}"/>
    <cellStyle name="40% - 강조색6 2 4 5" xfId="11719" xr:uid="{00000000-0005-0000-0000-00009B050000}"/>
    <cellStyle name="40% - 강조색6 2 4 6" xfId="11720" xr:uid="{00000000-0005-0000-0000-00009C050000}"/>
    <cellStyle name="40% - 강조색6 2 5" xfId="11721" xr:uid="{00000000-0005-0000-0000-00009D050000}"/>
    <cellStyle name="40% - 강조색6 2 5 2" xfId="11722" xr:uid="{00000000-0005-0000-0000-00009E050000}"/>
    <cellStyle name="40% - 강조색6 2 5 3" xfId="11723" xr:uid="{00000000-0005-0000-0000-00009F050000}"/>
    <cellStyle name="40% - 강조색6 2 5 4" xfId="11724" xr:uid="{00000000-0005-0000-0000-0000A0050000}"/>
    <cellStyle name="40% - 강조색6 2 6" xfId="11725" xr:uid="{00000000-0005-0000-0000-0000A1050000}"/>
    <cellStyle name="40% - 강조색6 2 6 2" xfId="11726" xr:uid="{00000000-0005-0000-0000-0000A2050000}"/>
    <cellStyle name="40% - 강조색6 2 6 3" xfId="11727" xr:uid="{00000000-0005-0000-0000-0000A3050000}"/>
    <cellStyle name="40% - 강조색6 2 6 4" xfId="11728" xr:uid="{00000000-0005-0000-0000-0000A4050000}"/>
    <cellStyle name="40% - 강조색6 2 7" xfId="11729" xr:uid="{00000000-0005-0000-0000-0000A5050000}"/>
    <cellStyle name="40% - 강조색6 2 7 2" xfId="11730" xr:uid="{00000000-0005-0000-0000-0000A6050000}"/>
    <cellStyle name="40% - 강조색6 2 7 3" xfId="11731" xr:uid="{00000000-0005-0000-0000-0000A7050000}"/>
    <cellStyle name="40% - 강조색6 2 7 4" xfId="11732" xr:uid="{00000000-0005-0000-0000-0000A8050000}"/>
    <cellStyle name="40% - 강조색6 2 8" xfId="11733" xr:uid="{00000000-0005-0000-0000-0000A9050000}"/>
    <cellStyle name="40% - 강조색6 2 9" xfId="11734" xr:uid="{00000000-0005-0000-0000-0000AA050000}"/>
    <cellStyle name="40% - 강조색6 3" xfId="11735" xr:uid="{00000000-0005-0000-0000-0000AB050000}"/>
    <cellStyle name="40% - 강조색6 3 2" xfId="11736" xr:uid="{00000000-0005-0000-0000-0000AC050000}"/>
    <cellStyle name="40% - 강조색6 3 2 2" xfId="11737" xr:uid="{00000000-0005-0000-0000-0000AD050000}"/>
    <cellStyle name="40% - 강조색6 3 2 3" xfId="11738" xr:uid="{00000000-0005-0000-0000-0000AE050000}"/>
    <cellStyle name="40% - 강조색6 3 2 4" xfId="11739" xr:uid="{00000000-0005-0000-0000-0000AF050000}"/>
    <cellStyle name="40% - 강조색6 3 3" xfId="11740" xr:uid="{00000000-0005-0000-0000-0000B0050000}"/>
    <cellStyle name="40% - 강조색6 3 3 2" xfId="11741" xr:uid="{00000000-0005-0000-0000-0000B1050000}"/>
    <cellStyle name="40% - 강조색6 3 3 3" xfId="11742" xr:uid="{00000000-0005-0000-0000-0000B2050000}"/>
    <cellStyle name="40% - 강조색6 3 3 4" xfId="11743" xr:uid="{00000000-0005-0000-0000-0000B3050000}"/>
    <cellStyle name="40% - 강조색6 3 4" xfId="11744" xr:uid="{00000000-0005-0000-0000-0000B4050000}"/>
    <cellStyle name="40% - 강조색6 3 5" xfId="11745" xr:uid="{00000000-0005-0000-0000-0000B5050000}"/>
    <cellStyle name="40% - 강조색6 3 6" xfId="11746" xr:uid="{00000000-0005-0000-0000-0000B6050000}"/>
    <cellStyle name="40% - 강조색6 3 7" xfId="14714" xr:uid="{00000000-0005-0000-0000-0000B7050000}"/>
    <cellStyle name="40% - 강조색6 3 7 2" xfId="31065" xr:uid="{00000000-0005-0000-0000-0000B8050000}"/>
    <cellStyle name="40% - 강조색6 3 7 3" xfId="17798" xr:uid="{00000000-0005-0000-0000-0000B9050000}"/>
    <cellStyle name="40% - 강조색6 3 8" xfId="17799" xr:uid="{00000000-0005-0000-0000-0000BA050000}"/>
    <cellStyle name="40% - 강조색6 4" xfId="11747" xr:uid="{00000000-0005-0000-0000-0000BB050000}"/>
    <cellStyle name="40% - 강조색6 4 2" xfId="11748" xr:uid="{00000000-0005-0000-0000-0000BC050000}"/>
    <cellStyle name="40% - 강조색6 4 2 2" xfId="11749" xr:uid="{00000000-0005-0000-0000-0000BD050000}"/>
    <cellStyle name="40% - 강조색6 4 2 3" xfId="11750" xr:uid="{00000000-0005-0000-0000-0000BE050000}"/>
    <cellStyle name="40% - 강조색6 4 2 4" xfId="11751" xr:uid="{00000000-0005-0000-0000-0000BF050000}"/>
    <cellStyle name="40% - 강조색6 4 3" xfId="11752" xr:uid="{00000000-0005-0000-0000-0000C0050000}"/>
    <cellStyle name="40% - 강조색6 4 3 2" xfId="11753" xr:uid="{00000000-0005-0000-0000-0000C1050000}"/>
    <cellStyle name="40% - 강조색6 4 3 3" xfId="11754" xr:uid="{00000000-0005-0000-0000-0000C2050000}"/>
    <cellStyle name="40% - 강조색6 4 3 4" xfId="11755" xr:uid="{00000000-0005-0000-0000-0000C3050000}"/>
    <cellStyle name="40% - 강조색6 4 4" xfId="11756" xr:uid="{00000000-0005-0000-0000-0000C4050000}"/>
    <cellStyle name="40% - 강조색6 4 5" xfId="11757" xr:uid="{00000000-0005-0000-0000-0000C5050000}"/>
    <cellStyle name="40% - 강조색6 4 6" xfId="11758" xr:uid="{00000000-0005-0000-0000-0000C6050000}"/>
    <cellStyle name="40% - 강조색6 4 7" xfId="14715" xr:uid="{00000000-0005-0000-0000-0000C7050000}"/>
    <cellStyle name="40% - 강조색6 4 7 2" xfId="31066" xr:uid="{00000000-0005-0000-0000-0000C8050000}"/>
    <cellStyle name="40% - 강조색6 4 7 3" xfId="17800" xr:uid="{00000000-0005-0000-0000-0000C9050000}"/>
    <cellStyle name="40% - 강조색6 4 8" xfId="17801" xr:uid="{00000000-0005-0000-0000-0000CA050000}"/>
    <cellStyle name="40% - 강조색6 5" xfId="11759" xr:uid="{00000000-0005-0000-0000-0000CB050000}"/>
    <cellStyle name="40% - 강조색6 5 2" xfId="11760" xr:uid="{00000000-0005-0000-0000-0000CC050000}"/>
    <cellStyle name="40% - 강조색6 5 2 2" xfId="11761" xr:uid="{00000000-0005-0000-0000-0000CD050000}"/>
    <cellStyle name="40% - 강조색6 5 2 3" xfId="11762" xr:uid="{00000000-0005-0000-0000-0000CE050000}"/>
    <cellStyle name="40% - 강조색6 5 2 4" xfId="11763" xr:uid="{00000000-0005-0000-0000-0000CF050000}"/>
    <cellStyle name="40% - 강조색6 5 3" xfId="11764" xr:uid="{00000000-0005-0000-0000-0000D0050000}"/>
    <cellStyle name="40% - 강조색6 5 3 2" xfId="11765" xr:uid="{00000000-0005-0000-0000-0000D1050000}"/>
    <cellStyle name="40% - 강조색6 5 3 3" xfId="11766" xr:uid="{00000000-0005-0000-0000-0000D2050000}"/>
    <cellStyle name="40% - 강조색6 5 3 4" xfId="11767" xr:uid="{00000000-0005-0000-0000-0000D3050000}"/>
    <cellStyle name="40% - 강조색6 5 4" xfId="11768" xr:uid="{00000000-0005-0000-0000-0000D4050000}"/>
    <cellStyle name="40% - 강조색6 5 5" xfId="11769" xr:uid="{00000000-0005-0000-0000-0000D5050000}"/>
    <cellStyle name="40% - 강조색6 5 6" xfId="11770" xr:uid="{00000000-0005-0000-0000-0000D6050000}"/>
    <cellStyle name="40% - 강조색6 5 7" xfId="14716" xr:uid="{00000000-0005-0000-0000-0000D7050000}"/>
    <cellStyle name="40% - 강조색6 5 7 2" xfId="31067" xr:uid="{00000000-0005-0000-0000-0000D8050000}"/>
    <cellStyle name="40% - 강조색6 5 7 3" xfId="17802" xr:uid="{00000000-0005-0000-0000-0000D9050000}"/>
    <cellStyle name="40% - 강조색6 5 8" xfId="17803" xr:uid="{00000000-0005-0000-0000-0000DA050000}"/>
    <cellStyle name="40% - 강조색6 6" xfId="11771" xr:uid="{00000000-0005-0000-0000-0000DB050000}"/>
    <cellStyle name="40% - 강조색6 6 2" xfId="11772" xr:uid="{00000000-0005-0000-0000-0000DC050000}"/>
    <cellStyle name="40% - 강조색6 6 3" xfId="11773" xr:uid="{00000000-0005-0000-0000-0000DD050000}"/>
    <cellStyle name="40% - 강조색6 6 4" xfId="11774" xr:uid="{00000000-0005-0000-0000-0000DE050000}"/>
    <cellStyle name="40% - 강조색6 7" xfId="11775" xr:uid="{00000000-0005-0000-0000-0000DF050000}"/>
    <cellStyle name="40% - 강조색6 7 2" xfId="11776" xr:uid="{00000000-0005-0000-0000-0000E0050000}"/>
    <cellStyle name="40% - 강조색6 7 3" xfId="11777" xr:uid="{00000000-0005-0000-0000-0000E1050000}"/>
    <cellStyle name="40% - 강조색6 7 4" xfId="11778" xr:uid="{00000000-0005-0000-0000-0000E2050000}"/>
    <cellStyle name="40% - 강조색6 8" xfId="11779" xr:uid="{00000000-0005-0000-0000-0000E3050000}"/>
    <cellStyle name="40% - 강조색6 8 2" xfId="11780" xr:uid="{00000000-0005-0000-0000-0000E4050000}"/>
    <cellStyle name="40% - 강조색6 8 3" xfId="11781" xr:uid="{00000000-0005-0000-0000-0000E5050000}"/>
    <cellStyle name="40% - 강조색6 8 4" xfId="11782" xr:uid="{00000000-0005-0000-0000-0000E6050000}"/>
    <cellStyle name="40% - 강조색6 9" xfId="11783" xr:uid="{00000000-0005-0000-0000-0000E7050000}"/>
    <cellStyle name="60% - 강조색1" xfId="17193" builtinId="32" customBuiltin="1"/>
    <cellStyle name="60% - 강조색1 2" xfId="11784" xr:uid="{00000000-0005-0000-0000-0000E9050000}"/>
    <cellStyle name="60% - 강조색1 2 2" xfId="17345" xr:uid="{00000000-0005-0000-0000-0000EA050000}"/>
    <cellStyle name="60% - 강조색1 3" xfId="11785" xr:uid="{00000000-0005-0000-0000-0000EB050000}"/>
    <cellStyle name="60% - 강조색1 4" xfId="11786" xr:uid="{00000000-0005-0000-0000-0000EC050000}"/>
    <cellStyle name="60% - 강조색1 5" xfId="11787" xr:uid="{00000000-0005-0000-0000-0000ED050000}"/>
    <cellStyle name="60% - 강조색1 6" xfId="21536" xr:uid="{00000000-0005-0000-0000-0000EE050000}"/>
    <cellStyle name="60% - 강조색1 7" xfId="20502" xr:uid="{00000000-0005-0000-0000-0000EF050000}"/>
    <cellStyle name="60% - 강조색2" xfId="17197" builtinId="36" customBuiltin="1"/>
    <cellStyle name="60% - 강조색2 2" xfId="11788" xr:uid="{00000000-0005-0000-0000-0000F1050000}"/>
    <cellStyle name="60% - 강조색2 2 2" xfId="17346" xr:uid="{00000000-0005-0000-0000-0000F2050000}"/>
    <cellStyle name="60% - 강조색2 3" xfId="11789" xr:uid="{00000000-0005-0000-0000-0000F3050000}"/>
    <cellStyle name="60% - 강조색2 4" xfId="11790" xr:uid="{00000000-0005-0000-0000-0000F4050000}"/>
    <cellStyle name="60% - 강조색2 5" xfId="11791" xr:uid="{00000000-0005-0000-0000-0000F5050000}"/>
    <cellStyle name="60% - 강조색2 6" xfId="21540" xr:uid="{00000000-0005-0000-0000-0000F6050000}"/>
    <cellStyle name="60% - 강조색2 7" xfId="20506" xr:uid="{00000000-0005-0000-0000-0000F7050000}"/>
    <cellStyle name="60% - 강조색3" xfId="17201" builtinId="40" customBuiltin="1"/>
    <cellStyle name="60% - 강조색3 2" xfId="11792" xr:uid="{00000000-0005-0000-0000-0000F9050000}"/>
    <cellStyle name="60% - 강조색3 2 2" xfId="17347" xr:uid="{00000000-0005-0000-0000-0000FA050000}"/>
    <cellStyle name="60% - 강조색3 3" xfId="11793" xr:uid="{00000000-0005-0000-0000-0000FB050000}"/>
    <cellStyle name="60% - 강조색3 4" xfId="11794" xr:uid="{00000000-0005-0000-0000-0000FC050000}"/>
    <cellStyle name="60% - 강조색3 5" xfId="11795" xr:uid="{00000000-0005-0000-0000-0000FD050000}"/>
    <cellStyle name="60% - 강조색3 6" xfId="21544" xr:uid="{00000000-0005-0000-0000-0000FE050000}"/>
    <cellStyle name="60% - 강조색3 7" xfId="20510" xr:uid="{00000000-0005-0000-0000-0000FF050000}"/>
    <cellStyle name="60% - 강조색4" xfId="17205" builtinId="44" customBuiltin="1"/>
    <cellStyle name="60% - 강조색4 2" xfId="11796" xr:uid="{00000000-0005-0000-0000-000001060000}"/>
    <cellStyle name="60% - 강조색4 2 2" xfId="17348" xr:uid="{00000000-0005-0000-0000-000002060000}"/>
    <cellStyle name="60% - 강조색4 3" xfId="11797" xr:uid="{00000000-0005-0000-0000-000003060000}"/>
    <cellStyle name="60% - 강조색4 4" xfId="11798" xr:uid="{00000000-0005-0000-0000-000004060000}"/>
    <cellStyle name="60% - 강조색4 5" xfId="11799" xr:uid="{00000000-0005-0000-0000-000005060000}"/>
    <cellStyle name="60% - 강조색4 6" xfId="21548" xr:uid="{00000000-0005-0000-0000-000006060000}"/>
    <cellStyle name="60% - 강조색4 7" xfId="20514" xr:uid="{00000000-0005-0000-0000-000007060000}"/>
    <cellStyle name="60% - 강조색5" xfId="17209" builtinId="48" customBuiltin="1"/>
    <cellStyle name="60% - 강조색5 2" xfId="11800" xr:uid="{00000000-0005-0000-0000-000009060000}"/>
    <cellStyle name="60% - 강조색5 2 2" xfId="17349" xr:uid="{00000000-0005-0000-0000-00000A060000}"/>
    <cellStyle name="60% - 강조색5 3" xfId="11801" xr:uid="{00000000-0005-0000-0000-00000B060000}"/>
    <cellStyle name="60% - 강조색5 4" xfId="11802" xr:uid="{00000000-0005-0000-0000-00000C060000}"/>
    <cellStyle name="60% - 강조색5 5" xfId="11803" xr:uid="{00000000-0005-0000-0000-00000D060000}"/>
    <cellStyle name="60% - 강조색5 6" xfId="21552" xr:uid="{00000000-0005-0000-0000-00000E060000}"/>
    <cellStyle name="60% - 강조색5 7" xfId="20518" xr:uid="{00000000-0005-0000-0000-00000F060000}"/>
    <cellStyle name="60% - 강조색6" xfId="17213" builtinId="52" customBuiltin="1"/>
    <cellStyle name="60% - 강조색6 2" xfId="11804" xr:uid="{00000000-0005-0000-0000-000011060000}"/>
    <cellStyle name="60% - 강조색6 2 2" xfId="17350" xr:uid="{00000000-0005-0000-0000-000012060000}"/>
    <cellStyle name="60% - 강조색6 3" xfId="11805" xr:uid="{00000000-0005-0000-0000-000013060000}"/>
    <cellStyle name="60% - 강조색6 4" xfId="11806" xr:uid="{00000000-0005-0000-0000-000014060000}"/>
    <cellStyle name="60% - 강조색6 5" xfId="11807" xr:uid="{00000000-0005-0000-0000-000015060000}"/>
    <cellStyle name="60% - 강조색6 6" xfId="21556" xr:uid="{00000000-0005-0000-0000-000016060000}"/>
    <cellStyle name="60% - 강조색6 7" xfId="20522" xr:uid="{00000000-0005-0000-0000-000017060000}"/>
    <cellStyle name="BodyStyle00" xfId="10395" xr:uid="{00000000-0005-0000-0000-000018060000}"/>
    <cellStyle name="BodyStyle01" xfId="10396" xr:uid="{00000000-0005-0000-0000-000019060000}"/>
    <cellStyle name="BodyStyle02" xfId="10397" xr:uid="{00000000-0005-0000-0000-00001A060000}"/>
    <cellStyle name="BodyStyle02 2" xfId="10398" xr:uid="{00000000-0005-0000-0000-00001B060000}"/>
    <cellStyle name="BodyStyle02 3" xfId="10399" xr:uid="{00000000-0005-0000-0000-00001C060000}"/>
    <cellStyle name="BodyStyle02 4" xfId="10400" xr:uid="{00000000-0005-0000-0000-00001D060000}"/>
    <cellStyle name="BodyStyle02_뇌출혈특약(갱신형)" xfId="12286" xr:uid="{00000000-0005-0000-0000-00001E060000}"/>
    <cellStyle name="Comma [0] 2" xfId="10401" xr:uid="{00000000-0005-0000-0000-00001F060000}"/>
    <cellStyle name="Comma [0] 2 2" xfId="17092" xr:uid="{00000000-0005-0000-0000-000020060000}"/>
    <cellStyle name="Comma [0] 3" xfId="17093" xr:uid="{00000000-0005-0000-0000-000021060000}"/>
    <cellStyle name="Comma 2" xfId="17094" xr:uid="{00000000-0005-0000-0000-000022060000}"/>
    <cellStyle name="Comma_Sheet3" xfId="12285" xr:uid="{00000000-0005-0000-0000-000023060000}"/>
    <cellStyle name="Euro" xfId="84" xr:uid="{00000000-0005-0000-0000-000024060000}"/>
    <cellStyle name="Euro 2" xfId="10402" xr:uid="{00000000-0005-0000-0000-000025060000}"/>
    <cellStyle name="Euro 3" xfId="10403" xr:uid="{00000000-0005-0000-0000-000026060000}"/>
    <cellStyle name="Euro 4" xfId="17095" xr:uid="{00000000-0005-0000-0000-000027060000}"/>
    <cellStyle name="Euro_뇌출혈특약(갱신형)" xfId="12287" xr:uid="{00000000-0005-0000-0000-000028060000}"/>
    <cellStyle name="Normal 2" xfId="10404" xr:uid="{00000000-0005-0000-0000-000029060000}"/>
    <cellStyle name="Normal 2 2" xfId="10405" xr:uid="{00000000-0005-0000-0000-00002A060000}"/>
    <cellStyle name="Normal 2 3" xfId="17096" xr:uid="{00000000-0005-0000-0000-00002B060000}"/>
    <cellStyle name="Normal 2 4" xfId="17097" xr:uid="{00000000-0005-0000-0000-00002C060000}"/>
    <cellStyle name="Normal 2 5" xfId="17098" xr:uid="{00000000-0005-0000-0000-00002D060000}"/>
    <cellStyle name="Normal 2_뇌출혈특약(갱신형)" xfId="12288" xr:uid="{00000000-0005-0000-0000-00002E060000}"/>
    <cellStyle name="Normal 3" xfId="10406" xr:uid="{00000000-0005-0000-0000-00002F060000}"/>
    <cellStyle name="Normal 3 10" xfId="10407" xr:uid="{00000000-0005-0000-0000-000030060000}"/>
    <cellStyle name="Normal 3 10 2" xfId="10408" xr:uid="{00000000-0005-0000-0000-000031060000}"/>
    <cellStyle name="Normal 3 10 3" xfId="10409" xr:uid="{00000000-0005-0000-0000-000032060000}"/>
    <cellStyle name="Normal 3 10_뇌출혈특약(갱신형)" xfId="12289" xr:uid="{00000000-0005-0000-0000-000033060000}"/>
    <cellStyle name="Normal 3 11" xfId="10410" xr:uid="{00000000-0005-0000-0000-000034060000}"/>
    <cellStyle name="Normal 3 11 2" xfId="10411" xr:uid="{00000000-0005-0000-0000-000035060000}"/>
    <cellStyle name="Normal 3 11_뇌출혈특약(갱신형)" xfId="12290" xr:uid="{00000000-0005-0000-0000-000036060000}"/>
    <cellStyle name="Normal 3 12" xfId="10412" xr:uid="{00000000-0005-0000-0000-000037060000}"/>
    <cellStyle name="Normal 3 12 2" xfId="10413" xr:uid="{00000000-0005-0000-0000-000038060000}"/>
    <cellStyle name="Normal 3 12_뇌출혈특약(갱신형)" xfId="12291" xr:uid="{00000000-0005-0000-0000-000039060000}"/>
    <cellStyle name="Normal 3 13" xfId="10414" xr:uid="{00000000-0005-0000-0000-00003A060000}"/>
    <cellStyle name="Normal 3 13 2" xfId="10415" xr:uid="{00000000-0005-0000-0000-00003B060000}"/>
    <cellStyle name="Normal 3 13_뇌출혈특약(갱신형)" xfId="12292" xr:uid="{00000000-0005-0000-0000-00003C060000}"/>
    <cellStyle name="Normal 3 14" xfId="10416" xr:uid="{00000000-0005-0000-0000-00003D060000}"/>
    <cellStyle name="Normal 3 15" xfId="10417" xr:uid="{00000000-0005-0000-0000-00003E060000}"/>
    <cellStyle name="Normal 3 16" xfId="17099" xr:uid="{00000000-0005-0000-0000-00003F060000}"/>
    <cellStyle name="Normal 3 2" xfId="10418" xr:uid="{00000000-0005-0000-0000-000040060000}"/>
    <cellStyle name="Normal 3 2 2" xfId="10419" xr:uid="{00000000-0005-0000-0000-000041060000}"/>
    <cellStyle name="Normal 3 2 2 2" xfId="10420" xr:uid="{00000000-0005-0000-0000-000042060000}"/>
    <cellStyle name="Normal 3 2 2 2 2" xfId="10421" xr:uid="{00000000-0005-0000-0000-000043060000}"/>
    <cellStyle name="Normal 3 2 2 2 2 2" xfId="10422" xr:uid="{00000000-0005-0000-0000-000044060000}"/>
    <cellStyle name="Normal 3 2 2 2 2 3" xfId="10423" xr:uid="{00000000-0005-0000-0000-000045060000}"/>
    <cellStyle name="Normal 3 2 2 2 2_뇌출혈특약(갱신형)" xfId="12293" xr:uid="{00000000-0005-0000-0000-000046060000}"/>
    <cellStyle name="Normal 3 2 2 2 3" xfId="10424" xr:uid="{00000000-0005-0000-0000-000047060000}"/>
    <cellStyle name="Normal 3 2 2 2 4" xfId="10425" xr:uid="{00000000-0005-0000-0000-000048060000}"/>
    <cellStyle name="Normal 3 2 2 2_뇌출혈특약(갱신형)" xfId="12294" xr:uid="{00000000-0005-0000-0000-000049060000}"/>
    <cellStyle name="Normal 3 2 2 3" xfId="10426" xr:uid="{00000000-0005-0000-0000-00004A060000}"/>
    <cellStyle name="Normal 3 2 2 3 2" xfId="10427" xr:uid="{00000000-0005-0000-0000-00004B060000}"/>
    <cellStyle name="Normal 3 2 2 3 2 2" xfId="10428" xr:uid="{00000000-0005-0000-0000-00004C060000}"/>
    <cellStyle name="Normal 3 2 2 3 2 3" xfId="10429" xr:uid="{00000000-0005-0000-0000-00004D060000}"/>
    <cellStyle name="Normal 3 2 2 3 2_뇌출혈특약(갱신형)" xfId="12295" xr:uid="{00000000-0005-0000-0000-00004E060000}"/>
    <cellStyle name="Normal 3 2 2 3 3" xfId="10430" xr:uid="{00000000-0005-0000-0000-00004F060000}"/>
    <cellStyle name="Normal 3 2 2 3 4" xfId="10431" xr:uid="{00000000-0005-0000-0000-000050060000}"/>
    <cellStyle name="Normal 3 2 2 3_뇌출혈특약(갱신형)" xfId="12296" xr:uid="{00000000-0005-0000-0000-000051060000}"/>
    <cellStyle name="Normal 3 2 2 4" xfId="10432" xr:uid="{00000000-0005-0000-0000-000052060000}"/>
    <cellStyle name="Normal 3 2 2 4 2" xfId="10433" xr:uid="{00000000-0005-0000-0000-000053060000}"/>
    <cellStyle name="Normal 3 2 2 4 3" xfId="10434" xr:uid="{00000000-0005-0000-0000-000054060000}"/>
    <cellStyle name="Normal 3 2 2 4_뇌출혈특약(갱신형)" xfId="12297" xr:uid="{00000000-0005-0000-0000-000055060000}"/>
    <cellStyle name="Normal 3 2 2 5" xfId="10435" xr:uid="{00000000-0005-0000-0000-000056060000}"/>
    <cellStyle name="Normal 3 2 2 5 2" xfId="10436" xr:uid="{00000000-0005-0000-0000-000057060000}"/>
    <cellStyle name="Normal 3 2 2 5 3" xfId="10437" xr:uid="{00000000-0005-0000-0000-000058060000}"/>
    <cellStyle name="Normal 3 2 2 5_뇌출혈특약(갱신형)" xfId="12298" xr:uid="{00000000-0005-0000-0000-000059060000}"/>
    <cellStyle name="Normal 3 2 2 6" xfId="10438" xr:uid="{00000000-0005-0000-0000-00005A060000}"/>
    <cellStyle name="Normal 3 2 2 7" xfId="10439" xr:uid="{00000000-0005-0000-0000-00005B060000}"/>
    <cellStyle name="Normal 3 2 2_뇌출혈특약(갱신형)" xfId="12299" xr:uid="{00000000-0005-0000-0000-00005C060000}"/>
    <cellStyle name="Normal 3 2 3" xfId="10440" xr:uid="{00000000-0005-0000-0000-00005D060000}"/>
    <cellStyle name="Normal 3 2 3 2" xfId="10441" xr:uid="{00000000-0005-0000-0000-00005E060000}"/>
    <cellStyle name="Normal 3 2 3 2 2" xfId="10442" xr:uid="{00000000-0005-0000-0000-00005F060000}"/>
    <cellStyle name="Normal 3 2 3 2 3" xfId="10443" xr:uid="{00000000-0005-0000-0000-000060060000}"/>
    <cellStyle name="Normal 3 2 3 2_뇌출혈특약(갱신형)" xfId="12300" xr:uid="{00000000-0005-0000-0000-000061060000}"/>
    <cellStyle name="Normal 3 2 3 3" xfId="10444" xr:uid="{00000000-0005-0000-0000-000062060000}"/>
    <cellStyle name="Normal 3 2 3 4" xfId="10445" xr:uid="{00000000-0005-0000-0000-000063060000}"/>
    <cellStyle name="Normal 3 2 3_뇌출혈특약(갱신형)" xfId="12301" xr:uid="{00000000-0005-0000-0000-000064060000}"/>
    <cellStyle name="Normal 3 2 4" xfId="10446" xr:uid="{00000000-0005-0000-0000-000065060000}"/>
    <cellStyle name="Normal 3 2 4 2" xfId="10447" xr:uid="{00000000-0005-0000-0000-000066060000}"/>
    <cellStyle name="Normal 3 2 4 2 2" xfId="10448" xr:uid="{00000000-0005-0000-0000-000067060000}"/>
    <cellStyle name="Normal 3 2 4 2 3" xfId="10449" xr:uid="{00000000-0005-0000-0000-000068060000}"/>
    <cellStyle name="Normal 3 2 4 2_뇌출혈특약(갱신형)" xfId="12302" xr:uid="{00000000-0005-0000-0000-000069060000}"/>
    <cellStyle name="Normal 3 2 4 3" xfId="10450" xr:uid="{00000000-0005-0000-0000-00006A060000}"/>
    <cellStyle name="Normal 3 2 4 4" xfId="10451" xr:uid="{00000000-0005-0000-0000-00006B060000}"/>
    <cellStyle name="Normal 3 2 4_뇌출혈특약(갱신형)" xfId="12303" xr:uid="{00000000-0005-0000-0000-00006C060000}"/>
    <cellStyle name="Normal 3 2 5" xfId="10452" xr:uid="{00000000-0005-0000-0000-00006D060000}"/>
    <cellStyle name="Normal 3 2 5 2" xfId="10453" xr:uid="{00000000-0005-0000-0000-00006E060000}"/>
    <cellStyle name="Normal 3 2 5 3" xfId="10454" xr:uid="{00000000-0005-0000-0000-00006F060000}"/>
    <cellStyle name="Normal 3 2 5_뇌출혈특약(갱신형)" xfId="12304" xr:uid="{00000000-0005-0000-0000-000070060000}"/>
    <cellStyle name="Normal 3 2 6" xfId="10455" xr:uid="{00000000-0005-0000-0000-000071060000}"/>
    <cellStyle name="Normal 3 2 6 2" xfId="10456" xr:uid="{00000000-0005-0000-0000-000072060000}"/>
    <cellStyle name="Normal 3 2 6 3" xfId="10457" xr:uid="{00000000-0005-0000-0000-000073060000}"/>
    <cellStyle name="Normal 3 2 6_뇌출혈특약(갱신형)" xfId="12305" xr:uid="{00000000-0005-0000-0000-000074060000}"/>
    <cellStyle name="Normal 3 2 7" xfId="10458" xr:uid="{00000000-0005-0000-0000-000075060000}"/>
    <cellStyle name="Normal 3 2 8" xfId="10459" xr:uid="{00000000-0005-0000-0000-000076060000}"/>
    <cellStyle name="Normal 3 2_뇌출혈특약(갱신형)" xfId="12306" xr:uid="{00000000-0005-0000-0000-000077060000}"/>
    <cellStyle name="Normal 3 3" xfId="10460" xr:uid="{00000000-0005-0000-0000-000078060000}"/>
    <cellStyle name="Normal 3 3 2" xfId="10461" xr:uid="{00000000-0005-0000-0000-000079060000}"/>
    <cellStyle name="Normal 3 3 2 2" xfId="10462" xr:uid="{00000000-0005-0000-0000-00007A060000}"/>
    <cellStyle name="Normal 3 3 2 2 2" xfId="10463" xr:uid="{00000000-0005-0000-0000-00007B060000}"/>
    <cellStyle name="Normal 3 3 2 2 3" xfId="10464" xr:uid="{00000000-0005-0000-0000-00007C060000}"/>
    <cellStyle name="Normal 3 3 2 2_뇌출혈특약(갱신형)" xfId="12307" xr:uid="{00000000-0005-0000-0000-00007D060000}"/>
    <cellStyle name="Normal 3 3 2 3" xfId="10465" xr:uid="{00000000-0005-0000-0000-00007E060000}"/>
    <cellStyle name="Normal 3 3 2 4" xfId="10466" xr:uid="{00000000-0005-0000-0000-00007F060000}"/>
    <cellStyle name="Normal 3 3 2_뇌출혈특약(갱신형)" xfId="12308" xr:uid="{00000000-0005-0000-0000-000080060000}"/>
    <cellStyle name="Normal 3 3 3" xfId="10467" xr:uid="{00000000-0005-0000-0000-000081060000}"/>
    <cellStyle name="Normal 3 3 3 2" xfId="10468" xr:uid="{00000000-0005-0000-0000-000082060000}"/>
    <cellStyle name="Normal 3 3 3 2 2" xfId="10469" xr:uid="{00000000-0005-0000-0000-000083060000}"/>
    <cellStyle name="Normal 3 3 3 2 3" xfId="10470" xr:uid="{00000000-0005-0000-0000-000084060000}"/>
    <cellStyle name="Normal 3 3 3 2_뇌출혈특약(갱신형)" xfId="12309" xr:uid="{00000000-0005-0000-0000-000085060000}"/>
    <cellStyle name="Normal 3 3 3 3" xfId="10471" xr:uid="{00000000-0005-0000-0000-000086060000}"/>
    <cellStyle name="Normal 3 3 3 4" xfId="10472" xr:uid="{00000000-0005-0000-0000-000087060000}"/>
    <cellStyle name="Normal 3 3 3_뇌출혈특약(갱신형)" xfId="12310" xr:uid="{00000000-0005-0000-0000-000088060000}"/>
    <cellStyle name="Normal 3 3 4" xfId="10473" xr:uid="{00000000-0005-0000-0000-000089060000}"/>
    <cellStyle name="Normal 3 3 4 2" xfId="10474" xr:uid="{00000000-0005-0000-0000-00008A060000}"/>
    <cellStyle name="Normal 3 3 4 3" xfId="10475" xr:uid="{00000000-0005-0000-0000-00008B060000}"/>
    <cellStyle name="Normal 3 3 4_뇌출혈특약(갱신형)" xfId="12311" xr:uid="{00000000-0005-0000-0000-00008C060000}"/>
    <cellStyle name="Normal 3 3 5" xfId="10476" xr:uid="{00000000-0005-0000-0000-00008D060000}"/>
    <cellStyle name="Normal 3 3 5 2" xfId="10477" xr:uid="{00000000-0005-0000-0000-00008E060000}"/>
    <cellStyle name="Normal 3 3 5 3" xfId="10478" xr:uid="{00000000-0005-0000-0000-00008F060000}"/>
    <cellStyle name="Normal 3 3 5_뇌출혈특약(갱신형)" xfId="12312" xr:uid="{00000000-0005-0000-0000-000090060000}"/>
    <cellStyle name="Normal 3 3 6" xfId="10479" xr:uid="{00000000-0005-0000-0000-000091060000}"/>
    <cellStyle name="Normal 3 3 7" xfId="10480" xr:uid="{00000000-0005-0000-0000-000092060000}"/>
    <cellStyle name="Normal 3 3_뇌출혈특약(갱신형)" xfId="12313" xr:uid="{00000000-0005-0000-0000-000093060000}"/>
    <cellStyle name="Normal 3 4" xfId="10481" xr:uid="{00000000-0005-0000-0000-000094060000}"/>
    <cellStyle name="Normal 3 4 2" xfId="10482" xr:uid="{00000000-0005-0000-0000-000095060000}"/>
    <cellStyle name="Normal 3 4 2 2" xfId="10483" xr:uid="{00000000-0005-0000-0000-000096060000}"/>
    <cellStyle name="Normal 3 4 2 2 2" xfId="10484" xr:uid="{00000000-0005-0000-0000-000097060000}"/>
    <cellStyle name="Normal 3 4 2 2 3" xfId="10485" xr:uid="{00000000-0005-0000-0000-000098060000}"/>
    <cellStyle name="Normal 3 4 2 2_뇌출혈특약(갱신형)" xfId="12314" xr:uid="{00000000-0005-0000-0000-000099060000}"/>
    <cellStyle name="Normal 3 4 2 3" xfId="10486" xr:uid="{00000000-0005-0000-0000-00009A060000}"/>
    <cellStyle name="Normal 3 4 2 4" xfId="10487" xr:uid="{00000000-0005-0000-0000-00009B060000}"/>
    <cellStyle name="Normal 3 4 2_뇌출혈특약(갱신형)" xfId="12315" xr:uid="{00000000-0005-0000-0000-00009C060000}"/>
    <cellStyle name="Normal 3 4 3" xfId="10488" xr:uid="{00000000-0005-0000-0000-00009D060000}"/>
    <cellStyle name="Normal 3 4 3 2" xfId="10489" xr:uid="{00000000-0005-0000-0000-00009E060000}"/>
    <cellStyle name="Normal 3 4 3 2 2" xfId="10490" xr:uid="{00000000-0005-0000-0000-00009F060000}"/>
    <cellStyle name="Normal 3 4 3 2 3" xfId="10491" xr:uid="{00000000-0005-0000-0000-0000A0060000}"/>
    <cellStyle name="Normal 3 4 3 2_뇌출혈특약(갱신형)" xfId="12316" xr:uid="{00000000-0005-0000-0000-0000A1060000}"/>
    <cellStyle name="Normal 3 4 3 3" xfId="10492" xr:uid="{00000000-0005-0000-0000-0000A2060000}"/>
    <cellStyle name="Normal 3 4 3 4" xfId="10493" xr:uid="{00000000-0005-0000-0000-0000A3060000}"/>
    <cellStyle name="Normal 3 4 3_뇌출혈특약(갱신형)" xfId="12317" xr:uid="{00000000-0005-0000-0000-0000A4060000}"/>
    <cellStyle name="Normal 3 4 4" xfId="10494" xr:uid="{00000000-0005-0000-0000-0000A5060000}"/>
    <cellStyle name="Normal 3 4 4 2" xfId="10495" xr:uid="{00000000-0005-0000-0000-0000A6060000}"/>
    <cellStyle name="Normal 3 4 4 3" xfId="10496" xr:uid="{00000000-0005-0000-0000-0000A7060000}"/>
    <cellStyle name="Normal 3 4 4_뇌출혈특약(갱신형)" xfId="12318" xr:uid="{00000000-0005-0000-0000-0000A8060000}"/>
    <cellStyle name="Normal 3 4 5" xfId="10497" xr:uid="{00000000-0005-0000-0000-0000A9060000}"/>
    <cellStyle name="Normal 3 4 5 2" xfId="10498" xr:uid="{00000000-0005-0000-0000-0000AA060000}"/>
    <cellStyle name="Normal 3 4 5 3" xfId="10499" xr:uid="{00000000-0005-0000-0000-0000AB060000}"/>
    <cellStyle name="Normal 3 4 5_뇌출혈특약(갱신형)" xfId="12319" xr:uid="{00000000-0005-0000-0000-0000AC060000}"/>
    <cellStyle name="Normal 3 4 6" xfId="10500" xr:uid="{00000000-0005-0000-0000-0000AD060000}"/>
    <cellStyle name="Normal 3 4 7" xfId="10501" xr:uid="{00000000-0005-0000-0000-0000AE060000}"/>
    <cellStyle name="Normal 3 4_뇌출혈특약(갱신형)" xfId="12320" xr:uid="{00000000-0005-0000-0000-0000AF060000}"/>
    <cellStyle name="Normal 3 5" xfId="10502" xr:uid="{00000000-0005-0000-0000-0000B0060000}"/>
    <cellStyle name="Normal 3 5 2" xfId="10503" xr:uid="{00000000-0005-0000-0000-0000B1060000}"/>
    <cellStyle name="Normal 3 5 2 2" xfId="10504" xr:uid="{00000000-0005-0000-0000-0000B2060000}"/>
    <cellStyle name="Normal 3 5 2 3" xfId="10505" xr:uid="{00000000-0005-0000-0000-0000B3060000}"/>
    <cellStyle name="Normal 3 5 2_뇌출혈특약(갱신형)" xfId="12321" xr:uid="{00000000-0005-0000-0000-0000B4060000}"/>
    <cellStyle name="Normal 3 5 3" xfId="10506" xr:uid="{00000000-0005-0000-0000-0000B5060000}"/>
    <cellStyle name="Normal 3 5 4" xfId="10507" xr:uid="{00000000-0005-0000-0000-0000B6060000}"/>
    <cellStyle name="Normal 3 5_뇌출혈특약(갱신형)" xfId="12322" xr:uid="{00000000-0005-0000-0000-0000B7060000}"/>
    <cellStyle name="Normal 3 6" xfId="10508" xr:uid="{00000000-0005-0000-0000-0000B8060000}"/>
    <cellStyle name="Normal 3 6 2" xfId="10509" xr:uid="{00000000-0005-0000-0000-0000B9060000}"/>
    <cellStyle name="Normal 3 6 2 2" xfId="10510" xr:uid="{00000000-0005-0000-0000-0000BA060000}"/>
    <cellStyle name="Normal 3 6 2 3" xfId="10511" xr:uid="{00000000-0005-0000-0000-0000BB060000}"/>
    <cellStyle name="Normal 3 6 2_뇌출혈특약(갱신형)" xfId="12323" xr:uid="{00000000-0005-0000-0000-0000BC060000}"/>
    <cellStyle name="Normal 3 6 3" xfId="10512" xr:uid="{00000000-0005-0000-0000-0000BD060000}"/>
    <cellStyle name="Normal 3 6 4" xfId="10513" xr:uid="{00000000-0005-0000-0000-0000BE060000}"/>
    <cellStyle name="Normal 3 6_뇌출혈특약(갱신형)" xfId="12324" xr:uid="{00000000-0005-0000-0000-0000BF060000}"/>
    <cellStyle name="Normal 3 7" xfId="10514" xr:uid="{00000000-0005-0000-0000-0000C0060000}"/>
    <cellStyle name="Normal 3 7 2" xfId="10515" xr:uid="{00000000-0005-0000-0000-0000C1060000}"/>
    <cellStyle name="Normal 3 7 3" xfId="10516" xr:uid="{00000000-0005-0000-0000-0000C2060000}"/>
    <cellStyle name="Normal 3 7_뇌출혈특약(갱신형)" xfId="12325" xr:uid="{00000000-0005-0000-0000-0000C3060000}"/>
    <cellStyle name="Normal 3 8" xfId="10517" xr:uid="{00000000-0005-0000-0000-0000C4060000}"/>
    <cellStyle name="Normal 3 8 2" xfId="10518" xr:uid="{00000000-0005-0000-0000-0000C5060000}"/>
    <cellStyle name="Normal 3 8 3" xfId="10519" xr:uid="{00000000-0005-0000-0000-0000C6060000}"/>
    <cellStyle name="Normal 3 8_뇌출혈특약(갱신형)" xfId="12326" xr:uid="{00000000-0005-0000-0000-0000C7060000}"/>
    <cellStyle name="Normal 3 9" xfId="10520" xr:uid="{00000000-0005-0000-0000-0000C8060000}"/>
    <cellStyle name="Normal 3 9 2" xfId="10521" xr:uid="{00000000-0005-0000-0000-0000C9060000}"/>
    <cellStyle name="Normal 3 9 3" xfId="10522" xr:uid="{00000000-0005-0000-0000-0000CA060000}"/>
    <cellStyle name="Normal 3 9_뇌출혈특약(갱신형)" xfId="12327" xr:uid="{00000000-0005-0000-0000-0000CB060000}"/>
    <cellStyle name="Normal 3_뇌출혈특약(갱신형)" xfId="12328" xr:uid="{00000000-0005-0000-0000-0000CC060000}"/>
    <cellStyle name="Normal 4" xfId="17100" xr:uid="{00000000-0005-0000-0000-0000CD060000}"/>
    <cellStyle name="Normal 4 2" xfId="17101" xr:uid="{00000000-0005-0000-0000-0000CE060000}"/>
    <cellStyle name="Normal 5" xfId="17102" xr:uid="{00000000-0005-0000-0000-0000CF060000}"/>
    <cellStyle name="Normal 6" xfId="17103" xr:uid="{00000000-0005-0000-0000-0000D0060000}"/>
    <cellStyle name="Normal 6 2" xfId="17104" xr:uid="{00000000-0005-0000-0000-0000D1060000}"/>
    <cellStyle name="Normal_Assumption Tables - TRAD" xfId="10523" xr:uid="{00000000-0005-0000-0000-0000D2060000}"/>
    <cellStyle name="Percent 2" xfId="17105" xr:uid="{00000000-0005-0000-0000-0000D3060000}"/>
    <cellStyle name="Percent 3" xfId="17106" xr:uid="{00000000-0005-0000-0000-0000D4060000}"/>
    <cellStyle name="Percent 4" xfId="17107" xr:uid="{00000000-0005-0000-0000-0000D5060000}"/>
    <cellStyle name="Percent 5" xfId="17108" xr:uid="{00000000-0005-0000-0000-0000D6060000}"/>
    <cellStyle name="Undefined" xfId="17109" xr:uid="{00000000-0005-0000-0000-0000D7060000}"/>
    <cellStyle name="강조색1" xfId="17190" builtinId="29" customBuiltin="1"/>
    <cellStyle name="강조색1 2" xfId="11808" xr:uid="{00000000-0005-0000-0000-0000D9060000}"/>
    <cellStyle name="강조색1 2 2" xfId="17351" xr:uid="{00000000-0005-0000-0000-0000DA060000}"/>
    <cellStyle name="강조색1 3" xfId="11809" xr:uid="{00000000-0005-0000-0000-0000DB060000}"/>
    <cellStyle name="강조색1 4" xfId="11810" xr:uid="{00000000-0005-0000-0000-0000DC060000}"/>
    <cellStyle name="강조색1 5" xfId="11811" xr:uid="{00000000-0005-0000-0000-0000DD060000}"/>
    <cellStyle name="강조색1 6" xfId="21533" xr:uid="{00000000-0005-0000-0000-0000DE060000}"/>
    <cellStyle name="강조색1 7" xfId="20499" xr:uid="{00000000-0005-0000-0000-0000DF060000}"/>
    <cellStyle name="강조색2" xfId="17194" builtinId="33" customBuiltin="1"/>
    <cellStyle name="강조색2 2" xfId="11812" xr:uid="{00000000-0005-0000-0000-0000E1060000}"/>
    <cellStyle name="강조색2 2 2" xfId="17352" xr:uid="{00000000-0005-0000-0000-0000E2060000}"/>
    <cellStyle name="강조색2 3" xfId="11813" xr:uid="{00000000-0005-0000-0000-0000E3060000}"/>
    <cellStyle name="강조색2 4" xfId="11814" xr:uid="{00000000-0005-0000-0000-0000E4060000}"/>
    <cellStyle name="강조색2 5" xfId="11815" xr:uid="{00000000-0005-0000-0000-0000E5060000}"/>
    <cellStyle name="강조색2 6" xfId="21537" xr:uid="{00000000-0005-0000-0000-0000E6060000}"/>
    <cellStyle name="강조색2 7" xfId="20503" xr:uid="{00000000-0005-0000-0000-0000E7060000}"/>
    <cellStyle name="강조색3" xfId="17198" builtinId="37" customBuiltin="1"/>
    <cellStyle name="강조색3 2" xfId="11816" xr:uid="{00000000-0005-0000-0000-0000E9060000}"/>
    <cellStyle name="강조색3 2 2" xfId="17353" xr:uid="{00000000-0005-0000-0000-0000EA060000}"/>
    <cellStyle name="강조색3 3" xfId="11817" xr:uid="{00000000-0005-0000-0000-0000EB060000}"/>
    <cellStyle name="강조색3 4" xfId="11818" xr:uid="{00000000-0005-0000-0000-0000EC060000}"/>
    <cellStyle name="강조색3 5" xfId="11819" xr:uid="{00000000-0005-0000-0000-0000ED060000}"/>
    <cellStyle name="강조색3 6" xfId="21541" xr:uid="{00000000-0005-0000-0000-0000EE060000}"/>
    <cellStyle name="강조색3 7" xfId="20507" xr:uid="{00000000-0005-0000-0000-0000EF060000}"/>
    <cellStyle name="강조색4" xfId="17202" builtinId="41" customBuiltin="1"/>
    <cellStyle name="강조색4 2" xfId="11820" xr:uid="{00000000-0005-0000-0000-0000F1060000}"/>
    <cellStyle name="강조색4 2 2" xfId="17354" xr:uid="{00000000-0005-0000-0000-0000F2060000}"/>
    <cellStyle name="강조색4 3" xfId="11821" xr:uid="{00000000-0005-0000-0000-0000F3060000}"/>
    <cellStyle name="강조색4 4" xfId="11822" xr:uid="{00000000-0005-0000-0000-0000F4060000}"/>
    <cellStyle name="강조색4 5" xfId="11823" xr:uid="{00000000-0005-0000-0000-0000F5060000}"/>
    <cellStyle name="강조색4 6" xfId="21545" xr:uid="{00000000-0005-0000-0000-0000F6060000}"/>
    <cellStyle name="강조색4 7" xfId="20511" xr:uid="{00000000-0005-0000-0000-0000F7060000}"/>
    <cellStyle name="강조색5" xfId="17206" builtinId="45" customBuiltin="1"/>
    <cellStyle name="강조색5 2" xfId="11824" xr:uid="{00000000-0005-0000-0000-0000F9060000}"/>
    <cellStyle name="강조색5 2 2" xfId="17355" xr:uid="{00000000-0005-0000-0000-0000FA060000}"/>
    <cellStyle name="강조색5 3" xfId="11825" xr:uid="{00000000-0005-0000-0000-0000FB060000}"/>
    <cellStyle name="강조색5 4" xfId="11826" xr:uid="{00000000-0005-0000-0000-0000FC060000}"/>
    <cellStyle name="강조색5 5" xfId="11827" xr:uid="{00000000-0005-0000-0000-0000FD060000}"/>
    <cellStyle name="강조색5 6" xfId="21549" xr:uid="{00000000-0005-0000-0000-0000FE060000}"/>
    <cellStyle name="강조색5 7" xfId="20515" xr:uid="{00000000-0005-0000-0000-0000FF060000}"/>
    <cellStyle name="강조색6" xfId="17210" builtinId="49" customBuiltin="1"/>
    <cellStyle name="강조색6 2" xfId="11828" xr:uid="{00000000-0005-0000-0000-000001070000}"/>
    <cellStyle name="강조색6 2 2" xfId="17356" xr:uid="{00000000-0005-0000-0000-000002070000}"/>
    <cellStyle name="강조색6 3" xfId="11829" xr:uid="{00000000-0005-0000-0000-000003070000}"/>
    <cellStyle name="강조색6 4" xfId="11830" xr:uid="{00000000-0005-0000-0000-000004070000}"/>
    <cellStyle name="강조색6 5" xfId="11831" xr:uid="{00000000-0005-0000-0000-000005070000}"/>
    <cellStyle name="강조색6 6" xfId="21553" xr:uid="{00000000-0005-0000-0000-000006070000}"/>
    <cellStyle name="강조색6 7" xfId="20519" xr:uid="{00000000-0005-0000-0000-000007070000}"/>
    <cellStyle name="경고문" xfId="17186" builtinId="11" customBuiltin="1"/>
    <cellStyle name="경고문 2" xfId="11832" xr:uid="{00000000-0005-0000-0000-000009070000}"/>
    <cellStyle name="경고문 2 2" xfId="17357" xr:uid="{00000000-0005-0000-0000-00000A070000}"/>
    <cellStyle name="경고문 3" xfId="11833" xr:uid="{00000000-0005-0000-0000-00000B070000}"/>
    <cellStyle name="경고문 4" xfId="11834" xr:uid="{00000000-0005-0000-0000-00000C070000}"/>
    <cellStyle name="경고문 5" xfId="11835" xr:uid="{00000000-0005-0000-0000-00000D070000}"/>
    <cellStyle name="경고문 6" xfId="21530" xr:uid="{00000000-0005-0000-0000-00000E070000}"/>
    <cellStyle name="경고문 7" xfId="20496" xr:uid="{00000000-0005-0000-0000-00000F070000}"/>
    <cellStyle name="계산" xfId="17183" builtinId="22" customBuiltin="1"/>
    <cellStyle name="계산 2" xfId="11836" xr:uid="{00000000-0005-0000-0000-000011070000}"/>
    <cellStyle name="계산 2 10" xfId="15063" xr:uid="{00000000-0005-0000-0000-000012070000}"/>
    <cellStyle name="계산 2 10 10" xfId="17674" xr:uid="{00000000-0005-0000-0000-000013070000}"/>
    <cellStyle name="계산 2 10 2" xfId="15782" xr:uid="{00000000-0005-0000-0000-000014070000}"/>
    <cellStyle name="계산 2 10 2 2" xfId="19554" xr:uid="{00000000-0005-0000-0000-000015070000}"/>
    <cellStyle name="계산 2 10 2 3" xfId="26195" xr:uid="{00000000-0005-0000-0000-000016070000}"/>
    <cellStyle name="계산 2 10 2 4" xfId="29309" xr:uid="{00000000-0005-0000-0000-000017070000}"/>
    <cellStyle name="계산 2 10 2 5" xfId="21965" xr:uid="{00000000-0005-0000-0000-000018070000}"/>
    <cellStyle name="계산 2 10 3" xfId="16175" xr:uid="{00000000-0005-0000-0000-000019070000}"/>
    <cellStyle name="계산 2 10 3 2" xfId="21177" xr:uid="{00000000-0005-0000-0000-00001A070000}"/>
    <cellStyle name="계산 2 10 3 3" xfId="26668" xr:uid="{00000000-0005-0000-0000-00001B070000}"/>
    <cellStyle name="계산 2 10 3 4" xfId="29782" xr:uid="{00000000-0005-0000-0000-00001C070000}"/>
    <cellStyle name="계산 2 10 3 5" xfId="22438" xr:uid="{00000000-0005-0000-0000-00001D070000}"/>
    <cellStyle name="계산 2 10 4" xfId="16268" xr:uid="{00000000-0005-0000-0000-00001E070000}"/>
    <cellStyle name="계산 2 10 4 2" xfId="20133" xr:uid="{00000000-0005-0000-0000-00001F070000}"/>
    <cellStyle name="계산 2 10 4 3" xfId="27141" xr:uid="{00000000-0005-0000-0000-000020070000}"/>
    <cellStyle name="계산 2 10 4 4" xfId="30255" xr:uid="{00000000-0005-0000-0000-000021070000}"/>
    <cellStyle name="계산 2 10 4 5" xfId="22911" xr:uid="{00000000-0005-0000-0000-000022070000}"/>
    <cellStyle name="계산 2 10 5" xfId="23256" xr:uid="{00000000-0005-0000-0000-000023070000}"/>
    <cellStyle name="계산 2 10 5 2" xfId="20314" xr:uid="{00000000-0005-0000-0000-000024070000}"/>
    <cellStyle name="계산 2 10 5 3" xfId="27486" xr:uid="{00000000-0005-0000-0000-000025070000}"/>
    <cellStyle name="계산 2 10 5 4" xfId="30600" xr:uid="{00000000-0005-0000-0000-000026070000}"/>
    <cellStyle name="계산 2 10 6" xfId="21459" xr:uid="{00000000-0005-0000-0000-000027070000}"/>
    <cellStyle name="계산 2 10 7" xfId="19499" xr:uid="{00000000-0005-0000-0000-000028070000}"/>
    <cellStyle name="계산 2 10 8" xfId="25644" xr:uid="{00000000-0005-0000-0000-000029070000}"/>
    <cellStyle name="계산 2 10 9" xfId="28761" xr:uid="{00000000-0005-0000-0000-00002A070000}"/>
    <cellStyle name="계산 2 11" xfId="14957" xr:uid="{00000000-0005-0000-0000-00002B070000}"/>
    <cellStyle name="계산 2 11 2" xfId="15707" xr:uid="{00000000-0005-0000-0000-00002C070000}"/>
    <cellStyle name="계산 2 11 2 2" xfId="31485" xr:uid="{00000000-0005-0000-0000-00002D070000}"/>
    <cellStyle name="계산 2 11 2 3" xfId="19116" xr:uid="{00000000-0005-0000-0000-00002E070000}"/>
    <cellStyle name="계산 2 11 3" xfId="16069" xr:uid="{00000000-0005-0000-0000-00002F070000}"/>
    <cellStyle name="계산 2 11 3 2" xfId="31712" xr:uid="{00000000-0005-0000-0000-000030070000}"/>
    <cellStyle name="계산 2 11 3 3" xfId="25061" xr:uid="{00000000-0005-0000-0000-000031070000}"/>
    <cellStyle name="계산 2 11 4" xfId="16269" xr:uid="{00000000-0005-0000-0000-000032070000}"/>
    <cellStyle name="계산 2 11 4 2" xfId="28185" xr:uid="{00000000-0005-0000-0000-000033070000}"/>
    <cellStyle name="계산 2 11 5" xfId="17712" xr:uid="{00000000-0005-0000-0000-000034070000}"/>
    <cellStyle name="계산 2 12" xfId="14878" xr:uid="{00000000-0005-0000-0000-000035070000}"/>
    <cellStyle name="계산 2 12 2" xfId="15639" xr:uid="{00000000-0005-0000-0000-000036070000}"/>
    <cellStyle name="계산 2 12 2 2" xfId="31417" xr:uid="{00000000-0005-0000-0000-000037070000}"/>
    <cellStyle name="계산 2 12 3" xfId="15990" xr:uid="{00000000-0005-0000-0000-000038070000}"/>
    <cellStyle name="계산 2 12 3 2" xfId="31633" xr:uid="{00000000-0005-0000-0000-000039070000}"/>
    <cellStyle name="계산 2 12 4" xfId="16270" xr:uid="{00000000-0005-0000-0000-00003A070000}"/>
    <cellStyle name="계산 2 12 4 2" xfId="31877" xr:uid="{00000000-0005-0000-0000-00003B070000}"/>
    <cellStyle name="계산 2 12 5" xfId="31161" xr:uid="{00000000-0005-0000-0000-00003C070000}"/>
    <cellStyle name="계산 2 12 6" xfId="18631" xr:uid="{00000000-0005-0000-0000-00003D070000}"/>
    <cellStyle name="계산 2 13" xfId="14989" xr:uid="{00000000-0005-0000-0000-00003E070000}"/>
    <cellStyle name="계산 2 13 2" xfId="15739" xr:uid="{00000000-0005-0000-0000-00003F070000}"/>
    <cellStyle name="계산 2 13 2 2" xfId="31517" xr:uid="{00000000-0005-0000-0000-000040070000}"/>
    <cellStyle name="계산 2 13 3" xfId="16101" xr:uid="{00000000-0005-0000-0000-000041070000}"/>
    <cellStyle name="계산 2 13 3 2" xfId="31744" xr:uid="{00000000-0005-0000-0000-000042070000}"/>
    <cellStyle name="계산 2 13 4" xfId="16271" xr:uid="{00000000-0005-0000-0000-000043070000}"/>
    <cellStyle name="계산 2 13 4 2" xfId="31878" xr:uid="{00000000-0005-0000-0000-000044070000}"/>
    <cellStyle name="계산 2 13 5" xfId="31228" xr:uid="{00000000-0005-0000-0000-000045070000}"/>
    <cellStyle name="계산 2 13 6" xfId="18609" xr:uid="{00000000-0005-0000-0000-000046070000}"/>
    <cellStyle name="계산 2 14" xfId="14892" xr:uid="{00000000-0005-0000-0000-000047070000}"/>
    <cellStyle name="계산 2 14 2" xfId="16004" xr:uid="{00000000-0005-0000-0000-000048070000}"/>
    <cellStyle name="계산 2 14 2 2" xfId="31647" xr:uid="{00000000-0005-0000-0000-000049070000}"/>
    <cellStyle name="계산 2 14 3" xfId="16272" xr:uid="{00000000-0005-0000-0000-00004A070000}"/>
    <cellStyle name="계산 2 14 3 2" xfId="31879" xr:uid="{00000000-0005-0000-0000-00004B070000}"/>
    <cellStyle name="계산 2 14 4" xfId="16273" xr:uid="{00000000-0005-0000-0000-00004C070000}"/>
    <cellStyle name="계산 2 14 4 2" xfId="31880" xr:uid="{00000000-0005-0000-0000-00004D070000}"/>
    <cellStyle name="계산 2 14 5" xfId="18610" xr:uid="{00000000-0005-0000-0000-00004E070000}"/>
    <cellStyle name="계산 2 15" xfId="15335" xr:uid="{00000000-0005-0000-0000-00004F070000}"/>
    <cellStyle name="계산 2 15 2" xfId="15334" xr:uid="{00000000-0005-0000-0000-000050070000}"/>
    <cellStyle name="계산 2 15 2 2" xfId="31381" xr:uid="{00000000-0005-0000-0000-000051070000}"/>
    <cellStyle name="계산 2 15 3" xfId="16274" xr:uid="{00000000-0005-0000-0000-000052070000}"/>
    <cellStyle name="계산 2 15 3 2" xfId="31881" xr:uid="{00000000-0005-0000-0000-000053070000}"/>
    <cellStyle name="계산 2 15 4" xfId="16275" xr:uid="{00000000-0005-0000-0000-000054070000}"/>
    <cellStyle name="계산 2 15 4 2" xfId="31882" xr:uid="{00000000-0005-0000-0000-000055070000}"/>
    <cellStyle name="계산 2 15 5" xfId="31382" xr:uid="{00000000-0005-0000-0000-000056070000}"/>
    <cellStyle name="계산 2 16" xfId="15160" xr:uid="{00000000-0005-0000-0000-000057070000}"/>
    <cellStyle name="계산 2 16 2" xfId="31296" xr:uid="{00000000-0005-0000-0000-000058070000}"/>
    <cellStyle name="계산 2 17" xfId="16276" xr:uid="{00000000-0005-0000-0000-000059070000}"/>
    <cellStyle name="계산 2 17 2" xfId="31883" xr:uid="{00000000-0005-0000-0000-00005A070000}"/>
    <cellStyle name="계산 2 18" xfId="16277" xr:uid="{00000000-0005-0000-0000-00005B070000}"/>
    <cellStyle name="계산 2 18 2" xfId="31884" xr:uid="{00000000-0005-0000-0000-00005C070000}"/>
    <cellStyle name="계산 2 19" xfId="17214" xr:uid="{00000000-0005-0000-0000-00005D070000}"/>
    <cellStyle name="계산 2 2" xfId="11837" xr:uid="{00000000-0005-0000-0000-00005E070000}"/>
    <cellStyle name="계산 2 2 10" xfId="15161" xr:uid="{00000000-0005-0000-0000-00005F070000}"/>
    <cellStyle name="계산 2 2 10 2" xfId="31297" xr:uid="{00000000-0005-0000-0000-000060070000}"/>
    <cellStyle name="계산 2 2 11" xfId="16278" xr:uid="{00000000-0005-0000-0000-000061070000}"/>
    <cellStyle name="계산 2 2 11 2" xfId="31885" xr:uid="{00000000-0005-0000-0000-000062070000}"/>
    <cellStyle name="계산 2 2 12" xfId="16279" xr:uid="{00000000-0005-0000-0000-000063070000}"/>
    <cellStyle name="계산 2 2 12 2" xfId="31886" xr:uid="{00000000-0005-0000-0000-000064070000}"/>
    <cellStyle name="계산 2 2 13" xfId="17215" xr:uid="{00000000-0005-0000-0000-000065070000}"/>
    <cellStyle name="계산 2 2 2" xfId="14635" xr:uid="{00000000-0005-0000-0000-000066070000}"/>
    <cellStyle name="계산 2 2 2 10" xfId="24832" xr:uid="{00000000-0005-0000-0000-000067070000}"/>
    <cellStyle name="계산 2 2 2 11" xfId="27956" xr:uid="{00000000-0005-0000-0000-000068070000}"/>
    <cellStyle name="계산 2 2 2 12" xfId="17609" xr:uid="{00000000-0005-0000-0000-000069070000}"/>
    <cellStyle name="계산 2 2 2 2" xfId="15566" xr:uid="{00000000-0005-0000-0000-00006A070000}"/>
    <cellStyle name="계산 2 2 2 2 10" xfId="17804" xr:uid="{00000000-0005-0000-0000-00006B070000}"/>
    <cellStyle name="계산 2 2 2 2 2" xfId="22167" xr:uid="{00000000-0005-0000-0000-00006C070000}"/>
    <cellStyle name="계산 2 2 2 2 2 2" xfId="19583" xr:uid="{00000000-0005-0000-0000-00006D070000}"/>
    <cellStyle name="계산 2 2 2 2 2 3" xfId="26397" xr:uid="{00000000-0005-0000-0000-00006E070000}"/>
    <cellStyle name="계산 2 2 2 2 2 4" xfId="29511" xr:uid="{00000000-0005-0000-0000-00006F070000}"/>
    <cellStyle name="계산 2 2 2 2 3" xfId="22643" xr:uid="{00000000-0005-0000-0000-000070070000}"/>
    <cellStyle name="계산 2 2 2 2 3 2" xfId="19889" xr:uid="{00000000-0005-0000-0000-000071070000}"/>
    <cellStyle name="계산 2 2 2 2 3 3" xfId="26873" xr:uid="{00000000-0005-0000-0000-000072070000}"/>
    <cellStyle name="계산 2 2 2 2 3 4" xfId="29987" xr:uid="{00000000-0005-0000-0000-000073070000}"/>
    <cellStyle name="계산 2 2 2 2 4" xfId="23054" xr:uid="{00000000-0005-0000-0000-000074070000}"/>
    <cellStyle name="계산 2 2 2 2 4 2" xfId="20264" xr:uid="{00000000-0005-0000-0000-000075070000}"/>
    <cellStyle name="계산 2 2 2 2 4 3" xfId="27284" xr:uid="{00000000-0005-0000-0000-000076070000}"/>
    <cellStyle name="계산 2 2 2 2 4 4" xfId="30398" xr:uid="{00000000-0005-0000-0000-000077070000}"/>
    <cellStyle name="계산 2 2 2 2 5" xfId="23453" xr:uid="{00000000-0005-0000-0000-000078070000}"/>
    <cellStyle name="계산 2 2 2 2 5 2" xfId="19385" xr:uid="{00000000-0005-0000-0000-000079070000}"/>
    <cellStyle name="계산 2 2 2 2 5 3" xfId="27683" xr:uid="{00000000-0005-0000-0000-00007A070000}"/>
    <cellStyle name="계산 2 2 2 2 5 4" xfId="30797" xr:uid="{00000000-0005-0000-0000-00007B070000}"/>
    <cellStyle name="계산 2 2 2 2 6" xfId="21614" xr:uid="{00000000-0005-0000-0000-00007C070000}"/>
    <cellStyle name="계산 2 2 2 2 7" xfId="24171" xr:uid="{00000000-0005-0000-0000-00007D070000}"/>
    <cellStyle name="계산 2 2 2 2 8" xfId="25844" xr:uid="{00000000-0005-0000-0000-00007E070000}"/>
    <cellStyle name="계산 2 2 2 2 9" xfId="28958" xr:uid="{00000000-0005-0000-0000-00007F070000}"/>
    <cellStyle name="계산 2 2 2 3" xfId="15920" xr:uid="{00000000-0005-0000-0000-000080070000}"/>
    <cellStyle name="계산 2 2 2 3 2" xfId="21294" xr:uid="{00000000-0005-0000-0000-000081070000}"/>
    <cellStyle name="계산 2 2 2 3 3" xfId="24530" xr:uid="{00000000-0005-0000-0000-000082070000}"/>
    <cellStyle name="계산 2 2 2 3 4" xfId="25507" xr:uid="{00000000-0005-0000-0000-000083070000}"/>
    <cellStyle name="계산 2 2 2 3 5" xfId="28624" xr:uid="{00000000-0005-0000-0000-000084070000}"/>
    <cellStyle name="계산 2 2 2 3 6" xfId="17805" xr:uid="{00000000-0005-0000-0000-000085070000}"/>
    <cellStyle name="계산 2 2 2 4" xfId="16280" xr:uid="{00000000-0005-0000-0000-000086070000}"/>
    <cellStyle name="계산 2 2 2 4 2" xfId="19421" xr:uid="{00000000-0005-0000-0000-000087070000}"/>
    <cellStyle name="계산 2 2 2 4 3" xfId="25381" xr:uid="{00000000-0005-0000-0000-000088070000}"/>
    <cellStyle name="계산 2 2 2 4 4" xfId="28505" xr:uid="{00000000-0005-0000-0000-000089070000}"/>
    <cellStyle name="계산 2 2 2 4 5" xfId="21137" xr:uid="{00000000-0005-0000-0000-00008A070000}"/>
    <cellStyle name="계산 2 2 2 5" xfId="20817" xr:uid="{00000000-0005-0000-0000-00008B070000}"/>
    <cellStyle name="계산 2 2 2 5 2" xfId="19123" xr:uid="{00000000-0005-0000-0000-00008C070000}"/>
    <cellStyle name="계산 2 2 2 5 3" xfId="25068" xr:uid="{00000000-0005-0000-0000-00008D070000}"/>
    <cellStyle name="계산 2 2 2 5 4" xfId="28192" xr:uid="{00000000-0005-0000-0000-00008E070000}"/>
    <cellStyle name="계산 2 2 2 6" xfId="21160" xr:uid="{00000000-0005-0000-0000-00008F070000}"/>
    <cellStyle name="계산 2 2 2 6 2" xfId="23766" xr:uid="{00000000-0005-0000-0000-000090070000}"/>
    <cellStyle name="계산 2 2 2 6 3" xfId="25403" xr:uid="{00000000-0005-0000-0000-000091070000}"/>
    <cellStyle name="계산 2 2 2 6 4" xfId="28527" xr:uid="{00000000-0005-0000-0000-000092070000}"/>
    <cellStyle name="계산 2 2 2 7" xfId="21185" xr:uid="{00000000-0005-0000-0000-000093070000}"/>
    <cellStyle name="계산 2 2 2 7 2" xfId="24403" xr:uid="{00000000-0005-0000-0000-000094070000}"/>
    <cellStyle name="계산 2 2 2 7 3" xfId="25413" xr:uid="{00000000-0005-0000-0000-000095070000}"/>
    <cellStyle name="계산 2 2 2 7 4" xfId="28530" xr:uid="{00000000-0005-0000-0000-000096070000}"/>
    <cellStyle name="계산 2 2 2 8" xfId="20584" xr:uid="{00000000-0005-0000-0000-000097070000}"/>
    <cellStyle name="계산 2 2 2 9" xfId="18891" xr:uid="{00000000-0005-0000-0000-000098070000}"/>
    <cellStyle name="계산 2 2 3" xfId="14750" xr:uid="{00000000-0005-0000-0000-000099070000}"/>
    <cellStyle name="계산 2 2 3 10" xfId="27924" xr:uid="{00000000-0005-0000-0000-00009A070000}"/>
    <cellStyle name="계산 2 2 3 11" xfId="17673" xr:uid="{00000000-0005-0000-0000-00009B070000}"/>
    <cellStyle name="계산 2 2 3 2" xfId="15635" xr:uid="{00000000-0005-0000-0000-00009C070000}"/>
    <cellStyle name="계산 2 2 3 2 2" xfId="24593" xr:uid="{00000000-0005-0000-0000-00009D070000}"/>
    <cellStyle name="계산 2 2 3 2 3" xfId="25812" xr:uid="{00000000-0005-0000-0000-00009E070000}"/>
    <cellStyle name="계산 2 2 3 2 4" xfId="28926" xr:uid="{00000000-0005-0000-0000-00009F070000}"/>
    <cellStyle name="계산 2 2 3 2 5" xfId="21582" xr:uid="{00000000-0005-0000-0000-0000A0070000}"/>
    <cellStyle name="계산 2 2 3 3" xfId="15985" xr:uid="{00000000-0005-0000-0000-0000A1070000}"/>
    <cellStyle name="계산 2 2 3 3 2" xfId="24039" xr:uid="{00000000-0005-0000-0000-0000A2070000}"/>
    <cellStyle name="계산 2 2 3 3 3" xfId="26365" xr:uid="{00000000-0005-0000-0000-0000A3070000}"/>
    <cellStyle name="계산 2 2 3 3 4" xfId="29479" xr:uid="{00000000-0005-0000-0000-0000A4070000}"/>
    <cellStyle name="계산 2 2 3 3 5" xfId="22135" xr:uid="{00000000-0005-0000-0000-0000A5070000}"/>
    <cellStyle name="계산 2 2 3 4" xfId="16281" xr:uid="{00000000-0005-0000-0000-0000A6070000}"/>
    <cellStyle name="계산 2 2 3 4 2" xfId="19857" xr:uid="{00000000-0005-0000-0000-0000A7070000}"/>
    <cellStyle name="계산 2 2 3 4 3" xfId="26841" xr:uid="{00000000-0005-0000-0000-0000A8070000}"/>
    <cellStyle name="계산 2 2 3 4 4" xfId="29955" xr:uid="{00000000-0005-0000-0000-0000A9070000}"/>
    <cellStyle name="계산 2 2 3 4 5" xfId="22611" xr:uid="{00000000-0005-0000-0000-0000AA070000}"/>
    <cellStyle name="계산 2 2 3 5" xfId="23026" xr:uid="{00000000-0005-0000-0000-0000AB070000}"/>
    <cellStyle name="계산 2 2 3 5 2" xfId="20238" xr:uid="{00000000-0005-0000-0000-0000AC070000}"/>
    <cellStyle name="계산 2 2 3 5 3" xfId="27256" xr:uid="{00000000-0005-0000-0000-0000AD070000}"/>
    <cellStyle name="계산 2 2 3 5 4" xfId="30370" xr:uid="{00000000-0005-0000-0000-0000AE070000}"/>
    <cellStyle name="계산 2 2 3 6" xfId="23421" xr:uid="{00000000-0005-0000-0000-0000AF070000}"/>
    <cellStyle name="계산 2 2 3 6 2" xfId="20468" xr:uid="{00000000-0005-0000-0000-0000B0070000}"/>
    <cellStyle name="계산 2 2 3 6 3" xfId="27651" xr:uid="{00000000-0005-0000-0000-0000B1070000}"/>
    <cellStyle name="계산 2 2 3 6 4" xfId="30765" xr:uid="{00000000-0005-0000-0000-0000B2070000}"/>
    <cellStyle name="계산 2 2 3 7" xfId="20552" xr:uid="{00000000-0005-0000-0000-0000B3070000}"/>
    <cellStyle name="계산 2 2 3 8" xfId="18859" xr:uid="{00000000-0005-0000-0000-0000B4070000}"/>
    <cellStyle name="계산 2 2 3 9" xfId="24800" xr:uid="{00000000-0005-0000-0000-0000B5070000}"/>
    <cellStyle name="계산 2 2 4" xfId="15064" xr:uid="{00000000-0005-0000-0000-0000B6070000}"/>
    <cellStyle name="계산 2 2 4 2" xfId="15783" xr:uid="{00000000-0005-0000-0000-0000B7070000}"/>
    <cellStyle name="계산 2 2 4 2 2" xfId="24700" xr:uid="{00000000-0005-0000-0000-0000B8070000}"/>
    <cellStyle name="계산 2 2 4 2 3" xfId="26196" xr:uid="{00000000-0005-0000-0000-0000B9070000}"/>
    <cellStyle name="계산 2 2 4 2 4" xfId="29310" xr:uid="{00000000-0005-0000-0000-0000BA070000}"/>
    <cellStyle name="계산 2 2 4 2 5" xfId="21966" xr:uid="{00000000-0005-0000-0000-0000BB070000}"/>
    <cellStyle name="계산 2 2 4 3" xfId="16176" xr:uid="{00000000-0005-0000-0000-0000BC070000}"/>
    <cellStyle name="계산 2 2 4 3 2" xfId="19701" xr:uid="{00000000-0005-0000-0000-0000BD070000}"/>
    <cellStyle name="계산 2 2 4 3 3" xfId="26669" xr:uid="{00000000-0005-0000-0000-0000BE070000}"/>
    <cellStyle name="계산 2 2 4 3 4" xfId="29783" xr:uid="{00000000-0005-0000-0000-0000BF070000}"/>
    <cellStyle name="계산 2 2 4 3 5" xfId="22439" xr:uid="{00000000-0005-0000-0000-0000C0070000}"/>
    <cellStyle name="계산 2 2 4 4" xfId="16282" xr:uid="{00000000-0005-0000-0000-0000C1070000}"/>
    <cellStyle name="계산 2 2 4 4 2" xfId="23844" xr:uid="{00000000-0005-0000-0000-0000C2070000}"/>
    <cellStyle name="계산 2 2 4 4 3" xfId="27142" xr:uid="{00000000-0005-0000-0000-0000C3070000}"/>
    <cellStyle name="계산 2 2 4 4 4" xfId="30256" xr:uid="{00000000-0005-0000-0000-0000C4070000}"/>
    <cellStyle name="계산 2 2 4 4 5" xfId="22912" xr:uid="{00000000-0005-0000-0000-0000C5070000}"/>
    <cellStyle name="계산 2 2 4 5" xfId="23257" xr:uid="{00000000-0005-0000-0000-0000C6070000}"/>
    <cellStyle name="계산 2 2 4 5 2" xfId="21470" xr:uid="{00000000-0005-0000-0000-0000C7070000}"/>
    <cellStyle name="계산 2 2 4 5 3" xfId="27487" xr:uid="{00000000-0005-0000-0000-0000C8070000}"/>
    <cellStyle name="계산 2 2 4 5 4" xfId="30601" xr:uid="{00000000-0005-0000-0000-0000C9070000}"/>
    <cellStyle name="계산 2 2 4 6" xfId="19500" xr:uid="{00000000-0005-0000-0000-0000CA070000}"/>
    <cellStyle name="계산 2 2 4 7" xfId="25645" xr:uid="{00000000-0005-0000-0000-0000CB070000}"/>
    <cellStyle name="계산 2 2 4 8" xfId="28762" xr:uid="{00000000-0005-0000-0000-0000CC070000}"/>
    <cellStyle name="계산 2 2 4 9" xfId="17711" xr:uid="{00000000-0005-0000-0000-0000CD070000}"/>
    <cellStyle name="계산 2 2 5" xfId="14956" xr:uid="{00000000-0005-0000-0000-0000CE070000}"/>
    <cellStyle name="계산 2 2 5 2" xfId="15706" xr:uid="{00000000-0005-0000-0000-0000CF070000}"/>
    <cellStyle name="계산 2 2 5 2 2" xfId="31484" xr:uid="{00000000-0005-0000-0000-0000D0070000}"/>
    <cellStyle name="계산 2 2 5 2 3" xfId="20852" xr:uid="{00000000-0005-0000-0000-0000D1070000}"/>
    <cellStyle name="계산 2 2 5 3" xfId="16068" xr:uid="{00000000-0005-0000-0000-0000D2070000}"/>
    <cellStyle name="계산 2 2 5 3 2" xfId="31711" xr:uid="{00000000-0005-0000-0000-0000D3070000}"/>
    <cellStyle name="계산 2 2 5 3 3" xfId="19398" xr:uid="{00000000-0005-0000-0000-0000D4070000}"/>
    <cellStyle name="계산 2 2 5 4" xfId="16283" xr:uid="{00000000-0005-0000-0000-0000D5070000}"/>
    <cellStyle name="계산 2 2 5 4 2" xfId="31887" xr:uid="{00000000-0005-0000-0000-0000D6070000}"/>
    <cellStyle name="계산 2 2 5 4 3" xfId="25103" xr:uid="{00000000-0005-0000-0000-0000D7070000}"/>
    <cellStyle name="계산 2 2 5 5" xfId="28227" xr:uid="{00000000-0005-0000-0000-0000D8070000}"/>
    <cellStyle name="계산 2 2 5 6" xfId="17806" xr:uid="{00000000-0005-0000-0000-0000D9070000}"/>
    <cellStyle name="계산 2 2 6" xfId="15012" xr:uid="{00000000-0005-0000-0000-0000DA070000}"/>
    <cellStyle name="계산 2 2 6 2" xfId="15740" xr:uid="{00000000-0005-0000-0000-0000DB070000}"/>
    <cellStyle name="계산 2 2 6 2 2" xfId="31518" xr:uid="{00000000-0005-0000-0000-0000DC070000}"/>
    <cellStyle name="계산 2 2 6 3" xfId="16124" xr:uid="{00000000-0005-0000-0000-0000DD070000}"/>
    <cellStyle name="계산 2 2 6 3 2" xfId="31767" xr:uid="{00000000-0005-0000-0000-0000DE070000}"/>
    <cellStyle name="계산 2 2 6 4" xfId="16284" xr:uid="{00000000-0005-0000-0000-0000DF070000}"/>
    <cellStyle name="계산 2 2 6 4 2" xfId="31888" xr:uid="{00000000-0005-0000-0000-0000E0070000}"/>
    <cellStyle name="계산 2 2 6 5" xfId="31229" xr:uid="{00000000-0005-0000-0000-0000E1070000}"/>
    <cellStyle name="계산 2 2 6 6" xfId="18632" xr:uid="{00000000-0005-0000-0000-0000E2070000}"/>
    <cellStyle name="계산 2 2 7" xfId="14988" xr:uid="{00000000-0005-0000-0000-0000E3070000}"/>
    <cellStyle name="계산 2 2 7 2" xfId="15738" xr:uid="{00000000-0005-0000-0000-0000E4070000}"/>
    <cellStyle name="계산 2 2 7 2 2" xfId="31516" xr:uid="{00000000-0005-0000-0000-0000E5070000}"/>
    <cellStyle name="계산 2 2 7 3" xfId="16100" xr:uid="{00000000-0005-0000-0000-0000E6070000}"/>
    <cellStyle name="계산 2 2 7 3 2" xfId="31743" xr:uid="{00000000-0005-0000-0000-0000E7070000}"/>
    <cellStyle name="계산 2 2 7 4" xfId="16285" xr:uid="{00000000-0005-0000-0000-0000E8070000}"/>
    <cellStyle name="계산 2 2 7 4 2" xfId="31889" xr:uid="{00000000-0005-0000-0000-0000E9070000}"/>
    <cellStyle name="계산 2 2 7 5" xfId="31227" xr:uid="{00000000-0005-0000-0000-0000EA070000}"/>
    <cellStyle name="계산 2 2 7 6" xfId="18608" xr:uid="{00000000-0005-0000-0000-0000EB070000}"/>
    <cellStyle name="계산 2 2 8" xfId="14990" xr:uid="{00000000-0005-0000-0000-0000EC070000}"/>
    <cellStyle name="계산 2 2 8 2" xfId="16102" xr:uid="{00000000-0005-0000-0000-0000ED070000}"/>
    <cellStyle name="계산 2 2 8 2 2" xfId="31745" xr:uid="{00000000-0005-0000-0000-0000EE070000}"/>
    <cellStyle name="계산 2 2 8 3" xfId="16286" xr:uid="{00000000-0005-0000-0000-0000EF070000}"/>
    <cellStyle name="계산 2 2 8 3 2" xfId="31890" xr:uid="{00000000-0005-0000-0000-0000F0070000}"/>
    <cellStyle name="계산 2 2 8 4" xfId="16287" xr:uid="{00000000-0005-0000-0000-0000F1070000}"/>
    <cellStyle name="계산 2 2 8 4 2" xfId="31891" xr:uid="{00000000-0005-0000-0000-0000F2070000}"/>
    <cellStyle name="계산 2 2 8 5" xfId="18611" xr:uid="{00000000-0005-0000-0000-0000F3070000}"/>
    <cellStyle name="계산 2 2 9" xfId="15336" xr:uid="{00000000-0005-0000-0000-0000F4070000}"/>
    <cellStyle name="계산 2 2 9 2" xfId="15333" xr:uid="{00000000-0005-0000-0000-0000F5070000}"/>
    <cellStyle name="계산 2 2 9 2 2" xfId="31380" xr:uid="{00000000-0005-0000-0000-0000F6070000}"/>
    <cellStyle name="계산 2 2 9 3" xfId="16288" xr:uid="{00000000-0005-0000-0000-0000F7070000}"/>
    <cellStyle name="계산 2 2 9 3 2" xfId="31892" xr:uid="{00000000-0005-0000-0000-0000F8070000}"/>
    <cellStyle name="계산 2 2 9 4" xfId="16289" xr:uid="{00000000-0005-0000-0000-0000F9070000}"/>
    <cellStyle name="계산 2 2 9 4 2" xfId="31893" xr:uid="{00000000-0005-0000-0000-0000FA070000}"/>
    <cellStyle name="계산 2 2 9 5" xfId="31383" xr:uid="{00000000-0005-0000-0000-0000FB070000}"/>
    <cellStyle name="계산 2 3" xfId="11838" xr:uid="{00000000-0005-0000-0000-0000FC070000}"/>
    <cellStyle name="계산 2 3 10" xfId="15162" xr:uid="{00000000-0005-0000-0000-0000FD070000}"/>
    <cellStyle name="계산 2 3 10 2" xfId="31298" xr:uid="{00000000-0005-0000-0000-0000FE070000}"/>
    <cellStyle name="계산 2 3 11" xfId="16290" xr:uid="{00000000-0005-0000-0000-0000FF070000}"/>
    <cellStyle name="계산 2 3 11 2" xfId="31894" xr:uid="{00000000-0005-0000-0000-000000080000}"/>
    <cellStyle name="계산 2 3 12" xfId="16291" xr:uid="{00000000-0005-0000-0000-000001080000}"/>
    <cellStyle name="계산 2 3 12 2" xfId="31895" xr:uid="{00000000-0005-0000-0000-000002080000}"/>
    <cellStyle name="계산 2 3 13" xfId="17216" xr:uid="{00000000-0005-0000-0000-000003080000}"/>
    <cellStyle name="계산 2 3 2" xfId="14634" xr:uid="{00000000-0005-0000-0000-000004080000}"/>
    <cellStyle name="계산 2 3 2 10" xfId="24833" xr:uid="{00000000-0005-0000-0000-000005080000}"/>
    <cellStyle name="계산 2 3 2 11" xfId="27957" xr:uid="{00000000-0005-0000-0000-000006080000}"/>
    <cellStyle name="계산 2 3 2 12" xfId="17608" xr:uid="{00000000-0005-0000-0000-000007080000}"/>
    <cellStyle name="계산 2 3 2 2" xfId="15565" xr:uid="{00000000-0005-0000-0000-000008080000}"/>
    <cellStyle name="계산 2 3 2 2 10" xfId="17807" xr:uid="{00000000-0005-0000-0000-000009080000}"/>
    <cellStyle name="계산 2 3 2 2 2" xfId="22168" xr:uid="{00000000-0005-0000-0000-00000A080000}"/>
    <cellStyle name="계산 2 3 2 2 2 2" xfId="21172" xr:uid="{00000000-0005-0000-0000-00000B080000}"/>
    <cellStyle name="계산 2 3 2 2 2 3" xfId="26398" xr:uid="{00000000-0005-0000-0000-00000C080000}"/>
    <cellStyle name="계산 2 3 2 2 2 4" xfId="29512" xr:uid="{00000000-0005-0000-0000-00000D080000}"/>
    <cellStyle name="계산 2 3 2 2 3" xfId="22644" xr:uid="{00000000-0005-0000-0000-00000E080000}"/>
    <cellStyle name="계산 2 3 2 2 3 2" xfId="19890" xr:uid="{00000000-0005-0000-0000-00000F080000}"/>
    <cellStyle name="계산 2 3 2 2 3 3" xfId="26874" xr:uid="{00000000-0005-0000-0000-000010080000}"/>
    <cellStyle name="계산 2 3 2 2 3 4" xfId="29988" xr:uid="{00000000-0005-0000-0000-000011080000}"/>
    <cellStyle name="계산 2 3 2 2 4" xfId="23055" xr:uid="{00000000-0005-0000-0000-000012080000}"/>
    <cellStyle name="계산 2 3 2 2 4 2" xfId="20265" xr:uid="{00000000-0005-0000-0000-000013080000}"/>
    <cellStyle name="계산 2 3 2 2 4 3" xfId="27285" xr:uid="{00000000-0005-0000-0000-000014080000}"/>
    <cellStyle name="계산 2 3 2 2 4 4" xfId="30399" xr:uid="{00000000-0005-0000-0000-000015080000}"/>
    <cellStyle name="계산 2 3 2 2 5" xfId="23454" xr:uid="{00000000-0005-0000-0000-000016080000}"/>
    <cellStyle name="계산 2 3 2 2 5 2" xfId="18119" xr:uid="{00000000-0005-0000-0000-000017080000}"/>
    <cellStyle name="계산 2 3 2 2 5 3" xfId="27684" xr:uid="{00000000-0005-0000-0000-000018080000}"/>
    <cellStyle name="계산 2 3 2 2 5 4" xfId="30798" xr:uid="{00000000-0005-0000-0000-000019080000}"/>
    <cellStyle name="계산 2 3 2 2 6" xfId="21615" xr:uid="{00000000-0005-0000-0000-00001A080000}"/>
    <cellStyle name="계산 2 3 2 2 7" xfId="23943" xr:uid="{00000000-0005-0000-0000-00001B080000}"/>
    <cellStyle name="계산 2 3 2 2 8" xfId="25845" xr:uid="{00000000-0005-0000-0000-00001C080000}"/>
    <cellStyle name="계산 2 3 2 2 9" xfId="28959" xr:uid="{00000000-0005-0000-0000-00001D080000}"/>
    <cellStyle name="계산 2 3 2 3" xfId="15919" xr:uid="{00000000-0005-0000-0000-00001E080000}"/>
    <cellStyle name="계산 2 3 2 3 2" xfId="21295" xr:uid="{00000000-0005-0000-0000-00001F080000}"/>
    <cellStyle name="계산 2 3 2 3 3" xfId="24354" xr:uid="{00000000-0005-0000-0000-000020080000}"/>
    <cellStyle name="계산 2 3 2 3 4" xfId="25508" xr:uid="{00000000-0005-0000-0000-000021080000}"/>
    <cellStyle name="계산 2 3 2 3 5" xfId="28625" xr:uid="{00000000-0005-0000-0000-000022080000}"/>
    <cellStyle name="계산 2 3 2 3 6" xfId="17808" xr:uid="{00000000-0005-0000-0000-000023080000}"/>
    <cellStyle name="계산 2 3 2 4" xfId="16292" xr:uid="{00000000-0005-0000-0000-000024080000}"/>
    <cellStyle name="계산 2 3 2 4 2" xfId="24025" xr:uid="{00000000-0005-0000-0000-000025080000}"/>
    <cellStyle name="계산 2 3 2 4 3" xfId="25380" xr:uid="{00000000-0005-0000-0000-000026080000}"/>
    <cellStyle name="계산 2 3 2 4 4" xfId="28504" xr:uid="{00000000-0005-0000-0000-000027080000}"/>
    <cellStyle name="계산 2 3 2 4 5" xfId="21136" xr:uid="{00000000-0005-0000-0000-000028080000}"/>
    <cellStyle name="계산 2 3 2 5" xfId="21210" xr:uid="{00000000-0005-0000-0000-000029080000}"/>
    <cellStyle name="계산 2 3 2 5 2" xfId="23906" xr:uid="{00000000-0005-0000-0000-00002A080000}"/>
    <cellStyle name="계산 2 3 2 5 3" xfId="25434" xr:uid="{00000000-0005-0000-0000-00002B080000}"/>
    <cellStyle name="계산 2 3 2 5 4" xfId="28551" xr:uid="{00000000-0005-0000-0000-00002C080000}"/>
    <cellStyle name="계산 2 3 2 6" xfId="21159" xr:uid="{00000000-0005-0000-0000-00002D080000}"/>
    <cellStyle name="계산 2 3 2 6 2" xfId="23775" xr:uid="{00000000-0005-0000-0000-00002E080000}"/>
    <cellStyle name="계산 2 3 2 6 3" xfId="25402" xr:uid="{00000000-0005-0000-0000-00002F080000}"/>
    <cellStyle name="계산 2 3 2 6 4" xfId="28526" xr:uid="{00000000-0005-0000-0000-000030080000}"/>
    <cellStyle name="계산 2 3 2 7" xfId="21186" xr:uid="{00000000-0005-0000-0000-000031080000}"/>
    <cellStyle name="계산 2 3 2 7 2" xfId="24233" xr:uid="{00000000-0005-0000-0000-000032080000}"/>
    <cellStyle name="계산 2 3 2 7 3" xfId="25414" xr:uid="{00000000-0005-0000-0000-000033080000}"/>
    <cellStyle name="계산 2 3 2 7 4" xfId="28531" xr:uid="{00000000-0005-0000-0000-000034080000}"/>
    <cellStyle name="계산 2 3 2 8" xfId="20585" xr:uid="{00000000-0005-0000-0000-000035080000}"/>
    <cellStyle name="계산 2 3 2 9" xfId="18892" xr:uid="{00000000-0005-0000-0000-000036080000}"/>
    <cellStyle name="계산 2 3 3" xfId="14668" xr:uid="{00000000-0005-0000-0000-000037080000}"/>
    <cellStyle name="계산 2 3 3 10" xfId="27925" xr:uid="{00000000-0005-0000-0000-000038080000}"/>
    <cellStyle name="계산 2 3 3 11" xfId="17672" xr:uid="{00000000-0005-0000-0000-000039080000}"/>
    <cellStyle name="계산 2 3 3 2" xfId="15599" xr:uid="{00000000-0005-0000-0000-00003A080000}"/>
    <cellStyle name="계산 2 3 3 2 2" xfId="24463" xr:uid="{00000000-0005-0000-0000-00003B080000}"/>
    <cellStyle name="계산 2 3 3 2 3" xfId="25813" xr:uid="{00000000-0005-0000-0000-00003C080000}"/>
    <cellStyle name="계산 2 3 3 2 4" xfId="28927" xr:uid="{00000000-0005-0000-0000-00003D080000}"/>
    <cellStyle name="계산 2 3 3 2 5" xfId="21583" xr:uid="{00000000-0005-0000-0000-00003E080000}"/>
    <cellStyle name="계산 2 3 3 3" xfId="15953" xr:uid="{00000000-0005-0000-0000-00003F080000}"/>
    <cellStyle name="계산 2 3 3 3 2" xfId="19562" xr:uid="{00000000-0005-0000-0000-000040080000}"/>
    <cellStyle name="계산 2 3 3 3 3" xfId="26366" xr:uid="{00000000-0005-0000-0000-000041080000}"/>
    <cellStyle name="계산 2 3 3 3 4" xfId="29480" xr:uid="{00000000-0005-0000-0000-000042080000}"/>
    <cellStyle name="계산 2 3 3 3 5" xfId="22136" xr:uid="{00000000-0005-0000-0000-000043080000}"/>
    <cellStyle name="계산 2 3 3 4" xfId="16293" xr:uid="{00000000-0005-0000-0000-000044080000}"/>
    <cellStyle name="계산 2 3 3 4 2" xfId="19858" xr:uid="{00000000-0005-0000-0000-000045080000}"/>
    <cellStyle name="계산 2 3 3 4 3" xfId="26842" xr:uid="{00000000-0005-0000-0000-000046080000}"/>
    <cellStyle name="계산 2 3 3 4 4" xfId="29956" xr:uid="{00000000-0005-0000-0000-000047080000}"/>
    <cellStyle name="계산 2 3 3 4 5" xfId="22612" xr:uid="{00000000-0005-0000-0000-000048080000}"/>
    <cellStyle name="계산 2 3 3 5" xfId="23027" xr:uid="{00000000-0005-0000-0000-000049080000}"/>
    <cellStyle name="계산 2 3 3 5 2" xfId="20239" xr:uid="{00000000-0005-0000-0000-00004A080000}"/>
    <cellStyle name="계산 2 3 3 5 3" xfId="27257" xr:uid="{00000000-0005-0000-0000-00004B080000}"/>
    <cellStyle name="계산 2 3 3 5 4" xfId="30371" xr:uid="{00000000-0005-0000-0000-00004C080000}"/>
    <cellStyle name="계산 2 3 3 6" xfId="23422" xr:uid="{00000000-0005-0000-0000-00004D080000}"/>
    <cellStyle name="계산 2 3 3 6 2" xfId="20470" xr:uid="{00000000-0005-0000-0000-00004E080000}"/>
    <cellStyle name="계산 2 3 3 6 3" xfId="27652" xr:uid="{00000000-0005-0000-0000-00004F080000}"/>
    <cellStyle name="계산 2 3 3 6 4" xfId="30766" xr:uid="{00000000-0005-0000-0000-000050080000}"/>
    <cellStyle name="계산 2 3 3 7" xfId="20553" xr:uid="{00000000-0005-0000-0000-000051080000}"/>
    <cellStyle name="계산 2 3 3 8" xfId="18860" xr:uid="{00000000-0005-0000-0000-000052080000}"/>
    <cellStyle name="계산 2 3 3 9" xfId="24801" xr:uid="{00000000-0005-0000-0000-000053080000}"/>
    <cellStyle name="계산 2 3 4" xfId="15065" xr:uid="{00000000-0005-0000-0000-000054080000}"/>
    <cellStyle name="계산 2 3 4 2" xfId="15784" xr:uid="{00000000-0005-0000-0000-000055080000}"/>
    <cellStyle name="계산 2 3 4 2 2" xfId="24570" xr:uid="{00000000-0005-0000-0000-000056080000}"/>
    <cellStyle name="계산 2 3 4 2 3" xfId="26197" xr:uid="{00000000-0005-0000-0000-000057080000}"/>
    <cellStyle name="계산 2 3 4 2 4" xfId="29311" xr:uid="{00000000-0005-0000-0000-000058080000}"/>
    <cellStyle name="계산 2 3 4 2 5" xfId="21967" xr:uid="{00000000-0005-0000-0000-000059080000}"/>
    <cellStyle name="계산 2 3 4 3" xfId="16177" xr:uid="{00000000-0005-0000-0000-00005A080000}"/>
    <cellStyle name="계산 2 3 4 3 2" xfId="19702" xr:uid="{00000000-0005-0000-0000-00005B080000}"/>
    <cellStyle name="계산 2 3 4 3 3" xfId="26670" xr:uid="{00000000-0005-0000-0000-00005C080000}"/>
    <cellStyle name="계산 2 3 4 3 4" xfId="29784" xr:uid="{00000000-0005-0000-0000-00005D080000}"/>
    <cellStyle name="계산 2 3 4 3 5" xfId="22440" xr:uid="{00000000-0005-0000-0000-00005E080000}"/>
    <cellStyle name="계산 2 3 4 4" xfId="16294" xr:uid="{00000000-0005-0000-0000-00005F080000}"/>
    <cellStyle name="계산 2 3 4 4 2" xfId="20134" xr:uid="{00000000-0005-0000-0000-000060080000}"/>
    <cellStyle name="계산 2 3 4 4 3" xfId="27143" xr:uid="{00000000-0005-0000-0000-000061080000}"/>
    <cellStyle name="계산 2 3 4 4 4" xfId="30257" xr:uid="{00000000-0005-0000-0000-000062080000}"/>
    <cellStyle name="계산 2 3 4 4 5" xfId="22913" xr:uid="{00000000-0005-0000-0000-000063080000}"/>
    <cellStyle name="계산 2 3 4 5" xfId="23258" xr:uid="{00000000-0005-0000-0000-000064080000}"/>
    <cellStyle name="계산 2 3 4 5 2" xfId="23831" xr:uid="{00000000-0005-0000-0000-000065080000}"/>
    <cellStyle name="계산 2 3 4 5 3" xfId="27488" xr:uid="{00000000-0005-0000-0000-000066080000}"/>
    <cellStyle name="계산 2 3 4 5 4" xfId="30602" xr:uid="{00000000-0005-0000-0000-000067080000}"/>
    <cellStyle name="계산 2 3 4 6" xfId="19501" xr:uid="{00000000-0005-0000-0000-000068080000}"/>
    <cellStyle name="계산 2 3 4 7" xfId="25646" xr:uid="{00000000-0005-0000-0000-000069080000}"/>
    <cellStyle name="계산 2 3 4 8" xfId="28763" xr:uid="{00000000-0005-0000-0000-00006A080000}"/>
    <cellStyle name="계산 2 3 4 9" xfId="17710" xr:uid="{00000000-0005-0000-0000-00006B080000}"/>
    <cellStyle name="계산 2 3 5" xfId="14955" xr:uid="{00000000-0005-0000-0000-00006C080000}"/>
    <cellStyle name="계산 2 3 5 2" xfId="15705" xr:uid="{00000000-0005-0000-0000-00006D080000}"/>
    <cellStyle name="계산 2 3 5 2 2" xfId="31483" xr:uid="{00000000-0005-0000-0000-00006E080000}"/>
    <cellStyle name="계산 2 3 5 2 3" xfId="20853" xr:uid="{00000000-0005-0000-0000-00006F080000}"/>
    <cellStyle name="계산 2 3 5 3" xfId="16067" xr:uid="{00000000-0005-0000-0000-000070080000}"/>
    <cellStyle name="계산 2 3 5 3 2" xfId="31710" xr:uid="{00000000-0005-0000-0000-000071080000}"/>
    <cellStyle name="계산 2 3 5 3 3" xfId="24691" xr:uid="{00000000-0005-0000-0000-000072080000}"/>
    <cellStyle name="계산 2 3 5 4" xfId="16295" xr:uid="{00000000-0005-0000-0000-000073080000}"/>
    <cellStyle name="계산 2 3 5 4 2" xfId="31896" xr:uid="{00000000-0005-0000-0000-000074080000}"/>
    <cellStyle name="계산 2 3 5 4 3" xfId="25104" xr:uid="{00000000-0005-0000-0000-000075080000}"/>
    <cellStyle name="계산 2 3 5 5" xfId="28228" xr:uid="{00000000-0005-0000-0000-000076080000}"/>
    <cellStyle name="계산 2 3 5 6" xfId="17809" xr:uid="{00000000-0005-0000-0000-000077080000}"/>
    <cellStyle name="계산 2 3 6" xfId="15013" xr:uid="{00000000-0005-0000-0000-000078080000}"/>
    <cellStyle name="계산 2 3 6 2" xfId="15741" xr:uid="{00000000-0005-0000-0000-000079080000}"/>
    <cellStyle name="계산 2 3 6 2 2" xfId="31519" xr:uid="{00000000-0005-0000-0000-00007A080000}"/>
    <cellStyle name="계산 2 3 6 3" xfId="16125" xr:uid="{00000000-0005-0000-0000-00007B080000}"/>
    <cellStyle name="계산 2 3 6 3 2" xfId="31768" xr:uid="{00000000-0005-0000-0000-00007C080000}"/>
    <cellStyle name="계산 2 3 6 4" xfId="16296" xr:uid="{00000000-0005-0000-0000-00007D080000}"/>
    <cellStyle name="계산 2 3 6 4 2" xfId="31897" xr:uid="{00000000-0005-0000-0000-00007E080000}"/>
    <cellStyle name="계산 2 3 6 5" xfId="31230" xr:uid="{00000000-0005-0000-0000-00007F080000}"/>
    <cellStyle name="계산 2 3 6 6" xfId="18633" xr:uid="{00000000-0005-0000-0000-000080080000}"/>
    <cellStyle name="계산 2 3 7" xfId="15129" xr:uid="{00000000-0005-0000-0000-000081080000}"/>
    <cellStyle name="계산 2 3 7 2" xfId="15848" xr:uid="{00000000-0005-0000-0000-000082080000}"/>
    <cellStyle name="계산 2 3 7 2 2" xfId="31592" xr:uid="{00000000-0005-0000-0000-000083080000}"/>
    <cellStyle name="계산 2 3 7 3" xfId="16241" xr:uid="{00000000-0005-0000-0000-000084080000}"/>
    <cellStyle name="계산 2 3 7 3 2" xfId="31850" xr:uid="{00000000-0005-0000-0000-000085080000}"/>
    <cellStyle name="계산 2 3 7 4" xfId="16297" xr:uid="{00000000-0005-0000-0000-000086080000}"/>
    <cellStyle name="계산 2 3 7 4 2" xfId="31898" xr:uid="{00000000-0005-0000-0000-000087080000}"/>
    <cellStyle name="계산 2 3 7 5" xfId="31281" xr:uid="{00000000-0005-0000-0000-000088080000}"/>
    <cellStyle name="계산 2 3 7 6" xfId="18607" xr:uid="{00000000-0005-0000-0000-000089080000}"/>
    <cellStyle name="계산 2 3 8" xfId="15133" xr:uid="{00000000-0005-0000-0000-00008A080000}"/>
    <cellStyle name="계산 2 3 8 2" xfId="16245" xr:uid="{00000000-0005-0000-0000-00008B080000}"/>
    <cellStyle name="계산 2 3 8 2 2" xfId="31854" xr:uid="{00000000-0005-0000-0000-00008C080000}"/>
    <cellStyle name="계산 2 3 8 3" xfId="16298" xr:uid="{00000000-0005-0000-0000-00008D080000}"/>
    <cellStyle name="계산 2 3 8 3 2" xfId="31899" xr:uid="{00000000-0005-0000-0000-00008E080000}"/>
    <cellStyle name="계산 2 3 8 4" xfId="16299" xr:uid="{00000000-0005-0000-0000-00008F080000}"/>
    <cellStyle name="계산 2 3 8 4 2" xfId="31900" xr:uid="{00000000-0005-0000-0000-000090080000}"/>
    <cellStyle name="계산 2 3 8 5" xfId="18612" xr:uid="{00000000-0005-0000-0000-000091080000}"/>
    <cellStyle name="계산 2 3 9" xfId="15337" xr:uid="{00000000-0005-0000-0000-000092080000}"/>
    <cellStyle name="계산 2 3 9 2" xfId="15332" xr:uid="{00000000-0005-0000-0000-000093080000}"/>
    <cellStyle name="계산 2 3 9 2 2" xfId="31379" xr:uid="{00000000-0005-0000-0000-000094080000}"/>
    <cellStyle name="계산 2 3 9 3" xfId="16300" xr:uid="{00000000-0005-0000-0000-000095080000}"/>
    <cellStyle name="계산 2 3 9 3 2" xfId="31901" xr:uid="{00000000-0005-0000-0000-000096080000}"/>
    <cellStyle name="계산 2 3 9 4" xfId="16301" xr:uid="{00000000-0005-0000-0000-000097080000}"/>
    <cellStyle name="계산 2 3 9 4 2" xfId="31902" xr:uid="{00000000-0005-0000-0000-000098080000}"/>
    <cellStyle name="계산 2 3 9 5" xfId="31384" xr:uid="{00000000-0005-0000-0000-000099080000}"/>
    <cellStyle name="계산 2 4" xfId="11839" xr:uid="{00000000-0005-0000-0000-00009A080000}"/>
    <cellStyle name="계산 2 4 10" xfId="15163" xr:uid="{00000000-0005-0000-0000-00009B080000}"/>
    <cellStyle name="계산 2 4 10 2" xfId="31299" xr:uid="{00000000-0005-0000-0000-00009C080000}"/>
    <cellStyle name="계산 2 4 11" xfId="16302" xr:uid="{00000000-0005-0000-0000-00009D080000}"/>
    <cellStyle name="계산 2 4 11 2" xfId="31903" xr:uid="{00000000-0005-0000-0000-00009E080000}"/>
    <cellStyle name="계산 2 4 12" xfId="16303" xr:uid="{00000000-0005-0000-0000-00009F080000}"/>
    <cellStyle name="계산 2 4 12 2" xfId="31904" xr:uid="{00000000-0005-0000-0000-0000A0080000}"/>
    <cellStyle name="계산 2 4 13" xfId="17217" xr:uid="{00000000-0005-0000-0000-0000A1080000}"/>
    <cellStyle name="계산 2 4 2" xfId="14633" xr:uid="{00000000-0005-0000-0000-0000A2080000}"/>
    <cellStyle name="계산 2 4 2 10" xfId="24834" xr:uid="{00000000-0005-0000-0000-0000A3080000}"/>
    <cellStyle name="계산 2 4 2 11" xfId="27958" xr:uid="{00000000-0005-0000-0000-0000A4080000}"/>
    <cellStyle name="계산 2 4 2 12" xfId="17607" xr:uid="{00000000-0005-0000-0000-0000A5080000}"/>
    <cellStyle name="계산 2 4 2 2" xfId="15564" xr:uid="{00000000-0005-0000-0000-0000A6080000}"/>
    <cellStyle name="계산 2 4 2 2 10" xfId="17810" xr:uid="{00000000-0005-0000-0000-0000A7080000}"/>
    <cellStyle name="계산 2 4 2 2 2" xfId="22169" xr:uid="{00000000-0005-0000-0000-0000A8080000}"/>
    <cellStyle name="계산 2 4 2 2 2 2" xfId="19584" xr:uid="{00000000-0005-0000-0000-0000A9080000}"/>
    <cellStyle name="계산 2 4 2 2 2 3" xfId="26399" xr:uid="{00000000-0005-0000-0000-0000AA080000}"/>
    <cellStyle name="계산 2 4 2 2 2 4" xfId="29513" xr:uid="{00000000-0005-0000-0000-0000AB080000}"/>
    <cellStyle name="계산 2 4 2 2 3" xfId="22645" xr:uid="{00000000-0005-0000-0000-0000AC080000}"/>
    <cellStyle name="계산 2 4 2 2 3 2" xfId="19891" xr:uid="{00000000-0005-0000-0000-0000AD080000}"/>
    <cellStyle name="계산 2 4 2 2 3 3" xfId="26875" xr:uid="{00000000-0005-0000-0000-0000AE080000}"/>
    <cellStyle name="계산 2 4 2 2 3 4" xfId="29989" xr:uid="{00000000-0005-0000-0000-0000AF080000}"/>
    <cellStyle name="계산 2 4 2 2 4" xfId="23056" xr:uid="{00000000-0005-0000-0000-0000B0080000}"/>
    <cellStyle name="계산 2 4 2 2 4 2" xfId="20266" xr:uid="{00000000-0005-0000-0000-0000B1080000}"/>
    <cellStyle name="계산 2 4 2 2 4 3" xfId="27286" xr:uid="{00000000-0005-0000-0000-0000B2080000}"/>
    <cellStyle name="계산 2 4 2 2 4 4" xfId="30400" xr:uid="{00000000-0005-0000-0000-0000B3080000}"/>
    <cellStyle name="계산 2 4 2 2 5" xfId="23455" xr:uid="{00000000-0005-0000-0000-0000B4080000}"/>
    <cellStyle name="계산 2 4 2 2 5 2" xfId="18120" xr:uid="{00000000-0005-0000-0000-0000B5080000}"/>
    <cellStyle name="계산 2 4 2 2 5 3" xfId="27685" xr:uid="{00000000-0005-0000-0000-0000B6080000}"/>
    <cellStyle name="계산 2 4 2 2 5 4" xfId="30799" xr:uid="{00000000-0005-0000-0000-0000B7080000}"/>
    <cellStyle name="계산 2 4 2 2 6" xfId="21616" xr:uid="{00000000-0005-0000-0000-0000B8080000}"/>
    <cellStyle name="계산 2 4 2 2 7" xfId="24754" xr:uid="{00000000-0005-0000-0000-0000B9080000}"/>
    <cellStyle name="계산 2 4 2 2 8" xfId="25846" xr:uid="{00000000-0005-0000-0000-0000BA080000}"/>
    <cellStyle name="계산 2 4 2 2 9" xfId="28960" xr:uid="{00000000-0005-0000-0000-0000BB080000}"/>
    <cellStyle name="계산 2 4 2 3" xfId="15918" xr:uid="{00000000-0005-0000-0000-0000BC080000}"/>
    <cellStyle name="계산 2 4 2 3 2" xfId="21296" xr:uid="{00000000-0005-0000-0000-0000BD080000}"/>
    <cellStyle name="계산 2 4 2 3 3" xfId="24182" xr:uid="{00000000-0005-0000-0000-0000BE080000}"/>
    <cellStyle name="계산 2 4 2 3 4" xfId="25509" xr:uid="{00000000-0005-0000-0000-0000BF080000}"/>
    <cellStyle name="계산 2 4 2 3 5" xfId="28626" xr:uid="{00000000-0005-0000-0000-0000C0080000}"/>
    <cellStyle name="계산 2 4 2 3 6" xfId="17811" xr:uid="{00000000-0005-0000-0000-0000C1080000}"/>
    <cellStyle name="계산 2 4 2 4" xfId="16304" xr:uid="{00000000-0005-0000-0000-0000C2080000}"/>
    <cellStyle name="계산 2 4 2 4 2" xfId="24235" xr:uid="{00000000-0005-0000-0000-0000C3080000}"/>
    <cellStyle name="계산 2 4 2 4 3" xfId="25379" xr:uid="{00000000-0005-0000-0000-0000C4080000}"/>
    <cellStyle name="계산 2 4 2 4 4" xfId="28503" xr:uid="{00000000-0005-0000-0000-0000C5080000}"/>
    <cellStyle name="계산 2 4 2 4 5" xfId="21135" xr:uid="{00000000-0005-0000-0000-0000C6080000}"/>
    <cellStyle name="계산 2 4 2 5" xfId="21211" xr:uid="{00000000-0005-0000-0000-0000C7080000}"/>
    <cellStyle name="계산 2 4 2 5 2" xfId="24532" xr:uid="{00000000-0005-0000-0000-0000C8080000}"/>
    <cellStyle name="계산 2 4 2 5 3" xfId="25435" xr:uid="{00000000-0005-0000-0000-0000C9080000}"/>
    <cellStyle name="계산 2 4 2 5 4" xfId="28552" xr:uid="{00000000-0005-0000-0000-0000CA080000}"/>
    <cellStyle name="계산 2 4 2 6" xfId="21090" xr:uid="{00000000-0005-0000-0000-0000CB080000}"/>
    <cellStyle name="계산 2 4 2 6 2" xfId="24188" xr:uid="{00000000-0005-0000-0000-0000CC080000}"/>
    <cellStyle name="계산 2 4 2 6 3" xfId="25335" xr:uid="{00000000-0005-0000-0000-0000CD080000}"/>
    <cellStyle name="계산 2 4 2 6 4" xfId="28459" xr:uid="{00000000-0005-0000-0000-0000CE080000}"/>
    <cellStyle name="계산 2 4 2 7" xfId="21024" xr:uid="{00000000-0005-0000-0000-0000CF080000}"/>
    <cellStyle name="계산 2 4 2 7 2" xfId="24191" xr:uid="{00000000-0005-0000-0000-0000D0080000}"/>
    <cellStyle name="계산 2 4 2 7 3" xfId="25269" xr:uid="{00000000-0005-0000-0000-0000D1080000}"/>
    <cellStyle name="계산 2 4 2 7 4" xfId="28393" xr:uid="{00000000-0005-0000-0000-0000D2080000}"/>
    <cellStyle name="계산 2 4 2 8" xfId="20586" xr:uid="{00000000-0005-0000-0000-0000D3080000}"/>
    <cellStyle name="계산 2 4 2 9" xfId="18893" xr:uid="{00000000-0005-0000-0000-0000D4080000}"/>
    <cellStyle name="계산 2 4 3" xfId="14667" xr:uid="{00000000-0005-0000-0000-0000D5080000}"/>
    <cellStyle name="계산 2 4 3 10" xfId="27926" xr:uid="{00000000-0005-0000-0000-0000D6080000}"/>
    <cellStyle name="계산 2 4 3 11" xfId="17671" xr:uid="{00000000-0005-0000-0000-0000D7080000}"/>
    <cellStyle name="계산 2 4 3 2" xfId="15598" xr:uid="{00000000-0005-0000-0000-0000D8080000}"/>
    <cellStyle name="계산 2 4 3 2 2" xfId="24290" xr:uid="{00000000-0005-0000-0000-0000D9080000}"/>
    <cellStyle name="계산 2 4 3 2 3" xfId="25814" xr:uid="{00000000-0005-0000-0000-0000DA080000}"/>
    <cellStyle name="계산 2 4 3 2 4" xfId="28928" xr:uid="{00000000-0005-0000-0000-0000DB080000}"/>
    <cellStyle name="계산 2 4 3 2 5" xfId="21584" xr:uid="{00000000-0005-0000-0000-0000DC080000}"/>
    <cellStyle name="계산 2 4 3 3" xfId="15952" xr:uid="{00000000-0005-0000-0000-0000DD080000}"/>
    <cellStyle name="계산 2 4 3 3 2" xfId="19563" xr:uid="{00000000-0005-0000-0000-0000DE080000}"/>
    <cellStyle name="계산 2 4 3 3 3" xfId="26367" xr:uid="{00000000-0005-0000-0000-0000DF080000}"/>
    <cellStyle name="계산 2 4 3 3 4" xfId="29481" xr:uid="{00000000-0005-0000-0000-0000E0080000}"/>
    <cellStyle name="계산 2 4 3 3 5" xfId="22137" xr:uid="{00000000-0005-0000-0000-0000E1080000}"/>
    <cellStyle name="계산 2 4 3 4" xfId="16305" xr:uid="{00000000-0005-0000-0000-0000E2080000}"/>
    <cellStyle name="계산 2 4 3 4 2" xfId="19859" xr:uid="{00000000-0005-0000-0000-0000E3080000}"/>
    <cellStyle name="계산 2 4 3 4 3" xfId="26843" xr:uid="{00000000-0005-0000-0000-0000E4080000}"/>
    <cellStyle name="계산 2 4 3 4 4" xfId="29957" xr:uid="{00000000-0005-0000-0000-0000E5080000}"/>
    <cellStyle name="계산 2 4 3 4 5" xfId="22613" xr:uid="{00000000-0005-0000-0000-0000E6080000}"/>
    <cellStyle name="계산 2 4 3 5" xfId="23028" xr:uid="{00000000-0005-0000-0000-0000E7080000}"/>
    <cellStyle name="계산 2 4 3 5 2" xfId="20240" xr:uid="{00000000-0005-0000-0000-0000E8080000}"/>
    <cellStyle name="계산 2 4 3 5 3" xfId="27258" xr:uid="{00000000-0005-0000-0000-0000E9080000}"/>
    <cellStyle name="계산 2 4 3 5 4" xfId="30372" xr:uid="{00000000-0005-0000-0000-0000EA080000}"/>
    <cellStyle name="계산 2 4 3 6" xfId="23423" xr:uid="{00000000-0005-0000-0000-0000EB080000}"/>
    <cellStyle name="계산 2 4 3 6 2" xfId="20471" xr:uid="{00000000-0005-0000-0000-0000EC080000}"/>
    <cellStyle name="계산 2 4 3 6 3" xfId="27653" xr:uid="{00000000-0005-0000-0000-0000ED080000}"/>
    <cellStyle name="계산 2 4 3 6 4" xfId="30767" xr:uid="{00000000-0005-0000-0000-0000EE080000}"/>
    <cellStyle name="계산 2 4 3 7" xfId="20554" xr:uid="{00000000-0005-0000-0000-0000EF080000}"/>
    <cellStyle name="계산 2 4 3 8" xfId="18861" xr:uid="{00000000-0005-0000-0000-0000F0080000}"/>
    <cellStyle name="계산 2 4 3 9" xfId="24802" xr:uid="{00000000-0005-0000-0000-0000F1080000}"/>
    <cellStyle name="계산 2 4 4" xfId="15066" xr:uid="{00000000-0005-0000-0000-0000F2080000}"/>
    <cellStyle name="계산 2 4 4 2" xfId="15785" xr:uid="{00000000-0005-0000-0000-0000F3080000}"/>
    <cellStyle name="계산 2 4 4 2 2" xfId="24440" xr:uid="{00000000-0005-0000-0000-0000F4080000}"/>
    <cellStyle name="계산 2 4 4 2 3" xfId="26198" xr:uid="{00000000-0005-0000-0000-0000F5080000}"/>
    <cellStyle name="계산 2 4 4 2 4" xfId="29312" xr:uid="{00000000-0005-0000-0000-0000F6080000}"/>
    <cellStyle name="계산 2 4 4 2 5" xfId="21968" xr:uid="{00000000-0005-0000-0000-0000F7080000}"/>
    <cellStyle name="계산 2 4 4 3" xfId="16178" xr:uid="{00000000-0005-0000-0000-0000F8080000}"/>
    <cellStyle name="계산 2 4 4 3 2" xfId="19703" xr:uid="{00000000-0005-0000-0000-0000F9080000}"/>
    <cellStyle name="계산 2 4 4 3 3" xfId="26671" xr:uid="{00000000-0005-0000-0000-0000FA080000}"/>
    <cellStyle name="계산 2 4 4 3 4" xfId="29785" xr:uid="{00000000-0005-0000-0000-0000FB080000}"/>
    <cellStyle name="계산 2 4 4 3 5" xfId="22441" xr:uid="{00000000-0005-0000-0000-0000FC080000}"/>
    <cellStyle name="계산 2 4 4 4" xfId="16306" xr:uid="{00000000-0005-0000-0000-0000FD080000}"/>
    <cellStyle name="계산 2 4 4 4 2" xfId="20135" xr:uid="{00000000-0005-0000-0000-0000FE080000}"/>
    <cellStyle name="계산 2 4 4 4 3" xfId="27144" xr:uid="{00000000-0005-0000-0000-0000FF080000}"/>
    <cellStyle name="계산 2 4 4 4 4" xfId="30258" xr:uid="{00000000-0005-0000-0000-000000090000}"/>
    <cellStyle name="계산 2 4 4 4 5" xfId="22914" xr:uid="{00000000-0005-0000-0000-000001090000}"/>
    <cellStyle name="계산 2 4 4 5" xfId="23259" xr:uid="{00000000-0005-0000-0000-000002090000}"/>
    <cellStyle name="계산 2 4 4 5 2" xfId="20315" xr:uid="{00000000-0005-0000-0000-000003090000}"/>
    <cellStyle name="계산 2 4 4 5 3" xfId="27489" xr:uid="{00000000-0005-0000-0000-000004090000}"/>
    <cellStyle name="계산 2 4 4 5 4" xfId="30603" xr:uid="{00000000-0005-0000-0000-000005090000}"/>
    <cellStyle name="계산 2 4 4 6" xfId="19502" xr:uid="{00000000-0005-0000-0000-000006090000}"/>
    <cellStyle name="계산 2 4 4 7" xfId="25647" xr:uid="{00000000-0005-0000-0000-000007090000}"/>
    <cellStyle name="계산 2 4 4 8" xfId="28764" xr:uid="{00000000-0005-0000-0000-000008090000}"/>
    <cellStyle name="계산 2 4 4 9" xfId="17709" xr:uid="{00000000-0005-0000-0000-000009090000}"/>
    <cellStyle name="계산 2 4 5" xfId="14954" xr:uid="{00000000-0005-0000-0000-00000A090000}"/>
    <cellStyle name="계산 2 4 5 2" xfId="15704" xr:uid="{00000000-0005-0000-0000-00000B090000}"/>
    <cellStyle name="계산 2 4 5 2 2" xfId="31482" xr:uid="{00000000-0005-0000-0000-00000C090000}"/>
    <cellStyle name="계산 2 4 5 2 3" xfId="20854" xr:uid="{00000000-0005-0000-0000-00000D090000}"/>
    <cellStyle name="계산 2 4 5 3" xfId="16066" xr:uid="{00000000-0005-0000-0000-00000E090000}"/>
    <cellStyle name="계산 2 4 5 3 2" xfId="31709" xr:uid="{00000000-0005-0000-0000-00000F090000}"/>
    <cellStyle name="계산 2 4 5 3 3" xfId="24431" xr:uid="{00000000-0005-0000-0000-000010090000}"/>
    <cellStyle name="계산 2 4 5 4" xfId="16307" xr:uid="{00000000-0005-0000-0000-000011090000}"/>
    <cellStyle name="계산 2 4 5 4 2" xfId="31905" xr:uid="{00000000-0005-0000-0000-000012090000}"/>
    <cellStyle name="계산 2 4 5 4 3" xfId="25105" xr:uid="{00000000-0005-0000-0000-000013090000}"/>
    <cellStyle name="계산 2 4 5 5" xfId="28229" xr:uid="{00000000-0005-0000-0000-000014090000}"/>
    <cellStyle name="계산 2 4 5 6" xfId="17812" xr:uid="{00000000-0005-0000-0000-000015090000}"/>
    <cellStyle name="계산 2 4 6" xfId="15014" xr:uid="{00000000-0005-0000-0000-000016090000}"/>
    <cellStyle name="계산 2 4 6 2" xfId="15742" xr:uid="{00000000-0005-0000-0000-000017090000}"/>
    <cellStyle name="계산 2 4 6 2 2" xfId="31520" xr:uid="{00000000-0005-0000-0000-000018090000}"/>
    <cellStyle name="계산 2 4 6 3" xfId="16126" xr:uid="{00000000-0005-0000-0000-000019090000}"/>
    <cellStyle name="계산 2 4 6 3 2" xfId="31769" xr:uid="{00000000-0005-0000-0000-00001A090000}"/>
    <cellStyle name="계산 2 4 6 4" xfId="16308" xr:uid="{00000000-0005-0000-0000-00001B090000}"/>
    <cellStyle name="계산 2 4 6 4 2" xfId="31906" xr:uid="{00000000-0005-0000-0000-00001C090000}"/>
    <cellStyle name="계산 2 4 6 5" xfId="31231" xr:uid="{00000000-0005-0000-0000-00001D090000}"/>
    <cellStyle name="계산 2 4 6 6" xfId="18634" xr:uid="{00000000-0005-0000-0000-00001E090000}"/>
    <cellStyle name="계산 2 4 7" xfId="14891" xr:uid="{00000000-0005-0000-0000-00001F090000}"/>
    <cellStyle name="계산 2 4 7 2" xfId="15652" xr:uid="{00000000-0005-0000-0000-000020090000}"/>
    <cellStyle name="계산 2 4 7 2 2" xfId="31430" xr:uid="{00000000-0005-0000-0000-000021090000}"/>
    <cellStyle name="계산 2 4 7 3" xfId="16003" xr:uid="{00000000-0005-0000-0000-000022090000}"/>
    <cellStyle name="계산 2 4 7 3 2" xfId="31646" xr:uid="{00000000-0005-0000-0000-000023090000}"/>
    <cellStyle name="계산 2 4 7 4" xfId="16309" xr:uid="{00000000-0005-0000-0000-000024090000}"/>
    <cellStyle name="계산 2 4 7 4 2" xfId="31907" xr:uid="{00000000-0005-0000-0000-000025090000}"/>
    <cellStyle name="계산 2 4 7 5" xfId="31174" xr:uid="{00000000-0005-0000-0000-000026090000}"/>
    <cellStyle name="계산 2 4 7 6" xfId="18606" xr:uid="{00000000-0005-0000-0000-000027090000}"/>
    <cellStyle name="계산 2 4 8" xfId="15053" xr:uid="{00000000-0005-0000-0000-000028090000}"/>
    <cellStyle name="계산 2 4 8 2" xfId="16165" xr:uid="{00000000-0005-0000-0000-000029090000}"/>
    <cellStyle name="계산 2 4 8 2 2" xfId="31808" xr:uid="{00000000-0005-0000-0000-00002A090000}"/>
    <cellStyle name="계산 2 4 8 3" xfId="16310" xr:uid="{00000000-0005-0000-0000-00002B090000}"/>
    <cellStyle name="계산 2 4 8 3 2" xfId="31908" xr:uid="{00000000-0005-0000-0000-00002C090000}"/>
    <cellStyle name="계산 2 4 8 4" xfId="16311" xr:uid="{00000000-0005-0000-0000-00002D090000}"/>
    <cellStyle name="계산 2 4 8 4 2" xfId="31909" xr:uid="{00000000-0005-0000-0000-00002E090000}"/>
    <cellStyle name="계산 2 4 8 5" xfId="18613" xr:uid="{00000000-0005-0000-0000-00002F090000}"/>
    <cellStyle name="계산 2 4 9" xfId="15338" xr:uid="{00000000-0005-0000-0000-000030090000}"/>
    <cellStyle name="계산 2 4 9 2" xfId="15331" xr:uid="{00000000-0005-0000-0000-000031090000}"/>
    <cellStyle name="계산 2 4 9 2 2" xfId="31378" xr:uid="{00000000-0005-0000-0000-000032090000}"/>
    <cellStyle name="계산 2 4 9 3" xfId="16312" xr:uid="{00000000-0005-0000-0000-000033090000}"/>
    <cellStyle name="계산 2 4 9 3 2" xfId="31910" xr:uid="{00000000-0005-0000-0000-000034090000}"/>
    <cellStyle name="계산 2 4 9 4" xfId="16313" xr:uid="{00000000-0005-0000-0000-000035090000}"/>
    <cellStyle name="계산 2 4 9 4 2" xfId="31911" xr:uid="{00000000-0005-0000-0000-000036090000}"/>
    <cellStyle name="계산 2 4 9 5" xfId="31385" xr:uid="{00000000-0005-0000-0000-000037090000}"/>
    <cellStyle name="계산 2 5" xfId="11840" xr:uid="{00000000-0005-0000-0000-000038090000}"/>
    <cellStyle name="계산 2 5 10" xfId="15164" xr:uid="{00000000-0005-0000-0000-000039090000}"/>
    <cellStyle name="계산 2 5 10 2" xfId="31300" xr:uid="{00000000-0005-0000-0000-00003A090000}"/>
    <cellStyle name="계산 2 5 11" xfId="16314" xr:uid="{00000000-0005-0000-0000-00003B090000}"/>
    <cellStyle name="계산 2 5 11 2" xfId="31912" xr:uid="{00000000-0005-0000-0000-00003C090000}"/>
    <cellStyle name="계산 2 5 12" xfId="16315" xr:uid="{00000000-0005-0000-0000-00003D090000}"/>
    <cellStyle name="계산 2 5 12 2" xfId="31913" xr:uid="{00000000-0005-0000-0000-00003E090000}"/>
    <cellStyle name="계산 2 5 13" xfId="17218" xr:uid="{00000000-0005-0000-0000-00003F090000}"/>
    <cellStyle name="계산 2 5 2" xfId="14632" xr:uid="{00000000-0005-0000-0000-000040090000}"/>
    <cellStyle name="계산 2 5 2 10" xfId="24835" xr:uid="{00000000-0005-0000-0000-000041090000}"/>
    <cellStyle name="계산 2 5 2 11" xfId="27959" xr:uid="{00000000-0005-0000-0000-000042090000}"/>
    <cellStyle name="계산 2 5 2 12" xfId="17606" xr:uid="{00000000-0005-0000-0000-000043090000}"/>
    <cellStyle name="계산 2 5 2 2" xfId="15563" xr:uid="{00000000-0005-0000-0000-000044090000}"/>
    <cellStyle name="계산 2 5 2 2 10" xfId="17813" xr:uid="{00000000-0005-0000-0000-000045090000}"/>
    <cellStyle name="계산 2 5 2 2 2" xfId="22170" xr:uid="{00000000-0005-0000-0000-000046090000}"/>
    <cellStyle name="계산 2 5 2 2 2 2" xfId="19390" xr:uid="{00000000-0005-0000-0000-000047090000}"/>
    <cellStyle name="계산 2 5 2 2 2 3" xfId="26400" xr:uid="{00000000-0005-0000-0000-000048090000}"/>
    <cellStyle name="계산 2 5 2 2 2 4" xfId="29514" xr:uid="{00000000-0005-0000-0000-000049090000}"/>
    <cellStyle name="계산 2 5 2 2 3" xfId="22646" xr:uid="{00000000-0005-0000-0000-00004A090000}"/>
    <cellStyle name="계산 2 5 2 2 3 2" xfId="19892" xr:uid="{00000000-0005-0000-0000-00004B090000}"/>
    <cellStyle name="계산 2 5 2 2 3 3" xfId="26876" xr:uid="{00000000-0005-0000-0000-00004C090000}"/>
    <cellStyle name="계산 2 5 2 2 3 4" xfId="29990" xr:uid="{00000000-0005-0000-0000-00004D090000}"/>
    <cellStyle name="계산 2 5 2 2 4" xfId="23057" xr:uid="{00000000-0005-0000-0000-00004E090000}"/>
    <cellStyle name="계산 2 5 2 2 4 2" xfId="20267" xr:uid="{00000000-0005-0000-0000-00004F090000}"/>
    <cellStyle name="계산 2 5 2 2 4 3" xfId="27287" xr:uid="{00000000-0005-0000-0000-000050090000}"/>
    <cellStyle name="계산 2 5 2 2 4 4" xfId="30401" xr:uid="{00000000-0005-0000-0000-000051090000}"/>
    <cellStyle name="계산 2 5 2 2 5" xfId="23456" xr:uid="{00000000-0005-0000-0000-000052090000}"/>
    <cellStyle name="계산 2 5 2 2 5 2" xfId="18121" xr:uid="{00000000-0005-0000-0000-000053090000}"/>
    <cellStyle name="계산 2 5 2 2 5 3" xfId="27686" xr:uid="{00000000-0005-0000-0000-000054090000}"/>
    <cellStyle name="계산 2 5 2 2 5 4" xfId="30800" xr:uid="{00000000-0005-0000-0000-000055090000}"/>
    <cellStyle name="계산 2 5 2 2 6" xfId="21617" xr:uid="{00000000-0005-0000-0000-000056090000}"/>
    <cellStyle name="계산 2 5 2 2 7" xfId="24620" xr:uid="{00000000-0005-0000-0000-000057090000}"/>
    <cellStyle name="계산 2 5 2 2 8" xfId="25847" xr:uid="{00000000-0005-0000-0000-000058090000}"/>
    <cellStyle name="계산 2 5 2 2 9" xfId="28961" xr:uid="{00000000-0005-0000-0000-000059090000}"/>
    <cellStyle name="계산 2 5 2 3" xfId="15917" xr:uid="{00000000-0005-0000-0000-00005A090000}"/>
    <cellStyle name="계산 2 5 2 3 2" xfId="21297" xr:uid="{00000000-0005-0000-0000-00005B090000}"/>
    <cellStyle name="계산 2 5 2 3 3" xfId="23975" xr:uid="{00000000-0005-0000-0000-00005C090000}"/>
    <cellStyle name="계산 2 5 2 3 4" xfId="25510" xr:uid="{00000000-0005-0000-0000-00005D090000}"/>
    <cellStyle name="계산 2 5 2 3 5" xfId="28627" xr:uid="{00000000-0005-0000-0000-00005E090000}"/>
    <cellStyle name="계산 2 5 2 3 6" xfId="17814" xr:uid="{00000000-0005-0000-0000-00005F090000}"/>
    <cellStyle name="계산 2 5 2 4" xfId="16316" xr:uid="{00000000-0005-0000-0000-000060090000}"/>
    <cellStyle name="계산 2 5 2 4 2" xfId="24405" xr:uid="{00000000-0005-0000-0000-000061090000}"/>
    <cellStyle name="계산 2 5 2 4 3" xfId="25378" xr:uid="{00000000-0005-0000-0000-000062090000}"/>
    <cellStyle name="계산 2 5 2 4 4" xfId="28502" xr:uid="{00000000-0005-0000-0000-000063090000}"/>
    <cellStyle name="계산 2 5 2 4 5" xfId="21134" xr:uid="{00000000-0005-0000-0000-000064090000}"/>
    <cellStyle name="계산 2 5 2 5" xfId="21212" xr:uid="{00000000-0005-0000-0000-000065090000}"/>
    <cellStyle name="계산 2 5 2 5 2" xfId="24357" xr:uid="{00000000-0005-0000-0000-000066090000}"/>
    <cellStyle name="계산 2 5 2 5 3" xfId="25436" xr:uid="{00000000-0005-0000-0000-000067090000}"/>
    <cellStyle name="계산 2 5 2 5 4" xfId="28553" xr:uid="{00000000-0005-0000-0000-000068090000}"/>
    <cellStyle name="계산 2 5 2 6" xfId="21148" xr:uid="{00000000-0005-0000-0000-000069090000}"/>
    <cellStyle name="계산 2 5 2 6 2" xfId="23681" xr:uid="{00000000-0005-0000-0000-00006A090000}"/>
    <cellStyle name="계산 2 5 2 6 3" xfId="25392" xr:uid="{00000000-0005-0000-0000-00006B090000}"/>
    <cellStyle name="계산 2 5 2 6 4" xfId="28516" xr:uid="{00000000-0005-0000-0000-00006C090000}"/>
    <cellStyle name="계산 2 5 2 7" xfId="21187" xr:uid="{00000000-0005-0000-0000-00006D090000}"/>
    <cellStyle name="계산 2 5 2 7 2" xfId="24024" xr:uid="{00000000-0005-0000-0000-00006E090000}"/>
    <cellStyle name="계산 2 5 2 7 3" xfId="25415" xr:uid="{00000000-0005-0000-0000-00006F090000}"/>
    <cellStyle name="계산 2 5 2 7 4" xfId="28532" xr:uid="{00000000-0005-0000-0000-000070090000}"/>
    <cellStyle name="계산 2 5 2 8" xfId="20587" xr:uid="{00000000-0005-0000-0000-000071090000}"/>
    <cellStyle name="계산 2 5 2 9" xfId="18894" xr:uid="{00000000-0005-0000-0000-000072090000}"/>
    <cellStyle name="계산 2 5 3" xfId="14583" xr:uid="{00000000-0005-0000-0000-000073090000}"/>
    <cellStyle name="계산 2 5 3 10" xfId="27927" xr:uid="{00000000-0005-0000-0000-000074090000}"/>
    <cellStyle name="계산 2 5 3 11" xfId="17670" xr:uid="{00000000-0005-0000-0000-000075090000}"/>
    <cellStyle name="계산 2 5 3 2" xfId="15514" xr:uid="{00000000-0005-0000-0000-000076090000}"/>
    <cellStyle name="계산 2 5 3 2 2" xfId="24108" xr:uid="{00000000-0005-0000-0000-000077090000}"/>
    <cellStyle name="계산 2 5 3 2 3" xfId="25815" xr:uid="{00000000-0005-0000-0000-000078090000}"/>
    <cellStyle name="계산 2 5 3 2 4" xfId="28929" xr:uid="{00000000-0005-0000-0000-000079090000}"/>
    <cellStyle name="계산 2 5 3 2 5" xfId="21585" xr:uid="{00000000-0005-0000-0000-00007A090000}"/>
    <cellStyle name="계산 2 5 3 3" xfId="15868" xr:uid="{00000000-0005-0000-0000-00007B090000}"/>
    <cellStyle name="계산 2 5 3 3 2" xfId="19564" xr:uid="{00000000-0005-0000-0000-00007C090000}"/>
    <cellStyle name="계산 2 5 3 3 3" xfId="26368" xr:uid="{00000000-0005-0000-0000-00007D090000}"/>
    <cellStyle name="계산 2 5 3 3 4" xfId="29482" xr:uid="{00000000-0005-0000-0000-00007E090000}"/>
    <cellStyle name="계산 2 5 3 3 5" xfId="22138" xr:uid="{00000000-0005-0000-0000-00007F090000}"/>
    <cellStyle name="계산 2 5 3 4" xfId="16317" xr:uid="{00000000-0005-0000-0000-000080090000}"/>
    <cellStyle name="계산 2 5 3 4 2" xfId="19860" xr:uid="{00000000-0005-0000-0000-000081090000}"/>
    <cellStyle name="계산 2 5 3 4 3" xfId="26844" xr:uid="{00000000-0005-0000-0000-000082090000}"/>
    <cellStyle name="계산 2 5 3 4 4" xfId="29958" xr:uid="{00000000-0005-0000-0000-000083090000}"/>
    <cellStyle name="계산 2 5 3 4 5" xfId="22614" xr:uid="{00000000-0005-0000-0000-000084090000}"/>
    <cellStyle name="계산 2 5 3 5" xfId="23029" xr:uid="{00000000-0005-0000-0000-000085090000}"/>
    <cellStyle name="계산 2 5 3 5 2" xfId="20241" xr:uid="{00000000-0005-0000-0000-000086090000}"/>
    <cellStyle name="계산 2 5 3 5 3" xfId="27259" xr:uid="{00000000-0005-0000-0000-000087090000}"/>
    <cellStyle name="계산 2 5 3 5 4" xfId="30373" xr:uid="{00000000-0005-0000-0000-000088090000}"/>
    <cellStyle name="계산 2 5 3 6" xfId="23424" xr:uid="{00000000-0005-0000-0000-000089090000}"/>
    <cellStyle name="계산 2 5 3 6 2" xfId="20472" xr:uid="{00000000-0005-0000-0000-00008A090000}"/>
    <cellStyle name="계산 2 5 3 6 3" xfId="27654" xr:uid="{00000000-0005-0000-0000-00008B090000}"/>
    <cellStyle name="계산 2 5 3 6 4" xfId="30768" xr:uid="{00000000-0005-0000-0000-00008C090000}"/>
    <cellStyle name="계산 2 5 3 7" xfId="20555" xr:uid="{00000000-0005-0000-0000-00008D090000}"/>
    <cellStyle name="계산 2 5 3 8" xfId="18862" xr:uid="{00000000-0005-0000-0000-00008E090000}"/>
    <cellStyle name="계산 2 5 3 9" xfId="24803" xr:uid="{00000000-0005-0000-0000-00008F090000}"/>
    <cellStyle name="계산 2 5 4" xfId="15067" xr:uid="{00000000-0005-0000-0000-000090090000}"/>
    <cellStyle name="계산 2 5 4 2" xfId="15786" xr:uid="{00000000-0005-0000-0000-000091090000}"/>
    <cellStyle name="계산 2 5 4 2 2" xfId="24267" xr:uid="{00000000-0005-0000-0000-000092090000}"/>
    <cellStyle name="계산 2 5 4 2 3" xfId="26199" xr:uid="{00000000-0005-0000-0000-000093090000}"/>
    <cellStyle name="계산 2 5 4 2 4" xfId="29313" xr:uid="{00000000-0005-0000-0000-000094090000}"/>
    <cellStyle name="계산 2 5 4 2 5" xfId="21969" xr:uid="{00000000-0005-0000-0000-000095090000}"/>
    <cellStyle name="계산 2 5 4 3" xfId="16179" xr:uid="{00000000-0005-0000-0000-000096090000}"/>
    <cellStyle name="계산 2 5 4 3 2" xfId="19704" xr:uid="{00000000-0005-0000-0000-000097090000}"/>
    <cellStyle name="계산 2 5 4 3 3" xfId="26672" xr:uid="{00000000-0005-0000-0000-000098090000}"/>
    <cellStyle name="계산 2 5 4 3 4" xfId="29786" xr:uid="{00000000-0005-0000-0000-000099090000}"/>
    <cellStyle name="계산 2 5 4 3 5" xfId="22442" xr:uid="{00000000-0005-0000-0000-00009A090000}"/>
    <cellStyle name="계산 2 5 4 4" xfId="16318" xr:uid="{00000000-0005-0000-0000-00009B090000}"/>
    <cellStyle name="계산 2 5 4 4 2" xfId="20136" xr:uid="{00000000-0005-0000-0000-00009C090000}"/>
    <cellStyle name="계산 2 5 4 4 3" xfId="27145" xr:uid="{00000000-0005-0000-0000-00009D090000}"/>
    <cellStyle name="계산 2 5 4 4 4" xfId="30259" xr:uid="{00000000-0005-0000-0000-00009E090000}"/>
    <cellStyle name="계산 2 5 4 4 5" xfId="22915" xr:uid="{00000000-0005-0000-0000-00009F090000}"/>
    <cellStyle name="계산 2 5 4 5" xfId="23260" xr:uid="{00000000-0005-0000-0000-0000A0090000}"/>
    <cellStyle name="계산 2 5 4 5 2" xfId="21471" xr:uid="{00000000-0005-0000-0000-0000A1090000}"/>
    <cellStyle name="계산 2 5 4 5 3" xfId="27490" xr:uid="{00000000-0005-0000-0000-0000A2090000}"/>
    <cellStyle name="계산 2 5 4 5 4" xfId="30604" xr:uid="{00000000-0005-0000-0000-0000A3090000}"/>
    <cellStyle name="계산 2 5 4 6" xfId="19503" xr:uid="{00000000-0005-0000-0000-0000A4090000}"/>
    <cellStyle name="계산 2 5 4 7" xfId="25648" xr:uid="{00000000-0005-0000-0000-0000A5090000}"/>
    <cellStyle name="계산 2 5 4 8" xfId="28765" xr:uid="{00000000-0005-0000-0000-0000A6090000}"/>
    <cellStyle name="계산 2 5 4 9" xfId="17708" xr:uid="{00000000-0005-0000-0000-0000A7090000}"/>
    <cellStyle name="계산 2 5 5" xfId="14953" xr:uid="{00000000-0005-0000-0000-0000A8090000}"/>
    <cellStyle name="계산 2 5 5 2" xfId="15703" xr:uid="{00000000-0005-0000-0000-0000A9090000}"/>
    <cellStyle name="계산 2 5 5 2 2" xfId="31481" xr:uid="{00000000-0005-0000-0000-0000AA090000}"/>
    <cellStyle name="계산 2 5 5 2 3" xfId="20855" xr:uid="{00000000-0005-0000-0000-0000AB090000}"/>
    <cellStyle name="계산 2 5 5 3" xfId="16065" xr:uid="{00000000-0005-0000-0000-0000AC090000}"/>
    <cellStyle name="계산 2 5 5 3 2" xfId="31708" xr:uid="{00000000-0005-0000-0000-0000AD090000}"/>
    <cellStyle name="계산 2 5 5 3 3" xfId="24258" xr:uid="{00000000-0005-0000-0000-0000AE090000}"/>
    <cellStyle name="계산 2 5 5 4" xfId="16319" xr:uid="{00000000-0005-0000-0000-0000AF090000}"/>
    <cellStyle name="계산 2 5 5 4 2" xfId="31914" xr:uid="{00000000-0005-0000-0000-0000B0090000}"/>
    <cellStyle name="계산 2 5 5 4 3" xfId="25106" xr:uid="{00000000-0005-0000-0000-0000B1090000}"/>
    <cellStyle name="계산 2 5 5 5" xfId="28230" xr:uid="{00000000-0005-0000-0000-0000B2090000}"/>
    <cellStyle name="계산 2 5 5 6" xfId="17815" xr:uid="{00000000-0005-0000-0000-0000B3090000}"/>
    <cellStyle name="계산 2 5 6" xfId="15138" xr:uid="{00000000-0005-0000-0000-0000B4090000}"/>
    <cellStyle name="계산 2 5 6 2" xfId="15849" xr:uid="{00000000-0005-0000-0000-0000B5090000}"/>
    <cellStyle name="계산 2 5 6 2 2" xfId="31593" xr:uid="{00000000-0005-0000-0000-0000B6090000}"/>
    <cellStyle name="계산 2 5 6 3" xfId="16250" xr:uid="{00000000-0005-0000-0000-0000B7090000}"/>
    <cellStyle name="계산 2 5 6 3 2" xfId="31859" xr:uid="{00000000-0005-0000-0000-0000B8090000}"/>
    <cellStyle name="계산 2 5 6 4" xfId="16320" xr:uid="{00000000-0005-0000-0000-0000B9090000}"/>
    <cellStyle name="계산 2 5 6 4 2" xfId="31915" xr:uid="{00000000-0005-0000-0000-0000BA090000}"/>
    <cellStyle name="계산 2 5 6 5" xfId="31282" xr:uid="{00000000-0005-0000-0000-0000BB090000}"/>
    <cellStyle name="계산 2 5 6 6" xfId="18099" xr:uid="{00000000-0005-0000-0000-0000BC090000}"/>
    <cellStyle name="계산 2 5 7" xfId="14987" xr:uid="{00000000-0005-0000-0000-0000BD090000}"/>
    <cellStyle name="계산 2 5 7 2" xfId="15737" xr:uid="{00000000-0005-0000-0000-0000BE090000}"/>
    <cellStyle name="계산 2 5 7 2 2" xfId="31515" xr:uid="{00000000-0005-0000-0000-0000BF090000}"/>
    <cellStyle name="계산 2 5 7 3" xfId="16099" xr:uid="{00000000-0005-0000-0000-0000C0090000}"/>
    <cellStyle name="계산 2 5 7 3 2" xfId="31742" xr:uid="{00000000-0005-0000-0000-0000C1090000}"/>
    <cellStyle name="계산 2 5 7 4" xfId="16321" xr:uid="{00000000-0005-0000-0000-0000C2090000}"/>
    <cellStyle name="계산 2 5 7 4 2" xfId="31916" xr:uid="{00000000-0005-0000-0000-0000C3090000}"/>
    <cellStyle name="계산 2 5 7 5" xfId="31226" xr:uid="{00000000-0005-0000-0000-0000C4090000}"/>
    <cellStyle name="계산 2 5 7 6" xfId="18605" xr:uid="{00000000-0005-0000-0000-0000C5090000}"/>
    <cellStyle name="계산 2 5 8" xfId="14893" xr:uid="{00000000-0005-0000-0000-0000C6090000}"/>
    <cellStyle name="계산 2 5 8 2" xfId="16005" xr:uid="{00000000-0005-0000-0000-0000C7090000}"/>
    <cellStyle name="계산 2 5 8 2 2" xfId="31648" xr:uid="{00000000-0005-0000-0000-0000C8090000}"/>
    <cellStyle name="계산 2 5 8 3" xfId="16322" xr:uid="{00000000-0005-0000-0000-0000C9090000}"/>
    <cellStyle name="계산 2 5 8 3 2" xfId="31917" xr:uid="{00000000-0005-0000-0000-0000CA090000}"/>
    <cellStyle name="계산 2 5 8 4" xfId="16323" xr:uid="{00000000-0005-0000-0000-0000CB090000}"/>
    <cellStyle name="계산 2 5 8 4 2" xfId="31918" xr:uid="{00000000-0005-0000-0000-0000CC090000}"/>
    <cellStyle name="계산 2 5 8 5" xfId="23763" xr:uid="{00000000-0005-0000-0000-0000CD090000}"/>
    <cellStyle name="계산 2 5 9" xfId="15339" xr:uid="{00000000-0005-0000-0000-0000CE090000}"/>
    <cellStyle name="계산 2 5 9 2" xfId="15330" xr:uid="{00000000-0005-0000-0000-0000CF090000}"/>
    <cellStyle name="계산 2 5 9 2 2" xfId="31377" xr:uid="{00000000-0005-0000-0000-0000D0090000}"/>
    <cellStyle name="계산 2 5 9 3" xfId="16324" xr:uid="{00000000-0005-0000-0000-0000D1090000}"/>
    <cellStyle name="계산 2 5 9 3 2" xfId="31919" xr:uid="{00000000-0005-0000-0000-0000D2090000}"/>
    <cellStyle name="계산 2 5 9 4" xfId="16325" xr:uid="{00000000-0005-0000-0000-0000D3090000}"/>
    <cellStyle name="계산 2 5 9 4 2" xfId="31920" xr:uid="{00000000-0005-0000-0000-0000D4090000}"/>
    <cellStyle name="계산 2 5 9 5" xfId="31386" xr:uid="{00000000-0005-0000-0000-0000D5090000}"/>
    <cellStyle name="계산 2 6" xfId="11841" xr:uid="{00000000-0005-0000-0000-0000D6090000}"/>
    <cellStyle name="계산 2 6 10" xfId="15165" xr:uid="{00000000-0005-0000-0000-0000D7090000}"/>
    <cellStyle name="계산 2 6 10 2" xfId="31301" xr:uid="{00000000-0005-0000-0000-0000D8090000}"/>
    <cellStyle name="계산 2 6 11" xfId="16326" xr:uid="{00000000-0005-0000-0000-0000D9090000}"/>
    <cellStyle name="계산 2 6 11 2" xfId="31921" xr:uid="{00000000-0005-0000-0000-0000DA090000}"/>
    <cellStyle name="계산 2 6 12" xfId="16327" xr:uid="{00000000-0005-0000-0000-0000DB090000}"/>
    <cellStyle name="계산 2 6 12 2" xfId="31922" xr:uid="{00000000-0005-0000-0000-0000DC090000}"/>
    <cellStyle name="계산 2 6 13" xfId="17219" xr:uid="{00000000-0005-0000-0000-0000DD090000}"/>
    <cellStyle name="계산 2 6 2" xfId="14631" xr:uid="{00000000-0005-0000-0000-0000DE090000}"/>
    <cellStyle name="계산 2 6 2 10" xfId="24836" xr:uid="{00000000-0005-0000-0000-0000DF090000}"/>
    <cellStyle name="계산 2 6 2 11" xfId="27960" xr:uid="{00000000-0005-0000-0000-0000E0090000}"/>
    <cellStyle name="계산 2 6 2 12" xfId="17605" xr:uid="{00000000-0005-0000-0000-0000E1090000}"/>
    <cellStyle name="계산 2 6 2 2" xfId="15562" xr:uid="{00000000-0005-0000-0000-0000E2090000}"/>
    <cellStyle name="계산 2 6 2 2 10" xfId="17816" xr:uid="{00000000-0005-0000-0000-0000E3090000}"/>
    <cellStyle name="계산 2 6 2 2 2" xfId="22171" xr:uid="{00000000-0005-0000-0000-0000E4090000}"/>
    <cellStyle name="계산 2 6 2 2 2 2" xfId="24040" xr:uid="{00000000-0005-0000-0000-0000E5090000}"/>
    <cellStyle name="계산 2 6 2 2 2 3" xfId="26401" xr:uid="{00000000-0005-0000-0000-0000E6090000}"/>
    <cellStyle name="계산 2 6 2 2 2 4" xfId="29515" xr:uid="{00000000-0005-0000-0000-0000E7090000}"/>
    <cellStyle name="계산 2 6 2 2 3" xfId="22647" xr:uid="{00000000-0005-0000-0000-0000E8090000}"/>
    <cellStyle name="계산 2 6 2 2 3 2" xfId="19893" xr:uid="{00000000-0005-0000-0000-0000E9090000}"/>
    <cellStyle name="계산 2 6 2 2 3 3" xfId="26877" xr:uid="{00000000-0005-0000-0000-0000EA090000}"/>
    <cellStyle name="계산 2 6 2 2 3 4" xfId="29991" xr:uid="{00000000-0005-0000-0000-0000EB090000}"/>
    <cellStyle name="계산 2 6 2 2 4" xfId="23058" xr:uid="{00000000-0005-0000-0000-0000EC090000}"/>
    <cellStyle name="계산 2 6 2 2 4 2" xfId="20268" xr:uid="{00000000-0005-0000-0000-0000ED090000}"/>
    <cellStyle name="계산 2 6 2 2 4 3" xfId="27288" xr:uid="{00000000-0005-0000-0000-0000EE090000}"/>
    <cellStyle name="계산 2 6 2 2 4 4" xfId="30402" xr:uid="{00000000-0005-0000-0000-0000EF090000}"/>
    <cellStyle name="계산 2 6 2 2 5" xfId="23457" xr:uid="{00000000-0005-0000-0000-0000F0090000}"/>
    <cellStyle name="계산 2 6 2 2 5 2" xfId="18122" xr:uid="{00000000-0005-0000-0000-0000F1090000}"/>
    <cellStyle name="계산 2 6 2 2 5 3" xfId="27687" xr:uid="{00000000-0005-0000-0000-0000F2090000}"/>
    <cellStyle name="계산 2 6 2 2 5 4" xfId="30801" xr:uid="{00000000-0005-0000-0000-0000F3090000}"/>
    <cellStyle name="계산 2 6 2 2 6" xfId="21618" xr:uid="{00000000-0005-0000-0000-0000F4090000}"/>
    <cellStyle name="계산 2 6 2 2 7" xfId="24493" xr:uid="{00000000-0005-0000-0000-0000F5090000}"/>
    <cellStyle name="계산 2 6 2 2 8" xfId="25848" xr:uid="{00000000-0005-0000-0000-0000F6090000}"/>
    <cellStyle name="계산 2 6 2 2 9" xfId="28962" xr:uid="{00000000-0005-0000-0000-0000F7090000}"/>
    <cellStyle name="계산 2 6 2 3" xfId="15916" xr:uid="{00000000-0005-0000-0000-0000F8090000}"/>
    <cellStyle name="계산 2 6 2 3 2" xfId="21298" xr:uid="{00000000-0005-0000-0000-0000F9090000}"/>
    <cellStyle name="계산 2 6 2 3 3" xfId="24695" xr:uid="{00000000-0005-0000-0000-0000FA090000}"/>
    <cellStyle name="계산 2 6 2 3 4" xfId="25511" xr:uid="{00000000-0005-0000-0000-0000FB090000}"/>
    <cellStyle name="계산 2 6 2 3 5" xfId="28628" xr:uid="{00000000-0005-0000-0000-0000FC090000}"/>
    <cellStyle name="계산 2 6 2 3 6" xfId="17817" xr:uid="{00000000-0005-0000-0000-0000FD090000}"/>
    <cellStyle name="계산 2 6 2 4" xfId="16328" xr:uid="{00000000-0005-0000-0000-0000FE090000}"/>
    <cellStyle name="계산 2 6 2 4 2" xfId="24668" xr:uid="{00000000-0005-0000-0000-0000FF090000}"/>
    <cellStyle name="계산 2 6 2 4 3" xfId="25377" xr:uid="{00000000-0005-0000-0000-0000000A0000}"/>
    <cellStyle name="계산 2 6 2 4 4" xfId="28501" xr:uid="{00000000-0005-0000-0000-0000010A0000}"/>
    <cellStyle name="계산 2 6 2 4 5" xfId="21133" xr:uid="{00000000-0005-0000-0000-0000020A0000}"/>
    <cellStyle name="계산 2 6 2 5" xfId="21213" xr:uid="{00000000-0005-0000-0000-0000030A0000}"/>
    <cellStyle name="계산 2 6 2 5 2" xfId="24185" xr:uid="{00000000-0005-0000-0000-0000040A0000}"/>
    <cellStyle name="계산 2 6 2 5 3" xfId="25437" xr:uid="{00000000-0005-0000-0000-0000050A0000}"/>
    <cellStyle name="계산 2 6 2 5 4" xfId="28554" xr:uid="{00000000-0005-0000-0000-0000060A0000}"/>
    <cellStyle name="계산 2 6 2 6" xfId="21158" xr:uid="{00000000-0005-0000-0000-0000070A0000}"/>
    <cellStyle name="계산 2 6 2 6 2" xfId="19363" xr:uid="{00000000-0005-0000-0000-0000080A0000}"/>
    <cellStyle name="계산 2 6 2 6 3" xfId="25401" xr:uid="{00000000-0005-0000-0000-0000090A0000}"/>
    <cellStyle name="계산 2 6 2 6 4" xfId="28525" xr:uid="{00000000-0005-0000-0000-00000A0A0000}"/>
    <cellStyle name="계산 2 6 2 7" xfId="21188" xr:uid="{00000000-0005-0000-0000-00000B0A0000}"/>
    <cellStyle name="계산 2 6 2 7 2" xfId="23771" xr:uid="{00000000-0005-0000-0000-00000C0A0000}"/>
    <cellStyle name="계산 2 6 2 7 3" xfId="25416" xr:uid="{00000000-0005-0000-0000-00000D0A0000}"/>
    <cellStyle name="계산 2 6 2 7 4" xfId="28533" xr:uid="{00000000-0005-0000-0000-00000E0A0000}"/>
    <cellStyle name="계산 2 6 2 8" xfId="20588" xr:uid="{00000000-0005-0000-0000-00000F0A0000}"/>
    <cellStyle name="계산 2 6 2 9" xfId="18895" xr:uid="{00000000-0005-0000-0000-0000100A0000}"/>
    <cellStyle name="계산 2 6 3" xfId="14666" xr:uid="{00000000-0005-0000-0000-0000110A0000}"/>
    <cellStyle name="계산 2 6 3 10" xfId="27928" xr:uid="{00000000-0005-0000-0000-0000120A0000}"/>
    <cellStyle name="계산 2 6 3 11" xfId="17669" xr:uid="{00000000-0005-0000-0000-0000130A0000}"/>
    <cellStyle name="계산 2 6 3 2" xfId="15597" xr:uid="{00000000-0005-0000-0000-0000140A0000}"/>
    <cellStyle name="계산 2 6 3 2 2" xfId="19329" xr:uid="{00000000-0005-0000-0000-0000150A0000}"/>
    <cellStyle name="계산 2 6 3 2 3" xfId="25816" xr:uid="{00000000-0005-0000-0000-0000160A0000}"/>
    <cellStyle name="계산 2 6 3 2 4" xfId="28930" xr:uid="{00000000-0005-0000-0000-0000170A0000}"/>
    <cellStyle name="계산 2 6 3 2 5" xfId="21586" xr:uid="{00000000-0005-0000-0000-0000180A0000}"/>
    <cellStyle name="계산 2 6 3 3" xfId="15951" xr:uid="{00000000-0005-0000-0000-0000190A0000}"/>
    <cellStyle name="계산 2 6 3 3 2" xfId="19565" xr:uid="{00000000-0005-0000-0000-00001A0A0000}"/>
    <cellStyle name="계산 2 6 3 3 3" xfId="26369" xr:uid="{00000000-0005-0000-0000-00001B0A0000}"/>
    <cellStyle name="계산 2 6 3 3 4" xfId="29483" xr:uid="{00000000-0005-0000-0000-00001C0A0000}"/>
    <cellStyle name="계산 2 6 3 3 5" xfId="22139" xr:uid="{00000000-0005-0000-0000-00001D0A0000}"/>
    <cellStyle name="계산 2 6 3 4" xfId="16329" xr:uid="{00000000-0005-0000-0000-00001E0A0000}"/>
    <cellStyle name="계산 2 6 3 4 2" xfId="19861" xr:uid="{00000000-0005-0000-0000-00001F0A0000}"/>
    <cellStyle name="계산 2 6 3 4 3" xfId="26845" xr:uid="{00000000-0005-0000-0000-0000200A0000}"/>
    <cellStyle name="계산 2 6 3 4 4" xfId="29959" xr:uid="{00000000-0005-0000-0000-0000210A0000}"/>
    <cellStyle name="계산 2 6 3 4 5" xfId="22615" xr:uid="{00000000-0005-0000-0000-0000220A0000}"/>
    <cellStyle name="계산 2 6 3 5" xfId="23030" xr:uid="{00000000-0005-0000-0000-0000230A0000}"/>
    <cellStyle name="계산 2 6 3 5 2" xfId="20242" xr:uid="{00000000-0005-0000-0000-0000240A0000}"/>
    <cellStyle name="계산 2 6 3 5 3" xfId="27260" xr:uid="{00000000-0005-0000-0000-0000250A0000}"/>
    <cellStyle name="계산 2 6 3 5 4" xfId="30374" xr:uid="{00000000-0005-0000-0000-0000260A0000}"/>
    <cellStyle name="계산 2 6 3 6" xfId="23425" xr:uid="{00000000-0005-0000-0000-0000270A0000}"/>
    <cellStyle name="계산 2 6 3 6 2" xfId="20474" xr:uid="{00000000-0005-0000-0000-0000280A0000}"/>
    <cellStyle name="계산 2 6 3 6 3" xfId="27655" xr:uid="{00000000-0005-0000-0000-0000290A0000}"/>
    <cellStyle name="계산 2 6 3 6 4" xfId="30769" xr:uid="{00000000-0005-0000-0000-00002A0A0000}"/>
    <cellStyle name="계산 2 6 3 7" xfId="20556" xr:uid="{00000000-0005-0000-0000-00002B0A0000}"/>
    <cellStyle name="계산 2 6 3 8" xfId="18863" xr:uid="{00000000-0005-0000-0000-00002C0A0000}"/>
    <cellStyle name="계산 2 6 3 9" xfId="24804" xr:uid="{00000000-0005-0000-0000-00002D0A0000}"/>
    <cellStyle name="계산 2 6 4" xfId="15068" xr:uid="{00000000-0005-0000-0000-00002E0A0000}"/>
    <cellStyle name="계산 2 6 4 2" xfId="15787" xr:uid="{00000000-0005-0000-0000-00002F0A0000}"/>
    <cellStyle name="계산 2 6 4 2 2" xfId="24085" xr:uid="{00000000-0005-0000-0000-0000300A0000}"/>
    <cellStyle name="계산 2 6 4 2 3" xfId="26200" xr:uid="{00000000-0005-0000-0000-0000310A0000}"/>
    <cellStyle name="계산 2 6 4 2 4" xfId="29314" xr:uid="{00000000-0005-0000-0000-0000320A0000}"/>
    <cellStyle name="계산 2 6 4 2 5" xfId="21970" xr:uid="{00000000-0005-0000-0000-0000330A0000}"/>
    <cellStyle name="계산 2 6 4 3" xfId="16180" xr:uid="{00000000-0005-0000-0000-0000340A0000}"/>
    <cellStyle name="계산 2 6 4 3 2" xfId="19705" xr:uid="{00000000-0005-0000-0000-0000350A0000}"/>
    <cellStyle name="계산 2 6 4 3 3" xfId="26673" xr:uid="{00000000-0005-0000-0000-0000360A0000}"/>
    <cellStyle name="계산 2 6 4 3 4" xfId="29787" xr:uid="{00000000-0005-0000-0000-0000370A0000}"/>
    <cellStyle name="계산 2 6 4 3 5" xfId="22443" xr:uid="{00000000-0005-0000-0000-0000380A0000}"/>
    <cellStyle name="계산 2 6 4 4" xfId="16330" xr:uid="{00000000-0005-0000-0000-0000390A0000}"/>
    <cellStyle name="계산 2 6 4 4 2" xfId="20137" xr:uid="{00000000-0005-0000-0000-00003A0A0000}"/>
    <cellStyle name="계산 2 6 4 4 3" xfId="27146" xr:uid="{00000000-0005-0000-0000-00003B0A0000}"/>
    <cellStyle name="계산 2 6 4 4 4" xfId="30260" xr:uid="{00000000-0005-0000-0000-00003C0A0000}"/>
    <cellStyle name="계산 2 6 4 4 5" xfId="22916" xr:uid="{00000000-0005-0000-0000-00003D0A0000}"/>
    <cellStyle name="계산 2 6 4 5" xfId="23261" xr:uid="{00000000-0005-0000-0000-00003E0A0000}"/>
    <cellStyle name="계산 2 6 4 5 2" xfId="20316" xr:uid="{00000000-0005-0000-0000-00003F0A0000}"/>
    <cellStyle name="계산 2 6 4 5 3" xfId="27491" xr:uid="{00000000-0005-0000-0000-0000400A0000}"/>
    <cellStyle name="계산 2 6 4 5 4" xfId="30605" xr:uid="{00000000-0005-0000-0000-0000410A0000}"/>
    <cellStyle name="계산 2 6 4 6" xfId="19504" xr:uid="{00000000-0005-0000-0000-0000420A0000}"/>
    <cellStyle name="계산 2 6 4 7" xfId="25649" xr:uid="{00000000-0005-0000-0000-0000430A0000}"/>
    <cellStyle name="계산 2 6 4 8" xfId="28766" xr:uid="{00000000-0005-0000-0000-0000440A0000}"/>
    <cellStyle name="계산 2 6 4 9" xfId="17707" xr:uid="{00000000-0005-0000-0000-0000450A0000}"/>
    <cellStyle name="계산 2 6 5" xfId="14952" xr:uid="{00000000-0005-0000-0000-0000460A0000}"/>
    <cellStyle name="계산 2 6 5 2" xfId="15702" xr:uid="{00000000-0005-0000-0000-0000470A0000}"/>
    <cellStyle name="계산 2 6 5 2 2" xfId="31480" xr:uid="{00000000-0005-0000-0000-0000480A0000}"/>
    <cellStyle name="계산 2 6 5 2 3" xfId="20856" xr:uid="{00000000-0005-0000-0000-0000490A0000}"/>
    <cellStyle name="계산 2 6 5 3" xfId="16064" xr:uid="{00000000-0005-0000-0000-00004A0A0000}"/>
    <cellStyle name="계산 2 6 5 3 2" xfId="31707" xr:uid="{00000000-0005-0000-0000-00004B0A0000}"/>
    <cellStyle name="계산 2 6 5 3 3" xfId="24075" xr:uid="{00000000-0005-0000-0000-00004C0A0000}"/>
    <cellStyle name="계산 2 6 5 4" xfId="16331" xr:uid="{00000000-0005-0000-0000-00004D0A0000}"/>
    <cellStyle name="계산 2 6 5 4 2" xfId="31923" xr:uid="{00000000-0005-0000-0000-00004E0A0000}"/>
    <cellStyle name="계산 2 6 5 4 3" xfId="25107" xr:uid="{00000000-0005-0000-0000-00004F0A0000}"/>
    <cellStyle name="계산 2 6 5 5" xfId="28231" xr:uid="{00000000-0005-0000-0000-0000500A0000}"/>
    <cellStyle name="계산 2 6 5 6" xfId="17818" xr:uid="{00000000-0005-0000-0000-0000510A0000}"/>
    <cellStyle name="계산 2 6 6" xfId="15015" xr:uid="{00000000-0005-0000-0000-0000520A0000}"/>
    <cellStyle name="계산 2 6 6 2" xfId="15743" xr:uid="{00000000-0005-0000-0000-0000530A0000}"/>
    <cellStyle name="계산 2 6 6 2 2" xfId="31521" xr:uid="{00000000-0005-0000-0000-0000540A0000}"/>
    <cellStyle name="계산 2 6 6 3" xfId="16127" xr:uid="{00000000-0005-0000-0000-0000550A0000}"/>
    <cellStyle name="계산 2 6 6 3 2" xfId="31770" xr:uid="{00000000-0005-0000-0000-0000560A0000}"/>
    <cellStyle name="계산 2 6 6 4" xfId="16332" xr:uid="{00000000-0005-0000-0000-0000570A0000}"/>
    <cellStyle name="계산 2 6 6 4 2" xfId="31924" xr:uid="{00000000-0005-0000-0000-0000580A0000}"/>
    <cellStyle name="계산 2 6 6 5" xfId="31232" xr:uid="{00000000-0005-0000-0000-0000590A0000}"/>
    <cellStyle name="계산 2 6 6 6" xfId="18635" xr:uid="{00000000-0005-0000-0000-00005A0A0000}"/>
    <cellStyle name="계산 2 6 7" xfId="14986" xr:uid="{00000000-0005-0000-0000-00005B0A0000}"/>
    <cellStyle name="계산 2 6 7 2" xfId="15736" xr:uid="{00000000-0005-0000-0000-00005C0A0000}"/>
    <cellStyle name="계산 2 6 7 2 2" xfId="31514" xr:uid="{00000000-0005-0000-0000-00005D0A0000}"/>
    <cellStyle name="계산 2 6 7 3" xfId="16098" xr:uid="{00000000-0005-0000-0000-00005E0A0000}"/>
    <cellStyle name="계산 2 6 7 3 2" xfId="31741" xr:uid="{00000000-0005-0000-0000-00005F0A0000}"/>
    <cellStyle name="계산 2 6 7 4" xfId="16333" xr:uid="{00000000-0005-0000-0000-0000600A0000}"/>
    <cellStyle name="계산 2 6 7 4 2" xfId="31925" xr:uid="{00000000-0005-0000-0000-0000610A0000}"/>
    <cellStyle name="계산 2 6 7 5" xfId="31225" xr:uid="{00000000-0005-0000-0000-0000620A0000}"/>
    <cellStyle name="계산 2 6 7 6" xfId="19157" xr:uid="{00000000-0005-0000-0000-0000630A0000}"/>
    <cellStyle name="계산 2 6 8" xfId="14991" xr:uid="{00000000-0005-0000-0000-0000640A0000}"/>
    <cellStyle name="계산 2 6 8 2" xfId="16103" xr:uid="{00000000-0005-0000-0000-0000650A0000}"/>
    <cellStyle name="계산 2 6 8 2 2" xfId="31746" xr:uid="{00000000-0005-0000-0000-0000660A0000}"/>
    <cellStyle name="계산 2 6 8 3" xfId="16334" xr:uid="{00000000-0005-0000-0000-0000670A0000}"/>
    <cellStyle name="계산 2 6 8 3 2" xfId="31926" xr:uid="{00000000-0005-0000-0000-0000680A0000}"/>
    <cellStyle name="계산 2 6 8 4" xfId="16335" xr:uid="{00000000-0005-0000-0000-0000690A0000}"/>
    <cellStyle name="계산 2 6 8 4 2" xfId="31927" xr:uid="{00000000-0005-0000-0000-00006A0A0000}"/>
    <cellStyle name="계산 2 6 8 5" xfId="18830" xr:uid="{00000000-0005-0000-0000-00006B0A0000}"/>
    <cellStyle name="계산 2 6 9" xfId="15340" xr:uid="{00000000-0005-0000-0000-00006C0A0000}"/>
    <cellStyle name="계산 2 6 9 2" xfId="15329" xr:uid="{00000000-0005-0000-0000-00006D0A0000}"/>
    <cellStyle name="계산 2 6 9 2 2" xfId="31376" xr:uid="{00000000-0005-0000-0000-00006E0A0000}"/>
    <cellStyle name="계산 2 6 9 3" xfId="16336" xr:uid="{00000000-0005-0000-0000-00006F0A0000}"/>
    <cellStyle name="계산 2 6 9 3 2" xfId="31928" xr:uid="{00000000-0005-0000-0000-0000700A0000}"/>
    <cellStyle name="계산 2 6 9 4" xfId="16337" xr:uid="{00000000-0005-0000-0000-0000710A0000}"/>
    <cellStyle name="계산 2 6 9 4 2" xfId="31929" xr:uid="{00000000-0005-0000-0000-0000720A0000}"/>
    <cellStyle name="계산 2 6 9 5" xfId="31387" xr:uid="{00000000-0005-0000-0000-0000730A0000}"/>
    <cellStyle name="계산 2 7" xfId="11842" xr:uid="{00000000-0005-0000-0000-0000740A0000}"/>
    <cellStyle name="계산 2 7 10" xfId="15166" xr:uid="{00000000-0005-0000-0000-0000750A0000}"/>
    <cellStyle name="계산 2 7 10 2" xfId="31302" xr:uid="{00000000-0005-0000-0000-0000760A0000}"/>
    <cellStyle name="계산 2 7 11" xfId="16338" xr:uid="{00000000-0005-0000-0000-0000770A0000}"/>
    <cellStyle name="계산 2 7 11 2" xfId="31930" xr:uid="{00000000-0005-0000-0000-0000780A0000}"/>
    <cellStyle name="계산 2 7 12" xfId="16339" xr:uid="{00000000-0005-0000-0000-0000790A0000}"/>
    <cellStyle name="계산 2 7 12 2" xfId="31931" xr:uid="{00000000-0005-0000-0000-00007A0A0000}"/>
    <cellStyle name="계산 2 7 13" xfId="17220" xr:uid="{00000000-0005-0000-0000-00007B0A0000}"/>
    <cellStyle name="계산 2 7 2" xfId="14630" xr:uid="{00000000-0005-0000-0000-00007C0A0000}"/>
    <cellStyle name="계산 2 7 2 10" xfId="24837" xr:uid="{00000000-0005-0000-0000-00007D0A0000}"/>
    <cellStyle name="계산 2 7 2 11" xfId="27961" xr:uid="{00000000-0005-0000-0000-00007E0A0000}"/>
    <cellStyle name="계산 2 7 2 12" xfId="17604" xr:uid="{00000000-0005-0000-0000-00007F0A0000}"/>
    <cellStyle name="계산 2 7 2 2" xfId="15561" xr:uid="{00000000-0005-0000-0000-0000800A0000}"/>
    <cellStyle name="계산 2 7 2 2 10" xfId="17819" xr:uid="{00000000-0005-0000-0000-0000810A0000}"/>
    <cellStyle name="계산 2 7 2 2 2" xfId="22172" xr:uid="{00000000-0005-0000-0000-0000820A0000}"/>
    <cellStyle name="계산 2 7 2 2 2 2" xfId="19585" xr:uid="{00000000-0005-0000-0000-0000830A0000}"/>
    <cellStyle name="계산 2 7 2 2 2 3" xfId="26402" xr:uid="{00000000-0005-0000-0000-0000840A0000}"/>
    <cellStyle name="계산 2 7 2 2 2 4" xfId="29516" xr:uid="{00000000-0005-0000-0000-0000850A0000}"/>
    <cellStyle name="계산 2 7 2 2 3" xfId="22648" xr:uid="{00000000-0005-0000-0000-0000860A0000}"/>
    <cellStyle name="계산 2 7 2 2 3 2" xfId="19894" xr:uid="{00000000-0005-0000-0000-0000870A0000}"/>
    <cellStyle name="계산 2 7 2 2 3 3" xfId="26878" xr:uid="{00000000-0005-0000-0000-0000880A0000}"/>
    <cellStyle name="계산 2 7 2 2 3 4" xfId="29992" xr:uid="{00000000-0005-0000-0000-0000890A0000}"/>
    <cellStyle name="계산 2 7 2 2 4" xfId="23059" xr:uid="{00000000-0005-0000-0000-00008A0A0000}"/>
    <cellStyle name="계산 2 7 2 2 4 2" xfId="20269" xr:uid="{00000000-0005-0000-0000-00008B0A0000}"/>
    <cellStyle name="계산 2 7 2 2 4 3" xfId="27289" xr:uid="{00000000-0005-0000-0000-00008C0A0000}"/>
    <cellStyle name="계산 2 7 2 2 4 4" xfId="30403" xr:uid="{00000000-0005-0000-0000-00008D0A0000}"/>
    <cellStyle name="계산 2 7 2 2 5" xfId="23458" xr:uid="{00000000-0005-0000-0000-00008E0A0000}"/>
    <cellStyle name="계산 2 7 2 2 5 2" xfId="18123" xr:uid="{00000000-0005-0000-0000-00008F0A0000}"/>
    <cellStyle name="계산 2 7 2 2 5 3" xfId="27688" xr:uid="{00000000-0005-0000-0000-0000900A0000}"/>
    <cellStyle name="계산 2 7 2 2 5 4" xfId="30802" xr:uid="{00000000-0005-0000-0000-0000910A0000}"/>
    <cellStyle name="계산 2 7 2 2 6" xfId="21619" xr:uid="{00000000-0005-0000-0000-0000920A0000}"/>
    <cellStyle name="계산 2 7 2 2 7" xfId="24320" xr:uid="{00000000-0005-0000-0000-0000930A0000}"/>
    <cellStyle name="계산 2 7 2 2 8" xfId="25849" xr:uid="{00000000-0005-0000-0000-0000940A0000}"/>
    <cellStyle name="계산 2 7 2 2 9" xfId="28963" xr:uid="{00000000-0005-0000-0000-0000950A0000}"/>
    <cellStyle name="계산 2 7 2 3" xfId="15915" xr:uid="{00000000-0005-0000-0000-0000960A0000}"/>
    <cellStyle name="계산 2 7 2 3 2" xfId="21299" xr:uid="{00000000-0005-0000-0000-0000970A0000}"/>
    <cellStyle name="계산 2 7 2 3 3" xfId="24435" xr:uid="{00000000-0005-0000-0000-0000980A0000}"/>
    <cellStyle name="계산 2 7 2 3 4" xfId="25512" xr:uid="{00000000-0005-0000-0000-0000990A0000}"/>
    <cellStyle name="계산 2 7 2 3 5" xfId="28629" xr:uid="{00000000-0005-0000-0000-00009A0A0000}"/>
    <cellStyle name="계산 2 7 2 3 6" xfId="17820" xr:uid="{00000000-0005-0000-0000-00009B0A0000}"/>
    <cellStyle name="계산 2 7 2 4" xfId="16340" xr:uid="{00000000-0005-0000-0000-00009C0A0000}"/>
    <cellStyle name="계산 2 7 2 4 2" xfId="23709" xr:uid="{00000000-0005-0000-0000-00009D0A0000}"/>
    <cellStyle name="계산 2 7 2 4 3" xfId="25376" xr:uid="{00000000-0005-0000-0000-00009E0A0000}"/>
    <cellStyle name="계산 2 7 2 4 4" xfId="28500" xr:uid="{00000000-0005-0000-0000-00009F0A0000}"/>
    <cellStyle name="계산 2 7 2 4 5" xfId="21132" xr:uid="{00000000-0005-0000-0000-0000A00A0000}"/>
    <cellStyle name="계산 2 7 2 5" xfId="21214" xr:uid="{00000000-0005-0000-0000-0000A10A0000}"/>
    <cellStyle name="계산 2 7 2 5 2" xfId="23978" xr:uid="{00000000-0005-0000-0000-0000A20A0000}"/>
    <cellStyle name="계산 2 7 2 5 3" xfId="25438" xr:uid="{00000000-0005-0000-0000-0000A30A0000}"/>
    <cellStyle name="계산 2 7 2 5 4" xfId="28555" xr:uid="{00000000-0005-0000-0000-0000A40A0000}"/>
    <cellStyle name="계산 2 7 2 6" xfId="21157" xr:uid="{00000000-0005-0000-0000-0000A50A0000}"/>
    <cellStyle name="계산 2 7 2 6 2" xfId="24072" xr:uid="{00000000-0005-0000-0000-0000A60A0000}"/>
    <cellStyle name="계산 2 7 2 6 3" xfId="25400" xr:uid="{00000000-0005-0000-0000-0000A70A0000}"/>
    <cellStyle name="계산 2 7 2 6 4" xfId="28524" xr:uid="{00000000-0005-0000-0000-0000A80A0000}"/>
    <cellStyle name="계산 2 7 2 7" xfId="21189" xr:uid="{00000000-0005-0000-0000-0000A90A0000}"/>
    <cellStyle name="계산 2 7 2 7 2" xfId="24533" xr:uid="{00000000-0005-0000-0000-0000AA0A0000}"/>
    <cellStyle name="계산 2 7 2 7 3" xfId="25417" xr:uid="{00000000-0005-0000-0000-0000AB0A0000}"/>
    <cellStyle name="계산 2 7 2 7 4" xfId="28534" xr:uid="{00000000-0005-0000-0000-0000AC0A0000}"/>
    <cellStyle name="계산 2 7 2 8" xfId="20589" xr:uid="{00000000-0005-0000-0000-0000AD0A0000}"/>
    <cellStyle name="계산 2 7 2 9" xfId="18896" xr:uid="{00000000-0005-0000-0000-0000AE0A0000}"/>
    <cellStyle name="계산 2 7 3" xfId="14665" xr:uid="{00000000-0005-0000-0000-0000AF0A0000}"/>
    <cellStyle name="계산 2 7 3 10" xfId="27929" xr:uid="{00000000-0005-0000-0000-0000B00A0000}"/>
    <cellStyle name="계산 2 7 3 11" xfId="17668" xr:uid="{00000000-0005-0000-0000-0000B10A0000}"/>
    <cellStyle name="계산 2 7 3 2" xfId="15596" xr:uid="{00000000-0005-0000-0000-0000B20A0000}"/>
    <cellStyle name="계산 2 7 3 2 2" xfId="23869" xr:uid="{00000000-0005-0000-0000-0000B30A0000}"/>
    <cellStyle name="계산 2 7 3 2 3" xfId="25817" xr:uid="{00000000-0005-0000-0000-0000B40A0000}"/>
    <cellStyle name="계산 2 7 3 2 4" xfId="28931" xr:uid="{00000000-0005-0000-0000-0000B50A0000}"/>
    <cellStyle name="계산 2 7 3 2 5" xfId="21587" xr:uid="{00000000-0005-0000-0000-0000B60A0000}"/>
    <cellStyle name="계산 2 7 3 3" xfId="15950" xr:uid="{00000000-0005-0000-0000-0000B70A0000}"/>
    <cellStyle name="계산 2 7 3 3 2" xfId="19395" xr:uid="{00000000-0005-0000-0000-0000B80A0000}"/>
    <cellStyle name="계산 2 7 3 3 3" xfId="26370" xr:uid="{00000000-0005-0000-0000-0000B90A0000}"/>
    <cellStyle name="계산 2 7 3 3 4" xfId="29484" xr:uid="{00000000-0005-0000-0000-0000BA0A0000}"/>
    <cellStyle name="계산 2 7 3 3 5" xfId="22140" xr:uid="{00000000-0005-0000-0000-0000BB0A0000}"/>
    <cellStyle name="계산 2 7 3 4" xfId="16341" xr:uid="{00000000-0005-0000-0000-0000BC0A0000}"/>
    <cellStyle name="계산 2 7 3 4 2" xfId="19862" xr:uid="{00000000-0005-0000-0000-0000BD0A0000}"/>
    <cellStyle name="계산 2 7 3 4 3" xfId="26846" xr:uid="{00000000-0005-0000-0000-0000BE0A0000}"/>
    <cellStyle name="계산 2 7 3 4 4" xfId="29960" xr:uid="{00000000-0005-0000-0000-0000BF0A0000}"/>
    <cellStyle name="계산 2 7 3 4 5" xfId="22616" xr:uid="{00000000-0005-0000-0000-0000C00A0000}"/>
    <cellStyle name="계산 2 7 3 5" xfId="23031" xr:uid="{00000000-0005-0000-0000-0000C10A0000}"/>
    <cellStyle name="계산 2 7 3 5 2" xfId="20243" xr:uid="{00000000-0005-0000-0000-0000C20A0000}"/>
    <cellStyle name="계산 2 7 3 5 3" xfId="27261" xr:uid="{00000000-0005-0000-0000-0000C30A0000}"/>
    <cellStyle name="계산 2 7 3 5 4" xfId="30375" xr:uid="{00000000-0005-0000-0000-0000C40A0000}"/>
    <cellStyle name="계산 2 7 3 6" xfId="23426" xr:uid="{00000000-0005-0000-0000-0000C50A0000}"/>
    <cellStyle name="계산 2 7 3 6 2" xfId="20475" xr:uid="{00000000-0005-0000-0000-0000C60A0000}"/>
    <cellStyle name="계산 2 7 3 6 3" xfId="27656" xr:uid="{00000000-0005-0000-0000-0000C70A0000}"/>
    <cellStyle name="계산 2 7 3 6 4" xfId="30770" xr:uid="{00000000-0005-0000-0000-0000C80A0000}"/>
    <cellStyle name="계산 2 7 3 7" xfId="20557" xr:uid="{00000000-0005-0000-0000-0000C90A0000}"/>
    <cellStyle name="계산 2 7 3 8" xfId="18864" xr:uid="{00000000-0005-0000-0000-0000CA0A0000}"/>
    <cellStyle name="계산 2 7 3 9" xfId="24805" xr:uid="{00000000-0005-0000-0000-0000CB0A0000}"/>
    <cellStyle name="계산 2 7 4" xfId="15069" xr:uid="{00000000-0005-0000-0000-0000CC0A0000}"/>
    <cellStyle name="계산 2 7 4 2" xfId="15788" xr:uid="{00000000-0005-0000-0000-0000CD0A0000}"/>
    <cellStyle name="계산 2 7 4 2 2" xfId="19350" xr:uid="{00000000-0005-0000-0000-0000CE0A0000}"/>
    <cellStyle name="계산 2 7 4 2 3" xfId="26201" xr:uid="{00000000-0005-0000-0000-0000CF0A0000}"/>
    <cellStyle name="계산 2 7 4 2 4" xfId="29315" xr:uid="{00000000-0005-0000-0000-0000D00A0000}"/>
    <cellStyle name="계산 2 7 4 2 5" xfId="21971" xr:uid="{00000000-0005-0000-0000-0000D10A0000}"/>
    <cellStyle name="계산 2 7 4 3" xfId="16181" xr:uid="{00000000-0005-0000-0000-0000D20A0000}"/>
    <cellStyle name="계산 2 7 4 3 2" xfId="19706" xr:uid="{00000000-0005-0000-0000-0000D30A0000}"/>
    <cellStyle name="계산 2 7 4 3 3" xfId="26674" xr:uid="{00000000-0005-0000-0000-0000D40A0000}"/>
    <cellStyle name="계산 2 7 4 3 4" xfId="29788" xr:uid="{00000000-0005-0000-0000-0000D50A0000}"/>
    <cellStyle name="계산 2 7 4 3 5" xfId="22444" xr:uid="{00000000-0005-0000-0000-0000D60A0000}"/>
    <cellStyle name="계산 2 7 4 4" xfId="16342" xr:uid="{00000000-0005-0000-0000-0000D70A0000}"/>
    <cellStyle name="계산 2 7 4 4 2" xfId="20138" xr:uid="{00000000-0005-0000-0000-0000D80A0000}"/>
    <cellStyle name="계산 2 7 4 4 3" xfId="27147" xr:uid="{00000000-0005-0000-0000-0000D90A0000}"/>
    <cellStyle name="계산 2 7 4 4 4" xfId="30261" xr:uid="{00000000-0005-0000-0000-0000DA0A0000}"/>
    <cellStyle name="계산 2 7 4 4 5" xfId="22917" xr:uid="{00000000-0005-0000-0000-0000DB0A0000}"/>
    <cellStyle name="계산 2 7 4 5" xfId="23262" xr:uid="{00000000-0005-0000-0000-0000DC0A0000}"/>
    <cellStyle name="계산 2 7 4 5 2" xfId="21472" xr:uid="{00000000-0005-0000-0000-0000DD0A0000}"/>
    <cellStyle name="계산 2 7 4 5 3" xfId="27492" xr:uid="{00000000-0005-0000-0000-0000DE0A0000}"/>
    <cellStyle name="계산 2 7 4 5 4" xfId="30606" xr:uid="{00000000-0005-0000-0000-0000DF0A0000}"/>
    <cellStyle name="계산 2 7 4 6" xfId="21170" xr:uid="{00000000-0005-0000-0000-0000E00A0000}"/>
    <cellStyle name="계산 2 7 4 7" xfId="25650" xr:uid="{00000000-0005-0000-0000-0000E10A0000}"/>
    <cellStyle name="계산 2 7 4 8" xfId="28767" xr:uid="{00000000-0005-0000-0000-0000E20A0000}"/>
    <cellStyle name="계산 2 7 4 9" xfId="17706" xr:uid="{00000000-0005-0000-0000-0000E30A0000}"/>
    <cellStyle name="계산 2 7 5" xfId="14951" xr:uid="{00000000-0005-0000-0000-0000E40A0000}"/>
    <cellStyle name="계산 2 7 5 2" xfId="15701" xr:uid="{00000000-0005-0000-0000-0000E50A0000}"/>
    <cellStyle name="계산 2 7 5 2 2" xfId="31479" xr:uid="{00000000-0005-0000-0000-0000E60A0000}"/>
    <cellStyle name="계산 2 7 5 2 3" xfId="20857" xr:uid="{00000000-0005-0000-0000-0000E70A0000}"/>
    <cellStyle name="계산 2 7 5 3" xfId="16063" xr:uid="{00000000-0005-0000-0000-0000E80A0000}"/>
    <cellStyle name="계산 2 7 5 3 2" xfId="31706" xr:uid="{00000000-0005-0000-0000-0000E90A0000}"/>
    <cellStyle name="계산 2 7 5 3 3" xfId="19360" xr:uid="{00000000-0005-0000-0000-0000EA0A0000}"/>
    <cellStyle name="계산 2 7 5 4" xfId="16343" xr:uid="{00000000-0005-0000-0000-0000EB0A0000}"/>
    <cellStyle name="계산 2 7 5 4 2" xfId="31932" xr:uid="{00000000-0005-0000-0000-0000EC0A0000}"/>
    <cellStyle name="계산 2 7 5 4 3" xfId="25108" xr:uid="{00000000-0005-0000-0000-0000ED0A0000}"/>
    <cellStyle name="계산 2 7 5 5" xfId="28232" xr:uid="{00000000-0005-0000-0000-0000EE0A0000}"/>
    <cellStyle name="계산 2 7 5 6" xfId="17821" xr:uid="{00000000-0005-0000-0000-0000EF0A0000}"/>
    <cellStyle name="계산 2 7 6" xfId="15016" xr:uid="{00000000-0005-0000-0000-0000F00A0000}"/>
    <cellStyle name="계산 2 7 6 2" xfId="15744" xr:uid="{00000000-0005-0000-0000-0000F10A0000}"/>
    <cellStyle name="계산 2 7 6 2 2" xfId="31522" xr:uid="{00000000-0005-0000-0000-0000F20A0000}"/>
    <cellStyle name="계산 2 7 6 3" xfId="16128" xr:uid="{00000000-0005-0000-0000-0000F30A0000}"/>
    <cellStyle name="계산 2 7 6 3 2" xfId="31771" xr:uid="{00000000-0005-0000-0000-0000F40A0000}"/>
    <cellStyle name="계산 2 7 6 4" xfId="16344" xr:uid="{00000000-0005-0000-0000-0000F50A0000}"/>
    <cellStyle name="계산 2 7 6 4 2" xfId="31933" xr:uid="{00000000-0005-0000-0000-0000F60A0000}"/>
    <cellStyle name="계산 2 7 6 5" xfId="31233" xr:uid="{00000000-0005-0000-0000-0000F70A0000}"/>
    <cellStyle name="계산 2 7 6 6" xfId="19292" xr:uid="{00000000-0005-0000-0000-0000F80A0000}"/>
    <cellStyle name="계산 2 7 7" xfId="14890" xr:uid="{00000000-0005-0000-0000-0000F90A0000}"/>
    <cellStyle name="계산 2 7 7 2" xfId="15651" xr:uid="{00000000-0005-0000-0000-0000FA0A0000}"/>
    <cellStyle name="계산 2 7 7 2 2" xfId="31429" xr:uid="{00000000-0005-0000-0000-0000FB0A0000}"/>
    <cellStyle name="계산 2 7 7 3" xfId="16002" xr:uid="{00000000-0005-0000-0000-0000FC0A0000}"/>
    <cellStyle name="계산 2 7 7 3 2" xfId="31645" xr:uid="{00000000-0005-0000-0000-0000FD0A0000}"/>
    <cellStyle name="계산 2 7 7 4" xfId="16345" xr:uid="{00000000-0005-0000-0000-0000FE0A0000}"/>
    <cellStyle name="계산 2 7 7 4 2" xfId="31934" xr:uid="{00000000-0005-0000-0000-0000FF0A0000}"/>
    <cellStyle name="계산 2 7 7 5" xfId="31173" xr:uid="{00000000-0005-0000-0000-0000000B0000}"/>
    <cellStyle name="계산 2 7 7 6" xfId="18604" xr:uid="{00000000-0005-0000-0000-0000010B0000}"/>
    <cellStyle name="계산 2 7 8" xfId="15152" xr:uid="{00000000-0005-0000-0000-0000020B0000}"/>
    <cellStyle name="계산 2 7 8 2" xfId="16264" xr:uid="{00000000-0005-0000-0000-0000030B0000}"/>
    <cellStyle name="계산 2 7 8 2 2" xfId="31873" xr:uid="{00000000-0005-0000-0000-0000040B0000}"/>
    <cellStyle name="계산 2 7 8 3" xfId="16346" xr:uid="{00000000-0005-0000-0000-0000050B0000}"/>
    <cellStyle name="계산 2 7 8 3 2" xfId="31935" xr:uid="{00000000-0005-0000-0000-0000060B0000}"/>
    <cellStyle name="계산 2 7 8 4" xfId="16347" xr:uid="{00000000-0005-0000-0000-0000070B0000}"/>
    <cellStyle name="계산 2 7 8 4 2" xfId="31936" xr:uid="{00000000-0005-0000-0000-0000080B0000}"/>
    <cellStyle name="계산 2 7 8 5" xfId="18614" xr:uid="{00000000-0005-0000-0000-0000090B0000}"/>
    <cellStyle name="계산 2 7 9" xfId="15341" xr:uid="{00000000-0005-0000-0000-00000A0B0000}"/>
    <cellStyle name="계산 2 7 9 2" xfId="15159" xr:uid="{00000000-0005-0000-0000-00000B0B0000}"/>
    <cellStyle name="계산 2 7 9 2 2" xfId="31295" xr:uid="{00000000-0005-0000-0000-00000C0B0000}"/>
    <cellStyle name="계산 2 7 9 3" xfId="16348" xr:uid="{00000000-0005-0000-0000-00000D0B0000}"/>
    <cellStyle name="계산 2 7 9 3 2" xfId="31937" xr:uid="{00000000-0005-0000-0000-00000E0B0000}"/>
    <cellStyle name="계산 2 7 9 4" xfId="16349" xr:uid="{00000000-0005-0000-0000-00000F0B0000}"/>
    <cellStyle name="계산 2 7 9 4 2" xfId="31938" xr:uid="{00000000-0005-0000-0000-0000100B0000}"/>
    <cellStyle name="계산 2 7 9 5" xfId="31388" xr:uid="{00000000-0005-0000-0000-0000110B0000}"/>
    <cellStyle name="계산 2 8" xfId="14636" xr:uid="{00000000-0005-0000-0000-0000120B0000}"/>
    <cellStyle name="계산 2 8 10" xfId="24831" xr:uid="{00000000-0005-0000-0000-0000130B0000}"/>
    <cellStyle name="계산 2 8 11" xfId="27955" xr:uid="{00000000-0005-0000-0000-0000140B0000}"/>
    <cellStyle name="계산 2 8 12" xfId="17358" xr:uid="{00000000-0005-0000-0000-0000150B0000}"/>
    <cellStyle name="계산 2 8 2" xfId="15567" xr:uid="{00000000-0005-0000-0000-0000160B0000}"/>
    <cellStyle name="계산 2 8 2 10" xfId="17822" xr:uid="{00000000-0005-0000-0000-0000170B0000}"/>
    <cellStyle name="계산 2 8 2 2" xfId="22166" xr:uid="{00000000-0005-0000-0000-0000180B0000}"/>
    <cellStyle name="계산 2 8 2 2 2" xfId="19582" xr:uid="{00000000-0005-0000-0000-0000190B0000}"/>
    <cellStyle name="계산 2 8 2 2 3" xfId="26396" xr:uid="{00000000-0005-0000-0000-00001A0B0000}"/>
    <cellStyle name="계산 2 8 2 2 4" xfId="29510" xr:uid="{00000000-0005-0000-0000-00001B0B0000}"/>
    <cellStyle name="계산 2 8 2 3" xfId="22642" xr:uid="{00000000-0005-0000-0000-00001C0B0000}"/>
    <cellStyle name="계산 2 8 2 3 2" xfId="19888" xr:uid="{00000000-0005-0000-0000-00001D0B0000}"/>
    <cellStyle name="계산 2 8 2 3 3" xfId="26872" xr:uid="{00000000-0005-0000-0000-00001E0B0000}"/>
    <cellStyle name="계산 2 8 2 3 4" xfId="29986" xr:uid="{00000000-0005-0000-0000-00001F0B0000}"/>
    <cellStyle name="계산 2 8 2 4" xfId="23053" xr:uid="{00000000-0005-0000-0000-0000200B0000}"/>
    <cellStyle name="계산 2 8 2 4 2" xfId="20263" xr:uid="{00000000-0005-0000-0000-0000210B0000}"/>
    <cellStyle name="계산 2 8 2 4 3" xfId="27283" xr:uid="{00000000-0005-0000-0000-0000220B0000}"/>
    <cellStyle name="계산 2 8 2 4 4" xfId="30397" xr:uid="{00000000-0005-0000-0000-0000230B0000}"/>
    <cellStyle name="계산 2 8 2 5" xfId="23452" xr:uid="{00000000-0005-0000-0000-0000240B0000}"/>
    <cellStyle name="계산 2 8 2 5 2" xfId="18118" xr:uid="{00000000-0005-0000-0000-0000250B0000}"/>
    <cellStyle name="계산 2 8 2 5 3" xfId="27682" xr:uid="{00000000-0005-0000-0000-0000260B0000}"/>
    <cellStyle name="계산 2 8 2 5 4" xfId="30796" xr:uid="{00000000-0005-0000-0000-0000270B0000}"/>
    <cellStyle name="계산 2 8 2 6" xfId="21613" xr:uid="{00000000-0005-0000-0000-0000280B0000}"/>
    <cellStyle name="계산 2 8 2 7" xfId="23894" xr:uid="{00000000-0005-0000-0000-0000290B0000}"/>
    <cellStyle name="계산 2 8 2 8" xfId="25843" xr:uid="{00000000-0005-0000-0000-00002A0B0000}"/>
    <cellStyle name="계산 2 8 2 9" xfId="28957" xr:uid="{00000000-0005-0000-0000-00002B0B0000}"/>
    <cellStyle name="계산 2 8 3" xfId="15921" xr:uid="{00000000-0005-0000-0000-00002C0B0000}"/>
    <cellStyle name="계산 2 8 3 2" xfId="21293" xr:uid="{00000000-0005-0000-0000-00002D0B0000}"/>
    <cellStyle name="계산 2 8 3 3" xfId="23904" xr:uid="{00000000-0005-0000-0000-00002E0B0000}"/>
    <cellStyle name="계산 2 8 3 4" xfId="25506" xr:uid="{00000000-0005-0000-0000-00002F0B0000}"/>
    <cellStyle name="계산 2 8 3 5" xfId="28623" xr:uid="{00000000-0005-0000-0000-0000300B0000}"/>
    <cellStyle name="계산 2 8 3 6" xfId="17823" xr:uid="{00000000-0005-0000-0000-0000310B0000}"/>
    <cellStyle name="계산 2 8 4" xfId="16350" xr:uid="{00000000-0005-0000-0000-0000320B0000}"/>
    <cellStyle name="계산 2 8 4 2" xfId="24681" xr:uid="{00000000-0005-0000-0000-0000330B0000}"/>
    <cellStyle name="계산 2 8 4 3" xfId="25382" xr:uid="{00000000-0005-0000-0000-0000340B0000}"/>
    <cellStyle name="계산 2 8 4 4" xfId="28506" xr:uid="{00000000-0005-0000-0000-0000350B0000}"/>
    <cellStyle name="계산 2 8 4 5" xfId="21138" xr:uid="{00000000-0005-0000-0000-0000360B0000}"/>
    <cellStyle name="계산 2 8 5" xfId="21105" xr:uid="{00000000-0005-0000-0000-0000370B0000}"/>
    <cellStyle name="계산 2 8 5 2" xfId="19415" xr:uid="{00000000-0005-0000-0000-0000380B0000}"/>
    <cellStyle name="계산 2 8 5 3" xfId="25350" xr:uid="{00000000-0005-0000-0000-0000390B0000}"/>
    <cellStyle name="계산 2 8 5 4" xfId="28474" xr:uid="{00000000-0005-0000-0000-00003A0B0000}"/>
    <cellStyle name="계산 2 8 6" xfId="21161" xr:uid="{00000000-0005-0000-0000-00003B0B0000}"/>
    <cellStyle name="계산 2 8 6 2" xfId="23711" xr:uid="{00000000-0005-0000-0000-00003C0B0000}"/>
    <cellStyle name="계산 2 8 6 3" xfId="25404" xr:uid="{00000000-0005-0000-0000-00003D0B0000}"/>
    <cellStyle name="계산 2 8 6 4" xfId="28528" xr:uid="{00000000-0005-0000-0000-00003E0B0000}"/>
    <cellStyle name="계산 2 8 7" xfId="21184" xr:uid="{00000000-0005-0000-0000-00003F0B0000}"/>
    <cellStyle name="계산 2 8 7 2" xfId="24665" xr:uid="{00000000-0005-0000-0000-0000400B0000}"/>
    <cellStyle name="계산 2 8 7 3" xfId="25412" xr:uid="{00000000-0005-0000-0000-0000410B0000}"/>
    <cellStyle name="계산 2 8 7 4" xfId="28529" xr:uid="{00000000-0005-0000-0000-0000420B0000}"/>
    <cellStyle name="계산 2 8 8" xfId="20583" xr:uid="{00000000-0005-0000-0000-0000430B0000}"/>
    <cellStyle name="계산 2 8 9" xfId="18890" xr:uid="{00000000-0005-0000-0000-0000440B0000}"/>
    <cellStyle name="계산 2 9" xfId="14874" xr:uid="{00000000-0005-0000-0000-0000450B0000}"/>
    <cellStyle name="계산 2 9 10" xfId="27923" xr:uid="{00000000-0005-0000-0000-0000460B0000}"/>
    <cellStyle name="계산 2 9 11" xfId="17610" xr:uid="{00000000-0005-0000-0000-0000470B0000}"/>
    <cellStyle name="계산 2 9 2" xfId="15636" xr:uid="{00000000-0005-0000-0000-0000480B0000}"/>
    <cellStyle name="계산 2 9 2 2" xfId="24723" xr:uid="{00000000-0005-0000-0000-0000490B0000}"/>
    <cellStyle name="계산 2 9 2 3" xfId="25811" xr:uid="{00000000-0005-0000-0000-00004A0B0000}"/>
    <cellStyle name="계산 2 9 2 4" xfId="28925" xr:uid="{00000000-0005-0000-0000-00004B0B0000}"/>
    <cellStyle name="계산 2 9 2 5" xfId="21581" xr:uid="{00000000-0005-0000-0000-00004C0B0000}"/>
    <cellStyle name="계산 2 9 3" xfId="15986" xr:uid="{00000000-0005-0000-0000-00004D0B0000}"/>
    <cellStyle name="계산 2 9 3 2" xfId="19396" xr:uid="{00000000-0005-0000-0000-00004E0B0000}"/>
    <cellStyle name="계산 2 9 3 3" xfId="26364" xr:uid="{00000000-0005-0000-0000-00004F0B0000}"/>
    <cellStyle name="계산 2 9 3 4" xfId="29478" xr:uid="{00000000-0005-0000-0000-0000500B0000}"/>
    <cellStyle name="계산 2 9 3 5" xfId="22134" xr:uid="{00000000-0005-0000-0000-0000510B0000}"/>
    <cellStyle name="계산 2 9 4" xfId="16351" xr:uid="{00000000-0005-0000-0000-0000520B0000}"/>
    <cellStyle name="계산 2 9 4 2" xfId="19856" xr:uid="{00000000-0005-0000-0000-0000530B0000}"/>
    <cellStyle name="계산 2 9 4 3" xfId="26840" xr:uid="{00000000-0005-0000-0000-0000540B0000}"/>
    <cellStyle name="계산 2 9 4 4" xfId="29954" xr:uid="{00000000-0005-0000-0000-0000550B0000}"/>
    <cellStyle name="계산 2 9 4 5" xfId="22610" xr:uid="{00000000-0005-0000-0000-0000560B0000}"/>
    <cellStyle name="계산 2 9 5" xfId="23025" xr:uid="{00000000-0005-0000-0000-0000570B0000}"/>
    <cellStyle name="계산 2 9 5 2" xfId="21268" xr:uid="{00000000-0005-0000-0000-0000580B0000}"/>
    <cellStyle name="계산 2 9 5 3" xfId="27255" xr:uid="{00000000-0005-0000-0000-0000590B0000}"/>
    <cellStyle name="계산 2 9 5 4" xfId="30369" xr:uid="{00000000-0005-0000-0000-00005A0B0000}"/>
    <cellStyle name="계산 2 9 6" xfId="23420" xr:uid="{00000000-0005-0000-0000-00005B0B0000}"/>
    <cellStyle name="계산 2 9 6 2" xfId="21507" xr:uid="{00000000-0005-0000-0000-00005C0B0000}"/>
    <cellStyle name="계산 2 9 6 3" xfId="27650" xr:uid="{00000000-0005-0000-0000-00005D0B0000}"/>
    <cellStyle name="계산 2 9 6 4" xfId="30764" xr:uid="{00000000-0005-0000-0000-00005E0B0000}"/>
    <cellStyle name="계산 2 9 7" xfId="20551" xr:uid="{00000000-0005-0000-0000-00005F0B0000}"/>
    <cellStyle name="계산 2 9 8" xfId="18858" xr:uid="{00000000-0005-0000-0000-0000600B0000}"/>
    <cellStyle name="계산 2 9 9" xfId="24799" xr:uid="{00000000-0005-0000-0000-0000610B0000}"/>
    <cellStyle name="계산 3" xfId="11843" xr:uid="{00000000-0005-0000-0000-0000620B0000}"/>
    <cellStyle name="계산 3 10" xfId="15070" xr:uid="{00000000-0005-0000-0000-0000630B0000}"/>
    <cellStyle name="계산 3 10 2" xfId="15789" xr:uid="{00000000-0005-0000-0000-0000640B0000}"/>
    <cellStyle name="계산 3 10 2 2" xfId="23850" xr:uid="{00000000-0005-0000-0000-0000650B0000}"/>
    <cellStyle name="계산 3 10 2 3" xfId="26202" xr:uid="{00000000-0005-0000-0000-0000660B0000}"/>
    <cellStyle name="계산 3 10 2 4" xfId="29316" xr:uid="{00000000-0005-0000-0000-0000670B0000}"/>
    <cellStyle name="계산 3 10 2 5" xfId="21972" xr:uid="{00000000-0005-0000-0000-0000680B0000}"/>
    <cellStyle name="계산 3 10 3" xfId="16182" xr:uid="{00000000-0005-0000-0000-0000690B0000}"/>
    <cellStyle name="계산 3 10 3 2" xfId="19707" xr:uid="{00000000-0005-0000-0000-00006A0B0000}"/>
    <cellStyle name="계산 3 10 3 3" xfId="26675" xr:uid="{00000000-0005-0000-0000-00006B0B0000}"/>
    <cellStyle name="계산 3 10 3 4" xfId="29789" xr:uid="{00000000-0005-0000-0000-00006C0B0000}"/>
    <cellStyle name="계산 3 10 3 5" xfId="22445" xr:uid="{00000000-0005-0000-0000-00006D0B0000}"/>
    <cellStyle name="계산 3 10 4" xfId="16352" xr:uid="{00000000-0005-0000-0000-00006E0B0000}"/>
    <cellStyle name="계산 3 10 4 2" xfId="20139" xr:uid="{00000000-0005-0000-0000-00006F0B0000}"/>
    <cellStyle name="계산 3 10 4 3" xfId="27148" xr:uid="{00000000-0005-0000-0000-0000700B0000}"/>
    <cellStyle name="계산 3 10 4 4" xfId="30262" xr:uid="{00000000-0005-0000-0000-0000710B0000}"/>
    <cellStyle name="계산 3 10 4 5" xfId="22918" xr:uid="{00000000-0005-0000-0000-0000720B0000}"/>
    <cellStyle name="계산 3 10 5" xfId="23263" xr:uid="{00000000-0005-0000-0000-0000730B0000}"/>
    <cellStyle name="계산 3 10 5 2" xfId="20317" xr:uid="{00000000-0005-0000-0000-0000740B0000}"/>
    <cellStyle name="계산 3 10 5 3" xfId="27493" xr:uid="{00000000-0005-0000-0000-0000750B0000}"/>
    <cellStyle name="계산 3 10 5 4" xfId="30607" xr:uid="{00000000-0005-0000-0000-0000760B0000}"/>
    <cellStyle name="계산 3 10 6" xfId="19505" xr:uid="{00000000-0005-0000-0000-0000770B0000}"/>
    <cellStyle name="계산 3 10 7" xfId="25651" xr:uid="{00000000-0005-0000-0000-0000780B0000}"/>
    <cellStyle name="계산 3 10 8" xfId="28768" xr:uid="{00000000-0005-0000-0000-0000790B0000}"/>
    <cellStyle name="계산 3 10 9" xfId="17705" xr:uid="{00000000-0005-0000-0000-00007A0B0000}"/>
    <cellStyle name="계산 3 11" xfId="14950" xr:uid="{00000000-0005-0000-0000-00007B0B0000}"/>
    <cellStyle name="계산 3 11 2" xfId="15700" xr:uid="{00000000-0005-0000-0000-00007C0B0000}"/>
    <cellStyle name="계산 3 11 2 2" xfId="31478" xr:uid="{00000000-0005-0000-0000-00007D0B0000}"/>
    <cellStyle name="계산 3 11 2 3" xfId="20822" xr:uid="{00000000-0005-0000-0000-00007E0B0000}"/>
    <cellStyle name="계산 3 11 3" xfId="16062" xr:uid="{00000000-0005-0000-0000-00007F0B0000}"/>
    <cellStyle name="계산 3 11 3 2" xfId="31705" xr:uid="{00000000-0005-0000-0000-0000800B0000}"/>
    <cellStyle name="계산 3 11 3 3" xfId="19128" xr:uid="{00000000-0005-0000-0000-0000810B0000}"/>
    <cellStyle name="계산 3 11 4" xfId="16353" xr:uid="{00000000-0005-0000-0000-0000820B0000}"/>
    <cellStyle name="계산 3 11 4 2" xfId="31939" xr:uid="{00000000-0005-0000-0000-0000830B0000}"/>
    <cellStyle name="계산 3 11 4 3" xfId="25073" xr:uid="{00000000-0005-0000-0000-0000840B0000}"/>
    <cellStyle name="계산 3 11 5" xfId="28197" xr:uid="{00000000-0005-0000-0000-0000850B0000}"/>
    <cellStyle name="계산 3 11 6" xfId="17824" xr:uid="{00000000-0005-0000-0000-0000860B0000}"/>
    <cellStyle name="계산 3 12" xfId="15139" xr:uid="{00000000-0005-0000-0000-0000870B0000}"/>
    <cellStyle name="계산 3 12 2" xfId="15850" xr:uid="{00000000-0005-0000-0000-0000880B0000}"/>
    <cellStyle name="계산 3 12 2 2" xfId="31594" xr:uid="{00000000-0005-0000-0000-0000890B0000}"/>
    <cellStyle name="계산 3 12 3" xfId="16251" xr:uid="{00000000-0005-0000-0000-00008A0B0000}"/>
    <cellStyle name="계산 3 12 3 2" xfId="31860" xr:uid="{00000000-0005-0000-0000-00008B0B0000}"/>
    <cellStyle name="계산 3 12 4" xfId="16354" xr:uid="{00000000-0005-0000-0000-00008C0B0000}"/>
    <cellStyle name="계산 3 12 4 2" xfId="31940" xr:uid="{00000000-0005-0000-0000-00008D0B0000}"/>
    <cellStyle name="계산 3 12 5" xfId="31283" xr:uid="{00000000-0005-0000-0000-00008E0B0000}"/>
    <cellStyle name="계산 3 12 6" xfId="20482" xr:uid="{00000000-0005-0000-0000-00008F0B0000}"/>
    <cellStyle name="계산 3 13" xfId="15128" xr:uid="{00000000-0005-0000-0000-0000900B0000}"/>
    <cellStyle name="계산 3 13 2" xfId="15847" xr:uid="{00000000-0005-0000-0000-0000910B0000}"/>
    <cellStyle name="계산 3 13 2 2" xfId="31591" xr:uid="{00000000-0005-0000-0000-0000920B0000}"/>
    <cellStyle name="계산 3 13 3" xfId="16240" xr:uid="{00000000-0005-0000-0000-0000930B0000}"/>
    <cellStyle name="계산 3 13 3 2" xfId="31849" xr:uid="{00000000-0005-0000-0000-0000940B0000}"/>
    <cellStyle name="계산 3 13 4" xfId="16355" xr:uid="{00000000-0005-0000-0000-0000950B0000}"/>
    <cellStyle name="계산 3 13 4 2" xfId="31941" xr:uid="{00000000-0005-0000-0000-0000960B0000}"/>
    <cellStyle name="계산 3 13 5" xfId="31280" xr:uid="{00000000-0005-0000-0000-0000970B0000}"/>
    <cellStyle name="계산 3 13 6" xfId="18603" xr:uid="{00000000-0005-0000-0000-0000980B0000}"/>
    <cellStyle name="계산 3 14" xfId="14992" xr:uid="{00000000-0005-0000-0000-0000990B0000}"/>
    <cellStyle name="계산 3 14 2" xfId="16104" xr:uid="{00000000-0005-0000-0000-00009A0B0000}"/>
    <cellStyle name="계산 3 14 2 2" xfId="31747" xr:uid="{00000000-0005-0000-0000-00009B0B0000}"/>
    <cellStyle name="계산 3 14 3" xfId="16356" xr:uid="{00000000-0005-0000-0000-00009C0B0000}"/>
    <cellStyle name="계산 3 14 3 2" xfId="31942" xr:uid="{00000000-0005-0000-0000-00009D0B0000}"/>
    <cellStyle name="계산 3 14 4" xfId="16357" xr:uid="{00000000-0005-0000-0000-00009E0B0000}"/>
    <cellStyle name="계산 3 14 4 2" xfId="31943" xr:uid="{00000000-0005-0000-0000-00009F0B0000}"/>
    <cellStyle name="계산 3 14 5" xfId="18615" xr:uid="{00000000-0005-0000-0000-0000A00B0000}"/>
    <cellStyle name="계산 3 15" xfId="15342" xr:uid="{00000000-0005-0000-0000-0000A10B0000}"/>
    <cellStyle name="계산 3 15 2" xfId="15328" xr:uid="{00000000-0005-0000-0000-0000A20B0000}"/>
    <cellStyle name="계산 3 15 2 2" xfId="31375" xr:uid="{00000000-0005-0000-0000-0000A30B0000}"/>
    <cellStyle name="계산 3 15 3" xfId="16358" xr:uid="{00000000-0005-0000-0000-0000A40B0000}"/>
    <cellStyle name="계산 3 15 3 2" xfId="31944" xr:uid="{00000000-0005-0000-0000-0000A50B0000}"/>
    <cellStyle name="계산 3 15 4" xfId="16359" xr:uid="{00000000-0005-0000-0000-0000A60B0000}"/>
    <cellStyle name="계산 3 15 4 2" xfId="31945" xr:uid="{00000000-0005-0000-0000-0000A70B0000}"/>
    <cellStyle name="계산 3 15 5" xfId="31389" xr:uid="{00000000-0005-0000-0000-0000A80B0000}"/>
    <cellStyle name="계산 3 16" xfId="15167" xr:uid="{00000000-0005-0000-0000-0000A90B0000}"/>
    <cellStyle name="계산 3 16 2" xfId="31303" xr:uid="{00000000-0005-0000-0000-0000AA0B0000}"/>
    <cellStyle name="계산 3 17" xfId="16360" xr:uid="{00000000-0005-0000-0000-0000AB0B0000}"/>
    <cellStyle name="계산 3 17 2" xfId="31946" xr:uid="{00000000-0005-0000-0000-0000AC0B0000}"/>
    <cellStyle name="계산 3 18" xfId="16361" xr:uid="{00000000-0005-0000-0000-0000AD0B0000}"/>
    <cellStyle name="계산 3 18 2" xfId="31947" xr:uid="{00000000-0005-0000-0000-0000AE0B0000}"/>
    <cellStyle name="계산 3 19" xfId="17221" xr:uid="{00000000-0005-0000-0000-0000AF0B0000}"/>
    <cellStyle name="계산 3 2" xfId="11844" xr:uid="{00000000-0005-0000-0000-0000B00B0000}"/>
    <cellStyle name="계산 3 2 10" xfId="15168" xr:uid="{00000000-0005-0000-0000-0000B10B0000}"/>
    <cellStyle name="계산 3 2 10 2" xfId="31304" xr:uid="{00000000-0005-0000-0000-0000B20B0000}"/>
    <cellStyle name="계산 3 2 11" xfId="16362" xr:uid="{00000000-0005-0000-0000-0000B30B0000}"/>
    <cellStyle name="계산 3 2 11 2" xfId="31948" xr:uid="{00000000-0005-0000-0000-0000B40B0000}"/>
    <cellStyle name="계산 3 2 12" xfId="16363" xr:uid="{00000000-0005-0000-0000-0000B50B0000}"/>
    <cellStyle name="계산 3 2 12 2" xfId="31949" xr:uid="{00000000-0005-0000-0000-0000B60B0000}"/>
    <cellStyle name="계산 3 2 13" xfId="17222" xr:uid="{00000000-0005-0000-0000-0000B70B0000}"/>
    <cellStyle name="계산 3 2 2" xfId="14628" xr:uid="{00000000-0005-0000-0000-0000B80B0000}"/>
    <cellStyle name="계산 3 2 2 10" xfId="24839" xr:uid="{00000000-0005-0000-0000-0000B90B0000}"/>
    <cellStyle name="계산 3 2 2 11" xfId="27963" xr:uid="{00000000-0005-0000-0000-0000BA0B0000}"/>
    <cellStyle name="계산 3 2 2 12" xfId="17602" xr:uid="{00000000-0005-0000-0000-0000BB0B0000}"/>
    <cellStyle name="계산 3 2 2 2" xfId="15559" xr:uid="{00000000-0005-0000-0000-0000BC0B0000}"/>
    <cellStyle name="계산 3 2 2 2 10" xfId="17825" xr:uid="{00000000-0005-0000-0000-0000BD0B0000}"/>
    <cellStyle name="계산 3 2 2 2 2" xfId="22174" xr:uid="{00000000-0005-0000-0000-0000BE0B0000}"/>
    <cellStyle name="계산 3 2 2 2 2 2" xfId="19587" xr:uid="{00000000-0005-0000-0000-0000BF0B0000}"/>
    <cellStyle name="계산 3 2 2 2 2 3" xfId="26404" xr:uid="{00000000-0005-0000-0000-0000C00B0000}"/>
    <cellStyle name="계산 3 2 2 2 2 4" xfId="29518" xr:uid="{00000000-0005-0000-0000-0000C10B0000}"/>
    <cellStyle name="계산 3 2 2 2 3" xfId="22650" xr:uid="{00000000-0005-0000-0000-0000C20B0000}"/>
    <cellStyle name="계산 3 2 2 2 3 2" xfId="19896" xr:uid="{00000000-0005-0000-0000-0000C30B0000}"/>
    <cellStyle name="계산 3 2 2 2 3 3" xfId="26880" xr:uid="{00000000-0005-0000-0000-0000C40B0000}"/>
    <cellStyle name="계산 3 2 2 2 3 4" xfId="29994" xr:uid="{00000000-0005-0000-0000-0000C50B0000}"/>
    <cellStyle name="계산 3 2 2 2 4" xfId="23061" xr:uid="{00000000-0005-0000-0000-0000C60B0000}"/>
    <cellStyle name="계산 3 2 2 2 4 2" xfId="20271" xr:uid="{00000000-0005-0000-0000-0000C70B0000}"/>
    <cellStyle name="계산 3 2 2 2 4 3" xfId="27291" xr:uid="{00000000-0005-0000-0000-0000C80B0000}"/>
    <cellStyle name="계산 3 2 2 2 4 4" xfId="30405" xr:uid="{00000000-0005-0000-0000-0000C90B0000}"/>
    <cellStyle name="계산 3 2 2 2 5" xfId="23460" xr:uid="{00000000-0005-0000-0000-0000CA0B0000}"/>
    <cellStyle name="계산 3 2 2 2 5 2" xfId="18125" xr:uid="{00000000-0005-0000-0000-0000CB0B0000}"/>
    <cellStyle name="계산 3 2 2 2 5 3" xfId="27690" xr:uid="{00000000-0005-0000-0000-0000CC0B0000}"/>
    <cellStyle name="계산 3 2 2 2 5 4" xfId="30804" xr:uid="{00000000-0005-0000-0000-0000CD0B0000}"/>
    <cellStyle name="계산 3 2 2 2 6" xfId="21621" xr:uid="{00000000-0005-0000-0000-0000CE0B0000}"/>
    <cellStyle name="계산 3 2 2 2 7" xfId="19298" xr:uid="{00000000-0005-0000-0000-0000CF0B0000}"/>
    <cellStyle name="계산 3 2 2 2 8" xfId="25851" xr:uid="{00000000-0005-0000-0000-0000D00B0000}"/>
    <cellStyle name="계산 3 2 2 2 9" xfId="28965" xr:uid="{00000000-0005-0000-0000-0000D10B0000}"/>
    <cellStyle name="계산 3 2 2 3" xfId="15913" xr:uid="{00000000-0005-0000-0000-0000D20B0000}"/>
    <cellStyle name="계산 3 2 2 3 2" xfId="21301" xr:uid="{00000000-0005-0000-0000-0000D30B0000}"/>
    <cellStyle name="계산 3 2 2 3 3" xfId="24079" xr:uid="{00000000-0005-0000-0000-0000D40B0000}"/>
    <cellStyle name="계산 3 2 2 3 4" xfId="25514" xr:uid="{00000000-0005-0000-0000-0000D50B0000}"/>
    <cellStyle name="계산 3 2 2 3 5" xfId="28631" xr:uid="{00000000-0005-0000-0000-0000D60B0000}"/>
    <cellStyle name="계산 3 2 2 3 6" xfId="17826" xr:uid="{00000000-0005-0000-0000-0000D70B0000}"/>
    <cellStyle name="계산 3 2 2 4" xfId="16364" xr:uid="{00000000-0005-0000-0000-0000D80B0000}"/>
    <cellStyle name="계산 3 2 2 4 2" xfId="19419" xr:uid="{00000000-0005-0000-0000-0000D90B0000}"/>
    <cellStyle name="계산 3 2 2 4 3" xfId="25374" xr:uid="{00000000-0005-0000-0000-0000DA0B0000}"/>
    <cellStyle name="계산 3 2 2 4 4" xfId="28498" xr:uid="{00000000-0005-0000-0000-0000DB0B0000}"/>
    <cellStyle name="계산 3 2 2 4 5" xfId="21130" xr:uid="{00000000-0005-0000-0000-0000DC0B0000}"/>
    <cellStyle name="계산 3 2 2 5" xfId="21216" xr:uid="{00000000-0005-0000-0000-0000DD0B0000}"/>
    <cellStyle name="계산 3 2 2 5 2" xfId="24423" xr:uid="{00000000-0005-0000-0000-0000DE0B0000}"/>
    <cellStyle name="계산 3 2 2 5 3" xfId="25440" xr:uid="{00000000-0005-0000-0000-0000DF0B0000}"/>
    <cellStyle name="계산 3 2 2 5 4" xfId="28557" xr:uid="{00000000-0005-0000-0000-0000E00B0000}"/>
    <cellStyle name="계산 3 2 2 6" xfId="21155" xr:uid="{00000000-0005-0000-0000-0000E10B0000}"/>
    <cellStyle name="계산 3 2 2 6 2" xfId="24428" xr:uid="{00000000-0005-0000-0000-0000E20B0000}"/>
    <cellStyle name="계산 3 2 2 6 3" xfId="25398" xr:uid="{00000000-0005-0000-0000-0000E30B0000}"/>
    <cellStyle name="계산 3 2 2 6 4" xfId="28522" xr:uid="{00000000-0005-0000-0000-0000E40B0000}"/>
    <cellStyle name="계산 3 2 2 7" xfId="21191" xr:uid="{00000000-0005-0000-0000-0000E50B0000}"/>
    <cellStyle name="계산 3 2 2 7 2" xfId="24186" xr:uid="{00000000-0005-0000-0000-0000E60B0000}"/>
    <cellStyle name="계산 3 2 2 7 3" xfId="25419" xr:uid="{00000000-0005-0000-0000-0000E70B0000}"/>
    <cellStyle name="계산 3 2 2 7 4" xfId="28536" xr:uid="{00000000-0005-0000-0000-0000E80B0000}"/>
    <cellStyle name="계산 3 2 2 8" xfId="20591" xr:uid="{00000000-0005-0000-0000-0000E90B0000}"/>
    <cellStyle name="계산 3 2 2 9" xfId="18898" xr:uid="{00000000-0005-0000-0000-0000EA0B0000}"/>
    <cellStyle name="계산 3 2 3" xfId="14748" xr:uid="{00000000-0005-0000-0000-0000EB0B0000}"/>
    <cellStyle name="계산 3 2 3 10" xfId="27931" xr:uid="{00000000-0005-0000-0000-0000EC0B0000}"/>
    <cellStyle name="계산 3 2 3 11" xfId="17666" xr:uid="{00000000-0005-0000-0000-0000ED0B0000}"/>
    <cellStyle name="계산 3 2 3 2" xfId="15633" xr:uid="{00000000-0005-0000-0000-0000EE0B0000}"/>
    <cellStyle name="계산 3 2 3 2 2" xfId="23895" xr:uid="{00000000-0005-0000-0000-0000EF0B0000}"/>
    <cellStyle name="계산 3 2 3 2 3" xfId="25819" xr:uid="{00000000-0005-0000-0000-0000F00B0000}"/>
    <cellStyle name="계산 3 2 3 2 4" xfId="28933" xr:uid="{00000000-0005-0000-0000-0000F10B0000}"/>
    <cellStyle name="계산 3 2 3 2 5" xfId="21589" xr:uid="{00000000-0005-0000-0000-0000F20B0000}"/>
    <cellStyle name="계산 3 2 3 3" xfId="15983" xr:uid="{00000000-0005-0000-0000-0000F30B0000}"/>
    <cellStyle name="계산 3 2 3 3 2" xfId="19566" xr:uid="{00000000-0005-0000-0000-0000F40B0000}"/>
    <cellStyle name="계산 3 2 3 3 3" xfId="26372" xr:uid="{00000000-0005-0000-0000-0000F50B0000}"/>
    <cellStyle name="계산 3 2 3 3 4" xfId="29486" xr:uid="{00000000-0005-0000-0000-0000F60B0000}"/>
    <cellStyle name="계산 3 2 3 3 5" xfId="22142" xr:uid="{00000000-0005-0000-0000-0000F70B0000}"/>
    <cellStyle name="계산 3 2 3 4" xfId="16365" xr:uid="{00000000-0005-0000-0000-0000F80B0000}"/>
    <cellStyle name="계산 3 2 3 4 2" xfId="19864" xr:uid="{00000000-0005-0000-0000-0000F90B0000}"/>
    <cellStyle name="계산 3 2 3 4 3" xfId="26848" xr:uid="{00000000-0005-0000-0000-0000FA0B0000}"/>
    <cellStyle name="계산 3 2 3 4 4" xfId="29962" xr:uid="{00000000-0005-0000-0000-0000FB0B0000}"/>
    <cellStyle name="계산 3 2 3 4 5" xfId="22618" xr:uid="{00000000-0005-0000-0000-0000FC0B0000}"/>
    <cellStyle name="계산 3 2 3 5" xfId="23033" xr:uid="{00000000-0005-0000-0000-0000FD0B0000}"/>
    <cellStyle name="계산 3 2 3 5 2" xfId="20245" xr:uid="{00000000-0005-0000-0000-0000FE0B0000}"/>
    <cellStyle name="계산 3 2 3 5 3" xfId="27263" xr:uid="{00000000-0005-0000-0000-0000FF0B0000}"/>
    <cellStyle name="계산 3 2 3 5 4" xfId="30377" xr:uid="{00000000-0005-0000-0000-0000000C0000}"/>
    <cellStyle name="계산 3 2 3 6" xfId="23428" xr:uid="{00000000-0005-0000-0000-0000010C0000}"/>
    <cellStyle name="계산 3 2 3 6 2" xfId="20480" xr:uid="{00000000-0005-0000-0000-0000020C0000}"/>
    <cellStyle name="계산 3 2 3 6 3" xfId="27658" xr:uid="{00000000-0005-0000-0000-0000030C0000}"/>
    <cellStyle name="계산 3 2 3 6 4" xfId="30772" xr:uid="{00000000-0005-0000-0000-0000040C0000}"/>
    <cellStyle name="계산 3 2 3 7" xfId="20559" xr:uid="{00000000-0005-0000-0000-0000050C0000}"/>
    <cellStyle name="계산 3 2 3 8" xfId="18866" xr:uid="{00000000-0005-0000-0000-0000060C0000}"/>
    <cellStyle name="계산 3 2 3 9" xfId="24807" xr:uid="{00000000-0005-0000-0000-0000070C0000}"/>
    <cellStyle name="계산 3 2 4" xfId="15071" xr:uid="{00000000-0005-0000-0000-0000080C0000}"/>
    <cellStyle name="계산 3 2 4 2" xfId="15790" xr:uid="{00000000-0005-0000-0000-0000090C0000}"/>
    <cellStyle name="계산 3 2 4 2 2" xfId="23818" xr:uid="{00000000-0005-0000-0000-00000A0C0000}"/>
    <cellStyle name="계산 3 2 4 2 3" xfId="26203" xr:uid="{00000000-0005-0000-0000-00000B0C0000}"/>
    <cellStyle name="계산 3 2 4 2 4" xfId="29317" xr:uid="{00000000-0005-0000-0000-00000C0C0000}"/>
    <cellStyle name="계산 3 2 4 2 5" xfId="21973" xr:uid="{00000000-0005-0000-0000-00000D0C0000}"/>
    <cellStyle name="계산 3 2 4 3" xfId="16183" xr:uid="{00000000-0005-0000-0000-00000E0C0000}"/>
    <cellStyle name="계산 3 2 4 3 2" xfId="23917" xr:uid="{00000000-0005-0000-0000-00000F0C0000}"/>
    <cellStyle name="계산 3 2 4 3 3" xfId="26676" xr:uid="{00000000-0005-0000-0000-0000100C0000}"/>
    <cellStyle name="계산 3 2 4 3 4" xfId="29790" xr:uid="{00000000-0005-0000-0000-0000110C0000}"/>
    <cellStyle name="계산 3 2 4 3 5" xfId="22446" xr:uid="{00000000-0005-0000-0000-0000120C0000}"/>
    <cellStyle name="계산 3 2 4 4" xfId="16366" xr:uid="{00000000-0005-0000-0000-0000130C0000}"/>
    <cellStyle name="계산 3 2 4 4 2" xfId="20140" xr:uid="{00000000-0005-0000-0000-0000140C0000}"/>
    <cellStyle name="계산 3 2 4 4 3" xfId="27149" xr:uid="{00000000-0005-0000-0000-0000150C0000}"/>
    <cellStyle name="계산 3 2 4 4 4" xfId="30263" xr:uid="{00000000-0005-0000-0000-0000160C0000}"/>
    <cellStyle name="계산 3 2 4 4 5" xfId="22919" xr:uid="{00000000-0005-0000-0000-0000170C0000}"/>
    <cellStyle name="계산 3 2 4 5" xfId="23264" xr:uid="{00000000-0005-0000-0000-0000180C0000}"/>
    <cellStyle name="계산 3 2 4 5 2" xfId="21473" xr:uid="{00000000-0005-0000-0000-0000190C0000}"/>
    <cellStyle name="계산 3 2 4 5 3" xfId="27494" xr:uid="{00000000-0005-0000-0000-00001A0C0000}"/>
    <cellStyle name="계산 3 2 4 5 4" xfId="30608" xr:uid="{00000000-0005-0000-0000-00001B0C0000}"/>
    <cellStyle name="계산 3 2 4 6" xfId="19506" xr:uid="{00000000-0005-0000-0000-00001C0C0000}"/>
    <cellStyle name="계산 3 2 4 7" xfId="25652" xr:uid="{00000000-0005-0000-0000-00001D0C0000}"/>
    <cellStyle name="계산 3 2 4 8" xfId="28769" xr:uid="{00000000-0005-0000-0000-00001E0C0000}"/>
    <cellStyle name="계산 3 2 4 9" xfId="17704" xr:uid="{00000000-0005-0000-0000-00001F0C0000}"/>
    <cellStyle name="계산 3 2 5" xfId="14949" xr:uid="{00000000-0005-0000-0000-0000200C0000}"/>
    <cellStyle name="계산 3 2 5 2" xfId="15699" xr:uid="{00000000-0005-0000-0000-0000210C0000}"/>
    <cellStyle name="계산 3 2 5 2 2" xfId="31477" xr:uid="{00000000-0005-0000-0000-0000220C0000}"/>
    <cellStyle name="계산 3 2 5 2 3" xfId="20858" xr:uid="{00000000-0005-0000-0000-0000230C0000}"/>
    <cellStyle name="계산 3 2 5 3" xfId="16061" xr:uid="{00000000-0005-0000-0000-0000240C0000}"/>
    <cellStyle name="계산 3 2 5 3 2" xfId="31704" xr:uid="{00000000-0005-0000-0000-0000250C0000}"/>
    <cellStyle name="계산 3 2 5 3 3" xfId="23965" xr:uid="{00000000-0005-0000-0000-0000260C0000}"/>
    <cellStyle name="계산 3 2 5 4" xfId="16367" xr:uid="{00000000-0005-0000-0000-0000270C0000}"/>
    <cellStyle name="계산 3 2 5 4 2" xfId="31950" xr:uid="{00000000-0005-0000-0000-0000280C0000}"/>
    <cellStyle name="계산 3 2 5 4 3" xfId="25109" xr:uid="{00000000-0005-0000-0000-0000290C0000}"/>
    <cellStyle name="계산 3 2 5 5" xfId="28233" xr:uid="{00000000-0005-0000-0000-00002A0C0000}"/>
    <cellStyle name="계산 3 2 5 6" xfId="17827" xr:uid="{00000000-0005-0000-0000-00002B0C0000}"/>
    <cellStyle name="계산 3 2 6" xfId="15017" xr:uid="{00000000-0005-0000-0000-00002C0C0000}"/>
    <cellStyle name="계산 3 2 6 2" xfId="15745" xr:uid="{00000000-0005-0000-0000-00002D0C0000}"/>
    <cellStyle name="계산 3 2 6 2 2" xfId="31523" xr:uid="{00000000-0005-0000-0000-00002E0C0000}"/>
    <cellStyle name="계산 3 2 6 3" xfId="16129" xr:uid="{00000000-0005-0000-0000-00002F0C0000}"/>
    <cellStyle name="계산 3 2 6 3 2" xfId="31772" xr:uid="{00000000-0005-0000-0000-0000300C0000}"/>
    <cellStyle name="계산 3 2 6 4" xfId="16368" xr:uid="{00000000-0005-0000-0000-0000310C0000}"/>
    <cellStyle name="계산 3 2 6 4 2" xfId="31951" xr:uid="{00000000-0005-0000-0000-0000320C0000}"/>
    <cellStyle name="계산 3 2 6 5" xfId="31234" xr:uid="{00000000-0005-0000-0000-0000330C0000}"/>
    <cellStyle name="계산 3 2 6 6" xfId="20483" xr:uid="{00000000-0005-0000-0000-0000340C0000}"/>
    <cellStyle name="계산 3 2 7" xfId="14985" xr:uid="{00000000-0005-0000-0000-0000350C0000}"/>
    <cellStyle name="계산 3 2 7 2" xfId="15735" xr:uid="{00000000-0005-0000-0000-0000360C0000}"/>
    <cellStyle name="계산 3 2 7 2 2" xfId="31513" xr:uid="{00000000-0005-0000-0000-0000370C0000}"/>
    <cellStyle name="계산 3 2 7 3" xfId="16097" xr:uid="{00000000-0005-0000-0000-0000380C0000}"/>
    <cellStyle name="계산 3 2 7 3 2" xfId="31740" xr:uid="{00000000-0005-0000-0000-0000390C0000}"/>
    <cellStyle name="계산 3 2 7 4" xfId="16369" xr:uid="{00000000-0005-0000-0000-00003A0C0000}"/>
    <cellStyle name="계산 3 2 7 4 2" xfId="31952" xr:uid="{00000000-0005-0000-0000-00003B0C0000}"/>
    <cellStyle name="계산 3 2 7 5" xfId="31224" xr:uid="{00000000-0005-0000-0000-00003C0C0000}"/>
    <cellStyle name="계산 3 2 7 6" xfId="18602" xr:uid="{00000000-0005-0000-0000-00003D0C0000}"/>
    <cellStyle name="계산 3 2 8" xfId="14894" xr:uid="{00000000-0005-0000-0000-00003E0C0000}"/>
    <cellStyle name="계산 3 2 8 2" xfId="16006" xr:uid="{00000000-0005-0000-0000-00003F0C0000}"/>
    <cellStyle name="계산 3 2 8 2 2" xfId="31649" xr:uid="{00000000-0005-0000-0000-0000400C0000}"/>
    <cellStyle name="계산 3 2 8 3" xfId="16370" xr:uid="{00000000-0005-0000-0000-0000410C0000}"/>
    <cellStyle name="계산 3 2 8 3 2" xfId="31953" xr:uid="{00000000-0005-0000-0000-0000420C0000}"/>
    <cellStyle name="계산 3 2 8 4" xfId="16371" xr:uid="{00000000-0005-0000-0000-0000430C0000}"/>
    <cellStyle name="계산 3 2 8 4 2" xfId="31954" xr:uid="{00000000-0005-0000-0000-0000440C0000}"/>
    <cellStyle name="계산 3 2 8 5" xfId="18616" xr:uid="{00000000-0005-0000-0000-0000450C0000}"/>
    <cellStyle name="계산 3 2 9" xfId="15343" xr:uid="{00000000-0005-0000-0000-0000460C0000}"/>
    <cellStyle name="계산 3 2 9 2" xfId="15327" xr:uid="{00000000-0005-0000-0000-0000470C0000}"/>
    <cellStyle name="계산 3 2 9 2 2" xfId="31374" xr:uid="{00000000-0005-0000-0000-0000480C0000}"/>
    <cellStyle name="계산 3 2 9 3" xfId="16372" xr:uid="{00000000-0005-0000-0000-0000490C0000}"/>
    <cellStyle name="계산 3 2 9 3 2" xfId="31955" xr:uid="{00000000-0005-0000-0000-00004A0C0000}"/>
    <cellStyle name="계산 3 2 9 4" xfId="16373" xr:uid="{00000000-0005-0000-0000-00004B0C0000}"/>
    <cellStyle name="계산 3 2 9 4 2" xfId="31956" xr:uid="{00000000-0005-0000-0000-00004C0C0000}"/>
    <cellStyle name="계산 3 2 9 5" xfId="31390" xr:uid="{00000000-0005-0000-0000-00004D0C0000}"/>
    <cellStyle name="계산 3 3" xfId="11845" xr:uid="{00000000-0005-0000-0000-00004E0C0000}"/>
    <cellStyle name="계산 3 3 10" xfId="15169" xr:uid="{00000000-0005-0000-0000-00004F0C0000}"/>
    <cellStyle name="계산 3 3 10 2" xfId="31305" xr:uid="{00000000-0005-0000-0000-0000500C0000}"/>
    <cellStyle name="계산 3 3 11" xfId="16374" xr:uid="{00000000-0005-0000-0000-0000510C0000}"/>
    <cellStyle name="계산 3 3 11 2" xfId="31957" xr:uid="{00000000-0005-0000-0000-0000520C0000}"/>
    <cellStyle name="계산 3 3 12" xfId="16375" xr:uid="{00000000-0005-0000-0000-0000530C0000}"/>
    <cellStyle name="계산 3 3 12 2" xfId="31958" xr:uid="{00000000-0005-0000-0000-0000540C0000}"/>
    <cellStyle name="계산 3 3 13" xfId="17223" xr:uid="{00000000-0005-0000-0000-0000550C0000}"/>
    <cellStyle name="계산 3 3 2" xfId="14627" xr:uid="{00000000-0005-0000-0000-0000560C0000}"/>
    <cellStyle name="계산 3 3 2 10" xfId="24840" xr:uid="{00000000-0005-0000-0000-0000570C0000}"/>
    <cellStyle name="계산 3 3 2 11" xfId="27964" xr:uid="{00000000-0005-0000-0000-0000580C0000}"/>
    <cellStyle name="계산 3 3 2 12" xfId="17601" xr:uid="{00000000-0005-0000-0000-0000590C0000}"/>
    <cellStyle name="계산 3 3 2 2" xfId="15558" xr:uid="{00000000-0005-0000-0000-00005A0C0000}"/>
    <cellStyle name="계산 3 3 2 2 10" xfId="17828" xr:uid="{00000000-0005-0000-0000-00005B0C0000}"/>
    <cellStyle name="계산 3 3 2 2 2" xfId="22175" xr:uid="{00000000-0005-0000-0000-00005C0C0000}"/>
    <cellStyle name="계산 3 3 2 2 2 2" xfId="19588" xr:uid="{00000000-0005-0000-0000-00005D0C0000}"/>
    <cellStyle name="계산 3 3 2 2 2 3" xfId="26405" xr:uid="{00000000-0005-0000-0000-00005E0C0000}"/>
    <cellStyle name="계산 3 3 2 2 2 4" xfId="29519" xr:uid="{00000000-0005-0000-0000-00005F0C0000}"/>
    <cellStyle name="계산 3 3 2 2 3" xfId="22651" xr:uid="{00000000-0005-0000-0000-0000600C0000}"/>
    <cellStyle name="계산 3 3 2 2 3 2" xfId="19897" xr:uid="{00000000-0005-0000-0000-0000610C0000}"/>
    <cellStyle name="계산 3 3 2 2 3 3" xfId="26881" xr:uid="{00000000-0005-0000-0000-0000620C0000}"/>
    <cellStyle name="계산 3 3 2 2 3 4" xfId="29995" xr:uid="{00000000-0005-0000-0000-0000630C0000}"/>
    <cellStyle name="계산 3 3 2 2 4" xfId="23062" xr:uid="{00000000-0005-0000-0000-0000640C0000}"/>
    <cellStyle name="계산 3 3 2 2 4 2" xfId="20272" xr:uid="{00000000-0005-0000-0000-0000650C0000}"/>
    <cellStyle name="계산 3 3 2 2 4 3" xfId="27292" xr:uid="{00000000-0005-0000-0000-0000660C0000}"/>
    <cellStyle name="계산 3 3 2 2 4 4" xfId="30406" xr:uid="{00000000-0005-0000-0000-0000670C0000}"/>
    <cellStyle name="계산 3 3 2 2 5" xfId="23461" xr:uid="{00000000-0005-0000-0000-0000680C0000}"/>
    <cellStyle name="계산 3 3 2 2 5 2" xfId="18126" xr:uid="{00000000-0005-0000-0000-0000690C0000}"/>
    <cellStyle name="계산 3 3 2 2 5 3" xfId="27691" xr:uid="{00000000-0005-0000-0000-00006A0C0000}"/>
    <cellStyle name="계산 3 3 2 2 5 4" xfId="30805" xr:uid="{00000000-0005-0000-0000-00006B0C0000}"/>
    <cellStyle name="계산 3 3 2 2 6" xfId="21622" xr:uid="{00000000-0005-0000-0000-00006C0C0000}"/>
    <cellStyle name="계산 3 3 2 2 7" xfId="19539" xr:uid="{00000000-0005-0000-0000-00006D0C0000}"/>
    <cellStyle name="계산 3 3 2 2 8" xfId="25852" xr:uid="{00000000-0005-0000-0000-00006E0C0000}"/>
    <cellStyle name="계산 3 3 2 2 9" xfId="28966" xr:uid="{00000000-0005-0000-0000-00006F0C0000}"/>
    <cellStyle name="계산 3 3 2 3" xfId="15912" xr:uid="{00000000-0005-0000-0000-0000700C0000}"/>
    <cellStyle name="계산 3 3 2 3 2" xfId="21302" xr:uid="{00000000-0005-0000-0000-0000710C0000}"/>
    <cellStyle name="계산 3 3 2 3 3" xfId="19355" xr:uid="{00000000-0005-0000-0000-0000720C0000}"/>
    <cellStyle name="계산 3 3 2 3 4" xfId="25515" xr:uid="{00000000-0005-0000-0000-0000730C0000}"/>
    <cellStyle name="계산 3 3 2 3 5" xfId="28632" xr:uid="{00000000-0005-0000-0000-0000740C0000}"/>
    <cellStyle name="계산 3 3 2 3 6" xfId="17829" xr:uid="{00000000-0005-0000-0000-0000750C0000}"/>
    <cellStyle name="계산 3 3 2 4" xfId="16376" xr:uid="{00000000-0005-0000-0000-0000760C0000}"/>
    <cellStyle name="계산 3 3 2 4 2" xfId="19418" xr:uid="{00000000-0005-0000-0000-0000770C0000}"/>
    <cellStyle name="계산 3 3 2 4 3" xfId="25373" xr:uid="{00000000-0005-0000-0000-0000780C0000}"/>
    <cellStyle name="계산 3 3 2 4 4" xfId="28497" xr:uid="{00000000-0005-0000-0000-0000790C0000}"/>
    <cellStyle name="계산 3 3 2 4 5" xfId="21129" xr:uid="{00000000-0005-0000-0000-00007A0C0000}"/>
    <cellStyle name="계산 3 3 2 5" xfId="21217" xr:uid="{00000000-0005-0000-0000-00007B0C0000}"/>
    <cellStyle name="계산 3 3 2 5 2" xfId="24250" xr:uid="{00000000-0005-0000-0000-00007C0C0000}"/>
    <cellStyle name="계산 3 3 2 5 3" xfId="25441" xr:uid="{00000000-0005-0000-0000-00007D0C0000}"/>
    <cellStyle name="계산 3 3 2 5 4" xfId="28558" xr:uid="{00000000-0005-0000-0000-00007E0C0000}"/>
    <cellStyle name="계산 3 3 2 6" xfId="21154" xr:uid="{00000000-0005-0000-0000-00007F0C0000}"/>
    <cellStyle name="계산 3 3 2 6 2" xfId="24688" xr:uid="{00000000-0005-0000-0000-0000800C0000}"/>
    <cellStyle name="계산 3 3 2 6 3" xfId="25397" xr:uid="{00000000-0005-0000-0000-0000810C0000}"/>
    <cellStyle name="계산 3 3 2 6 4" xfId="28521" xr:uid="{00000000-0005-0000-0000-0000820C0000}"/>
    <cellStyle name="계산 3 3 2 7" xfId="21192" xr:uid="{00000000-0005-0000-0000-0000830C0000}"/>
    <cellStyle name="계산 3 3 2 7 2" xfId="23979" xr:uid="{00000000-0005-0000-0000-0000840C0000}"/>
    <cellStyle name="계산 3 3 2 7 3" xfId="25420" xr:uid="{00000000-0005-0000-0000-0000850C0000}"/>
    <cellStyle name="계산 3 3 2 7 4" xfId="28537" xr:uid="{00000000-0005-0000-0000-0000860C0000}"/>
    <cellStyle name="계산 3 3 2 8" xfId="20592" xr:uid="{00000000-0005-0000-0000-0000870C0000}"/>
    <cellStyle name="계산 3 3 2 9" xfId="18899" xr:uid="{00000000-0005-0000-0000-0000880C0000}"/>
    <cellStyle name="계산 3 3 3" xfId="14664" xr:uid="{00000000-0005-0000-0000-0000890C0000}"/>
    <cellStyle name="계산 3 3 3 10" xfId="27932" xr:uid="{00000000-0005-0000-0000-00008A0C0000}"/>
    <cellStyle name="계산 3 3 3 11" xfId="17665" xr:uid="{00000000-0005-0000-0000-00008B0C0000}"/>
    <cellStyle name="계산 3 3 3 2" xfId="15595" xr:uid="{00000000-0005-0000-0000-00008C0C0000}"/>
    <cellStyle name="계산 3 3 3 2 2" xfId="24172" xr:uid="{00000000-0005-0000-0000-00008D0C0000}"/>
    <cellStyle name="계산 3 3 3 2 3" xfId="25820" xr:uid="{00000000-0005-0000-0000-00008E0C0000}"/>
    <cellStyle name="계산 3 3 3 2 4" xfId="28934" xr:uid="{00000000-0005-0000-0000-00008F0C0000}"/>
    <cellStyle name="계산 3 3 3 2 5" xfId="21590" xr:uid="{00000000-0005-0000-0000-0000900C0000}"/>
    <cellStyle name="계산 3 3 3 3" xfId="15949" xr:uid="{00000000-0005-0000-0000-0000910C0000}"/>
    <cellStyle name="계산 3 3 3 3 2" xfId="19567" xr:uid="{00000000-0005-0000-0000-0000920C0000}"/>
    <cellStyle name="계산 3 3 3 3 3" xfId="26373" xr:uid="{00000000-0005-0000-0000-0000930C0000}"/>
    <cellStyle name="계산 3 3 3 3 4" xfId="29487" xr:uid="{00000000-0005-0000-0000-0000940C0000}"/>
    <cellStyle name="계산 3 3 3 3 5" xfId="22143" xr:uid="{00000000-0005-0000-0000-0000950C0000}"/>
    <cellStyle name="계산 3 3 3 4" xfId="16377" xr:uid="{00000000-0005-0000-0000-0000960C0000}"/>
    <cellStyle name="계산 3 3 3 4 2" xfId="19865" xr:uid="{00000000-0005-0000-0000-0000970C0000}"/>
    <cellStyle name="계산 3 3 3 4 3" xfId="26849" xr:uid="{00000000-0005-0000-0000-0000980C0000}"/>
    <cellStyle name="계산 3 3 3 4 4" xfId="29963" xr:uid="{00000000-0005-0000-0000-0000990C0000}"/>
    <cellStyle name="계산 3 3 3 4 5" xfId="22619" xr:uid="{00000000-0005-0000-0000-00009A0C0000}"/>
    <cellStyle name="계산 3 3 3 5" xfId="23034" xr:uid="{00000000-0005-0000-0000-00009B0C0000}"/>
    <cellStyle name="계산 3 3 3 5 2" xfId="20246" xr:uid="{00000000-0005-0000-0000-00009C0C0000}"/>
    <cellStyle name="계산 3 3 3 5 3" xfId="27264" xr:uid="{00000000-0005-0000-0000-00009D0C0000}"/>
    <cellStyle name="계산 3 3 3 5 4" xfId="30378" xr:uid="{00000000-0005-0000-0000-00009E0C0000}"/>
    <cellStyle name="계산 3 3 3 6" xfId="23429" xr:uid="{00000000-0005-0000-0000-00009F0C0000}"/>
    <cellStyle name="계산 3 3 3 6 2" xfId="21514" xr:uid="{00000000-0005-0000-0000-0000A00C0000}"/>
    <cellStyle name="계산 3 3 3 6 3" xfId="27659" xr:uid="{00000000-0005-0000-0000-0000A10C0000}"/>
    <cellStyle name="계산 3 3 3 6 4" xfId="30773" xr:uid="{00000000-0005-0000-0000-0000A20C0000}"/>
    <cellStyle name="계산 3 3 3 7" xfId="20560" xr:uid="{00000000-0005-0000-0000-0000A30C0000}"/>
    <cellStyle name="계산 3 3 3 8" xfId="18867" xr:uid="{00000000-0005-0000-0000-0000A40C0000}"/>
    <cellStyle name="계산 3 3 3 9" xfId="24808" xr:uid="{00000000-0005-0000-0000-0000A50C0000}"/>
    <cellStyle name="계산 3 3 4" xfId="15072" xr:uid="{00000000-0005-0000-0000-0000A60C0000}"/>
    <cellStyle name="계산 3 3 4 2" xfId="15791" xr:uid="{00000000-0005-0000-0000-0000A70C0000}"/>
    <cellStyle name="계산 3 3 4 2 2" xfId="23773" xr:uid="{00000000-0005-0000-0000-0000A80C0000}"/>
    <cellStyle name="계산 3 3 4 2 3" xfId="26204" xr:uid="{00000000-0005-0000-0000-0000A90C0000}"/>
    <cellStyle name="계산 3 3 4 2 4" xfId="29318" xr:uid="{00000000-0005-0000-0000-0000AA0C0000}"/>
    <cellStyle name="계산 3 3 4 2 5" xfId="21974" xr:uid="{00000000-0005-0000-0000-0000AB0C0000}"/>
    <cellStyle name="계산 3 3 4 3" xfId="16184" xr:uid="{00000000-0005-0000-0000-0000AC0C0000}"/>
    <cellStyle name="계산 3 3 4 3 2" xfId="19708" xr:uid="{00000000-0005-0000-0000-0000AD0C0000}"/>
    <cellStyle name="계산 3 3 4 3 3" xfId="26677" xr:uid="{00000000-0005-0000-0000-0000AE0C0000}"/>
    <cellStyle name="계산 3 3 4 3 4" xfId="29791" xr:uid="{00000000-0005-0000-0000-0000AF0C0000}"/>
    <cellStyle name="계산 3 3 4 3 5" xfId="22447" xr:uid="{00000000-0005-0000-0000-0000B00C0000}"/>
    <cellStyle name="계산 3 3 4 4" xfId="16378" xr:uid="{00000000-0005-0000-0000-0000B10C0000}"/>
    <cellStyle name="계산 3 3 4 4 2" xfId="20141" xr:uid="{00000000-0005-0000-0000-0000B20C0000}"/>
    <cellStyle name="계산 3 3 4 4 3" xfId="27150" xr:uid="{00000000-0005-0000-0000-0000B30C0000}"/>
    <cellStyle name="계산 3 3 4 4 4" xfId="30264" xr:uid="{00000000-0005-0000-0000-0000B40C0000}"/>
    <cellStyle name="계산 3 3 4 4 5" xfId="22920" xr:uid="{00000000-0005-0000-0000-0000B50C0000}"/>
    <cellStyle name="계산 3 3 4 5" xfId="23265" xr:uid="{00000000-0005-0000-0000-0000B60C0000}"/>
    <cellStyle name="계산 3 3 4 5 2" xfId="20318" xr:uid="{00000000-0005-0000-0000-0000B70C0000}"/>
    <cellStyle name="계산 3 3 4 5 3" xfId="27495" xr:uid="{00000000-0005-0000-0000-0000B80C0000}"/>
    <cellStyle name="계산 3 3 4 5 4" xfId="30609" xr:uid="{00000000-0005-0000-0000-0000B90C0000}"/>
    <cellStyle name="계산 3 3 4 6" xfId="19507" xr:uid="{00000000-0005-0000-0000-0000BA0C0000}"/>
    <cellStyle name="계산 3 3 4 7" xfId="25653" xr:uid="{00000000-0005-0000-0000-0000BB0C0000}"/>
    <cellStyle name="계산 3 3 4 8" xfId="28770" xr:uid="{00000000-0005-0000-0000-0000BC0C0000}"/>
    <cellStyle name="계산 3 3 4 9" xfId="17703" xr:uid="{00000000-0005-0000-0000-0000BD0C0000}"/>
    <cellStyle name="계산 3 3 5" xfId="14948" xr:uid="{00000000-0005-0000-0000-0000BE0C0000}"/>
    <cellStyle name="계산 3 3 5 2" xfId="15698" xr:uid="{00000000-0005-0000-0000-0000BF0C0000}"/>
    <cellStyle name="계산 3 3 5 2 2" xfId="31476" xr:uid="{00000000-0005-0000-0000-0000C00C0000}"/>
    <cellStyle name="계산 3 3 5 2 3" xfId="20859" xr:uid="{00000000-0005-0000-0000-0000C10C0000}"/>
    <cellStyle name="계산 3 3 5 3" xfId="16060" xr:uid="{00000000-0005-0000-0000-0000C20C0000}"/>
    <cellStyle name="계산 3 3 5 3 2" xfId="31703" xr:uid="{00000000-0005-0000-0000-0000C30C0000}"/>
    <cellStyle name="계산 3 3 5 3 3" xfId="24777" xr:uid="{00000000-0005-0000-0000-0000C40C0000}"/>
    <cellStyle name="계산 3 3 5 4" xfId="16379" xr:uid="{00000000-0005-0000-0000-0000C50C0000}"/>
    <cellStyle name="계산 3 3 5 4 2" xfId="31959" xr:uid="{00000000-0005-0000-0000-0000C60C0000}"/>
    <cellStyle name="계산 3 3 5 4 3" xfId="25110" xr:uid="{00000000-0005-0000-0000-0000C70C0000}"/>
    <cellStyle name="계산 3 3 5 5" xfId="28234" xr:uid="{00000000-0005-0000-0000-0000C80C0000}"/>
    <cellStyle name="계산 3 3 5 6" xfId="17830" xr:uid="{00000000-0005-0000-0000-0000C90C0000}"/>
    <cellStyle name="계산 3 3 6" xfId="15018" xr:uid="{00000000-0005-0000-0000-0000CA0C0000}"/>
    <cellStyle name="계산 3 3 6 2" xfId="15746" xr:uid="{00000000-0005-0000-0000-0000CB0C0000}"/>
    <cellStyle name="계산 3 3 6 2 2" xfId="31524" xr:uid="{00000000-0005-0000-0000-0000CC0C0000}"/>
    <cellStyle name="계산 3 3 6 3" xfId="16130" xr:uid="{00000000-0005-0000-0000-0000CD0C0000}"/>
    <cellStyle name="계산 3 3 6 3 2" xfId="31773" xr:uid="{00000000-0005-0000-0000-0000CE0C0000}"/>
    <cellStyle name="계산 3 3 6 4" xfId="16380" xr:uid="{00000000-0005-0000-0000-0000CF0C0000}"/>
    <cellStyle name="계산 3 3 6 4 2" xfId="31960" xr:uid="{00000000-0005-0000-0000-0000D00C0000}"/>
    <cellStyle name="계산 3 3 6 5" xfId="31235" xr:uid="{00000000-0005-0000-0000-0000D10C0000}"/>
    <cellStyle name="계산 3 3 6 6" xfId="18636" xr:uid="{00000000-0005-0000-0000-0000D20C0000}"/>
    <cellStyle name="계산 3 3 7" xfId="14889" xr:uid="{00000000-0005-0000-0000-0000D30C0000}"/>
    <cellStyle name="계산 3 3 7 2" xfId="15650" xr:uid="{00000000-0005-0000-0000-0000D40C0000}"/>
    <cellStyle name="계산 3 3 7 2 2" xfId="31428" xr:uid="{00000000-0005-0000-0000-0000D50C0000}"/>
    <cellStyle name="계산 3 3 7 3" xfId="16001" xr:uid="{00000000-0005-0000-0000-0000D60C0000}"/>
    <cellStyle name="계산 3 3 7 3 2" xfId="31644" xr:uid="{00000000-0005-0000-0000-0000D70C0000}"/>
    <cellStyle name="계산 3 3 7 4" xfId="16381" xr:uid="{00000000-0005-0000-0000-0000D80C0000}"/>
    <cellStyle name="계산 3 3 7 4 2" xfId="31961" xr:uid="{00000000-0005-0000-0000-0000D90C0000}"/>
    <cellStyle name="계산 3 3 7 5" xfId="31172" xr:uid="{00000000-0005-0000-0000-0000DA0C0000}"/>
    <cellStyle name="계산 3 3 7 6" xfId="18094" xr:uid="{00000000-0005-0000-0000-0000DB0C0000}"/>
    <cellStyle name="계산 3 3 8" xfId="15054" xr:uid="{00000000-0005-0000-0000-0000DC0C0000}"/>
    <cellStyle name="계산 3 3 8 2" xfId="16166" xr:uid="{00000000-0005-0000-0000-0000DD0C0000}"/>
    <cellStyle name="계산 3 3 8 2 2" xfId="31809" xr:uid="{00000000-0005-0000-0000-0000DE0C0000}"/>
    <cellStyle name="계산 3 3 8 3" xfId="16382" xr:uid="{00000000-0005-0000-0000-0000DF0C0000}"/>
    <cellStyle name="계산 3 3 8 3 2" xfId="31962" xr:uid="{00000000-0005-0000-0000-0000E00C0000}"/>
    <cellStyle name="계산 3 3 8 4" xfId="16383" xr:uid="{00000000-0005-0000-0000-0000E10C0000}"/>
    <cellStyle name="계산 3 3 8 4 2" xfId="31963" xr:uid="{00000000-0005-0000-0000-0000E20C0000}"/>
    <cellStyle name="계산 3 3 8 5" xfId="18617" xr:uid="{00000000-0005-0000-0000-0000E30C0000}"/>
    <cellStyle name="계산 3 3 9" xfId="15344" xr:uid="{00000000-0005-0000-0000-0000E40C0000}"/>
    <cellStyle name="계산 3 3 9 2" xfId="15326" xr:uid="{00000000-0005-0000-0000-0000E50C0000}"/>
    <cellStyle name="계산 3 3 9 2 2" xfId="31373" xr:uid="{00000000-0005-0000-0000-0000E60C0000}"/>
    <cellStyle name="계산 3 3 9 3" xfId="16384" xr:uid="{00000000-0005-0000-0000-0000E70C0000}"/>
    <cellStyle name="계산 3 3 9 3 2" xfId="31964" xr:uid="{00000000-0005-0000-0000-0000E80C0000}"/>
    <cellStyle name="계산 3 3 9 4" xfId="16385" xr:uid="{00000000-0005-0000-0000-0000E90C0000}"/>
    <cellStyle name="계산 3 3 9 4 2" xfId="31965" xr:uid="{00000000-0005-0000-0000-0000EA0C0000}"/>
    <cellStyle name="계산 3 3 9 5" xfId="31391" xr:uid="{00000000-0005-0000-0000-0000EB0C0000}"/>
    <cellStyle name="계산 3 4" xfId="11846" xr:uid="{00000000-0005-0000-0000-0000EC0C0000}"/>
    <cellStyle name="계산 3 4 10" xfId="15170" xr:uid="{00000000-0005-0000-0000-0000ED0C0000}"/>
    <cellStyle name="계산 3 4 10 2" xfId="31306" xr:uid="{00000000-0005-0000-0000-0000EE0C0000}"/>
    <cellStyle name="계산 3 4 11" xfId="16386" xr:uid="{00000000-0005-0000-0000-0000EF0C0000}"/>
    <cellStyle name="계산 3 4 11 2" xfId="31966" xr:uid="{00000000-0005-0000-0000-0000F00C0000}"/>
    <cellStyle name="계산 3 4 12" xfId="16387" xr:uid="{00000000-0005-0000-0000-0000F10C0000}"/>
    <cellStyle name="계산 3 4 12 2" xfId="31967" xr:uid="{00000000-0005-0000-0000-0000F20C0000}"/>
    <cellStyle name="계산 3 4 13" xfId="17224" xr:uid="{00000000-0005-0000-0000-0000F30C0000}"/>
    <cellStyle name="계산 3 4 2" xfId="14626" xr:uid="{00000000-0005-0000-0000-0000F40C0000}"/>
    <cellStyle name="계산 3 4 2 10" xfId="24841" xr:uid="{00000000-0005-0000-0000-0000F50C0000}"/>
    <cellStyle name="계산 3 4 2 11" xfId="27965" xr:uid="{00000000-0005-0000-0000-0000F60C0000}"/>
    <cellStyle name="계산 3 4 2 12" xfId="17600" xr:uid="{00000000-0005-0000-0000-0000F70C0000}"/>
    <cellStyle name="계산 3 4 2 2" xfId="15557" xr:uid="{00000000-0005-0000-0000-0000F80C0000}"/>
    <cellStyle name="계산 3 4 2 2 10" xfId="17831" xr:uid="{00000000-0005-0000-0000-0000F90C0000}"/>
    <cellStyle name="계산 3 4 2 2 2" xfId="22176" xr:uid="{00000000-0005-0000-0000-0000FA0C0000}"/>
    <cellStyle name="계산 3 4 2 2 2 2" xfId="19394" xr:uid="{00000000-0005-0000-0000-0000FB0C0000}"/>
    <cellStyle name="계산 3 4 2 2 2 3" xfId="26406" xr:uid="{00000000-0005-0000-0000-0000FC0C0000}"/>
    <cellStyle name="계산 3 4 2 2 2 4" xfId="29520" xr:uid="{00000000-0005-0000-0000-0000FD0C0000}"/>
    <cellStyle name="계산 3 4 2 2 3" xfId="22652" xr:uid="{00000000-0005-0000-0000-0000FE0C0000}"/>
    <cellStyle name="계산 3 4 2 2 3 2" xfId="19898" xr:uid="{00000000-0005-0000-0000-0000FF0C0000}"/>
    <cellStyle name="계산 3 4 2 2 3 3" xfId="26882" xr:uid="{00000000-0005-0000-0000-0000000D0000}"/>
    <cellStyle name="계산 3 4 2 2 3 4" xfId="29996" xr:uid="{00000000-0005-0000-0000-0000010D0000}"/>
    <cellStyle name="계산 3 4 2 2 4" xfId="23063" xr:uid="{00000000-0005-0000-0000-0000020D0000}"/>
    <cellStyle name="계산 3 4 2 2 4 2" xfId="20273" xr:uid="{00000000-0005-0000-0000-0000030D0000}"/>
    <cellStyle name="계산 3 4 2 2 4 3" xfId="27293" xr:uid="{00000000-0005-0000-0000-0000040D0000}"/>
    <cellStyle name="계산 3 4 2 2 4 4" xfId="30407" xr:uid="{00000000-0005-0000-0000-0000050D0000}"/>
    <cellStyle name="계산 3 4 2 2 5" xfId="23462" xr:uid="{00000000-0005-0000-0000-0000060D0000}"/>
    <cellStyle name="계산 3 4 2 2 5 2" xfId="18127" xr:uid="{00000000-0005-0000-0000-0000070D0000}"/>
    <cellStyle name="계산 3 4 2 2 5 3" xfId="27692" xr:uid="{00000000-0005-0000-0000-0000080D0000}"/>
    <cellStyle name="계산 3 4 2 2 5 4" xfId="30806" xr:uid="{00000000-0005-0000-0000-0000090D0000}"/>
    <cellStyle name="계산 3 4 2 2 6" xfId="21623" xr:uid="{00000000-0005-0000-0000-00000A0D0000}"/>
    <cellStyle name="계산 3 4 2 2 7" xfId="23712" xr:uid="{00000000-0005-0000-0000-00000B0D0000}"/>
    <cellStyle name="계산 3 4 2 2 8" xfId="25853" xr:uid="{00000000-0005-0000-0000-00000C0D0000}"/>
    <cellStyle name="계산 3 4 2 2 9" xfId="28967" xr:uid="{00000000-0005-0000-0000-00000D0D0000}"/>
    <cellStyle name="계산 3 4 2 3" xfId="15911" xr:uid="{00000000-0005-0000-0000-00000E0D0000}"/>
    <cellStyle name="계산 3 4 2 3 2" xfId="21303" xr:uid="{00000000-0005-0000-0000-00000F0D0000}"/>
    <cellStyle name="계산 3 4 2 3 3" xfId="23953" xr:uid="{00000000-0005-0000-0000-0000100D0000}"/>
    <cellStyle name="계산 3 4 2 3 4" xfId="25516" xr:uid="{00000000-0005-0000-0000-0000110D0000}"/>
    <cellStyle name="계산 3 4 2 3 5" xfId="28633" xr:uid="{00000000-0005-0000-0000-0000120D0000}"/>
    <cellStyle name="계산 3 4 2 3 6" xfId="17832" xr:uid="{00000000-0005-0000-0000-0000130D0000}"/>
    <cellStyle name="계산 3 4 2 4" xfId="16388" xr:uid="{00000000-0005-0000-0000-0000140D0000}"/>
    <cellStyle name="계산 3 4 2 4 2" xfId="19417" xr:uid="{00000000-0005-0000-0000-0000150D0000}"/>
    <cellStyle name="계산 3 4 2 4 3" xfId="25372" xr:uid="{00000000-0005-0000-0000-0000160D0000}"/>
    <cellStyle name="계산 3 4 2 4 4" xfId="28496" xr:uid="{00000000-0005-0000-0000-0000170D0000}"/>
    <cellStyle name="계산 3 4 2 4 5" xfId="21128" xr:uid="{00000000-0005-0000-0000-0000180D0000}"/>
    <cellStyle name="계산 3 4 2 5" xfId="21218" xr:uid="{00000000-0005-0000-0000-0000190D0000}"/>
    <cellStyle name="계산 3 4 2 5 2" xfId="24067" xr:uid="{00000000-0005-0000-0000-00001A0D0000}"/>
    <cellStyle name="계산 3 4 2 5 3" xfId="25442" xr:uid="{00000000-0005-0000-0000-00001B0D0000}"/>
    <cellStyle name="계산 3 4 2 5 4" xfId="28559" xr:uid="{00000000-0005-0000-0000-00001C0D0000}"/>
    <cellStyle name="계산 3 4 2 6" xfId="20827" xr:uid="{00000000-0005-0000-0000-00001D0D0000}"/>
    <cellStyle name="계산 3 4 2 6 2" xfId="19133" xr:uid="{00000000-0005-0000-0000-00001E0D0000}"/>
    <cellStyle name="계산 3 4 2 6 3" xfId="25078" xr:uid="{00000000-0005-0000-0000-00001F0D0000}"/>
    <cellStyle name="계산 3 4 2 6 4" xfId="28202" xr:uid="{00000000-0005-0000-0000-0000200D0000}"/>
    <cellStyle name="계산 3 4 2 7" xfId="21193" xr:uid="{00000000-0005-0000-0000-0000210D0000}"/>
    <cellStyle name="계산 3 4 2 7 2" xfId="24689" xr:uid="{00000000-0005-0000-0000-0000220D0000}"/>
    <cellStyle name="계산 3 4 2 7 3" xfId="25421" xr:uid="{00000000-0005-0000-0000-0000230D0000}"/>
    <cellStyle name="계산 3 4 2 7 4" xfId="28538" xr:uid="{00000000-0005-0000-0000-0000240D0000}"/>
    <cellStyle name="계산 3 4 2 8" xfId="20593" xr:uid="{00000000-0005-0000-0000-0000250D0000}"/>
    <cellStyle name="계산 3 4 2 9" xfId="18900" xr:uid="{00000000-0005-0000-0000-0000260D0000}"/>
    <cellStyle name="계산 3 4 3" xfId="14581" xr:uid="{00000000-0005-0000-0000-0000270D0000}"/>
    <cellStyle name="계산 3 4 3 10" xfId="27933" xr:uid="{00000000-0005-0000-0000-0000280D0000}"/>
    <cellStyle name="계산 3 4 3 11" xfId="17664" xr:uid="{00000000-0005-0000-0000-0000290D0000}"/>
    <cellStyle name="계산 3 4 3 2" xfId="15512" xr:uid="{00000000-0005-0000-0000-00002A0D0000}"/>
    <cellStyle name="계산 3 4 3 2 2" xfId="23944" xr:uid="{00000000-0005-0000-0000-00002B0D0000}"/>
    <cellStyle name="계산 3 4 3 2 3" xfId="25821" xr:uid="{00000000-0005-0000-0000-00002C0D0000}"/>
    <cellStyle name="계산 3 4 3 2 4" xfId="28935" xr:uid="{00000000-0005-0000-0000-00002D0D0000}"/>
    <cellStyle name="계산 3 4 3 2 5" xfId="21591" xr:uid="{00000000-0005-0000-0000-00002E0D0000}"/>
    <cellStyle name="계산 3 4 3 3" xfId="15866" xr:uid="{00000000-0005-0000-0000-00002F0D0000}"/>
    <cellStyle name="계산 3 4 3 3 2" xfId="19568" xr:uid="{00000000-0005-0000-0000-0000300D0000}"/>
    <cellStyle name="계산 3 4 3 3 3" xfId="26374" xr:uid="{00000000-0005-0000-0000-0000310D0000}"/>
    <cellStyle name="계산 3 4 3 3 4" xfId="29488" xr:uid="{00000000-0005-0000-0000-0000320D0000}"/>
    <cellStyle name="계산 3 4 3 3 5" xfId="22144" xr:uid="{00000000-0005-0000-0000-0000330D0000}"/>
    <cellStyle name="계산 3 4 3 4" xfId="16389" xr:uid="{00000000-0005-0000-0000-0000340D0000}"/>
    <cellStyle name="계산 3 4 3 4 2" xfId="19866" xr:uid="{00000000-0005-0000-0000-0000350D0000}"/>
    <cellStyle name="계산 3 4 3 4 3" xfId="26850" xr:uid="{00000000-0005-0000-0000-0000360D0000}"/>
    <cellStyle name="계산 3 4 3 4 4" xfId="29964" xr:uid="{00000000-0005-0000-0000-0000370D0000}"/>
    <cellStyle name="계산 3 4 3 4 5" xfId="22620" xr:uid="{00000000-0005-0000-0000-0000380D0000}"/>
    <cellStyle name="계산 3 4 3 5" xfId="23035" xr:uid="{00000000-0005-0000-0000-0000390D0000}"/>
    <cellStyle name="계산 3 4 3 5 2" xfId="20247" xr:uid="{00000000-0005-0000-0000-00003A0D0000}"/>
    <cellStyle name="계산 3 4 3 5 3" xfId="27265" xr:uid="{00000000-0005-0000-0000-00003B0D0000}"/>
    <cellStyle name="계산 3 4 3 5 4" xfId="30379" xr:uid="{00000000-0005-0000-0000-00003C0D0000}"/>
    <cellStyle name="계산 3 4 3 6" xfId="23430" xr:uid="{00000000-0005-0000-0000-00003D0D0000}"/>
    <cellStyle name="계산 3 4 3 6 2" xfId="20481" xr:uid="{00000000-0005-0000-0000-00003E0D0000}"/>
    <cellStyle name="계산 3 4 3 6 3" xfId="27660" xr:uid="{00000000-0005-0000-0000-00003F0D0000}"/>
    <cellStyle name="계산 3 4 3 6 4" xfId="30774" xr:uid="{00000000-0005-0000-0000-0000400D0000}"/>
    <cellStyle name="계산 3 4 3 7" xfId="20561" xr:uid="{00000000-0005-0000-0000-0000410D0000}"/>
    <cellStyle name="계산 3 4 3 8" xfId="18868" xr:uid="{00000000-0005-0000-0000-0000420D0000}"/>
    <cellStyle name="계산 3 4 3 9" xfId="24809" xr:uid="{00000000-0005-0000-0000-0000430D0000}"/>
    <cellStyle name="계산 3 4 4" xfId="15073" xr:uid="{00000000-0005-0000-0000-0000440D0000}"/>
    <cellStyle name="계산 3 4 4 2" xfId="15792" xr:uid="{00000000-0005-0000-0000-0000450D0000}"/>
    <cellStyle name="계산 3 4 4 2 2" xfId="23795" xr:uid="{00000000-0005-0000-0000-0000460D0000}"/>
    <cellStyle name="계산 3 4 4 2 3" xfId="26205" xr:uid="{00000000-0005-0000-0000-0000470D0000}"/>
    <cellStyle name="계산 3 4 4 2 4" xfId="29319" xr:uid="{00000000-0005-0000-0000-0000480D0000}"/>
    <cellStyle name="계산 3 4 4 2 5" xfId="21975" xr:uid="{00000000-0005-0000-0000-0000490D0000}"/>
    <cellStyle name="계산 3 4 4 3" xfId="16185" xr:uid="{00000000-0005-0000-0000-00004A0D0000}"/>
    <cellStyle name="계산 3 4 4 3 2" xfId="19709" xr:uid="{00000000-0005-0000-0000-00004B0D0000}"/>
    <cellStyle name="계산 3 4 4 3 3" xfId="26678" xr:uid="{00000000-0005-0000-0000-00004C0D0000}"/>
    <cellStyle name="계산 3 4 4 3 4" xfId="29792" xr:uid="{00000000-0005-0000-0000-00004D0D0000}"/>
    <cellStyle name="계산 3 4 4 3 5" xfId="22448" xr:uid="{00000000-0005-0000-0000-00004E0D0000}"/>
    <cellStyle name="계산 3 4 4 4" xfId="16390" xr:uid="{00000000-0005-0000-0000-00004F0D0000}"/>
    <cellStyle name="계산 3 4 4 4 2" xfId="20142" xr:uid="{00000000-0005-0000-0000-0000500D0000}"/>
    <cellStyle name="계산 3 4 4 4 3" xfId="27151" xr:uid="{00000000-0005-0000-0000-0000510D0000}"/>
    <cellStyle name="계산 3 4 4 4 4" xfId="30265" xr:uid="{00000000-0005-0000-0000-0000520D0000}"/>
    <cellStyle name="계산 3 4 4 4 5" xfId="22921" xr:uid="{00000000-0005-0000-0000-0000530D0000}"/>
    <cellStyle name="계산 3 4 4 5" xfId="23266" xr:uid="{00000000-0005-0000-0000-0000540D0000}"/>
    <cellStyle name="계산 3 4 4 5 2" xfId="21474" xr:uid="{00000000-0005-0000-0000-0000550D0000}"/>
    <cellStyle name="계산 3 4 4 5 3" xfId="27496" xr:uid="{00000000-0005-0000-0000-0000560D0000}"/>
    <cellStyle name="계산 3 4 4 5 4" xfId="30610" xr:uid="{00000000-0005-0000-0000-0000570D0000}"/>
    <cellStyle name="계산 3 4 4 6" xfId="19508" xr:uid="{00000000-0005-0000-0000-0000580D0000}"/>
    <cellStyle name="계산 3 4 4 7" xfId="25654" xr:uid="{00000000-0005-0000-0000-0000590D0000}"/>
    <cellStyle name="계산 3 4 4 8" xfId="28771" xr:uid="{00000000-0005-0000-0000-00005A0D0000}"/>
    <cellStyle name="계산 3 4 4 9" xfId="17702" xr:uid="{00000000-0005-0000-0000-00005B0D0000}"/>
    <cellStyle name="계산 3 4 5" xfId="14947" xr:uid="{00000000-0005-0000-0000-00005C0D0000}"/>
    <cellStyle name="계산 3 4 5 2" xfId="15697" xr:uid="{00000000-0005-0000-0000-00005D0D0000}"/>
    <cellStyle name="계산 3 4 5 2 2" xfId="31475" xr:uid="{00000000-0005-0000-0000-00005E0D0000}"/>
    <cellStyle name="계산 3 4 5 2 3" xfId="20860" xr:uid="{00000000-0005-0000-0000-00005F0D0000}"/>
    <cellStyle name="계산 3 4 5 3" xfId="16059" xr:uid="{00000000-0005-0000-0000-0000600D0000}"/>
    <cellStyle name="계산 3 4 5 3 2" xfId="31702" xr:uid="{00000000-0005-0000-0000-0000610D0000}"/>
    <cellStyle name="계산 3 4 5 3 3" xfId="24518" xr:uid="{00000000-0005-0000-0000-0000620D0000}"/>
    <cellStyle name="계산 3 4 5 4" xfId="16391" xr:uid="{00000000-0005-0000-0000-0000630D0000}"/>
    <cellStyle name="계산 3 4 5 4 2" xfId="31968" xr:uid="{00000000-0005-0000-0000-0000640D0000}"/>
    <cellStyle name="계산 3 4 5 4 3" xfId="25111" xr:uid="{00000000-0005-0000-0000-0000650D0000}"/>
    <cellStyle name="계산 3 4 5 5" xfId="28235" xr:uid="{00000000-0005-0000-0000-0000660D0000}"/>
    <cellStyle name="계산 3 4 5 6" xfId="17833" xr:uid="{00000000-0005-0000-0000-0000670D0000}"/>
    <cellStyle name="계산 3 4 6" xfId="15140" xr:uid="{00000000-0005-0000-0000-0000680D0000}"/>
    <cellStyle name="계산 3 4 6 2" xfId="15851" xr:uid="{00000000-0005-0000-0000-0000690D0000}"/>
    <cellStyle name="계산 3 4 6 2 2" xfId="31595" xr:uid="{00000000-0005-0000-0000-00006A0D0000}"/>
    <cellStyle name="계산 3 4 6 3" xfId="16252" xr:uid="{00000000-0005-0000-0000-00006B0D0000}"/>
    <cellStyle name="계산 3 4 6 3 2" xfId="31861" xr:uid="{00000000-0005-0000-0000-00006C0D0000}"/>
    <cellStyle name="계산 3 4 6 4" xfId="16392" xr:uid="{00000000-0005-0000-0000-00006D0D0000}"/>
    <cellStyle name="계산 3 4 6 4 2" xfId="31969" xr:uid="{00000000-0005-0000-0000-00006E0D0000}"/>
    <cellStyle name="계산 3 4 6 5" xfId="31284" xr:uid="{00000000-0005-0000-0000-00006F0D0000}"/>
    <cellStyle name="계산 3 4 6 6" xfId="18637" xr:uid="{00000000-0005-0000-0000-0000700D0000}"/>
    <cellStyle name="계산 3 4 7" xfId="14984" xr:uid="{00000000-0005-0000-0000-0000710D0000}"/>
    <cellStyle name="계산 3 4 7 2" xfId="15734" xr:uid="{00000000-0005-0000-0000-0000720D0000}"/>
    <cellStyle name="계산 3 4 7 2 2" xfId="31512" xr:uid="{00000000-0005-0000-0000-0000730D0000}"/>
    <cellStyle name="계산 3 4 7 3" xfId="16096" xr:uid="{00000000-0005-0000-0000-0000740D0000}"/>
    <cellStyle name="계산 3 4 7 3 2" xfId="31739" xr:uid="{00000000-0005-0000-0000-0000750D0000}"/>
    <cellStyle name="계산 3 4 7 4" xfId="16393" xr:uid="{00000000-0005-0000-0000-0000760D0000}"/>
    <cellStyle name="계산 3 4 7 4 2" xfId="31970" xr:uid="{00000000-0005-0000-0000-0000770D0000}"/>
    <cellStyle name="계산 3 4 7 5" xfId="31223" xr:uid="{00000000-0005-0000-0000-0000780D0000}"/>
    <cellStyle name="계산 3 4 7 6" xfId="18601" xr:uid="{00000000-0005-0000-0000-0000790D0000}"/>
    <cellStyle name="계산 3 4 8" xfId="15132" xr:uid="{00000000-0005-0000-0000-00007A0D0000}"/>
    <cellStyle name="계산 3 4 8 2" xfId="16244" xr:uid="{00000000-0005-0000-0000-00007B0D0000}"/>
    <cellStyle name="계산 3 4 8 2 2" xfId="31853" xr:uid="{00000000-0005-0000-0000-00007C0D0000}"/>
    <cellStyle name="계산 3 4 8 3" xfId="16394" xr:uid="{00000000-0005-0000-0000-00007D0D0000}"/>
    <cellStyle name="계산 3 4 8 3 2" xfId="31971" xr:uid="{00000000-0005-0000-0000-00007E0D0000}"/>
    <cellStyle name="계산 3 4 8 4" xfId="16395" xr:uid="{00000000-0005-0000-0000-00007F0D0000}"/>
    <cellStyle name="계산 3 4 8 4 2" xfId="31972" xr:uid="{00000000-0005-0000-0000-0000800D0000}"/>
    <cellStyle name="계산 3 4 8 5" xfId="24757" xr:uid="{00000000-0005-0000-0000-0000810D0000}"/>
    <cellStyle name="계산 3 4 9" xfId="15345" xr:uid="{00000000-0005-0000-0000-0000820D0000}"/>
    <cellStyle name="계산 3 4 9 2" xfId="15325" xr:uid="{00000000-0005-0000-0000-0000830D0000}"/>
    <cellStyle name="계산 3 4 9 2 2" xfId="31372" xr:uid="{00000000-0005-0000-0000-0000840D0000}"/>
    <cellStyle name="계산 3 4 9 3" xfId="16396" xr:uid="{00000000-0005-0000-0000-0000850D0000}"/>
    <cellStyle name="계산 3 4 9 3 2" xfId="31973" xr:uid="{00000000-0005-0000-0000-0000860D0000}"/>
    <cellStyle name="계산 3 4 9 4" xfId="16397" xr:uid="{00000000-0005-0000-0000-0000870D0000}"/>
    <cellStyle name="계산 3 4 9 4 2" xfId="31974" xr:uid="{00000000-0005-0000-0000-0000880D0000}"/>
    <cellStyle name="계산 3 4 9 5" xfId="31392" xr:uid="{00000000-0005-0000-0000-0000890D0000}"/>
    <cellStyle name="계산 3 5" xfId="11847" xr:uid="{00000000-0005-0000-0000-00008A0D0000}"/>
    <cellStyle name="계산 3 5 10" xfId="15171" xr:uid="{00000000-0005-0000-0000-00008B0D0000}"/>
    <cellStyle name="계산 3 5 10 2" xfId="31307" xr:uid="{00000000-0005-0000-0000-00008C0D0000}"/>
    <cellStyle name="계산 3 5 11" xfId="16398" xr:uid="{00000000-0005-0000-0000-00008D0D0000}"/>
    <cellStyle name="계산 3 5 11 2" xfId="31975" xr:uid="{00000000-0005-0000-0000-00008E0D0000}"/>
    <cellStyle name="계산 3 5 12" xfId="16399" xr:uid="{00000000-0005-0000-0000-00008F0D0000}"/>
    <cellStyle name="계산 3 5 12 2" xfId="31976" xr:uid="{00000000-0005-0000-0000-0000900D0000}"/>
    <cellStyle name="계산 3 5 13" xfId="17225" xr:uid="{00000000-0005-0000-0000-0000910D0000}"/>
    <cellStyle name="계산 3 5 2" xfId="14625" xr:uid="{00000000-0005-0000-0000-0000920D0000}"/>
    <cellStyle name="계산 3 5 2 10" xfId="24842" xr:uid="{00000000-0005-0000-0000-0000930D0000}"/>
    <cellStyle name="계산 3 5 2 11" xfId="27966" xr:uid="{00000000-0005-0000-0000-0000940D0000}"/>
    <cellStyle name="계산 3 5 2 12" xfId="17599" xr:uid="{00000000-0005-0000-0000-0000950D0000}"/>
    <cellStyle name="계산 3 5 2 2" xfId="15556" xr:uid="{00000000-0005-0000-0000-0000960D0000}"/>
    <cellStyle name="계산 3 5 2 2 10" xfId="17834" xr:uid="{00000000-0005-0000-0000-0000970D0000}"/>
    <cellStyle name="계산 3 5 2 2 2" xfId="22177" xr:uid="{00000000-0005-0000-0000-0000980D0000}"/>
    <cellStyle name="계산 3 5 2 2 2 2" xfId="18328" xr:uid="{00000000-0005-0000-0000-0000990D0000}"/>
    <cellStyle name="계산 3 5 2 2 2 3" xfId="26407" xr:uid="{00000000-0005-0000-0000-00009A0D0000}"/>
    <cellStyle name="계산 3 5 2 2 2 4" xfId="29521" xr:uid="{00000000-0005-0000-0000-00009B0D0000}"/>
    <cellStyle name="계산 3 5 2 2 3" xfId="22653" xr:uid="{00000000-0005-0000-0000-00009C0D0000}"/>
    <cellStyle name="계산 3 5 2 2 3 2" xfId="21206" xr:uid="{00000000-0005-0000-0000-00009D0D0000}"/>
    <cellStyle name="계산 3 5 2 2 3 3" xfId="26883" xr:uid="{00000000-0005-0000-0000-00009E0D0000}"/>
    <cellStyle name="계산 3 5 2 2 3 4" xfId="29997" xr:uid="{00000000-0005-0000-0000-00009F0D0000}"/>
    <cellStyle name="계산 3 5 2 2 4" xfId="23064" xr:uid="{00000000-0005-0000-0000-0000A00D0000}"/>
    <cellStyle name="계산 3 5 2 2 4 2" xfId="20274" xr:uid="{00000000-0005-0000-0000-0000A10D0000}"/>
    <cellStyle name="계산 3 5 2 2 4 3" xfId="27294" xr:uid="{00000000-0005-0000-0000-0000A20D0000}"/>
    <cellStyle name="계산 3 5 2 2 4 4" xfId="30408" xr:uid="{00000000-0005-0000-0000-0000A30D0000}"/>
    <cellStyle name="계산 3 5 2 2 5" xfId="23463" xr:uid="{00000000-0005-0000-0000-0000A40D0000}"/>
    <cellStyle name="계산 3 5 2 2 5 2" xfId="18128" xr:uid="{00000000-0005-0000-0000-0000A50D0000}"/>
    <cellStyle name="계산 3 5 2 2 5 3" xfId="27693" xr:uid="{00000000-0005-0000-0000-0000A60D0000}"/>
    <cellStyle name="계산 3 5 2 2 5 4" xfId="30807" xr:uid="{00000000-0005-0000-0000-0000A70D0000}"/>
    <cellStyle name="계산 3 5 2 2 6" xfId="21624" xr:uid="{00000000-0005-0000-0000-0000A80D0000}"/>
    <cellStyle name="계산 3 5 2 2 7" xfId="24650" xr:uid="{00000000-0005-0000-0000-0000A90D0000}"/>
    <cellStyle name="계산 3 5 2 2 8" xfId="25854" xr:uid="{00000000-0005-0000-0000-0000AA0D0000}"/>
    <cellStyle name="계산 3 5 2 2 9" xfId="28968" xr:uid="{00000000-0005-0000-0000-0000AB0D0000}"/>
    <cellStyle name="계산 3 5 2 3" xfId="15910" xr:uid="{00000000-0005-0000-0000-0000AC0D0000}"/>
    <cellStyle name="계산 3 5 2 3 2" xfId="21304" xr:uid="{00000000-0005-0000-0000-0000AD0D0000}"/>
    <cellStyle name="계산 3 5 2 3 3" xfId="24765" xr:uid="{00000000-0005-0000-0000-0000AE0D0000}"/>
    <cellStyle name="계산 3 5 2 3 4" xfId="25517" xr:uid="{00000000-0005-0000-0000-0000AF0D0000}"/>
    <cellStyle name="계산 3 5 2 3 5" xfId="28634" xr:uid="{00000000-0005-0000-0000-0000B00D0000}"/>
    <cellStyle name="계산 3 5 2 3 6" xfId="17835" xr:uid="{00000000-0005-0000-0000-0000B10D0000}"/>
    <cellStyle name="계산 3 5 2 4" xfId="16400" xr:uid="{00000000-0005-0000-0000-0000B20D0000}"/>
    <cellStyle name="계산 3 5 2 4 2" xfId="23686" xr:uid="{00000000-0005-0000-0000-0000B30D0000}"/>
    <cellStyle name="계산 3 5 2 4 3" xfId="25371" xr:uid="{00000000-0005-0000-0000-0000B40D0000}"/>
    <cellStyle name="계산 3 5 2 4 4" xfId="28495" xr:uid="{00000000-0005-0000-0000-0000B50D0000}"/>
    <cellStyle name="계산 3 5 2 4 5" xfId="21127" xr:uid="{00000000-0005-0000-0000-0000B60D0000}"/>
    <cellStyle name="계산 3 5 2 5" xfId="21219" xr:uid="{00000000-0005-0000-0000-0000B70D0000}"/>
    <cellStyle name="계산 3 5 2 5 2" xfId="19368" xr:uid="{00000000-0005-0000-0000-0000B80D0000}"/>
    <cellStyle name="계산 3 5 2 5 3" xfId="25443" xr:uid="{00000000-0005-0000-0000-0000B90D0000}"/>
    <cellStyle name="계산 3 5 2 5 4" xfId="28560" xr:uid="{00000000-0005-0000-0000-0000BA0D0000}"/>
    <cellStyle name="계산 3 5 2 6" xfId="21060" xr:uid="{00000000-0005-0000-0000-0000BB0D0000}"/>
    <cellStyle name="계산 3 5 2 6 2" xfId="23749" xr:uid="{00000000-0005-0000-0000-0000BC0D0000}"/>
    <cellStyle name="계산 3 5 2 6 3" xfId="25305" xr:uid="{00000000-0005-0000-0000-0000BD0D0000}"/>
    <cellStyle name="계산 3 5 2 6 4" xfId="28429" xr:uid="{00000000-0005-0000-0000-0000BE0D0000}"/>
    <cellStyle name="계산 3 5 2 7" xfId="21194" xr:uid="{00000000-0005-0000-0000-0000BF0D0000}"/>
    <cellStyle name="계산 3 5 2 7 2" xfId="24429" xr:uid="{00000000-0005-0000-0000-0000C00D0000}"/>
    <cellStyle name="계산 3 5 2 7 3" xfId="25422" xr:uid="{00000000-0005-0000-0000-0000C10D0000}"/>
    <cellStyle name="계산 3 5 2 7 4" xfId="28539" xr:uid="{00000000-0005-0000-0000-0000C20D0000}"/>
    <cellStyle name="계산 3 5 2 8" xfId="20594" xr:uid="{00000000-0005-0000-0000-0000C30D0000}"/>
    <cellStyle name="계산 3 5 2 9" xfId="18901" xr:uid="{00000000-0005-0000-0000-0000C40D0000}"/>
    <cellStyle name="계산 3 5 3" xfId="14663" xr:uid="{00000000-0005-0000-0000-0000C50D0000}"/>
    <cellStyle name="계산 3 5 3 10" xfId="27934" xr:uid="{00000000-0005-0000-0000-0000C60D0000}"/>
    <cellStyle name="계산 3 5 3 11" xfId="17663" xr:uid="{00000000-0005-0000-0000-0000C70D0000}"/>
    <cellStyle name="계산 3 5 3 2" xfId="15594" xr:uid="{00000000-0005-0000-0000-0000C80D0000}"/>
    <cellStyle name="계산 3 5 3 2 2" xfId="24755" xr:uid="{00000000-0005-0000-0000-0000C90D0000}"/>
    <cellStyle name="계산 3 5 3 2 3" xfId="25822" xr:uid="{00000000-0005-0000-0000-0000CA0D0000}"/>
    <cellStyle name="계산 3 5 3 2 4" xfId="28936" xr:uid="{00000000-0005-0000-0000-0000CB0D0000}"/>
    <cellStyle name="계산 3 5 3 2 5" xfId="21592" xr:uid="{00000000-0005-0000-0000-0000CC0D0000}"/>
    <cellStyle name="계산 3 5 3 3" xfId="15948" xr:uid="{00000000-0005-0000-0000-0000CD0D0000}"/>
    <cellStyle name="계산 3 5 3 3 2" xfId="19569" xr:uid="{00000000-0005-0000-0000-0000CE0D0000}"/>
    <cellStyle name="계산 3 5 3 3 3" xfId="26375" xr:uid="{00000000-0005-0000-0000-0000CF0D0000}"/>
    <cellStyle name="계산 3 5 3 3 4" xfId="29489" xr:uid="{00000000-0005-0000-0000-0000D00D0000}"/>
    <cellStyle name="계산 3 5 3 3 5" xfId="22145" xr:uid="{00000000-0005-0000-0000-0000D10D0000}"/>
    <cellStyle name="계산 3 5 3 4" xfId="16401" xr:uid="{00000000-0005-0000-0000-0000D20D0000}"/>
    <cellStyle name="계산 3 5 3 4 2" xfId="19867" xr:uid="{00000000-0005-0000-0000-0000D30D0000}"/>
    <cellStyle name="계산 3 5 3 4 3" xfId="26851" xr:uid="{00000000-0005-0000-0000-0000D40D0000}"/>
    <cellStyle name="계산 3 5 3 4 4" xfId="29965" xr:uid="{00000000-0005-0000-0000-0000D50D0000}"/>
    <cellStyle name="계산 3 5 3 4 5" xfId="22621" xr:uid="{00000000-0005-0000-0000-0000D60D0000}"/>
    <cellStyle name="계산 3 5 3 5" xfId="23036" xr:uid="{00000000-0005-0000-0000-0000D70D0000}"/>
    <cellStyle name="계산 3 5 3 5 2" xfId="23839" xr:uid="{00000000-0005-0000-0000-0000D80D0000}"/>
    <cellStyle name="계산 3 5 3 5 3" xfId="27266" xr:uid="{00000000-0005-0000-0000-0000D90D0000}"/>
    <cellStyle name="계산 3 5 3 5 4" xfId="30380" xr:uid="{00000000-0005-0000-0000-0000DA0D0000}"/>
    <cellStyle name="계산 3 5 3 6" xfId="23431" xr:uid="{00000000-0005-0000-0000-0000DB0D0000}"/>
    <cellStyle name="계산 3 5 3 6 2" xfId="18086" xr:uid="{00000000-0005-0000-0000-0000DC0D0000}"/>
    <cellStyle name="계산 3 5 3 6 3" xfId="27661" xr:uid="{00000000-0005-0000-0000-0000DD0D0000}"/>
    <cellStyle name="계산 3 5 3 6 4" xfId="30775" xr:uid="{00000000-0005-0000-0000-0000DE0D0000}"/>
    <cellStyle name="계산 3 5 3 7" xfId="20562" xr:uid="{00000000-0005-0000-0000-0000DF0D0000}"/>
    <cellStyle name="계산 3 5 3 8" xfId="18869" xr:uid="{00000000-0005-0000-0000-0000E00D0000}"/>
    <cellStyle name="계산 3 5 3 9" xfId="24810" xr:uid="{00000000-0005-0000-0000-0000E10D0000}"/>
    <cellStyle name="계산 3 5 4" xfId="15074" xr:uid="{00000000-0005-0000-0000-0000E20D0000}"/>
    <cellStyle name="계산 3 5 4 2" xfId="15793" xr:uid="{00000000-0005-0000-0000-0000E30D0000}"/>
    <cellStyle name="계산 3 5 4 2 2" xfId="23921" xr:uid="{00000000-0005-0000-0000-0000E40D0000}"/>
    <cellStyle name="계산 3 5 4 2 3" xfId="26206" xr:uid="{00000000-0005-0000-0000-0000E50D0000}"/>
    <cellStyle name="계산 3 5 4 2 4" xfId="29320" xr:uid="{00000000-0005-0000-0000-0000E60D0000}"/>
    <cellStyle name="계산 3 5 4 2 5" xfId="21976" xr:uid="{00000000-0005-0000-0000-0000E70D0000}"/>
    <cellStyle name="계산 3 5 4 3" xfId="16186" xr:uid="{00000000-0005-0000-0000-0000E80D0000}"/>
    <cellStyle name="계산 3 5 4 3 2" xfId="19710" xr:uid="{00000000-0005-0000-0000-0000E90D0000}"/>
    <cellStyle name="계산 3 5 4 3 3" xfId="26679" xr:uid="{00000000-0005-0000-0000-0000EA0D0000}"/>
    <cellStyle name="계산 3 5 4 3 4" xfId="29793" xr:uid="{00000000-0005-0000-0000-0000EB0D0000}"/>
    <cellStyle name="계산 3 5 4 3 5" xfId="22449" xr:uid="{00000000-0005-0000-0000-0000EC0D0000}"/>
    <cellStyle name="계산 3 5 4 4" xfId="16402" xr:uid="{00000000-0005-0000-0000-0000ED0D0000}"/>
    <cellStyle name="계산 3 5 4 4 2" xfId="20143" xr:uid="{00000000-0005-0000-0000-0000EE0D0000}"/>
    <cellStyle name="계산 3 5 4 4 3" xfId="27152" xr:uid="{00000000-0005-0000-0000-0000EF0D0000}"/>
    <cellStyle name="계산 3 5 4 4 4" xfId="30266" xr:uid="{00000000-0005-0000-0000-0000F00D0000}"/>
    <cellStyle name="계산 3 5 4 4 5" xfId="22922" xr:uid="{00000000-0005-0000-0000-0000F10D0000}"/>
    <cellStyle name="계산 3 5 4 5" xfId="23267" xr:uid="{00000000-0005-0000-0000-0000F20D0000}"/>
    <cellStyle name="계산 3 5 4 5 2" xfId="20319" xr:uid="{00000000-0005-0000-0000-0000F30D0000}"/>
    <cellStyle name="계산 3 5 4 5 3" xfId="27497" xr:uid="{00000000-0005-0000-0000-0000F40D0000}"/>
    <cellStyle name="계산 3 5 4 5 4" xfId="30611" xr:uid="{00000000-0005-0000-0000-0000F50D0000}"/>
    <cellStyle name="계산 3 5 4 6" xfId="19509" xr:uid="{00000000-0005-0000-0000-0000F60D0000}"/>
    <cellStyle name="계산 3 5 4 7" xfId="25655" xr:uid="{00000000-0005-0000-0000-0000F70D0000}"/>
    <cellStyle name="계산 3 5 4 8" xfId="28772" xr:uid="{00000000-0005-0000-0000-0000F80D0000}"/>
    <cellStyle name="계산 3 5 4 9" xfId="17701" xr:uid="{00000000-0005-0000-0000-0000F90D0000}"/>
    <cellStyle name="계산 3 5 5" xfId="14946" xr:uid="{00000000-0005-0000-0000-0000FA0D0000}"/>
    <cellStyle name="계산 3 5 5 2" xfId="15696" xr:uid="{00000000-0005-0000-0000-0000FB0D0000}"/>
    <cellStyle name="계산 3 5 5 2 2" xfId="31474" xr:uid="{00000000-0005-0000-0000-0000FC0D0000}"/>
    <cellStyle name="계산 3 5 5 2 3" xfId="20861" xr:uid="{00000000-0005-0000-0000-0000FD0D0000}"/>
    <cellStyle name="계산 3 5 5 3" xfId="16058" xr:uid="{00000000-0005-0000-0000-0000FE0D0000}"/>
    <cellStyle name="계산 3 5 5 3 2" xfId="31701" xr:uid="{00000000-0005-0000-0000-0000FF0D0000}"/>
    <cellStyle name="계산 3 5 5 3 3" xfId="24343" xr:uid="{00000000-0005-0000-0000-0000000E0000}"/>
    <cellStyle name="계산 3 5 5 4" xfId="16403" xr:uid="{00000000-0005-0000-0000-0000010E0000}"/>
    <cellStyle name="계산 3 5 5 4 2" xfId="31977" xr:uid="{00000000-0005-0000-0000-0000020E0000}"/>
    <cellStyle name="계산 3 5 5 4 3" xfId="25112" xr:uid="{00000000-0005-0000-0000-0000030E0000}"/>
    <cellStyle name="계산 3 5 5 5" xfId="28236" xr:uid="{00000000-0005-0000-0000-0000040E0000}"/>
    <cellStyle name="계산 3 5 5 6" xfId="17836" xr:uid="{00000000-0005-0000-0000-0000050E0000}"/>
    <cellStyle name="계산 3 5 6" xfId="15019" xr:uid="{00000000-0005-0000-0000-0000060E0000}"/>
    <cellStyle name="계산 3 5 6 2" xfId="15747" xr:uid="{00000000-0005-0000-0000-0000070E0000}"/>
    <cellStyle name="계산 3 5 6 2 2" xfId="31525" xr:uid="{00000000-0005-0000-0000-0000080E0000}"/>
    <cellStyle name="계산 3 5 6 3" xfId="16131" xr:uid="{00000000-0005-0000-0000-0000090E0000}"/>
    <cellStyle name="계산 3 5 6 3 2" xfId="31774" xr:uid="{00000000-0005-0000-0000-00000A0E0000}"/>
    <cellStyle name="계산 3 5 6 4" xfId="16404" xr:uid="{00000000-0005-0000-0000-00000B0E0000}"/>
    <cellStyle name="계산 3 5 6 4 2" xfId="31978" xr:uid="{00000000-0005-0000-0000-00000C0E0000}"/>
    <cellStyle name="계산 3 5 6 5" xfId="31236" xr:uid="{00000000-0005-0000-0000-00000D0E0000}"/>
    <cellStyle name="계산 3 5 6 6" xfId="18638" xr:uid="{00000000-0005-0000-0000-00000E0E0000}"/>
    <cellStyle name="계산 3 5 7" xfId="14983" xr:uid="{00000000-0005-0000-0000-00000F0E0000}"/>
    <cellStyle name="계산 3 5 7 2" xfId="15733" xr:uid="{00000000-0005-0000-0000-0000100E0000}"/>
    <cellStyle name="계산 3 5 7 2 2" xfId="31511" xr:uid="{00000000-0005-0000-0000-0000110E0000}"/>
    <cellStyle name="계산 3 5 7 3" xfId="16095" xr:uid="{00000000-0005-0000-0000-0000120E0000}"/>
    <cellStyle name="계산 3 5 7 3 2" xfId="31738" xr:uid="{00000000-0005-0000-0000-0000130E0000}"/>
    <cellStyle name="계산 3 5 7 4" xfId="16405" xr:uid="{00000000-0005-0000-0000-0000140E0000}"/>
    <cellStyle name="계산 3 5 7 4 2" xfId="31979" xr:uid="{00000000-0005-0000-0000-0000150E0000}"/>
    <cellStyle name="계산 3 5 7 5" xfId="31222" xr:uid="{00000000-0005-0000-0000-0000160E0000}"/>
    <cellStyle name="계산 3 5 7 6" xfId="18600" xr:uid="{00000000-0005-0000-0000-0000170E0000}"/>
    <cellStyle name="계산 3 5 8" xfId="14993" xr:uid="{00000000-0005-0000-0000-0000180E0000}"/>
    <cellStyle name="계산 3 5 8 2" xfId="16105" xr:uid="{00000000-0005-0000-0000-0000190E0000}"/>
    <cellStyle name="계산 3 5 8 2 2" xfId="31748" xr:uid="{00000000-0005-0000-0000-00001A0E0000}"/>
    <cellStyle name="계산 3 5 8 3" xfId="16406" xr:uid="{00000000-0005-0000-0000-00001B0E0000}"/>
    <cellStyle name="계산 3 5 8 3 2" xfId="31980" xr:uid="{00000000-0005-0000-0000-00001C0E0000}"/>
    <cellStyle name="계산 3 5 8 4" xfId="16407" xr:uid="{00000000-0005-0000-0000-00001D0E0000}"/>
    <cellStyle name="계산 3 5 8 4 2" xfId="31981" xr:uid="{00000000-0005-0000-0000-00001E0E0000}"/>
    <cellStyle name="계산 3 5 8 5" xfId="18831" xr:uid="{00000000-0005-0000-0000-00001F0E0000}"/>
    <cellStyle name="계산 3 5 9" xfId="15346" xr:uid="{00000000-0005-0000-0000-0000200E0000}"/>
    <cellStyle name="계산 3 5 9 2" xfId="15324" xr:uid="{00000000-0005-0000-0000-0000210E0000}"/>
    <cellStyle name="계산 3 5 9 2 2" xfId="31371" xr:uid="{00000000-0005-0000-0000-0000220E0000}"/>
    <cellStyle name="계산 3 5 9 3" xfId="16408" xr:uid="{00000000-0005-0000-0000-0000230E0000}"/>
    <cellStyle name="계산 3 5 9 3 2" xfId="31982" xr:uid="{00000000-0005-0000-0000-0000240E0000}"/>
    <cellStyle name="계산 3 5 9 4" xfId="16409" xr:uid="{00000000-0005-0000-0000-0000250E0000}"/>
    <cellStyle name="계산 3 5 9 4 2" xfId="31983" xr:uid="{00000000-0005-0000-0000-0000260E0000}"/>
    <cellStyle name="계산 3 5 9 5" xfId="31393" xr:uid="{00000000-0005-0000-0000-0000270E0000}"/>
    <cellStyle name="계산 3 6" xfId="11848" xr:uid="{00000000-0005-0000-0000-0000280E0000}"/>
    <cellStyle name="계산 3 6 10" xfId="15172" xr:uid="{00000000-0005-0000-0000-0000290E0000}"/>
    <cellStyle name="계산 3 6 10 2" xfId="31308" xr:uid="{00000000-0005-0000-0000-00002A0E0000}"/>
    <cellStyle name="계산 3 6 11" xfId="16410" xr:uid="{00000000-0005-0000-0000-00002B0E0000}"/>
    <cellStyle name="계산 3 6 11 2" xfId="31984" xr:uid="{00000000-0005-0000-0000-00002C0E0000}"/>
    <cellStyle name="계산 3 6 12" xfId="16411" xr:uid="{00000000-0005-0000-0000-00002D0E0000}"/>
    <cellStyle name="계산 3 6 12 2" xfId="31985" xr:uid="{00000000-0005-0000-0000-00002E0E0000}"/>
    <cellStyle name="계산 3 6 13" xfId="17226" xr:uid="{00000000-0005-0000-0000-00002F0E0000}"/>
    <cellStyle name="계산 3 6 2" xfId="14624" xr:uid="{00000000-0005-0000-0000-0000300E0000}"/>
    <cellStyle name="계산 3 6 2 10" xfId="24843" xr:uid="{00000000-0005-0000-0000-0000310E0000}"/>
    <cellStyle name="계산 3 6 2 11" xfId="27967" xr:uid="{00000000-0005-0000-0000-0000320E0000}"/>
    <cellStyle name="계산 3 6 2 12" xfId="17598" xr:uid="{00000000-0005-0000-0000-0000330E0000}"/>
    <cellStyle name="계산 3 6 2 2" xfId="15555" xr:uid="{00000000-0005-0000-0000-0000340E0000}"/>
    <cellStyle name="계산 3 6 2 2 10" xfId="17837" xr:uid="{00000000-0005-0000-0000-0000350E0000}"/>
    <cellStyle name="계산 3 6 2 2 2" xfId="22178" xr:uid="{00000000-0005-0000-0000-0000360E0000}"/>
    <cellStyle name="계산 3 6 2 2 2 2" xfId="18329" xr:uid="{00000000-0005-0000-0000-0000370E0000}"/>
    <cellStyle name="계산 3 6 2 2 2 3" xfId="26408" xr:uid="{00000000-0005-0000-0000-0000380E0000}"/>
    <cellStyle name="계산 3 6 2 2 2 4" xfId="29522" xr:uid="{00000000-0005-0000-0000-0000390E0000}"/>
    <cellStyle name="계산 3 6 2 2 3" xfId="22654" xr:uid="{00000000-0005-0000-0000-00003A0E0000}"/>
    <cellStyle name="계산 3 6 2 2 3 2" xfId="19899" xr:uid="{00000000-0005-0000-0000-00003B0E0000}"/>
    <cellStyle name="계산 3 6 2 2 3 3" xfId="26884" xr:uid="{00000000-0005-0000-0000-00003C0E0000}"/>
    <cellStyle name="계산 3 6 2 2 3 4" xfId="29998" xr:uid="{00000000-0005-0000-0000-00003D0E0000}"/>
    <cellStyle name="계산 3 6 2 2 4" xfId="23065" xr:uid="{00000000-0005-0000-0000-00003E0E0000}"/>
    <cellStyle name="계산 3 6 2 2 4 2" xfId="19163" xr:uid="{00000000-0005-0000-0000-00003F0E0000}"/>
    <cellStyle name="계산 3 6 2 2 4 3" xfId="27295" xr:uid="{00000000-0005-0000-0000-0000400E0000}"/>
    <cellStyle name="계산 3 6 2 2 4 4" xfId="30409" xr:uid="{00000000-0005-0000-0000-0000410E0000}"/>
    <cellStyle name="계산 3 6 2 2 5" xfId="23464" xr:uid="{00000000-0005-0000-0000-0000420E0000}"/>
    <cellStyle name="계산 3 6 2 2 5 2" xfId="18129" xr:uid="{00000000-0005-0000-0000-0000430E0000}"/>
    <cellStyle name="계산 3 6 2 2 5 3" xfId="27694" xr:uid="{00000000-0005-0000-0000-0000440E0000}"/>
    <cellStyle name="계산 3 6 2 2 5 4" xfId="30808" xr:uid="{00000000-0005-0000-0000-0000450E0000}"/>
    <cellStyle name="계산 3 6 2 2 6" xfId="21625" xr:uid="{00000000-0005-0000-0000-0000460E0000}"/>
    <cellStyle name="계산 3 6 2 2 7" xfId="24565" xr:uid="{00000000-0005-0000-0000-0000470E0000}"/>
    <cellStyle name="계산 3 6 2 2 8" xfId="25855" xr:uid="{00000000-0005-0000-0000-0000480E0000}"/>
    <cellStyle name="계산 3 6 2 2 9" xfId="28969" xr:uid="{00000000-0005-0000-0000-0000490E0000}"/>
    <cellStyle name="계산 3 6 2 3" xfId="15909" xr:uid="{00000000-0005-0000-0000-00004A0E0000}"/>
    <cellStyle name="계산 3 6 2 3 2" xfId="21305" xr:uid="{00000000-0005-0000-0000-00004B0E0000}"/>
    <cellStyle name="계산 3 6 2 3 3" xfId="24504" xr:uid="{00000000-0005-0000-0000-00004C0E0000}"/>
    <cellStyle name="계산 3 6 2 3 4" xfId="25518" xr:uid="{00000000-0005-0000-0000-00004D0E0000}"/>
    <cellStyle name="계산 3 6 2 3 5" xfId="28635" xr:uid="{00000000-0005-0000-0000-00004E0E0000}"/>
    <cellStyle name="계산 3 6 2 3 6" xfId="17838" xr:uid="{00000000-0005-0000-0000-00004F0E0000}"/>
    <cellStyle name="계산 3 6 2 4" xfId="16412" xr:uid="{00000000-0005-0000-0000-0000500E0000}"/>
    <cellStyle name="계산 3 6 2 4 2" xfId="24157" xr:uid="{00000000-0005-0000-0000-0000510E0000}"/>
    <cellStyle name="계산 3 6 2 4 3" xfId="25370" xr:uid="{00000000-0005-0000-0000-0000520E0000}"/>
    <cellStyle name="계산 3 6 2 4 4" xfId="28494" xr:uid="{00000000-0005-0000-0000-0000530E0000}"/>
    <cellStyle name="계산 3 6 2 4 5" xfId="21126" xr:uid="{00000000-0005-0000-0000-0000540E0000}"/>
    <cellStyle name="계산 3 6 2 5" xfId="21220" xr:uid="{00000000-0005-0000-0000-0000550E0000}"/>
    <cellStyle name="계산 3 6 2 5 2" xfId="23957" xr:uid="{00000000-0005-0000-0000-0000560E0000}"/>
    <cellStyle name="계산 3 6 2 5 3" xfId="25444" xr:uid="{00000000-0005-0000-0000-0000570E0000}"/>
    <cellStyle name="계산 3 6 2 5 4" xfId="28561" xr:uid="{00000000-0005-0000-0000-0000580E0000}"/>
    <cellStyle name="계산 3 6 2 6" xfId="21152" xr:uid="{00000000-0005-0000-0000-0000590E0000}"/>
    <cellStyle name="계산 3 6 2 6 2" xfId="24234" xr:uid="{00000000-0005-0000-0000-00005A0E0000}"/>
    <cellStyle name="계산 3 6 2 6 3" xfId="25396" xr:uid="{00000000-0005-0000-0000-00005B0E0000}"/>
    <cellStyle name="계산 3 6 2 6 4" xfId="28520" xr:uid="{00000000-0005-0000-0000-00005C0E0000}"/>
    <cellStyle name="계산 3 6 2 7" xfId="21057" xr:uid="{00000000-0005-0000-0000-00005D0E0000}"/>
    <cellStyle name="계산 3 6 2 7 2" xfId="24160" xr:uid="{00000000-0005-0000-0000-00005E0E0000}"/>
    <cellStyle name="계산 3 6 2 7 3" xfId="25302" xr:uid="{00000000-0005-0000-0000-00005F0E0000}"/>
    <cellStyle name="계산 3 6 2 7 4" xfId="28426" xr:uid="{00000000-0005-0000-0000-0000600E0000}"/>
    <cellStyle name="계산 3 6 2 8" xfId="20595" xr:uid="{00000000-0005-0000-0000-0000610E0000}"/>
    <cellStyle name="계산 3 6 2 9" xfId="18902" xr:uid="{00000000-0005-0000-0000-0000620E0000}"/>
    <cellStyle name="계산 3 6 3" xfId="14749" xr:uid="{00000000-0005-0000-0000-0000630E0000}"/>
    <cellStyle name="계산 3 6 3 10" xfId="27935" xr:uid="{00000000-0005-0000-0000-0000640E0000}"/>
    <cellStyle name="계산 3 6 3 11" xfId="17662" xr:uid="{00000000-0005-0000-0000-0000650E0000}"/>
    <cellStyle name="계산 3 6 3 2" xfId="15634" xr:uid="{00000000-0005-0000-0000-0000660E0000}"/>
    <cellStyle name="계산 3 6 3 2 2" xfId="24621" xr:uid="{00000000-0005-0000-0000-0000670E0000}"/>
    <cellStyle name="계산 3 6 3 2 3" xfId="25823" xr:uid="{00000000-0005-0000-0000-0000680E0000}"/>
    <cellStyle name="계산 3 6 3 2 4" xfId="28937" xr:uid="{00000000-0005-0000-0000-0000690E0000}"/>
    <cellStyle name="계산 3 6 3 2 5" xfId="21593" xr:uid="{00000000-0005-0000-0000-00006A0E0000}"/>
    <cellStyle name="계산 3 6 3 3" xfId="15984" xr:uid="{00000000-0005-0000-0000-00006B0E0000}"/>
    <cellStyle name="계산 3 6 3 3 2" xfId="19374" xr:uid="{00000000-0005-0000-0000-00006C0E0000}"/>
    <cellStyle name="계산 3 6 3 3 3" xfId="26376" xr:uid="{00000000-0005-0000-0000-00006D0E0000}"/>
    <cellStyle name="계산 3 6 3 3 4" xfId="29490" xr:uid="{00000000-0005-0000-0000-00006E0E0000}"/>
    <cellStyle name="계산 3 6 3 3 5" xfId="22146" xr:uid="{00000000-0005-0000-0000-00006F0E0000}"/>
    <cellStyle name="계산 3 6 3 4" xfId="16413" xr:uid="{00000000-0005-0000-0000-0000700E0000}"/>
    <cellStyle name="계산 3 6 3 4 2" xfId="19868" xr:uid="{00000000-0005-0000-0000-0000710E0000}"/>
    <cellStyle name="계산 3 6 3 4 3" xfId="26852" xr:uid="{00000000-0005-0000-0000-0000720E0000}"/>
    <cellStyle name="계산 3 6 3 4 4" xfId="29966" xr:uid="{00000000-0005-0000-0000-0000730E0000}"/>
    <cellStyle name="계산 3 6 3 4 5" xfId="22622" xr:uid="{00000000-0005-0000-0000-0000740E0000}"/>
    <cellStyle name="계산 3 6 3 5" xfId="23037" xr:uid="{00000000-0005-0000-0000-0000750E0000}"/>
    <cellStyle name="계산 3 6 3 5 2" xfId="20248" xr:uid="{00000000-0005-0000-0000-0000760E0000}"/>
    <cellStyle name="계산 3 6 3 5 3" xfId="27267" xr:uid="{00000000-0005-0000-0000-0000770E0000}"/>
    <cellStyle name="계산 3 6 3 5 4" xfId="30381" xr:uid="{00000000-0005-0000-0000-0000780E0000}"/>
    <cellStyle name="계산 3 6 3 6" xfId="23432" xr:uid="{00000000-0005-0000-0000-0000790E0000}"/>
    <cellStyle name="계산 3 6 3 6 2" xfId="18087" xr:uid="{00000000-0005-0000-0000-00007A0E0000}"/>
    <cellStyle name="계산 3 6 3 6 3" xfId="27662" xr:uid="{00000000-0005-0000-0000-00007B0E0000}"/>
    <cellStyle name="계산 3 6 3 6 4" xfId="30776" xr:uid="{00000000-0005-0000-0000-00007C0E0000}"/>
    <cellStyle name="계산 3 6 3 7" xfId="20563" xr:uid="{00000000-0005-0000-0000-00007D0E0000}"/>
    <cellStyle name="계산 3 6 3 8" xfId="18870" xr:uid="{00000000-0005-0000-0000-00007E0E0000}"/>
    <cellStyle name="계산 3 6 3 9" xfId="24811" xr:uid="{00000000-0005-0000-0000-00007F0E0000}"/>
    <cellStyle name="계산 3 6 4" xfId="15075" xr:uid="{00000000-0005-0000-0000-0000800E0000}"/>
    <cellStyle name="계산 3 6 4 2" xfId="15794" xr:uid="{00000000-0005-0000-0000-0000810E0000}"/>
    <cellStyle name="계산 3 6 4 2 2" xfId="24732" xr:uid="{00000000-0005-0000-0000-0000820E0000}"/>
    <cellStyle name="계산 3 6 4 2 3" xfId="26207" xr:uid="{00000000-0005-0000-0000-0000830E0000}"/>
    <cellStyle name="계산 3 6 4 2 4" xfId="29321" xr:uid="{00000000-0005-0000-0000-0000840E0000}"/>
    <cellStyle name="계산 3 6 4 2 5" xfId="21977" xr:uid="{00000000-0005-0000-0000-0000850E0000}"/>
    <cellStyle name="계산 3 6 4 3" xfId="16187" xr:uid="{00000000-0005-0000-0000-0000860E0000}"/>
    <cellStyle name="계산 3 6 4 3 2" xfId="24062" xr:uid="{00000000-0005-0000-0000-0000870E0000}"/>
    <cellStyle name="계산 3 6 4 3 3" xfId="26680" xr:uid="{00000000-0005-0000-0000-0000880E0000}"/>
    <cellStyle name="계산 3 6 4 3 4" xfId="29794" xr:uid="{00000000-0005-0000-0000-0000890E0000}"/>
    <cellStyle name="계산 3 6 4 3 5" xfId="22450" xr:uid="{00000000-0005-0000-0000-00008A0E0000}"/>
    <cellStyle name="계산 3 6 4 4" xfId="16414" xr:uid="{00000000-0005-0000-0000-00008B0E0000}"/>
    <cellStyle name="계산 3 6 4 4 2" xfId="20144" xr:uid="{00000000-0005-0000-0000-00008C0E0000}"/>
    <cellStyle name="계산 3 6 4 4 3" xfId="27153" xr:uid="{00000000-0005-0000-0000-00008D0E0000}"/>
    <cellStyle name="계산 3 6 4 4 4" xfId="30267" xr:uid="{00000000-0005-0000-0000-00008E0E0000}"/>
    <cellStyle name="계산 3 6 4 4 5" xfId="22923" xr:uid="{00000000-0005-0000-0000-00008F0E0000}"/>
    <cellStyle name="계산 3 6 4 5" xfId="23268" xr:uid="{00000000-0005-0000-0000-0000900E0000}"/>
    <cellStyle name="계산 3 6 4 5 2" xfId="21475" xr:uid="{00000000-0005-0000-0000-0000910E0000}"/>
    <cellStyle name="계산 3 6 4 5 3" xfId="27498" xr:uid="{00000000-0005-0000-0000-0000920E0000}"/>
    <cellStyle name="계산 3 6 4 5 4" xfId="30612" xr:uid="{00000000-0005-0000-0000-0000930E0000}"/>
    <cellStyle name="계산 3 6 4 6" xfId="19510" xr:uid="{00000000-0005-0000-0000-0000940E0000}"/>
    <cellStyle name="계산 3 6 4 7" xfId="25656" xr:uid="{00000000-0005-0000-0000-0000950E0000}"/>
    <cellStyle name="계산 3 6 4 8" xfId="28773" xr:uid="{00000000-0005-0000-0000-0000960E0000}"/>
    <cellStyle name="계산 3 6 4 9" xfId="17700" xr:uid="{00000000-0005-0000-0000-0000970E0000}"/>
    <cellStyle name="계산 3 6 5" xfId="14945" xr:uid="{00000000-0005-0000-0000-0000980E0000}"/>
    <cellStyle name="계산 3 6 5 2" xfId="15695" xr:uid="{00000000-0005-0000-0000-0000990E0000}"/>
    <cellStyle name="계산 3 6 5 2 2" xfId="31473" xr:uid="{00000000-0005-0000-0000-00009A0E0000}"/>
    <cellStyle name="계산 3 6 5 2 3" xfId="20862" xr:uid="{00000000-0005-0000-0000-00009B0E0000}"/>
    <cellStyle name="계산 3 6 5 3" xfId="16057" xr:uid="{00000000-0005-0000-0000-00009C0E0000}"/>
    <cellStyle name="계산 3 6 5 3 2" xfId="31700" xr:uid="{00000000-0005-0000-0000-00009D0E0000}"/>
    <cellStyle name="계산 3 6 5 3 3" xfId="24163" xr:uid="{00000000-0005-0000-0000-00009E0E0000}"/>
    <cellStyle name="계산 3 6 5 4" xfId="16415" xr:uid="{00000000-0005-0000-0000-00009F0E0000}"/>
    <cellStyle name="계산 3 6 5 4 2" xfId="31986" xr:uid="{00000000-0005-0000-0000-0000A00E0000}"/>
    <cellStyle name="계산 3 6 5 4 3" xfId="25113" xr:uid="{00000000-0005-0000-0000-0000A10E0000}"/>
    <cellStyle name="계산 3 6 5 5" xfId="28237" xr:uid="{00000000-0005-0000-0000-0000A20E0000}"/>
    <cellStyle name="계산 3 6 5 6" xfId="17839" xr:uid="{00000000-0005-0000-0000-0000A30E0000}"/>
    <cellStyle name="계산 3 6 6" xfId="15020" xr:uid="{00000000-0005-0000-0000-0000A40E0000}"/>
    <cellStyle name="계산 3 6 6 2" xfId="15748" xr:uid="{00000000-0005-0000-0000-0000A50E0000}"/>
    <cellStyle name="계산 3 6 6 2 2" xfId="31526" xr:uid="{00000000-0005-0000-0000-0000A60E0000}"/>
    <cellStyle name="계산 3 6 6 3" xfId="16132" xr:uid="{00000000-0005-0000-0000-0000A70E0000}"/>
    <cellStyle name="계산 3 6 6 3 2" xfId="31775" xr:uid="{00000000-0005-0000-0000-0000A80E0000}"/>
    <cellStyle name="계산 3 6 6 4" xfId="16416" xr:uid="{00000000-0005-0000-0000-0000A90E0000}"/>
    <cellStyle name="계산 3 6 6 4 2" xfId="31987" xr:uid="{00000000-0005-0000-0000-0000AA0E0000}"/>
    <cellStyle name="계산 3 6 6 5" xfId="31237" xr:uid="{00000000-0005-0000-0000-0000AB0E0000}"/>
    <cellStyle name="계산 3 6 6 6" xfId="18639" xr:uid="{00000000-0005-0000-0000-0000AC0E0000}"/>
    <cellStyle name="계산 3 6 7" xfId="14888" xr:uid="{00000000-0005-0000-0000-0000AD0E0000}"/>
    <cellStyle name="계산 3 6 7 2" xfId="15649" xr:uid="{00000000-0005-0000-0000-0000AE0E0000}"/>
    <cellStyle name="계산 3 6 7 2 2" xfId="31427" xr:uid="{00000000-0005-0000-0000-0000AF0E0000}"/>
    <cellStyle name="계산 3 6 7 3" xfId="16000" xr:uid="{00000000-0005-0000-0000-0000B00E0000}"/>
    <cellStyle name="계산 3 6 7 3 2" xfId="31643" xr:uid="{00000000-0005-0000-0000-0000B10E0000}"/>
    <cellStyle name="계산 3 6 7 4" xfId="16417" xr:uid="{00000000-0005-0000-0000-0000B20E0000}"/>
    <cellStyle name="계산 3 6 7 4 2" xfId="31988" xr:uid="{00000000-0005-0000-0000-0000B30E0000}"/>
    <cellStyle name="계산 3 6 7 5" xfId="31171" xr:uid="{00000000-0005-0000-0000-0000B40E0000}"/>
    <cellStyle name="계산 3 6 7 6" xfId="18599" xr:uid="{00000000-0005-0000-0000-0000B50E0000}"/>
    <cellStyle name="계산 3 6 8" xfId="15055" xr:uid="{00000000-0005-0000-0000-0000B60E0000}"/>
    <cellStyle name="계산 3 6 8 2" xfId="16167" xr:uid="{00000000-0005-0000-0000-0000B70E0000}"/>
    <cellStyle name="계산 3 6 8 2 2" xfId="31810" xr:uid="{00000000-0005-0000-0000-0000B80E0000}"/>
    <cellStyle name="계산 3 6 8 3" xfId="16418" xr:uid="{00000000-0005-0000-0000-0000B90E0000}"/>
    <cellStyle name="계산 3 6 8 3 2" xfId="31989" xr:uid="{00000000-0005-0000-0000-0000BA0E0000}"/>
    <cellStyle name="계산 3 6 8 4" xfId="16419" xr:uid="{00000000-0005-0000-0000-0000BB0E0000}"/>
    <cellStyle name="계산 3 6 8 4 2" xfId="31990" xr:uid="{00000000-0005-0000-0000-0000BC0E0000}"/>
    <cellStyle name="계산 3 6 8 5" xfId="18618" xr:uid="{00000000-0005-0000-0000-0000BD0E0000}"/>
    <cellStyle name="계산 3 6 9" xfId="15347" xr:uid="{00000000-0005-0000-0000-0000BE0E0000}"/>
    <cellStyle name="계산 3 6 9 2" xfId="15323" xr:uid="{00000000-0005-0000-0000-0000BF0E0000}"/>
    <cellStyle name="계산 3 6 9 2 2" xfId="31370" xr:uid="{00000000-0005-0000-0000-0000C00E0000}"/>
    <cellStyle name="계산 3 6 9 3" xfId="16420" xr:uid="{00000000-0005-0000-0000-0000C10E0000}"/>
    <cellStyle name="계산 3 6 9 3 2" xfId="31991" xr:uid="{00000000-0005-0000-0000-0000C20E0000}"/>
    <cellStyle name="계산 3 6 9 4" xfId="16421" xr:uid="{00000000-0005-0000-0000-0000C30E0000}"/>
    <cellStyle name="계산 3 6 9 4 2" xfId="31992" xr:uid="{00000000-0005-0000-0000-0000C40E0000}"/>
    <cellStyle name="계산 3 6 9 5" xfId="31394" xr:uid="{00000000-0005-0000-0000-0000C50E0000}"/>
    <cellStyle name="계산 3 7" xfId="11849" xr:uid="{00000000-0005-0000-0000-0000C60E0000}"/>
    <cellStyle name="계산 3 7 10" xfId="15173" xr:uid="{00000000-0005-0000-0000-0000C70E0000}"/>
    <cellStyle name="계산 3 7 10 2" xfId="31309" xr:uid="{00000000-0005-0000-0000-0000C80E0000}"/>
    <cellStyle name="계산 3 7 11" xfId="16422" xr:uid="{00000000-0005-0000-0000-0000C90E0000}"/>
    <cellStyle name="계산 3 7 11 2" xfId="31993" xr:uid="{00000000-0005-0000-0000-0000CA0E0000}"/>
    <cellStyle name="계산 3 7 12" xfId="16423" xr:uid="{00000000-0005-0000-0000-0000CB0E0000}"/>
    <cellStyle name="계산 3 7 12 2" xfId="31994" xr:uid="{00000000-0005-0000-0000-0000CC0E0000}"/>
    <cellStyle name="계산 3 7 13" xfId="17227" xr:uid="{00000000-0005-0000-0000-0000CD0E0000}"/>
    <cellStyle name="계산 3 7 2" xfId="14623" xr:uid="{00000000-0005-0000-0000-0000CE0E0000}"/>
    <cellStyle name="계산 3 7 2 10" xfId="24844" xr:uid="{00000000-0005-0000-0000-0000CF0E0000}"/>
    <cellStyle name="계산 3 7 2 11" xfId="27968" xr:uid="{00000000-0005-0000-0000-0000D00E0000}"/>
    <cellStyle name="계산 3 7 2 12" xfId="17597" xr:uid="{00000000-0005-0000-0000-0000D10E0000}"/>
    <cellStyle name="계산 3 7 2 2" xfId="15554" xr:uid="{00000000-0005-0000-0000-0000D20E0000}"/>
    <cellStyle name="계산 3 7 2 2 10" xfId="17840" xr:uid="{00000000-0005-0000-0000-0000D30E0000}"/>
    <cellStyle name="계산 3 7 2 2 2" xfId="22179" xr:uid="{00000000-0005-0000-0000-0000D40E0000}"/>
    <cellStyle name="계산 3 7 2 2 2 2" xfId="18330" xr:uid="{00000000-0005-0000-0000-0000D50E0000}"/>
    <cellStyle name="계산 3 7 2 2 2 3" xfId="26409" xr:uid="{00000000-0005-0000-0000-0000D60E0000}"/>
    <cellStyle name="계산 3 7 2 2 2 4" xfId="29523" xr:uid="{00000000-0005-0000-0000-0000D70E0000}"/>
    <cellStyle name="계산 3 7 2 2 3" xfId="22655" xr:uid="{00000000-0005-0000-0000-0000D80E0000}"/>
    <cellStyle name="계산 3 7 2 2 3 2" xfId="19900" xr:uid="{00000000-0005-0000-0000-0000D90E0000}"/>
    <cellStyle name="계산 3 7 2 2 3 3" xfId="26885" xr:uid="{00000000-0005-0000-0000-0000DA0E0000}"/>
    <cellStyle name="계산 3 7 2 2 3 4" xfId="29999" xr:uid="{00000000-0005-0000-0000-0000DB0E0000}"/>
    <cellStyle name="계산 3 7 2 2 4" xfId="23066" xr:uid="{00000000-0005-0000-0000-0000DC0E0000}"/>
    <cellStyle name="계산 3 7 2 2 4 2" xfId="19164" xr:uid="{00000000-0005-0000-0000-0000DD0E0000}"/>
    <cellStyle name="계산 3 7 2 2 4 3" xfId="27296" xr:uid="{00000000-0005-0000-0000-0000DE0E0000}"/>
    <cellStyle name="계산 3 7 2 2 4 4" xfId="30410" xr:uid="{00000000-0005-0000-0000-0000DF0E0000}"/>
    <cellStyle name="계산 3 7 2 2 5" xfId="23465" xr:uid="{00000000-0005-0000-0000-0000E00E0000}"/>
    <cellStyle name="계산 3 7 2 2 5 2" xfId="18130" xr:uid="{00000000-0005-0000-0000-0000E10E0000}"/>
    <cellStyle name="계산 3 7 2 2 5 3" xfId="27695" xr:uid="{00000000-0005-0000-0000-0000E20E0000}"/>
    <cellStyle name="계산 3 7 2 2 5 4" xfId="30809" xr:uid="{00000000-0005-0000-0000-0000E30E0000}"/>
    <cellStyle name="계산 3 7 2 2 6" xfId="21626" xr:uid="{00000000-0005-0000-0000-0000E40E0000}"/>
    <cellStyle name="계산 3 7 2 2 7" xfId="24389" xr:uid="{00000000-0005-0000-0000-0000E50E0000}"/>
    <cellStyle name="계산 3 7 2 2 8" xfId="25856" xr:uid="{00000000-0005-0000-0000-0000E60E0000}"/>
    <cellStyle name="계산 3 7 2 2 9" xfId="28970" xr:uid="{00000000-0005-0000-0000-0000E70E0000}"/>
    <cellStyle name="계산 3 7 2 3" xfId="15908" xr:uid="{00000000-0005-0000-0000-0000E80E0000}"/>
    <cellStyle name="계산 3 7 2 3 2" xfId="21306" xr:uid="{00000000-0005-0000-0000-0000E90E0000}"/>
    <cellStyle name="계산 3 7 2 3 3" xfId="24329" xr:uid="{00000000-0005-0000-0000-0000EA0E0000}"/>
    <cellStyle name="계산 3 7 2 3 4" xfId="25519" xr:uid="{00000000-0005-0000-0000-0000EB0E0000}"/>
    <cellStyle name="계산 3 7 2 3 5" xfId="28636" xr:uid="{00000000-0005-0000-0000-0000EC0E0000}"/>
    <cellStyle name="계산 3 7 2 3 6" xfId="17841" xr:uid="{00000000-0005-0000-0000-0000ED0E0000}"/>
    <cellStyle name="계산 3 7 2 4" xfId="16424" xr:uid="{00000000-0005-0000-0000-0000EE0E0000}"/>
    <cellStyle name="계산 3 7 2 4 2" xfId="24337" xr:uid="{00000000-0005-0000-0000-0000EF0E0000}"/>
    <cellStyle name="계산 3 7 2 4 3" xfId="25369" xr:uid="{00000000-0005-0000-0000-0000F00E0000}"/>
    <cellStyle name="계산 3 7 2 4 4" xfId="28493" xr:uid="{00000000-0005-0000-0000-0000F10E0000}"/>
    <cellStyle name="계산 3 7 2 4 5" xfId="21125" xr:uid="{00000000-0005-0000-0000-0000F20E0000}"/>
    <cellStyle name="계산 3 7 2 5" xfId="21107" xr:uid="{00000000-0005-0000-0000-0000F30E0000}"/>
    <cellStyle name="계산 3 7 2 5 2" xfId="23747" xr:uid="{00000000-0005-0000-0000-0000F40E0000}"/>
    <cellStyle name="계산 3 7 2 5 3" xfId="25352" xr:uid="{00000000-0005-0000-0000-0000F50E0000}"/>
    <cellStyle name="계산 3 7 2 5 4" xfId="28476" xr:uid="{00000000-0005-0000-0000-0000F60E0000}"/>
    <cellStyle name="계산 3 7 2 6" xfId="21151" xr:uid="{00000000-0005-0000-0000-0000F70E0000}"/>
    <cellStyle name="계산 3 7 2 6 2" xfId="24404" xr:uid="{00000000-0005-0000-0000-0000F80E0000}"/>
    <cellStyle name="계산 3 7 2 6 3" xfId="25395" xr:uid="{00000000-0005-0000-0000-0000F90E0000}"/>
    <cellStyle name="계산 3 7 2 6 4" xfId="28519" xr:uid="{00000000-0005-0000-0000-0000FA0E0000}"/>
    <cellStyle name="계산 3 7 2 7" xfId="20816" xr:uid="{00000000-0005-0000-0000-0000FB0E0000}"/>
    <cellStyle name="계산 3 7 2 7 2" xfId="19122" xr:uid="{00000000-0005-0000-0000-0000FC0E0000}"/>
    <cellStyle name="계산 3 7 2 7 3" xfId="25067" xr:uid="{00000000-0005-0000-0000-0000FD0E0000}"/>
    <cellStyle name="계산 3 7 2 7 4" xfId="28191" xr:uid="{00000000-0005-0000-0000-0000FE0E0000}"/>
    <cellStyle name="계산 3 7 2 8" xfId="20596" xr:uid="{00000000-0005-0000-0000-0000FF0E0000}"/>
    <cellStyle name="계산 3 7 2 9" xfId="18903" xr:uid="{00000000-0005-0000-0000-0000000F0000}"/>
    <cellStyle name="계산 3 7 3" xfId="14580" xr:uid="{00000000-0005-0000-0000-0000010F0000}"/>
    <cellStyle name="계산 3 7 3 10" xfId="27936" xr:uid="{00000000-0005-0000-0000-0000020F0000}"/>
    <cellStyle name="계산 3 7 3 11" xfId="17661" xr:uid="{00000000-0005-0000-0000-0000030F0000}"/>
    <cellStyle name="계산 3 7 3 2" xfId="15511" xr:uid="{00000000-0005-0000-0000-0000040F0000}"/>
    <cellStyle name="계산 3 7 3 2 2" xfId="24494" xr:uid="{00000000-0005-0000-0000-0000050F0000}"/>
    <cellStyle name="계산 3 7 3 2 3" xfId="25824" xr:uid="{00000000-0005-0000-0000-0000060F0000}"/>
    <cellStyle name="계산 3 7 3 2 4" xfId="28938" xr:uid="{00000000-0005-0000-0000-0000070F0000}"/>
    <cellStyle name="계산 3 7 3 2 5" xfId="21594" xr:uid="{00000000-0005-0000-0000-0000080F0000}"/>
    <cellStyle name="계산 3 7 3 3" xfId="15865" xr:uid="{00000000-0005-0000-0000-0000090F0000}"/>
    <cellStyle name="계산 3 7 3 3 2" xfId="24056" xr:uid="{00000000-0005-0000-0000-00000A0F0000}"/>
    <cellStyle name="계산 3 7 3 3 3" xfId="26377" xr:uid="{00000000-0005-0000-0000-00000B0F0000}"/>
    <cellStyle name="계산 3 7 3 3 4" xfId="29491" xr:uid="{00000000-0005-0000-0000-00000C0F0000}"/>
    <cellStyle name="계산 3 7 3 3 5" xfId="22147" xr:uid="{00000000-0005-0000-0000-00000D0F0000}"/>
    <cellStyle name="계산 3 7 3 4" xfId="16425" xr:uid="{00000000-0005-0000-0000-00000E0F0000}"/>
    <cellStyle name="계산 3 7 3 4 2" xfId="19869" xr:uid="{00000000-0005-0000-0000-00000F0F0000}"/>
    <cellStyle name="계산 3 7 3 4 3" xfId="26853" xr:uid="{00000000-0005-0000-0000-0000100F0000}"/>
    <cellStyle name="계산 3 7 3 4 4" xfId="29967" xr:uid="{00000000-0005-0000-0000-0000110F0000}"/>
    <cellStyle name="계산 3 7 3 4 5" xfId="22623" xr:uid="{00000000-0005-0000-0000-0000120F0000}"/>
    <cellStyle name="계산 3 7 3 5" xfId="23038" xr:uid="{00000000-0005-0000-0000-0000130F0000}"/>
    <cellStyle name="계산 3 7 3 5 2" xfId="20249" xr:uid="{00000000-0005-0000-0000-0000140F0000}"/>
    <cellStyle name="계산 3 7 3 5 3" xfId="27268" xr:uid="{00000000-0005-0000-0000-0000150F0000}"/>
    <cellStyle name="계산 3 7 3 5 4" xfId="30382" xr:uid="{00000000-0005-0000-0000-0000160F0000}"/>
    <cellStyle name="계산 3 7 3 6" xfId="23433" xr:uid="{00000000-0005-0000-0000-0000170F0000}"/>
    <cellStyle name="계산 3 7 3 6 2" xfId="18101" xr:uid="{00000000-0005-0000-0000-0000180F0000}"/>
    <cellStyle name="계산 3 7 3 6 3" xfId="27663" xr:uid="{00000000-0005-0000-0000-0000190F0000}"/>
    <cellStyle name="계산 3 7 3 6 4" xfId="30777" xr:uid="{00000000-0005-0000-0000-00001A0F0000}"/>
    <cellStyle name="계산 3 7 3 7" xfId="20564" xr:uid="{00000000-0005-0000-0000-00001B0F0000}"/>
    <cellStyle name="계산 3 7 3 8" xfId="18871" xr:uid="{00000000-0005-0000-0000-00001C0F0000}"/>
    <cellStyle name="계산 3 7 3 9" xfId="24812" xr:uid="{00000000-0005-0000-0000-00001D0F0000}"/>
    <cellStyle name="계산 3 7 4" xfId="15076" xr:uid="{00000000-0005-0000-0000-00001E0F0000}"/>
    <cellStyle name="계산 3 7 4 2" xfId="15795" xr:uid="{00000000-0005-0000-0000-00001F0F0000}"/>
    <cellStyle name="계산 3 7 4 2 2" xfId="24598" xr:uid="{00000000-0005-0000-0000-0000200F0000}"/>
    <cellStyle name="계산 3 7 4 2 3" xfId="26208" xr:uid="{00000000-0005-0000-0000-0000210F0000}"/>
    <cellStyle name="계산 3 7 4 2 4" xfId="29322" xr:uid="{00000000-0005-0000-0000-0000220F0000}"/>
    <cellStyle name="계산 3 7 4 2 5" xfId="21978" xr:uid="{00000000-0005-0000-0000-0000230F0000}"/>
    <cellStyle name="계산 3 7 4 3" xfId="16188" xr:uid="{00000000-0005-0000-0000-0000240F0000}"/>
    <cellStyle name="계산 3 7 4 3 2" xfId="19711" xr:uid="{00000000-0005-0000-0000-0000250F0000}"/>
    <cellStyle name="계산 3 7 4 3 3" xfId="26681" xr:uid="{00000000-0005-0000-0000-0000260F0000}"/>
    <cellStyle name="계산 3 7 4 3 4" xfId="29795" xr:uid="{00000000-0005-0000-0000-0000270F0000}"/>
    <cellStyle name="계산 3 7 4 3 5" xfId="22451" xr:uid="{00000000-0005-0000-0000-0000280F0000}"/>
    <cellStyle name="계산 3 7 4 4" xfId="16426" xr:uid="{00000000-0005-0000-0000-0000290F0000}"/>
    <cellStyle name="계산 3 7 4 4 2" xfId="20145" xr:uid="{00000000-0005-0000-0000-00002A0F0000}"/>
    <cellStyle name="계산 3 7 4 4 3" xfId="27154" xr:uid="{00000000-0005-0000-0000-00002B0F0000}"/>
    <cellStyle name="계산 3 7 4 4 4" xfId="30268" xr:uid="{00000000-0005-0000-0000-00002C0F0000}"/>
    <cellStyle name="계산 3 7 4 4 5" xfId="22924" xr:uid="{00000000-0005-0000-0000-00002D0F0000}"/>
    <cellStyle name="계산 3 7 4 5" xfId="23269" xr:uid="{00000000-0005-0000-0000-00002E0F0000}"/>
    <cellStyle name="계산 3 7 4 5 2" xfId="20320" xr:uid="{00000000-0005-0000-0000-00002F0F0000}"/>
    <cellStyle name="계산 3 7 4 5 3" xfId="27499" xr:uid="{00000000-0005-0000-0000-0000300F0000}"/>
    <cellStyle name="계산 3 7 4 5 4" xfId="30613" xr:uid="{00000000-0005-0000-0000-0000310F0000}"/>
    <cellStyle name="계산 3 7 4 6" xfId="19511" xr:uid="{00000000-0005-0000-0000-0000320F0000}"/>
    <cellStyle name="계산 3 7 4 7" xfId="25657" xr:uid="{00000000-0005-0000-0000-0000330F0000}"/>
    <cellStyle name="계산 3 7 4 8" xfId="28774" xr:uid="{00000000-0005-0000-0000-0000340F0000}"/>
    <cellStyle name="계산 3 7 4 9" xfId="17699" xr:uid="{00000000-0005-0000-0000-0000350F0000}"/>
    <cellStyle name="계산 3 7 5" xfId="14944" xr:uid="{00000000-0005-0000-0000-0000360F0000}"/>
    <cellStyle name="계산 3 7 5 2" xfId="15694" xr:uid="{00000000-0005-0000-0000-0000370F0000}"/>
    <cellStyle name="계산 3 7 5 2 2" xfId="31472" xr:uid="{00000000-0005-0000-0000-0000380F0000}"/>
    <cellStyle name="계산 3 7 5 2 3" xfId="20863" xr:uid="{00000000-0005-0000-0000-0000390F0000}"/>
    <cellStyle name="계산 3 7 5 3" xfId="16056" xr:uid="{00000000-0005-0000-0000-00003A0F0000}"/>
    <cellStyle name="계산 3 7 5 3 2" xfId="31699" xr:uid="{00000000-0005-0000-0000-00003B0F0000}"/>
    <cellStyle name="계산 3 7 5 3 3" xfId="23692" xr:uid="{00000000-0005-0000-0000-00003C0F0000}"/>
    <cellStyle name="계산 3 7 5 4" xfId="16427" xr:uid="{00000000-0005-0000-0000-00003D0F0000}"/>
    <cellStyle name="계산 3 7 5 4 2" xfId="31995" xr:uid="{00000000-0005-0000-0000-00003E0F0000}"/>
    <cellStyle name="계산 3 7 5 4 3" xfId="25114" xr:uid="{00000000-0005-0000-0000-00003F0F0000}"/>
    <cellStyle name="계산 3 7 5 5" xfId="28238" xr:uid="{00000000-0005-0000-0000-0000400F0000}"/>
    <cellStyle name="계산 3 7 5 6" xfId="17842" xr:uid="{00000000-0005-0000-0000-0000410F0000}"/>
    <cellStyle name="계산 3 7 6" xfId="15141" xr:uid="{00000000-0005-0000-0000-0000420F0000}"/>
    <cellStyle name="계산 3 7 6 2" xfId="15852" xr:uid="{00000000-0005-0000-0000-0000430F0000}"/>
    <cellStyle name="계산 3 7 6 2 2" xfId="31596" xr:uid="{00000000-0005-0000-0000-0000440F0000}"/>
    <cellStyle name="계산 3 7 6 3" xfId="16253" xr:uid="{00000000-0005-0000-0000-0000450F0000}"/>
    <cellStyle name="계산 3 7 6 3 2" xfId="31862" xr:uid="{00000000-0005-0000-0000-0000460F0000}"/>
    <cellStyle name="계산 3 7 6 4" xfId="16428" xr:uid="{00000000-0005-0000-0000-0000470F0000}"/>
    <cellStyle name="계산 3 7 6 4 2" xfId="31996" xr:uid="{00000000-0005-0000-0000-0000480F0000}"/>
    <cellStyle name="계산 3 7 6 5" xfId="31285" xr:uid="{00000000-0005-0000-0000-0000490F0000}"/>
    <cellStyle name="계산 3 7 6 6" xfId="18640" xr:uid="{00000000-0005-0000-0000-00004A0F0000}"/>
    <cellStyle name="계산 3 7 7" xfId="15127" xr:uid="{00000000-0005-0000-0000-00004B0F0000}"/>
    <cellStyle name="계산 3 7 7 2" xfId="15846" xr:uid="{00000000-0005-0000-0000-00004C0F0000}"/>
    <cellStyle name="계산 3 7 7 2 2" xfId="31590" xr:uid="{00000000-0005-0000-0000-00004D0F0000}"/>
    <cellStyle name="계산 3 7 7 3" xfId="16239" xr:uid="{00000000-0005-0000-0000-00004E0F0000}"/>
    <cellStyle name="계산 3 7 7 3 2" xfId="31848" xr:uid="{00000000-0005-0000-0000-00004F0F0000}"/>
    <cellStyle name="계산 3 7 7 4" xfId="16429" xr:uid="{00000000-0005-0000-0000-0000500F0000}"/>
    <cellStyle name="계산 3 7 7 4 2" xfId="31997" xr:uid="{00000000-0005-0000-0000-0000510F0000}"/>
    <cellStyle name="계산 3 7 7 5" xfId="31279" xr:uid="{00000000-0005-0000-0000-0000520F0000}"/>
    <cellStyle name="계산 3 7 7 6" xfId="18598" xr:uid="{00000000-0005-0000-0000-0000530F0000}"/>
    <cellStyle name="계산 3 7 8" xfId="14994" xr:uid="{00000000-0005-0000-0000-0000540F0000}"/>
    <cellStyle name="계산 3 7 8 2" xfId="16106" xr:uid="{00000000-0005-0000-0000-0000550F0000}"/>
    <cellStyle name="계산 3 7 8 2 2" xfId="31749" xr:uid="{00000000-0005-0000-0000-0000560F0000}"/>
    <cellStyle name="계산 3 7 8 3" xfId="16430" xr:uid="{00000000-0005-0000-0000-0000570F0000}"/>
    <cellStyle name="계산 3 7 8 3 2" xfId="31998" xr:uid="{00000000-0005-0000-0000-0000580F0000}"/>
    <cellStyle name="계산 3 7 8 4" xfId="16431" xr:uid="{00000000-0005-0000-0000-0000590F0000}"/>
    <cellStyle name="계산 3 7 8 4 2" xfId="31999" xr:uid="{00000000-0005-0000-0000-00005A0F0000}"/>
    <cellStyle name="계산 3 7 8 5" xfId="18619" xr:uid="{00000000-0005-0000-0000-00005B0F0000}"/>
    <cellStyle name="계산 3 7 9" xfId="15348" xr:uid="{00000000-0005-0000-0000-00005C0F0000}"/>
    <cellStyle name="계산 3 7 9 2" xfId="15322" xr:uid="{00000000-0005-0000-0000-00005D0F0000}"/>
    <cellStyle name="계산 3 7 9 2 2" xfId="31369" xr:uid="{00000000-0005-0000-0000-00005E0F0000}"/>
    <cellStyle name="계산 3 7 9 3" xfId="16432" xr:uid="{00000000-0005-0000-0000-00005F0F0000}"/>
    <cellStyle name="계산 3 7 9 3 2" xfId="32000" xr:uid="{00000000-0005-0000-0000-0000600F0000}"/>
    <cellStyle name="계산 3 7 9 4" xfId="16433" xr:uid="{00000000-0005-0000-0000-0000610F0000}"/>
    <cellStyle name="계산 3 7 9 4 2" xfId="32001" xr:uid="{00000000-0005-0000-0000-0000620F0000}"/>
    <cellStyle name="계산 3 7 9 5" xfId="31395" xr:uid="{00000000-0005-0000-0000-0000630F0000}"/>
    <cellStyle name="계산 3 8" xfId="14629" xr:uid="{00000000-0005-0000-0000-0000640F0000}"/>
    <cellStyle name="계산 3 8 10" xfId="24838" xr:uid="{00000000-0005-0000-0000-0000650F0000}"/>
    <cellStyle name="계산 3 8 11" xfId="27962" xr:uid="{00000000-0005-0000-0000-0000660F0000}"/>
    <cellStyle name="계산 3 8 12" xfId="17603" xr:uid="{00000000-0005-0000-0000-0000670F0000}"/>
    <cellStyle name="계산 3 8 2" xfId="15560" xr:uid="{00000000-0005-0000-0000-0000680F0000}"/>
    <cellStyle name="계산 3 8 2 10" xfId="17843" xr:uid="{00000000-0005-0000-0000-0000690F0000}"/>
    <cellStyle name="계산 3 8 2 2" xfId="22173" xr:uid="{00000000-0005-0000-0000-00006A0F0000}"/>
    <cellStyle name="계산 3 8 2 2 2" xfId="19586" xr:uid="{00000000-0005-0000-0000-00006B0F0000}"/>
    <cellStyle name="계산 3 8 2 2 3" xfId="26403" xr:uid="{00000000-0005-0000-0000-00006C0F0000}"/>
    <cellStyle name="계산 3 8 2 2 4" xfId="29517" xr:uid="{00000000-0005-0000-0000-00006D0F0000}"/>
    <cellStyle name="계산 3 8 2 3" xfId="22649" xr:uid="{00000000-0005-0000-0000-00006E0F0000}"/>
    <cellStyle name="계산 3 8 2 3 2" xfId="19895" xr:uid="{00000000-0005-0000-0000-00006F0F0000}"/>
    <cellStyle name="계산 3 8 2 3 3" xfId="26879" xr:uid="{00000000-0005-0000-0000-0000700F0000}"/>
    <cellStyle name="계산 3 8 2 3 4" xfId="29993" xr:uid="{00000000-0005-0000-0000-0000710F0000}"/>
    <cellStyle name="계산 3 8 2 4" xfId="23060" xr:uid="{00000000-0005-0000-0000-0000720F0000}"/>
    <cellStyle name="계산 3 8 2 4 2" xfId="20270" xr:uid="{00000000-0005-0000-0000-0000730F0000}"/>
    <cellStyle name="계산 3 8 2 4 3" xfId="27290" xr:uid="{00000000-0005-0000-0000-0000740F0000}"/>
    <cellStyle name="계산 3 8 2 4 4" xfId="30404" xr:uid="{00000000-0005-0000-0000-0000750F0000}"/>
    <cellStyle name="계산 3 8 2 5" xfId="23459" xr:uid="{00000000-0005-0000-0000-0000760F0000}"/>
    <cellStyle name="계산 3 8 2 5 2" xfId="18124" xr:uid="{00000000-0005-0000-0000-0000770F0000}"/>
    <cellStyle name="계산 3 8 2 5 3" xfId="27689" xr:uid="{00000000-0005-0000-0000-0000780F0000}"/>
    <cellStyle name="계산 3 8 2 5 4" xfId="30803" xr:uid="{00000000-0005-0000-0000-0000790F0000}"/>
    <cellStyle name="계산 3 8 2 6" xfId="21620" xr:uid="{00000000-0005-0000-0000-00007A0F0000}"/>
    <cellStyle name="계산 3 8 2 7" xfId="24138" xr:uid="{00000000-0005-0000-0000-00007B0F0000}"/>
    <cellStyle name="계산 3 8 2 8" xfId="25850" xr:uid="{00000000-0005-0000-0000-00007C0F0000}"/>
    <cellStyle name="계산 3 8 2 9" xfId="28964" xr:uid="{00000000-0005-0000-0000-00007D0F0000}"/>
    <cellStyle name="계산 3 8 3" xfId="15914" xr:uid="{00000000-0005-0000-0000-00007E0F0000}"/>
    <cellStyle name="계산 3 8 3 2" xfId="21300" xr:uid="{00000000-0005-0000-0000-00007F0F0000}"/>
    <cellStyle name="계산 3 8 3 3" xfId="24262" xr:uid="{00000000-0005-0000-0000-0000800F0000}"/>
    <cellStyle name="계산 3 8 3 4" xfId="25513" xr:uid="{00000000-0005-0000-0000-0000810F0000}"/>
    <cellStyle name="계산 3 8 3 5" xfId="28630" xr:uid="{00000000-0005-0000-0000-0000820F0000}"/>
    <cellStyle name="계산 3 8 3 6" xfId="17844" xr:uid="{00000000-0005-0000-0000-0000830F0000}"/>
    <cellStyle name="계산 3 8 4" xfId="16434" xr:uid="{00000000-0005-0000-0000-0000840F0000}"/>
    <cellStyle name="계산 3 8 4 2" xfId="19420" xr:uid="{00000000-0005-0000-0000-0000850F0000}"/>
    <cellStyle name="계산 3 8 4 3" xfId="25375" xr:uid="{00000000-0005-0000-0000-0000860F0000}"/>
    <cellStyle name="계산 3 8 4 4" xfId="28499" xr:uid="{00000000-0005-0000-0000-0000870F0000}"/>
    <cellStyle name="계산 3 8 4 5" xfId="21131" xr:uid="{00000000-0005-0000-0000-0000880F0000}"/>
    <cellStyle name="계산 3 8 5" xfId="21215" xr:uid="{00000000-0005-0000-0000-0000890F0000}"/>
    <cellStyle name="계산 3 8 5 2" xfId="24683" xr:uid="{00000000-0005-0000-0000-00008A0F0000}"/>
    <cellStyle name="계산 3 8 5 3" xfId="25439" xr:uid="{00000000-0005-0000-0000-00008B0F0000}"/>
    <cellStyle name="계산 3 8 5 4" xfId="28556" xr:uid="{00000000-0005-0000-0000-00008C0F0000}"/>
    <cellStyle name="계산 3 8 6" xfId="21156" xr:uid="{00000000-0005-0000-0000-00008D0F0000}"/>
    <cellStyle name="계산 3 8 6 2" xfId="24255" xr:uid="{00000000-0005-0000-0000-00008E0F0000}"/>
    <cellStyle name="계산 3 8 6 3" xfId="25399" xr:uid="{00000000-0005-0000-0000-00008F0F0000}"/>
    <cellStyle name="계산 3 8 6 4" xfId="28523" xr:uid="{00000000-0005-0000-0000-0000900F0000}"/>
    <cellStyle name="계산 3 8 7" xfId="21190" xr:uid="{00000000-0005-0000-0000-0000910F0000}"/>
    <cellStyle name="계산 3 8 7 2" xfId="24358" xr:uid="{00000000-0005-0000-0000-0000920F0000}"/>
    <cellStyle name="계산 3 8 7 3" xfId="25418" xr:uid="{00000000-0005-0000-0000-0000930F0000}"/>
    <cellStyle name="계산 3 8 7 4" xfId="28535" xr:uid="{00000000-0005-0000-0000-0000940F0000}"/>
    <cellStyle name="계산 3 8 8" xfId="20590" xr:uid="{00000000-0005-0000-0000-0000950F0000}"/>
    <cellStyle name="계산 3 8 9" xfId="18897" xr:uid="{00000000-0005-0000-0000-0000960F0000}"/>
    <cellStyle name="계산 3 9" xfId="14582" xr:uid="{00000000-0005-0000-0000-0000970F0000}"/>
    <cellStyle name="계산 3 9 10" xfId="27930" xr:uid="{00000000-0005-0000-0000-0000980F0000}"/>
    <cellStyle name="계산 3 9 11" xfId="17667" xr:uid="{00000000-0005-0000-0000-0000990F0000}"/>
    <cellStyle name="계산 3 9 2" xfId="15513" xr:uid="{00000000-0005-0000-0000-00009A0F0000}"/>
    <cellStyle name="계산 3 9 2 2" xfId="23799" xr:uid="{00000000-0005-0000-0000-00009B0F0000}"/>
    <cellStyle name="계산 3 9 2 3" xfId="25818" xr:uid="{00000000-0005-0000-0000-00009C0F0000}"/>
    <cellStyle name="계산 3 9 2 4" xfId="28932" xr:uid="{00000000-0005-0000-0000-00009D0F0000}"/>
    <cellStyle name="계산 3 9 2 5" xfId="21588" xr:uid="{00000000-0005-0000-0000-00009E0F0000}"/>
    <cellStyle name="계산 3 9 3" xfId="15867" xr:uid="{00000000-0005-0000-0000-00009F0F0000}"/>
    <cellStyle name="계산 3 9 3 2" xfId="24060" xr:uid="{00000000-0005-0000-0000-0000A00F0000}"/>
    <cellStyle name="계산 3 9 3 3" xfId="26371" xr:uid="{00000000-0005-0000-0000-0000A10F0000}"/>
    <cellStyle name="계산 3 9 3 4" xfId="29485" xr:uid="{00000000-0005-0000-0000-0000A20F0000}"/>
    <cellStyle name="계산 3 9 3 5" xfId="22141" xr:uid="{00000000-0005-0000-0000-0000A30F0000}"/>
    <cellStyle name="계산 3 9 4" xfId="16435" xr:uid="{00000000-0005-0000-0000-0000A40F0000}"/>
    <cellStyle name="계산 3 9 4 2" xfId="19863" xr:uid="{00000000-0005-0000-0000-0000A50F0000}"/>
    <cellStyle name="계산 3 9 4 3" xfId="26847" xr:uid="{00000000-0005-0000-0000-0000A60F0000}"/>
    <cellStyle name="계산 3 9 4 4" xfId="29961" xr:uid="{00000000-0005-0000-0000-0000A70F0000}"/>
    <cellStyle name="계산 3 9 4 5" xfId="22617" xr:uid="{00000000-0005-0000-0000-0000A80F0000}"/>
    <cellStyle name="계산 3 9 5" xfId="23032" xr:uid="{00000000-0005-0000-0000-0000A90F0000}"/>
    <cellStyle name="계산 3 9 5 2" xfId="20244" xr:uid="{00000000-0005-0000-0000-0000AA0F0000}"/>
    <cellStyle name="계산 3 9 5 3" xfId="27262" xr:uid="{00000000-0005-0000-0000-0000AB0F0000}"/>
    <cellStyle name="계산 3 9 5 4" xfId="30376" xr:uid="{00000000-0005-0000-0000-0000AC0F0000}"/>
    <cellStyle name="계산 3 9 6" xfId="23427" xr:uid="{00000000-0005-0000-0000-0000AD0F0000}"/>
    <cellStyle name="계산 3 9 6 2" xfId="20476" xr:uid="{00000000-0005-0000-0000-0000AE0F0000}"/>
    <cellStyle name="계산 3 9 6 3" xfId="27657" xr:uid="{00000000-0005-0000-0000-0000AF0F0000}"/>
    <cellStyle name="계산 3 9 6 4" xfId="30771" xr:uid="{00000000-0005-0000-0000-0000B00F0000}"/>
    <cellStyle name="계산 3 9 7" xfId="20558" xr:uid="{00000000-0005-0000-0000-0000B10F0000}"/>
    <cellStyle name="계산 3 9 8" xfId="18865" xr:uid="{00000000-0005-0000-0000-0000B20F0000}"/>
    <cellStyle name="계산 3 9 9" xfId="24806" xr:uid="{00000000-0005-0000-0000-0000B30F0000}"/>
    <cellStyle name="계산 4" xfId="11850" xr:uid="{00000000-0005-0000-0000-0000B40F0000}"/>
    <cellStyle name="계산 4 10" xfId="15077" xr:uid="{00000000-0005-0000-0000-0000B50F0000}"/>
    <cellStyle name="계산 4 10 2" xfId="15796" xr:uid="{00000000-0005-0000-0000-0000B60F0000}"/>
    <cellStyle name="계산 4 10 2 2" xfId="24471" xr:uid="{00000000-0005-0000-0000-0000B70F0000}"/>
    <cellStyle name="계산 4 10 2 3" xfId="26209" xr:uid="{00000000-0005-0000-0000-0000B80F0000}"/>
    <cellStyle name="계산 4 10 2 4" xfId="29323" xr:uid="{00000000-0005-0000-0000-0000B90F0000}"/>
    <cellStyle name="계산 4 10 2 5" xfId="21979" xr:uid="{00000000-0005-0000-0000-0000BA0F0000}"/>
    <cellStyle name="계산 4 10 3" xfId="16189" xr:uid="{00000000-0005-0000-0000-0000BB0F0000}"/>
    <cellStyle name="계산 4 10 3 2" xfId="19712" xr:uid="{00000000-0005-0000-0000-0000BC0F0000}"/>
    <cellStyle name="계산 4 10 3 3" xfId="26682" xr:uid="{00000000-0005-0000-0000-0000BD0F0000}"/>
    <cellStyle name="계산 4 10 3 4" xfId="29796" xr:uid="{00000000-0005-0000-0000-0000BE0F0000}"/>
    <cellStyle name="계산 4 10 3 5" xfId="22452" xr:uid="{00000000-0005-0000-0000-0000BF0F0000}"/>
    <cellStyle name="계산 4 10 4" xfId="16436" xr:uid="{00000000-0005-0000-0000-0000C00F0000}"/>
    <cellStyle name="계산 4 10 4 2" xfId="23843" xr:uid="{00000000-0005-0000-0000-0000C10F0000}"/>
    <cellStyle name="계산 4 10 4 3" xfId="27155" xr:uid="{00000000-0005-0000-0000-0000C20F0000}"/>
    <cellStyle name="계산 4 10 4 4" xfId="30269" xr:uid="{00000000-0005-0000-0000-0000C30F0000}"/>
    <cellStyle name="계산 4 10 4 5" xfId="22925" xr:uid="{00000000-0005-0000-0000-0000C40F0000}"/>
    <cellStyle name="계산 4 10 5" xfId="23270" xr:uid="{00000000-0005-0000-0000-0000C50F0000}"/>
    <cellStyle name="계산 4 10 5 2" xfId="21476" xr:uid="{00000000-0005-0000-0000-0000C60F0000}"/>
    <cellStyle name="계산 4 10 5 3" xfId="27500" xr:uid="{00000000-0005-0000-0000-0000C70F0000}"/>
    <cellStyle name="계산 4 10 5 4" xfId="30614" xr:uid="{00000000-0005-0000-0000-0000C80F0000}"/>
    <cellStyle name="계산 4 10 6" xfId="19512" xr:uid="{00000000-0005-0000-0000-0000C90F0000}"/>
    <cellStyle name="계산 4 10 7" xfId="25658" xr:uid="{00000000-0005-0000-0000-0000CA0F0000}"/>
    <cellStyle name="계산 4 10 8" xfId="28775" xr:uid="{00000000-0005-0000-0000-0000CB0F0000}"/>
    <cellStyle name="계산 4 10 9" xfId="17698" xr:uid="{00000000-0005-0000-0000-0000CC0F0000}"/>
    <cellStyle name="계산 4 11" xfId="14943" xr:uid="{00000000-0005-0000-0000-0000CD0F0000}"/>
    <cellStyle name="계산 4 11 2" xfId="15693" xr:uid="{00000000-0005-0000-0000-0000CE0F0000}"/>
    <cellStyle name="계산 4 11 2 2" xfId="31471" xr:uid="{00000000-0005-0000-0000-0000CF0F0000}"/>
    <cellStyle name="계산 4 11 2 3" xfId="20834" xr:uid="{00000000-0005-0000-0000-0000D00F0000}"/>
    <cellStyle name="계산 4 11 3" xfId="16055" xr:uid="{00000000-0005-0000-0000-0000D10F0000}"/>
    <cellStyle name="계산 4 11 3 2" xfId="31698" xr:uid="{00000000-0005-0000-0000-0000D20F0000}"/>
    <cellStyle name="계산 4 11 3 3" xfId="19140" xr:uid="{00000000-0005-0000-0000-0000D30F0000}"/>
    <cellStyle name="계산 4 11 4" xfId="16437" xr:uid="{00000000-0005-0000-0000-0000D40F0000}"/>
    <cellStyle name="계산 4 11 4 2" xfId="32002" xr:uid="{00000000-0005-0000-0000-0000D50F0000}"/>
    <cellStyle name="계산 4 11 4 3" xfId="25085" xr:uid="{00000000-0005-0000-0000-0000D60F0000}"/>
    <cellStyle name="계산 4 11 5" xfId="28209" xr:uid="{00000000-0005-0000-0000-0000D70F0000}"/>
    <cellStyle name="계산 4 11 6" xfId="17845" xr:uid="{00000000-0005-0000-0000-0000D80F0000}"/>
    <cellStyle name="계산 4 12" xfId="15021" xr:uid="{00000000-0005-0000-0000-0000D90F0000}"/>
    <cellStyle name="계산 4 12 2" xfId="15749" xr:uid="{00000000-0005-0000-0000-0000DA0F0000}"/>
    <cellStyle name="계산 4 12 2 2" xfId="31527" xr:uid="{00000000-0005-0000-0000-0000DB0F0000}"/>
    <cellStyle name="계산 4 12 3" xfId="16133" xr:uid="{00000000-0005-0000-0000-0000DC0F0000}"/>
    <cellStyle name="계산 4 12 3 2" xfId="31776" xr:uid="{00000000-0005-0000-0000-0000DD0F0000}"/>
    <cellStyle name="계산 4 12 4" xfId="16438" xr:uid="{00000000-0005-0000-0000-0000DE0F0000}"/>
    <cellStyle name="계산 4 12 4 2" xfId="32003" xr:uid="{00000000-0005-0000-0000-0000DF0F0000}"/>
    <cellStyle name="계산 4 12 5" xfId="31238" xr:uid="{00000000-0005-0000-0000-0000E00F0000}"/>
    <cellStyle name="계산 4 12 6" xfId="18641" xr:uid="{00000000-0005-0000-0000-0000E10F0000}"/>
    <cellStyle name="계산 4 13" xfId="14982" xr:uid="{00000000-0005-0000-0000-0000E20F0000}"/>
    <cellStyle name="계산 4 13 2" xfId="15732" xr:uid="{00000000-0005-0000-0000-0000E30F0000}"/>
    <cellStyle name="계산 4 13 2 2" xfId="31510" xr:uid="{00000000-0005-0000-0000-0000E40F0000}"/>
    <cellStyle name="계산 4 13 3" xfId="16094" xr:uid="{00000000-0005-0000-0000-0000E50F0000}"/>
    <cellStyle name="계산 4 13 3 2" xfId="31737" xr:uid="{00000000-0005-0000-0000-0000E60F0000}"/>
    <cellStyle name="계산 4 13 4" xfId="16439" xr:uid="{00000000-0005-0000-0000-0000E70F0000}"/>
    <cellStyle name="계산 4 13 4 2" xfId="32004" xr:uid="{00000000-0005-0000-0000-0000E80F0000}"/>
    <cellStyle name="계산 4 13 5" xfId="31221" xr:uid="{00000000-0005-0000-0000-0000E90F0000}"/>
    <cellStyle name="계산 4 13 6" xfId="18597" xr:uid="{00000000-0005-0000-0000-0000EA0F0000}"/>
    <cellStyle name="계산 4 14" xfId="14895" xr:uid="{00000000-0005-0000-0000-0000EB0F0000}"/>
    <cellStyle name="계산 4 14 2" xfId="16007" xr:uid="{00000000-0005-0000-0000-0000EC0F0000}"/>
    <cellStyle name="계산 4 14 2 2" xfId="31650" xr:uid="{00000000-0005-0000-0000-0000ED0F0000}"/>
    <cellStyle name="계산 4 14 3" xfId="16440" xr:uid="{00000000-0005-0000-0000-0000EE0F0000}"/>
    <cellStyle name="계산 4 14 3 2" xfId="32005" xr:uid="{00000000-0005-0000-0000-0000EF0F0000}"/>
    <cellStyle name="계산 4 14 4" xfId="16441" xr:uid="{00000000-0005-0000-0000-0000F00F0000}"/>
    <cellStyle name="계산 4 14 4 2" xfId="32006" xr:uid="{00000000-0005-0000-0000-0000F10F0000}"/>
    <cellStyle name="계산 4 14 5" xfId="18620" xr:uid="{00000000-0005-0000-0000-0000F20F0000}"/>
    <cellStyle name="계산 4 15" xfId="15349" xr:uid="{00000000-0005-0000-0000-0000F30F0000}"/>
    <cellStyle name="계산 4 15 2" xfId="15321" xr:uid="{00000000-0005-0000-0000-0000F40F0000}"/>
    <cellStyle name="계산 4 15 2 2" xfId="31368" xr:uid="{00000000-0005-0000-0000-0000F50F0000}"/>
    <cellStyle name="계산 4 15 3" xfId="16442" xr:uid="{00000000-0005-0000-0000-0000F60F0000}"/>
    <cellStyle name="계산 4 15 3 2" xfId="32007" xr:uid="{00000000-0005-0000-0000-0000F70F0000}"/>
    <cellStyle name="계산 4 15 4" xfId="16443" xr:uid="{00000000-0005-0000-0000-0000F80F0000}"/>
    <cellStyle name="계산 4 15 4 2" xfId="32008" xr:uid="{00000000-0005-0000-0000-0000F90F0000}"/>
    <cellStyle name="계산 4 15 5" xfId="31396" xr:uid="{00000000-0005-0000-0000-0000FA0F0000}"/>
    <cellStyle name="계산 4 16" xfId="15174" xr:uid="{00000000-0005-0000-0000-0000FB0F0000}"/>
    <cellStyle name="계산 4 16 2" xfId="31310" xr:uid="{00000000-0005-0000-0000-0000FC0F0000}"/>
    <cellStyle name="계산 4 17" xfId="16444" xr:uid="{00000000-0005-0000-0000-0000FD0F0000}"/>
    <cellStyle name="계산 4 17 2" xfId="32009" xr:uid="{00000000-0005-0000-0000-0000FE0F0000}"/>
    <cellStyle name="계산 4 18" xfId="16445" xr:uid="{00000000-0005-0000-0000-0000FF0F0000}"/>
    <cellStyle name="계산 4 18 2" xfId="32010" xr:uid="{00000000-0005-0000-0000-000000100000}"/>
    <cellStyle name="계산 4 19" xfId="17228" xr:uid="{00000000-0005-0000-0000-000001100000}"/>
    <cellStyle name="계산 4 2" xfId="11851" xr:uid="{00000000-0005-0000-0000-000002100000}"/>
    <cellStyle name="계산 4 2 10" xfId="15175" xr:uid="{00000000-0005-0000-0000-000003100000}"/>
    <cellStyle name="계산 4 2 10 2" xfId="31311" xr:uid="{00000000-0005-0000-0000-000004100000}"/>
    <cellStyle name="계산 4 2 11" xfId="16446" xr:uid="{00000000-0005-0000-0000-000005100000}"/>
    <cellStyle name="계산 4 2 11 2" xfId="32011" xr:uid="{00000000-0005-0000-0000-000006100000}"/>
    <cellStyle name="계산 4 2 12" xfId="16447" xr:uid="{00000000-0005-0000-0000-000007100000}"/>
    <cellStyle name="계산 4 2 12 2" xfId="32012" xr:uid="{00000000-0005-0000-0000-000008100000}"/>
    <cellStyle name="계산 4 2 13" xfId="17229" xr:uid="{00000000-0005-0000-0000-000009100000}"/>
    <cellStyle name="계산 4 2 2" xfId="14621" xr:uid="{00000000-0005-0000-0000-00000A100000}"/>
    <cellStyle name="계산 4 2 2 10" xfId="24846" xr:uid="{00000000-0005-0000-0000-00000B100000}"/>
    <cellStyle name="계산 4 2 2 11" xfId="27970" xr:uid="{00000000-0005-0000-0000-00000C100000}"/>
    <cellStyle name="계산 4 2 2 12" xfId="17595" xr:uid="{00000000-0005-0000-0000-00000D100000}"/>
    <cellStyle name="계산 4 2 2 2" xfId="15552" xr:uid="{00000000-0005-0000-0000-00000E100000}"/>
    <cellStyle name="계산 4 2 2 2 10" xfId="17846" xr:uid="{00000000-0005-0000-0000-00000F100000}"/>
    <cellStyle name="계산 4 2 2 2 2" xfId="22181" xr:uid="{00000000-0005-0000-0000-000010100000}"/>
    <cellStyle name="계산 4 2 2 2 2 2" xfId="18332" xr:uid="{00000000-0005-0000-0000-000011100000}"/>
    <cellStyle name="계산 4 2 2 2 2 3" xfId="26411" xr:uid="{00000000-0005-0000-0000-000012100000}"/>
    <cellStyle name="계산 4 2 2 2 2 4" xfId="29525" xr:uid="{00000000-0005-0000-0000-000013100000}"/>
    <cellStyle name="계산 4 2 2 2 3" xfId="22657" xr:uid="{00000000-0005-0000-0000-000014100000}"/>
    <cellStyle name="계산 4 2 2 2 3 2" xfId="19902" xr:uid="{00000000-0005-0000-0000-000015100000}"/>
    <cellStyle name="계산 4 2 2 2 3 3" xfId="26887" xr:uid="{00000000-0005-0000-0000-000016100000}"/>
    <cellStyle name="계산 4 2 2 2 3 4" xfId="30001" xr:uid="{00000000-0005-0000-0000-000017100000}"/>
    <cellStyle name="계산 4 2 2 2 4" xfId="23068" xr:uid="{00000000-0005-0000-0000-000018100000}"/>
    <cellStyle name="계산 4 2 2 2 4 2" xfId="19166" xr:uid="{00000000-0005-0000-0000-000019100000}"/>
    <cellStyle name="계산 4 2 2 2 4 3" xfId="27298" xr:uid="{00000000-0005-0000-0000-00001A100000}"/>
    <cellStyle name="계산 4 2 2 2 4 4" xfId="30412" xr:uid="{00000000-0005-0000-0000-00001B100000}"/>
    <cellStyle name="계산 4 2 2 2 5" xfId="23467" xr:uid="{00000000-0005-0000-0000-00001C100000}"/>
    <cellStyle name="계산 4 2 2 2 5 2" xfId="23824" xr:uid="{00000000-0005-0000-0000-00001D100000}"/>
    <cellStyle name="계산 4 2 2 2 5 3" xfId="27697" xr:uid="{00000000-0005-0000-0000-00001E100000}"/>
    <cellStyle name="계산 4 2 2 2 5 4" xfId="30811" xr:uid="{00000000-0005-0000-0000-00001F100000}"/>
    <cellStyle name="계산 4 2 2 2 6" xfId="21628" xr:uid="{00000000-0005-0000-0000-000020100000}"/>
    <cellStyle name="계산 4 2 2 2 7" xfId="24010" xr:uid="{00000000-0005-0000-0000-000021100000}"/>
    <cellStyle name="계산 4 2 2 2 8" xfId="25858" xr:uid="{00000000-0005-0000-0000-000022100000}"/>
    <cellStyle name="계산 4 2 2 2 9" xfId="28972" xr:uid="{00000000-0005-0000-0000-000023100000}"/>
    <cellStyle name="계산 4 2 2 3" xfId="15906" xr:uid="{00000000-0005-0000-0000-000024100000}"/>
    <cellStyle name="계산 4 2 2 3 2" xfId="21308" xr:uid="{00000000-0005-0000-0000-000025100000}"/>
    <cellStyle name="계산 4 2 2 3 3" xfId="23680" xr:uid="{00000000-0005-0000-0000-000026100000}"/>
    <cellStyle name="계산 4 2 2 3 4" xfId="25521" xr:uid="{00000000-0005-0000-0000-000027100000}"/>
    <cellStyle name="계산 4 2 2 3 5" xfId="28638" xr:uid="{00000000-0005-0000-0000-000028100000}"/>
    <cellStyle name="계산 4 2 2 3 6" xfId="17847" xr:uid="{00000000-0005-0000-0000-000029100000}"/>
    <cellStyle name="계산 4 2 2 4" xfId="16448" xr:uid="{00000000-0005-0000-0000-00002A100000}"/>
    <cellStyle name="계산 4 2 2 4 2" xfId="24771" xr:uid="{00000000-0005-0000-0000-00002B100000}"/>
    <cellStyle name="계산 4 2 2 4 3" xfId="25367" xr:uid="{00000000-0005-0000-0000-00002C100000}"/>
    <cellStyle name="계산 4 2 2 4 4" xfId="28491" xr:uid="{00000000-0005-0000-0000-00002D100000}"/>
    <cellStyle name="계산 4 2 2 4 5" xfId="21123" xr:uid="{00000000-0005-0000-0000-00002E100000}"/>
    <cellStyle name="계산 4 2 2 5" xfId="21222" xr:uid="{00000000-0005-0000-0000-00002F100000}"/>
    <cellStyle name="계산 4 2 2 5 2" xfId="24508" xr:uid="{00000000-0005-0000-0000-000030100000}"/>
    <cellStyle name="계산 4 2 2 5 3" xfId="25445" xr:uid="{00000000-0005-0000-0000-000031100000}"/>
    <cellStyle name="계산 4 2 2 5 4" xfId="28562" xr:uid="{00000000-0005-0000-0000-000032100000}"/>
    <cellStyle name="계산 4 2 2 6" xfId="21149" xr:uid="{00000000-0005-0000-0000-000033100000}"/>
    <cellStyle name="계산 4 2 2 6 2" xfId="23746" xr:uid="{00000000-0005-0000-0000-000034100000}"/>
    <cellStyle name="계산 4 2 2 6 3" xfId="25393" xr:uid="{00000000-0005-0000-0000-000035100000}"/>
    <cellStyle name="계산 4 2 2 6 4" xfId="28517" xr:uid="{00000000-0005-0000-0000-000036100000}"/>
    <cellStyle name="계산 4 2 2 7" xfId="21196" xr:uid="{00000000-0005-0000-0000-000037100000}"/>
    <cellStyle name="계산 4 2 2 7 2" xfId="24073" xr:uid="{00000000-0005-0000-0000-000038100000}"/>
    <cellStyle name="계산 4 2 2 7 3" xfId="25424" xr:uid="{00000000-0005-0000-0000-000039100000}"/>
    <cellStyle name="계산 4 2 2 7 4" xfId="28541" xr:uid="{00000000-0005-0000-0000-00003A100000}"/>
    <cellStyle name="계산 4 2 2 8" xfId="20598" xr:uid="{00000000-0005-0000-0000-00003B100000}"/>
    <cellStyle name="계산 4 2 2 9" xfId="18905" xr:uid="{00000000-0005-0000-0000-00003C100000}"/>
    <cellStyle name="계산 4 2 3" xfId="14661" xr:uid="{00000000-0005-0000-0000-00003D100000}"/>
    <cellStyle name="계산 4 2 3 10" xfId="27938" xr:uid="{00000000-0005-0000-0000-00003E100000}"/>
    <cellStyle name="계산 4 2 3 11" xfId="17659" xr:uid="{00000000-0005-0000-0000-00003F100000}"/>
    <cellStyle name="계산 4 2 3 2" xfId="15592" xr:uid="{00000000-0005-0000-0000-000040100000}"/>
    <cellStyle name="계산 4 2 3 2 2" xfId="24139" xr:uid="{00000000-0005-0000-0000-000041100000}"/>
    <cellStyle name="계산 4 2 3 2 3" xfId="25826" xr:uid="{00000000-0005-0000-0000-000042100000}"/>
    <cellStyle name="계산 4 2 3 2 4" xfId="28940" xr:uid="{00000000-0005-0000-0000-000043100000}"/>
    <cellStyle name="계산 4 2 3 2 5" xfId="21596" xr:uid="{00000000-0005-0000-0000-000044100000}"/>
    <cellStyle name="계산 4 2 3 3" xfId="15946" xr:uid="{00000000-0005-0000-0000-000045100000}"/>
    <cellStyle name="계산 4 2 3 3 2" xfId="19571" xr:uid="{00000000-0005-0000-0000-000046100000}"/>
    <cellStyle name="계산 4 2 3 3 3" xfId="26379" xr:uid="{00000000-0005-0000-0000-000047100000}"/>
    <cellStyle name="계산 4 2 3 3 4" xfId="29493" xr:uid="{00000000-0005-0000-0000-000048100000}"/>
    <cellStyle name="계산 4 2 3 3 5" xfId="22149" xr:uid="{00000000-0005-0000-0000-000049100000}"/>
    <cellStyle name="계산 4 2 3 4" xfId="16449" xr:uid="{00000000-0005-0000-0000-00004A100000}"/>
    <cellStyle name="계산 4 2 3 4 2" xfId="19871" xr:uid="{00000000-0005-0000-0000-00004B100000}"/>
    <cellStyle name="계산 4 2 3 4 3" xfId="26855" xr:uid="{00000000-0005-0000-0000-00004C100000}"/>
    <cellStyle name="계산 4 2 3 4 4" xfId="29969" xr:uid="{00000000-0005-0000-0000-00004D100000}"/>
    <cellStyle name="계산 4 2 3 4 5" xfId="22625" xr:uid="{00000000-0005-0000-0000-00004E100000}"/>
    <cellStyle name="계산 4 2 3 5" xfId="23040" xr:uid="{00000000-0005-0000-0000-00004F100000}"/>
    <cellStyle name="계산 4 2 3 5 2" xfId="20251" xr:uid="{00000000-0005-0000-0000-000050100000}"/>
    <cellStyle name="계산 4 2 3 5 3" xfId="27270" xr:uid="{00000000-0005-0000-0000-000051100000}"/>
    <cellStyle name="계산 4 2 3 5 4" xfId="30384" xr:uid="{00000000-0005-0000-0000-000052100000}"/>
    <cellStyle name="계산 4 2 3 6" xfId="23435" xr:uid="{00000000-0005-0000-0000-000053100000}"/>
    <cellStyle name="계산 4 2 3 6 2" xfId="18103" xr:uid="{00000000-0005-0000-0000-000054100000}"/>
    <cellStyle name="계산 4 2 3 6 3" xfId="27665" xr:uid="{00000000-0005-0000-0000-000055100000}"/>
    <cellStyle name="계산 4 2 3 6 4" xfId="30779" xr:uid="{00000000-0005-0000-0000-000056100000}"/>
    <cellStyle name="계산 4 2 3 7" xfId="20566" xr:uid="{00000000-0005-0000-0000-000057100000}"/>
    <cellStyle name="계산 4 2 3 8" xfId="18873" xr:uid="{00000000-0005-0000-0000-000058100000}"/>
    <cellStyle name="계산 4 2 3 9" xfId="24814" xr:uid="{00000000-0005-0000-0000-000059100000}"/>
    <cellStyle name="계산 4 2 4" xfId="15078" xr:uid="{00000000-0005-0000-0000-00005A100000}"/>
    <cellStyle name="계산 4 2 4 2" xfId="15797" xr:uid="{00000000-0005-0000-0000-00005B100000}"/>
    <cellStyle name="계산 4 2 4 2 2" xfId="24298" xr:uid="{00000000-0005-0000-0000-00005C100000}"/>
    <cellStyle name="계산 4 2 4 2 3" xfId="26210" xr:uid="{00000000-0005-0000-0000-00005D100000}"/>
    <cellStyle name="계산 4 2 4 2 4" xfId="29324" xr:uid="{00000000-0005-0000-0000-00005E100000}"/>
    <cellStyle name="계산 4 2 4 2 5" xfId="21980" xr:uid="{00000000-0005-0000-0000-00005F100000}"/>
    <cellStyle name="계산 4 2 4 3" xfId="16190" xr:uid="{00000000-0005-0000-0000-000060100000}"/>
    <cellStyle name="계산 4 2 4 3 2" xfId="21178" xr:uid="{00000000-0005-0000-0000-000061100000}"/>
    <cellStyle name="계산 4 2 4 3 3" xfId="26683" xr:uid="{00000000-0005-0000-0000-000062100000}"/>
    <cellStyle name="계산 4 2 4 3 4" xfId="29797" xr:uid="{00000000-0005-0000-0000-000063100000}"/>
    <cellStyle name="계산 4 2 4 3 5" xfId="22453" xr:uid="{00000000-0005-0000-0000-000064100000}"/>
    <cellStyle name="계산 4 2 4 4" xfId="16450" xr:uid="{00000000-0005-0000-0000-000065100000}"/>
    <cellStyle name="계산 4 2 4 4 2" xfId="20146" xr:uid="{00000000-0005-0000-0000-000066100000}"/>
    <cellStyle name="계산 4 2 4 4 3" xfId="27156" xr:uid="{00000000-0005-0000-0000-000067100000}"/>
    <cellStyle name="계산 4 2 4 4 4" xfId="30270" xr:uid="{00000000-0005-0000-0000-000068100000}"/>
    <cellStyle name="계산 4 2 4 4 5" xfId="22926" xr:uid="{00000000-0005-0000-0000-000069100000}"/>
    <cellStyle name="계산 4 2 4 5" xfId="23271" xr:uid="{00000000-0005-0000-0000-00006A100000}"/>
    <cellStyle name="계산 4 2 4 5 2" xfId="23830" xr:uid="{00000000-0005-0000-0000-00006B100000}"/>
    <cellStyle name="계산 4 2 4 5 3" xfId="27501" xr:uid="{00000000-0005-0000-0000-00006C100000}"/>
    <cellStyle name="계산 4 2 4 5 4" xfId="30615" xr:uid="{00000000-0005-0000-0000-00006D100000}"/>
    <cellStyle name="계산 4 2 4 6" xfId="19513" xr:uid="{00000000-0005-0000-0000-00006E100000}"/>
    <cellStyle name="계산 4 2 4 7" xfId="25659" xr:uid="{00000000-0005-0000-0000-00006F100000}"/>
    <cellStyle name="계산 4 2 4 8" xfId="28776" xr:uid="{00000000-0005-0000-0000-000070100000}"/>
    <cellStyle name="계산 4 2 4 9" xfId="17697" xr:uid="{00000000-0005-0000-0000-000071100000}"/>
    <cellStyle name="계산 4 2 5" xfId="14942" xr:uid="{00000000-0005-0000-0000-000072100000}"/>
    <cellStyle name="계산 4 2 5 2" xfId="15692" xr:uid="{00000000-0005-0000-0000-000073100000}"/>
    <cellStyle name="계산 4 2 5 2 2" xfId="31470" xr:uid="{00000000-0005-0000-0000-000074100000}"/>
    <cellStyle name="계산 4 2 5 2 3" xfId="20864" xr:uid="{00000000-0005-0000-0000-000075100000}"/>
    <cellStyle name="계산 4 2 5 3" xfId="16054" xr:uid="{00000000-0005-0000-0000-000076100000}"/>
    <cellStyle name="계산 4 2 5 3 2" xfId="31697" xr:uid="{00000000-0005-0000-0000-000077100000}"/>
    <cellStyle name="계산 4 2 5 3 3" xfId="23758" xr:uid="{00000000-0005-0000-0000-000078100000}"/>
    <cellStyle name="계산 4 2 5 4" xfId="16451" xr:uid="{00000000-0005-0000-0000-000079100000}"/>
    <cellStyle name="계산 4 2 5 4 2" xfId="32013" xr:uid="{00000000-0005-0000-0000-00007A100000}"/>
    <cellStyle name="계산 4 2 5 4 3" xfId="25115" xr:uid="{00000000-0005-0000-0000-00007B100000}"/>
    <cellStyle name="계산 4 2 5 5" xfId="28239" xr:uid="{00000000-0005-0000-0000-00007C100000}"/>
    <cellStyle name="계산 4 2 5 6" xfId="17848" xr:uid="{00000000-0005-0000-0000-00007D100000}"/>
    <cellStyle name="계산 4 2 6" xfId="15022" xr:uid="{00000000-0005-0000-0000-00007E100000}"/>
    <cellStyle name="계산 4 2 6 2" xfId="15750" xr:uid="{00000000-0005-0000-0000-00007F100000}"/>
    <cellStyle name="계산 4 2 6 2 2" xfId="31528" xr:uid="{00000000-0005-0000-0000-000080100000}"/>
    <cellStyle name="계산 4 2 6 3" xfId="16134" xr:uid="{00000000-0005-0000-0000-000081100000}"/>
    <cellStyle name="계산 4 2 6 3 2" xfId="31777" xr:uid="{00000000-0005-0000-0000-000082100000}"/>
    <cellStyle name="계산 4 2 6 4" xfId="16452" xr:uid="{00000000-0005-0000-0000-000083100000}"/>
    <cellStyle name="계산 4 2 6 4 2" xfId="32014" xr:uid="{00000000-0005-0000-0000-000084100000}"/>
    <cellStyle name="계산 4 2 6 5" xfId="31239" xr:uid="{00000000-0005-0000-0000-000085100000}"/>
    <cellStyle name="계산 4 2 6 6" xfId="18642" xr:uid="{00000000-0005-0000-0000-000086100000}"/>
    <cellStyle name="계산 4 2 7" xfId="14887" xr:uid="{00000000-0005-0000-0000-000087100000}"/>
    <cellStyle name="계산 4 2 7 2" xfId="15648" xr:uid="{00000000-0005-0000-0000-000088100000}"/>
    <cellStyle name="계산 4 2 7 2 2" xfId="31426" xr:uid="{00000000-0005-0000-0000-000089100000}"/>
    <cellStyle name="계산 4 2 7 3" xfId="15999" xr:uid="{00000000-0005-0000-0000-00008A100000}"/>
    <cellStyle name="계산 4 2 7 3 2" xfId="31642" xr:uid="{00000000-0005-0000-0000-00008B100000}"/>
    <cellStyle name="계산 4 2 7 4" xfId="16453" xr:uid="{00000000-0005-0000-0000-00008C100000}"/>
    <cellStyle name="계산 4 2 7 4 2" xfId="32015" xr:uid="{00000000-0005-0000-0000-00008D100000}"/>
    <cellStyle name="계산 4 2 7 5" xfId="31170" xr:uid="{00000000-0005-0000-0000-00008E100000}"/>
    <cellStyle name="계산 4 2 7 6" xfId="18596" xr:uid="{00000000-0005-0000-0000-00008F100000}"/>
    <cellStyle name="계산 4 2 8" xfId="15151" xr:uid="{00000000-0005-0000-0000-000090100000}"/>
    <cellStyle name="계산 4 2 8 2" xfId="16263" xr:uid="{00000000-0005-0000-0000-000091100000}"/>
    <cellStyle name="계산 4 2 8 2 2" xfId="31872" xr:uid="{00000000-0005-0000-0000-000092100000}"/>
    <cellStyle name="계산 4 2 8 3" xfId="16454" xr:uid="{00000000-0005-0000-0000-000093100000}"/>
    <cellStyle name="계산 4 2 8 3 2" xfId="32016" xr:uid="{00000000-0005-0000-0000-000094100000}"/>
    <cellStyle name="계산 4 2 8 4" xfId="16455" xr:uid="{00000000-0005-0000-0000-000095100000}"/>
    <cellStyle name="계산 4 2 8 4 2" xfId="32017" xr:uid="{00000000-0005-0000-0000-000096100000}"/>
    <cellStyle name="계산 4 2 8 5" xfId="18621" xr:uid="{00000000-0005-0000-0000-000097100000}"/>
    <cellStyle name="계산 4 2 9" xfId="15350" xr:uid="{00000000-0005-0000-0000-000098100000}"/>
    <cellStyle name="계산 4 2 9 2" xfId="15320" xr:uid="{00000000-0005-0000-0000-000099100000}"/>
    <cellStyle name="계산 4 2 9 2 2" xfId="31367" xr:uid="{00000000-0005-0000-0000-00009A100000}"/>
    <cellStyle name="계산 4 2 9 3" xfId="16456" xr:uid="{00000000-0005-0000-0000-00009B100000}"/>
    <cellStyle name="계산 4 2 9 3 2" xfId="32018" xr:uid="{00000000-0005-0000-0000-00009C100000}"/>
    <cellStyle name="계산 4 2 9 4" xfId="16457" xr:uid="{00000000-0005-0000-0000-00009D100000}"/>
    <cellStyle name="계산 4 2 9 4 2" xfId="32019" xr:uid="{00000000-0005-0000-0000-00009E100000}"/>
    <cellStyle name="계산 4 2 9 5" xfId="31397" xr:uid="{00000000-0005-0000-0000-00009F100000}"/>
    <cellStyle name="계산 4 3" xfId="11852" xr:uid="{00000000-0005-0000-0000-0000A0100000}"/>
    <cellStyle name="계산 4 3 10" xfId="15176" xr:uid="{00000000-0005-0000-0000-0000A1100000}"/>
    <cellStyle name="계산 4 3 10 2" xfId="31312" xr:uid="{00000000-0005-0000-0000-0000A2100000}"/>
    <cellStyle name="계산 4 3 11" xfId="16458" xr:uid="{00000000-0005-0000-0000-0000A3100000}"/>
    <cellStyle name="계산 4 3 11 2" xfId="32020" xr:uid="{00000000-0005-0000-0000-0000A4100000}"/>
    <cellStyle name="계산 4 3 12" xfId="16459" xr:uid="{00000000-0005-0000-0000-0000A5100000}"/>
    <cellStyle name="계산 4 3 12 2" xfId="32021" xr:uid="{00000000-0005-0000-0000-0000A6100000}"/>
    <cellStyle name="계산 4 3 13" xfId="17230" xr:uid="{00000000-0005-0000-0000-0000A7100000}"/>
    <cellStyle name="계산 4 3 2" xfId="14570" xr:uid="{00000000-0005-0000-0000-0000A8100000}"/>
    <cellStyle name="계산 4 3 2 10" xfId="24847" xr:uid="{00000000-0005-0000-0000-0000A9100000}"/>
    <cellStyle name="계산 4 3 2 11" xfId="27971" xr:uid="{00000000-0005-0000-0000-0000AA100000}"/>
    <cellStyle name="계산 4 3 2 12" xfId="17594" xr:uid="{00000000-0005-0000-0000-0000AB100000}"/>
    <cellStyle name="계산 4 3 2 2" xfId="15501" xr:uid="{00000000-0005-0000-0000-0000AC100000}"/>
    <cellStyle name="계산 4 3 2 2 10" xfId="17849" xr:uid="{00000000-0005-0000-0000-0000AD100000}"/>
    <cellStyle name="계산 4 3 2 2 2" xfId="22182" xr:uid="{00000000-0005-0000-0000-0000AE100000}"/>
    <cellStyle name="계산 4 3 2 2 2 2" xfId="18333" xr:uid="{00000000-0005-0000-0000-0000AF100000}"/>
    <cellStyle name="계산 4 3 2 2 2 3" xfId="26412" xr:uid="{00000000-0005-0000-0000-0000B0100000}"/>
    <cellStyle name="계산 4 3 2 2 2 4" xfId="29526" xr:uid="{00000000-0005-0000-0000-0000B1100000}"/>
    <cellStyle name="계산 4 3 2 2 3" xfId="22658" xr:uid="{00000000-0005-0000-0000-0000B2100000}"/>
    <cellStyle name="계산 4 3 2 2 3 2" xfId="19903" xr:uid="{00000000-0005-0000-0000-0000B3100000}"/>
    <cellStyle name="계산 4 3 2 2 3 3" xfId="26888" xr:uid="{00000000-0005-0000-0000-0000B4100000}"/>
    <cellStyle name="계산 4 3 2 2 3 4" xfId="30002" xr:uid="{00000000-0005-0000-0000-0000B5100000}"/>
    <cellStyle name="계산 4 3 2 2 4" xfId="23069" xr:uid="{00000000-0005-0000-0000-0000B6100000}"/>
    <cellStyle name="계산 4 3 2 2 4 2" xfId="19167" xr:uid="{00000000-0005-0000-0000-0000B7100000}"/>
    <cellStyle name="계산 4 3 2 2 4 3" xfId="27299" xr:uid="{00000000-0005-0000-0000-0000B8100000}"/>
    <cellStyle name="계산 4 3 2 2 4 4" xfId="30413" xr:uid="{00000000-0005-0000-0000-0000B9100000}"/>
    <cellStyle name="계산 4 3 2 2 5" xfId="23468" xr:uid="{00000000-0005-0000-0000-0000BA100000}"/>
    <cellStyle name="계산 4 3 2 2 5 2" xfId="18132" xr:uid="{00000000-0005-0000-0000-0000BB100000}"/>
    <cellStyle name="계산 4 3 2 2 5 3" xfId="27698" xr:uid="{00000000-0005-0000-0000-0000BC100000}"/>
    <cellStyle name="계산 4 3 2 2 5 4" xfId="30812" xr:uid="{00000000-0005-0000-0000-0000BD100000}"/>
    <cellStyle name="계산 4 3 2 2 6" xfId="21629" xr:uid="{00000000-0005-0000-0000-0000BE100000}"/>
    <cellStyle name="계산 4 3 2 2 7" xfId="19540" xr:uid="{00000000-0005-0000-0000-0000BF100000}"/>
    <cellStyle name="계산 4 3 2 2 8" xfId="25859" xr:uid="{00000000-0005-0000-0000-0000C0100000}"/>
    <cellStyle name="계산 4 3 2 2 9" xfId="28973" xr:uid="{00000000-0005-0000-0000-0000C1100000}"/>
    <cellStyle name="계산 4 3 2 3" xfId="15600" xr:uid="{00000000-0005-0000-0000-0000C2100000}"/>
    <cellStyle name="계산 4 3 2 3 2" xfId="21309" xr:uid="{00000000-0005-0000-0000-0000C3100000}"/>
    <cellStyle name="계산 4 3 2 3 3" xfId="19435" xr:uid="{00000000-0005-0000-0000-0000C4100000}"/>
    <cellStyle name="계산 4 3 2 3 4" xfId="25522" xr:uid="{00000000-0005-0000-0000-0000C5100000}"/>
    <cellStyle name="계산 4 3 2 3 5" xfId="28639" xr:uid="{00000000-0005-0000-0000-0000C6100000}"/>
    <cellStyle name="계산 4 3 2 3 6" xfId="17850" xr:uid="{00000000-0005-0000-0000-0000C7100000}"/>
    <cellStyle name="계산 4 3 2 4" xfId="16460" xr:uid="{00000000-0005-0000-0000-0000C8100000}"/>
    <cellStyle name="계산 4 3 2 4 2" xfId="19110" xr:uid="{00000000-0005-0000-0000-0000C9100000}"/>
    <cellStyle name="계산 4 3 2 4 3" xfId="25055" xr:uid="{00000000-0005-0000-0000-0000CA100000}"/>
    <cellStyle name="계산 4 3 2 4 4" xfId="28179" xr:uid="{00000000-0005-0000-0000-0000CB100000}"/>
    <cellStyle name="계산 4 3 2 4 5" xfId="20807" xr:uid="{00000000-0005-0000-0000-0000CC100000}"/>
    <cellStyle name="계산 4 3 2 5" xfId="21223" xr:uid="{00000000-0005-0000-0000-0000CD100000}"/>
    <cellStyle name="계산 4 3 2 5 2" xfId="24333" xr:uid="{00000000-0005-0000-0000-0000CE100000}"/>
    <cellStyle name="계산 4 3 2 5 3" xfId="25446" xr:uid="{00000000-0005-0000-0000-0000CF100000}"/>
    <cellStyle name="계산 4 3 2 5 4" xfId="28563" xr:uid="{00000000-0005-0000-0000-0000D0100000}"/>
    <cellStyle name="계산 4 3 2 6" xfId="20985" xr:uid="{00000000-0005-0000-0000-0000D1100000}"/>
    <cellStyle name="계산 4 3 2 6 2" xfId="24674" xr:uid="{00000000-0005-0000-0000-0000D2100000}"/>
    <cellStyle name="계산 4 3 2 6 3" xfId="25233" xr:uid="{00000000-0005-0000-0000-0000D3100000}"/>
    <cellStyle name="계산 4 3 2 6 4" xfId="28357" xr:uid="{00000000-0005-0000-0000-0000D4100000}"/>
    <cellStyle name="계산 4 3 2 7" xfId="21197" xr:uid="{00000000-0005-0000-0000-0000D5100000}"/>
    <cellStyle name="계산 4 3 2 7 2" xfId="19362" xr:uid="{00000000-0005-0000-0000-0000D6100000}"/>
    <cellStyle name="계산 4 3 2 7 3" xfId="25425" xr:uid="{00000000-0005-0000-0000-0000D7100000}"/>
    <cellStyle name="계산 4 3 2 7 4" xfId="28542" xr:uid="{00000000-0005-0000-0000-0000D8100000}"/>
    <cellStyle name="계산 4 3 2 8" xfId="20599" xr:uid="{00000000-0005-0000-0000-0000D9100000}"/>
    <cellStyle name="계산 4 3 2 9" xfId="18906" xr:uid="{00000000-0005-0000-0000-0000DA100000}"/>
    <cellStyle name="계산 4 3 3" xfId="14579" xr:uid="{00000000-0005-0000-0000-0000DB100000}"/>
    <cellStyle name="계산 4 3 3 10" xfId="27939" xr:uid="{00000000-0005-0000-0000-0000DC100000}"/>
    <cellStyle name="계산 4 3 3 11" xfId="17658" xr:uid="{00000000-0005-0000-0000-0000DD100000}"/>
    <cellStyle name="계산 4 3 3 2" xfId="15510" xr:uid="{00000000-0005-0000-0000-0000DE100000}"/>
    <cellStyle name="계산 4 3 3 2 2" xfId="19297" xr:uid="{00000000-0005-0000-0000-0000DF100000}"/>
    <cellStyle name="계산 4 3 3 2 3" xfId="25827" xr:uid="{00000000-0005-0000-0000-0000E0100000}"/>
    <cellStyle name="계산 4 3 3 2 4" xfId="28941" xr:uid="{00000000-0005-0000-0000-0000E1100000}"/>
    <cellStyle name="계산 4 3 3 2 5" xfId="21597" xr:uid="{00000000-0005-0000-0000-0000E2100000}"/>
    <cellStyle name="계산 4 3 3 3" xfId="15864" xr:uid="{00000000-0005-0000-0000-0000E3100000}"/>
    <cellStyle name="계산 4 3 3 3 2" xfId="19572" xr:uid="{00000000-0005-0000-0000-0000E4100000}"/>
    <cellStyle name="계산 4 3 3 3 3" xfId="26380" xr:uid="{00000000-0005-0000-0000-0000E5100000}"/>
    <cellStyle name="계산 4 3 3 3 4" xfId="29494" xr:uid="{00000000-0005-0000-0000-0000E6100000}"/>
    <cellStyle name="계산 4 3 3 3 5" xfId="22150" xr:uid="{00000000-0005-0000-0000-0000E7100000}"/>
    <cellStyle name="계산 4 3 3 4" xfId="16461" xr:uid="{00000000-0005-0000-0000-0000E8100000}"/>
    <cellStyle name="계산 4 3 3 4 2" xfId="19872" xr:uid="{00000000-0005-0000-0000-0000E9100000}"/>
    <cellStyle name="계산 4 3 3 4 3" xfId="26856" xr:uid="{00000000-0005-0000-0000-0000EA100000}"/>
    <cellStyle name="계산 4 3 3 4 4" xfId="29970" xr:uid="{00000000-0005-0000-0000-0000EB100000}"/>
    <cellStyle name="계산 4 3 3 4 5" xfId="22626" xr:uid="{00000000-0005-0000-0000-0000EC100000}"/>
    <cellStyle name="계산 4 3 3 5" xfId="23041" xr:uid="{00000000-0005-0000-0000-0000ED100000}"/>
    <cellStyle name="계산 4 3 3 5 2" xfId="20252" xr:uid="{00000000-0005-0000-0000-0000EE100000}"/>
    <cellStyle name="계산 4 3 3 5 3" xfId="27271" xr:uid="{00000000-0005-0000-0000-0000EF100000}"/>
    <cellStyle name="계산 4 3 3 5 4" xfId="30385" xr:uid="{00000000-0005-0000-0000-0000F0100000}"/>
    <cellStyle name="계산 4 3 3 6" xfId="23436" xr:uid="{00000000-0005-0000-0000-0000F1100000}"/>
    <cellStyle name="계산 4 3 3 6 2" xfId="18104" xr:uid="{00000000-0005-0000-0000-0000F2100000}"/>
    <cellStyle name="계산 4 3 3 6 3" xfId="27666" xr:uid="{00000000-0005-0000-0000-0000F3100000}"/>
    <cellStyle name="계산 4 3 3 6 4" xfId="30780" xr:uid="{00000000-0005-0000-0000-0000F4100000}"/>
    <cellStyle name="계산 4 3 3 7" xfId="20567" xr:uid="{00000000-0005-0000-0000-0000F5100000}"/>
    <cellStyle name="계산 4 3 3 8" xfId="18874" xr:uid="{00000000-0005-0000-0000-0000F6100000}"/>
    <cellStyle name="계산 4 3 3 9" xfId="24815" xr:uid="{00000000-0005-0000-0000-0000F7100000}"/>
    <cellStyle name="계산 4 3 4" xfId="15079" xr:uid="{00000000-0005-0000-0000-0000F8100000}"/>
    <cellStyle name="계산 4 3 4 2" xfId="15798" xr:uid="{00000000-0005-0000-0000-0000F9100000}"/>
    <cellStyle name="계산 4 3 4 2 2" xfId="24116" xr:uid="{00000000-0005-0000-0000-0000FA100000}"/>
    <cellStyle name="계산 4 3 4 2 3" xfId="26211" xr:uid="{00000000-0005-0000-0000-0000FB100000}"/>
    <cellStyle name="계산 4 3 4 2 4" xfId="29325" xr:uid="{00000000-0005-0000-0000-0000FC100000}"/>
    <cellStyle name="계산 4 3 4 2 5" xfId="21981" xr:uid="{00000000-0005-0000-0000-0000FD100000}"/>
    <cellStyle name="계산 4 3 4 3" xfId="16191" xr:uid="{00000000-0005-0000-0000-0000FE100000}"/>
    <cellStyle name="계산 4 3 4 3 2" xfId="19372" xr:uid="{00000000-0005-0000-0000-0000FF100000}"/>
    <cellStyle name="계산 4 3 4 3 3" xfId="26684" xr:uid="{00000000-0005-0000-0000-000000110000}"/>
    <cellStyle name="계산 4 3 4 3 4" xfId="29798" xr:uid="{00000000-0005-0000-0000-000001110000}"/>
    <cellStyle name="계산 4 3 4 3 5" xfId="22454" xr:uid="{00000000-0005-0000-0000-000002110000}"/>
    <cellStyle name="계산 4 3 4 4" xfId="16462" xr:uid="{00000000-0005-0000-0000-000003110000}"/>
    <cellStyle name="계산 4 3 4 4 2" xfId="20147" xr:uid="{00000000-0005-0000-0000-000004110000}"/>
    <cellStyle name="계산 4 3 4 4 3" xfId="27157" xr:uid="{00000000-0005-0000-0000-000005110000}"/>
    <cellStyle name="계산 4 3 4 4 4" xfId="30271" xr:uid="{00000000-0005-0000-0000-000006110000}"/>
    <cellStyle name="계산 4 3 4 4 5" xfId="22927" xr:uid="{00000000-0005-0000-0000-000007110000}"/>
    <cellStyle name="계산 4 3 4 5" xfId="23272" xr:uid="{00000000-0005-0000-0000-000008110000}"/>
    <cellStyle name="계산 4 3 4 5 2" xfId="20321" xr:uid="{00000000-0005-0000-0000-000009110000}"/>
    <cellStyle name="계산 4 3 4 5 3" xfId="27502" xr:uid="{00000000-0005-0000-0000-00000A110000}"/>
    <cellStyle name="계산 4 3 4 5 4" xfId="30616" xr:uid="{00000000-0005-0000-0000-00000B110000}"/>
    <cellStyle name="계산 4 3 4 6" xfId="19514" xr:uid="{00000000-0005-0000-0000-00000C110000}"/>
    <cellStyle name="계산 4 3 4 7" xfId="25660" xr:uid="{00000000-0005-0000-0000-00000D110000}"/>
    <cellStyle name="계산 4 3 4 8" xfId="28777" xr:uid="{00000000-0005-0000-0000-00000E110000}"/>
    <cellStyle name="계산 4 3 4 9" xfId="17696" xr:uid="{00000000-0005-0000-0000-00000F110000}"/>
    <cellStyle name="계산 4 3 5" xfId="14941" xr:uid="{00000000-0005-0000-0000-000010110000}"/>
    <cellStyle name="계산 4 3 5 2" xfId="15691" xr:uid="{00000000-0005-0000-0000-000011110000}"/>
    <cellStyle name="계산 4 3 5 2 2" xfId="31469" xr:uid="{00000000-0005-0000-0000-000012110000}"/>
    <cellStyle name="계산 4 3 5 2 3" xfId="20865" xr:uid="{00000000-0005-0000-0000-000013110000}"/>
    <cellStyle name="계산 4 3 5 3" xfId="16053" xr:uid="{00000000-0005-0000-0000-000014110000}"/>
    <cellStyle name="계산 4 3 5 3 2" xfId="31696" xr:uid="{00000000-0005-0000-0000-000015110000}"/>
    <cellStyle name="계산 4 3 5 3 3" xfId="24680" xr:uid="{00000000-0005-0000-0000-000016110000}"/>
    <cellStyle name="계산 4 3 5 4" xfId="16463" xr:uid="{00000000-0005-0000-0000-000017110000}"/>
    <cellStyle name="계산 4 3 5 4 2" xfId="32022" xr:uid="{00000000-0005-0000-0000-000018110000}"/>
    <cellStyle name="계산 4 3 5 4 3" xfId="25116" xr:uid="{00000000-0005-0000-0000-000019110000}"/>
    <cellStyle name="계산 4 3 5 5" xfId="28240" xr:uid="{00000000-0005-0000-0000-00001A110000}"/>
    <cellStyle name="계산 4 3 5 6" xfId="17851" xr:uid="{00000000-0005-0000-0000-00001B110000}"/>
    <cellStyle name="계산 4 3 6" xfId="15142" xr:uid="{00000000-0005-0000-0000-00001C110000}"/>
    <cellStyle name="계산 4 3 6 2" xfId="15853" xr:uid="{00000000-0005-0000-0000-00001D110000}"/>
    <cellStyle name="계산 4 3 6 2 2" xfId="31597" xr:uid="{00000000-0005-0000-0000-00001E110000}"/>
    <cellStyle name="계산 4 3 6 3" xfId="16254" xr:uid="{00000000-0005-0000-0000-00001F110000}"/>
    <cellStyle name="계산 4 3 6 3 2" xfId="31863" xr:uid="{00000000-0005-0000-0000-000020110000}"/>
    <cellStyle name="계산 4 3 6 4" xfId="16464" xr:uid="{00000000-0005-0000-0000-000021110000}"/>
    <cellStyle name="계산 4 3 6 4 2" xfId="32023" xr:uid="{00000000-0005-0000-0000-000022110000}"/>
    <cellStyle name="계산 4 3 6 5" xfId="31286" xr:uid="{00000000-0005-0000-0000-000023110000}"/>
    <cellStyle name="계산 4 3 6 6" xfId="18643" xr:uid="{00000000-0005-0000-0000-000024110000}"/>
    <cellStyle name="계산 4 3 7" xfId="14981" xr:uid="{00000000-0005-0000-0000-000025110000}"/>
    <cellStyle name="계산 4 3 7 2" xfId="15731" xr:uid="{00000000-0005-0000-0000-000026110000}"/>
    <cellStyle name="계산 4 3 7 2 2" xfId="31509" xr:uid="{00000000-0005-0000-0000-000027110000}"/>
    <cellStyle name="계산 4 3 7 3" xfId="16093" xr:uid="{00000000-0005-0000-0000-000028110000}"/>
    <cellStyle name="계산 4 3 7 3 2" xfId="31736" xr:uid="{00000000-0005-0000-0000-000029110000}"/>
    <cellStyle name="계산 4 3 7 4" xfId="16465" xr:uid="{00000000-0005-0000-0000-00002A110000}"/>
    <cellStyle name="계산 4 3 7 4 2" xfId="32024" xr:uid="{00000000-0005-0000-0000-00002B110000}"/>
    <cellStyle name="계산 4 3 7 5" xfId="31220" xr:uid="{00000000-0005-0000-0000-00002C110000}"/>
    <cellStyle name="계산 4 3 7 6" xfId="18595" xr:uid="{00000000-0005-0000-0000-00002D110000}"/>
    <cellStyle name="계산 4 3 8" xfId="14995" xr:uid="{00000000-0005-0000-0000-00002E110000}"/>
    <cellStyle name="계산 4 3 8 2" xfId="16107" xr:uid="{00000000-0005-0000-0000-00002F110000}"/>
    <cellStyle name="계산 4 3 8 2 2" xfId="31750" xr:uid="{00000000-0005-0000-0000-000030110000}"/>
    <cellStyle name="계산 4 3 8 3" xfId="16466" xr:uid="{00000000-0005-0000-0000-000031110000}"/>
    <cellStyle name="계산 4 3 8 3 2" xfId="32025" xr:uid="{00000000-0005-0000-0000-000032110000}"/>
    <cellStyle name="계산 4 3 8 4" xfId="16467" xr:uid="{00000000-0005-0000-0000-000033110000}"/>
    <cellStyle name="계산 4 3 8 4 2" xfId="32026" xr:uid="{00000000-0005-0000-0000-000034110000}"/>
    <cellStyle name="계산 4 3 8 5" xfId="24141" xr:uid="{00000000-0005-0000-0000-000035110000}"/>
    <cellStyle name="계산 4 3 9" xfId="15351" xr:uid="{00000000-0005-0000-0000-000036110000}"/>
    <cellStyle name="계산 4 3 9 2" xfId="15319" xr:uid="{00000000-0005-0000-0000-000037110000}"/>
    <cellStyle name="계산 4 3 9 2 2" xfId="31366" xr:uid="{00000000-0005-0000-0000-000038110000}"/>
    <cellStyle name="계산 4 3 9 3" xfId="16468" xr:uid="{00000000-0005-0000-0000-000039110000}"/>
    <cellStyle name="계산 4 3 9 3 2" xfId="32027" xr:uid="{00000000-0005-0000-0000-00003A110000}"/>
    <cellStyle name="계산 4 3 9 4" xfId="16469" xr:uid="{00000000-0005-0000-0000-00003B110000}"/>
    <cellStyle name="계산 4 3 9 4 2" xfId="32028" xr:uid="{00000000-0005-0000-0000-00003C110000}"/>
    <cellStyle name="계산 4 3 9 5" xfId="31398" xr:uid="{00000000-0005-0000-0000-00003D110000}"/>
    <cellStyle name="계산 4 4" xfId="11853" xr:uid="{00000000-0005-0000-0000-00003E110000}"/>
    <cellStyle name="계산 4 4 10" xfId="15177" xr:uid="{00000000-0005-0000-0000-00003F110000}"/>
    <cellStyle name="계산 4 4 10 2" xfId="31313" xr:uid="{00000000-0005-0000-0000-000040110000}"/>
    <cellStyle name="계산 4 4 11" xfId="16470" xr:uid="{00000000-0005-0000-0000-000041110000}"/>
    <cellStyle name="계산 4 4 11 2" xfId="32029" xr:uid="{00000000-0005-0000-0000-000042110000}"/>
    <cellStyle name="계산 4 4 12" xfId="16471" xr:uid="{00000000-0005-0000-0000-000043110000}"/>
    <cellStyle name="계산 4 4 12 2" xfId="32030" xr:uid="{00000000-0005-0000-0000-000044110000}"/>
    <cellStyle name="계산 4 4 13" xfId="17231" xr:uid="{00000000-0005-0000-0000-000045110000}"/>
    <cellStyle name="계산 4 4 2" xfId="14620" xr:uid="{00000000-0005-0000-0000-000046110000}"/>
    <cellStyle name="계산 4 4 2 10" xfId="24848" xr:uid="{00000000-0005-0000-0000-000047110000}"/>
    <cellStyle name="계산 4 4 2 11" xfId="27972" xr:uid="{00000000-0005-0000-0000-000048110000}"/>
    <cellStyle name="계산 4 4 2 12" xfId="17593" xr:uid="{00000000-0005-0000-0000-000049110000}"/>
    <cellStyle name="계산 4 4 2 2" xfId="15551" xr:uid="{00000000-0005-0000-0000-00004A110000}"/>
    <cellStyle name="계산 4 4 2 2 10" xfId="17852" xr:uid="{00000000-0005-0000-0000-00004B110000}"/>
    <cellStyle name="계산 4 4 2 2 2" xfId="22183" xr:uid="{00000000-0005-0000-0000-00004C110000}"/>
    <cellStyle name="계산 4 4 2 2 2 2" xfId="18334" xr:uid="{00000000-0005-0000-0000-00004D110000}"/>
    <cellStyle name="계산 4 4 2 2 2 3" xfId="26413" xr:uid="{00000000-0005-0000-0000-00004E110000}"/>
    <cellStyle name="계산 4 4 2 2 2 4" xfId="29527" xr:uid="{00000000-0005-0000-0000-00004F110000}"/>
    <cellStyle name="계산 4 4 2 2 3" xfId="22659" xr:uid="{00000000-0005-0000-0000-000050110000}"/>
    <cellStyle name="계산 4 4 2 2 3 2" xfId="19904" xr:uid="{00000000-0005-0000-0000-000051110000}"/>
    <cellStyle name="계산 4 4 2 2 3 3" xfId="26889" xr:uid="{00000000-0005-0000-0000-000052110000}"/>
    <cellStyle name="계산 4 4 2 2 3 4" xfId="30003" xr:uid="{00000000-0005-0000-0000-000053110000}"/>
    <cellStyle name="계산 4 4 2 2 4" xfId="23070" xr:uid="{00000000-0005-0000-0000-000054110000}"/>
    <cellStyle name="계산 4 4 2 2 4 2" xfId="19168" xr:uid="{00000000-0005-0000-0000-000055110000}"/>
    <cellStyle name="계산 4 4 2 2 4 3" xfId="27300" xr:uid="{00000000-0005-0000-0000-000056110000}"/>
    <cellStyle name="계산 4 4 2 2 4 4" xfId="30414" xr:uid="{00000000-0005-0000-0000-000057110000}"/>
    <cellStyle name="계산 4 4 2 2 5" xfId="23469" xr:uid="{00000000-0005-0000-0000-000058110000}"/>
    <cellStyle name="계산 4 4 2 2 5 2" xfId="18133" xr:uid="{00000000-0005-0000-0000-000059110000}"/>
    <cellStyle name="계산 4 4 2 2 5 3" xfId="27699" xr:uid="{00000000-0005-0000-0000-00005A110000}"/>
    <cellStyle name="계산 4 4 2 2 5 4" xfId="30813" xr:uid="{00000000-0005-0000-0000-00005B110000}"/>
    <cellStyle name="계산 4 4 2 2 6" xfId="21630" xr:uid="{00000000-0005-0000-0000-00005C110000}"/>
    <cellStyle name="계산 4 4 2 2 7" xfId="24714" xr:uid="{00000000-0005-0000-0000-00005D110000}"/>
    <cellStyle name="계산 4 4 2 2 8" xfId="25860" xr:uid="{00000000-0005-0000-0000-00005E110000}"/>
    <cellStyle name="계산 4 4 2 2 9" xfId="28974" xr:uid="{00000000-0005-0000-0000-00005F110000}"/>
    <cellStyle name="계산 4 4 2 3" xfId="15905" xr:uid="{00000000-0005-0000-0000-000060110000}"/>
    <cellStyle name="계산 4 4 2 3 2" xfId="21310" xr:uid="{00000000-0005-0000-0000-000061110000}"/>
    <cellStyle name="계산 4 4 2 3 3" xfId="19436" xr:uid="{00000000-0005-0000-0000-000062110000}"/>
    <cellStyle name="계산 4 4 2 3 4" xfId="25523" xr:uid="{00000000-0005-0000-0000-000063110000}"/>
    <cellStyle name="계산 4 4 2 3 5" xfId="28640" xr:uid="{00000000-0005-0000-0000-000064110000}"/>
    <cellStyle name="계산 4 4 2 3 6" xfId="17853" xr:uid="{00000000-0005-0000-0000-000065110000}"/>
    <cellStyle name="계산 4 4 2 4" xfId="16472" xr:uid="{00000000-0005-0000-0000-000066110000}"/>
    <cellStyle name="계산 4 4 2 4 2" xfId="19367" xr:uid="{00000000-0005-0000-0000-000067110000}"/>
    <cellStyle name="계산 4 4 2 4 3" xfId="25366" xr:uid="{00000000-0005-0000-0000-000068110000}"/>
    <cellStyle name="계산 4 4 2 4 4" xfId="28490" xr:uid="{00000000-0005-0000-0000-000069110000}"/>
    <cellStyle name="계산 4 4 2 4 5" xfId="21121" xr:uid="{00000000-0005-0000-0000-00006A110000}"/>
    <cellStyle name="계산 4 4 2 5" xfId="21224" xr:uid="{00000000-0005-0000-0000-00006B110000}"/>
    <cellStyle name="계산 4 4 2 5 2" xfId="24153" xr:uid="{00000000-0005-0000-0000-00006C110000}"/>
    <cellStyle name="계산 4 4 2 5 3" xfId="25447" xr:uid="{00000000-0005-0000-0000-00006D110000}"/>
    <cellStyle name="계산 4 4 2 5 4" xfId="28564" xr:uid="{00000000-0005-0000-0000-00006E110000}"/>
    <cellStyle name="계산 4 4 2 6" xfId="21139" xr:uid="{00000000-0005-0000-0000-00006F110000}"/>
    <cellStyle name="계산 4 4 2 6 2" xfId="24421" xr:uid="{00000000-0005-0000-0000-000070110000}"/>
    <cellStyle name="계산 4 4 2 6 3" xfId="25383" xr:uid="{00000000-0005-0000-0000-000071110000}"/>
    <cellStyle name="계산 4 4 2 6 4" xfId="28507" xr:uid="{00000000-0005-0000-0000-000072110000}"/>
    <cellStyle name="계산 4 4 2 7" xfId="21198" xr:uid="{00000000-0005-0000-0000-000073110000}"/>
    <cellStyle name="계산 4 4 2 7 2" xfId="23958" xr:uid="{00000000-0005-0000-0000-000074110000}"/>
    <cellStyle name="계산 4 4 2 7 3" xfId="25426" xr:uid="{00000000-0005-0000-0000-000075110000}"/>
    <cellStyle name="계산 4 4 2 7 4" xfId="28543" xr:uid="{00000000-0005-0000-0000-000076110000}"/>
    <cellStyle name="계산 4 4 2 8" xfId="20600" xr:uid="{00000000-0005-0000-0000-000077110000}"/>
    <cellStyle name="계산 4 4 2 9" xfId="18907" xr:uid="{00000000-0005-0000-0000-000078110000}"/>
    <cellStyle name="계산 4 4 3" xfId="14660" xr:uid="{00000000-0005-0000-0000-000079110000}"/>
    <cellStyle name="계산 4 4 3 10" xfId="27940" xr:uid="{00000000-0005-0000-0000-00007A110000}"/>
    <cellStyle name="계산 4 4 3 11" xfId="17657" xr:uid="{00000000-0005-0000-0000-00007B110000}"/>
    <cellStyle name="계산 4 4 3 2" xfId="15591" xr:uid="{00000000-0005-0000-0000-00007C110000}"/>
    <cellStyle name="계산 4 4 3 2 2" xfId="19538" xr:uid="{00000000-0005-0000-0000-00007D110000}"/>
    <cellStyle name="계산 4 4 3 2 3" xfId="25828" xr:uid="{00000000-0005-0000-0000-00007E110000}"/>
    <cellStyle name="계산 4 4 3 2 4" xfId="28942" xr:uid="{00000000-0005-0000-0000-00007F110000}"/>
    <cellStyle name="계산 4 4 3 2 5" xfId="21598" xr:uid="{00000000-0005-0000-0000-000080110000}"/>
    <cellStyle name="계산 4 4 3 3" xfId="15945" xr:uid="{00000000-0005-0000-0000-000081110000}"/>
    <cellStyle name="계산 4 4 3 3 2" xfId="19573" xr:uid="{00000000-0005-0000-0000-000082110000}"/>
    <cellStyle name="계산 4 4 3 3 3" xfId="26381" xr:uid="{00000000-0005-0000-0000-000083110000}"/>
    <cellStyle name="계산 4 4 3 3 4" xfId="29495" xr:uid="{00000000-0005-0000-0000-000084110000}"/>
    <cellStyle name="계산 4 4 3 3 5" xfId="22151" xr:uid="{00000000-0005-0000-0000-000085110000}"/>
    <cellStyle name="계산 4 4 3 4" xfId="16473" xr:uid="{00000000-0005-0000-0000-000086110000}"/>
    <cellStyle name="계산 4 4 3 4 2" xfId="19873" xr:uid="{00000000-0005-0000-0000-000087110000}"/>
    <cellStyle name="계산 4 4 3 4 3" xfId="26857" xr:uid="{00000000-0005-0000-0000-000088110000}"/>
    <cellStyle name="계산 4 4 3 4 4" xfId="29971" xr:uid="{00000000-0005-0000-0000-000089110000}"/>
    <cellStyle name="계산 4 4 3 4 5" xfId="22627" xr:uid="{00000000-0005-0000-0000-00008A110000}"/>
    <cellStyle name="계산 4 4 3 5" xfId="23042" xr:uid="{00000000-0005-0000-0000-00008B110000}"/>
    <cellStyle name="계산 4 4 3 5 2" xfId="20253" xr:uid="{00000000-0005-0000-0000-00008C110000}"/>
    <cellStyle name="계산 4 4 3 5 3" xfId="27272" xr:uid="{00000000-0005-0000-0000-00008D110000}"/>
    <cellStyle name="계산 4 4 3 5 4" xfId="30386" xr:uid="{00000000-0005-0000-0000-00008E110000}"/>
    <cellStyle name="계산 4 4 3 6" xfId="23437" xr:uid="{00000000-0005-0000-0000-00008F110000}"/>
    <cellStyle name="계산 4 4 3 6 2" xfId="18105" xr:uid="{00000000-0005-0000-0000-000090110000}"/>
    <cellStyle name="계산 4 4 3 6 3" xfId="27667" xr:uid="{00000000-0005-0000-0000-000091110000}"/>
    <cellStyle name="계산 4 4 3 6 4" xfId="30781" xr:uid="{00000000-0005-0000-0000-000092110000}"/>
    <cellStyle name="계산 4 4 3 7" xfId="20568" xr:uid="{00000000-0005-0000-0000-000093110000}"/>
    <cellStyle name="계산 4 4 3 8" xfId="18875" xr:uid="{00000000-0005-0000-0000-000094110000}"/>
    <cellStyle name="계산 4 4 3 9" xfId="24816" xr:uid="{00000000-0005-0000-0000-000095110000}"/>
    <cellStyle name="계산 4 4 4" xfId="15080" xr:uid="{00000000-0005-0000-0000-000096110000}"/>
    <cellStyle name="계산 4 4 4 2" xfId="15799" xr:uid="{00000000-0005-0000-0000-000097110000}"/>
    <cellStyle name="계산 4 4 4 2 2" xfId="19320" xr:uid="{00000000-0005-0000-0000-000098110000}"/>
    <cellStyle name="계산 4 4 4 2 3" xfId="26212" xr:uid="{00000000-0005-0000-0000-000099110000}"/>
    <cellStyle name="계산 4 4 4 2 4" xfId="29326" xr:uid="{00000000-0005-0000-0000-00009A110000}"/>
    <cellStyle name="계산 4 4 4 2 5" xfId="21982" xr:uid="{00000000-0005-0000-0000-00009B110000}"/>
    <cellStyle name="계산 4 4 4 3" xfId="16192" xr:uid="{00000000-0005-0000-0000-00009C110000}"/>
    <cellStyle name="계산 4 4 4 3 2" xfId="19713" xr:uid="{00000000-0005-0000-0000-00009D110000}"/>
    <cellStyle name="계산 4 4 4 3 3" xfId="26685" xr:uid="{00000000-0005-0000-0000-00009E110000}"/>
    <cellStyle name="계산 4 4 4 3 4" xfId="29799" xr:uid="{00000000-0005-0000-0000-00009F110000}"/>
    <cellStyle name="계산 4 4 4 3 5" xfId="22455" xr:uid="{00000000-0005-0000-0000-0000A0110000}"/>
    <cellStyle name="계산 4 4 4 4" xfId="16474" xr:uid="{00000000-0005-0000-0000-0000A1110000}"/>
    <cellStyle name="계산 4 4 4 4 2" xfId="20148" xr:uid="{00000000-0005-0000-0000-0000A2110000}"/>
    <cellStyle name="계산 4 4 4 4 3" xfId="27158" xr:uid="{00000000-0005-0000-0000-0000A3110000}"/>
    <cellStyle name="계산 4 4 4 4 4" xfId="30272" xr:uid="{00000000-0005-0000-0000-0000A4110000}"/>
    <cellStyle name="계산 4 4 4 4 5" xfId="22928" xr:uid="{00000000-0005-0000-0000-0000A5110000}"/>
    <cellStyle name="계산 4 4 4 5" xfId="23273" xr:uid="{00000000-0005-0000-0000-0000A6110000}"/>
    <cellStyle name="계산 4 4 4 5 2" xfId="21477" xr:uid="{00000000-0005-0000-0000-0000A7110000}"/>
    <cellStyle name="계산 4 4 4 5 3" xfId="27503" xr:uid="{00000000-0005-0000-0000-0000A8110000}"/>
    <cellStyle name="계산 4 4 4 5 4" xfId="30617" xr:uid="{00000000-0005-0000-0000-0000A9110000}"/>
    <cellStyle name="계산 4 4 4 6" xfId="19515" xr:uid="{00000000-0005-0000-0000-0000AA110000}"/>
    <cellStyle name="계산 4 4 4 7" xfId="25661" xr:uid="{00000000-0005-0000-0000-0000AB110000}"/>
    <cellStyle name="계산 4 4 4 8" xfId="28778" xr:uid="{00000000-0005-0000-0000-0000AC110000}"/>
    <cellStyle name="계산 4 4 4 9" xfId="17695" xr:uid="{00000000-0005-0000-0000-0000AD110000}"/>
    <cellStyle name="계산 4 4 5" xfId="14940" xr:uid="{00000000-0005-0000-0000-0000AE110000}"/>
    <cellStyle name="계산 4 4 5 2" xfId="15690" xr:uid="{00000000-0005-0000-0000-0000AF110000}"/>
    <cellStyle name="계산 4 4 5 2 2" xfId="31468" xr:uid="{00000000-0005-0000-0000-0000B0110000}"/>
    <cellStyle name="계산 4 4 5 2 3" xfId="20866" xr:uid="{00000000-0005-0000-0000-0000B1110000}"/>
    <cellStyle name="계산 4 4 5 3" xfId="16052" xr:uid="{00000000-0005-0000-0000-0000B2110000}"/>
    <cellStyle name="계산 4 4 5 3 2" xfId="31695" xr:uid="{00000000-0005-0000-0000-0000B3110000}"/>
    <cellStyle name="계산 4 4 5 3 3" xfId="24417" xr:uid="{00000000-0005-0000-0000-0000B4110000}"/>
    <cellStyle name="계산 4 4 5 4" xfId="16475" xr:uid="{00000000-0005-0000-0000-0000B5110000}"/>
    <cellStyle name="계산 4 4 5 4 2" xfId="32031" xr:uid="{00000000-0005-0000-0000-0000B6110000}"/>
    <cellStyle name="계산 4 4 5 4 3" xfId="25117" xr:uid="{00000000-0005-0000-0000-0000B7110000}"/>
    <cellStyle name="계산 4 4 5 5" xfId="28241" xr:uid="{00000000-0005-0000-0000-0000B8110000}"/>
    <cellStyle name="계산 4 4 5 6" xfId="17854" xr:uid="{00000000-0005-0000-0000-0000B9110000}"/>
    <cellStyle name="계산 4 4 6" xfId="15023" xr:uid="{00000000-0005-0000-0000-0000BA110000}"/>
    <cellStyle name="계산 4 4 6 2" xfId="15751" xr:uid="{00000000-0005-0000-0000-0000BB110000}"/>
    <cellStyle name="계산 4 4 6 2 2" xfId="31529" xr:uid="{00000000-0005-0000-0000-0000BC110000}"/>
    <cellStyle name="계산 4 4 6 3" xfId="16135" xr:uid="{00000000-0005-0000-0000-0000BD110000}"/>
    <cellStyle name="계산 4 4 6 3 2" xfId="31778" xr:uid="{00000000-0005-0000-0000-0000BE110000}"/>
    <cellStyle name="계산 4 4 6 4" xfId="16476" xr:uid="{00000000-0005-0000-0000-0000BF110000}"/>
    <cellStyle name="계산 4 4 6 4 2" xfId="32032" xr:uid="{00000000-0005-0000-0000-0000C0110000}"/>
    <cellStyle name="계산 4 4 6 5" xfId="31240" xr:uid="{00000000-0005-0000-0000-0000C1110000}"/>
    <cellStyle name="계산 4 4 6 6" xfId="18644" xr:uid="{00000000-0005-0000-0000-0000C2110000}"/>
    <cellStyle name="계산 4 4 7" xfId="14980" xr:uid="{00000000-0005-0000-0000-0000C3110000}"/>
    <cellStyle name="계산 4 4 7 2" xfId="15730" xr:uid="{00000000-0005-0000-0000-0000C4110000}"/>
    <cellStyle name="계산 4 4 7 2 2" xfId="31508" xr:uid="{00000000-0005-0000-0000-0000C5110000}"/>
    <cellStyle name="계산 4 4 7 3" xfId="16092" xr:uid="{00000000-0005-0000-0000-0000C6110000}"/>
    <cellStyle name="계산 4 4 7 3 2" xfId="31735" xr:uid="{00000000-0005-0000-0000-0000C7110000}"/>
    <cellStyle name="계산 4 4 7 4" xfId="16477" xr:uid="{00000000-0005-0000-0000-0000C8110000}"/>
    <cellStyle name="계산 4 4 7 4 2" xfId="32033" xr:uid="{00000000-0005-0000-0000-0000C9110000}"/>
    <cellStyle name="계산 4 4 7 5" xfId="31219" xr:uid="{00000000-0005-0000-0000-0000CA110000}"/>
    <cellStyle name="계산 4 4 7 6" xfId="18594" xr:uid="{00000000-0005-0000-0000-0000CB110000}"/>
    <cellStyle name="계산 4 4 8" xfId="14996" xr:uid="{00000000-0005-0000-0000-0000CC110000}"/>
    <cellStyle name="계산 4 4 8 2" xfId="16108" xr:uid="{00000000-0005-0000-0000-0000CD110000}"/>
    <cellStyle name="계산 4 4 8 2 2" xfId="31751" xr:uid="{00000000-0005-0000-0000-0000CE110000}"/>
    <cellStyle name="계산 4 4 8 3" xfId="16478" xr:uid="{00000000-0005-0000-0000-0000CF110000}"/>
    <cellStyle name="계산 4 4 8 3 2" xfId="32034" xr:uid="{00000000-0005-0000-0000-0000D0110000}"/>
    <cellStyle name="계산 4 4 8 4" xfId="16479" xr:uid="{00000000-0005-0000-0000-0000D1110000}"/>
    <cellStyle name="계산 4 4 8 4 2" xfId="32035" xr:uid="{00000000-0005-0000-0000-0000D2110000}"/>
    <cellStyle name="계산 4 4 8 5" xfId="18832" xr:uid="{00000000-0005-0000-0000-0000D3110000}"/>
    <cellStyle name="계산 4 4 9" xfId="15352" xr:uid="{00000000-0005-0000-0000-0000D4110000}"/>
    <cellStyle name="계산 4 4 9 2" xfId="15318" xr:uid="{00000000-0005-0000-0000-0000D5110000}"/>
    <cellStyle name="계산 4 4 9 2 2" xfId="31365" xr:uid="{00000000-0005-0000-0000-0000D6110000}"/>
    <cellStyle name="계산 4 4 9 3" xfId="16480" xr:uid="{00000000-0005-0000-0000-0000D7110000}"/>
    <cellStyle name="계산 4 4 9 3 2" xfId="32036" xr:uid="{00000000-0005-0000-0000-0000D8110000}"/>
    <cellStyle name="계산 4 4 9 4" xfId="16481" xr:uid="{00000000-0005-0000-0000-0000D9110000}"/>
    <cellStyle name="계산 4 4 9 4 2" xfId="32037" xr:uid="{00000000-0005-0000-0000-0000DA110000}"/>
    <cellStyle name="계산 4 4 9 5" xfId="31399" xr:uid="{00000000-0005-0000-0000-0000DB110000}"/>
    <cellStyle name="계산 4 5" xfId="11854" xr:uid="{00000000-0005-0000-0000-0000DC110000}"/>
    <cellStyle name="계산 4 5 10" xfId="15178" xr:uid="{00000000-0005-0000-0000-0000DD110000}"/>
    <cellStyle name="계산 4 5 10 2" xfId="31314" xr:uid="{00000000-0005-0000-0000-0000DE110000}"/>
    <cellStyle name="계산 4 5 11" xfId="16482" xr:uid="{00000000-0005-0000-0000-0000DF110000}"/>
    <cellStyle name="계산 4 5 11 2" xfId="32038" xr:uid="{00000000-0005-0000-0000-0000E0110000}"/>
    <cellStyle name="계산 4 5 12" xfId="16483" xr:uid="{00000000-0005-0000-0000-0000E1110000}"/>
    <cellStyle name="계산 4 5 12 2" xfId="32039" xr:uid="{00000000-0005-0000-0000-0000E2110000}"/>
    <cellStyle name="계산 4 5 13" xfId="17232" xr:uid="{00000000-0005-0000-0000-0000E3110000}"/>
    <cellStyle name="계산 4 5 2" xfId="14619" xr:uid="{00000000-0005-0000-0000-0000E4110000}"/>
    <cellStyle name="계산 4 5 2 10" xfId="24849" xr:uid="{00000000-0005-0000-0000-0000E5110000}"/>
    <cellStyle name="계산 4 5 2 11" xfId="27973" xr:uid="{00000000-0005-0000-0000-0000E6110000}"/>
    <cellStyle name="계산 4 5 2 12" xfId="17592" xr:uid="{00000000-0005-0000-0000-0000E7110000}"/>
    <cellStyle name="계산 4 5 2 2" xfId="15550" xr:uid="{00000000-0005-0000-0000-0000E8110000}"/>
    <cellStyle name="계산 4 5 2 2 10" xfId="17855" xr:uid="{00000000-0005-0000-0000-0000E9110000}"/>
    <cellStyle name="계산 4 5 2 2 2" xfId="22184" xr:uid="{00000000-0005-0000-0000-0000EA110000}"/>
    <cellStyle name="계산 4 5 2 2 2 2" xfId="18335" xr:uid="{00000000-0005-0000-0000-0000EB110000}"/>
    <cellStyle name="계산 4 5 2 2 2 3" xfId="26414" xr:uid="{00000000-0005-0000-0000-0000EC110000}"/>
    <cellStyle name="계산 4 5 2 2 2 4" xfId="29528" xr:uid="{00000000-0005-0000-0000-0000ED110000}"/>
    <cellStyle name="계산 4 5 2 2 3" xfId="22660" xr:uid="{00000000-0005-0000-0000-0000EE110000}"/>
    <cellStyle name="계산 4 5 2 2 3 2" xfId="19905" xr:uid="{00000000-0005-0000-0000-0000EF110000}"/>
    <cellStyle name="계산 4 5 2 2 3 3" xfId="26890" xr:uid="{00000000-0005-0000-0000-0000F0110000}"/>
    <cellStyle name="계산 4 5 2 2 3 4" xfId="30004" xr:uid="{00000000-0005-0000-0000-0000F1110000}"/>
    <cellStyle name="계산 4 5 2 2 4" xfId="23071" xr:uid="{00000000-0005-0000-0000-0000F2110000}"/>
    <cellStyle name="계산 4 5 2 2 4 2" xfId="19169" xr:uid="{00000000-0005-0000-0000-0000F3110000}"/>
    <cellStyle name="계산 4 5 2 2 4 3" xfId="27301" xr:uid="{00000000-0005-0000-0000-0000F4110000}"/>
    <cellStyle name="계산 4 5 2 2 4 4" xfId="30415" xr:uid="{00000000-0005-0000-0000-0000F5110000}"/>
    <cellStyle name="계산 4 5 2 2 5" xfId="23470" xr:uid="{00000000-0005-0000-0000-0000F6110000}"/>
    <cellStyle name="계산 4 5 2 2 5 2" xfId="18134" xr:uid="{00000000-0005-0000-0000-0000F7110000}"/>
    <cellStyle name="계산 4 5 2 2 5 3" xfId="27700" xr:uid="{00000000-0005-0000-0000-0000F8110000}"/>
    <cellStyle name="계산 4 5 2 2 5 4" xfId="30814" xr:uid="{00000000-0005-0000-0000-0000F9110000}"/>
    <cellStyle name="계산 4 5 2 2 6" xfId="21631" xr:uid="{00000000-0005-0000-0000-0000FA110000}"/>
    <cellStyle name="계산 4 5 2 2 7" xfId="24584" xr:uid="{00000000-0005-0000-0000-0000FB110000}"/>
    <cellStyle name="계산 4 5 2 2 8" xfId="25861" xr:uid="{00000000-0005-0000-0000-0000FC110000}"/>
    <cellStyle name="계산 4 5 2 2 9" xfId="28975" xr:uid="{00000000-0005-0000-0000-0000FD110000}"/>
    <cellStyle name="계산 4 5 2 3" xfId="15904" xr:uid="{00000000-0005-0000-0000-0000FE110000}"/>
    <cellStyle name="계산 4 5 2 3 2" xfId="21311" xr:uid="{00000000-0005-0000-0000-0000FF110000}"/>
    <cellStyle name="계산 4 5 2 3 3" xfId="19437" xr:uid="{00000000-0005-0000-0000-000000120000}"/>
    <cellStyle name="계산 4 5 2 3 4" xfId="25524" xr:uid="{00000000-0005-0000-0000-000001120000}"/>
    <cellStyle name="계산 4 5 2 3 5" xfId="28641" xr:uid="{00000000-0005-0000-0000-000002120000}"/>
    <cellStyle name="계산 4 5 2 3 6" xfId="17856" xr:uid="{00000000-0005-0000-0000-000003120000}"/>
    <cellStyle name="계산 4 5 2 4" xfId="16484" xr:uid="{00000000-0005-0000-0000-000004120000}"/>
    <cellStyle name="계산 4 5 2 4 2" xfId="24068" xr:uid="{00000000-0005-0000-0000-000005120000}"/>
    <cellStyle name="계산 4 5 2 4 3" xfId="25365" xr:uid="{00000000-0005-0000-0000-000006120000}"/>
    <cellStyle name="계산 4 5 2 4 4" xfId="28489" xr:uid="{00000000-0005-0000-0000-000007120000}"/>
    <cellStyle name="계산 4 5 2 4 5" xfId="21120" xr:uid="{00000000-0005-0000-0000-000008120000}"/>
    <cellStyle name="계산 4 5 2 5" xfId="21225" xr:uid="{00000000-0005-0000-0000-000009120000}"/>
    <cellStyle name="계산 4 5 2 5 2" xfId="23683" xr:uid="{00000000-0005-0000-0000-00000A120000}"/>
    <cellStyle name="계산 4 5 2 5 3" xfId="25448" xr:uid="{00000000-0005-0000-0000-00000B120000}"/>
    <cellStyle name="계산 4 5 2 5 4" xfId="28565" xr:uid="{00000000-0005-0000-0000-00000C120000}"/>
    <cellStyle name="계산 4 5 2 6" xfId="21147" xr:uid="{00000000-0005-0000-0000-00000D120000}"/>
    <cellStyle name="계산 4 5 2 6 2" xfId="24150" xr:uid="{00000000-0005-0000-0000-00000E120000}"/>
    <cellStyle name="계산 4 5 2 6 3" xfId="25391" xr:uid="{00000000-0005-0000-0000-00000F120000}"/>
    <cellStyle name="계산 4 5 2 6 4" xfId="28515" xr:uid="{00000000-0005-0000-0000-000010120000}"/>
    <cellStyle name="계산 4 5 2 7" xfId="21199" xr:uid="{00000000-0005-0000-0000-000011120000}"/>
    <cellStyle name="계산 4 5 2 7 2" xfId="24768" xr:uid="{00000000-0005-0000-0000-000012120000}"/>
    <cellStyle name="계산 4 5 2 7 3" xfId="25427" xr:uid="{00000000-0005-0000-0000-000013120000}"/>
    <cellStyle name="계산 4 5 2 7 4" xfId="28544" xr:uid="{00000000-0005-0000-0000-000014120000}"/>
    <cellStyle name="계산 4 5 2 8" xfId="20601" xr:uid="{00000000-0005-0000-0000-000015120000}"/>
    <cellStyle name="계산 4 5 2 9" xfId="18908" xr:uid="{00000000-0005-0000-0000-000016120000}"/>
    <cellStyle name="계산 4 5 3" xfId="14659" xr:uid="{00000000-0005-0000-0000-000017120000}"/>
    <cellStyle name="계산 4 5 3 10" xfId="27941" xr:uid="{00000000-0005-0000-0000-000018120000}"/>
    <cellStyle name="계산 4 5 3 11" xfId="17656" xr:uid="{00000000-0005-0000-0000-000019120000}"/>
    <cellStyle name="계산 4 5 3 2" xfId="15590" xr:uid="{00000000-0005-0000-0000-00001A120000}"/>
    <cellStyle name="계산 4 5 3 2 2" xfId="23732" xr:uid="{00000000-0005-0000-0000-00001B120000}"/>
    <cellStyle name="계산 4 5 3 2 3" xfId="25829" xr:uid="{00000000-0005-0000-0000-00001C120000}"/>
    <cellStyle name="계산 4 5 3 2 4" xfId="28943" xr:uid="{00000000-0005-0000-0000-00001D120000}"/>
    <cellStyle name="계산 4 5 3 2 5" xfId="21599" xr:uid="{00000000-0005-0000-0000-00001E120000}"/>
    <cellStyle name="계산 4 5 3 3" xfId="15944" xr:uid="{00000000-0005-0000-0000-00001F120000}"/>
    <cellStyle name="계산 4 5 3 3 2" xfId="19378" xr:uid="{00000000-0005-0000-0000-000020120000}"/>
    <cellStyle name="계산 4 5 3 3 3" xfId="26382" xr:uid="{00000000-0005-0000-0000-000021120000}"/>
    <cellStyle name="계산 4 5 3 3 4" xfId="29496" xr:uid="{00000000-0005-0000-0000-000022120000}"/>
    <cellStyle name="계산 4 5 3 3 5" xfId="22152" xr:uid="{00000000-0005-0000-0000-000023120000}"/>
    <cellStyle name="계산 4 5 3 4" xfId="16485" xr:uid="{00000000-0005-0000-0000-000024120000}"/>
    <cellStyle name="계산 4 5 3 4 2" xfId="19874" xr:uid="{00000000-0005-0000-0000-000025120000}"/>
    <cellStyle name="계산 4 5 3 4 3" xfId="26858" xr:uid="{00000000-0005-0000-0000-000026120000}"/>
    <cellStyle name="계산 4 5 3 4 4" xfId="29972" xr:uid="{00000000-0005-0000-0000-000027120000}"/>
    <cellStyle name="계산 4 5 3 4 5" xfId="22628" xr:uid="{00000000-0005-0000-0000-000028120000}"/>
    <cellStyle name="계산 4 5 3 5" xfId="23043" xr:uid="{00000000-0005-0000-0000-000029120000}"/>
    <cellStyle name="계산 4 5 3 5 2" xfId="20254" xr:uid="{00000000-0005-0000-0000-00002A120000}"/>
    <cellStyle name="계산 4 5 3 5 3" xfId="27273" xr:uid="{00000000-0005-0000-0000-00002B120000}"/>
    <cellStyle name="계산 4 5 3 5 4" xfId="30387" xr:uid="{00000000-0005-0000-0000-00002C120000}"/>
    <cellStyle name="계산 4 5 3 6" xfId="23438" xr:uid="{00000000-0005-0000-0000-00002D120000}"/>
    <cellStyle name="계산 4 5 3 6 2" xfId="18106" xr:uid="{00000000-0005-0000-0000-00002E120000}"/>
    <cellStyle name="계산 4 5 3 6 3" xfId="27668" xr:uid="{00000000-0005-0000-0000-00002F120000}"/>
    <cellStyle name="계산 4 5 3 6 4" xfId="30782" xr:uid="{00000000-0005-0000-0000-000030120000}"/>
    <cellStyle name="계산 4 5 3 7" xfId="20569" xr:uid="{00000000-0005-0000-0000-000031120000}"/>
    <cellStyle name="계산 4 5 3 8" xfId="18876" xr:uid="{00000000-0005-0000-0000-000032120000}"/>
    <cellStyle name="계산 4 5 3 9" xfId="24817" xr:uid="{00000000-0005-0000-0000-000033120000}"/>
    <cellStyle name="계산 4 5 4" xfId="15081" xr:uid="{00000000-0005-0000-0000-000034120000}"/>
    <cellStyle name="계산 4 5 4 2" xfId="15800" xr:uid="{00000000-0005-0000-0000-000035120000}"/>
    <cellStyle name="계산 4 5 4 2 2" xfId="23719" xr:uid="{00000000-0005-0000-0000-000036120000}"/>
    <cellStyle name="계산 4 5 4 2 3" xfId="26213" xr:uid="{00000000-0005-0000-0000-000037120000}"/>
    <cellStyle name="계산 4 5 4 2 4" xfId="29327" xr:uid="{00000000-0005-0000-0000-000038120000}"/>
    <cellStyle name="계산 4 5 4 2 5" xfId="21983" xr:uid="{00000000-0005-0000-0000-000039120000}"/>
    <cellStyle name="계산 4 5 4 3" xfId="16193" xr:uid="{00000000-0005-0000-0000-00003A120000}"/>
    <cellStyle name="계산 4 5 4 3 2" xfId="19714" xr:uid="{00000000-0005-0000-0000-00003B120000}"/>
    <cellStyle name="계산 4 5 4 3 3" xfId="26686" xr:uid="{00000000-0005-0000-0000-00003C120000}"/>
    <cellStyle name="계산 4 5 4 3 4" xfId="29800" xr:uid="{00000000-0005-0000-0000-00003D120000}"/>
    <cellStyle name="계산 4 5 4 3 5" xfId="22456" xr:uid="{00000000-0005-0000-0000-00003E120000}"/>
    <cellStyle name="계산 4 5 4 4" xfId="16486" xr:uid="{00000000-0005-0000-0000-00003F120000}"/>
    <cellStyle name="계산 4 5 4 4 2" xfId="20149" xr:uid="{00000000-0005-0000-0000-000040120000}"/>
    <cellStyle name="계산 4 5 4 4 3" xfId="27159" xr:uid="{00000000-0005-0000-0000-000041120000}"/>
    <cellStyle name="계산 4 5 4 4 4" xfId="30273" xr:uid="{00000000-0005-0000-0000-000042120000}"/>
    <cellStyle name="계산 4 5 4 4 5" xfId="22929" xr:uid="{00000000-0005-0000-0000-000043120000}"/>
    <cellStyle name="계산 4 5 4 5" xfId="23274" xr:uid="{00000000-0005-0000-0000-000044120000}"/>
    <cellStyle name="계산 4 5 4 5 2" xfId="20322" xr:uid="{00000000-0005-0000-0000-000045120000}"/>
    <cellStyle name="계산 4 5 4 5 3" xfId="27504" xr:uid="{00000000-0005-0000-0000-000046120000}"/>
    <cellStyle name="계산 4 5 4 5 4" xfId="30618" xr:uid="{00000000-0005-0000-0000-000047120000}"/>
    <cellStyle name="계산 4 5 4 6" xfId="19516" xr:uid="{00000000-0005-0000-0000-000048120000}"/>
    <cellStyle name="계산 4 5 4 7" xfId="25662" xr:uid="{00000000-0005-0000-0000-000049120000}"/>
    <cellStyle name="계산 4 5 4 8" xfId="28779" xr:uid="{00000000-0005-0000-0000-00004A120000}"/>
    <cellStyle name="계산 4 5 4 9" xfId="17694" xr:uid="{00000000-0005-0000-0000-00004B120000}"/>
    <cellStyle name="계산 4 5 5" xfId="14939" xr:uid="{00000000-0005-0000-0000-00004C120000}"/>
    <cellStyle name="계산 4 5 5 2" xfId="15689" xr:uid="{00000000-0005-0000-0000-00004D120000}"/>
    <cellStyle name="계산 4 5 5 2 2" xfId="31467" xr:uid="{00000000-0005-0000-0000-00004E120000}"/>
    <cellStyle name="계산 4 5 5 2 3" xfId="20867" xr:uid="{00000000-0005-0000-0000-00004F120000}"/>
    <cellStyle name="계산 4 5 5 3" xfId="16051" xr:uid="{00000000-0005-0000-0000-000050120000}"/>
    <cellStyle name="계산 4 5 5 3 2" xfId="31694" xr:uid="{00000000-0005-0000-0000-000051120000}"/>
    <cellStyle name="계산 4 5 5 3 3" xfId="24246" xr:uid="{00000000-0005-0000-0000-000052120000}"/>
    <cellStyle name="계산 4 5 5 4" xfId="16487" xr:uid="{00000000-0005-0000-0000-000053120000}"/>
    <cellStyle name="계산 4 5 5 4 2" xfId="32040" xr:uid="{00000000-0005-0000-0000-000054120000}"/>
    <cellStyle name="계산 4 5 5 4 3" xfId="25118" xr:uid="{00000000-0005-0000-0000-000055120000}"/>
    <cellStyle name="계산 4 5 5 5" xfId="28242" xr:uid="{00000000-0005-0000-0000-000056120000}"/>
    <cellStyle name="계산 4 5 5 6" xfId="17857" xr:uid="{00000000-0005-0000-0000-000057120000}"/>
    <cellStyle name="계산 4 5 6" xfId="15024" xr:uid="{00000000-0005-0000-0000-000058120000}"/>
    <cellStyle name="계산 4 5 6 2" xfId="15752" xr:uid="{00000000-0005-0000-0000-000059120000}"/>
    <cellStyle name="계산 4 5 6 2 2" xfId="31530" xr:uid="{00000000-0005-0000-0000-00005A120000}"/>
    <cellStyle name="계산 4 5 6 3" xfId="16136" xr:uid="{00000000-0005-0000-0000-00005B120000}"/>
    <cellStyle name="계산 4 5 6 3 2" xfId="31779" xr:uid="{00000000-0005-0000-0000-00005C120000}"/>
    <cellStyle name="계산 4 5 6 4" xfId="16488" xr:uid="{00000000-0005-0000-0000-00005D120000}"/>
    <cellStyle name="계산 4 5 6 4 2" xfId="32041" xr:uid="{00000000-0005-0000-0000-00005E120000}"/>
    <cellStyle name="계산 4 5 6 5" xfId="31241" xr:uid="{00000000-0005-0000-0000-00005F120000}"/>
    <cellStyle name="계산 4 5 6 6" xfId="18645" xr:uid="{00000000-0005-0000-0000-000060120000}"/>
    <cellStyle name="계산 4 5 7" xfId="15126" xr:uid="{00000000-0005-0000-0000-000061120000}"/>
    <cellStyle name="계산 4 5 7 2" xfId="15845" xr:uid="{00000000-0005-0000-0000-000062120000}"/>
    <cellStyle name="계산 4 5 7 2 2" xfId="31589" xr:uid="{00000000-0005-0000-0000-000063120000}"/>
    <cellStyle name="계산 4 5 7 3" xfId="16238" xr:uid="{00000000-0005-0000-0000-000064120000}"/>
    <cellStyle name="계산 4 5 7 3 2" xfId="31847" xr:uid="{00000000-0005-0000-0000-000065120000}"/>
    <cellStyle name="계산 4 5 7 4" xfId="16489" xr:uid="{00000000-0005-0000-0000-000066120000}"/>
    <cellStyle name="계산 4 5 7 4 2" xfId="32042" xr:uid="{00000000-0005-0000-0000-000067120000}"/>
    <cellStyle name="계산 4 5 7 5" xfId="31278" xr:uid="{00000000-0005-0000-0000-000068120000}"/>
    <cellStyle name="계산 4 5 7 6" xfId="18593" xr:uid="{00000000-0005-0000-0000-000069120000}"/>
    <cellStyle name="계산 4 5 8" xfId="15135" xr:uid="{00000000-0005-0000-0000-00006A120000}"/>
    <cellStyle name="계산 4 5 8 2" xfId="16247" xr:uid="{00000000-0005-0000-0000-00006B120000}"/>
    <cellStyle name="계산 4 5 8 2 2" xfId="31856" xr:uid="{00000000-0005-0000-0000-00006C120000}"/>
    <cellStyle name="계산 4 5 8 3" xfId="16490" xr:uid="{00000000-0005-0000-0000-00006D120000}"/>
    <cellStyle name="계산 4 5 8 3 2" xfId="32043" xr:uid="{00000000-0005-0000-0000-00006E120000}"/>
    <cellStyle name="계산 4 5 8 4" xfId="16491" xr:uid="{00000000-0005-0000-0000-00006F120000}"/>
    <cellStyle name="계산 4 5 8 4 2" xfId="32044" xr:uid="{00000000-0005-0000-0000-000070120000}"/>
    <cellStyle name="계산 4 5 8 5" xfId="18622" xr:uid="{00000000-0005-0000-0000-000071120000}"/>
    <cellStyle name="계산 4 5 9" xfId="15353" xr:uid="{00000000-0005-0000-0000-000072120000}"/>
    <cellStyle name="계산 4 5 9 2" xfId="15317" xr:uid="{00000000-0005-0000-0000-000073120000}"/>
    <cellStyle name="계산 4 5 9 2 2" xfId="31364" xr:uid="{00000000-0005-0000-0000-000074120000}"/>
    <cellStyle name="계산 4 5 9 3" xfId="16492" xr:uid="{00000000-0005-0000-0000-000075120000}"/>
    <cellStyle name="계산 4 5 9 3 2" xfId="32045" xr:uid="{00000000-0005-0000-0000-000076120000}"/>
    <cellStyle name="계산 4 5 9 4" xfId="16493" xr:uid="{00000000-0005-0000-0000-000077120000}"/>
    <cellStyle name="계산 4 5 9 4 2" xfId="32046" xr:uid="{00000000-0005-0000-0000-000078120000}"/>
    <cellStyle name="계산 4 5 9 5" xfId="31400" xr:uid="{00000000-0005-0000-0000-000079120000}"/>
    <cellStyle name="계산 4 6" xfId="11855" xr:uid="{00000000-0005-0000-0000-00007A120000}"/>
    <cellStyle name="계산 4 6 10" xfId="15179" xr:uid="{00000000-0005-0000-0000-00007B120000}"/>
    <cellStyle name="계산 4 6 10 2" xfId="31315" xr:uid="{00000000-0005-0000-0000-00007C120000}"/>
    <cellStyle name="계산 4 6 11" xfId="16494" xr:uid="{00000000-0005-0000-0000-00007D120000}"/>
    <cellStyle name="계산 4 6 11 2" xfId="32047" xr:uid="{00000000-0005-0000-0000-00007E120000}"/>
    <cellStyle name="계산 4 6 12" xfId="16495" xr:uid="{00000000-0005-0000-0000-00007F120000}"/>
    <cellStyle name="계산 4 6 12 2" xfId="32048" xr:uid="{00000000-0005-0000-0000-000080120000}"/>
    <cellStyle name="계산 4 6 13" xfId="17233" xr:uid="{00000000-0005-0000-0000-000081120000}"/>
    <cellStyle name="계산 4 6 2" xfId="14618" xr:uid="{00000000-0005-0000-0000-000082120000}"/>
    <cellStyle name="계산 4 6 2 10" xfId="24850" xr:uid="{00000000-0005-0000-0000-000083120000}"/>
    <cellStyle name="계산 4 6 2 11" xfId="27974" xr:uid="{00000000-0005-0000-0000-000084120000}"/>
    <cellStyle name="계산 4 6 2 12" xfId="17591" xr:uid="{00000000-0005-0000-0000-000085120000}"/>
    <cellStyle name="계산 4 6 2 2" xfId="15549" xr:uid="{00000000-0005-0000-0000-000086120000}"/>
    <cellStyle name="계산 4 6 2 2 10" xfId="17858" xr:uid="{00000000-0005-0000-0000-000087120000}"/>
    <cellStyle name="계산 4 6 2 2 2" xfId="22185" xr:uid="{00000000-0005-0000-0000-000088120000}"/>
    <cellStyle name="계산 4 6 2 2 2 2" xfId="18336" xr:uid="{00000000-0005-0000-0000-000089120000}"/>
    <cellStyle name="계산 4 6 2 2 2 3" xfId="26415" xr:uid="{00000000-0005-0000-0000-00008A120000}"/>
    <cellStyle name="계산 4 6 2 2 2 4" xfId="29529" xr:uid="{00000000-0005-0000-0000-00008B120000}"/>
    <cellStyle name="계산 4 6 2 2 3" xfId="22661" xr:uid="{00000000-0005-0000-0000-00008C120000}"/>
    <cellStyle name="계산 4 6 2 2 3 2" xfId="19906" xr:uid="{00000000-0005-0000-0000-00008D120000}"/>
    <cellStyle name="계산 4 6 2 2 3 3" xfId="26891" xr:uid="{00000000-0005-0000-0000-00008E120000}"/>
    <cellStyle name="계산 4 6 2 2 3 4" xfId="30005" xr:uid="{00000000-0005-0000-0000-00008F120000}"/>
    <cellStyle name="계산 4 6 2 2 4" xfId="23072" xr:uid="{00000000-0005-0000-0000-000090120000}"/>
    <cellStyle name="계산 4 6 2 2 4 2" xfId="18096" xr:uid="{00000000-0005-0000-0000-000091120000}"/>
    <cellStyle name="계산 4 6 2 2 4 3" xfId="27302" xr:uid="{00000000-0005-0000-0000-000092120000}"/>
    <cellStyle name="계산 4 6 2 2 4 4" xfId="30416" xr:uid="{00000000-0005-0000-0000-000093120000}"/>
    <cellStyle name="계산 4 6 2 2 5" xfId="23471" xr:uid="{00000000-0005-0000-0000-000094120000}"/>
    <cellStyle name="계산 4 6 2 2 5 2" xfId="18135" xr:uid="{00000000-0005-0000-0000-000095120000}"/>
    <cellStyle name="계산 4 6 2 2 5 3" xfId="27701" xr:uid="{00000000-0005-0000-0000-000096120000}"/>
    <cellStyle name="계산 4 6 2 2 5 4" xfId="30815" xr:uid="{00000000-0005-0000-0000-000097120000}"/>
    <cellStyle name="계산 4 6 2 2 6" xfId="21632" xr:uid="{00000000-0005-0000-0000-000098120000}"/>
    <cellStyle name="계산 4 6 2 2 7" xfId="24454" xr:uid="{00000000-0005-0000-0000-000099120000}"/>
    <cellStyle name="계산 4 6 2 2 8" xfId="25862" xr:uid="{00000000-0005-0000-0000-00009A120000}"/>
    <cellStyle name="계산 4 6 2 2 9" xfId="28976" xr:uid="{00000000-0005-0000-0000-00009B120000}"/>
    <cellStyle name="계산 4 6 2 3" xfId="15903" xr:uid="{00000000-0005-0000-0000-00009C120000}"/>
    <cellStyle name="계산 4 6 2 3 2" xfId="21312" xr:uid="{00000000-0005-0000-0000-00009D120000}"/>
    <cellStyle name="계산 4 6 2 3 3" xfId="19438" xr:uid="{00000000-0005-0000-0000-00009E120000}"/>
    <cellStyle name="계산 4 6 2 3 4" xfId="25525" xr:uid="{00000000-0005-0000-0000-00009F120000}"/>
    <cellStyle name="계산 4 6 2 3 5" xfId="28642" xr:uid="{00000000-0005-0000-0000-0000A0120000}"/>
    <cellStyle name="계산 4 6 2 3 6" xfId="17859" xr:uid="{00000000-0005-0000-0000-0000A1120000}"/>
    <cellStyle name="계산 4 6 2 4" xfId="16496" xr:uid="{00000000-0005-0000-0000-0000A2120000}"/>
    <cellStyle name="계산 4 6 2 4 2" xfId="24251" xr:uid="{00000000-0005-0000-0000-0000A3120000}"/>
    <cellStyle name="계산 4 6 2 4 3" xfId="25364" xr:uid="{00000000-0005-0000-0000-0000A4120000}"/>
    <cellStyle name="계산 4 6 2 4 4" xfId="28488" xr:uid="{00000000-0005-0000-0000-0000A5120000}"/>
    <cellStyle name="계산 4 6 2 4 5" xfId="21119" xr:uid="{00000000-0005-0000-0000-0000A6120000}"/>
    <cellStyle name="계산 4 6 2 5" xfId="21226" xr:uid="{00000000-0005-0000-0000-0000A7120000}"/>
    <cellStyle name="계산 4 6 2 5 2" xfId="19423" xr:uid="{00000000-0005-0000-0000-0000A8120000}"/>
    <cellStyle name="계산 4 6 2 5 3" xfId="25449" xr:uid="{00000000-0005-0000-0000-0000A9120000}"/>
    <cellStyle name="계산 4 6 2 5 4" xfId="28566" xr:uid="{00000000-0005-0000-0000-0000AA120000}"/>
    <cellStyle name="계산 4 6 2 6" xfId="21146" xr:uid="{00000000-0005-0000-0000-0000AB120000}"/>
    <cellStyle name="계산 4 6 2 6 2" xfId="24330" xr:uid="{00000000-0005-0000-0000-0000AC120000}"/>
    <cellStyle name="계산 4 6 2 6 3" xfId="25390" xr:uid="{00000000-0005-0000-0000-0000AD120000}"/>
    <cellStyle name="계산 4 6 2 6 4" xfId="28514" xr:uid="{00000000-0005-0000-0000-0000AE120000}"/>
    <cellStyle name="계산 4 6 2 7" xfId="21200" xr:uid="{00000000-0005-0000-0000-0000AF120000}"/>
    <cellStyle name="계산 4 6 2 7 2" xfId="24509" xr:uid="{00000000-0005-0000-0000-0000B0120000}"/>
    <cellStyle name="계산 4 6 2 7 3" xfId="25428" xr:uid="{00000000-0005-0000-0000-0000B1120000}"/>
    <cellStyle name="계산 4 6 2 7 4" xfId="28545" xr:uid="{00000000-0005-0000-0000-0000B2120000}"/>
    <cellStyle name="계산 4 6 2 8" xfId="20602" xr:uid="{00000000-0005-0000-0000-0000B3120000}"/>
    <cellStyle name="계산 4 6 2 9" xfId="18091" xr:uid="{00000000-0005-0000-0000-0000B4120000}"/>
    <cellStyle name="계산 4 6 3" xfId="14658" xr:uid="{00000000-0005-0000-0000-0000B5120000}"/>
    <cellStyle name="계산 4 6 3 10" xfId="27942" xr:uid="{00000000-0005-0000-0000-0000B6120000}"/>
    <cellStyle name="계산 4 6 3 11" xfId="17655" xr:uid="{00000000-0005-0000-0000-0000B7120000}"/>
    <cellStyle name="계산 4 6 3 2" xfId="15589" xr:uid="{00000000-0005-0000-0000-0000B8120000}"/>
    <cellStyle name="계산 4 6 3 2 2" xfId="24651" xr:uid="{00000000-0005-0000-0000-0000B9120000}"/>
    <cellStyle name="계산 4 6 3 2 3" xfId="25830" xr:uid="{00000000-0005-0000-0000-0000BA120000}"/>
    <cellStyle name="계산 4 6 3 2 4" xfId="28944" xr:uid="{00000000-0005-0000-0000-0000BB120000}"/>
    <cellStyle name="계산 4 6 3 2 5" xfId="21600" xr:uid="{00000000-0005-0000-0000-0000BC120000}"/>
    <cellStyle name="계산 4 6 3 3" xfId="15943" xr:uid="{00000000-0005-0000-0000-0000BD120000}"/>
    <cellStyle name="계산 4 6 3 3 2" xfId="24052" xr:uid="{00000000-0005-0000-0000-0000BE120000}"/>
    <cellStyle name="계산 4 6 3 3 3" xfId="26383" xr:uid="{00000000-0005-0000-0000-0000BF120000}"/>
    <cellStyle name="계산 4 6 3 3 4" xfId="29497" xr:uid="{00000000-0005-0000-0000-0000C0120000}"/>
    <cellStyle name="계산 4 6 3 3 5" xfId="22153" xr:uid="{00000000-0005-0000-0000-0000C1120000}"/>
    <cellStyle name="계산 4 6 3 4" xfId="16497" xr:uid="{00000000-0005-0000-0000-0000C2120000}"/>
    <cellStyle name="계산 4 6 3 4 2" xfId="19875" xr:uid="{00000000-0005-0000-0000-0000C3120000}"/>
    <cellStyle name="계산 4 6 3 4 3" xfId="26859" xr:uid="{00000000-0005-0000-0000-0000C4120000}"/>
    <cellStyle name="계산 4 6 3 4 4" xfId="29973" xr:uid="{00000000-0005-0000-0000-0000C5120000}"/>
    <cellStyle name="계산 4 6 3 4 5" xfId="22629" xr:uid="{00000000-0005-0000-0000-0000C6120000}"/>
    <cellStyle name="계산 4 6 3 5" xfId="23044" xr:uid="{00000000-0005-0000-0000-0000C7120000}"/>
    <cellStyle name="계산 4 6 3 5 2" xfId="20255" xr:uid="{00000000-0005-0000-0000-0000C8120000}"/>
    <cellStyle name="계산 4 6 3 5 3" xfId="27274" xr:uid="{00000000-0005-0000-0000-0000C9120000}"/>
    <cellStyle name="계산 4 6 3 5 4" xfId="30388" xr:uid="{00000000-0005-0000-0000-0000CA120000}"/>
    <cellStyle name="계산 4 6 3 6" xfId="23439" xr:uid="{00000000-0005-0000-0000-0000CB120000}"/>
    <cellStyle name="계산 4 6 3 6 2" xfId="18107" xr:uid="{00000000-0005-0000-0000-0000CC120000}"/>
    <cellStyle name="계산 4 6 3 6 3" xfId="27669" xr:uid="{00000000-0005-0000-0000-0000CD120000}"/>
    <cellStyle name="계산 4 6 3 6 4" xfId="30783" xr:uid="{00000000-0005-0000-0000-0000CE120000}"/>
    <cellStyle name="계산 4 6 3 7" xfId="20570" xr:uid="{00000000-0005-0000-0000-0000CF120000}"/>
    <cellStyle name="계산 4 6 3 8" xfId="18877" xr:uid="{00000000-0005-0000-0000-0000D0120000}"/>
    <cellStyle name="계산 4 6 3 9" xfId="24818" xr:uid="{00000000-0005-0000-0000-0000D1120000}"/>
    <cellStyle name="계산 4 6 4" xfId="15082" xr:uid="{00000000-0005-0000-0000-0000D2120000}"/>
    <cellStyle name="계산 4 6 4 2" xfId="15801" xr:uid="{00000000-0005-0000-0000-0000D3120000}"/>
    <cellStyle name="계산 4 6 4 2 2" xfId="24635" xr:uid="{00000000-0005-0000-0000-0000D4120000}"/>
    <cellStyle name="계산 4 6 4 2 3" xfId="26214" xr:uid="{00000000-0005-0000-0000-0000D5120000}"/>
    <cellStyle name="계산 4 6 4 2 4" xfId="29328" xr:uid="{00000000-0005-0000-0000-0000D6120000}"/>
    <cellStyle name="계산 4 6 4 2 5" xfId="21984" xr:uid="{00000000-0005-0000-0000-0000D7120000}"/>
    <cellStyle name="계산 4 6 4 3" xfId="16194" xr:uid="{00000000-0005-0000-0000-0000D8120000}"/>
    <cellStyle name="계산 4 6 4 3 2" xfId="19715" xr:uid="{00000000-0005-0000-0000-0000D9120000}"/>
    <cellStyle name="계산 4 6 4 3 3" xfId="26687" xr:uid="{00000000-0005-0000-0000-0000DA120000}"/>
    <cellStyle name="계산 4 6 4 3 4" xfId="29801" xr:uid="{00000000-0005-0000-0000-0000DB120000}"/>
    <cellStyle name="계산 4 6 4 3 5" xfId="22457" xr:uid="{00000000-0005-0000-0000-0000DC120000}"/>
    <cellStyle name="계산 4 6 4 4" xfId="16498" xr:uid="{00000000-0005-0000-0000-0000DD120000}"/>
    <cellStyle name="계산 4 6 4 4 2" xfId="20150" xr:uid="{00000000-0005-0000-0000-0000DE120000}"/>
    <cellStyle name="계산 4 6 4 4 3" xfId="27160" xr:uid="{00000000-0005-0000-0000-0000DF120000}"/>
    <cellStyle name="계산 4 6 4 4 4" xfId="30274" xr:uid="{00000000-0005-0000-0000-0000E0120000}"/>
    <cellStyle name="계산 4 6 4 4 5" xfId="22930" xr:uid="{00000000-0005-0000-0000-0000E1120000}"/>
    <cellStyle name="계산 4 6 4 5" xfId="23275" xr:uid="{00000000-0005-0000-0000-0000E2120000}"/>
    <cellStyle name="계산 4 6 4 5 2" xfId="21478" xr:uid="{00000000-0005-0000-0000-0000E3120000}"/>
    <cellStyle name="계산 4 6 4 5 3" xfId="27505" xr:uid="{00000000-0005-0000-0000-0000E4120000}"/>
    <cellStyle name="계산 4 6 4 5 4" xfId="30619" xr:uid="{00000000-0005-0000-0000-0000E5120000}"/>
    <cellStyle name="계산 4 6 4 6" xfId="19517" xr:uid="{00000000-0005-0000-0000-0000E6120000}"/>
    <cellStyle name="계산 4 6 4 7" xfId="25663" xr:uid="{00000000-0005-0000-0000-0000E7120000}"/>
    <cellStyle name="계산 4 6 4 8" xfId="28780" xr:uid="{00000000-0005-0000-0000-0000E8120000}"/>
    <cellStyle name="계산 4 6 4 9" xfId="17693" xr:uid="{00000000-0005-0000-0000-0000E9120000}"/>
    <cellStyle name="계산 4 6 5" xfId="14876" xr:uid="{00000000-0005-0000-0000-0000EA120000}"/>
    <cellStyle name="계산 4 6 5 2" xfId="15638" xr:uid="{00000000-0005-0000-0000-0000EB120000}"/>
    <cellStyle name="계산 4 6 5 2 2" xfId="31416" xr:uid="{00000000-0005-0000-0000-0000EC120000}"/>
    <cellStyle name="계산 4 6 5 2 3" xfId="20868" xr:uid="{00000000-0005-0000-0000-0000ED120000}"/>
    <cellStyle name="계산 4 6 5 3" xfId="15988" xr:uid="{00000000-0005-0000-0000-0000EE120000}"/>
    <cellStyle name="계산 4 6 5 3 2" xfId="31631" xr:uid="{00000000-0005-0000-0000-0000EF120000}"/>
    <cellStyle name="계산 4 6 5 3 3" xfId="24036" xr:uid="{00000000-0005-0000-0000-0000F0120000}"/>
    <cellStyle name="계산 4 6 5 4" xfId="16499" xr:uid="{00000000-0005-0000-0000-0000F1120000}"/>
    <cellStyle name="계산 4 6 5 4 2" xfId="32049" xr:uid="{00000000-0005-0000-0000-0000F2120000}"/>
    <cellStyle name="계산 4 6 5 4 3" xfId="25119" xr:uid="{00000000-0005-0000-0000-0000F3120000}"/>
    <cellStyle name="계산 4 6 5 5" xfId="28243" xr:uid="{00000000-0005-0000-0000-0000F4120000}"/>
    <cellStyle name="계산 4 6 5 6" xfId="17860" xr:uid="{00000000-0005-0000-0000-0000F5120000}"/>
    <cellStyle name="계산 4 6 6" xfId="15025" xr:uid="{00000000-0005-0000-0000-0000F6120000}"/>
    <cellStyle name="계산 4 6 6 2" xfId="15753" xr:uid="{00000000-0005-0000-0000-0000F7120000}"/>
    <cellStyle name="계산 4 6 6 2 2" xfId="31531" xr:uid="{00000000-0005-0000-0000-0000F8120000}"/>
    <cellStyle name="계산 4 6 6 3" xfId="16137" xr:uid="{00000000-0005-0000-0000-0000F9120000}"/>
    <cellStyle name="계산 4 6 6 3 2" xfId="31780" xr:uid="{00000000-0005-0000-0000-0000FA120000}"/>
    <cellStyle name="계산 4 6 6 4" xfId="16500" xr:uid="{00000000-0005-0000-0000-0000FB120000}"/>
    <cellStyle name="계산 4 6 6 4 2" xfId="32050" xr:uid="{00000000-0005-0000-0000-0000FC120000}"/>
    <cellStyle name="계산 4 6 6 5" xfId="31242" xr:uid="{00000000-0005-0000-0000-0000FD120000}"/>
    <cellStyle name="계산 4 6 6 6" xfId="18646" xr:uid="{00000000-0005-0000-0000-0000FE120000}"/>
    <cellStyle name="계산 4 6 7" xfId="14979" xr:uid="{00000000-0005-0000-0000-0000FF120000}"/>
    <cellStyle name="계산 4 6 7 2" xfId="15729" xr:uid="{00000000-0005-0000-0000-000000130000}"/>
    <cellStyle name="계산 4 6 7 2 2" xfId="31507" xr:uid="{00000000-0005-0000-0000-000001130000}"/>
    <cellStyle name="계산 4 6 7 3" xfId="16091" xr:uid="{00000000-0005-0000-0000-000002130000}"/>
    <cellStyle name="계산 4 6 7 3 2" xfId="31734" xr:uid="{00000000-0005-0000-0000-000003130000}"/>
    <cellStyle name="계산 4 6 7 4" xfId="16501" xr:uid="{00000000-0005-0000-0000-000004130000}"/>
    <cellStyle name="계산 4 6 7 4 2" xfId="32051" xr:uid="{00000000-0005-0000-0000-000005130000}"/>
    <cellStyle name="계산 4 6 7 5" xfId="31218" xr:uid="{00000000-0005-0000-0000-000006130000}"/>
    <cellStyle name="계산 4 6 7 6" xfId="18592" xr:uid="{00000000-0005-0000-0000-000007130000}"/>
    <cellStyle name="계산 4 6 8" xfId="14896" xr:uid="{00000000-0005-0000-0000-000008130000}"/>
    <cellStyle name="계산 4 6 8 2" xfId="16008" xr:uid="{00000000-0005-0000-0000-000009130000}"/>
    <cellStyle name="계산 4 6 8 2 2" xfId="31651" xr:uid="{00000000-0005-0000-0000-00000A130000}"/>
    <cellStyle name="계산 4 6 8 3" xfId="16502" xr:uid="{00000000-0005-0000-0000-00000B130000}"/>
    <cellStyle name="계산 4 6 8 3 2" xfId="32052" xr:uid="{00000000-0005-0000-0000-00000C130000}"/>
    <cellStyle name="계산 4 6 8 4" xfId="16503" xr:uid="{00000000-0005-0000-0000-00000D130000}"/>
    <cellStyle name="계산 4 6 8 4 2" xfId="32053" xr:uid="{00000000-0005-0000-0000-00000E130000}"/>
    <cellStyle name="계산 4 6 8 5" xfId="18623" xr:uid="{00000000-0005-0000-0000-00000F130000}"/>
    <cellStyle name="계산 4 6 9" xfId="15354" xr:uid="{00000000-0005-0000-0000-000010130000}"/>
    <cellStyle name="계산 4 6 9 2" xfId="15316" xr:uid="{00000000-0005-0000-0000-000011130000}"/>
    <cellStyle name="계산 4 6 9 2 2" xfId="31363" xr:uid="{00000000-0005-0000-0000-000012130000}"/>
    <cellStyle name="계산 4 6 9 3" xfId="16504" xr:uid="{00000000-0005-0000-0000-000013130000}"/>
    <cellStyle name="계산 4 6 9 3 2" xfId="32054" xr:uid="{00000000-0005-0000-0000-000014130000}"/>
    <cellStyle name="계산 4 6 9 4" xfId="16505" xr:uid="{00000000-0005-0000-0000-000015130000}"/>
    <cellStyle name="계산 4 6 9 4 2" xfId="32055" xr:uid="{00000000-0005-0000-0000-000016130000}"/>
    <cellStyle name="계산 4 6 9 5" xfId="31401" xr:uid="{00000000-0005-0000-0000-000017130000}"/>
    <cellStyle name="계산 4 7" xfId="11856" xr:uid="{00000000-0005-0000-0000-000018130000}"/>
    <cellStyle name="계산 4 7 10" xfId="15180" xr:uid="{00000000-0005-0000-0000-000019130000}"/>
    <cellStyle name="계산 4 7 10 2" xfId="31316" xr:uid="{00000000-0005-0000-0000-00001A130000}"/>
    <cellStyle name="계산 4 7 11" xfId="16506" xr:uid="{00000000-0005-0000-0000-00001B130000}"/>
    <cellStyle name="계산 4 7 11 2" xfId="32056" xr:uid="{00000000-0005-0000-0000-00001C130000}"/>
    <cellStyle name="계산 4 7 12" xfId="16507" xr:uid="{00000000-0005-0000-0000-00001D130000}"/>
    <cellStyle name="계산 4 7 12 2" xfId="32057" xr:uid="{00000000-0005-0000-0000-00001E130000}"/>
    <cellStyle name="계산 4 7 13" xfId="17234" xr:uid="{00000000-0005-0000-0000-00001F130000}"/>
    <cellStyle name="계산 4 7 2" xfId="14617" xr:uid="{00000000-0005-0000-0000-000020130000}"/>
    <cellStyle name="계산 4 7 2 10" xfId="24851" xr:uid="{00000000-0005-0000-0000-000021130000}"/>
    <cellStyle name="계산 4 7 2 11" xfId="27975" xr:uid="{00000000-0005-0000-0000-000022130000}"/>
    <cellStyle name="계산 4 7 2 12" xfId="17590" xr:uid="{00000000-0005-0000-0000-000023130000}"/>
    <cellStyle name="계산 4 7 2 2" xfId="15548" xr:uid="{00000000-0005-0000-0000-000024130000}"/>
    <cellStyle name="계산 4 7 2 2 10" xfId="17861" xr:uid="{00000000-0005-0000-0000-000025130000}"/>
    <cellStyle name="계산 4 7 2 2 2" xfId="22186" xr:uid="{00000000-0005-0000-0000-000026130000}"/>
    <cellStyle name="계산 4 7 2 2 2 2" xfId="18337" xr:uid="{00000000-0005-0000-0000-000027130000}"/>
    <cellStyle name="계산 4 7 2 2 2 3" xfId="26416" xr:uid="{00000000-0005-0000-0000-000028130000}"/>
    <cellStyle name="계산 4 7 2 2 2 4" xfId="29530" xr:uid="{00000000-0005-0000-0000-000029130000}"/>
    <cellStyle name="계산 4 7 2 2 3" xfId="22662" xr:uid="{00000000-0005-0000-0000-00002A130000}"/>
    <cellStyle name="계산 4 7 2 2 3 2" xfId="19907" xr:uid="{00000000-0005-0000-0000-00002B130000}"/>
    <cellStyle name="계산 4 7 2 2 3 3" xfId="26892" xr:uid="{00000000-0005-0000-0000-00002C130000}"/>
    <cellStyle name="계산 4 7 2 2 3 4" xfId="30006" xr:uid="{00000000-0005-0000-0000-00002D130000}"/>
    <cellStyle name="계산 4 7 2 2 4" xfId="23073" xr:uid="{00000000-0005-0000-0000-00002E130000}"/>
    <cellStyle name="계산 4 7 2 2 4 2" xfId="18095" xr:uid="{00000000-0005-0000-0000-00002F130000}"/>
    <cellStyle name="계산 4 7 2 2 4 3" xfId="27303" xr:uid="{00000000-0005-0000-0000-000030130000}"/>
    <cellStyle name="계산 4 7 2 2 4 4" xfId="30417" xr:uid="{00000000-0005-0000-0000-000031130000}"/>
    <cellStyle name="계산 4 7 2 2 5" xfId="23472" xr:uid="{00000000-0005-0000-0000-000032130000}"/>
    <cellStyle name="계산 4 7 2 2 5 2" xfId="18136" xr:uid="{00000000-0005-0000-0000-000033130000}"/>
    <cellStyle name="계산 4 7 2 2 5 3" xfId="27702" xr:uid="{00000000-0005-0000-0000-000034130000}"/>
    <cellStyle name="계산 4 7 2 2 5 4" xfId="30816" xr:uid="{00000000-0005-0000-0000-000035130000}"/>
    <cellStyle name="계산 4 7 2 2 6" xfId="21633" xr:uid="{00000000-0005-0000-0000-000036130000}"/>
    <cellStyle name="계산 4 7 2 2 7" xfId="24281" xr:uid="{00000000-0005-0000-0000-000037130000}"/>
    <cellStyle name="계산 4 7 2 2 8" xfId="25863" xr:uid="{00000000-0005-0000-0000-000038130000}"/>
    <cellStyle name="계산 4 7 2 2 9" xfId="28977" xr:uid="{00000000-0005-0000-0000-000039130000}"/>
    <cellStyle name="계산 4 7 2 3" xfId="15902" xr:uid="{00000000-0005-0000-0000-00003A130000}"/>
    <cellStyle name="계산 4 7 2 3 2" xfId="21313" xr:uid="{00000000-0005-0000-0000-00003B130000}"/>
    <cellStyle name="계산 4 7 2 3 3" xfId="23740" xr:uid="{00000000-0005-0000-0000-00003C130000}"/>
    <cellStyle name="계산 4 7 2 3 4" xfId="25526" xr:uid="{00000000-0005-0000-0000-00003D130000}"/>
    <cellStyle name="계산 4 7 2 3 5" xfId="28643" xr:uid="{00000000-0005-0000-0000-00003E130000}"/>
    <cellStyle name="계산 4 7 2 3 6" xfId="17862" xr:uid="{00000000-0005-0000-0000-00003F130000}"/>
    <cellStyle name="계산 4 7 2 4" xfId="16508" xr:uid="{00000000-0005-0000-0000-000040130000}"/>
    <cellStyle name="계산 4 7 2 4 2" xfId="19307" xr:uid="{00000000-0005-0000-0000-000041130000}"/>
    <cellStyle name="계산 4 7 2 4 3" xfId="26067" xr:uid="{00000000-0005-0000-0000-000042130000}"/>
    <cellStyle name="계산 4 7 2 4 4" xfId="29181" xr:uid="{00000000-0005-0000-0000-000043130000}"/>
    <cellStyle name="계산 4 7 2 4 5" xfId="21837" xr:uid="{00000000-0005-0000-0000-000044130000}"/>
    <cellStyle name="계산 4 7 2 5" xfId="21227" xr:uid="{00000000-0005-0000-0000-000045130000}"/>
    <cellStyle name="계산 4 7 2 5 2" xfId="23743" xr:uid="{00000000-0005-0000-0000-000046130000}"/>
    <cellStyle name="계산 4 7 2 5 3" xfId="25450" xr:uid="{00000000-0005-0000-0000-000047130000}"/>
    <cellStyle name="계산 4 7 2 5 4" xfId="28567" xr:uid="{00000000-0005-0000-0000-000048130000}"/>
    <cellStyle name="계산 4 7 2 6" xfId="21145" xr:uid="{00000000-0005-0000-0000-000049130000}"/>
    <cellStyle name="계산 4 7 2 6 2" xfId="24505" xr:uid="{00000000-0005-0000-0000-00004A130000}"/>
    <cellStyle name="계산 4 7 2 6 3" xfId="25389" xr:uid="{00000000-0005-0000-0000-00004B130000}"/>
    <cellStyle name="계산 4 7 2 6 4" xfId="28513" xr:uid="{00000000-0005-0000-0000-00004C130000}"/>
    <cellStyle name="계산 4 7 2 7" xfId="22584" xr:uid="{00000000-0005-0000-0000-00004D130000}"/>
    <cellStyle name="계산 4 7 2 7 2" xfId="19832" xr:uid="{00000000-0005-0000-0000-00004E130000}"/>
    <cellStyle name="계산 4 7 2 7 3" xfId="26814" xr:uid="{00000000-0005-0000-0000-00004F130000}"/>
    <cellStyle name="계산 4 7 2 7 4" xfId="29928" xr:uid="{00000000-0005-0000-0000-000050130000}"/>
    <cellStyle name="계산 4 7 2 8" xfId="20603" xr:uid="{00000000-0005-0000-0000-000051130000}"/>
    <cellStyle name="계산 4 7 2 9" xfId="18909" xr:uid="{00000000-0005-0000-0000-000052130000}"/>
    <cellStyle name="계산 4 7 3" xfId="14637" xr:uid="{00000000-0005-0000-0000-000053130000}"/>
    <cellStyle name="계산 4 7 3 10" xfId="27943" xr:uid="{00000000-0005-0000-0000-000054130000}"/>
    <cellStyle name="계산 4 7 3 11" xfId="17654" xr:uid="{00000000-0005-0000-0000-000055130000}"/>
    <cellStyle name="계산 4 7 3 2" xfId="15568" xr:uid="{00000000-0005-0000-0000-000056130000}"/>
    <cellStyle name="계산 4 7 3 2 2" xfId="24566" xr:uid="{00000000-0005-0000-0000-000057130000}"/>
    <cellStyle name="계산 4 7 3 2 3" xfId="25831" xr:uid="{00000000-0005-0000-0000-000058130000}"/>
    <cellStyle name="계산 4 7 3 2 4" xfId="28945" xr:uid="{00000000-0005-0000-0000-000059130000}"/>
    <cellStyle name="계산 4 7 3 2 5" xfId="21601" xr:uid="{00000000-0005-0000-0000-00005A130000}"/>
    <cellStyle name="계산 4 7 3 3" xfId="15922" xr:uid="{00000000-0005-0000-0000-00005B130000}"/>
    <cellStyle name="계산 4 7 3 3 2" xfId="19574" xr:uid="{00000000-0005-0000-0000-00005C130000}"/>
    <cellStyle name="계산 4 7 3 3 3" xfId="26384" xr:uid="{00000000-0005-0000-0000-00005D130000}"/>
    <cellStyle name="계산 4 7 3 3 4" xfId="29498" xr:uid="{00000000-0005-0000-0000-00005E130000}"/>
    <cellStyle name="계산 4 7 3 3 5" xfId="22154" xr:uid="{00000000-0005-0000-0000-00005F130000}"/>
    <cellStyle name="계산 4 7 3 4" xfId="16509" xr:uid="{00000000-0005-0000-0000-000060130000}"/>
    <cellStyle name="계산 4 7 3 4 2" xfId="19876" xr:uid="{00000000-0005-0000-0000-000061130000}"/>
    <cellStyle name="계산 4 7 3 4 3" xfId="26860" xr:uid="{00000000-0005-0000-0000-000062130000}"/>
    <cellStyle name="계산 4 7 3 4 4" xfId="29974" xr:uid="{00000000-0005-0000-0000-000063130000}"/>
    <cellStyle name="계산 4 7 3 4 5" xfId="22630" xr:uid="{00000000-0005-0000-0000-000064130000}"/>
    <cellStyle name="계산 4 7 3 5" xfId="23045" xr:uid="{00000000-0005-0000-0000-000065130000}"/>
    <cellStyle name="계산 4 7 3 5 2" xfId="20256" xr:uid="{00000000-0005-0000-0000-000066130000}"/>
    <cellStyle name="계산 4 7 3 5 3" xfId="27275" xr:uid="{00000000-0005-0000-0000-000067130000}"/>
    <cellStyle name="계산 4 7 3 5 4" xfId="30389" xr:uid="{00000000-0005-0000-0000-000068130000}"/>
    <cellStyle name="계산 4 7 3 6" xfId="23440" xr:uid="{00000000-0005-0000-0000-000069130000}"/>
    <cellStyle name="계산 4 7 3 6 2" xfId="18108" xr:uid="{00000000-0005-0000-0000-00006A130000}"/>
    <cellStyle name="계산 4 7 3 6 3" xfId="27670" xr:uid="{00000000-0005-0000-0000-00006B130000}"/>
    <cellStyle name="계산 4 7 3 6 4" xfId="30784" xr:uid="{00000000-0005-0000-0000-00006C130000}"/>
    <cellStyle name="계산 4 7 3 7" xfId="20571" xr:uid="{00000000-0005-0000-0000-00006D130000}"/>
    <cellStyle name="계산 4 7 3 8" xfId="18878" xr:uid="{00000000-0005-0000-0000-00006E130000}"/>
    <cellStyle name="계산 4 7 3 9" xfId="24819" xr:uid="{00000000-0005-0000-0000-00006F130000}"/>
    <cellStyle name="계산 4 7 4" xfId="15083" xr:uid="{00000000-0005-0000-0000-000070130000}"/>
    <cellStyle name="계산 4 7 4 2" xfId="15802" xr:uid="{00000000-0005-0000-0000-000071130000}"/>
    <cellStyle name="계산 4 7 4 2 2" xfId="24550" xr:uid="{00000000-0005-0000-0000-000072130000}"/>
    <cellStyle name="계산 4 7 4 2 3" xfId="26215" xr:uid="{00000000-0005-0000-0000-000073130000}"/>
    <cellStyle name="계산 4 7 4 2 4" xfId="29329" xr:uid="{00000000-0005-0000-0000-000074130000}"/>
    <cellStyle name="계산 4 7 4 2 5" xfId="21985" xr:uid="{00000000-0005-0000-0000-000075130000}"/>
    <cellStyle name="계산 4 7 4 3" xfId="16195" xr:uid="{00000000-0005-0000-0000-000076130000}"/>
    <cellStyle name="계산 4 7 4 3 2" xfId="19716" xr:uid="{00000000-0005-0000-0000-000077130000}"/>
    <cellStyle name="계산 4 7 4 3 3" xfId="26688" xr:uid="{00000000-0005-0000-0000-000078130000}"/>
    <cellStyle name="계산 4 7 4 3 4" xfId="29802" xr:uid="{00000000-0005-0000-0000-000079130000}"/>
    <cellStyle name="계산 4 7 4 3 5" xfId="22458" xr:uid="{00000000-0005-0000-0000-00007A130000}"/>
    <cellStyle name="계산 4 7 4 4" xfId="16510" xr:uid="{00000000-0005-0000-0000-00007B130000}"/>
    <cellStyle name="계산 4 7 4 4 2" xfId="20151" xr:uid="{00000000-0005-0000-0000-00007C130000}"/>
    <cellStyle name="계산 4 7 4 4 3" xfId="27161" xr:uid="{00000000-0005-0000-0000-00007D130000}"/>
    <cellStyle name="계산 4 7 4 4 4" xfId="30275" xr:uid="{00000000-0005-0000-0000-00007E130000}"/>
    <cellStyle name="계산 4 7 4 4 5" xfId="22931" xr:uid="{00000000-0005-0000-0000-00007F130000}"/>
    <cellStyle name="계산 4 7 4 5" xfId="23276" xr:uid="{00000000-0005-0000-0000-000080130000}"/>
    <cellStyle name="계산 4 7 4 5 2" xfId="20323" xr:uid="{00000000-0005-0000-0000-000081130000}"/>
    <cellStyle name="계산 4 7 4 5 3" xfId="27506" xr:uid="{00000000-0005-0000-0000-000082130000}"/>
    <cellStyle name="계산 4 7 4 5 4" xfId="30620" xr:uid="{00000000-0005-0000-0000-000083130000}"/>
    <cellStyle name="계산 4 7 4 6" xfId="19518" xr:uid="{00000000-0005-0000-0000-000084130000}"/>
    <cellStyle name="계산 4 7 4 7" xfId="25664" xr:uid="{00000000-0005-0000-0000-000085130000}"/>
    <cellStyle name="계산 4 7 4 8" xfId="28781" xr:uid="{00000000-0005-0000-0000-000086130000}"/>
    <cellStyle name="계산 4 7 4 9" xfId="17692" xr:uid="{00000000-0005-0000-0000-000087130000}"/>
    <cellStyle name="계산 4 7 5" xfId="14938" xr:uid="{00000000-0005-0000-0000-000088130000}"/>
    <cellStyle name="계산 4 7 5 2" xfId="15688" xr:uid="{00000000-0005-0000-0000-000089130000}"/>
    <cellStyle name="계산 4 7 5 2 2" xfId="31466" xr:uid="{00000000-0005-0000-0000-00008A130000}"/>
    <cellStyle name="계산 4 7 5 2 3" xfId="20869" xr:uid="{00000000-0005-0000-0000-00008B130000}"/>
    <cellStyle name="계산 4 7 5 3" xfId="16050" xr:uid="{00000000-0005-0000-0000-00008C130000}"/>
    <cellStyle name="계산 4 7 5 3 2" xfId="31693" xr:uid="{00000000-0005-0000-0000-00008D130000}"/>
    <cellStyle name="계산 4 7 5 3 3" xfId="24694" xr:uid="{00000000-0005-0000-0000-00008E130000}"/>
    <cellStyle name="계산 4 7 5 4" xfId="16511" xr:uid="{00000000-0005-0000-0000-00008F130000}"/>
    <cellStyle name="계산 4 7 5 4 2" xfId="32058" xr:uid="{00000000-0005-0000-0000-000090130000}"/>
    <cellStyle name="계산 4 7 5 4 3" xfId="25120" xr:uid="{00000000-0005-0000-0000-000091130000}"/>
    <cellStyle name="계산 4 7 5 5" xfId="28244" xr:uid="{00000000-0005-0000-0000-000092130000}"/>
    <cellStyle name="계산 4 7 5 6" xfId="17863" xr:uid="{00000000-0005-0000-0000-000093130000}"/>
    <cellStyle name="계산 4 7 6" xfId="15062" xr:uid="{00000000-0005-0000-0000-000094130000}"/>
    <cellStyle name="계산 4 7 6 2" xfId="15781" xr:uid="{00000000-0005-0000-0000-000095130000}"/>
    <cellStyle name="계산 4 7 6 2 2" xfId="31559" xr:uid="{00000000-0005-0000-0000-000096130000}"/>
    <cellStyle name="계산 4 7 6 3" xfId="16174" xr:uid="{00000000-0005-0000-0000-000097130000}"/>
    <cellStyle name="계산 4 7 6 3 2" xfId="31817" xr:uid="{00000000-0005-0000-0000-000098130000}"/>
    <cellStyle name="계산 4 7 6 4" xfId="16512" xr:uid="{00000000-0005-0000-0000-000099130000}"/>
    <cellStyle name="계산 4 7 6 4 2" xfId="32059" xr:uid="{00000000-0005-0000-0000-00009A130000}"/>
    <cellStyle name="계산 4 7 6 5" xfId="31270" xr:uid="{00000000-0005-0000-0000-00009B130000}"/>
    <cellStyle name="계산 4 7 6 6" xfId="18647" xr:uid="{00000000-0005-0000-0000-00009C130000}"/>
    <cellStyle name="계산 4 7 7" xfId="14958" xr:uid="{00000000-0005-0000-0000-00009D130000}"/>
    <cellStyle name="계산 4 7 7 2" xfId="15708" xr:uid="{00000000-0005-0000-0000-00009E130000}"/>
    <cellStyle name="계산 4 7 7 2 2" xfId="31486" xr:uid="{00000000-0005-0000-0000-00009F130000}"/>
    <cellStyle name="계산 4 7 7 3" xfId="16070" xr:uid="{00000000-0005-0000-0000-0000A0130000}"/>
    <cellStyle name="계산 4 7 7 3 2" xfId="31713" xr:uid="{00000000-0005-0000-0000-0000A1130000}"/>
    <cellStyle name="계산 4 7 7 4" xfId="16513" xr:uid="{00000000-0005-0000-0000-0000A2130000}"/>
    <cellStyle name="계산 4 7 7 4 2" xfId="32060" xr:uid="{00000000-0005-0000-0000-0000A3130000}"/>
    <cellStyle name="계산 4 7 7 5" xfId="31197" xr:uid="{00000000-0005-0000-0000-0000A4130000}"/>
    <cellStyle name="계산 4 7 7 6" xfId="18591" xr:uid="{00000000-0005-0000-0000-0000A5130000}"/>
    <cellStyle name="계산 4 7 8" xfId="15011" xr:uid="{00000000-0005-0000-0000-0000A6130000}"/>
    <cellStyle name="계산 4 7 8 2" xfId="16123" xr:uid="{00000000-0005-0000-0000-0000A7130000}"/>
    <cellStyle name="계산 4 7 8 2 2" xfId="31766" xr:uid="{00000000-0005-0000-0000-0000A8130000}"/>
    <cellStyle name="계산 4 7 8 3" xfId="16514" xr:uid="{00000000-0005-0000-0000-0000A9130000}"/>
    <cellStyle name="계산 4 7 8 3 2" xfId="32061" xr:uid="{00000000-0005-0000-0000-0000AA130000}"/>
    <cellStyle name="계산 4 7 8 4" xfId="16515" xr:uid="{00000000-0005-0000-0000-0000AB130000}"/>
    <cellStyle name="계산 4 7 8 4 2" xfId="32062" xr:uid="{00000000-0005-0000-0000-0000AC130000}"/>
    <cellStyle name="계산 4 7 8 5" xfId="18624" xr:uid="{00000000-0005-0000-0000-0000AD130000}"/>
    <cellStyle name="계산 4 7 9" xfId="15355" xr:uid="{00000000-0005-0000-0000-0000AE130000}"/>
    <cellStyle name="계산 4 7 9 2" xfId="15315" xr:uid="{00000000-0005-0000-0000-0000AF130000}"/>
    <cellStyle name="계산 4 7 9 2 2" xfId="31362" xr:uid="{00000000-0005-0000-0000-0000B0130000}"/>
    <cellStyle name="계산 4 7 9 3" xfId="16516" xr:uid="{00000000-0005-0000-0000-0000B1130000}"/>
    <cellStyle name="계산 4 7 9 3 2" xfId="32063" xr:uid="{00000000-0005-0000-0000-0000B2130000}"/>
    <cellStyle name="계산 4 7 9 4" xfId="16517" xr:uid="{00000000-0005-0000-0000-0000B3130000}"/>
    <cellStyle name="계산 4 7 9 4 2" xfId="32064" xr:uid="{00000000-0005-0000-0000-0000B4130000}"/>
    <cellStyle name="계산 4 7 9 5" xfId="31402" xr:uid="{00000000-0005-0000-0000-0000B5130000}"/>
    <cellStyle name="계산 4 8" xfId="14622" xr:uid="{00000000-0005-0000-0000-0000B6130000}"/>
    <cellStyle name="계산 4 8 10" xfId="24845" xr:uid="{00000000-0005-0000-0000-0000B7130000}"/>
    <cellStyle name="계산 4 8 11" xfId="27969" xr:uid="{00000000-0005-0000-0000-0000B8130000}"/>
    <cellStyle name="계산 4 8 12" xfId="17596" xr:uid="{00000000-0005-0000-0000-0000B9130000}"/>
    <cellStyle name="계산 4 8 2" xfId="15553" xr:uid="{00000000-0005-0000-0000-0000BA130000}"/>
    <cellStyle name="계산 4 8 2 10" xfId="17864" xr:uid="{00000000-0005-0000-0000-0000BB130000}"/>
    <cellStyle name="계산 4 8 2 2" xfId="22180" xr:uid="{00000000-0005-0000-0000-0000BC130000}"/>
    <cellStyle name="계산 4 8 2 2 2" xfId="18331" xr:uid="{00000000-0005-0000-0000-0000BD130000}"/>
    <cellStyle name="계산 4 8 2 2 3" xfId="26410" xr:uid="{00000000-0005-0000-0000-0000BE130000}"/>
    <cellStyle name="계산 4 8 2 2 4" xfId="29524" xr:uid="{00000000-0005-0000-0000-0000BF130000}"/>
    <cellStyle name="계산 4 8 2 3" xfId="22656" xr:uid="{00000000-0005-0000-0000-0000C0130000}"/>
    <cellStyle name="계산 4 8 2 3 2" xfId="19901" xr:uid="{00000000-0005-0000-0000-0000C1130000}"/>
    <cellStyle name="계산 4 8 2 3 3" xfId="26886" xr:uid="{00000000-0005-0000-0000-0000C2130000}"/>
    <cellStyle name="계산 4 8 2 3 4" xfId="30000" xr:uid="{00000000-0005-0000-0000-0000C3130000}"/>
    <cellStyle name="계산 4 8 2 4" xfId="23067" xr:uid="{00000000-0005-0000-0000-0000C4130000}"/>
    <cellStyle name="계산 4 8 2 4 2" xfId="19165" xr:uid="{00000000-0005-0000-0000-0000C5130000}"/>
    <cellStyle name="계산 4 8 2 4 3" xfId="27297" xr:uid="{00000000-0005-0000-0000-0000C6130000}"/>
    <cellStyle name="계산 4 8 2 4 4" xfId="30411" xr:uid="{00000000-0005-0000-0000-0000C7130000}"/>
    <cellStyle name="계산 4 8 2 5" xfId="23466" xr:uid="{00000000-0005-0000-0000-0000C8130000}"/>
    <cellStyle name="계산 4 8 2 5 2" xfId="18131" xr:uid="{00000000-0005-0000-0000-0000C9130000}"/>
    <cellStyle name="계산 4 8 2 5 3" xfId="27696" xr:uid="{00000000-0005-0000-0000-0000CA130000}"/>
    <cellStyle name="계산 4 8 2 5 4" xfId="30810" xr:uid="{00000000-0005-0000-0000-0000CB130000}"/>
    <cellStyle name="계산 4 8 2 6" xfId="21627" xr:uid="{00000000-0005-0000-0000-0000CC130000}"/>
    <cellStyle name="계산 4 8 2 7" xfId="24218" xr:uid="{00000000-0005-0000-0000-0000CD130000}"/>
    <cellStyle name="계산 4 8 2 8" xfId="25857" xr:uid="{00000000-0005-0000-0000-0000CE130000}"/>
    <cellStyle name="계산 4 8 2 9" xfId="28971" xr:uid="{00000000-0005-0000-0000-0000CF130000}"/>
    <cellStyle name="계산 4 8 3" xfId="15907" xr:uid="{00000000-0005-0000-0000-0000D0130000}"/>
    <cellStyle name="계산 4 8 3 2" xfId="21307" xr:uid="{00000000-0005-0000-0000-0000D1130000}"/>
    <cellStyle name="계산 4 8 3 3" xfId="24149" xr:uid="{00000000-0005-0000-0000-0000D2130000}"/>
    <cellStyle name="계산 4 8 3 4" xfId="25520" xr:uid="{00000000-0005-0000-0000-0000D3130000}"/>
    <cellStyle name="계산 4 8 3 5" xfId="28637" xr:uid="{00000000-0005-0000-0000-0000D4130000}"/>
    <cellStyle name="계산 4 8 3 6" xfId="17865" xr:uid="{00000000-0005-0000-0000-0000D5130000}"/>
    <cellStyle name="계산 4 8 4" xfId="16518" xr:uid="{00000000-0005-0000-0000-0000D6130000}"/>
    <cellStyle name="계산 4 8 4 2" xfId="24512" xr:uid="{00000000-0005-0000-0000-0000D7130000}"/>
    <cellStyle name="계산 4 8 4 3" xfId="25368" xr:uid="{00000000-0005-0000-0000-0000D8130000}"/>
    <cellStyle name="계산 4 8 4 4" xfId="28492" xr:uid="{00000000-0005-0000-0000-0000D9130000}"/>
    <cellStyle name="계산 4 8 4 5" xfId="21124" xr:uid="{00000000-0005-0000-0000-0000DA130000}"/>
    <cellStyle name="계산 4 8 5" xfId="20828" xr:uid="{00000000-0005-0000-0000-0000DB130000}"/>
    <cellStyle name="계산 4 8 5 2" xfId="19134" xr:uid="{00000000-0005-0000-0000-0000DC130000}"/>
    <cellStyle name="계산 4 8 5 3" xfId="25079" xr:uid="{00000000-0005-0000-0000-0000DD130000}"/>
    <cellStyle name="계산 4 8 5 4" xfId="28203" xr:uid="{00000000-0005-0000-0000-0000DE130000}"/>
    <cellStyle name="계산 4 8 6" xfId="21150" xr:uid="{00000000-0005-0000-0000-0000DF130000}"/>
    <cellStyle name="계산 4 8 6 2" xfId="24667" xr:uid="{00000000-0005-0000-0000-0000E0130000}"/>
    <cellStyle name="계산 4 8 6 3" xfId="25394" xr:uid="{00000000-0005-0000-0000-0000E1130000}"/>
    <cellStyle name="계산 4 8 6 4" xfId="28518" xr:uid="{00000000-0005-0000-0000-0000E2130000}"/>
    <cellStyle name="계산 4 8 7" xfId="21195" xr:uid="{00000000-0005-0000-0000-0000E3130000}"/>
    <cellStyle name="계산 4 8 7 2" xfId="24256" xr:uid="{00000000-0005-0000-0000-0000E4130000}"/>
    <cellStyle name="계산 4 8 7 3" xfId="25423" xr:uid="{00000000-0005-0000-0000-0000E5130000}"/>
    <cellStyle name="계산 4 8 7 4" xfId="28540" xr:uid="{00000000-0005-0000-0000-0000E6130000}"/>
    <cellStyle name="계산 4 8 8" xfId="20597" xr:uid="{00000000-0005-0000-0000-0000E7130000}"/>
    <cellStyle name="계산 4 8 9" xfId="18904" xr:uid="{00000000-0005-0000-0000-0000E8130000}"/>
    <cellStyle name="계산 4 9" xfId="14662" xr:uid="{00000000-0005-0000-0000-0000E9130000}"/>
    <cellStyle name="계산 4 9 10" xfId="27937" xr:uid="{00000000-0005-0000-0000-0000EA130000}"/>
    <cellStyle name="계산 4 9 11" xfId="17660" xr:uid="{00000000-0005-0000-0000-0000EB130000}"/>
    <cellStyle name="계산 4 9 2" xfId="15593" xr:uid="{00000000-0005-0000-0000-0000EC130000}"/>
    <cellStyle name="계산 4 9 2 2" xfId="24321" xr:uid="{00000000-0005-0000-0000-0000ED130000}"/>
    <cellStyle name="계산 4 9 2 3" xfId="25825" xr:uid="{00000000-0005-0000-0000-0000EE130000}"/>
    <cellStyle name="계산 4 9 2 4" xfId="28939" xr:uid="{00000000-0005-0000-0000-0000EF130000}"/>
    <cellStyle name="계산 4 9 2 5" xfId="21595" xr:uid="{00000000-0005-0000-0000-0000F0130000}"/>
    <cellStyle name="계산 4 9 3" xfId="15947" xr:uid="{00000000-0005-0000-0000-0000F1130000}"/>
    <cellStyle name="계산 4 9 3 2" xfId="19570" xr:uid="{00000000-0005-0000-0000-0000F2130000}"/>
    <cellStyle name="계산 4 9 3 3" xfId="26378" xr:uid="{00000000-0005-0000-0000-0000F3130000}"/>
    <cellStyle name="계산 4 9 3 4" xfId="29492" xr:uid="{00000000-0005-0000-0000-0000F4130000}"/>
    <cellStyle name="계산 4 9 3 5" xfId="22148" xr:uid="{00000000-0005-0000-0000-0000F5130000}"/>
    <cellStyle name="계산 4 9 4" xfId="16519" xr:uid="{00000000-0005-0000-0000-0000F6130000}"/>
    <cellStyle name="계산 4 9 4 2" xfId="19870" xr:uid="{00000000-0005-0000-0000-0000F7130000}"/>
    <cellStyle name="계산 4 9 4 3" xfId="26854" xr:uid="{00000000-0005-0000-0000-0000F8130000}"/>
    <cellStyle name="계산 4 9 4 4" xfId="29968" xr:uid="{00000000-0005-0000-0000-0000F9130000}"/>
    <cellStyle name="계산 4 9 4 5" xfId="22624" xr:uid="{00000000-0005-0000-0000-0000FA130000}"/>
    <cellStyle name="계산 4 9 5" xfId="23039" xr:uid="{00000000-0005-0000-0000-0000FB130000}"/>
    <cellStyle name="계산 4 9 5 2" xfId="20250" xr:uid="{00000000-0005-0000-0000-0000FC130000}"/>
    <cellStyle name="계산 4 9 5 3" xfId="27269" xr:uid="{00000000-0005-0000-0000-0000FD130000}"/>
    <cellStyle name="계산 4 9 5 4" xfId="30383" xr:uid="{00000000-0005-0000-0000-0000FE130000}"/>
    <cellStyle name="계산 4 9 6" xfId="23434" xr:uid="{00000000-0005-0000-0000-0000FF130000}"/>
    <cellStyle name="계산 4 9 6 2" xfId="18102" xr:uid="{00000000-0005-0000-0000-000000140000}"/>
    <cellStyle name="계산 4 9 6 3" xfId="27664" xr:uid="{00000000-0005-0000-0000-000001140000}"/>
    <cellStyle name="계산 4 9 6 4" xfId="30778" xr:uid="{00000000-0005-0000-0000-000002140000}"/>
    <cellStyle name="계산 4 9 7" xfId="20565" xr:uid="{00000000-0005-0000-0000-000003140000}"/>
    <cellStyle name="계산 4 9 8" xfId="18872" xr:uid="{00000000-0005-0000-0000-000004140000}"/>
    <cellStyle name="계산 4 9 9" xfId="24813" xr:uid="{00000000-0005-0000-0000-000005140000}"/>
    <cellStyle name="계산 5" xfId="11857" xr:uid="{00000000-0005-0000-0000-000006140000}"/>
    <cellStyle name="계산 5 10" xfId="15084" xr:uid="{00000000-0005-0000-0000-000007140000}"/>
    <cellStyle name="계산 5 10 2" xfId="15803" xr:uid="{00000000-0005-0000-0000-000008140000}"/>
    <cellStyle name="계산 5 10 2 2" xfId="24374" xr:uid="{00000000-0005-0000-0000-000009140000}"/>
    <cellStyle name="계산 5 10 2 3" xfId="26216" xr:uid="{00000000-0005-0000-0000-00000A140000}"/>
    <cellStyle name="계산 5 10 2 4" xfId="29330" xr:uid="{00000000-0005-0000-0000-00000B140000}"/>
    <cellStyle name="계산 5 10 2 5" xfId="21986" xr:uid="{00000000-0005-0000-0000-00000C140000}"/>
    <cellStyle name="계산 5 10 3" xfId="16196" xr:uid="{00000000-0005-0000-0000-00000D140000}"/>
    <cellStyle name="계산 5 10 3 2" xfId="19717" xr:uid="{00000000-0005-0000-0000-00000E140000}"/>
    <cellStyle name="계산 5 10 3 3" xfId="26689" xr:uid="{00000000-0005-0000-0000-00000F140000}"/>
    <cellStyle name="계산 5 10 3 4" xfId="29803" xr:uid="{00000000-0005-0000-0000-000010140000}"/>
    <cellStyle name="계산 5 10 3 5" xfId="22459" xr:uid="{00000000-0005-0000-0000-000011140000}"/>
    <cellStyle name="계산 5 10 4" xfId="16520" xr:uid="{00000000-0005-0000-0000-000012140000}"/>
    <cellStyle name="계산 5 10 4 2" xfId="20152" xr:uid="{00000000-0005-0000-0000-000013140000}"/>
    <cellStyle name="계산 5 10 4 3" xfId="27162" xr:uid="{00000000-0005-0000-0000-000014140000}"/>
    <cellStyle name="계산 5 10 4 4" xfId="30276" xr:uid="{00000000-0005-0000-0000-000015140000}"/>
    <cellStyle name="계산 5 10 4 5" xfId="22932" xr:uid="{00000000-0005-0000-0000-000016140000}"/>
    <cellStyle name="계산 5 10 5" xfId="23277" xr:uid="{00000000-0005-0000-0000-000017140000}"/>
    <cellStyle name="계산 5 10 5 2" xfId="21479" xr:uid="{00000000-0005-0000-0000-000018140000}"/>
    <cellStyle name="계산 5 10 5 3" xfId="27507" xr:uid="{00000000-0005-0000-0000-000019140000}"/>
    <cellStyle name="계산 5 10 5 4" xfId="30621" xr:uid="{00000000-0005-0000-0000-00001A140000}"/>
    <cellStyle name="계산 5 10 6" xfId="19519" xr:uid="{00000000-0005-0000-0000-00001B140000}"/>
    <cellStyle name="계산 5 10 7" xfId="25665" xr:uid="{00000000-0005-0000-0000-00001C140000}"/>
    <cellStyle name="계산 5 10 8" xfId="28782" xr:uid="{00000000-0005-0000-0000-00001D140000}"/>
    <cellStyle name="계산 5 10 9" xfId="17691" xr:uid="{00000000-0005-0000-0000-00001E140000}"/>
    <cellStyle name="계산 5 11" xfId="14937" xr:uid="{00000000-0005-0000-0000-00001F140000}"/>
    <cellStyle name="계산 5 11 2" xfId="15687" xr:uid="{00000000-0005-0000-0000-000020140000}"/>
    <cellStyle name="계산 5 11 2 2" xfId="31465" xr:uid="{00000000-0005-0000-0000-000021140000}"/>
    <cellStyle name="계산 5 11 2 3" xfId="20847" xr:uid="{00000000-0005-0000-0000-000022140000}"/>
    <cellStyle name="계산 5 11 3" xfId="16049" xr:uid="{00000000-0005-0000-0000-000023140000}"/>
    <cellStyle name="계산 5 11 3 2" xfId="31692" xr:uid="{00000000-0005-0000-0000-000024140000}"/>
    <cellStyle name="계산 5 11 3 3" xfId="19152" xr:uid="{00000000-0005-0000-0000-000025140000}"/>
    <cellStyle name="계산 5 11 4" xfId="16521" xr:uid="{00000000-0005-0000-0000-000026140000}"/>
    <cellStyle name="계산 5 11 4 2" xfId="32065" xr:uid="{00000000-0005-0000-0000-000027140000}"/>
    <cellStyle name="계산 5 11 4 3" xfId="25098" xr:uid="{00000000-0005-0000-0000-000028140000}"/>
    <cellStyle name="계산 5 11 5" xfId="28222" xr:uid="{00000000-0005-0000-0000-000029140000}"/>
    <cellStyle name="계산 5 11 6" xfId="17866" xr:uid="{00000000-0005-0000-0000-00002A140000}"/>
    <cellStyle name="계산 5 12" xfId="15026" xr:uid="{00000000-0005-0000-0000-00002B140000}"/>
    <cellStyle name="계산 5 12 2" xfId="15754" xr:uid="{00000000-0005-0000-0000-00002C140000}"/>
    <cellStyle name="계산 5 12 2 2" xfId="31532" xr:uid="{00000000-0005-0000-0000-00002D140000}"/>
    <cellStyle name="계산 5 12 3" xfId="16138" xr:uid="{00000000-0005-0000-0000-00002E140000}"/>
    <cellStyle name="계산 5 12 3 2" xfId="31781" xr:uid="{00000000-0005-0000-0000-00002F140000}"/>
    <cellStyle name="계산 5 12 4" xfId="16522" xr:uid="{00000000-0005-0000-0000-000030140000}"/>
    <cellStyle name="계산 5 12 4 2" xfId="32066" xr:uid="{00000000-0005-0000-0000-000031140000}"/>
    <cellStyle name="계산 5 12 5" xfId="31243" xr:uid="{00000000-0005-0000-0000-000032140000}"/>
    <cellStyle name="계산 5 12 6" xfId="18648" xr:uid="{00000000-0005-0000-0000-000033140000}"/>
    <cellStyle name="계산 5 13" xfId="14978" xr:uid="{00000000-0005-0000-0000-000034140000}"/>
    <cellStyle name="계산 5 13 2" xfId="15728" xr:uid="{00000000-0005-0000-0000-000035140000}"/>
    <cellStyle name="계산 5 13 2 2" xfId="31506" xr:uid="{00000000-0005-0000-0000-000036140000}"/>
    <cellStyle name="계산 5 13 3" xfId="16090" xr:uid="{00000000-0005-0000-0000-000037140000}"/>
    <cellStyle name="계산 5 13 3 2" xfId="31733" xr:uid="{00000000-0005-0000-0000-000038140000}"/>
    <cellStyle name="계산 5 13 4" xfId="16523" xr:uid="{00000000-0005-0000-0000-000039140000}"/>
    <cellStyle name="계산 5 13 4 2" xfId="32067" xr:uid="{00000000-0005-0000-0000-00003A140000}"/>
    <cellStyle name="계산 5 13 5" xfId="31217" xr:uid="{00000000-0005-0000-0000-00003B140000}"/>
    <cellStyle name="계산 5 13 6" xfId="18590" xr:uid="{00000000-0005-0000-0000-00003C140000}"/>
    <cellStyle name="계산 5 14" xfId="14997" xr:uid="{00000000-0005-0000-0000-00003D140000}"/>
    <cellStyle name="계산 5 14 2" xfId="16109" xr:uid="{00000000-0005-0000-0000-00003E140000}"/>
    <cellStyle name="계산 5 14 2 2" xfId="31752" xr:uid="{00000000-0005-0000-0000-00003F140000}"/>
    <cellStyle name="계산 5 14 3" xfId="16524" xr:uid="{00000000-0005-0000-0000-000040140000}"/>
    <cellStyle name="계산 5 14 3 2" xfId="32068" xr:uid="{00000000-0005-0000-0000-000041140000}"/>
    <cellStyle name="계산 5 14 4" xfId="16525" xr:uid="{00000000-0005-0000-0000-000042140000}"/>
    <cellStyle name="계산 5 14 4 2" xfId="32069" xr:uid="{00000000-0005-0000-0000-000043140000}"/>
    <cellStyle name="계산 5 14 5" xfId="18625" xr:uid="{00000000-0005-0000-0000-000044140000}"/>
    <cellStyle name="계산 5 15" xfId="15356" xr:uid="{00000000-0005-0000-0000-000045140000}"/>
    <cellStyle name="계산 5 15 2" xfId="15314" xr:uid="{00000000-0005-0000-0000-000046140000}"/>
    <cellStyle name="계산 5 15 2 2" xfId="31361" xr:uid="{00000000-0005-0000-0000-000047140000}"/>
    <cellStyle name="계산 5 15 3" xfId="16526" xr:uid="{00000000-0005-0000-0000-000048140000}"/>
    <cellStyle name="계산 5 15 3 2" xfId="32070" xr:uid="{00000000-0005-0000-0000-000049140000}"/>
    <cellStyle name="계산 5 15 4" xfId="16527" xr:uid="{00000000-0005-0000-0000-00004A140000}"/>
    <cellStyle name="계산 5 15 4 2" xfId="32071" xr:uid="{00000000-0005-0000-0000-00004B140000}"/>
    <cellStyle name="계산 5 15 5" xfId="31403" xr:uid="{00000000-0005-0000-0000-00004C140000}"/>
    <cellStyle name="계산 5 16" xfId="15181" xr:uid="{00000000-0005-0000-0000-00004D140000}"/>
    <cellStyle name="계산 5 16 2" xfId="31317" xr:uid="{00000000-0005-0000-0000-00004E140000}"/>
    <cellStyle name="계산 5 17" xfId="16528" xr:uid="{00000000-0005-0000-0000-00004F140000}"/>
    <cellStyle name="계산 5 17 2" xfId="32072" xr:uid="{00000000-0005-0000-0000-000050140000}"/>
    <cellStyle name="계산 5 18" xfId="16529" xr:uid="{00000000-0005-0000-0000-000051140000}"/>
    <cellStyle name="계산 5 18 2" xfId="32073" xr:uid="{00000000-0005-0000-0000-000052140000}"/>
    <cellStyle name="계산 5 19" xfId="17235" xr:uid="{00000000-0005-0000-0000-000053140000}"/>
    <cellStyle name="계산 5 2" xfId="11858" xr:uid="{00000000-0005-0000-0000-000054140000}"/>
    <cellStyle name="계산 5 2 10" xfId="15182" xr:uid="{00000000-0005-0000-0000-000055140000}"/>
    <cellStyle name="계산 5 2 10 2" xfId="31318" xr:uid="{00000000-0005-0000-0000-000056140000}"/>
    <cellStyle name="계산 5 2 11" xfId="16530" xr:uid="{00000000-0005-0000-0000-000057140000}"/>
    <cellStyle name="계산 5 2 11 2" xfId="32074" xr:uid="{00000000-0005-0000-0000-000058140000}"/>
    <cellStyle name="계산 5 2 12" xfId="16531" xr:uid="{00000000-0005-0000-0000-000059140000}"/>
    <cellStyle name="계산 5 2 12 2" xfId="32075" xr:uid="{00000000-0005-0000-0000-00005A140000}"/>
    <cellStyle name="계산 5 2 13" xfId="17236" xr:uid="{00000000-0005-0000-0000-00005B140000}"/>
    <cellStyle name="계산 5 2 2" xfId="14615" xr:uid="{00000000-0005-0000-0000-00005C140000}"/>
    <cellStyle name="계산 5 2 2 10" xfId="24853" xr:uid="{00000000-0005-0000-0000-00005D140000}"/>
    <cellStyle name="계산 5 2 2 11" xfId="27977" xr:uid="{00000000-0005-0000-0000-00005E140000}"/>
    <cellStyle name="계산 5 2 2 12" xfId="17588" xr:uid="{00000000-0005-0000-0000-00005F140000}"/>
    <cellStyle name="계산 5 2 2 2" xfId="15546" xr:uid="{00000000-0005-0000-0000-000060140000}"/>
    <cellStyle name="계산 5 2 2 2 10" xfId="17867" xr:uid="{00000000-0005-0000-0000-000061140000}"/>
    <cellStyle name="계산 5 2 2 2 2" xfId="22188" xr:uid="{00000000-0005-0000-0000-000062140000}"/>
    <cellStyle name="계산 5 2 2 2 2 2" xfId="18339" xr:uid="{00000000-0005-0000-0000-000063140000}"/>
    <cellStyle name="계산 5 2 2 2 2 3" xfId="26418" xr:uid="{00000000-0005-0000-0000-000064140000}"/>
    <cellStyle name="계산 5 2 2 2 2 4" xfId="29532" xr:uid="{00000000-0005-0000-0000-000065140000}"/>
    <cellStyle name="계산 5 2 2 2 3" xfId="22664" xr:uid="{00000000-0005-0000-0000-000066140000}"/>
    <cellStyle name="계산 5 2 2 2 3 2" xfId="19909" xr:uid="{00000000-0005-0000-0000-000067140000}"/>
    <cellStyle name="계산 5 2 2 2 3 3" xfId="26894" xr:uid="{00000000-0005-0000-0000-000068140000}"/>
    <cellStyle name="계산 5 2 2 2 3 4" xfId="30008" xr:uid="{00000000-0005-0000-0000-000069140000}"/>
    <cellStyle name="계산 5 2 2 2 4" xfId="23075" xr:uid="{00000000-0005-0000-0000-00006A140000}"/>
    <cellStyle name="계산 5 2 2 2 4 2" xfId="19171" xr:uid="{00000000-0005-0000-0000-00006B140000}"/>
    <cellStyle name="계산 5 2 2 2 4 3" xfId="27305" xr:uid="{00000000-0005-0000-0000-00006C140000}"/>
    <cellStyle name="계산 5 2 2 2 4 4" xfId="30419" xr:uid="{00000000-0005-0000-0000-00006D140000}"/>
    <cellStyle name="계산 5 2 2 2 5" xfId="23474" xr:uid="{00000000-0005-0000-0000-00006E140000}"/>
    <cellStyle name="계산 5 2 2 2 5 2" xfId="18138" xr:uid="{00000000-0005-0000-0000-00006F140000}"/>
    <cellStyle name="계산 5 2 2 2 5 3" xfId="27704" xr:uid="{00000000-0005-0000-0000-000070140000}"/>
    <cellStyle name="계산 5 2 2 2 5 4" xfId="30818" xr:uid="{00000000-0005-0000-0000-000071140000}"/>
    <cellStyle name="계산 5 2 2 2 6" xfId="21635" xr:uid="{00000000-0005-0000-0000-000072140000}"/>
    <cellStyle name="계산 5 2 2 2 7" xfId="19337" xr:uid="{00000000-0005-0000-0000-000073140000}"/>
    <cellStyle name="계산 5 2 2 2 8" xfId="25865" xr:uid="{00000000-0005-0000-0000-000074140000}"/>
    <cellStyle name="계산 5 2 2 2 9" xfId="28979" xr:uid="{00000000-0005-0000-0000-000075140000}"/>
    <cellStyle name="계산 5 2 2 3" xfId="15900" xr:uid="{00000000-0005-0000-0000-000076140000}"/>
    <cellStyle name="계산 5 2 2 3 2" xfId="21315" xr:uid="{00000000-0005-0000-0000-000077140000}"/>
    <cellStyle name="계산 5 2 2 3 3" xfId="24399" xr:uid="{00000000-0005-0000-0000-000078140000}"/>
    <cellStyle name="계산 5 2 2 3 4" xfId="25528" xr:uid="{00000000-0005-0000-0000-000079140000}"/>
    <cellStyle name="계산 5 2 2 3 5" xfId="28645" xr:uid="{00000000-0005-0000-0000-00007A140000}"/>
    <cellStyle name="계산 5 2 2 3 6" xfId="17868" xr:uid="{00000000-0005-0000-0000-00007B140000}"/>
    <cellStyle name="계산 5 2 2 4" xfId="16532" xr:uid="{00000000-0005-0000-0000-00007C140000}"/>
    <cellStyle name="계산 5 2 2 4 2" xfId="23724" xr:uid="{00000000-0005-0000-0000-00007D140000}"/>
    <cellStyle name="계산 5 2 2 4 3" xfId="26069" xr:uid="{00000000-0005-0000-0000-00007E140000}"/>
    <cellStyle name="계산 5 2 2 4 4" xfId="29183" xr:uid="{00000000-0005-0000-0000-00007F140000}"/>
    <cellStyle name="계산 5 2 2 4 5" xfId="21839" xr:uid="{00000000-0005-0000-0000-000080140000}"/>
    <cellStyle name="계산 5 2 2 5" xfId="21229" xr:uid="{00000000-0005-0000-0000-000081140000}"/>
    <cellStyle name="계산 5 2 2 5 2" xfId="24402" xr:uid="{00000000-0005-0000-0000-000082140000}"/>
    <cellStyle name="계산 5 2 2 5 3" xfId="25452" xr:uid="{00000000-0005-0000-0000-000083140000}"/>
    <cellStyle name="계산 5 2 2 5 4" xfId="28569" xr:uid="{00000000-0005-0000-0000-000084140000}"/>
    <cellStyle name="계산 5 2 2 6" xfId="21143" xr:uid="{00000000-0005-0000-0000-000085140000}"/>
    <cellStyle name="계산 5 2 2 6 2" xfId="23954" xr:uid="{00000000-0005-0000-0000-000086140000}"/>
    <cellStyle name="계산 5 2 2 6 3" xfId="25387" xr:uid="{00000000-0005-0000-0000-000087140000}"/>
    <cellStyle name="계산 5 2 2 6 4" xfId="28511" xr:uid="{00000000-0005-0000-0000-000088140000}"/>
    <cellStyle name="계산 5 2 2 7" xfId="21202" xr:uid="{00000000-0005-0000-0000-000089140000}"/>
    <cellStyle name="계산 5 2 2 7 2" xfId="24154" xr:uid="{00000000-0005-0000-0000-00008A140000}"/>
    <cellStyle name="계산 5 2 2 7 3" xfId="25430" xr:uid="{00000000-0005-0000-0000-00008B140000}"/>
    <cellStyle name="계산 5 2 2 7 4" xfId="28547" xr:uid="{00000000-0005-0000-0000-00008C140000}"/>
    <cellStyle name="계산 5 2 2 8" xfId="20605" xr:uid="{00000000-0005-0000-0000-00008D140000}"/>
    <cellStyle name="계산 5 2 2 9" xfId="18911" xr:uid="{00000000-0005-0000-0000-00008E140000}"/>
    <cellStyle name="계산 5 2 3" xfId="14657" xr:uid="{00000000-0005-0000-0000-00008F140000}"/>
    <cellStyle name="계산 5 2 3 10" xfId="27945" xr:uid="{00000000-0005-0000-0000-000090140000}"/>
    <cellStyle name="계산 5 2 3 11" xfId="17652" xr:uid="{00000000-0005-0000-0000-000091140000}"/>
    <cellStyle name="계산 5 2 3 2" xfId="15588" xr:uid="{00000000-0005-0000-0000-000092140000}"/>
    <cellStyle name="계산 5 2 3 2 2" xfId="24219" xr:uid="{00000000-0005-0000-0000-000093140000}"/>
    <cellStyle name="계산 5 2 3 2 3" xfId="25833" xr:uid="{00000000-0005-0000-0000-000094140000}"/>
    <cellStyle name="계산 5 2 3 2 4" xfId="28947" xr:uid="{00000000-0005-0000-0000-000095140000}"/>
    <cellStyle name="계산 5 2 3 2 5" xfId="21603" xr:uid="{00000000-0005-0000-0000-000096140000}"/>
    <cellStyle name="계산 5 2 3 3" xfId="15942" xr:uid="{00000000-0005-0000-0000-000097140000}"/>
    <cellStyle name="계산 5 2 3 3 2" xfId="19576" xr:uid="{00000000-0005-0000-0000-000098140000}"/>
    <cellStyle name="계산 5 2 3 3 3" xfId="26386" xr:uid="{00000000-0005-0000-0000-000099140000}"/>
    <cellStyle name="계산 5 2 3 3 4" xfId="29500" xr:uid="{00000000-0005-0000-0000-00009A140000}"/>
    <cellStyle name="계산 5 2 3 3 5" xfId="22156" xr:uid="{00000000-0005-0000-0000-00009B140000}"/>
    <cellStyle name="계산 5 2 3 4" xfId="16533" xr:uid="{00000000-0005-0000-0000-00009C140000}"/>
    <cellStyle name="계산 5 2 3 4 2" xfId="19878" xr:uid="{00000000-0005-0000-0000-00009D140000}"/>
    <cellStyle name="계산 5 2 3 4 3" xfId="26862" xr:uid="{00000000-0005-0000-0000-00009E140000}"/>
    <cellStyle name="계산 5 2 3 4 4" xfId="29976" xr:uid="{00000000-0005-0000-0000-00009F140000}"/>
    <cellStyle name="계산 5 2 3 4 5" xfId="22632" xr:uid="{00000000-0005-0000-0000-0000A0140000}"/>
    <cellStyle name="계산 5 2 3 5" xfId="23047" xr:uid="{00000000-0005-0000-0000-0000A1140000}"/>
    <cellStyle name="계산 5 2 3 5 2" xfId="20258" xr:uid="{00000000-0005-0000-0000-0000A2140000}"/>
    <cellStyle name="계산 5 2 3 5 3" xfId="27277" xr:uid="{00000000-0005-0000-0000-0000A3140000}"/>
    <cellStyle name="계산 5 2 3 5 4" xfId="30391" xr:uid="{00000000-0005-0000-0000-0000A4140000}"/>
    <cellStyle name="계산 5 2 3 6" xfId="23442" xr:uid="{00000000-0005-0000-0000-0000A5140000}"/>
    <cellStyle name="계산 5 2 3 6 2" xfId="18110" xr:uid="{00000000-0005-0000-0000-0000A6140000}"/>
    <cellStyle name="계산 5 2 3 6 3" xfId="27672" xr:uid="{00000000-0005-0000-0000-0000A7140000}"/>
    <cellStyle name="계산 5 2 3 6 4" xfId="30786" xr:uid="{00000000-0005-0000-0000-0000A8140000}"/>
    <cellStyle name="계산 5 2 3 7" xfId="20573" xr:uid="{00000000-0005-0000-0000-0000A9140000}"/>
    <cellStyle name="계산 5 2 3 8" xfId="18880" xr:uid="{00000000-0005-0000-0000-0000AA140000}"/>
    <cellStyle name="계산 5 2 3 9" xfId="24821" xr:uid="{00000000-0005-0000-0000-0000AB140000}"/>
    <cellStyle name="계산 5 2 4" xfId="15085" xr:uid="{00000000-0005-0000-0000-0000AC140000}"/>
    <cellStyle name="계산 5 2 4 2" xfId="15804" xr:uid="{00000000-0005-0000-0000-0000AD140000}"/>
    <cellStyle name="계산 5 2 4 2 2" xfId="24203" xr:uid="{00000000-0005-0000-0000-0000AE140000}"/>
    <cellStyle name="계산 5 2 4 2 3" xfId="26217" xr:uid="{00000000-0005-0000-0000-0000AF140000}"/>
    <cellStyle name="계산 5 2 4 2 4" xfId="29331" xr:uid="{00000000-0005-0000-0000-0000B0140000}"/>
    <cellStyle name="계산 5 2 4 2 5" xfId="21987" xr:uid="{00000000-0005-0000-0000-0000B1140000}"/>
    <cellStyle name="계산 5 2 4 3" xfId="16197" xr:uid="{00000000-0005-0000-0000-0000B2140000}"/>
    <cellStyle name="계산 5 2 4 3 2" xfId="19718" xr:uid="{00000000-0005-0000-0000-0000B3140000}"/>
    <cellStyle name="계산 5 2 4 3 3" xfId="26690" xr:uid="{00000000-0005-0000-0000-0000B4140000}"/>
    <cellStyle name="계산 5 2 4 3 4" xfId="29804" xr:uid="{00000000-0005-0000-0000-0000B5140000}"/>
    <cellStyle name="계산 5 2 4 3 5" xfId="22460" xr:uid="{00000000-0005-0000-0000-0000B6140000}"/>
    <cellStyle name="계산 5 2 4 4" xfId="16534" xr:uid="{00000000-0005-0000-0000-0000B7140000}"/>
    <cellStyle name="계산 5 2 4 4 2" xfId="20153" xr:uid="{00000000-0005-0000-0000-0000B8140000}"/>
    <cellStyle name="계산 5 2 4 4 3" xfId="27163" xr:uid="{00000000-0005-0000-0000-0000B9140000}"/>
    <cellStyle name="계산 5 2 4 4 4" xfId="30277" xr:uid="{00000000-0005-0000-0000-0000BA140000}"/>
    <cellStyle name="계산 5 2 4 4 5" xfId="22933" xr:uid="{00000000-0005-0000-0000-0000BB140000}"/>
    <cellStyle name="계산 5 2 4 5" xfId="23278" xr:uid="{00000000-0005-0000-0000-0000BC140000}"/>
    <cellStyle name="계산 5 2 4 5 2" xfId="20324" xr:uid="{00000000-0005-0000-0000-0000BD140000}"/>
    <cellStyle name="계산 5 2 4 5 3" xfId="27508" xr:uid="{00000000-0005-0000-0000-0000BE140000}"/>
    <cellStyle name="계산 5 2 4 5 4" xfId="30622" xr:uid="{00000000-0005-0000-0000-0000BF140000}"/>
    <cellStyle name="계산 5 2 4 6" xfId="19520" xr:uid="{00000000-0005-0000-0000-0000C0140000}"/>
    <cellStyle name="계산 5 2 4 7" xfId="25666" xr:uid="{00000000-0005-0000-0000-0000C1140000}"/>
    <cellStyle name="계산 5 2 4 8" xfId="28783" xr:uid="{00000000-0005-0000-0000-0000C2140000}"/>
    <cellStyle name="계산 5 2 4 9" xfId="17690" xr:uid="{00000000-0005-0000-0000-0000C3140000}"/>
    <cellStyle name="계산 5 2 5" xfId="14936" xr:uid="{00000000-0005-0000-0000-0000C4140000}"/>
    <cellStyle name="계산 5 2 5 2" xfId="15686" xr:uid="{00000000-0005-0000-0000-0000C5140000}"/>
    <cellStyle name="계산 5 2 5 2 2" xfId="31464" xr:uid="{00000000-0005-0000-0000-0000C6140000}"/>
    <cellStyle name="계산 5 2 5 2 3" xfId="20870" xr:uid="{00000000-0005-0000-0000-0000C7140000}"/>
    <cellStyle name="계산 5 2 5 3" xfId="16048" xr:uid="{00000000-0005-0000-0000-0000C8140000}"/>
    <cellStyle name="계산 5 2 5 3 2" xfId="31691" xr:uid="{00000000-0005-0000-0000-0000C9140000}"/>
    <cellStyle name="계산 5 2 5 3 3" xfId="24434" xr:uid="{00000000-0005-0000-0000-0000CA140000}"/>
    <cellStyle name="계산 5 2 5 4" xfId="16535" xr:uid="{00000000-0005-0000-0000-0000CB140000}"/>
    <cellStyle name="계산 5 2 5 4 2" xfId="32076" xr:uid="{00000000-0005-0000-0000-0000CC140000}"/>
    <cellStyle name="계산 5 2 5 4 3" xfId="25121" xr:uid="{00000000-0005-0000-0000-0000CD140000}"/>
    <cellStyle name="계산 5 2 5 5" xfId="28245" xr:uid="{00000000-0005-0000-0000-0000CE140000}"/>
    <cellStyle name="계산 5 2 5 6" xfId="17869" xr:uid="{00000000-0005-0000-0000-0000CF140000}"/>
    <cellStyle name="계산 5 2 6" xfId="15027" xr:uid="{00000000-0005-0000-0000-0000D0140000}"/>
    <cellStyle name="계산 5 2 6 2" xfId="15755" xr:uid="{00000000-0005-0000-0000-0000D1140000}"/>
    <cellStyle name="계산 5 2 6 2 2" xfId="31533" xr:uid="{00000000-0005-0000-0000-0000D2140000}"/>
    <cellStyle name="계산 5 2 6 3" xfId="16139" xr:uid="{00000000-0005-0000-0000-0000D3140000}"/>
    <cellStyle name="계산 5 2 6 3 2" xfId="31782" xr:uid="{00000000-0005-0000-0000-0000D4140000}"/>
    <cellStyle name="계산 5 2 6 4" xfId="16536" xr:uid="{00000000-0005-0000-0000-0000D5140000}"/>
    <cellStyle name="계산 5 2 6 4 2" xfId="32077" xr:uid="{00000000-0005-0000-0000-0000D6140000}"/>
    <cellStyle name="계산 5 2 6 5" xfId="31244" xr:uid="{00000000-0005-0000-0000-0000D7140000}"/>
    <cellStyle name="계산 5 2 6 6" xfId="18649" xr:uid="{00000000-0005-0000-0000-0000D8140000}"/>
    <cellStyle name="계산 5 2 7" xfId="14977" xr:uid="{00000000-0005-0000-0000-0000D9140000}"/>
    <cellStyle name="계산 5 2 7 2" xfId="15727" xr:uid="{00000000-0005-0000-0000-0000DA140000}"/>
    <cellStyle name="계산 5 2 7 2 2" xfId="31505" xr:uid="{00000000-0005-0000-0000-0000DB140000}"/>
    <cellStyle name="계산 5 2 7 3" xfId="16089" xr:uid="{00000000-0005-0000-0000-0000DC140000}"/>
    <cellStyle name="계산 5 2 7 3 2" xfId="31732" xr:uid="{00000000-0005-0000-0000-0000DD140000}"/>
    <cellStyle name="계산 5 2 7 4" xfId="16537" xr:uid="{00000000-0005-0000-0000-0000DE140000}"/>
    <cellStyle name="계산 5 2 7 4 2" xfId="32078" xr:uid="{00000000-0005-0000-0000-0000DF140000}"/>
    <cellStyle name="계산 5 2 7 5" xfId="31216" xr:uid="{00000000-0005-0000-0000-0000E0140000}"/>
    <cellStyle name="계산 5 2 7 6" xfId="18589" xr:uid="{00000000-0005-0000-0000-0000E1140000}"/>
    <cellStyle name="계산 5 2 8" xfId="14998" xr:uid="{00000000-0005-0000-0000-0000E2140000}"/>
    <cellStyle name="계산 5 2 8 2" xfId="16110" xr:uid="{00000000-0005-0000-0000-0000E3140000}"/>
    <cellStyle name="계산 5 2 8 2 2" xfId="31753" xr:uid="{00000000-0005-0000-0000-0000E4140000}"/>
    <cellStyle name="계산 5 2 8 3" xfId="16538" xr:uid="{00000000-0005-0000-0000-0000E5140000}"/>
    <cellStyle name="계산 5 2 8 3 2" xfId="32079" xr:uid="{00000000-0005-0000-0000-0000E6140000}"/>
    <cellStyle name="계산 5 2 8 4" xfId="16539" xr:uid="{00000000-0005-0000-0000-0000E7140000}"/>
    <cellStyle name="계산 5 2 8 4 2" xfId="32080" xr:uid="{00000000-0005-0000-0000-0000E8140000}"/>
    <cellStyle name="계산 5 2 8 5" xfId="24653" xr:uid="{00000000-0005-0000-0000-0000E9140000}"/>
    <cellStyle name="계산 5 2 9" xfId="15357" xr:uid="{00000000-0005-0000-0000-0000EA140000}"/>
    <cellStyle name="계산 5 2 9 2" xfId="15313" xr:uid="{00000000-0005-0000-0000-0000EB140000}"/>
    <cellStyle name="계산 5 2 9 2 2" xfId="31360" xr:uid="{00000000-0005-0000-0000-0000EC140000}"/>
    <cellStyle name="계산 5 2 9 3" xfId="16540" xr:uid="{00000000-0005-0000-0000-0000ED140000}"/>
    <cellStyle name="계산 5 2 9 3 2" xfId="32081" xr:uid="{00000000-0005-0000-0000-0000EE140000}"/>
    <cellStyle name="계산 5 2 9 4" xfId="16541" xr:uid="{00000000-0005-0000-0000-0000EF140000}"/>
    <cellStyle name="계산 5 2 9 4 2" xfId="32082" xr:uid="{00000000-0005-0000-0000-0000F0140000}"/>
    <cellStyle name="계산 5 2 9 5" xfId="31404" xr:uid="{00000000-0005-0000-0000-0000F1140000}"/>
    <cellStyle name="계산 5 3" xfId="11859" xr:uid="{00000000-0005-0000-0000-0000F2140000}"/>
    <cellStyle name="계산 5 3 10" xfId="15183" xr:uid="{00000000-0005-0000-0000-0000F3140000}"/>
    <cellStyle name="계산 5 3 10 2" xfId="31319" xr:uid="{00000000-0005-0000-0000-0000F4140000}"/>
    <cellStyle name="계산 5 3 11" xfId="16542" xr:uid="{00000000-0005-0000-0000-0000F5140000}"/>
    <cellStyle name="계산 5 3 11 2" xfId="32083" xr:uid="{00000000-0005-0000-0000-0000F6140000}"/>
    <cellStyle name="계산 5 3 12" xfId="16543" xr:uid="{00000000-0005-0000-0000-0000F7140000}"/>
    <cellStyle name="계산 5 3 12 2" xfId="32084" xr:uid="{00000000-0005-0000-0000-0000F8140000}"/>
    <cellStyle name="계산 5 3 13" xfId="17237" xr:uid="{00000000-0005-0000-0000-0000F9140000}"/>
    <cellStyle name="계산 5 3 2" xfId="14614" xr:uid="{00000000-0005-0000-0000-0000FA140000}"/>
    <cellStyle name="계산 5 3 2 10" xfId="24854" xr:uid="{00000000-0005-0000-0000-0000FB140000}"/>
    <cellStyle name="계산 5 3 2 11" xfId="27978" xr:uid="{00000000-0005-0000-0000-0000FC140000}"/>
    <cellStyle name="계산 5 3 2 12" xfId="17587" xr:uid="{00000000-0005-0000-0000-0000FD140000}"/>
    <cellStyle name="계산 5 3 2 2" xfId="15545" xr:uid="{00000000-0005-0000-0000-0000FE140000}"/>
    <cellStyle name="계산 5 3 2 2 10" xfId="17870" xr:uid="{00000000-0005-0000-0000-0000FF140000}"/>
    <cellStyle name="계산 5 3 2 2 2" xfId="22189" xr:uid="{00000000-0005-0000-0000-000000150000}"/>
    <cellStyle name="계산 5 3 2 2 2 2" xfId="18340" xr:uid="{00000000-0005-0000-0000-000001150000}"/>
    <cellStyle name="계산 5 3 2 2 2 3" xfId="26419" xr:uid="{00000000-0005-0000-0000-000002150000}"/>
    <cellStyle name="계산 5 3 2 2 2 4" xfId="29533" xr:uid="{00000000-0005-0000-0000-000003150000}"/>
    <cellStyle name="계산 5 3 2 2 3" xfId="22665" xr:uid="{00000000-0005-0000-0000-000004150000}"/>
    <cellStyle name="계산 5 3 2 2 3 2" xfId="19910" xr:uid="{00000000-0005-0000-0000-000005150000}"/>
    <cellStyle name="계산 5 3 2 2 3 3" xfId="26895" xr:uid="{00000000-0005-0000-0000-000006150000}"/>
    <cellStyle name="계산 5 3 2 2 3 4" xfId="30009" xr:uid="{00000000-0005-0000-0000-000007150000}"/>
    <cellStyle name="계산 5 3 2 2 4" xfId="23076" xr:uid="{00000000-0005-0000-0000-000008150000}"/>
    <cellStyle name="계산 5 3 2 2 4 2" xfId="19172" xr:uid="{00000000-0005-0000-0000-000009150000}"/>
    <cellStyle name="계산 5 3 2 2 4 3" xfId="27306" xr:uid="{00000000-0005-0000-0000-00000A150000}"/>
    <cellStyle name="계산 5 3 2 2 4 4" xfId="30420" xr:uid="{00000000-0005-0000-0000-00000B150000}"/>
    <cellStyle name="계산 5 3 2 2 5" xfId="23475" xr:uid="{00000000-0005-0000-0000-00000C150000}"/>
    <cellStyle name="계산 5 3 2 2 5 2" xfId="18139" xr:uid="{00000000-0005-0000-0000-00000D150000}"/>
    <cellStyle name="계산 5 3 2 2 5 3" xfId="27705" xr:uid="{00000000-0005-0000-0000-00000E150000}"/>
    <cellStyle name="계산 5 3 2 2 5 4" xfId="30819" xr:uid="{00000000-0005-0000-0000-00000F150000}"/>
    <cellStyle name="계산 5 3 2 2 6" xfId="21636" xr:uid="{00000000-0005-0000-0000-000010150000}"/>
    <cellStyle name="계산 5 3 2 2 7" xfId="23861" xr:uid="{00000000-0005-0000-0000-000011150000}"/>
    <cellStyle name="계산 5 3 2 2 8" xfId="25866" xr:uid="{00000000-0005-0000-0000-000012150000}"/>
    <cellStyle name="계산 5 3 2 2 9" xfId="28980" xr:uid="{00000000-0005-0000-0000-000013150000}"/>
    <cellStyle name="계산 5 3 2 3" xfId="15899" xr:uid="{00000000-0005-0000-0000-000014150000}"/>
    <cellStyle name="계산 5 3 2 3 2" xfId="21316" xr:uid="{00000000-0005-0000-0000-000015150000}"/>
    <cellStyle name="계산 5 3 2 3 3" xfId="24228" xr:uid="{00000000-0005-0000-0000-000016150000}"/>
    <cellStyle name="계산 5 3 2 3 4" xfId="25529" xr:uid="{00000000-0005-0000-0000-000017150000}"/>
    <cellStyle name="계산 5 3 2 3 5" xfId="28646" xr:uid="{00000000-0005-0000-0000-000018150000}"/>
    <cellStyle name="계산 5 3 2 3 6" xfId="17871" xr:uid="{00000000-0005-0000-0000-000019150000}"/>
    <cellStyle name="계산 5 3 2 4" xfId="16544" xr:uid="{00000000-0005-0000-0000-00001A150000}"/>
    <cellStyle name="계산 5 3 2 4 2" xfId="24641" xr:uid="{00000000-0005-0000-0000-00001B150000}"/>
    <cellStyle name="계산 5 3 2 4 3" xfId="26070" xr:uid="{00000000-0005-0000-0000-00001C150000}"/>
    <cellStyle name="계산 5 3 2 4 4" xfId="29184" xr:uid="{00000000-0005-0000-0000-00001D150000}"/>
    <cellStyle name="계산 5 3 2 4 5" xfId="21840" xr:uid="{00000000-0005-0000-0000-00001E150000}"/>
    <cellStyle name="계산 5 3 2 5" xfId="21230" xr:uid="{00000000-0005-0000-0000-00001F150000}"/>
    <cellStyle name="계산 5 3 2 5 2" xfId="24232" xr:uid="{00000000-0005-0000-0000-000020150000}"/>
    <cellStyle name="계산 5 3 2 5 3" xfId="25453" xr:uid="{00000000-0005-0000-0000-000021150000}"/>
    <cellStyle name="계산 5 3 2 5 4" xfId="28570" xr:uid="{00000000-0005-0000-0000-000022150000}"/>
    <cellStyle name="계산 5 3 2 6" xfId="21142" xr:uid="{00000000-0005-0000-0000-000023150000}"/>
    <cellStyle name="계산 5 3 2 6 2" xfId="19370" xr:uid="{00000000-0005-0000-0000-000024150000}"/>
    <cellStyle name="계산 5 3 2 6 3" xfId="25386" xr:uid="{00000000-0005-0000-0000-000025150000}"/>
    <cellStyle name="계산 5 3 2 6 4" xfId="28510" xr:uid="{00000000-0005-0000-0000-000026150000}"/>
    <cellStyle name="계산 5 3 2 7" xfId="21203" xr:uid="{00000000-0005-0000-0000-000027150000}"/>
    <cellStyle name="계산 5 3 2 7 2" xfId="23684" xr:uid="{00000000-0005-0000-0000-000028150000}"/>
    <cellStyle name="계산 5 3 2 7 3" xfId="25431" xr:uid="{00000000-0005-0000-0000-000029150000}"/>
    <cellStyle name="계산 5 3 2 7 4" xfId="28548" xr:uid="{00000000-0005-0000-0000-00002A150000}"/>
    <cellStyle name="계산 5 3 2 8" xfId="20606" xr:uid="{00000000-0005-0000-0000-00002B150000}"/>
    <cellStyle name="계산 5 3 2 9" xfId="18912" xr:uid="{00000000-0005-0000-0000-00002C150000}"/>
    <cellStyle name="계산 5 3 3" xfId="14656" xr:uid="{00000000-0005-0000-0000-00002D150000}"/>
    <cellStyle name="계산 5 3 3 10" xfId="27946" xr:uid="{00000000-0005-0000-0000-00002E150000}"/>
    <cellStyle name="계산 5 3 3 11" xfId="17651" xr:uid="{00000000-0005-0000-0000-00002F150000}"/>
    <cellStyle name="계산 5 3 3 2" xfId="15587" xr:uid="{00000000-0005-0000-0000-000030150000}"/>
    <cellStyle name="계산 5 3 3 2 2" xfId="24011" xr:uid="{00000000-0005-0000-0000-000031150000}"/>
    <cellStyle name="계산 5 3 3 2 3" xfId="25834" xr:uid="{00000000-0005-0000-0000-000032150000}"/>
    <cellStyle name="계산 5 3 3 2 4" xfId="28948" xr:uid="{00000000-0005-0000-0000-000033150000}"/>
    <cellStyle name="계산 5 3 3 2 5" xfId="21604" xr:uid="{00000000-0005-0000-0000-000034150000}"/>
    <cellStyle name="계산 5 3 3 3" xfId="15941" xr:uid="{00000000-0005-0000-0000-000035150000}"/>
    <cellStyle name="계산 5 3 3 3 2" xfId="19577" xr:uid="{00000000-0005-0000-0000-000036150000}"/>
    <cellStyle name="계산 5 3 3 3 3" xfId="26387" xr:uid="{00000000-0005-0000-0000-000037150000}"/>
    <cellStyle name="계산 5 3 3 3 4" xfId="29501" xr:uid="{00000000-0005-0000-0000-000038150000}"/>
    <cellStyle name="계산 5 3 3 3 5" xfId="22157" xr:uid="{00000000-0005-0000-0000-000039150000}"/>
    <cellStyle name="계산 5 3 3 4" xfId="16545" xr:uid="{00000000-0005-0000-0000-00003A150000}"/>
    <cellStyle name="계산 5 3 3 4 2" xfId="19879" xr:uid="{00000000-0005-0000-0000-00003B150000}"/>
    <cellStyle name="계산 5 3 3 4 3" xfId="26863" xr:uid="{00000000-0005-0000-0000-00003C150000}"/>
    <cellStyle name="계산 5 3 3 4 4" xfId="29977" xr:uid="{00000000-0005-0000-0000-00003D150000}"/>
    <cellStyle name="계산 5 3 3 4 5" xfId="22633" xr:uid="{00000000-0005-0000-0000-00003E150000}"/>
    <cellStyle name="계산 5 3 3 5" xfId="23048" xr:uid="{00000000-0005-0000-0000-00003F150000}"/>
    <cellStyle name="계산 5 3 3 5 2" xfId="20259" xr:uid="{00000000-0005-0000-0000-000040150000}"/>
    <cellStyle name="계산 5 3 3 5 3" xfId="27278" xr:uid="{00000000-0005-0000-0000-000041150000}"/>
    <cellStyle name="계산 5 3 3 5 4" xfId="30392" xr:uid="{00000000-0005-0000-0000-000042150000}"/>
    <cellStyle name="계산 5 3 3 6" xfId="23443" xr:uid="{00000000-0005-0000-0000-000043150000}"/>
    <cellStyle name="계산 5 3 3 6 2" xfId="18111" xr:uid="{00000000-0005-0000-0000-000044150000}"/>
    <cellStyle name="계산 5 3 3 6 3" xfId="27673" xr:uid="{00000000-0005-0000-0000-000045150000}"/>
    <cellStyle name="계산 5 3 3 6 4" xfId="30787" xr:uid="{00000000-0005-0000-0000-000046150000}"/>
    <cellStyle name="계산 5 3 3 7" xfId="20574" xr:uid="{00000000-0005-0000-0000-000047150000}"/>
    <cellStyle name="계산 5 3 3 8" xfId="18881" xr:uid="{00000000-0005-0000-0000-000048150000}"/>
    <cellStyle name="계산 5 3 3 9" xfId="24822" xr:uid="{00000000-0005-0000-0000-000049150000}"/>
    <cellStyle name="계산 5 3 4" xfId="15086" xr:uid="{00000000-0005-0000-0000-00004A150000}"/>
    <cellStyle name="계산 5 3 4 2" xfId="15805" xr:uid="{00000000-0005-0000-0000-00004B150000}"/>
    <cellStyle name="계산 5 3 4 2 2" xfId="23995" xr:uid="{00000000-0005-0000-0000-00004C150000}"/>
    <cellStyle name="계산 5 3 4 2 3" xfId="26218" xr:uid="{00000000-0005-0000-0000-00004D150000}"/>
    <cellStyle name="계산 5 3 4 2 4" xfId="29332" xr:uid="{00000000-0005-0000-0000-00004E150000}"/>
    <cellStyle name="계산 5 3 4 2 5" xfId="21988" xr:uid="{00000000-0005-0000-0000-00004F150000}"/>
    <cellStyle name="계산 5 3 4 3" xfId="16198" xr:uid="{00000000-0005-0000-0000-000050150000}"/>
    <cellStyle name="계산 5 3 4 3 2" xfId="19719" xr:uid="{00000000-0005-0000-0000-000051150000}"/>
    <cellStyle name="계산 5 3 4 3 3" xfId="26691" xr:uid="{00000000-0005-0000-0000-000052150000}"/>
    <cellStyle name="계산 5 3 4 3 4" xfId="29805" xr:uid="{00000000-0005-0000-0000-000053150000}"/>
    <cellStyle name="계산 5 3 4 3 5" xfId="22461" xr:uid="{00000000-0005-0000-0000-000054150000}"/>
    <cellStyle name="계산 5 3 4 4" xfId="16546" xr:uid="{00000000-0005-0000-0000-000055150000}"/>
    <cellStyle name="계산 5 3 4 4 2" xfId="20154" xr:uid="{00000000-0005-0000-0000-000056150000}"/>
    <cellStyle name="계산 5 3 4 4 3" xfId="27164" xr:uid="{00000000-0005-0000-0000-000057150000}"/>
    <cellStyle name="계산 5 3 4 4 4" xfId="30278" xr:uid="{00000000-0005-0000-0000-000058150000}"/>
    <cellStyle name="계산 5 3 4 4 5" xfId="22934" xr:uid="{00000000-0005-0000-0000-000059150000}"/>
    <cellStyle name="계산 5 3 4 5" xfId="23279" xr:uid="{00000000-0005-0000-0000-00005A150000}"/>
    <cellStyle name="계산 5 3 4 5 2" xfId="21480" xr:uid="{00000000-0005-0000-0000-00005B150000}"/>
    <cellStyle name="계산 5 3 4 5 3" xfId="27509" xr:uid="{00000000-0005-0000-0000-00005C150000}"/>
    <cellStyle name="계산 5 3 4 5 4" xfId="30623" xr:uid="{00000000-0005-0000-0000-00005D150000}"/>
    <cellStyle name="계산 5 3 4 6" xfId="19521" xr:uid="{00000000-0005-0000-0000-00005E150000}"/>
    <cellStyle name="계산 5 3 4 7" xfId="25667" xr:uid="{00000000-0005-0000-0000-00005F150000}"/>
    <cellStyle name="계산 5 3 4 8" xfId="28784" xr:uid="{00000000-0005-0000-0000-000060150000}"/>
    <cellStyle name="계산 5 3 4 9" xfId="17689" xr:uid="{00000000-0005-0000-0000-000061150000}"/>
    <cellStyle name="계산 5 3 5" xfId="14935" xr:uid="{00000000-0005-0000-0000-000062150000}"/>
    <cellStyle name="계산 5 3 5 2" xfId="15685" xr:uid="{00000000-0005-0000-0000-000063150000}"/>
    <cellStyle name="계산 5 3 5 2 2" xfId="31463" xr:uid="{00000000-0005-0000-0000-000064150000}"/>
    <cellStyle name="계산 5 3 5 2 3" xfId="20871" xr:uid="{00000000-0005-0000-0000-000065150000}"/>
    <cellStyle name="계산 5 3 5 3" xfId="16047" xr:uid="{00000000-0005-0000-0000-000066150000}"/>
    <cellStyle name="계산 5 3 5 3 2" xfId="31690" xr:uid="{00000000-0005-0000-0000-000067150000}"/>
    <cellStyle name="계산 5 3 5 3 3" xfId="24261" xr:uid="{00000000-0005-0000-0000-000068150000}"/>
    <cellStyle name="계산 5 3 5 4" xfId="16547" xr:uid="{00000000-0005-0000-0000-000069150000}"/>
    <cellStyle name="계산 5 3 5 4 2" xfId="32085" xr:uid="{00000000-0005-0000-0000-00006A150000}"/>
    <cellStyle name="계산 5 3 5 4 3" xfId="25122" xr:uid="{00000000-0005-0000-0000-00006B150000}"/>
    <cellStyle name="계산 5 3 5 5" xfId="28246" xr:uid="{00000000-0005-0000-0000-00006C150000}"/>
    <cellStyle name="계산 5 3 5 6" xfId="17872" xr:uid="{00000000-0005-0000-0000-00006D150000}"/>
    <cellStyle name="계산 5 3 6" xfId="15028" xr:uid="{00000000-0005-0000-0000-00006E150000}"/>
    <cellStyle name="계산 5 3 6 2" xfId="15756" xr:uid="{00000000-0005-0000-0000-00006F150000}"/>
    <cellStyle name="계산 5 3 6 2 2" xfId="31534" xr:uid="{00000000-0005-0000-0000-000070150000}"/>
    <cellStyle name="계산 5 3 6 3" xfId="16140" xr:uid="{00000000-0005-0000-0000-000071150000}"/>
    <cellStyle name="계산 5 3 6 3 2" xfId="31783" xr:uid="{00000000-0005-0000-0000-000072150000}"/>
    <cellStyle name="계산 5 3 6 4" xfId="16548" xr:uid="{00000000-0005-0000-0000-000073150000}"/>
    <cellStyle name="계산 5 3 6 4 2" xfId="32086" xr:uid="{00000000-0005-0000-0000-000074150000}"/>
    <cellStyle name="계산 5 3 6 5" xfId="31245" xr:uid="{00000000-0005-0000-0000-000075150000}"/>
    <cellStyle name="계산 5 3 6 6" xfId="18650" xr:uid="{00000000-0005-0000-0000-000076150000}"/>
    <cellStyle name="계산 5 3 7" xfId="15119" xr:uid="{00000000-0005-0000-0000-000077150000}"/>
    <cellStyle name="계산 5 3 7 2" xfId="15838" xr:uid="{00000000-0005-0000-0000-000078150000}"/>
    <cellStyle name="계산 5 3 7 2 2" xfId="31582" xr:uid="{00000000-0005-0000-0000-000079150000}"/>
    <cellStyle name="계산 5 3 7 3" xfId="16231" xr:uid="{00000000-0005-0000-0000-00007A150000}"/>
    <cellStyle name="계산 5 3 7 3 2" xfId="31840" xr:uid="{00000000-0005-0000-0000-00007B150000}"/>
    <cellStyle name="계산 5 3 7 4" xfId="16549" xr:uid="{00000000-0005-0000-0000-00007C150000}"/>
    <cellStyle name="계산 5 3 7 4 2" xfId="32087" xr:uid="{00000000-0005-0000-0000-00007D150000}"/>
    <cellStyle name="계산 5 3 7 5" xfId="31271" xr:uid="{00000000-0005-0000-0000-00007E150000}"/>
    <cellStyle name="계산 5 3 7 6" xfId="18588" xr:uid="{00000000-0005-0000-0000-00007F150000}"/>
    <cellStyle name="계산 5 3 8" xfId="15134" xr:uid="{00000000-0005-0000-0000-000080150000}"/>
    <cellStyle name="계산 5 3 8 2" xfId="16246" xr:uid="{00000000-0005-0000-0000-000081150000}"/>
    <cellStyle name="계산 5 3 8 2 2" xfId="31855" xr:uid="{00000000-0005-0000-0000-000082150000}"/>
    <cellStyle name="계산 5 3 8 3" xfId="16550" xr:uid="{00000000-0005-0000-0000-000083150000}"/>
    <cellStyle name="계산 5 3 8 3 2" xfId="32088" xr:uid="{00000000-0005-0000-0000-000084150000}"/>
    <cellStyle name="계산 5 3 8 4" xfId="16551" xr:uid="{00000000-0005-0000-0000-000085150000}"/>
    <cellStyle name="계산 5 3 8 4 2" xfId="32089" xr:uid="{00000000-0005-0000-0000-000086150000}"/>
    <cellStyle name="계산 5 3 8 5" xfId="18833" xr:uid="{00000000-0005-0000-0000-000087150000}"/>
    <cellStyle name="계산 5 3 9" xfId="15358" xr:uid="{00000000-0005-0000-0000-000088150000}"/>
    <cellStyle name="계산 5 3 9 2" xfId="15312" xr:uid="{00000000-0005-0000-0000-000089150000}"/>
    <cellStyle name="계산 5 3 9 2 2" xfId="31359" xr:uid="{00000000-0005-0000-0000-00008A150000}"/>
    <cellStyle name="계산 5 3 9 3" xfId="16552" xr:uid="{00000000-0005-0000-0000-00008B150000}"/>
    <cellStyle name="계산 5 3 9 3 2" xfId="32090" xr:uid="{00000000-0005-0000-0000-00008C150000}"/>
    <cellStyle name="계산 5 3 9 4" xfId="16553" xr:uid="{00000000-0005-0000-0000-00008D150000}"/>
    <cellStyle name="계산 5 3 9 4 2" xfId="32091" xr:uid="{00000000-0005-0000-0000-00008E150000}"/>
    <cellStyle name="계산 5 3 9 5" xfId="31405" xr:uid="{00000000-0005-0000-0000-00008F150000}"/>
    <cellStyle name="계산 5 4" xfId="11860" xr:uid="{00000000-0005-0000-0000-000090150000}"/>
    <cellStyle name="계산 5 4 10" xfId="15184" xr:uid="{00000000-0005-0000-0000-000091150000}"/>
    <cellStyle name="계산 5 4 10 2" xfId="31320" xr:uid="{00000000-0005-0000-0000-000092150000}"/>
    <cellStyle name="계산 5 4 11" xfId="16554" xr:uid="{00000000-0005-0000-0000-000093150000}"/>
    <cellStyle name="계산 5 4 11 2" xfId="32092" xr:uid="{00000000-0005-0000-0000-000094150000}"/>
    <cellStyle name="계산 5 4 12" xfId="16555" xr:uid="{00000000-0005-0000-0000-000095150000}"/>
    <cellStyle name="계산 5 4 12 2" xfId="32093" xr:uid="{00000000-0005-0000-0000-000096150000}"/>
    <cellStyle name="계산 5 4 13" xfId="17238" xr:uid="{00000000-0005-0000-0000-000097150000}"/>
    <cellStyle name="계산 5 4 2" xfId="14613" xr:uid="{00000000-0005-0000-0000-000098150000}"/>
    <cellStyle name="계산 5 4 2 10" xfId="24855" xr:uid="{00000000-0005-0000-0000-000099150000}"/>
    <cellStyle name="계산 5 4 2 11" xfId="27979" xr:uid="{00000000-0005-0000-0000-00009A150000}"/>
    <cellStyle name="계산 5 4 2 12" xfId="17586" xr:uid="{00000000-0005-0000-0000-00009B150000}"/>
    <cellStyle name="계산 5 4 2 2" xfId="15544" xr:uid="{00000000-0005-0000-0000-00009C150000}"/>
    <cellStyle name="계산 5 4 2 2 10" xfId="17873" xr:uid="{00000000-0005-0000-0000-00009D150000}"/>
    <cellStyle name="계산 5 4 2 2 2" xfId="22190" xr:uid="{00000000-0005-0000-0000-00009E150000}"/>
    <cellStyle name="계산 5 4 2 2 2 2" xfId="18341" xr:uid="{00000000-0005-0000-0000-00009F150000}"/>
    <cellStyle name="계산 5 4 2 2 2 3" xfId="26420" xr:uid="{00000000-0005-0000-0000-0000A0150000}"/>
    <cellStyle name="계산 5 4 2 2 2 4" xfId="29534" xr:uid="{00000000-0005-0000-0000-0000A1150000}"/>
    <cellStyle name="계산 5 4 2 2 3" xfId="22666" xr:uid="{00000000-0005-0000-0000-0000A2150000}"/>
    <cellStyle name="계산 5 4 2 2 3 2" xfId="21207" xr:uid="{00000000-0005-0000-0000-0000A3150000}"/>
    <cellStyle name="계산 5 4 2 2 3 3" xfId="26896" xr:uid="{00000000-0005-0000-0000-0000A4150000}"/>
    <cellStyle name="계산 5 4 2 2 3 4" xfId="30010" xr:uid="{00000000-0005-0000-0000-0000A5150000}"/>
    <cellStyle name="계산 5 4 2 2 4" xfId="23077" xr:uid="{00000000-0005-0000-0000-0000A6150000}"/>
    <cellStyle name="계산 5 4 2 2 4 2" xfId="19173" xr:uid="{00000000-0005-0000-0000-0000A7150000}"/>
    <cellStyle name="계산 5 4 2 2 4 3" xfId="27307" xr:uid="{00000000-0005-0000-0000-0000A8150000}"/>
    <cellStyle name="계산 5 4 2 2 4 4" xfId="30421" xr:uid="{00000000-0005-0000-0000-0000A9150000}"/>
    <cellStyle name="계산 5 4 2 2 5" xfId="23476" xr:uid="{00000000-0005-0000-0000-0000AA150000}"/>
    <cellStyle name="계산 5 4 2 2 5 2" xfId="18140" xr:uid="{00000000-0005-0000-0000-0000AB150000}"/>
    <cellStyle name="계산 5 4 2 2 5 3" xfId="27706" xr:uid="{00000000-0005-0000-0000-0000AC150000}"/>
    <cellStyle name="계산 5 4 2 2 5 4" xfId="30820" xr:uid="{00000000-0005-0000-0000-0000AD150000}"/>
    <cellStyle name="계산 5 4 2 2 6" xfId="21637" xr:uid="{00000000-0005-0000-0000-0000AE150000}"/>
    <cellStyle name="계산 5 4 2 2 7" xfId="23807" xr:uid="{00000000-0005-0000-0000-0000AF150000}"/>
    <cellStyle name="계산 5 4 2 2 8" xfId="25867" xr:uid="{00000000-0005-0000-0000-0000B0150000}"/>
    <cellStyle name="계산 5 4 2 2 9" xfId="28981" xr:uid="{00000000-0005-0000-0000-0000B1150000}"/>
    <cellStyle name="계산 5 4 2 3" xfId="15898" xr:uid="{00000000-0005-0000-0000-0000B2150000}"/>
    <cellStyle name="계산 5 4 2 3 2" xfId="21317" xr:uid="{00000000-0005-0000-0000-0000B3150000}"/>
    <cellStyle name="계산 5 4 2 3 3" xfId="24020" xr:uid="{00000000-0005-0000-0000-0000B4150000}"/>
    <cellStyle name="계산 5 4 2 3 4" xfId="25530" xr:uid="{00000000-0005-0000-0000-0000B5150000}"/>
    <cellStyle name="계산 5 4 2 3 5" xfId="28647" xr:uid="{00000000-0005-0000-0000-0000B6150000}"/>
    <cellStyle name="계산 5 4 2 3 6" xfId="17874" xr:uid="{00000000-0005-0000-0000-0000B7150000}"/>
    <cellStyle name="계산 5 4 2 4" xfId="16556" xr:uid="{00000000-0005-0000-0000-0000B8150000}"/>
    <cellStyle name="계산 5 4 2 4 2" xfId="24556" xr:uid="{00000000-0005-0000-0000-0000B9150000}"/>
    <cellStyle name="계산 5 4 2 4 3" xfId="26071" xr:uid="{00000000-0005-0000-0000-0000BA150000}"/>
    <cellStyle name="계산 5 4 2 4 4" xfId="29185" xr:uid="{00000000-0005-0000-0000-0000BB150000}"/>
    <cellStyle name="계산 5 4 2 4 5" xfId="21841" xr:uid="{00000000-0005-0000-0000-0000BC150000}"/>
    <cellStyle name="계산 5 4 2 5" xfId="21231" xr:uid="{00000000-0005-0000-0000-0000BD150000}"/>
    <cellStyle name="계산 5 4 2 5 2" xfId="24023" xr:uid="{00000000-0005-0000-0000-0000BE150000}"/>
    <cellStyle name="계산 5 4 2 5 3" xfId="25454" xr:uid="{00000000-0005-0000-0000-0000BF150000}"/>
    <cellStyle name="계산 5 4 2 5 4" xfId="28571" xr:uid="{00000000-0005-0000-0000-0000C0150000}"/>
    <cellStyle name="계산 5 4 2 6" xfId="20815" xr:uid="{00000000-0005-0000-0000-0000C1150000}"/>
    <cellStyle name="계산 5 4 2 6 2" xfId="19121" xr:uid="{00000000-0005-0000-0000-0000C2150000}"/>
    <cellStyle name="계산 5 4 2 6 3" xfId="25066" xr:uid="{00000000-0005-0000-0000-0000C3150000}"/>
    <cellStyle name="계산 5 4 2 6 4" xfId="28190" xr:uid="{00000000-0005-0000-0000-0000C4150000}"/>
    <cellStyle name="계산 5 4 2 7" xfId="21201" xr:uid="{00000000-0005-0000-0000-0000C5150000}"/>
    <cellStyle name="계산 5 4 2 7 2" xfId="24334" xr:uid="{00000000-0005-0000-0000-0000C6150000}"/>
    <cellStyle name="계산 5 4 2 7 3" xfId="25429" xr:uid="{00000000-0005-0000-0000-0000C7150000}"/>
    <cellStyle name="계산 5 4 2 7 4" xfId="28546" xr:uid="{00000000-0005-0000-0000-0000C8150000}"/>
    <cellStyle name="계산 5 4 2 8" xfId="20607" xr:uid="{00000000-0005-0000-0000-0000C9150000}"/>
    <cellStyle name="계산 5 4 2 9" xfId="18913" xr:uid="{00000000-0005-0000-0000-0000CA150000}"/>
    <cellStyle name="계산 5 4 3" xfId="14747" xr:uid="{00000000-0005-0000-0000-0000CB150000}"/>
    <cellStyle name="계산 5 4 3 10" xfId="27947" xr:uid="{00000000-0005-0000-0000-0000CC150000}"/>
    <cellStyle name="계산 5 4 3 11" xfId="17650" xr:uid="{00000000-0005-0000-0000-0000CD150000}"/>
    <cellStyle name="계산 5 4 3 2" xfId="15632" xr:uid="{00000000-0005-0000-0000-0000CE150000}"/>
    <cellStyle name="계산 5 4 3 2 2" xfId="24722" xr:uid="{00000000-0005-0000-0000-0000CF150000}"/>
    <cellStyle name="계산 5 4 3 2 3" xfId="25835" xr:uid="{00000000-0005-0000-0000-0000D0150000}"/>
    <cellStyle name="계산 5 4 3 2 4" xfId="28949" xr:uid="{00000000-0005-0000-0000-0000D1150000}"/>
    <cellStyle name="계산 5 4 3 2 5" xfId="21605" xr:uid="{00000000-0005-0000-0000-0000D2150000}"/>
    <cellStyle name="계산 5 4 3 3" xfId="15982" xr:uid="{00000000-0005-0000-0000-0000D3150000}"/>
    <cellStyle name="계산 5 4 3 3 2" xfId="19382" xr:uid="{00000000-0005-0000-0000-0000D4150000}"/>
    <cellStyle name="계산 5 4 3 3 3" xfId="26388" xr:uid="{00000000-0005-0000-0000-0000D5150000}"/>
    <cellStyle name="계산 5 4 3 3 4" xfId="29502" xr:uid="{00000000-0005-0000-0000-0000D6150000}"/>
    <cellStyle name="계산 5 4 3 3 5" xfId="22158" xr:uid="{00000000-0005-0000-0000-0000D7150000}"/>
    <cellStyle name="계산 5 4 3 4" xfId="16557" xr:uid="{00000000-0005-0000-0000-0000D8150000}"/>
    <cellStyle name="계산 5 4 3 4 2" xfId="19880" xr:uid="{00000000-0005-0000-0000-0000D9150000}"/>
    <cellStyle name="계산 5 4 3 4 3" xfId="26864" xr:uid="{00000000-0005-0000-0000-0000DA150000}"/>
    <cellStyle name="계산 5 4 3 4 4" xfId="29978" xr:uid="{00000000-0005-0000-0000-0000DB150000}"/>
    <cellStyle name="계산 5 4 3 4 5" xfId="22634" xr:uid="{00000000-0005-0000-0000-0000DC150000}"/>
    <cellStyle name="계산 5 4 3 5" xfId="23049" xr:uid="{00000000-0005-0000-0000-0000DD150000}"/>
    <cellStyle name="계산 5 4 3 5 2" xfId="23838" xr:uid="{00000000-0005-0000-0000-0000DE150000}"/>
    <cellStyle name="계산 5 4 3 5 3" xfId="27279" xr:uid="{00000000-0005-0000-0000-0000DF150000}"/>
    <cellStyle name="계산 5 4 3 5 4" xfId="30393" xr:uid="{00000000-0005-0000-0000-0000E0150000}"/>
    <cellStyle name="계산 5 4 3 6" xfId="23444" xr:uid="{00000000-0005-0000-0000-0000E1150000}"/>
    <cellStyle name="계산 5 4 3 6 2" xfId="18112" xr:uid="{00000000-0005-0000-0000-0000E2150000}"/>
    <cellStyle name="계산 5 4 3 6 3" xfId="27674" xr:uid="{00000000-0005-0000-0000-0000E3150000}"/>
    <cellStyle name="계산 5 4 3 6 4" xfId="30788" xr:uid="{00000000-0005-0000-0000-0000E4150000}"/>
    <cellStyle name="계산 5 4 3 7" xfId="20575" xr:uid="{00000000-0005-0000-0000-0000E5150000}"/>
    <cellStyle name="계산 5 4 3 8" xfId="18882" xr:uid="{00000000-0005-0000-0000-0000E6150000}"/>
    <cellStyle name="계산 5 4 3 9" xfId="24823" xr:uid="{00000000-0005-0000-0000-0000E7150000}"/>
    <cellStyle name="계산 5 4 4" xfId="15087" xr:uid="{00000000-0005-0000-0000-0000E8150000}"/>
    <cellStyle name="계산 5 4 4 2" xfId="15806" xr:uid="{00000000-0005-0000-0000-0000E9150000}"/>
    <cellStyle name="계산 5 4 4 2 2" xfId="24706" xr:uid="{00000000-0005-0000-0000-0000EA150000}"/>
    <cellStyle name="계산 5 4 4 2 3" xfId="26219" xr:uid="{00000000-0005-0000-0000-0000EB150000}"/>
    <cellStyle name="계산 5 4 4 2 4" xfId="29333" xr:uid="{00000000-0005-0000-0000-0000EC150000}"/>
    <cellStyle name="계산 5 4 4 2 5" xfId="21989" xr:uid="{00000000-0005-0000-0000-0000ED150000}"/>
    <cellStyle name="계산 5 4 4 3" xfId="16199" xr:uid="{00000000-0005-0000-0000-0000EE150000}"/>
    <cellStyle name="계산 5 4 4 3 2" xfId="19720" xr:uid="{00000000-0005-0000-0000-0000EF150000}"/>
    <cellStyle name="계산 5 4 4 3 3" xfId="26692" xr:uid="{00000000-0005-0000-0000-0000F0150000}"/>
    <cellStyle name="계산 5 4 4 3 4" xfId="29806" xr:uid="{00000000-0005-0000-0000-0000F1150000}"/>
    <cellStyle name="계산 5 4 4 3 5" xfId="22462" xr:uid="{00000000-0005-0000-0000-0000F2150000}"/>
    <cellStyle name="계산 5 4 4 4" xfId="16558" xr:uid="{00000000-0005-0000-0000-0000F3150000}"/>
    <cellStyle name="계산 5 4 4 4 2" xfId="20155" xr:uid="{00000000-0005-0000-0000-0000F4150000}"/>
    <cellStyle name="계산 5 4 4 4 3" xfId="27165" xr:uid="{00000000-0005-0000-0000-0000F5150000}"/>
    <cellStyle name="계산 5 4 4 4 4" xfId="30279" xr:uid="{00000000-0005-0000-0000-0000F6150000}"/>
    <cellStyle name="계산 5 4 4 4 5" xfId="22935" xr:uid="{00000000-0005-0000-0000-0000F7150000}"/>
    <cellStyle name="계산 5 4 4 5" xfId="23280" xr:uid="{00000000-0005-0000-0000-0000F8150000}"/>
    <cellStyle name="계산 5 4 4 5 2" xfId="20325" xr:uid="{00000000-0005-0000-0000-0000F9150000}"/>
    <cellStyle name="계산 5 4 4 5 3" xfId="27510" xr:uid="{00000000-0005-0000-0000-0000FA150000}"/>
    <cellStyle name="계산 5 4 4 5 4" xfId="30624" xr:uid="{00000000-0005-0000-0000-0000FB150000}"/>
    <cellStyle name="계산 5 4 4 6" xfId="19522" xr:uid="{00000000-0005-0000-0000-0000FC150000}"/>
    <cellStyle name="계산 5 4 4 7" xfId="25668" xr:uid="{00000000-0005-0000-0000-0000FD150000}"/>
    <cellStyle name="계산 5 4 4 8" xfId="28785" xr:uid="{00000000-0005-0000-0000-0000FE150000}"/>
    <cellStyle name="계산 5 4 4 9" xfId="17688" xr:uid="{00000000-0005-0000-0000-0000FF150000}"/>
    <cellStyle name="계산 5 4 5" xfId="14934" xr:uid="{00000000-0005-0000-0000-000000160000}"/>
    <cellStyle name="계산 5 4 5 2" xfId="15684" xr:uid="{00000000-0005-0000-0000-000001160000}"/>
    <cellStyle name="계산 5 4 5 2 2" xfId="31462" xr:uid="{00000000-0005-0000-0000-000002160000}"/>
    <cellStyle name="계산 5 4 5 2 3" xfId="20872" xr:uid="{00000000-0005-0000-0000-000003160000}"/>
    <cellStyle name="계산 5 4 5 3" xfId="16046" xr:uid="{00000000-0005-0000-0000-000004160000}"/>
    <cellStyle name="계산 5 4 5 3 2" xfId="31689" xr:uid="{00000000-0005-0000-0000-000005160000}"/>
    <cellStyle name="계산 5 4 5 3 3" xfId="24078" xr:uid="{00000000-0005-0000-0000-000006160000}"/>
    <cellStyle name="계산 5 4 5 4" xfId="16559" xr:uid="{00000000-0005-0000-0000-000007160000}"/>
    <cellStyle name="계산 5 4 5 4 2" xfId="32094" xr:uid="{00000000-0005-0000-0000-000008160000}"/>
    <cellStyle name="계산 5 4 5 4 3" xfId="25123" xr:uid="{00000000-0005-0000-0000-000009160000}"/>
    <cellStyle name="계산 5 4 5 5" xfId="28247" xr:uid="{00000000-0005-0000-0000-00000A160000}"/>
    <cellStyle name="계산 5 4 5 6" xfId="17875" xr:uid="{00000000-0005-0000-0000-00000B160000}"/>
    <cellStyle name="계산 5 4 6" xfId="15029" xr:uid="{00000000-0005-0000-0000-00000C160000}"/>
    <cellStyle name="계산 5 4 6 2" xfId="15757" xr:uid="{00000000-0005-0000-0000-00000D160000}"/>
    <cellStyle name="계산 5 4 6 2 2" xfId="31535" xr:uid="{00000000-0005-0000-0000-00000E160000}"/>
    <cellStyle name="계산 5 4 6 3" xfId="16141" xr:uid="{00000000-0005-0000-0000-00000F160000}"/>
    <cellStyle name="계산 5 4 6 3 2" xfId="31784" xr:uid="{00000000-0005-0000-0000-000010160000}"/>
    <cellStyle name="계산 5 4 6 4" xfId="16560" xr:uid="{00000000-0005-0000-0000-000011160000}"/>
    <cellStyle name="계산 5 4 6 4 2" xfId="32095" xr:uid="{00000000-0005-0000-0000-000012160000}"/>
    <cellStyle name="계산 5 4 6 5" xfId="31246" xr:uid="{00000000-0005-0000-0000-000013160000}"/>
    <cellStyle name="계산 5 4 6 6" xfId="18651" xr:uid="{00000000-0005-0000-0000-000014160000}"/>
    <cellStyle name="계산 5 4 7" xfId="14976" xr:uid="{00000000-0005-0000-0000-000015160000}"/>
    <cellStyle name="계산 5 4 7 2" xfId="15726" xr:uid="{00000000-0005-0000-0000-000016160000}"/>
    <cellStyle name="계산 5 4 7 2 2" xfId="31504" xr:uid="{00000000-0005-0000-0000-000017160000}"/>
    <cellStyle name="계산 5 4 7 3" xfId="16088" xr:uid="{00000000-0005-0000-0000-000018160000}"/>
    <cellStyle name="계산 5 4 7 3 2" xfId="31731" xr:uid="{00000000-0005-0000-0000-000019160000}"/>
    <cellStyle name="계산 5 4 7 4" xfId="16561" xr:uid="{00000000-0005-0000-0000-00001A160000}"/>
    <cellStyle name="계산 5 4 7 4 2" xfId="32096" xr:uid="{00000000-0005-0000-0000-00001B160000}"/>
    <cellStyle name="계산 5 4 7 5" xfId="31215" xr:uid="{00000000-0005-0000-0000-00001C160000}"/>
    <cellStyle name="계산 5 4 7 6" xfId="24534" xr:uid="{00000000-0005-0000-0000-00001D160000}"/>
    <cellStyle name="계산 5 4 8" xfId="14902" xr:uid="{00000000-0005-0000-0000-00001E160000}"/>
    <cellStyle name="계산 5 4 8 2" xfId="16014" xr:uid="{00000000-0005-0000-0000-00001F160000}"/>
    <cellStyle name="계산 5 4 8 2 2" xfId="31657" xr:uid="{00000000-0005-0000-0000-000020160000}"/>
    <cellStyle name="계산 5 4 8 3" xfId="16562" xr:uid="{00000000-0005-0000-0000-000021160000}"/>
    <cellStyle name="계산 5 4 8 3 2" xfId="32097" xr:uid="{00000000-0005-0000-0000-000022160000}"/>
    <cellStyle name="계산 5 4 8 4" xfId="16563" xr:uid="{00000000-0005-0000-0000-000023160000}"/>
    <cellStyle name="계산 5 4 8 4 2" xfId="32098" xr:uid="{00000000-0005-0000-0000-000024160000}"/>
    <cellStyle name="계산 5 4 8 5" xfId="25411" xr:uid="{00000000-0005-0000-0000-000025160000}"/>
    <cellStyle name="계산 5 4 9" xfId="15359" xr:uid="{00000000-0005-0000-0000-000026160000}"/>
    <cellStyle name="계산 5 4 9 2" xfId="15311" xr:uid="{00000000-0005-0000-0000-000027160000}"/>
    <cellStyle name="계산 5 4 9 2 2" xfId="31358" xr:uid="{00000000-0005-0000-0000-000028160000}"/>
    <cellStyle name="계산 5 4 9 3" xfId="16564" xr:uid="{00000000-0005-0000-0000-000029160000}"/>
    <cellStyle name="계산 5 4 9 3 2" xfId="32099" xr:uid="{00000000-0005-0000-0000-00002A160000}"/>
    <cellStyle name="계산 5 4 9 4" xfId="16565" xr:uid="{00000000-0005-0000-0000-00002B160000}"/>
    <cellStyle name="계산 5 4 9 4 2" xfId="32100" xr:uid="{00000000-0005-0000-0000-00002C160000}"/>
    <cellStyle name="계산 5 4 9 5" xfId="31406" xr:uid="{00000000-0005-0000-0000-00002D160000}"/>
    <cellStyle name="계산 5 5" xfId="11861" xr:uid="{00000000-0005-0000-0000-00002E160000}"/>
    <cellStyle name="계산 5 5 10" xfId="15185" xr:uid="{00000000-0005-0000-0000-00002F160000}"/>
    <cellStyle name="계산 5 5 10 2" xfId="31321" xr:uid="{00000000-0005-0000-0000-000030160000}"/>
    <cellStyle name="계산 5 5 11" xfId="16566" xr:uid="{00000000-0005-0000-0000-000031160000}"/>
    <cellStyle name="계산 5 5 11 2" xfId="32101" xr:uid="{00000000-0005-0000-0000-000032160000}"/>
    <cellStyle name="계산 5 5 12" xfId="16567" xr:uid="{00000000-0005-0000-0000-000033160000}"/>
    <cellStyle name="계산 5 5 12 2" xfId="32102" xr:uid="{00000000-0005-0000-0000-000034160000}"/>
    <cellStyle name="계산 5 5 13" xfId="17239" xr:uid="{00000000-0005-0000-0000-000035160000}"/>
    <cellStyle name="계산 5 5 2" xfId="14612" xr:uid="{00000000-0005-0000-0000-000036160000}"/>
    <cellStyle name="계산 5 5 2 10" xfId="24856" xr:uid="{00000000-0005-0000-0000-000037160000}"/>
    <cellStyle name="계산 5 5 2 11" xfId="27980" xr:uid="{00000000-0005-0000-0000-000038160000}"/>
    <cellStyle name="계산 5 5 2 12" xfId="17585" xr:uid="{00000000-0005-0000-0000-000039160000}"/>
    <cellStyle name="계산 5 5 2 2" xfId="15543" xr:uid="{00000000-0005-0000-0000-00003A160000}"/>
    <cellStyle name="계산 5 5 2 2 10" xfId="17876" xr:uid="{00000000-0005-0000-0000-00003B160000}"/>
    <cellStyle name="계산 5 5 2 2 2" xfId="22191" xr:uid="{00000000-0005-0000-0000-00003C160000}"/>
    <cellStyle name="계산 5 5 2 2 2 2" xfId="18342" xr:uid="{00000000-0005-0000-0000-00003D160000}"/>
    <cellStyle name="계산 5 5 2 2 2 3" xfId="26421" xr:uid="{00000000-0005-0000-0000-00003E160000}"/>
    <cellStyle name="계산 5 5 2 2 2 4" xfId="29535" xr:uid="{00000000-0005-0000-0000-00003F160000}"/>
    <cellStyle name="계산 5 5 2 2 3" xfId="22667" xr:uid="{00000000-0005-0000-0000-000040160000}"/>
    <cellStyle name="계산 5 5 2 2 3 2" xfId="19911" xr:uid="{00000000-0005-0000-0000-000041160000}"/>
    <cellStyle name="계산 5 5 2 2 3 3" xfId="26897" xr:uid="{00000000-0005-0000-0000-000042160000}"/>
    <cellStyle name="계산 5 5 2 2 3 4" xfId="30011" xr:uid="{00000000-0005-0000-0000-000043160000}"/>
    <cellStyle name="계산 5 5 2 2 4" xfId="23078" xr:uid="{00000000-0005-0000-0000-000044160000}"/>
    <cellStyle name="계산 5 5 2 2 4 2" xfId="19174" xr:uid="{00000000-0005-0000-0000-000045160000}"/>
    <cellStyle name="계산 5 5 2 2 4 3" xfId="27308" xr:uid="{00000000-0005-0000-0000-000046160000}"/>
    <cellStyle name="계산 5 5 2 2 4 4" xfId="30422" xr:uid="{00000000-0005-0000-0000-000047160000}"/>
    <cellStyle name="계산 5 5 2 2 5" xfId="23477" xr:uid="{00000000-0005-0000-0000-000048160000}"/>
    <cellStyle name="계산 5 5 2 2 5 2" xfId="18141" xr:uid="{00000000-0005-0000-0000-000049160000}"/>
    <cellStyle name="계산 5 5 2 2 5 3" xfId="27707" xr:uid="{00000000-0005-0000-0000-00004A160000}"/>
    <cellStyle name="계산 5 5 2 2 5 4" xfId="30821" xr:uid="{00000000-0005-0000-0000-00004B160000}"/>
    <cellStyle name="계산 5 5 2 2 6" xfId="21638" xr:uid="{00000000-0005-0000-0000-00004C160000}"/>
    <cellStyle name="계산 5 5 2 2 7" xfId="23707" xr:uid="{00000000-0005-0000-0000-00004D160000}"/>
    <cellStyle name="계산 5 5 2 2 8" xfId="25868" xr:uid="{00000000-0005-0000-0000-00004E160000}"/>
    <cellStyle name="계산 5 5 2 2 9" xfId="28982" xr:uid="{00000000-0005-0000-0000-00004F160000}"/>
    <cellStyle name="계산 5 5 2 3" xfId="15897" xr:uid="{00000000-0005-0000-0000-000050160000}"/>
    <cellStyle name="계산 5 5 2 3 2" xfId="21318" xr:uid="{00000000-0005-0000-0000-000051160000}"/>
    <cellStyle name="계산 5 5 2 3 3" xfId="23901" xr:uid="{00000000-0005-0000-0000-000052160000}"/>
    <cellStyle name="계산 5 5 2 3 4" xfId="25531" xr:uid="{00000000-0005-0000-0000-000053160000}"/>
    <cellStyle name="계산 5 5 2 3 5" xfId="28648" xr:uid="{00000000-0005-0000-0000-000054160000}"/>
    <cellStyle name="계산 5 5 2 3 6" xfId="17877" xr:uid="{00000000-0005-0000-0000-000055160000}"/>
    <cellStyle name="계산 5 5 2 4" xfId="16568" xr:uid="{00000000-0005-0000-0000-000056160000}"/>
    <cellStyle name="계산 5 5 2 4 2" xfId="24380" xr:uid="{00000000-0005-0000-0000-000057160000}"/>
    <cellStyle name="계산 5 5 2 4 3" xfId="26072" xr:uid="{00000000-0005-0000-0000-000058160000}"/>
    <cellStyle name="계산 5 5 2 4 4" xfId="29186" xr:uid="{00000000-0005-0000-0000-000059160000}"/>
    <cellStyle name="계산 5 5 2 4 5" xfId="21842" xr:uid="{00000000-0005-0000-0000-00005A160000}"/>
    <cellStyle name="계산 5 5 2 5" xfId="21232" xr:uid="{00000000-0005-0000-0000-00005B160000}"/>
    <cellStyle name="계산 5 5 2 5 2" xfId="23710" xr:uid="{00000000-0005-0000-0000-00005C160000}"/>
    <cellStyle name="계산 5 5 2 5 3" xfId="25455" xr:uid="{00000000-0005-0000-0000-00005D160000}"/>
    <cellStyle name="계산 5 5 2 5 4" xfId="28572" xr:uid="{00000000-0005-0000-0000-00005E160000}"/>
    <cellStyle name="계산 5 5 2 6" xfId="21013" xr:uid="{00000000-0005-0000-0000-00005F160000}"/>
    <cellStyle name="계산 5 5 2 6 2" xfId="24342" xr:uid="{00000000-0005-0000-0000-000060160000}"/>
    <cellStyle name="계산 5 5 2 6 3" xfId="25258" xr:uid="{00000000-0005-0000-0000-000061160000}"/>
    <cellStyle name="계산 5 5 2 6 4" xfId="28382" xr:uid="{00000000-0005-0000-0000-000062160000}"/>
    <cellStyle name="계산 5 5 2 7" xfId="21204" xr:uid="{00000000-0005-0000-0000-000063160000}"/>
    <cellStyle name="계산 5 5 2 7 2" xfId="19422" xr:uid="{00000000-0005-0000-0000-000064160000}"/>
    <cellStyle name="계산 5 5 2 7 3" xfId="25432" xr:uid="{00000000-0005-0000-0000-000065160000}"/>
    <cellStyle name="계산 5 5 2 7 4" xfId="28549" xr:uid="{00000000-0005-0000-0000-000066160000}"/>
    <cellStyle name="계산 5 5 2 8" xfId="20608" xr:uid="{00000000-0005-0000-0000-000067160000}"/>
    <cellStyle name="계산 5 5 2 9" xfId="18914" xr:uid="{00000000-0005-0000-0000-000068160000}"/>
    <cellStyle name="계산 5 5 3" xfId="14655" xr:uid="{00000000-0005-0000-0000-000069160000}"/>
    <cellStyle name="계산 5 5 3 10" xfId="27948" xr:uid="{00000000-0005-0000-0000-00006A160000}"/>
    <cellStyle name="계산 5 5 3 11" xfId="17649" xr:uid="{00000000-0005-0000-0000-00006B160000}"/>
    <cellStyle name="계산 5 5 3 2" xfId="15586" xr:uid="{00000000-0005-0000-0000-00006C160000}"/>
    <cellStyle name="계산 5 5 3 2 2" xfId="24592" xr:uid="{00000000-0005-0000-0000-00006D160000}"/>
    <cellStyle name="계산 5 5 3 2 3" xfId="25836" xr:uid="{00000000-0005-0000-0000-00006E160000}"/>
    <cellStyle name="계산 5 5 3 2 4" xfId="28950" xr:uid="{00000000-0005-0000-0000-00006F160000}"/>
    <cellStyle name="계산 5 5 3 2 5" xfId="21606" xr:uid="{00000000-0005-0000-0000-000070160000}"/>
    <cellStyle name="계산 5 5 3 3" xfId="15940" xr:uid="{00000000-0005-0000-0000-000071160000}"/>
    <cellStyle name="계산 5 5 3 3 2" xfId="24048" xr:uid="{00000000-0005-0000-0000-000072160000}"/>
    <cellStyle name="계산 5 5 3 3 3" xfId="26389" xr:uid="{00000000-0005-0000-0000-000073160000}"/>
    <cellStyle name="계산 5 5 3 3 4" xfId="29503" xr:uid="{00000000-0005-0000-0000-000074160000}"/>
    <cellStyle name="계산 5 5 3 3 5" xfId="22159" xr:uid="{00000000-0005-0000-0000-000075160000}"/>
    <cellStyle name="계산 5 5 3 4" xfId="16569" xr:uid="{00000000-0005-0000-0000-000076160000}"/>
    <cellStyle name="계산 5 5 3 4 2" xfId="19881" xr:uid="{00000000-0005-0000-0000-000077160000}"/>
    <cellStyle name="계산 5 5 3 4 3" xfId="26865" xr:uid="{00000000-0005-0000-0000-000078160000}"/>
    <cellStyle name="계산 5 5 3 4 4" xfId="29979" xr:uid="{00000000-0005-0000-0000-000079160000}"/>
    <cellStyle name="계산 5 5 3 4 5" xfId="22635" xr:uid="{00000000-0005-0000-0000-00007A160000}"/>
    <cellStyle name="계산 5 5 3 5" xfId="23050" xr:uid="{00000000-0005-0000-0000-00007B160000}"/>
    <cellStyle name="계산 5 5 3 5 2" xfId="20260" xr:uid="{00000000-0005-0000-0000-00007C160000}"/>
    <cellStyle name="계산 5 5 3 5 3" xfId="27280" xr:uid="{00000000-0005-0000-0000-00007D160000}"/>
    <cellStyle name="계산 5 5 3 5 4" xfId="30394" xr:uid="{00000000-0005-0000-0000-00007E160000}"/>
    <cellStyle name="계산 5 5 3 6" xfId="23445" xr:uid="{00000000-0005-0000-0000-00007F160000}"/>
    <cellStyle name="계산 5 5 3 6 2" xfId="23825" xr:uid="{00000000-0005-0000-0000-000080160000}"/>
    <cellStyle name="계산 5 5 3 6 3" xfId="27675" xr:uid="{00000000-0005-0000-0000-000081160000}"/>
    <cellStyle name="계산 5 5 3 6 4" xfId="30789" xr:uid="{00000000-0005-0000-0000-000082160000}"/>
    <cellStyle name="계산 5 5 3 7" xfId="20576" xr:uid="{00000000-0005-0000-0000-000083160000}"/>
    <cellStyle name="계산 5 5 3 8" xfId="18883" xr:uid="{00000000-0005-0000-0000-000084160000}"/>
    <cellStyle name="계산 5 5 3 9" xfId="24824" xr:uid="{00000000-0005-0000-0000-000085160000}"/>
    <cellStyle name="계산 5 5 4" xfId="15088" xr:uid="{00000000-0005-0000-0000-000086160000}"/>
    <cellStyle name="계산 5 5 4 2" xfId="15807" xr:uid="{00000000-0005-0000-0000-000087160000}"/>
    <cellStyle name="계산 5 5 4 2 2" xfId="24576" xr:uid="{00000000-0005-0000-0000-000088160000}"/>
    <cellStyle name="계산 5 5 4 2 3" xfId="26220" xr:uid="{00000000-0005-0000-0000-000089160000}"/>
    <cellStyle name="계산 5 5 4 2 4" xfId="29334" xr:uid="{00000000-0005-0000-0000-00008A160000}"/>
    <cellStyle name="계산 5 5 4 2 5" xfId="21990" xr:uid="{00000000-0005-0000-0000-00008B160000}"/>
    <cellStyle name="계산 5 5 4 3" xfId="16200" xr:uid="{00000000-0005-0000-0000-00008C160000}"/>
    <cellStyle name="계산 5 5 4 3 2" xfId="19721" xr:uid="{00000000-0005-0000-0000-00008D160000}"/>
    <cellStyle name="계산 5 5 4 3 3" xfId="26693" xr:uid="{00000000-0005-0000-0000-00008E160000}"/>
    <cellStyle name="계산 5 5 4 3 4" xfId="29807" xr:uid="{00000000-0005-0000-0000-00008F160000}"/>
    <cellStyle name="계산 5 5 4 3 5" xfId="22463" xr:uid="{00000000-0005-0000-0000-000090160000}"/>
    <cellStyle name="계산 5 5 4 4" xfId="16570" xr:uid="{00000000-0005-0000-0000-000091160000}"/>
    <cellStyle name="계산 5 5 4 4 2" xfId="20156" xr:uid="{00000000-0005-0000-0000-000092160000}"/>
    <cellStyle name="계산 5 5 4 4 3" xfId="27166" xr:uid="{00000000-0005-0000-0000-000093160000}"/>
    <cellStyle name="계산 5 5 4 4 4" xfId="30280" xr:uid="{00000000-0005-0000-0000-000094160000}"/>
    <cellStyle name="계산 5 5 4 4 5" xfId="22936" xr:uid="{00000000-0005-0000-0000-000095160000}"/>
    <cellStyle name="계산 5 5 4 5" xfId="23281" xr:uid="{00000000-0005-0000-0000-000096160000}"/>
    <cellStyle name="계산 5 5 4 5 2" xfId="21481" xr:uid="{00000000-0005-0000-0000-000097160000}"/>
    <cellStyle name="계산 5 5 4 5 3" xfId="27511" xr:uid="{00000000-0005-0000-0000-000098160000}"/>
    <cellStyle name="계산 5 5 4 5 4" xfId="30625" xr:uid="{00000000-0005-0000-0000-000099160000}"/>
    <cellStyle name="계산 5 5 4 6" xfId="19523" xr:uid="{00000000-0005-0000-0000-00009A160000}"/>
    <cellStyle name="계산 5 5 4 7" xfId="25669" xr:uid="{00000000-0005-0000-0000-00009B160000}"/>
    <cellStyle name="계산 5 5 4 8" xfId="28786" xr:uid="{00000000-0005-0000-0000-00009C160000}"/>
    <cellStyle name="계산 5 5 4 9" xfId="17687" xr:uid="{00000000-0005-0000-0000-00009D160000}"/>
    <cellStyle name="계산 5 5 5" xfId="14933" xr:uid="{00000000-0005-0000-0000-00009E160000}"/>
    <cellStyle name="계산 5 5 5 2" xfId="15683" xr:uid="{00000000-0005-0000-0000-00009F160000}"/>
    <cellStyle name="계산 5 5 5 2 2" xfId="31461" xr:uid="{00000000-0005-0000-0000-0000A0160000}"/>
    <cellStyle name="계산 5 5 5 2 3" xfId="20873" xr:uid="{00000000-0005-0000-0000-0000A1160000}"/>
    <cellStyle name="계산 5 5 5 3" xfId="16045" xr:uid="{00000000-0005-0000-0000-0000A2160000}"/>
    <cellStyle name="계산 5 5 5 3 2" xfId="31688" xr:uid="{00000000-0005-0000-0000-0000A3160000}"/>
    <cellStyle name="계산 5 5 5 3 3" xfId="19357" xr:uid="{00000000-0005-0000-0000-0000A4160000}"/>
    <cellStyle name="계산 5 5 5 4" xfId="16571" xr:uid="{00000000-0005-0000-0000-0000A5160000}"/>
    <cellStyle name="계산 5 5 5 4 2" xfId="32103" xr:uid="{00000000-0005-0000-0000-0000A6160000}"/>
    <cellStyle name="계산 5 5 5 4 3" xfId="25124" xr:uid="{00000000-0005-0000-0000-0000A7160000}"/>
    <cellStyle name="계산 5 5 5 5" xfId="28248" xr:uid="{00000000-0005-0000-0000-0000A8160000}"/>
    <cellStyle name="계산 5 5 5 6" xfId="17878" xr:uid="{00000000-0005-0000-0000-0000A9160000}"/>
    <cellStyle name="계산 5 5 6" xfId="15030" xr:uid="{00000000-0005-0000-0000-0000AA160000}"/>
    <cellStyle name="계산 5 5 6 2" xfId="15758" xr:uid="{00000000-0005-0000-0000-0000AB160000}"/>
    <cellStyle name="계산 5 5 6 2 2" xfId="31536" xr:uid="{00000000-0005-0000-0000-0000AC160000}"/>
    <cellStyle name="계산 5 5 6 3" xfId="16142" xr:uid="{00000000-0005-0000-0000-0000AD160000}"/>
    <cellStyle name="계산 5 5 6 3 2" xfId="31785" xr:uid="{00000000-0005-0000-0000-0000AE160000}"/>
    <cellStyle name="계산 5 5 6 4" xfId="16572" xr:uid="{00000000-0005-0000-0000-0000AF160000}"/>
    <cellStyle name="계산 5 5 6 4 2" xfId="32104" xr:uid="{00000000-0005-0000-0000-0000B0160000}"/>
    <cellStyle name="계산 5 5 6 5" xfId="31247" xr:uid="{00000000-0005-0000-0000-0000B1160000}"/>
    <cellStyle name="계산 5 5 6 6" xfId="18652" xr:uid="{00000000-0005-0000-0000-0000B2160000}"/>
    <cellStyle name="계산 5 5 7" xfId="14885" xr:uid="{00000000-0005-0000-0000-0000B3160000}"/>
    <cellStyle name="계산 5 5 7 2" xfId="15646" xr:uid="{00000000-0005-0000-0000-0000B4160000}"/>
    <cellStyle name="계산 5 5 7 2 2" xfId="31424" xr:uid="{00000000-0005-0000-0000-0000B5160000}"/>
    <cellStyle name="계산 5 5 7 3" xfId="15997" xr:uid="{00000000-0005-0000-0000-0000B6160000}"/>
    <cellStyle name="계산 5 5 7 3 2" xfId="31640" xr:uid="{00000000-0005-0000-0000-0000B7160000}"/>
    <cellStyle name="계산 5 5 7 4" xfId="16573" xr:uid="{00000000-0005-0000-0000-0000B8160000}"/>
    <cellStyle name="계산 5 5 7 4 2" xfId="32105" xr:uid="{00000000-0005-0000-0000-0000B9160000}"/>
    <cellStyle name="계산 5 5 7 5" xfId="31168" xr:uid="{00000000-0005-0000-0000-0000BA160000}"/>
    <cellStyle name="계산 5 5 7 6" xfId="18587" xr:uid="{00000000-0005-0000-0000-0000BB160000}"/>
    <cellStyle name="계산 5 5 8" xfId="15057" xr:uid="{00000000-0005-0000-0000-0000BC160000}"/>
    <cellStyle name="계산 5 5 8 2" xfId="16169" xr:uid="{00000000-0005-0000-0000-0000BD160000}"/>
    <cellStyle name="계산 5 5 8 2 2" xfId="31812" xr:uid="{00000000-0005-0000-0000-0000BE160000}"/>
    <cellStyle name="계산 5 5 8 3" xfId="16574" xr:uid="{00000000-0005-0000-0000-0000BF160000}"/>
    <cellStyle name="계산 5 5 8 3 2" xfId="32106" xr:uid="{00000000-0005-0000-0000-0000C0160000}"/>
    <cellStyle name="계산 5 5 8 4" xfId="16575" xr:uid="{00000000-0005-0000-0000-0000C1160000}"/>
    <cellStyle name="계산 5 5 8 4 2" xfId="32107" xr:uid="{00000000-0005-0000-0000-0000C2160000}"/>
    <cellStyle name="계산 5 5 8 5" xfId="18626" xr:uid="{00000000-0005-0000-0000-0000C3160000}"/>
    <cellStyle name="계산 5 5 9" xfId="15360" xr:uid="{00000000-0005-0000-0000-0000C4160000}"/>
    <cellStyle name="계산 5 5 9 2" xfId="15310" xr:uid="{00000000-0005-0000-0000-0000C5160000}"/>
    <cellStyle name="계산 5 5 9 2 2" xfId="31357" xr:uid="{00000000-0005-0000-0000-0000C6160000}"/>
    <cellStyle name="계산 5 5 9 3" xfId="16576" xr:uid="{00000000-0005-0000-0000-0000C7160000}"/>
    <cellStyle name="계산 5 5 9 3 2" xfId="32108" xr:uid="{00000000-0005-0000-0000-0000C8160000}"/>
    <cellStyle name="계산 5 5 9 4" xfId="16577" xr:uid="{00000000-0005-0000-0000-0000C9160000}"/>
    <cellStyle name="계산 5 5 9 4 2" xfId="32109" xr:uid="{00000000-0005-0000-0000-0000CA160000}"/>
    <cellStyle name="계산 5 5 9 5" xfId="31407" xr:uid="{00000000-0005-0000-0000-0000CB160000}"/>
    <cellStyle name="계산 5 6" xfId="11862" xr:uid="{00000000-0005-0000-0000-0000CC160000}"/>
    <cellStyle name="계산 5 6 10" xfId="15186" xr:uid="{00000000-0005-0000-0000-0000CD160000}"/>
    <cellStyle name="계산 5 6 10 2" xfId="31322" xr:uid="{00000000-0005-0000-0000-0000CE160000}"/>
    <cellStyle name="계산 5 6 11" xfId="16578" xr:uid="{00000000-0005-0000-0000-0000CF160000}"/>
    <cellStyle name="계산 5 6 11 2" xfId="32110" xr:uid="{00000000-0005-0000-0000-0000D0160000}"/>
    <cellStyle name="계산 5 6 12" xfId="16579" xr:uid="{00000000-0005-0000-0000-0000D1160000}"/>
    <cellStyle name="계산 5 6 12 2" xfId="32111" xr:uid="{00000000-0005-0000-0000-0000D2160000}"/>
    <cellStyle name="계산 5 6 13" xfId="17240" xr:uid="{00000000-0005-0000-0000-0000D3160000}"/>
    <cellStyle name="계산 5 6 2" xfId="14611" xr:uid="{00000000-0005-0000-0000-0000D4160000}"/>
    <cellStyle name="계산 5 6 2 10" xfId="24857" xr:uid="{00000000-0005-0000-0000-0000D5160000}"/>
    <cellStyle name="계산 5 6 2 11" xfId="27981" xr:uid="{00000000-0005-0000-0000-0000D6160000}"/>
    <cellStyle name="계산 5 6 2 12" xfId="17584" xr:uid="{00000000-0005-0000-0000-0000D7160000}"/>
    <cellStyle name="계산 5 6 2 2" xfId="15542" xr:uid="{00000000-0005-0000-0000-0000D8160000}"/>
    <cellStyle name="계산 5 6 2 2 10" xfId="17879" xr:uid="{00000000-0005-0000-0000-0000D9160000}"/>
    <cellStyle name="계산 5 6 2 2 2" xfId="22192" xr:uid="{00000000-0005-0000-0000-0000DA160000}"/>
    <cellStyle name="계산 5 6 2 2 2 2" xfId="18343" xr:uid="{00000000-0005-0000-0000-0000DB160000}"/>
    <cellStyle name="계산 5 6 2 2 2 3" xfId="26422" xr:uid="{00000000-0005-0000-0000-0000DC160000}"/>
    <cellStyle name="계산 5 6 2 2 2 4" xfId="29536" xr:uid="{00000000-0005-0000-0000-0000DD160000}"/>
    <cellStyle name="계산 5 6 2 2 3" xfId="22668" xr:uid="{00000000-0005-0000-0000-0000DE160000}"/>
    <cellStyle name="계산 5 6 2 2 3 2" xfId="23874" xr:uid="{00000000-0005-0000-0000-0000DF160000}"/>
    <cellStyle name="계산 5 6 2 2 3 3" xfId="26898" xr:uid="{00000000-0005-0000-0000-0000E0160000}"/>
    <cellStyle name="계산 5 6 2 2 3 4" xfId="30012" xr:uid="{00000000-0005-0000-0000-0000E1160000}"/>
    <cellStyle name="계산 5 6 2 2 4" xfId="23079" xr:uid="{00000000-0005-0000-0000-0000E2160000}"/>
    <cellStyle name="계산 5 6 2 2 4 2" xfId="19175" xr:uid="{00000000-0005-0000-0000-0000E3160000}"/>
    <cellStyle name="계산 5 6 2 2 4 3" xfId="27309" xr:uid="{00000000-0005-0000-0000-0000E4160000}"/>
    <cellStyle name="계산 5 6 2 2 4 4" xfId="30423" xr:uid="{00000000-0005-0000-0000-0000E5160000}"/>
    <cellStyle name="계산 5 6 2 2 5" xfId="23478" xr:uid="{00000000-0005-0000-0000-0000E6160000}"/>
    <cellStyle name="계산 5 6 2 2 5 2" xfId="18142" xr:uid="{00000000-0005-0000-0000-0000E7160000}"/>
    <cellStyle name="계산 5 6 2 2 5 3" xfId="27708" xr:uid="{00000000-0005-0000-0000-0000E8160000}"/>
    <cellStyle name="계산 5 6 2 2 5 4" xfId="30822" xr:uid="{00000000-0005-0000-0000-0000E9160000}"/>
    <cellStyle name="계산 5 6 2 2 6" xfId="21639" xr:uid="{00000000-0005-0000-0000-0000EA160000}"/>
    <cellStyle name="계산 5 6 2 2 7" xfId="23781" xr:uid="{00000000-0005-0000-0000-0000EB160000}"/>
    <cellStyle name="계산 5 6 2 2 8" xfId="25869" xr:uid="{00000000-0005-0000-0000-0000EC160000}"/>
    <cellStyle name="계산 5 6 2 2 9" xfId="28983" xr:uid="{00000000-0005-0000-0000-0000ED160000}"/>
    <cellStyle name="계산 5 6 2 3" xfId="15896" xr:uid="{00000000-0005-0000-0000-0000EE160000}"/>
    <cellStyle name="계산 5 6 2 3 2" xfId="21319" xr:uid="{00000000-0005-0000-0000-0000EF160000}"/>
    <cellStyle name="계산 5 6 2 3 3" xfId="24529" xr:uid="{00000000-0005-0000-0000-0000F0160000}"/>
    <cellStyle name="계산 5 6 2 3 4" xfId="25532" xr:uid="{00000000-0005-0000-0000-0000F1160000}"/>
    <cellStyle name="계산 5 6 2 3 5" xfId="28649" xr:uid="{00000000-0005-0000-0000-0000F2160000}"/>
    <cellStyle name="계산 5 6 2 3 6" xfId="17880" xr:uid="{00000000-0005-0000-0000-0000F3160000}"/>
    <cellStyle name="계산 5 6 2 4" xfId="16580" xr:uid="{00000000-0005-0000-0000-0000F4160000}"/>
    <cellStyle name="계산 5 6 2 4 2" xfId="24209" xr:uid="{00000000-0005-0000-0000-0000F5160000}"/>
    <cellStyle name="계산 5 6 2 4 3" xfId="26073" xr:uid="{00000000-0005-0000-0000-0000F6160000}"/>
    <cellStyle name="계산 5 6 2 4 4" xfId="29187" xr:uid="{00000000-0005-0000-0000-0000F7160000}"/>
    <cellStyle name="계산 5 6 2 4 5" xfId="21843" xr:uid="{00000000-0005-0000-0000-0000F8160000}"/>
    <cellStyle name="계산 5 6 2 5" xfId="21063" xr:uid="{00000000-0005-0000-0000-0000F9160000}"/>
    <cellStyle name="계산 5 6 2 5 2" xfId="24238" xr:uid="{00000000-0005-0000-0000-0000FA160000}"/>
    <cellStyle name="계산 5 6 2 5 3" xfId="25308" xr:uid="{00000000-0005-0000-0000-0000FB160000}"/>
    <cellStyle name="계산 5 6 2 5 4" xfId="28432" xr:uid="{00000000-0005-0000-0000-0000FC160000}"/>
    <cellStyle name="계산 5 6 2 6" xfId="21141" xr:uid="{00000000-0005-0000-0000-0000FD160000}"/>
    <cellStyle name="계산 5 6 2 6 2" xfId="24065" xr:uid="{00000000-0005-0000-0000-0000FE160000}"/>
    <cellStyle name="계산 5 6 2 6 3" xfId="25385" xr:uid="{00000000-0005-0000-0000-0000FF160000}"/>
    <cellStyle name="계산 5 6 2 6 4" xfId="28509" xr:uid="{00000000-0005-0000-0000-000000170000}"/>
    <cellStyle name="계산 5 6 2 7" xfId="21205" xr:uid="{00000000-0005-0000-0000-000001170000}"/>
    <cellStyle name="계산 5 6 2 7 2" xfId="23744" xr:uid="{00000000-0005-0000-0000-000002170000}"/>
    <cellStyle name="계산 5 6 2 7 3" xfId="25433" xr:uid="{00000000-0005-0000-0000-000003170000}"/>
    <cellStyle name="계산 5 6 2 7 4" xfId="28550" xr:uid="{00000000-0005-0000-0000-000004170000}"/>
    <cellStyle name="계산 5 6 2 8" xfId="20609" xr:uid="{00000000-0005-0000-0000-000005170000}"/>
    <cellStyle name="계산 5 6 2 9" xfId="18915" xr:uid="{00000000-0005-0000-0000-000006170000}"/>
    <cellStyle name="계산 5 6 3" xfId="14577" xr:uid="{00000000-0005-0000-0000-000007170000}"/>
    <cellStyle name="계산 5 6 3 10" xfId="27949" xr:uid="{00000000-0005-0000-0000-000008170000}"/>
    <cellStyle name="계산 5 6 3 11" xfId="17648" xr:uid="{00000000-0005-0000-0000-000009170000}"/>
    <cellStyle name="계산 5 6 3 2" xfId="15508" xr:uid="{00000000-0005-0000-0000-00000A170000}"/>
    <cellStyle name="계산 5 6 3 2 2" xfId="24462" xr:uid="{00000000-0005-0000-0000-00000B170000}"/>
    <cellStyle name="계산 5 6 3 2 3" xfId="25837" xr:uid="{00000000-0005-0000-0000-00000C170000}"/>
    <cellStyle name="계산 5 6 3 2 4" xfId="28951" xr:uid="{00000000-0005-0000-0000-00000D170000}"/>
    <cellStyle name="계산 5 6 3 2 5" xfId="21607" xr:uid="{00000000-0005-0000-0000-00000E170000}"/>
    <cellStyle name="계산 5 6 3 3" xfId="15862" xr:uid="{00000000-0005-0000-0000-00000F170000}"/>
    <cellStyle name="계산 5 6 3 3 2" xfId="19578" xr:uid="{00000000-0005-0000-0000-000010170000}"/>
    <cellStyle name="계산 5 6 3 3 3" xfId="26390" xr:uid="{00000000-0005-0000-0000-000011170000}"/>
    <cellStyle name="계산 5 6 3 3 4" xfId="29504" xr:uid="{00000000-0005-0000-0000-000012170000}"/>
    <cellStyle name="계산 5 6 3 3 5" xfId="22160" xr:uid="{00000000-0005-0000-0000-000013170000}"/>
    <cellStyle name="계산 5 6 3 4" xfId="16581" xr:uid="{00000000-0005-0000-0000-000014170000}"/>
    <cellStyle name="계산 5 6 3 4 2" xfId="19882" xr:uid="{00000000-0005-0000-0000-000015170000}"/>
    <cellStyle name="계산 5 6 3 4 3" xfId="26866" xr:uid="{00000000-0005-0000-0000-000016170000}"/>
    <cellStyle name="계산 5 6 3 4 4" xfId="29980" xr:uid="{00000000-0005-0000-0000-000017170000}"/>
    <cellStyle name="계산 5 6 3 4 5" xfId="22636" xr:uid="{00000000-0005-0000-0000-000018170000}"/>
    <cellStyle name="계산 5 6 3 5" xfId="23051" xr:uid="{00000000-0005-0000-0000-000019170000}"/>
    <cellStyle name="계산 5 6 3 5 2" xfId="20261" xr:uid="{00000000-0005-0000-0000-00001A170000}"/>
    <cellStyle name="계산 5 6 3 5 3" xfId="27281" xr:uid="{00000000-0005-0000-0000-00001B170000}"/>
    <cellStyle name="계산 5 6 3 5 4" xfId="30395" xr:uid="{00000000-0005-0000-0000-00001C170000}"/>
    <cellStyle name="계산 5 6 3 6" xfId="23446" xr:uid="{00000000-0005-0000-0000-00001D170000}"/>
    <cellStyle name="계산 5 6 3 6 2" xfId="18113" xr:uid="{00000000-0005-0000-0000-00001E170000}"/>
    <cellStyle name="계산 5 6 3 6 3" xfId="27676" xr:uid="{00000000-0005-0000-0000-00001F170000}"/>
    <cellStyle name="계산 5 6 3 6 4" xfId="30790" xr:uid="{00000000-0005-0000-0000-000020170000}"/>
    <cellStyle name="계산 5 6 3 7" xfId="20577" xr:uid="{00000000-0005-0000-0000-000021170000}"/>
    <cellStyle name="계산 5 6 3 8" xfId="18884" xr:uid="{00000000-0005-0000-0000-000022170000}"/>
    <cellStyle name="계산 5 6 3 9" xfId="24825" xr:uid="{00000000-0005-0000-0000-000023170000}"/>
    <cellStyle name="계산 5 6 4" xfId="15089" xr:uid="{00000000-0005-0000-0000-000024170000}"/>
    <cellStyle name="계산 5 6 4 2" xfId="15808" xr:uid="{00000000-0005-0000-0000-000025170000}"/>
    <cellStyle name="계산 5 6 4 2 2" xfId="24446" xr:uid="{00000000-0005-0000-0000-000026170000}"/>
    <cellStyle name="계산 5 6 4 2 3" xfId="26221" xr:uid="{00000000-0005-0000-0000-000027170000}"/>
    <cellStyle name="계산 5 6 4 2 4" xfId="29335" xr:uid="{00000000-0005-0000-0000-000028170000}"/>
    <cellStyle name="계산 5 6 4 2 5" xfId="21991" xr:uid="{00000000-0005-0000-0000-000029170000}"/>
    <cellStyle name="계산 5 6 4 3" xfId="16201" xr:uid="{00000000-0005-0000-0000-00002A170000}"/>
    <cellStyle name="계산 5 6 4 3 2" xfId="19722" xr:uid="{00000000-0005-0000-0000-00002B170000}"/>
    <cellStyle name="계산 5 6 4 3 3" xfId="26694" xr:uid="{00000000-0005-0000-0000-00002C170000}"/>
    <cellStyle name="계산 5 6 4 3 4" xfId="29808" xr:uid="{00000000-0005-0000-0000-00002D170000}"/>
    <cellStyle name="계산 5 6 4 3 5" xfId="22464" xr:uid="{00000000-0005-0000-0000-00002E170000}"/>
    <cellStyle name="계산 5 6 4 4" xfId="16582" xr:uid="{00000000-0005-0000-0000-00002F170000}"/>
    <cellStyle name="계산 5 6 4 4 2" xfId="20157" xr:uid="{00000000-0005-0000-0000-000030170000}"/>
    <cellStyle name="계산 5 6 4 4 3" xfId="27167" xr:uid="{00000000-0005-0000-0000-000031170000}"/>
    <cellStyle name="계산 5 6 4 4 4" xfId="30281" xr:uid="{00000000-0005-0000-0000-000032170000}"/>
    <cellStyle name="계산 5 6 4 4 5" xfId="22937" xr:uid="{00000000-0005-0000-0000-000033170000}"/>
    <cellStyle name="계산 5 6 4 5" xfId="23282" xr:uid="{00000000-0005-0000-0000-000034170000}"/>
    <cellStyle name="계산 5 6 4 5 2" xfId="20326" xr:uid="{00000000-0005-0000-0000-000035170000}"/>
    <cellStyle name="계산 5 6 4 5 3" xfId="27512" xr:uid="{00000000-0005-0000-0000-000036170000}"/>
    <cellStyle name="계산 5 6 4 5 4" xfId="30626" xr:uid="{00000000-0005-0000-0000-000037170000}"/>
    <cellStyle name="계산 5 6 4 6" xfId="23736" xr:uid="{00000000-0005-0000-0000-000038170000}"/>
    <cellStyle name="계산 5 6 4 7" xfId="25670" xr:uid="{00000000-0005-0000-0000-000039170000}"/>
    <cellStyle name="계산 5 6 4 8" xfId="28787" xr:uid="{00000000-0005-0000-0000-00003A170000}"/>
    <cellStyle name="계산 5 6 4 9" xfId="17686" xr:uid="{00000000-0005-0000-0000-00003B170000}"/>
    <cellStyle name="계산 5 6 5" xfId="14932" xr:uid="{00000000-0005-0000-0000-00003C170000}"/>
    <cellStyle name="계산 5 6 5 2" xfId="15682" xr:uid="{00000000-0005-0000-0000-00003D170000}"/>
    <cellStyle name="계산 5 6 5 2 2" xfId="31460" xr:uid="{00000000-0005-0000-0000-00003E170000}"/>
    <cellStyle name="계산 5 6 5 2 3" xfId="20874" xr:uid="{00000000-0005-0000-0000-00003F170000}"/>
    <cellStyle name="계산 5 6 5 3" xfId="16044" xr:uid="{00000000-0005-0000-0000-000040170000}"/>
    <cellStyle name="계산 5 6 5 3 2" xfId="31687" xr:uid="{00000000-0005-0000-0000-000041170000}"/>
    <cellStyle name="계산 5 6 5 3 3" xfId="23761" xr:uid="{00000000-0005-0000-0000-000042170000}"/>
    <cellStyle name="계산 5 6 5 4" xfId="16583" xr:uid="{00000000-0005-0000-0000-000043170000}"/>
    <cellStyle name="계산 5 6 5 4 2" xfId="32112" xr:uid="{00000000-0005-0000-0000-000044170000}"/>
    <cellStyle name="계산 5 6 5 4 3" xfId="25125" xr:uid="{00000000-0005-0000-0000-000045170000}"/>
    <cellStyle name="계산 5 6 5 5" xfId="28249" xr:uid="{00000000-0005-0000-0000-000046170000}"/>
    <cellStyle name="계산 5 6 5 6" xfId="17881" xr:uid="{00000000-0005-0000-0000-000047170000}"/>
    <cellStyle name="계산 5 6 6" xfId="15144" xr:uid="{00000000-0005-0000-0000-000048170000}"/>
    <cellStyle name="계산 5 6 6 2" xfId="15855" xr:uid="{00000000-0005-0000-0000-000049170000}"/>
    <cellStyle name="계산 5 6 6 2 2" xfId="31599" xr:uid="{00000000-0005-0000-0000-00004A170000}"/>
    <cellStyle name="계산 5 6 6 3" xfId="16256" xr:uid="{00000000-0005-0000-0000-00004B170000}"/>
    <cellStyle name="계산 5 6 6 3 2" xfId="31865" xr:uid="{00000000-0005-0000-0000-00004C170000}"/>
    <cellStyle name="계산 5 6 6 4" xfId="16584" xr:uid="{00000000-0005-0000-0000-00004D170000}"/>
    <cellStyle name="계산 5 6 6 4 2" xfId="32113" xr:uid="{00000000-0005-0000-0000-00004E170000}"/>
    <cellStyle name="계산 5 6 6 5" xfId="31288" xr:uid="{00000000-0005-0000-0000-00004F170000}"/>
    <cellStyle name="계산 5 6 6 6" xfId="18653" xr:uid="{00000000-0005-0000-0000-000050170000}"/>
    <cellStyle name="계산 5 6 7" xfId="14975" xr:uid="{00000000-0005-0000-0000-000051170000}"/>
    <cellStyle name="계산 5 6 7 2" xfId="15725" xr:uid="{00000000-0005-0000-0000-000052170000}"/>
    <cellStyle name="계산 5 6 7 2 2" xfId="31503" xr:uid="{00000000-0005-0000-0000-000053170000}"/>
    <cellStyle name="계산 5 6 7 3" xfId="16087" xr:uid="{00000000-0005-0000-0000-000054170000}"/>
    <cellStyle name="계산 5 6 7 3 2" xfId="31730" xr:uid="{00000000-0005-0000-0000-000055170000}"/>
    <cellStyle name="계산 5 6 7 4" xfId="16585" xr:uid="{00000000-0005-0000-0000-000056170000}"/>
    <cellStyle name="계산 5 6 7 4 2" xfId="32114" xr:uid="{00000000-0005-0000-0000-000057170000}"/>
    <cellStyle name="계산 5 6 7 5" xfId="31214" xr:uid="{00000000-0005-0000-0000-000058170000}"/>
    <cellStyle name="계산 5 6 7 6" xfId="18586" xr:uid="{00000000-0005-0000-0000-000059170000}"/>
    <cellStyle name="계산 5 6 8" xfId="14999" xr:uid="{00000000-0005-0000-0000-00005A170000}"/>
    <cellStyle name="계산 5 6 8 2" xfId="16111" xr:uid="{00000000-0005-0000-0000-00005B170000}"/>
    <cellStyle name="계산 5 6 8 2 2" xfId="31754" xr:uid="{00000000-0005-0000-0000-00005C170000}"/>
    <cellStyle name="계산 5 6 8 3" xfId="16586" xr:uid="{00000000-0005-0000-0000-00005D170000}"/>
    <cellStyle name="계산 5 6 8 3 2" xfId="32115" xr:uid="{00000000-0005-0000-0000-00005E170000}"/>
    <cellStyle name="계산 5 6 8 4" xfId="16587" xr:uid="{00000000-0005-0000-0000-00005F170000}"/>
    <cellStyle name="계산 5 6 8 4 2" xfId="32116" xr:uid="{00000000-0005-0000-0000-000060170000}"/>
    <cellStyle name="계산 5 6 8 5" xfId="18627" xr:uid="{00000000-0005-0000-0000-000061170000}"/>
    <cellStyle name="계산 5 6 9" xfId="15361" xr:uid="{00000000-0005-0000-0000-000062170000}"/>
    <cellStyle name="계산 5 6 9 2" xfId="15309" xr:uid="{00000000-0005-0000-0000-000063170000}"/>
    <cellStyle name="계산 5 6 9 2 2" xfId="31356" xr:uid="{00000000-0005-0000-0000-000064170000}"/>
    <cellStyle name="계산 5 6 9 3" xfId="16588" xr:uid="{00000000-0005-0000-0000-000065170000}"/>
    <cellStyle name="계산 5 6 9 3 2" xfId="32117" xr:uid="{00000000-0005-0000-0000-000066170000}"/>
    <cellStyle name="계산 5 6 9 4" xfId="16589" xr:uid="{00000000-0005-0000-0000-000067170000}"/>
    <cellStyle name="계산 5 6 9 4 2" xfId="32118" xr:uid="{00000000-0005-0000-0000-000068170000}"/>
    <cellStyle name="계산 5 6 9 5" xfId="31408" xr:uid="{00000000-0005-0000-0000-000069170000}"/>
    <cellStyle name="계산 5 7" xfId="11863" xr:uid="{00000000-0005-0000-0000-00006A170000}"/>
    <cellStyle name="계산 5 7 10" xfId="15187" xr:uid="{00000000-0005-0000-0000-00006B170000}"/>
    <cellStyle name="계산 5 7 10 2" xfId="31323" xr:uid="{00000000-0005-0000-0000-00006C170000}"/>
    <cellStyle name="계산 5 7 11" xfId="16590" xr:uid="{00000000-0005-0000-0000-00006D170000}"/>
    <cellStyle name="계산 5 7 11 2" xfId="32119" xr:uid="{00000000-0005-0000-0000-00006E170000}"/>
    <cellStyle name="계산 5 7 12" xfId="16591" xr:uid="{00000000-0005-0000-0000-00006F170000}"/>
    <cellStyle name="계산 5 7 12 2" xfId="32120" xr:uid="{00000000-0005-0000-0000-000070170000}"/>
    <cellStyle name="계산 5 7 13" xfId="17241" xr:uid="{00000000-0005-0000-0000-000071170000}"/>
    <cellStyle name="계산 5 7 2" xfId="14610" xr:uid="{00000000-0005-0000-0000-000072170000}"/>
    <cellStyle name="계산 5 7 2 10" xfId="24858" xr:uid="{00000000-0005-0000-0000-000073170000}"/>
    <cellStyle name="계산 5 7 2 11" xfId="27982" xr:uid="{00000000-0005-0000-0000-000074170000}"/>
    <cellStyle name="계산 5 7 2 12" xfId="17583" xr:uid="{00000000-0005-0000-0000-000075170000}"/>
    <cellStyle name="계산 5 7 2 2" xfId="15541" xr:uid="{00000000-0005-0000-0000-000076170000}"/>
    <cellStyle name="계산 5 7 2 2 10" xfId="17882" xr:uid="{00000000-0005-0000-0000-000077170000}"/>
    <cellStyle name="계산 5 7 2 2 2" xfId="22193" xr:uid="{00000000-0005-0000-0000-000078170000}"/>
    <cellStyle name="계산 5 7 2 2 2 2" xfId="18344" xr:uid="{00000000-0005-0000-0000-000079170000}"/>
    <cellStyle name="계산 5 7 2 2 2 3" xfId="26423" xr:uid="{00000000-0005-0000-0000-00007A170000}"/>
    <cellStyle name="계산 5 7 2 2 2 4" xfId="29537" xr:uid="{00000000-0005-0000-0000-00007B170000}"/>
    <cellStyle name="계산 5 7 2 2 3" xfId="22669" xr:uid="{00000000-0005-0000-0000-00007C170000}"/>
    <cellStyle name="계산 5 7 2 2 3 2" xfId="19912" xr:uid="{00000000-0005-0000-0000-00007D170000}"/>
    <cellStyle name="계산 5 7 2 2 3 3" xfId="26899" xr:uid="{00000000-0005-0000-0000-00007E170000}"/>
    <cellStyle name="계산 5 7 2 2 3 4" xfId="30013" xr:uid="{00000000-0005-0000-0000-00007F170000}"/>
    <cellStyle name="계산 5 7 2 2 4" xfId="23080" xr:uid="{00000000-0005-0000-0000-000080170000}"/>
    <cellStyle name="계산 5 7 2 2 4 2" xfId="19176" xr:uid="{00000000-0005-0000-0000-000081170000}"/>
    <cellStyle name="계산 5 7 2 2 4 3" xfId="27310" xr:uid="{00000000-0005-0000-0000-000082170000}"/>
    <cellStyle name="계산 5 7 2 2 4 4" xfId="30424" xr:uid="{00000000-0005-0000-0000-000083170000}"/>
    <cellStyle name="계산 5 7 2 2 5" xfId="23479" xr:uid="{00000000-0005-0000-0000-000084170000}"/>
    <cellStyle name="계산 5 7 2 2 5 2" xfId="18143" xr:uid="{00000000-0005-0000-0000-000085170000}"/>
    <cellStyle name="계산 5 7 2 2 5 3" xfId="27709" xr:uid="{00000000-0005-0000-0000-000086170000}"/>
    <cellStyle name="계산 5 7 2 2 5 4" xfId="30823" xr:uid="{00000000-0005-0000-0000-000087170000}"/>
    <cellStyle name="계산 5 7 2 2 6" xfId="21640" xr:uid="{00000000-0005-0000-0000-000088170000}"/>
    <cellStyle name="계산 5 7 2 2 7" xfId="23935" xr:uid="{00000000-0005-0000-0000-000089170000}"/>
    <cellStyle name="계산 5 7 2 2 8" xfId="25870" xr:uid="{00000000-0005-0000-0000-00008A170000}"/>
    <cellStyle name="계산 5 7 2 2 9" xfId="28984" xr:uid="{00000000-0005-0000-0000-00008B170000}"/>
    <cellStyle name="계산 5 7 2 3" xfId="15895" xr:uid="{00000000-0005-0000-0000-00008C170000}"/>
    <cellStyle name="계산 5 7 2 3 2" xfId="21320" xr:uid="{00000000-0005-0000-0000-00008D170000}"/>
    <cellStyle name="계산 5 7 2 3 3" xfId="24353" xr:uid="{00000000-0005-0000-0000-00008E170000}"/>
    <cellStyle name="계산 5 7 2 3 4" xfId="25533" xr:uid="{00000000-0005-0000-0000-00008F170000}"/>
    <cellStyle name="계산 5 7 2 3 5" xfId="28650" xr:uid="{00000000-0005-0000-0000-000090170000}"/>
    <cellStyle name="계산 5 7 2 3 6" xfId="17883" xr:uid="{00000000-0005-0000-0000-000091170000}"/>
    <cellStyle name="계산 5 7 2 4" xfId="16592" xr:uid="{00000000-0005-0000-0000-000092170000}"/>
    <cellStyle name="계산 5 7 2 4 2" xfId="24001" xr:uid="{00000000-0005-0000-0000-000093170000}"/>
    <cellStyle name="계산 5 7 2 4 3" xfId="26074" xr:uid="{00000000-0005-0000-0000-000094170000}"/>
    <cellStyle name="계산 5 7 2 4 4" xfId="29188" xr:uid="{00000000-0005-0000-0000-000095170000}"/>
    <cellStyle name="계산 5 7 2 4 5" xfId="21844" xr:uid="{00000000-0005-0000-0000-000096170000}"/>
    <cellStyle name="계산 5 7 2 5" xfId="21234" xr:uid="{00000000-0005-0000-0000-000097170000}"/>
    <cellStyle name="계산 5 7 2 5 2" xfId="24356" xr:uid="{00000000-0005-0000-0000-000098170000}"/>
    <cellStyle name="계산 5 7 2 5 3" xfId="25456" xr:uid="{00000000-0005-0000-0000-000099170000}"/>
    <cellStyle name="계산 5 7 2 5 4" xfId="28573" xr:uid="{00000000-0005-0000-0000-00009A170000}"/>
    <cellStyle name="계산 5 7 2 6" xfId="21140" xr:uid="{00000000-0005-0000-0000-00009B170000}"/>
    <cellStyle name="계산 5 7 2 6 2" xfId="24248" xr:uid="{00000000-0005-0000-0000-00009C170000}"/>
    <cellStyle name="계산 5 7 2 6 3" xfId="25384" xr:uid="{00000000-0005-0000-0000-00009D170000}"/>
    <cellStyle name="계산 5 7 2 6 4" xfId="28508" xr:uid="{00000000-0005-0000-0000-00009E170000}"/>
    <cellStyle name="계산 5 7 2 7" xfId="21061" xr:uid="{00000000-0005-0000-0000-00009F170000}"/>
    <cellStyle name="계산 5 7 2 7 2" xfId="24671" xr:uid="{00000000-0005-0000-0000-0000A0170000}"/>
    <cellStyle name="계산 5 7 2 7 3" xfId="25306" xr:uid="{00000000-0005-0000-0000-0000A1170000}"/>
    <cellStyle name="계산 5 7 2 7 4" xfId="28430" xr:uid="{00000000-0005-0000-0000-0000A2170000}"/>
    <cellStyle name="계산 5 7 2 8" xfId="20610" xr:uid="{00000000-0005-0000-0000-0000A3170000}"/>
    <cellStyle name="계산 5 7 2 9" xfId="18916" xr:uid="{00000000-0005-0000-0000-0000A4170000}"/>
    <cellStyle name="계산 5 7 3" xfId="14654" xr:uid="{00000000-0005-0000-0000-0000A5170000}"/>
    <cellStyle name="계산 5 7 3 10" xfId="27950" xr:uid="{00000000-0005-0000-0000-0000A6170000}"/>
    <cellStyle name="계산 5 7 3 11" xfId="17717" xr:uid="{00000000-0005-0000-0000-0000A7170000}"/>
    <cellStyle name="계산 5 7 3 2" xfId="15585" xr:uid="{00000000-0005-0000-0000-0000A8170000}"/>
    <cellStyle name="계산 5 7 3 2 2" xfId="24289" xr:uid="{00000000-0005-0000-0000-0000A9170000}"/>
    <cellStyle name="계산 5 7 3 2 3" xfId="25838" xr:uid="{00000000-0005-0000-0000-0000AA170000}"/>
    <cellStyle name="계산 5 7 3 2 4" xfId="28952" xr:uid="{00000000-0005-0000-0000-0000AB170000}"/>
    <cellStyle name="계산 5 7 3 2 5" xfId="21608" xr:uid="{00000000-0005-0000-0000-0000AC170000}"/>
    <cellStyle name="계산 5 7 3 3" xfId="15939" xr:uid="{00000000-0005-0000-0000-0000AD170000}"/>
    <cellStyle name="계산 5 7 3 3 2" xfId="19579" xr:uid="{00000000-0005-0000-0000-0000AE170000}"/>
    <cellStyle name="계산 5 7 3 3 3" xfId="26391" xr:uid="{00000000-0005-0000-0000-0000AF170000}"/>
    <cellStyle name="계산 5 7 3 3 4" xfId="29505" xr:uid="{00000000-0005-0000-0000-0000B0170000}"/>
    <cellStyle name="계산 5 7 3 3 5" xfId="22161" xr:uid="{00000000-0005-0000-0000-0000B1170000}"/>
    <cellStyle name="계산 5 7 3 4" xfId="16593" xr:uid="{00000000-0005-0000-0000-0000B2170000}"/>
    <cellStyle name="계산 5 7 3 4 2" xfId="19883" xr:uid="{00000000-0005-0000-0000-0000B3170000}"/>
    <cellStyle name="계산 5 7 3 4 3" xfId="26867" xr:uid="{00000000-0005-0000-0000-0000B4170000}"/>
    <cellStyle name="계산 5 7 3 4 4" xfId="29981" xr:uid="{00000000-0005-0000-0000-0000B5170000}"/>
    <cellStyle name="계산 5 7 3 4 5" xfId="22637" xr:uid="{00000000-0005-0000-0000-0000B6170000}"/>
    <cellStyle name="계산 5 7 3 5" xfId="23052" xr:uid="{00000000-0005-0000-0000-0000B7170000}"/>
    <cellStyle name="계산 5 7 3 5 2" xfId="20262" xr:uid="{00000000-0005-0000-0000-0000B8170000}"/>
    <cellStyle name="계산 5 7 3 5 3" xfId="27282" xr:uid="{00000000-0005-0000-0000-0000B9170000}"/>
    <cellStyle name="계산 5 7 3 5 4" xfId="30396" xr:uid="{00000000-0005-0000-0000-0000BA170000}"/>
    <cellStyle name="계산 5 7 3 6" xfId="23447" xr:uid="{00000000-0005-0000-0000-0000BB170000}"/>
    <cellStyle name="계산 5 7 3 6 2" xfId="18114" xr:uid="{00000000-0005-0000-0000-0000BC170000}"/>
    <cellStyle name="계산 5 7 3 6 3" xfId="27677" xr:uid="{00000000-0005-0000-0000-0000BD170000}"/>
    <cellStyle name="계산 5 7 3 6 4" xfId="30791" xr:uid="{00000000-0005-0000-0000-0000BE170000}"/>
    <cellStyle name="계산 5 7 3 7" xfId="20578" xr:uid="{00000000-0005-0000-0000-0000BF170000}"/>
    <cellStyle name="계산 5 7 3 8" xfId="18885" xr:uid="{00000000-0005-0000-0000-0000C0170000}"/>
    <cellStyle name="계산 5 7 3 9" xfId="24826" xr:uid="{00000000-0005-0000-0000-0000C1170000}"/>
    <cellStyle name="계산 5 7 4" xfId="15090" xr:uid="{00000000-0005-0000-0000-0000C2170000}"/>
    <cellStyle name="계산 5 7 4 2" xfId="15809" xr:uid="{00000000-0005-0000-0000-0000C3170000}"/>
    <cellStyle name="계산 5 7 4 2 2" xfId="24273" xr:uid="{00000000-0005-0000-0000-0000C4170000}"/>
    <cellStyle name="계산 5 7 4 2 3" xfId="26222" xr:uid="{00000000-0005-0000-0000-0000C5170000}"/>
    <cellStyle name="계산 5 7 4 2 4" xfId="29336" xr:uid="{00000000-0005-0000-0000-0000C6170000}"/>
    <cellStyle name="계산 5 7 4 2 5" xfId="21992" xr:uid="{00000000-0005-0000-0000-0000C7170000}"/>
    <cellStyle name="계산 5 7 4 3" xfId="16202" xr:uid="{00000000-0005-0000-0000-0000C8170000}"/>
    <cellStyle name="계산 5 7 4 3 2" xfId="19723" xr:uid="{00000000-0005-0000-0000-0000C9170000}"/>
    <cellStyle name="계산 5 7 4 3 3" xfId="26695" xr:uid="{00000000-0005-0000-0000-0000CA170000}"/>
    <cellStyle name="계산 5 7 4 3 4" xfId="29809" xr:uid="{00000000-0005-0000-0000-0000CB170000}"/>
    <cellStyle name="계산 5 7 4 3 5" xfId="22465" xr:uid="{00000000-0005-0000-0000-0000CC170000}"/>
    <cellStyle name="계산 5 7 4 4" xfId="16594" xr:uid="{00000000-0005-0000-0000-0000CD170000}"/>
    <cellStyle name="계산 5 7 4 4 2" xfId="23842" xr:uid="{00000000-0005-0000-0000-0000CE170000}"/>
    <cellStyle name="계산 5 7 4 4 3" xfId="27168" xr:uid="{00000000-0005-0000-0000-0000CF170000}"/>
    <cellStyle name="계산 5 7 4 4 4" xfId="30282" xr:uid="{00000000-0005-0000-0000-0000D0170000}"/>
    <cellStyle name="계산 5 7 4 4 5" xfId="22938" xr:uid="{00000000-0005-0000-0000-0000D1170000}"/>
    <cellStyle name="계산 5 7 4 5" xfId="23283" xr:uid="{00000000-0005-0000-0000-0000D2170000}"/>
    <cellStyle name="계산 5 7 4 5 2" xfId="21482" xr:uid="{00000000-0005-0000-0000-0000D3170000}"/>
    <cellStyle name="계산 5 7 4 5 3" xfId="27513" xr:uid="{00000000-0005-0000-0000-0000D4170000}"/>
    <cellStyle name="계산 5 7 4 5 4" xfId="30627" xr:uid="{00000000-0005-0000-0000-0000D5170000}"/>
    <cellStyle name="계산 5 7 4 6" xfId="24657" xr:uid="{00000000-0005-0000-0000-0000D6170000}"/>
    <cellStyle name="계산 5 7 4 7" xfId="25671" xr:uid="{00000000-0005-0000-0000-0000D7170000}"/>
    <cellStyle name="계산 5 7 4 8" xfId="28788" xr:uid="{00000000-0005-0000-0000-0000D8170000}"/>
    <cellStyle name="계산 5 7 4 9" xfId="17685" xr:uid="{00000000-0005-0000-0000-0000D9170000}"/>
    <cellStyle name="계산 5 7 5" xfId="14931" xr:uid="{00000000-0005-0000-0000-0000DA170000}"/>
    <cellStyle name="계산 5 7 5 2" xfId="15681" xr:uid="{00000000-0005-0000-0000-0000DB170000}"/>
    <cellStyle name="계산 5 7 5 2 2" xfId="31459" xr:uid="{00000000-0005-0000-0000-0000DC170000}"/>
    <cellStyle name="계산 5 7 5 2 3" xfId="20875" xr:uid="{00000000-0005-0000-0000-0000DD170000}"/>
    <cellStyle name="계산 5 7 5 3" xfId="16043" xr:uid="{00000000-0005-0000-0000-0000DE170000}"/>
    <cellStyle name="계산 5 7 5 3 2" xfId="31686" xr:uid="{00000000-0005-0000-0000-0000DF170000}"/>
    <cellStyle name="계산 5 7 5 3 3" xfId="23762" xr:uid="{00000000-0005-0000-0000-0000E0170000}"/>
    <cellStyle name="계산 5 7 5 4" xfId="16595" xr:uid="{00000000-0005-0000-0000-0000E1170000}"/>
    <cellStyle name="계산 5 7 5 4 2" xfId="32121" xr:uid="{00000000-0005-0000-0000-0000E2170000}"/>
    <cellStyle name="계산 5 7 5 4 3" xfId="25126" xr:uid="{00000000-0005-0000-0000-0000E3170000}"/>
    <cellStyle name="계산 5 7 5 5" xfId="28250" xr:uid="{00000000-0005-0000-0000-0000E4170000}"/>
    <cellStyle name="계산 5 7 5 6" xfId="17884" xr:uid="{00000000-0005-0000-0000-0000E5170000}"/>
    <cellStyle name="계산 5 7 6" xfId="15031" xr:uid="{00000000-0005-0000-0000-0000E6170000}"/>
    <cellStyle name="계산 5 7 6 2" xfId="15759" xr:uid="{00000000-0005-0000-0000-0000E7170000}"/>
    <cellStyle name="계산 5 7 6 2 2" xfId="31537" xr:uid="{00000000-0005-0000-0000-0000E8170000}"/>
    <cellStyle name="계산 5 7 6 3" xfId="16143" xr:uid="{00000000-0005-0000-0000-0000E9170000}"/>
    <cellStyle name="계산 5 7 6 3 2" xfId="31786" xr:uid="{00000000-0005-0000-0000-0000EA170000}"/>
    <cellStyle name="계산 5 7 6 4" xfId="16596" xr:uid="{00000000-0005-0000-0000-0000EB170000}"/>
    <cellStyle name="계산 5 7 6 4 2" xfId="32122" xr:uid="{00000000-0005-0000-0000-0000EC170000}"/>
    <cellStyle name="계산 5 7 6 5" xfId="31248" xr:uid="{00000000-0005-0000-0000-0000ED170000}"/>
    <cellStyle name="계산 5 7 6 6" xfId="18654" xr:uid="{00000000-0005-0000-0000-0000EE170000}"/>
    <cellStyle name="계산 5 7 7" xfId="15125" xr:uid="{00000000-0005-0000-0000-0000EF170000}"/>
    <cellStyle name="계산 5 7 7 2" xfId="15844" xr:uid="{00000000-0005-0000-0000-0000F0170000}"/>
    <cellStyle name="계산 5 7 7 2 2" xfId="31588" xr:uid="{00000000-0005-0000-0000-0000F1170000}"/>
    <cellStyle name="계산 5 7 7 3" xfId="16237" xr:uid="{00000000-0005-0000-0000-0000F2170000}"/>
    <cellStyle name="계산 5 7 7 3 2" xfId="31846" xr:uid="{00000000-0005-0000-0000-0000F3170000}"/>
    <cellStyle name="계산 5 7 7 4" xfId="16597" xr:uid="{00000000-0005-0000-0000-0000F4170000}"/>
    <cellStyle name="계산 5 7 7 4 2" xfId="32123" xr:uid="{00000000-0005-0000-0000-0000F5170000}"/>
    <cellStyle name="계산 5 7 7 5" xfId="31277" xr:uid="{00000000-0005-0000-0000-0000F6170000}"/>
    <cellStyle name="계산 5 7 7 6" xfId="18585" xr:uid="{00000000-0005-0000-0000-0000F7170000}"/>
    <cellStyle name="계산 5 7 8" xfId="15000" xr:uid="{00000000-0005-0000-0000-0000F8170000}"/>
    <cellStyle name="계산 5 7 8 2" xfId="16112" xr:uid="{00000000-0005-0000-0000-0000F9170000}"/>
    <cellStyle name="계산 5 7 8 2 2" xfId="31755" xr:uid="{00000000-0005-0000-0000-0000FA170000}"/>
    <cellStyle name="계산 5 7 8 3" xfId="16598" xr:uid="{00000000-0005-0000-0000-0000FB170000}"/>
    <cellStyle name="계산 5 7 8 3 2" xfId="32124" xr:uid="{00000000-0005-0000-0000-0000FC170000}"/>
    <cellStyle name="계산 5 7 8 4" xfId="16599" xr:uid="{00000000-0005-0000-0000-0000FD170000}"/>
    <cellStyle name="계산 5 7 8 4 2" xfId="32125" xr:uid="{00000000-0005-0000-0000-0000FE170000}"/>
    <cellStyle name="계산 5 7 8 5" xfId="18628" xr:uid="{00000000-0005-0000-0000-0000FF170000}"/>
    <cellStyle name="계산 5 7 9" xfId="15362" xr:uid="{00000000-0005-0000-0000-000000180000}"/>
    <cellStyle name="계산 5 7 9 2" xfId="15308" xr:uid="{00000000-0005-0000-0000-000001180000}"/>
    <cellStyle name="계산 5 7 9 2 2" xfId="31355" xr:uid="{00000000-0005-0000-0000-000002180000}"/>
    <cellStyle name="계산 5 7 9 3" xfId="16600" xr:uid="{00000000-0005-0000-0000-000003180000}"/>
    <cellStyle name="계산 5 7 9 3 2" xfId="32126" xr:uid="{00000000-0005-0000-0000-000004180000}"/>
    <cellStyle name="계산 5 7 9 4" xfId="16601" xr:uid="{00000000-0005-0000-0000-000005180000}"/>
    <cellStyle name="계산 5 7 9 4 2" xfId="32127" xr:uid="{00000000-0005-0000-0000-000006180000}"/>
    <cellStyle name="계산 5 7 9 5" xfId="31409" xr:uid="{00000000-0005-0000-0000-000007180000}"/>
    <cellStyle name="계산 5 8" xfId="14616" xr:uid="{00000000-0005-0000-0000-000008180000}"/>
    <cellStyle name="계산 5 8 10" xfId="24852" xr:uid="{00000000-0005-0000-0000-000009180000}"/>
    <cellStyle name="계산 5 8 11" xfId="27976" xr:uid="{00000000-0005-0000-0000-00000A180000}"/>
    <cellStyle name="계산 5 8 12" xfId="17589" xr:uid="{00000000-0005-0000-0000-00000B180000}"/>
    <cellStyle name="계산 5 8 2" xfId="15547" xr:uid="{00000000-0005-0000-0000-00000C180000}"/>
    <cellStyle name="계산 5 8 2 10" xfId="17885" xr:uid="{00000000-0005-0000-0000-00000D180000}"/>
    <cellStyle name="계산 5 8 2 2" xfId="22187" xr:uid="{00000000-0005-0000-0000-00000E180000}"/>
    <cellStyle name="계산 5 8 2 2 2" xfId="18338" xr:uid="{00000000-0005-0000-0000-00000F180000}"/>
    <cellStyle name="계산 5 8 2 2 3" xfId="26417" xr:uid="{00000000-0005-0000-0000-000010180000}"/>
    <cellStyle name="계산 5 8 2 2 4" xfId="29531" xr:uid="{00000000-0005-0000-0000-000011180000}"/>
    <cellStyle name="계산 5 8 2 3" xfId="22663" xr:uid="{00000000-0005-0000-0000-000012180000}"/>
    <cellStyle name="계산 5 8 2 3 2" xfId="19908" xr:uid="{00000000-0005-0000-0000-000013180000}"/>
    <cellStyle name="계산 5 8 2 3 3" xfId="26893" xr:uid="{00000000-0005-0000-0000-000014180000}"/>
    <cellStyle name="계산 5 8 2 3 4" xfId="30007" xr:uid="{00000000-0005-0000-0000-000015180000}"/>
    <cellStyle name="계산 5 8 2 4" xfId="23074" xr:uid="{00000000-0005-0000-0000-000016180000}"/>
    <cellStyle name="계산 5 8 2 4 2" xfId="19170" xr:uid="{00000000-0005-0000-0000-000017180000}"/>
    <cellStyle name="계산 5 8 2 4 3" xfId="27304" xr:uid="{00000000-0005-0000-0000-000018180000}"/>
    <cellStyle name="계산 5 8 2 4 4" xfId="30418" xr:uid="{00000000-0005-0000-0000-000019180000}"/>
    <cellStyle name="계산 5 8 2 5" xfId="23473" xr:uid="{00000000-0005-0000-0000-00001A180000}"/>
    <cellStyle name="계산 5 8 2 5 2" xfId="18137" xr:uid="{00000000-0005-0000-0000-00001B180000}"/>
    <cellStyle name="계산 5 8 2 5 3" xfId="27703" xr:uid="{00000000-0005-0000-0000-00001C180000}"/>
    <cellStyle name="계산 5 8 2 5 4" xfId="30817" xr:uid="{00000000-0005-0000-0000-00001D180000}"/>
    <cellStyle name="계산 5 8 2 6" xfId="21634" xr:uid="{00000000-0005-0000-0000-00001E180000}"/>
    <cellStyle name="계산 5 8 2 7" xfId="24099" xr:uid="{00000000-0005-0000-0000-00001F180000}"/>
    <cellStyle name="계산 5 8 2 8" xfId="25864" xr:uid="{00000000-0005-0000-0000-000020180000}"/>
    <cellStyle name="계산 5 8 2 9" xfId="28978" xr:uid="{00000000-0005-0000-0000-000021180000}"/>
    <cellStyle name="계산 5 8 3" xfId="15901" xr:uid="{00000000-0005-0000-0000-000022180000}"/>
    <cellStyle name="계산 5 8 3 2" xfId="21314" xr:uid="{00000000-0005-0000-0000-000023180000}"/>
    <cellStyle name="계산 5 8 3 3" xfId="24661" xr:uid="{00000000-0005-0000-0000-000024180000}"/>
    <cellStyle name="계산 5 8 3 4" xfId="25527" xr:uid="{00000000-0005-0000-0000-000025180000}"/>
    <cellStyle name="계산 5 8 3 5" xfId="28644" xr:uid="{00000000-0005-0000-0000-000026180000}"/>
    <cellStyle name="계산 5 8 3 6" xfId="17886" xr:uid="{00000000-0005-0000-0000-000027180000}"/>
    <cellStyle name="계산 5 8 4" xfId="16602" xr:uid="{00000000-0005-0000-0000-000028180000}"/>
    <cellStyle name="계산 5 8 4 2" xfId="19548" xr:uid="{00000000-0005-0000-0000-000029180000}"/>
    <cellStyle name="계산 5 8 4 3" xfId="26068" xr:uid="{00000000-0005-0000-0000-00002A180000}"/>
    <cellStyle name="계산 5 8 4 4" xfId="29182" xr:uid="{00000000-0005-0000-0000-00002B180000}"/>
    <cellStyle name="계산 5 8 4 5" xfId="21838" xr:uid="{00000000-0005-0000-0000-00002C180000}"/>
    <cellStyle name="계산 5 8 5" xfId="21228" xr:uid="{00000000-0005-0000-0000-00002D180000}"/>
    <cellStyle name="계산 5 8 5 2" xfId="24664" xr:uid="{00000000-0005-0000-0000-00002E180000}"/>
    <cellStyle name="계산 5 8 5 3" xfId="25451" xr:uid="{00000000-0005-0000-0000-00002F180000}"/>
    <cellStyle name="계산 5 8 5 4" xfId="28568" xr:uid="{00000000-0005-0000-0000-000030180000}"/>
    <cellStyle name="계산 5 8 6" xfId="21144" xr:uid="{00000000-0005-0000-0000-000031180000}"/>
    <cellStyle name="계산 5 8 6 2" xfId="24766" xr:uid="{00000000-0005-0000-0000-000032180000}"/>
    <cellStyle name="계산 5 8 6 3" xfId="25388" xr:uid="{00000000-0005-0000-0000-000033180000}"/>
    <cellStyle name="계산 5 8 6 4" xfId="28512" xr:uid="{00000000-0005-0000-0000-000034180000}"/>
    <cellStyle name="계산 5 8 7" xfId="21021" xr:uid="{00000000-0005-0000-0000-000035180000}"/>
    <cellStyle name="계산 5 8 7 2" xfId="24030" xr:uid="{00000000-0005-0000-0000-000036180000}"/>
    <cellStyle name="계산 5 8 7 3" xfId="25266" xr:uid="{00000000-0005-0000-0000-000037180000}"/>
    <cellStyle name="계산 5 8 7 4" xfId="28390" xr:uid="{00000000-0005-0000-0000-000038180000}"/>
    <cellStyle name="계산 5 8 8" xfId="20604" xr:uid="{00000000-0005-0000-0000-000039180000}"/>
    <cellStyle name="계산 5 8 9" xfId="18910" xr:uid="{00000000-0005-0000-0000-00003A180000}"/>
    <cellStyle name="계산 5 9" xfId="14742" xr:uid="{00000000-0005-0000-0000-00003B180000}"/>
    <cellStyle name="계산 5 9 10" xfId="27944" xr:uid="{00000000-0005-0000-0000-00003C180000}"/>
    <cellStyle name="계산 5 9 11" xfId="17653" xr:uid="{00000000-0005-0000-0000-00003D180000}"/>
    <cellStyle name="계산 5 9 2" xfId="15627" xr:uid="{00000000-0005-0000-0000-00003E180000}"/>
    <cellStyle name="계산 5 9 2 2" xfId="24390" xr:uid="{00000000-0005-0000-0000-00003F180000}"/>
    <cellStyle name="계산 5 9 2 3" xfId="25832" xr:uid="{00000000-0005-0000-0000-000040180000}"/>
    <cellStyle name="계산 5 9 2 4" xfId="28946" xr:uid="{00000000-0005-0000-0000-000041180000}"/>
    <cellStyle name="계산 5 9 2 5" xfId="21602" xr:uid="{00000000-0005-0000-0000-000042180000}"/>
    <cellStyle name="계산 5 9 3" xfId="15977" xr:uid="{00000000-0005-0000-0000-000043180000}"/>
    <cellStyle name="계산 5 9 3 2" xfId="19575" xr:uid="{00000000-0005-0000-0000-000044180000}"/>
    <cellStyle name="계산 5 9 3 3" xfId="26385" xr:uid="{00000000-0005-0000-0000-000045180000}"/>
    <cellStyle name="계산 5 9 3 4" xfId="29499" xr:uid="{00000000-0005-0000-0000-000046180000}"/>
    <cellStyle name="계산 5 9 3 5" xfId="22155" xr:uid="{00000000-0005-0000-0000-000047180000}"/>
    <cellStyle name="계산 5 9 4" xfId="16603" xr:uid="{00000000-0005-0000-0000-000048180000}"/>
    <cellStyle name="계산 5 9 4 2" xfId="19877" xr:uid="{00000000-0005-0000-0000-000049180000}"/>
    <cellStyle name="계산 5 9 4 3" xfId="26861" xr:uid="{00000000-0005-0000-0000-00004A180000}"/>
    <cellStyle name="계산 5 9 4 4" xfId="29975" xr:uid="{00000000-0005-0000-0000-00004B180000}"/>
    <cellStyle name="계산 5 9 4 5" xfId="22631" xr:uid="{00000000-0005-0000-0000-00004C180000}"/>
    <cellStyle name="계산 5 9 5" xfId="23046" xr:uid="{00000000-0005-0000-0000-00004D180000}"/>
    <cellStyle name="계산 5 9 5 2" xfId="20257" xr:uid="{00000000-0005-0000-0000-00004E180000}"/>
    <cellStyle name="계산 5 9 5 3" xfId="27276" xr:uid="{00000000-0005-0000-0000-00004F180000}"/>
    <cellStyle name="계산 5 9 5 4" xfId="30390" xr:uid="{00000000-0005-0000-0000-000050180000}"/>
    <cellStyle name="계산 5 9 6" xfId="23441" xr:uid="{00000000-0005-0000-0000-000051180000}"/>
    <cellStyle name="계산 5 9 6 2" xfId="18109" xr:uid="{00000000-0005-0000-0000-000052180000}"/>
    <cellStyle name="계산 5 9 6 3" xfId="27671" xr:uid="{00000000-0005-0000-0000-000053180000}"/>
    <cellStyle name="계산 5 9 6 4" xfId="30785" xr:uid="{00000000-0005-0000-0000-000054180000}"/>
    <cellStyle name="계산 5 9 7" xfId="20572" xr:uid="{00000000-0005-0000-0000-000055180000}"/>
    <cellStyle name="계산 5 9 8" xfId="18879" xr:uid="{00000000-0005-0000-0000-000056180000}"/>
    <cellStyle name="계산 5 9 9" xfId="24820" xr:uid="{00000000-0005-0000-0000-000057180000}"/>
    <cellStyle name="계산 6" xfId="17110" xr:uid="{00000000-0005-0000-0000-000058180000}"/>
    <cellStyle name="계산 6 2" xfId="21527" xr:uid="{00000000-0005-0000-0000-000059180000}"/>
    <cellStyle name="계산 6 3" xfId="32352" xr:uid="{00000000-0005-0000-0000-00005A180000}"/>
    <cellStyle name="계산 7" xfId="17111" xr:uid="{00000000-0005-0000-0000-00005B180000}"/>
    <cellStyle name="계산 7 2" xfId="32353" xr:uid="{00000000-0005-0000-0000-00005C180000}"/>
    <cellStyle name="계산 8" xfId="20493" xr:uid="{00000000-0005-0000-0000-00005D180000}"/>
    <cellStyle name="나쁨" xfId="17179" builtinId="27" customBuiltin="1"/>
    <cellStyle name="나쁨 2" xfId="11864" xr:uid="{00000000-0005-0000-0000-00005F180000}"/>
    <cellStyle name="나쁨 2 2" xfId="14717" xr:uid="{00000000-0005-0000-0000-000060180000}"/>
    <cellStyle name="나쁨 2 2 2" xfId="31068" xr:uid="{00000000-0005-0000-0000-000061180000}"/>
    <cellStyle name="나쁨 2 2 3" xfId="17887" xr:uid="{00000000-0005-0000-0000-000062180000}"/>
    <cellStyle name="나쁨 2 3" xfId="15363" xr:uid="{00000000-0005-0000-0000-000063180000}"/>
    <cellStyle name="나쁨 2 3 2" xfId="31410" xr:uid="{00000000-0005-0000-0000-000064180000}"/>
    <cellStyle name="나쁨 2 3 3" xfId="17888" xr:uid="{00000000-0005-0000-0000-000065180000}"/>
    <cellStyle name="나쁨 3" xfId="11865" xr:uid="{00000000-0005-0000-0000-000066180000}"/>
    <cellStyle name="나쁨 4" xfId="11866" xr:uid="{00000000-0005-0000-0000-000067180000}"/>
    <cellStyle name="나쁨 5" xfId="11867" xr:uid="{00000000-0005-0000-0000-000068180000}"/>
    <cellStyle name="나쁨 6" xfId="21523" xr:uid="{00000000-0005-0000-0000-000069180000}"/>
    <cellStyle name="나쁨 7" xfId="20489" xr:uid="{00000000-0005-0000-0000-00006A180000}"/>
    <cellStyle name="로마자" xfId="11868" xr:uid="{00000000-0005-0000-0000-00006B180000}"/>
    <cellStyle name="메모" xfId="17187" builtinId="10" customBuiltin="1"/>
    <cellStyle name="메모 2" xfId="11869" xr:uid="{00000000-0005-0000-0000-00006D180000}"/>
    <cellStyle name="메모 2 10" xfId="11870" xr:uid="{00000000-0005-0000-0000-00006E180000}"/>
    <cellStyle name="메모 2 11" xfId="11871" xr:uid="{00000000-0005-0000-0000-00006F180000}"/>
    <cellStyle name="메모 2 12" xfId="11872" xr:uid="{00000000-0005-0000-0000-000070180000}"/>
    <cellStyle name="메모 2 13" xfId="14718" xr:uid="{00000000-0005-0000-0000-000071180000}"/>
    <cellStyle name="메모 2 13 2" xfId="15604" xr:uid="{00000000-0005-0000-0000-000072180000}"/>
    <cellStyle name="메모 2 13 2 2" xfId="22198" xr:uid="{00000000-0005-0000-0000-000073180000}"/>
    <cellStyle name="메모 2 13 2 2 2" xfId="18349" xr:uid="{00000000-0005-0000-0000-000074180000}"/>
    <cellStyle name="메모 2 13 2 2 3" xfId="26428" xr:uid="{00000000-0005-0000-0000-000075180000}"/>
    <cellStyle name="메모 2 13 2 2 4" xfId="29542" xr:uid="{00000000-0005-0000-0000-000076180000}"/>
    <cellStyle name="메모 2 13 2 3" xfId="22674" xr:uid="{00000000-0005-0000-0000-000077180000}"/>
    <cellStyle name="메모 2 13 2 3 2" xfId="19916" xr:uid="{00000000-0005-0000-0000-000078180000}"/>
    <cellStyle name="메모 2 13 2 3 3" xfId="26904" xr:uid="{00000000-0005-0000-0000-000079180000}"/>
    <cellStyle name="메모 2 13 2 3 4" xfId="30018" xr:uid="{00000000-0005-0000-0000-00007A180000}"/>
    <cellStyle name="메모 2 13 2 4" xfId="23484" xr:uid="{00000000-0005-0000-0000-00007B180000}"/>
    <cellStyle name="메모 2 13 2 4 2" xfId="18147" xr:uid="{00000000-0005-0000-0000-00007C180000}"/>
    <cellStyle name="메모 2 13 2 4 3" xfId="27714" xr:uid="{00000000-0005-0000-0000-00007D180000}"/>
    <cellStyle name="메모 2 13 2 4 4" xfId="30828" xr:uid="{00000000-0005-0000-0000-00007E180000}"/>
    <cellStyle name="메모 2 13 2 5" xfId="24130" xr:uid="{00000000-0005-0000-0000-00007F180000}"/>
    <cellStyle name="메모 2 13 2 6" xfId="25875" xr:uid="{00000000-0005-0000-0000-000080180000}"/>
    <cellStyle name="메모 2 13 2 7" xfId="28989" xr:uid="{00000000-0005-0000-0000-000081180000}"/>
    <cellStyle name="메모 2 13 2 8" xfId="21645" xr:uid="{00000000-0005-0000-0000-000082180000}"/>
    <cellStyle name="메모 2 13 3" xfId="15954" xr:uid="{00000000-0005-0000-0000-000083180000}"/>
    <cellStyle name="메모 2 13 3 2" xfId="31609" xr:uid="{00000000-0005-0000-0000-000084180000}"/>
    <cellStyle name="메모 2 13 3 3" xfId="21322" xr:uid="{00000000-0005-0000-0000-000085180000}"/>
    <cellStyle name="메모 2 13 4" xfId="16604" xr:uid="{00000000-0005-0000-0000-000086180000}"/>
    <cellStyle name="메모 2 13 4 2" xfId="32128" xr:uid="{00000000-0005-0000-0000-000087180000}"/>
    <cellStyle name="메모 2 13 4 3" xfId="20615" xr:uid="{00000000-0005-0000-0000-000088180000}"/>
    <cellStyle name="메모 2 13 5" xfId="18920" xr:uid="{00000000-0005-0000-0000-000089180000}"/>
    <cellStyle name="메모 2 13 6" xfId="24863" xr:uid="{00000000-0005-0000-0000-00008A180000}"/>
    <cellStyle name="메모 2 13 7" xfId="27987" xr:uid="{00000000-0005-0000-0000-00008B180000}"/>
    <cellStyle name="메모 2 13 8" xfId="17359" xr:uid="{00000000-0005-0000-0000-00008C180000}"/>
    <cellStyle name="메모 2 14" xfId="14609" xr:uid="{00000000-0005-0000-0000-00008D180000}"/>
    <cellStyle name="메모 2 14 10" xfId="24827" xr:uid="{00000000-0005-0000-0000-00008E180000}"/>
    <cellStyle name="메모 2 14 11" xfId="27951" xr:uid="{00000000-0005-0000-0000-00008F180000}"/>
    <cellStyle name="메모 2 14 12" xfId="17889" xr:uid="{00000000-0005-0000-0000-000090180000}"/>
    <cellStyle name="메모 2 14 2" xfId="15540" xr:uid="{00000000-0005-0000-0000-000091180000}"/>
    <cellStyle name="메모 2 14 2 2" xfId="22162" xr:uid="{00000000-0005-0000-0000-000092180000}"/>
    <cellStyle name="메모 2 14 2 2 2" xfId="19580" xr:uid="{00000000-0005-0000-0000-000093180000}"/>
    <cellStyle name="메모 2 14 2 2 3" xfId="26392" xr:uid="{00000000-0005-0000-0000-000094180000}"/>
    <cellStyle name="메모 2 14 2 2 4" xfId="29506" xr:uid="{00000000-0005-0000-0000-000095180000}"/>
    <cellStyle name="메모 2 14 2 3" xfId="22638" xr:uid="{00000000-0005-0000-0000-000096180000}"/>
    <cellStyle name="메모 2 14 2 3 2" xfId="19884" xr:uid="{00000000-0005-0000-0000-000097180000}"/>
    <cellStyle name="메모 2 14 2 3 3" xfId="26868" xr:uid="{00000000-0005-0000-0000-000098180000}"/>
    <cellStyle name="메모 2 14 2 3 4" xfId="29982" xr:uid="{00000000-0005-0000-0000-000099180000}"/>
    <cellStyle name="메모 2 14 2 4" xfId="23448" xr:uid="{00000000-0005-0000-0000-00009A180000}"/>
    <cellStyle name="메모 2 14 2 4 2" xfId="18115" xr:uid="{00000000-0005-0000-0000-00009B180000}"/>
    <cellStyle name="메모 2 14 2 4 3" xfId="27678" xr:uid="{00000000-0005-0000-0000-00009C180000}"/>
    <cellStyle name="메모 2 14 2 4 4" xfId="30792" xr:uid="{00000000-0005-0000-0000-00009D180000}"/>
    <cellStyle name="메모 2 14 2 5" xfId="24107" xr:uid="{00000000-0005-0000-0000-00009E180000}"/>
    <cellStyle name="메모 2 14 2 6" xfId="25839" xr:uid="{00000000-0005-0000-0000-00009F180000}"/>
    <cellStyle name="메모 2 14 2 7" xfId="28953" xr:uid="{00000000-0005-0000-0000-0000A0180000}"/>
    <cellStyle name="메모 2 14 2 8" xfId="21609" xr:uid="{00000000-0005-0000-0000-0000A1180000}"/>
    <cellStyle name="메모 2 14 3" xfId="15894" xr:uid="{00000000-0005-0000-0000-0000A2180000}"/>
    <cellStyle name="메모 2 14 3 2" xfId="19479" xr:uid="{00000000-0005-0000-0000-0000A3180000}"/>
    <cellStyle name="메모 2 14 3 3" xfId="25622" xr:uid="{00000000-0005-0000-0000-0000A4180000}"/>
    <cellStyle name="메모 2 14 3 4" xfId="28739" xr:uid="{00000000-0005-0000-0000-0000A5180000}"/>
    <cellStyle name="메모 2 14 3 5" xfId="21435" xr:uid="{00000000-0005-0000-0000-0000A6180000}"/>
    <cellStyle name="메모 2 14 4" xfId="16605" xr:uid="{00000000-0005-0000-0000-0000A7180000}"/>
    <cellStyle name="메모 2 14 4 2" xfId="24448" xr:uid="{00000000-0005-0000-0000-0000A8180000}"/>
    <cellStyle name="메모 2 14 4 3" xfId="26173" xr:uid="{00000000-0005-0000-0000-0000A9180000}"/>
    <cellStyle name="메모 2 14 4 4" xfId="29287" xr:uid="{00000000-0005-0000-0000-0000AA180000}"/>
    <cellStyle name="메모 2 14 4 5" xfId="21943" xr:uid="{00000000-0005-0000-0000-0000AB180000}"/>
    <cellStyle name="메모 2 14 5" xfId="22416" xr:uid="{00000000-0005-0000-0000-0000AC180000}"/>
    <cellStyle name="메모 2 14 5 2" xfId="19680" xr:uid="{00000000-0005-0000-0000-0000AD180000}"/>
    <cellStyle name="메모 2 14 5 3" xfId="26646" xr:uid="{00000000-0005-0000-0000-0000AE180000}"/>
    <cellStyle name="메모 2 14 5 4" xfId="29760" xr:uid="{00000000-0005-0000-0000-0000AF180000}"/>
    <cellStyle name="메모 2 14 6" xfId="22889" xr:uid="{00000000-0005-0000-0000-0000B0180000}"/>
    <cellStyle name="메모 2 14 6 2" xfId="20116" xr:uid="{00000000-0005-0000-0000-0000B1180000}"/>
    <cellStyle name="메모 2 14 6 3" xfId="27119" xr:uid="{00000000-0005-0000-0000-0000B2180000}"/>
    <cellStyle name="메모 2 14 6 4" xfId="30233" xr:uid="{00000000-0005-0000-0000-0000B3180000}"/>
    <cellStyle name="메모 2 14 7" xfId="21236" xr:uid="{00000000-0005-0000-0000-0000B4180000}"/>
    <cellStyle name="메모 2 14 7 2" xfId="23977" xr:uid="{00000000-0005-0000-0000-0000B5180000}"/>
    <cellStyle name="메모 2 14 7 3" xfId="25458" xr:uid="{00000000-0005-0000-0000-0000B6180000}"/>
    <cellStyle name="메모 2 14 7 4" xfId="28575" xr:uid="{00000000-0005-0000-0000-0000B7180000}"/>
    <cellStyle name="메모 2 14 8" xfId="20579" xr:uid="{00000000-0005-0000-0000-0000B8180000}"/>
    <cellStyle name="메모 2 14 9" xfId="18886" xr:uid="{00000000-0005-0000-0000-0000B9180000}"/>
    <cellStyle name="메모 2 15" xfId="14653" xr:uid="{00000000-0005-0000-0000-0000BA180000}"/>
    <cellStyle name="메모 2 15 2" xfId="15584" xr:uid="{00000000-0005-0000-0000-0000BB180000}"/>
    <cellStyle name="메모 2 15 2 2" xfId="24091" xr:uid="{00000000-0005-0000-0000-0000BC180000}"/>
    <cellStyle name="메모 2 15 2 3" xfId="26223" xr:uid="{00000000-0005-0000-0000-0000BD180000}"/>
    <cellStyle name="메모 2 15 2 4" xfId="29337" xr:uid="{00000000-0005-0000-0000-0000BE180000}"/>
    <cellStyle name="메모 2 15 2 5" xfId="21993" xr:uid="{00000000-0005-0000-0000-0000BF180000}"/>
    <cellStyle name="메모 2 15 3" xfId="15938" xr:uid="{00000000-0005-0000-0000-0000C0180000}"/>
    <cellStyle name="메모 2 15 3 2" xfId="19724" xr:uid="{00000000-0005-0000-0000-0000C1180000}"/>
    <cellStyle name="메모 2 15 3 3" xfId="26696" xr:uid="{00000000-0005-0000-0000-0000C2180000}"/>
    <cellStyle name="메모 2 15 3 4" xfId="29810" xr:uid="{00000000-0005-0000-0000-0000C3180000}"/>
    <cellStyle name="메모 2 15 3 5" xfId="22466" xr:uid="{00000000-0005-0000-0000-0000C4180000}"/>
    <cellStyle name="메모 2 15 4" xfId="16606" xr:uid="{00000000-0005-0000-0000-0000C5180000}"/>
    <cellStyle name="메모 2 15 4 2" xfId="20327" xr:uid="{00000000-0005-0000-0000-0000C6180000}"/>
    <cellStyle name="메모 2 15 4 3" xfId="27514" xr:uid="{00000000-0005-0000-0000-0000C7180000}"/>
    <cellStyle name="메모 2 15 4 4" xfId="30628" xr:uid="{00000000-0005-0000-0000-0000C8180000}"/>
    <cellStyle name="메모 2 15 4 5" xfId="23284" xr:uid="{00000000-0005-0000-0000-0000C9180000}"/>
    <cellStyle name="메모 2 15 5" xfId="21487" xr:uid="{00000000-0005-0000-0000-0000CA180000}"/>
    <cellStyle name="메모 2 15 6" xfId="24395" xr:uid="{00000000-0005-0000-0000-0000CB180000}"/>
    <cellStyle name="메모 2 15 7" xfId="25672" xr:uid="{00000000-0005-0000-0000-0000CC180000}"/>
    <cellStyle name="메모 2 15 8" xfId="28789" xr:uid="{00000000-0005-0000-0000-0000CD180000}"/>
    <cellStyle name="메모 2 15 9" xfId="17890" xr:uid="{00000000-0005-0000-0000-0000CE180000}"/>
    <cellStyle name="메모 2 16" xfId="15091" xr:uid="{00000000-0005-0000-0000-0000CF180000}"/>
    <cellStyle name="메모 2 16 2" xfId="15810" xr:uid="{00000000-0005-0000-0000-0000D0180000}"/>
    <cellStyle name="메모 2 16 2 2" xfId="31560" xr:uid="{00000000-0005-0000-0000-0000D1180000}"/>
    <cellStyle name="메모 2 16 2 3" xfId="19117" xr:uid="{00000000-0005-0000-0000-0000D2180000}"/>
    <cellStyle name="메모 2 16 3" xfId="16203" xr:uid="{00000000-0005-0000-0000-0000D3180000}"/>
    <cellStyle name="메모 2 16 3 2" xfId="31818" xr:uid="{00000000-0005-0000-0000-0000D4180000}"/>
    <cellStyle name="메모 2 16 3 3" xfId="25062" xr:uid="{00000000-0005-0000-0000-0000D5180000}"/>
    <cellStyle name="메모 2 16 4" xfId="16607" xr:uid="{00000000-0005-0000-0000-0000D6180000}"/>
    <cellStyle name="메모 2 16 4 2" xfId="28186" xr:uid="{00000000-0005-0000-0000-0000D7180000}"/>
    <cellStyle name="메모 2 16 5" xfId="20814" xr:uid="{00000000-0005-0000-0000-0000D8180000}"/>
    <cellStyle name="메모 2 17" xfId="14930" xr:uid="{00000000-0005-0000-0000-0000D9180000}"/>
    <cellStyle name="메모 2 17 2" xfId="15680" xr:uid="{00000000-0005-0000-0000-0000DA180000}"/>
    <cellStyle name="메모 2 17 2 2" xfId="31458" xr:uid="{00000000-0005-0000-0000-0000DB180000}"/>
    <cellStyle name="메모 2 17 3" xfId="16042" xr:uid="{00000000-0005-0000-0000-0000DC180000}"/>
    <cellStyle name="메모 2 17 3 2" xfId="31685" xr:uid="{00000000-0005-0000-0000-0000DD180000}"/>
    <cellStyle name="메모 2 17 4" xfId="16608" xr:uid="{00000000-0005-0000-0000-0000DE180000}"/>
    <cellStyle name="메모 2 17 4 2" xfId="32129" xr:uid="{00000000-0005-0000-0000-0000DF180000}"/>
    <cellStyle name="메모 2 17 5" xfId="31196" xr:uid="{00000000-0005-0000-0000-0000E0180000}"/>
    <cellStyle name="메모 2 17 6" xfId="20336" xr:uid="{00000000-0005-0000-0000-0000E1180000}"/>
    <cellStyle name="메모 2 18" xfId="15032" xr:uid="{00000000-0005-0000-0000-0000E2180000}"/>
    <cellStyle name="메모 2 18 2" xfId="15760" xr:uid="{00000000-0005-0000-0000-0000E3180000}"/>
    <cellStyle name="메모 2 18 2 2" xfId="31538" xr:uid="{00000000-0005-0000-0000-0000E4180000}"/>
    <cellStyle name="메모 2 18 3" xfId="16144" xr:uid="{00000000-0005-0000-0000-0000E5180000}"/>
    <cellStyle name="메모 2 18 3 2" xfId="31787" xr:uid="{00000000-0005-0000-0000-0000E6180000}"/>
    <cellStyle name="메모 2 18 4" xfId="16609" xr:uid="{00000000-0005-0000-0000-0000E7180000}"/>
    <cellStyle name="메모 2 18 4 2" xfId="32130" xr:uid="{00000000-0005-0000-0000-0000E8180000}"/>
    <cellStyle name="메모 2 18 5" xfId="31249" xr:uid="{00000000-0005-0000-0000-0000E9180000}"/>
    <cellStyle name="메모 2 18 6" xfId="18655" xr:uid="{00000000-0005-0000-0000-0000EA180000}"/>
    <cellStyle name="메모 2 19" xfId="15124" xr:uid="{00000000-0005-0000-0000-0000EB180000}"/>
    <cellStyle name="메모 2 19 2" xfId="15843" xr:uid="{00000000-0005-0000-0000-0000EC180000}"/>
    <cellStyle name="메모 2 19 2 2" xfId="31587" xr:uid="{00000000-0005-0000-0000-0000ED180000}"/>
    <cellStyle name="메모 2 19 3" xfId="16236" xr:uid="{00000000-0005-0000-0000-0000EE180000}"/>
    <cellStyle name="메모 2 19 3 2" xfId="31845" xr:uid="{00000000-0005-0000-0000-0000EF180000}"/>
    <cellStyle name="메모 2 19 4" xfId="16610" xr:uid="{00000000-0005-0000-0000-0000F0180000}"/>
    <cellStyle name="메모 2 19 4 2" xfId="32131" xr:uid="{00000000-0005-0000-0000-0000F1180000}"/>
    <cellStyle name="메모 2 19 5" xfId="31276" xr:uid="{00000000-0005-0000-0000-0000F2180000}"/>
    <cellStyle name="메모 2 19 6" xfId="18584" xr:uid="{00000000-0005-0000-0000-0000F3180000}"/>
    <cellStyle name="메모 2 2" xfId="11873" xr:uid="{00000000-0005-0000-0000-0000F4180000}"/>
    <cellStyle name="메모 2 2 10" xfId="11874" xr:uid="{00000000-0005-0000-0000-0000F5180000}"/>
    <cellStyle name="메모 2 2 11" xfId="11875" xr:uid="{00000000-0005-0000-0000-0000F6180000}"/>
    <cellStyle name="메모 2 2 12" xfId="14719" xr:uid="{00000000-0005-0000-0000-0000F7180000}"/>
    <cellStyle name="메모 2 2 12 2" xfId="15605" xr:uid="{00000000-0005-0000-0000-0000F8180000}"/>
    <cellStyle name="메모 2 2 12 2 2" xfId="22202" xr:uid="{00000000-0005-0000-0000-0000F9180000}"/>
    <cellStyle name="메모 2 2 12 2 2 2" xfId="18353" xr:uid="{00000000-0005-0000-0000-0000FA180000}"/>
    <cellStyle name="메모 2 2 12 2 2 3" xfId="26432" xr:uid="{00000000-0005-0000-0000-0000FB180000}"/>
    <cellStyle name="메모 2 2 12 2 2 4" xfId="29546" xr:uid="{00000000-0005-0000-0000-0000FC180000}"/>
    <cellStyle name="메모 2 2 12 2 3" xfId="22678" xr:uid="{00000000-0005-0000-0000-0000FD180000}"/>
    <cellStyle name="메모 2 2 12 2 3 2" xfId="19919" xr:uid="{00000000-0005-0000-0000-0000FE180000}"/>
    <cellStyle name="메모 2 2 12 2 3 3" xfId="26908" xr:uid="{00000000-0005-0000-0000-0000FF180000}"/>
    <cellStyle name="메모 2 2 12 2 3 4" xfId="30022" xr:uid="{00000000-0005-0000-0000-000000190000}"/>
    <cellStyle name="메모 2 2 12 2 4" xfId="23488" xr:uid="{00000000-0005-0000-0000-000001190000}"/>
    <cellStyle name="메모 2 2 12 2 4 2" xfId="18151" xr:uid="{00000000-0005-0000-0000-000002190000}"/>
    <cellStyle name="메모 2 2 12 2 4 3" xfId="27718" xr:uid="{00000000-0005-0000-0000-000003190000}"/>
    <cellStyle name="메모 2 2 12 2 4 4" xfId="30832" xr:uid="{00000000-0005-0000-0000-000004190000}"/>
    <cellStyle name="메모 2 2 12 2 5" xfId="24564" xr:uid="{00000000-0005-0000-0000-000005190000}"/>
    <cellStyle name="메모 2 2 12 2 6" xfId="25879" xr:uid="{00000000-0005-0000-0000-000006190000}"/>
    <cellStyle name="메모 2 2 12 2 7" xfId="28993" xr:uid="{00000000-0005-0000-0000-000007190000}"/>
    <cellStyle name="메모 2 2 12 2 8" xfId="21649" xr:uid="{00000000-0005-0000-0000-000008190000}"/>
    <cellStyle name="메모 2 2 12 3" xfId="15955" xr:uid="{00000000-0005-0000-0000-000009190000}"/>
    <cellStyle name="메모 2 2 12 3 2" xfId="31610" xr:uid="{00000000-0005-0000-0000-00000A190000}"/>
    <cellStyle name="메모 2 2 12 3 3" xfId="21323" xr:uid="{00000000-0005-0000-0000-00000B190000}"/>
    <cellStyle name="메모 2 2 12 4" xfId="16611" xr:uid="{00000000-0005-0000-0000-00000C190000}"/>
    <cellStyle name="메모 2 2 12 4 2" xfId="32132" xr:uid="{00000000-0005-0000-0000-00000D190000}"/>
    <cellStyle name="메모 2 2 12 4 3" xfId="20619" xr:uid="{00000000-0005-0000-0000-00000E190000}"/>
    <cellStyle name="메모 2 2 12 5" xfId="18924" xr:uid="{00000000-0005-0000-0000-00000F190000}"/>
    <cellStyle name="메모 2 2 12 6" xfId="24867" xr:uid="{00000000-0005-0000-0000-000010190000}"/>
    <cellStyle name="메모 2 2 12 7" xfId="27991" xr:uid="{00000000-0005-0000-0000-000011190000}"/>
    <cellStyle name="메모 2 2 12 8" xfId="17891" xr:uid="{00000000-0005-0000-0000-000012190000}"/>
    <cellStyle name="메모 2 2 13" xfId="14608" xr:uid="{00000000-0005-0000-0000-000013190000}"/>
    <cellStyle name="메모 2 2 13 10" xfId="24828" xr:uid="{00000000-0005-0000-0000-000014190000}"/>
    <cellStyle name="메모 2 2 13 11" xfId="27952" xr:uid="{00000000-0005-0000-0000-000015190000}"/>
    <cellStyle name="메모 2 2 13 12" xfId="17892" xr:uid="{00000000-0005-0000-0000-000016190000}"/>
    <cellStyle name="메모 2 2 13 2" xfId="15539" xr:uid="{00000000-0005-0000-0000-000017190000}"/>
    <cellStyle name="메모 2 2 13 2 2" xfId="22163" xr:uid="{00000000-0005-0000-0000-000018190000}"/>
    <cellStyle name="메모 2 2 13 2 2 2" xfId="19581" xr:uid="{00000000-0005-0000-0000-000019190000}"/>
    <cellStyle name="메모 2 2 13 2 2 3" xfId="26393" xr:uid="{00000000-0005-0000-0000-00001A190000}"/>
    <cellStyle name="메모 2 2 13 2 2 4" xfId="29507" xr:uid="{00000000-0005-0000-0000-00001B190000}"/>
    <cellStyle name="메모 2 2 13 2 3" xfId="22639" xr:uid="{00000000-0005-0000-0000-00001C190000}"/>
    <cellStyle name="메모 2 2 13 2 3 2" xfId="19885" xr:uid="{00000000-0005-0000-0000-00001D190000}"/>
    <cellStyle name="메모 2 2 13 2 3 3" xfId="26869" xr:uid="{00000000-0005-0000-0000-00001E190000}"/>
    <cellStyle name="메모 2 2 13 2 3 4" xfId="29983" xr:uid="{00000000-0005-0000-0000-00001F190000}"/>
    <cellStyle name="메모 2 2 13 2 4" xfId="23449" xr:uid="{00000000-0005-0000-0000-000020190000}"/>
    <cellStyle name="메모 2 2 13 2 4 2" xfId="24049" xr:uid="{00000000-0005-0000-0000-000021190000}"/>
    <cellStyle name="메모 2 2 13 2 4 3" xfId="27679" xr:uid="{00000000-0005-0000-0000-000022190000}"/>
    <cellStyle name="메모 2 2 13 2 4 4" xfId="30793" xr:uid="{00000000-0005-0000-0000-000023190000}"/>
    <cellStyle name="메모 2 2 13 2 5" xfId="21153" xr:uid="{00000000-0005-0000-0000-000024190000}"/>
    <cellStyle name="메모 2 2 13 2 6" xfId="25840" xr:uid="{00000000-0005-0000-0000-000025190000}"/>
    <cellStyle name="메모 2 2 13 2 7" xfId="28954" xr:uid="{00000000-0005-0000-0000-000026190000}"/>
    <cellStyle name="메모 2 2 13 2 8" xfId="21610" xr:uid="{00000000-0005-0000-0000-000027190000}"/>
    <cellStyle name="메모 2 2 13 3" xfId="15893" xr:uid="{00000000-0005-0000-0000-000028190000}"/>
    <cellStyle name="메모 2 2 13 3 2" xfId="19480" xr:uid="{00000000-0005-0000-0000-000029190000}"/>
    <cellStyle name="메모 2 2 13 3 3" xfId="25623" xr:uid="{00000000-0005-0000-0000-00002A190000}"/>
    <cellStyle name="메모 2 2 13 3 4" xfId="28740" xr:uid="{00000000-0005-0000-0000-00002B190000}"/>
    <cellStyle name="메모 2 2 13 3 5" xfId="21436" xr:uid="{00000000-0005-0000-0000-00002C190000}"/>
    <cellStyle name="메모 2 2 13 4" xfId="16612" xr:uid="{00000000-0005-0000-0000-00002D190000}"/>
    <cellStyle name="메모 2 2 13 4 2" xfId="24275" xr:uid="{00000000-0005-0000-0000-00002E190000}"/>
    <cellStyle name="메모 2 2 13 4 3" xfId="26174" xr:uid="{00000000-0005-0000-0000-00002F190000}"/>
    <cellStyle name="메모 2 2 13 4 4" xfId="29288" xr:uid="{00000000-0005-0000-0000-000030190000}"/>
    <cellStyle name="메모 2 2 13 4 5" xfId="21944" xr:uid="{00000000-0005-0000-0000-000031190000}"/>
    <cellStyle name="메모 2 2 13 5" xfId="22417" xr:uid="{00000000-0005-0000-0000-000032190000}"/>
    <cellStyle name="메모 2 2 13 5 2" xfId="19681" xr:uid="{00000000-0005-0000-0000-000033190000}"/>
    <cellStyle name="메모 2 2 13 5 3" xfId="26647" xr:uid="{00000000-0005-0000-0000-000034190000}"/>
    <cellStyle name="메모 2 2 13 5 4" xfId="29761" xr:uid="{00000000-0005-0000-0000-000035190000}"/>
    <cellStyle name="메모 2 2 13 6" xfId="22890" xr:uid="{00000000-0005-0000-0000-000036190000}"/>
    <cellStyle name="메모 2 2 13 6 2" xfId="23845" xr:uid="{00000000-0005-0000-0000-000037190000}"/>
    <cellStyle name="메모 2 2 13 6 3" xfId="27120" xr:uid="{00000000-0005-0000-0000-000038190000}"/>
    <cellStyle name="메모 2 2 13 6 4" xfId="30234" xr:uid="{00000000-0005-0000-0000-000039190000}"/>
    <cellStyle name="메모 2 2 13 7" xfId="21235" xr:uid="{00000000-0005-0000-0000-00003A190000}"/>
    <cellStyle name="메모 2 2 13 7 2" xfId="24184" xr:uid="{00000000-0005-0000-0000-00003B190000}"/>
    <cellStyle name="메모 2 2 13 7 3" xfId="25457" xr:uid="{00000000-0005-0000-0000-00003C190000}"/>
    <cellStyle name="메모 2 2 13 7 4" xfId="28574" xr:uid="{00000000-0005-0000-0000-00003D190000}"/>
    <cellStyle name="메모 2 2 13 8" xfId="20580" xr:uid="{00000000-0005-0000-0000-00003E190000}"/>
    <cellStyle name="메모 2 2 13 9" xfId="18887" xr:uid="{00000000-0005-0000-0000-00003F190000}"/>
    <cellStyle name="메모 2 2 14" xfId="14652" xr:uid="{00000000-0005-0000-0000-000040190000}"/>
    <cellStyle name="메모 2 2 14 2" xfId="15583" xr:uid="{00000000-0005-0000-0000-000041190000}"/>
    <cellStyle name="메모 2 2 14 2 2" xfId="19344" xr:uid="{00000000-0005-0000-0000-000042190000}"/>
    <cellStyle name="메모 2 2 14 2 3" xfId="26224" xr:uid="{00000000-0005-0000-0000-000043190000}"/>
    <cellStyle name="메모 2 2 14 2 4" xfId="29338" xr:uid="{00000000-0005-0000-0000-000044190000}"/>
    <cellStyle name="메모 2 2 14 2 5" xfId="21994" xr:uid="{00000000-0005-0000-0000-000045190000}"/>
    <cellStyle name="메모 2 2 14 3" xfId="15937" xr:uid="{00000000-0005-0000-0000-000046190000}"/>
    <cellStyle name="메모 2 2 14 3 2" xfId="19725" xr:uid="{00000000-0005-0000-0000-000047190000}"/>
    <cellStyle name="메모 2 2 14 3 3" xfId="26697" xr:uid="{00000000-0005-0000-0000-000048190000}"/>
    <cellStyle name="메모 2 2 14 3 4" xfId="29811" xr:uid="{00000000-0005-0000-0000-000049190000}"/>
    <cellStyle name="메모 2 2 14 3 5" xfId="22467" xr:uid="{00000000-0005-0000-0000-00004A190000}"/>
    <cellStyle name="메모 2 2 14 4" xfId="16613" xr:uid="{00000000-0005-0000-0000-00004B190000}"/>
    <cellStyle name="메모 2 2 14 4 2" xfId="21483" xr:uid="{00000000-0005-0000-0000-00004C190000}"/>
    <cellStyle name="메모 2 2 14 4 3" xfId="27515" xr:uid="{00000000-0005-0000-0000-00004D190000}"/>
    <cellStyle name="메모 2 2 14 4 4" xfId="30629" xr:uid="{00000000-0005-0000-0000-00004E190000}"/>
    <cellStyle name="메모 2 2 14 4 5" xfId="23285" xr:uid="{00000000-0005-0000-0000-00004F190000}"/>
    <cellStyle name="메모 2 2 14 5" xfId="21488" xr:uid="{00000000-0005-0000-0000-000050190000}"/>
    <cellStyle name="메모 2 2 14 6" xfId="24224" xr:uid="{00000000-0005-0000-0000-000051190000}"/>
    <cellStyle name="메모 2 2 14 7" xfId="25673" xr:uid="{00000000-0005-0000-0000-000052190000}"/>
    <cellStyle name="메모 2 2 14 8" xfId="28790" xr:uid="{00000000-0005-0000-0000-000053190000}"/>
    <cellStyle name="메모 2 2 14 9" xfId="17893" xr:uid="{00000000-0005-0000-0000-000054190000}"/>
    <cellStyle name="메모 2 2 15" xfId="15092" xr:uid="{00000000-0005-0000-0000-000055190000}"/>
    <cellStyle name="메모 2 2 15 2" xfId="15811" xr:uid="{00000000-0005-0000-0000-000056190000}"/>
    <cellStyle name="메모 2 2 15 2 2" xfId="31561" xr:uid="{00000000-0005-0000-0000-000057190000}"/>
    <cellStyle name="메모 2 2 15 2 3" xfId="23916" xr:uid="{00000000-0005-0000-0000-000058190000}"/>
    <cellStyle name="메모 2 2 15 3" xfId="16204" xr:uid="{00000000-0005-0000-0000-000059190000}"/>
    <cellStyle name="메모 2 2 15 3 2" xfId="31819" xr:uid="{00000000-0005-0000-0000-00005A190000}"/>
    <cellStyle name="메모 2 2 15 3 3" xfId="25127" xr:uid="{00000000-0005-0000-0000-00005B190000}"/>
    <cellStyle name="메모 2 2 15 4" xfId="16614" xr:uid="{00000000-0005-0000-0000-00005C190000}"/>
    <cellStyle name="메모 2 2 15 4 2" xfId="28251" xr:uid="{00000000-0005-0000-0000-00005D190000}"/>
    <cellStyle name="메모 2 2 15 5" xfId="20876" xr:uid="{00000000-0005-0000-0000-00005E190000}"/>
    <cellStyle name="메모 2 2 16" xfId="14929" xr:uid="{00000000-0005-0000-0000-00005F190000}"/>
    <cellStyle name="메모 2 2 16 2" xfId="15679" xr:uid="{00000000-0005-0000-0000-000060190000}"/>
    <cellStyle name="메모 2 2 16 2 2" xfId="31457" xr:uid="{00000000-0005-0000-0000-000061190000}"/>
    <cellStyle name="메모 2 2 16 3" xfId="16041" xr:uid="{00000000-0005-0000-0000-000062190000}"/>
    <cellStyle name="메모 2 2 16 3 2" xfId="31684" xr:uid="{00000000-0005-0000-0000-000063190000}"/>
    <cellStyle name="메모 2 2 16 4" xfId="16615" xr:uid="{00000000-0005-0000-0000-000064190000}"/>
    <cellStyle name="메모 2 2 16 4 2" xfId="32133" xr:uid="{00000000-0005-0000-0000-000065190000}"/>
    <cellStyle name="메모 2 2 16 5" xfId="31195" xr:uid="{00000000-0005-0000-0000-000066190000}"/>
    <cellStyle name="메모 2 2 16 6" xfId="20340" xr:uid="{00000000-0005-0000-0000-000067190000}"/>
    <cellStyle name="메모 2 2 17" xfId="15033" xr:uid="{00000000-0005-0000-0000-000068190000}"/>
    <cellStyle name="메모 2 2 17 2" xfId="15761" xr:uid="{00000000-0005-0000-0000-000069190000}"/>
    <cellStyle name="메모 2 2 17 2 2" xfId="31539" xr:uid="{00000000-0005-0000-0000-00006A190000}"/>
    <cellStyle name="메모 2 2 17 3" xfId="16145" xr:uid="{00000000-0005-0000-0000-00006B190000}"/>
    <cellStyle name="메모 2 2 17 3 2" xfId="31788" xr:uid="{00000000-0005-0000-0000-00006C190000}"/>
    <cellStyle name="메모 2 2 17 4" xfId="16616" xr:uid="{00000000-0005-0000-0000-00006D190000}"/>
    <cellStyle name="메모 2 2 17 4 2" xfId="32134" xr:uid="{00000000-0005-0000-0000-00006E190000}"/>
    <cellStyle name="메모 2 2 17 5" xfId="31250" xr:uid="{00000000-0005-0000-0000-00006F190000}"/>
    <cellStyle name="메모 2 2 17 6" xfId="18656" xr:uid="{00000000-0005-0000-0000-000070190000}"/>
    <cellStyle name="메모 2 2 18" xfId="14883" xr:uid="{00000000-0005-0000-0000-000071190000}"/>
    <cellStyle name="메모 2 2 18 2" xfId="15644" xr:uid="{00000000-0005-0000-0000-000072190000}"/>
    <cellStyle name="메모 2 2 18 2 2" xfId="31422" xr:uid="{00000000-0005-0000-0000-000073190000}"/>
    <cellStyle name="메모 2 2 18 3" xfId="15995" xr:uid="{00000000-0005-0000-0000-000074190000}"/>
    <cellStyle name="메모 2 2 18 3 2" xfId="31638" xr:uid="{00000000-0005-0000-0000-000075190000}"/>
    <cellStyle name="메모 2 2 18 4" xfId="16617" xr:uid="{00000000-0005-0000-0000-000076190000}"/>
    <cellStyle name="메모 2 2 18 4 2" xfId="32135" xr:uid="{00000000-0005-0000-0000-000077190000}"/>
    <cellStyle name="메모 2 2 18 5" xfId="31166" xr:uid="{00000000-0005-0000-0000-000078190000}"/>
    <cellStyle name="메모 2 2 18 6" xfId="18583" xr:uid="{00000000-0005-0000-0000-000079190000}"/>
    <cellStyle name="메모 2 2 19" xfId="15058" xr:uid="{00000000-0005-0000-0000-00007A190000}"/>
    <cellStyle name="메모 2 2 19 2" xfId="16170" xr:uid="{00000000-0005-0000-0000-00007B190000}"/>
    <cellStyle name="메모 2 2 19 2 2" xfId="31813" xr:uid="{00000000-0005-0000-0000-00007C190000}"/>
    <cellStyle name="메모 2 2 19 3" xfId="16618" xr:uid="{00000000-0005-0000-0000-00007D190000}"/>
    <cellStyle name="메모 2 2 19 3 2" xfId="32136" xr:uid="{00000000-0005-0000-0000-00007E190000}"/>
    <cellStyle name="메모 2 2 19 4" xfId="16619" xr:uid="{00000000-0005-0000-0000-00007F190000}"/>
    <cellStyle name="메모 2 2 19 4 2" xfId="32137" xr:uid="{00000000-0005-0000-0000-000080190000}"/>
    <cellStyle name="메모 2 2 19 5" xfId="18462" xr:uid="{00000000-0005-0000-0000-000081190000}"/>
    <cellStyle name="메모 2 2 2" xfId="11876" xr:uid="{00000000-0005-0000-0000-000082190000}"/>
    <cellStyle name="메모 2 2 2 2" xfId="11877" xr:uid="{00000000-0005-0000-0000-000083190000}"/>
    <cellStyle name="메모 2 2 2 2 2" xfId="11878" xr:uid="{00000000-0005-0000-0000-000084190000}"/>
    <cellStyle name="메모 2 2 2 2 3" xfId="11879" xr:uid="{00000000-0005-0000-0000-000085190000}"/>
    <cellStyle name="메모 2 2 2 2 4" xfId="11880" xr:uid="{00000000-0005-0000-0000-000086190000}"/>
    <cellStyle name="메모 2 2 2 3" xfId="11881" xr:uid="{00000000-0005-0000-0000-000087190000}"/>
    <cellStyle name="메모 2 2 2 3 2" xfId="11882" xr:uid="{00000000-0005-0000-0000-000088190000}"/>
    <cellStyle name="메모 2 2 2 3 3" xfId="11883" xr:uid="{00000000-0005-0000-0000-000089190000}"/>
    <cellStyle name="메모 2 2 2 3 4" xfId="11884" xr:uid="{00000000-0005-0000-0000-00008A190000}"/>
    <cellStyle name="메모 2 2 2 4" xfId="11885" xr:uid="{00000000-0005-0000-0000-00008B190000}"/>
    <cellStyle name="메모 2 2 2 5" xfId="11886" xr:uid="{00000000-0005-0000-0000-00008C190000}"/>
    <cellStyle name="메모 2 2 2 6" xfId="11887" xr:uid="{00000000-0005-0000-0000-00008D190000}"/>
    <cellStyle name="메모 2 2 20" xfId="15189" xr:uid="{00000000-0005-0000-0000-00008E190000}"/>
    <cellStyle name="메모 2 2 20 2" xfId="31325" xr:uid="{00000000-0005-0000-0000-00008F190000}"/>
    <cellStyle name="메모 2 2 21" xfId="16620" xr:uid="{00000000-0005-0000-0000-000090190000}"/>
    <cellStyle name="메모 2 2 21 2" xfId="32138" xr:uid="{00000000-0005-0000-0000-000091190000}"/>
    <cellStyle name="메모 2 2 22" xfId="16621" xr:uid="{00000000-0005-0000-0000-000092190000}"/>
    <cellStyle name="메모 2 2 22 2" xfId="32139" xr:uid="{00000000-0005-0000-0000-000093190000}"/>
    <cellStyle name="메모 2 2 3" xfId="11888" xr:uid="{00000000-0005-0000-0000-000094190000}"/>
    <cellStyle name="메모 2 2 3 2" xfId="11889" xr:uid="{00000000-0005-0000-0000-000095190000}"/>
    <cellStyle name="메모 2 2 3 2 2" xfId="11890" xr:uid="{00000000-0005-0000-0000-000096190000}"/>
    <cellStyle name="메모 2 2 3 2 3" xfId="11891" xr:uid="{00000000-0005-0000-0000-000097190000}"/>
    <cellStyle name="메모 2 2 3 2 4" xfId="11892" xr:uid="{00000000-0005-0000-0000-000098190000}"/>
    <cellStyle name="메모 2 2 3 3" xfId="11893" xr:uid="{00000000-0005-0000-0000-000099190000}"/>
    <cellStyle name="메모 2 2 3 3 2" xfId="11894" xr:uid="{00000000-0005-0000-0000-00009A190000}"/>
    <cellStyle name="메모 2 2 3 3 3" xfId="11895" xr:uid="{00000000-0005-0000-0000-00009B190000}"/>
    <cellStyle name="메모 2 2 3 3 4" xfId="11896" xr:uid="{00000000-0005-0000-0000-00009C190000}"/>
    <cellStyle name="메모 2 2 3 4" xfId="11897" xr:uid="{00000000-0005-0000-0000-00009D190000}"/>
    <cellStyle name="메모 2 2 3 5" xfId="11898" xr:uid="{00000000-0005-0000-0000-00009E190000}"/>
    <cellStyle name="메모 2 2 3 6" xfId="11899" xr:uid="{00000000-0005-0000-0000-00009F190000}"/>
    <cellStyle name="메모 2 2 4" xfId="11900" xr:uid="{00000000-0005-0000-0000-0000A0190000}"/>
    <cellStyle name="메모 2 2 4 2" xfId="11901" xr:uid="{00000000-0005-0000-0000-0000A1190000}"/>
    <cellStyle name="메모 2 2 4 2 2" xfId="11902" xr:uid="{00000000-0005-0000-0000-0000A2190000}"/>
    <cellStyle name="메모 2 2 4 2 3" xfId="11903" xr:uid="{00000000-0005-0000-0000-0000A3190000}"/>
    <cellStyle name="메모 2 2 4 2 4" xfId="11904" xr:uid="{00000000-0005-0000-0000-0000A4190000}"/>
    <cellStyle name="메모 2 2 4 3" xfId="11905" xr:uid="{00000000-0005-0000-0000-0000A5190000}"/>
    <cellStyle name="메모 2 2 4 3 2" xfId="11906" xr:uid="{00000000-0005-0000-0000-0000A6190000}"/>
    <cellStyle name="메모 2 2 4 3 3" xfId="11907" xr:uid="{00000000-0005-0000-0000-0000A7190000}"/>
    <cellStyle name="메모 2 2 4 3 4" xfId="11908" xr:uid="{00000000-0005-0000-0000-0000A8190000}"/>
    <cellStyle name="메모 2 2 4 4" xfId="11909" xr:uid="{00000000-0005-0000-0000-0000A9190000}"/>
    <cellStyle name="메모 2 2 4 5" xfId="11910" xr:uid="{00000000-0005-0000-0000-0000AA190000}"/>
    <cellStyle name="메모 2 2 4 6" xfId="11911" xr:uid="{00000000-0005-0000-0000-0000AB190000}"/>
    <cellStyle name="메모 2 2 5" xfId="11912" xr:uid="{00000000-0005-0000-0000-0000AC190000}"/>
    <cellStyle name="메모 2 2 5 2" xfId="11913" xr:uid="{00000000-0005-0000-0000-0000AD190000}"/>
    <cellStyle name="메모 2 2 5 3" xfId="11914" xr:uid="{00000000-0005-0000-0000-0000AE190000}"/>
    <cellStyle name="메모 2 2 5 4" xfId="11915" xr:uid="{00000000-0005-0000-0000-0000AF190000}"/>
    <cellStyle name="메모 2 2 6" xfId="11916" xr:uid="{00000000-0005-0000-0000-0000B0190000}"/>
    <cellStyle name="메모 2 2 6 2" xfId="11917" xr:uid="{00000000-0005-0000-0000-0000B1190000}"/>
    <cellStyle name="메모 2 2 6 3" xfId="11918" xr:uid="{00000000-0005-0000-0000-0000B2190000}"/>
    <cellStyle name="메모 2 2 6 4" xfId="11919" xr:uid="{00000000-0005-0000-0000-0000B3190000}"/>
    <cellStyle name="메모 2 2 7" xfId="11920" xr:uid="{00000000-0005-0000-0000-0000B4190000}"/>
    <cellStyle name="메모 2 2 7 2" xfId="11921" xr:uid="{00000000-0005-0000-0000-0000B5190000}"/>
    <cellStyle name="메모 2 2 7 3" xfId="11922" xr:uid="{00000000-0005-0000-0000-0000B6190000}"/>
    <cellStyle name="메모 2 2 7 4" xfId="11923" xr:uid="{00000000-0005-0000-0000-0000B7190000}"/>
    <cellStyle name="메모 2 2 8" xfId="11924" xr:uid="{00000000-0005-0000-0000-0000B8190000}"/>
    <cellStyle name="메모 2 2 9" xfId="11925" xr:uid="{00000000-0005-0000-0000-0000B9190000}"/>
    <cellStyle name="메모 2 20" xfId="15001" xr:uid="{00000000-0005-0000-0000-0000BA190000}"/>
    <cellStyle name="메모 2 20 2" xfId="16113" xr:uid="{00000000-0005-0000-0000-0000BB190000}"/>
    <cellStyle name="메모 2 20 2 2" xfId="31756" xr:uid="{00000000-0005-0000-0000-0000BC190000}"/>
    <cellStyle name="메모 2 20 3" xfId="16622" xr:uid="{00000000-0005-0000-0000-0000BD190000}"/>
    <cellStyle name="메모 2 20 3 2" xfId="32140" xr:uid="{00000000-0005-0000-0000-0000BE190000}"/>
    <cellStyle name="메모 2 20 4" xfId="16623" xr:uid="{00000000-0005-0000-0000-0000BF190000}"/>
    <cellStyle name="메모 2 20 4 2" xfId="32141" xr:uid="{00000000-0005-0000-0000-0000C0190000}"/>
    <cellStyle name="메모 2 20 5" xfId="18461" xr:uid="{00000000-0005-0000-0000-0000C1190000}"/>
    <cellStyle name="메모 2 21" xfId="15188" xr:uid="{00000000-0005-0000-0000-0000C2190000}"/>
    <cellStyle name="메모 2 21 2" xfId="31324" xr:uid="{00000000-0005-0000-0000-0000C3190000}"/>
    <cellStyle name="메모 2 22" xfId="16624" xr:uid="{00000000-0005-0000-0000-0000C4190000}"/>
    <cellStyle name="메모 2 22 2" xfId="32142" xr:uid="{00000000-0005-0000-0000-0000C5190000}"/>
    <cellStyle name="메모 2 23" xfId="16625" xr:uid="{00000000-0005-0000-0000-0000C6190000}"/>
    <cellStyle name="메모 2 23 2" xfId="32143" xr:uid="{00000000-0005-0000-0000-0000C7190000}"/>
    <cellStyle name="메모 2 3" xfId="11926" xr:uid="{00000000-0005-0000-0000-0000C8190000}"/>
    <cellStyle name="메모 2 3 10" xfId="15093" xr:uid="{00000000-0005-0000-0000-0000C9190000}"/>
    <cellStyle name="메모 2 3 10 2" xfId="15812" xr:uid="{00000000-0005-0000-0000-0000CA190000}"/>
    <cellStyle name="메모 2 3 10 2 2" xfId="31562" xr:uid="{00000000-0005-0000-0000-0000CB190000}"/>
    <cellStyle name="메모 2 3 10 2 3" xfId="24176" xr:uid="{00000000-0005-0000-0000-0000CC190000}"/>
    <cellStyle name="메모 2 3 10 3" xfId="16205" xr:uid="{00000000-0005-0000-0000-0000CD190000}"/>
    <cellStyle name="메모 2 3 10 3 2" xfId="31820" xr:uid="{00000000-0005-0000-0000-0000CE190000}"/>
    <cellStyle name="메모 2 3 10 3 3" xfId="25128" xr:uid="{00000000-0005-0000-0000-0000CF190000}"/>
    <cellStyle name="메모 2 3 10 4" xfId="16626" xr:uid="{00000000-0005-0000-0000-0000D0190000}"/>
    <cellStyle name="메모 2 3 10 4 2" xfId="28252" xr:uid="{00000000-0005-0000-0000-0000D1190000}"/>
    <cellStyle name="메모 2 3 10 5" xfId="20877" xr:uid="{00000000-0005-0000-0000-0000D2190000}"/>
    <cellStyle name="메모 2 3 11" xfId="14928" xr:uid="{00000000-0005-0000-0000-0000D3190000}"/>
    <cellStyle name="메모 2 3 11 2" xfId="15678" xr:uid="{00000000-0005-0000-0000-0000D4190000}"/>
    <cellStyle name="메모 2 3 11 2 2" xfId="31456" xr:uid="{00000000-0005-0000-0000-0000D5190000}"/>
    <cellStyle name="메모 2 3 11 3" xfId="16040" xr:uid="{00000000-0005-0000-0000-0000D6190000}"/>
    <cellStyle name="메모 2 3 11 3 2" xfId="31683" xr:uid="{00000000-0005-0000-0000-0000D7190000}"/>
    <cellStyle name="메모 2 3 11 4" xfId="16627" xr:uid="{00000000-0005-0000-0000-0000D8190000}"/>
    <cellStyle name="메모 2 3 11 4 2" xfId="32144" xr:uid="{00000000-0005-0000-0000-0000D9190000}"/>
    <cellStyle name="메모 2 3 11 5" xfId="31194" xr:uid="{00000000-0005-0000-0000-0000DA190000}"/>
    <cellStyle name="메모 2 3 11 6" xfId="20393" xr:uid="{00000000-0005-0000-0000-0000DB190000}"/>
    <cellStyle name="메모 2 3 12" xfId="15146" xr:uid="{00000000-0005-0000-0000-0000DC190000}"/>
    <cellStyle name="메모 2 3 12 2" xfId="15857" xr:uid="{00000000-0005-0000-0000-0000DD190000}"/>
    <cellStyle name="메모 2 3 12 2 2" xfId="31601" xr:uid="{00000000-0005-0000-0000-0000DE190000}"/>
    <cellStyle name="메모 2 3 12 3" xfId="16258" xr:uid="{00000000-0005-0000-0000-0000DF190000}"/>
    <cellStyle name="메모 2 3 12 3 2" xfId="31867" xr:uid="{00000000-0005-0000-0000-0000E0190000}"/>
    <cellStyle name="메모 2 3 12 4" xfId="16628" xr:uid="{00000000-0005-0000-0000-0000E1190000}"/>
    <cellStyle name="메모 2 3 12 4 2" xfId="32145" xr:uid="{00000000-0005-0000-0000-0000E2190000}"/>
    <cellStyle name="메모 2 3 12 5" xfId="31290" xr:uid="{00000000-0005-0000-0000-0000E3190000}"/>
    <cellStyle name="메모 2 3 12 6" xfId="18679" xr:uid="{00000000-0005-0000-0000-0000E4190000}"/>
    <cellStyle name="메모 2 3 13" xfId="14974" xr:uid="{00000000-0005-0000-0000-0000E5190000}"/>
    <cellStyle name="메모 2 3 13 2" xfId="15724" xr:uid="{00000000-0005-0000-0000-0000E6190000}"/>
    <cellStyle name="메모 2 3 13 2 2" xfId="31502" xr:uid="{00000000-0005-0000-0000-0000E7190000}"/>
    <cellStyle name="메모 2 3 13 3" xfId="16086" xr:uid="{00000000-0005-0000-0000-0000E8190000}"/>
    <cellStyle name="메모 2 3 13 3 2" xfId="31729" xr:uid="{00000000-0005-0000-0000-0000E9190000}"/>
    <cellStyle name="메모 2 3 13 4" xfId="16629" xr:uid="{00000000-0005-0000-0000-0000EA190000}"/>
    <cellStyle name="메모 2 3 13 4 2" xfId="32146" xr:uid="{00000000-0005-0000-0000-0000EB190000}"/>
    <cellStyle name="메모 2 3 13 5" xfId="31213" xr:uid="{00000000-0005-0000-0000-0000EC190000}"/>
    <cellStyle name="메모 2 3 13 6" xfId="18582" xr:uid="{00000000-0005-0000-0000-0000ED190000}"/>
    <cellStyle name="메모 2 3 14" xfId="14897" xr:uid="{00000000-0005-0000-0000-0000EE190000}"/>
    <cellStyle name="메모 2 3 14 2" xfId="16009" xr:uid="{00000000-0005-0000-0000-0000EF190000}"/>
    <cellStyle name="메모 2 3 14 2 2" xfId="31652" xr:uid="{00000000-0005-0000-0000-0000F0190000}"/>
    <cellStyle name="메모 2 3 14 3" xfId="16630" xr:uid="{00000000-0005-0000-0000-0000F1190000}"/>
    <cellStyle name="메모 2 3 14 3 2" xfId="32147" xr:uid="{00000000-0005-0000-0000-0000F2190000}"/>
    <cellStyle name="메모 2 3 14 4" xfId="16631" xr:uid="{00000000-0005-0000-0000-0000F3190000}"/>
    <cellStyle name="메모 2 3 14 4 2" xfId="32148" xr:uid="{00000000-0005-0000-0000-0000F4190000}"/>
    <cellStyle name="메모 2 3 14 5" xfId="18463" xr:uid="{00000000-0005-0000-0000-0000F5190000}"/>
    <cellStyle name="메모 2 3 15" xfId="15190" xr:uid="{00000000-0005-0000-0000-0000F6190000}"/>
    <cellStyle name="메모 2 3 15 2" xfId="31326" xr:uid="{00000000-0005-0000-0000-0000F7190000}"/>
    <cellStyle name="메모 2 3 16" xfId="16632" xr:uid="{00000000-0005-0000-0000-0000F8190000}"/>
    <cellStyle name="메모 2 3 16 2" xfId="32149" xr:uid="{00000000-0005-0000-0000-0000F9190000}"/>
    <cellStyle name="메모 2 3 17" xfId="16633" xr:uid="{00000000-0005-0000-0000-0000FA190000}"/>
    <cellStyle name="메모 2 3 17 2" xfId="32150" xr:uid="{00000000-0005-0000-0000-0000FB190000}"/>
    <cellStyle name="메모 2 3 2" xfId="11927" xr:uid="{00000000-0005-0000-0000-0000FC190000}"/>
    <cellStyle name="메모 2 3 2 2" xfId="11928" xr:uid="{00000000-0005-0000-0000-0000FD190000}"/>
    <cellStyle name="메모 2 3 2 3" xfId="11929" xr:uid="{00000000-0005-0000-0000-0000FE190000}"/>
    <cellStyle name="메모 2 3 2 4" xfId="11930" xr:uid="{00000000-0005-0000-0000-0000FF190000}"/>
    <cellStyle name="메모 2 3 3" xfId="11931" xr:uid="{00000000-0005-0000-0000-0000001A0000}"/>
    <cellStyle name="메모 2 3 3 2" xfId="11932" xr:uid="{00000000-0005-0000-0000-0000011A0000}"/>
    <cellStyle name="메모 2 3 3 3" xfId="11933" xr:uid="{00000000-0005-0000-0000-0000021A0000}"/>
    <cellStyle name="메모 2 3 3 4" xfId="11934" xr:uid="{00000000-0005-0000-0000-0000031A0000}"/>
    <cellStyle name="메모 2 3 4" xfId="11935" xr:uid="{00000000-0005-0000-0000-0000041A0000}"/>
    <cellStyle name="메모 2 3 5" xfId="11936" xr:uid="{00000000-0005-0000-0000-0000051A0000}"/>
    <cellStyle name="메모 2 3 6" xfId="11937" xr:uid="{00000000-0005-0000-0000-0000061A0000}"/>
    <cellStyle name="메모 2 3 7" xfId="14720" xr:uid="{00000000-0005-0000-0000-0000071A0000}"/>
    <cellStyle name="메모 2 3 7 2" xfId="15606" xr:uid="{00000000-0005-0000-0000-0000081A0000}"/>
    <cellStyle name="메모 2 3 7 2 2" xfId="22252" xr:uid="{00000000-0005-0000-0000-0000091A0000}"/>
    <cellStyle name="메모 2 3 7 2 2 2" xfId="18403" xr:uid="{00000000-0005-0000-0000-00000A1A0000}"/>
    <cellStyle name="메모 2 3 7 2 2 3" xfId="26482" xr:uid="{00000000-0005-0000-0000-00000B1A0000}"/>
    <cellStyle name="메모 2 3 7 2 2 4" xfId="29596" xr:uid="{00000000-0005-0000-0000-00000C1A0000}"/>
    <cellStyle name="메모 2 3 7 2 3" xfId="22728" xr:uid="{00000000-0005-0000-0000-00000D1A0000}"/>
    <cellStyle name="메모 2 3 7 2 3 2" xfId="19965" xr:uid="{00000000-0005-0000-0000-00000E1A0000}"/>
    <cellStyle name="메모 2 3 7 2 3 3" xfId="26958" xr:uid="{00000000-0005-0000-0000-00000F1A0000}"/>
    <cellStyle name="메모 2 3 7 2 3 4" xfId="30072" xr:uid="{00000000-0005-0000-0000-0000101A0000}"/>
    <cellStyle name="메모 2 3 7 2 4" xfId="23538" xr:uid="{00000000-0005-0000-0000-0000111A0000}"/>
    <cellStyle name="메모 2 3 7 2 4 2" xfId="18200" xr:uid="{00000000-0005-0000-0000-0000121A0000}"/>
    <cellStyle name="메모 2 3 7 2 4 3" xfId="27768" xr:uid="{00000000-0005-0000-0000-0000131A0000}"/>
    <cellStyle name="메모 2 3 7 2 4 4" xfId="30882" xr:uid="{00000000-0005-0000-0000-0000141A0000}"/>
    <cellStyle name="메모 2 3 7 2 5" xfId="24215" xr:uid="{00000000-0005-0000-0000-0000151A0000}"/>
    <cellStyle name="메모 2 3 7 2 6" xfId="25929" xr:uid="{00000000-0005-0000-0000-0000161A0000}"/>
    <cellStyle name="메모 2 3 7 2 7" xfId="29043" xr:uid="{00000000-0005-0000-0000-0000171A0000}"/>
    <cellStyle name="메모 2 3 7 2 8" xfId="21699" xr:uid="{00000000-0005-0000-0000-0000181A0000}"/>
    <cellStyle name="메모 2 3 7 3" xfId="15956" xr:uid="{00000000-0005-0000-0000-0000191A0000}"/>
    <cellStyle name="메모 2 3 7 3 2" xfId="31611" xr:uid="{00000000-0005-0000-0000-00001A1A0000}"/>
    <cellStyle name="메모 2 3 7 3 3" xfId="21324" xr:uid="{00000000-0005-0000-0000-00001B1A0000}"/>
    <cellStyle name="메모 2 3 7 4" xfId="16634" xr:uid="{00000000-0005-0000-0000-00001C1A0000}"/>
    <cellStyle name="메모 2 3 7 4 2" xfId="32151" xr:uid="{00000000-0005-0000-0000-00001D1A0000}"/>
    <cellStyle name="메모 2 3 7 4 3" xfId="20669" xr:uid="{00000000-0005-0000-0000-00001E1A0000}"/>
    <cellStyle name="메모 2 3 7 5" xfId="18974" xr:uid="{00000000-0005-0000-0000-00001F1A0000}"/>
    <cellStyle name="메모 2 3 7 6" xfId="24917" xr:uid="{00000000-0005-0000-0000-0000201A0000}"/>
    <cellStyle name="메모 2 3 7 7" xfId="28041" xr:uid="{00000000-0005-0000-0000-0000211A0000}"/>
    <cellStyle name="메모 2 3 7 8" xfId="17894" xr:uid="{00000000-0005-0000-0000-0000221A0000}"/>
    <cellStyle name="메모 2 3 8" xfId="14607" xr:uid="{00000000-0005-0000-0000-0000231A0000}"/>
    <cellStyle name="메모 2 3 8 10" xfId="24829" xr:uid="{00000000-0005-0000-0000-0000241A0000}"/>
    <cellStyle name="메모 2 3 8 11" xfId="27953" xr:uid="{00000000-0005-0000-0000-0000251A0000}"/>
    <cellStyle name="메모 2 3 8 12" xfId="17895" xr:uid="{00000000-0005-0000-0000-0000261A0000}"/>
    <cellStyle name="메모 2 3 8 2" xfId="15538" xr:uid="{00000000-0005-0000-0000-0000271A0000}"/>
    <cellStyle name="메모 2 3 8 2 2" xfId="22164" xr:uid="{00000000-0005-0000-0000-0000281A0000}"/>
    <cellStyle name="메모 2 3 8 2 2 2" xfId="19386" xr:uid="{00000000-0005-0000-0000-0000291A0000}"/>
    <cellStyle name="메모 2 3 8 2 2 3" xfId="26394" xr:uid="{00000000-0005-0000-0000-00002A1A0000}"/>
    <cellStyle name="메모 2 3 8 2 2 4" xfId="29508" xr:uid="{00000000-0005-0000-0000-00002B1A0000}"/>
    <cellStyle name="메모 2 3 8 2 3" xfId="22640" xr:uid="{00000000-0005-0000-0000-00002C1A0000}"/>
    <cellStyle name="메모 2 3 8 2 3 2" xfId="19886" xr:uid="{00000000-0005-0000-0000-00002D1A0000}"/>
    <cellStyle name="메모 2 3 8 2 3 3" xfId="26870" xr:uid="{00000000-0005-0000-0000-00002E1A0000}"/>
    <cellStyle name="메모 2 3 8 2 3 4" xfId="29984" xr:uid="{00000000-0005-0000-0000-00002F1A0000}"/>
    <cellStyle name="메모 2 3 8 2 4" xfId="23450" xr:uid="{00000000-0005-0000-0000-0000301A0000}"/>
    <cellStyle name="메모 2 3 8 2 4 2" xfId="18116" xr:uid="{00000000-0005-0000-0000-0000311A0000}"/>
    <cellStyle name="메모 2 3 8 2 4 3" xfId="27680" xr:uid="{00000000-0005-0000-0000-0000321A0000}"/>
    <cellStyle name="메모 2 3 8 2 4 4" xfId="30794" xr:uid="{00000000-0005-0000-0000-0000331A0000}"/>
    <cellStyle name="메모 2 3 8 2 5" xfId="23868" xr:uid="{00000000-0005-0000-0000-0000341A0000}"/>
    <cellStyle name="메모 2 3 8 2 6" xfId="25841" xr:uid="{00000000-0005-0000-0000-0000351A0000}"/>
    <cellStyle name="메모 2 3 8 2 7" xfId="28955" xr:uid="{00000000-0005-0000-0000-0000361A0000}"/>
    <cellStyle name="메모 2 3 8 2 8" xfId="21611" xr:uid="{00000000-0005-0000-0000-0000371A0000}"/>
    <cellStyle name="메모 2 3 8 3" xfId="15892" xr:uid="{00000000-0005-0000-0000-0000381A0000}"/>
    <cellStyle name="메모 2 3 8 3 2" xfId="19481" xr:uid="{00000000-0005-0000-0000-0000391A0000}"/>
    <cellStyle name="메모 2 3 8 3 3" xfId="25624" xr:uid="{00000000-0005-0000-0000-00003A1A0000}"/>
    <cellStyle name="메모 2 3 8 3 4" xfId="28741" xr:uid="{00000000-0005-0000-0000-00003B1A0000}"/>
    <cellStyle name="메모 2 3 8 3 5" xfId="21437" xr:uid="{00000000-0005-0000-0000-00003C1A0000}"/>
    <cellStyle name="메모 2 3 8 4" xfId="16635" xr:uid="{00000000-0005-0000-0000-00003D1A0000}"/>
    <cellStyle name="메모 2 3 8 4 2" xfId="24093" xr:uid="{00000000-0005-0000-0000-00003E1A0000}"/>
    <cellStyle name="메모 2 3 8 4 3" xfId="26175" xr:uid="{00000000-0005-0000-0000-00003F1A0000}"/>
    <cellStyle name="메모 2 3 8 4 4" xfId="29289" xr:uid="{00000000-0005-0000-0000-0000401A0000}"/>
    <cellStyle name="메모 2 3 8 4 5" xfId="21945" xr:uid="{00000000-0005-0000-0000-0000411A0000}"/>
    <cellStyle name="메모 2 3 8 5" xfId="22418" xr:uid="{00000000-0005-0000-0000-0000421A0000}"/>
    <cellStyle name="메모 2 3 8 5 2" xfId="19682" xr:uid="{00000000-0005-0000-0000-0000431A0000}"/>
    <cellStyle name="메모 2 3 8 5 3" xfId="26648" xr:uid="{00000000-0005-0000-0000-0000441A0000}"/>
    <cellStyle name="메모 2 3 8 5 4" xfId="29762" xr:uid="{00000000-0005-0000-0000-0000451A0000}"/>
    <cellStyle name="메모 2 3 8 6" xfId="22891" xr:uid="{00000000-0005-0000-0000-0000461A0000}"/>
    <cellStyle name="메모 2 3 8 6 2" xfId="20117" xr:uid="{00000000-0005-0000-0000-0000471A0000}"/>
    <cellStyle name="메모 2 3 8 6 3" xfId="27121" xr:uid="{00000000-0005-0000-0000-0000481A0000}"/>
    <cellStyle name="메모 2 3 8 6 4" xfId="30235" xr:uid="{00000000-0005-0000-0000-0000491A0000}"/>
    <cellStyle name="메모 2 3 8 7" xfId="20977" xr:uid="{00000000-0005-0000-0000-00004A1A0000}"/>
    <cellStyle name="메모 2 3 8 7 2" xfId="24344" xr:uid="{00000000-0005-0000-0000-00004B1A0000}"/>
    <cellStyle name="메모 2 3 8 7 3" xfId="25225" xr:uid="{00000000-0005-0000-0000-00004C1A0000}"/>
    <cellStyle name="메모 2 3 8 7 4" xfId="28349" xr:uid="{00000000-0005-0000-0000-00004D1A0000}"/>
    <cellStyle name="메모 2 3 8 8" xfId="20581" xr:uid="{00000000-0005-0000-0000-00004E1A0000}"/>
    <cellStyle name="메모 2 3 8 9" xfId="18888" xr:uid="{00000000-0005-0000-0000-00004F1A0000}"/>
    <cellStyle name="메모 2 3 9" xfId="14575" xr:uid="{00000000-0005-0000-0000-0000501A0000}"/>
    <cellStyle name="메모 2 3 9 2" xfId="15506" xr:uid="{00000000-0005-0000-0000-0000511A0000}"/>
    <cellStyle name="메모 2 3 9 2 2" xfId="23855" xr:uid="{00000000-0005-0000-0000-0000521A0000}"/>
    <cellStyle name="메모 2 3 9 2 3" xfId="26225" xr:uid="{00000000-0005-0000-0000-0000531A0000}"/>
    <cellStyle name="메모 2 3 9 2 4" xfId="29339" xr:uid="{00000000-0005-0000-0000-0000541A0000}"/>
    <cellStyle name="메모 2 3 9 2 5" xfId="21995" xr:uid="{00000000-0005-0000-0000-0000551A0000}"/>
    <cellStyle name="메모 2 3 9 3" xfId="15217" xr:uid="{00000000-0005-0000-0000-0000561A0000}"/>
    <cellStyle name="메모 2 3 9 3 2" xfId="23914" xr:uid="{00000000-0005-0000-0000-0000571A0000}"/>
    <cellStyle name="메모 2 3 9 3 3" xfId="26698" xr:uid="{00000000-0005-0000-0000-0000581A0000}"/>
    <cellStyle name="메모 2 3 9 3 4" xfId="29812" xr:uid="{00000000-0005-0000-0000-0000591A0000}"/>
    <cellStyle name="메모 2 3 9 3 5" xfId="22468" xr:uid="{00000000-0005-0000-0000-00005A1A0000}"/>
    <cellStyle name="메모 2 3 9 4" xfId="16636" xr:uid="{00000000-0005-0000-0000-00005B1A0000}"/>
    <cellStyle name="메모 2 3 9 4 2" xfId="20328" xr:uid="{00000000-0005-0000-0000-00005C1A0000}"/>
    <cellStyle name="메모 2 3 9 4 3" xfId="27516" xr:uid="{00000000-0005-0000-0000-00005D1A0000}"/>
    <cellStyle name="메모 2 3 9 4 4" xfId="30630" xr:uid="{00000000-0005-0000-0000-00005E1A0000}"/>
    <cellStyle name="메모 2 3 9 4 5" xfId="23286" xr:uid="{00000000-0005-0000-0000-00005F1A0000}"/>
    <cellStyle name="메모 2 3 9 5" xfId="21489" xr:uid="{00000000-0005-0000-0000-0000601A0000}"/>
    <cellStyle name="메모 2 3 9 6" xfId="24016" xr:uid="{00000000-0005-0000-0000-0000611A0000}"/>
    <cellStyle name="메모 2 3 9 7" xfId="25674" xr:uid="{00000000-0005-0000-0000-0000621A0000}"/>
    <cellStyle name="메모 2 3 9 8" xfId="28791" xr:uid="{00000000-0005-0000-0000-0000631A0000}"/>
    <cellStyle name="메모 2 3 9 9" xfId="17896" xr:uid="{00000000-0005-0000-0000-0000641A0000}"/>
    <cellStyle name="메모 2 4" xfId="11938" xr:uid="{00000000-0005-0000-0000-0000651A0000}"/>
    <cellStyle name="메모 2 4 10" xfId="15094" xr:uid="{00000000-0005-0000-0000-0000661A0000}"/>
    <cellStyle name="메모 2 4 10 2" xfId="15813" xr:uid="{00000000-0005-0000-0000-0000671A0000}"/>
    <cellStyle name="메모 2 4 10 2 2" xfId="31563" xr:uid="{00000000-0005-0000-0000-0000681A0000}"/>
    <cellStyle name="메모 2 4 10 2 3" xfId="23969" xr:uid="{00000000-0005-0000-0000-0000691A0000}"/>
    <cellStyle name="메모 2 4 10 3" xfId="16206" xr:uid="{00000000-0005-0000-0000-00006A1A0000}"/>
    <cellStyle name="메모 2 4 10 3 2" xfId="31821" xr:uid="{00000000-0005-0000-0000-00006B1A0000}"/>
    <cellStyle name="메모 2 4 10 3 3" xfId="25129" xr:uid="{00000000-0005-0000-0000-00006C1A0000}"/>
    <cellStyle name="메모 2 4 10 4" xfId="16637" xr:uid="{00000000-0005-0000-0000-00006D1A0000}"/>
    <cellStyle name="메모 2 4 10 4 2" xfId="28253" xr:uid="{00000000-0005-0000-0000-00006E1A0000}"/>
    <cellStyle name="메모 2 4 10 5" xfId="20878" xr:uid="{00000000-0005-0000-0000-00006F1A0000}"/>
    <cellStyle name="메모 2 4 11" xfId="14927" xr:uid="{00000000-0005-0000-0000-0000701A0000}"/>
    <cellStyle name="메모 2 4 11 2" xfId="15677" xr:uid="{00000000-0005-0000-0000-0000711A0000}"/>
    <cellStyle name="메모 2 4 11 2 2" xfId="31455" xr:uid="{00000000-0005-0000-0000-0000721A0000}"/>
    <cellStyle name="메모 2 4 11 3" xfId="16039" xr:uid="{00000000-0005-0000-0000-0000731A0000}"/>
    <cellStyle name="메모 2 4 11 3 2" xfId="31682" xr:uid="{00000000-0005-0000-0000-0000741A0000}"/>
    <cellStyle name="메모 2 4 11 4" xfId="16638" xr:uid="{00000000-0005-0000-0000-0000751A0000}"/>
    <cellStyle name="메모 2 4 11 4 2" xfId="32152" xr:uid="{00000000-0005-0000-0000-0000761A0000}"/>
    <cellStyle name="메모 2 4 11 5" xfId="31193" xr:uid="{00000000-0005-0000-0000-0000771A0000}"/>
    <cellStyle name="메모 2 4 11 6" xfId="20405" xr:uid="{00000000-0005-0000-0000-0000781A0000}"/>
    <cellStyle name="메모 2 4 12" xfId="15034" xr:uid="{00000000-0005-0000-0000-0000791A0000}"/>
    <cellStyle name="메모 2 4 12 2" xfId="15762" xr:uid="{00000000-0005-0000-0000-00007A1A0000}"/>
    <cellStyle name="메모 2 4 12 2 2" xfId="31540" xr:uid="{00000000-0005-0000-0000-00007B1A0000}"/>
    <cellStyle name="메모 2 4 12 3" xfId="16146" xr:uid="{00000000-0005-0000-0000-00007C1A0000}"/>
    <cellStyle name="메모 2 4 12 3 2" xfId="31789" xr:uid="{00000000-0005-0000-0000-00007D1A0000}"/>
    <cellStyle name="메모 2 4 12 4" xfId="16639" xr:uid="{00000000-0005-0000-0000-00007E1A0000}"/>
    <cellStyle name="메모 2 4 12 4 2" xfId="32153" xr:uid="{00000000-0005-0000-0000-00007F1A0000}"/>
    <cellStyle name="메모 2 4 12 5" xfId="31251" xr:uid="{00000000-0005-0000-0000-0000801A0000}"/>
    <cellStyle name="메모 2 4 12 6" xfId="18690" xr:uid="{00000000-0005-0000-0000-0000811A0000}"/>
    <cellStyle name="메모 2 4 13" xfId="14973" xr:uid="{00000000-0005-0000-0000-0000821A0000}"/>
    <cellStyle name="메모 2 4 13 2" xfId="15723" xr:uid="{00000000-0005-0000-0000-0000831A0000}"/>
    <cellStyle name="메모 2 4 13 2 2" xfId="31501" xr:uid="{00000000-0005-0000-0000-0000841A0000}"/>
    <cellStyle name="메모 2 4 13 3" xfId="16085" xr:uid="{00000000-0005-0000-0000-0000851A0000}"/>
    <cellStyle name="메모 2 4 13 3 2" xfId="31728" xr:uid="{00000000-0005-0000-0000-0000861A0000}"/>
    <cellStyle name="메모 2 4 13 4" xfId="16640" xr:uid="{00000000-0005-0000-0000-0000871A0000}"/>
    <cellStyle name="메모 2 4 13 4 2" xfId="32154" xr:uid="{00000000-0005-0000-0000-0000881A0000}"/>
    <cellStyle name="메모 2 4 13 5" xfId="31212" xr:uid="{00000000-0005-0000-0000-0000891A0000}"/>
    <cellStyle name="메모 2 4 13 6" xfId="18581" xr:uid="{00000000-0005-0000-0000-00008A1A0000}"/>
    <cellStyle name="메모 2 4 14" xfId="15002" xr:uid="{00000000-0005-0000-0000-00008B1A0000}"/>
    <cellStyle name="메모 2 4 14 2" xfId="16114" xr:uid="{00000000-0005-0000-0000-00008C1A0000}"/>
    <cellStyle name="메모 2 4 14 2 2" xfId="31757" xr:uid="{00000000-0005-0000-0000-00008D1A0000}"/>
    <cellStyle name="메모 2 4 14 3" xfId="16641" xr:uid="{00000000-0005-0000-0000-00008E1A0000}"/>
    <cellStyle name="메모 2 4 14 3 2" xfId="32155" xr:uid="{00000000-0005-0000-0000-00008F1A0000}"/>
    <cellStyle name="메모 2 4 14 4" xfId="16642" xr:uid="{00000000-0005-0000-0000-0000901A0000}"/>
    <cellStyle name="메모 2 4 14 4 2" xfId="32156" xr:uid="{00000000-0005-0000-0000-0000911A0000}"/>
    <cellStyle name="메모 2 4 14 5" xfId="18464" xr:uid="{00000000-0005-0000-0000-0000921A0000}"/>
    <cellStyle name="메모 2 4 15" xfId="15191" xr:uid="{00000000-0005-0000-0000-0000931A0000}"/>
    <cellStyle name="메모 2 4 15 2" xfId="31327" xr:uid="{00000000-0005-0000-0000-0000941A0000}"/>
    <cellStyle name="메모 2 4 16" xfId="16643" xr:uid="{00000000-0005-0000-0000-0000951A0000}"/>
    <cellStyle name="메모 2 4 16 2" xfId="32157" xr:uid="{00000000-0005-0000-0000-0000961A0000}"/>
    <cellStyle name="메모 2 4 17" xfId="16644" xr:uid="{00000000-0005-0000-0000-0000971A0000}"/>
    <cellStyle name="메모 2 4 17 2" xfId="32158" xr:uid="{00000000-0005-0000-0000-0000981A0000}"/>
    <cellStyle name="메모 2 4 2" xfId="11939" xr:uid="{00000000-0005-0000-0000-0000991A0000}"/>
    <cellStyle name="메모 2 4 2 2" xfId="11940" xr:uid="{00000000-0005-0000-0000-00009A1A0000}"/>
    <cellStyle name="메모 2 4 2 3" xfId="11941" xr:uid="{00000000-0005-0000-0000-00009B1A0000}"/>
    <cellStyle name="메모 2 4 2 4" xfId="11942" xr:uid="{00000000-0005-0000-0000-00009C1A0000}"/>
    <cellStyle name="메모 2 4 3" xfId="11943" xr:uid="{00000000-0005-0000-0000-00009D1A0000}"/>
    <cellStyle name="메모 2 4 3 2" xfId="11944" xr:uid="{00000000-0005-0000-0000-00009E1A0000}"/>
    <cellStyle name="메모 2 4 3 3" xfId="11945" xr:uid="{00000000-0005-0000-0000-00009F1A0000}"/>
    <cellStyle name="메모 2 4 3 4" xfId="11946" xr:uid="{00000000-0005-0000-0000-0000A01A0000}"/>
    <cellStyle name="메모 2 4 4" xfId="11947" xr:uid="{00000000-0005-0000-0000-0000A11A0000}"/>
    <cellStyle name="메모 2 4 5" xfId="11948" xr:uid="{00000000-0005-0000-0000-0000A21A0000}"/>
    <cellStyle name="메모 2 4 6" xfId="11949" xr:uid="{00000000-0005-0000-0000-0000A31A0000}"/>
    <cellStyle name="메모 2 4 7" xfId="14721" xr:uid="{00000000-0005-0000-0000-0000A41A0000}"/>
    <cellStyle name="메모 2 4 7 2" xfId="15607" xr:uid="{00000000-0005-0000-0000-0000A51A0000}"/>
    <cellStyle name="메모 2 4 7 2 2" xfId="22253" xr:uid="{00000000-0005-0000-0000-0000A61A0000}"/>
    <cellStyle name="메모 2 4 7 2 2 2" xfId="18404" xr:uid="{00000000-0005-0000-0000-0000A71A0000}"/>
    <cellStyle name="메모 2 4 7 2 2 3" xfId="26483" xr:uid="{00000000-0005-0000-0000-0000A81A0000}"/>
    <cellStyle name="메모 2 4 7 2 2 4" xfId="29597" xr:uid="{00000000-0005-0000-0000-0000A91A0000}"/>
    <cellStyle name="메모 2 4 7 2 3" xfId="22729" xr:uid="{00000000-0005-0000-0000-0000AA1A0000}"/>
    <cellStyle name="메모 2 4 7 2 3 2" xfId="19966" xr:uid="{00000000-0005-0000-0000-0000AB1A0000}"/>
    <cellStyle name="메모 2 4 7 2 3 3" xfId="26959" xr:uid="{00000000-0005-0000-0000-0000AC1A0000}"/>
    <cellStyle name="메모 2 4 7 2 3 4" xfId="30073" xr:uid="{00000000-0005-0000-0000-0000AD1A0000}"/>
    <cellStyle name="메모 2 4 7 2 4" xfId="23539" xr:uid="{00000000-0005-0000-0000-0000AE1A0000}"/>
    <cellStyle name="메모 2 4 7 2 4 2" xfId="18201" xr:uid="{00000000-0005-0000-0000-0000AF1A0000}"/>
    <cellStyle name="메모 2 4 7 2 4 3" xfId="27769" xr:uid="{00000000-0005-0000-0000-0000B01A0000}"/>
    <cellStyle name="메모 2 4 7 2 4 4" xfId="30883" xr:uid="{00000000-0005-0000-0000-0000B11A0000}"/>
    <cellStyle name="메모 2 4 7 2 5" xfId="24007" xr:uid="{00000000-0005-0000-0000-0000B21A0000}"/>
    <cellStyle name="메모 2 4 7 2 6" xfId="25930" xr:uid="{00000000-0005-0000-0000-0000B31A0000}"/>
    <cellStyle name="메모 2 4 7 2 7" xfId="29044" xr:uid="{00000000-0005-0000-0000-0000B41A0000}"/>
    <cellStyle name="메모 2 4 7 2 8" xfId="21700" xr:uid="{00000000-0005-0000-0000-0000B51A0000}"/>
    <cellStyle name="메모 2 4 7 3" xfId="15957" xr:uid="{00000000-0005-0000-0000-0000B61A0000}"/>
    <cellStyle name="메모 2 4 7 3 2" xfId="31612" xr:uid="{00000000-0005-0000-0000-0000B71A0000}"/>
    <cellStyle name="메모 2 4 7 3 3" xfId="21325" xr:uid="{00000000-0005-0000-0000-0000B81A0000}"/>
    <cellStyle name="메모 2 4 7 4" xfId="16645" xr:uid="{00000000-0005-0000-0000-0000B91A0000}"/>
    <cellStyle name="메모 2 4 7 4 2" xfId="32159" xr:uid="{00000000-0005-0000-0000-0000BA1A0000}"/>
    <cellStyle name="메모 2 4 7 4 3" xfId="20670" xr:uid="{00000000-0005-0000-0000-0000BB1A0000}"/>
    <cellStyle name="메모 2 4 7 5" xfId="18975" xr:uid="{00000000-0005-0000-0000-0000BC1A0000}"/>
    <cellStyle name="메모 2 4 7 6" xfId="24918" xr:uid="{00000000-0005-0000-0000-0000BD1A0000}"/>
    <cellStyle name="메모 2 4 7 7" xfId="28042" xr:uid="{00000000-0005-0000-0000-0000BE1A0000}"/>
    <cellStyle name="메모 2 4 7 8" xfId="17897" xr:uid="{00000000-0005-0000-0000-0000BF1A0000}"/>
    <cellStyle name="메모 2 4 8" xfId="14606" xr:uid="{00000000-0005-0000-0000-0000C01A0000}"/>
    <cellStyle name="메모 2 4 8 10" xfId="24830" xr:uid="{00000000-0005-0000-0000-0000C11A0000}"/>
    <cellStyle name="메모 2 4 8 11" xfId="27954" xr:uid="{00000000-0005-0000-0000-0000C21A0000}"/>
    <cellStyle name="메모 2 4 8 12" xfId="17898" xr:uid="{00000000-0005-0000-0000-0000C31A0000}"/>
    <cellStyle name="메모 2 4 8 2" xfId="15537" xr:uid="{00000000-0005-0000-0000-0000C41A0000}"/>
    <cellStyle name="메모 2 4 8 2 2" xfId="22165" xr:uid="{00000000-0005-0000-0000-0000C51A0000}"/>
    <cellStyle name="메모 2 4 8 2 2 2" xfId="24044" xr:uid="{00000000-0005-0000-0000-0000C61A0000}"/>
    <cellStyle name="메모 2 4 8 2 2 3" xfId="26395" xr:uid="{00000000-0005-0000-0000-0000C71A0000}"/>
    <cellStyle name="메모 2 4 8 2 2 4" xfId="29509" xr:uid="{00000000-0005-0000-0000-0000C81A0000}"/>
    <cellStyle name="메모 2 4 8 2 3" xfId="22641" xr:uid="{00000000-0005-0000-0000-0000C91A0000}"/>
    <cellStyle name="메모 2 4 8 2 3 2" xfId="19887" xr:uid="{00000000-0005-0000-0000-0000CA1A0000}"/>
    <cellStyle name="메모 2 4 8 2 3 3" xfId="26871" xr:uid="{00000000-0005-0000-0000-0000CB1A0000}"/>
    <cellStyle name="메모 2 4 8 2 3 4" xfId="29985" xr:uid="{00000000-0005-0000-0000-0000CC1A0000}"/>
    <cellStyle name="메모 2 4 8 2 4" xfId="23451" xr:uid="{00000000-0005-0000-0000-0000CD1A0000}"/>
    <cellStyle name="메모 2 4 8 2 4 2" xfId="18117" xr:uid="{00000000-0005-0000-0000-0000CE1A0000}"/>
    <cellStyle name="메모 2 4 8 2 4 3" xfId="27681" xr:uid="{00000000-0005-0000-0000-0000CF1A0000}"/>
    <cellStyle name="메모 2 4 8 2 4 4" xfId="30795" xr:uid="{00000000-0005-0000-0000-0000D01A0000}"/>
    <cellStyle name="메모 2 4 8 2 5" xfId="23800" xr:uid="{00000000-0005-0000-0000-0000D11A0000}"/>
    <cellStyle name="메모 2 4 8 2 6" xfId="25842" xr:uid="{00000000-0005-0000-0000-0000D21A0000}"/>
    <cellStyle name="메모 2 4 8 2 7" xfId="28956" xr:uid="{00000000-0005-0000-0000-0000D31A0000}"/>
    <cellStyle name="메모 2 4 8 2 8" xfId="21612" xr:uid="{00000000-0005-0000-0000-0000D41A0000}"/>
    <cellStyle name="메모 2 4 8 3" xfId="15891" xr:uid="{00000000-0005-0000-0000-0000D51A0000}"/>
    <cellStyle name="메모 2 4 8 3 2" xfId="19482" xr:uid="{00000000-0005-0000-0000-0000D61A0000}"/>
    <cellStyle name="메모 2 4 8 3 3" xfId="25625" xr:uid="{00000000-0005-0000-0000-0000D71A0000}"/>
    <cellStyle name="메모 2 4 8 3 4" xfId="28742" xr:uid="{00000000-0005-0000-0000-0000D81A0000}"/>
    <cellStyle name="메모 2 4 8 3 5" xfId="21438" xr:uid="{00000000-0005-0000-0000-0000D91A0000}"/>
    <cellStyle name="메모 2 4 8 4" xfId="16646" xr:uid="{00000000-0005-0000-0000-0000DA1A0000}"/>
    <cellStyle name="메모 2 4 8 4 2" xfId="19342" xr:uid="{00000000-0005-0000-0000-0000DB1A0000}"/>
    <cellStyle name="메모 2 4 8 4 3" xfId="26176" xr:uid="{00000000-0005-0000-0000-0000DC1A0000}"/>
    <cellStyle name="메모 2 4 8 4 4" xfId="29290" xr:uid="{00000000-0005-0000-0000-0000DD1A0000}"/>
    <cellStyle name="메모 2 4 8 4 5" xfId="21946" xr:uid="{00000000-0005-0000-0000-0000DE1A0000}"/>
    <cellStyle name="메모 2 4 8 5" xfId="22419" xr:uid="{00000000-0005-0000-0000-0000DF1A0000}"/>
    <cellStyle name="메모 2 4 8 5 2" xfId="19683" xr:uid="{00000000-0005-0000-0000-0000E01A0000}"/>
    <cellStyle name="메모 2 4 8 5 3" xfId="26649" xr:uid="{00000000-0005-0000-0000-0000E11A0000}"/>
    <cellStyle name="메모 2 4 8 5 4" xfId="29763" xr:uid="{00000000-0005-0000-0000-0000E21A0000}"/>
    <cellStyle name="메모 2 4 8 6" xfId="22892" xr:uid="{00000000-0005-0000-0000-0000E31A0000}"/>
    <cellStyle name="메모 2 4 8 6 2" xfId="20118" xr:uid="{00000000-0005-0000-0000-0000E41A0000}"/>
    <cellStyle name="메모 2 4 8 6 3" xfId="27122" xr:uid="{00000000-0005-0000-0000-0000E51A0000}"/>
    <cellStyle name="메모 2 4 8 6 4" xfId="30236" xr:uid="{00000000-0005-0000-0000-0000E61A0000}"/>
    <cellStyle name="메모 2 4 8 7" xfId="21238" xr:uid="{00000000-0005-0000-0000-0000E71A0000}"/>
    <cellStyle name="메모 2 4 8 7 2" xfId="24436" xr:uid="{00000000-0005-0000-0000-0000E81A0000}"/>
    <cellStyle name="메모 2 4 8 7 3" xfId="25460" xr:uid="{00000000-0005-0000-0000-0000E91A0000}"/>
    <cellStyle name="메모 2 4 8 7 4" xfId="28577" xr:uid="{00000000-0005-0000-0000-0000EA1A0000}"/>
    <cellStyle name="메모 2 4 8 8" xfId="20582" xr:uid="{00000000-0005-0000-0000-0000EB1A0000}"/>
    <cellStyle name="메모 2 4 8 9" xfId="18889" xr:uid="{00000000-0005-0000-0000-0000EC1A0000}"/>
    <cellStyle name="메모 2 4 9" xfId="14745" xr:uid="{00000000-0005-0000-0000-0000ED1A0000}"/>
    <cellStyle name="메모 2 4 9 2" xfId="15630" xr:uid="{00000000-0005-0000-0000-0000EE1A0000}"/>
    <cellStyle name="메모 2 4 9 2 2" xfId="23814" xr:uid="{00000000-0005-0000-0000-0000EF1A0000}"/>
    <cellStyle name="메모 2 4 9 2 3" xfId="26226" xr:uid="{00000000-0005-0000-0000-0000F01A0000}"/>
    <cellStyle name="메모 2 4 9 2 4" xfId="29340" xr:uid="{00000000-0005-0000-0000-0000F11A0000}"/>
    <cellStyle name="메모 2 4 9 2 5" xfId="21996" xr:uid="{00000000-0005-0000-0000-0000F21A0000}"/>
    <cellStyle name="메모 2 4 9 3" xfId="15980" xr:uid="{00000000-0005-0000-0000-0000F31A0000}"/>
    <cellStyle name="메모 2 4 9 3 2" xfId="19726" xr:uid="{00000000-0005-0000-0000-0000F41A0000}"/>
    <cellStyle name="메모 2 4 9 3 3" xfId="26699" xr:uid="{00000000-0005-0000-0000-0000F51A0000}"/>
    <cellStyle name="메모 2 4 9 3 4" xfId="29813" xr:uid="{00000000-0005-0000-0000-0000F61A0000}"/>
    <cellStyle name="메모 2 4 9 3 5" xfId="22469" xr:uid="{00000000-0005-0000-0000-0000F71A0000}"/>
    <cellStyle name="메모 2 4 9 4" xfId="16647" xr:uid="{00000000-0005-0000-0000-0000F81A0000}"/>
    <cellStyle name="메모 2 4 9 4 2" xfId="21484" xr:uid="{00000000-0005-0000-0000-0000F91A0000}"/>
    <cellStyle name="메모 2 4 9 4 3" xfId="27517" xr:uid="{00000000-0005-0000-0000-0000FA1A0000}"/>
    <cellStyle name="메모 2 4 9 4 4" xfId="30631" xr:uid="{00000000-0005-0000-0000-0000FB1A0000}"/>
    <cellStyle name="메모 2 4 9 4 5" xfId="23287" xr:uid="{00000000-0005-0000-0000-0000FC1A0000}"/>
    <cellStyle name="메모 2 4 9 5" xfId="21490" xr:uid="{00000000-0005-0000-0000-0000FD1A0000}"/>
    <cellStyle name="메모 2 4 9 6" xfId="23899" xr:uid="{00000000-0005-0000-0000-0000FE1A0000}"/>
    <cellStyle name="메모 2 4 9 7" xfId="25675" xr:uid="{00000000-0005-0000-0000-0000FF1A0000}"/>
    <cellStyle name="메모 2 4 9 8" xfId="28792" xr:uid="{00000000-0005-0000-0000-0000001B0000}"/>
    <cellStyle name="메모 2 4 9 9" xfId="17899" xr:uid="{00000000-0005-0000-0000-0000011B0000}"/>
    <cellStyle name="메모 2 5" xfId="11950" xr:uid="{00000000-0005-0000-0000-0000021B0000}"/>
    <cellStyle name="메모 2 5 10" xfId="15095" xr:uid="{00000000-0005-0000-0000-0000031B0000}"/>
    <cellStyle name="메모 2 5 10 2" xfId="15814" xr:uid="{00000000-0005-0000-0000-0000041B0000}"/>
    <cellStyle name="메모 2 5 10 2 2" xfId="31564" xr:uid="{00000000-0005-0000-0000-0000051B0000}"/>
    <cellStyle name="메모 2 5 10 2 3" xfId="24781" xr:uid="{00000000-0005-0000-0000-0000061B0000}"/>
    <cellStyle name="메모 2 5 10 3" xfId="16207" xr:uid="{00000000-0005-0000-0000-0000071B0000}"/>
    <cellStyle name="메모 2 5 10 3 2" xfId="31822" xr:uid="{00000000-0005-0000-0000-0000081B0000}"/>
    <cellStyle name="메모 2 5 10 3 3" xfId="25130" xr:uid="{00000000-0005-0000-0000-0000091B0000}"/>
    <cellStyle name="메모 2 5 10 4" xfId="16648" xr:uid="{00000000-0005-0000-0000-00000A1B0000}"/>
    <cellStyle name="메모 2 5 10 4 2" xfId="28254" xr:uid="{00000000-0005-0000-0000-00000B1B0000}"/>
    <cellStyle name="메모 2 5 10 5" xfId="20879" xr:uid="{00000000-0005-0000-0000-00000C1B0000}"/>
    <cellStyle name="메모 2 5 11" xfId="14926" xr:uid="{00000000-0005-0000-0000-00000D1B0000}"/>
    <cellStyle name="메모 2 5 11 2" xfId="15676" xr:uid="{00000000-0005-0000-0000-00000E1B0000}"/>
    <cellStyle name="메모 2 5 11 2 2" xfId="31454" xr:uid="{00000000-0005-0000-0000-00000F1B0000}"/>
    <cellStyle name="메모 2 5 11 3" xfId="16038" xr:uid="{00000000-0005-0000-0000-0000101B0000}"/>
    <cellStyle name="메모 2 5 11 3 2" xfId="31681" xr:uid="{00000000-0005-0000-0000-0000111B0000}"/>
    <cellStyle name="메모 2 5 11 4" xfId="16649" xr:uid="{00000000-0005-0000-0000-0000121B0000}"/>
    <cellStyle name="메모 2 5 11 4 2" xfId="32160" xr:uid="{00000000-0005-0000-0000-0000131B0000}"/>
    <cellStyle name="메모 2 5 11 5" xfId="31192" xr:uid="{00000000-0005-0000-0000-0000141B0000}"/>
    <cellStyle name="메모 2 5 11 6" xfId="20417" xr:uid="{00000000-0005-0000-0000-0000151B0000}"/>
    <cellStyle name="메모 2 5 12" xfId="15035" xr:uid="{00000000-0005-0000-0000-0000161B0000}"/>
    <cellStyle name="메모 2 5 12 2" xfId="15763" xr:uid="{00000000-0005-0000-0000-0000171B0000}"/>
    <cellStyle name="메모 2 5 12 2 2" xfId="31541" xr:uid="{00000000-0005-0000-0000-0000181B0000}"/>
    <cellStyle name="메모 2 5 12 3" xfId="16147" xr:uid="{00000000-0005-0000-0000-0000191B0000}"/>
    <cellStyle name="메모 2 5 12 3 2" xfId="31790" xr:uid="{00000000-0005-0000-0000-00001A1B0000}"/>
    <cellStyle name="메모 2 5 12 4" xfId="16650" xr:uid="{00000000-0005-0000-0000-00001B1B0000}"/>
    <cellStyle name="메모 2 5 12 4 2" xfId="32161" xr:uid="{00000000-0005-0000-0000-00001C1B0000}"/>
    <cellStyle name="메모 2 5 12 5" xfId="31252" xr:uid="{00000000-0005-0000-0000-00001D1B0000}"/>
    <cellStyle name="메모 2 5 12 6" xfId="18702" xr:uid="{00000000-0005-0000-0000-00001E1B0000}"/>
    <cellStyle name="메모 2 5 13" xfId="14884" xr:uid="{00000000-0005-0000-0000-00001F1B0000}"/>
    <cellStyle name="메모 2 5 13 2" xfId="15645" xr:uid="{00000000-0005-0000-0000-0000201B0000}"/>
    <cellStyle name="메모 2 5 13 2 2" xfId="31423" xr:uid="{00000000-0005-0000-0000-0000211B0000}"/>
    <cellStyle name="메모 2 5 13 3" xfId="15996" xr:uid="{00000000-0005-0000-0000-0000221B0000}"/>
    <cellStyle name="메모 2 5 13 3 2" xfId="31639" xr:uid="{00000000-0005-0000-0000-0000231B0000}"/>
    <cellStyle name="메모 2 5 13 4" xfId="16651" xr:uid="{00000000-0005-0000-0000-0000241B0000}"/>
    <cellStyle name="메모 2 5 13 4 2" xfId="32162" xr:uid="{00000000-0005-0000-0000-0000251B0000}"/>
    <cellStyle name="메모 2 5 13 5" xfId="31167" xr:uid="{00000000-0005-0000-0000-0000261B0000}"/>
    <cellStyle name="메모 2 5 13 6" xfId="18580" xr:uid="{00000000-0005-0000-0000-0000271B0000}"/>
    <cellStyle name="메모 2 5 14" xfId="15154" xr:uid="{00000000-0005-0000-0000-0000281B0000}"/>
    <cellStyle name="메모 2 5 14 2" xfId="16266" xr:uid="{00000000-0005-0000-0000-0000291B0000}"/>
    <cellStyle name="메모 2 5 14 2 2" xfId="31875" xr:uid="{00000000-0005-0000-0000-00002A1B0000}"/>
    <cellStyle name="메모 2 5 14 3" xfId="16652" xr:uid="{00000000-0005-0000-0000-00002B1B0000}"/>
    <cellStyle name="메모 2 5 14 3 2" xfId="32163" xr:uid="{00000000-0005-0000-0000-00002C1B0000}"/>
    <cellStyle name="메모 2 5 14 4" xfId="16653" xr:uid="{00000000-0005-0000-0000-00002D1B0000}"/>
    <cellStyle name="메모 2 5 14 4 2" xfId="32164" xr:uid="{00000000-0005-0000-0000-00002E1B0000}"/>
    <cellStyle name="메모 2 5 14 5" xfId="18465" xr:uid="{00000000-0005-0000-0000-00002F1B0000}"/>
    <cellStyle name="메모 2 5 15" xfId="15192" xr:uid="{00000000-0005-0000-0000-0000301B0000}"/>
    <cellStyle name="메모 2 5 15 2" xfId="31328" xr:uid="{00000000-0005-0000-0000-0000311B0000}"/>
    <cellStyle name="메모 2 5 16" xfId="16654" xr:uid="{00000000-0005-0000-0000-0000321B0000}"/>
    <cellStyle name="메모 2 5 16 2" xfId="32165" xr:uid="{00000000-0005-0000-0000-0000331B0000}"/>
    <cellStyle name="메모 2 5 17" xfId="16655" xr:uid="{00000000-0005-0000-0000-0000341B0000}"/>
    <cellStyle name="메모 2 5 17 2" xfId="32166" xr:uid="{00000000-0005-0000-0000-0000351B0000}"/>
    <cellStyle name="메모 2 5 2" xfId="11951" xr:uid="{00000000-0005-0000-0000-0000361B0000}"/>
    <cellStyle name="메모 2 5 2 2" xfId="11952" xr:uid="{00000000-0005-0000-0000-0000371B0000}"/>
    <cellStyle name="메모 2 5 2 3" xfId="11953" xr:uid="{00000000-0005-0000-0000-0000381B0000}"/>
    <cellStyle name="메모 2 5 2 4" xfId="11954" xr:uid="{00000000-0005-0000-0000-0000391B0000}"/>
    <cellStyle name="메모 2 5 3" xfId="11955" xr:uid="{00000000-0005-0000-0000-00003A1B0000}"/>
    <cellStyle name="메모 2 5 3 2" xfId="11956" xr:uid="{00000000-0005-0000-0000-00003B1B0000}"/>
    <cellStyle name="메모 2 5 3 3" xfId="11957" xr:uid="{00000000-0005-0000-0000-00003C1B0000}"/>
    <cellStyle name="메모 2 5 3 4" xfId="11958" xr:uid="{00000000-0005-0000-0000-00003D1B0000}"/>
    <cellStyle name="메모 2 5 4" xfId="11959" xr:uid="{00000000-0005-0000-0000-00003E1B0000}"/>
    <cellStyle name="메모 2 5 5" xfId="11960" xr:uid="{00000000-0005-0000-0000-00003F1B0000}"/>
    <cellStyle name="메모 2 5 6" xfId="11961" xr:uid="{00000000-0005-0000-0000-0000401B0000}"/>
    <cellStyle name="메모 2 5 7" xfId="14722" xr:uid="{00000000-0005-0000-0000-0000411B0000}"/>
    <cellStyle name="메모 2 5 7 2" xfId="15608" xr:uid="{00000000-0005-0000-0000-0000421B0000}"/>
    <cellStyle name="메모 2 5 7 2 2" xfId="22254" xr:uid="{00000000-0005-0000-0000-0000431B0000}"/>
    <cellStyle name="메모 2 5 7 2 2 2" xfId="18405" xr:uid="{00000000-0005-0000-0000-0000441B0000}"/>
    <cellStyle name="메모 2 5 7 2 2 3" xfId="26484" xr:uid="{00000000-0005-0000-0000-0000451B0000}"/>
    <cellStyle name="메모 2 5 7 2 2 4" xfId="29598" xr:uid="{00000000-0005-0000-0000-0000461B0000}"/>
    <cellStyle name="메모 2 5 7 2 3" xfId="22730" xr:uid="{00000000-0005-0000-0000-0000471B0000}"/>
    <cellStyle name="메모 2 5 7 2 3 2" xfId="19967" xr:uid="{00000000-0005-0000-0000-0000481B0000}"/>
    <cellStyle name="메모 2 5 7 2 3 3" xfId="26960" xr:uid="{00000000-0005-0000-0000-0000491B0000}"/>
    <cellStyle name="메모 2 5 7 2 3 4" xfId="30074" xr:uid="{00000000-0005-0000-0000-00004A1B0000}"/>
    <cellStyle name="메모 2 5 7 2 4" xfId="23540" xr:uid="{00000000-0005-0000-0000-00004B1B0000}"/>
    <cellStyle name="메모 2 5 7 2 4 2" xfId="18202" xr:uid="{00000000-0005-0000-0000-00004C1B0000}"/>
    <cellStyle name="메모 2 5 7 2 4 3" xfId="27770" xr:uid="{00000000-0005-0000-0000-00004D1B0000}"/>
    <cellStyle name="메모 2 5 7 2 4 4" xfId="30884" xr:uid="{00000000-0005-0000-0000-00004E1B0000}"/>
    <cellStyle name="메모 2 5 7 2 5" xfId="24718" xr:uid="{00000000-0005-0000-0000-00004F1B0000}"/>
    <cellStyle name="메모 2 5 7 2 6" xfId="25931" xr:uid="{00000000-0005-0000-0000-0000501B0000}"/>
    <cellStyle name="메모 2 5 7 2 7" xfId="29045" xr:uid="{00000000-0005-0000-0000-0000511B0000}"/>
    <cellStyle name="메모 2 5 7 2 8" xfId="21701" xr:uid="{00000000-0005-0000-0000-0000521B0000}"/>
    <cellStyle name="메모 2 5 7 3" xfId="15958" xr:uid="{00000000-0005-0000-0000-0000531B0000}"/>
    <cellStyle name="메모 2 5 7 3 2" xfId="31613" xr:uid="{00000000-0005-0000-0000-0000541B0000}"/>
    <cellStyle name="메모 2 5 7 3 3" xfId="21326" xr:uid="{00000000-0005-0000-0000-0000551B0000}"/>
    <cellStyle name="메모 2 5 7 4" xfId="16656" xr:uid="{00000000-0005-0000-0000-0000561B0000}"/>
    <cellStyle name="메모 2 5 7 4 2" xfId="32167" xr:uid="{00000000-0005-0000-0000-0000571B0000}"/>
    <cellStyle name="메모 2 5 7 4 3" xfId="20671" xr:uid="{00000000-0005-0000-0000-0000581B0000}"/>
    <cellStyle name="메모 2 5 7 5" xfId="18976" xr:uid="{00000000-0005-0000-0000-0000591B0000}"/>
    <cellStyle name="메모 2 5 7 6" xfId="24919" xr:uid="{00000000-0005-0000-0000-00005A1B0000}"/>
    <cellStyle name="메모 2 5 7 7" xfId="28043" xr:uid="{00000000-0005-0000-0000-00005B1B0000}"/>
    <cellStyle name="메모 2 5 7 8" xfId="17900" xr:uid="{00000000-0005-0000-0000-00005C1B0000}"/>
    <cellStyle name="메모 2 5 8" xfId="14605" xr:uid="{00000000-0005-0000-0000-00005D1B0000}"/>
    <cellStyle name="메모 2 5 8 10" xfId="18486" xr:uid="{00000000-0005-0000-0000-00005E1B0000}"/>
    <cellStyle name="메모 2 5 8 11" xfId="18456" xr:uid="{00000000-0005-0000-0000-00005F1B0000}"/>
    <cellStyle name="메모 2 5 8 12" xfId="17901" xr:uid="{00000000-0005-0000-0000-0000601B0000}"/>
    <cellStyle name="메모 2 5 8 2" xfId="15536" xr:uid="{00000000-0005-0000-0000-0000611B0000}"/>
    <cellStyle name="메모 2 5 8 2 2" xfId="22110" xr:uid="{00000000-0005-0000-0000-0000621B0000}"/>
    <cellStyle name="메모 2 5 8 2 2 2" xfId="24571" xr:uid="{00000000-0005-0000-0000-0000631B0000}"/>
    <cellStyle name="메모 2 5 8 2 2 3" xfId="26340" xr:uid="{00000000-0005-0000-0000-0000641B0000}"/>
    <cellStyle name="메모 2 5 8 2 2 4" xfId="29454" xr:uid="{00000000-0005-0000-0000-0000651B0000}"/>
    <cellStyle name="메모 2 5 8 2 3" xfId="22586" xr:uid="{00000000-0005-0000-0000-0000661B0000}"/>
    <cellStyle name="메모 2 5 8 2 3 2" xfId="19834" xr:uid="{00000000-0005-0000-0000-0000671B0000}"/>
    <cellStyle name="메모 2 5 8 2 3 3" xfId="26816" xr:uid="{00000000-0005-0000-0000-0000681B0000}"/>
    <cellStyle name="메모 2 5 8 2 3 4" xfId="29930" xr:uid="{00000000-0005-0000-0000-0000691B0000}"/>
    <cellStyle name="메모 2 5 8 2 4" xfId="23396" xr:uid="{00000000-0005-0000-0000-00006A1B0000}"/>
    <cellStyle name="메모 2 5 8 2 4 2" xfId="20435" xr:uid="{00000000-0005-0000-0000-00006B1B0000}"/>
    <cellStyle name="메모 2 5 8 2 4 3" xfId="27626" xr:uid="{00000000-0005-0000-0000-00006C1B0000}"/>
    <cellStyle name="메모 2 5 8 2 4 4" xfId="30740" xr:uid="{00000000-0005-0000-0000-00006D1B0000}"/>
    <cellStyle name="메모 2 5 8 2 5" xfId="24724" xr:uid="{00000000-0005-0000-0000-00006E1B0000}"/>
    <cellStyle name="메모 2 5 8 2 6" xfId="25787" xr:uid="{00000000-0005-0000-0000-00006F1B0000}"/>
    <cellStyle name="메모 2 5 8 2 7" xfId="28901" xr:uid="{00000000-0005-0000-0000-0000701B0000}"/>
    <cellStyle name="메모 2 5 8 2 8" xfId="21557" xr:uid="{00000000-0005-0000-0000-0000711B0000}"/>
    <cellStyle name="메모 2 5 8 3" xfId="15890" xr:uid="{00000000-0005-0000-0000-0000721B0000}"/>
    <cellStyle name="메모 2 5 8 3 2" xfId="21168" xr:uid="{00000000-0005-0000-0000-0000731B0000}"/>
    <cellStyle name="메모 2 5 8 3 3" xfId="25626" xr:uid="{00000000-0005-0000-0000-0000741B0000}"/>
    <cellStyle name="메모 2 5 8 3 4" xfId="28743" xr:uid="{00000000-0005-0000-0000-0000751B0000}"/>
    <cellStyle name="메모 2 5 8 3 5" xfId="21439" xr:uid="{00000000-0005-0000-0000-0000761B0000}"/>
    <cellStyle name="메모 2 5 8 4" xfId="16657" xr:uid="{00000000-0005-0000-0000-0000771B0000}"/>
    <cellStyle name="메모 2 5 8 4 2" xfId="23857" xr:uid="{00000000-0005-0000-0000-0000781B0000}"/>
    <cellStyle name="메모 2 5 8 4 3" xfId="26177" xr:uid="{00000000-0005-0000-0000-0000791B0000}"/>
    <cellStyle name="메모 2 5 8 4 4" xfId="29291" xr:uid="{00000000-0005-0000-0000-00007A1B0000}"/>
    <cellStyle name="메모 2 5 8 4 5" xfId="21947" xr:uid="{00000000-0005-0000-0000-00007B1B0000}"/>
    <cellStyle name="메모 2 5 8 5" xfId="22420" xr:uid="{00000000-0005-0000-0000-00007C1B0000}"/>
    <cellStyle name="메모 2 5 8 5 2" xfId="19684" xr:uid="{00000000-0005-0000-0000-00007D1B0000}"/>
    <cellStyle name="메모 2 5 8 5 3" xfId="26650" xr:uid="{00000000-0005-0000-0000-00007E1B0000}"/>
    <cellStyle name="메모 2 5 8 5 4" xfId="29764" xr:uid="{00000000-0005-0000-0000-00007F1B0000}"/>
    <cellStyle name="메모 2 5 8 6" xfId="22893" xr:uid="{00000000-0005-0000-0000-0000801B0000}"/>
    <cellStyle name="메모 2 5 8 6 2" xfId="20119" xr:uid="{00000000-0005-0000-0000-0000811B0000}"/>
    <cellStyle name="메모 2 5 8 6 3" xfId="27123" xr:uid="{00000000-0005-0000-0000-0000821B0000}"/>
    <cellStyle name="메모 2 5 8 6 4" xfId="30237" xr:uid="{00000000-0005-0000-0000-0000831B0000}"/>
    <cellStyle name="메모 2 5 8 7" xfId="21239" xr:uid="{00000000-0005-0000-0000-0000841B0000}"/>
    <cellStyle name="메모 2 5 8 7 2" xfId="24263" xr:uid="{00000000-0005-0000-0000-0000851B0000}"/>
    <cellStyle name="메모 2 5 8 7 3" xfId="25461" xr:uid="{00000000-0005-0000-0000-0000861B0000}"/>
    <cellStyle name="메모 2 5 8 7 4" xfId="28578" xr:uid="{00000000-0005-0000-0000-0000871B0000}"/>
    <cellStyle name="메모 2 5 8 8" xfId="20525" xr:uid="{00000000-0005-0000-0000-0000881B0000}"/>
    <cellStyle name="메모 2 5 8 9" xfId="18834" xr:uid="{00000000-0005-0000-0000-0000891B0000}"/>
    <cellStyle name="메모 2 5 9" xfId="14651" xr:uid="{00000000-0005-0000-0000-00008A1B0000}"/>
    <cellStyle name="메모 2 5 9 2" xfId="15582" xr:uid="{00000000-0005-0000-0000-00008B1B0000}"/>
    <cellStyle name="메모 2 5 9 2 2" xfId="23879" xr:uid="{00000000-0005-0000-0000-00008C1B0000}"/>
    <cellStyle name="메모 2 5 9 2 3" xfId="26227" xr:uid="{00000000-0005-0000-0000-00008D1B0000}"/>
    <cellStyle name="메모 2 5 9 2 4" xfId="29341" xr:uid="{00000000-0005-0000-0000-00008E1B0000}"/>
    <cellStyle name="메모 2 5 9 2 5" xfId="21997" xr:uid="{00000000-0005-0000-0000-00008F1B0000}"/>
    <cellStyle name="메모 2 5 9 3" xfId="15936" xr:uid="{00000000-0005-0000-0000-0000901B0000}"/>
    <cellStyle name="메모 2 5 9 3 2" xfId="19727" xr:uid="{00000000-0005-0000-0000-0000911B0000}"/>
    <cellStyle name="메모 2 5 9 3 3" xfId="26700" xr:uid="{00000000-0005-0000-0000-0000921B0000}"/>
    <cellStyle name="메모 2 5 9 3 4" xfId="29814" xr:uid="{00000000-0005-0000-0000-0000931B0000}"/>
    <cellStyle name="메모 2 5 9 3 5" xfId="22470" xr:uid="{00000000-0005-0000-0000-0000941B0000}"/>
    <cellStyle name="메모 2 5 9 4" xfId="16658" xr:uid="{00000000-0005-0000-0000-0000951B0000}"/>
    <cellStyle name="메모 2 5 9 4 2" xfId="20329" xr:uid="{00000000-0005-0000-0000-0000961B0000}"/>
    <cellStyle name="메모 2 5 9 4 3" xfId="27518" xr:uid="{00000000-0005-0000-0000-0000971B0000}"/>
    <cellStyle name="메모 2 5 9 4 4" xfId="30632" xr:uid="{00000000-0005-0000-0000-0000981B0000}"/>
    <cellStyle name="메모 2 5 9 4 5" xfId="23288" xr:uid="{00000000-0005-0000-0000-0000991B0000}"/>
    <cellStyle name="메모 2 5 9 5" xfId="21491" xr:uid="{00000000-0005-0000-0000-00009A1B0000}"/>
    <cellStyle name="메모 2 5 9 6" xfId="24525" xr:uid="{00000000-0005-0000-0000-00009B1B0000}"/>
    <cellStyle name="메모 2 5 9 7" xfId="25676" xr:uid="{00000000-0005-0000-0000-00009C1B0000}"/>
    <cellStyle name="메모 2 5 9 8" xfId="28793" xr:uid="{00000000-0005-0000-0000-00009D1B0000}"/>
    <cellStyle name="메모 2 5 9 9" xfId="17902" xr:uid="{00000000-0005-0000-0000-00009E1B0000}"/>
    <cellStyle name="메모 2 6" xfId="11962" xr:uid="{00000000-0005-0000-0000-00009F1B0000}"/>
    <cellStyle name="메모 2 6 10" xfId="15145" xr:uid="{00000000-0005-0000-0000-0000A01B0000}"/>
    <cellStyle name="메모 2 6 10 2" xfId="15856" xr:uid="{00000000-0005-0000-0000-0000A11B0000}"/>
    <cellStyle name="메모 2 6 10 2 2" xfId="31600" xr:uid="{00000000-0005-0000-0000-0000A21B0000}"/>
    <cellStyle name="메모 2 6 10 3" xfId="16257" xr:uid="{00000000-0005-0000-0000-0000A31B0000}"/>
    <cellStyle name="메모 2 6 10 3 2" xfId="31866" xr:uid="{00000000-0005-0000-0000-0000A41B0000}"/>
    <cellStyle name="메모 2 6 10 4" xfId="16659" xr:uid="{00000000-0005-0000-0000-0000A51B0000}"/>
    <cellStyle name="메모 2 6 10 4 2" xfId="32168" xr:uid="{00000000-0005-0000-0000-0000A61B0000}"/>
    <cellStyle name="메모 2 6 10 5" xfId="31289" xr:uid="{00000000-0005-0000-0000-0000A71B0000}"/>
    <cellStyle name="메모 2 6 10 6" xfId="18710" xr:uid="{00000000-0005-0000-0000-0000A81B0000}"/>
    <cellStyle name="메모 2 6 11" xfId="14972" xr:uid="{00000000-0005-0000-0000-0000A91B0000}"/>
    <cellStyle name="메모 2 6 11 2" xfId="15722" xr:uid="{00000000-0005-0000-0000-0000AA1B0000}"/>
    <cellStyle name="메모 2 6 11 2 2" xfId="31500" xr:uid="{00000000-0005-0000-0000-0000AB1B0000}"/>
    <cellStyle name="메모 2 6 11 3" xfId="16084" xr:uid="{00000000-0005-0000-0000-0000AC1B0000}"/>
    <cellStyle name="메모 2 6 11 3 2" xfId="31727" xr:uid="{00000000-0005-0000-0000-0000AD1B0000}"/>
    <cellStyle name="메모 2 6 11 4" xfId="16660" xr:uid="{00000000-0005-0000-0000-0000AE1B0000}"/>
    <cellStyle name="메모 2 6 11 4 2" xfId="32169" xr:uid="{00000000-0005-0000-0000-0000AF1B0000}"/>
    <cellStyle name="메모 2 6 11 5" xfId="31211" xr:uid="{00000000-0005-0000-0000-0000B01B0000}"/>
    <cellStyle name="메모 2 6 11 6" xfId="18579" xr:uid="{00000000-0005-0000-0000-0000B11B0000}"/>
    <cellStyle name="메모 2 6 12" xfId="15003" xr:uid="{00000000-0005-0000-0000-0000B21B0000}"/>
    <cellStyle name="메모 2 6 12 2" xfId="16115" xr:uid="{00000000-0005-0000-0000-0000B31B0000}"/>
    <cellStyle name="메모 2 6 12 2 2" xfId="31758" xr:uid="{00000000-0005-0000-0000-0000B41B0000}"/>
    <cellStyle name="메모 2 6 12 3" xfId="16661" xr:uid="{00000000-0005-0000-0000-0000B51B0000}"/>
    <cellStyle name="메모 2 6 12 3 2" xfId="32170" xr:uid="{00000000-0005-0000-0000-0000B61B0000}"/>
    <cellStyle name="메모 2 6 12 4" xfId="16662" xr:uid="{00000000-0005-0000-0000-0000B71B0000}"/>
    <cellStyle name="메모 2 6 12 4 2" xfId="32171" xr:uid="{00000000-0005-0000-0000-0000B81B0000}"/>
    <cellStyle name="메모 2 6 12 5" xfId="18466" xr:uid="{00000000-0005-0000-0000-0000B91B0000}"/>
    <cellStyle name="메모 2 6 13" xfId="15193" xr:uid="{00000000-0005-0000-0000-0000BA1B0000}"/>
    <cellStyle name="메모 2 6 13 2" xfId="31329" xr:uid="{00000000-0005-0000-0000-0000BB1B0000}"/>
    <cellStyle name="메모 2 6 14" xfId="16663" xr:uid="{00000000-0005-0000-0000-0000BC1B0000}"/>
    <cellStyle name="메모 2 6 14 2" xfId="32172" xr:uid="{00000000-0005-0000-0000-0000BD1B0000}"/>
    <cellStyle name="메모 2 6 15" xfId="16664" xr:uid="{00000000-0005-0000-0000-0000BE1B0000}"/>
    <cellStyle name="메모 2 6 15 2" xfId="32173" xr:uid="{00000000-0005-0000-0000-0000BF1B0000}"/>
    <cellStyle name="메모 2 6 2" xfId="11963" xr:uid="{00000000-0005-0000-0000-0000C01B0000}"/>
    <cellStyle name="메모 2 6 3" xfId="11964" xr:uid="{00000000-0005-0000-0000-0000C11B0000}"/>
    <cellStyle name="메모 2 6 4" xfId="11965" xr:uid="{00000000-0005-0000-0000-0000C21B0000}"/>
    <cellStyle name="메모 2 6 5" xfId="14723" xr:uid="{00000000-0005-0000-0000-0000C31B0000}"/>
    <cellStyle name="메모 2 6 5 2" xfId="15609" xr:uid="{00000000-0005-0000-0000-0000C41B0000}"/>
    <cellStyle name="메모 2 6 5 2 2" xfId="22266" xr:uid="{00000000-0005-0000-0000-0000C51B0000}"/>
    <cellStyle name="메모 2 6 5 2 2 2" xfId="18417" xr:uid="{00000000-0005-0000-0000-0000C61B0000}"/>
    <cellStyle name="메모 2 6 5 2 2 3" xfId="26496" xr:uid="{00000000-0005-0000-0000-0000C71B0000}"/>
    <cellStyle name="메모 2 6 5 2 2 4" xfId="29610" xr:uid="{00000000-0005-0000-0000-0000C81B0000}"/>
    <cellStyle name="메모 2 6 5 2 3" xfId="22742" xr:uid="{00000000-0005-0000-0000-0000C91B0000}"/>
    <cellStyle name="메모 2 6 5 2 3 2" xfId="19979" xr:uid="{00000000-0005-0000-0000-0000CA1B0000}"/>
    <cellStyle name="메모 2 6 5 2 3 3" xfId="26972" xr:uid="{00000000-0005-0000-0000-0000CB1B0000}"/>
    <cellStyle name="메모 2 6 5 2 3 4" xfId="30086" xr:uid="{00000000-0005-0000-0000-0000CC1B0000}"/>
    <cellStyle name="메모 2 6 5 2 4" xfId="23552" xr:uid="{00000000-0005-0000-0000-0000CD1B0000}"/>
    <cellStyle name="메모 2 6 5 2 4 2" xfId="18214" xr:uid="{00000000-0005-0000-0000-0000CE1B0000}"/>
    <cellStyle name="메모 2 6 5 2 4 3" xfId="27782" xr:uid="{00000000-0005-0000-0000-0000CF1B0000}"/>
    <cellStyle name="메모 2 6 5 2 4 4" xfId="30896" xr:uid="{00000000-0005-0000-0000-0000D01B0000}"/>
    <cellStyle name="메모 2 6 5 2 5" xfId="24616" xr:uid="{00000000-0005-0000-0000-0000D11B0000}"/>
    <cellStyle name="메모 2 6 5 2 6" xfId="25943" xr:uid="{00000000-0005-0000-0000-0000D21B0000}"/>
    <cellStyle name="메모 2 6 5 2 7" xfId="29057" xr:uid="{00000000-0005-0000-0000-0000D31B0000}"/>
    <cellStyle name="메모 2 6 5 2 8" xfId="21713" xr:uid="{00000000-0005-0000-0000-0000D41B0000}"/>
    <cellStyle name="메모 2 6 5 3" xfId="15959" xr:uid="{00000000-0005-0000-0000-0000D51B0000}"/>
    <cellStyle name="메모 2 6 5 3 2" xfId="31614" xr:uid="{00000000-0005-0000-0000-0000D61B0000}"/>
    <cellStyle name="메모 2 6 5 3 3" xfId="21327" xr:uid="{00000000-0005-0000-0000-0000D71B0000}"/>
    <cellStyle name="메모 2 6 5 4" xfId="16665" xr:uid="{00000000-0005-0000-0000-0000D81B0000}"/>
    <cellStyle name="메모 2 6 5 4 2" xfId="32174" xr:uid="{00000000-0005-0000-0000-0000D91B0000}"/>
    <cellStyle name="메모 2 6 5 4 3" xfId="20683" xr:uid="{00000000-0005-0000-0000-0000DA1B0000}"/>
    <cellStyle name="메모 2 6 5 5" xfId="18988" xr:uid="{00000000-0005-0000-0000-0000DB1B0000}"/>
    <cellStyle name="메모 2 6 5 6" xfId="24931" xr:uid="{00000000-0005-0000-0000-0000DC1B0000}"/>
    <cellStyle name="메모 2 6 5 7" xfId="28055" xr:uid="{00000000-0005-0000-0000-0000DD1B0000}"/>
    <cellStyle name="메모 2 6 5 8" xfId="17903" xr:uid="{00000000-0005-0000-0000-0000DE1B0000}"/>
    <cellStyle name="메모 2 6 6" xfId="14604" xr:uid="{00000000-0005-0000-0000-0000DF1B0000}"/>
    <cellStyle name="메모 2 6 6 10" xfId="18485" xr:uid="{00000000-0005-0000-0000-0000E01B0000}"/>
    <cellStyle name="메모 2 6 6 11" xfId="18457" xr:uid="{00000000-0005-0000-0000-0000E11B0000}"/>
    <cellStyle name="메모 2 6 6 12" xfId="17904" xr:uid="{00000000-0005-0000-0000-0000E21B0000}"/>
    <cellStyle name="메모 2 6 6 2" xfId="15535" xr:uid="{00000000-0005-0000-0000-0000E31B0000}"/>
    <cellStyle name="메모 2 6 6 2 2" xfId="22111" xr:uid="{00000000-0005-0000-0000-0000E41B0000}"/>
    <cellStyle name="메모 2 6 6 2 2 2" xfId="24441" xr:uid="{00000000-0005-0000-0000-0000E51B0000}"/>
    <cellStyle name="메모 2 6 6 2 2 3" xfId="26341" xr:uid="{00000000-0005-0000-0000-0000E61B0000}"/>
    <cellStyle name="메모 2 6 6 2 2 4" xfId="29455" xr:uid="{00000000-0005-0000-0000-0000E71B0000}"/>
    <cellStyle name="메모 2 6 6 2 3" xfId="22587" xr:uid="{00000000-0005-0000-0000-0000E81B0000}"/>
    <cellStyle name="메모 2 6 6 2 3 2" xfId="19835" xr:uid="{00000000-0005-0000-0000-0000E91B0000}"/>
    <cellStyle name="메모 2 6 6 2 3 3" xfId="26817" xr:uid="{00000000-0005-0000-0000-0000EA1B0000}"/>
    <cellStyle name="메모 2 6 6 2 3 4" xfId="29931" xr:uid="{00000000-0005-0000-0000-0000EB1B0000}"/>
    <cellStyle name="메모 2 6 6 2 4" xfId="23397" xr:uid="{00000000-0005-0000-0000-0000EC1B0000}"/>
    <cellStyle name="메모 2 6 6 2 4 2" xfId="20436" xr:uid="{00000000-0005-0000-0000-0000ED1B0000}"/>
    <cellStyle name="메모 2 6 6 2 4 3" xfId="27627" xr:uid="{00000000-0005-0000-0000-0000EE1B0000}"/>
    <cellStyle name="메모 2 6 6 2 4 4" xfId="30741" xr:uid="{00000000-0005-0000-0000-0000EF1B0000}"/>
    <cellStyle name="메모 2 6 6 2 5" xfId="24594" xr:uid="{00000000-0005-0000-0000-0000F01B0000}"/>
    <cellStyle name="메모 2 6 6 2 6" xfId="25788" xr:uid="{00000000-0005-0000-0000-0000F11B0000}"/>
    <cellStyle name="메모 2 6 6 2 7" xfId="28902" xr:uid="{00000000-0005-0000-0000-0000F21B0000}"/>
    <cellStyle name="메모 2 6 6 2 8" xfId="21558" xr:uid="{00000000-0005-0000-0000-0000F31B0000}"/>
    <cellStyle name="메모 2 6 6 3" xfId="15889" xr:uid="{00000000-0005-0000-0000-0000F41B0000}"/>
    <cellStyle name="메모 2 6 6 3 2" xfId="19483" xr:uid="{00000000-0005-0000-0000-0000F51B0000}"/>
    <cellStyle name="메모 2 6 6 3 3" xfId="25627" xr:uid="{00000000-0005-0000-0000-0000F61B0000}"/>
    <cellStyle name="메모 2 6 6 3 4" xfId="28744" xr:uid="{00000000-0005-0000-0000-0000F71B0000}"/>
    <cellStyle name="메모 2 6 6 3 5" xfId="21440" xr:uid="{00000000-0005-0000-0000-0000F81B0000}"/>
    <cellStyle name="메모 2 6 6 4" xfId="16666" xr:uid="{00000000-0005-0000-0000-0000F91B0000}"/>
    <cellStyle name="메모 2 6 6 4 2" xfId="23812" xr:uid="{00000000-0005-0000-0000-0000FA1B0000}"/>
    <cellStyle name="메모 2 6 6 4 3" xfId="26178" xr:uid="{00000000-0005-0000-0000-0000FB1B0000}"/>
    <cellStyle name="메모 2 6 6 4 4" xfId="29292" xr:uid="{00000000-0005-0000-0000-0000FC1B0000}"/>
    <cellStyle name="메모 2 6 6 4 5" xfId="21948" xr:uid="{00000000-0005-0000-0000-0000FD1B0000}"/>
    <cellStyle name="메모 2 6 6 5" xfId="22421" xr:uid="{00000000-0005-0000-0000-0000FE1B0000}"/>
    <cellStyle name="메모 2 6 6 5 2" xfId="19685" xr:uid="{00000000-0005-0000-0000-0000FF1B0000}"/>
    <cellStyle name="메모 2 6 6 5 3" xfId="26651" xr:uid="{00000000-0005-0000-0000-0000001C0000}"/>
    <cellStyle name="메모 2 6 6 5 4" xfId="29765" xr:uid="{00000000-0005-0000-0000-0000011C0000}"/>
    <cellStyle name="메모 2 6 6 6" xfId="22894" xr:uid="{00000000-0005-0000-0000-0000021C0000}"/>
    <cellStyle name="메모 2 6 6 6 2" xfId="24046" xr:uid="{00000000-0005-0000-0000-0000031C0000}"/>
    <cellStyle name="메모 2 6 6 6 3" xfId="27124" xr:uid="{00000000-0005-0000-0000-0000041C0000}"/>
    <cellStyle name="메모 2 6 6 6 4" xfId="30238" xr:uid="{00000000-0005-0000-0000-0000051C0000}"/>
    <cellStyle name="메모 2 6 6 7" xfId="21237" xr:uid="{00000000-0005-0000-0000-0000061C0000}"/>
    <cellStyle name="메모 2 6 6 7 2" xfId="24696" xr:uid="{00000000-0005-0000-0000-0000071C0000}"/>
    <cellStyle name="메모 2 6 6 7 3" xfId="25459" xr:uid="{00000000-0005-0000-0000-0000081C0000}"/>
    <cellStyle name="메모 2 6 6 7 4" xfId="28576" xr:uid="{00000000-0005-0000-0000-0000091C0000}"/>
    <cellStyle name="메모 2 6 6 8" xfId="20526" xr:uid="{00000000-0005-0000-0000-00000A1C0000}"/>
    <cellStyle name="메모 2 6 6 9" xfId="18835" xr:uid="{00000000-0005-0000-0000-00000B1C0000}"/>
    <cellStyle name="메모 2 6 7" xfId="14576" xr:uid="{00000000-0005-0000-0000-00000C1C0000}"/>
    <cellStyle name="메모 2 6 7 2" xfId="15507" xr:uid="{00000000-0005-0000-0000-00000D1C0000}"/>
    <cellStyle name="메모 2 6 7 2 2" xfId="23789" xr:uid="{00000000-0005-0000-0000-00000E1C0000}"/>
    <cellStyle name="메모 2 6 7 2 3" xfId="26228" xr:uid="{00000000-0005-0000-0000-00000F1C0000}"/>
    <cellStyle name="메모 2 6 7 2 4" xfId="29342" xr:uid="{00000000-0005-0000-0000-0000101C0000}"/>
    <cellStyle name="메모 2 6 7 2 5" xfId="21998" xr:uid="{00000000-0005-0000-0000-0000111C0000}"/>
    <cellStyle name="메모 2 6 7 3" xfId="15216" xr:uid="{00000000-0005-0000-0000-0000121C0000}"/>
    <cellStyle name="메모 2 6 7 3 2" xfId="19728" xr:uid="{00000000-0005-0000-0000-0000131C0000}"/>
    <cellStyle name="메모 2 6 7 3 3" xfId="26701" xr:uid="{00000000-0005-0000-0000-0000141C0000}"/>
    <cellStyle name="메모 2 6 7 3 4" xfId="29815" xr:uid="{00000000-0005-0000-0000-0000151C0000}"/>
    <cellStyle name="메모 2 6 7 3 5" xfId="22471" xr:uid="{00000000-0005-0000-0000-0000161C0000}"/>
    <cellStyle name="메모 2 6 7 4" xfId="16667" xr:uid="{00000000-0005-0000-0000-0000171C0000}"/>
    <cellStyle name="메모 2 6 7 4 2" xfId="21485" xr:uid="{00000000-0005-0000-0000-0000181C0000}"/>
    <cellStyle name="메모 2 6 7 4 3" xfId="27519" xr:uid="{00000000-0005-0000-0000-0000191C0000}"/>
    <cellStyle name="메모 2 6 7 4 4" xfId="30633" xr:uid="{00000000-0005-0000-0000-00001A1C0000}"/>
    <cellStyle name="메모 2 6 7 4 5" xfId="23289" xr:uid="{00000000-0005-0000-0000-00001B1C0000}"/>
    <cellStyle name="메모 2 6 7 5" xfId="21492" xr:uid="{00000000-0005-0000-0000-00001C1C0000}"/>
    <cellStyle name="메모 2 6 7 6" xfId="24350" xr:uid="{00000000-0005-0000-0000-00001D1C0000}"/>
    <cellStyle name="메모 2 6 7 7" xfId="25677" xr:uid="{00000000-0005-0000-0000-00001E1C0000}"/>
    <cellStyle name="메모 2 6 7 8" xfId="28794" xr:uid="{00000000-0005-0000-0000-00001F1C0000}"/>
    <cellStyle name="메모 2 6 7 9" xfId="17905" xr:uid="{00000000-0005-0000-0000-0000201C0000}"/>
    <cellStyle name="메모 2 6 8" xfId="15096" xr:uid="{00000000-0005-0000-0000-0000211C0000}"/>
    <cellStyle name="메모 2 6 8 2" xfId="15815" xr:uid="{00000000-0005-0000-0000-0000221C0000}"/>
    <cellStyle name="메모 2 6 8 2 2" xfId="31565" xr:uid="{00000000-0005-0000-0000-0000231C0000}"/>
    <cellStyle name="메모 2 6 8 2 3" xfId="24523" xr:uid="{00000000-0005-0000-0000-0000241C0000}"/>
    <cellStyle name="메모 2 6 8 3" xfId="16208" xr:uid="{00000000-0005-0000-0000-0000251C0000}"/>
    <cellStyle name="메모 2 6 8 3 2" xfId="31823" xr:uid="{00000000-0005-0000-0000-0000261C0000}"/>
    <cellStyle name="메모 2 6 8 3 3" xfId="25131" xr:uid="{00000000-0005-0000-0000-0000271C0000}"/>
    <cellStyle name="메모 2 6 8 4" xfId="16668" xr:uid="{00000000-0005-0000-0000-0000281C0000}"/>
    <cellStyle name="메모 2 6 8 4 2" xfId="28255" xr:uid="{00000000-0005-0000-0000-0000291C0000}"/>
    <cellStyle name="메모 2 6 8 5" xfId="20880" xr:uid="{00000000-0005-0000-0000-00002A1C0000}"/>
    <cellStyle name="메모 2 6 9" xfId="14925" xr:uid="{00000000-0005-0000-0000-00002B1C0000}"/>
    <cellStyle name="메모 2 6 9 2" xfId="15675" xr:uid="{00000000-0005-0000-0000-00002C1C0000}"/>
    <cellStyle name="메모 2 6 9 2 2" xfId="31453" xr:uid="{00000000-0005-0000-0000-00002D1C0000}"/>
    <cellStyle name="메모 2 6 9 3" xfId="16037" xr:uid="{00000000-0005-0000-0000-00002E1C0000}"/>
    <cellStyle name="메모 2 6 9 3 2" xfId="31680" xr:uid="{00000000-0005-0000-0000-00002F1C0000}"/>
    <cellStyle name="메모 2 6 9 4" xfId="16669" xr:uid="{00000000-0005-0000-0000-0000301C0000}"/>
    <cellStyle name="메모 2 6 9 4 2" xfId="32175" xr:uid="{00000000-0005-0000-0000-0000311C0000}"/>
    <cellStyle name="메모 2 6 9 5" xfId="31191" xr:uid="{00000000-0005-0000-0000-0000321C0000}"/>
    <cellStyle name="메모 2 6 9 6" xfId="20429" xr:uid="{00000000-0005-0000-0000-0000331C0000}"/>
    <cellStyle name="메모 2 7" xfId="11966" xr:uid="{00000000-0005-0000-0000-0000341C0000}"/>
    <cellStyle name="메모 2 7 10" xfId="15036" xr:uid="{00000000-0005-0000-0000-0000351C0000}"/>
    <cellStyle name="메모 2 7 10 2" xfId="15764" xr:uid="{00000000-0005-0000-0000-0000361C0000}"/>
    <cellStyle name="메모 2 7 10 2 2" xfId="31542" xr:uid="{00000000-0005-0000-0000-0000371C0000}"/>
    <cellStyle name="메모 2 7 10 3" xfId="16148" xr:uid="{00000000-0005-0000-0000-0000381C0000}"/>
    <cellStyle name="메모 2 7 10 3 2" xfId="31791" xr:uid="{00000000-0005-0000-0000-0000391C0000}"/>
    <cellStyle name="메모 2 7 10 4" xfId="16670" xr:uid="{00000000-0005-0000-0000-00003A1C0000}"/>
    <cellStyle name="메모 2 7 10 4 2" xfId="32176" xr:uid="{00000000-0005-0000-0000-00003B1C0000}"/>
    <cellStyle name="메모 2 7 10 5" xfId="31253" xr:uid="{00000000-0005-0000-0000-00003C1C0000}"/>
    <cellStyle name="메모 2 7 10 6" xfId="18711" xr:uid="{00000000-0005-0000-0000-00003D1C0000}"/>
    <cellStyle name="메모 2 7 11" xfId="15122" xr:uid="{00000000-0005-0000-0000-00003E1C0000}"/>
    <cellStyle name="메모 2 7 11 2" xfId="15841" xr:uid="{00000000-0005-0000-0000-00003F1C0000}"/>
    <cellStyle name="메모 2 7 11 2 2" xfId="31585" xr:uid="{00000000-0005-0000-0000-0000401C0000}"/>
    <cellStyle name="메모 2 7 11 3" xfId="16234" xr:uid="{00000000-0005-0000-0000-0000411C0000}"/>
    <cellStyle name="메모 2 7 11 3 2" xfId="31843" xr:uid="{00000000-0005-0000-0000-0000421C0000}"/>
    <cellStyle name="메모 2 7 11 4" xfId="16671" xr:uid="{00000000-0005-0000-0000-0000431C0000}"/>
    <cellStyle name="메모 2 7 11 4 2" xfId="32177" xr:uid="{00000000-0005-0000-0000-0000441C0000}"/>
    <cellStyle name="메모 2 7 11 5" xfId="31274" xr:uid="{00000000-0005-0000-0000-0000451C0000}"/>
    <cellStyle name="메모 2 7 11 6" xfId="19155" xr:uid="{00000000-0005-0000-0000-0000461C0000}"/>
    <cellStyle name="메모 2 7 12" xfId="15136" xr:uid="{00000000-0005-0000-0000-0000471C0000}"/>
    <cellStyle name="메모 2 7 12 2" xfId="16248" xr:uid="{00000000-0005-0000-0000-0000481C0000}"/>
    <cellStyle name="메모 2 7 12 2 2" xfId="31857" xr:uid="{00000000-0005-0000-0000-0000491C0000}"/>
    <cellStyle name="메모 2 7 12 3" xfId="16672" xr:uid="{00000000-0005-0000-0000-00004A1C0000}"/>
    <cellStyle name="메모 2 7 12 3 2" xfId="32178" xr:uid="{00000000-0005-0000-0000-00004B1C0000}"/>
    <cellStyle name="메모 2 7 12 4" xfId="16673" xr:uid="{00000000-0005-0000-0000-00004C1C0000}"/>
    <cellStyle name="메모 2 7 12 4 2" xfId="32179" xr:uid="{00000000-0005-0000-0000-00004D1C0000}"/>
    <cellStyle name="메모 2 7 12 5" xfId="18467" xr:uid="{00000000-0005-0000-0000-00004E1C0000}"/>
    <cellStyle name="메모 2 7 13" xfId="15194" xr:uid="{00000000-0005-0000-0000-00004F1C0000}"/>
    <cellStyle name="메모 2 7 13 2" xfId="31330" xr:uid="{00000000-0005-0000-0000-0000501C0000}"/>
    <cellStyle name="메모 2 7 14" xfId="16674" xr:uid="{00000000-0005-0000-0000-0000511C0000}"/>
    <cellStyle name="메모 2 7 14 2" xfId="32180" xr:uid="{00000000-0005-0000-0000-0000521C0000}"/>
    <cellStyle name="메모 2 7 15" xfId="16675" xr:uid="{00000000-0005-0000-0000-0000531C0000}"/>
    <cellStyle name="메모 2 7 15 2" xfId="32181" xr:uid="{00000000-0005-0000-0000-0000541C0000}"/>
    <cellStyle name="메모 2 7 2" xfId="11967" xr:uid="{00000000-0005-0000-0000-0000551C0000}"/>
    <cellStyle name="메모 2 7 3" xfId="11968" xr:uid="{00000000-0005-0000-0000-0000561C0000}"/>
    <cellStyle name="메모 2 7 4" xfId="11969" xr:uid="{00000000-0005-0000-0000-0000571C0000}"/>
    <cellStyle name="메모 2 7 5" xfId="14724" xr:uid="{00000000-0005-0000-0000-0000581C0000}"/>
    <cellStyle name="메모 2 7 5 2" xfId="15610" xr:uid="{00000000-0005-0000-0000-0000591C0000}"/>
    <cellStyle name="메모 2 7 5 2 2" xfId="22270" xr:uid="{00000000-0005-0000-0000-00005A1C0000}"/>
    <cellStyle name="메모 2 7 5 2 2 2" xfId="18421" xr:uid="{00000000-0005-0000-0000-00005B1C0000}"/>
    <cellStyle name="메모 2 7 5 2 2 3" xfId="26500" xr:uid="{00000000-0005-0000-0000-00005C1C0000}"/>
    <cellStyle name="메모 2 7 5 2 2 4" xfId="29614" xr:uid="{00000000-0005-0000-0000-00005D1C0000}"/>
    <cellStyle name="메모 2 7 5 2 3" xfId="22746" xr:uid="{00000000-0005-0000-0000-00005E1C0000}"/>
    <cellStyle name="메모 2 7 5 2 3 2" xfId="19983" xr:uid="{00000000-0005-0000-0000-00005F1C0000}"/>
    <cellStyle name="메모 2 7 5 2 3 3" xfId="26976" xr:uid="{00000000-0005-0000-0000-0000601C0000}"/>
    <cellStyle name="메모 2 7 5 2 3 4" xfId="30090" xr:uid="{00000000-0005-0000-0000-0000611C0000}"/>
    <cellStyle name="메모 2 7 5 2 4" xfId="23556" xr:uid="{00000000-0005-0000-0000-0000621C0000}"/>
    <cellStyle name="메모 2 7 5 2 4 2" xfId="23821" xr:uid="{00000000-0005-0000-0000-0000631C0000}"/>
    <cellStyle name="메모 2 7 5 2 4 3" xfId="27786" xr:uid="{00000000-0005-0000-0000-0000641C0000}"/>
    <cellStyle name="메모 2 7 5 2 4 4" xfId="30900" xr:uid="{00000000-0005-0000-0000-0000651C0000}"/>
    <cellStyle name="메모 2 7 5 2 5" xfId="19302" xr:uid="{00000000-0005-0000-0000-0000661C0000}"/>
    <cellStyle name="메모 2 7 5 2 6" xfId="25947" xr:uid="{00000000-0005-0000-0000-0000671C0000}"/>
    <cellStyle name="메모 2 7 5 2 7" xfId="29061" xr:uid="{00000000-0005-0000-0000-0000681C0000}"/>
    <cellStyle name="메모 2 7 5 2 8" xfId="21717" xr:uid="{00000000-0005-0000-0000-0000691C0000}"/>
    <cellStyle name="메모 2 7 5 3" xfId="15960" xr:uid="{00000000-0005-0000-0000-00006A1C0000}"/>
    <cellStyle name="메모 2 7 5 3 2" xfId="31615" xr:uid="{00000000-0005-0000-0000-00006B1C0000}"/>
    <cellStyle name="메모 2 7 5 3 3" xfId="21328" xr:uid="{00000000-0005-0000-0000-00006C1C0000}"/>
    <cellStyle name="메모 2 7 5 4" xfId="16676" xr:uid="{00000000-0005-0000-0000-00006D1C0000}"/>
    <cellStyle name="메모 2 7 5 4 2" xfId="32182" xr:uid="{00000000-0005-0000-0000-00006E1C0000}"/>
    <cellStyle name="메모 2 7 5 4 3" xfId="20687" xr:uid="{00000000-0005-0000-0000-00006F1C0000}"/>
    <cellStyle name="메모 2 7 5 5" xfId="18992" xr:uid="{00000000-0005-0000-0000-0000701C0000}"/>
    <cellStyle name="메모 2 7 5 6" xfId="24935" xr:uid="{00000000-0005-0000-0000-0000711C0000}"/>
    <cellStyle name="메모 2 7 5 7" xfId="28059" xr:uid="{00000000-0005-0000-0000-0000721C0000}"/>
    <cellStyle name="메모 2 7 5 8" xfId="17906" xr:uid="{00000000-0005-0000-0000-0000731C0000}"/>
    <cellStyle name="메모 2 7 6" xfId="14603" xr:uid="{00000000-0005-0000-0000-0000741C0000}"/>
    <cellStyle name="메모 2 7 6 10" xfId="24791" xr:uid="{00000000-0005-0000-0000-0000751C0000}"/>
    <cellStyle name="메모 2 7 6 11" xfId="27915" xr:uid="{00000000-0005-0000-0000-0000761C0000}"/>
    <cellStyle name="메모 2 7 6 12" xfId="17907" xr:uid="{00000000-0005-0000-0000-0000771C0000}"/>
    <cellStyle name="메모 2 7 6 2" xfId="15534" xr:uid="{00000000-0005-0000-0000-0000781C0000}"/>
    <cellStyle name="메모 2 7 6 2 2" xfId="22126" xr:uid="{00000000-0005-0000-0000-0000791C0000}"/>
    <cellStyle name="메모 2 7 6 2 2 2" xfId="19560" xr:uid="{00000000-0005-0000-0000-00007A1C0000}"/>
    <cellStyle name="메모 2 7 6 2 2 3" xfId="26356" xr:uid="{00000000-0005-0000-0000-00007B1C0000}"/>
    <cellStyle name="메모 2 7 6 2 2 4" xfId="29470" xr:uid="{00000000-0005-0000-0000-00007C1C0000}"/>
    <cellStyle name="메모 2 7 6 2 3" xfId="22602" xr:uid="{00000000-0005-0000-0000-00007D1C0000}"/>
    <cellStyle name="메모 2 7 6 2 3 2" xfId="19849" xr:uid="{00000000-0005-0000-0000-00007E1C0000}"/>
    <cellStyle name="메모 2 7 6 2 3 3" xfId="26832" xr:uid="{00000000-0005-0000-0000-00007F1C0000}"/>
    <cellStyle name="메모 2 7 6 2 3 4" xfId="29946" xr:uid="{00000000-0005-0000-0000-0000801C0000}"/>
    <cellStyle name="메모 2 7 6 2 4" xfId="23412" xr:uid="{00000000-0005-0000-0000-0000811C0000}"/>
    <cellStyle name="메모 2 7 6 2 4 2" xfId="20455" xr:uid="{00000000-0005-0000-0000-0000821C0000}"/>
    <cellStyle name="메모 2 7 6 2 4 3" xfId="27642" xr:uid="{00000000-0005-0000-0000-0000831C0000}"/>
    <cellStyle name="메모 2 7 6 2 4 4" xfId="30756" xr:uid="{00000000-0005-0000-0000-0000841C0000}"/>
    <cellStyle name="메모 2 7 6 2 5" xfId="19296" xr:uid="{00000000-0005-0000-0000-0000851C0000}"/>
    <cellStyle name="메모 2 7 6 2 6" xfId="25803" xr:uid="{00000000-0005-0000-0000-0000861C0000}"/>
    <cellStyle name="메모 2 7 6 2 7" xfId="28917" xr:uid="{00000000-0005-0000-0000-0000871C0000}"/>
    <cellStyle name="메모 2 7 6 2 8" xfId="21573" xr:uid="{00000000-0005-0000-0000-0000881C0000}"/>
    <cellStyle name="메모 2 7 6 3" xfId="15888" xr:uid="{00000000-0005-0000-0000-0000891C0000}"/>
    <cellStyle name="메모 2 7 6 3 2" xfId="19484" xr:uid="{00000000-0005-0000-0000-00008A1C0000}"/>
    <cellStyle name="메모 2 7 6 3 3" xfId="25628" xr:uid="{00000000-0005-0000-0000-00008B1C0000}"/>
    <cellStyle name="메모 2 7 6 3 4" xfId="28745" xr:uid="{00000000-0005-0000-0000-00008C1C0000}"/>
    <cellStyle name="메모 2 7 6 3 5" xfId="21441" xr:uid="{00000000-0005-0000-0000-00008D1C0000}"/>
    <cellStyle name="메모 2 7 6 4" xfId="16677" xr:uid="{00000000-0005-0000-0000-00008E1C0000}"/>
    <cellStyle name="메모 2 7 6 4 2" xfId="23881" xr:uid="{00000000-0005-0000-0000-00008F1C0000}"/>
    <cellStyle name="메모 2 7 6 4 3" xfId="26179" xr:uid="{00000000-0005-0000-0000-0000901C0000}"/>
    <cellStyle name="메모 2 7 6 4 4" xfId="29293" xr:uid="{00000000-0005-0000-0000-0000911C0000}"/>
    <cellStyle name="메모 2 7 6 4 5" xfId="21949" xr:uid="{00000000-0005-0000-0000-0000921C0000}"/>
    <cellStyle name="메모 2 7 6 5" xfId="22422" xr:uid="{00000000-0005-0000-0000-0000931C0000}"/>
    <cellStyle name="메모 2 7 6 5 2" xfId="19686" xr:uid="{00000000-0005-0000-0000-0000941C0000}"/>
    <cellStyle name="메모 2 7 6 5 3" xfId="26652" xr:uid="{00000000-0005-0000-0000-0000951C0000}"/>
    <cellStyle name="메모 2 7 6 5 4" xfId="29766" xr:uid="{00000000-0005-0000-0000-0000961C0000}"/>
    <cellStyle name="메모 2 7 6 6" xfId="22895" xr:uid="{00000000-0005-0000-0000-0000971C0000}"/>
    <cellStyle name="메모 2 7 6 6 2" xfId="20120" xr:uid="{00000000-0005-0000-0000-0000981C0000}"/>
    <cellStyle name="메모 2 7 6 6 3" xfId="27125" xr:uid="{00000000-0005-0000-0000-0000991C0000}"/>
    <cellStyle name="메모 2 7 6 6 4" xfId="30239" xr:uid="{00000000-0005-0000-0000-00009A1C0000}"/>
    <cellStyle name="메모 2 7 6 7" xfId="21240" xr:uid="{00000000-0005-0000-0000-00009B1C0000}"/>
    <cellStyle name="메모 2 7 6 7 2" xfId="24080" xr:uid="{00000000-0005-0000-0000-00009C1C0000}"/>
    <cellStyle name="메모 2 7 6 7 3" xfId="25462" xr:uid="{00000000-0005-0000-0000-00009D1C0000}"/>
    <cellStyle name="메모 2 7 6 7 4" xfId="28579" xr:uid="{00000000-0005-0000-0000-00009E1C0000}"/>
    <cellStyle name="메모 2 7 6 8" xfId="20543" xr:uid="{00000000-0005-0000-0000-00009F1C0000}"/>
    <cellStyle name="메모 2 7 6 9" xfId="18850" xr:uid="{00000000-0005-0000-0000-0000A01C0000}"/>
    <cellStyle name="메모 2 7 7" xfId="14650" xr:uid="{00000000-0005-0000-0000-0000A11C0000}"/>
    <cellStyle name="메모 2 7 7 2" xfId="15581" xr:uid="{00000000-0005-0000-0000-0000A21C0000}"/>
    <cellStyle name="메모 2 7 7 2 2" xfId="23927" xr:uid="{00000000-0005-0000-0000-0000A31C0000}"/>
    <cellStyle name="메모 2 7 7 2 3" xfId="26229" xr:uid="{00000000-0005-0000-0000-0000A41C0000}"/>
    <cellStyle name="메모 2 7 7 2 4" xfId="29343" xr:uid="{00000000-0005-0000-0000-0000A51C0000}"/>
    <cellStyle name="메모 2 7 7 2 5" xfId="21999" xr:uid="{00000000-0005-0000-0000-0000A61C0000}"/>
    <cellStyle name="메모 2 7 7 3" xfId="15935" xr:uid="{00000000-0005-0000-0000-0000A71C0000}"/>
    <cellStyle name="메모 2 7 7 3 2" xfId="19729" xr:uid="{00000000-0005-0000-0000-0000A81C0000}"/>
    <cellStyle name="메모 2 7 7 3 3" xfId="26702" xr:uid="{00000000-0005-0000-0000-0000A91C0000}"/>
    <cellStyle name="메모 2 7 7 3 4" xfId="29816" xr:uid="{00000000-0005-0000-0000-0000AA1C0000}"/>
    <cellStyle name="메모 2 7 7 3 5" xfId="22472" xr:uid="{00000000-0005-0000-0000-0000AB1C0000}"/>
    <cellStyle name="메모 2 7 7 4" xfId="16678" xr:uid="{00000000-0005-0000-0000-0000AC1C0000}"/>
    <cellStyle name="메모 2 7 7 4 2" xfId="20330" xr:uid="{00000000-0005-0000-0000-0000AD1C0000}"/>
    <cellStyle name="메모 2 7 7 4 3" xfId="27520" xr:uid="{00000000-0005-0000-0000-0000AE1C0000}"/>
    <cellStyle name="메모 2 7 7 4 4" xfId="30634" xr:uid="{00000000-0005-0000-0000-0000AF1C0000}"/>
    <cellStyle name="메모 2 7 7 4 5" xfId="23290" xr:uid="{00000000-0005-0000-0000-0000B01C0000}"/>
    <cellStyle name="메모 2 7 7 5" xfId="21493" xr:uid="{00000000-0005-0000-0000-0000B11C0000}"/>
    <cellStyle name="메모 2 7 7 6" xfId="24178" xr:uid="{00000000-0005-0000-0000-0000B21C0000}"/>
    <cellStyle name="메모 2 7 7 7" xfId="25678" xr:uid="{00000000-0005-0000-0000-0000B31C0000}"/>
    <cellStyle name="메모 2 7 7 8" xfId="28795" xr:uid="{00000000-0005-0000-0000-0000B41C0000}"/>
    <cellStyle name="메모 2 7 7 9" xfId="17908" xr:uid="{00000000-0005-0000-0000-0000B51C0000}"/>
    <cellStyle name="메모 2 7 8" xfId="15097" xr:uid="{00000000-0005-0000-0000-0000B61C0000}"/>
    <cellStyle name="메모 2 7 8 2" xfId="15816" xr:uid="{00000000-0005-0000-0000-0000B71C0000}"/>
    <cellStyle name="메모 2 7 8 2 2" xfId="31566" xr:uid="{00000000-0005-0000-0000-0000B81C0000}"/>
    <cellStyle name="메모 2 7 8 2 3" xfId="24348" xr:uid="{00000000-0005-0000-0000-0000B91C0000}"/>
    <cellStyle name="메모 2 7 8 3" xfId="16209" xr:uid="{00000000-0005-0000-0000-0000BA1C0000}"/>
    <cellStyle name="메모 2 7 8 3 2" xfId="31824" xr:uid="{00000000-0005-0000-0000-0000BB1C0000}"/>
    <cellStyle name="메모 2 7 8 3 3" xfId="25132" xr:uid="{00000000-0005-0000-0000-0000BC1C0000}"/>
    <cellStyle name="메모 2 7 8 4" xfId="16679" xr:uid="{00000000-0005-0000-0000-0000BD1C0000}"/>
    <cellStyle name="메모 2 7 8 4 2" xfId="28256" xr:uid="{00000000-0005-0000-0000-0000BE1C0000}"/>
    <cellStyle name="메모 2 7 8 5" xfId="20881" xr:uid="{00000000-0005-0000-0000-0000BF1C0000}"/>
    <cellStyle name="메모 2 7 9" xfId="14924" xr:uid="{00000000-0005-0000-0000-0000C01C0000}"/>
    <cellStyle name="메모 2 7 9 2" xfId="15674" xr:uid="{00000000-0005-0000-0000-0000C11C0000}"/>
    <cellStyle name="메모 2 7 9 2 2" xfId="31452" xr:uid="{00000000-0005-0000-0000-0000C21C0000}"/>
    <cellStyle name="메모 2 7 9 3" xfId="16036" xr:uid="{00000000-0005-0000-0000-0000C31C0000}"/>
    <cellStyle name="메모 2 7 9 3 2" xfId="31679" xr:uid="{00000000-0005-0000-0000-0000C41C0000}"/>
    <cellStyle name="메모 2 7 9 4" xfId="16680" xr:uid="{00000000-0005-0000-0000-0000C51C0000}"/>
    <cellStyle name="메모 2 7 9 4 2" xfId="32183" xr:uid="{00000000-0005-0000-0000-0000C61C0000}"/>
    <cellStyle name="메모 2 7 9 5" xfId="31190" xr:uid="{00000000-0005-0000-0000-0000C71C0000}"/>
    <cellStyle name="메모 2 7 9 6" xfId="20433" xr:uid="{00000000-0005-0000-0000-0000C81C0000}"/>
    <cellStyle name="메모 2 8" xfId="11970" xr:uid="{00000000-0005-0000-0000-0000C91C0000}"/>
    <cellStyle name="메모 2 8 2" xfId="11971" xr:uid="{00000000-0005-0000-0000-0000CA1C0000}"/>
    <cellStyle name="메모 2 8 3" xfId="11972" xr:uid="{00000000-0005-0000-0000-0000CB1C0000}"/>
    <cellStyle name="메모 2 8 4" xfId="11973" xr:uid="{00000000-0005-0000-0000-0000CC1C0000}"/>
    <cellStyle name="메모 2 9" xfId="11974" xr:uid="{00000000-0005-0000-0000-0000CD1C0000}"/>
    <cellStyle name="메모 3" xfId="11975" xr:uid="{00000000-0005-0000-0000-0000CE1C0000}"/>
    <cellStyle name="메모 3 10" xfId="15098" xr:uid="{00000000-0005-0000-0000-0000CF1C0000}"/>
    <cellStyle name="메모 3 10 2" xfId="15817" xr:uid="{00000000-0005-0000-0000-0000D01C0000}"/>
    <cellStyle name="메모 3 10 2 2" xfId="24738" xr:uid="{00000000-0005-0000-0000-0000D11C0000}"/>
    <cellStyle name="메모 3 10 2 3" xfId="26230" xr:uid="{00000000-0005-0000-0000-0000D21C0000}"/>
    <cellStyle name="메모 3 10 2 4" xfId="29344" xr:uid="{00000000-0005-0000-0000-0000D31C0000}"/>
    <cellStyle name="메모 3 10 2 5" xfId="22000" xr:uid="{00000000-0005-0000-0000-0000D41C0000}"/>
    <cellStyle name="메모 3 10 3" xfId="16210" xr:uid="{00000000-0005-0000-0000-0000D51C0000}"/>
    <cellStyle name="메모 3 10 3 2" xfId="19730" xr:uid="{00000000-0005-0000-0000-0000D61C0000}"/>
    <cellStyle name="메모 3 10 3 3" xfId="26703" xr:uid="{00000000-0005-0000-0000-0000D71C0000}"/>
    <cellStyle name="메모 3 10 3 4" xfId="29817" xr:uid="{00000000-0005-0000-0000-0000D81C0000}"/>
    <cellStyle name="메모 3 10 3 5" xfId="22473" xr:uid="{00000000-0005-0000-0000-0000D91C0000}"/>
    <cellStyle name="메모 3 10 4" xfId="16681" xr:uid="{00000000-0005-0000-0000-0000DA1C0000}"/>
    <cellStyle name="메모 3 10 4 2" xfId="21486" xr:uid="{00000000-0005-0000-0000-0000DB1C0000}"/>
    <cellStyle name="메모 3 10 4 3" xfId="27521" xr:uid="{00000000-0005-0000-0000-0000DC1C0000}"/>
    <cellStyle name="메모 3 10 4 4" xfId="30635" xr:uid="{00000000-0005-0000-0000-0000DD1C0000}"/>
    <cellStyle name="메모 3 10 4 5" xfId="23291" xr:uid="{00000000-0005-0000-0000-0000DE1C0000}"/>
    <cellStyle name="메모 3 10 5" xfId="23971" xr:uid="{00000000-0005-0000-0000-0000DF1C0000}"/>
    <cellStyle name="메모 3 10 6" xfId="25679" xr:uid="{00000000-0005-0000-0000-0000E01C0000}"/>
    <cellStyle name="메모 3 10 7" xfId="28796" xr:uid="{00000000-0005-0000-0000-0000E11C0000}"/>
    <cellStyle name="메모 3 10 8" xfId="21494" xr:uid="{00000000-0005-0000-0000-0000E21C0000}"/>
    <cellStyle name="메모 3 11" xfId="14923" xr:uid="{00000000-0005-0000-0000-0000E31C0000}"/>
    <cellStyle name="메모 3 11 2" xfId="15673" xr:uid="{00000000-0005-0000-0000-0000E41C0000}"/>
    <cellStyle name="메모 3 11 2 2" xfId="31451" xr:uid="{00000000-0005-0000-0000-0000E51C0000}"/>
    <cellStyle name="메모 3 11 2 3" xfId="19129" xr:uid="{00000000-0005-0000-0000-0000E61C0000}"/>
    <cellStyle name="메모 3 11 3" xfId="16035" xr:uid="{00000000-0005-0000-0000-0000E71C0000}"/>
    <cellStyle name="메모 3 11 3 2" xfId="31678" xr:uid="{00000000-0005-0000-0000-0000E81C0000}"/>
    <cellStyle name="메모 3 11 3 3" xfId="25074" xr:uid="{00000000-0005-0000-0000-0000E91C0000}"/>
    <cellStyle name="메모 3 11 4" xfId="16682" xr:uid="{00000000-0005-0000-0000-0000EA1C0000}"/>
    <cellStyle name="메모 3 11 4 2" xfId="28198" xr:uid="{00000000-0005-0000-0000-0000EB1C0000}"/>
    <cellStyle name="메모 3 11 5" xfId="20823" xr:uid="{00000000-0005-0000-0000-0000EC1C0000}"/>
    <cellStyle name="메모 3 12" xfId="15037" xr:uid="{00000000-0005-0000-0000-0000ED1C0000}"/>
    <cellStyle name="메모 3 12 2" xfId="15765" xr:uid="{00000000-0005-0000-0000-0000EE1C0000}"/>
    <cellStyle name="메모 3 12 2 2" xfId="31543" xr:uid="{00000000-0005-0000-0000-0000EF1C0000}"/>
    <cellStyle name="메모 3 12 3" xfId="16149" xr:uid="{00000000-0005-0000-0000-0000F01C0000}"/>
    <cellStyle name="메모 3 12 3 2" xfId="31792" xr:uid="{00000000-0005-0000-0000-0000F11C0000}"/>
    <cellStyle name="메모 3 12 4" xfId="16683" xr:uid="{00000000-0005-0000-0000-0000F21C0000}"/>
    <cellStyle name="메모 3 12 4 2" xfId="32184" xr:uid="{00000000-0005-0000-0000-0000F31C0000}"/>
    <cellStyle name="메모 3 12 5" xfId="31254" xr:uid="{00000000-0005-0000-0000-0000F41C0000}"/>
    <cellStyle name="메모 3 12 6" xfId="18712" xr:uid="{00000000-0005-0000-0000-0000F51C0000}"/>
    <cellStyle name="메모 3 13" xfId="14971" xr:uid="{00000000-0005-0000-0000-0000F61C0000}"/>
    <cellStyle name="메모 3 13 2" xfId="15721" xr:uid="{00000000-0005-0000-0000-0000F71C0000}"/>
    <cellStyle name="메모 3 13 2 2" xfId="31499" xr:uid="{00000000-0005-0000-0000-0000F81C0000}"/>
    <cellStyle name="메모 3 13 3" xfId="16083" xr:uid="{00000000-0005-0000-0000-0000F91C0000}"/>
    <cellStyle name="메모 3 13 3 2" xfId="31726" xr:uid="{00000000-0005-0000-0000-0000FA1C0000}"/>
    <cellStyle name="메모 3 13 4" xfId="16684" xr:uid="{00000000-0005-0000-0000-0000FB1C0000}"/>
    <cellStyle name="메모 3 13 4 2" xfId="32185" xr:uid="{00000000-0005-0000-0000-0000FC1C0000}"/>
    <cellStyle name="메모 3 13 5" xfId="31210" xr:uid="{00000000-0005-0000-0000-0000FD1C0000}"/>
    <cellStyle name="메모 3 13 6" xfId="24496" xr:uid="{00000000-0005-0000-0000-0000FE1C0000}"/>
    <cellStyle name="메모 3 14" xfId="14899" xr:uid="{00000000-0005-0000-0000-0000FF1C0000}"/>
    <cellStyle name="메모 3 14 2" xfId="16011" xr:uid="{00000000-0005-0000-0000-0000001D0000}"/>
    <cellStyle name="메모 3 14 2 2" xfId="31654" xr:uid="{00000000-0005-0000-0000-0000011D0000}"/>
    <cellStyle name="메모 3 14 3" xfId="16685" xr:uid="{00000000-0005-0000-0000-0000021D0000}"/>
    <cellStyle name="메모 3 14 3 2" xfId="32186" xr:uid="{00000000-0005-0000-0000-0000031D0000}"/>
    <cellStyle name="메모 3 14 4" xfId="16686" xr:uid="{00000000-0005-0000-0000-0000041D0000}"/>
    <cellStyle name="메모 3 14 4 2" xfId="32187" xr:uid="{00000000-0005-0000-0000-0000051D0000}"/>
    <cellStyle name="메모 3 14 5" xfId="25786" xr:uid="{00000000-0005-0000-0000-0000061D0000}"/>
    <cellStyle name="메모 3 15" xfId="15195" xr:uid="{00000000-0005-0000-0000-0000071D0000}"/>
    <cellStyle name="메모 3 15 2" xfId="31331" xr:uid="{00000000-0005-0000-0000-0000081D0000}"/>
    <cellStyle name="메모 3 16" xfId="16687" xr:uid="{00000000-0005-0000-0000-0000091D0000}"/>
    <cellStyle name="메모 3 16 2" xfId="32188" xr:uid="{00000000-0005-0000-0000-00000A1D0000}"/>
    <cellStyle name="메모 3 17" xfId="16688" xr:uid="{00000000-0005-0000-0000-00000B1D0000}"/>
    <cellStyle name="메모 3 17 2" xfId="32189" xr:uid="{00000000-0005-0000-0000-00000C1D0000}"/>
    <cellStyle name="메모 3 2" xfId="11976" xr:uid="{00000000-0005-0000-0000-00000D1D0000}"/>
    <cellStyle name="메모 3 2 10" xfId="15038" xr:uid="{00000000-0005-0000-0000-00000E1D0000}"/>
    <cellStyle name="메모 3 2 10 2" xfId="15766" xr:uid="{00000000-0005-0000-0000-00000F1D0000}"/>
    <cellStyle name="메모 3 2 10 2 2" xfId="31544" xr:uid="{00000000-0005-0000-0000-0000101D0000}"/>
    <cellStyle name="메모 3 2 10 3" xfId="16150" xr:uid="{00000000-0005-0000-0000-0000111D0000}"/>
    <cellStyle name="메모 3 2 10 3 2" xfId="31793" xr:uid="{00000000-0005-0000-0000-0000121D0000}"/>
    <cellStyle name="메모 3 2 10 4" xfId="16689" xr:uid="{00000000-0005-0000-0000-0000131D0000}"/>
    <cellStyle name="메모 3 2 10 4 2" xfId="32190" xr:uid="{00000000-0005-0000-0000-0000141D0000}"/>
    <cellStyle name="메모 3 2 10 5" xfId="31255" xr:uid="{00000000-0005-0000-0000-0000151D0000}"/>
    <cellStyle name="메모 3 2 10 6" xfId="18713" xr:uid="{00000000-0005-0000-0000-0000161D0000}"/>
    <cellStyle name="메모 3 2 11" xfId="14882" xr:uid="{00000000-0005-0000-0000-0000171D0000}"/>
    <cellStyle name="메모 3 2 11 2" xfId="15643" xr:uid="{00000000-0005-0000-0000-0000181D0000}"/>
    <cellStyle name="메모 3 2 11 2 2" xfId="31421" xr:uid="{00000000-0005-0000-0000-0000191D0000}"/>
    <cellStyle name="메모 3 2 11 3" xfId="15994" xr:uid="{00000000-0005-0000-0000-00001A1D0000}"/>
    <cellStyle name="메모 3 2 11 3 2" xfId="31637" xr:uid="{00000000-0005-0000-0000-00001B1D0000}"/>
    <cellStyle name="메모 3 2 11 4" xfId="16690" xr:uid="{00000000-0005-0000-0000-00001C1D0000}"/>
    <cellStyle name="메모 3 2 11 4 2" xfId="32191" xr:uid="{00000000-0005-0000-0000-00001D1D0000}"/>
    <cellStyle name="메모 3 2 11 5" xfId="31165" xr:uid="{00000000-0005-0000-0000-00001E1D0000}"/>
    <cellStyle name="메모 3 2 11 6" xfId="18578" xr:uid="{00000000-0005-0000-0000-00001F1D0000}"/>
    <cellStyle name="메모 3 2 12" xfId="15059" xr:uid="{00000000-0005-0000-0000-0000201D0000}"/>
    <cellStyle name="메모 3 2 12 2" xfId="16171" xr:uid="{00000000-0005-0000-0000-0000211D0000}"/>
    <cellStyle name="메모 3 2 12 2 2" xfId="31814" xr:uid="{00000000-0005-0000-0000-0000221D0000}"/>
    <cellStyle name="메모 3 2 12 3" xfId="16691" xr:uid="{00000000-0005-0000-0000-0000231D0000}"/>
    <cellStyle name="메모 3 2 12 3 2" xfId="32192" xr:uid="{00000000-0005-0000-0000-0000241D0000}"/>
    <cellStyle name="메모 3 2 12 4" xfId="16692" xr:uid="{00000000-0005-0000-0000-0000251D0000}"/>
    <cellStyle name="메모 3 2 12 4 2" xfId="32193" xr:uid="{00000000-0005-0000-0000-0000261D0000}"/>
    <cellStyle name="메모 3 2 12 5" xfId="18468" xr:uid="{00000000-0005-0000-0000-0000271D0000}"/>
    <cellStyle name="메모 3 2 13" xfId="15196" xr:uid="{00000000-0005-0000-0000-0000281D0000}"/>
    <cellStyle name="메모 3 2 13 2" xfId="31332" xr:uid="{00000000-0005-0000-0000-0000291D0000}"/>
    <cellStyle name="메모 3 2 14" xfId="16693" xr:uid="{00000000-0005-0000-0000-00002A1D0000}"/>
    <cellStyle name="메모 3 2 14 2" xfId="32194" xr:uid="{00000000-0005-0000-0000-00002B1D0000}"/>
    <cellStyle name="메모 3 2 15" xfId="16694" xr:uid="{00000000-0005-0000-0000-00002C1D0000}"/>
    <cellStyle name="메모 3 2 15 2" xfId="32195" xr:uid="{00000000-0005-0000-0000-00002D1D0000}"/>
    <cellStyle name="메모 3 2 2" xfId="11977" xr:uid="{00000000-0005-0000-0000-00002E1D0000}"/>
    <cellStyle name="메모 3 2 3" xfId="11978" xr:uid="{00000000-0005-0000-0000-00002F1D0000}"/>
    <cellStyle name="메모 3 2 4" xfId="11979" xr:uid="{00000000-0005-0000-0000-0000301D0000}"/>
    <cellStyle name="메모 3 2 5" xfId="14725" xr:uid="{00000000-0005-0000-0000-0000311D0000}"/>
    <cellStyle name="메모 3 2 5 2" xfId="15611" xr:uid="{00000000-0005-0000-0000-0000321D0000}"/>
    <cellStyle name="메모 3 2 5 2 2" xfId="22280" xr:uid="{00000000-0005-0000-0000-0000331D0000}"/>
    <cellStyle name="메모 3 2 5 2 2 2" xfId="18431" xr:uid="{00000000-0005-0000-0000-0000341D0000}"/>
    <cellStyle name="메모 3 2 5 2 2 3" xfId="26510" xr:uid="{00000000-0005-0000-0000-0000351D0000}"/>
    <cellStyle name="메모 3 2 5 2 2 4" xfId="29624" xr:uid="{00000000-0005-0000-0000-0000361D0000}"/>
    <cellStyle name="메모 3 2 5 2 3" xfId="22756" xr:uid="{00000000-0005-0000-0000-0000371D0000}"/>
    <cellStyle name="메모 3 2 5 2 3 2" xfId="19993" xr:uid="{00000000-0005-0000-0000-0000381D0000}"/>
    <cellStyle name="메모 3 2 5 2 3 3" xfId="26986" xr:uid="{00000000-0005-0000-0000-0000391D0000}"/>
    <cellStyle name="메모 3 2 5 2 3 4" xfId="30100" xr:uid="{00000000-0005-0000-0000-00003A1D0000}"/>
    <cellStyle name="메모 3 2 5 2 4" xfId="23566" xr:uid="{00000000-0005-0000-0000-00003B1D0000}"/>
    <cellStyle name="메모 3 2 5 2 4 2" xfId="18224" xr:uid="{00000000-0005-0000-0000-00003C1D0000}"/>
    <cellStyle name="메모 3 2 5 2 4 3" xfId="27796" xr:uid="{00000000-0005-0000-0000-00003D1D0000}"/>
    <cellStyle name="메모 3 2 5 2 4 4" xfId="30910" xr:uid="{00000000-0005-0000-0000-00003E1D0000}"/>
    <cellStyle name="메모 3 2 5 2 5" xfId="24457" xr:uid="{00000000-0005-0000-0000-00003F1D0000}"/>
    <cellStyle name="메모 3 2 5 2 6" xfId="25957" xr:uid="{00000000-0005-0000-0000-0000401D0000}"/>
    <cellStyle name="메모 3 2 5 2 7" xfId="29071" xr:uid="{00000000-0005-0000-0000-0000411D0000}"/>
    <cellStyle name="메모 3 2 5 2 8" xfId="21727" xr:uid="{00000000-0005-0000-0000-0000421D0000}"/>
    <cellStyle name="메모 3 2 5 3" xfId="15961" xr:uid="{00000000-0005-0000-0000-0000431D0000}"/>
    <cellStyle name="메모 3 2 5 3 2" xfId="31616" xr:uid="{00000000-0005-0000-0000-0000441D0000}"/>
    <cellStyle name="메모 3 2 5 3 3" xfId="21331" xr:uid="{00000000-0005-0000-0000-0000451D0000}"/>
    <cellStyle name="메모 3 2 5 4" xfId="16695" xr:uid="{00000000-0005-0000-0000-0000461D0000}"/>
    <cellStyle name="메모 3 2 5 4 2" xfId="32196" xr:uid="{00000000-0005-0000-0000-0000471D0000}"/>
    <cellStyle name="메모 3 2 5 4 3" xfId="20697" xr:uid="{00000000-0005-0000-0000-0000481D0000}"/>
    <cellStyle name="메모 3 2 5 5" xfId="19002" xr:uid="{00000000-0005-0000-0000-0000491D0000}"/>
    <cellStyle name="메모 3 2 5 6" xfId="24945" xr:uid="{00000000-0005-0000-0000-00004A1D0000}"/>
    <cellStyle name="메모 3 2 5 7" xfId="28069" xr:uid="{00000000-0005-0000-0000-00004B1D0000}"/>
    <cellStyle name="메모 3 2 5 8" xfId="17909" xr:uid="{00000000-0005-0000-0000-00004C1D0000}"/>
    <cellStyle name="메모 3 2 6" xfId="14601" xr:uid="{00000000-0005-0000-0000-00004D1D0000}"/>
    <cellStyle name="메모 3 2 6 10" xfId="24595" xr:uid="{00000000-0005-0000-0000-00004E1D0000}"/>
    <cellStyle name="메모 3 2 6 11" xfId="25784" xr:uid="{00000000-0005-0000-0000-00004F1D0000}"/>
    <cellStyle name="메모 3 2 6 12" xfId="17910" xr:uid="{00000000-0005-0000-0000-0000501D0000}"/>
    <cellStyle name="메모 3 2 6 2" xfId="15532" xr:uid="{00000000-0005-0000-0000-0000511D0000}"/>
    <cellStyle name="메모 3 2 6 2 2" xfId="22113" xr:uid="{00000000-0005-0000-0000-0000521D0000}"/>
    <cellStyle name="메모 3 2 6 2 2 2" xfId="24086" xr:uid="{00000000-0005-0000-0000-0000531D0000}"/>
    <cellStyle name="메모 3 2 6 2 2 3" xfId="26343" xr:uid="{00000000-0005-0000-0000-0000541D0000}"/>
    <cellStyle name="메모 3 2 6 2 2 4" xfId="29457" xr:uid="{00000000-0005-0000-0000-0000551D0000}"/>
    <cellStyle name="메모 3 2 6 2 3" xfId="22589" xr:uid="{00000000-0005-0000-0000-0000561D0000}"/>
    <cellStyle name="메모 3 2 6 2 3 2" xfId="19837" xr:uid="{00000000-0005-0000-0000-0000571D0000}"/>
    <cellStyle name="메모 3 2 6 2 3 3" xfId="26819" xr:uid="{00000000-0005-0000-0000-0000581D0000}"/>
    <cellStyle name="메모 3 2 6 2 3 4" xfId="29933" xr:uid="{00000000-0005-0000-0000-0000591D0000}"/>
    <cellStyle name="메모 3 2 6 2 4" xfId="23399" xr:uid="{00000000-0005-0000-0000-00005A1D0000}"/>
    <cellStyle name="메모 3 2 6 2 4 2" xfId="20438" xr:uid="{00000000-0005-0000-0000-00005B1D0000}"/>
    <cellStyle name="메모 3 2 6 2 4 3" xfId="27629" xr:uid="{00000000-0005-0000-0000-00005C1D0000}"/>
    <cellStyle name="메모 3 2 6 2 4 4" xfId="30743" xr:uid="{00000000-0005-0000-0000-00005D1D0000}"/>
    <cellStyle name="메모 3 2 6 2 5" xfId="24291" xr:uid="{00000000-0005-0000-0000-00005E1D0000}"/>
    <cellStyle name="메모 3 2 6 2 6" xfId="25790" xr:uid="{00000000-0005-0000-0000-00005F1D0000}"/>
    <cellStyle name="메모 3 2 6 2 7" xfId="28904" xr:uid="{00000000-0005-0000-0000-0000601D0000}"/>
    <cellStyle name="메모 3 2 6 2 8" xfId="21560" xr:uid="{00000000-0005-0000-0000-0000611D0000}"/>
    <cellStyle name="메모 3 2 6 3" xfId="15886" xr:uid="{00000000-0005-0000-0000-0000621D0000}"/>
    <cellStyle name="메모 3 2 6 3 2" xfId="19485" xr:uid="{00000000-0005-0000-0000-0000631D0000}"/>
    <cellStyle name="메모 3 2 6 3 3" xfId="25629" xr:uid="{00000000-0005-0000-0000-0000641D0000}"/>
    <cellStyle name="메모 3 2 6 3 4" xfId="28746" xr:uid="{00000000-0005-0000-0000-0000651D0000}"/>
    <cellStyle name="메모 3 2 6 3 5" xfId="21442" xr:uid="{00000000-0005-0000-0000-0000661D0000}"/>
    <cellStyle name="메모 3 2 6 4" xfId="16696" xr:uid="{00000000-0005-0000-0000-0000671D0000}"/>
    <cellStyle name="메모 3 2 6 4 2" xfId="23787" xr:uid="{00000000-0005-0000-0000-0000681D0000}"/>
    <cellStyle name="메모 3 2 6 4 3" xfId="26180" xr:uid="{00000000-0005-0000-0000-0000691D0000}"/>
    <cellStyle name="메모 3 2 6 4 4" xfId="29294" xr:uid="{00000000-0005-0000-0000-00006A1D0000}"/>
    <cellStyle name="메모 3 2 6 4 5" xfId="21950" xr:uid="{00000000-0005-0000-0000-00006B1D0000}"/>
    <cellStyle name="메모 3 2 6 5" xfId="22423" xr:uid="{00000000-0005-0000-0000-00006C1D0000}"/>
    <cellStyle name="메모 3 2 6 5 2" xfId="19687" xr:uid="{00000000-0005-0000-0000-00006D1D0000}"/>
    <cellStyle name="메모 3 2 6 5 3" xfId="26653" xr:uid="{00000000-0005-0000-0000-00006E1D0000}"/>
    <cellStyle name="메모 3 2 6 5 4" xfId="29767" xr:uid="{00000000-0005-0000-0000-00006F1D0000}"/>
    <cellStyle name="메모 3 2 6 6" xfId="22896" xr:uid="{00000000-0005-0000-0000-0000701D0000}"/>
    <cellStyle name="메모 3 2 6 6 2" xfId="21249" xr:uid="{00000000-0005-0000-0000-0000711D0000}"/>
    <cellStyle name="메모 3 2 6 6 3" xfId="27126" xr:uid="{00000000-0005-0000-0000-0000721D0000}"/>
    <cellStyle name="메모 3 2 6 6 4" xfId="30240" xr:uid="{00000000-0005-0000-0000-0000731D0000}"/>
    <cellStyle name="메모 3 2 6 7" xfId="21243" xr:uid="{00000000-0005-0000-0000-0000741D0000}"/>
    <cellStyle name="메모 3 2 6 7 2" xfId="24767" xr:uid="{00000000-0005-0000-0000-0000751D0000}"/>
    <cellStyle name="메모 3 2 6 7 3" xfId="25464" xr:uid="{00000000-0005-0000-0000-0000761D0000}"/>
    <cellStyle name="메모 3 2 6 7 4" xfId="28581" xr:uid="{00000000-0005-0000-0000-0000771D0000}"/>
    <cellStyle name="메모 3 2 6 8" xfId="20528" xr:uid="{00000000-0005-0000-0000-0000781D0000}"/>
    <cellStyle name="메모 3 2 6 9" xfId="18837" xr:uid="{00000000-0005-0000-0000-0000791D0000}"/>
    <cellStyle name="메모 3 2 7" xfId="14649" xr:uid="{00000000-0005-0000-0000-00007A1D0000}"/>
    <cellStyle name="메모 3 2 7 2" xfId="15580" xr:uid="{00000000-0005-0000-0000-00007B1D0000}"/>
    <cellStyle name="메모 3 2 7 2 2" xfId="24604" xr:uid="{00000000-0005-0000-0000-00007C1D0000}"/>
    <cellStyle name="메모 3 2 7 2 3" xfId="26231" xr:uid="{00000000-0005-0000-0000-00007D1D0000}"/>
    <cellStyle name="메모 3 2 7 2 4" xfId="29345" xr:uid="{00000000-0005-0000-0000-00007E1D0000}"/>
    <cellStyle name="메모 3 2 7 2 5" xfId="22001" xr:uid="{00000000-0005-0000-0000-00007F1D0000}"/>
    <cellStyle name="메모 3 2 7 3" xfId="15934" xr:uid="{00000000-0005-0000-0000-0000801D0000}"/>
    <cellStyle name="메모 3 2 7 3 2" xfId="19731" xr:uid="{00000000-0005-0000-0000-0000811D0000}"/>
    <cellStyle name="메모 3 2 7 3 3" xfId="26704" xr:uid="{00000000-0005-0000-0000-0000821D0000}"/>
    <cellStyle name="메모 3 2 7 3 4" xfId="29818" xr:uid="{00000000-0005-0000-0000-0000831D0000}"/>
    <cellStyle name="메모 3 2 7 3 5" xfId="22474" xr:uid="{00000000-0005-0000-0000-0000841D0000}"/>
    <cellStyle name="메모 3 2 7 4" xfId="16697" xr:uid="{00000000-0005-0000-0000-0000851D0000}"/>
    <cellStyle name="메모 3 2 7 4 2" xfId="20331" xr:uid="{00000000-0005-0000-0000-0000861D0000}"/>
    <cellStyle name="메모 3 2 7 4 3" xfId="27522" xr:uid="{00000000-0005-0000-0000-0000871D0000}"/>
    <cellStyle name="메모 3 2 7 4 4" xfId="30636" xr:uid="{00000000-0005-0000-0000-0000881D0000}"/>
    <cellStyle name="메모 3 2 7 4 5" xfId="23292" xr:uid="{00000000-0005-0000-0000-0000891D0000}"/>
    <cellStyle name="메모 3 2 7 5" xfId="21495" xr:uid="{00000000-0005-0000-0000-00008A1D0000}"/>
    <cellStyle name="메모 3 2 7 6" xfId="24729" xr:uid="{00000000-0005-0000-0000-00008B1D0000}"/>
    <cellStyle name="메모 3 2 7 7" xfId="25680" xr:uid="{00000000-0005-0000-0000-00008C1D0000}"/>
    <cellStyle name="메모 3 2 7 8" xfId="28797" xr:uid="{00000000-0005-0000-0000-00008D1D0000}"/>
    <cellStyle name="메모 3 2 7 9" xfId="17911" xr:uid="{00000000-0005-0000-0000-00008E1D0000}"/>
    <cellStyle name="메모 3 2 8" xfId="15099" xr:uid="{00000000-0005-0000-0000-00008F1D0000}"/>
    <cellStyle name="메모 3 2 8 2" xfId="15818" xr:uid="{00000000-0005-0000-0000-0000901D0000}"/>
    <cellStyle name="메모 3 2 8 2 2" xfId="31567" xr:uid="{00000000-0005-0000-0000-0000911D0000}"/>
    <cellStyle name="메모 3 2 8 2 3" xfId="24168" xr:uid="{00000000-0005-0000-0000-0000921D0000}"/>
    <cellStyle name="메모 3 2 8 3" xfId="16211" xr:uid="{00000000-0005-0000-0000-0000931D0000}"/>
    <cellStyle name="메모 3 2 8 3 2" xfId="31825" xr:uid="{00000000-0005-0000-0000-0000941D0000}"/>
    <cellStyle name="메모 3 2 8 3 3" xfId="25133" xr:uid="{00000000-0005-0000-0000-0000951D0000}"/>
    <cellStyle name="메모 3 2 8 4" xfId="16698" xr:uid="{00000000-0005-0000-0000-0000961D0000}"/>
    <cellStyle name="메모 3 2 8 4 2" xfId="28257" xr:uid="{00000000-0005-0000-0000-0000971D0000}"/>
    <cellStyle name="메모 3 2 8 5" xfId="20882" xr:uid="{00000000-0005-0000-0000-0000981D0000}"/>
    <cellStyle name="메모 3 2 9" xfId="14922" xr:uid="{00000000-0005-0000-0000-0000991D0000}"/>
    <cellStyle name="메모 3 2 9 2" xfId="15672" xr:uid="{00000000-0005-0000-0000-00009A1D0000}"/>
    <cellStyle name="메모 3 2 9 2 2" xfId="31450" xr:uid="{00000000-0005-0000-0000-00009B1D0000}"/>
    <cellStyle name="메모 3 2 9 3" xfId="16034" xr:uid="{00000000-0005-0000-0000-00009C1D0000}"/>
    <cellStyle name="메모 3 2 9 3 2" xfId="31677" xr:uid="{00000000-0005-0000-0000-00009D1D0000}"/>
    <cellStyle name="메모 3 2 9 4" xfId="16699" xr:uid="{00000000-0005-0000-0000-00009E1D0000}"/>
    <cellStyle name="메모 3 2 9 4 2" xfId="32197" xr:uid="{00000000-0005-0000-0000-00009F1D0000}"/>
    <cellStyle name="메모 3 2 9 5" xfId="31189" xr:uid="{00000000-0005-0000-0000-0000A01D0000}"/>
    <cellStyle name="메모 3 2 9 6" xfId="20443" xr:uid="{00000000-0005-0000-0000-0000A11D0000}"/>
    <cellStyle name="메모 3 3" xfId="11980" xr:uid="{00000000-0005-0000-0000-0000A21D0000}"/>
    <cellStyle name="메모 3 3 10" xfId="15147" xr:uid="{00000000-0005-0000-0000-0000A31D0000}"/>
    <cellStyle name="메모 3 3 10 2" xfId="15858" xr:uid="{00000000-0005-0000-0000-0000A41D0000}"/>
    <cellStyle name="메모 3 3 10 2 2" xfId="31602" xr:uid="{00000000-0005-0000-0000-0000A51D0000}"/>
    <cellStyle name="메모 3 3 10 3" xfId="16259" xr:uid="{00000000-0005-0000-0000-0000A61D0000}"/>
    <cellStyle name="메모 3 3 10 3 2" xfId="31868" xr:uid="{00000000-0005-0000-0000-0000A71D0000}"/>
    <cellStyle name="메모 3 3 10 4" xfId="16700" xr:uid="{00000000-0005-0000-0000-0000A81D0000}"/>
    <cellStyle name="메모 3 3 10 4 2" xfId="32198" xr:uid="{00000000-0005-0000-0000-0000A91D0000}"/>
    <cellStyle name="메모 3 3 10 5" xfId="31291" xr:uid="{00000000-0005-0000-0000-0000AA1D0000}"/>
    <cellStyle name="메모 3 3 10 6" xfId="18714" xr:uid="{00000000-0005-0000-0000-0000AB1D0000}"/>
    <cellStyle name="메모 3 3 11" xfId="14970" xr:uid="{00000000-0005-0000-0000-0000AC1D0000}"/>
    <cellStyle name="메모 3 3 11 2" xfId="15720" xr:uid="{00000000-0005-0000-0000-0000AD1D0000}"/>
    <cellStyle name="메모 3 3 11 2 2" xfId="31498" xr:uid="{00000000-0005-0000-0000-0000AE1D0000}"/>
    <cellStyle name="메모 3 3 11 3" xfId="16082" xr:uid="{00000000-0005-0000-0000-0000AF1D0000}"/>
    <cellStyle name="메모 3 3 11 3 2" xfId="31725" xr:uid="{00000000-0005-0000-0000-0000B01D0000}"/>
    <cellStyle name="메모 3 3 11 4" xfId="16701" xr:uid="{00000000-0005-0000-0000-0000B11D0000}"/>
    <cellStyle name="메모 3 3 11 4 2" xfId="32199" xr:uid="{00000000-0005-0000-0000-0000B21D0000}"/>
    <cellStyle name="메모 3 3 11 5" xfId="31209" xr:uid="{00000000-0005-0000-0000-0000B31D0000}"/>
    <cellStyle name="메모 3 3 11 6" xfId="21000" xr:uid="{00000000-0005-0000-0000-0000B41D0000}"/>
    <cellStyle name="메모 3 3 12" xfId="15004" xr:uid="{00000000-0005-0000-0000-0000B51D0000}"/>
    <cellStyle name="메모 3 3 12 2" xfId="16116" xr:uid="{00000000-0005-0000-0000-0000B61D0000}"/>
    <cellStyle name="메모 3 3 12 2 2" xfId="31759" xr:uid="{00000000-0005-0000-0000-0000B71D0000}"/>
    <cellStyle name="메모 3 3 12 3" xfId="16702" xr:uid="{00000000-0005-0000-0000-0000B81D0000}"/>
    <cellStyle name="메모 3 3 12 3 2" xfId="32200" xr:uid="{00000000-0005-0000-0000-0000B91D0000}"/>
    <cellStyle name="메모 3 3 12 4" xfId="16703" xr:uid="{00000000-0005-0000-0000-0000BA1D0000}"/>
    <cellStyle name="메모 3 3 12 4 2" xfId="32201" xr:uid="{00000000-0005-0000-0000-0000BB1D0000}"/>
    <cellStyle name="메모 3 3 12 5" xfId="18469" xr:uid="{00000000-0005-0000-0000-0000BC1D0000}"/>
    <cellStyle name="메모 3 3 13" xfId="15197" xr:uid="{00000000-0005-0000-0000-0000BD1D0000}"/>
    <cellStyle name="메모 3 3 13 2" xfId="31333" xr:uid="{00000000-0005-0000-0000-0000BE1D0000}"/>
    <cellStyle name="메모 3 3 14" xfId="16704" xr:uid="{00000000-0005-0000-0000-0000BF1D0000}"/>
    <cellStyle name="메모 3 3 14 2" xfId="32202" xr:uid="{00000000-0005-0000-0000-0000C01D0000}"/>
    <cellStyle name="메모 3 3 15" xfId="16705" xr:uid="{00000000-0005-0000-0000-0000C11D0000}"/>
    <cellStyle name="메모 3 3 15 2" xfId="32203" xr:uid="{00000000-0005-0000-0000-0000C21D0000}"/>
    <cellStyle name="메모 3 3 2" xfId="11981" xr:uid="{00000000-0005-0000-0000-0000C31D0000}"/>
    <cellStyle name="메모 3 3 3" xfId="11982" xr:uid="{00000000-0005-0000-0000-0000C41D0000}"/>
    <cellStyle name="메모 3 3 4" xfId="11983" xr:uid="{00000000-0005-0000-0000-0000C51D0000}"/>
    <cellStyle name="메모 3 3 5" xfId="14726" xr:uid="{00000000-0005-0000-0000-0000C61D0000}"/>
    <cellStyle name="메모 3 3 5 2" xfId="15612" xr:uid="{00000000-0005-0000-0000-0000C71D0000}"/>
    <cellStyle name="메모 3 3 5 2 2" xfId="22284" xr:uid="{00000000-0005-0000-0000-0000C81D0000}"/>
    <cellStyle name="메모 3 3 5 2 2 2" xfId="18435" xr:uid="{00000000-0005-0000-0000-0000C91D0000}"/>
    <cellStyle name="메모 3 3 5 2 2 3" xfId="26514" xr:uid="{00000000-0005-0000-0000-0000CA1D0000}"/>
    <cellStyle name="메모 3 3 5 2 2 4" xfId="29628" xr:uid="{00000000-0005-0000-0000-0000CB1D0000}"/>
    <cellStyle name="메모 3 3 5 2 3" xfId="22760" xr:uid="{00000000-0005-0000-0000-0000CC1D0000}"/>
    <cellStyle name="메모 3 3 5 2 3 2" xfId="19997" xr:uid="{00000000-0005-0000-0000-0000CD1D0000}"/>
    <cellStyle name="메모 3 3 5 2 3 3" xfId="26990" xr:uid="{00000000-0005-0000-0000-0000CE1D0000}"/>
    <cellStyle name="메모 3 3 5 2 3 4" xfId="30104" xr:uid="{00000000-0005-0000-0000-0000CF1D0000}"/>
    <cellStyle name="메모 3 3 5 2 4" xfId="23570" xr:uid="{00000000-0005-0000-0000-0000D01D0000}"/>
    <cellStyle name="메모 3 3 5 2 4 2" xfId="18228" xr:uid="{00000000-0005-0000-0000-0000D11D0000}"/>
    <cellStyle name="메모 3 3 5 2 4 3" xfId="27800" xr:uid="{00000000-0005-0000-0000-0000D21D0000}"/>
    <cellStyle name="메모 3 3 5 2 4 4" xfId="30914" xr:uid="{00000000-0005-0000-0000-0000D31D0000}"/>
    <cellStyle name="메모 3 3 5 2 5" xfId="23864" xr:uid="{00000000-0005-0000-0000-0000D41D0000}"/>
    <cellStyle name="메모 3 3 5 2 6" xfId="25961" xr:uid="{00000000-0005-0000-0000-0000D51D0000}"/>
    <cellStyle name="메모 3 3 5 2 7" xfId="29075" xr:uid="{00000000-0005-0000-0000-0000D61D0000}"/>
    <cellStyle name="메모 3 3 5 2 8" xfId="21731" xr:uid="{00000000-0005-0000-0000-0000D71D0000}"/>
    <cellStyle name="메모 3 3 5 3" xfId="15962" xr:uid="{00000000-0005-0000-0000-0000D81D0000}"/>
    <cellStyle name="메모 3 3 5 3 2" xfId="31617" xr:uid="{00000000-0005-0000-0000-0000D91D0000}"/>
    <cellStyle name="메모 3 3 5 3 3" xfId="21332" xr:uid="{00000000-0005-0000-0000-0000DA1D0000}"/>
    <cellStyle name="메모 3 3 5 4" xfId="16706" xr:uid="{00000000-0005-0000-0000-0000DB1D0000}"/>
    <cellStyle name="메모 3 3 5 4 2" xfId="32204" xr:uid="{00000000-0005-0000-0000-0000DC1D0000}"/>
    <cellStyle name="메모 3 3 5 4 3" xfId="20701" xr:uid="{00000000-0005-0000-0000-0000DD1D0000}"/>
    <cellStyle name="메모 3 3 5 5" xfId="19006" xr:uid="{00000000-0005-0000-0000-0000DE1D0000}"/>
    <cellStyle name="메모 3 3 5 6" xfId="24949" xr:uid="{00000000-0005-0000-0000-0000DF1D0000}"/>
    <cellStyle name="메모 3 3 5 7" xfId="28073" xr:uid="{00000000-0005-0000-0000-0000E01D0000}"/>
    <cellStyle name="메모 3 3 5 8" xfId="17912" xr:uid="{00000000-0005-0000-0000-0000E11D0000}"/>
    <cellStyle name="메모 3 3 6" xfId="14600" xr:uid="{00000000-0005-0000-0000-0000E21D0000}"/>
    <cellStyle name="메모 3 3 6 10" xfId="24792" xr:uid="{00000000-0005-0000-0000-0000E31D0000}"/>
    <cellStyle name="메모 3 3 6 11" xfId="27916" xr:uid="{00000000-0005-0000-0000-0000E41D0000}"/>
    <cellStyle name="메모 3 3 6 12" xfId="17913" xr:uid="{00000000-0005-0000-0000-0000E51D0000}"/>
    <cellStyle name="메모 3 3 6 2" xfId="15531" xr:uid="{00000000-0005-0000-0000-0000E61D0000}"/>
    <cellStyle name="메모 3 3 6 2 2" xfId="22127" xr:uid="{00000000-0005-0000-0000-0000E71D0000}"/>
    <cellStyle name="메모 3 3 6 2 2 2" xfId="23699" xr:uid="{00000000-0005-0000-0000-0000E81D0000}"/>
    <cellStyle name="메모 3 3 6 2 2 3" xfId="26357" xr:uid="{00000000-0005-0000-0000-0000E91D0000}"/>
    <cellStyle name="메모 3 3 6 2 2 4" xfId="29471" xr:uid="{00000000-0005-0000-0000-0000EA1D0000}"/>
    <cellStyle name="메모 3 3 6 2 3" xfId="22603" xr:uid="{00000000-0005-0000-0000-0000EB1D0000}"/>
    <cellStyle name="메모 3 3 6 2 3 2" xfId="19850" xr:uid="{00000000-0005-0000-0000-0000EC1D0000}"/>
    <cellStyle name="메모 3 3 6 2 3 3" xfId="26833" xr:uid="{00000000-0005-0000-0000-0000ED1D0000}"/>
    <cellStyle name="메모 3 3 6 2 3 4" xfId="29947" xr:uid="{00000000-0005-0000-0000-0000EE1D0000}"/>
    <cellStyle name="메모 3 3 6 2 4" xfId="23413" xr:uid="{00000000-0005-0000-0000-0000EF1D0000}"/>
    <cellStyle name="메모 3 3 6 2 4 2" xfId="20457" xr:uid="{00000000-0005-0000-0000-0000F01D0000}"/>
    <cellStyle name="메모 3 3 6 2 4 3" xfId="27643" xr:uid="{00000000-0005-0000-0000-0000F11D0000}"/>
    <cellStyle name="메모 3 3 6 2 4 4" xfId="30757" xr:uid="{00000000-0005-0000-0000-0000F21D0000}"/>
    <cellStyle name="메모 3 3 6 2 5" xfId="19537" xr:uid="{00000000-0005-0000-0000-0000F31D0000}"/>
    <cellStyle name="메모 3 3 6 2 6" xfId="25804" xr:uid="{00000000-0005-0000-0000-0000F41D0000}"/>
    <cellStyle name="메모 3 3 6 2 7" xfId="28918" xr:uid="{00000000-0005-0000-0000-0000F51D0000}"/>
    <cellStyle name="메모 3 3 6 2 8" xfId="21574" xr:uid="{00000000-0005-0000-0000-0000F61D0000}"/>
    <cellStyle name="메모 3 3 6 3" xfId="15885" xr:uid="{00000000-0005-0000-0000-0000F71D0000}"/>
    <cellStyle name="메모 3 3 6 3 2" xfId="19486" xr:uid="{00000000-0005-0000-0000-0000F81D0000}"/>
    <cellStyle name="메모 3 3 6 3 3" xfId="25630" xr:uid="{00000000-0005-0000-0000-0000F91D0000}"/>
    <cellStyle name="메모 3 3 6 3 4" xfId="28747" xr:uid="{00000000-0005-0000-0000-0000FA1D0000}"/>
    <cellStyle name="메모 3 3 6 3 5" xfId="21443" xr:uid="{00000000-0005-0000-0000-0000FB1D0000}"/>
    <cellStyle name="메모 3 3 6 4" xfId="16707" xr:uid="{00000000-0005-0000-0000-0000FC1D0000}"/>
    <cellStyle name="메모 3 3 6 4 2" xfId="23929" xr:uid="{00000000-0005-0000-0000-0000FD1D0000}"/>
    <cellStyle name="메모 3 3 6 4 3" xfId="26181" xr:uid="{00000000-0005-0000-0000-0000FE1D0000}"/>
    <cellStyle name="메모 3 3 6 4 4" xfId="29295" xr:uid="{00000000-0005-0000-0000-0000FF1D0000}"/>
    <cellStyle name="메모 3 3 6 4 5" xfId="21951" xr:uid="{00000000-0005-0000-0000-0000001E0000}"/>
    <cellStyle name="메모 3 3 6 5" xfId="22424" xr:uid="{00000000-0005-0000-0000-0000011E0000}"/>
    <cellStyle name="메모 3 3 6 5 2" xfId="19688" xr:uid="{00000000-0005-0000-0000-0000021E0000}"/>
    <cellStyle name="메모 3 3 6 5 3" xfId="26654" xr:uid="{00000000-0005-0000-0000-0000031E0000}"/>
    <cellStyle name="메모 3 3 6 5 4" xfId="29768" xr:uid="{00000000-0005-0000-0000-0000041E0000}"/>
    <cellStyle name="메모 3 3 6 6" xfId="22897" xr:uid="{00000000-0005-0000-0000-0000051E0000}"/>
    <cellStyle name="메모 3 3 6 6 2" xfId="20121" xr:uid="{00000000-0005-0000-0000-0000061E0000}"/>
    <cellStyle name="메모 3 3 6 6 3" xfId="27127" xr:uid="{00000000-0005-0000-0000-0000071E0000}"/>
    <cellStyle name="메모 3 3 6 6 4" xfId="30241" xr:uid="{00000000-0005-0000-0000-0000081E0000}"/>
    <cellStyle name="메모 3 3 6 7" xfId="20839" xr:uid="{00000000-0005-0000-0000-0000091E0000}"/>
    <cellStyle name="메모 3 3 6 7 2" xfId="18093" xr:uid="{00000000-0005-0000-0000-00000A1E0000}"/>
    <cellStyle name="메모 3 3 6 7 3" xfId="25090" xr:uid="{00000000-0005-0000-0000-00000B1E0000}"/>
    <cellStyle name="메모 3 3 6 7 4" xfId="28214" xr:uid="{00000000-0005-0000-0000-00000C1E0000}"/>
    <cellStyle name="메모 3 3 6 8" xfId="20544" xr:uid="{00000000-0005-0000-0000-00000D1E0000}"/>
    <cellStyle name="메모 3 3 6 9" xfId="18851" xr:uid="{00000000-0005-0000-0000-00000E1E0000}"/>
    <cellStyle name="메모 3 3 7" xfId="14574" xr:uid="{00000000-0005-0000-0000-00000F1E0000}"/>
    <cellStyle name="메모 3 3 7 2" xfId="15505" xr:uid="{00000000-0005-0000-0000-0000101E0000}"/>
    <cellStyle name="메모 3 3 7 2 2" xfId="24477" xr:uid="{00000000-0005-0000-0000-0000111E0000}"/>
    <cellStyle name="메모 3 3 7 2 3" xfId="26232" xr:uid="{00000000-0005-0000-0000-0000121E0000}"/>
    <cellStyle name="메모 3 3 7 2 4" xfId="29346" xr:uid="{00000000-0005-0000-0000-0000131E0000}"/>
    <cellStyle name="메모 3 3 7 2 5" xfId="22002" xr:uid="{00000000-0005-0000-0000-0000141E0000}"/>
    <cellStyle name="메모 3 3 7 3" xfId="15218" xr:uid="{00000000-0005-0000-0000-0000151E0000}"/>
    <cellStyle name="메모 3 3 7 3 2" xfId="19732" xr:uid="{00000000-0005-0000-0000-0000161E0000}"/>
    <cellStyle name="메모 3 3 7 3 3" xfId="26705" xr:uid="{00000000-0005-0000-0000-0000171E0000}"/>
    <cellStyle name="메모 3 3 7 3 4" xfId="29819" xr:uid="{00000000-0005-0000-0000-0000181E0000}"/>
    <cellStyle name="메모 3 3 7 3 5" xfId="22475" xr:uid="{00000000-0005-0000-0000-0000191E0000}"/>
    <cellStyle name="메모 3 3 7 4" xfId="16708" xr:uid="{00000000-0005-0000-0000-00001A1E0000}"/>
    <cellStyle name="메모 3 3 7 4 2" xfId="21321" xr:uid="{00000000-0005-0000-0000-00001B1E0000}"/>
    <cellStyle name="메모 3 3 7 4 3" xfId="27523" xr:uid="{00000000-0005-0000-0000-00001C1E0000}"/>
    <cellStyle name="메모 3 3 7 4 4" xfId="30637" xr:uid="{00000000-0005-0000-0000-00001D1E0000}"/>
    <cellStyle name="메모 3 3 7 4 5" xfId="23293" xr:uid="{00000000-0005-0000-0000-00001E1E0000}"/>
    <cellStyle name="메모 3 3 7 5" xfId="21496" xr:uid="{00000000-0005-0000-0000-00001F1E0000}"/>
    <cellStyle name="메모 3 3 7 6" xfId="24468" xr:uid="{00000000-0005-0000-0000-0000201E0000}"/>
    <cellStyle name="메모 3 3 7 7" xfId="25681" xr:uid="{00000000-0005-0000-0000-0000211E0000}"/>
    <cellStyle name="메모 3 3 7 8" xfId="28798" xr:uid="{00000000-0005-0000-0000-0000221E0000}"/>
    <cellStyle name="메모 3 3 7 9" xfId="17914" xr:uid="{00000000-0005-0000-0000-0000231E0000}"/>
    <cellStyle name="메모 3 3 8" xfId="15100" xr:uid="{00000000-0005-0000-0000-0000241E0000}"/>
    <cellStyle name="메모 3 3 8 2" xfId="15819" xr:uid="{00000000-0005-0000-0000-0000251E0000}"/>
    <cellStyle name="메모 3 3 8 2 2" xfId="31568" xr:uid="{00000000-0005-0000-0000-0000261E0000}"/>
    <cellStyle name="메모 3 3 8 2 3" xfId="23697" xr:uid="{00000000-0005-0000-0000-0000271E0000}"/>
    <cellStyle name="메모 3 3 8 3" xfId="16212" xr:uid="{00000000-0005-0000-0000-0000281E0000}"/>
    <cellStyle name="메모 3 3 8 3 2" xfId="31826" xr:uid="{00000000-0005-0000-0000-0000291E0000}"/>
    <cellStyle name="메모 3 3 8 3 3" xfId="25134" xr:uid="{00000000-0005-0000-0000-00002A1E0000}"/>
    <cellStyle name="메모 3 3 8 4" xfId="16709" xr:uid="{00000000-0005-0000-0000-00002B1E0000}"/>
    <cellStyle name="메모 3 3 8 4 2" xfId="28258" xr:uid="{00000000-0005-0000-0000-00002C1E0000}"/>
    <cellStyle name="메모 3 3 8 5" xfId="20883" xr:uid="{00000000-0005-0000-0000-00002D1E0000}"/>
    <cellStyle name="메모 3 3 9" xfId="14921" xr:uid="{00000000-0005-0000-0000-00002E1E0000}"/>
    <cellStyle name="메모 3 3 9 2" xfId="15671" xr:uid="{00000000-0005-0000-0000-00002F1E0000}"/>
    <cellStyle name="메모 3 3 9 2 2" xfId="31449" xr:uid="{00000000-0005-0000-0000-0000301E0000}"/>
    <cellStyle name="메모 3 3 9 3" xfId="16033" xr:uid="{00000000-0005-0000-0000-0000311E0000}"/>
    <cellStyle name="메모 3 3 9 3 2" xfId="31676" xr:uid="{00000000-0005-0000-0000-0000321E0000}"/>
    <cellStyle name="메모 3 3 9 4" xfId="16710" xr:uid="{00000000-0005-0000-0000-0000331E0000}"/>
    <cellStyle name="메모 3 3 9 4 2" xfId="32205" xr:uid="{00000000-0005-0000-0000-0000341E0000}"/>
    <cellStyle name="메모 3 3 9 5" xfId="31188" xr:uid="{00000000-0005-0000-0000-0000351E0000}"/>
    <cellStyle name="메모 3 3 9 6" xfId="20447" xr:uid="{00000000-0005-0000-0000-0000361E0000}"/>
    <cellStyle name="메모 3 4" xfId="11984" xr:uid="{00000000-0005-0000-0000-0000371E0000}"/>
    <cellStyle name="메모 3 4 10" xfId="15364" xr:uid="{00000000-0005-0000-0000-0000381E0000}"/>
    <cellStyle name="메모 3 4 11" xfId="15198" xr:uid="{00000000-0005-0000-0000-0000391E0000}"/>
    <cellStyle name="메모 3 4 11 2" xfId="31334" xr:uid="{00000000-0005-0000-0000-00003A1E0000}"/>
    <cellStyle name="메모 3 4 12" xfId="16711" xr:uid="{00000000-0005-0000-0000-00003B1E0000}"/>
    <cellStyle name="메모 3 4 12 2" xfId="32206" xr:uid="{00000000-0005-0000-0000-00003C1E0000}"/>
    <cellStyle name="메모 3 4 13" xfId="16712" xr:uid="{00000000-0005-0000-0000-00003D1E0000}"/>
    <cellStyle name="메모 3 4 13 2" xfId="32207" xr:uid="{00000000-0005-0000-0000-00003E1E0000}"/>
    <cellStyle name="메모 3 4 2" xfId="14727" xr:uid="{00000000-0005-0000-0000-00003F1E0000}"/>
    <cellStyle name="메모 3 4 2 2" xfId="15613" xr:uid="{00000000-0005-0000-0000-0000401E0000}"/>
    <cellStyle name="메모 3 4 2 2 2" xfId="22288" xr:uid="{00000000-0005-0000-0000-0000411E0000}"/>
    <cellStyle name="메모 3 4 2 2 2 2" xfId="18438" xr:uid="{00000000-0005-0000-0000-0000421E0000}"/>
    <cellStyle name="메모 3 4 2 2 2 3" xfId="26518" xr:uid="{00000000-0005-0000-0000-0000431E0000}"/>
    <cellStyle name="메모 3 4 2 2 2 4" xfId="29632" xr:uid="{00000000-0005-0000-0000-0000441E0000}"/>
    <cellStyle name="메모 3 4 2 2 3" xfId="22764" xr:uid="{00000000-0005-0000-0000-0000451E0000}"/>
    <cellStyle name="메모 3 4 2 2 3 2" xfId="20001" xr:uid="{00000000-0005-0000-0000-0000461E0000}"/>
    <cellStyle name="메모 3 4 2 2 3 3" xfId="26994" xr:uid="{00000000-0005-0000-0000-0000471E0000}"/>
    <cellStyle name="메모 3 4 2 2 3 4" xfId="30108" xr:uid="{00000000-0005-0000-0000-0000481E0000}"/>
    <cellStyle name="메모 3 4 2 2 4" xfId="23574" xr:uid="{00000000-0005-0000-0000-0000491E0000}"/>
    <cellStyle name="메모 3 4 2 2 4 2" xfId="18232" xr:uid="{00000000-0005-0000-0000-00004A1E0000}"/>
    <cellStyle name="메모 3 4 2 2 4 3" xfId="27804" xr:uid="{00000000-0005-0000-0000-00004B1E0000}"/>
    <cellStyle name="메모 3 4 2 2 4 4" xfId="30918" xr:uid="{00000000-0005-0000-0000-00004C1E0000}"/>
    <cellStyle name="메모 3 4 2 2 5" xfId="23938" xr:uid="{00000000-0005-0000-0000-00004D1E0000}"/>
    <cellStyle name="메모 3 4 2 2 6" xfId="25965" xr:uid="{00000000-0005-0000-0000-00004E1E0000}"/>
    <cellStyle name="메모 3 4 2 2 7" xfId="29079" xr:uid="{00000000-0005-0000-0000-00004F1E0000}"/>
    <cellStyle name="메모 3 4 2 2 8" xfId="21735" xr:uid="{00000000-0005-0000-0000-0000501E0000}"/>
    <cellStyle name="메모 3 4 2 3" xfId="15963" xr:uid="{00000000-0005-0000-0000-0000511E0000}"/>
    <cellStyle name="메모 3 4 2 3 2" xfId="31618" xr:uid="{00000000-0005-0000-0000-0000521E0000}"/>
    <cellStyle name="메모 3 4 2 3 3" xfId="21333" xr:uid="{00000000-0005-0000-0000-0000531E0000}"/>
    <cellStyle name="메모 3 4 2 4" xfId="16713" xr:uid="{00000000-0005-0000-0000-0000541E0000}"/>
    <cellStyle name="메모 3 4 2 4 2" xfId="32208" xr:uid="{00000000-0005-0000-0000-0000551E0000}"/>
    <cellStyle name="메모 3 4 2 4 3" xfId="20705" xr:uid="{00000000-0005-0000-0000-0000561E0000}"/>
    <cellStyle name="메모 3 4 2 5" xfId="19010" xr:uid="{00000000-0005-0000-0000-0000571E0000}"/>
    <cellStyle name="메모 3 4 2 6" xfId="24953" xr:uid="{00000000-0005-0000-0000-0000581E0000}"/>
    <cellStyle name="메모 3 4 2 7" xfId="28077" xr:uid="{00000000-0005-0000-0000-0000591E0000}"/>
    <cellStyle name="메모 3 4 2 8" xfId="17915" xr:uid="{00000000-0005-0000-0000-00005A1E0000}"/>
    <cellStyle name="메모 3 4 3" xfId="14599" xr:uid="{00000000-0005-0000-0000-00005B1E0000}"/>
    <cellStyle name="메모 3 4 3 10" xfId="18483" xr:uid="{00000000-0005-0000-0000-00005C1E0000}"/>
    <cellStyle name="메모 3 4 3 11" xfId="18459" xr:uid="{00000000-0005-0000-0000-00005D1E0000}"/>
    <cellStyle name="메모 3 4 3 12" xfId="17916" xr:uid="{00000000-0005-0000-0000-00005E1E0000}"/>
    <cellStyle name="메모 3 4 3 2" xfId="15530" xr:uid="{00000000-0005-0000-0000-00005F1E0000}"/>
    <cellStyle name="메모 3 4 3 2 2" xfId="22114" xr:uid="{00000000-0005-0000-0000-0000601E0000}"/>
    <cellStyle name="메모 3 4 3 2 2 2" xfId="19349" xr:uid="{00000000-0005-0000-0000-0000611E0000}"/>
    <cellStyle name="메모 3 4 3 2 2 3" xfId="26344" xr:uid="{00000000-0005-0000-0000-0000621E0000}"/>
    <cellStyle name="메모 3 4 3 2 2 4" xfId="29458" xr:uid="{00000000-0005-0000-0000-0000631E0000}"/>
    <cellStyle name="메모 3 4 3 2 3" xfId="22590" xr:uid="{00000000-0005-0000-0000-0000641E0000}"/>
    <cellStyle name="메모 3 4 3 2 3 2" xfId="19838" xr:uid="{00000000-0005-0000-0000-0000651E0000}"/>
    <cellStyle name="메모 3 4 3 2 3 3" xfId="26820" xr:uid="{00000000-0005-0000-0000-0000661E0000}"/>
    <cellStyle name="메모 3 4 3 2 3 4" xfId="29934" xr:uid="{00000000-0005-0000-0000-0000671E0000}"/>
    <cellStyle name="메모 3 4 3 2 4" xfId="23400" xr:uid="{00000000-0005-0000-0000-0000681E0000}"/>
    <cellStyle name="메모 3 4 3 2 4 2" xfId="20439" xr:uid="{00000000-0005-0000-0000-0000691E0000}"/>
    <cellStyle name="메모 3 4 3 2 4 3" xfId="27630" xr:uid="{00000000-0005-0000-0000-00006A1E0000}"/>
    <cellStyle name="메모 3 4 3 2 4 4" xfId="30744" xr:uid="{00000000-0005-0000-0000-00006B1E0000}"/>
    <cellStyle name="메모 3 4 3 2 5" xfId="24109" xr:uid="{00000000-0005-0000-0000-00006C1E0000}"/>
    <cellStyle name="메모 3 4 3 2 6" xfId="25791" xr:uid="{00000000-0005-0000-0000-00006D1E0000}"/>
    <cellStyle name="메모 3 4 3 2 7" xfId="28905" xr:uid="{00000000-0005-0000-0000-00006E1E0000}"/>
    <cellStyle name="메모 3 4 3 2 8" xfId="21561" xr:uid="{00000000-0005-0000-0000-00006F1E0000}"/>
    <cellStyle name="메모 3 4 3 3" xfId="15884" xr:uid="{00000000-0005-0000-0000-0000701E0000}"/>
    <cellStyle name="메모 3 4 3 3 2" xfId="19487" xr:uid="{00000000-0005-0000-0000-0000711E0000}"/>
    <cellStyle name="메모 3 4 3 3 3" xfId="25631" xr:uid="{00000000-0005-0000-0000-0000721E0000}"/>
    <cellStyle name="메모 3 4 3 3 4" xfId="28748" xr:uid="{00000000-0005-0000-0000-0000731E0000}"/>
    <cellStyle name="메모 3 4 3 3 5" xfId="21444" xr:uid="{00000000-0005-0000-0000-0000741E0000}"/>
    <cellStyle name="메모 3 4 3 4" xfId="16714" xr:uid="{00000000-0005-0000-0000-0000751E0000}"/>
    <cellStyle name="메모 3 4 3 4 2" xfId="24740" xr:uid="{00000000-0005-0000-0000-0000761E0000}"/>
    <cellStyle name="메모 3 4 3 4 3" xfId="26182" xr:uid="{00000000-0005-0000-0000-0000771E0000}"/>
    <cellStyle name="메모 3 4 3 4 4" xfId="29296" xr:uid="{00000000-0005-0000-0000-0000781E0000}"/>
    <cellStyle name="메모 3 4 3 4 5" xfId="21952" xr:uid="{00000000-0005-0000-0000-0000791E0000}"/>
    <cellStyle name="메모 3 4 3 5" xfId="22425" xr:uid="{00000000-0005-0000-0000-00007A1E0000}"/>
    <cellStyle name="메모 3 4 3 5 2" xfId="21176" xr:uid="{00000000-0005-0000-0000-00007B1E0000}"/>
    <cellStyle name="메모 3 4 3 5 3" xfId="26655" xr:uid="{00000000-0005-0000-0000-00007C1E0000}"/>
    <cellStyle name="메모 3 4 3 5 4" xfId="29769" xr:uid="{00000000-0005-0000-0000-00007D1E0000}"/>
    <cellStyle name="메모 3 4 3 6" xfId="22898" xr:uid="{00000000-0005-0000-0000-00007E1E0000}"/>
    <cellStyle name="메모 3 4 3 6 2" xfId="19388" xr:uid="{00000000-0005-0000-0000-00007F1E0000}"/>
    <cellStyle name="메모 3 4 3 6 3" xfId="27128" xr:uid="{00000000-0005-0000-0000-0000801E0000}"/>
    <cellStyle name="메모 3 4 3 6 4" xfId="30242" xr:uid="{00000000-0005-0000-0000-0000811E0000}"/>
    <cellStyle name="메모 3 4 3 7" xfId="21242" xr:uid="{00000000-0005-0000-0000-0000821E0000}"/>
    <cellStyle name="메모 3 4 3 7 2" xfId="23956" xr:uid="{00000000-0005-0000-0000-0000831E0000}"/>
    <cellStyle name="메모 3 4 3 7 3" xfId="25463" xr:uid="{00000000-0005-0000-0000-0000841E0000}"/>
    <cellStyle name="메모 3 4 3 7 4" xfId="28580" xr:uid="{00000000-0005-0000-0000-0000851E0000}"/>
    <cellStyle name="메모 3 4 3 8" xfId="20530" xr:uid="{00000000-0005-0000-0000-0000861E0000}"/>
    <cellStyle name="메모 3 4 3 9" xfId="18838" xr:uid="{00000000-0005-0000-0000-0000871E0000}"/>
    <cellStyle name="메모 3 4 4" xfId="14648" xr:uid="{00000000-0005-0000-0000-0000881E0000}"/>
    <cellStyle name="메모 3 4 4 2" xfId="15579" xr:uid="{00000000-0005-0000-0000-0000891E0000}"/>
    <cellStyle name="메모 3 4 4 2 2" xfId="24304" xr:uid="{00000000-0005-0000-0000-00008A1E0000}"/>
    <cellStyle name="메모 3 4 4 2 3" xfId="26233" xr:uid="{00000000-0005-0000-0000-00008B1E0000}"/>
    <cellStyle name="메모 3 4 4 2 4" xfId="29347" xr:uid="{00000000-0005-0000-0000-00008C1E0000}"/>
    <cellStyle name="메모 3 4 4 2 5" xfId="22003" xr:uid="{00000000-0005-0000-0000-00008D1E0000}"/>
    <cellStyle name="메모 3 4 4 3" xfId="15933" xr:uid="{00000000-0005-0000-0000-00008E1E0000}"/>
    <cellStyle name="메모 3 4 4 3 2" xfId="19733" xr:uid="{00000000-0005-0000-0000-00008F1E0000}"/>
    <cellStyle name="메모 3 4 4 3 3" xfId="26706" xr:uid="{00000000-0005-0000-0000-0000901E0000}"/>
    <cellStyle name="메모 3 4 4 3 4" xfId="29820" xr:uid="{00000000-0005-0000-0000-0000911E0000}"/>
    <cellStyle name="메모 3 4 4 3 5" xfId="22476" xr:uid="{00000000-0005-0000-0000-0000921E0000}"/>
    <cellStyle name="메모 3 4 4 4" xfId="16715" xr:uid="{00000000-0005-0000-0000-0000931E0000}"/>
    <cellStyle name="메모 3 4 4 4 2" xfId="20332" xr:uid="{00000000-0005-0000-0000-0000941E0000}"/>
    <cellStyle name="메모 3 4 4 4 3" xfId="27524" xr:uid="{00000000-0005-0000-0000-0000951E0000}"/>
    <cellStyle name="메모 3 4 4 4 4" xfId="30638" xr:uid="{00000000-0005-0000-0000-0000961E0000}"/>
    <cellStyle name="메모 3 4 4 4 5" xfId="23294" xr:uid="{00000000-0005-0000-0000-0000971E0000}"/>
    <cellStyle name="메모 3 4 4 5" xfId="21497" xr:uid="{00000000-0005-0000-0000-0000981E0000}"/>
    <cellStyle name="메모 3 4 4 6" xfId="24295" xr:uid="{00000000-0005-0000-0000-0000991E0000}"/>
    <cellStyle name="메모 3 4 4 7" xfId="25682" xr:uid="{00000000-0005-0000-0000-00009A1E0000}"/>
    <cellStyle name="메모 3 4 4 8" xfId="28799" xr:uid="{00000000-0005-0000-0000-00009B1E0000}"/>
    <cellStyle name="메모 3 4 4 9" xfId="17917" xr:uid="{00000000-0005-0000-0000-00009C1E0000}"/>
    <cellStyle name="메모 3 4 5" xfId="15101" xr:uid="{00000000-0005-0000-0000-00009D1E0000}"/>
    <cellStyle name="메모 3 4 5 2" xfId="15820" xr:uid="{00000000-0005-0000-0000-00009E1E0000}"/>
    <cellStyle name="메모 3 4 5 2 2" xfId="31569" xr:uid="{00000000-0005-0000-0000-00009F1E0000}"/>
    <cellStyle name="메모 3 4 5 2 3" xfId="19399" xr:uid="{00000000-0005-0000-0000-0000A01E0000}"/>
    <cellStyle name="메모 3 4 5 3" xfId="16213" xr:uid="{00000000-0005-0000-0000-0000A11E0000}"/>
    <cellStyle name="메모 3 4 5 3 2" xfId="31827" xr:uid="{00000000-0005-0000-0000-0000A21E0000}"/>
    <cellStyle name="메모 3 4 5 3 3" xfId="25135" xr:uid="{00000000-0005-0000-0000-0000A31E0000}"/>
    <cellStyle name="메모 3 4 5 4" xfId="16716" xr:uid="{00000000-0005-0000-0000-0000A41E0000}"/>
    <cellStyle name="메모 3 4 5 4 2" xfId="28259" xr:uid="{00000000-0005-0000-0000-0000A51E0000}"/>
    <cellStyle name="메모 3 4 5 5" xfId="20884" xr:uid="{00000000-0005-0000-0000-0000A61E0000}"/>
    <cellStyle name="메모 3 4 6" xfId="14920" xr:uid="{00000000-0005-0000-0000-0000A71E0000}"/>
    <cellStyle name="메모 3 4 6 2" xfId="15670" xr:uid="{00000000-0005-0000-0000-0000A81E0000}"/>
    <cellStyle name="메모 3 4 6 2 2" xfId="31448" xr:uid="{00000000-0005-0000-0000-0000A91E0000}"/>
    <cellStyle name="메모 3 4 6 3" xfId="16032" xr:uid="{00000000-0005-0000-0000-0000AA1E0000}"/>
    <cellStyle name="메모 3 4 6 3 2" xfId="31675" xr:uid="{00000000-0005-0000-0000-0000AB1E0000}"/>
    <cellStyle name="메모 3 4 6 4" xfId="16717" xr:uid="{00000000-0005-0000-0000-0000AC1E0000}"/>
    <cellStyle name="메모 3 4 6 4 2" xfId="32209" xr:uid="{00000000-0005-0000-0000-0000AD1E0000}"/>
    <cellStyle name="메모 3 4 6 5" xfId="31187" xr:uid="{00000000-0005-0000-0000-0000AE1E0000}"/>
    <cellStyle name="메모 3 4 6 6" xfId="20451" xr:uid="{00000000-0005-0000-0000-0000AF1E0000}"/>
    <cellStyle name="메모 3 4 7" xfId="15039" xr:uid="{00000000-0005-0000-0000-0000B01E0000}"/>
    <cellStyle name="메모 3 4 7 2" xfId="15767" xr:uid="{00000000-0005-0000-0000-0000B11E0000}"/>
    <cellStyle name="메모 3 4 7 2 2" xfId="31545" xr:uid="{00000000-0005-0000-0000-0000B21E0000}"/>
    <cellStyle name="메모 3 4 7 3" xfId="16151" xr:uid="{00000000-0005-0000-0000-0000B31E0000}"/>
    <cellStyle name="메모 3 4 7 3 2" xfId="31794" xr:uid="{00000000-0005-0000-0000-0000B41E0000}"/>
    <cellStyle name="메모 3 4 7 4" xfId="16718" xr:uid="{00000000-0005-0000-0000-0000B51E0000}"/>
    <cellStyle name="메모 3 4 7 4 2" xfId="32210" xr:uid="{00000000-0005-0000-0000-0000B61E0000}"/>
    <cellStyle name="메모 3 4 7 5" xfId="31256" xr:uid="{00000000-0005-0000-0000-0000B71E0000}"/>
    <cellStyle name="메모 3 4 7 6" xfId="18715" xr:uid="{00000000-0005-0000-0000-0000B81E0000}"/>
    <cellStyle name="메모 3 4 8" xfId="15123" xr:uid="{00000000-0005-0000-0000-0000B91E0000}"/>
    <cellStyle name="메모 3 4 8 2" xfId="15842" xr:uid="{00000000-0005-0000-0000-0000BA1E0000}"/>
    <cellStyle name="메모 3 4 8 2 2" xfId="31586" xr:uid="{00000000-0005-0000-0000-0000BB1E0000}"/>
    <cellStyle name="메모 3 4 8 3" xfId="16235" xr:uid="{00000000-0005-0000-0000-0000BC1E0000}"/>
    <cellStyle name="메모 3 4 8 3 2" xfId="31844" xr:uid="{00000000-0005-0000-0000-0000BD1E0000}"/>
    <cellStyle name="메모 3 4 8 4" xfId="16719" xr:uid="{00000000-0005-0000-0000-0000BE1E0000}"/>
    <cellStyle name="메모 3 4 8 4 2" xfId="32211" xr:uid="{00000000-0005-0000-0000-0000BF1E0000}"/>
    <cellStyle name="메모 3 4 8 5" xfId="31275" xr:uid="{00000000-0005-0000-0000-0000C01E0000}"/>
    <cellStyle name="메모 3 4 8 6" xfId="20974" xr:uid="{00000000-0005-0000-0000-0000C11E0000}"/>
    <cellStyle name="메모 3 4 9" xfId="15005" xr:uid="{00000000-0005-0000-0000-0000C21E0000}"/>
    <cellStyle name="메모 3 4 9 2" xfId="16117" xr:uid="{00000000-0005-0000-0000-0000C31E0000}"/>
    <cellStyle name="메모 3 4 9 2 2" xfId="31760" xr:uid="{00000000-0005-0000-0000-0000C41E0000}"/>
    <cellStyle name="메모 3 4 9 3" xfId="16720" xr:uid="{00000000-0005-0000-0000-0000C51E0000}"/>
    <cellStyle name="메모 3 4 9 3 2" xfId="32212" xr:uid="{00000000-0005-0000-0000-0000C61E0000}"/>
    <cellStyle name="메모 3 4 9 4" xfId="16721" xr:uid="{00000000-0005-0000-0000-0000C71E0000}"/>
    <cellStyle name="메모 3 4 9 4 2" xfId="32213" xr:uid="{00000000-0005-0000-0000-0000C81E0000}"/>
    <cellStyle name="메모 3 4 9 5" xfId="18470" xr:uid="{00000000-0005-0000-0000-0000C91E0000}"/>
    <cellStyle name="메모 3 5" xfId="11985" xr:uid="{00000000-0005-0000-0000-0000CA1E0000}"/>
    <cellStyle name="메모 3 5 10" xfId="15365" xr:uid="{00000000-0005-0000-0000-0000CB1E0000}"/>
    <cellStyle name="메모 3 5 11" xfId="15199" xr:uid="{00000000-0005-0000-0000-0000CC1E0000}"/>
    <cellStyle name="메모 3 5 11 2" xfId="31335" xr:uid="{00000000-0005-0000-0000-0000CD1E0000}"/>
    <cellStyle name="메모 3 5 12" xfId="16722" xr:uid="{00000000-0005-0000-0000-0000CE1E0000}"/>
    <cellStyle name="메모 3 5 12 2" xfId="32214" xr:uid="{00000000-0005-0000-0000-0000CF1E0000}"/>
    <cellStyle name="메모 3 5 13" xfId="16723" xr:uid="{00000000-0005-0000-0000-0000D01E0000}"/>
    <cellStyle name="메모 3 5 13 2" xfId="32215" xr:uid="{00000000-0005-0000-0000-0000D11E0000}"/>
    <cellStyle name="메모 3 5 2" xfId="14728" xr:uid="{00000000-0005-0000-0000-0000D21E0000}"/>
    <cellStyle name="메모 3 5 2 2" xfId="15614" xr:uid="{00000000-0005-0000-0000-0000D31E0000}"/>
    <cellStyle name="메모 3 5 2 2 2" xfId="22289" xr:uid="{00000000-0005-0000-0000-0000D41E0000}"/>
    <cellStyle name="메모 3 5 2 2 2 2" xfId="18439" xr:uid="{00000000-0005-0000-0000-0000D51E0000}"/>
    <cellStyle name="메모 3 5 2 2 2 3" xfId="26519" xr:uid="{00000000-0005-0000-0000-0000D61E0000}"/>
    <cellStyle name="메모 3 5 2 2 2 4" xfId="29633" xr:uid="{00000000-0005-0000-0000-0000D71E0000}"/>
    <cellStyle name="메모 3 5 2 2 3" xfId="22765" xr:uid="{00000000-0005-0000-0000-0000D81E0000}"/>
    <cellStyle name="메모 3 5 2 2 3 2" xfId="20002" xr:uid="{00000000-0005-0000-0000-0000D91E0000}"/>
    <cellStyle name="메모 3 5 2 2 3 3" xfId="26995" xr:uid="{00000000-0005-0000-0000-0000DA1E0000}"/>
    <cellStyle name="메모 3 5 2 2 3 4" xfId="30109" xr:uid="{00000000-0005-0000-0000-0000DB1E0000}"/>
    <cellStyle name="메모 3 5 2 2 4" xfId="23575" xr:uid="{00000000-0005-0000-0000-0000DC1E0000}"/>
    <cellStyle name="메모 3 5 2 2 4 2" xfId="18233" xr:uid="{00000000-0005-0000-0000-0000DD1E0000}"/>
    <cellStyle name="메모 3 5 2 2 4 3" xfId="27805" xr:uid="{00000000-0005-0000-0000-0000DE1E0000}"/>
    <cellStyle name="메모 3 5 2 2 4 4" xfId="30919" xr:uid="{00000000-0005-0000-0000-0000DF1E0000}"/>
    <cellStyle name="메모 3 5 2 2 5" xfId="24749" xr:uid="{00000000-0005-0000-0000-0000E01E0000}"/>
    <cellStyle name="메모 3 5 2 2 6" xfId="25966" xr:uid="{00000000-0005-0000-0000-0000E11E0000}"/>
    <cellStyle name="메모 3 5 2 2 7" xfId="29080" xr:uid="{00000000-0005-0000-0000-0000E21E0000}"/>
    <cellStyle name="메모 3 5 2 2 8" xfId="21736" xr:uid="{00000000-0005-0000-0000-0000E31E0000}"/>
    <cellStyle name="메모 3 5 2 3" xfId="15964" xr:uid="{00000000-0005-0000-0000-0000E41E0000}"/>
    <cellStyle name="메모 3 5 2 3 2" xfId="31619" xr:uid="{00000000-0005-0000-0000-0000E51E0000}"/>
    <cellStyle name="메모 3 5 2 3 3" xfId="21334" xr:uid="{00000000-0005-0000-0000-0000E61E0000}"/>
    <cellStyle name="메모 3 5 2 4" xfId="16724" xr:uid="{00000000-0005-0000-0000-0000E71E0000}"/>
    <cellStyle name="메모 3 5 2 4 2" xfId="32216" xr:uid="{00000000-0005-0000-0000-0000E81E0000}"/>
    <cellStyle name="메모 3 5 2 4 3" xfId="20706" xr:uid="{00000000-0005-0000-0000-0000E91E0000}"/>
    <cellStyle name="메모 3 5 2 5" xfId="19011" xr:uid="{00000000-0005-0000-0000-0000EA1E0000}"/>
    <cellStyle name="메모 3 5 2 6" xfId="24954" xr:uid="{00000000-0005-0000-0000-0000EB1E0000}"/>
    <cellStyle name="메모 3 5 2 7" xfId="28078" xr:uid="{00000000-0005-0000-0000-0000EC1E0000}"/>
    <cellStyle name="메모 3 5 2 8" xfId="17918" xr:uid="{00000000-0005-0000-0000-0000ED1E0000}"/>
    <cellStyle name="메모 3 5 3" xfId="14598" xr:uid="{00000000-0005-0000-0000-0000EE1E0000}"/>
    <cellStyle name="메모 3 5 3 10" xfId="24785" xr:uid="{00000000-0005-0000-0000-0000EF1E0000}"/>
    <cellStyle name="메모 3 5 3 11" xfId="27909" xr:uid="{00000000-0005-0000-0000-0000F01E0000}"/>
    <cellStyle name="메모 3 5 3 12" xfId="17919" xr:uid="{00000000-0005-0000-0000-0000F11E0000}"/>
    <cellStyle name="메모 3 5 3 2" xfId="15529" xr:uid="{00000000-0005-0000-0000-0000F21E0000}"/>
    <cellStyle name="메모 3 5 3 2 2" xfId="22120" xr:uid="{00000000-0005-0000-0000-0000F31E0000}"/>
    <cellStyle name="메모 3 5 3 2 2 2" xfId="24733" xr:uid="{00000000-0005-0000-0000-0000F41E0000}"/>
    <cellStyle name="메모 3 5 3 2 2 3" xfId="26350" xr:uid="{00000000-0005-0000-0000-0000F51E0000}"/>
    <cellStyle name="메모 3 5 3 2 2 4" xfId="29464" xr:uid="{00000000-0005-0000-0000-0000F61E0000}"/>
    <cellStyle name="메모 3 5 3 2 3" xfId="22596" xr:uid="{00000000-0005-0000-0000-0000F71E0000}"/>
    <cellStyle name="메모 3 5 3 2 3 2" xfId="19843" xr:uid="{00000000-0005-0000-0000-0000F81E0000}"/>
    <cellStyle name="메모 3 5 3 2 3 3" xfId="26826" xr:uid="{00000000-0005-0000-0000-0000F91E0000}"/>
    <cellStyle name="메모 3 5 3 2 3 4" xfId="29940" xr:uid="{00000000-0005-0000-0000-0000FA1E0000}"/>
    <cellStyle name="메모 3 5 3 2 4" xfId="23406" xr:uid="{00000000-0005-0000-0000-0000FB1E0000}"/>
    <cellStyle name="메모 3 5 3 2 4 2" xfId="20446" xr:uid="{00000000-0005-0000-0000-0000FC1E0000}"/>
    <cellStyle name="메모 3 5 3 2 4 3" xfId="27636" xr:uid="{00000000-0005-0000-0000-0000FD1E0000}"/>
    <cellStyle name="메모 3 5 3 2 4 4" xfId="30750" xr:uid="{00000000-0005-0000-0000-0000FE1E0000}"/>
    <cellStyle name="메모 3 5 3 2 5" xfId="23945" xr:uid="{00000000-0005-0000-0000-0000FF1E0000}"/>
    <cellStyle name="메모 3 5 3 2 6" xfId="25797" xr:uid="{00000000-0005-0000-0000-0000001F0000}"/>
    <cellStyle name="메모 3 5 3 2 7" xfId="28911" xr:uid="{00000000-0005-0000-0000-0000011F0000}"/>
    <cellStyle name="메모 3 5 3 2 8" xfId="21567" xr:uid="{00000000-0005-0000-0000-0000021F0000}"/>
    <cellStyle name="메모 3 5 3 3" xfId="15883" xr:uid="{00000000-0005-0000-0000-0000031F0000}"/>
    <cellStyle name="메모 3 5 3 3 2" xfId="19488" xr:uid="{00000000-0005-0000-0000-0000041F0000}"/>
    <cellStyle name="메모 3 5 3 3 3" xfId="25632" xr:uid="{00000000-0005-0000-0000-0000051F0000}"/>
    <cellStyle name="메모 3 5 3 3 4" xfId="28749" xr:uid="{00000000-0005-0000-0000-0000061F0000}"/>
    <cellStyle name="메모 3 5 3 3 5" xfId="21445" xr:uid="{00000000-0005-0000-0000-0000071F0000}"/>
    <cellStyle name="메모 3 5 3 4" xfId="16725" xr:uid="{00000000-0005-0000-0000-0000081F0000}"/>
    <cellStyle name="메모 3 5 3 4 2" xfId="24606" xr:uid="{00000000-0005-0000-0000-0000091F0000}"/>
    <cellStyle name="메모 3 5 3 4 3" xfId="26183" xr:uid="{00000000-0005-0000-0000-00000A1F0000}"/>
    <cellStyle name="메모 3 5 3 4 4" xfId="29297" xr:uid="{00000000-0005-0000-0000-00000B1F0000}"/>
    <cellStyle name="메모 3 5 3 4 5" xfId="21953" xr:uid="{00000000-0005-0000-0000-00000C1F0000}"/>
    <cellStyle name="메모 3 5 3 5" xfId="22426" xr:uid="{00000000-0005-0000-0000-00000D1F0000}"/>
    <cellStyle name="메모 3 5 3 5 2" xfId="19689" xr:uid="{00000000-0005-0000-0000-00000E1F0000}"/>
    <cellStyle name="메모 3 5 3 5 3" xfId="26656" xr:uid="{00000000-0005-0000-0000-00000F1F0000}"/>
    <cellStyle name="메모 3 5 3 5 4" xfId="29770" xr:uid="{00000000-0005-0000-0000-0000101F0000}"/>
    <cellStyle name="메모 3 5 3 6" xfId="22899" xr:uid="{00000000-0005-0000-0000-0000111F0000}"/>
    <cellStyle name="메모 3 5 3 6 2" xfId="20122" xr:uid="{00000000-0005-0000-0000-0000121F0000}"/>
    <cellStyle name="메모 3 5 3 6 3" xfId="27129" xr:uid="{00000000-0005-0000-0000-0000131F0000}"/>
    <cellStyle name="메모 3 5 3 6 4" xfId="30243" xr:uid="{00000000-0005-0000-0000-0000141F0000}"/>
    <cellStyle name="메모 3 5 3 7" xfId="21068" xr:uid="{00000000-0005-0000-0000-0000151F0000}"/>
    <cellStyle name="메모 3 5 3 7 2" xfId="24189" xr:uid="{00000000-0005-0000-0000-0000161F0000}"/>
    <cellStyle name="메모 3 5 3 7 3" xfId="25313" xr:uid="{00000000-0005-0000-0000-0000171F0000}"/>
    <cellStyle name="메모 3 5 3 7 4" xfId="28437" xr:uid="{00000000-0005-0000-0000-0000181F0000}"/>
    <cellStyle name="메모 3 5 3 8" xfId="20536" xr:uid="{00000000-0005-0000-0000-0000191F0000}"/>
    <cellStyle name="메모 3 5 3 9" xfId="18844" xr:uid="{00000000-0005-0000-0000-00001A1F0000}"/>
    <cellStyle name="메모 3 5 4" xfId="14647" xr:uid="{00000000-0005-0000-0000-00001B1F0000}"/>
    <cellStyle name="메모 3 5 4 2" xfId="15578" xr:uid="{00000000-0005-0000-0000-00001C1F0000}"/>
    <cellStyle name="메모 3 5 4 2 2" xfId="24122" xr:uid="{00000000-0005-0000-0000-00001D1F0000}"/>
    <cellStyle name="메모 3 5 4 2 3" xfId="26234" xr:uid="{00000000-0005-0000-0000-00001E1F0000}"/>
    <cellStyle name="메모 3 5 4 2 4" xfId="29348" xr:uid="{00000000-0005-0000-0000-00001F1F0000}"/>
    <cellStyle name="메모 3 5 4 2 5" xfId="22004" xr:uid="{00000000-0005-0000-0000-0000201F0000}"/>
    <cellStyle name="메모 3 5 4 3" xfId="15932" xr:uid="{00000000-0005-0000-0000-0000211F0000}"/>
    <cellStyle name="메모 3 5 4 3 2" xfId="19734" xr:uid="{00000000-0005-0000-0000-0000221F0000}"/>
    <cellStyle name="메모 3 5 4 3 3" xfId="26707" xr:uid="{00000000-0005-0000-0000-0000231F0000}"/>
    <cellStyle name="메모 3 5 4 3 4" xfId="29821" xr:uid="{00000000-0005-0000-0000-0000241F0000}"/>
    <cellStyle name="메모 3 5 4 3 5" xfId="22477" xr:uid="{00000000-0005-0000-0000-0000251F0000}"/>
    <cellStyle name="메모 3 5 4 4" xfId="16726" xr:uid="{00000000-0005-0000-0000-0000261F0000}"/>
    <cellStyle name="메모 3 5 4 4 2" xfId="20333" xr:uid="{00000000-0005-0000-0000-0000271F0000}"/>
    <cellStyle name="메모 3 5 4 4 3" xfId="27525" xr:uid="{00000000-0005-0000-0000-0000281F0000}"/>
    <cellStyle name="메모 3 5 4 4 4" xfId="30639" xr:uid="{00000000-0005-0000-0000-0000291F0000}"/>
    <cellStyle name="메모 3 5 4 4 5" xfId="23295" xr:uid="{00000000-0005-0000-0000-00002A1F0000}"/>
    <cellStyle name="메모 3 5 4 5" xfId="21498" xr:uid="{00000000-0005-0000-0000-00002B1F0000}"/>
    <cellStyle name="메모 3 5 4 6" xfId="24113" xr:uid="{00000000-0005-0000-0000-00002C1F0000}"/>
    <cellStyle name="메모 3 5 4 7" xfId="25683" xr:uid="{00000000-0005-0000-0000-00002D1F0000}"/>
    <cellStyle name="메모 3 5 4 8" xfId="28800" xr:uid="{00000000-0005-0000-0000-00002E1F0000}"/>
    <cellStyle name="메모 3 5 4 9" xfId="17920" xr:uid="{00000000-0005-0000-0000-00002F1F0000}"/>
    <cellStyle name="메모 3 5 5" xfId="15102" xr:uid="{00000000-0005-0000-0000-0000301F0000}"/>
    <cellStyle name="메모 3 5 5 2" xfId="15821" xr:uid="{00000000-0005-0000-0000-0000311F0000}"/>
    <cellStyle name="메모 3 5 5 2 2" xfId="31570" xr:uid="{00000000-0005-0000-0000-0000321F0000}"/>
    <cellStyle name="메모 3 5 5 2 3" xfId="23757" xr:uid="{00000000-0005-0000-0000-0000331F0000}"/>
    <cellStyle name="메모 3 5 5 3" xfId="16214" xr:uid="{00000000-0005-0000-0000-0000341F0000}"/>
    <cellStyle name="메모 3 5 5 3 2" xfId="31828" xr:uid="{00000000-0005-0000-0000-0000351F0000}"/>
    <cellStyle name="메모 3 5 5 3 3" xfId="25136" xr:uid="{00000000-0005-0000-0000-0000361F0000}"/>
    <cellStyle name="메모 3 5 5 4" xfId="16727" xr:uid="{00000000-0005-0000-0000-0000371F0000}"/>
    <cellStyle name="메모 3 5 5 4 2" xfId="28260" xr:uid="{00000000-0005-0000-0000-0000381F0000}"/>
    <cellStyle name="메모 3 5 5 5" xfId="20885" xr:uid="{00000000-0005-0000-0000-0000391F0000}"/>
    <cellStyle name="메모 3 5 6" xfId="14919" xr:uid="{00000000-0005-0000-0000-00003A1F0000}"/>
    <cellStyle name="메모 3 5 6 2" xfId="15669" xr:uid="{00000000-0005-0000-0000-00003B1F0000}"/>
    <cellStyle name="메모 3 5 6 2 2" xfId="31447" xr:uid="{00000000-0005-0000-0000-00003C1F0000}"/>
    <cellStyle name="메모 3 5 6 3" xfId="16031" xr:uid="{00000000-0005-0000-0000-00003D1F0000}"/>
    <cellStyle name="메모 3 5 6 3 2" xfId="31674" xr:uid="{00000000-0005-0000-0000-00003E1F0000}"/>
    <cellStyle name="메모 3 5 6 4" xfId="16728" xr:uid="{00000000-0005-0000-0000-00003F1F0000}"/>
    <cellStyle name="메모 3 5 6 4 2" xfId="32217" xr:uid="{00000000-0005-0000-0000-0000401F0000}"/>
    <cellStyle name="메모 3 5 6 5" xfId="31186" xr:uid="{00000000-0005-0000-0000-0000411F0000}"/>
    <cellStyle name="메모 3 5 6 6" xfId="20452" xr:uid="{00000000-0005-0000-0000-0000421F0000}"/>
    <cellStyle name="메모 3 5 7" xfId="15040" xr:uid="{00000000-0005-0000-0000-0000431F0000}"/>
    <cellStyle name="메모 3 5 7 2" xfId="15768" xr:uid="{00000000-0005-0000-0000-0000441F0000}"/>
    <cellStyle name="메모 3 5 7 2 2" xfId="31546" xr:uid="{00000000-0005-0000-0000-0000451F0000}"/>
    <cellStyle name="메모 3 5 7 3" xfId="16152" xr:uid="{00000000-0005-0000-0000-0000461F0000}"/>
    <cellStyle name="메모 3 5 7 3 2" xfId="31795" xr:uid="{00000000-0005-0000-0000-0000471F0000}"/>
    <cellStyle name="메모 3 5 7 4" xfId="16729" xr:uid="{00000000-0005-0000-0000-0000481F0000}"/>
    <cellStyle name="메모 3 5 7 4 2" xfId="32218" xr:uid="{00000000-0005-0000-0000-0000491F0000}"/>
    <cellStyle name="메모 3 5 7 5" xfId="31257" xr:uid="{00000000-0005-0000-0000-00004A1F0000}"/>
    <cellStyle name="메모 3 5 7 6" xfId="18716" xr:uid="{00000000-0005-0000-0000-00004B1F0000}"/>
    <cellStyle name="메모 3 5 8" xfId="14969" xr:uid="{00000000-0005-0000-0000-00004C1F0000}"/>
    <cellStyle name="메모 3 5 8 2" xfId="15719" xr:uid="{00000000-0005-0000-0000-00004D1F0000}"/>
    <cellStyle name="메모 3 5 8 2 2" xfId="31497" xr:uid="{00000000-0005-0000-0000-00004E1F0000}"/>
    <cellStyle name="메모 3 5 8 3" xfId="16081" xr:uid="{00000000-0005-0000-0000-00004F1F0000}"/>
    <cellStyle name="메모 3 5 8 3 2" xfId="31724" xr:uid="{00000000-0005-0000-0000-0000501F0000}"/>
    <cellStyle name="메모 3 5 8 4" xfId="16730" xr:uid="{00000000-0005-0000-0000-0000511F0000}"/>
    <cellStyle name="메모 3 5 8 4 2" xfId="32219" xr:uid="{00000000-0005-0000-0000-0000521F0000}"/>
    <cellStyle name="메모 3 5 8 5" xfId="31208" xr:uid="{00000000-0005-0000-0000-0000531F0000}"/>
    <cellStyle name="메모 3 5 8 6" xfId="20999" xr:uid="{00000000-0005-0000-0000-0000541F0000}"/>
    <cellStyle name="메모 3 5 9" xfId="14898" xr:uid="{00000000-0005-0000-0000-0000551F0000}"/>
    <cellStyle name="메모 3 5 9 2" xfId="16010" xr:uid="{00000000-0005-0000-0000-0000561F0000}"/>
    <cellStyle name="메모 3 5 9 2 2" xfId="31653" xr:uid="{00000000-0005-0000-0000-0000571F0000}"/>
    <cellStyle name="메모 3 5 9 3" xfId="16731" xr:uid="{00000000-0005-0000-0000-0000581F0000}"/>
    <cellStyle name="메모 3 5 9 3 2" xfId="32220" xr:uid="{00000000-0005-0000-0000-0000591F0000}"/>
    <cellStyle name="메모 3 5 9 4" xfId="16732" xr:uid="{00000000-0005-0000-0000-00005A1F0000}"/>
    <cellStyle name="메모 3 5 9 4 2" xfId="32221" xr:uid="{00000000-0005-0000-0000-00005B1F0000}"/>
    <cellStyle name="메모 3 5 9 5" xfId="18471" xr:uid="{00000000-0005-0000-0000-00005C1F0000}"/>
    <cellStyle name="메모 3 6" xfId="11986" xr:uid="{00000000-0005-0000-0000-00005D1F0000}"/>
    <cellStyle name="메모 3 6 10" xfId="15366" xr:uid="{00000000-0005-0000-0000-00005E1F0000}"/>
    <cellStyle name="메모 3 6 11" xfId="15200" xr:uid="{00000000-0005-0000-0000-00005F1F0000}"/>
    <cellStyle name="메모 3 6 11 2" xfId="31336" xr:uid="{00000000-0005-0000-0000-0000601F0000}"/>
    <cellStyle name="메모 3 6 12" xfId="16733" xr:uid="{00000000-0005-0000-0000-0000611F0000}"/>
    <cellStyle name="메모 3 6 12 2" xfId="32222" xr:uid="{00000000-0005-0000-0000-0000621F0000}"/>
    <cellStyle name="메모 3 6 13" xfId="16734" xr:uid="{00000000-0005-0000-0000-0000631F0000}"/>
    <cellStyle name="메모 3 6 13 2" xfId="32223" xr:uid="{00000000-0005-0000-0000-0000641F0000}"/>
    <cellStyle name="메모 3 6 2" xfId="14729" xr:uid="{00000000-0005-0000-0000-0000651F0000}"/>
    <cellStyle name="메모 3 6 2 2" xfId="15615" xr:uid="{00000000-0005-0000-0000-0000661F0000}"/>
    <cellStyle name="메모 3 6 2 2 2" xfId="22290" xr:uid="{00000000-0005-0000-0000-0000671F0000}"/>
    <cellStyle name="메모 3 6 2 2 2 2" xfId="18440" xr:uid="{00000000-0005-0000-0000-0000681F0000}"/>
    <cellStyle name="메모 3 6 2 2 2 3" xfId="26520" xr:uid="{00000000-0005-0000-0000-0000691F0000}"/>
    <cellStyle name="메모 3 6 2 2 2 4" xfId="29634" xr:uid="{00000000-0005-0000-0000-00006A1F0000}"/>
    <cellStyle name="메모 3 6 2 2 3" xfId="22766" xr:uid="{00000000-0005-0000-0000-00006B1F0000}"/>
    <cellStyle name="메모 3 6 2 2 3 2" xfId="20003" xr:uid="{00000000-0005-0000-0000-00006C1F0000}"/>
    <cellStyle name="메모 3 6 2 2 3 3" xfId="26996" xr:uid="{00000000-0005-0000-0000-00006D1F0000}"/>
    <cellStyle name="메모 3 6 2 2 3 4" xfId="30110" xr:uid="{00000000-0005-0000-0000-00006E1F0000}"/>
    <cellStyle name="메모 3 6 2 2 4" xfId="23576" xr:uid="{00000000-0005-0000-0000-00006F1F0000}"/>
    <cellStyle name="메모 3 6 2 2 4 2" xfId="18234" xr:uid="{00000000-0005-0000-0000-0000701F0000}"/>
    <cellStyle name="메모 3 6 2 2 4 3" xfId="27806" xr:uid="{00000000-0005-0000-0000-0000711F0000}"/>
    <cellStyle name="메모 3 6 2 2 4 4" xfId="30920" xr:uid="{00000000-0005-0000-0000-0000721F0000}"/>
    <cellStyle name="메모 3 6 2 2 5" xfId="24615" xr:uid="{00000000-0005-0000-0000-0000731F0000}"/>
    <cellStyle name="메모 3 6 2 2 6" xfId="25967" xr:uid="{00000000-0005-0000-0000-0000741F0000}"/>
    <cellStyle name="메모 3 6 2 2 7" xfId="29081" xr:uid="{00000000-0005-0000-0000-0000751F0000}"/>
    <cellStyle name="메모 3 6 2 2 8" xfId="21737" xr:uid="{00000000-0005-0000-0000-0000761F0000}"/>
    <cellStyle name="메모 3 6 2 3" xfId="15965" xr:uid="{00000000-0005-0000-0000-0000771F0000}"/>
    <cellStyle name="메모 3 6 2 3 2" xfId="31620" xr:uid="{00000000-0005-0000-0000-0000781F0000}"/>
    <cellStyle name="메모 3 6 2 3 3" xfId="21335" xr:uid="{00000000-0005-0000-0000-0000791F0000}"/>
    <cellStyle name="메모 3 6 2 4" xfId="16735" xr:uid="{00000000-0005-0000-0000-00007A1F0000}"/>
    <cellStyle name="메모 3 6 2 4 2" xfId="32224" xr:uid="{00000000-0005-0000-0000-00007B1F0000}"/>
    <cellStyle name="메모 3 6 2 4 3" xfId="20707" xr:uid="{00000000-0005-0000-0000-00007C1F0000}"/>
    <cellStyle name="메모 3 6 2 5" xfId="19012" xr:uid="{00000000-0005-0000-0000-00007D1F0000}"/>
    <cellStyle name="메모 3 6 2 6" xfId="24955" xr:uid="{00000000-0005-0000-0000-00007E1F0000}"/>
    <cellStyle name="메모 3 6 2 7" xfId="28079" xr:uid="{00000000-0005-0000-0000-00007F1F0000}"/>
    <cellStyle name="메모 3 6 2 8" xfId="17921" xr:uid="{00000000-0005-0000-0000-0000801F0000}"/>
    <cellStyle name="메모 3 6 3" xfId="14569" xr:uid="{00000000-0005-0000-0000-0000811F0000}"/>
    <cellStyle name="메모 3 6 3 10" xfId="24794" xr:uid="{00000000-0005-0000-0000-0000821F0000}"/>
    <cellStyle name="메모 3 6 3 11" xfId="27918" xr:uid="{00000000-0005-0000-0000-0000831F0000}"/>
    <cellStyle name="메모 3 6 3 12" xfId="17922" xr:uid="{00000000-0005-0000-0000-0000841F0000}"/>
    <cellStyle name="메모 3 6 3 2" xfId="15500" xr:uid="{00000000-0005-0000-0000-0000851F0000}"/>
    <cellStyle name="메모 3 6 3 2 2" xfId="22129" xr:uid="{00000000-0005-0000-0000-0000861F0000}"/>
    <cellStyle name="메모 3 6 3 2 2 2" xfId="24544" xr:uid="{00000000-0005-0000-0000-0000871F0000}"/>
    <cellStyle name="메모 3 6 3 2 2 3" xfId="26359" xr:uid="{00000000-0005-0000-0000-0000881F0000}"/>
    <cellStyle name="메모 3 6 3 2 2 4" xfId="29473" xr:uid="{00000000-0005-0000-0000-0000891F0000}"/>
    <cellStyle name="메모 3 6 3 2 3" xfId="22605" xr:uid="{00000000-0005-0000-0000-00008A1F0000}"/>
    <cellStyle name="메모 3 6 3 2 3 2" xfId="23886" xr:uid="{00000000-0005-0000-0000-00008B1F0000}"/>
    <cellStyle name="메모 3 6 3 2 3 3" xfId="26835" xr:uid="{00000000-0005-0000-0000-00008C1F0000}"/>
    <cellStyle name="메모 3 6 3 2 3 4" xfId="29949" xr:uid="{00000000-0005-0000-0000-00008D1F0000}"/>
    <cellStyle name="메모 3 6 3 2 4" xfId="23415" xr:uid="{00000000-0005-0000-0000-00008E1F0000}"/>
    <cellStyle name="메모 3 6 3 2 4 2" xfId="20459" xr:uid="{00000000-0005-0000-0000-00008F1F0000}"/>
    <cellStyle name="메모 3 6 3 2 4 3" xfId="27645" xr:uid="{00000000-0005-0000-0000-0000901F0000}"/>
    <cellStyle name="메모 3 6 3 2 4 4" xfId="30759" xr:uid="{00000000-0005-0000-0000-0000911F0000}"/>
    <cellStyle name="메모 3 6 3 2 5" xfId="24652" xr:uid="{00000000-0005-0000-0000-0000921F0000}"/>
    <cellStyle name="메모 3 6 3 2 6" xfId="25806" xr:uid="{00000000-0005-0000-0000-0000931F0000}"/>
    <cellStyle name="메모 3 6 3 2 7" xfId="28920" xr:uid="{00000000-0005-0000-0000-0000941F0000}"/>
    <cellStyle name="메모 3 6 3 2 8" xfId="21576" xr:uid="{00000000-0005-0000-0000-0000951F0000}"/>
    <cellStyle name="메모 3 6 3 3" xfId="15221" xr:uid="{00000000-0005-0000-0000-0000961F0000}"/>
    <cellStyle name="메모 3 6 3 3 2" xfId="19489" xr:uid="{00000000-0005-0000-0000-0000971F0000}"/>
    <cellStyle name="메모 3 6 3 3 3" xfId="25633" xr:uid="{00000000-0005-0000-0000-0000981F0000}"/>
    <cellStyle name="메모 3 6 3 3 4" xfId="28750" xr:uid="{00000000-0005-0000-0000-0000991F0000}"/>
    <cellStyle name="메모 3 6 3 3 5" xfId="21446" xr:uid="{00000000-0005-0000-0000-00009A1F0000}"/>
    <cellStyle name="메모 3 6 3 4" xfId="16736" xr:uid="{00000000-0005-0000-0000-00009B1F0000}"/>
    <cellStyle name="메모 3 6 3 4 2" xfId="24479" xr:uid="{00000000-0005-0000-0000-00009C1F0000}"/>
    <cellStyle name="메모 3 6 3 4 3" xfId="26184" xr:uid="{00000000-0005-0000-0000-00009D1F0000}"/>
    <cellStyle name="메모 3 6 3 4 4" xfId="29298" xr:uid="{00000000-0005-0000-0000-00009E1F0000}"/>
    <cellStyle name="메모 3 6 3 4 5" xfId="21954" xr:uid="{00000000-0005-0000-0000-00009F1F0000}"/>
    <cellStyle name="메모 3 6 3 5" xfId="22427" xr:uid="{00000000-0005-0000-0000-0000A01F0000}"/>
    <cellStyle name="메모 3 6 3 5 2" xfId="19690" xr:uid="{00000000-0005-0000-0000-0000A11F0000}"/>
    <cellStyle name="메모 3 6 3 5 3" xfId="26657" xr:uid="{00000000-0005-0000-0000-0000A21F0000}"/>
    <cellStyle name="메모 3 6 3 5 4" xfId="29771" xr:uid="{00000000-0005-0000-0000-0000A31F0000}"/>
    <cellStyle name="메모 3 6 3 6" xfId="22900" xr:uid="{00000000-0005-0000-0000-0000A41F0000}"/>
    <cellStyle name="메모 3 6 3 6 2" xfId="20123" xr:uid="{00000000-0005-0000-0000-0000A51F0000}"/>
    <cellStyle name="메모 3 6 3 6 3" xfId="27130" xr:uid="{00000000-0005-0000-0000-0000A61F0000}"/>
    <cellStyle name="메모 3 6 3 6 4" xfId="30244" xr:uid="{00000000-0005-0000-0000-0000A71F0000}"/>
    <cellStyle name="메모 3 6 3 7" xfId="23023" xr:uid="{00000000-0005-0000-0000-0000A81F0000}"/>
    <cellStyle name="메모 3 6 3 7 2" xfId="23840" xr:uid="{00000000-0005-0000-0000-0000A91F0000}"/>
    <cellStyle name="메모 3 6 3 7 3" xfId="27253" xr:uid="{00000000-0005-0000-0000-0000AA1F0000}"/>
    <cellStyle name="메모 3 6 3 7 4" xfId="30367" xr:uid="{00000000-0005-0000-0000-0000AB1F0000}"/>
    <cellStyle name="메모 3 6 3 8" xfId="20546" xr:uid="{00000000-0005-0000-0000-0000AC1F0000}"/>
    <cellStyle name="메모 3 6 3 9" xfId="18853" xr:uid="{00000000-0005-0000-0000-0000AD1F0000}"/>
    <cellStyle name="메모 3 6 4" xfId="14646" xr:uid="{00000000-0005-0000-0000-0000AE1F0000}"/>
    <cellStyle name="메모 3 6 4 2" xfId="15577" xr:uid="{00000000-0005-0000-0000-0000AF1F0000}"/>
    <cellStyle name="메모 3 6 4 2 2" xfId="19314" xr:uid="{00000000-0005-0000-0000-0000B01F0000}"/>
    <cellStyle name="메모 3 6 4 2 3" xfId="26235" xr:uid="{00000000-0005-0000-0000-0000B11F0000}"/>
    <cellStyle name="메모 3 6 4 2 4" xfId="29349" xr:uid="{00000000-0005-0000-0000-0000B21F0000}"/>
    <cellStyle name="메모 3 6 4 2 5" xfId="22005" xr:uid="{00000000-0005-0000-0000-0000B31F0000}"/>
    <cellStyle name="메모 3 6 4 3" xfId="15931" xr:uid="{00000000-0005-0000-0000-0000B41F0000}"/>
    <cellStyle name="메모 3 6 4 3 2" xfId="19735" xr:uid="{00000000-0005-0000-0000-0000B51F0000}"/>
    <cellStyle name="메모 3 6 4 3 3" xfId="26708" xr:uid="{00000000-0005-0000-0000-0000B61F0000}"/>
    <cellStyle name="메모 3 6 4 3 4" xfId="29822" xr:uid="{00000000-0005-0000-0000-0000B71F0000}"/>
    <cellStyle name="메모 3 6 4 3 5" xfId="22478" xr:uid="{00000000-0005-0000-0000-0000B81F0000}"/>
    <cellStyle name="메모 3 6 4 4" xfId="16737" xr:uid="{00000000-0005-0000-0000-0000B91F0000}"/>
    <cellStyle name="메모 3 6 4 4 2" xfId="20334" xr:uid="{00000000-0005-0000-0000-0000BA1F0000}"/>
    <cellStyle name="메모 3 6 4 4 3" xfId="27526" xr:uid="{00000000-0005-0000-0000-0000BB1F0000}"/>
    <cellStyle name="메모 3 6 4 4 4" xfId="30640" xr:uid="{00000000-0005-0000-0000-0000BC1F0000}"/>
    <cellStyle name="메모 3 6 4 4 5" xfId="23296" xr:uid="{00000000-0005-0000-0000-0000BD1F0000}"/>
    <cellStyle name="메모 3 6 4 5" xfId="21499" xr:uid="{00000000-0005-0000-0000-0000BE1F0000}"/>
    <cellStyle name="메모 3 6 4 6" xfId="19323" xr:uid="{00000000-0005-0000-0000-0000BF1F0000}"/>
    <cellStyle name="메모 3 6 4 7" xfId="25684" xr:uid="{00000000-0005-0000-0000-0000C01F0000}"/>
    <cellStyle name="메모 3 6 4 8" xfId="28801" xr:uid="{00000000-0005-0000-0000-0000C11F0000}"/>
    <cellStyle name="메모 3 6 4 9" xfId="17923" xr:uid="{00000000-0005-0000-0000-0000C21F0000}"/>
    <cellStyle name="메모 3 6 5" xfId="15103" xr:uid="{00000000-0005-0000-0000-0000C31F0000}"/>
    <cellStyle name="메모 3 6 5 2" xfId="15822" xr:uid="{00000000-0005-0000-0000-0000C41F0000}"/>
    <cellStyle name="메모 3 6 5 2 2" xfId="31571" xr:uid="{00000000-0005-0000-0000-0000C51F0000}"/>
    <cellStyle name="메모 3 6 5 2 3" xfId="24679" xr:uid="{00000000-0005-0000-0000-0000C61F0000}"/>
    <cellStyle name="메모 3 6 5 3" xfId="16215" xr:uid="{00000000-0005-0000-0000-0000C71F0000}"/>
    <cellStyle name="메모 3 6 5 3 2" xfId="31829" xr:uid="{00000000-0005-0000-0000-0000C81F0000}"/>
    <cellStyle name="메모 3 6 5 3 3" xfId="25137" xr:uid="{00000000-0005-0000-0000-0000C91F0000}"/>
    <cellStyle name="메모 3 6 5 4" xfId="16738" xr:uid="{00000000-0005-0000-0000-0000CA1F0000}"/>
    <cellStyle name="메모 3 6 5 4 2" xfId="28261" xr:uid="{00000000-0005-0000-0000-0000CB1F0000}"/>
    <cellStyle name="메모 3 6 5 5" xfId="20886" xr:uid="{00000000-0005-0000-0000-0000CC1F0000}"/>
    <cellStyle name="메모 3 6 6" xfId="14918" xr:uid="{00000000-0005-0000-0000-0000CD1F0000}"/>
    <cellStyle name="메모 3 6 6 2" xfId="15668" xr:uid="{00000000-0005-0000-0000-0000CE1F0000}"/>
    <cellStyle name="메모 3 6 6 2 2" xfId="31446" xr:uid="{00000000-0005-0000-0000-0000CF1F0000}"/>
    <cellStyle name="메모 3 6 6 3" xfId="16030" xr:uid="{00000000-0005-0000-0000-0000D01F0000}"/>
    <cellStyle name="메모 3 6 6 3 2" xfId="31673" xr:uid="{00000000-0005-0000-0000-0000D11F0000}"/>
    <cellStyle name="메모 3 6 6 4" xfId="16739" xr:uid="{00000000-0005-0000-0000-0000D21F0000}"/>
    <cellStyle name="메모 3 6 6 4 2" xfId="32225" xr:uid="{00000000-0005-0000-0000-0000D31F0000}"/>
    <cellStyle name="메모 3 6 6 5" xfId="31185" xr:uid="{00000000-0005-0000-0000-0000D41F0000}"/>
    <cellStyle name="메모 3 6 6 6" xfId="20453" xr:uid="{00000000-0005-0000-0000-0000D51F0000}"/>
    <cellStyle name="메모 3 6 7" xfId="15041" xr:uid="{00000000-0005-0000-0000-0000D61F0000}"/>
    <cellStyle name="메모 3 6 7 2" xfId="15769" xr:uid="{00000000-0005-0000-0000-0000D71F0000}"/>
    <cellStyle name="메모 3 6 7 2 2" xfId="31547" xr:uid="{00000000-0005-0000-0000-0000D81F0000}"/>
    <cellStyle name="메모 3 6 7 3" xfId="16153" xr:uid="{00000000-0005-0000-0000-0000D91F0000}"/>
    <cellStyle name="메모 3 6 7 3 2" xfId="31796" xr:uid="{00000000-0005-0000-0000-0000DA1F0000}"/>
    <cellStyle name="메모 3 6 7 4" xfId="16740" xr:uid="{00000000-0005-0000-0000-0000DB1F0000}"/>
    <cellStyle name="메모 3 6 7 4 2" xfId="32226" xr:uid="{00000000-0005-0000-0000-0000DC1F0000}"/>
    <cellStyle name="메모 3 6 7 5" xfId="31258" xr:uid="{00000000-0005-0000-0000-0000DD1F0000}"/>
    <cellStyle name="메모 3 6 7 6" xfId="18717" xr:uid="{00000000-0005-0000-0000-0000DE1F0000}"/>
    <cellStyle name="메모 3 6 8" xfId="14881" xr:uid="{00000000-0005-0000-0000-0000DF1F0000}"/>
    <cellStyle name="메모 3 6 8 2" xfId="15642" xr:uid="{00000000-0005-0000-0000-0000E01F0000}"/>
    <cellStyle name="메모 3 6 8 2 2" xfId="31420" xr:uid="{00000000-0005-0000-0000-0000E11F0000}"/>
    <cellStyle name="메모 3 6 8 3" xfId="15993" xr:uid="{00000000-0005-0000-0000-0000E21F0000}"/>
    <cellStyle name="메모 3 6 8 3 2" xfId="31636" xr:uid="{00000000-0005-0000-0000-0000E31F0000}"/>
    <cellStyle name="메모 3 6 8 4" xfId="16741" xr:uid="{00000000-0005-0000-0000-0000E41F0000}"/>
    <cellStyle name="메모 3 6 8 4 2" xfId="32227" xr:uid="{00000000-0005-0000-0000-0000E51F0000}"/>
    <cellStyle name="메모 3 6 8 5" xfId="31164" xr:uid="{00000000-0005-0000-0000-0000E61F0000}"/>
    <cellStyle name="메모 3 6 8 6" xfId="18577" xr:uid="{00000000-0005-0000-0000-0000E71F0000}"/>
    <cellStyle name="메모 3 6 9" xfId="15153" xr:uid="{00000000-0005-0000-0000-0000E81F0000}"/>
    <cellStyle name="메모 3 6 9 2" xfId="16265" xr:uid="{00000000-0005-0000-0000-0000E91F0000}"/>
    <cellStyle name="메모 3 6 9 2 2" xfId="31874" xr:uid="{00000000-0005-0000-0000-0000EA1F0000}"/>
    <cellStyle name="메모 3 6 9 3" xfId="16742" xr:uid="{00000000-0005-0000-0000-0000EB1F0000}"/>
    <cellStyle name="메모 3 6 9 3 2" xfId="32228" xr:uid="{00000000-0005-0000-0000-0000EC1F0000}"/>
    <cellStyle name="메모 3 6 9 4" xfId="16743" xr:uid="{00000000-0005-0000-0000-0000ED1F0000}"/>
    <cellStyle name="메모 3 6 9 4 2" xfId="32229" xr:uid="{00000000-0005-0000-0000-0000EE1F0000}"/>
    <cellStyle name="메모 3 6 9 5" xfId="18472" xr:uid="{00000000-0005-0000-0000-0000EF1F0000}"/>
    <cellStyle name="메모 3 7" xfId="11987" xr:uid="{00000000-0005-0000-0000-0000F01F0000}"/>
    <cellStyle name="메모 3 7 10" xfId="15201" xr:uid="{00000000-0005-0000-0000-0000F11F0000}"/>
    <cellStyle name="메모 3 7 10 2" xfId="31337" xr:uid="{00000000-0005-0000-0000-0000F21F0000}"/>
    <cellStyle name="메모 3 7 11" xfId="16744" xr:uid="{00000000-0005-0000-0000-0000F31F0000}"/>
    <cellStyle name="메모 3 7 11 2" xfId="32230" xr:uid="{00000000-0005-0000-0000-0000F41F0000}"/>
    <cellStyle name="메모 3 7 12" xfId="16745" xr:uid="{00000000-0005-0000-0000-0000F51F0000}"/>
    <cellStyle name="메모 3 7 12 2" xfId="32231" xr:uid="{00000000-0005-0000-0000-0000F61F0000}"/>
    <cellStyle name="메모 3 7 13" xfId="17242" xr:uid="{00000000-0005-0000-0000-0000F71F0000}"/>
    <cellStyle name="메모 3 7 2" xfId="14875" xr:uid="{00000000-0005-0000-0000-0000F81F0000}"/>
    <cellStyle name="메모 3 7 2 10" xfId="24956" xr:uid="{00000000-0005-0000-0000-0000F91F0000}"/>
    <cellStyle name="메모 3 7 2 11" xfId="28080" xr:uid="{00000000-0005-0000-0000-0000FA1F0000}"/>
    <cellStyle name="메모 3 7 2 12" xfId="17500" xr:uid="{00000000-0005-0000-0000-0000FB1F0000}"/>
    <cellStyle name="메모 3 7 2 2" xfId="15637" xr:uid="{00000000-0005-0000-0000-0000FC1F0000}"/>
    <cellStyle name="메모 3 7 2 2 2" xfId="22291" xr:uid="{00000000-0005-0000-0000-0000FD1F0000}"/>
    <cellStyle name="메모 3 7 2 2 2 2" xfId="18441" xr:uid="{00000000-0005-0000-0000-0000FE1F0000}"/>
    <cellStyle name="메모 3 7 2 2 2 3" xfId="26521" xr:uid="{00000000-0005-0000-0000-0000FF1F0000}"/>
    <cellStyle name="메모 3 7 2 2 2 4" xfId="29635" xr:uid="{00000000-0005-0000-0000-000000200000}"/>
    <cellStyle name="메모 3 7 2 2 3" xfId="22767" xr:uid="{00000000-0005-0000-0000-000001200000}"/>
    <cellStyle name="메모 3 7 2 2 3 2" xfId="21221" xr:uid="{00000000-0005-0000-0000-000002200000}"/>
    <cellStyle name="메모 3 7 2 2 3 3" xfId="26997" xr:uid="{00000000-0005-0000-0000-000003200000}"/>
    <cellStyle name="메모 3 7 2 2 3 4" xfId="30111" xr:uid="{00000000-0005-0000-0000-000004200000}"/>
    <cellStyle name="메모 3 7 2 2 4" xfId="23577" xr:uid="{00000000-0005-0000-0000-000005200000}"/>
    <cellStyle name="메모 3 7 2 2 4 2" xfId="18235" xr:uid="{00000000-0005-0000-0000-000006200000}"/>
    <cellStyle name="메모 3 7 2 2 4 3" xfId="27807" xr:uid="{00000000-0005-0000-0000-000007200000}"/>
    <cellStyle name="메모 3 7 2 2 4 4" xfId="30921" xr:uid="{00000000-0005-0000-0000-000008200000}"/>
    <cellStyle name="메모 3 7 2 2 5" xfId="21738" xr:uid="{00000000-0005-0000-0000-000009200000}"/>
    <cellStyle name="메모 3 7 2 2 6" xfId="24488" xr:uid="{00000000-0005-0000-0000-00000A200000}"/>
    <cellStyle name="메모 3 7 2 2 7" xfId="25968" xr:uid="{00000000-0005-0000-0000-00000B200000}"/>
    <cellStyle name="메모 3 7 2 2 8" xfId="29082" xr:uid="{00000000-0005-0000-0000-00000C200000}"/>
    <cellStyle name="메모 3 7 2 2 9" xfId="17924" xr:uid="{00000000-0005-0000-0000-00000D200000}"/>
    <cellStyle name="메모 3 7 2 3" xfId="15987" xr:uid="{00000000-0005-0000-0000-00000E200000}"/>
    <cellStyle name="메모 3 7 2 3 2" xfId="21336" xr:uid="{00000000-0005-0000-0000-00000F200000}"/>
    <cellStyle name="메모 3 7 2 3 3" xfId="19441" xr:uid="{00000000-0005-0000-0000-000010200000}"/>
    <cellStyle name="메모 3 7 2 3 4" xfId="25535" xr:uid="{00000000-0005-0000-0000-000011200000}"/>
    <cellStyle name="메모 3 7 2 3 5" xfId="28652" xr:uid="{00000000-0005-0000-0000-000012200000}"/>
    <cellStyle name="메모 3 7 2 3 6" xfId="17925" xr:uid="{00000000-0005-0000-0000-000013200000}"/>
    <cellStyle name="메모 3 7 2 4" xfId="16746" xr:uid="{00000000-0005-0000-0000-000014200000}"/>
    <cellStyle name="메모 3 7 2 4 2" xfId="24744" xr:uid="{00000000-0005-0000-0000-000015200000}"/>
    <cellStyle name="메모 3 7 2 4 3" xfId="26086" xr:uid="{00000000-0005-0000-0000-000016200000}"/>
    <cellStyle name="메모 3 7 2 4 4" xfId="29200" xr:uid="{00000000-0005-0000-0000-000017200000}"/>
    <cellStyle name="메모 3 7 2 4 5" xfId="21856" xr:uid="{00000000-0005-0000-0000-000018200000}"/>
    <cellStyle name="메모 3 7 2 5" xfId="20840" xr:uid="{00000000-0005-0000-0000-000019200000}"/>
    <cellStyle name="메모 3 7 2 5 2" xfId="19145" xr:uid="{00000000-0005-0000-0000-00001A200000}"/>
    <cellStyle name="메모 3 7 2 5 3" xfId="25091" xr:uid="{00000000-0005-0000-0000-00001B200000}"/>
    <cellStyle name="메모 3 7 2 5 4" xfId="28215" xr:uid="{00000000-0005-0000-0000-00001C200000}"/>
    <cellStyle name="메모 3 7 2 6" xfId="21040" xr:uid="{00000000-0005-0000-0000-00001D200000}"/>
    <cellStyle name="메모 3 7 2 6 2" xfId="24409" xr:uid="{00000000-0005-0000-0000-00001E200000}"/>
    <cellStyle name="메모 3 7 2 6 3" xfId="25285" xr:uid="{00000000-0005-0000-0000-00001F200000}"/>
    <cellStyle name="메모 3 7 2 6 4" xfId="28409" xr:uid="{00000000-0005-0000-0000-000020200000}"/>
    <cellStyle name="메모 3 7 2 7" xfId="21114" xr:uid="{00000000-0005-0000-0000-000021200000}"/>
    <cellStyle name="메모 3 7 2 7 2" xfId="24359" xr:uid="{00000000-0005-0000-0000-000022200000}"/>
    <cellStyle name="메모 3 7 2 7 3" xfId="25359" xr:uid="{00000000-0005-0000-0000-000023200000}"/>
    <cellStyle name="메모 3 7 2 7 4" xfId="28483" xr:uid="{00000000-0005-0000-0000-000024200000}"/>
    <cellStyle name="메모 3 7 2 8" xfId="20708" xr:uid="{00000000-0005-0000-0000-000025200000}"/>
    <cellStyle name="메모 3 7 2 9" xfId="19013" xr:uid="{00000000-0005-0000-0000-000026200000}"/>
    <cellStyle name="메모 3 7 3" xfId="14573" xr:uid="{00000000-0005-0000-0000-000027200000}"/>
    <cellStyle name="메모 3 7 3 10" xfId="17393" xr:uid="{00000000-0005-0000-0000-000028200000}"/>
    <cellStyle name="메모 3 7 3 2" xfId="15504" xr:uid="{00000000-0005-0000-0000-000029200000}"/>
    <cellStyle name="메모 3 7 3 2 2" xfId="24173" xr:uid="{00000000-0005-0000-0000-00002A200000}"/>
    <cellStyle name="메모 3 7 3 2 3" xfId="25796" xr:uid="{00000000-0005-0000-0000-00002B200000}"/>
    <cellStyle name="메모 3 7 3 2 4" xfId="28910" xr:uid="{00000000-0005-0000-0000-00002C200000}"/>
    <cellStyle name="메모 3 7 3 2 5" xfId="21566" xr:uid="{00000000-0005-0000-0000-00002D200000}"/>
    <cellStyle name="메모 3 7 3 3" xfId="15156" xr:uid="{00000000-0005-0000-0000-00002E200000}"/>
    <cellStyle name="메모 3 7 3 3 2" xfId="23922" xr:uid="{00000000-0005-0000-0000-00002F200000}"/>
    <cellStyle name="메모 3 7 3 3 3" xfId="26349" xr:uid="{00000000-0005-0000-0000-000030200000}"/>
    <cellStyle name="메모 3 7 3 3 4" xfId="29463" xr:uid="{00000000-0005-0000-0000-000031200000}"/>
    <cellStyle name="메모 3 7 3 3 5" xfId="22119" xr:uid="{00000000-0005-0000-0000-000032200000}"/>
    <cellStyle name="메모 3 7 3 4" xfId="16747" xr:uid="{00000000-0005-0000-0000-000033200000}"/>
    <cellStyle name="메모 3 7 3 4 2" xfId="19842" xr:uid="{00000000-0005-0000-0000-000034200000}"/>
    <cellStyle name="메모 3 7 3 4 3" xfId="26825" xr:uid="{00000000-0005-0000-0000-000035200000}"/>
    <cellStyle name="메모 3 7 3 4 4" xfId="29939" xr:uid="{00000000-0005-0000-0000-000036200000}"/>
    <cellStyle name="메모 3 7 3 4 5" xfId="22595" xr:uid="{00000000-0005-0000-0000-000037200000}"/>
    <cellStyle name="메모 3 7 3 5" xfId="23405" xr:uid="{00000000-0005-0000-0000-000038200000}"/>
    <cellStyle name="메모 3 7 3 5 2" xfId="20445" xr:uid="{00000000-0005-0000-0000-000039200000}"/>
    <cellStyle name="메모 3 7 3 5 3" xfId="27635" xr:uid="{00000000-0005-0000-0000-00003A200000}"/>
    <cellStyle name="메모 3 7 3 5 4" xfId="30749" xr:uid="{00000000-0005-0000-0000-00003B200000}"/>
    <cellStyle name="메모 3 7 3 6" xfId="20535" xr:uid="{00000000-0005-0000-0000-00003C200000}"/>
    <cellStyle name="메모 3 7 3 7" xfId="18843" xr:uid="{00000000-0005-0000-0000-00003D200000}"/>
    <cellStyle name="메모 3 7 3 8" xfId="24784" xr:uid="{00000000-0005-0000-0000-00003E200000}"/>
    <cellStyle name="메모 3 7 3 9" xfId="27908" xr:uid="{00000000-0005-0000-0000-00003F200000}"/>
    <cellStyle name="메모 3 7 4" xfId="15104" xr:uid="{00000000-0005-0000-0000-000040200000}"/>
    <cellStyle name="메모 3 7 4 2" xfId="15823" xr:uid="{00000000-0005-0000-0000-000041200000}"/>
    <cellStyle name="메모 3 7 4 2 2" xfId="19555" xr:uid="{00000000-0005-0000-0000-000042200000}"/>
    <cellStyle name="메모 3 7 4 2 3" xfId="26236" xr:uid="{00000000-0005-0000-0000-000043200000}"/>
    <cellStyle name="메모 3 7 4 2 4" xfId="29350" xr:uid="{00000000-0005-0000-0000-000044200000}"/>
    <cellStyle name="메모 3 7 4 2 5" xfId="22006" xr:uid="{00000000-0005-0000-0000-000045200000}"/>
    <cellStyle name="메모 3 7 4 3" xfId="16216" xr:uid="{00000000-0005-0000-0000-000046200000}"/>
    <cellStyle name="메모 3 7 4 3 2" xfId="19736" xr:uid="{00000000-0005-0000-0000-000047200000}"/>
    <cellStyle name="메모 3 7 4 3 3" xfId="26709" xr:uid="{00000000-0005-0000-0000-000048200000}"/>
    <cellStyle name="메모 3 7 4 3 4" xfId="29823" xr:uid="{00000000-0005-0000-0000-000049200000}"/>
    <cellStyle name="메모 3 7 4 3 5" xfId="22479" xr:uid="{00000000-0005-0000-0000-00004A200000}"/>
    <cellStyle name="메모 3 7 4 4" xfId="16748" xr:uid="{00000000-0005-0000-0000-00004B200000}"/>
    <cellStyle name="메모 3 7 4 4 2" xfId="20335" xr:uid="{00000000-0005-0000-0000-00004C200000}"/>
    <cellStyle name="메모 3 7 4 4 3" xfId="27527" xr:uid="{00000000-0005-0000-0000-00004D200000}"/>
    <cellStyle name="메모 3 7 4 4 4" xfId="30641" xr:uid="{00000000-0005-0000-0000-00004E200000}"/>
    <cellStyle name="메모 3 7 4 4 5" xfId="23297" xr:uid="{00000000-0005-0000-0000-00004F200000}"/>
    <cellStyle name="메모 3 7 4 5" xfId="23949" xr:uid="{00000000-0005-0000-0000-000050200000}"/>
    <cellStyle name="메모 3 7 4 6" xfId="25685" xr:uid="{00000000-0005-0000-0000-000051200000}"/>
    <cellStyle name="메모 3 7 4 7" xfId="28802" xr:uid="{00000000-0005-0000-0000-000052200000}"/>
    <cellStyle name="메모 3 7 4 8" xfId="17389" xr:uid="{00000000-0005-0000-0000-000053200000}"/>
    <cellStyle name="메모 3 7 5" xfId="14917" xr:uid="{00000000-0005-0000-0000-000054200000}"/>
    <cellStyle name="메모 3 7 5 2" xfId="15667" xr:uid="{00000000-0005-0000-0000-000055200000}"/>
    <cellStyle name="메모 3 7 5 2 2" xfId="31445" xr:uid="{00000000-0005-0000-0000-000056200000}"/>
    <cellStyle name="메모 3 7 5 2 3" xfId="20887" xr:uid="{00000000-0005-0000-0000-000057200000}"/>
    <cellStyle name="메모 3 7 5 3" xfId="16029" xr:uid="{00000000-0005-0000-0000-000058200000}"/>
    <cellStyle name="메모 3 7 5 3 2" xfId="31672" xr:uid="{00000000-0005-0000-0000-000059200000}"/>
    <cellStyle name="메모 3 7 5 3 3" xfId="24416" xr:uid="{00000000-0005-0000-0000-00005A200000}"/>
    <cellStyle name="메모 3 7 5 4" xfId="16749" xr:uid="{00000000-0005-0000-0000-00005B200000}"/>
    <cellStyle name="메모 3 7 5 4 2" xfId="32232" xr:uid="{00000000-0005-0000-0000-00005C200000}"/>
    <cellStyle name="메모 3 7 5 4 3" xfId="25138" xr:uid="{00000000-0005-0000-0000-00005D200000}"/>
    <cellStyle name="메모 3 7 5 5" xfId="28262" xr:uid="{00000000-0005-0000-0000-00005E200000}"/>
    <cellStyle name="메모 3 7 5 6" xfId="17926" xr:uid="{00000000-0005-0000-0000-00005F200000}"/>
    <cellStyle name="메모 3 7 6" xfId="15148" xr:uid="{00000000-0005-0000-0000-000060200000}"/>
    <cellStyle name="메모 3 7 6 2" xfId="15859" xr:uid="{00000000-0005-0000-0000-000061200000}"/>
    <cellStyle name="메모 3 7 6 2 2" xfId="31603" xr:uid="{00000000-0005-0000-0000-000062200000}"/>
    <cellStyle name="메모 3 7 6 3" xfId="16260" xr:uid="{00000000-0005-0000-0000-000063200000}"/>
    <cellStyle name="메모 3 7 6 3 2" xfId="31869" xr:uid="{00000000-0005-0000-0000-000064200000}"/>
    <cellStyle name="메모 3 7 6 4" xfId="16750" xr:uid="{00000000-0005-0000-0000-000065200000}"/>
    <cellStyle name="메모 3 7 6 4 2" xfId="32233" xr:uid="{00000000-0005-0000-0000-000066200000}"/>
    <cellStyle name="메모 3 7 6 5" xfId="31292" xr:uid="{00000000-0005-0000-0000-000067200000}"/>
    <cellStyle name="메모 3 7 6 6" xfId="18718" xr:uid="{00000000-0005-0000-0000-000068200000}"/>
    <cellStyle name="메모 3 7 7" xfId="14968" xr:uid="{00000000-0005-0000-0000-000069200000}"/>
    <cellStyle name="메모 3 7 7 2" xfId="15718" xr:uid="{00000000-0005-0000-0000-00006A200000}"/>
    <cellStyle name="메모 3 7 7 2 2" xfId="31496" xr:uid="{00000000-0005-0000-0000-00006B200000}"/>
    <cellStyle name="메모 3 7 7 3" xfId="16080" xr:uid="{00000000-0005-0000-0000-00006C200000}"/>
    <cellStyle name="메모 3 7 7 3 2" xfId="31723" xr:uid="{00000000-0005-0000-0000-00006D200000}"/>
    <cellStyle name="메모 3 7 7 4" xfId="16751" xr:uid="{00000000-0005-0000-0000-00006E200000}"/>
    <cellStyle name="메모 3 7 7 4 2" xfId="32234" xr:uid="{00000000-0005-0000-0000-00006F200000}"/>
    <cellStyle name="메모 3 7 7 5" xfId="31207" xr:uid="{00000000-0005-0000-0000-000070200000}"/>
    <cellStyle name="메모 3 7 7 6" xfId="18576" xr:uid="{00000000-0005-0000-0000-000071200000}"/>
    <cellStyle name="메모 3 7 8" xfId="15131" xr:uid="{00000000-0005-0000-0000-000072200000}"/>
    <cellStyle name="메모 3 7 8 2" xfId="16243" xr:uid="{00000000-0005-0000-0000-000073200000}"/>
    <cellStyle name="메모 3 7 8 2 2" xfId="31852" xr:uid="{00000000-0005-0000-0000-000074200000}"/>
    <cellStyle name="메모 3 7 8 3" xfId="16752" xr:uid="{00000000-0005-0000-0000-000075200000}"/>
    <cellStyle name="메모 3 7 8 3 2" xfId="32235" xr:uid="{00000000-0005-0000-0000-000076200000}"/>
    <cellStyle name="메모 3 7 8 4" xfId="16753" xr:uid="{00000000-0005-0000-0000-000077200000}"/>
    <cellStyle name="메모 3 7 8 4 2" xfId="32236" xr:uid="{00000000-0005-0000-0000-000078200000}"/>
    <cellStyle name="메모 3 7 8 5" xfId="18473" xr:uid="{00000000-0005-0000-0000-000079200000}"/>
    <cellStyle name="메모 3 7 9" xfId="15367" xr:uid="{00000000-0005-0000-0000-00007A200000}"/>
    <cellStyle name="메모 3 7 9 2" xfId="15307" xr:uid="{00000000-0005-0000-0000-00007B200000}"/>
    <cellStyle name="메모 3 7 9 2 2" xfId="31354" xr:uid="{00000000-0005-0000-0000-00007C200000}"/>
    <cellStyle name="메모 3 7 9 3" xfId="16754" xr:uid="{00000000-0005-0000-0000-00007D200000}"/>
    <cellStyle name="메모 3 7 9 3 2" xfId="32237" xr:uid="{00000000-0005-0000-0000-00007E200000}"/>
    <cellStyle name="메모 3 7 9 4" xfId="16755" xr:uid="{00000000-0005-0000-0000-00007F200000}"/>
    <cellStyle name="메모 3 7 9 4 2" xfId="32238" xr:uid="{00000000-0005-0000-0000-000080200000}"/>
    <cellStyle name="메모 3 7 9 5" xfId="31411" xr:uid="{00000000-0005-0000-0000-000081200000}"/>
    <cellStyle name="메모 3 8" xfId="14602" xr:uid="{00000000-0005-0000-0000-000082200000}"/>
    <cellStyle name="메모 3 8 2" xfId="15533" xr:uid="{00000000-0005-0000-0000-000083200000}"/>
    <cellStyle name="메모 3 8 2 2" xfId="22279" xr:uid="{00000000-0005-0000-0000-000084200000}"/>
    <cellStyle name="메모 3 8 2 2 2" xfId="18430" xr:uid="{00000000-0005-0000-0000-000085200000}"/>
    <cellStyle name="메모 3 8 2 2 3" xfId="26509" xr:uid="{00000000-0005-0000-0000-000086200000}"/>
    <cellStyle name="메모 3 8 2 2 4" xfId="29623" xr:uid="{00000000-0005-0000-0000-000087200000}"/>
    <cellStyle name="메모 3 8 2 3" xfId="22755" xr:uid="{00000000-0005-0000-0000-000088200000}"/>
    <cellStyle name="메모 3 8 2 3 2" xfId="19992" xr:uid="{00000000-0005-0000-0000-000089200000}"/>
    <cellStyle name="메모 3 8 2 3 3" xfId="26985" xr:uid="{00000000-0005-0000-0000-00008A200000}"/>
    <cellStyle name="메모 3 8 2 3 4" xfId="30099" xr:uid="{00000000-0005-0000-0000-00008B200000}"/>
    <cellStyle name="메모 3 8 2 4" xfId="23565" xr:uid="{00000000-0005-0000-0000-00008C200000}"/>
    <cellStyle name="메모 3 8 2 4 2" xfId="18223" xr:uid="{00000000-0005-0000-0000-00008D200000}"/>
    <cellStyle name="메모 3 8 2 4 3" xfId="27795" xr:uid="{00000000-0005-0000-0000-00008E200000}"/>
    <cellStyle name="메모 3 8 2 4 4" xfId="30909" xr:uid="{00000000-0005-0000-0000-00008F200000}"/>
    <cellStyle name="메모 3 8 2 5" xfId="24587" xr:uid="{00000000-0005-0000-0000-000090200000}"/>
    <cellStyle name="메모 3 8 2 6" xfId="25956" xr:uid="{00000000-0005-0000-0000-000091200000}"/>
    <cellStyle name="메모 3 8 2 7" xfId="29070" xr:uid="{00000000-0005-0000-0000-000092200000}"/>
    <cellStyle name="메모 3 8 2 8" xfId="21726" xr:uid="{00000000-0005-0000-0000-000093200000}"/>
    <cellStyle name="메모 3 8 3" xfId="15887" xr:uid="{00000000-0005-0000-0000-000094200000}"/>
    <cellStyle name="메모 3 8 3 2" xfId="31608" xr:uid="{00000000-0005-0000-0000-000095200000}"/>
    <cellStyle name="메모 3 8 3 3" xfId="21330" xr:uid="{00000000-0005-0000-0000-000096200000}"/>
    <cellStyle name="메모 3 8 4" xfId="16756" xr:uid="{00000000-0005-0000-0000-000097200000}"/>
    <cellStyle name="메모 3 8 4 2" xfId="32239" xr:uid="{00000000-0005-0000-0000-000098200000}"/>
    <cellStyle name="메모 3 8 4 3" xfId="20696" xr:uid="{00000000-0005-0000-0000-000099200000}"/>
    <cellStyle name="메모 3 8 5" xfId="19001" xr:uid="{00000000-0005-0000-0000-00009A200000}"/>
    <cellStyle name="메모 3 8 6" xfId="24944" xr:uid="{00000000-0005-0000-0000-00009B200000}"/>
    <cellStyle name="메모 3 8 7" xfId="28068" xr:uid="{00000000-0005-0000-0000-00009C200000}"/>
    <cellStyle name="메모 3 8 8" xfId="17927" xr:uid="{00000000-0005-0000-0000-00009D200000}"/>
    <cellStyle name="메모 3 9" xfId="14746" xr:uid="{00000000-0005-0000-0000-00009E200000}"/>
    <cellStyle name="메모 3 9 2" xfId="15631" xr:uid="{00000000-0005-0000-0000-00009F200000}"/>
    <cellStyle name="메모 3 9 2 2" xfId="24464" xr:uid="{00000000-0005-0000-0000-0000A0200000}"/>
    <cellStyle name="메모 3 9 2 3" xfId="25789" xr:uid="{00000000-0005-0000-0000-0000A1200000}"/>
    <cellStyle name="메모 3 9 2 4" xfId="28903" xr:uid="{00000000-0005-0000-0000-0000A2200000}"/>
    <cellStyle name="메모 3 9 2 5" xfId="21559" xr:uid="{00000000-0005-0000-0000-0000A3200000}"/>
    <cellStyle name="메모 3 9 3" xfId="15981" xr:uid="{00000000-0005-0000-0000-0000A4200000}"/>
    <cellStyle name="메모 3 9 3 2" xfId="24268" xr:uid="{00000000-0005-0000-0000-0000A5200000}"/>
    <cellStyle name="메모 3 9 3 3" xfId="26342" xr:uid="{00000000-0005-0000-0000-0000A6200000}"/>
    <cellStyle name="메모 3 9 3 4" xfId="29456" xr:uid="{00000000-0005-0000-0000-0000A7200000}"/>
    <cellStyle name="메모 3 9 3 5" xfId="22112" xr:uid="{00000000-0005-0000-0000-0000A8200000}"/>
    <cellStyle name="메모 3 9 4" xfId="16757" xr:uid="{00000000-0005-0000-0000-0000A9200000}"/>
    <cellStyle name="메모 3 9 4 2" xfId="19836" xr:uid="{00000000-0005-0000-0000-0000AA200000}"/>
    <cellStyle name="메모 3 9 4 3" xfId="26818" xr:uid="{00000000-0005-0000-0000-0000AB200000}"/>
    <cellStyle name="메모 3 9 4 4" xfId="29932" xr:uid="{00000000-0005-0000-0000-0000AC200000}"/>
    <cellStyle name="메모 3 9 4 5" xfId="22588" xr:uid="{00000000-0005-0000-0000-0000AD200000}"/>
    <cellStyle name="메모 3 9 5" xfId="23398" xr:uid="{00000000-0005-0000-0000-0000AE200000}"/>
    <cellStyle name="메모 3 9 5 2" xfId="20437" xr:uid="{00000000-0005-0000-0000-0000AF200000}"/>
    <cellStyle name="메모 3 9 5 3" xfId="27628" xr:uid="{00000000-0005-0000-0000-0000B0200000}"/>
    <cellStyle name="메모 3 9 5 4" xfId="30742" xr:uid="{00000000-0005-0000-0000-0000B1200000}"/>
    <cellStyle name="메모 3 9 6" xfId="18836" xr:uid="{00000000-0005-0000-0000-0000B2200000}"/>
    <cellStyle name="메모 3 9 7" xfId="18484" xr:uid="{00000000-0005-0000-0000-0000B3200000}"/>
    <cellStyle name="메모 3 9 8" xfId="18458" xr:uid="{00000000-0005-0000-0000-0000B4200000}"/>
    <cellStyle name="메모 3 9 9" xfId="20527" xr:uid="{00000000-0005-0000-0000-0000B5200000}"/>
    <cellStyle name="메모 4" xfId="11988" xr:uid="{00000000-0005-0000-0000-0000B6200000}"/>
    <cellStyle name="메모 4 10" xfId="15105" xr:uid="{00000000-0005-0000-0000-0000B7200000}"/>
    <cellStyle name="메모 4 10 2" xfId="15824" xr:uid="{00000000-0005-0000-0000-0000B8200000}"/>
    <cellStyle name="메모 4 10 2 2" xfId="23718" xr:uid="{00000000-0005-0000-0000-0000B9200000}"/>
    <cellStyle name="메모 4 10 2 3" xfId="26237" xr:uid="{00000000-0005-0000-0000-0000BA200000}"/>
    <cellStyle name="메모 4 10 2 4" xfId="29351" xr:uid="{00000000-0005-0000-0000-0000BB200000}"/>
    <cellStyle name="메모 4 10 2 5" xfId="22007" xr:uid="{00000000-0005-0000-0000-0000BC200000}"/>
    <cellStyle name="메모 4 10 3" xfId="16217" xr:uid="{00000000-0005-0000-0000-0000BD200000}"/>
    <cellStyle name="메모 4 10 3 2" xfId="19737" xr:uid="{00000000-0005-0000-0000-0000BE200000}"/>
    <cellStyle name="메모 4 10 3 3" xfId="26710" xr:uid="{00000000-0005-0000-0000-0000BF200000}"/>
    <cellStyle name="메모 4 10 3 4" xfId="29824" xr:uid="{00000000-0005-0000-0000-0000C0200000}"/>
    <cellStyle name="메모 4 10 3 5" xfId="22480" xr:uid="{00000000-0005-0000-0000-0000C1200000}"/>
    <cellStyle name="메모 4 10 4" xfId="16758" xr:uid="{00000000-0005-0000-0000-0000C2200000}"/>
    <cellStyle name="메모 4 10 4 2" xfId="20337" xr:uid="{00000000-0005-0000-0000-0000C3200000}"/>
    <cellStyle name="메모 4 10 4 3" xfId="27528" xr:uid="{00000000-0005-0000-0000-0000C4200000}"/>
    <cellStyle name="메모 4 10 4 4" xfId="30642" xr:uid="{00000000-0005-0000-0000-0000C5200000}"/>
    <cellStyle name="메모 4 10 4 5" xfId="23298" xr:uid="{00000000-0005-0000-0000-0000C6200000}"/>
    <cellStyle name="메모 4 10 5" xfId="24760" xr:uid="{00000000-0005-0000-0000-0000C7200000}"/>
    <cellStyle name="메모 4 10 6" xfId="25686" xr:uid="{00000000-0005-0000-0000-0000C8200000}"/>
    <cellStyle name="메모 4 10 7" xfId="28803" xr:uid="{00000000-0005-0000-0000-0000C9200000}"/>
    <cellStyle name="메모 4 10 8" xfId="21501" xr:uid="{00000000-0005-0000-0000-0000CA200000}"/>
    <cellStyle name="메모 4 11" xfId="14916" xr:uid="{00000000-0005-0000-0000-0000CB200000}"/>
    <cellStyle name="메모 4 11 2" xfId="15666" xr:uid="{00000000-0005-0000-0000-0000CC200000}"/>
    <cellStyle name="메모 4 11 2 2" xfId="31444" xr:uid="{00000000-0005-0000-0000-0000CD200000}"/>
    <cellStyle name="메모 4 11 2 3" xfId="19141" xr:uid="{00000000-0005-0000-0000-0000CE200000}"/>
    <cellStyle name="메모 4 11 3" xfId="16028" xr:uid="{00000000-0005-0000-0000-0000CF200000}"/>
    <cellStyle name="메모 4 11 3 2" xfId="31671" xr:uid="{00000000-0005-0000-0000-0000D0200000}"/>
    <cellStyle name="메모 4 11 3 3" xfId="25086" xr:uid="{00000000-0005-0000-0000-0000D1200000}"/>
    <cellStyle name="메모 4 11 4" xfId="16759" xr:uid="{00000000-0005-0000-0000-0000D2200000}"/>
    <cellStyle name="메모 4 11 4 2" xfId="28210" xr:uid="{00000000-0005-0000-0000-0000D3200000}"/>
    <cellStyle name="메모 4 11 5" xfId="20835" xr:uid="{00000000-0005-0000-0000-0000D4200000}"/>
    <cellStyle name="메모 4 12" xfId="15042" xr:uid="{00000000-0005-0000-0000-0000D5200000}"/>
    <cellStyle name="메모 4 12 2" xfId="15770" xr:uid="{00000000-0005-0000-0000-0000D6200000}"/>
    <cellStyle name="메모 4 12 2 2" xfId="31548" xr:uid="{00000000-0005-0000-0000-0000D7200000}"/>
    <cellStyle name="메모 4 12 3" xfId="16154" xr:uid="{00000000-0005-0000-0000-0000D8200000}"/>
    <cellStyle name="메모 4 12 3 2" xfId="31797" xr:uid="{00000000-0005-0000-0000-0000D9200000}"/>
    <cellStyle name="메모 4 12 4" xfId="16760" xr:uid="{00000000-0005-0000-0000-0000DA200000}"/>
    <cellStyle name="메모 4 12 4 2" xfId="32240" xr:uid="{00000000-0005-0000-0000-0000DB200000}"/>
    <cellStyle name="메모 4 12 5" xfId="31259" xr:uid="{00000000-0005-0000-0000-0000DC200000}"/>
    <cellStyle name="메모 4 12 6" xfId="18719" xr:uid="{00000000-0005-0000-0000-0000DD200000}"/>
    <cellStyle name="메모 4 13" xfId="14967" xr:uid="{00000000-0005-0000-0000-0000DE200000}"/>
    <cellStyle name="메모 4 13 2" xfId="15717" xr:uid="{00000000-0005-0000-0000-0000DF200000}"/>
    <cellStyle name="메모 4 13 2 2" xfId="31495" xr:uid="{00000000-0005-0000-0000-0000E0200000}"/>
    <cellStyle name="메모 4 13 3" xfId="16079" xr:uid="{00000000-0005-0000-0000-0000E1200000}"/>
    <cellStyle name="메모 4 13 3 2" xfId="31722" xr:uid="{00000000-0005-0000-0000-0000E2200000}"/>
    <cellStyle name="메모 4 13 4" xfId="16761" xr:uid="{00000000-0005-0000-0000-0000E3200000}"/>
    <cellStyle name="메모 4 13 4 2" xfId="32241" xr:uid="{00000000-0005-0000-0000-0000E4200000}"/>
    <cellStyle name="메모 4 13 5" xfId="31206" xr:uid="{00000000-0005-0000-0000-0000E5200000}"/>
    <cellStyle name="메모 4 13 6" xfId="18575" xr:uid="{00000000-0005-0000-0000-0000E6200000}"/>
    <cellStyle name="메모 4 14" xfId="15130" xr:uid="{00000000-0005-0000-0000-0000E7200000}"/>
    <cellStyle name="메모 4 14 2" xfId="16242" xr:uid="{00000000-0005-0000-0000-0000E8200000}"/>
    <cellStyle name="메모 4 14 2 2" xfId="31851" xr:uid="{00000000-0005-0000-0000-0000E9200000}"/>
    <cellStyle name="메모 4 14 3" xfId="16762" xr:uid="{00000000-0005-0000-0000-0000EA200000}"/>
    <cellStyle name="메모 4 14 3 2" xfId="32242" xr:uid="{00000000-0005-0000-0000-0000EB200000}"/>
    <cellStyle name="메모 4 14 4" xfId="16763" xr:uid="{00000000-0005-0000-0000-0000EC200000}"/>
    <cellStyle name="메모 4 14 4 2" xfId="32243" xr:uid="{00000000-0005-0000-0000-0000ED200000}"/>
    <cellStyle name="메모 4 14 5" xfId="18474" xr:uid="{00000000-0005-0000-0000-0000EE200000}"/>
    <cellStyle name="메모 4 15" xfId="15202" xr:uid="{00000000-0005-0000-0000-0000EF200000}"/>
    <cellStyle name="메모 4 15 2" xfId="31338" xr:uid="{00000000-0005-0000-0000-0000F0200000}"/>
    <cellStyle name="메모 4 16" xfId="16764" xr:uid="{00000000-0005-0000-0000-0000F1200000}"/>
    <cellStyle name="메모 4 16 2" xfId="32244" xr:uid="{00000000-0005-0000-0000-0000F2200000}"/>
    <cellStyle name="메모 4 17" xfId="16765" xr:uid="{00000000-0005-0000-0000-0000F3200000}"/>
    <cellStyle name="메모 4 17 2" xfId="32245" xr:uid="{00000000-0005-0000-0000-0000F4200000}"/>
    <cellStyle name="메모 4 2" xfId="11989" xr:uid="{00000000-0005-0000-0000-0000F5200000}"/>
    <cellStyle name="메모 4 2 10" xfId="15043" xr:uid="{00000000-0005-0000-0000-0000F6200000}"/>
    <cellStyle name="메모 4 2 10 2" xfId="15771" xr:uid="{00000000-0005-0000-0000-0000F7200000}"/>
    <cellStyle name="메모 4 2 10 2 2" xfId="31549" xr:uid="{00000000-0005-0000-0000-0000F8200000}"/>
    <cellStyle name="메모 4 2 10 3" xfId="16155" xr:uid="{00000000-0005-0000-0000-0000F9200000}"/>
    <cellStyle name="메모 4 2 10 3 2" xfId="31798" xr:uid="{00000000-0005-0000-0000-0000FA200000}"/>
    <cellStyle name="메모 4 2 10 4" xfId="16766" xr:uid="{00000000-0005-0000-0000-0000FB200000}"/>
    <cellStyle name="메모 4 2 10 4 2" xfId="32246" xr:uid="{00000000-0005-0000-0000-0000FC200000}"/>
    <cellStyle name="메모 4 2 10 5" xfId="31260" xr:uid="{00000000-0005-0000-0000-0000FD200000}"/>
    <cellStyle name="메모 4 2 10 6" xfId="18720" xr:uid="{00000000-0005-0000-0000-0000FE200000}"/>
    <cellStyle name="메모 4 2 11" xfId="14886" xr:uid="{00000000-0005-0000-0000-0000FF200000}"/>
    <cellStyle name="메모 4 2 11 2" xfId="15647" xr:uid="{00000000-0005-0000-0000-000000210000}"/>
    <cellStyle name="메모 4 2 11 2 2" xfId="31425" xr:uid="{00000000-0005-0000-0000-000001210000}"/>
    <cellStyle name="메모 4 2 11 3" xfId="15998" xr:uid="{00000000-0005-0000-0000-000002210000}"/>
    <cellStyle name="메모 4 2 11 3 2" xfId="31641" xr:uid="{00000000-0005-0000-0000-000003210000}"/>
    <cellStyle name="메모 4 2 11 4" xfId="16767" xr:uid="{00000000-0005-0000-0000-000004210000}"/>
    <cellStyle name="메모 4 2 11 4 2" xfId="32247" xr:uid="{00000000-0005-0000-0000-000005210000}"/>
    <cellStyle name="메모 4 2 11 5" xfId="31169" xr:uid="{00000000-0005-0000-0000-000006210000}"/>
    <cellStyle name="메모 4 2 11 6" xfId="20973" xr:uid="{00000000-0005-0000-0000-000007210000}"/>
    <cellStyle name="메모 4 2 12" xfId="15056" xr:uid="{00000000-0005-0000-0000-000008210000}"/>
    <cellStyle name="메모 4 2 12 2" xfId="16168" xr:uid="{00000000-0005-0000-0000-000009210000}"/>
    <cellStyle name="메모 4 2 12 2 2" xfId="31811" xr:uid="{00000000-0005-0000-0000-00000A210000}"/>
    <cellStyle name="메모 4 2 12 3" xfId="16768" xr:uid="{00000000-0005-0000-0000-00000B210000}"/>
    <cellStyle name="메모 4 2 12 3 2" xfId="32248" xr:uid="{00000000-0005-0000-0000-00000C210000}"/>
    <cellStyle name="메모 4 2 12 4" xfId="16769" xr:uid="{00000000-0005-0000-0000-00000D210000}"/>
    <cellStyle name="메모 4 2 12 4 2" xfId="32249" xr:uid="{00000000-0005-0000-0000-00000E210000}"/>
    <cellStyle name="메모 4 2 12 5" xfId="18475" xr:uid="{00000000-0005-0000-0000-00000F210000}"/>
    <cellStyle name="메모 4 2 13" xfId="15203" xr:uid="{00000000-0005-0000-0000-000010210000}"/>
    <cellStyle name="메모 4 2 13 2" xfId="31339" xr:uid="{00000000-0005-0000-0000-000011210000}"/>
    <cellStyle name="메모 4 2 14" xfId="16770" xr:uid="{00000000-0005-0000-0000-000012210000}"/>
    <cellStyle name="메모 4 2 14 2" xfId="32250" xr:uid="{00000000-0005-0000-0000-000013210000}"/>
    <cellStyle name="메모 4 2 15" xfId="16771" xr:uid="{00000000-0005-0000-0000-000014210000}"/>
    <cellStyle name="메모 4 2 15 2" xfId="32251" xr:uid="{00000000-0005-0000-0000-000015210000}"/>
    <cellStyle name="메모 4 2 2" xfId="11990" xr:uid="{00000000-0005-0000-0000-000016210000}"/>
    <cellStyle name="메모 4 2 3" xfId="11991" xr:uid="{00000000-0005-0000-0000-000017210000}"/>
    <cellStyle name="메모 4 2 4" xfId="11992" xr:uid="{00000000-0005-0000-0000-000018210000}"/>
    <cellStyle name="메모 4 2 5" xfId="14730" xr:uid="{00000000-0005-0000-0000-000019210000}"/>
    <cellStyle name="메모 4 2 5 2" xfId="15616" xr:uid="{00000000-0005-0000-0000-00001A210000}"/>
    <cellStyle name="메모 4 2 5 2 2" xfId="22293" xr:uid="{00000000-0005-0000-0000-00001B210000}"/>
    <cellStyle name="메모 4 2 5 2 2 2" xfId="18443" xr:uid="{00000000-0005-0000-0000-00001C210000}"/>
    <cellStyle name="메모 4 2 5 2 2 3" xfId="26523" xr:uid="{00000000-0005-0000-0000-00001D210000}"/>
    <cellStyle name="메모 4 2 5 2 2 4" xfId="29637" xr:uid="{00000000-0005-0000-0000-00001E210000}"/>
    <cellStyle name="메모 4 2 5 2 3" xfId="22769" xr:uid="{00000000-0005-0000-0000-00001F210000}"/>
    <cellStyle name="메모 4 2 5 2 3 2" xfId="20005" xr:uid="{00000000-0005-0000-0000-000020210000}"/>
    <cellStyle name="메모 4 2 5 2 3 3" xfId="26999" xr:uid="{00000000-0005-0000-0000-000021210000}"/>
    <cellStyle name="메모 4 2 5 2 3 4" xfId="30113" xr:uid="{00000000-0005-0000-0000-000022210000}"/>
    <cellStyle name="메모 4 2 5 2 4" xfId="23579" xr:uid="{00000000-0005-0000-0000-000023210000}"/>
    <cellStyle name="메모 4 2 5 2 4 2" xfId="18236" xr:uid="{00000000-0005-0000-0000-000024210000}"/>
    <cellStyle name="메모 4 2 5 2 4 3" xfId="27809" xr:uid="{00000000-0005-0000-0000-000025210000}"/>
    <cellStyle name="메모 4 2 5 2 4 4" xfId="30923" xr:uid="{00000000-0005-0000-0000-000026210000}"/>
    <cellStyle name="메모 4 2 5 2 5" xfId="24133" xr:uid="{00000000-0005-0000-0000-000027210000}"/>
    <cellStyle name="메모 4 2 5 2 6" xfId="25970" xr:uid="{00000000-0005-0000-0000-000028210000}"/>
    <cellStyle name="메모 4 2 5 2 7" xfId="29084" xr:uid="{00000000-0005-0000-0000-000029210000}"/>
    <cellStyle name="메모 4 2 5 2 8" xfId="21740" xr:uid="{00000000-0005-0000-0000-00002A210000}"/>
    <cellStyle name="메모 4 2 5 3" xfId="15966" xr:uid="{00000000-0005-0000-0000-00002B210000}"/>
    <cellStyle name="메모 4 2 5 3 2" xfId="31621" xr:uid="{00000000-0005-0000-0000-00002C210000}"/>
    <cellStyle name="메모 4 2 5 3 3" xfId="21338" xr:uid="{00000000-0005-0000-0000-00002D210000}"/>
    <cellStyle name="메모 4 2 5 4" xfId="16772" xr:uid="{00000000-0005-0000-0000-00002E210000}"/>
    <cellStyle name="메모 4 2 5 4 2" xfId="32252" xr:uid="{00000000-0005-0000-0000-00002F210000}"/>
    <cellStyle name="메모 4 2 5 4 3" xfId="20710" xr:uid="{00000000-0005-0000-0000-000030210000}"/>
    <cellStyle name="메모 4 2 5 5" xfId="19015" xr:uid="{00000000-0005-0000-0000-000031210000}"/>
    <cellStyle name="메모 4 2 5 6" xfId="24958" xr:uid="{00000000-0005-0000-0000-000032210000}"/>
    <cellStyle name="메모 4 2 5 7" xfId="28082" xr:uid="{00000000-0005-0000-0000-000033210000}"/>
    <cellStyle name="메모 4 2 5 8" xfId="17928" xr:uid="{00000000-0005-0000-0000-000034210000}"/>
    <cellStyle name="메모 4 2 6" xfId="14596" xr:uid="{00000000-0005-0000-0000-000035210000}"/>
    <cellStyle name="메모 4 2 6 10" xfId="18482" xr:uid="{00000000-0005-0000-0000-000036210000}"/>
    <cellStyle name="메모 4 2 6 11" xfId="18460" xr:uid="{00000000-0005-0000-0000-000037210000}"/>
    <cellStyle name="메모 4 2 6 12" xfId="17929" xr:uid="{00000000-0005-0000-0000-000038210000}"/>
    <cellStyle name="메모 4 2 6 2" xfId="15527" xr:uid="{00000000-0005-0000-0000-000039210000}"/>
    <cellStyle name="메모 4 2 6 2 2" xfId="22115" xr:uid="{00000000-0005-0000-0000-00003A210000}"/>
    <cellStyle name="메모 4 2 6 2 2 2" xfId="23851" xr:uid="{00000000-0005-0000-0000-00003B210000}"/>
    <cellStyle name="메모 4 2 6 2 2 3" xfId="26345" xr:uid="{00000000-0005-0000-0000-00003C210000}"/>
    <cellStyle name="메모 4 2 6 2 2 4" xfId="29459" xr:uid="{00000000-0005-0000-0000-00003D210000}"/>
    <cellStyle name="메모 4 2 6 2 3" xfId="22591" xr:uid="{00000000-0005-0000-0000-00003E210000}"/>
    <cellStyle name="메모 4 2 6 2 3 2" xfId="19839" xr:uid="{00000000-0005-0000-0000-00003F210000}"/>
    <cellStyle name="메모 4 2 6 2 3 3" xfId="26821" xr:uid="{00000000-0005-0000-0000-000040210000}"/>
    <cellStyle name="메모 4 2 6 2 3 4" xfId="29935" xr:uid="{00000000-0005-0000-0000-000041210000}"/>
    <cellStyle name="메모 4 2 6 2 4" xfId="23401" xr:uid="{00000000-0005-0000-0000-000042210000}"/>
    <cellStyle name="메모 4 2 6 2 4 2" xfId="20440" xr:uid="{00000000-0005-0000-0000-000043210000}"/>
    <cellStyle name="메모 4 2 6 2 4 3" xfId="27631" xr:uid="{00000000-0005-0000-0000-000044210000}"/>
    <cellStyle name="메모 4 2 6 2 4 4" xfId="30745" xr:uid="{00000000-0005-0000-0000-000045210000}"/>
    <cellStyle name="메모 4 2 6 2 5" xfId="19328" xr:uid="{00000000-0005-0000-0000-000046210000}"/>
    <cellStyle name="메모 4 2 6 2 6" xfId="25792" xr:uid="{00000000-0005-0000-0000-000047210000}"/>
    <cellStyle name="메모 4 2 6 2 7" xfId="28906" xr:uid="{00000000-0005-0000-0000-000048210000}"/>
    <cellStyle name="메모 4 2 6 2 8" xfId="21562" xr:uid="{00000000-0005-0000-0000-000049210000}"/>
    <cellStyle name="메모 4 2 6 3" xfId="15881" xr:uid="{00000000-0005-0000-0000-00004A210000}"/>
    <cellStyle name="메모 4 2 6 3 2" xfId="19490" xr:uid="{00000000-0005-0000-0000-00004B210000}"/>
    <cellStyle name="메모 4 2 6 3 3" xfId="25634" xr:uid="{00000000-0005-0000-0000-00004C210000}"/>
    <cellStyle name="메모 4 2 6 3 4" xfId="28751" xr:uid="{00000000-0005-0000-0000-00004D210000}"/>
    <cellStyle name="메모 4 2 6 3 5" xfId="21447" xr:uid="{00000000-0005-0000-0000-00004E210000}"/>
    <cellStyle name="메모 4 2 6 4" xfId="16773" xr:uid="{00000000-0005-0000-0000-00004F210000}"/>
    <cellStyle name="메모 4 2 6 4 2" xfId="24306" xr:uid="{00000000-0005-0000-0000-000050210000}"/>
    <cellStyle name="메모 4 2 6 4 3" xfId="26185" xr:uid="{00000000-0005-0000-0000-000051210000}"/>
    <cellStyle name="메모 4 2 6 4 4" xfId="29299" xr:uid="{00000000-0005-0000-0000-000052210000}"/>
    <cellStyle name="메모 4 2 6 4 5" xfId="21955" xr:uid="{00000000-0005-0000-0000-000053210000}"/>
    <cellStyle name="메모 4 2 6 5" xfId="22428" xr:uid="{00000000-0005-0000-0000-000054210000}"/>
    <cellStyle name="메모 4 2 6 5 2" xfId="19691" xr:uid="{00000000-0005-0000-0000-000055210000}"/>
    <cellStyle name="메모 4 2 6 5 3" xfId="26658" xr:uid="{00000000-0005-0000-0000-000056210000}"/>
    <cellStyle name="메모 4 2 6 5 4" xfId="29772" xr:uid="{00000000-0005-0000-0000-000057210000}"/>
    <cellStyle name="메모 4 2 6 6" xfId="22901" xr:uid="{00000000-0005-0000-0000-000058210000}"/>
    <cellStyle name="메모 4 2 6 6 2" xfId="20124" xr:uid="{00000000-0005-0000-0000-000059210000}"/>
    <cellStyle name="메모 4 2 6 6 3" xfId="27131" xr:uid="{00000000-0005-0000-0000-00005A210000}"/>
    <cellStyle name="메모 4 2 6 6 4" xfId="30245" xr:uid="{00000000-0005-0000-0000-00005B210000}"/>
    <cellStyle name="메모 4 2 6 7" xfId="21244" xr:uid="{00000000-0005-0000-0000-00005C210000}"/>
    <cellStyle name="메모 4 2 6 7 2" xfId="24507" xr:uid="{00000000-0005-0000-0000-00005D210000}"/>
    <cellStyle name="메모 4 2 6 7 3" xfId="25465" xr:uid="{00000000-0005-0000-0000-00005E210000}"/>
    <cellStyle name="메모 4 2 6 7 4" xfId="28582" xr:uid="{00000000-0005-0000-0000-00005F210000}"/>
    <cellStyle name="메모 4 2 6 8" xfId="20531" xr:uid="{00000000-0005-0000-0000-000060210000}"/>
    <cellStyle name="메모 4 2 6 9" xfId="18839" xr:uid="{00000000-0005-0000-0000-000061210000}"/>
    <cellStyle name="메모 4 2 7" xfId="14645" xr:uid="{00000000-0005-0000-0000-000062210000}"/>
    <cellStyle name="메모 4 2 7 2" xfId="15576" xr:uid="{00000000-0005-0000-0000-000063210000}"/>
    <cellStyle name="메모 4 2 7 2 2" xfId="24634" xr:uid="{00000000-0005-0000-0000-000064210000}"/>
    <cellStyle name="메모 4 2 7 2 3" xfId="26238" xr:uid="{00000000-0005-0000-0000-000065210000}"/>
    <cellStyle name="메모 4 2 7 2 4" xfId="29352" xr:uid="{00000000-0005-0000-0000-000066210000}"/>
    <cellStyle name="메모 4 2 7 2 5" xfId="22008" xr:uid="{00000000-0005-0000-0000-000067210000}"/>
    <cellStyle name="메모 4 2 7 3" xfId="15930" xr:uid="{00000000-0005-0000-0000-000068210000}"/>
    <cellStyle name="메모 4 2 7 3 2" xfId="23913" xr:uid="{00000000-0005-0000-0000-000069210000}"/>
    <cellStyle name="메모 4 2 7 3 3" xfId="26711" xr:uid="{00000000-0005-0000-0000-00006A210000}"/>
    <cellStyle name="메모 4 2 7 3 4" xfId="29825" xr:uid="{00000000-0005-0000-0000-00006B210000}"/>
    <cellStyle name="메모 4 2 7 3 5" xfId="22481" xr:uid="{00000000-0005-0000-0000-00006C210000}"/>
    <cellStyle name="메모 4 2 7 4" xfId="16774" xr:uid="{00000000-0005-0000-0000-00006D210000}"/>
    <cellStyle name="메모 4 2 7 4 2" xfId="20338" xr:uid="{00000000-0005-0000-0000-00006E210000}"/>
    <cellStyle name="메모 4 2 7 4 3" xfId="27529" xr:uid="{00000000-0005-0000-0000-00006F210000}"/>
    <cellStyle name="메모 4 2 7 4 4" xfId="30643" xr:uid="{00000000-0005-0000-0000-000070210000}"/>
    <cellStyle name="메모 4 2 7 4 5" xfId="23299" xr:uid="{00000000-0005-0000-0000-000071210000}"/>
    <cellStyle name="메모 4 2 7 5" xfId="21502" xr:uid="{00000000-0005-0000-0000-000072210000}"/>
    <cellStyle name="메모 4 2 7 6" xfId="24499" xr:uid="{00000000-0005-0000-0000-000073210000}"/>
    <cellStyle name="메모 4 2 7 7" xfId="25687" xr:uid="{00000000-0005-0000-0000-000074210000}"/>
    <cellStyle name="메모 4 2 7 8" xfId="28804" xr:uid="{00000000-0005-0000-0000-000075210000}"/>
    <cellStyle name="메모 4 2 7 9" xfId="17930" xr:uid="{00000000-0005-0000-0000-000076210000}"/>
    <cellStyle name="메모 4 2 8" xfId="15106" xr:uid="{00000000-0005-0000-0000-000077210000}"/>
    <cellStyle name="메모 4 2 8 2" xfId="15825" xr:uid="{00000000-0005-0000-0000-000078210000}"/>
    <cellStyle name="메모 4 2 8 2 2" xfId="31572" xr:uid="{00000000-0005-0000-0000-000079210000}"/>
    <cellStyle name="메모 4 2 8 2 3" xfId="24245" xr:uid="{00000000-0005-0000-0000-00007A210000}"/>
    <cellStyle name="메모 4 2 8 3" xfId="16218" xr:uid="{00000000-0005-0000-0000-00007B210000}"/>
    <cellStyle name="메모 4 2 8 3 2" xfId="31830" xr:uid="{00000000-0005-0000-0000-00007C210000}"/>
    <cellStyle name="메모 4 2 8 3 3" xfId="25139" xr:uid="{00000000-0005-0000-0000-00007D210000}"/>
    <cellStyle name="메모 4 2 8 4" xfId="16775" xr:uid="{00000000-0005-0000-0000-00007E210000}"/>
    <cellStyle name="메모 4 2 8 4 2" xfId="28263" xr:uid="{00000000-0005-0000-0000-00007F210000}"/>
    <cellStyle name="메모 4 2 8 5" xfId="20888" xr:uid="{00000000-0005-0000-0000-000080210000}"/>
    <cellStyle name="메모 4 2 9" xfId="14915" xr:uid="{00000000-0005-0000-0000-000081210000}"/>
    <cellStyle name="메모 4 2 9 2" xfId="15665" xr:uid="{00000000-0005-0000-0000-000082210000}"/>
    <cellStyle name="메모 4 2 9 2 2" xfId="31443" xr:uid="{00000000-0005-0000-0000-000083210000}"/>
    <cellStyle name="메모 4 2 9 3" xfId="16027" xr:uid="{00000000-0005-0000-0000-000084210000}"/>
    <cellStyle name="메모 4 2 9 3 2" xfId="31670" xr:uid="{00000000-0005-0000-0000-000085210000}"/>
    <cellStyle name="메모 4 2 9 4" xfId="16776" xr:uid="{00000000-0005-0000-0000-000086210000}"/>
    <cellStyle name="메모 4 2 9 4 2" xfId="32253" xr:uid="{00000000-0005-0000-0000-000087210000}"/>
    <cellStyle name="메모 4 2 9 5" xfId="31184" xr:uid="{00000000-0005-0000-0000-000088210000}"/>
    <cellStyle name="메모 4 2 9 6" xfId="20456" xr:uid="{00000000-0005-0000-0000-000089210000}"/>
    <cellStyle name="메모 4 3" xfId="11993" xr:uid="{00000000-0005-0000-0000-00008A210000}"/>
    <cellStyle name="메모 4 3 10" xfId="15143" xr:uid="{00000000-0005-0000-0000-00008B210000}"/>
    <cellStyle name="메모 4 3 10 2" xfId="15854" xr:uid="{00000000-0005-0000-0000-00008C210000}"/>
    <cellStyle name="메모 4 3 10 2 2" xfId="31598" xr:uid="{00000000-0005-0000-0000-00008D210000}"/>
    <cellStyle name="메모 4 3 10 3" xfId="16255" xr:uid="{00000000-0005-0000-0000-00008E210000}"/>
    <cellStyle name="메모 4 3 10 3 2" xfId="31864" xr:uid="{00000000-0005-0000-0000-00008F210000}"/>
    <cellStyle name="메모 4 3 10 4" xfId="16777" xr:uid="{00000000-0005-0000-0000-000090210000}"/>
    <cellStyle name="메모 4 3 10 4 2" xfId="32254" xr:uid="{00000000-0005-0000-0000-000091210000}"/>
    <cellStyle name="메모 4 3 10 5" xfId="31287" xr:uid="{00000000-0005-0000-0000-000092210000}"/>
    <cellStyle name="메모 4 3 10 6" xfId="18724" xr:uid="{00000000-0005-0000-0000-000093210000}"/>
    <cellStyle name="메모 4 3 11" xfId="14966" xr:uid="{00000000-0005-0000-0000-000094210000}"/>
    <cellStyle name="메모 4 3 11 2" xfId="15716" xr:uid="{00000000-0005-0000-0000-000095210000}"/>
    <cellStyle name="메모 4 3 11 2 2" xfId="31494" xr:uid="{00000000-0005-0000-0000-000096210000}"/>
    <cellStyle name="메모 4 3 11 3" xfId="16078" xr:uid="{00000000-0005-0000-0000-000097210000}"/>
    <cellStyle name="메모 4 3 11 3 2" xfId="31721" xr:uid="{00000000-0005-0000-0000-000098210000}"/>
    <cellStyle name="메모 4 3 11 4" xfId="16778" xr:uid="{00000000-0005-0000-0000-000099210000}"/>
    <cellStyle name="메모 4 3 11 4 2" xfId="32255" xr:uid="{00000000-0005-0000-0000-00009A210000}"/>
    <cellStyle name="메모 4 3 11 5" xfId="31205" xr:uid="{00000000-0005-0000-0000-00009B210000}"/>
    <cellStyle name="메모 4 3 11 6" xfId="24666" xr:uid="{00000000-0005-0000-0000-00009C210000}"/>
    <cellStyle name="메모 4 3 12" xfId="14877" xr:uid="{00000000-0005-0000-0000-00009D210000}"/>
    <cellStyle name="메모 4 3 12 2" xfId="15989" xr:uid="{00000000-0005-0000-0000-00009E210000}"/>
    <cellStyle name="메모 4 3 12 2 2" xfId="31632" xr:uid="{00000000-0005-0000-0000-00009F210000}"/>
    <cellStyle name="메모 4 3 12 3" xfId="16779" xr:uid="{00000000-0005-0000-0000-0000A0210000}"/>
    <cellStyle name="메모 4 3 12 3 2" xfId="32256" xr:uid="{00000000-0005-0000-0000-0000A1210000}"/>
    <cellStyle name="메모 4 3 12 4" xfId="16780" xr:uid="{00000000-0005-0000-0000-0000A2210000}"/>
    <cellStyle name="메모 4 3 12 4 2" xfId="32257" xr:uid="{00000000-0005-0000-0000-0000A3210000}"/>
    <cellStyle name="메모 4 3 12 5" xfId="25410" xr:uid="{00000000-0005-0000-0000-0000A4210000}"/>
    <cellStyle name="메모 4 3 13" xfId="15204" xr:uid="{00000000-0005-0000-0000-0000A5210000}"/>
    <cellStyle name="메모 4 3 13 2" xfId="31340" xr:uid="{00000000-0005-0000-0000-0000A6210000}"/>
    <cellStyle name="메모 4 3 14" xfId="16781" xr:uid="{00000000-0005-0000-0000-0000A7210000}"/>
    <cellStyle name="메모 4 3 14 2" xfId="32258" xr:uid="{00000000-0005-0000-0000-0000A8210000}"/>
    <cellStyle name="메모 4 3 15" xfId="16782" xr:uid="{00000000-0005-0000-0000-0000A9210000}"/>
    <cellStyle name="메모 4 3 15 2" xfId="32259" xr:uid="{00000000-0005-0000-0000-0000AA210000}"/>
    <cellStyle name="메모 4 3 2" xfId="11994" xr:uid="{00000000-0005-0000-0000-0000AB210000}"/>
    <cellStyle name="메모 4 3 3" xfId="11995" xr:uid="{00000000-0005-0000-0000-0000AC210000}"/>
    <cellStyle name="메모 4 3 4" xfId="11996" xr:uid="{00000000-0005-0000-0000-0000AD210000}"/>
    <cellStyle name="메모 4 3 5" xfId="14731" xr:uid="{00000000-0005-0000-0000-0000AE210000}"/>
    <cellStyle name="메모 4 3 5 2" xfId="15617" xr:uid="{00000000-0005-0000-0000-0000AF210000}"/>
    <cellStyle name="메모 4 3 5 2 2" xfId="22294" xr:uid="{00000000-0005-0000-0000-0000B0210000}"/>
    <cellStyle name="메모 4 3 5 2 2 2" xfId="18444" xr:uid="{00000000-0005-0000-0000-0000B1210000}"/>
    <cellStyle name="메모 4 3 5 2 2 3" xfId="26524" xr:uid="{00000000-0005-0000-0000-0000B2210000}"/>
    <cellStyle name="메모 4 3 5 2 2 4" xfId="29638" xr:uid="{00000000-0005-0000-0000-0000B3210000}"/>
    <cellStyle name="메모 4 3 5 2 3" xfId="22770" xr:uid="{00000000-0005-0000-0000-0000B4210000}"/>
    <cellStyle name="메모 4 3 5 2 3 2" xfId="20006" xr:uid="{00000000-0005-0000-0000-0000B5210000}"/>
    <cellStyle name="메모 4 3 5 2 3 3" xfId="27000" xr:uid="{00000000-0005-0000-0000-0000B6210000}"/>
    <cellStyle name="메모 4 3 5 2 3 4" xfId="30114" xr:uid="{00000000-0005-0000-0000-0000B7210000}"/>
    <cellStyle name="메모 4 3 5 2 4" xfId="23580" xr:uid="{00000000-0005-0000-0000-0000B8210000}"/>
    <cellStyle name="메모 4 3 5 2 4 2" xfId="18237" xr:uid="{00000000-0005-0000-0000-0000B9210000}"/>
    <cellStyle name="메모 4 3 5 2 4 3" xfId="27810" xr:uid="{00000000-0005-0000-0000-0000BA210000}"/>
    <cellStyle name="메모 4 3 5 2 4 4" xfId="30924" xr:uid="{00000000-0005-0000-0000-0000BB210000}"/>
    <cellStyle name="메모 4 3 5 2 5" xfId="19303" xr:uid="{00000000-0005-0000-0000-0000BC210000}"/>
    <cellStyle name="메모 4 3 5 2 6" xfId="25971" xr:uid="{00000000-0005-0000-0000-0000BD210000}"/>
    <cellStyle name="메모 4 3 5 2 7" xfId="29085" xr:uid="{00000000-0005-0000-0000-0000BE210000}"/>
    <cellStyle name="메모 4 3 5 2 8" xfId="21741" xr:uid="{00000000-0005-0000-0000-0000BF210000}"/>
    <cellStyle name="메모 4 3 5 3" xfId="15967" xr:uid="{00000000-0005-0000-0000-0000C0210000}"/>
    <cellStyle name="메모 4 3 5 3 2" xfId="31622" xr:uid="{00000000-0005-0000-0000-0000C1210000}"/>
    <cellStyle name="메모 4 3 5 3 3" xfId="21339" xr:uid="{00000000-0005-0000-0000-0000C2210000}"/>
    <cellStyle name="메모 4 3 5 4" xfId="16783" xr:uid="{00000000-0005-0000-0000-0000C3210000}"/>
    <cellStyle name="메모 4 3 5 4 2" xfId="32260" xr:uid="{00000000-0005-0000-0000-0000C4210000}"/>
    <cellStyle name="메모 4 3 5 4 3" xfId="20711" xr:uid="{00000000-0005-0000-0000-0000C5210000}"/>
    <cellStyle name="메모 4 3 5 5" xfId="19016" xr:uid="{00000000-0005-0000-0000-0000C6210000}"/>
    <cellStyle name="메모 4 3 5 6" xfId="24959" xr:uid="{00000000-0005-0000-0000-0000C7210000}"/>
    <cellStyle name="메모 4 3 5 7" xfId="28083" xr:uid="{00000000-0005-0000-0000-0000C8210000}"/>
    <cellStyle name="메모 4 3 5 8" xfId="17931" xr:uid="{00000000-0005-0000-0000-0000C9210000}"/>
    <cellStyle name="메모 4 3 6" xfId="14595" xr:uid="{00000000-0005-0000-0000-0000CA210000}"/>
    <cellStyle name="메모 4 3 6 10" xfId="24786" xr:uid="{00000000-0005-0000-0000-0000CB210000}"/>
    <cellStyle name="메모 4 3 6 11" xfId="27910" xr:uid="{00000000-0005-0000-0000-0000CC210000}"/>
    <cellStyle name="메모 4 3 6 12" xfId="17932" xr:uid="{00000000-0005-0000-0000-0000CD210000}"/>
    <cellStyle name="메모 4 3 6 2" xfId="15526" xr:uid="{00000000-0005-0000-0000-0000CE210000}"/>
    <cellStyle name="메모 4 3 6 2 2" xfId="22121" xr:uid="{00000000-0005-0000-0000-0000CF210000}"/>
    <cellStyle name="메모 4 3 6 2 2 2" xfId="24599" xr:uid="{00000000-0005-0000-0000-0000D0210000}"/>
    <cellStyle name="메모 4 3 6 2 2 3" xfId="26351" xr:uid="{00000000-0005-0000-0000-0000D1210000}"/>
    <cellStyle name="메모 4 3 6 2 2 4" xfId="29465" xr:uid="{00000000-0005-0000-0000-0000D2210000}"/>
    <cellStyle name="메모 4 3 6 2 3" xfId="22597" xr:uid="{00000000-0005-0000-0000-0000D3210000}"/>
    <cellStyle name="메모 4 3 6 2 3 2" xfId="19844" xr:uid="{00000000-0005-0000-0000-0000D4210000}"/>
    <cellStyle name="메모 4 3 6 2 3 3" xfId="26827" xr:uid="{00000000-0005-0000-0000-0000D5210000}"/>
    <cellStyle name="메모 4 3 6 2 3 4" xfId="29941" xr:uid="{00000000-0005-0000-0000-0000D6210000}"/>
    <cellStyle name="메모 4 3 6 2 4" xfId="23407" xr:uid="{00000000-0005-0000-0000-0000D7210000}"/>
    <cellStyle name="메모 4 3 6 2 4 2" xfId="20448" xr:uid="{00000000-0005-0000-0000-0000D8210000}"/>
    <cellStyle name="메모 4 3 6 2 4 3" xfId="27637" xr:uid="{00000000-0005-0000-0000-0000D9210000}"/>
    <cellStyle name="메모 4 3 6 2 4 4" xfId="30751" xr:uid="{00000000-0005-0000-0000-0000DA210000}"/>
    <cellStyle name="메모 4 3 6 2 5" xfId="24756" xr:uid="{00000000-0005-0000-0000-0000DB210000}"/>
    <cellStyle name="메모 4 3 6 2 6" xfId="25798" xr:uid="{00000000-0005-0000-0000-0000DC210000}"/>
    <cellStyle name="메모 4 3 6 2 7" xfId="28912" xr:uid="{00000000-0005-0000-0000-0000DD210000}"/>
    <cellStyle name="메모 4 3 6 2 8" xfId="21568" xr:uid="{00000000-0005-0000-0000-0000DE210000}"/>
    <cellStyle name="메모 4 3 6 3" xfId="15880" xr:uid="{00000000-0005-0000-0000-0000DF210000}"/>
    <cellStyle name="메모 4 3 6 3 2" xfId="19491" xr:uid="{00000000-0005-0000-0000-0000E0210000}"/>
    <cellStyle name="메모 4 3 6 3 3" xfId="25635" xr:uid="{00000000-0005-0000-0000-0000E1210000}"/>
    <cellStyle name="메모 4 3 6 3 4" xfId="28752" xr:uid="{00000000-0005-0000-0000-0000E2210000}"/>
    <cellStyle name="메모 4 3 6 3 5" xfId="21448" xr:uid="{00000000-0005-0000-0000-0000E3210000}"/>
    <cellStyle name="메모 4 3 6 4" xfId="16784" xr:uid="{00000000-0005-0000-0000-0000E4210000}"/>
    <cellStyle name="메모 4 3 6 4 2" xfId="24124" xr:uid="{00000000-0005-0000-0000-0000E5210000}"/>
    <cellStyle name="메모 4 3 6 4 3" xfId="26186" xr:uid="{00000000-0005-0000-0000-0000E6210000}"/>
    <cellStyle name="메모 4 3 6 4 4" xfId="29300" xr:uid="{00000000-0005-0000-0000-0000E7210000}"/>
    <cellStyle name="메모 4 3 6 4 5" xfId="21956" xr:uid="{00000000-0005-0000-0000-0000E8210000}"/>
    <cellStyle name="메모 4 3 6 5" xfId="22429" xr:uid="{00000000-0005-0000-0000-0000E9210000}"/>
    <cellStyle name="메모 4 3 6 5 2" xfId="19692" xr:uid="{00000000-0005-0000-0000-0000EA210000}"/>
    <cellStyle name="메모 4 3 6 5 3" xfId="26659" xr:uid="{00000000-0005-0000-0000-0000EB210000}"/>
    <cellStyle name="메모 4 3 6 5 4" xfId="29773" xr:uid="{00000000-0005-0000-0000-0000EC210000}"/>
    <cellStyle name="메모 4 3 6 6" xfId="22902" xr:uid="{00000000-0005-0000-0000-0000ED210000}"/>
    <cellStyle name="메모 4 3 6 6 2" xfId="20125" xr:uid="{00000000-0005-0000-0000-0000EE210000}"/>
    <cellStyle name="메모 4 3 6 6 3" xfId="27132" xr:uid="{00000000-0005-0000-0000-0000EF210000}"/>
    <cellStyle name="메모 4 3 6 6 4" xfId="30246" xr:uid="{00000000-0005-0000-0000-0000F0210000}"/>
    <cellStyle name="메모 4 3 6 7" xfId="21245" xr:uid="{00000000-0005-0000-0000-0000F1210000}"/>
    <cellStyle name="메모 4 3 6 7 2" xfId="24332" xr:uid="{00000000-0005-0000-0000-0000F2210000}"/>
    <cellStyle name="메모 4 3 6 7 3" xfId="25466" xr:uid="{00000000-0005-0000-0000-0000F3210000}"/>
    <cellStyle name="메모 4 3 6 7 4" xfId="28583" xr:uid="{00000000-0005-0000-0000-0000F4210000}"/>
    <cellStyle name="메모 4 3 6 8" xfId="20537" xr:uid="{00000000-0005-0000-0000-0000F5210000}"/>
    <cellStyle name="메모 4 3 6 9" xfId="18845" xr:uid="{00000000-0005-0000-0000-0000F6210000}"/>
    <cellStyle name="메모 4 3 7" xfId="14578" xr:uid="{00000000-0005-0000-0000-0000F7210000}"/>
    <cellStyle name="메모 4 3 7 2" xfId="15509" xr:uid="{00000000-0005-0000-0000-0000F8210000}"/>
    <cellStyle name="메모 4 3 7 2 2" xfId="24549" xr:uid="{00000000-0005-0000-0000-0000F9210000}"/>
    <cellStyle name="메모 4 3 7 2 3" xfId="26239" xr:uid="{00000000-0005-0000-0000-0000FA210000}"/>
    <cellStyle name="메모 4 3 7 2 4" xfId="29353" xr:uid="{00000000-0005-0000-0000-0000FB210000}"/>
    <cellStyle name="메모 4 3 7 2 5" xfId="22009" xr:uid="{00000000-0005-0000-0000-0000FC210000}"/>
    <cellStyle name="메모 4 3 7 3" xfId="15863" xr:uid="{00000000-0005-0000-0000-0000FD210000}"/>
    <cellStyle name="메모 4 3 7 3 2" xfId="19738" xr:uid="{00000000-0005-0000-0000-0000FE210000}"/>
    <cellStyle name="메모 4 3 7 3 3" xfId="26712" xr:uid="{00000000-0005-0000-0000-0000FF210000}"/>
    <cellStyle name="메모 4 3 7 3 4" xfId="29826" xr:uid="{00000000-0005-0000-0000-000000220000}"/>
    <cellStyle name="메모 4 3 7 3 5" xfId="22482" xr:uid="{00000000-0005-0000-0000-000001220000}"/>
    <cellStyle name="메모 4 3 7 4" xfId="16785" xr:uid="{00000000-0005-0000-0000-000002220000}"/>
    <cellStyle name="메모 4 3 7 4 2" xfId="20339" xr:uid="{00000000-0005-0000-0000-000003220000}"/>
    <cellStyle name="메모 4 3 7 4 3" xfId="27530" xr:uid="{00000000-0005-0000-0000-000004220000}"/>
    <cellStyle name="메모 4 3 7 4 4" xfId="30644" xr:uid="{00000000-0005-0000-0000-000005220000}"/>
    <cellStyle name="메모 4 3 7 4 5" xfId="23300" xr:uid="{00000000-0005-0000-0000-000006220000}"/>
    <cellStyle name="메모 4 3 7 5" xfId="21503" xr:uid="{00000000-0005-0000-0000-000007220000}"/>
    <cellStyle name="메모 4 3 7 6" xfId="24325" xr:uid="{00000000-0005-0000-0000-000008220000}"/>
    <cellStyle name="메모 4 3 7 7" xfId="25688" xr:uid="{00000000-0005-0000-0000-000009220000}"/>
    <cellStyle name="메모 4 3 7 8" xfId="28805" xr:uid="{00000000-0005-0000-0000-00000A220000}"/>
    <cellStyle name="메모 4 3 7 9" xfId="17933" xr:uid="{00000000-0005-0000-0000-00000B220000}"/>
    <cellStyle name="메모 4 3 8" xfId="15107" xr:uid="{00000000-0005-0000-0000-00000C220000}"/>
    <cellStyle name="메모 4 3 8 2" xfId="15826" xr:uid="{00000000-0005-0000-0000-00000D220000}"/>
    <cellStyle name="메모 4 3 8 2 2" xfId="31573" xr:uid="{00000000-0005-0000-0000-00000E220000}"/>
    <cellStyle name="메모 4 3 8 2 3" xfId="24035" xr:uid="{00000000-0005-0000-0000-00000F220000}"/>
    <cellStyle name="메모 4 3 8 3" xfId="16219" xr:uid="{00000000-0005-0000-0000-000010220000}"/>
    <cellStyle name="메모 4 3 8 3 2" xfId="31831" xr:uid="{00000000-0005-0000-0000-000011220000}"/>
    <cellStyle name="메모 4 3 8 3 3" xfId="25140" xr:uid="{00000000-0005-0000-0000-000012220000}"/>
    <cellStyle name="메모 4 3 8 4" xfId="16786" xr:uid="{00000000-0005-0000-0000-000013220000}"/>
    <cellStyle name="메모 4 3 8 4 2" xfId="28264" xr:uid="{00000000-0005-0000-0000-000014220000}"/>
    <cellStyle name="메모 4 3 8 5" xfId="20889" xr:uid="{00000000-0005-0000-0000-000015220000}"/>
    <cellStyle name="메모 4 3 9" xfId="14914" xr:uid="{00000000-0005-0000-0000-000016220000}"/>
    <cellStyle name="메모 4 3 9 2" xfId="15664" xr:uid="{00000000-0005-0000-0000-000017220000}"/>
    <cellStyle name="메모 4 3 9 2 2" xfId="31442" xr:uid="{00000000-0005-0000-0000-000018220000}"/>
    <cellStyle name="메모 4 3 9 3" xfId="16026" xr:uid="{00000000-0005-0000-0000-000019220000}"/>
    <cellStyle name="메모 4 3 9 3 2" xfId="31669" xr:uid="{00000000-0005-0000-0000-00001A220000}"/>
    <cellStyle name="메모 4 3 9 4" xfId="16787" xr:uid="{00000000-0005-0000-0000-00001B220000}"/>
    <cellStyle name="메모 4 3 9 4 2" xfId="32261" xr:uid="{00000000-0005-0000-0000-00001C220000}"/>
    <cellStyle name="메모 4 3 9 5" xfId="31183" xr:uid="{00000000-0005-0000-0000-00001D220000}"/>
    <cellStyle name="메모 4 3 9 6" xfId="20460" xr:uid="{00000000-0005-0000-0000-00001E220000}"/>
    <cellStyle name="메모 4 4" xfId="11997" xr:uid="{00000000-0005-0000-0000-00001F220000}"/>
    <cellStyle name="메모 4 4 10" xfId="15368" xr:uid="{00000000-0005-0000-0000-000020220000}"/>
    <cellStyle name="메모 4 4 11" xfId="15205" xr:uid="{00000000-0005-0000-0000-000021220000}"/>
    <cellStyle name="메모 4 4 11 2" xfId="31341" xr:uid="{00000000-0005-0000-0000-000022220000}"/>
    <cellStyle name="메모 4 4 12" xfId="16788" xr:uid="{00000000-0005-0000-0000-000023220000}"/>
    <cellStyle name="메모 4 4 12 2" xfId="32262" xr:uid="{00000000-0005-0000-0000-000024220000}"/>
    <cellStyle name="메모 4 4 13" xfId="16789" xr:uid="{00000000-0005-0000-0000-000025220000}"/>
    <cellStyle name="메모 4 4 13 2" xfId="32263" xr:uid="{00000000-0005-0000-0000-000026220000}"/>
    <cellStyle name="메모 4 4 2" xfId="14732" xr:uid="{00000000-0005-0000-0000-000027220000}"/>
    <cellStyle name="메모 4 4 2 2" xfId="15618" xr:uid="{00000000-0005-0000-0000-000028220000}"/>
    <cellStyle name="메모 4 4 2 2 2" xfId="22295" xr:uid="{00000000-0005-0000-0000-000029220000}"/>
    <cellStyle name="메모 4 4 2 2 2 2" xfId="18445" xr:uid="{00000000-0005-0000-0000-00002A220000}"/>
    <cellStyle name="메모 4 4 2 2 2 3" xfId="26525" xr:uid="{00000000-0005-0000-0000-00002B220000}"/>
    <cellStyle name="메모 4 4 2 2 2 4" xfId="29639" xr:uid="{00000000-0005-0000-0000-00002C220000}"/>
    <cellStyle name="메모 4 4 2 2 3" xfId="22771" xr:uid="{00000000-0005-0000-0000-00002D220000}"/>
    <cellStyle name="메모 4 4 2 2 3 2" xfId="20007" xr:uid="{00000000-0005-0000-0000-00002E220000}"/>
    <cellStyle name="메모 4 4 2 2 3 3" xfId="27001" xr:uid="{00000000-0005-0000-0000-00002F220000}"/>
    <cellStyle name="메모 4 4 2 2 3 4" xfId="30115" xr:uid="{00000000-0005-0000-0000-000030220000}"/>
    <cellStyle name="메모 4 4 2 2 4" xfId="23581" xr:uid="{00000000-0005-0000-0000-000031220000}"/>
    <cellStyle name="메모 4 4 2 2 4 2" xfId="18238" xr:uid="{00000000-0005-0000-0000-000032220000}"/>
    <cellStyle name="메모 4 4 2 2 4 3" xfId="27811" xr:uid="{00000000-0005-0000-0000-000033220000}"/>
    <cellStyle name="메모 4 4 2 2 4 4" xfId="30925" xr:uid="{00000000-0005-0000-0000-000034220000}"/>
    <cellStyle name="메모 4 4 2 2 5" xfId="19544" xr:uid="{00000000-0005-0000-0000-000035220000}"/>
    <cellStyle name="메모 4 4 2 2 6" xfId="25972" xr:uid="{00000000-0005-0000-0000-000036220000}"/>
    <cellStyle name="메모 4 4 2 2 7" xfId="29086" xr:uid="{00000000-0005-0000-0000-000037220000}"/>
    <cellStyle name="메모 4 4 2 2 8" xfId="21742" xr:uid="{00000000-0005-0000-0000-000038220000}"/>
    <cellStyle name="메모 4 4 2 3" xfId="15968" xr:uid="{00000000-0005-0000-0000-000039220000}"/>
    <cellStyle name="메모 4 4 2 3 2" xfId="31623" xr:uid="{00000000-0005-0000-0000-00003A220000}"/>
    <cellStyle name="메모 4 4 2 3 3" xfId="21340" xr:uid="{00000000-0005-0000-0000-00003B220000}"/>
    <cellStyle name="메모 4 4 2 4" xfId="16790" xr:uid="{00000000-0005-0000-0000-00003C220000}"/>
    <cellStyle name="메모 4 4 2 4 2" xfId="32264" xr:uid="{00000000-0005-0000-0000-00003D220000}"/>
    <cellStyle name="메모 4 4 2 4 3" xfId="20712" xr:uid="{00000000-0005-0000-0000-00003E220000}"/>
    <cellStyle name="메모 4 4 2 5" xfId="19017" xr:uid="{00000000-0005-0000-0000-00003F220000}"/>
    <cellStyle name="메모 4 4 2 6" xfId="24960" xr:uid="{00000000-0005-0000-0000-000040220000}"/>
    <cellStyle name="메모 4 4 2 7" xfId="28084" xr:uid="{00000000-0005-0000-0000-000041220000}"/>
    <cellStyle name="메모 4 4 2 8" xfId="17934" xr:uid="{00000000-0005-0000-0000-000042220000}"/>
    <cellStyle name="메모 4 4 3" xfId="14594" xr:uid="{00000000-0005-0000-0000-000043220000}"/>
    <cellStyle name="메모 4 4 3 10" xfId="18827" xr:uid="{00000000-0005-0000-0000-000044220000}"/>
    <cellStyle name="메모 4 4 3 11" xfId="18488" xr:uid="{00000000-0005-0000-0000-000045220000}"/>
    <cellStyle name="메모 4 4 3 12" xfId="17935" xr:uid="{00000000-0005-0000-0000-000046220000}"/>
    <cellStyle name="메모 4 4 3 2" xfId="15525" xr:uid="{00000000-0005-0000-0000-000047220000}"/>
    <cellStyle name="메모 4 4 3 2 2" xfId="22116" xr:uid="{00000000-0005-0000-0000-000048220000}"/>
    <cellStyle name="메모 4 4 3 2 2 2" xfId="23817" xr:uid="{00000000-0005-0000-0000-000049220000}"/>
    <cellStyle name="메모 4 4 3 2 2 3" xfId="26346" xr:uid="{00000000-0005-0000-0000-00004A220000}"/>
    <cellStyle name="메모 4 4 3 2 2 4" xfId="29460" xr:uid="{00000000-0005-0000-0000-00004B220000}"/>
    <cellStyle name="메모 4 4 3 2 3" xfId="22592" xr:uid="{00000000-0005-0000-0000-00004C220000}"/>
    <cellStyle name="메모 4 4 3 2 3 2" xfId="23897" xr:uid="{00000000-0005-0000-0000-00004D220000}"/>
    <cellStyle name="메모 4 4 3 2 3 3" xfId="26822" xr:uid="{00000000-0005-0000-0000-00004E220000}"/>
    <cellStyle name="메모 4 4 3 2 3 4" xfId="29936" xr:uid="{00000000-0005-0000-0000-00004F220000}"/>
    <cellStyle name="메모 4 4 3 2 4" xfId="23402" xr:uid="{00000000-0005-0000-0000-000050220000}"/>
    <cellStyle name="메모 4 4 3 2 4 2" xfId="20441" xr:uid="{00000000-0005-0000-0000-000051220000}"/>
    <cellStyle name="메모 4 4 3 2 4 3" xfId="27632" xr:uid="{00000000-0005-0000-0000-000052220000}"/>
    <cellStyle name="메모 4 4 3 2 4 4" xfId="30746" xr:uid="{00000000-0005-0000-0000-000053220000}"/>
    <cellStyle name="메모 4 4 3 2 5" xfId="23867" xr:uid="{00000000-0005-0000-0000-000054220000}"/>
    <cellStyle name="메모 4 4 3 2 6" xfId="25793" xr:uid="{00000000-0005-0000-0000-000055220000}"/>
    <cellStyle name="메모 4 4 3 2 7" xfId="28907" xr:uid="{00000000-0005-0000-0000-000056220000}"/>
    <cellStyle name="메모 4 4 3 2 8" xfId="21563" xr:uid="{00000000-0005-0000-0000-000057220000}"/>
    <cellStyle name="메모 4 4 3 3" xfId="15879" xr:uid="{00000000-0005-0000-0000-000058220000}"/>
    <cellStyle name="메모 4 4 3 3 2" xfId="19492" xr:uid="{00000000-0005-0000-0000-000059220000}"/>
    <cellStyle name="메모 4 4 3 3 3" xfId="25636" xr:uid="{00000000-0005-0000-0000-00005A220000}"/>
    <cellStyle name="메모 4 4 3 3 4" xfId="28753" xr:uid="{00000000-0005-0000-0000-00005B220000}"/>
    <cellStyle name="메모 4 4 3 3 5" xfId="21449" xr:uid="{00000000-0005-0000-0000-00005C220000}"/>
    <cellStyle name="메모 4 4 3 4" xfId="16791" xr:uid="{00000000-0005-0000-0000-00005D220000}"/>
    <cellStyle name="메모 4 4 3 4 2" xfId="19312" xr:uid="{00000000-0005-0000-0000-00005E220000}"/>
    <cellStyle name="메모 4 4 3 4 3" xfId="26187" xr:uid="{00000000-0005-0000-0000-00005F220000}"/>
    <cellStyle name="메모 4 4 3 4 4" xfId="29301" xr:uid="{00000000-0005-0000-0000-000060220000}"/>
    <cellStyle name="메모 4 4 3 4 5" xfId="21957" xr:uid="{00000000-0005-0000-0000-000061220000}"/>
    <cellStyle name="메모 4 4 3 5" xfId="22430" xr:uid="{00000000-0005-0000-0000-000062220000}"/>
    <cellStyle name="메모 4 4 3 5 2" xfId="19693" xr:uid="{00000000-0005-0000-0000-000063220000}"/>
    <cellStyle name="메모 4 4 3 5 3" xfId="26660" xr:uid="{00000000-0005-0000-0000-000064220000}"/>
    <cellStyle name="메모 4 4 3 5 4" xfId="29774" xr:uid="{00000000-0005-0000-0000-000065220000}"/>
    <cellStyle name="메모 4 4 3 6" xfId="22903" xr:uid="{00000000-0005-0000-0000-000066220000}"/>
    <cellStyle name="메모 4 4 3 6 2" xfId="20126" xr:uid="{00000000-0005-0000-0000-000067220000}"/>
    <cellStyle name="메모 4 4 3 6 3" xfId="27133" xr:uid="{00000000-0005-0000-0000-000068220000}"/>
    <cellStyle name="메모 4 4 3 6 4" xfId="30247" xr:uid="{00000000-0005-0000-0000-000069220000}"/>
    <cellStyle name="메모 4 4 3 7" xfId="21246" xr:uid="{00000000-0005-0000-0000-00006A220000}"/>
    <cellStyle name="메모 4 4 3 7 2" xfId="24152" xr:uid="{00000000-0005-0000-0000-00006B220000}"/>
    <cellStyle name="메모 4 4 3 7 3" xfId="25467" xr:uid="{00000000-0005-0000-0000-00006C220000}"/>
    <cellStyle name="메모 4 4 3 7 4" xfId="28584" xr:uid="{00000000-0005-0000-0000-00006D220000}"/>
    <cellStyle name="메모 4 4 3 8" xfId="20532" xr:uid="{00000000-0005-0000-0000-00006E220000}"/>
    <cellStyle name="메모 4 4 3 9" xfId="18840" xr:uid="{00000000-0005-0000-0000-00006F220000}"/>
    <cellStyle name="메모 4 4 4" xfId="14644" xr:uid="{00000000-0005-0000-0000-000070220000}"/>
    <cellStyle name="메모 4 4 4 2" xfId="15575" xr:uid="{00000000-0005-0000-0000-000071220000}"/>
    <cellStyle name="메모 4 4 4 2 2" xfId="24373" xr:uid="{00000000-0005-0000-0000-000072220000}"/>
    <cellStyle name="메모 4 4 4 2 3" xfId="26240" xr:uid="{00000000-0005-0000-0000-000073220000}"/>
    <cellStyle name="메모 4 4 4 2 4" xfId="29354" xr:uid="{00000000-0005-0000-0000-000074220000}"/>
    <cellStyle name="메모 4 4 4 2 5" xfId="22010" xr:uid="{00000000-0005-0000-0000-000075220000}"/>
    <cellStyle name="메모 4 4 4 3" xfId="15929" xr:uid="{00000000-0005-0000-0000-000076220000}"/>
    <cellStyle name="메모 4 4 4 3 2" xfId="19739" xr:uid="{00000000-0005-0000-0000-000077220000}"/>
    <cellStyle name="메모 4 4 4 3 3" xfId="26713" xr:uid="{00000000-0005-0000-0000-000078220000}"/>
    <cellStyle name="메모 4 4 4 3 4" xfId="29827" xr:uid="{00000000-0005-0000-0000-000079220000}"/>
    <cellStyle name="메모 4 4 4 3 5" xfId="22483" xr:uid="{00000000-0005-0000-0000-00007A220000}"/>
    <cellStyle name="메모 4 4 4 4" xfId="16792" xr:uid="{00000000-0005-0000-0000-00007B220000}"/>
    <cellStyle name="메모 4 4 4 4 2" xfId="20341" xr:uid="{00000000-0005-0000-0000-00007C220000}"/>
    <cellStyle name="메모 4 4 4 4 3" xfId="27531" xr:uid="{00000000-0005-0000-0000-00007D220000}"/>
    <cellStyle name="메모 4 4 4 4 4" xfId="30645" xr:uid="{00000000-0005-0000-0000-00007E220000}"/>
    <cellStyle name="메모 4 4 4 4 5" xfId="23301" xr:uid="{00000000-0005-0000-0000-00007F220000}"/>
    <cellStyle name="메모 4 4 4 5" xfId="21504" xr:uid="{00000000-0005-0000-0000-000080220000}"/>
    <cellStyle name="메모 4 4 4 6" xfId="24144" xr:uid="{00000000-0005-0000-0000-000081220000}"/>
    <cellStyle name="메모 4 4 4 7" xfId="25689" xr:uid="{00000000-0005-0000-0000-000082220000}"/>
    <cellStyle name="메모 4 4 4 8" xfId="28806" xr:uid="{00000000-0005-0000-0000-000083220000}"/>
    <cellStyle name="메모 4 4 4 9" xfId="17936" xr:uid="{00000000-0005-0000-0000-000084220000}"/>
    <cellStyle name="메모 4 4 5" xfId="15108" xr:uid="{00000000-0005-0000-0000-000085220000}"/>
    <cellStyle name="메모 4 4 5 2" xfId="15827" xr:uid="{00000000-0005-0000-0000-000086220000}"/>
    <cellStyle name="메모 4 4 5 2 2" xfId="31574" xr:uid="{00000000-0005-0000-0000-000087220000}"/>
    <cellStyle name="메모 4 4 5 2 3" xfId="24628" xr:uid="{00000000-0005-0000-0000-000088220000}"/>
    <cellStyle name="메모 4 4 5 3" xfId="16220" xr:uid="{00000000-0005-0000-0000-000089220000}"/>
    <cellStyle name="메모 4 4 5 3 2" xfId="31832" xr:uid="{00000000-0005-0000-0000-00008A220000}"/>
    <cellStyle name="메모 4 4 5 3 3" xfId="25141" xr:uid="{00000000-0005-0000-0000-00008B220000}"/>
    <cellStyle name="메모 4 4 5 4" xfId="16793" xr:uid="{00000000-0005-0000-0000-00008C220000}"/>
    <cellStyle name="메모 4 4 5 4 2" xfId="28265" xr:uid="{00000000-0005-0000-0000-00008D220000}"/>
    <cellStyle name="메모 4 4 5 5" xfId="20890" xr:uid="{00000000-0005-0000-0000-00008E220000}"/>
    <cellStyle name="메모 4 4 6" xfId="14913" xr:uid="{00000000-0005-0000-0000-00008F220000}"/>
    <cellStyle name="메모 4 4 6 2" xfId="15663" xr:uid="{00000000-0005-0000-0000-000090220000}"/>
    <cellStyle name="메모 4 4 6 2 2" xfId="31441" xr:uid="{00000000-0005-0000-0000-000091220000}"/>
    <cellStyle name="메모 4 4 6 3" xfId="16025" xr:uid="{00000000-0005-0000-0000-000092220000}"/>
    <cellStyle name="메모 4 4 6 3 2" xfId="31668" xr:uid="{00000000-0005-0000-0000-000093220000}"/>
    <cellStyle name="메모 4 4 6 4" xfId="16794" xr:uid="{00000000-0005-0000-0000-000094220000}"/>
    <cellStyle name="메모 4 4 6 4 2" xfId="32265" xr:uid="{00000000-0005-0000-0000-000095220000}"/>
    <cellStyle name="메모 4 4 6 5" xfId="31182" xr:uid="{00000000-0005-0000-0000-000096220000}"/>
    <cellStyle name="메모 4 4 6 6" xfId="20464" xr:uid="{00000000-0005-0000-0000-000097220000}"/>
    <cellStyle name="메모 4 4 7" xfId="15044" xr:uid="{00000000-0005-0000-0000-000098220000}"/>
    <cellStyle name="메모 4 4 7 2" xfId="15772" xr:uid="{00000000-0005-0000-0000-000099220000}"/>
    <cellStyle name="메모 4 4 7 2 2" xfId="31550" xr:uid="{00000000-0005-0000-0000-00009A220000}"/>
    <cellStyle name="메모 4 4 7 3" xfId="16156" xr:uid="{00000000-0005-0000-0000-00009B220000}"/>
    <cellStyle name="메모 4 4 7 3 2" xfId="31799" xr:uid="{00000000-0005-0000-0000-00009C220000}"/>
    <cellStyle name="메모 4 4 7 4" xfId="16795" xr:uid="{00000000-0005-0000-0000-00009D220000}"/>
    <cellStyle name="메모 4 4 7 4 2" xfId="32266" xr:uid="{00000000-0005-0000-0000-00009E220000}"/>
    <cellStyle name="메모 4 4 7 5" xfId="31261" xr:uid="{00000000-0005-0000-0000-00009F220000}"/>
    <cellStyle name="메모 4 4 7 6" xfId="18728" xr:uid="{00000000-0005-0000-0000-0000A0220000}"/>
    <cellStyle name="메모 4 4 8" xfId="15120" xr:uid="{00000000-0005-0000-0000-0000A1220000}"/>
    <cellStyle name="메모 4 4 8 2" xfId="15839" xr:uid="{00000000-0005-0000-0000-0000A2220000}"/>
    <cellStyle name="메모 4 4 8 2 2" xfId="31583" xr:uid="{00000000-0005-0000-0000-0000A3220000}"/>
    <cellStyle name="메모 4 4 8 3" xfId="16232" xr:uid="{00000000-0005-0000-0000-0000A4220000}"/>
    <cellStyle name="메모 4 4 8 3 2" xfId="31841" xr:uid="{00000000-0005-0000-0000-0000A5220000}"/>
    <cellStyle name="메모 4 4 8 4" xfId="16796" xr:uid="{00000000-0005-0000-0000-0000A6220000}"/>
    <cellStyle name="메모 4 4 8 4 2" xfId="32267" xr:uid="{00000000-0005-0000-0000-0000A7220000}"/>
    <cellStyle name="메모 4 4 8 5" xfId="31272" xr:uid="{00000000-0005-0000-0000-0000A8220000}"/>
    <cellStyle name="메모 4 4 8 6" xfId="18574" xr:uid="{00000000-0005-0000-0000-0000A9220000}"/>
    <cellStyle name="메모 4 4 9" xfId="15006" xr:uid="{00000000-0005-0000-0000-0000AA220000}"/>
    <cellStyle name="메모 4 4 9 2" xfId="16118" xr:uid="{00000000-0005-0000-0000-0000AB220000}"/>
    <cellStyle name="메모 4 4 9 2 2" xfId="31761" xr:uid="{00000000-0005-0000-0000-0000AC220000}"/>
    <cellStyle name="메모 4 4 9 3" xfId="16797" xr:uid="{00000000-0005-0000-0000-0000AD220000}"/>
    <cellStyle name="메모 4 4 9 3 2" xfId="32268" xr:uid="{00000000-0005-0000-0000-0000AE220000}"/>
    <cellStyle name="메모 4 4 9 4" xfId="16798" xr:uid="{00000000-0005-0000-0000-0000AF220000}"/>
    <cellStyle name="메모 4 4 9 4 2" xfId="32269" xr:uid="{00000000-0005-0000-0000-0000B0220000}"/>
    <cellStyle name="메모 4 4 9 5" xfId="18476" xr:uid="{00000000-0005-0000-0000-0000B1220000}"/>
    <cellStyle name="메모 4 5" xfId="11998" xr:uid="{00000000-0005-0000-0000-0000B2220000}"/>
    <cellStyle name="메모 4 5 10" xfId="15369" xr:uid="{00000000-0005-0000-0000-0000B3220000}"/>
    <cellStyle name="메모 4 5 11" xfId="15206" xr:uid="{00000000-0005-0000-0000-0000B4220000}"/>
    <cellStyle name="메모 4 5 11 2" xfId="31342" xr:uid="{00000000-0005-0000-0000-0000B5220000}"/>
    <cellStyle name="메모 4 5 12" xfId="16799" xr:uid="{00000000-0005-0000-0000-0000B6220000}"/>
    <cellStyle name="메모 4 5 12 2" xfId="32270" xr:uid="{00000000-0005-0000-0000-0000B7220000}"/>
    <cellStyle name="메모 4 5 13" xfId="16800" xr:uid="{00000000-0005-0000-0000-0000B8220000}"/>
    <cellStyle name="메모 4 5 13 2" xfId="32271" xr:uid="{00000000-0005-0000-0000-0000B9220000}"/>
    <cellStyle name="메모 4 5 2" xfId="14733" xr:uid="{00000000-0005-0000-0000-0000BA220000}"/>
    <cellStyle name="메모 4 5 2 2" xfId="15619" xr:uid="{00000000-0005-0000-0000-0000BB220000}"/>
    <cellStyle name="메모 4 5 2 2 2" xfId="22296" xr:uid="{00000000-0005-0000-0000-0000BC220000}"/>
    <cellStyle name="메모 4 5 2 2 2 2" xfId="18446" xr:uid="{00000000-0005-0000-0000-0000BD220000}"/>
    <cellStyle name="메모 4 5 2 2 2 3" xfId="26526" xr:uid="{00000000-0005-0000-0000-0000BE220000}"/>
    <cellStyle name="메모 4 5 2 2 2 4" xfId="29640" xr:uid="{00000000-0005-0000-0000-0000BF220000}"/>
    <cellStyle name="메모 4 5 2 2 3" xfId="22772" xr:uid="{00000000-0005-0000-0000-0000C0220000}"/>
    <cellStyle name="메모 4 5 2 2 3 2" xfId="20008" xr:uid="{00000000-0005-0000-0000-0000C1220000}"/>
    <cellStyle name="메모 4 5 2 2 3 3" xfId="27002" xr:uid="{00000000-0005-0000-0000-0000C2220000}"/>
    <cellStyle name="메모 4 5 2 2 3 4" xfId="30116" xr:uid="{00000000-0005-0000-0000-0000C3220000}"/>
    <cellStyle name="메모 4 5 2 2 4" xfId="23582" xr:uid="{00000000-0005-0000-0000-0000C4220000}"/>
    <cellStyle name="메모 4 5 2 2 4 2" xfId="18239" xr:uid="{00000000-0005-0000-0000-0000C5220000}"/>
    <cellStyle name="메모 4 5 2 2 4 3" xfId="27812" xr:uid="{00000000-0005-0000-0000-0000C6220000}"/>
    <cellStyle name="메모 4 5 2 2 4 4" xfId="30926" xr:uid="{00000000-0005-0000-0000-0000C7220000}"/>
    <cellStyle name="메모 4 5 2 2 5" xfId="23727" xr:uid="{00000000-0005-0000-0000-0000C8220000}"/>
    <cellStyle name="메모 4 5 2 2 6" xfId="25973" xr:uid="{00000000-0005-0000-0000-0000C9220000}"/>
    <cellStyle name="메모 4 5 2 2 7" xfId="29087" xr:uid="{00000000-0005-0000-0000-0000CA220000}"/>
    <cellStyle name="메모 4 5 2 2 8" xfId="21743" xr:uid="{00000000-0005-0000-0000-0000CB220000}"/>
    <cellStyle name="메모 4 5 2 3" xfId="15969" xr:uid="{00000000-0005-0000-0000-0000CC220000}"/>
    <cellStyle name="메모 4 5 2 3 2" xfId="31624" xr:uid="{00000000-0005-0000-0000-0000CD220000}"/>
    <cellStyle name="메모 4 5 2 3 3" xfId="21341" xr:uid="{00000000-0005-0000-0000-0000CE220000}"/>
    <cellStyle name="메모 4 5 2 4" xfId="16801" xr:uid="{00000000-0005-0000-0000-0000CF220000}"/>
    <cellStyle name="메모 4 5 2 4 2" xfId="32272" xr:uid="{00000000-0005-0000-0000-0000D0220000}"/>
    <cellStyle name="메모 4 5 2 4 3" xfId="20713" xr:uid="{00000000-0005-0000-0000-0000D1220000}"/>
    <cellStyle name="메모 4 5 2 5" xfId="19018" xr:uid="{00000000-0005-0000-0000-0000D2220000}"/>
    <cellStyle name="메모 4 5 2 6" xfId="24961" xr:uid="{00000000-0005-0000-0000-0000D3220000}"/>
    <cellStyle name="메모 4 5 2 7" xfId="28085" xr:uid="{00000000-0005-0000-0000-0000D4220000}"/>
    <cellStyle name="메모 4 5 2 8" xfId="17937" xr:uid="{00000000-0005-0000-0000-0000D5220000}"/>
    <cellStyle name="메모 4 5 3" xfId="14593" xr:uid="{00000000-0005-0000-0000-0000D6220000}"/>
    <cellStyle name="메모 4 5 3 10" xfId="24782" xr:uid="{00000000-0005-0000-0000-0000D7220000}"/>
    <cellStyle name="메모 4 5 3 11" xfId="27906" xr:uid="{00000000-0005-0000-0000-0000D8220000}"/>
    <cellStyle name="메모 4 5 3 12" xfId="17938" xr:uid="{00000000-0005-0000-0000-0000D9220000}"/>
    <cellStyle name="메모 4 5 3 2" xfId="15524" xr:uid="{00000000-0005-0000-0000-0000DA220000}"/>
    <cellStyle name="메모 4 5 3 2 2" xfId="22117" xr:uid="{00000000-0005-0000-0000-0000DB220000}"/>
    <cellStyle name="메모 4 5 3 2 2 2" xfId="23703" xr:uid="{00000000-0005-0000-0000-0000DC220000}"/>
    <cellStyle name="메모 4 5 3 2 2 3" xfId="26347" xr:uid="{00000000-0005-0000-0000-0000DD220000}"/>
    <cellStyle name="메모 4 5 3 2 2 4" xfId="29461" xr:uid="{00000000-0005-0000-0000-0000DE220000}"/>
    <cellStyle name="메모 4 5 3 2 3" xfId="22593" xr:uid="{00000000-0005-0000-0000-0000DF220000}"/>
    <cellStyle name="메모 4 5 3 2 3 2" xfId="19840" xr:uid="{00000000-0005-0000-0000-0000E0220000}"/>
    <cellStyle name="메모 4 5 3 2 3 3" xfId="26823" xr:uid="{00000000-0005-0000-0000-0000E1220000}"/>
    <cellStyle name="메모 4 5 3 2 3 4" xfId="29937" xr:uid="{00000000-0005-0000-0000-0000E2220000}"/>
    <cellStyle name="메모 4 5 3 2 4" xfId="23403" xr:uid="{00000000-0005-0000-0000-0000E3220000}"/>
    <cellStyle name="메모 4 5 3 2 4 2" xfId="20442" xr:uid="{00000000-0005-0000-0000-0000E4220000}"/>
    <cellStyle name="메모 4 5 3 2 4 3" xfId="27633" xr:uid="{00000000-0005-0000-0000-0000E5220000}"/>
    <cellStyle name="메모 4 5 3 2 4 4" xfId="30747" xr:uid="{00000000-0005-0000-0000-0000E6220000}"/>
    <cellStyle name="메모 4 5 3 2 5" xfId="23701" xr:uid="{00000000-0005-0000-0000-0000E7220000}"/>
    <cellStyle name="메모 4 5 3 2 6" xfId="25794" xr:uid="{00000000-0005-0000-0000-0000E8220000}"/>
    <cellStyle name="메모 4 5 3 2 7" xfId="28908" xr:uid="{00000000-0005-0000-0000-0000E9220000}"/>
    <cellStyle name="메모 4 5 3 2 8" xfId="21564" xr:uid="{00000000-0005-0000-0000-0000EA220000}"/>
    <cellStyle name="메모 4 5 3 3" xfId="15878" xr:uid="{00000000-0005-0000-0000-0000EB220000}"/>
    <cellStyle name="메모 4 5 3 3 2" xfId="19493" xr:uid="{00000000-0005-0000-0000-0000EC220000}"/>
    <cellStyle name="메모 4 5 3 3 3" xfId="25637" xr:uid="{00000000-0005-0000-0000-0000ED220000}"/>
    <cellStyle name="메모 4 5 3 3 4" xfId="28754" xr:uid="{00000000-0005-0000-0000-0000EE220000}"/>
    <cellStyle name="메모 4 5 3 3 5" xfId="21450" xr:uid="{00000000-0005-0000-0000-0000EF220000}"/>
    <cellStyle name="메모 4 5 3 4" xfId="16802" xr:uid="{00000000-0005-0000-0000-0000F0220000}"/>
    <cellStyle name="메모 4 5 3 4 2" xfId="19553" xr:uid="{00000000-0005-0000-0000-0000F1220000}"/>
    <cellStyle name="메모 4 5 3 4 3" xfId="26188" xr:uid="{00000000-0005-0000-0000-0000F2220000}"/>
    <cellStyle name="메모 4 5 3 4 4" xfId="29302" xr:uid="{00000000-0005-0000-0000-0000F3220000}"/>
    <cellStyle name="메모 4 5 3 4 5" xfId="21958" xr:uid="{00000000-0005-0000-0000-0000F4220000}"/>
    <cellStyle name="메모 4 5 3 5" xfId="22431" xr:uid="{00000000-0005-0000-0000-0000F5220000}"/>
    <cellStyle name="메모 4 5 3 5 2" xfId="19694" xr:uid="{00000000-0005-0000-0000-0000F6220000}"/>
    <cellStyle name="메모 4 5 3 5 3" xfId="26661" xr:uid="{00000000-0005-0000-0000-0000F7220000}"/>
    <cellStyle name="메모 4 5 3 5 4" xfId="29775" xr:uid="{00000000-0005-0000-0000-0000F8220000}"/>
    <cellStyle name="메모 4 5 3 6" xfId="22904" xr:uid="{00000000-0005-0000-0000-0000F9220000}"/>
    <cellStyle name="메모 4 5 3 6 2" xfId="20127" xr:uid="{00000000-0005-0000-0000-0000FA220000}"/>
    <cellStyle name="메모 4 5 3 6 3" xfId="27134" xr:uid="{00000000-0005-0000-0000-0000FB220000}"/>
    <cellStyle name="메모 4 5 3 6 4" xfId="30248" xr:uid="{00000000-0005-0000-0000-0000FC220000}"/>
    <cellStyle name="메모 4 5 3 7" xfId="23249" xr:uid="{00000000-0005-0000-0000-0000FD220000}"/>
    <cellStyle name="메모 4 5 3 7 2" xfId="21466" xr:uid="{00000000-0005-0000-0000-0000FE220000}"/>
    <cellStyle name="메모 4 5 3 7 3" xfId="27479" xr:uid="{00000000-0005-0000-0000-0000FF220000}"/>
    <cellStyle name="메모 4 5 3 7 4" xfId="30593" xr:uid="{00000000-0005-0000-0000-000000230000}"/>
    <cellStyle name="메모 4 5 3 8" xfId="20533" xr:uid="{00000000-0005-0000-0000-000001230000}"/>
    <cellStyle name="메모 4 5 3 9" xfId="18841" xr:uid="{00000000-0005-0000-0000-000002230000}"/>
    <cellStyle name="메모 4 5 4" xfId="14744" xr:uid="{00000000-0005-0000-0000-000003230000}"/>
    <cellStyle name="메모 4 5 4 2" xfId="15629" xr:uid="{00000000-0005-0000-0000-000004230000}"/>
    <cellStyle name="메모 4 5 4 2 2" xfId="24202" xr:uid="{00000000-0005-0000-0000-000005230000}"/>
    <cellStyle name="메모 4 5 4 2 3" xfId="26241" xr:uid="{00000000-0005-0000-0000-000006230000}"/>
    <cellStyle name="메모 4 5 4 2 4" xfId="29355" xr:uid="{00000000-0005-0000-0000-000007230000}"/>
    <cellStyle name="메모 4 5 4 2 5" xfId="22011" xr:uid="{00000000-0005-0000-0000-000008230000}"/>
    <cellStyle name="메모 4 5 4 3" xfId="15979" xr:uid="{00000000-0005-0000-0000-000009230000}"/>
    <cellStyle name="메모 4 5 4 3 2" xfId="19740" xr:uid="{00000000-0005-0000-0000-00000A230000}"/>
    <cellStyle name="메모 4 5 4 3 3" xfId="26714" xr:uid="{00000000-0005-0000-0000-00000B230000}"/>
    <cellStyle name="메모 4 5 4 3 4" xfId="29828" xr:uid="{00000000-0005-0000-0000-00000C230000}"/>
    <cellStyle name="메모 4 5 4 3 5" xfId="22484" xr:uid="{00000000-0005-0000-0000-00000D230000}"/>
    <cellStyle name="메모 4 5 4 4" xfId="16803" xr:uid="{00000000-0005-0000-0000-00000E230000}"/>
    <cellStyle name="메모 4 5 4 4 2" xfId="20342" xr:uid="{00000000-0005-0000-0000-00000F230000}"/>
    <cellStyle name="메모 4 5 4 4 3" xfId="27532" xr:uid="{00000000-0005-0000-0000-000010230000}"/>
    <cellStyle name="메모 4 5 4 4 4" xfId="30646" xr:uid="{00000000-0005-0000-0000-000011230000}"/>
    <cellStyle name="메모 4 5 4 4 5" xfId="23302" xr:uid="{00000000-0005-0000-0000-000012230000}"/>
    <cellStyle name="메모 4 5 4 5" xfId="21505" xr:uid="{00000000-0005-0000-0000-000013230000}"/>
    <cellStyle name="메모 4 5 4 6" xfId="19293" xr:uid="{00000000-0005-0000-0000-000014230000}"/>
    <cellStyle name="메모 4 5 4 7" xfId="25690" xr:uid="{00000000-0005-0000-0000-000015230000}"/>
    <cellStyle name="메모 4 5 4 8" xfId="28807" xr:uid="{00000000-0005-0000-0000-000016230000}"/>
    <cellStyle name="메모 4 5 4 9" xfId="17939" xr:uid="{00000000-0005-0000-0000-000017230000}"/>
    <cellStyle name="메모 4 5 5" xfId="15109" xr:uid="{00000000-0005-0000-0000-000018230000}"/>
    <cellStyle name="메모 4 5 5 2" xfId="15828" xr:uid="{00000000-0005-0000-0000-000019230000}"/>
    <cellStyle name="메모 4 5 5 2 2" xfId="31575" xr:uid="{00000000-0005-0000-0000-00001A230000}"/>
    <cellStyle name="메모 4 5 5 2 3" xfId="24543" xr:uid="{00000000-0005-0000-0000-00001B230000}"/>
    <cellStyle name="메모 4 5 5 3" xfId="16221" xr:uid="{00000000-0005-0000-0000-00001C230000}"/>
    <cellStyle name="메모 4 5 5 3 2" xfId="31833" xr:uid="{00000000-0005-0000-0000-00001D230000}"/>
    <cellStyle name="메모 4 5 5 3 3" xfId="25142" xr:uid="{00000000-0005-0000-0000-00001E230000}"/>
    <cellStyle name="메모 4 5 5 4" xfId="16804" xr:uid="{00000000-0005-0000-0000-00001F230000}"/>
    <cellStyle name="메모 4 5 5 4 2" xfId="28266" xr:uid="{00000000-0005-0000-0000-000020230000}"/>
    <cellStyle name="메모 4 5 5 5" xfId="20891" xr:uid="{00000000-0005-0000-0000-000021230000}"/>
    <cellStyle name="메모 4 5 6" xfId="14912" xr:uid="{00000000-0005-0000-0000-000022230000}"/>
    <cellStyle name="메모 4 5 6 2" xfId="15662" xr:uid="{00000000-0005-0000-0000-000023230000}"/>
    <cellStyle name="메모 4 5 6 2 2" xfId="31440" xr:uid="{00000000-0005-0000-0000-000024230000}"/>
    <cellStyle name="메모 4 5 6 3" xfId="16024" xr:uid="{00000000-0005-0000-0000-000025230000}"/>
    <cellStyle name="메모 4 5 6 3 2" xfId="31667" xr:uid="{00000000-0005-0000-0000-000026230000}"/>
    <cellStyle name="메모 4 5 6 4" xfId="16805" xr:uid="{00000000-0005-0000-0000-000027230000}"/>
    <cellStyle name="메모 4 5 6 4 2" xfId="32273" xr:uid="{00000000-0005-0000-0000-000028230000}"/>
    <cellStyle name="메모 4 5 6 5" xfId="31181" xr:uid="{00000000-0005-0000-0000-000029230000}"/>
    <cellStyle name="메모 4 5 6 6" xfId="20465" xr:uid="{00000000-0005-0000-0000-00002A230000}"/>
    <cellStyle name="메모 4 5 7" xfId="15045" xr:uid="{00000000-0005-0000-0000-00002B230000}"/>
    <cellStyle name="메모 4 5 7 2" xfId="15773" xr:uid="{00000000-0005-0000-0000-00002C230000}"/>
    <cellStyle name="메모 4 5 7 2 2" xfId="31551" xr:uid="{00000000-0005-0000-0000-00002D230000}"/>
    <cellStyle name="메모 4 5 7 3" xfId="16157" xr:uid="{00000000-0005-0000-0000-00002E230000}"/>
    <cellStyle name="메모 4 5 7 3 2" xfId="31800" xr:uid="{00000000-0005-0000-0000-00002F230000}"/>
    <cellStyle name="메모 4 5 7 4" xfId="16806" xr:uid="{00000000-0005-0000-0000-000030230000}"/>
    <cellStyle name="메모 4 5 7 4 2" xfId="32274" xr:uid="{00000000-0005-0000-0000-000031230000}"/>
    <cellStyle name="메모 4 5 7 5" xfId="31262" xr:uid="{00000000-0005-0000-0000-000032230000}"/>
    <cellStyle name="메모 4 5 7 6" xfId="18729" xr:uid="{00000000-0005-0000-0000-000033230000}"/>
    <cellStyle name="메모 4 5 8" xfId="14965" xr:uid="{00000000-0005-0000-0000-000034230000}"/>
    <cellStyle name="메모 4 5 8 2" xfId="15715" xr:uid="{00000000-0005-0000-0000-000035230000}"/>
    <cellStyle name="메모 4 5 8 2 2" xfId="31493" xr:uid="{00000000-0005-0000-0000-000036230000}"/>
    <cellStyle name="메모 4 5 8 3" xfId="16077" xr:uid="{00000000-0005-0000-0000-000037230000}"/>
    <cellStyle name="메모 4 5 8 3 2" xfId="31720" xr:uid="{00000000-0005-0000-0000-000038230000}"/>
    <cellStyle name="메모 4 5 8 4" xfId="16807" xr:uid="{00000000-0005-0000-0000-000039230000}"/>
    <cellStyle name="메모 4 5 8 4 2" xfId="32275" xr:uid="{00000000-0005-0000-0000-00003A230000}"/>
    <cellStyle name="메모 4 5 8 5" xfId="31204" xr:uid="{00000000-0005-0000-0000-00003B230000}"/>
    <cellStyle name="메모 4 5 8 6" xfId="20972" xr:uid="{00000000-0005-0000-0000-00003C230000}"/>
    <cellStyle name="메모 4 5 9" xfId="14901" xr:uid="{00000000-0005-0000-0000-00003D230000}"/>
    <cellStyle name="메모 4 5 9 2" xfId="16013" xr:uid="{00000000-0005-0000-0000-00003E230000}"/>
    <cellStyle name="메모 4 5 9 2 2" xfId="31656" xr:uid="{00000000-0005-0000-0000-00003F230000}"/>
    <cellStyle name="메모 4 5 9 3" xfId="16808" xr:uid="{00000000-0005-0000-0000-000040230000}"/>
    <cellStyle name="메모 4 5 9 3 2" xfId="32276" xr:uid="{00000000-0005-0000-0000-000041230000}"/>
    <cellStyle name="메모 4 5 9 4" xfId="16809" xr:uid="{00000000-0005-0000-0000-000042230000}"/>
    <cellStyle name="메모 4 5 9 4 2" xfId="32277" xr:uid="{00000000-0005-0000-0000-000043230000}"/>
    <cellStyle name="메모 4 5 9 5" xfId="18477" xr:uid="{00000000-0005-0000-0000-000044230000}"/>
    <cellStyle name="메모 4 6" xfId="11999" xr:uid="{00000000-0005-0000-0000-000045230000}"/>
    <cellStyle name="메모 4 6 10" xfId="15370" xr:uid="{00000000-0005-0000-0000-000046230000}"/>
    <cellStyle name="메모 4 6 11" xfId="15207" xr:uid="{00000000-0005-0000-0000-000047230000}"/>
    <cellStyle name="메모 4 6 11 2" xfId="31343" xr:uid="{00000000-0005-0000-0000-000048230000}"/>
    <cellStyle name="메모 4 6 12" xfId="16810" xr:uid="{00000000-0005-0000-0000-000049230000}"/>
    <cellStyle name="메모 4 6 12 2" xfId="32278" xr:uid="{00000000-0005-0000-0000-00004A230000}"/>
    <cellStyle name="메모 4 6 13" xfId="16811" xr:uid="{00000000-0005-0000-0000-00004B230000}"/>
    <cellStyle name="메모 4 6 13 2" xfId="32279" xr:uid="{00000000-0005-0000-0000-00004C230000}"/>
    <cellStyle name="메모 4 6 2" xfId="14734" xr:uid="{00000000-0005-0000-0000-00004D230000}"/>
    <cellStyle name="메모 4 6 2 2" xfId="15620" xr:uid="{00000000-0005-0000-0000-00004E230000}"/>
    <cellStyle name="메모 4 6 2 2 2" xfId="22297" xr:uid="{00000000-0005-0000-0000-00004F230000}"/>
    <cellStyle name="메모 4 6 2 2 2 2" xfId="18447" xr:uid="{00000000-0005-0000-0000-000050230000}"/>
    <cellStyle name="메모 4 6 2 2 2 3" xfId="26527" xr:uid="{00000000-0005-0000-0000-000051230000}"/>
    <cellStyle name="메모 4 6 2 2 2 4" xfId="29641" xr:uid="{00000000-0005-0000-0000-000052230000}"/>
    <cellStyle name="메모 4 6 2 2 3" xfId="22773" xr:uid="{00000000-0005-0000-0000-000053230000}"/>
    <cellStyle name="메모 4 6 2 2 3 2" xfId="20009" xr:uid="{00000000-0005-0000-0000-000054230000}"/>
    <cellStyle name="메모 4 6 2 2 3 3" xfId="27003" xr:uid="{00000000-0005-0000-0000-000055230000}"/>
    <cellStyle name="메모 4 6 2 2 3 4" xfId="30117" xr:uid="{00000000-0005-0000-0000-000056230000}"/>
    <cellStyle name="메모 4 6 2 2 4" xfId="23583" xr:uid="{00000000-0005-0000-0000-000057230000}"/>
    <cellStyle name="메모 4 6 2 2 4 2" xfId="18240" xr:uid="{00000000-0005-0000-0000-000058230000}"/>
    <cellStyle name="메모 4 6 2 2 4 3" xfId="27813" xr:uid="{00000000-0005-0000-0000-000059230000}"/>
    <cellStyle name="메모 4 6 2 2 4 4" xfId="30927" xr:uid="{00000000-0005-0000-0000-00005A230000}"/>
    <cellStyle name="메모 4 6 2 2 5" xfId="24645" xr:uid="{00000000-0005-0000-0000-00005B230000}"/>
    <cellStyle name="메모 4 6 2 2 6" xfId="25974" xr:uid="{00000000-0005-0000-0000-00005C230000}"/>
    <cellStyle name="메모 4 6 2 2 7" xfId="29088" xr:uid="{00000000-0005-0000-0000-00005D230000}"/>
    <cellStyle name="메모 4 6 2 2 8" xfId="21744" xr:uid="{00000000-0005-0000-0000-00005E230000}"/>
    <cellStyle name="메모 4 6 2 3" xfId="15970" xr:uid="{00000000-0005-0000-0000-00005F230000}"/>
    <cellStyle name="메모 4 6 2 3 2" xfId="31625" xr:uid="{00000000-0005-0000-0000-000060230000}"/>
    <cellStyle name="메모 4 6 2 3 3" xfId="21342" xr:uid="{00000000-0005-0000-0000-000061230000}"/>
    <cellStyle name="메모 4 6 2 4" xfId="16812" xr:uid="{00000000-0005-0000-0000-000062230000}"/>
    <cellStyle name="메모 4 6 2 4 2" xfId="32280" xr:uid="{00000000-0005-0000-0000-000063230000}"/>
    <cellStyle name="메모 4 6 2 4 3" xfId="20714" xr:uid="{00000000-0005-0000-0000-000064230000}"/>
    <cellStyle name="메모 4 6 2 5" xfId="19019" xr:uid="{00000000-0005-0000-0000-000065230000}"/>
    <cellStyle name="메모 4 6 2 6" xfId="24962" xr:uid="{00000000-0005-0000-0000-000066230000}"/>
    <cellStyle name="메모 4 6 2 7" xfId="28086" xr:uid="{00000000-0005-0000-0000-000067230000}"/>
    <cellStyle name="메모 4 6 2 8" xfId="17940" xr:uid="{00000000-0005-0000-0000-000068230000}"/>
    <cellStyle name="메모 4 6 3" xfId="14592" xr:uid="{00000000-0005-0000-0000-000069230000}"/>
    <cellStyle name="메모 4 6 3 10" xfId="24788" xr:uid="{00000000-0005-0000-0000-00006A230000}"/>
    <cellStyle name="메모 4 6 3 11" xfId="27912" xr:uid="{00000000-0005-0000-0000-00006B230000}"/>
    <cellStyle name="메모 4 6 3 12" xfId="17941" xr:uid="{00000000-0005-0000-0000-00006C230000}"/>
    <cellStyle name="메모 4 6 3 2" xfId="15523" xr:uid="{00000000-0005-0000-0000-00006D230000}"/>
    <cellStyle name="메모 4 6 3 2 2" xfId="22123" xr:uid="{00000000-0005-0000-0000-00006E230000}"/>
    <cellStyle name="메모 4 6 3 2 2 2" xfId="24299" xr:uid="{00000000-0005-0000-0000-00006F230000}"/>
    <cellStyle name="메모 4 6 3 2 2 3" xfId="26353" xr:uid="{00000000-0005-0000-0000-000070230000}"/>
    <cellStyle name="메모 4 6 3 2 2 4" xfId="29467" xr:uid="{00000000-0005-0000-0000-000071230000}"/>
    <cellStyle name="메모 4 6 3 2 3" xfId="22599" xr:uid="{00000000-0005-0000-0000-000072230000}"/>
    <cellStyle name="메모 4 6 3 2 3 2" xfId="19846" xr:uid="{00000000-0005-0000-0000-000073230000}"/>
    <cellStyle name="메모 4 6 3 2 3 3" xfId="26829" xr:uid="{00000000-0005-0000-0000-000074230000}"/>
    <cellStyle name="메모 4 6 3 2 3 4" xfId="29943" xr:uid="{00000000-0005-0000-0000-000075230000}"/>
    <cellStyle name="메모 4 6 3 2 4" xfId="23409" xr:uid="{00000000-0005-0000-0000-000076230000}"/>
    <cellStyle name="메모 4 6 3 2 4 2" xfId="20450" xr:uid="{00000000-0005-0000-0000-000077230000}"/>
    <cellStyle name="메모 4 6 3 2 4 3" xfId="27639" xr:uid="{00000000-0005-0000-0000-000078230000}"/>
    <cellStyle name="메모 4 6 3 2 4 4" xfId="30753" xr:uid="{00000000-0005-0000-0000-000079230000}"/>
    <cellStyle name="메모 4 6 3 2 5" xfId="24495" xr:uid="{00000000-0005-0000-0000-00007A230000}"/>
    <cellStyle name="메모 4 6 3 2 6" xfId="25800" xr:uid="{00000000-0005-0000-0000-00007B230000}"/>
    <cellStyle name="메모 4 6 3 2 7" xfId="28914" xr:uid="{00000000-0005-0000-0000-00007C230000}"/>
    <cellStyle name="메모 4 6 3 2 8" xfId="21570" xr:uid="{00000000-0005-0000-0000-00007D230000}"/>
    <cellStyle name="메모 4 6 3 3" xfId="15877" xr:uid="{00000000-0005-0000-0000-00007E230000}"/>
    <cellStyle name="메모 4 6 3 3 2" xfId="19494" xr:uid="{00000000-0005-0000-0000-00007F230000}"/>
    <cellStyle name="메모 4 6 3 3 3" xfId="25638" xr:uid="{00000000-0005-0000-0000-000080230000}"/>
    <cellStyle name="메모 4 6 3 3 4" xfId="28755" xr:uid="{00000000-0005-0000-0000-000081230000}"/>
    <cellStyle name="메모 4 6 3 3 5" xfId="21451" xr:uid="{00000000-0005-0000-0000-000082230000}"/>
    <cellStyle name="메모 4 6 3 4" xfId="16813" xr:uid="{00000000-0005-0000-0000-000083230000}"/>
    <cellStyle name="메모 4 6 3 4 2" xfId="23704" xr:uid="{00000000-0005-0000-0000-000084230000}"/>
    <cellStyle name="메모 4 6 3 4 3" xfId="26189" xr:uid="{00000000-0005-0000-0000-000085230000}"/>
    <cellStyle name="메모 4 6 3 4 4" xfId="29303" xr:uid="{00000000-0005-0000-0000-000086230000}"/>
    <cellStyle name="메모 4 6 3 4 5" xfId="21959" xr:uid="{00000000-0005-0000-0000-000087230000}"/>
    <cellStyle name="메모 4 6 3 5" xfId="22432" xr:uid="{00000000-0005-0000-0000-000088230000}"/>
    <cellStyle name="메모 4 6 3 5 2" xfId="19695" xr:uid="{00000000-0005-0000-0000-000089230000}"/>
    <cellStyle name="메모 4 6 3 5 3" xfId="26662" xr:uid="{00000000-0005-0000-0000-00008A230000}"/>
    <cellStyle name="메모 4 6 3 5 4" xfId="29776" xr:uid="{00000000-0005-0000-0000-00008B230000}"/>
    <cellStyle name="메모 4 6 3 6" xfId="22905" xr:uid="{00000000-0005-0000-0000-00008C230000}"/>
    <cellStyle name="메모 4 6 3 6 2" xfId="20128" xr:uid="{00000000-0005-0000-0000-00008D230000}"/>
    <cellStyle name="메모 4 6 3 6 3" xfId="27135" xr:uid="{00000000-0005-0000-0000-00008E230000}"/>
    <cellStyle name="메모 4 6 3 6 4" xfId="30249" xr:uid="{00000000-0005-0000-0000-00008F230000}"/>
    <cellStyle name="메모 4 6 3 7" xfId="23250" xr:uid="{00000000-0005-0000-0000-000090230000}"/>
    <cellStyle name="메모 4 6 3 7 2" xfId="20311" xr:uid="{00000000-0005-0000-0000-000091230000}"/>
    <cellStyle name="메모 4 6 3 7 3" xfId="27480" xr:uid="{00000000-0005-0000-0000-000092230000}"/>
    <cellStyle name="메모 4 6 3 7 4" xfId="30594" xr:uid="{00000000-0005-0000-0000-000093230000}"/>
    <cellStyle name="메모 4 6 3 8" xfId="20539" xr:uid="{00000000-0005-0000-0000-000094230000}"/>
    <cellStyle name="메모 4 6 3 9" xfId="18847" xr:uid="{00000000-0005-0000-0000-000095230000}"/>
    <cellStyle name="메모 4 6 4" xfId="14643" xr:uid="{00000000-0005-0000-0000-000096230000}"/>
    <cellStyle name="메모 4 6 4 2" xfId="15574" xr:uid="{00000000-0005-0000-0000-000097230000}"/>
    <cellStyle name="메모 4 6 4 2 2" xfId="23994" xr:uid="{00000000-0005-0000-0000-000098230000}"/>
    <cellStyle name="메모 4 6 4 2 3" xfId="26242" xr:uid="{00000000-0005-0000-0000-000099230000}"/>
    <cellStyle name="메모 4 6 4 2 4" xfId="29356" xr:uid="{00000000-0005-0000-0000-00009A230000}"/>
    <cellStyle name="메모 4 6 4 2 5" xfId="22012" xr:uid="{00000000-0005-0000-0000-00009B230000}"/>
    <cellStyle name="메모 4 6 4 3" xfId="15928" xr:uid="{00000000-0005-0000-0000-00009C230000}"/>
    <cellStyle name="메모 4 6 4 3 2" xfId="19741" xr:uid="{00000000-0005-0000-0000-00009D230000}"/>
    <cellStyle name="메모 4 6 4 3 3" xfId="26715" xr:uid="{00000000-0005-0000-0000-00009E230000}"/>
    <cellStyle name="메모 4 6 4 3 4" xfId="29829" xr:uid="{00000000-0005-0000-0000-00009F230000}"/>
    <cellStyle name="메모 4 6 4 3 5" xfId="22485" xr:uid="{00000000-0005-0000-0000-0000A0230000}"/>
    <cellStyle name="메모 4 6 4 4" xfId="16814" xr:uid="{00000000-0005-0000-0000-0000A1230000}"/>
    <cellStyle name="메모 4 6 4 4 2" xfId="20343" xr:uid="{00000000-0005-0000-0000-0000A2230000}"/>
    <cellStyle name="메모 4 6 4 4 3" xfId="27533" xr:uid="{00000000-0005-0000-0000-0000A3230000}"/>
    <cellStyle name="메모 4 6 4 4 4" xfId="30647" xr:uid="{00000000-0005-0000-0000-0000A4230000}"/>
    <cellStyle name="메모 4 6 4 4 5" xfId="23303" xr:uid="{00000000-0005-0000-0000-0000A5230000}"/>
    <cellStyle name="메모 4 6 4 5" xfId="21506" xr:uid="{00000000-0005-0000-0000-0000A6230000}"/>
    <cellStyle name="메모 4 6 4 6" xfId="19524" xr:uid="{00000000-0005-0000-0000-0000A7230000}"/>
    <cellStyle name="메모 4 6 4 7" xfId="25691" xr:uid="{00000000-0005-0000-0000-0000A8230000}"/>
    <cellStyle name="메모 4 6 4 8" xfId="28808" xr:uid="{00000000-0005-0000-0000-0000A9230000}"/>
    <cellStyle name="메모 4 6 4 9" xfId="17942" xr:uid="{00000000-0005-0000-0000-0000AA230000}"/>
    <cellStyle name="메모 4 6 5" xfId="15110" xr:uid="{00000000-0005-0000-0000-0000AB230000}"/>
    <cellStyle name="메모 4 6 5 2" xfId="15829" xr:uid="{00000000-0005-0000-0000-0000AC230000}"/>
    <cellStyle name="메모 4 6 5 2 2" xfId="31576" xr:uid="{00000000-0005-0000-0000-0000AD230000}"/>
    <cellStyle name="메모 4 6 5 2 3" xfId="24367" xr:uid="{00000000-0005-0000-0000-0000AE230000}"/>
    <cellStyle name="메모 4 6 5 3" xfId="16222" xr:uid="{00000000-0005-0000-0000-0000AF230000}"/>
    <cellStyle name="메모 4 6 5 3 2" xfId="31834" xr:uid="{00000000-0005-0000-0000-0000B0230000}"/>
    <cellStyle name="메모 4 6 5 3 3" xfId="25143" xr:uid="{00000000-0005-0000-0000-0000B1230000}"/>
    <cellStyle name="메모 4 6 5 4" xfId="16815" xr:uid="{00000000-0005-0000-0000-0000B2230000}"/>
    <cellStyle name="메모 4 6 5 4 2" xfId="28267" xr:uid="{00000000-0005-0000-0000-0000B3230000}"/>
    <cellStyle name="메모 4 6 5 5" xfId="20892" xr:uid="{00000000-0005-0000-0000-0000B4230000}"/>
    <cellStyle name="메모 4 6 6" xfId="14911" xr:uid="{00000000-0005-0000-0000-0000B5230000}"/>
    <cellStyle name="메모 4 6 6 2" xfId="15661" xr:uid="{00000000-0005-0000-0000-0000B6230000}"/>
    <cellStyle name="메모 4 6 6 2 2" xfId="31439" xr:uid="{00000000-0005-0000-0000-0000B7230000}"/>
    <cellStyle name="메모 4 6 6 3" xfId="16023" xr:uid="{00000000-0005-0000-0000-0000B8230000}"/>
    <cellStyle name="메모 4 6 6 3 2" xfId="31666" xr:uid="{00000000-0005-0000-0000-0000B9230000}"/>
    <cellStyle name="메모 4 6 6 4" xfId="16816" xr:uid="{00000000-0005-0000-0000-0000BA230000}"/>
    <cellStyle name="메모 4 6 6 4 2" xfId="32281" xr:uid="{00000000-0005-0000-0000-0000BB230000}"/>
    <cellStyle name="메모 4 6 6 5" xfId="31180" xr:uid="{00000000-0005-0000-0000-0000BC230000}"/>
    <cellStyle name="메모 4 6 6 6" xfId="20466" xr:uid="{00000000-0005-0000-0000-0000BD230000}"/>
    <cellStyle name="메모 4 6 7" xfId="15046" xr:uid="{00000000-0005-0000-0000-0000BE230000}"/>
    <cellStyle name="메모 4 6 7 2" xfId="15774" xr:uid="{00000000-0005-0000-0000-0000BF230000}"/>
    <cellStyle name="메모 4 6 7 2 2" xfId="31552" xr:uid="{00000000-0005-0000-0000-0000C0230000}"/>
    <cellStyle name="메모 4 6 7 3" xfId="16158" xr:uid="{00000000-0005-0000-0000-0000C1230000}"/>
    <cellStyle name="메모 4 6 7 3 2" xfId="31801" xr:uid="{00000000-0005-0000-0000-0000C2230000}"/>
    <cellStyle name="메모 4 6 7 4" xfId="16817" xr:uid="{00000000-0005-0000-0000-0000C3230000}"/>
    <cellStyle name="메모 4 6 7 4 2" xfId="32282" xr:uid="{00000000-0005-0000-0000-0000C4230000}"/>
    <cellStyle name="메모 4 6 7 5" xfId="31263" xr:uid="{00000000-0005-0000-0000-0000C5230000}"/>
    <cellStyle name="메모 4 6 7 6" xfId="18730" xr:uid="{00000000-0005-0000-0000-0000C6230000}"/>
    <cellStyle name="메모 4 6 8" xfId="14964" xr:uid="{00000000-0005-0000-0000-0000C7230000}"/>
    <cellStyle name="메모 4 6 8 2" xfId="15714" xr:uid="{00000000-0005-0000-0000-0000C8230000}"/>
    <cellStyle name="메모 4 6 8 2 2" xfId="31492" xr:uid="{00000000-0005-0000-0000-0000C9230000}"/>
    <cellStyle name="메모 4 6 8 3" xfId="16076" xr:uid="{00000000-0005-0000-0000-0000CA230000}"/>
    <cellStyle name="메모 4 6 8 3 2" xfId="31719" xr:uid="{00000000-0005-0000-0000-0000CB230000}"/>
    <cellStyle name="메모 4 6 8 4" xfId="16818" xr:uid="{00000000-0005-0000-0000-0000CC230000}"/>
    <cellStyle name="메모 4 6 8 4 2" xfId="32283" xr:uid="{00000000-0005-0000-0000-0000CD230000}"/>
    <cellStyle name="메모 4 6 8 5" xfId="31203" xr:uid="{00000000-0005-0000-0000-0000CE230000}"/>
    <cellStyle name="메모 4 6 8 6" xfId="20998" xr:uid="{00000000-0005-0000-0000-0000CF230000}"/>
    <cellStyle name="메모 4 6 9" xfId="15007" xr:uid="{00000000-0005-0000-0000-0000D0230000}"/>
    <cellStyle name="메모 4 6 9 2" xfId="16119" xr:uid="{00000000-0005-0000-0000-0000D1230000}"/>
    <cellStyle name="메모 4 6 9 2 2" xfId="31762" xr:uid="{00000000-0005-0000-0000-0000D2230000}"/>
    <cellStyle name="메모 4 6 9 3" xfId="16819" xr:uid="{00000000-0005-0000-0000-0000D3230000}"/>
    <cellStyle name="메모 4 6 9 3 2" xfId="32284" xr:uid="{00000000-0005-0000-0000-0000D4230000}"/>
    <cellStyle name="메모 4 6 9 4" xfId="16820" xr:uid="{00000000-0005-0000-0000-0000D5230000}"/>
    <cellStyle name="메모 4 6 9 4 2" xfId="32285" xr:uid="{00000000-0005-0000-0000-0000D6230000}"/>
    <cellStyle name="메모 4 6 9 5" xfId="18478" xr:uid="{00000000-0005-0000-0000-0000D7230000}"/>
    <cellStyle name="메모 4 7" xfId="12000" xr:uid="{00000000-0005-0000-0000-0000D8230000}"/>
    <cellStyle name="메모 4 7 10" xfId="15208" xr:uid="{00000000-0005-0000-0000-0000D9230000}"/>
    <cellStyle name="메모 4 7 10 2" xfId="31344" xr:uid="{00000000-0005-0000-0000-0000DA230000}"/>
    <cellStyle name="메모 4 7 11" xfId="16821" xr:uid="{00000000-0005-0000-0000-0000DB230000}"/>
    <cellStyle name="메모 4 7 11 2" xfId="32286" xr:uid="{00000000-0005-0000-0000-0000DC230000}"/>
    <cellStyle name="메모 4 7 12" xfId="16822" xr:uid="{00000000-0005-0000-0000-0000DD230000}"/>
    <cellStyle name="메모 4 7 12 2" xfId="32287" xr:uid="{00000000-0005-0000-0000-0000DE230000}"/>
    <cellStyle name="메모 4 7 13" xfId="17243" xr:uid="{00000000-0005-0000-0000-0000DF230000}"/>
    <cellStyle name="메모 4 7 2" xfId="14591" xr:uid="{00000000-0005-0000-0000-0000E0230000}"/>
    <cellStyle name="메모 4 7 2 10" xfId="24963" xr:uid="{00000000-0005-0000-0000-0000E1230000}"/>
    <cellStyle name="메모 4 7 2 11" xfId="28087" xr:uid="{00000000-0005-0000-0000-0000E2230000}"/>
    <cellStyle name="메모 4 7 2 12" xfId="17499" xr:uid="{00000000-0005-0000-0000-0000E3230000}"/>
    <cellStyle name="메모 4 7 2 2" xfId="15522" xr:uid="{00000000-0005-0000-0000-0000E4230000}"/>
    <cellStyle name="메모 4 7 2 2 2" xfId="22298" xr:uid="{00000000-0005-0000-0000-0000E5230000}"/>
    <cellStyle name="메모 4 7 2 2 2 2" xfId="18448" xr:uid="{00000000-0005-0000-0000-0000E6230000}"/>
    <cellStyle name="메모 4 7 2 2 2 3" xfId="26528" xr:uid="{00000000-0005-0000-0000-0000E7230000}"/>
    <cellStyle name="메모 4 7 2 2 2 4" xfId="29642" xr:uid="{00000000-0005-0000-0000-0000E8230000}"/>
    <cellStyle name="메모 4 7 2 2 3" xfId="22774" xr:uid="{00000000-0005-0000-0000-0000E9230000}"/>
    <cellStyle name="메모 4 7 2 2 3 2" xfId="20010" xr:uid="{00000000-0005-0000-0000-0000EA230000}"/>
    <cellStyle name="메모 4 7 2 2 3 3" xfId="27004" xr:uid="{00000000-0005-0000-0000-0000EB230000}"/>
    <cellStyle name="메모 4 7 2 2 3 4" xfId="30118" xr:uid="{00000000-0005-0000-0000-0000EC230000}"/>
    <cellStyle name="메모 4 7 2 2 4" xfId="23584" xr:uid="{00000000-0005-0000-0000-0000ED230000}"/>
    <cellStyle name="메모 4 7 2 2 4 2" xfId="18241" xr:uid="{00000000-0005-0000-0000-0000EE230000}"/>
    <cellStyle name="메모 4 7 2 2 4 3" xfId="27814" xr:uid="{00000000-0005-0000-0000-0000EF230000}"/>
    <cellStyle name="메모 4 7 2 2 4 4" xfId="30928" xr:uid="{00000000-0005-0000-0000-0000F0230000}"/>
    <cellStyle name="메모 4 7 2 2 5" xfId="21745" xr:uid="{00000000-0005-0000-0000-0000F1230000}"/>
    <cellStyle name="메모 4 7 2 2 6" xfId="24560" xr:uid="{00000000-0005-0000-0000-0000F2230000}"/>
    <cellStyle name="메모 4 7 2 2 7" xfId="25975" xr:uid="{00000000-0005-0000-0000-0000F3230000}"/>
    <cellStyle name="메모 4 7 2 2 8" xfId="29089" xr:uid="{00000000-0005-0000-0000-0000F4230000}"/>
    <cellStyle name="메모 4 7 2 2 9" xfId="17943" xr:uid="{00000000-0005-0000-0000-0000F5230000}"/>
    <cellStyle name="메모 4 7 2 3" xfId="15876" xr:uid="{00000000-0005-0000-0000-0000F6230000}"/>
    <cellStyle name="메모 4 7 2 3 2" xfId="21343" xr:uid="{00000000-0005-0000-0000-0000F7230000}"/>
    <cellStyle name="메모 4 7 2 3 3" xfId="24528" xr:uid="{00000000-0005-0000-0000-0000F8230000}"/>
    <cellStyle name="메모 4 7 2 3 4" xfId="25536" xr:uid="{00000000-0005-0000-0000-0000F9230000}"/>
    <cellStyle name="메모 4 7 2 3 5" xfId="28653" xr:uid="{00000000-0005-0000-0000-0000FA230000}"/>
    <cellStyle name="메모 4 7 2 3 6" xfId="17944" xr:uid="{00000000-0005-0000-0000-0000FB230000}"/>
    <cellStyle name="메모 4 7 2 4" xfId="16823" xr:uid="{00000000-0005-0000-0000-0000FC230000}"/>
    <cellStyle name="메모 4 7 2 4 2" xfId="24610" xr:uid="{00000000-0005-0000-0000-0000FD230000}"/>
    <cellStyle name="메모 4 7 2 4 3" xfId="26087" xr:uid="{00000000-0005-0000-0000-0000FE230000}"/>
    <cellStyle name="메모 4 7 2 4 4" xfId="29201" xr:uid="{00000000-0005-0000-0000-0000FF230000}"/>
    <cellStyle name="메모 4 7 2 4 5" xfId="21857" xr:uid="{00000000-0005-0000-0000-000000240000}"/>
    <cellStyle name="메모 4 7 2 5" xfId="21251" xr:uid="{00000000-0005-0000-0000-000001240000}"/>
    <cellStyle name="메모 4 7 2 5 2" xfId="19424" xr:uid="{00000000-0005-0000-0000-000002240000}"/>
    <cellStyle name="메모 4 7 2 5 3" xfId="25468" xr:uid="{00000000-0005-0000-0000-000003240000}"/>
    <cellStyle name="메모 4 7 2 5 4" xfId="28585" xr:uid="{00000000-0005-0000-0000-000004240000}"/>
    <cellStyle name="메모 4 7 2 6" xfId="20994" xr:uid="{00000000-0005-0000-0000-000005240000}"/>
    <cellStyle name="메모 4 7 2 6 2" xfId="24336" xr:uid="{00000000-0005-0000-0000-000006240000}"/>
    <cellStyle name="메모 4 7 2 6 3" xfId="25242" xr:uid="{00000000-0005-0000-0000-000007240000}"/>
    <cellStyle name="메모 4 7 2 6 4" xfId="28366" xr:uid="{00000000-0005-0000-0000-000008240000}"/>
    <cellStyle name="메모 4 7 2 7" xfId="22585" xr:uid="{00000000-0005-0000-0000-000009240000}"/>
    <cellStyle name="메모 4 7 2 7 2" xfId="19833" xr:uid="{00000000-0005-0000-0000-00000A240000}"/>
    <cellStyle name="메모 4 7 2 7 3" xfId="26815" xr:uid="{00000000-0005-0000-0000-00000B240000}"/>
    <cellStyle name="메모 4 7 2 7 4" xfId="29929" xr:uid="{00000000-0005-0000-0000-00000C240000}"/>
    <cellStyle name="메모 4 7 2 8" xfId="20715" xr:uid="{00000000-0005-0000-0000-00000D240000}"/>
    <cellStyle name="메모 4 7 2 9" xfId="19020" xr:uid="{00000000-0005-0000-0000-00000E240000}"/>
    <cellStyle name="메모 4 7 3" xfId="14642" xr:uid="{00000000-0005-0000-0000-00000F240000}"/>
    <cellStyle name="메모 4 7 3 10" xfId="17376" xr:uid="{00000000-0005-0000-0000-000010240000}"/>
    <cellStyle name="메모 4 7 3 2" xfId="15573" xr:uid="{00000000-0005-0000-0000-000011240000}"/>
    <cellStyle name="메모 4 7 3 2 2" xfId="24391" xr:uid="{00000000-0005-0000-0000-000012240000}"/>
    <cellStyle name="메모 4 7 3 2 3" xfId="25808" xr:uid="{00000000-0005-0000-0000-000013240000}"/>
    <cellStyle name="메모 4 7 3 2 4" xfId="28922" xr:uid="{00000000-0005-0000-0000-000014240000}"/>
    <cellStyle name="메모 4 7 3 2 5" xfId="21578" xr:uid="{00000000-0005-0000-0000-000015240000}"/>
    <cellStyle name="메모 4 7 3 3" xfId="15927" xr:uid="{00000000-0005-0000-0000-000016240000}"/>
    <cellStyle name="메모 4 7 3 3 2" xfId="24197" xr:uid="{00000000-0005-0000-0000-000017240000}"/>
    <cellStyle name="메모 4 7 3 3 3" xfId="26361" xr:uid="{00000000-0005-0000-0000-000018240000}"/>
    <cellStyle name="메모 4 7 3 3 4" xfId="29475" xr:uid="{00000000-0005-0000-0000-000019240000}"/>
    <cellStyle name="메모 4 7 3 3 5" xfId="22131" xr:uid="{00000000-0005-0000-0000-00001A240000}"/>
    <cellStyle name="메모 4 7 3 4" xfId="16824" xr:uid="{00000000-0005-0000-0000-00001B240000}"/>
    <cellStyle name="메모 4 7 3 4 2" xfId="19853" xr:uid="{00000000-0005-0000-0000-00001C240000}"/>
    <cellStyle name="메모 4 7 3 4 3" xfId="26837" xr:uid="{00000000-0005-0000-0000-00001D240000}"/>
    <cellStyle name="메모 4 7 3 4 4" xfId="29951" xr:uid="{00000000-0005-0000-0000-00001E240000}"/>
    <cellStyle name="메모 4 7 3 4 5" xfId="22607" xr:uid="{00000000-0005-0000-0000-00001F240000}"/>
    <cellStyle name="메모 4 7 3 5" xfId="23417" xr:uid="{00000000-0005-0000-0000-000020240000}"/>
    <cellStyle name="메모 4 7 3 5 2" xfId="20462" xr:uid="{00000000-0005-0000-0000-000021240000}"/>
    <cellStyle name="메모 4 7 3 5 3" xfId="27647" xr:uid="{00000000-0005-0000-0000-000022240000}"/>
    <cellStyle name="메모 4 7 3 5 4" xfId="30761" xr:uid="{00000000-0005-0000-0000-000023240000}"/>
    <cellStyle name="메모 4 7 3 6" xfId="20548" xr:uid="{00000000-0005-0000-0000-000024240000}"/>
    <cellStyle name="메모 4 7 3 7" xfId="18855" xr:uid="{00000000-0005-0000-0000-000025240000}"/>
    <cellStyle name="메모 4 7 3 8" xfId="24796" xr:uid="{00000000-0005-0000-0000-000026240000}"/>
    <cellStyle name="메모 4 7 3 9" xfId="27920" xr:uid="{00000000-0005-0000-0000-000027240000}"/>
    <cellStyle name="메모 4 7 4" xfId="15111" xr:uid="{00000000-0005-0000-0000-000028240000}"/>
    <cellStyle name="메모 4 7 4 2" xfId="15830" xr:uid="{00000000-0005-0000-0000-000029240000}"/>
    <cellStyle name="메모 4 7 4 2 2" xfId="24705" xr:uid="{00000000-0005-0000-0000-00002A240000}"/>
    <cellStyle name="메모 4 7 4 2 3" xfId="26243" xr:uid="{00000000-0005-0000-0000-00002B240000}"/>
    <cellStyle name="메모 4 7 4 2 4" xfId="29357" xr:uid="{00000000-0005-0000-0000-00002C240000}"/>
    <cellStyle name="메모 4 7 4 2 5" xfId="22013" xr:uid="{00000000-0005-0000-0000-00002D240000}"/>
    <cellStyle name="메모 4 7 4 3" xfId="16223" xr:uid="{00000000-0005-0000-0000-00002E240000}"/>
    <cellStyle name="메모 4 7 4 3 2" xfId="19742" xr:uid="{00000000-0005-0000-0000-00002F240000}"/>
    <cellStyle name="메모 4 7 4 3 3" xfId="26716" xr:uid="{00000000-0005-0000-0000-000030240000}"/>
    <cellStyle name="메모 4 7 4 3 4" xfId="29830" xr:uid="{00000000-0005-0000-0000-000031240000}"/>
    <cellStyle name="메모 4 7 4 3 5" xfId="22486" xr:uid="{00000000-0005-0000-0000-000032240000}"/>
    <cellStyle name="메모 4 7 4 4" xfId="16825" xr:uid="{00000000-0005-0000-0000-000033240000}"/>
    <cellStyle name="메모 4 7 4 4 2" xfId="20344" xr:uid="{00000000-0005-0000-0000-000034240000}"/>
    <cellStyle name="메모 4 7 4 4 3" xfId="27534" xr:uid="{00000000-0005-0000-0000-000035240000}"/>
    <cellStyle name="메모 4 7 4 4 4" xfId="30648" xr:uid="{00000000-0005-0000-0000-000036240000}"/>
    <cellStyle name="메모 4 7 4 4 5" xfId="23304" xr:uid="{00000000-0005-0000-0000-000037240000}"/>
    <cellStyle name="메모 4 7 4 5" xfId="19525" xr:uid="{00000000-0005-0000-0000-000038240000}"/>
    <cellStyle name="메모 4 7 4 6" xfId="25692" xr:uid="{00000000-0005-0000-0000-000039240000}"/>
    <cellStyle name="메모 4 7 4 7" xfId="28809" xr:uid="{00000000-0005-0000-0000-00003A240000}"/>
    <cellStyle name="메모 4 7 4 8" xfId="17381" xr:uid="{00000000-0005-0000-0000-00003B240000}"/>
    <cellStyle name="메모 4 7 5" xfId="14910" xr:uid="{00000000-0005-0000-0000-00003C240000}"/>
    <cellStyle name="메모 4 7 5 2" xfId="15660" xr:uid="{00000000-0005-0000-0000-00003D240000}"/>
    <cellStyle name="메모 4 7 5 2 2" xfId="31438" xr:uid="{00000000-0005-0000-0000-00003E240000}"/>
    <cellStyle name="메모 4 7 5 2 3" xfId="20893" xr:uid="{00000000-0005-0000-0000-00003F240000}"/>
    <cellStyle name="메모 4 7 5 3" xfId="16022" xr:uid="{00000000-0005-0000-0000-000040240000}"/>
    <cellStyle name="메모 4 7 5 3 2" xfId="31665" xr:uid="{00000000-0005-0000-0000-000041240000}"/>
    <cellStyle name="메모 4 7 5 3 3" xfId="24196" xr:uid="{00000000-0005-0000-0000-000042240000}"/>
    <cellStyle name="메모 4 7 5 4" xfId="16826" xr:uid="{00000000-0005-0000-0000-000043240000}"/>
    <cellStyle name="메모 4 7 5 4 2" xfId="32288" xr:uid="{00000000-0005-0000-0000-000044240000}"/>
    <cellStyle name="메모 4 7 5 4 3" xfId="25144" xr:uid="{00000000-0005-0000-0000-000045240000}"/>
    <cellStyle name="메모 4 7 5 5" xfId="28268" xr:uid="{00000000-0005-0000-0000-000046240000}"/>
    <cellStyle name="메모 4 7 5 6" xfId="17945" xr:uid="{00000000-0005-0000-0000-000047240000}"/>
    <cellStyle name="메모 4 7 6" xfId="15047" xr:uid="{00000000-0005-0000-0000-000048240000}"/>
    <cellStyle name="메모 4 7 6 2" xfId="15775" xr:uid="{00000000-0005-0000-0000-000049240000}"/>
    <cellStyle name="메모 4 7 6 2 2" xfId="31553" xr:uid="{00000000-0005-0000-0000-00004A240000}"/>
    <cellStyle name="메모 4 7 6 3" xfId="16159" xr:uid="{00000000-0005-0000-0000-00004B240000}"/>
    <cellStyle name="메모 4 7 6 3 2" xfId="31802" xr:uid="{00000000-0005-0000-0000-00004C240000}"/>
    <cellStyle name="메모 4 7 6 4" xfId="16827" xr:uid="{00000000-0005-0000-0000-00004D240000}"/>
    <cellStyle name="메모 4 7 6 4 2" xfId="32289" xr:uid="{00000000-0005-0000-0000-00004E240000}"/>
    <cellStyle name="메모 4 7 6 5" xfId="31264" xr:uid="{00000000-0005-0000-0000-00004F240000}"/>
    <cellStyle name="메모 4 7 6 6" xfId="18731" xr:uid="{00000000-0005-0000-0000-000050240000}"/>
    <cellStyle name="메모 4 7 7" xfId="14879" xr:uid="{00000000-0005-0000-0000-000051240000}"/>
    <cellStyle name="메모 4 7 7 2" xfId="15640" xr:uid="{00000000-0005-0000-0000-000052240000}"/>
    <cellStyle name="메모 4 7 7 2 2" xfId="31418" xr:uid="{00000000-0005-0000-0000-000053240000}"/>
    <cellStyle name="메모 4 7 7 3" xfId="15991" xr:uid="{00000000-0005-0000-0000-000054240000}"/>
    <cellStyle name="메모 4 7 7 3 2" xfId="31634" xr:uid="{00000000-0005-0000-0000-000055240000}"/>
    <cellStyle name="메모 4 7 7 4" xfId="16828" xr:uid="{00000000-0005-0000-0000-000056240000}"/>
    <cellStyle name="메모 4 7 7 4 2" xfId="32290" xr:uid="{00000000-0005-0000-0000-000057240000}"/>
    <cellStyle name="메모 4 7 7 5" xfId="31162" xr:uid="{00000000-0005-0000-0000-000058240000}"/>
    <cellStyle name="메모 4 7 7 6" xfId="18573" xr:uid="{00000000-0005-0000-0000-000059240000}"/>
    <cellStyle name="메모 4 7 8" xfId="15061" xr:uid="{00000000-0005-0000-0000-00005A240000}"/>
    <cellStyle name="메모 4 7 8 2" xfId="16173" xr:uid="{00000000-0005-0000-0000-00005B240000}"/>
    <cellStyle name="메모 4 7 8 2 2" xfId="31816" xr:uid="{00000000-0005-0000-0000-00005C240000}"/>
    <cellStyle name="메모 4 7 8 3" xfId="16829" xr:uid="{00000000-0005-0000-0000-00005D240000}"/>
    <cellStyle name="메모 4 7 8 3 2" xfId="32291" xr:uid="{00000000-0005-0000-0000-00005E240000}"/>
    <cellStyle name="메모 4 7 8 4" xfId="16830" xr:uid="{00000000-0005-0000-0000-00005F240000}"/>
    <cellStyle name="메모 4 7 8 4 2" xfId="32292" xr:uid="{00000000-0005-0000-0000-000060240000}"/>
    <cellStyle name="메모 4 7 8 5" xfId="18479" xr:uid="{00000000-0005-0000-0000-000061240000}"/>
    <cellStyle name="메모 4 7 9" xfId="15371" xr:uid="{00000000-0005-0000-0000-000062240000}"/>
    <cellStyle name="메모 4 7 9 2" xfId="15306" xr:uid="{00000000-0005-0000-0000-000063240000}"/>
    <cellStyle name="메모 4 7 9 2 2" xfId="31353" xr:uid="{00000000-0005-0000-0000-000064240000}"/>
    <cellStyle name="메모 4 7 9 3" xfId="16831" xr:uid="{00000000-0005-0000-0000-000065240000}"/>
    <cellStyle name="메모 4 7 9 3 2" xfId="32293" xr:uid="{00000000-0005-0000-0000-000066240000}"/>
    <cellStyle name="메모 4 7 9 4" xfId="16832" xr:uid="{00000000-0005-0000-0000-000067240000}"/>
    <cellStyle name="메모 4 7 9 4 2" xfId="32294" xr:uid="{00000000-0005-0000-0000-000068240000}"/>
    <cellStyle name="메모 4 7 9 5" xfId="31412" xr:uid="{00000000-0005-0000-0000-000069240000}"/>
    <cellStyle name="메모 4 8" xfId="14597" xr:uid="{00000000-0005-0000-0000-00006A240000}"/>
    <cellStyle name="메모 4 8 2" xfId="15528" xr:uid="{00000000-0005-0000-0000-00006B240000}"/>
    <cellStyle name="메모 4 8 2 2" xfId="22292" xr:uid="{00000000-0005-0000-0000-00006C240000}"/>
    <cellStyle name="메모 4 8 2 2 2" xfId="18442" xr:uid="{00000000-0005-0000-0000-00006D240000}"/>
    <cellStyle name="메모 4 8 2 2 3" xfId="26522" xr:uid="{00000000-0005-0000-0000-00006E240000}"/>
    <cellStyle name="메모 4 8 2 2 4" xfId="29636" xr:uid="{00000000-0005-0000-0000-00006F240000}"/>
    <cellStyle name="메모 4 8 2 3" xfId="22768" xr:uid="{00000000-0005-0000-0000-000070240000}"/>
    <cellStyle name="메모 4 8 2 3 2" xfId="20004" xr:uid="{00000000-0005-0000-0000-000071240000}"/>
    <cellStyle name="메모 4 8 2 3 3" xfId="26998" xr:uid="{00000000-0005-0000-0000-000072240000}"/>
    <cellStyle name="메모 4 8 2 3 4" xfId="30112" xr:uid="{00000000-0005-0000-0000-000073240000}"/>
    <cellStyle name="메모 4 8 2 4" xfId="23578" xr:uid="{00000000-0005-0000-0000-000074240000}"/>
    <cellStyle name="메모 4 8 2 4 2" xfId="23820" xr:uid="{00000000-0005-0000-0000-000075240000}"/>
    <cellStyle name="메모 4 8 2 4 3" xfId="27808" xr:uid="{00000000-0005-0000-0000-000076240000}"/>
    <cellStyle name="메모 4 8 2 4 4" xfId="30922" xr:uid="{00000000-0005-0000-0000-000077240000}"/>
    <cellStyle name="메모 4 8 2 5" xfId="24315" xr:uid="{00000000-0005-0000-0000-000078240000}"/>
    <cellStyle name="메모 4 8 2 6" xfId="25969" xr:uid="{00000000-0005-0000-0000-000079240000}"/>
    <cellStyle name="메모 4 8 2 7" xfId="29083" xr:uid="{00000000-0005-0000-0000-00007A240000}"/>
    <cellStyle name="메모 4 8 2 8" xfId="21739" xr:uid="{00000000-0005-0000-0000-00007B240000}"/>
    <cellStyle name="메모 4 8 3" xfId="15882" xr:uid="{00000000-0005-0000-0000-00007C240000}"/>
    <cellStyle name="메모 4 8 3 2" xfId="31607" xr:uid="{00000000-0005-0000-0000-00007D240000}"/>
    <cellStyle name="메모 4 8 3 3" xfId="21337" xr:uid="{00000000-0005-0000-0000-00007E240000}"/>
    <cellStyle name="메모 4 8 4" xfId="16833" xr:uid="{00000000-0005-0000-0000-00007F240000}"/>
    <cellStyle name="메모 4 8 4 2" xfId="32295" xr:uid="{00000000-0005-0000-0000-000080240000}"/>
    <cellStyle name="메모 4 8 4 3" xfId="20709" xr:uid="{00000000-0005-0000-0000-000081240000}"/>
    <cellStyle name="메모 4 8 5" xfId="19014" xr:uid="{00000000-0005-0000-0000-000082240000}"/>
    <cellStyle name="메모 4 8 6" xfId="24957" xr:uid="{00000000-0005-0000-0000-000083240000}"/>
    <cellStyle name="메모 4 8 7" xfId="28081" xr:uid="{00000000-0005-0000-0000-000084240000}"/>
    <cellStyle name="메모 4 8 8" xfId="17946" xr:uid="{00000000-0005-0000-0000-000085240000}"/>
    <cellStyle name="메모 4 9" xfId="14743" xr:uid="{00000000-0005-0000-0000-000086240000}"/>
    <cellStyle name="메모 4 9 2" xfId="15628" xr:uid="{00000000-0005-0000-0000-000087240000}"/>
    <cellStyle name="메모 4 9 2 2" xfId="23733" xr:uid="{00000000-0005-0000-0000-000088240000}"/>
    <cellStyle name="메모 4 9 2 3" xfId="25805" xr:uid="{00000000-0005-0000-0000-000089240000}"/>
    <cellStyle name="메모 4 9 2 4" xfId="28919" xr:uid="{00000000-0005-0000-0000-00008A240000}"/>
    <cellStyle name="메모 4 9 2 5" xfId="21575" xr:uid="{00000000-0005-0000-0000-00008B240000}"/>
    <cellStyle name="메모 4 9 3" xfId="15978" xr:uid="{00000000-0005-0000-0000-00008C240000}"/>
    <cellStyle name="메모 4 9 3 2" xfId="24629" xr:uid="{00000000-0005-0000-0000-00008D240000}"/>
    <cellStyle name="메모 4 9 3 3" xfId="26358" xr:uid="{00000000-0005-0000-0000-00008E240000}"/>
    <cellStyle name="메모 4 9 3 4" xfId="29472" xr:uid="{00000000-0005-0000-0000-00008F240000}"/>
    <cellStyle name="메모 4 9 3 5" xfId="22128" xr:uid="{00000000-0005-0000-0000-000090240000}"/>
    <cellStyle name="메모 4 9 4" xfId="16834" xr:uid="{00000000-0005-0000-0000-000091240000}"/>
    <cellStyle name="메모 4 9 4 2" xfId="19851" xr:uid="{00000000-0005-0000-0000-000092240000}"/>
    <cellStyle name="메모 4 9 4 3" xfId="26834" xr:uid="{00000000-0005-0000-0000-000093240000}"/>
    <cellStyle name="메모 4 9 4 4" xfId="29948" xr:uid="{00000000-0005-0000-0000-000094240000}"/>
    <cellStyle name="메모 4 9 4 5" xfId="22604" xr:uid="{00000000-0005-0000-0000-000095240000}"/>
    <cellStyle name="메모 4 9 5" xfId="23414" xr:uid="{00000000-0005-0000-0000-000096240000}"/>
    <cellStyle name="메모 4 9 5 2" xfId="20458" xr:uid="{00000000-0005-0000-0000-000097240000}"/>
    <cellStyle name="메모 4 9 5 3" xfId="27644" xr:uid="{00000000-0005-0000-0000-000098240000}"/>
    <cellStyle name="메모 4 9 5 4" xfId="30758" xr:uid="{00000000-0005-0000-0000-000099240000}"/>
    <cellStyle name="메모 4 9 6" xfId="18852" xr:uid="{00000000-0005-0000-0000-00009A240000}"/>
    <cellStyle name="메모 4 9 7" xfId="24793" xr:uid="{00000000-0005-0000-0000-00009B240000}"/>
    <cellStyle name="메모 4 9 8" xfId="27917" xr:uid="{00000000-0005-0000-0000-00009C240000}"/>
    <cellStyle name="메모 4 9 9" xfId="20545" xr:uid="{00000000-0005-0000-0000-00009D240000}"/>
    <cellStyle name="메모 5" xfId="12001" xr:uid="{00000000-0005-0000-0000-00009E240000}"/>
    <cellStyle name="메모 5 10" xfId="15112" xr:uid="{00000000-0005-0000-0000-00009F240000}"/>
    <cellStyle name="메모 5 10 2" xfId="15831" xr:uid="{00000000-0005-0000-0000-0000A0240000}"/>
    <cellStyle name="메모 5 10 2 2" xfId="24575" xr:uid="{00000000-0005-0000-0000-0000A1240000}"/>
    <cellStyle name="메모 5 10 2 3" xfId="26244" xr:uid="{00000000-0005-0000-0000-0000A2240000}"/>
    <cellStyle name="메모 5 10 2 4" xfId="29358" xr:uid="{00000000-0005-0000-0000-0000A3240000}"/>
    <cellStyle name="메모 5 10 2 5" xfId="22014" xr:uid="{00000000-0005-0000-0000-0000A4240000}"/>
    <cellStyle name="메모 5 10 3" xfId="16224" xr:uid="{00000000-0005-0000-0000-0000A5240000}"/>
    <cellStyle name="메모 5 10 3 2" xfId="19743" xr:uid="{00000000-0005-0000-0000-0000A6240000}"/>
    <cellStyle name="메모 5 10 3 3" xfId="26717" xr:uid="{00000000-0005-0000-0000-0000A7240000}"/>
    <cellStyle name="메모 5 10 3 4" xfId="29831" xr:uid="{00000000-0005-0000-0000-0000A8240000}"/>
    <cellStyle name="메모 5 10 3 5" xfId="22487" xr:uid="{00000000-0005-0000-0000-0000A9240000}"/>
    <cellStyle name="메모 5 10 4" xfId="16835" xr:uid="{00000000-0005-0000-0000-0000AA240000}"/>
    <cellStyle name="메모 5 10 4 2" xfId="20345" xr:uid="{00000000-0005-0000-0000-0000AB240000}"/>
    <cellStyle name="메모 5 10 4 3" xfId="27535" xr:uid="{00000000-0005-0000-0000-0000AC240000}"/>
    <cellStyle name="메모 5 10 4 4" xfId="30649" xr:uid="{00000000-0005-0000-0000-0000AD240000}"/>
    <cellStyle name="메모 5 10 4 5" xfId="23305" xr:uid="{00000000-0005-0000-0000-0000AE240000}"/>
    <cellStyle name="메모 5 10 5" xfId="19526" xr:uid="{00000000-0005-0000-0000-0000AF240000}"/>
    <cellStyle name="메모 5 10 6" xfId="25693" xr:uid="{00000000-0005-0000-0000-0000B0240000}"/>
    <cellStyle name="메모 5 10 7" xfId="28810" xr:uid="{00000000-0005-0000-0000-0000B1240000}"/>
    <cellStyle name="메모 5 10 8" xfId="21508" xr:uid="{00000000-0005-0000-0000-0000B2240000}"/>
    <cellStyle name="메모 5 11" xfId="14909" xr:uid="{00000000-0005-0000-0000-0000B3240000}"/>
    <cellStyle name="메모 5 11 2" xfId="15659" xr:uid="{00000000-0005-0000-0000-0000B4240000}"/>
    <cellStyle name="메모 5 11 2 2" xfId="31437" xr:uid="{00000000-0005-0000-0000-0000B5240000}"/>
    <cellStyle name="메모 5 11 2 3" xfId="19153" xr:uid="{00000000-0005-0000-0000-0000B6240000}"/>
    <cellStyle name="메모 5 11 3" xfId="16021" xr:uid="{00000000-0005-0000-0000-0000B7240000}"/>
    <cellStyle name="메모 5 11 3 2" xfId="31664" xr:uid="{00000000-0005-0000-0000-0000B8240000}"/>
    <cellStyle name="메모 5 11 3 3" xfId="25099" xr:uid="{00000000-0005-0000-0000-0000B9240000}"/>
    <cellStyle name="메모 5 11 4" xfId="16836" xr:uid="{00000000-0005-0000-0000-0000BA240000}"/>
    <cellStyle name="메모 5 11 4 2" xfId="28223" xr:uid="{00000000-0005-0000-0000-0000BB240000}"/>
    <cellStyle name="메모 5 11 5" xfId="20848" xr:uid="{00000000-0005-0000-0000-0000BC240000}"/>
    <cellStyle name="메모 5 12" xfId="15150" xr:uid="{00000000-0005-0000-0000-0000BD240000}"/>
    <cellStyle name="메모 5 12 2" xfId="15861" xr:uid="{00000000-0005-0000-0000-0000BE240000}"/>
    <cellStyle name="메모 5 12 2 2" xfId="31605" xr:uid="{00000000-0005-0000-0000-0000BF240000}"/>
    <cellStyle name="메모 5 12 3" xfId="16262" xr:uid="{00000000-0005-0000-0000-0000C0240000}"/>
    <cellStyle name="메모 5 12 3 2" xfId="31871" xr:uid="{00000000-0005-0000-0000-0000C1240000}"/>
    <cellStyle name="메모 5 12 4" xfId="16837" xr:uid="{00000000-0005-0000-0000-0000C2240000}"/>
    <cellStyle name="메모 5 12 4 2" xfId="32296" xr:uid="{00000000-0005-0000-0000-0000C3240000}"/>
    <cellStyle name="메모 5 12 5" xfId="31294" xr:uid="{00000000-0005-0000-0000-0000C4240000}"/>
    <cellStyle name="메모 5 12 6" xfId="18732" xr:uid="{00000000-0005-0000-0000-0000C5240000}"/>
    <cellStyle name="메모 5 13" xfId="15121" xr:uid="{00000000-0005-0000-0000-0000C6240000}"/>
    <cellStyle name="메모 5 13 2" xfId="15840" xr:uid="{00000000-0005-0000-0000-0000C7240000}"/>
    <cellStyle name="메모 5 13 2 2" xfId="31584" xr:uid="{00000000-0005-0000-0000-0000C8240000}"/>
    <cellStyle name="메모 5 13 3" xfId="16233" xr:uid="{00000000-0005-0000-0000-0000C9240000}"/>
    <cellStyle name="메모 5 13 3 2" xfId="31842" xr:uid="{00000000-0005-0000-0000-0000CA240000}"/>
    <cellStyle name="메모 5 13 4" xfId="16838" xr:uid="{00000000-0005-0000-0000-0000CB240000}"/>
    <cellStyle name="메모 5 13 4 2" xfId="32297" xr:uid="{00000000-0005-0000-0000-0000CC240000}"/>
    <cellStyle name="메모 5 13 5" xfId="31273" xr:uid="{00000000-0005-0000-0000-0000CD240000}"/>
    <cellStyle name="메모 5 13 6" xfId="18572" xr:uid="{00000000-0005-0000-0000-0000CE240000}"/>
    <cellStyle name="메모 5 14" xfId="15137" xr:uid="{00000000-0005-0000-0000-0000CF240000}"/>
    <cellStyle name="메모 5 14 2" xfId="16249" xr:uid="{00000000-0005-0000-0000-0000D0240000}"/>
    <cellStyle name="메모 5 14 2 2" xfId="31858" xr:uid="{00000000-0005-0000-0000-0000D1240000}"/>
    <cellStyle name="메모 5 14 3" xfId="16839" xr:uid="{00000000-0005-0000-0000-0000D2240000}"/>
    <cellStyle name="메모 5 14 3 2" xfId="32298" xr:uid="{00000000-0005-0000-0000-0000D3240000}"/>
    <cellStyle name="메모 5 14 4" xfId="16840" xr:uid="{00000000-0005-0000-0000-0000D4240000}"/>
    <cellStyle name="메모 5 14 4 2" xfId="32299" xr:uid="{00000000-0005-0000-0000-0000D5240000}"/>
    <cellStyle name="메모 5 14 5" xfId="18480" xr:uid="{00000000-0005-0000-0000-0000D6240000}"/>
    <cellStyle name="메모 5 15" xfId="15209" xr:uid="{00000000-0005-0000-0000-0000D7240000}"/>
    <cellStyle name="메모 5 15 2" xfId="31345" xr:uid="{00000000-0005-0000-0000-0000D8240000}"/>
    <cellStyle name="메모 5 16" xfId="16841" xr:uid="{00000000-0005-0000-0000-0000D9240000}"/>
    <cellStyle name="메모 5 16 2" xfId="32300" xr:uid="{00000000-0005-0000-0000-0000DA240000}"/>
    <cellStyle name="메모 5 17" xfId="16842" xr:uid="{00000000-0005-0000-0000-0000DB240000}"/>
    <cellStyle name="메모 5 17 2" xfId="32301" xr:uid="{00000000-0005-0000-0000-0000DC240000}"/>
    <cellStyle name="메모 5 2" xfId="12002" xr:uid="{00000000-0005-0000-0000-0000DD240000}"/>
    <cellStyle name="메모 5 2 10" xfId="15048" xr:uid="{00000000-0005-0000-0000-0000DE240000}"/>
    <cellStyle name="메모 5 2 10 2" xfId="15776" xr:uid="{00000000-0005-0000-0000-0000DF240000}"/>
    <cellStyle name="메모 5 2 10 2 2" xfId="31554" xr:uid="{00000000-0005-0000-0000-0000E0240000}"/>
    <cellStyle name="메모 5 2 10 3" xfId="16160" xr:uid="{00000000-0005-0000-0000-0000E1240000}"/>
    <cellStyle name="메모 5 2 10 3 2" xfId="31803" xr:uid="{00000000-0005-0000-0000-0000E2240000}"/>
    <cellStyle name="메모 5 2 10 4" xfId="16843" xr:uid="{00000000-0005-0000-0000-0000E3240000}"/>
    <cellStyle name="메모 5 2 10 4 2" xfId="32302" xr:uid="{00000000-0005-0000-0000-0000E4240000}"/>
    <cellStyle name="메모 5 2 10 5" xfId="31265" xr:uid="{00000000-0005-0000-0000-0000E5240000}"/>
    <cellStyle name="메모 5 2 10 6" xfId="18733" xr:uid="{00000000-0005-0000-0000-0000E6240000}"/>
    <cellStyle name="메모 5 2 11" xfId="14963" xr:uid="{00000000-0005-0000-0000-0000E7240000}"/>
    <cellStyle name="메모 5 2 11 2" xfId="15713" xr:uid="{00000000-0005-0000-0000-0000E8240000}"/>
    <cellStyle name="메모 5 2 11 2 2" xfId="31491" xr:uid="{00000000-0005-0000-0000-0000E9240000}"/>
    <cellStyle name="메모 5 2 11 3" xfId="16075" xr:uid="{00000000-0005-0000-0000-0000EA240000}"/>
    <cellStyle name="메모 5 2 11 3 2" xfId="31718" xr:uid="{00000000-0005-0000-0000-0000EB240000}"/>
    <cellStyle name="메모 5 2 11 4" xfId="16844" xr:uid="{00000000-0005-0000-0000-0000EC240000}"/>
    <cellStyle name="메모 5 2 11 4 2" xfId="32303" xr:uid="{00000000-0005-0000-0000-0000ED240000}"/>
    <cellStyle name="메모 5 2 11 5" xfId="31202" xr:uid="{00000000-0005-0000-0000-0000EE240000}"/>
    <cellStyle name="메모 5 2 11 6" xfId="18571" xr:uid="{00000000-0005-0000-0000-0000EF240000}"/>
    <cellStyle name="메모 5 2 12" xfId="14900" xr:uid="{00000000-0005-0000-0000-0000F0240000}"/>
    <cellStyle name="메모 5 2 12 2" xfId="16012" xr:uid="{00000000-0005-0000-0000-0000F1240000}"/>
    <cellStyle name="메모 5 2 12 2 2" xfId="31655" xr:uid="{00000000-0005-0000-0000-0000F2240000}"/>
    <cellStyle name="메모 5 2 12 3" xfId="16845" xr:uid="{00000000-0005-0000-0000-0000F3240000}"/>
    <cellStyle name="메모 5 2 12 3 2" xfId="32304" xr:uid="{00000000-0005-0000-0000-0000F4240000}"/>
    <cellStyle name="메모 5 2 12 4" xfId="16846" xr:uid="{00000000-0005-0000-0000-0000F5240000}"/>
    <cellStyle name="메모 5 2 12 4 2" xfId="32305" xr:uid="{00000000-0005-0000-0000-0000F6240000}"/>
    <cellStyle name="메모 5 2 12 5" xfId="18481" xr:uid="{00000000-0005-0000-0000-0000F7240000}"/>
    <cellStyle name="메모 5 2 13" xfId="15210" xr:uid="{00000000-0005-0000-0000-0000F8240000}"/>
    <cellStyle name="메모 5 2 13 2" xfId="31346" xr:uid="{00000000-0005-0000-0000-0000F9240000}"/>
    <cellStyle name="메모 5 2 14" xfId="16847" xr:uid="{00000000-0005-0000-0000-0000FA240000}"/>
    <cellStyle name="메모 5 2 14 2" xfId="32306" xr:uid="{00000000-0005-0000-0000-0000FB240000}"/>
    <cellStyle name="메모 5 2 15" xfId="16848" xr:uid="{00000000-0005-0000-0000-0000FC240000}"/>
    <cellStyle name="메모 5 2 15 2" xfId="32307" xr:uid="{00000000-0005-0000-0000-0000FD240000}"/>
    <cellStyle name="메모 5 2 2" xfId="12003" xr:uid="{00000000-0005-0000-0000-0000FE240000}"/>
    <cellStyle name="메모 5 2 3" xfId="12004" xr:uid="{00000000-0005-0000-0000-0000FF240000}"/>
    <cellStyle name="메모 5 2 4" xfId="12005" xr:uid="{00000000-0005-0000-0000-000000250000}"/>
    <cellStyle name="메모 5 2 5" xfId="14735" xr:uid="{00000000-0005-0000-0000-000001250000}"/>
    <cellStyle name="메모 5 2 5 2" xfId="15621" xr:uid="{00000000-0005-0000-0000-000002250000}"/>
    <cellStyle name="메모 5 2 5 2 2" xfId="22300" xr:uid="{00000000-0005-0000-0000-000003250000}"/>
    <cellStyle name="메모 5 2 5 2 2 2" xfId="19154" xr:uid="{00000000-0005-0000-0000-000004250000}"/>
    <cellStyle name="메모 5 2 5 2 2 3" xfId="26530" xr:uid="{00000000-0005-0000-0000-000005250000}"/>
    <cellStyle name="메모 5 2 5 2 2 4" xfId="29644" xr:uid="{00000000-0005-0000-0000-000006250000}"/>
    <cellStyle name="메모 5 2 5 2 3" xfId="22776" xr:uid="{00000000-0005-0000-0000-000007250000}"/>
    <cellStyle name="메모 5 2 5 2 3 2" xfId="20012" xr:uid="{00000000-0005-0000-0000-000008250000}"/>
    <cellStyle name="메모 5 2 5 2 3 3" xfId="27006" xr:uid="{00000000-0005-0000-0000-000009250000}"/>
    <cellStyle name="메모 5 2 5 2 3 4" xfId="30120" xr:uid="{00000000-0005-0000-0000-00000A250000}"/>
    <cellStyle name="메모 5 2 5 2 4" xfId="23586" xr:uid="{00000000-0005-0000-0000-00000B250000}"/>
    <cellStyle name="메모 5 2 5 2 4 2" xfId="18243" xr:uid="{00000000-0005-0000-0000-00000C250000}"/>
    <cellStyle name="메모 5 2 5 2 4 3" xfId="27816" xr:uid="{00000000-0005-0000-0000-00000D250000}"/>
    <cellStyle name="메모 5 2 5 2 4 4" xfId="30930" xr:uid="{00000000-0005-0000-0000-00000E250000}"/>
    <cellStyle name="메모 5 2 5 2 5" xfId="24213" xr:uid="{00000000-0005-0000-0000-00000F250000}"/>
    <cellStyle name="메모 5 2 5 2 6" xfId="25977" xr:uid="{00000000-0005-0000-0000-000010250000}"/>
    <cellStyle name="메모 5 2 5 2 7" xfId="29091" xr:uid="{00000000-0005-0000-0000-000011250000}"/>
    <cellStyle name="메모 5 2 5 2 8" xfId="21747" xr:uid="{00000000-0005-0000-0000-000012250000}"/>
    <cellStyle name="메모 5 2 5 3" xfId="15971" xr:uid="{00000000-0005-0000-0000-000013250000}"/>
    <cellStyle name="메모 5 2 5 3 2" xfId="31626" xr:uid="{00000000-0005-0000-0000-000014250000}"/>
    <cellStyle name="메모 5 2 5 3 3" xfId="21345" xr:uid="{00000000-0005-0000-0000-000015250000}"/>
    <cellStyle name="메모 5 2 5 4" xfId="16849" xr:uid="{00000000-0005-0000-0000-000016250000}"/>
    <cellStyle name="메모 5 2 5 4 2" xfId="32308" xr:uid="{00000000-0005-0000-0000-000017250000}"/>
    <cellStyle name="메모 5 2 5 4 3" xfId="20717" xr:uid="{00000000-0005-0000-0000-000018250000}"/>
    <cellStyle name="메모 5 2 5 5" xfId="19022" xr:uid="{00000000-0005-0000-0000-000019250000}"/>
    <cellStyle name="메모 5 2 5 6" xfId="24965" xr:uid="{00000000-0005-0000-0000-00001A250000}"/>
    <cellStyle name="메모 5 2 5 7" xfId="28089" xr:uid="{00000000-0005-0000-0000-00001B250000}"/>
    <cellStyle name="메모 5 2 5 8" xfId="17947" xr:uid="{00000000-0005-0000-0000-00001C250000}"/>
    <cellStyle name="메모 5 2 6" xfId="14589" xr:uid="{00000000-0005-0000-0000-00001D250000}"/>
    <cellStyle name="메모 5 2 6 10" xfId="24795" xr:uid="{00000000-0005-0000-0000-00001E250000}"/>
    <cellStyle name="메모 5 2 6 11" xfId="27919" xr:uid="{00000000-0005-0000-0000-00001F250000}"/>
    <cellStyle name="메모 5 2 6 12" xfId="17948" xr:uid="{00000000-0005-0000-0000-000020250000}"/>
    <cellStyle name="메모 5 2 6 2" xfId="15520" xr:uid="{00000000-0005-0000-0000-000021250000}"/>
    <cellStyle name="메모 5 2 6 2 2" xfId="22130" xr:uid="{00000000-0005-0000-0000-000022250000}"/>
    <cellStyle name="메모 5 2 6 2 2 2" xfId="24368" xr:uid="{00000000-0005-0000-0000-000023250000}"/>
    <cellStyle name="메모 5 2 6 2 2 3" xfId="26360" xr:uid="{00000000-0005-0000-0000-000024250000}"/>
    <cellStyle name="메모 5 2 6 2 2 4" xfId="29474" xr:uid="{00000000-0005-0000-0000-000025250000}"/>
    <cellStyle name="메모 5 2 6 2 3" xfId="22606" xr:uid="{00000000-0005-0000-0000-000026250000}"/>
    <cellStyle name="메모 5 2 6 2 3 2" xfId="19852" xr:uid="{00000000-0005-0000-0000-000027250000}"/>
    <cellStyle name="메모 5 2 6 2 3 3" xfId="26836" xr:uid="{00000000-0005-0000-0000-000028250000}"/>
    <cellStyle name="메모 5 2 6 2 3 4" xfId="29950" xr:uid="{00000000-0005-0000-0000-000029250000}"/>
    <cellStyle name="메모 5 2 6 2 4" xfId="23416" xr:uid="{00000000-0005-0000-0000-00002A250000}"/>
    <cellStyle name="메모 5 2 6 2 4 2" xfId="20461" xr:uid="{00000000-0005-0000-0000-00002B250000}"/>
    <cellStyle name="메모 5 2 6 2 4 3" xfId="27646" xr:uid="{00000000-0005-0000-0000-00002C250000}"/>
    <cellStyle name="메모 5 2 6 2 4 4" xfId="30760" xr:uid="{00000000-0005-0000-0000-00002D250000}"/>
    <cellStyle name="메모 5 2 6 2 5" xfId="24567" xr:uid="{00000000-0005-0000-0000-00002E250000}"/>
    <cellStyle name="메모 5 2 6 2 6" xfId="25807" xr:uid="{00000000-0005-0000-0000-00002F250000}"/>
    <cellStyle name="메모 5 2 6 2 7" xfId="28921" xr:uid="{00000000-0005-0000-0000-000030250000}"/>
    <cellStyle name="메모 5 2 6 2 8" xfId="21577" xr:uid="{00000000-0005-0000-0000-000031250000}"/>
    <cellStyle name="메모 5 2 6 3" xfId="15874" xr:uid="{00000000-0005-0000-0000-000032250000}"/>
    <cellStyle name="메모 5 2 6 3 2" xfId="21169" xr:uid="{00000000-0005-0000-0000-000033250000}"/>
    <cellStyle name="메모 5 2 6 3 3" xfId="25639" xr:uid="{00000000-0005-0000-0000-000034250000}"/>
    <cellStyle name="메모 5 2 6 3 4" xfId="28756" xr:uid="{00000000-0005-0000-0000-000035250000}"/>
    <cellStyle name="메모 5 2 6 3 5" xfId="21452" xr:uid="{00000000-0005-0000-0000-000036250000}"/>
    <cellStyle name="메모 5 2 6 4" xfId="16850" xr:uid="{00000000-0005-0000-0000-000037250000}"/>
    <cellStyle name="메모 5 2 6 4 2" xfId="24636" xr:uid="{00000000-0005-0000-0000-000038250000}"/>
    <cellStyle name="메모 5 2 6 4 3" xfId="26190" xr:uid="{00000000-0005-0000-0000-000039250000}"/>
    <cellStyle name="메모 5 2 6 4 4" xfId="29304" xr:uid="{00000000-0005-0000-0000-00003A250000}"/>
    <cellStyle name="메모 5 2 6 4 5" xfId="21960" xr:uid="{00000000-0005-0000-0000-00003B250000}"/>
    <cellStyle name="메모 5 2 6 5" xfId="22433" xr:uid="{00000000-0005-0000-0000-00003C250000}"/>
    <cellStyle name="메모 5 2 6 5 2" xfId="19696" xr:uid="{00000000-0005-0000-0000-00003D250000}"/>
    <cellStyle name="메모 5 2 6 5 3" xfId="26663" xr:uid="{00000000-0005-0000-0000-00003E250000}"/>
    <cellStyle name="메모 5 2 6 5 4" xfId="29777" xr:uid="{00000000-0005-0000-0000-00003F250000}"/>
    <cellStyle name="메모 5 2 6 6" xfId="22906" xr:uid="{00000000-0005-0000-0000-000040250000}"/>
    <cellStyle name="메모 5 2 6 6 2" xfId="20129" xr:uid="{00000000-0005-0000-0000-000041250000}"/>
    <cellStyle name="메모 5 2 6 6 3" xfId="27136" xr:uid="{00000000-0005-0000-0000-000042250000}"/>
    <cellStyle name="메모 5 2 6 6 4" xfId="30250" xr:uid="{00000000-0005-0000-0000-000043250000}"/>
    <cellStyle name="메모 5 2 6 7" xfId="23251" xr:uid="{00000000-0005-0000-0000-000044250000}"/>
    <cellStyle name="메모 5 2 6 7 2" xfId="21467" xr:uid="{00000000-0005-0000-0000-000045250000}"/>
    <cellStyle name="메모 5 2 6 7 3" xfId="27481" xr:uid="{00000000-0005-0000-0000-000046250000}"/>
    <cellStyle name="메모 5 2 6 7 4" xfId="30595" xr:uid="{00000000-0005-0000-0000-000047250000}"/>
    <cellStyle name="메모 5 2 6 8" xfId="20547" xr:uid="{00000000-0005-0000-0000-000048250000}"/>
    <cellStyle name="메모 5 2 6 9" xfId="18854" xr:uid="{00000000-0005-0000-0000-000049250000}"/>
    <cellStyle name="메모 5 2 7" xfId="14641" xr:uid="{00000000-0005-0000-0000-00004A250000}"/>
    <cellStyle name="메모 5 2 7 2" xfId="15572" xr:uid="{00000000-0005-0000-0000-00004B250000}"/>
    <cellStyle name="메모 5 2 7 2 2" xfId="24445" xr:uid="{00000000-0005-0000-0000-00004C250000}"/>
    <cellStyle name="메모 5 2 7 2 3" xfId="26245" xr:uid="{00000000-0005-0000-0000-00004D250000}"/>
    <cellStyle name="메모 5 2 7 2 4" xfId="29359" xr:uid="{00000000-0005-0000-0000-00004E250000}"/>
    <cellStyle name="메모 5 2 7 2 5" xfId="22015" xr:uid="{00000000-0005-0000-0000-00004F250000}"/>
    <cellStyle name="메모 5 2 7 3" xfId="15926" xr:uid="{00000000-0005-0000-0000-000050250000}"/>
    <cellStyle name="메모 5 2 7 3 2" xfId="19744" xr:uid="{00000000-0005-0000-0000-000051250000}"/>
    <cellStyle name="메모 5 2 7 3 3" xfId="26718" xr:uid="{00000000-0005-0000-0000-000052250000}"/>
    <cellStyle name="메모 5 2 7 3 4" xfId="29832" xr:uid="{00000000-0005-0000-0000-000053250000}"/>
    <cellStyle name="메모 5 2 7 3 5" xfId="22488" xr:uid="{00000000-0005-0000-0000-000054250000}"/>
    <cellStyle name="메모 5 2 7 4" xfId="16851" xr:uid="{00000000-0005-0000-0000-000055250000}"/>
    <cellStyle name="메모 5 2 7 4 2" xfId="20346" xr:uid="{00000000-0005-0000-0000-000056250000}"/>
    <cellStyle name="메모 5 2 7 4 3" xfId="27536" xr:uid="{00000000-0005-0000-0000-000057250000}"/>
    <cellStyle name="메모 5 2 7 4 4" xfId="30650" xr:uid="{00000000-0005-0000-0000-000058250000}"/>
    <cellStyle name="메모 5 2 7 4 5" xfId="23306" xr:uid="{00000000-0005-0000-0000-000059250000}"/>
    <cellStyle name="메모 5 2 7 5" xfId="21509" xr:uid="{00000000-0005-0000-0000-00005A250000}"/>
    <cellStyle name="메모 5 2 7 6" xfId="23700" xr:uid="{00000000-0005-0000-0000-00005B250000}"/>
    <cellStyle name="메모 5 2 7 7" xfId="25694" xr:uid="{00000000-0005-0000-0000-00005C250000}"/>
    <cellStyle name="메모 5 2 7 8" xfId="28811" xr:uid="{00000000-0005-0000-0000-00005D250000}"/>
    <cellStyle name="메모 5 2 7 9" xfId="17949" xr:uid="{00000000-0005-0000-0000-00005E250000}"/>
    <cellStyle name="메모 5 2 8" xfId="15113" xr:uid="{00000000-0005-0000-0000-00005F250000}"/>
    <cellStyle name="메모 5 2 8 2" xfId="15832" xr:uid="{00000000-0005-0000-0000-000060250000}"/>
    <cellStyle name="메모 5 2 8 2 2" xfId="31577" xr:uid="{00000000-0005-0000-0000-000061250000}"/>
    <cellStyle name="메모 5 2 8 2 3" xfId="23988" xr:uid="{00000000-0005-0000-0000-000062250000}"/>
    <cellStyle name="메모 5 2 8 3" xfId="16225" xr:uid="{00000000-0005-0000-0000-000063250000}"/>
    <cellStyle name="메모 5 2 8 3 2" xfId="31835" xr:uid="{00000000-0005-0000-0000-000064250000}"/>
    <cellStyle name="메모 5 2 8 3 3" xfId="25145" xr:uid="{00000000-0005-0000-0000-000065250000}"/>
    <cellStyle name="메모 5 2 8 4" xfId="16852" xr:uid="{00000000-0005-0000-0000-000066250000}"/>
    <cellStyle name="메모 5 2 8 4 2" xfId="28269" xr:uid="{00000000-0005-0000-0000-000067250000}"/>
    <cellStyle name="메모 5 2 8 5" xfId="20894" xr:uid="{00000000-0005-0000-0000-000068250000}"/>
    <cellStyle name="메모 5 2 9" xfId="14908" xr:uid="{00000000-0005-0000-0000-000069250000}"/>
    <cellStyle name="메모 5 2 9 2" xfId="15658" xr:uid="{00000000-0005-0000-0000-00006A250000}"/>
    <cellStyle name="메모 5 2 9 2 2" xfId="31436" xr:uid="{00000000-0005-0000-0000-00006B250000}"/>
    <cellStyle name="메모 5 2 9 3" xfId="16020" xr:uid="{00000000-0005-0000-0000-00006C250000}"/>
    <cellStyle name="메모 5 2 9 3 2" xfId="31663" xr:uid="{00000000-0005-0000-0000-00006D250000}"/>
    <cellStyle name="메모 5 2 9 4" xfId="16853" xr:uid="{00000000-0005-0000-0000-00006E250000}"/>
    <cellStyle name="메모 5 2 9 4 2" xfId="32309" xr:uid="{00000000-0005-0000-0000-00006F250000}"/>
    <cellStyle name="메모 5 2 9 5" xfId="31179" xr:uid="{00000000-0005-0000-0000-000070250000}"/>
    <cellStyle name="메모 5 2 9 6" xfId="20469" xr:uid="{00000000-0005-0000-0000-000071250000}"/>
    <cellStyle name="메모 5 3" xfId="12006" xr:uid="{00000000-0005-0000-0000-000072250000}"/>
    <cellStyle name="메모 5 3 10" xfId="15049" xr:uid="{00000000-0005-0000-0000-000073250000}"/>
    <cellStyle name="메모 5 3 10 2" xfId="15777" xr:uid="{00000000-0005-0000-0000-000074250000}"/>
    <cellStyle name="메모 5 3 10 2 2" xfId="31555" xr:uid="{00000000-0005-0000-0000-000075250000}"/>
    <cellStyle name="메모 5 3 10 3" xfId="16161" xr:uid="{00000000-0005-0000-0000-000076250000}"/>
    <cellStyle name="메모 5 3 10 3 2" xfId="31804" xr:uid="{00000000-0005-0000-0000-000077250000}"/>
    <cellStyle name="메모 5 3 10 4" xfId="16854" xr:uid="{00000000-0005-0000-0000-000078250000}"/>
    <cellStyle name="메모 5 3 10 4 2" xfId="32310" xr:uid="{00000000-0005-0000-0000-000079250000}"/>
    <cellStyle name="메모 5 3 10 5" xfId="31266" xr:uid="{00000000-0005-0000-0000-00007A250000}"/>
    <cellStyle name="메모 5 3 10 6" xfId="18737" xr:uid="{00000000-0005-0000-0000-00007B250000}"/>
    <cellStyle name="메모 5 3 11" xfId="14880" xr:uid="{00000000-0005-0000-0000-00007C250000}"/>
    <cellStyle name="메모 5 3 11 2" xfId="15641" xr:uid="{00000000-0005-0000-0000-00007D250000}"/>
    <cellStyle name="메모 5 3 11 2 2" xfId="31419" xr:uid="{00000000-0005-0000-0000-00007E250000}"/>
    <cellStyle name="메모 5 3 11 3" xfId="15992" xr:uid="{00000000-0005-0000-0000-00007F250000}"/>
    <cellStyle name="메모 5 3 11 3 2" xfId="31635" xr:uid="{00000000-0005-0000-0000-000080250000}"/>
    <cellStyle name="메모 5 3 11 4" xfId="16855" xr:uid="{00000000-0005-0000-0000-000081250000}"/>
    <cellStyle name="메모 5 3 11 4 2" xfId="32311" xr:uid="{00000000-0005-0000-0000-000082250000}"/>
    <cellStyle name="메모 5 3 11 5" xfId="31163" xr:uid="{00000000-0005-0000-0000-000083250000}"/>
    <cellStyle name="메모 5 3 11 6" xfId="23745" xr:uid="{00000000-0005-0000-0000-000084250000}"/>
    <cellStyle name="메모 5 3 12" xfId="15060" xr:uid="{00000000-0005-0000-0000-000085250000}"/>
    <cellStyle name="메모 5 3 12 2" xfId="16172" xr:uid="{00000000-0005-0000-0000-000086250000}"/>
    <cellStyle name="메모 5 3 12 2 2" xfId="31815" xr:uid="{00000000-0005-0000-0000-000087250000}"/>
    <cellStyle name="메모 5 3 12 3" xfId="16856" xr:uid="{00000000-0005-0000-0000-000088250000}"/>
    <cellStyle name="메모 5 3 12 3 2" xfId="32312" xr:uid="{00000000-0005-0000-0000-000089250000}"/>
    <cellStyle name="메모 5 3 12 4" xfId="16857" xr:uid="{00000000-0005-0000-0000-00008A250000}"/>
    <cellStyle name="메모 5 3 12 4 2" xfId="32313" xr:uid="{00000000-0005-0000-0000-00008B250000}"/>
    <cellStyle name="메모 5 3 12 5" xfId="25409" xr:uid="{00000000-0005-0000-0000-00008C250000}"/>
    <cellStyle name="메모 5 3 13" xfId="15211" xr:uid="{00000000-0005-0000-0000-00008D250000}"/>
    <cellStyle name="메모 5 3 13 2" xfId="31347" xr:uid="{00000000-0005-0000-0000-00008E250000}"/>
    <cellStyle name="메모 5 3 14" xfId="16858" xr:uid="{00000000-0005-0000-0000-00008F250000}"/>
    <cellStyle name="메모 5 3 14 2" xfId="32314" xr:uid="{00000000-0005-0000-0000-000090250000}"/>
    <cellStyle name="메모 5 3 15" xfId="16859" xr:uid="{00000000-0005-0000-0000-000091250000}"/>
    <cellStyle name="메모 5 3 15 2" xfId="32315" xr:uid="{00000000-0005-0000-0000-000092250000}"/>
    <cellStyle name="메모 5 3 2" xfId="12007" xr:uid="{00000000-0005-0000-0000-000093250000}"/>
    <cellStyle name="메모 5 3 3" xfId="12008" xr:uid="{00000000-0005-0000-0000-000094250000}"/>
    <cellStyle name="메모 5 3 4" xfId="12009" xr:uid="{00000000-0005-0000-0000-000095250000}"/>
    <cellStyle name="메모 5 3 5" xfId="14736" xr:uid="{00000000-0005-0000-0000-000096250000}"/>
    <cellStyle name="메모 5 3 5 2" xfId="15622" xr:uid="{00000000-0005-0000-0000-000097250000}"/>
    <cellStyle name="메모 5 3 5 2 2" xfId="22301" xr:uid="{00000000-0005-0000-0000-000098250000}"/>
    <cellStyle name="메모 5 3 5 2 2 2" xfId="18449" xr:uid="{00000000-0005-0000-0000-000099250000}"/>
    <cellStyle name="메모 5 3 5 2 2 3" xfId="26531" xr:uid="{00000000-0005-0000-0000-00009A250000}"/>
    <cellStyle name="메모 5 3 5 2 2 4" xfId="29645" xr:uid="{00000000-0005-0000-0000-00009B250000}"/>
    <cellStyle name="메모 5 3 5 2 3" xfId="22777" xr:uid="{00000000-0005-0000-0000-00009C250000}"/>
    <cellStyle name="메모 5 3 5 2 3 2" xfId="20013" xr:uid="{00000000-0005-0000-0000-00009D250000}"/>
    <cellStyle name="메모 5 3 5 2 3 3" xfId="27007" xr:uid="{00000000-0005-0000-0000-00009E250000}"/>
    <cellStyle name="메모 5 3 5 2 3 4" xfId="30121" xr:uid="{00000000-0005-0000-0000-00009F250000}"/>
    <cellStyle name="메모 5 3 5 2 4" xfId="23587" xr:uid="{00000000-0005-0000-0000-0000A0250000}"/>
    <cellStyle name="메모 5 3 5 2 4 2" xfId="18244" xr:uid="{00000000-0005-0000-0000-0000A1250000}"/>
    <cellStyle name="메모 5 3 5 2 4 3" xfId="27817" xr:uid="{00000000-0005-0000-0000-0000A2250000}"/>
    <cellStyle name="메모 5 3 5 2 4 4" xfId="30931" xr:uid="{00000000-0005-0000-0000-0000A3250000}"/>
    <cellStyle name="메모 5 3 5 2 5" xfId="24005" xr:uid="{00000000-0005-0000-0000-0000A4250000}"/>
    <cellStyle name="메모 5 3 5 2 6" xfId="25978" xr:uid="{00000000-0005-0000-0000-0000A5250000}"/>
    <cellStyle name="메모 5 3 5 2 7" xfId="29092" xr:uid="{00000000-0005-0000-0000-0000A6250000}"/>
    <cellStyle name="메모 5 3 5 2 8" xfId="21748" xr:uid="{00000000-0005-0000-0000-0000A7250000}"/>
    <cellStyle name="메모 5 3 5 3" xfId="15972" xr:uid="{00000000-0005-0000-0000-0000A8250000}"/>
    <cellStyle name="메모 5 3 5 3 2" xfId="31627" xr:uid="{00000000-0005-0000-0000-0000A9250000}"/>
    <cellStyle name="메모 5 3 5 3 3" xfId="21346" xr:uid="{00000000-0005-0000-0000-0000AA250000}"/>
    <cellStyle name="메모 5 3 5 4" xfId="16860" xr:uid="{00000000-0005-0000-0000-0000AB250000}"/>
    <cellStyle name="메모 5 3 5 4 2" xfId="32316" xr:uid="{00000000-0005-0000-0000-0000AC250000}"/>
    <cellStyle name="메모 5 3 5 4 3" xfId="20718" xr:uid="{00000000-0005-0000-0000-0000AD250000}"/>
    <cellStyle name="메모 5 3 5 5" xfId="19023" xr:uid="{00000000-0005-0000-0000-0000AE250000}"/>
    <cellStyle name="메모 5 3 5 6" xfId="24966" xr:uid="{00000000-0005-0000-0000-0000AF250000}"/>
    <cellStyle name="메모 5 3 5 7" xfId="28090" xr:uid="{00000000-0005-0000-0000-0000B0250000}"/>
    <cellStyle name="메모 5 3 5 8" xfId="17950" xr:uid="{00000000-0005-0000-0000-0000B1250000}"/>
    <cellStyle name="메모 5 3 6" xfId="14588" xr:uid="{00000000-0005-0000-0000-0000B2250000}"/>
    <cellStyle name="메모 5 3 6 10" xfId="24797" xr:uid="{00000000-0005-0000-0000-0000B3250000}"/>
    <cellStyle name="메모 5 3 6 11" xfId="27921" xr:uid="{00000000-0005-0000-0000-0000B4250000}"/>
    <cellStyle name="메모 5 3 6 12" xfId="17951" xr:uid="{00000000-0005-0000-0000-0000B5250000}"/>
    <cellStyle name="메모 5 3 6 2" xfId="15519" xr:uid="{00000000-0005-0000-0000-0000B6250000}"/>
    <cellStyle name="메모 5 3 6 2 2" xfId="22132" xr:uid="{00000000-0005-0000-0000-0000B7250000}"/>
    <cellStyle name="메모 5 3 6 2 2 2" xfId="23989" xr:uid="{00000000-0005-0000-0000-0000B8250000}"/>
    <cellStyle name="메모 5 3 6 2 2 3" xfId="26362" xr:uid="{00000000-0005-0000-0000-0000B9250000}"/>
    <cellStyle name="메모 5 3 6 2 2 4" xfId="29476" xr:uid="{00000000-0005-0000-0000-0000BA250000}"/>
    <cellStyle name="메모 5 3 6 2 3" xfId="22608" xr:uid="{00000000-0005-0000-0000-0000BB250000}"/>
    <cellStyle name="메모 5 3 6 2 3 2" xfId="19854" xr:uid="{00000000-0005-0000-0000-0000BC250000}"/>
    <cellStyle name="메모 5 3 6 2 3 3" xfId="26838" xr:uid="{00000000-0005-0000-0000-0000BD250000}"/>
    <cellStyle name="메모 5 3 6 2 3 4" xfId="29952" xr:uid="{00000000-0005-0000-0000-0000BE250000}"/>
    <cellStyle name="메모 5 3 6 2 4" xfId="23418" xr:uid="{00000000-0005-0000-0000-0000BF250000}"/>
    <cellStyle name="메모 5 3 6 2 4 2" xfId="20463" xr:uid="{00000000-0005-0000-0000-0000C0250000}"/>
    <cellStyle name="메모 5 3 6 2 4 3" xfId="27648" xr:uid="{00000000-0005-0000-0000-0000C1250000}"/>
    <cellStyle name="메모 5 3 6 2 4 4" xfId="30762" xr:uid="{00000000-0005-0000-0000-0000C2250000}"/>
    <cellStyle name="메모 5 3 6 2 5" xfId="24220" xr:uid="{00000000-0005-0000-0000-0000C3250000}"/>
    <cellStyle name="메모 5 3 6 2 6" xfId="25809" xr:uid="{00000000-0005-0000-0000-0000C4250000}"/>
    <cellStyle name="메모 5 3 6 2 7" xfId="28923" xr:uid="{00000000-0005-0000-0000-0000C5250000}"/>
    <cellStyle name="메모 5 3 6 2 8" xfId="21579" xr:uid="{00000000-0005-0000-0000-0000C6250000}"/>
    <cellStyle name="메모 5 3 6 3" xfId="15873" xr:uid="{00000000-0005-0000-0000-0000C7250000}"/>
    <cellStyle name="메모 5 3 6 3 2" xfId="19495" xr:uid="{00000000-0005-0000-0000-0000C8250000}"/>
    <cellStyle name="메모 5 3 6 3 3" xfId="25640" xr:uid="{00000000-0005-0000-0000-0000C9250000}"/>
    <cellStyle name="메모 5 3 6 3 4" xfId="28757" xr:uid="{00000000-0005-0000-0000-0000CA250000}"/>
    <cellStyle name="메모 5 3 6 3 5" xfId="21453" xr:uid="{00000000-0005-0000-0000-0000CB250000}"/>
    <cellStyle name="메모 5 3 6 4" xfId="16861" xr:uid="{00000000-0005-0000-0000-0000CC250000}"/>
    <cellStyle name="메모 5 3 6 4 2" xfId="24551" xr:uid="{00000000-0005-0000-0000-0000CD250000}"/>
    <cellStyle name="메모 5 3 6 4 3" xfId="26191" xr:uid="{00000000-0005-0000-0000-0000CE250000}"/>
    <cellStyle name="메모 5 3 6 4 4" xfId="29305" xr:uid="{00000000-0005-0000-0000-0000CF250000}"/>
    <cellStyle name="메모 5 3 6 4 5" xfId="21961" xr:uid="{00000000-0005-0000-0000-0000D0250000}"/>
    <cellStyle name="메모 5 3 6 5" xfId="22434" xr:uid="{00000000-0005-0000-0000-0000D1250000}"/>
    <cellStyle name="메모 5 3 6 5 2" xfId="19697" xr:uid="{00000000-0005-0000-0000-0000D2250000}"/>
    <cellStyle name="메모 5 3 6 5 3" xfId="26664" xr:uid="{00000000-0005-0000-0000-0000D3250000}"/>
    <cellStyle name="메모 5 3 6 5 4" xfId="29778" xr:uid="{00000000-0005-0000-0000-0000D4250000}"/>
    <cellStyle name="메모 5 3 6 6" xfId="22907" xr:uid="{00000000-0005-0000-0000-0000D5250000}"/>
    <cellStyle name="메모 5 3 6 6 2" xfId="20130" xr:uid="{00000000-0005-0000-0000-0000D6250000}"/>
    <cellStyle name="메모 5 3 6 6 3" xfId="27137" xr:uid="{00000000-0005-0000-0000-0000D7250000}"/>
    <cellStyle name="메모 5 3 6 6 4" xfId="30251" xr:uid="{00000000-0005-0000-0000-0000D8250000}"/>
    <cellStyle name="메모 5 3 6 7" xfId="23252" xr:uid="{00000000-0005-0000-0000-0000D9250000}"/>
    <cellStyle name="메모 5 3 6 7 2" xfId="20312" xr:uid="{00000000-0005-0000-0000-0000DA250000}"/>
    <cellStyle name="메모 5 3 6 7 3" xfId="27482" xr:uid="{00000000-0005-0000-0000-0000DB250000}"/>
    <cellStyle name="메모 5 3 6 7 4" xfId="30596" xr:uid="{00000000-0005-0000-0000-0000DC250000}"/>
    <cellStyle name="메모 5 3 6 8" xfId="20549" xr:uid="{00000000-0005-0000-0000-0000DD250000}"/>
    <cellStyle name="메모 5 3 6 9" xfId="18856" xr:uid="{00000000-0005-0000-0000-0000DE250000}"/>
    <cellStyle name="메모 5 3 7" xfId="14640" xr:uid="{00000000-0005-0000-0000-0000DF250000}"/>
    <cellStyle name="메모 5 3 7 2" xfId="15571" xr:uid="{00000000-0005-0000-0000-0000E0250000}"/>
    <cellStyle name="메모 5 3 7 2 2" xfId="24272" xr:uid="{00000000-0005-0000-0000-0000E1250000}"/>
    <cellStyle name="메모 5 3 7 2 3" xfId="26246" xr:uid="{00000000-0005-0000-0000-0000E2250000}"/>
    <cellStyle name="메모 5 3 7 2 4" xfId="29360" xr:uid="{00000000-0005-0000-0000-0000E3250000}"/>
    <cellStyle name="메모 5 3 7 2 5" xfId="22016" xr:uid="{00000000-0005-0000-0000-0000E4250000}"/>
    <cellStyle name="메모 5 3 7 3" xfId="15925" xr:uid="{00000000-0005-0000-0000-0000E5250000}"/>
    <cellStyle name="메모 5 3 7 3 2" xfId="19745" xr:uid="{00000000-0005-0000-0000-0000E6250000}"/>
    <cellStyle name="메모 5 3 7 3 3" xfId="26719" xr:uid="{00000000-0005-0000-0000-0000E7250000}"/>
    <cellStyle name="메모 5 3 7 3 4" xfId="29833" xr:uid="{00000000-0005-0000-0000-0000E8250000}"/>
    <cellStyle name="메모 5 3 7 3 5" xfId="22489" xr:uid="{00000000-0005-0000-0000-0000E9250000}"/>
    <cellStyle name="메모 5 3 7 4" xfId="16862" xr:uid="{00000000-0005-0000-0000-0000EA250000}"/>
    <cellStyle name="메모 5 3 7 4 2" xfId="20347" xr:uid="{00000000-0005-0000-0000-0000EB250000}"/>
    <cellStyle name="메모 5 3 7 4 3" xfId="27537" xr:uid="{00000000-0005-0000-0000-0000EC250000}"/>
    <cellStyle name="메모 5 3 7 4 4" xfId="30651" xr:uid="{00000000-0005-0000-0000-0000ED250000}"/>
    <cellStyle name="메모 5 3 7 4 5" xfId="23307" xr:uid="{00000000-0005-0000-0000-0000EE250000}"/>
    <cellStyle name="메모 5 3 7 5" xfId="21510" xr:uid="{00000000-0005-0000-0000-0000EF250000}"/>
    <cellStyle name="메모 5 3 7 6" xfId="24656" xr:uid="{00000000-0005-0000-0000-0000F0250000}"/>
    <cellStyle name="메모 5 3 7 7" xfId="25695" xr:uid="{00000000-0005-0000-0000-0000F1250000}"/>
    <cellStyle name="메모 5 3 7 8" xfId="28812" xr:uid="{00000000-0005-0000-0000-0000F2250000}"/>
    <cellStyle name="메모 5 3 7 9" xfId="17952" xr:uid="{00000000-0005-0000-0000-0000F3250000}"/>
    <cellStyle name="메모 5 3 8" xfId="15114" xr:uid="{00000000-0005-0000-0000-0000F4250000}"/>
    <cellStyle name="메모 5 3 8 2" xfId="15833" xr:uid="{00000000-0005-0000-0000-0000F5250000}"/>
    <cellStyle name="메모 5 3 8 2 2" xfId="31578" xr:uid="{00000000-0005-0000-0000-0000F6250000}"/>
    <cellStyle name="메모 5 3 8 2 3" xfId="24687" xr:uid="{00000000-0005-0000-0000-0000F7250000}"/>
    <cellStyle name="메모 5 3 8 3" xfId="16226" xr:uid="{00000000-0005-0000-0000-0000F8250000}"/>
    <cellStyle name="메모 5 3 8 3 2" xfId="31836" xr:uid="{00000000-0005-0000-0000-0000F9250000}"/>
    <cellStyle name="메모 5 3 8 3 3" xfId="25146" xr:uid="{00000000-0005-0000-0000-0000FA250000}"/>
    <cellStyle name="메모 5 3 8 4" xfId="16863" xr:uid="{00000000-0005-0000-0000-0000FB250000}"/>
    <cellStyle name="메모 5 3 8 4 2" xfId="28270" xr:uid="{00000000-0005-0000-0000-0000FC250000}"/>
    <cellStyle name="메모 5 3 8 5" xfId="20895" xr:uid="{00000000-0005-0000-0000-0000FD250000}"/>
    <cellStyle name="메모 5 3 9" xfId="14907" xr:uid="{00000000-0005-0000-0000-0000FE250000}"/>
    <cellStyle name="메모 5 3 9 2" xfId="15657" xr:uid="{00000000-0005-0000-0000-0000FF250000}"/>
    <cellStyle name="메모 5 3 9 2 2" xfId="31435" xr:uid="{00000000-0005-0000-0000-000000260000}"/>
    <cellStyle name="메모 5 3 9 3" xfId="16019" xr:uid="{00000000-0005-0000-0000-000001260000}"/>
    <cellStyle name="메모 5 3 9 3 2" xfId="31662" xr:uid="{00000000-0005-0000-0000-000002260000}"/>
    <cellStyle name="메모 5 3 9 4" xfId="16864" xr:uid="{00000000-0005-0000-0000-000003260000}"/>
    <cellStyle name="메모 5 3 9 4 2" xfId="32317" xr:uid="{00000000-0005-0000-0000-000004260000}"/>
    <cellStyle name="메모 5 3 9 5" xfId="31178" xr:uid="{00000000-0005-0000-0000-000005260000}"/>
    <cellStyle name="메모 5 3 9 6" xfId="20473" xr:uid="{00000000-0005-0000-0000-000006260000}"/>
    <cellStyle name="메모 5 4" xfId="12010" xr:uid="{00000000-0005-0000-0000-000007260000}"/>
    <cellStyle name="메모 5 4 10" xfId="15372" xr:uid="{00000000-0005-0000-0000-000008260000}"/>
    <cellStyle name="메모 5 4 11" xfId="15212" xr:uid="{00000000-0005-0000-0000-000009260000}"/>
    <cellStyle name="메모 5 4 11 2" xfId="31348" xr:uid="{00000000-0005-0000-0000-00000A260000}"/>
    <cellStyle name="메모 5 4 12" xfId="16865" xr:uid="{00000000-0005-0000-0000-00000B260000}"/>
    <cellStyle name="메모 5 4 12 2" xfId="32318" xr:uid="{00000000-0005-0000-0000-00000C260000}"/>
    <cellStyle name="메모 5 4 13" xfId="16866" xr:uid="{00000000-0005-0000-0000-00000D260000}"/>
    <cellStyle name="메모 5 4 13 2" xfId="32319" xr:uid="{00000000-0005-0000-0000-00000E260000}"/>
    <cellStyle name="메모 5 4 2" xfId="14737" xr:uid="{00000000-0005-0000-0000-00000F260000}"/>
    <cellStyle name="메모 5 4 2 2" xfId="15623" xr:uid="{00000000-0005-0000-0000-000010260000}"/>
    <cellStyle name="메모 5 4 2 2 2" xfId="22302" xr:uid="{00000000-0005-0000-0000-000011260000}"/>
    <cellStyle name="메모 5 4 2 2 2 2" xfId="18450" xr:uid="{00000000-0005-0000-0000-000012260000}"/>
    <cellStyle name="메모 5 4 2 2 2 3" xfId="26532" xr:uid="{00000000-0005-0000-0000-000013260000}"/>
    <cellStyle name="메모 5 4 2 2 2 4" xfId="29646" xr:uid="{00000000-0005-0000-0000-000014260000}"/>
    <cellStyle name="메모 5 4 2 2 3" xfId="22778" xr:uid="{00000000-0005-0000-0000-000015260000}"/>
    <cellStyle name="메모 5 4 2 2 3 2" xfId="20014" xr:uid="{00000000-0005-0000-0000-000016260000}"/>
    <cellStyle name="메모 5 4 2 2 3 3" xfId="27008" xr:uid="{00000000-0005-0000-0000-000017260000}"/>
    <cellStyle name="메모 5 4 2 2 3 4" xfId="30122" xr:uid="{00000000-0005-0000-0000-000018260000}"/>
    <cellStyle name="메모 5 4 2 2 4" xfId="23588" xr:uid="{00000000-0005-0000-0000-000019260000}"/>
    <cellStyle name="메모 5 4 2 2 4 2" xfId="18245" xr:uid="{00000000-0005-0000-0000-00001A260000}"/>
    <cellStyle name="메모 5 4 2 2 4 3" xfId="27818" xr:uid="{00000000-0005-0000-0000-00001B260000}"/>
    <cellStyle name="메모 5 4 2 2 4 4" xfId="30932" xr:uid="{00000000-0005-0000-0000-00001C260000}"/>
    <cellStyle name="메모 5 4 2 2 5" xfId="24716" xr:uid="{00000000-0005-0000-0000-00001D260000}"/>
    <cellStyle name="메모 5 4 2 2 6" xfId="25979" xr:uid="{00000000-0005-0000-0000-00001E260000}"/>
    <cellStyle name="메모 5 4 2 2 7" xfId="29093" xr:uid="{00000000-0005-0000-0000-00001F260000}"/>
    <cellStyle name="메모 5 4 2 2 8" xfId="21749" xr:uid="{00000000-0005-0000-0000-000020260000}"/>
    <cellStyle name="메모 5 4 2 3" xfId="15973" xr:uid="{00000000-0005-0000-0000-000021260000}"/>
    <cellStyle name="메모 5 4 2 3 2" xfId="31628" xr:uid="{00000000-0005-0000-0000-000022260000}"/>
    <cellStyle name="메모 5 4 2 3 3" xfId="21347" xr:uid="{00000000-0005-0000-0000-000023260000}"/>
    <cellStyle name="메모 5 4 2 4" xfId="16867" xr:uid="{00000000-0005-0000-0000-000024260000}"/>
    <cellStyle name="메모 5 4 2 4 2" xfId="32320" xr:uid="{00000000-0005-0000-0000-000025260000}"/>
    <cellStyle name="메모 5 4 2 4 3" xfId="20719" xr:uid="{00000000-0005-0000-0000-000026260000}"/>
    <cellStyle name="메모 5 4 2 5" xfId="19024" xr:uid="{00000000-0005-0000-0000-000027260000}"/>
    <cellStyle name="메모 5 4 2 6" xfId="24967" xr:uid="{00000000-0005-0000-0000-000028260000}"/>
    <cellStyle name="메모 5 4 2 7" xfId="28091" xr:uid="{00000000-0005-0000-0000-000029260000}"/>
    <cellStyle name="메모 5 4 2 8" xfId="17953" xr:uid="{00000000-0005-0000-0000-00002A260000}"/>
    <cellStyle name="메모 5 4 3" xfId="14587" xr:uid="{00000000-0005-0000-0000-00002B260000}"/>
    <cellStyle name="메모 5 4 3 10" xfId="24789" xr:uid="{00000000-0005-0000-0000-00002C260000}"/>
    <cellStyle name="메모 5 4 3 11" xfId="27913" xr:uid="{00000000-0005-0000-0000-00002D260000}"/>
    <cellStyle name="메모 5 4 3 12" xfId="17954" xr:uid="{00000000-0005-0000-0000-00002E260000}"/>
    <cellStyle name="메모 5 4 3 2" xfId="15518" xr:uid="{00000000-0005-0000-0000-00002F260000}"/>
    <cellStyle name="메모 5 4 3 2 2" xfId="22124" xr:uid="{00000000-0005-0000-0000-000030260000}"/>
    <cellStyle name="메모 5 4 3 2 2 2" xfId="24117" xr:uid="{00000000-0005-0000-0000-000031260000}"/>
    <cellStyle name="메모 5 4 3 2 2 3" xfId="26354" xr:uid="{00000000-0005-0000-0000-000032260000}"/>
    <cellStyle name="메모 5 4 3 2 2 4" xfId="29468" xr:uid="{00000000-0005-0000-0000-000033260000}"/>
    <cellStyle name="메모 5 4 3 2 3" xfId="22600" xr:uid="{00000000-0005-0000-0000-000034260000}"/>
    <cellStyle name="메모 5 4 3 2 3 2" xfId="19847" xr:uid="{00000000-0005-0000-0000-000035260000}"/>
    <cellStyle name="메모 5 4 3 2 3 3" xfId="26830" xr:uid="{00000000-0005-0000-0000-000036260000}"/>
    <cellStyle name="메모 5 4 3 2 3 4" xfId="29944" xr:uid="{00000000-0005-0000-0000-000037260000}"/>
    <cellStyle name="메모 5 4 3 2 4" xfId="23410" xr:uid="{00000000-0005-0000-0000-000038260000}"/>
    <cellStyle name="메모 5 4 3 2 4 2" xfId="20454" xr:uid="{00000000-0005-0000-0000-000039260000}"/>
    <cellStyle name="메모 5 4 3 2 4 3" xfId="27640" xr:uid="{00000000-0005-0000-0000-00003A260000}"/>
    <cellStyle name="메모 5 4 3 2 4 4" xfId="30754" xr:uid="{00000000-0005-0000-0000-00003B260000}"/>
    <cellStyle name="메모 5 4 3 2 5" xfId="24322" xr:uid="{00000000-0005-0000-0000-00003C260000}"/>
    <cellStyle name="메모 5 4 3 2 6" xfId="25801" xr:uid="{00000000-0005-0000-0000-00003D260000}"/>
    <cellStyle name="메모 5 4 3 2 7" xfId="28915" xr:uid="{00000000-0005-0000-0000-00003E260000}"/>
    <cellStyle name="메모 5 4 3 2 8" xfId="21571" xr:uid="{00000000-0005-0000-0000-00003F260000}"/>
    <cellStyle name="메모 5 4 3 3" xfId="15872" xr:uid="{00000000-0005-0000-0000-000040260000}"/>
    <cellStyle name="메모 5 4 3 3 2" xfId="19496" xr:uid="{00000000-0005-0000-0000-000041260000}"/>
    <cellStyle name="메모 5 4 3 3 3" xfId="25641" xr:uid="{00000000-0005-0000-0000-000042260000}"/>
    <cellStyle name="메모 5 4 3 3 4" xfId="28758" xr:uid="{00000000-0005-0000-0000-000043260000}"/>
    <cellStyle name="메모 5 4 3 3 5" xfId="21454" xr:uid="{00000000-0005-0000-0000-000044260000}"/>
    <cellStyle name="메모 5 4 3 4" xfId="16868" xr:uid="{00000000-0005-0000-0000-000045260000}"/>
    <cellStyle name="메모 5 4 3 4 2" xfId="24375" xr:uid="{00000000-0005-0000-0000-000046260000}"/>
    <cellStyle name="메모 5 4 3 4 3" xfId="26192" xr:uid="{00000000-0005-0000-0000-000047260000}"/>
    <cellStyle name="메모 5 4 3 4 4" xfId="29306" xr:uid="{00000000-0005-0000-0000-000048260000}"/>
    <cellStyle name="메모 5 4 3 4 5" xfId="21962" xr:uid="{00000000-0005-0000-0000-000049260000}"/>
    <cellStyle name="메모 5 4 3 5" xfId="22435" xr:uid="{00000000-0005-0000-0000-00004A260000}"/>
    <cellStyle name="메모 5 4 3 5 2" xfId="19698" xr:uid="{00000000-0005-0000-0000-00004B260000}"/>
    <cellStyle name="메모 5 4 3 5 3" xfId="26665" xr:uid="{00000000-0005-0000-0000-00004C260000}"/>
    <cellStyle name="메모 5 4 3 5 4" xfId="29779" xr:uid="{00000000-0005-0000-0000-00004D260000}"/>
    <cellStyle name="메모 5 4 3 6" xfId="22908" xr:uid="{00000000-0005-0000-0000-00004E260000}"/>
    <cellStyle name="메모 5 4 3 6 2" xfId="20131" xr:uid="{00000000-0005-0000-0000-00004F260000}"/>
    <cellStyle name="메모 5 4 3 6 3" xfId="27138" xr:uid="{00000000-0005-0000-0000-000050260000}"/>
    <cellStyle name="메모 5 4 3 6 4" xfId="30252" xr:uid="{00000000-0005-0000-0000-000051260000}"/>
    <cellStyle name="메모 5 4 3 7" xfId="23253" xr:uid="{00000000-0005-0000-0000-000052260000}"/>
    <cellStyle name="메모 5 4 3 7 2" xfId="21468" xr:uid="{00000000-0005-0000-0000-000053260000}"/>
    <cellStyle name="메모 5 4 3 7 3" xfId="27483" xr:uid="{00000000-0005-0000-0000-000054260000}"/>
    <cellStyle name="메모 5 4 3 7 4" xfId="30597" xr:uid="{00000000-0005-0000-0000-000055260000}"/>
    <cellStyle name="메모 5 4 3 8" xfId="20540" xr:uid="{00000000-0005-0000-0000-000056260000}"/>
    <cellStyle name="메모 5 4 3 9" xfId="18848" xr:uid="{00000000-0005-0000-0000-000057260000}"/>
    <cellStyle name="메모 5 4 4" xfId="14572" xr:uid="{00000000-0005-0000-0000-000058260000}"/>
    <cellStyle name="메모 5 4 4 2" xfId="15503" xr:uid="{00000000-0005-0000-0000-000059260000}"/>
    <cellStyle name="메모 5 4 4 2 2" xfId="24090" xr:uid="{00000000-0005-0000-0000-00005A260000}"/>
    <cellStyle name="메모 5 4 4 2 3" xfId="26247" xr:uid="{00000000-0005-0000-0000-00005B260000}"/>
    <cellStyle name="메모 5 4 4 2 4" xfId="29361" xr:uid="{00000000-0005-0000-0000-00005C260000}"/>
    <cellStyle name="메모 5 4 4 2 5" xfId="22017" xr:uid="{00000000-0005-0000-0000-00005D260000}"/>
    <cellStyle name="메모 5 4 4 3" xfId="15219" xr:uid="{00000000-0005-0000-0000-00005E260000}"/>
    <cellStyle name="메모 5 4 4 3 2" xfId="19746" xr:uid="{00000000-0005-0000-0000-00005F260000}"/>
    <cellStyle name="메모 5 4 4 3 3" xfId="26720" xr:uid="{00000000-0005-0000-0000-000060260000}"/>
    <cellStyle name="메모 5 4 4 3 4" xfId="29834" xr:uid="{00000000-0005-0000-0000-000061260000}"/>
    <cellStyle name="메모 5 4 4 3 5" xfId="22490" xr:uid="{00000000-0005-0000-0000-000062260000}"/>
    <cellStyle name="메모 5 4 4 4" xfId="16869" xr:uid="{00000000-0005-0000-0000-000063260000}"/>
    <cellStyle name="메모 5 4 4 4 2" xfId="20348" xr:uid="{00000000-0005-0000-0000-000064260000}"/>
    <cellStyle name="메모 5 4 4 4 3" xfId="27538" xr:uid="{00000000-0005-0000-0000-000065260000}"/>
    <cellStyle name="메모 5 4 4 4 4" xfId="30652" xr:uid="{00000000-0005-0000-0000-000066260000}"/>
    <cellStyle name="메모 5 4 4 4 5" xfId="23308" xr:uid="{00000000-0005-0000-0000-000067260000}"/>
    <cellStyle name="메모 5 4 4 5" xfId="21511" xr:uid="{00000000-0005-0000-0000-000068260000}"/>
    <cellStyle name="메모 5 4 4 6" xfId="24394" xr:uid="{00000000-0005-0000-0000-000069260000}"/>
    <cellStyle name="메모 5 4 4 7" xfId="25696" xr:uid="{00000000-0005-0000-0000-00006A260000}"/>
    <cellStyle name="메모 5 4 4 8" xfId="28813" xr:uid="{00000000-0005-0000-0000-00006B260000}"/>
    <cellStyle name="메모 5 4 4 9" xfId="17955" xr:uid="{00000000-0005-0000-0000-00006C260000}"/>
    <cellStyle name="메모 5 4 5" xfId="15115" xr:uid="{00000000-0005-0000-0000-00006D260000}"/>
    <cellStyle name="메모 5 4 5 2" xfId="15834" xr:uid="{00000000-0005-0000-0000-00006E260000}"/>
    <cellStyle name="메모 5 4 5 2 2" xfId="31579" xr:uid="{00000000-0005-0000-0000-00006F260000}"/>
    <cellStyle name="메모 5 4 5 2 3" xfId="24427" xr:uid="{00000000-0005-0000-0000-000070260000}"/>
    <cellStyle name="메모 5 4 5 3" xfId="16227" xr:uid="{00000000-0005-0000-0000-000071260000}"/>
    <cellStyle name="메모 5 4 5 3 2" xfId="31837" xr:uid="{00000000-0005-0000-0000-000072260000}"/>
    <cellStyle name="메모 5 4 5 3 3" xfId="25147" xr:uid="{00000000-0005-0000-0000-000073260000}"/>
    <cellStyle name="메모 5 4 5 4" xfId="16870" xr:uid="{00000000-0005-0000-0000-000074260000}"/>
    <cellStyle name="메모 5 4 5 4 2" xfId="28271" xr:uid="{00000000-0005-0000-0000-000075260000}"/>
    <cellStyle name="메모 5 4 5 5" xfId="20896" xr:uid="{00000000-0005-0000-0000-000076260000}"/>
    <cellStyle name="메모 5 4 6" xfId="14906" xr:uid="{00000000-0005-0000-0000-000077260000}"/>
    <cellStyle name="메모 5 4 6 2" xfId="15656" xr:uid="{00000000-0005-0000-0000-000078260000}"/>
    <cellStyle name="메모 5 4 6 2 2" xfId="31434" xr:uid="{00000000-0005-0000-0000-000079260000}"/>
    <cellStyle name="메모 5 4 6 3" xfId="16018" xr:uid="{00000000-0005-0000-0000-00007A260000}"/>
    <cellStyle name="메모 5 4 6 3 2" xfId="31661" xr:uid="{00000000-0005-0000-0000-00007B260000}"/>
    <cellStyle name="메모 5 4 6 4" xfId="16871" xr:uid="{00000000-0005-0000-0000-00007C260000}"/>
    <cellStyle name="메모 5 4 6 4 2" xfId="32321" xr:uid="{00000000-0005-0000-0000-00007D260000}"/>
    <cellStyle name="메모 5 4 6 5" xfId="31177" xr:uid="{00000000-0005-0000-0000-00007E260000}"/>
    <cellStyle name="메모 5 4 6 6" xfId="20477" xr:uid="{00000000-0005-0000-0000-00007F260000}"/>
    <cellStyle name="메모 5 4 7" xfId="15149" xr:uid="{00000000-0005-0000-0000-000080260000}"/>
    <cellStyle name="메모 5 4 7 2" xfId="15860" xr:uid="{00000000-0005-0000-0000-000081260000}"/>
    <cellStyle name="메모 5 4 7 2 2" xfId="31604" xr:uid="{00000000-0005-0000-0000-000082260000}"/>
    <cellStyle name="메모 5 4 7 3" xfId="16261" xr:uid="{00000000-0005-0000-0000-000083260000}"/>
    <cellStyle name="메모 5 4 7 3 2" xfId="31870" xr:uid="{00000000-0005-0000-0000-000084260000}"/>
    <cellStyle name="메모 5 4 7 4" xfId="16872" xr:uid="{00000000-0005-0000-0000-000085260000}"/>
    <cellStyle name="메모 5 4 7 4 2" xfId="32322" xr:uid="{00000000-0005-0000-0000-000086260000}"/>
    <cellStyle name="메모 5 4 7 5" xfId="31293" xr:uid="{00000000-0005-0000-0000-000087260000}"/>
    <cellStyle name="메모 5 4 7 6" xfId="18741" xr:uid="{00000000-0005-0000-0000-000088260000}"/>
    <cellStyle name="메모 5 4 8" xfId="14962" xr:uid="{00000000-0005-0000-0000-000089260000}"/>
    <cellStyle name="메모 5 4 8 2" xfId="15712" xr:uid="{00000000-0005-0000-0000-00008A260000}"/>
    <cellStyle name="메모 5 4 8 2 2" xfId="31490" xr:uid="{00000000-0005-0000-0000-00008B260000}"/>
    <cellStyle name="메모 5 4 8 3" xfId="16074" xr:uid="{00000000-0005-0000-0000-00008C260000}"/>
    <cellStyle name="메모 5 4 8 3 2" xfId="31717" xr:uid="{00000000-0005-0000-0000-00008D260000}"/>
    <cellStyle name="메모 5 4 8 4" xfId="16873" xr:uid="{00000000-0005-0000-0000-00008E260000}"/>
    <cellStyle name="메모 5 4 8 4 2" xfId="32323" xr:uid="{00000000-0005-0000-0000-00008F260000}"/>
    <cellStyle name="메모 5 4 8 5" xfId="31201" xr:uid="{00000000-0005-0000-0000-000090260000}"/>
    <cellStyle name="메모 5 4 8 6" xfId="18570" xr:uid="{00000000-0005-0000-0000-000091260000}"/>
    <cellStyle name="메모 5 4 9" xfId="15008" xr:uid="{00000000-0005-0000-0000-000092260000}"/>
    <cellStyle name="메모 5 4 9 2" xfId="16120" xr:uid="{00000000-0005-0000-0000-000093260000}"/>
    <cellStyle name="메모 5 4 9 2 2" xfId="31763" xr:uid="{00000000-0005-0000-0000-000094260000}"/>
    <cellStyle name="메모 5 4 9 3" xfId="16874" xr:uid="{00000000-0005-0000-0000-000095260000}"/>
    <cellStyle name="메모 5 4 9 3 2" xfId="32324" xr:uid="{00000000-0005-0000-0000-000096260000}"/>
    <cellStyle name="메모 5 4 9 4" xfId="16875" xr:uid="{00000000-0005-0000-0000-000097260000}"/>
    <cellStyle name="메모 5 4 9 4 2" xfId="32325" xr:uid="{00000000-0005-0000-0000-000098260000}"/>
    <cellStyle name="메모 5 4 9 5" xfId="18629" xr:uid="{00000000-0005-0000-0000-000099260000}"/>
    <cellStyle name="메모 5 5" xfId="12011" xr:uid="{00000000-0005-0000-0000-00009A260000}"/>
    <cellStyle name="메모 5 5 10" xfId="15373" xr:uid="{00000000-0005-0000-0000-00009B260000}"/>
    <cellStyle name="메모 5 5 11" xfId="15213" xr:uid="{00000000-0005-0000-0000-00009C260000}"/>
    <cellStyle name="메모 5 5 11 2" xfId="31349" xr:uid="{00000000-0005-0000-0000-00009D260000}"/>
    <cellStyle name="메모 5 5 12" xfId="16876" xr:uid="{00000000-0005-0000-0000-00009E260000}"/>
    <cellStyle name="메모 5 5 12 2" xfId="32326" xr:uid="{00000000-0005-0000-0000-00009F260000}"/>
    <cellStyle name="메모 5 5 13" xfId="16877" xr:uid="{00000000-0005-0000-0000-0000A0260000}"/>
    <cellStyle name="메모 5 5 13 2" xfId="32327" xr:uid="{00000000-0005-0000-0000-0000A1260000}"/>
    <cellStyle name="메모 5 5 2" xfId="14738" xr:uid="{00000000-0005-0000-0000-0000A2260000}"/>
    <cellStyle name="메모 5 5 2 2" xfId="15624" xr:uid="{00000000-0005-0000-0000-0000A3260000}"/>
    <cellStyle name="메모 5 5 2 2 2" xfId="22303" xr:uid="{00000000-0005-0000-0000-0000A4260000}"/>
    <cellStyle name="메모 5 5 2 2 2 2" xfId="18451" xr:uid="{00000000-0005-0000-0000-0000A5260000}"/>
    <cellStyle name="메모 5 5 2 2 2 3" xfId="26533" xr:uid="{00000000-0005-0000-0000-0000A6260000}"/>
    <cellStyle name="메모 5 5 2 2 2 4" xfId="29647" xr:uid="{00000000-0005-0000-0000-0000A7260000}"/>
    <cellStyle name="메모 5 5 2 2 3" xfId="22779" xr:uid="{00000000-0005-0000-0000-0000A8260000}"/>
    <cellStyle name="메모 5 5 2 2 3 2" xfId="23849" xr:uid="{00000000-0005-0000-0000-0000A9260000}"/>
    <cellStyle name="메모 5 5 2 2 3 3" xfId="27009" xr:uid="{00000000-0005-0000-0000-0000AA260000}"/>
    <cellStyle name="메모 5 5 2 2 3 4" xfId="30123" xr:uid="{00000000-0005-0000-0000-0000AB260000}"/>
    <cellStyle name="메모 5 5 2 2 4" xfId="23589" xr:uid="{00000000-0005-0000-0000-0000AC260000}"/>
    <cellStyle name="메모 5 5 2 2 4 2" xfId="18246" xr:uid="{00000000-0005-0000-0000-0000AD260000}"/>
    <cellStyle name="메모 5 5 2 2 4 3" xfId="27819" xr:uid="{00000000-0005-0000-0000-0000AE260000}"/>
    <cellStyle name="메모 5 5 2 2 4 4" xfId="30933" xr:uid="{00000000-0005-0000-0000-0000AF260000}"/>
    <cellStyle name="메모 5 5 2 2 5" xfId="24586" xr:uid="{00000000-0005-0000-0000-0000B0260000}"/>
    <cellStyle name="메모 5 5 2 2 6" xfId="25980" xr:uid="{00000000-0005-0000-0000-0000B1260000}"/>
    <cellStyle name="메모 5 5 2 2 7" xfId="29094" xr:uid="{00000000-0005-0000-0000-0000B2260000}"/>
    <cellStyle name="메모 5 5 2 2 8" xfId="21750" xr:uid="{00000000-0005-0000-0000-0000B3260000}"/>
    <cellStyle name="메모 5 5 2 3" xfId="15974" xr:uid="{00000000-0005-0000-0000-0000B4260000}"/>
    <cellStyle name="메모 5 5 2 3 2" xfId="31629" xr:uid="{00000000-0005-0000-0000-0000B5260000}"/>
    <cellStyle name="메모 5 5 2 3 3" xfId="21348" xr:uid="{00000000-0005-0000-0000-0000B6260000}"/>
    <cellStyle name="메모 5 5 2 4" xfId="16878" xr:uid="{00000000-0005-0000-0000-0000B7260000}"/>
    <cellStyle name="메모 5 5 2 4 2" xfId="32328" xr:uid="{00000000-0005-0000-0000-0000B8260000}"/>
    <cellStyle name="메모 5 5 2 4 3" xfId="20720" xr:uid="{00000000-0005-0000-0000-0000B9260000}"/>
    <cellStyle name="메모 5 5 2 5" xfId="19025" xr:uid="{00000000-0005-0000-0000-0000BA260000}"/>
    <cellStyle name="메모 5 5 2 6" xfId="24968" xr:uid="{00000000-0005-0000-0000-0000BB260000}"/>
    <cellStyle name="메모 5 5 2 7" xfId="28092" xr:uid="{00000000-0005-0000-0000-0000BC260000}"/>
    <cellStyle name="메모 5 5 2 8" xfId="17956" xr:uid="{00000000-0005-0000-0000-0000BD260000}"/>
    <cellStyle name="메모 5 5 3" xfId="14586" xr:uid="{00000000-0005-0000-0000-0000BE260000}"/>
    <cellStyle name="메모 5 5 3 10" xfId="24798" xr:uid="{00000000-0005-0000-0000-0000BF260000}"/>
    <cellStyle name="메모 5 5 3 11" xfId="27922" xr:uid="{00000000-0005-0000-0000-0000C0260000}"/>
    <cellStyle name="메모 5 5 3 12" xfId="17957" xr:uid="{00000000-0005-0000-0000-0000C1260000}"/>
    <cellStyle name="메모 5 5 3 2" xfId="15517" xr:uid="{00000000-0005-0000-0000-0000C2260000}"/>
    <cellStyle name="메모 5 5 3 2 2" xfId="22133" xr:uid="{00000000-0005-0000-0000-0000C3260000}"/>
    <cellStyle name="메모 5 5 3 2 2 2" xfId="19561" xr:uid="{00000000-0005-0000-0000-0000C4260000}"/>
    <cellStyle name="메모 5 5 3 2 2 3" xfId="26363" xr:uid="{00000000-0005-0000-0000-0000C5260000}"/>
    <cellStyle name="메모 5 5 3 2 2 4" xfId="29477" xr:uid="{00000000-0005-0000-0000-0000C6260000}"/>
    <cellStyle name="메모 5 5 3 2 3" xfId="22609" xr:uid="{00000000-0005-0000-0000-0000C7260000}"/>
    <cellStyle name="메모 5 5 3 2 3 2" xfId="19855" xr:uid="{00000000-0005-0000-0000-0000C8260000}"/>
    <cellStyle name="메모 5 5 3 2 3 3" xfId="26839" xr:uid="{00000000-0005-0000-0000-0000C9260000}"/>
    <cellStyle name="메모 5 5 3 2 3 4" xfId="29953" xr:uid="{00000000-0005-0000-0000-0000CA260000}"/>
    <cellStyle name="메모 5 5 3 2 4" xfId="23419" xr:uid="{00000000-0005-0000-0000-0000CB260000}"/>
    <cellStyle name="메모 5 5 3 2 4 2" xfId="20467" xr:uid="{00000000-0005-0000-0000-0000CC260000}"/>
    <cellStyle name="메모 5 5 3 2 4 3" xfId="27649" xr:uid="{00000000-0005-0000-0000-0000CD260000}"/>
    <cellStyle name="메모 5 5 3 2 4 4" xfId="30763" xr:uid="{00000000-0005-0000-0000-0000CE260000}"/>
    <cellStyle name="메모 5 5 3 2 5" xfId="24012" xr:uid="{00000000-0005-0000-0000-0000CF260000}"/>
    <cellStyle name="메모 5 5 3 2 6" xfId="25810" xr:uid="{00000000-0005-0000-0000-0000D0260000}"/>
    <cellStyle name="메모 5 5 3 2 7" xfId="28924" xr:uid="{00000000-0005-0000-0000-0000D1260000}"/>
    <cellStyle name="메모 5 5 3 2 8" xfId="21580" xr:uid="{00000000-0005-0000-0000-0000D2260000}"/>
    <cellStyle name="메모 5 5 3 3" xfId="15871" xr:uid="{00000000-0005-0000-0000-0000D3260000}"/>
    <cellStyle name="메모 5 5 3 3 2" xfId="19497" xr:uid="{00000000-0005-0000-0000-0000D4260000}"/>
    <cellStyle name="메모 5 5 3 3 3" xfId="25642" xr:uid="{00000000-0005-0000-0000-0000D5260000}"/>
    <cellStyle name="메모 5 5 3 3 4" xfId="28759" xr:uid="{00000000-0005-0000-0000-0000D6260000}"/>
    <cellStyle name="메모 5 5 3 3 5" xfId="21455" xr:uid="{00000000-0005-0000-0000-0000D7260000}"/>
    <cellStyle name="메모 5 5 3 4" xfId="16879" xr:uid="{00000000-0005-0000-0000-0000D8260000}"/>
    <cellStyle name="메모 5 5 3 4 2" xfId="24204" xr:uid="{00000000-0005-0000-0000-0000D9260000}"/>
    <cellStyle name="메모 5 5 3 4 3" xfId="26193" xr:uid="{00000000-0005-0000-0000-0000DA260000}"/>
    <cellStyle name="메모 5 5 3 4 4" xfId="29307" xr:uid="{00000000-0005-0000-0000-0000DB260000}"/>
    <cellStyle name="메모 5 5 3 4 5" xfId="21963" xr:uid="{00000000-0005-0000-0000-0000DC260000}"/>
    <cellStyle name="메모 5 5 3 5" xfId="22436" xr:uid="{00000000-0005-0000-0000-0000DD260000}"/>
    <cellStyle name="메모 5 5 3 5 2" xfId="19699" xr:uid="{00000000-0005-0000-0000-0000DE260000}"/>
    <cellStyle name="메모 5 5 3 5 3" xfId="26666" xr:uid="{00000000-0005-0000-0000-0000DF260000}"/>
    <cellStyle name="메모 5 5 3 5 4" xfId="29780" xr:uid="{00000000-0005-0000-0000-0000E0260000}"/>
    <cellStyle name="메모 5 5 3 6" xfId="22909" xr:uid="{00000000-0005-0000-0000-0000E1260000}"/>
    <cellStyle name="메모 5 5 3 6 2" xfId="20132" xr:uid="{00000000-0005-0000-0000-0000E2260000}"/>
    <cellStyle name="메모 5 5 3 6 3" xfId="27139" xr:uid="{00000000-0005-0000-0000-0000E3260000}"/>
    <cellStyle name="메모 5 5 3 6 4" xfId="30253" xr:uid="{00000000-0005-0000-0000-0000E4260000}"/>
    <cellStyle name="메모 5 5 3 7" xfId="23254" xr:uid="{00000000-0005-0000-0000-0000E5260000}"/>
    <cellStyle name="메모 5 5 3 7 2" xfId="20313" xr:uid="{00000000-0005-0000-0000-0000E6260000}"/>
    <cellStyle name="메모 5 5 3 7 3" xfId="27484" xr:uid="{00000000-0005-0000-0000-0000E7260000}"/>
    <cellStyle name="메모 5 5 3 7 4" xfId="30598" xr:uid="{00000000-0005-0000-0000-0000E8260000}"/>
    <cellStyle name="메모 5 5 3 8" xfId="20550" xr:uid="{00000000-0005-0000-0000-0000E9260000}"/>
    <cellStyle name="메모 5 5 3 9" xfId="18857" xr:uid="{00000000-0005-0000-0000-0000EA260000}"/>
    <cellStyle name="메모 5 5 4" xfId="14639" xr:uid="{00000000-0005-0000-0000-0000EB260000}"/>
    <cellStyle name="메모 5 5 4 2" xfId="15570" xr:uid="{00000000-0005-0000-0000-0000EC260000}"/>
    <cellStyle name="메모 5 5 4 2 2" xfId="19345" xr:uid="{00000000-0005-0000-0000-0000ED260000}"/>
    <cellStyle name="메모 5 5 4 2 3" xfId="26248" xr:uid="{00000000-0005-0000-0000-0000EE260000}"/>
    <cellStyle name="메모 5 5 4 2 4" xfId="29362" xr:uid="{00000000-0005-0000-0000-0000EF260000}"/>
    <cellStyle name="메모 5 5 4 2 5" xfId="22018" xr:uid="{00000000-0005-0000-0000-0000F0260000}"/>
    <cellStyle name="메모 5 5 4 3" xfId="15924" xr:uid="{00000000-0005-0000-0000-0000F1260000}"/>
    <cellStyle name="메모 5 5 4 3 2" xfId="19747" xr:uid="{00000000-0005-0000-0000-0000F2260000}"/>
    <cellStyle name="메모 5 5 4 3 3" xfId="26721" xr:uid="{00000000-0005-0000-0000-0000F3260000}"/>
    <cellStyle name="메모 5 5 4 3 4" xfId="29835" xr:uid="{00000000-0005-0000-0000-0000F4260000}"/>
    <cellStyle name="메모 5 5 4 3 5" xfId="22491" xr:uid="{00000000-0005-0000-0000-0000F5260000}"/>
    <cellStyle name="메모 5 5 4 4" xfId="16880" xr:uid="{00000000-0005-0000-0000-0000F6260000}"/>
    <cellStyle name="메모 5 5 4 4 2" xfId="20349" xr:uid="{00000000-0005-0000-0000-0000F7260000}"/>
    <cellStyle name="메모 5 5 4 4 3" xfId="27539" xr:uid="{00000000-0005-0000-0000-0000F8260000}"/>
    <cellStyle name="메모 5 5 4 4 4" xfId="30653" xr:uid="{00000000-0005-0000-0000-0000F9260000}"/>
    <cellStyle name="메모 5 5 4 4 5" xfId="23309" xr:uid="{00000000-0005-0000-0000-0000FA260000}"/>
    <cellStyle name="메모 5 5 4 5" xfId="21512" xr:uid="{00000000-0005-0000-0000-0000FB260000}"/>
    <cellStyle name="메모 5 5 4 6" xfId="24223" xr:uid="{00000000-0005-0000-0000-0000FC260000}"/>
    <cellStyle name="메모 5 5 4 7" xfId="25697" xr:uid="{00000000-0005-0000-0000-0000FD260000}"/>
    <cellStyle name="메모 5 5 4 8" xfId="28814" xr:uid="{00000000-0005-0000-0000-0000FE260000}"/>
    <cellStyle name="메모 5 5 4 9" xfId="17958" xr:uid="{00000000-0005-0000-0000-0000FF260000}"/>
    <cellStyle name="메모 5 5 5" xfId="15116" xr:uid="{00000000-0005-0000-0000-000000270000}"/>
    <cellStyle name="메모 5 5 5 2" xfId="15835" xr:uid="{00000000-0005-0000-0000-000001270000}"/>
    <cellStyle name="메모 5 5 5 2 2" xfId="31580" xr:uid="{00000000-0005-0000-0000-000002270000}"/>
    <cellStyle name="메모 5 5 5 2 3" xfId="24254" xr:uid="{00000000-0005-0000-0000-000003270000}"/>
    <cellStyle name="메모 5 5 5 3" xfId="16228" xr:uid="{00000000-0005-0000-0000-000004270000}"/>
    <cellStyle name="메모 5 5 5 3 2" xfId="31838" xr:uid="{00000000-0005-0000-0000-000005270000}"/>
    <cellStyle name="메모 5 5 5 3 3" xfId="25148" xr:uid="{00000000-0005-0000-0000-000006270000}"/>
    <cellStyle name="메모 5 5 5 4" xfId="16881" xr:uid="{00000000-0005-0000-0000-000007270000}"/>
    <cellStyle name="메모 5 5 5 4 2" xfId="28272" xr:uid="{00000000-0005-0000-0000-000008270000}"/>
    <cellStyle name="메모 5 5 5 5" xfId="20897" xr:uid="{00000000-0005-0000-0000-000009270000}"/>
    <cellStyle name="메모 5 5 6" xfId="14905" xr:uid="{00000000-0005-0000-0000-00000A270000}"/>
    <cellStyle name="메모 5 5 6 2" xfId="15655" xr:uid="{00000000-0005-0000-0000-00000B270000}"/>
    <cellStyle name="메모 5 5 6 2 2" xfId="31433" xr:uid="{00000000-0005-0000-0000-00000C270000}"/>
    <cellStyle name="메모 5 5 6 3" xfId="16017" xr:uid="{00000000-0005-0000-0000-00000D270000}"/>
    <cellStyle name="메모 5 5 6 3 2" xfId="31660" xr:uid="{00000000-0005-0000-0000-00000E270000}"/>
    <cellStyle name="메모 5 5 6 4" xfId="16882" xr:uid="{00000000-0005-0000-0000-00000F270000}"/>
    <cellStyle name="메모 5 5 6 4 2" xfId="32329" xr:uid="{00000000-0005-0000-0000-000010270000}"/>
    <cellStyle name="메모 5 5 6 5" xfId="31176" xr:uid="{00000000-0005-0000-0000-000011270000}"/>
    <cellStyle name="메모 5 5 6 6" xfId="20478" xr:uid="{00000000-0005-0000-0000-000012270000}"/>
    <cellStyle name="메모 5 5 7" xfId="15050" xr:uid="{00000000-0005-0000-0000-000013270000}"/>
    <cellStyle name="메모 5 5 7 2" xfId="15778" xr:uid="{00000000-0005-0000-0000-000014270000}"/>
    <cellStyle name="메모 5 5 7 2 2" xfId="31556" xr:uid="{00000000-0005-0000-0000-000015270000}"/>
    <cellStyle name="메모 5 5 7 3" xfId="16162" xr:uid="{00000000-0005-0000-0000-000016270000}"/>
    <cellStyle name="메모 5 5 7 3 2" xfId="31805" xr:uid="{00000000-0005-0000-0000-000017270000}"/>
    <cellStyle name="메모 5 5 7 4" xfId="16883" xr:uid="{00000000-0005-0000-0000-000018270000}"/>
    <cellStyle name="메모 5 5 7 4 2" xfId="32330" xr:uid="{00000000-0005-0000-0000-000019270000}"/>
    <cellStyle name="메모 5 5 7 5" xfId="31267" xr:uid="{00000000-0005-0000-0000-00001A270000}"/>
    <cellStyle name="메모 5 5 7 6" xfId="18742" xr:uid="{00000000-0005-0000-0000-00001B270000}"/>
    <cellStyle name="메모 5 5 8" xfId="14961" xr:uid="{00000000-0005-0000-0000-00001C270000}"/>
    <cellStyle name="메모 5 5 8 2" xfId="15711" xr:uid="{00000000-0005-0000-0000-00001D270000}"/>
    <cellStyle name="메모 5 5 8 2 2" xfId="31489" xr:uid="{00000000-0005-0000-0000-00001E270000}"/>
    <cellStyle name="메모 5 5 8 3" xfId="16073" xr:uid="{00000000-0005-0000-0000-00001F270000}"/>
    <cellStyle name="메모 5 5 8 3 2" xfId="31716" xr:uid="{00000000-0005-0000-0000-000020270000}"/>
    <cellStyle name="메모 5 5 8 4" xfId="16884" xr:uid="{00000000-0005-0000-0000-000021270000}"/>
    <cellStyle name="메모 5 5 8 4 2" xfId="32331" xr:uid="{00000000-0005-0000-0000-000022270000}"/>
    <cellStyle name="메모 5 5 8 5" xfId="31200" xr:uid="{00000000-0005-0000-0000-000023270000}"/>
    <cellStyle name="메모 5 5 8 6" xfId="18569" xr:uid="{00000000-0005-0000-0000-000024270000}"/>
    <cellStyle name="메모 5 5 9" xfId="15009" xr:uid="{00000000-0005-0000-0000-000025270000}"/>
    <cellStyle name="메모 5 5 9 2" xfId="16121" xr:uid="{00000000-0005-0000-0000-000026270000}"/>
    <cellStyle name="메모 5 5 9 2 2" xfId="31764" xr:uid="{00000000-0005-0000-0000-000027270000}"/>
    <cellStyle name="메모 5 5 9 3" xfId="16885" xr:uid="{00000000-0005-0000-0000-000028270000}"/>
    <cellStyle name="메모 5 5 9 3 2" xfId="32332" xr:uid="{00000000-0005-0000-0000-000029270000}"/>
    <cellStyle name="메모 5 5 9 4" xfId="16886" xr:uid="{00000000-0005-0000-0000-00002A270000}"/>
    <cellStyle name="메모 5 5 9 4 2" xfId="32333" xr:uid="{00000000-0005-0000-0000-00002B270000}"/>
    <cellStyle name="메모 5 5 9 5" xfId="18630" xr:uid="{00000000-0005-0000-0000-00002C270000}"/>
    <cellStyle name="메모 5 6" xfId="12012" xr:uid="{00000000-0005-0000-0000-00002D270000}"/>
    <cellStyle name="메모 5 6 10" xfId="15374" xr:uid="{00000000-0005-0000-0000-00002E270000}"/>
    <cellStyle name="메모 5 6 11" xfId="15214" xr:uid="{00000000-0005-0000-0000-00002F270000}"/>
    <cellStyle name="메모 5 6 11 2" xfId="31350" xr:uid="{00000000-0005-0000-0000-000030270000}"/>
    <cellStyle name="메모 5 6 12" xfId="16887" xr:uid="{00000000-0005-0000-0000-000031270000}"/>
    <cellStyle name="메모 5 6 12 2" xfId="32334" xr:uid="{00000000-0005-0000-0000-000032270000}"/>
    <cellStyle name="메모 5 6 13" xfId="16888" xr:uid="{00000000-0005-0000-0000-000033270000}"/>
    <cellStyle name="메모 5 6 13 2" xfId="32335" xr:uid="{00000000-0005-0000-0000-000034270000}"/>
    <cellStyle name="메모 5 6 2" xfId="14739" xr:uid="{00000000-0005-0000-0000-000035270000}"/>
    <cellStyle name="메모 5 6 2 2" xfId="15625" xr:uid="{00000000-0005-0000-0000-000036270000}"/>
    <cellStyle name="메모 5 6 2 2 2" xfId="22304" xr:uid="{00000000-0005-0000-0000-000037270000}"/>
    <cellStyle name="메모 5 6 2 2 2 2" xfId="18452" xr:uid="{00000000-0005-0000-0000-000038270000}"/>
    <cellStyle name="메모 5 6 2 2 2 3" xfId="26534" xr:uid="{00000000-0005-0000-0000-000039270000}"/>
    <cellStyle name="메모 5 6 2 2 2 4" xfId="29648" xr:uid="{00000000-0005-0000-0000-00003A270000}"/>
    <cellStyle name="메모 5 6 2 2 3" xfId="22780" xr:uid="{00000000-0005-0000-0000-00003B270000}"/>
    <cellStyle name="메모 5 6 2 2 3 2" xfId="20015" xr:uid="{00000000-0005-0000-0000-00003C270000}"/>
    <cellStyle name="메모 5 6 2 2 3 3" xfId="27010" xr:uid="{00000000-0005-0000-0000-00003D270000}"/>
    <cellStyle name="메모 5 6 2 2 3 4" xfId="30124" xr:uid="{00000000-0005-0000-0000-00003E270000}"/>
    <cellStyle name="메모 5 6 2 2 4" xfId="23590" xr:uid="{00000000-0005-0000-0000-00003F270000}"/>
    <cellStyle name="메모 5 6 2 2 4 2" xfId="18247" xr:uid="{00000000-0005-0000-0000-000040270000}"/>
    <cellStyle name="메모 5 6 2 2 4 3" xfId="27820" xr:uid="{00000000-0005-0000-0000-000041270000}"/>
    <cellStyle name="메모 5 6 2 2 4 4" xfId="30934" xr:uid="{00000000-0005-0000-0000-000042270000}"/>
    <cellStyle name="메모 5 6 2 2 5" xfId="24456" xr:uid="{00000000-0005-0000-0000-000043270000}"/>
    <cellStyle name="메모 5 6 2 2 6" xfId="25981" xr:uid="{00000000-0005-0000-0000-000044270000}"/>
    <cellStyle name="메모 5 6 2 2 7" xfId="29095" xr:uid="{00000000-0005-0000-0000-000045270000}"/>
    <cellStyle name="메모 5 6 2 2 8" xfId="21751" xr:uid="{00000000-0005-0000-0000-000046270000}"/>
    <cellStyle name="메모 5 6 2 3" xfId="15975" xr:uid="{00000000-0005-0000-0000-000047270000}"/>
    <cellStyle name="메모 5 6 2 3 2" xfId="31630" xr:uid="{00000000-0005-0000-0000-000048270000}"/>
    <cellStyle name="메모 5 6 2 3 3" xfId="21349" xr:uid="{00000000-0005-0000-0000-000049270000}"/>
    <cellStyle name="메모 5 6 2 4" xfId="16889" xr:uid="{00000000-0005-0000-0000-00004A270000}"/>
    <cellStyle name="메모 5 6 2 4 2" xfId="32336" xr:uid="{00000000-0005-0000-0000-00004B270000}"/>
    <cellStyle name="메모 5 6 2 4 3" xfId="20721" xr:uid="{00000000-0005-0000-0000-00004C270000}"/>
    <cellStyle name="메모 5 6 2 5" xfId="19026" xr:uid="{00000000-0005-0000-0000-00004D270000}"/>
    <cellStyle name="메모 5 6 2 6" xfId="24969" xr:uid="{00000000-0005-0000-0000-00004E270000}"/>
    <cellStyle name="메모 5 6 2 7" xfId="28093" xr:uid="{00000000-0005-0000-0000-00004F270000}"/>
    <cellStyle name="메모 5 6 2 8" xfId="17959" xr:uid="{00000000-0005-0000-0000-000050270000}"/>
    <cellStyle name="메모 5 6 3" xfId="14585" xr:uid="{00000000-0005-0000-0000-000051270000}"/>
    <cellStyle name="메모 5 6 3 10" xfId="24783" xr:uid="{00000000-0005-0000-0000-000052270000}"/>
    <cellStyle name="메모 5 6 3 11" xfId="27907" xr:uid="{00000000-0005-0000-0000-000053270000}"/>
    <cellStyle name="메모 5 6 3 12" xfId="17960" xr:uid="{00000000-0005-0000-0000-000054270000}"/>
    <cellStyle name="메모 5 6 3 2" xfId="15516" xr:uid="{00000000-0005-0000-0000-000055270000}"/>
    <cellStyle name="메모 5 6 3 2 2" xfId="22118" xr:uid="{00000000-0005-0000-0000-000056270000}"/>
    <cellStyle name="메모 5 6 3 2 2 2" xfId="23794" xr:uid="{00000000-0005-0000-0000-000057270000}"/>
    <cellStyle name="메모 5 6 3 2 2 3" xfId="26348" xr:uid="{00000000-0005-0000-0000-000058270000}"/>
    <cellStyle name="메모 5 6 3 2 2 4" xfId="29462" xr:uid="{00000000-0005-0000-0000-000059270000}"/>
    <cellStyle name="메모 5 6 3 2 3" xfId="22594" xr:uid="{00000000-0005-0000-0000-00005A270000}"/>
    <cellStyle name="메모 5 6 3 2 3 2" xfId="19841" xr:uid="{00000000-0005-0000-0000-00005B270000}"/>
    <cellStyle name="메모 5 6 3 2 3 3" xfId="26824" xr:uid="{00000000-0005-0000-0000-00005C270000}"/>
    <cellStyle name="메모 5 6 3 2 3 4" xfId="29938" xr:uid="{00000000-0005-0000-0000-00005D270000}"/>
    <cellStyle name="메모 5 6 3 2 4" xfId="23404" xr:uid="{00000000-0005-0000-0000-00005E270000}"/>
    <cellStyle name="메모 5 6 3 2 4 2" xfId="20444" xr:uid="{00000000-0005-0000-0000-00005F270000}"/>
    <cellStyle name="메모 5 6 3 2 4 3" xfId="27634" xr:uid="{00000000-0005-0000-0000-000060270000}"/>
    <cellStyle name="메모 5 6 3 2 4 4" xfId="30748" xr:uid="{00000000-0005-0000-0000-000061270000}"/>
    <cellStyle name="메모 5 6 3 2 5" xfId="23896" xr:uid="{00000000-0005-0000-0000-000062270000}"/>
    <cellStyle name="메모 5 6 3 2 6" xfId="25795" xr:uid="{00000000-0005-0000-0000-000063270000}"/>
    <cellStyle name="메모 5 6 3 2 7" xfId="28909" xr:uid="{00000000-0005-0000-0000-000064270000}"/>
    <cellStyle name="메모 5 6 3 2 8" xfId="21565" xr:uid="{00000000-0005-0000-0000-000065270000}"/>
    <cellStyle name="메모 5 6 3 3" xfId="15870" xr:uid="{00000000-0005-0000-0000-000066270000}"/>
    <cellStyle name="메모 5 6 3 3 2" xfId="19498" xr:uid="{00000000-0005-0000-0000-000067270000}"/>
    <cellStyle name="메모 5 6 3 3 3" xfId="25643" xr:uid="{00000000-0005-0000-0000-000068270000}"/>
    <cellStyle name="메모 5 6 3 3 4" xfId="28760" xr:uid="{00000000-0005-0000-0000-000069270000}"/>
    <cellStyle name="메모 5 6 3 3 5" xfId="21456" xr:uid="{00000000-0005-0000-0000-00006A270000}"/>
    <cellStyle name="메모 5 6 3 4" xfId="16890" xr:uid="{00000000-0005-0000-0000-00006B270000}"/>
    <cellStyle name="메모 5 6 3 4 2" xfId="23996" xr:uid="{00000000-0005-0000-0000-00006C270000}"/>
    <cellStyle name="메모 5 6 3 4 3" xfId="26194" xr:uid="{00000000-0005-0000-0000-00006D270000}"/>
    <cellStyle name="메모 5 6 3 4 4" xfId="29308" xr:uid="{00000000-0005-0000-0000-00006E270000}"/>
    <cellStyle name="메모 5 6 3 4 5" xfId="21964" xr:uid="{00000000-0005-0000-0000-00006F270000}"/>
    <cellStyle name="메모 5 6 3 5" xfId="22437" xr:uid="{00000000-0005-0000-0000-000070270000}"/>
    <cellStyle name="메모 5 6 3 5 2" xfId="19700" xr:uid="{00000000-0005-0000-0000-000071270000}"/>
    <cellStyle name="메모 5 6 3 5 3" xfId="26667" xr:uid="{00000000-0005-0000-0000-000072270000}"/>
    <cellStyle name="메모 5 6 3 5 4" xfId="29781" xr:uid="{00000000-0005-0000-0000-000073270000}"/>
    <cellStyle name="메모 5 6 3 6" xfId="22910" xr:uid="{00000000-0005-0000-0000-000074270000}"/>
    <cellStyle name="메모 5 6 3 6 2" xfId="21250" xr:uid="{00000000-0005-0000-0000-000075270000}"/>
    <cellStyle name="메모 5 6 3 6 3" xfId="27140" xr:uid="{00000000-0005-0000-0000-000076270000}"/>
    <cellStyle name="메모 5 6 3 6 4" xfId="30254" xr:uid="{00000000-0005-0000-0000-000077270000}"/>
    <cellStyle name="메모 5 6 3 7" xfId="23255" xr:uid="{00000000-0005-0000-0000-000078270000}"/>
    <cellStyle name="메모 5 6 3 7 2" xfId="21469" xr:uid="{00000000-0005-0000-0000-000079270000}"/>
    <cellStyle name="메모 5 6 3 7 3" xfId="27485" xr:uid="{00000000-0005-0000-0000-00007A270000}"/>
    <cellStyle name="메모 5 6 3 7 4" xfId="30599" xr:uid="{00000000-0005-0000-0000-00007B270000}"/>
    <cellStyle name="메모 5 6 3 8" xfId="20534" xr:uid="{00000000-0005-0000-0000-00007C270000}"/>
    <cellStyle name="메모 5 6 3 9" xfId="18842" xr:uid="{00000000-0005-0000-0000-00007D270000}"/>
    <cellStyle name="메모 5 6 4" xfId="14741" xr:uid="{00000000-0005-0000-0000-00007E270000}"/>
    <cellStyle name="메모 5 6 4 2" xfId="15626" xr:uid="{00000000-0005-0000-0000-00007F270000}"/>
    <cellStyle name="메모 5 6 4 2 2" xfId="23854" xr:uid="{00000000-0005-0000-0000-000080270000}"/>
    <cellStyle name="메모 5 6 4 2 3" xfId="26249" xr:uid="{00000000-0005-0000-0000-000081270000}"/>
    <cellStyle name="메모 5 6 4 2 4" xfId="29363" xr:uid="{00000000-0005-0000-0000-000082270000}"/>
    <cellStyle name="메모 5 6 4 2 5" xfId="22019" xr:uid="{00000000-0005-0000-0000-000083270000}"/>
    <cellStyle name="메모 5 6 4 3" xfId="15976" xr:uid="{00000000-0005-0000-0000-000084270000}"/>
    <cellStyle name="메모 5 6 4 3 2" xfId="19748" xr:uid="{00000000-0005-0000-0000-000085270000}"/>
    <cellStyle name="메모 5 6 4 3 3" xfId="26722" xr:uid="{00000000-0005-0000-0000-000086270000}"/>
    <cellStyle name="메모 5 6 4 3 4" xfId="29836" xr:uid="{00000000-0005-0000-0000-000087270000}"/>
    <cellStyle name="메모 5 6 4 3 5" xfId="22492" xr:uid="{00000000-0005-0000-0000-000088270000}"/>
    <cellStyle name="메모 5 6 4 4" xfId="16891" xr:uid="{00000000-0005-0000-0000-000089270000}"/>
    <cellStyle name="메모 5 6 4 4 2" xfId="20350" xr:uid="{00000000-0005-0000-0000-00008A270000}"/>
    <cellStyle name="메모 5 6 4 4 3" xfId="27540" xr:uid="{00000000-0005-0000-0000-00008B270000}"/>
    <cellStyle name="메모 5 6 4 4 4" xfId="30654" xr:uid="{00000000-0005-0000-0000-00008C270000}"/>
    <cellStyle name="메모 5 6 4 4 5" xfId="23310" xr:uid="{00000000-0005-0000-0000-00008D270000}"/>
    <cellStyle name="메모 5 6 4 5" xfId="21513" xr:uid="{00000000-0005-0000-0000-00008E270000}"/>
    <cellStyle name="메모 5 6 4 6" xfId="24015" xr:uid="{00000000-0005-0000-0000-00008F270000}"/>
    <cellStyle name="메모 5 6 4 7" xfId="25698" xr:uid="{00000000-0005-0000-0000-000090270000}"/>
    <cellStyle name="메모 5 6 4 8" xfId="28815" xr:uid="{00000000-0005-0000-0000-000091270000}"/>
    <cellStyle name="메모 5 6 4 9" xfId="17961" xr:uid="{00000000-0005-0000-0000-000092270000}"/>
    <cellStyle name="메모 5 6 5" xfId="15117" xr:uid="{00000000-0005-0000-0000-000093270000}"/>
    <cellStyle name="메모 5 6 5 2" xfId="15836" xr:uid="{00000000-0005-0000-0000-000094270000}"/>
    <cellStyle name="메모 5 6 5 2 2" xfId="31581" xr:uid="{00000000-0005-0000-0000-000095270000}"/>
    <cellStyle name="메모 5 6 5 2 3" xfId="24071" xr:uid="{00000000-0005-0000-0000-000096270000}"/>
    <cellStyle name="메모 5 6 5 3" xfId="16229" xr:uid="{00000000-0005-0000-0000-000097270000}"/>
    <cellStyle name="메모 5 6 5 3 2" xfId="31839" xr:uid="{00000000-0005-0000-0000-000098270000}"/>
    <cellStyle name="메모 5 6 5 3 3" xfId="25149" xr:uid="{00000000-0005-0000-0000-000099270000}"/>
    <cellStyle name="메모 5 6 5 4" xfId="16892" xr:uid="{00000000-0005-0000-0000-00009A270000}"/>
    <cellStyle name="메모 5 6 5 4 2" xfId="28273" xr:uid="{00000000-0005-0000-0000-00009B270000}"/>
    <cellStyle name="메모 5 6 5 5" xfId="20898" xr:uid="{00000000-0005-0000-0000-00009C270000}"/>
    <cellStyle name="메모 5 6 6" xfId="14904" xr:uid="{00000000-0005-0000-0000-00009D270000}"/>
    <cellStyle name="메모 5 6 6 2" xfId="15654" xr:uid="{00000000-0005-0000-0000-00009E270000}"/>
    <cellStyle name="메모 5 6 6 2 2" xfId="31432" xr:uid="{00000000-0005-0000-0000-00009F270000}"/>
    <cellStyle name="메모 5 6 6 3" xfId="16016" xr:uid="{00000000-0005-0000-0000-0000A0270000}"/>
    <cellStyle name="메모 5 6 6 3 2" xfId="31659" xr:uid="{00000000-0005-0000-0000-0000A1270000}"/>
    <cellStyle name="메모 5 6 6 4" xfId="16893" xr:uid="{00000000-0005-0000-0000-0000A2270000}"/>
    <cellStyle name="메모 5 6 6 4 2" xfId="32337" xr:uid="{00000000-0005-0000-0000-0000A3270000}"/>
    <cellStyle name="메모 5 6 6 5" xfId="31175" xr:uid="{00000000-0005-0000-0000-0000A4270000}"/>
    <cellStyle name="메모 5 6 6 6" xfId="20479" xr:uid="{00000000-0005-0000-0000-0000A5270000}"/>
    <cellStyle name="메모 5 6 7" xfId="15051" xr:uid="{00000000-0005-0000-0000-0000A6270000}"/>
    <cellStyle name="메모 5 6 7 2" xfId="15779" xr:uid="{00000000-0005-0000-0000-0000A7270000}"/>
    <cellStyle name="메모 5 6 7 2 2" xfId="31557" xr:uid="{00000000-0005-0000-0000-0000A8270000}"/>
    <cellStyle name="메모 5 6 7 3" xfId="16163" xr:uid="{00000000-0005-0000-0000-0000A9270000}"/>
    <cellStyle name="메모 5 6 7 3 2" xfId="31806" xr:uid="{00000000-0005-0000-0000-0000AA270000}"/>
    <cellStyle name="메모 5 6 7 4" xfId="16894" xr:uid="{00000000-0005-0000-0000-0000AB270000}"/>
    <cellStyle name="메모 5 6 7 4 2" xfId="32338" xr:uid="{00000000-0005-0000-0000-0000AC270000}"/>
    <cellStyle name="메모 5 6 7 5" xfId="31268" xr:uid="{00000000-0005-0000-0000-0000AD270000}"/>
    <cellStyle name="메모 5 6 7 6" xfId="18743" xr:uid="{00000000-0005-0000-0000-0000AE270000}"/>
    <cellStyle name="메모 5 6 8" xfId="14960" xr:uid="{00000000-0005-0000-0000-0000AF270000}"/>
    <cellStyle name="메모 5 6 8 2" xfId="15710" xr:uid="{00000000-0005-0000-0000-0000B0270000}"/>
    <cellStyle name="메모 5 6 8 2 2" xfId="31488" xr:uid="{00000000-0005-0000-0000-0000B1270000}"/>
    <cellStyle name="메모 5 6 8 3" xfId="16072" xr:uid="{00000000-0005-0000-0000-0000B2270000}"/>
    <cellStyle name="메모 5 6 8 3 2" xfId="31715" xr:uid="{00000000-0005-0000-0000-0000B3270000}"/>
    <cellStyle name="메모 5 6 8 4" xfId="16895" xr:uid="{00000000-0005-0000-0000-0000B4270000}"/>
    <cellStyle name="메모 5 6 8 4 2" xfId="32339" xr:uid="{00000000-0005-0000-0000-0000B5270000}"/>
    <cellStyle name="메모 5 6 8 5" xfId="31199" xr:uid="{00000000-0005-0000-0000-0000B6270000}"/>
    <cellStyle name="메모 5 6 8 6" xfId="18568" xr:uid="{00000000-0005-0000-0000-0000B7270000}"/>
    <cellStyle name="메모 5 6 9" xfId="15010" xr:uid="{00000000-0005-0000-0000-0000B8270000}"/>
    <cellStyle name="메모 5 6 9 2" xfId="16122" xr:uid="{00000000-0005-0000-0000-0000B9270000}"/>
    <cellStyle name="메모 5 6 9 2 2" xfId="31765" xr:uid="{00000000-0005-0000-0000-0000BA270000}"/>
    <cellStyle name="메모 5 6 9 3" xfId="16896" xr:uid="{00000000-0005-0000-0000-0000BB270000}"/>
    <cellStyle name="메모 5 6 9 3 2" xfId="32340" xr:uid="{00000000-0005-0000-0000-0000BC270000}"/>
    <cellStyle name="메모 5 6 9 4" xfId="16897" xr:uid="{00000000-0005-0000-0000-0000BD270000}"/>
    <cellStyle name="메모 5 6 9 4 2" xfId="32341" xr:uid="{00000000-0005-0000-0000-0000BE270000}"/>
    <cellStyle name="메모 5 6 9 5" xfId="24725" xr:uid="{00000000-0005-0000-0000-0000BF270000}"/>
    <cellStyle name="메모 5 7" xfId="12013" xr:uid="{00000000-0005-0000-0000-0000C0270000}"/>
    <cellStyle name="메모 5 7 10" xfId="15215" xr:uid="{00000000-0005-0000-0000-0000C1270000}"/>
    <cellStyle name="메모 5 7 10 2" xfId="31351" xr:uid="{00000000-0005-0000-0000-0000C2270000}"/>
    <cellStyle name="메모 5 7 11" xfId="16898" xr:uid="{00000000-0005-0000-0000-0000C3270000}"/>
    <cellStyle name="메모 5 7 11 2" xfId="32342" xr:uid="{00000000-0005-0000-0000-0000C4270000}"/>
    <cellStyle name="메모 5 7 12" xfId="16899" xr:uid="{00000000-0005-0000-0000-0000C5270000}"/>
    <cellStyle name="메모 5 7 12 2" xfId="32343" xr:uid="{00000000-0005-0000-0000-0000C6270000}"/>
    <cellStyle name="메모 5 7 13" xfId="17244" xr:uid="{00000000-0005-0000-0000-0000C7270000}"/>
    <cellStyle name="메모 5 7 2" xfId="14584" xr:uid="{00000000-0005-0000-0000-0000C8270000}"/>
    <cellStyle name="메모 5 7 2 10" xfId="24970" xr:uid="{00000000-0005-0000-0000-0000C9270000}"/>
    <cellStyle name="메모 5 7 2 11" xfId="28094" xr:uid="{00000000-0005-0000-0000-0000CA270000}"/>
    <cellStyle name="메모 5 7 2 12" xfId="17498" xr:uid="{00000000-0005-0000-0000-0000CB270000}"/>
    <cellStyle name="메모 5 7 2 2" xfId="15515" xr:uid="{00000000-0005-0000-0000-0000CC270000}"/>
    <cellStyle name="메모 5 7 2 2 2" xfId="22305" xr:uid="{00000000-0005-0000-0000-0000CD270000}"/>
    <cellStyle name="메모 5 7 2 2 2 2" xfId="18453" xr:uid="{00000000-0005-0000-0000-0000CE270000}"/>
    <cellStyle name="메모 5 7 2 2 2 3" xfId="26535" xr:uid="{00000000-0005-0000-0000-0000CF270000}"/>
    <cellStyle name="메모 5 7 2 2 2 4" xfId="29649" xr:uid="{00000000-0005-0000-0000-0000D0270000}"/>
    <cellStyle name="메모 5 7 2 2 3" xfId="22781" xr:uid="{00000000-0005-0000-0000-0000D1270000}"/>
    <cellStyle name="메모 5 7 2 2 3 2" xfId="21233" xr:uid="{00000000-0005-0000-0000-0000D2270000}"/>
    <cellStyle name="메모 5 7 2 2 3 3" xfId="27011" xr:uid="{00000000-0005-0000-0000-0000D3270000}"/>
    <cellStyle name="메모 5 7 2 2 3 4" xfId="30125" xr:uid="{00000000-0005-0000-0000-0000D4270000}"/>
    <cellStyle name="메모 5 7 2 2 4" xfId="23591" xr:uid="{00000000-0005-0000-0000-0000D5270000}"/>
    <cellStyle name="메모 5 7 2 2 4 2" xfId="23819" xr:uid="{00000000-0005-0000-0000-0000D6270000}"/>
    <cellStyle name="메모 5 7 2 2 4 3" xfId="27821" xr:uid="{00000000-0005-0000-0000-0000D7270000}"/>
    <cellStyle name="메모 5 7 2 2 4 4" xfId="30935" xr:uid="{00000000-0005-0000-0000-0000D8270000}"/>
    <cellStyle name="메모 5 7 2 2 5" xfId="21752" xr:uid="{00000000-0005-0000-0000-0000D9270000}"/>
    <cellStyle name="메모 5 7 2 2 6" xfId="24283" xr:uid="{00000000-0005-0000-0000-0000DA270000}"/>
    <cellStyle name="메모 5 7 2 2 7" xfId="25982" xr:uid="{00000000-0005-0000-0000-0000DB270000}"/>
    <cellStyle name="메모 5 7 2 2 8" xfId="29096" xr:uid="{00000000-0005-0000-0000-0000DC270000}"/>
    <cellStyle name="메모 5 7 2 2 9" xfId="17962" xr:uid="{00000000-0005-0000-0000-0000DD270000}"/>
    <cellStyle name="메모 5 7 2 3" xfId="15869" xr:uid="{00000000-0005-0000-0000-0000DE270000}"/>
    <cellStyle name="메모 5 7 2 3 2" xfId="21350" xr:uid="{00000000-0005-0000-0000-0000DF270000}"/>
    <cellStyle name="메모 5 7 2 3 3" xfId="24064" xr:uid="{00000000-0005-0000-0000-0000E0270000}"/>
    <cellStyle name="메모 5 7 2 3 4" xfId="25537" xr:uid="{00000000-0005-0000-0000-0000E1270000}"/>
    <cellStyle name="메모 5 7 2 3 5" xfId="28654" xr:uid="{00000000-0005-0000-0000-0000E2270000}"/>
    <cellStyle name="메모 5 7 2 3 6" xfId="17963" xr:uid="{00000000-0005-0000-0000-0000E3270000}"/>
    <cellStyle name="메모 5 7 2 4" xfId="16900" xr:uid="{00000000-0005-0000-0000-0000E4270000}"/>
    <cellStyle name="메모 5 7 2 4 2" xfId="24483" xr:uid="{00000000-0005-0000-0000-0000E5270000}"/>
    <cellStyle name="메모 5 7 2 4 3" xfId="26088" xr:uid="{00000000-0005-0000-0000-0000E6270000}"/>
    <cellStyle name="메모 5 7 2 4 4" xfId="29202" xr:uid="{00000000-0005-0000-0000-0000E7270000}"/>
    <cellStyle name="메모 5 7 2 4 5" xfId="21858" xr:uid="{00000000-0005-0000-0000-0000E8270000}"/>
    <cellStyle name="메모 5 7 2 5" xfId="21252" xr:uid="{00000000-0005-0000-0000-0000E9270000}"/>
    <cellStyle name="메모 5 7 2 5 2" xfId="23742" xr:uid="{00000000-0005-0000-0000-0000EA270000}"/>
    <cellStyle name="메모 5 7 2 5 3" xfId="25469" xr:uid="{00000000-0005-0000-0000-0000EB270000}"/>
    <cellStyle name="메모 5 7 2 5 4" xfId="28586" xr:uid="{00000000-0005-0000-0000-0000EC270000}"/>
    <cellStyle name="메모 5 7 2 6" xfId="21003" xr:uid="{00000000-0005-0000-0000-0000ED270000}"/>
    <cellStyle name="메모 5 7 2 6 2" xfId="24264" xr:uid="{00000000-0005-0000-0000-0000EE270000}"/>
    <cellStyle name="메모 5 7 2 6 3" xfId="25248" xr:uid="{00000000-0005-0000-0000-0000EF270000}"/>
    <cellStyle name="메모 5 7 2 6 4" xfId="28372" xr:uid="{00000000-0005-0000-0000-0000F0270000}"/>
    <cellStyle name="메모 5 7 2 7" xfId="20996" xr:uid="{00000000-0005-0000-0000-0000F1270000}"/>
    <cellStyle name="메모 5 7 2 7 2" xfId="23685" xr:uid="{00000000-0005-0000-0000-0000F2270000}"/>
    <cellStyle name="메모 5 7 2 7 3" xfId="25244" xr:uid="{00000000-0005-0000-0000-0000F3270000}"/>
    <cellStyle name="메모 5 7 2 7 4" xfId="28368" xr:uid="{00000000-0005-0000-0000-0000F4270000}"/>
    <cellStyle name="메모 5 7 2 8" xfId="20722" xr:uid="{00000000-0005-0000-0000-0000F5270000}"/>
    <cellStyle name="메모 5 7 2 9" xfId="18092" xr:uid="{00000000-0005-0000-0000-0000F6270000}"/>
    <cellStyle name="메모 5 7 3" xfId="14638" xr:uid="{00000000-0005-0000-0000-0000F7270000}"/>
    <cellStyle name="메모 5 7 3 10" xfId="17399" xr:uid="{00000000-0005-0000-0000-0000F8270000}"/>
    <cellStyle name="메모 5 7 3 2" xfId="15569" xr:uid="{00000000-0005-0000-0000-0000F9270000}"/>
    <cellStyle name="메모 5 7 3 2 2" xfId="24140" xr:uid="{00000000-0005-0000-0000-0000FA270000}"/>
    <cellStyle name="메모 5 7 3 2 3" xfId="25802" xr:uid="{00000000-0005-0000-0000-0000FB270000}"/>
    <cellStyle name="메모 5 7 3 2 4" xfId="28916" xr:uid="{00000000-0005-0000-0000-0000FC270000}"/>
    <cellStyle name="메모 5 7 3 2 5" xfId="21572" xr:uid="{00000000-0005-0000-0000-0000FD270000}"/>
    <cellStyle name="메모 5 7 3 3" xfId="15923" xr:uid="{00000000-0005-0000-0000-0000FE270000}"/>
    <cellStyle name="메모 5 7 3 3 2" xfId="19319" xr:uid="{00000000-0005-0000-0000-0000FF270000}"/>
    <cellStyle name="메모 5 7 3 3 3" xfId="26355" xr:uid="{00000000-0005-0000-0000-000000280000}"/>
    <cellStyle name="메모 5 7 3 3 4" xfId="29469" xr:uid="{00000000-0005-0000-0000-000001280000}"/>
    <cellStyle name="메모 5 7 3 3 5" xfId="22125" xr:uid="{00000000-0005-0000-0000-000002280000}"/>
    <cellStyle name="메모 5 7 3 4" xfId="16901" xr:uid="{00000000-0005-0000-0000-000003280000}"/>
    <cellStyle name="메모 5 7 3 4 2" xfId="19848" xr:uid="{00000000-0005-0000-0000-000004280000}"/>
    <cellStyle name="메모 5 7 3 4 3" xfId="26831" xr:uid="{00000000-0005-0000-0000-000005280000}"/>
    <cellStyle name="메모 5 7 3 4 4" xfId="29945" xr:uid="{00000000-0005-0000-0000-000006280000}"/>
    <cellStyle name="메모 5 7 3 4 5" xfId="22601" xr:uid="{00000000-0005-0000-0000-000007280000}"/>
    <cellStyle name="메모 5 7 3 5" xfId="23411" xr:uid="{00000000-0005-0000-0000-000008280000}"/>
    <cellStyle name="메모 5 7 3 5 2" xfId="21500" xr:uid="{00000000-0005-0000-0000-000009280000}"/>
    <cellStyle name="메모 5 7 3 5 3" xfId="27641" xr:uid="{00000000-0005-0000-0000-00000A280000}"/>
    <cellStyle name="메모 5 7 3 5 4" xfId="30755" xr:uid="{00000000-0005-0000-0000-00000B280000}"/>
    <cellStyle name="메모 5 7 3 6" xfId="20541" xr:uid="{00000000-0005-0000-0000-00000C280000}"/>
    <cellStyle name="메모 5 7 3 7" xfId="18849" xr:uid="{00000000-0005-0000-0000-00000D280000}"/>
    <cellStyle name="메모 5 7 3 8" xfId="24790" xr:uid="{00000000-0005-0000-0000-00000E280000}"/>
    <cellStyle name="메모 5 7 3 9" xfId="27914" xr:uid="{00000000-0005-0000-0000-00000F280000}"/>
    <cellStyle name="메모 5 7 4" xfId="15118" xr:uid="{00000000-0005-0000-0000-000010280000}"/>
    <cellStyle name="메모 5 7 4 2" xfId="15837" xr:uid="{00000000-0005-0000-0000-000011280000}"/>
    <cellStyle name="메모 5 7 4 2 2" xfId="23815" xr:uid="{00000000-0005-0000-0000-000012280000}"/>
    <cellStyle name="메모 5 7 4 2 3" xfId="26250" xr:uid="{00000000-0005-0000-0000-000013280000}"/>
    <cellStyle name="메모 5 7 4 2 4" xfId="29364" xr:uid="{00000000-0005-0000-0000-000014280000}"/>
    <cellStyle name="메모 5 7 4 2 5" xfId="22020" xr:uid="{00000000-0005-0000-0000-000015280000}"/>
    <cellStyle name="메모 5 7 4 3" xfId="16230" xr:uid="{00000000-0005-0000-0000-000016280000}"/>
    <cellStyle name="메모 5 7 4 3 2" xfId="19749" xr:uid="{00000000-0005-0000-0000-000017280000}"/>
    <cellStyle name="메모 5 7 4 3 3" xfId="26723" xr:uid="{00000000-0005-0000-0000-000018280000}"/>
    <cellStyle name="메모 5 7 4 3 4" xfId="29837" xr:uid="{00000000-0005-0000-0000-000019280000}"/>
    <cellStyle name="메모 5 7 4 3 5" xfId="22493" xr:uid="{00000000-0005-0000-0000-00001A280000}"/>
    <cellStyle name="메모 5 7 4 4" xfId="16902" xr:uid="{00000000-0005-0000-0000-00001B280000}"/>
    <cellStyle name="메모 5 7 4 4 2" xfId="20351" xr:uid="{00000000-0005-0000-0000-00001C280000}"/>
    <cellStyle name="메모 5 7 4 4 3" xfId="27541" xr:uid="{00000000-0005-0000-0000-00001D280000}"/>
    <cellStyle name="메모 5 7 4 4 4" xfId="30655" xr:uid="{00000000-0005-0000-0000-00001E280000}"/>
    <cellStyle name="메모 5 7 4 4 5" xfId="23311" xr:uid="{00000000-0005-0000-0000-00001F280000}"/>
    <cellStyle name="메모 5 7 4 5" xfId="23900" xr:uid="{00000000-0005-0000-0000-000020280000}"/>
    <cellStyle name="메모 5 7 4 6" xfId="25699" xr:uid="{00000000-0005-0000-0000-000021280000}"/>
    <cellStyle name="메모 5 7 4 7" xfId="28816" xr:uid="{00000000-0005-0000-0000-000022280000}"/>
    <cellStyle name="메모 5 7 4 8" xfId="17408" xr:uid="{00000000-0005-0000-0000-000023280000}"/>
    <cellStyle name="메모 5 7 5" xfId="14903" xr:uid="{00000000-0005-0000-0000-000024280000}"/>
    <cellStyle name="메모 5 7 5 2" xfId="15653" xr:uid="{00000000-0005-0000-0000-000025280000}"/>
    <cellStyle name="메모 5 7 5 2 2" xfId="31431" xr:uid="{00000000-0005-0000-0000-000026280000}"/>
    <cellStyle name="메모 5 7 5 2 3" xfId="20899" xr:uid="{00000000-0005-0000-0000-000027280000}"/>
    <cellStyle name="메모 5 7 5 3" xfId="16015" xr:uid="{00000000-0005-0000-0000-000028280000}"/>
    <cellStyle name="메모 5 7 5 3 2" xfId="31658" xr:uid="{00000000-0005-0000-0000-000029280000}"/>
    <cellStyle name="메모 5 7 5 3 3" xfId="19364" xr:uid="{00000000-0005-0000-0000-00002A280000}"/>
    <cellStyle name="메모 5 7 5 4" xfId="16903" xr:uid="{00000000-0005-0000-0000-00002B280000}"/>
    <cellStyle name="메모 5 7 5 4 2" xfId="32344" xr:uid="{00000000-0005-0000-0000-00002C280000}"/>
    <cellStyle name="메모 5 7 5 4 3" xfId="25150" xr:uid="{00000000-0005-0000-0000-00002D280000}"/>
    <cellStyle name="메모 5 7 5 5" xfId="28274" xr:uid="{00000000-0005-0000-0000-00002E280000}"/>
    <cellStyle name="메모 5 7 5 6" xfId="17964" xr:uid="{00000000-0005-0000-0000-00002F280000}"/>
    <cellStyle name="메모 5 7 6" xfId="15052" xr:uid="{00000000-0005-0000-0000-000030280000}"/>
    <cellStyle name="메모 5 7 6 2" xfId="15780" xr:uid="{00000000-0005-0000-0000-000031280000}"/>
    <cellStyle name="메모 5 7 6 2 2" xfId="31558" xr:uid="{00000000-0005-0000-0000-000032280000}"/>
    <cellStyle name="메모 5 7 6 3" xfId="16164" xr:uid="{00000000-0005-0000-0000-000033280000}"/>
    <cellStyle name="메모 5 7 6 3 2" xfId="31807" xr:uid="{00000000-0005-0000-0000-000034280000}"/>
    <cellStyle name="메모 5 7 6 4" xfId="16904" xr:uid="{00000000-0005-0000-0000-000035280000}"/>
    <cellStyle name="메모 5 7 6 4 2" xfId="32345" xr:uid="{00000000-0005-0000-0000-000036280000}"/>
    <cellStyle name="메모 5 7 6 5" xfId="31269" xr:uid="{00000000-0005-0000-0000-000037280000}"/>
    <cellStyle name="메모 5 7 6 6" xfId="18744" xr:uid="{00000000-0005-0000-0000-000038280000}"/>
    <cellStyle name="메모 5 7 7" xfId="14959" xr:uid="{00000000-0005-0000-0000-000039280000}"/>
    <cellStyle name="메모 5 7 7 2" xfId="15709" xr:uid="{00000000-0005-0000-0000-00003A280000}"/>
    <cellStyle name="메모 5 7 7 2 2" xfId="31487" xr:uid="{00000000-0005-0000-0000-00003B280000}"/>
    <cellStyle name="메모 5 7 7 3" xfId="16071" xr:uid="{00000000-0005-0000-0000-00003C280000}"/>
    <cellStyle name="메모 5 7 7 3 2" xfId="31714" xr:uid="{00000000-0005-0000-0000-00003D280000}"/>
    <cellStyle name="메모 5 7 7 4" xfId="16905" xr:uid="{00000000-0005-0000-0000-00003E280000}"/>
    <cellStyle name="메모 5 7 7 4 2" xfId="32346" xr:uid="{00000000-0005-0000-0000-00003F280000}"/>
    <cellStyle name="메모 5 7 7 5" xfId="31198" xr:uid="{00000000-0005-0000-0000-000040280000}"/>
    <cellStyle name="메모 5 7 7 6" xfId="18567" xr:uid="{00000000-0005-0000-0000-000041280000}"/>
    <cellStyle name="메모 5 7 8" xfId="15155" xr:uid="{00000000-0005-0000-0000-000042280000}"/>
    <cellStyle name="메모 5 7 8 2" xfId="16267" xr:uid="{00000000-0005-0000-0000-000043280000}"/>
    <cellStyle name="메모 5 7 8 2 2" xfId="31876" xr:uid="{00000000-0005-0000-0000-000044280000}"/>
    <cellStyle name="메모 5 7 8 3" xfId="16906" xr:uid="{00000000-0005-0000-0000-000045280000}"/>
    <cellStyle name="메모 5 7 8 3 2" xfId="32347" xr:uid="{00000000-0005-0000-0000-000046280000}"/>
    <cellStyle name="메모 5 7 8 4" xfId="16907" xr:uid="{00000000-0005-0000-0000-000047280000}"/>
    <cellStyle name="메모 5 7 8 4 2" xfId="32348" xr:uid="{00000000-0005-0000-0000-000048280000}"/>
    <cellStyle name="메모 5 7 8 5" xfId="18828" xr:uid="{00000000-0005-0000-0000-000049280000}"/>
    <cellStyle name="메모 5 7 9" xfId="15375" xr:uid="{00000000-0005-0000-0000-00004A280000}"/>
    <cellStyle name="메모 5 7 9 2" xfId="15305" xr:uid="{00000000-0005-0000-0000-00004B280000}"/>
    <cellStyle name="메모 5 7 9 2 2" xfId="31352" xr:uid="{00000000-0005-0000-0000-00004C280000}"/>
    <cellStyle name="메모 5 7 9 3" xfId="16908" xr:uid="{00000000-0005-0000-0000-00004D280000}"/>
    <cellStyle name="메모 5 7 9 3 2" xfId="32349" xr:uid="{00000000-0005-0000-0000-00004E280000}"/>
    <cellStyle name="메모 5 7 9 4" xfId="16909" xr:uid="{00000000-0005-0000-0000-00004F280000}"/>
    <cellStyle name="메모 5 7 9 4 2" xfId="32350" xr:uid="{00000000-0005-0000-0000-000050280000}"/>
    <cellStyle name="메모 5 7 9 5" xfId="31413" xr:uid="{00000000-0005-0000-0000-000051280000}"/>
    <cellStyle name="메모 5 8" xfId="14590" xr:uid="{00000000-0005-0000-0000-000052280000}"/>
    <cellStyle name="메모 5 8 2" xfId="15521" xr:uid="{00000000-0005-0000-0000-000053280000}"/>
    <cellStyle name="메모 5 8 2 2" xfId="22299" xr:uid="{00000000-0005-0000-0000-000054280000}"/>
    <cellStyle name="메모 5 8 2 2 2" xfId="19156" xr:uid="{00000000-0005-0000-0000-000055280000}"/>
    <cellStyle name="메모 5 8 2 2 3" xfId="26529" xr:uid="{00000000-0005-0000-0000-000056280000}"/>
    <cellStyle name="메모 5 8 2 2 4" xfId="29643" xr:uid="{00000000-0005-0000-0000-000057280000}"/>
    <cellStyle name="메모 5 8 2 3" xfId="22775" xr:uid="{00000000-0005-0000-0000-000058280000}"/>
    <cellStyle name="메모 5 8 2 3 2" xfId="20011" xr:uid="{00000000-0005-0000-0000-000059280000}"/>
    <cellStyle name="메모 5 8 2 3 3" xfId="27005" xr:uid="{00000000-0005-0000-0000-00005A280000}"/>
    <cellStyle name="메모 5 8 2 3 4" xfId="30119" xr:uid="{00000000-0005-0000-0000-00005B280000}"/>
    <cellStyle name="메모 5 8 2 4" xfId="23585" xr:uid="{00000000-0005-0000-0000-00005C280000}"/>
    <cellStyle name="메모 5 8 2 4 2" xfId="18242" xr:uid="{00000000-0005-0000-0000-00005D280000}"/>
    <cellStyle name="메모 5 8 2 4 3" xfId="27815" xr:uid="{00000000-0005-0000-0000-00005E280000}"/>
    <cellStyle name="메모 5 8 2 4 4" xfId="30929" xr:uid="{00000000-0005-0000-0000-00005F280000}"/>
    <cellStyle name="메모 5 8 2 5" xfId="24384" xr:uid="{00000000-0005-0000-0000-000060280000}"/>
    <cellStyle name="메모 5 8 2 6" xfId="25976" xr:uid="{00000000-0005-0000-0000-000061280000}"/>
    <cellStyle name="메모 5 8 2 7" xfId="29090" xr:uid="{00000000-0005-0000-0000-000062280000}"/>
    <cellStyle name="메모 5 8 2 8" xfId="21746" xr:uid="{00000000-0005-0000-0000-000063280000}"/>
    <cellStyle name="메모 5 8 3" xfId="15875" xr:uid="{00000000-0005-0000-0000-000064280000}"/>
    <cellStyle name="메모 5 8 3 2" xfId="31606" xr:uid="{00000000-0005-0000-0000-000065280000}"/>
    <cellStyle name="메모 5 8 3 3" xfId="21344" xr:uid="{00000000-0005-0000-0000-000066280000}"/>
    <cellStyle name="메모 5 8 4" xfId="16910" xr:uid="{00000000-0005-0000-0000-000067280000}"/>
    <cellStyle name="메모 5 8 4 2" xfId="32351" xr:uid="{00000000-0005-0000-0000-000068280000}"/>
    <cellStyle name="메모 5 8 4 3" xfId="20716" xr:uid="{00000000-0005-0000-0000-000069280000}"/>
    <cellStyle name="메모 5 8 5" xfId="19021" xr:uid="{00000000-0005-0000-0000-00006A280000}"/>
    <cellStyle name="메모 5 8 6" xfId="24964" xr:uid="{00000000-0005-0000-0000-00006B280000}"/>
    <cellStyle name="메모 5 8 7" xfId="28088" xr:uid="{00000000-0005-0000-0000-00006C280000}"/>
    <cellStyle name="메모 5 8 8" xfId="17965" xr:uid="{00000000-0005-0000-0000-00006D280000}"/>
    <cellStyle name="메모 5 9" xfId="14571" xr:uid="{00000000-0005-0000-0000-00006E280000}"/>
    <cellStyle name="메모 5 9 2" xfId="15502" xr:uid="{00000000-0005-0000-0000-00006F280000}"/>
    <cellStyle name="메모 5 9 2 2" xfId="24622" xr:uid="{00000000-0005-0000-0000-000070280000}"/>
    <cellStyle name="메모 5 9 2 3" xfId="25799" xr:uid="{00000000-0005-0000-0000-000071280000}"/>
    <cellStyle name="메모 5 9 2 4" xfId="28913" xr:uid="{00000000-0005-0000-0000-000072280000}"/>
    <cellStyle name="메모 5 9 2 5" xfId="21569" xr:uid="{00000000-0005-0000-0000-000073280000}"/>
    <cellStyle name="메모 5 9 3" xfId="15220" xr:uid="{00000000-0005-0000-0000-000074280000}"/>
    <cellStyle name="메모 5 9 3 2" xfId="24472" xr:uid="{00000000-0005-0000-0000-000075280000}"/>
    <cellStyle name="메모 5 9 3 3" xfId="26352" xr:uid="{00000000-0005-0000-0000-000076280000}"/>
    <cellStyle name="메모 5 9 3 4" xfId="29466" xr:uid="{00000000-0005-0000-0000-000077280000}"/>
    <cellStyle name="메모 5 9 3 5" xfId="22122" xr:uid="{00000000-0005-0000-0000-000078280000}"/>
    <cellStyle name="메모 5 9 4" xfId="16911" xr:uid="{00000000-0005-0000-0000-000079280000}"/>
    <cellStyle name="메모 5 9 4 2" xfId="19845" xr:uid="{00000000-0005-0000-0000-00007A280000}"/>
    <cellStyle name="메모 5 9 4 3" xfId="26828" xr:uid="{00000000-0005-0000-0000-00007B280000}"/>
    <cellStyle name="메모 5 9 4 4" xfId="29942" xr:uid="{00000000-0005-0000-0000-00007C280000}"/>
    <cellStyle name="메모 5 9 4 5" xfId="22598" xr:uid="{00000000-0005-0000-0000-00007D280000}"/>
    <cellStyle name="메모 5 9 5" xfId="23408" xr:uid="{00000000-0005-0000-0000-00007E280000}"/>
    <cellStyle name="메모 5 9 5 2" xfId="20449" xr:uid="{00000000-0005-0000-0000-00007F280000}"/>
    <cellStyle name="메모 5 9 5 3" xfId="27638" xr:uid="{00000000-0005-0000-0000-000080280000}"/>
    <cellStyle name="메모 5 9 5 4" xfId="30752" xr:uid="{00000000-0005-0000-0000-000081280000}"/>
    <cellStyle name="메모 5 9 6" xfId="18846" xr:uid="{00000000-0005-0000-0000-000082280000}"/>
    <cellStyle name="메모 5 9 7" xfId="24787" xr:uid="{00000000-0005-0000-0000-000083280000}"/>
    <cellStyle name="메모 5 9 8" xfId="27911" xr:uid="{00000000-0005-0000-0000-000084280000}"/>
    <cellStyle name="메모 5 9 9" xfId="20538" xr:uid="{00000000-0005-0000-0000-000085280000}"/>
    <cellStyle name="메모 6" xfId="12014" xr:uid="{00000000-0005-0000-0000-000086280000}"/>
    <cellStyle name="메모 7" xfId="17112" xr:uid="{00000000-0005-0000-0000-000087280000}"/>
    <cellStyle name="메모 7 2" xfId="20542" xr:uid="{00000000-0005-0000-0000-000088280000}"/>
    <cellStyle name="메모 7 3" xfId="32354" xr:uid="{00000000-0005-0000-0000-000089280000}"/>
    <cellStyle name="메모 8" xfId="17113" xr:uid="{00000000-0005-0000-0000-00008A280000}"/>
    <cellStyle name="메모 8 2" xfId="32355" xr:uid="{00000000-0005-0000-0000-00008B280000}"/>
    <cellStyle name="백분율" xfId="2" builtinId="5"/>
    <cellStyle name="백분율 10" xfId="9" xr:uid="{00000000-0005-0000-0000-00008D280000}"/>
    <cellStyle name="백분율 10 10" xfId="85" xr:uid="{00000000-0005-0000-0000-00008E280000}"/>
    <cellStyle name="백분율 10 10 2" xfId="86" xr:uid="{00000000-0005-0000-0000-00008F280000}"/>
    <cellStyle name="백분율 10 10 3" xfId="87" xr:uid="{00000000-0005-0000-0000-000090280000}"/>
    <cellStyle name="백분율 10 11" xfId="88" xr:uid="{00000000-0005-0000-0000-000091280000}"/>
    <cellStyle name="백분율 10 11 2" xfId="89" xr:uid="{00000000-0005-0000-0000-000092280000}"/>
    <cellStyle name="백분율 10 12" xfId="90" xr:uid="{00000000-0005-0000-0000-000093280000}"/>
    <cellStyle name="백분율 10 12 2" xfId="91" xr:uid="{00000000-0005-0000-0000-000094280000}"/>
    <cellStyle name="백분율 10 13" xfId="92" xr:uid="{00000000-0005-0000-0000-000095280000}"/>
    <cellStyle name="백분율 10 13 2" xfId="93" xr:uid="{00000000-0005-0000-0000-000096280000}"/>
    <cellStyle name="백분율 10 14" xfId="94" xr:uid="{00000000-0005-0000-0000-000097280000}"/>
    <cellStyle name="백분율 10 14 2" xfId="95" xr:uid="{00000000-0005-0000-0000-000098280000}"/>
    <cellStyle name="백분율 10 15" xfId="96" xr:uid="{00000000-0005-0000-0000-000099280000}"/>
    <cellStyle name="백분율 10 16" xfId="97" xr:uid="{00000000-0005-0000-0000-00009A280000}"/>
    <cellStyle name="백분율 10 2" xfId="98" xr:uid="{00000000-0005-0000-0000-00009B280000}"/>
    <cellStyle name="백분율 10 2 2" xfId="99" xr:uid="{00000000-0005-0000-0000-00009C280000}"/>
    <cellStyle name="백분율 10 2 2 2" xfId="100" xr:uid="{00000000-0005-0000-0000-00009D280000}"/>
    <cellStyle name="백분율 10 2 2 2 2" xfId="101" xr:uid="{00000000-0005-0000-0000-00009E280000}"/>
    <cellStyle name="백분율 10 2 2 2 2 2" xfId="102" xr:uid="{00000000-0005-0000-0000-00009F280000}"/>
    <cellStyle name="백분율 10 2 2 2 2 3" xfId="103" xr:uid="{00000000-0005-0000-0000-0000A0280000}"/>
    <cellStyle name="백분율 10 2 2 2 3" xfId="104" xr:uid="{00000000-0005-0000-0000-0000A1280000}"/>
    <cellStyle name="백분율 10 2 2 2 4" xfId="105" xr:uid="{00000000-0005-0000-0000-0000A2280000}"/>
    <cellStyle name="백분율 10 2 2 3" xfId="106" xr:uid="{00000000-0005-0000-0000-0000A3280000}"/>
    <cellStyle name="백분율 10 2 2 3 2" xfId="107" xr:uid="{00000000-0005-0000-0000-0000A4280000}"/>
    <cellStyle name="백분율 10 2 2 3 2 2" xfId="108" xr:uid="{00000000-0005-0000-0000-0000A5280000}"/>
    <cellStyle name="백분율 10 2 2 3 2 3" xfId="109" xr:uid="{00000000-0005-0000-0000-0000A6280000}"/>
    <cellStyle name="백분율 10 2 2 3 3" xfId="110" xr:uid="{00000000-0005-0000-0000-0000A7280000}"/>
    <cellStyle name="백분율 10 2 2 3 4" xfId="111" xr:uid="{00000000-0005-0000-0000-0000A8280000}"/>
    <cellStyle name="백분율 10 2 2 4" xfId="112" xr:uid="{00000000-0005-0000-0000-0000A9280000}"/>
    <cellStyle name="백분율 10 2 2 4 2" xfId="113" xr:uid="{00000000-0005-0000-0000-0000AA280000}"/>
    <cellStyle name="백분율 10 2 2 4 3" xfId="114" xr:uid="{00000000-0005-0000-0000-0000AB280000}"/>
    <cellStyle name="백분율 10 2 2 5" xfId="115" xr:uid="{00000000-0005-0000-0000-0000AC280000}"/>
    <cellStyle name="백분율 10 2 2 5 2" xfId="116" xr:uid="{00000000-0005-0000-0000-0000AD280000}"/>
    <cellStyle name="백분율 10 2 2 5 3" xfId="117" xr:uid="{00000000-0005-0000-0000-0000AE280000}"/>
    <cellStyle name="백분율 10 2 2 6" xfId="118" xr:uid="{00000000-0005-0000-0000-0000AF280000}"/>
    <cellStyle name="백분율 10 2 2 7" xfId="119" xr:uid="{00000000-0005-0000-0000-0000B0280000}"/>
    <cellStyle name="백분율 10 2 3" xfId="120" xr:uid="{00000000-0005-0000-0000-0000B1280000}"/>
    <cellStyle name="백분율 10 2 3 2" xfId="121" xr:uid="{00000000-0005-0000-0000-0000B2280000}"/>
    <cellStyle name="백분율 10 2 3 2 2" xfId="122" xr:uid="{00000000-0005-0000-0000-0000B3280000}"/>
    <cellStyle name="백분율 10 2 3 2 3" xfId="123" xr:uid="{00000000-0005-0000-0000-0000B4280000}"/>
    <cellStyle name="백분율 10 2 3 3" xfId="124" xr:uid="{00000000-0005-0000-0000-0000B5280000}"/>
    <cellStyle name="백분율 10 2 3 4" xfId="125" xr:uid="{00000000-0005-0000-0000-0000B6280000}"/>
    <cellStyle name="백분율 10 2 4" xfId="126" xr:uid="{00000000-0005-0000-0000-0000B7280000}"/>
    <cellStyle name="백분율 10 2 4 2" xfId="127" xr:uid="{00000000-0005-0000-0000-0000B8280000}"/>
    <cellStyle name="백분율 10 2 4 2 2" xfId="128" xr:uid="{00000000-0005-0000-0000-0000B9280000}"/>
    <cellStyle name="백분율 10 2 4 2 3" xfId="129" xr:uid="{00000000-0005-0000-0000-0000BA280000}"/>
    <cellStyle name="백분율 10 2 4 3" xfId="130" xr:uid="{00000000-0005-0000-0000-0000BB280000}"/>
    <cellStyle name="백분율 10 2 4 4" xfId="131" xr:uid="{00000000-0005-0000-0000-0000BC280000}"/>
    <cellStyle name="백분율 10 2 5" xfId="132" xr:uid="{00000000-0005-0000-0000-0000BD280000}"/>
    <cellStyle name="백분율 10 2 5 2" xfId="133" xr:uid="{00000000-0005-0000-0000-0000BE280000}"/>
    <cellStyle name="백분율 10 2 5 3" xfId="134" xr:uid="{00000000-0005-0000-0000-0000BF280000}"/>
    <cellStyle name="백분율 10 2 6" xfId="135" xr:uid="{00000000-0005-0000-0000-0000C0280000}"/>
    <cellStyle name="백분율 10 2 6 2" xfId="136" xr:uid="{00000000-0005-0000-0000-0000C1280000}"/>
    <cellStyle name="백분율 10 2 6 3" xfId="137" xr:uid="{00000000-0005-0000-0000-0000C2280000}"/>
    <cellStyle name="백분율 10 2 7" xfId="138" xr:uid="{00000000-0005-0000-0000-0000C3280000}"/>
    <cellStyle name="백분율 10 2 8" xfId="139" xr:uid="{00000000-0005-0000-0000-0000C4280000}"/>
    <cellStyle name="백분율 10 3" xfId="140" xr:uid="{00000000-0005-0000-0000-0000C5280000}"/>
    <cellStyle name="백분율 10 3 2" xfId="141" xr:uid="{00000000-0005-0000-0000-0000C6280000}"/>
    <cellStyle name="백분율 10 3 2 2" xfId="142" xr:uid="{00000000-0005-0000-0000-0000C7280000}"/>
    <cellStyle name="백분율 10 3 2 2 2" xfId="143" xr:uid="{00000000-0005-0000-0000-0000C8280000}"/>
    <cellStyle name="백분율 10 3 2 2 3" xfId="144" xr:uid="{00000000-0005-0000-0000-0000C9280000}"/>
    <cellStyle name="백분율 10 3 2 3" xfId="145" xr:uid="{00000000-0005-0000-0000-0000CA280000}"/>
    <cellStyle name="백분율 10 3 2 4" xfId="146" xr:uid="{00000000-0005-0000-0000-0000CB280000}"/>
    <cellStyle name="백분율 10 3 3" xfId="147" xr:uid="{00000000-0005-0000-0000-0000CC280000}"/>
    <cellStyle name="백분율 10 3 3 2" xfId="148" xr:uid="{00000000-0005-0000-0000-0000CD280000}"/>
    <cellStyle name="백분율 10 3 3 2 2" xfId="149" xr:uid="{00000000-0005-0000-0000-0000CE280000}"/>
    <cellStyle name="백분율 10 3 3 2 3" xfId="150" xr:uid="{00000000-0005-0000-0000-0000CF280000}"/>
    <cellStyle name="백분율 10 3 3 3" xfId="151" xr:uid="{00000000-0005-0000-0000-0000D0280000}"/>
    <cellStyle name="백분율 10 3 3 4" xfId="152" xr:uid="{00000000-0005-0000-0000-0000D1280000}"/>
    <cellStyle name="백분율 10 3 4" xfId="153" xr:uid="{00000000-0005-0000-0000-0000D2280000}"/>
    <cellStyle name="백분율 10 3 4 2" xfId="154" xr:uid="{00000000-0005-0000-0000-0000D3280000}"/>
    <cellStyle name="백분율 10 3 4 3" xfId="155" xr:uid="{00000000-0005-0000-0000-0000D4280000}"/>
    <cellStyle name="백분율 10 3 5" xfId="156" xr:uid="{00000000-0005-0000-0000-0000D5280000}"/>
    <cellStyle name="백분율 10 3 5 2" xfId="157" xr:uid="{00000000-0005-0000-0000-0000D6280000}"/>
    <cellStyle name="백분율 10 3 5 3" xfId="158" xr:uid="{00000000-0005-0000-0000-0000D7280000}"/>
    <cellStyle name="백분율 10 3 6" xfId="159" xr:uid="{00000000-0005-0000-0000-0000D8280000}"/>
    <cellStyle name="백분율 10 3 7" xfId="160" xr:uid="{00000000-0005-0000-0000-0000D9280000}"/>
    <cellStyle name="백분율 10 4" xfId="161" xr:uid="{00000000-0005-0000-0000-0000DA280000}"/>
    <cellStyle name="백분율 10 4 2" xfId="162" xr:uid="{00000000-0005-0000-0000-0000DB280000}"/>
    <cellStyle name="백분율 10 4 2 2" xfId="163" xr:uid="{00000000-0005-0000-0000-0000DC280000}"/>
    <cellStyle name="백분율 10 4 2 2 2" xfId="164" xr:uid="{00000000-0005-0000-0000-0000DD280000}"/>
    <cellStyle name="백분율 10 4 2 2 3" xfId="165" xr:uid="{00000000-0005-0000-0000-0000DE280000}"/>
    <cellStyle name="백분율 10 4 2 3" xfId="166" xr:uid="{00000000-0005-0000-0000-0000DF280000}"/>
    <cellStyle name="백분율 10 4 2 4" xfId="167" xr:uid="{00000000-0005-0000-0000-0000E0280000}"/>
    <cellStyle name="백분율 10 4 3" xfId="168" xr:uid="{00000000-0005-0000-0000-0000E1280000}"/>
    <cellStyle name="백분율 10 4 3 2" xfId="169" xr:uid="{00000000-0005-0000-0000-0000E2280000}"/>
    <cellStyle name="백분율 10 4 3 2 2" xfId="170" xr:uid="{00000000-0005-0000-0000-0000E3280000}"/>
    <cellStyle name="백분율 10 4 3 2 3" xfId="171" xr:uid="{00000000-0005-0000-0000-0000E4280000}"/>
    <cellStyle name="백분율 10 4 3 3" xfId="172" xr:uid="{00000000-0005-0000-0000-0000E5280000}"/>
    <cellStyle name="백분율 10 4 3 4" xfId="173" xr:uid="{00000000-0005-0000-0000-0000E6280000}"/>
    <cellStyle name="백분율 10 4 4" xfId="174" xr:uid="{00000000-0005-0000-0000-0000E7280000}"/>
    <cellStyle name="백분율 10 4 4 2" xfId="175" xr:uid="{00000000-0005-0000-0000-0000E8280000}"/>
    <cellStyle name="백분율 10 4 4 3" xfId="176" xr:uid="{00000000-0005-0000-0000-0000E9280000}"/>
    <cellStyle name="백분율 10 4 5" xfId="177" xr:uid="{00000000-0005-0000-0000-0000EA280000}"/>
    <cellStyle name="백분율 10 4 5 2" xfId="178" xr:uid="{00000000-0005-0000-0000-0000EB280000}"/>
    <cellStyle name="백분율 10 4 5 3" xfId="179" xr:uid="{00000000-0005-0000-0000-0000EC280000}"/>
    <cellStyle name="백분율 10 4 6" xfId="180" xr:uid="{00000000-0005-0000-0000-0000ED280000}"/>
    <cellStyle name="백분율 10 4 7" xfId="181" xr:uid="{00000000-0005-0000-0000-0000EE280000}"/>
    <cellStyle name="백분율 10 5" xfId="182" xr:uid="{00000000-0005-0000-0000-0000EF280000}"/>
    <cellStyle name="백분율 10 5 2" xfId="183" xr:uid="{00000000-0005-0000-0000-0000F0280000}"/>
    <cellStyle name="백분율 10 5 2 2" xfId="184" xr:uid="{00000000-0005-0000-0000-0000F1280000}"/>
    <cellStyle name="백분율 10 5 2 3" xfId="185" xr:uid="{00000000-0005-0000-0000-0000F2280000}"/>
    <cellStyle name="백분율 10 5 3" xfId="186" xr:uid="{00000000-0005-0000-0000-0000F3280000}"/>
    <cellStyle name="백분율 10 5 4" xfId="187" xr:uid="{00000000-0005-0000-0000-0000F4280000}"/>
    <cellStyle name="백분율 10 6" xfId="188" xr:uid="{00000000-0005-0000-0000-0000F5280000}"/>
    <cellStyle name="백분율 10 6 2" xfId="189" xr:uid="{00000000-0005-0000-0000-0000F6280000}"/>
    <cellStyle name="백분율 10 6 2 2" xfId="190" xr:uid="{00000000-0005-0000-0000-0000F7280000}"/>
    <cellStyle name="백분율 10 6 2 3" xfId="191" xr:uid="{00000000-0005-0000-0000-0000F8280000}"/>
    <cellStyle name="백분율 10 6 3" xfId="192" xr:uid="{00000000-0005-0000-0000-0000F9280000}"/>
    <cellStyle name="백분율 10 6 4" xfId="193" xr:uid="{00000000-0005-0000-0000-0000FA280000}"/>
    <cellStyle name="백분율 10 7" xfId="194" xr:uid="{00000000-0005-0000-0000-0000FB280000}"/>
    <cellStyle name="백분율 10 7 2" xfId="195" xr:uid="{00000000-0005-0000-0000-0000FC280000}"/>
    <cellStyle name="백분율 10 7 3" xfId="196" xr:uid="{00000000-0005-0000-0000-0000FD280000}"/>
    <cellStyle name="백분율 10 8" xfId="197" xr:uid="{00000000-0005-0000-0000-0000FE280000}"/>
    <cellStyle name="백분율 10 8 2" xfId="198" xr:uid="{00000000-0005-0000-0000-0000FF280000}"/>
    <cellStyle name="백분율 10 8 3" xfId="199" xr:uid="{00000000-0005-0000-0000-000000290000}"/>
    <cellStyle name="백분율 10 9" xfId="200" xr:uid="{00000000-0005-0000-0000-000001290000}"/>
    <cellStyle name="백분율 10 9 2" xfId="201" xr:uid="{00000000-0005-0000-0000-000002290000}"/>
    <cellStyle name="백분율 10 9 3" xfId="202" xr:uid="{00000000-0005-0000-0000-000003290000}"/>
    <cellStyle name="백분율 11" xfId="10" xr:uid="{00000000-0005-0000-0000-000004290000}"/>
    <cellStyle name="백분율 11 10" xfId="203" xr:uid="{00000000-0005-0000-0000-000005290000}"/>
    <cellStyle name="백분율 11 10 2" xfId="204" xr:uid="{00000000-0005-0000-0000-000006290000}"/>
    <cellStyle name="백분율 11 10 3" xfId="205" xr:uid="{00000000-0005-0000-0000-000007290000}"/>
    <cellStyle name="백분율 11 11" xfId="206" xr:uid="{00000000-0005-0000-0000-000008290000}"/>
    <cellStyle name="백분율 11 11 2" xfId="207" xr:uid="{00000000-0005-0000-0000-000009290000}"/>
    <cellStyle name="백분율 11 12" xfId="208" xr:uid="{00000000-0005-0000-0000-00000A290000}"/>
    <cellStyle name="백분율 11 12 2" xfId="209" xr:uid="{00000000-0005-0000-0000-00000B290000}"/>
    <cellStyle name="백분율 11 13" xfId="210" xr:uid="{00000000-0005-0000-0000-00000C290000}"/>
    <cellStyle name="백분율 11 13 2" xfId="211" xr:uid="{00000000-0005-0000-0000-00000D290000}"/>
    <cellStyle name="백분율 11 14" xfId="212" xr:uid="{00000000-0005-0000-0000-00000E290000}"/>
    <cellStyle name="백분율 11 14 2" xfId="213" xr:uid="{00000000-0005-0000-0000-00000F290000}"/>
    <cellStyle name="백분율 11 15" xfId="214" xr:uid="{00000000-0005-0000-0000-000010290000}"/>
    <cellStyle name="백분율 11 16" xfId="215" xr:uid="{00000000-0005-0000-0000-000011290000}"/>
    <cellStyle name="백분율 11 2" xfId="216" xr:uid="{00000000-0005-0000-0000-000012290000}"/>
    <cellStyle name="백분율 11 2 2" xfId="217" xr:uid="{00000000-0005-0000-0000-000013290000}"/>
    <cellStyle name="백분율 11 2 2 2" xfId="218" xr:uid="{00000000-0005-0000-0000-000014290000}"/>
    <cellStyle name="백분율 11 2 2 2 2" xfId="219" xr:uid="{00000000-0005-0000-0000-000015290000}"/>
    <cellStyle name="백분율 11 2 2 2 2 2" xfId="220" xr:uid="{00000000-0005-0000-0000-000016290000}"/>
    <cellStyle name="백분율 11 2 2 2 2 3" xfId="221" xr:uid="{00000000-0005-0000-0000-000017290000}"/>
    <cellStyle name="백분율 11 2 2 2 3" xfId="222" xr:uid="{00000000-0005-0000-0000-000018290000}"/>
    <cellStyle name="백분율 11 2 2 2 4" xfId="223" xr:uid="{00000000-0005-0000-0000-000019290000}"/>
    <cellStyle name="백분율 11 2 2 3" xfId="224" xr:uid="{00000000-0005-0000-0000-00001A290000}"/>
    <cellStyle name="백분율 11 2 2 3 2" xfId="225" xr:uid="{00000000-0005-0000-0000-00001B290000}"/>
    <cellStyle name="백분율 11 2 2 3 2 2" xfId="226" xr:uid="{00000000-0005-0000-0000-00001C290000}"/>
    <cellStyle name="백분율 11 2 2 3 2 3" xfId="227" xr:uid="{00000000-0005-0000-0000-00001D290000}"/>
    <cellStyle name="백분율 11 2 2 3 3" xfId="228" xr:uid="{00000000-0005-0000-0000-00001E290000}"/>
    <cellStyle name="백분율 11 2 2 3 4" xfId="229" xr:uid="{00000000-0005-0000-0000-00001F290000}"/>
    <cellStyle name="백분율 11 2 2 4" xfId="230" xr:uid="{00000000-0005-0000-0000-000020290000}"/>
    <cellStyle name="백분율 11 2 2 4 2" xfId="231" xr:uid="{00000000-0005-0000-0000-000021290000}"/>
    <cellStyle name="백분율 11 2 2 4 3" xfId="232" xr:uid="{00000000-0005-0000-0000-000022290000}"/>
    <cellStyle name="백분율 11 2 2 5" xfId="233" xr:uid="{00000000-0005-0000-0000-000023290000}"/>
    <cellStyle name="백분율 11 2 2 5 2" xfId="234" xr:uid="{00000000-0005-0000-0000-000024290000}"/>
    <cellStyle name="백분율 11 2 2 5 3" xfId="235" xr:uid="{00000000-0005-0000-0000-000025290000}"/>
    <cellStyle name="백분율 11 2 2 6" xfId="236" xr:uid="{00000000-0005-0000-0000-000026290000}"/>
    <cellStyle name="백분율 11 2 2 7" xfId="237" xr:uid="{00000000-0005-0000-0000-000027290000}"/>
    <cellStyle name="백분율 11 2 3" xfId="238" xr:uid="{00000000-0005-0000-0000-000028290000}"/>
    <cellStyle name="백분율 11 2 3 2" xfId="239" xr:uid="{00000000-0005-0000-0000-000029290000}"/>
    <cellStyle name="백분율 11 2 3 2 2" xfId="240" xr:uid="{00000000-0005-0000-0000-00002A290000}"/>
    <cellStyle name="백분율 11 2 3 2 3" xfId="241" xr:uid="{00000000-0005-0000-0000-00002B290000}"/>
    <cellStyle name="백분율 11 2 3 3" xfId="242" xr:uid="{00000000-0005-0000-0000-00002C290000}"/>
    <cellStyle name="백분율 11 2 3 4" xfId="243" xr:uid="{00000000-0005-0000-0000-00002D290000}"/>
    <cellStyle name="백분율 11 2 4" xfId="244" xr:uid="{00000000-0005-0000-0000-00002E290000}"/>
    <cellStyle name="백분율 11 2 4 2" xfId="245" xr:uid="{00000000-0005-0000-0000-00002F290000}"/>
    <cellStyle name="백분율 11 2 4 2 2" xfId="246" xr:uid="{00000000-0005-0000-0000-000030290000}"/>
    <cellStyle name="백분율 11 2 4 2 3" xfId="247" xr:uid="{00000000-0005-0000-0000-000031290000}"/>
    <cellStyle name="백분율 11 2 4 3" xfId="248" xr:uid="{00000000-0005-0000-0000-000032290000}"/>
    <cellStyle name="백분율 11 2 4 4" xfId="249" xr:uid="{00000000-0005-0000-0000-000033290000}"/>
    <cellStyle name="백분율 11 2 5" xfId="250" xr:uid="{00000000-0005-0000-0000-000034290000}"/>
    <cellStyle name="백분율 11 2 5 2" xfId="251" xr:uid="{00000000-0005-0000-0000-000035290000}"/>
    <cellStyle name="백분율 11 2 5 3" xfId="252" xr:uid="{00000000-0005-0000-0000-000036290000}"/>
    <cellStyle name="백분율 11 2 6" xfId="253" xr:uid="{00000000-0005-0000-0000-000037290000}"/>
    <cellStyle name="백분율 11 2 6 2" xfId="254" xr:uid="{00000000-0005-0000-0000-000038290000}"/>
    <cellStyle name="백분율 11 2 6 3" xfId="255" xr:uid="{00000000-0005-0000-0000-000039290000}"/>
    <cellStyle name="백분율 11 2 7" xfId="256" xr:uid="{00000000-0005-0000-0000-00003A290000}"/>
    <cellStyle name="백분율 11 2 8" xfId="257" xr:uid="{00000000-0005-0000-0000-00003B290000}"/>
    <cellStyle name="백분율 11 3" xfId="258" xr:uid="{00000000-0005-0000-0000-00003C290000}"/>
    <cellStyle name="백분율 11 3 2" xfId="259" xr:uid="{00000000-0005-0000-0000-00003D290000}"/>
    <cellStyle name="백분율 11 3 2 2" xfId="260" xr:uid="{00000000-0005-0000-0000-00003E290000}"/>
    <cellStyle name="백분율 11 3 2 2 2" xfId="261" xr:uid="{00000000-0005-0000-0000-00003F290000}"/>
    <cellStyle name="백분율 11 3 2 2 3" xfId="262" xr:uid="{00000000-0005-0000-0000-000040290000}"/>
    <cellStyle name="백분율 11 3 2 3" xfId="263" xr:uid="{00000000-0005-0000-0000-000041290000}"/>
    <cellStyle name="백분율 11 3 2 4" xfId="264" xr:uid="{00000000-0005-0000-0000-000042290000}"/>
    <cellStyle name="백분율 11 3 3" xfId="265" xr:uid="{00000000-0005-0000-0000-000043290000}"/>
    <cellStyle name="백분율 11 3 3 2" xfId="266" xr:uid="{00000000-0005-0000-0000-000044290000}"/>
    <cellStyle name="백분율 11 3 3 2 2" xfId="267" xr:uid="{00000000-0005-0000-0000-000045290000}"/>
    <cellStyle name="백분율 11 3 3 2 3" xfId="268" xr:uid="{00000000-0005-0000-0000-000046290000}"/>
    <cellStyle name="백분율 11 3 3 3" xfId="269" xr:uid="{00000000-0005-0000-0000-000047290000}"/>
    <cellStyle name="백분율 11 3 3 4" xfId="270" xr:uid="{00000000-0005-0000-0000-000048290000}"/>
    <cellStyle name="백분율 11 3 4" xfId="271" xr:uid="{00000000-0005-0000-0000-000049290000}"/>
    <cellStyle name="백분율 11 3 4 2" xfId="272" xr:uid="{00000000-0005-0000-0000-00004A290000}"/>
    <cellStyle name="백분율 11 3 4 3" xfId="273" xr:uid="{00000000-0005-0000-0000-00004B290000}"/>
    <cellStyle name="백분율 11 3 5" xfId="274" xr:uid="{00000000-0005-0000-0000-00004C290000}"/>
    <cellStyle name="백분율 11 3 5 2" xfId="275" xr:uid="{00000000-0005-0000-0000-00004D290000}"/>
    <cellStyle name="백분율 11 3 5 3" xfId="276" xr:uid="{00000000-0005-0000-0000-00004E290000}"/>
    <cellStyle name="백분율 11 3 6" xfId="277" xr:uid="{00000000-0005-0000-0000-00004F290000}"/>
    <cellStyle name="백분율 11 3 7" xfId="278" xr:uid="{00000000-0005-0000-0000-000050290000}"/>
    <cellStyle name="백분율 11 4" xfId="279" xr:uid="{00000000-0005-0000-0000-000051290000}"/>
    <cellStyle name="백분율 11 4 2" xfId="280" xr:uid="{00000000-0005-0000-0000-000052290000}"/>
    <cellStyle name="백분율 11 4 2 2" xfId="281" xr:uid="{00000000-0005-0000-0000-000053290000}"/>
    <cellStyle name="백분율 11 4 2 2 2" xfId="282" xr:uid="{00000000-0005-0000-0000-000054290000}"/>
    <cellStyle name="백분율 11 4 2 2 3" xfId="283" xr:uid="{00000000-0005-0000-0000-000055290000}"/>
    <cellStyle name="백분율 11 4 2 3" xfId="284" xr:uid="{00000000-0005-0000-0000-000056290000}"/>
    <cellStyle name="백분율 11 4 2 4" xfId="285" xr:uid="{00000000-0005-0000-0000-000057290000}"/>
    <cellStyle name="백분율 11 4 3" xfId="286" xr:uid="{00000000-0005-0000-0000-000058290000}"/>
    <cellStyle name="백분율 11 4 3 2" xfId="287" xr:uid="{00000000-0005-0000-0000-000059290000}"/>
    <cellStyle name="백분율 11 4 3 2 2" xfId="288" xr:uid="{00000000-0005-0000-0000-00005A290000}"/>
    <cellStyle name="백분율 11 4 3 2 3" xfId="289" xr:uid="{00000000-0005-0000-0000-00005B290000}"/>
    <cellStyle name="백분율 11 4 3 3" xfId="290" xr:uid="{00000000-0005-0000-0000-00005C290000}"/>
    <cellStyle name="백분율 11 4 3 4" xfId="291" xr:uid="{00000000-0005-0000-0000-00005D290000}"/>
    <cellStyle name="백분율 11 4 4" xfId="292" xr:uid="{00000000-0005-0000-0000-00005E290000}"/>
    <cellStyle name="백분율 11 4 4 2" xfId="293" xr:uid="{00000000-0005-0000-0000-00005F290000}"/>
    <cellStyle name="백분율 11 4 4 3" xfId="294" xr:uid="{00000000-0005-0000-0000-000060290000}"/>
    <cellStyle name="백분율 11 4 5" xfId="295" xr:uid="{00000000-0005-0000-0000-000061290000}"/>
    <cellStyle name="백분율 11 4 5 2" xfId="296" xr:uid="{00000000-0005-0000-0000-000062290000}"/>
    <cellStyle name="백분율 11 4 5 3" xfId="297" xr:uid="{00000000-0005-0000-0000-000063290000}"/>
    <cellStyle name="백분율 11 4 6" xfId="298" xr:uid="{00000000-0005-0000-0000-000064290000}"/>
    <cellStyle name="백분율 11 4 7" xfId="299" xr:uid="{00000000-0005-0000-0000-000065290000}"/>
    <cellStyle name="백분율 11 5" xfId="300" xr:uid="{00000000-0005-0000-0000-000066290000}"/>
    <cellStyle name="백분율 11 5 2" xfId="301" xr:uid="{00000000-0005-0000-0000-000067290000}"/>
    <cellStyle name="백분율 11 5 2 2" xfId="302" xr:uid="{00000000-0005-0000-0000-000068290000}"/>
    <cellStyle name="백분율 11 5 2 3" xfId="303" xr:uid="{00000000-0005-0000-0000-000069290000}"/>
    <cellStyle name="백분율 11 5 3" xfId="304" xr:uid="{00000000-0005-0000-0000-00006A290000}"/>
    <cellStyle name="백분율 11 5 4" xfId="305" xr:uid="{00000000-0005-0000-0000-00006B290000}"/>
    <cellStyle name="백분율 11 6" xfId="306" xr:uid="{00000000-0005-0000-0000-00006C290000}"/>
    <cellStyle name="백분율 11 6 2" xfId="307" xr:uid="{00000000-0005-0000-0000-00006D290000}"/>
    <cellStyle name="백분율 11 6 2 2" xfId="308" xr:uid="{00000000-0005-0000-0000-00006E290000}"/>
    <cellStyle name="백분율 11 6 2 3" xfId="309" xr:uid="{00000000-0005-0000-0000-00006F290000}"/>
    <cellStyle name="백분율 11 6 3" xfId="310" xr:uid="{00000000-0005-0000-0000-000070290000}"/>
    <cellStyle name="백분율 11 6 4" xfId="311" xr:uid="{00000000-0005-0000-0000-000071290000}"/>
    <cellStyle name="백분율 11 7" xfId="312" xr:uid="{00000000-0005-0000-0000-000072290000}"/>
    <cellStyle name="백분율 11 7 2" xfId="313" xr:uid="{00000000-0005-0000-0000-000073290000}"/>
    <cellStyle name="백분율 11 7 3" xfId="314" xr:uid="{00000000-0005-0000-0000-000074290000}"/>
    <cellStyle name="백분율 11 8" xfId="315" xr:uid="{00000000-0005-0000-0000-000075290000}"/>
    <cellStyle name="백분율 11 8 2" xfId="316" xr:uid="{00000000-0005-0000-0000-000076290000}"/>
    <cellStyle name="백분율 11 8 3" xfId="317" xr:uid="{00000000-0005-0000-0000-000077290000}"/>
    <cellStyle name="백분율 11 9" xfId="318" xr:uid="{00000000-0005-0000-0000-000078290000}"/>
    <cellStyle name="백분율 11 9 2" xfId="319" xr:uid="{00000000-0005-0000-0000-000079290000}"/>
    <cellStyle name="백분율 11 9 3" xfId="320" xr:uid="{00000000-0005-0000-0000-00007A290000}"/>
    <cellStyle name="백분율 12" xfId="11" xr:uid="{00000000-0005-0000-0000-00007B290000}"/>
    <cellStyle name="백분율 12 10" xfId="321" xr:uid="{00000000-0005-0000-0000-00007C290000}"/>
    <cellStyle name="백분율 12 10 2" xfId="322" xr:uid="{00000000-0005-0000-0000-00007D290000}"/>
    <cellStyle name="백분율 12 10 3" xfId="323" xr:uid="{00000000-0005-0000-0000-00007E290000}"/>
    <cellStyle name="백분율 12 11" xfId="324" xr:uid="{00000000-0005-0000-0000-00007F290000}"/>
    <cellStyle name="백분율 12 11 2" xfId="325" xr:uid="{00000000-0005-0000-0000-000080290000}"/>
    <cellStyle name="백분율 12 12" xfId="326" xr:uid="{00000000-0005-0000-0000-000081290000}"/>
    <cellStyle name="백분율 12 12 2" xfId="327" xr:uid="{00000000-0005-0000-0000-000082290000}"/>
    <cellStyle name="백분율 12 13" xfId="328" xr:uid="{00000000-0005-0000-0000-000083290000}"/>
    <cellStyle name="백분율 12 13 2" xfId="329" xr:uid="{00000000-0005-0000-0000-000084290000}"/>
    <cellStyle name="백분율 12 14" xfId="330" xr:uid="{00000000-0005-0000-0000-000085290000}"/>
    <cellStyle name="백분율 12 14 2" xfId="331" xr:uid="{00000000-0005-0000-0000-000086290000}"/>
    <cellStyle name="백분율 12 15" xfId="332" xr:uid="{00000000-0005-0000-0000-000087290000}"/>
    <cellStyle name="백분율 12 16" xfId="333" xr:uid="{00000000-0005-0000-0000-000088290000}"/>
    <cellStyle name="백분율 12 2" xfId="334" xr:uid="{00000000-0005-0000-0000-000089290000}"/>
    <cellStyle name="백분율 12 2 2" xfId="335" xr:uid="{00000000-0005-0000-0000-00008A290000}"/>
    <cellStyle name="백분율 12 2 2 2" xfId="336" xr:uid="{00000000-0005-0000-0000-00008B290000}"/>
    <cellStyle name="백분율 12 2 2 2 2" xfId="337" xr:uid="{00000000-0005-0000-0000-00008C290000}"/>
    <cellStyle name="백분율 12 2 2 2 2 2" xfId="338" xr:uid="{00000000-0005-0000-0000-00008D290000}"/>
    <cellStyle name="백분율 12 2 2 2 2 3" xfId="339" xr:uid="{00000000-0005-0000-0000-00008E290000}"/>
    <cellStyle name="백분율 12 2 2 2 3" xfId="340" xr:uid="{00000000-0005-0000-0000-00008F290000}"/>
    <cellStyle name="백분율 12 2 2 2 4" xfId="341" xr:uid="{00000000-0005-0000-0000-000090290000}"/>
    <cellStyle name="백분율 12 2 2 3" xfId="342" xr:uid="{00000000-0005-0000-0000-000091290000}"/>
    <cellStyle name="백분율 12 2 2 3 2" xfId="343" xr:uid="{00000000-0005-0000-0000-000092290000}"/>
    <cellStyle name="백분율 12 2 2 3 2 2" xfId="344" xr:uid="{00000000-0005-0000-0000-000093290000}"/>
    <cellStyle name="백분율 12 2 2 3 2 3" xfId="345" xr:uid="{00000000-0005-0000-0000-000094290000}"/>
    <cellStyle name="백분율 12 2 2 3 3" xfId="346" xr:uid="{00000000-0005-0000-0000-000095290000}"/>
    <cellStyle name="백분율 12 2 2 3 4" xfId="347" xr:uid="{00000000-0005-0000-0000-000096290000}"/>
    <cellStyle name="백분율 12 2 2 4" xfId="348" xr:uid="{00000000-0005-0000-0000-000097290000}"/>
    <cellStyle name="백분율 12 2 2 4 2" xfId="349" xr:uid="{00000000-0005-0000-0000-000098290000}"/>
    <cellStyle name="백분율 12 2 2 4 3" xfId="350" xr:uid="{00000000-0005-0000-0000-000099290000}"/>
    <cellStyle name="백분율 12 2 2 5" xfId="351" xr:uid="{00000000-0005-0000-0000-00009A290000}"/>
    <cellStyle name="백분율 12 2 2 5 2" xfId="352" xr:uid="{00000000-0005-0000-0000-00009B290000}"/>
    <cellStyle name="백분율 12 2 2 5 3" xfId="353" xr:uid="{00000000-0005-0000-0000-00009C290000}"/>
    <cellStyle name="백분율 12 2 2 6" xfId="354" xr:uid="{00000000-0005-0000-0000-00009D290000}"/>
    <cellStyle name="백분율 12 2 2 7" xfId="355" xr:uid="{00000000-0005-0000-0000-00009E290000}"/>
    <cellStyle name="백분율 12 2 3" xfId="356" xr:uid="{00000000-0005-0000-0000-00009F290000}"/>
    <cellStyle name="백분율 12 2 3 2" xfId="357" xr:uid="{00000000-0005-0000-0000-0000A0290000}"/>
    <cellStyle name="백분율 12 2 3 2 2" xfId="358" xr:uid="{00000000-0005-0000-0000-0000A1290000}"/>
    <cellStyle name="백분율 12 2 3 2 3" xfId="359" xr:uid="{00000000-0005-0000-0000-0000A2290000}"/>
    <cellStyle name="백분율 12 2 3 3" xfId="360" xr:uid="{00000000-0005-0000-0000-0000A3290000}"/>
    <cellStyle name="백분율 12 2 3 4" xfId="361" xr:uid="{00000000-0005-0000-0000-0000A4290000}"/>
    <cellStyle name="백분율 12 2 4" xfId="362" xr:uid="{00000000-0005-0000-0000-0000A5290000}"/>
    <cellStyle name="백분율 12 2 4 2" xfId="363" xr:uid="{00000000-0005-0000-0000-0000A6290000}"/>
    <cellStyle name="백분율 12 2 4 2 2" xfId="364" xr:uid="{00000000-0005-0000-0000-0000A7290000}"/>
    <cellStyle name="백분율 12 2 4 2 3" xfId="365" xr:uid="{00000000-0005-0000-0000-0000A8290000}"/>
    <cellStyle name="백분율 12 2 4 3" xfId="366" xr:uid="{00000000-0005-0000-0000-0000A9290000}"/>
    <cellStyle name="백분율 12 2 4 4" xfId="367" xr:uid="{00000000-0005-0000-0000-0000AA290000}"/>
    <cellStyle name="백분율 12 2 5" xfId="368" xr:uid="{00000000-0005-0000-0000-0000AB290000}"/>
    <cellStyle name="백분율 12 2 5 2" xfId="369" xr:uid="{00000000-0005-0000-0000-0000AC290000}"/>
    <cellStyle name="백분율 12 2 5 3" xfId="370" xr:uid="{00000000-0005-0000-0000-0000AD290000}"/>
    <cellStyle name="백분율 12 2 6" xfId="371" xr:uid="{00000000-0005-0000-0000-0000AE290000}"/>
    <cellStyle name="백분율 12 2 6 2" xfId="372" xr:uid="{00000000-0005-0000-0000-0000AF290000}"/>
    <cellStyle name="백분율 12 2 6 3" xfId="373" xr:uid="{00000000-0005-0000-0000-0000B0290000}"/>
    <cellStyle name="백분율 12 2 7" xfId="374" xr:uid="{00000000-0005-0000-0000-0000B1290000}"/>
    <cellStyle name="백분율 12 2 8" xfId="375" xr:uid="{00000000-0005-0000-0000-0000B2290000}"/>
    <cellStyle name="백분율 12 3" xfId="376" xr:uid="{00000000-0005-0000-0000-0000B3290000}"/>
    <cellStyle name="백분율 12 3 2" xfId="377" xr:uid="{00000000-0005-0000-0000-0000B4290000}"/>
    <cellStyle name="백분율 12 3 2 2" xfId="378" xr:uid="{00000000-0005-0000-0000-0000B5290000}"/>
    <cellStyle name="백분율 12 3 2 2 2" xfId="379" xr:uid="{00000000-0005-0000-0000-0000B6290000}"/>
    <cellStyle name="백분율 12 3 2 2 3" xfId="380" xr:uid="{00000000-0005-0000-0000-0000B7290000}"/>
    <cellStyle name="백분율 12 3 2 3" xfId="381" xr:uid="{00000000-0005-0000-0000-0000B8290000}"/>
    <cellStyle name="백분율 12 3 2 4" xfId="382" xr:uid="{00000000-0005-0000-0000-0000B9290000}"/>
    <cellStyle name="백분율 12 3 3" xfId="383" xr:uid="{00000000-0005-0000-0000-0000BA290000}"/>
    <cellStyle name="백분율 12 3 3 2" xfId="384" xr:uid="{00000000-0005-0000-0000-0000BB290000}"/>
    <cellStyle name="백분율 12 3 3 2 2" xfId="385" xr:uid="{00000000-0005-0000-0000-0000BC290000}"/>
    <cellStyle name="백분율 12 3 3 2 3" xfId="386" xr:uid="{00000000-0005-0000-0000-0000BD290000}"/>
    <cellStyle name="백분율 12 3 3 3" xfId="387" xr:uid="{00000000-0005-0000-0000-0000BE290000}"/>
    <cellStyle name="백분율 12 3 3 4" xfId="388" xr:uid="{00000000-0005-0000-0000-0000BF290000}"/>
    <cellStyle name="백분율 12 3 4" xfId="389" xr:uid="{00000000-0005-0000-0000-0000C0290000}"/>
    <cellStyle name="백분율 12 3 4 2" xfId="390" xr:uid="{00000000-0005-0000-0000-0000C1290000}"/>
    <cellStyle name="백분율 12 3 4 3" xfId="391" xr:uid="{00000000-0005-0000-0000-0000C2290000}"/>
    <cellStyle name="백분율 12 3 5" xfId="392" xr:uid="{00000000-0005-0000-0000-0000C3290000}"/>
    <cellStyle name="백분율 12 3 5 2" xfId="393" xr:uid="{00000000-0005-0000-0000-0000C4290000}"/>
    <cellStyle name="백분율 12 3 5 3" xfId="394" xr:uid="{00000000-0005-0000-0000-0000C5290000}"/>
    <cellStyle name="백분율 12 3 6" xfId="395" xr:uid="{00000000-0005-0000-0000-0000C6290000}"/>
    <cellStyle name="백분율 12 3 7" xfId="396" xr:uid="{00000000-0005-0000-0000-0000C7290000}"/>
    <cellStyle name="백분율 12 4" xfId="397" xr:uid="{00000000-0005-0000-0000-0000C8290000}"/>
    <cellStyle name="백분율 12 4 2" xfId="398" xr:uid="{00000000-0005-0000-0000-0000C9290000}"/>
    <cellStyle name="백분율 12 4 2 2" xfId="399" xr:uid="{00000000-0005-0000-0000-0000CA290000}"/>
    <cellStyle name="백분율 12 4 2 2 2" xfId="400" xr:uid="{00000000-0005-0000-0000-0000CB290000}"/>
    <cellStyle name="백분율 12 4 2 2 3" xfId="401" xr:uid="{00000000-0005-0000-0000-0000CC290000}"/>
    <cellStyle name="백분율 12 4 2 3" xfId="402" xr:uid="{00000000-0005-0000-0000-0000CD290000}"/>
    <cellStyle name="백분율 12 4 2 4" xfId="403" xr:uid="{00000000-0005-0000-0000-0000CE290000}"/>
    <cellStyle name="백분율 12 4 3" xfId="404" xr:uid="{00000000-0005-0000-0000-0000CF290000}"/>
    <cellStyle name="백분율 12 4 3 2" xfId="405" xr:uid="{00000000-0005-0000-0000-0000D0290000}"/>
    <cellStyle name="백분율 12 4 3 2 2" xfId="406" xr:uid="{00000000-0005-0000-0000-0000D1290000}"/>
    <cellStyle name="백분율 12 4 3 2 3" xfId="407" xr:uid="{00000000-0005-0000-0000-0000D2290000}"/>
    <cellStyle name="백분율 12 4 3 3" xfId="408" xr:uid="{00000000-0005-0000-0000-0000D3290000}"/>
    <cellStyle name="백분율 12 4 3 4" xfId="409" xr:uid="{00000000-0005-0000-0000-0000D4290000}"/>
    <cellStyle name="백분율 12 4 4" xfId="410" xr:uid="{00000000-0005-0000-0000-0000D5290000}"/>
    <cellStyle name="백분율 12 4 4 2" xfId="411" xr:uid="{00000000-0005-0000-0000-0000D6290000}"/>
    <cellStyle name="백분율 12 4 4 3" xfId="412" xr:uid="{00000000-0005-0000-0000-0000D7290000}"/>
    <cellStyle name="백분율 12 4 5" xfId="413" xr:uid="{00000000-0005-0000-0000-0000D8290000}"/>
    <cellStyle name="백분율 12 4 5 2" xfId="414" xr:uid="{00000000-0005-0000-0000-0000D9290000}"/>
    <cellStyle name="백분율 12 4 5 3" xfId="415" xr:uid="{00000000-0005-0000-0000-0000DA290000}"/>
    <cellStyle name="백분율 12 4 6" xfId="416" xr:uid="{00000000-0005-0000-0000-0000DB290000}"/>
    <cellStyle name="백분율 12 4 7" xfId="417" xr:uid="{00000000-0005-0000-0000-0000DC290000}"/>
    <cellStyle name="백분율 12 5" xfId="418" xr:uid="{00000000-0005-0000-0000-0000DD290000}"/>
    <cellStyle name="백분율 12 5 2" xfId="419" xr:uid="{00000000-0005-0000-0000-0000DE290000}"/>
    <cellStyle name="백분율 12 5 2 2" xfId="420" xr:uid="{00000000-0005-0000-0000-0000DF290000}"/>
    <cellStyle name="백분율 12 5 2 3" xfId="421" xr:uid="{00000000-0005-0000-0000-0000E0290000}"/>
    <cellStyle name="백분율 12 5 3" xfId="422" xr:uid="{00000000-0005-0000-0000-0000E1290000}"/>
    <cellStyle name="백분율 12 5 4" xfId="423" xr:uid="{00000000-0005-0000-0000-0000E2290000}"/>
    <cellStyle name="백분율 12 6" xfId="424" xr:uid="{00000000-0005-0000-0000-0000E3290000}"/>
    <cellStyle name="백분율 12 6 2" xfId="425" xr:uid="{00000000-0005-0000-0000-0000E4290000}"/>
    <cellStyle name="백분율 12 6 2 2" xfId="426" xr:uid="{00000000-0005-0000-0000-0000E5290000}"/>
    <cellStyle name="백분율 12 6 2 3" xfId="427" xr:uid="{00000000-0005-0000-0000-0000E6290000}"/>
    <cellStyle name="백분율 12 6 3" xfId="428" xr:uid="{00000000-0005-0000-0000-0000E7290000}"/>
    <cellStyle name="백분율 12 6 4" xfId="429" xr:uid="{00000000-0005-0000-0000-0000E8290000}"/>
    <cellStyle name="백분율 12 7" xfId="430" xr:uid="{00000000-0005-0000-0000-0000E9290000}"/>
    <cellStyle name="백분율 12 7 2" xfId="431" xr:uid="{00000000-0005-0000-0000-0000EA290000}"/>
    <cellStyle name="백분율 12 7 3" xfId="432" xr:uid="{00000000-0005-0000-0000-0000EB290000}"/>
    <cellStyle name="백분율 12 8" xfId="433" xr:uid="{00000000-0005-0000-0000-0000EC290000}"/>
    <cellStyle name="백분율 12 8 2" xfId="434" xr:uid="{00000000-0005-0000-0000-0000ED290000}"/>
    <cellStyle name="백분율 12 8 3" xfId="435" xr:uid="{00000000-0005-0000-0000-0000EE290000}"/>
    <cellStyle name="백분율 12 9" xfId="436" xr:uid="{00000000-0005-0000-0000-0000EF290000}"/>
    <cellStyle name="백분율 12 9 2" xfId="437" xr:uid="{00000000-0005-0000-0000-0000F0290000}"/>
    <cellStyle name="백분율 12 9 3" xfId="438" xr:uid="{00000000-0005-0000-0000-0000F1290000}"/>
    <cellStyle name="백분율 13" xfId="12" xr:uid="{00000000-0005-0000-0000-0000F2290000}"/>
    <cellStyle name="백분율 13 10" xfId="439" xr:uid="{00000000-0005-0000-0000-0000F3290000}"/>
    <cellStyle name="백분율 13 10 2" xfId="440" xr:uid="{00000000-0005-0000-0000-0000F4290000}"/>
    <cellStyle name="백분율 13 10 3" xfId="441" xr:uid="{00000000-0005-0000-0000-0000F5290000}"/>
    <cellStyle name="백분율 13 11" xfId="442" xr:uid="{00000000-0005-0000-0000-0000F6290000}"/>
    <cellStyle name="백분율 13 11 2" xfId="443" xr:uid="{00000000-0005-0000-0000-0000F7290000}"/>
    <cellStyle name="백분율 13 11 3" xfId="444" xr:uid="{00000000-0005-0000-0000-0000F8290000}"/>
    <cellStyle name="백분율 13 12" xfId="445" xr:uid="{00000000-0005-0000-0000-0000F9290000}"/>
    <cellStyle name="백분율 13 12 2" xfId="446" xr:uid="{00000000-0005-0000-0000-0000FA290000}"/>
    <cellStyle name="백분율 13 13" xfId="447" xr:uid="{00000000-0005-0000-0000-0000FB290000}"/>
    <cellStyle name="백분율 13 13 2" xfId="448" xr:uid="{00000000-0005-0000-0000-0000FC290000}"/>
    <cellStyle name="백분율 13 14" xfId="449" xr:uid="{00000000-0005-0000-0000-0000FD290000}"/>
    <cellStyle name="백분율 13 14 2" xfId="450" xr:uid="{00000000-0005-0000-0000-0000FE290000}"/>
    <cellStyle name="백분율 13 15" xfId="451" xr:uid="{00000000-0005-0000-0000-0000FF290000}"/>
    <cellStyle name="백분율 13 15 2" xfId="452" xr:uid="{00000000-0005-0000-0000-0000002A0000}"/>
    <cellStyle name="백분율 13 16" xfId="453" xr:uid="{00000000-0005-0000-0000-0000012A0000}"/>
    <cellStyle name="백분율 13 17" xfId="454" xr:uid="{00000000-0005-0000-0000-0000022A0000}"/>
    <cellStyle name="백분율 13 2" xfId="455" xr:uid="{00000000-0005-0000-0000-0000032A0000}"/>
    <cellStyle name="백분율 13 2 10" xfId="456" xr:uid="{00000000-0005-0000-0000-0000042A0000}"/>
    <cellStyle name="백분율 13 2 11" xfId="457" xr:uid="{00000000-0005-0000-0000-0000052A0000}"/>
    <cellStyle name="백분율 13 2 2" xfId="458" xr:uid="{00000000-0005-0000-0000-0000062A0000}"/>
    <cellStyle name="백분율 13 2 2 2" xfId="459" xr:uid="{00000000-0005-0000-0000-0000072A0000}"/>
    <cellStyle name="백분율 13 2 2 2 2" xfId="460" xr:uid="{00000000-0005-0000-0000-0000082A0000}"/>
    <cellStyle name="백분율 13 2 2 2 2 2" xfId="461" xr:uid="{00000000-0005-0000-0000-0000092A0000}"/>
    <cellStyle name="백분율 13 2 2 2 2 3" xfId="462" xr:uid="{00000000-0005-0000-0000-00000A2A0000}"/>
    <cellStyle name="백분율 13 2 2 2 3" xfId="463" xr:uid="{00000000-0005-0000-0000-00000B2A0000}"/>
    <cellStyle name="백분율 13 2 2 2 4" xfId="464" xr:uid="{00000000-0005-0000-0000-00000C2A0000}"/>
    <cellStyle name="백분율 13 2 2 3" xfId="465" xr:uid="{00000000-0005-0000-0000-00000D2A0000}"/>
    <cellStyle name="백분율 13 2 2 3 2" xfId="466" xr:uid="{00000000-0005-0000-0000-00000E2A0000}"/>
    <cellStyle name="백분율 13 2 2 3 2 2" xfId="467" xr:uid="{00000000-0005-0000-0000-00000F2A0000}"/>
    <cellStyle name="백분율 13 2 2 3 2 3" xfId="468" xr:uid="{00000000-0005-0000-0000-0000102A0000}"/>
    <cellStyle name="백분율 13 2 2 3 3" xfId="469" xr:uid="{00000000-0005-0000-0000-0000112A0000}"/>
    <cellStyle name="백분율 13 2 2 3 4" xfId="470" xr:uid="{00000000-0005-0000-0000-0000122A0000}"/>
    <cellStyle name="백분율 13 2 2 4" xfId="471" xr:uid="{00000000-0005-0000-0000-0000132A0000}"/>
    <cellStyle name="백분율 13 2 2 4 2" xfId="472" xr:uid="{00000000-0005-0000-0000-0000142A0000}"/>
    <cellStyle name="백분율 13 2 2 4 3" xfId="473" xr:uid="{00000000-0005-0000-0000-0000152A0000}"/>
    <cellStyle name="백분율 13 2 2 5" xfId="474" xr:uid="{00000000-0005-0000-0000-0000162A0000}"/>
    <cellStyle name="백분율 13 2 2 5 2" xfId="475" xr:uid="{00000000-0005-0000-0000-0000172A0000}"/>
    <cellStyle name="백분율 13 2 2 5 3" xfId="476" xr:uid="{00000000-0005-0000-0000-0000182A0000}"/>
    <cellStyle name="백분율 13 2 2 6" xfId="477" xr:uid="{00000000-0005-0000-0000-0000192A0000}"/>
    <cellStyle name="백분율 13 2 2 7" xfId="478" xr:uid="{00000000-0005-0000-0000-00001A2A0000}"/>
    <cellStyle name="백분율 13 2 3" xfId="479" xr:uid="{00000000-0005-0000-0000-00001B2A0000}"/>
    <cellStyle name="백분율 13 2 3 2" xfId="480" xr:uid="{00000000-0005-0000-0000-00001C2A0000}"/>
    <cellStyle name="백분율 13 2 3 2 2" xfId="481" xr:uid="{00000000-0005-0000-0000-00001D2A0000}"/>
    <cellStyle name="백분율 13 2 3 2 3" xfId="482" xr:uid="{00000000-0005-0000-0000-00001E2A0000}"/>
    <cellStyle name="백분율 13 2 3 3" xfId="483" xr:uid="{00000000-0005-0000-0000-00001F2A0000}"/>
    <cellStyle name="백분율 13 2 3 4" xfId="484" xr:uid="{00000000-0005-0000-0000-0000202A0000}"/>
    <cellStyle name="백분율 13 2 4" xfId="485" xr:uid="{00000000-0005-0000-0000-0000212A0000}"/>
    <cellStyle name="백분율 13 2 4 2" xfId="486" xr:uid="{00000000-0005-0000-0000-0000222A0000}"/>
    <cellStyle name="백분율 13 2 4 2 2" xfId="487" xr:uid="{00000000-0005-0000-0000-0000232A0000}"/>
    <cellStyle name="백분율 13 2 4 2 3" xfId="488" xr:uid="{00000000-0005-0000-0000-0000242A0000}"/>
    <cellStyle name="백분율 13 2 4 3" xfId="489" xr:uid="{00000000-0005-0000-0000-0000252A0000}"/>
    <cellStyle name="백분율 13 2 4 4" xfId="490" xr:uid="{00000000-0005-0000-0000-0000262A0000}"/>
    <cellStyle name="백분율 13 2 5" xfId="491" xr:uid="{00000000-0005-0000-0000-0000272A0000}"/>
    <cellStyle name="백분율 13 2 5 2" xfId="492" xr:uid="{00000000-0005-0000-0000-0000282A0000}"/>
    <cellStyle name="백분율 13 2 5 3" xfId="493" xr:uid="{00000000-0005-0000-0000-0000292A0000}"/>
    <cellStyle name="백분율 13 2 6" xfId="494" xr:uid="{00000000-0005-0000-0000-00002A2A0000}"/>
    <cellStyle name="백분율 13 2 6 2" xfId="495" xr:uid="{00000000-0005-0000-0000-00002B2A0000}"/>
    <cellStyle name="백분율 13 2 6 3" xfId="496" xr:uid="{00000000-0005-0000-0000-00002C2A0000}"/>
    <cellStyle name="백분율 13 2 7" xfId="497" xr:uid="{00000000-0005-0000-0000-00002D2A0000}"/>
    <cellStyle name="백분율 13 2 7 2" xfId="498" xr:uid="{00000000-0005-0000-0000-00002E2A0000}"/>
    <cellStyle name="백분율 13 2 8" xfId="499" xr:uid="{00000000-0005-0000-0000-00002F2A0000}"/>
    <cellStyle name="백분율 13 2 8 2" xfId="500" xr:uid="{00000000-0005-0000-0000-0000302A0000}"/>
    <cellStyle name="백분율 13 2 9" xfId="501" xr:uid="{00000000-0005-0000-0000-0000312A0000}"/>
    <cellStyle name="백분율 13 2 9 2" xfId="502" xr:uid="{00000000-0005-0000-0000-0000322A0000}"/>
    <cellStyle name="백분율 13 3" xfId="503" xr:uid="{00000000-0005-0000-0000-0000332A0000}"/>
    <cellStyle name="백분율 13 3 2" xfId="504" xr:uid="{00000000-0005-0000-0000-0000342A0000}"/>
    <cellStyle name="백분율 13 3 2 2" xfId="505" xr:uid="{00000000-0005-0000-0000-0000352A0000}"/>
    <cellStyle name="백분율 13 3 2 2 2" xfId="506" xr:uid="{00000000-0005-0000-0000-0000362A0000}"/>
    <cellStyle name="백분율 13 3 2 2 2 2" xfId="507" xr:uid="{00000000-0005-0000-0000-0000372A0000}"/>
    <cellStyle name="백분율 13 3 2 2 2 3" xfId="508" xr:uid="{00000000-0005-0000-0000-0000382A0000}"/>
    <cellStyle name="백분율 13 3 2 2 3" xfId="509" xr:uid="{00000000-0005-0000-0000-0000392A0000}"/>
    <cellStyle name="백분율 13 3 2 2 4" xfId="510" xr:uid="{00000000-0005-0000-0000-00003A2A0000}"/>
    <cellStyle name="백분율 13 3 2 3" xfId="511" xr:uid="{00000000-0005-0000-0000-00003B2A0000}"/>
    <cellStyle name="백분율 13 3 2 3 2" xfId="512" xr:uid="{00000000-0005-0000-0000-00003C2A0000}"/>
    <cellStyle name="백분율 13 3 2 3 2 2" xfId="513" xr:uid="{00000000-0005-0000-0000-00003D2A0000}"/>
    <cellStyle name="백분율 13 3 2 3 2 3" xfId="514" xr:uid="{00000000-0005-0000-0000-00003E2A0000}"/>
    <cellStyle name="백분율 13 3 2 3 3" xfId="515" xr:uid="{00000000-0005-0000-0000-00003F2A0000}"/>
    <cellStyle name="백분율 13 3 2 3 4" xfId="516" xr:uid="{00000000-0005-0000-0000-0000402A0000}"/>
    <cellStyle name="백분율 13 3 2 4" xfId="517" xr:uid="{00000000-0005-0000-0000-0000412A0000}"/>
    <cellStyle name="백분율 13 3 2 4 2" xfId="518" xr:uid="{00000000-0005-0000-0000-0000422A0000}"/>
    <cellStyle name="백분율 13 3 2 4 3" xfId="519" xr:uid="{00000000-0005-0000-0000-0000432A0000}"/>
    <cellStyle name="백분율 13 3 2 5" xfId="520" xr:uid="{00000000-0005-0000-0000-0000442A0000}"/>
    <cellStyle name="백분율 13 3 2 5 2" xfId="521" xr:uid="{00000000-0005-0000-0000-0000452A0000}"/>
    <cellStyle name="백분율 13 3 2 5 3" xfId="522" xr:uid="{00000000-0005-0000-0000-0000462A0000}"/>
    <cellStyle name="백분율 13 3 2 6" xfId="523" xr:uid="{00000000-0005-0000-0000-0000472A0000}"/>
    <cellStyle name="백분율 13 3 2 7" xfId="524" xr:uid="{00000000-0005-0000-0000-0000482A0000}"/>
    <cellStyle name="백분율 13 3 3" xfId="525" xr:uid="{00000000-0005-0000-0000-0000492A0000}"/>
    <cellStyle name="백분율 13 3 3 2" xfId="526" xr:uid="{00000000-0005-0000-0000-00004A2A0000}"/>
    <cellStyle name="백분율 13 3 3 2 2" xfId="527" xr:uid="{00000000-0005-0000-0000-00004B2A0000}"/>
    <cellStyle name="백분율 13 3 3 2 3" xfId="528" xr:uid="{00000000-0005-0000-0000-00004C2A0000}"/>
    <cellStyle name="백분율 13 3 3 3" xfId="529" xr:uid="{00000000-0005-0000-0000-00004D2A0000}"/>
    <cellStyle name="백분율 13 3 3 4" xfId="530" xr:uid="{00000000-0005-0000-0000-00004E2A0000}"/>
    <cellStyle name="백분율 13 3 4" xfId="531" xr:uid="{00000000-0005-0000-0000-00004F2A0000}"/>
    <cellStyle name="백분율 13 3 4 2" xfId="532" xr:uid="{00000000-0005-0000-0000-0000502A0000}"/>
    <cellStyle name="백분율 13 3 4 2 2" xfId="533" xr:uid="{00000000-0005-0000-0000-0000512A0000}"/>
    <cellStyle name="백분율 13 3 4 2 3" xfId="534" xr:uid="{00000000-0005-0000-0000-0000522A0000}"/>
    <cellStyle name="백분율 13 3 4 3" xfId="535" xr:uid="{00000000-0005-0000-0000-0000532A0000}"/>
    <cellStyle name="백분율 13 3 4 4" xfId="536" xr:uid="{00000000-0005-0000-0000-0000542A0000}"/>
    <cellStyle name="백분율 13 3 5" xfId="537" xr:uid="{00000000-0005-0000-0000-0000552A0000}"/>
    <cellStyle name="백분율 13 3 5 2" xfId="538" xr:uid="{00000000-0005-0000-0000-0000562A0000}"/>
    <cellStyle name="백분율 13 3 5 3" xfId="539" xr:uid="{00000000-0005-0000-0000-0000572A0000}"/>
    <cellStyle name="백분율 13 3 6" xfId="540" xr:uid="{00000000-0005-0000-0000-0000582A0000}"/>
    <cellStyle name="백분율 13 3 6 2" xfId="541" xr:uid="{00000000-0005-0000-0000-0000592A0000}"/>
    <cellStyle name="백분율 13 3 6 3" xfId="542" xr:uid="{00000000-0005-0000-0000-00005A2A0000}"/>
    <cellStyle name="백분율 13 3 7" xfId="543" xr:uid="{00000000-0005-0000-0000-00005B2A0000}"/>
    <cellStyle name="백분율 13 3 8" xfId="544" xr:uid="{00000000-0005-0000-0000-00005C2A0000}"/>
    <cellStyle name="백분율 13 4" xfId="545" xr:uid="{00000000-0005-0000-0000-00005D2A0000}"/>
    <cellStyle name="백분율 13 4 2" xfId="546" xr:uid="{00000000-0005-0000-0000-00005E2A0000}"/>
    <cellStyle name="백분율 13 4 2 2" xfId="547" xr:uid="{00000000-0005-0000-0000-00005F2A0000}"/>
    <cellStyle name="백분율 13 4 2 2 2" xfId="548" xr:uid="{00000000-0005-0000-0000-0000602A0000}"/>
    <cellStyle name="백분율 13 4 2 2 3" xfId="549" xr:uid="{00000000-0005-0000-0000-0000612A0000}"/>
    <cellStyle name="백분율 13 4 2 3" xfId="550" xr:uid="{00000000-0005-0000-0000-0000622A0000}"/>
    <cellStyle name="백분율 13 4 2 4" xfId="551" xr:uid="{00000000-0005-0000-0000-0000632A0000}"/>
    <cellStyle name="백분율 13 4 3" xfId="552" xr:uid="{00000000-0005-0000-0000-0000642A0000}"/>
    <cellStyle name="백분율 13 4 3 2" xfId="553" xr:uid="{00000000-0005-0000-0000-0000652A0000}"/>
    <cellStyle name="백분율 13 4 3 2 2" xfId="554" xr:uid="{00000000-0005-0000-0000-0000662A0000}"/>
    <cellStyle name="백분율 13 4 3 2 3" xfId="555" xr:uid="{00000000-0005-0000-0000-0000672A0000}"/>
    <cellStyle name="백분율 13 4 3 3" xfId="556" xr:uid="{00000000-0005-0000-0000-0000682A0000}"/>
    <cellStyle name="백분율 13 4 3 4" xfId="557" xr:uid="{00000000-0005-0000-0000-0000692A0000}"/>
    <cellStyle name="백분율 13 4 4" xfId="558" xr:uid="{00000000-0005-0000-0000-00006A2A0000}"/>
    <cellStyle name="백분율 13 4 4 2" xfId="559" xr:uid="{00000000-0005-0000-0000-00006B2A0000}"/>
    <cellStyle name="백분율 13 4 4 3" xfId="560" xr:uid="{00000000-0005-0000-0000-00006C2A0000}"/>
    <cellStyle name="백분율 13 4 5" xfId="561" xr:uid="{00000000-0005-0000-0000-00006D2A0000}"/>
    <cellStyle name="백분율 13 4 5 2" xfId="562" xr:uid="{00000000-0005-0000-0000-00006E2A0000}"/>
    <cellStyle name="백분율 13 4 5 3" xfId="563" xr:uid="{00000000-0005-0000-0000-00006F2A0000}"/>
    <cellStyle name="백분율 13 4 6" xfId="564" xr:uid="{00000000-0005-0000-0000-0000702A0000}"/>
    <cellStyle name="백분율 13 4 7" xfId="565" xr:uid="{00000000-0005-0000-0000-0000712A0000}"/>
    <cellStyle name="백분율 13 5" xfId="566" xr:uid="{00000000-0005-0000-0000-0000722A0000}"/>
    <cellStyle name="백분율 13 5 2" xfId="567" xr:uid="{00000000-0005-0000-0000-0000732A0000}"/>
    <cellStyle name="백분율 13 5 2 2" xfId="568" xr:uid="{00000000-0005-0000-0000-0000742A0000}"/>
    <cellStyle name="백분율 13 5 2 2 2" xfId="569" xr:uid="{00000000-0005-0000-0000-0000752A0000}"/>
    <cellStyle name="백분율 13 5 2 2 3" xfId="570" xr:uid="{00000000-0005-0000-0000-0000762A0000}"/>
    <cellStyle name="백분율 13 5 2 3" xfId="571" xr:uid="{00000000-0005-0000-0000-0000772A0000}"/>
    <cellStyle name="백분율 13 5 2 4" xfId="572" xr:uid="{00000000-0005-0000-0000-0000782A0000}"/>
    <cellStyle name="백분율 13 5 3" xfId="573" xr:uid="{00000000-0005-0000-0000-0000792A0000}"/>
    <cellStyle name="백분율 13 5 3 2" xfId="574" xr:uid="{00000000-0005-0000-0000-00007A2A0000}"/>
    <cellStyle name="백분율 13 5 3 2 2" xfId="575" xr:uid="{00000000-0005-0000-0000-00007B2A0000}"/>
    <cellStyle name="백분율 13 5 3 2 3" xfId="576" xr:uid="{00000000-0005-0000-0000-00007C2A0000}"/>
    <cellStyle name="백분율 13 5 3 3" xfId="577" xr:uid="{00000000-0005-0000-0000-00007D2A0000}"/>
    <cellStyle name="백분율 13 5 3 4" xfId="578" xr:uid="{00000000-0005-0000-0000-00007E2A0000}"/>
    <cellStyle name="백분율 13 5 4" xfId="579" xr:uid="{00000000-0005-0000-0000-00007F2A0000}"/>
    <cellStyle name="백분율 13 5 4 2" xfId="580" xr:uid="{00000000-0005-0000-0000-0000802A0000}"/>
    <cellStyle name="백분율 13 5 4 3" xfId="581" xr:uid="{00000000-0005-0000-0000-0000812A0000}"/>
    <cellStyle name="백분율 13 5 5" xfId="582" xr:uid="{00000000-0005-0000-0000-0000822A0000}"/>
    <cellStyle name="백분율 13 5 5 2" xfId="583" xr:uid="{00000000-0005-0000-0000-0000832A0000}"/>
    <cellStyle name="백분율 13 5 5 3" xfId="584" xr:uid="{00000000-0005-0000-0000-0000842A0000}"/>
    <cellStyle name="백분율 13 5 6" xfId="585" xr:uid="{00000000-0005-0000-0000-0000852A0000}"/>
    <cellStyle name="백분율 13 5 7" xfId="586" xr:uid="{00000000-0005-0000-0000-0000862A0000}"/>
    <cellStyle name="백분율 13 6" xfId="587" xr:uid="{00000000-0005-0000-0000-0000872A0000}"/>
    <cellStyle name="백분율 13 6 2" xfId="588" xr:uid="{00000000-0005-0000-0000-0000882A0000}"/>
    <cellStyle name="백분율 13 6 2 2" xfId="589" xr:uid="{00000000-0005-0000-0000-0000892A0000}"/>
    <cellStyle name="백분율 13 6 2 3" xfId="590" xr:uid="{00000000-0005-0000-0000-00008A2A0000}"/>
    <cellStyle name="백분율 13 6 3" xfId="591" xr:uid="{00000000-0005-0000-0000-00008B2A0000}"/>
    <cellStyle name="백분율 13 6 4" xfId="592" xr:uid="{00000000-0005-0000-0000-00008C2A0000}"/>
    <cellStyle name="백분율 13 7" xfId="593" xr:uid="{00000000-0005-0000-0000-00008D2A0000}"/>
    <cellStyle name="백분율 13 7 2" xfId="594" xr:uid="{00000000-0005-0000-0000-00008E2A0000}"/>
    <cellStyle name="백분율 13 7 2 2" xfId="595" xr:uid="{00000000-0005-0000-0000-00008F2A0000}"/>
    <cellStyle name="백분율 13 7 2 3" xfId="596" xr:uid="{00000000-0005-0000-0000-0000902A0000}"/>
    <cellStyle name="백분율 13 7 3" xfId="597" xr:uid="{00000000-0005-0000-0000-0000912A0000}"/>
    <cellStyle name="백분율 13 7 4" xfId="598" xr:uid="{00000000-0005-0000-0000-0000922A0000}"/>
    <cellStyle name="백분율 13 8" xfId="599" xr:uid="{00000000-0005-0000-0000-0000932A0000}"/>
    <cellStyle name="백분율 13 8 2" xfId="600" xr:uid="{00000000-0005-0000-0000-0000942A0000}"/>
    <cellStyle name="백분율 13 8 3" xfId="601" xr:uid="{00000000-0005-0000-0000-0000952A0000}"/>
    <cellStyle name="백분율 13 9" xfId="602" xr:uid="{00000000-0005-0000-0000-0000962A0000}"/>
    <cellStyle name="백분율 13 9 2" xfId="603" xr:uid="{00000000-0005-0000-0000-0000972A0000}"/>
    <cellStyle name="백분율 13 9 3" xfId="604" xr:uid="{00000000-0005-0000-0000-0000982A0000}"/>
    <cellStyle name="백분율 14" xfId="13" xr:uid="{00000000-0005-0000-0000-0000992A0000}"/>
    <cellStyle name="백분율 14 10" xfId="605" xr:uid="{00000000-0005-0000-0000-00009A2A0000}"/>
    <cellStyle name="백분율 14 10 2" xfId="606" xr:uid="{00000000-0005-0000-0000-00009B2A0000}"/>
    <cellStyle name="백분율 14 10 3" xfId="607" xr:uid="{00000000-0005-0000-0000-00009C2A0000}"/>
    <cellStyle name="백분율 14 11" xfId="608" xr:uid="{00000000-0005-0000-0000-00009D2A0000}"/>
    <cellStyle name="백분율 14 11 2" xfId="609" xr:uid="{00000000-0005-0000-0000-00009E2A0000}"/>
    <cellStyle name="백분율 14 11 3" xfId="610" xr:uid="{00000000-0005-0000-0000-00009F2A0000}"/>
    <cellStyle name="백분율 14 12" xfId="611" xr:uid="{00000000-0005-0000-0000-0000A02A0000}"/>
    <cellStyle name="백분율 14 12 2" xfId="612" xr:uid="{00000000-0005-0000-0000-0000A12A0000}"/>
    <cellStyle name="백분율 14 13" xfId="613" xr:uid="{00000000-0005-0000-0000-0000A22A0000}"/>
    <cellStyle name="백분율 14 13 2" xfId="614" xr:uid="{00000000-0005-0000-0000-0000A32A0000}"/>
    <cellStyle name="백분율 14 14" xfId="615" xr:uid="{00000000-0005-0000-0000-0000A42A0000}"/>
    <cellStyle name="백분율 14 14 2" xfId="616" xr:uid="{00000000-0005-0000-0000-0000A52A0000}"/>
    <cellStyle name="백분율 14 15" xfId="617" xr:uid="{00000000-0005-0000-0000-0000A62A0000}"/>
    <cellStyle name="백분율 14 15 2" xfId="618" xr:uid="{00000000-0005-0000-0000-0000A72A0000}"/>
    <cellStyle name="백분율 14 16" xfId="619" xr:uid="{00000000-0005-0000-0000-0000A82A0000}"/>
    <cellStyle name="백분율 14 17" xfId="620" xr:uid="{00000000-0005-0000-0000-0000A92A0000}"/>
    <cellStyle name="백분율 14 2" xfId="46" xr:uid="{00000000-0005-0000-0000-0000AA2A0000}"/>
    <cellStyle name="백분율 14 2 10" xfId="621" xr:uid="{00000000-0005-0000-0000-0000AB2A0000}"/>
    <cellStyle name="백분율 14 2 10 2" xfId="622" xr:uid="{00000000-0005-0000-0000-0000AC2A0000}"/>
    <cellStyle name="백분율 14 2 10 3" xfId="623" xr:uid="{00000000-0005-0000-0000-0000AD2A0000}"/>
    <cellStyle name="백분율 14 2 11" xfId="624" xr:uid="{00000000-0005-0000-0000-0000AE2A0000}"/>
    <cellStyle name="백분율 14 2 11 2" xfId="625" xr:uid="{00000000-0005-0000-0000-0000AF2A0000}"/>
    <cellStyle name="백분율 14 2 12" xfId="626" xr:uid="{00000000-0005-0000-0000-0000B02A0000}"/>
    <cellStyle name="백분율 14 2 12 2" xfId="627" xr:uid="{00000000-0005-0000-0000-0000B12A0000}"/>
    <cellStyle name="백분율 14 2 13" xfId="628" xr:uid="{00000000-0005-0000-0000-0000B22A0000}"/>
    <cellStyle name="백분율 14 2 13 2" xfId="629" xr:uid="{00000000-0005-0000-0000-0000B32A0000}"/>
    <cellStyle name="백분율 14 2 14" xfId="630" xr:uid="{00000000-0005-0000-0000-0000B42A0000}"/>
    <cellStyle name="백분율 14 2 14 2" xfId="631" xr:uid="{00000000-0005-0000-0000-0000B52A0000}"/>
    <cellStyle name="백분율 14 2 15" xfId="632" xr:uid="{00000000-0005-0000-0000-0000B62A0000}"/>
    <cellStyle name="백분율 14 2 16" xfId="633" xr:uid="{00000000-0005-0000-0000-0000B72A0000}"/>
    <cellStyle name="백분율 14 2 2" xfId="634" xr:uid="{00000000-0005-0000-0000-0000B82A0000}"/>
    <cellStyle name="백분율 14 2 2 2" xfId="635" xr:uid="{00000000-0005-0000-0000-0000B92A0000}"/>
    <cellStyle name="백분율 14 2 2 2 2" xfId="636" xr:uid="{00000000-0005-0000-0000-0000BA2A0000}"/>
    <cellStyle name="백분율 14 2 2 2 2 2" xfId="637" xr:uid="{00000000-0005-0000-0000-0000BB2A0000}"/>
    <cellStyle name="백분율 14 2 2 2 2 2 2" xfId="638" xr:uid="{00000000-0005-0000-0000-0000BC2A0000}"/>
    <cellStyle name="백분율 14 2 2 2 2 2 3" xfId="639" xr:uid="{00000000-0005-0000-0000-0000BD2A0000}"/>
    <cellStyle name="백분율 14 2 2 2 2 3" xfId="640" xr:uid="{00000000-0005-0000-0000-0000BE2A0000}"/>
    <cellStyle name="백분율 14 2 2 2 2 4" xfId="641" xr:uid="{00000000-0005-0000-0000-0000BF2A0000}"/>
    <cellStyle name="백분율 14 2 2 2 3" xfId="642" xr:uid="{00000000-0005-0000-0000-0000C02A0000}"/>
    <cellStyle name="백분율 14 2 2 2 3 2" xfId="643" xr:uid="{00000000-0005-0000-0000-0000C12A0000}"/>
    <cellStyle name="백분율 14 2 2 2 3 2 2" xfId="644" xr:uid="{00000000-0005-0000-0000-0000C22A0000}"/>
    <cellStyle name="백분율 14 2 2 2 3 2 3" xfId="645" xr:uid="{00000000-0005-0000-0000-0000C32A0000}"/>
    <cellStyle name="백분율 14 2 2 2 3 3" xfId="646" xr:uid="{00000000-0005-0000-0000-0000C42A0000}"/>
    <cellStyle name="백분율 14 2 2 2 3 4" xfId="647" xr:uid="{00000000-0005-0000-0000-0000C52A0000}"/>
    <cellStyle name="백분율 14 2 2 2 4" xfId="648" xr:uid="{00000000-0005-0000-0000-0000C62A0000}"/>
    <cellStyle name="백분율 14 2 2 2 4 2" xfId="649" xr:uid="{00000000-0005-0000-0000-0000C72A0000}"/>
    <cellStyle name="백분율 14 2 2 2 4 3" xfId="650" xr:uid="{00000000-0005-0000-0000-0000C82A0000}"/>
    <cellStyle name="백분율 14 2 2 2 5" xfId="651" xr:uid="{00000000-0005-0000-0000-0000C92A0000}"/>
    <cellStyle name="백분율 14 2 2 2 5 2" xfId="652" xr:uid="{00000000-0005-0000-0000-0000CA2A0000}"/>
    <cellStyle name="백분율 14 2 2 2 5 3" xfId="653" xr:uid="{00000000-0005-0000-0000-0000CB2A0000}"/>
    <cellStyle name="백분율 14 2 2 2 6" xfId="654" xr:uid="{00000000-0005-0000-0000-0000CC2A0000}"/>
    <cellStyle name="백분율 14 2 2 2 7" xfId="655" xr:uid="{00000000-0005-0000-0000-0000CD2A0000}"/>
    <cellStyle name="백분율 14 2 2 3" xfId="656" xr:uid="{00000000-0005-0000-0000-0000CE2A0000}"/>
    <cellStyle name="백분율 14 2 2 3 2" xfId="657" xr:uid="{00000000-0005-0000-0000-0000CF2A0000}"/>
    <cellStyle name="백분율 14 2 2 3 2 2" xfId="658" xr:uid="{00000000-0005-0000-0000-0000D02A0000}"/>
    <cellStyle name="백분율 14 2 2 3 2 3" xfId="659" xr:uid="{00000000-0005-0000-0000-0000D12A0000}"/>
    <cellStyle name="백분율 14 2 2 3 3" xfId="660" xr:uid="{00000000-0005-0000-0000-0000D22A0000}"/>
    <cellStyle name="백분율 14 2 2 3 4" xfId="661" xr:uid="{00000000-0005-0000-0000-0000D32A0000}"/>
    <cellStyle name="백분율 14 2 2 4" xfId="662" xr:uid="{00000000-0005-0000-0000-0000D42A0000}"/>
    <cellStyle name="백분율 14 2 2 4 2" xfId="663" xr:uid="{00000000-0005-0000-0000-0000D52A0000}"/>
    <cellStyle name="백분율 14 2 2 4 2 2" xfId="664" xr:uid="{00000000-0005-0000-0000-0000D62A0000}"/>
    <cellStyle name="백분율 14 2 2 4 2 3" xfId="665" xr:uid="{00000000-0005-0000-0000-0000D72A0000}"/>
    <cellStyle name="백분율 14 2 2 4 3" xfId="666" xr:uid="{00000000-0005-0000-0000-0000D82A0000}"/>
    <cellStyle name="백분율 14 2 2 4 4" xfId="667" xr:uid="{00000000-0005-0000-0000-0000D92A0000}"/>
    <cellStyle name="백분율 14 2 2 5" xfId="668" xr:uid="{00000000-0005-0000-0000-0000DA2A0000}"/>
    <cellStyle name="백분율 14 2 2 5 2" xfId="669" xr:uid="{00000000-0005-0000-0000-0000DB2A0000}"/>
    <cellStyle name="백분율 14 2 2 5 3" xfId="670" xr:uid="{00000000-0005-0000-0000-0000DC2A0000}"/>
    <cellStyle name="백분율 14 2 2 6" xfId="671" xr:uid="{00000000-0005-0000-0000-0000DD2A0000}"/>
    <cellStyle name="백분율 14 2 2 6 2" xfId="672" xr:uid="{00000000-0005-0000-0000-0000DE2A0000}"/>
    <cellStyle name="백분율 14 2 2 6 3" xfId="673" xr:uid="{00000000-0005-0000-0000-0000DF2A0000}"/>
    <cellStyle name="백분율 14 2 2 7" xfId="674" xr:uid="{00000000-0005-0000-0000-0000E02A0000}"/>
    <cellStyle name="백분율 14 2 2 8" xfId="675" xr:uid="{00000000-0005-0000-0000-0000E12A0000}"/>
    <cellStyle name="백분율 14 2 3" xfId="676" xr:uid="{00000000-0005-0000-0000-0000E22A0000}"/>
    <cellStyle name="백분율 14 2 3 2" xfId="677" xr:uid="{00000000-0005-0000-0000-0000E32A0000}"/>
    <cellStyle name="백분율 14 2 3 2 2" xfId="678" xr:uid="{00000000-0005-0000-0000-0000E42A0000}"/>
    <cellStyle name="백분율 14 2 3 2 2 2" xfId="679" xr:uid="{00000000-0005-0000-0000-0000E52A0000}"/>
    <cellStyle name="백분율 14 2 3 2 2 3" xfId="680" xr:uid="{00000000-0005-0000-0000-0000E62A0000}"/>
    <cellStyle name="백분율 14 2 3 2 3" xfId="681" xr:uid="{00000000-0005-0000-0000-0000E72A0000}"/>
    <cellStyle name="백분율 14 2 3 2 4" xfId="682" xr:uid="{00000000-0005-0000-0000-0000E82A0000}"/>
    <cellStyle name="백분율 14 2 3 3" xfId="683" xr:uid="{00000000-0005-0000-0000-0000E92A0000}"/>
    <cellStyle name="백분율 14 2 3 3 2" xfId="684" xr:uid="{00000000-0005-0000-0000-0000EA2A0000}"/>
    <cellStyle name="백분율 14 2 3 3 2 2" xfId="685" xr:uid="{00000000-0005-0000-0000-0000EB2A0000}"/>
    <cellStyle name="백분율 14 2 3 3 2 3" xfId="686" xr:uid="{00000000-0005-0000-0000-0000EC2A0000}"/>
    <cellStyle name="백분율 14 2 3 3 3" xfId="687" xr:uid="{00000000-0005-0000-0000-0000ED2A0000}"/>
    <cellStyle name="백분율 14 2 3 3 4" xfId="688" xr:uid="{00000000-0005-0000-0000-0000EE2A0000}"/>
    <cellStyle name="백분율 14 2 3 4" xfId="689" xr:uid="{00000000-0005-0000-0000-0000EF2A0000}"/>
    <cellStyle name="백분율 14 2 3 4 2" xfId="690" xr:uid="{00000000-0005-0000-0000-0000F02A0000}"/>
    <cellStyle name="백분율 14 2 3 4 3" xfId="691" xr:uid="{00000000-0005-0000-0000-0000F12A0000}"/>
    <cellStyle name="백분율 14 2 3 5" xfId="692" xr:uid="{00000000-0005-0000-0000-0000F22A0000}"/>
    <cellStyle name="백분율 14 2 3 5 2" xfId="693" xr:uid="{00000000-0005-0000-0000-0000F32A0000}"/>
    <cellStyle name="백분율 14 2 3 5 3" xfId="694" xr:uid="{00000000-0005-0000-0000-0000F42A0000}"/>
    <cellStyle name="백분율 14 2 3 6" xfId="695" xr:uid="{00000000-0005-0000-0000-0000F52A0000}"/>
    <cellStyle name="백분율 14 2 3 7" xfId="696" xr:uid="{00000000-0005-0000-0000-0000F62A0000}"/>
    <cellStyle name="백분율 14 2 4" xfId="697" xr:uid="{00000000-0005-0000-0000-0000F72A0000}"/>
    <cellStyle name="백분율 14 2 4 2" xfId="698" xr:uid="{00000000-0005-0000-0000-0000F82A0000}"/>
    <cellStyle name="백분율 14 2 4 2 2" xfId="699" xr:uid="{00000000-0005-0000-0000-0000F92A0000}"/>
    <cellStyle name="백분율 14 2 4 2 2 2" xfId="700" xr:uid="{00000000-0005-0000-0000-0000FA2A0000}"/>
    <cellStyle name="백분율 14 2 4 2 2 3" xfId="701" xr:uid="{00000000-0005-0000-0000-0000FB2A0000}"/>
    <cellStyle name="백분율 14 2 4 2 3" xfId="702" xr:uid="{00000000-0005-0000-0000-0000FC2A0000}"/>
    <cellStyle name="백분율 14 2 4 2 4" xfId="703" xr:uid="{00000000-0005-0000-0000-0000FD2A0000}"/>
    <cellStyle name="백분율 14 2 4 3" xfId="704" xr:uid="{00000000-0005-0000-0000-0000FE2A0000}"/>
    <cellStyle name="백분율 14 2 4 3 2" xfId="705" xr:uid="{00000000-0005-0000-0000-0000FF2A0000}"/>
    <cellStyle name="백분율 14 2 4 3 2 2" xfId="706" xr:uid="{00000000-0005-0000-0000-0000002B0000}"/>
    <cellStyle name="백분율 14 2 4 3 2 3" xfId="707" xr:uid="{00000000-0005-0000-0000-0000012B0000}"/>
    <cellStyle name="백분율 14 2 4 3 3" xfId="708" xr:uid="{00000000-0005-0000-0000-0000022B0000}"/>
    <cellStyle name="백분율 14 2 4 3 4" xfId="709" xr:uid="{00000000-0005-0000-0000-0000032B0000}"/>
    <cellStyle name="백분율 14 2 4 4" xfId="710" xr:uid="{00000000-0005-0000-0000-0000042B0000}"/>
    <cellStyle name="백분율 14 2 4 4 2" xfId="711" xr:uid="{00000000-0005-0000-0000-0000052B0000}"/>
    <cellStyle name="백분율 14 2 4 4 3" xfId="712" xr:uid="{00000000-0005-0000-0000-0000062B0000}"/>
    <cellStyle name="백분율 14 2 4 5" xfId="713" xr:uid="{00000000-0005-0000-0000-0000072B0000}"/>
    <cellStyle name="백분율 14 2 4 5 2" xfId="714" xr:uid="{00000000-0005-0000-0000-0000082B0000}"/>
    <cellStyle name="백분율 14 2 4 5 3" xfId="715" xr:uid="{00000000-0005-0000-0000-0000092B0000}"/>
    <cellStyle name="백분율 14 2 4 6" xfId="716" xr:uid="{00000000-0005-0000-0000-00000A2B0000}"/>
    <cellStyle name="백분율 14 2 4 7" xfId="717" xr:uid="{00000000-0005-0000-0000-00000B2B0000}"/>
    <cellStyle name="백분율 14 2 5" xfId="718" xr:uid="{00000000-0005-0000-0000-00000C2B0000}"/>
    <cellStyle name="백분율 14 2 5 2" xfId="719" xr:uid="{00000000-0005-0000-0000-00000D2B0000}"/>
    <cellStyle name="백분율 14 2 5 2 2" xfId="720" xr:uid="{00000000-0005-0000-0000-00000E2B0000}"/>
    <cellStyle name="백분율 14 2 5 2 3" xfId="721" xr:uid="{00000000-0005-0000-0000-00000F2B0000}"/>
    <cellStyle name="백분율 14 2 5 3" xfId="722" xr:uid="{00000000-0005-0000-0000-0000102B0000}"/>
    <cellStyle name="백분율 14 2 5 4" xfId="723" xr:uid="{00000000-0005-0000-0000-0000112B0000}"/>
    <cellStyle name="백분율 14 2 6" xfId="724" xr:uid="{00000000-0005-0000-0000-0000122B0000}"/>
    <cellStyle name="백분율 14 2 6 2" xfId="725" xr:uid="{00000000-0005-0000-0000-0000132B0000}"/>
    <cellStyle name="백분율 14 2 6 2 2" xfId="726" xr:uid="{00000000-0005-0000-0000-0000142B0000}"/>
    <cellStyle name="백분율 14 2 6 2 3" xfId="727" xr:uid="{00000000-0005-0000-0000-0000152B0000}"/>
    <cellStyle name="백분율 14 2 6 3" xfId="728" xr:uid="{00000000-0005-0000-0000-0000162B0000}"/>
    <cellStyle name="백분율 14 2 6 4" xfId="729" xr:uid="{00000000-0005-0000-0000-0000172B0000}"/>
    <cellStyle name="백분율 14 2 7" xfId="730" xr:uid="{00000000-0005-0000-0000-0000182B0000}"/>
    <cellStyle name="백분율 14 2 7 2" xfId="731" xr:uid="{00000000-0005-0000-0000-0000192B0000}"/>
    <cellStyle name="백분율 14 2 7 3" xfId="732" xr:uid="{00000000-0005-0000-0000-00001A2B0000}"/>
    <cellStyle name="백분율 14 2 8" xfId="733" xr:uid="{00000000-0005-0000-0000-00001B2B0000}"/>
    <cellStyle name="백분율 14 2 8 2" xfId="734" xr:uid="{00000000-0005-0000-0000-00001C2B0000}"/>
    <cellStyle name="백분율 14 2 8 3" xfId="735" xr:uid="{00000000-0005-0000-0000-00001D2B0000}"/>
    <cellStyle name="백분율 14 2 9" xfId="736" xr:uid="{00000000-0005-0000-0000-00001E2B0000}"/>
    <cellStyle name="백분율 14 2 9 2" xfId="737" xr:uid="{00000000-0005-0000-0000-00001F2B0000}"/>
    <cellStyle name="백분율 14 2 9 3" xfId="738" xr:uid="{00000000-0005-0000-0000-0000202B0000}"/>
    <cellStyle name="백분율 14 3" xfId="739" xr:uid="{00000000-0005-0000-0000-0000212B0000}"/>
    <cellStyle name="백분율 14 3 2" xfId="740" xr:uid="{00000000-0005-0000-0000-0000222B0000}"/>
    <cellStyle name="백분율 14 3 2 2" xfId="741" xr:uid="{00000000-0005-0000-0000-0000232B0000}"/>
    <cellStyle name="백분율 14 3 2 2 2" xfId="742" xr:uid="{00000000-0005-0000-0000-0000242B0000}"/>
    <cellStyle name="백분율 14 3 2 2 2 2" xfId="743" xr:uid="{00000000-0005-0000-0000-0000252B0000}"/>
    <cellStyle name="백분율 14 3 2 2 2 3" xfId="744" xr:uid="{00000000-0005-0000-0000-0000262B0000}"/>
    <cellStyle name="백분율 14 3 2 2 3" xfId="745" xr:uid="{00000000-0005-0000-0000-0000272B0000}"/>
    <cellStyle name="백분율 14 3 2 2 4" xfId="746" xr:uid="{00000000-0005-0000-0000-0000282B0000}"/>
    <cellStyle name="백분율 14 3 2 3" xfId="747" xr:uid="{00000000-0005-0000-0000-0000292B0000}"/>
    <cellStyle name="백분율 14 3 2 3 2" xfId="748" xr:uid="{00000000-0005-0000-0000-00002A2B0000}"/>
    <cellStyle name="백분율 14 3 2 3 2 2" xfId="749" xr:uid="{00000000-0005-0000-0000-00002B2B0000}"/>
    <cellStyle name="백분율 14 3 2 3 2 3" xfId="750" xr:uid="{00000000-0005-0000-0000-00002C2B0000}"/>
    <cellStyle name="백분율 14 3 2 3 3" xfId="751" xr:uid="{00000000-0005-0000-0000-00002D2B0000}"/>
    <cellStyle name="백분율 14 3 2 3 4" xfId="752" xr:uid="{00000000-0005-0000-0000-00002E2B0000}"/>
    <cellStyle name="백분율 14 3 2 4" xfId="753" xr:uid="{00000000-0005-0000-0000-00002F2B0000}"/>
    <cellStyle name="백분율 14 3 2 4 2" xfId="754" xr:uid="{00000000-0005-0000-0000-0000302B0000}"/>
    <cellStyle name="백분율 14 3 2 4 3" xfId="755" xr:uid="{00000000-0005-0000-0000-0000312B0000}"/>
    <cellStyle name="백분율 14 3 2 5" xfId="756" xr:uid="{00000000-0005-0000-0000-0000322B0000}"/>
    <cellStyle name="백분율 14 3 2 5 2" xfId="757" xr:uid="{00000000-0005-0000-0000-0000332B0000}"/>
    <cellStyle name="백분율 14 3 2 5 3" xfId="758" xr:uid="{00000000-0005-0000-0000-0000342B0000}"/>
    <cellStyle name="백분율 14 3 2 6" xfId="759" xr:uid="{00000000-0005-0000-0000-0000352B0000}"/>
    <cellStyle name="백분율 14 3 2 7" xfId="760" xr:uid="{00000000-0005-0000-0000-0000362B0000}"/>
    <cellStyle name="백분율 14 3 3" xfId="761" xr:uid="{00000000-0005-0000-0000-0000372B0000}"/>
    <cellStyle name="백분율 14 3 3 2" xfId="762" xr:uid="{00000000-0005-0000-0000-0000382B0000}"/>
    <cellStyle name="백분율 14 3 3 2 2" xfId="763" xr:uid="{00000000-0005-0000-0000-0000392B0000}"/>
    <cellStyle name="백분율 14 3 3 2 3" xfId="764" xr:uid="{00000000-0005-0000-0000-00003A2B0000}"/>
    <cellStyle name="백분율 14 3 3 3" xfId="765" xr:uid="{00000000-0005-0000-0000-00003B2B0000}"/>
    <cellStyle name="백분율 14 3 3 4" xfId="766" xr:uid="{00000000-0005-0000-0000-00003C2B0000}"/>
    <cellStyle name="백분율 14 3 4" xfId="767" xr:uid="{00000000-0005-0000-0000-00003D2B0000}"/>
    <cellStyle name="백분율 14 3 4 2" xfId="768" xr:uid="{00000000-0005-0000-0000-00003E2B0000}"/>
    <cellStyle name="백분율 14 3 4 2 2" xfId="769" xr:uid="{00000000-0005-0000-0000-00003F2B0000}"/>
    <cellStyle name="백분율 14 3 4 2 3" xfId="770" xr:uid="{00000000-0005-0000-0000-0000402B0000}"/>
    <cellStyle name="백분율 14 3 4 3" xfId="771" xr:uid="{00000000-0005-0000-0000-0000412B0000}"/>
    <cellStyle name="백분율 14 3 4 4" xfId="772" xr:uid="{00000000-0005-0000-0000-0000422B0000}"/>
    <cellStyle name="백분율 14 3 5" xfId="773" xr:uid="{00000000-0005-0000-0000-0000432B0000}"/>
    <cellStyle name="백분율 14 3 5 2" xfId="774" xr:uid="{00000000-0005-0000-0000-0000442B0000}"/>
    <cellStyle name="백분율 14 3 5 3" xfId="775" xr:uid="{00000000-0005-0000-0000-0000452B0000}"/>
    <cellStyle name="백분율 14 3 6" xfId="776" xr:uid="{00000000-0005-0000-0000-0000462B0000}"/>
    <cellStyle name="백분율 14 3 6 2" xfId="777" xr:uid="{00000000-0005-0000-0000-0000472B0000}"/>
    <cellStyle name="백분율 14 3 6 3" xfId="778" xr:uid="{00000000-0005-0000-0000-0000482B0000}"/>
    <cellStyle name="백분율 14 3 7" xfId="779" xr:uid="{00000000-0005-0000-0000-0000492B0000}"/>
    <cellStyle name="백분율 14 3 8" xfId="780" xr:uid="{00000000-0005-0000-0000-00004A2B0000}"/>
    <cellStyle name="백분율 14 4" xfId="781" xr:uid="{00000000-0005-0000-0000-00004B2B0000}"/>
    <cellStyle name="백분율 14 4 2" xfId="782" xr:uid="{00000000-0005-0000-0000-00004C2B0000}"/>
    <cellStyle name="백분율 14 4 2 2" xfId="783" xr:uid="{00000000-0005-0000-0000-00004D2B0000}"/>
    <cellStyle name="백분율 14 4 2 2 2" xfId="784" xr:uid="{00000000-0005-0000-0000-00004E2B0000}"/>
    <cellStyle name="백분율 14 4 2 2 3" xfId="785" xr:uid="{00000000-0005-0000-0000-00004F2B0000}"/>
    <cellStyle name="백분율 14 4 2 3" xfId="786" xr:uid="{00000000-0005-0000-0000-0000502B0000}"/>
    <cellStyle name="백분율 14 4 2 4" xfId="787" xr:uid="{00000000-0005-0000-0000-0000512B0000}"/>
    <cellStyle name="백분율 14 4 3" xfId="788" xr:uid="{00000000-0005-0000-0000-0000522B0000}"/>
    <cellStyle name="백분율 14 4 3 2" xfId="789" xr:uid="{00000000-0005-0000-0000-0000532B0000}"/>
    <cellStyle name="백분율 14 4 3 2 2" xfId="790" xr:uid="{00000000-0005-0000-0000-0000542B0000}"/>
    <cellStyle name="백분율 14 4 3 2 3" xfId="791" xr:uid="{00000000-0005-0000-0000-0000552B0000}"/>
    <cellStyle name="백분율 14 4 3 3" xfId="792" xr:uid="{00000000-0005-0000-0000-0000562B0000}"/>
    <cellStyle name="백분율 14 4 3 4" xfId="793" xr:uid="{00000000-0005-0000-0000-0000572B0000}"/>
    <cellStyle name="백분율 14 4 4" xfId="794" xr:uid="{00000000-0005-0000-0000-0000582B0000}"/>
    <cellStyle name="백분율 14 4 4 2" xfId="795" xr:uid="{00000000-0005-0000-0000-0000592B0000}"/>
    <cellStyle name="백분율 14 4 4 3" xfId="796" xr:uid="{00000000-0005-0000-0000-00005A2B0000}"/>
    <cellStyle name="백분율 14 4 5" xfId="797" xr:uid="{00000000-0005-0000-0000-00005B2B0000}"/>
    <cellStyle name="백분율 14 4 5 2" xfId="798" xr:uid="{00000000-0005-0000-0000-00005C2B0000}"/>
    <cellStyle name="백분율 14 4 5 3" xfId="799" xr:uid="{00000000-0005-0000-0000-00005D2B0000}"/>
    <cellStyle name="백분율 14 4 6" xfId="800" xr:uid="{00000000-0005-0000-0000-00005E2B0000}"/>
    <cellStyle name="백분율 14 4 7" xfId="801" xr:uid="{00000000-0005-0000-0000-00005F2B0000}"/>
    <cellStyle name="백분율 14 5" xfId="802" xr:uid="{00000000-0005-0000-0000-0000602B0000}"/>
    <cellStyle name="백분율 14 5 2" xfId="803" xr:uid="{00000000-0005-0000-0000-0000612B0000}"/>
    <cellStyle name="백분율 14 5 2 2" xfId="804" xr:uid="{00000000-0005-0000-0000-0000622B0000}"/>
    <cellStyle name="백분율 14 5 2 2 2" xfId="805" xr:uid="{00000000-0005-0000-0000-0000632B0000}"/>
    <cellStyle name="백분율 14 5 2 2 3" xfId="806" xr:uid="{00000000-0005-0000-0000-0000642B0000}"/>
    <cellStyle name="백분율 14 5 2 3" xfId="807" xr:uid="{00000000-0005-0000-0000-0000652B0000}"/>
    <cellStyle name="백분율 14 5 2 4" xfId="808" xr:uid="{00000000-0005-0000-0000-0000662B0000}"/>
    <cellStyle name="백분율 14 5 3" xfId="809" xr:uid="{00000000-0005-0000-0000-0000672B0000}"/>
    <cellStyle name="백분율 14 5 3 2" xfId="810" xr:uid="{00000000-0005-0000-0000-0000682B0000}"/>
    <cellStyle name="백분율 14 5 3 2 2" xfId="811" xr:uid="{00000000-0005-0000-0000-0000692B0000}"/>
    <cellStyle name="백분율 14 5 3 2 3" xfId="812" xr:uid="{00000000-0005-0000-0000-00006A2B0000}"/>
    <cellStyle name="백분율 14 5 3 3" xfId="813" xr:uid="{00000000-0005-0000-0000-00006B2B0000}"/>
    <cellStyle name="백분율 14 5 3 4" xfId="814" xr:uid="{00000000-0005-0000-0000-00006C2B0000}"/>
    <cellStyle name="백분율 14 5 4" xfId="815" xr:uid="{00000000-0005-0000-0000-00006D2B0000}"/>
    <cellStyle name="백분율 14 5 4 2" xfId="816" xr:uid="{00000000-0005-0000-0000-00006E2B0000}"/>
    <cellStyle name="백분율 14 5 4 3" xfId="817" xr:uid="{00000000-0005-0000-0000-00006F2B0000}"/>
    <cellStyle name="백분율 14 5 5" xfId="818" xr:uid="{00000000-0005-0000-0000-0000702B0000}"/>
    <cellStyle name="백분율 14 5 5 2" xfId="819" xr:uid="{00000000-0005-0000-0000-0000712B0000}"/>
    <cellStyle name="백분율 14 5 5 3" xfId="820" xr:uid="{00000000-0005-0000-0000-0000722B0000}"/>
    <cellStyle name="백분율 14 5 6" xfId="821" xr:uid="{00000000-0005-0000-0000-0000732B0000}"/>
    <cellStyle name="백분율 14 5 7" xfId="822" xr:uid="{00000000-0005-0000-0000-0000742B0000}"/>
    <cellStyle name="백분율 14 6" xfId="823" xr:uid="{00000000-0005-0000-0000-0000752B0000}"/>
    <cellStyle name="백분율 14 6 2" xfId="824" xr:uid="{00000000-0005-0000-0000-0000762B0000}"/>
    <cellStyle name="백분율 14 6 2 2" xfId="825" xr:uid="{00000000-0005-0000-0000-0000772B0000}"/>
    <cellStyle name="백분율 14 6 2 3" xfId="826" xr:uid="{00000000-0005-0000-0000-0000782B0000}"/>
    <cellStyle name="백분율 14 6 3" xfId="827" xr:uid="{00000000-0005-0000-0000-0000792B0000}"/>
    <cellStyle name="백분율 14 6 4" xfId="828" xr:uid="{00000000-0005-0000-0000-00007A2B0000}"/>
    <cellStyle name="백분율 14 7" xfId="829" xr:uid="{00000000-0005-0000-0000-00007B2B0000}"/>
    <cellStyle name="백분율 14 7 2" xfId="830" xr:uid="{00000000-0005-0000-0000-00007C2B0000}"/>
    <cellStyle name="백분율 14 7 2 2" xfId="831" xr:uid="{00000000-0005-0000-0000-00007D2B0000}"/>
    <cellStyle name="백분율 14 7 2 3" xfId="832" xr:uid="{00000000-0005-0000-0000-00007E2B0000}"/>
    <cellStyle name="백분율 14 7 3" xfId="833" xr:uid="{00000000-0005-0000-0000-00007F2B0000}"/>
    <cellStyle name="백분율 14 7 4" xfId="834" xr:uid="{00000000-0005-0000-0000-0000802B0000}"/>
    <cellStyle name="백분율 14 8" xfId="835" xr:uid="{00000000-0005-0000-0000-0000812B0000}"/>
    <cellStyle name="백분율 14 8 2" xfId="836" xr:uid="{00000000-0005-0000-0000-0000822B0000}"/>
    <cellStyle name="백분율 14 8 3" xfId="837" xr:uid="{00000000-0005-0000-0000-0000832B0000}"/>
    <cellStyle name="백분율 14 9" xfId="838" xr:uid="{00000000-0005-0000-0000-0000842B0000}"/>
    <cellStyle name="백분율 14 9 2" xfId="839" xr:uid="{00000000-0005-0000-0000-0000852B0000}"/>
    <cellStyle name="백분율 14 9 3" xfId="840" xr:uid="{00000000-0005-0000-0000-0000862B0000}"/>
    <cellStyle name="백분율 15" xfId="47" xr:uid="{00000000-0005-0000-0000-0000872B0000}"/>
    <cellStyle name="백분율 15 10" xfId="841" xr:uid="{00000000-0005-0000-0000-0000882B0000}"/>
    <cellStyle name="백분율 15 10 2" xfId="842" xr:uid="{00000000-0005-0000-0000-0000892B0000}"/>
    <cellStyle name="백분율 15 10 3" xfId="843" xr:uid="{00000000-0005-0000-0000-00008A2B0000}"/>
    <cellStyle name="백분율 15 11" xfId="844" xr:uid="{00000000-0005-0000-0000-00008B2B0000}"/>
    <cellStyle name="백분율 15 11 2" xfId="845" xr:uid="{00000000-0005-0000-0000-00008C2B0000}"/>
    <cellStyle name="백분율 15 12" xfId="846" xr:uid="{00000000-0005-0000-0000-00008D2B0000}"/>
    <cellStyle name="백분율 15 12 2" xfId="847" xr:uid="{00000000-0005-0000-0000-00008E2B0000}"/>
    <cellStyle name="백분율 15 13" xfId="848" xr:uid="{00000000-0005-0000-0000-00008F2B0000}"/>
    <cellStyle name="백분율 15 13 2" xfId="849" xr:uid="{00000000-0005-0000-0000-0000902B0000}"/>
    <cellStyle name="백분율 15 14" xfId="850" xr:uid="{00000000-0005-0000-0000-0000912B0000}"/>
    <cellStyle name="백분율 15 14 2" xfId="851" xr:uid="{00000000-0005-0000-0000-0000922B0000}"/>
    <cellStyle name="백분율 15 15" xfId="852" xr:uid="{00000000-0005-0000-0000-0000932B0000}"/>
    <cellStyle name="백분율 15 16" xfId="853" xr:uid="{00000000-0005-0000-0000-0000942B0000}"/>
    <cellStyle name="백분율 15 2" xfId="854" xr:uid="{00000000-0005-0000-0000-0000952B0000}"/>
    <cellStyle name="백분율 15 2 2" xfId="855" xr:uid="{00000000-0005-0000-0000-0000962B0000}"/>
    <cellStyle name="백분율 15 2 2 2" xfId="856" xr:uid="{00000000-0005-0000-0000-0000972B0000}"/>
    <cellStyle name="백분율 15 2 2 2 2" xfId="857" xr:uid="{00000000-0005-0000-0000-0000982B0000}"/>
    <cellStyle name="백분율 15 2 2 2 2 2" xfId="858" xr:uid="{00000000-0005-0000-0000-0000992B0000}"/>
    <cellStyle name="백분율 15 2 2 2 2 3" xfId="859" xr:uid="{00000000-0005-0000-0000-00009A2B0000}"/>
    <cellStyle name="백분율 15 2 2 2 3" xfId="860" xr:uid="{00000000-0005-0000-0000-00009B2B0000}"/>
    <cellStyle name="백분율 15 2 2 2 4" xfId="861" xr:uid="{00000000-0005-0000-0000-00009C2B0000}"/>
    <cellStyle name="백분율 15 2 2 3" xfId="862" xr:uid="{00000000-0005-0000-0000-00009D2B0000}"/>
    <cellStyle name="백분율 15 2 2 3 2" xfId="863" xr:uid="{00000000-0005-0000-0000-00009E2B0000}"/>
    <cellStyle name="백분율 15 2 2 3 2 2" xfId="864" xr:uid="{00000000-0005-0000-0000-00009F2B0000}"/>
    <cellStyle name="백분율 15 2 2 3 2 3" xfId="865" xr:uid="{00000000-0005-0000-0000-0000A02B0000}"/>
    <cellStyle name="백분율 15 2 2 3 3" xfId="866" xr:uid="{00000000-0005-0000-0000-0000A12B0000}"/>
    <cellStyle name="백분율 15 2 2 3 4" xfId="867" xr:uid="{00000000-0005-0000-0000-0000A22B0000}"/>
    <cellStyle name="백분율 15 2 2 4" xfId="868" xr:uid="{00000000-0005-0000-0000-0000A32B0000}"/>
    <cellStyle name="백분율 15 2 2 4 2" xfId="869" xr:uid="{00000000-0005-0000-0000-0000A42B0000}"/>
    <cellStyle name="백분율 15 2 2 4 3" xfId="870" xr:uid="{00000000-0005-0000-0000-0000A52B0000}"/>
    <cellStyle name="백분율 15 2 2 5" xfId="871" xr:uid="{00000000-0005-0000-0000-0000A62B0000}"/>
    <cellStyle name="백분율 15 2 2 5 2" xfId="872" xr:uid="{00000000-0005-0000-0000-0000A72B0000}"/>
    <cellStyle name="백분율 15 2 2 5 3" xfId="873" xr:uid="{00000000-0005-0000-0000-0000A82B0000}"/>
    <cellStyle name="백분율 15 2 2 6" xfId="874" xr:uid="{00000000-0005-0000-0000-0000A92B0000}"/>
    <cellStyle name="백분율 15 2 2 7" xfId="875" xr:uid="{00000000-0005-0000-0000-0000AA2B0000}"/>
    <cellStyle name="백분율 15 2 3" xfId="876" xr:uid="{00000000-0005-0000-0000-0000AB2B0000}"/>
    <cellStyle name="백분율 15 2 3 2" xfId="877" xr:uid="{00000000-0005-0000-0000-0000AC2B0000}"/>
    <cellStyle name="백분율 15 2 3 2 2" xfId="878" xr:uid="{00000000-0005-0000-0000-0000AD2B0000}"/>
    <cellStyle name="백분율 15 2 3 2 3" xfId="879" xr:uid="{00000000-0005-0000-0000-0000AE2B0000}"/>
    <cellStyle name="백분율 15 2 3 3" xfId="880" xr:uid="{00000000-0005-0000-0000-0000AF2B0000}"/>
    <cellStyle name="백분율 15 2 3 4" xfId="881" xr:uid="{00000000-0005-0000-0000-0000B02B0000}"/>
    <cellStyle name="백분율 15 2 4" xfId="882" xr:uid="{00000000-0005-0000-0000-0000B12B0000}"/>
    <cellStyle name="백분율 15 2 4 2" xfId="883" xr:uid="{00000000-0005-0000-0000-0000B22B0000}"/>
    <cellStyle name="백분율 15 2 4 2 2" xfId="884" xr:uid="{00000000-0005-0000-0000-0000B32B0000}"/>
    <cellStyle name="백분율 15 2 4 2 3" xfId="885" xr:uid="{00000000-0005-0000-0000-0000B42B0000}"/>
    <cellStyle name="백분율 15 2 4 3" xfId="886" xr:uid="{00000000-0005-0000-0000-0000B52B0000}"/>
    <cellStyle name="백분율 15 2 4 4" xfId="887" xr:uid="{00000000-0005-0000-0000-0000B62B0000}"/>
    <cellStyle name="백분율 15 2 5" xfId="888" xr:uid="{00000000-0005-0000-0000-0000B72B0000}"/>
    <cellStyle name="백분율 15 2 5 2" xfId="889" xr:uid="{00000000-0005-0000-0000-0000B82B0000}"/>
    <cellStyle name="백분율 15 2 5 3" xfId="890" xr:uid="{00000000-0005-0000-0000-0000B92B0000}"/>
    <cellStyle name="백분율 15 2 6" xfId="891" xr:uid="{00000000-0005-0000-0000-0000BA2B0000}"/>
    <cellStyle name="백분율 15 2 6 2" xfId="892" xr:uid="{00000000-0005-0000-0000-0000BB2B0000}"/>
    <cellStyle name="백분율 15 2 6 3" xfId="893" xr:uid="{00000000-0005-0000-0000-0000BC2B0000}"/>
    <cellStyle name="백분율 15 2 7" xfId="894" xr:uid="{00000000-0005-0000-0000-0000BD2B0000}"/>
    <cellStyle name="백분율 15 2 8" xfId="895" xr:uid="{00000000-0005-0000-0000-0000BE2B0000}"/>
    <cellStyle name="백분율 15 3" xfId="896" xr:uid="{00000000-0005-0000-0000-0000BF2B0000}"/>
    <cellStyle name="백분율 15 3 2" xfId="897" xr:uid="{00000000-0005-0000-0000-0000C02B0000}"/>
    <cellStyle name="백분율 15 3 2 2" xfId="898" xr:uid="{00000000-0005-0000-0000-0000C12B0000}"/>
    <cellStyle name="백분율 15 3 2 2 2" xfId="899" xr:uid="{00000000-0005-0000-0000-0000C22B0000}"/>
    <cellStyle name="백분율 15 3 2 2 3" xfId="900" xr:uid="{00000000-0005-0000-0000-0000C32B0000}"/>
    <cellStyle name="백분율 15 3 2 3" xfId="901" xr:uid="{00000000-0005-0000-0000-0000C42B0000}"/>
    <cellStyle name="백분율 15 3 2 4" xfId="902" xr:uid="{00000000-0005-0000-0000-0000C52B0000}"/>
    <cellStyle name="백분율 15 3 3" xfId="903" xr:uid="{00000000-0005-0000-0000-0000C62B0000}"/>
    <cellStyle name="백분율 15 3 3 2" xfId="904" xr:uid="{00000000-0005-0000-0000-0000C72B0000}"/>
    <cellStyle name="백분율 15 3 3 2 2" xfId="905" xr:uid="{00000000-0005-0000-0000-0000C82B0000}"/>
    <cellStyle name="백분율 15 3 3 2 3" xfId="906" xr:uid="{00000000-0005-0000-0000-0000C92B0000}"/>
    <cellStyle name="백분율 15 3 3 3" xfId="907" xr:uid="{00000000-0005-0000-0000-0000CA2B0000}"/>
    <cellStyle name="백분율 15 3 3 4" xfId="908" xr:uid="{00000000-0005-0000-0000-0000CB2B0000}"/>
    <cellStyle name="백분율 15 3 4" xfId="909" xr:uid="{00000000-0005-0000-0000-0000CC2B0000}"/>
    <cellStyle name="백분율 15 3 4 2" xfId="910" xr:uid="{00000000-0005-0000-0000-0000CD2B0000}"/>
    <cellStyle name="백분율 15 3 4 3" xfId="911" xr:uid="{00000000-0005-0000-0000-0000CE2B0000}"/>
    <cellStyle name="백분율 15 3 5" xfId="912" xr:uid="{00000000-0005-0000-0000-0000CF2B0000}"/>
    <cellStyle name="백분율 15 3 5 2" xfId="913" xr:uid="{00000000-0005-0000-0000-0000D02B0000}"/>
    <cellStyle name="백분율 15 3 5 3" xfId="914" xr:uid="{00000000-0005-0000-0000-0000D12B0000}"/>
    <cellStyle name="백분율 15 3 6" xfId="915" xr:uid="{00000000-0005-0000-0000-0000D22B0000}"/>
    <cellStyle name="백분율 15 3 7" xfId="916" xr:uid="{00000000-0005-0000-0000-0000D32B0000}"/>
    <cellStyle name="백분율 15 4" xfId="917" xr:uid="{00000000-0005-0000-0000-0000D42B0000}"/>
    <cellStyle name="백분율 15 4 2" xfId="918" xr:uid="{00000000-0005-0000-0000-0000D52B0000}"/>
    <cellStyle name="백분율 15 4 2 2" xfId="919" xr:uid="{00000000-0005-0000-0000-0000D62B0000}"/>
    <cellStyle name="백분율 15 4 2 2 2" xfId="920" xr:uid="{00000000-0005-0000-0000-0000D72B0000}"/>
    <cellStyle name="백분율 15 4 2 2 3" xfId="921" xr:uid="{00000000-0005-0000-0000-0000D82B0000}"/>
    <cellStyle name="백분율 15 4 2 3" xfId="922" xr:uid="{00000000-0005-0000-0000-0000D92B0000}"/>
    <cellStyle name="백분율 15 4 2 4" xfId="923" xr:uid="{00000000-0005-0000-0000-0000DA2B0000}"/>
    <cellStyle name="백분율 15 4 3" xfId="924" xr:uid="{00000000-0005-0000-0000-0000DB2B0000}"/>
    <cellStyle name="백분율 15 4 3 2" xfId="925" xr:uid="{00000000-0005-0000-0000-0000DC2B0000}"/>
    <cellStyle name="백분율 15 4 3 2 2" xfId="926" xr:uid="{00000000-0005-0000-0000-0000DD2B0000}"/>
    <cellStyle name="백분율 15 4 3 2 3" xfId="927" xr:uid="{00000000-0005-0000-0000-0000DE2B0000}"/>
    <cellStyle name="백분율 15 4 3 3" xfId="928" xr:uid="{00000000-0005-0000-0000-0000DF2B0000}"/>
    <cellStyle name="백분율 15 4 3 4" xfId="929" xr:uid="{00000000-0005-0000-0000-0000E02B0000}"/>
    <cellStyle name="백분율 15 4 4" xfId="930" xr:uid="{00000000-0005-0000-0000-0000E12B0000}"/>
    <cellStyle name="백분율 15 4 4 2" xfId="931" xr:uid="{00000000-0005-0000-0000-0000E22B0000}"/>
    <cellStyle name="백분율 15 4 4 3" xfId="932" xr:uid="{00000000-0005-0000-0000-0000E32B0000}"/>
    <cellStyle name="백분율 15 4 5" xfId="933" xr:uid="{00000000-0005-0000-0000-0000E42B0000}"/>
    <cellStyle name="백분율 15 4 5 2" xfId="934" xr:uid="{00000000-0005-0000-0000-0000E52B0000}"/>
    <cellStyle name="백분율 15 4 5 3" xfId="935" xr:uid="{00000000-0005-0000-0000-0000E62B0000}"/>
    <cellStyle name="백분율 15 4 6" xfId="936" xr:uid="{00000000-0005-0000-0000-0000E72B0000}"/>
    <cellStyle name="백분율 15 4 7" xfId="937" xr:uid="{00000000-0005-0000-0000-0000E82B0000}"/>
    <cellStyle name="백분율 15 5" xfId="938" xr:uid="{00000000-0005-0000-0000-0000E92B0000}"/>
    <cellStyle name="백분율 15 5 2" xfId="939" xr:uid="{00000000-0005-0000-0000-0000EA2B0000}"/>
    <cellStyle name="백분율 15 5 2 2" xfId="940" xr:uid="{00000000-0005-0000-0000-0000EB2B0000}"/>
    <cellStyle name="백분율 15 5 2 3" xfId="941" xr:uid="{00000000-0005-0000-0000-0000EC2B0000}"/>
    <cellStyle name="백분율 15 5 3" xfId="942" xr:uid="{00000000-0005-0000-0000-0000ED2B0000}"/>
    <cellStyle name="백분율 15 5 4" xfId="943" xr:uid="{00000000-0005-0000-0000-0000EE2B0000}"/>
    <cellStyle name="백분율 15 6" xfId="944" xr:uid="{00000000-0005-0000-0000-0000EF2B0000}"/>
    <cellStyle name="백분율 15 6 2" xfId="945" xr:uid="{00000000-0005-0000-0000-0000F02B0000}"/>
    <cellStyle name="백분율 15 6 2 2" xfId="946" xr:uid="{00000000-0005-0000-0000-0000F12B0000}"/>
    <cellStyle name="백분율 15 6 2 3" xfId="947" xr:uid="{00000000-0005-0000-0000-0000F22B0000}"/>
    <cellStyle name="백분율 15 6 3" xfId="948" xr:uid="{00000000-0005-0000-0000-0000F32B0000}"/>
    <cellStyle name="백분율 15 6 4" xfId="949" xr:uid="{00000000-0005-0000-0000-0000F42B0000}"/>
    <cellStyle name="백분율 15 7" xfId="950" xr:uid="{00000000-0005-0000-0000-0000F52B0000}"/>
    <cellStyle name="백분율 15 7 2" xfId="951" xr:uid="{00000000-0005-0000-0000-0000F62B0000}"/>
    <cellStyle name="백분율 15 7 3" xfId="952" xr:uid="{00000000-0005-0000-0000-0000F72B0000}"/>
    <cellStyle name="백분율 15 8" xfId="953" xr:uid="{00000000-0005-0000-0000-0000F82B0000}"/>
    <cellStyle name="백분율 15 8 2" xfId="954" xr:uid="{00000000-0005-0000-0000-0000F92B0000}"/>
    <cellStyle name="백분율 15 8 3" xfId="955" xr:uid="{00000000-0005-0000-0000-0000FA2B0000}"/>
    <cellStyle name="백분율 15 9" xfId="956" xr:uid="{00000000-0005-0000-0000-0000FB2B0000}"/>
    <cellStyle name="백분율 15 9 2" xfId="957" xr:uid="{00000000-0005-0000-0000-0000FC2B0000}"/>
    <cellStyle name="백분율 15 9 3" xfId="958" xr:uid="{00000000-0005-0000-0000-0000FD2B0000}"/>
    <cellStyle name="백분율 16" xfId="48" xr:uid="{00000000-0005-0000-0000-0000FE2B0000}"/>
    <cellStyle name="백분율 16 10" xfId="959" xr:uid="{00000000-0005-0000-0000-0000FF2B0000}"/>
    <cellStyle name="백분율 16 10 2" xfId="960" xr:uid="{00000000-0005-0000-0000-0000002C0000}"/>
    <cellStyle name="백분율 16 10 3" xfId="961" xr:uid="{00000000-0005-0000-0000-0000012C0000}"/>
    <cellStyle name="백분율 16 11" xfId="962" xr:uid="{00000000-0005-0000-0000-0000022C0000}"/>
    <cellStyle name="백분율 16 11 2" xfId="963" xr:uid="{00000000-0005-0000-0000-0000032C0000}"/>
    <cellStyle name="백분율 16 12" xfId="964" xr:uid="{00000000-0005-0000-0000-0000042C0000}"/>
    <cellStyle name="백분율 16 12 2" xfId="965" xr:uid="{00000000-0005-0000-0000-0000052C0000}"/>
    <cellStyle name="백분율 16 13" xfId="966" xr:uid="{00000000-0005-0000-0000-0000062C0000}"/>
    <cellStyle name="백분율 16 13 2" xfId="967" xr:uid="{00000000-0005-0000-0000-0000072C0000}"/>
    <cellStyle name="백분율 16 14" xfId="968" xr:uid="{00000000-0005-0000-0000-0000082C0000}"/>
    <cellStyle name="백분율 16 14 2" xfId="969" xr:uid="{00000000-0005-0000-0000-0000092C0000}"/>
    <cellStyle name="백분율 16 15" xfId="970" xr:uid="{00000000-0005-0000-0000-00000A2C0000}"/>
    <cellStyle name="백분율 16 16" xfId="971" xr:uid="{00000000-0005-0000-0000-00000B2C0000}"/>
    <cellStyle name="백분율 16 2" xfId="972" xr:uid="{00000000-0005-0000-0000-00000C2C0000}"/>
    <cellStyle name="백분율 16 2 2" xfId="973" xr:uid="{00000000-0005-0000-0000-00000D2C0000}"/>
    <cellStyle name="백분율 16 2 2 2" xfId="974" xr:uid="{00000000-0005-0000-0000-00000E2C0000}"/>
    <cellStyle name="백분율 16 2 2 2 2" xfId="975" xr:uid="{00000000-0005-0000-0000-00000F2C0000}"/>
    <cellStyle name="백분율 16 2 2 2 2 2" xfId="976" xr:uid="{00000000-0005-0000-0000-0000102C0000}"/>
    <cellStyle name="백분율 16 2 2 2 2 3" xfId="977" xr:uid="{00000000-0005-0000-0000-0000112C0000}"/>
    <cellStyle name="백분율 16 2 2 2 3" xfId="978" xr:uid="{00000000-0005-0000-0000-0000122C0000}"/>
    <cellStyle name="백분율 16 2 2 2 4" xfId="979" xr:uid="{00000000-0005-0000-0000-0000132C0000}"/>
    <cellStyle name="백분율 16 2 2 3" xfId="980" xr:uid="{00000000-0005-0000-0000-0000142C0000}"/>
    <cellStyle name="백분율 16 2 2 3 2" xfId="981" xr:uid="{00000000-0005-0000-0000-0000152C0000}"/>
    <cellStyle name="백분율 16 2 2 3 2 2" xfId="982" xr:uid="{00000000-0005-0000-0000-0000162C0000}"/>
    <cellStyle name="백분율 16 2 2 3 2 3" xfId="983" xr:uid="{00000000-0005-0000-0000-0000172C0000}"/>
    <cellStyle name="백분율 16 2 2 3 3" xfId="984" xr:uid="{00000000-0005-0000-0000-0000182C0000}"/>
    <cellStyle name="백분율 16 2 2 3 4" xfId="985" xr:uid="{00000000-0005-0000-0000-0000192C0000}"/>
    <cellStyle name="백분율 16 2 2 4" xfId="986" xr:uid="{00000000-0005-0000-0000-00001A2C0000}"/>
    <cellStyle name="백분율 16 2 2 4 2" xfId="987" xr:uid="{00000000-0005-0000-0000-00001B2C0000}"/>
    <cellStyle name="백분율 16 2 2 4 3" xfId="988" xr:uid="{00000000-0005-0000-0000-00001C2C0000}"/>
    <cellStyle name="백분율 16 2 2 5" xfId="989" xr:uid="{00000000-0005-0000-0000-00001D2C0000}"/>
    <cellStyle name="백분율 16 2 2 5 2" xfId="990" xr:uid="{00000000-0005-0000-0000-00001E2C0000}"/>
    <cellStyle name="백분율 16 2 2 5 3" xfId="991" xr:uid="{00000000-0005-0000-0000-00001F2C0000}"/>
    <cellStyle name="백분율 16 2 2 6" xfId="992" xr:uid="{00000000-0005-0000-0000-0000202C0000}"/>
    <cellStyle name="백분율 16 2 2 7" xfId="993" xr:uid="{00000000-0005-0000-0000-0000212C0000}"/>
    <cellStyle name="백분율 16 2 3" xfId="994" xr:uid="{00000000-0005-0000-0000-0000222C0000}"/>
    <cellStyle name="백분율 16 2 3 2" xfId="995" xr:uid="{00000000-0005-0000-0000-0000232C0000}"/>
    <cellStyle name="백분율 16 2 3 2 2" xfId="996" xr:uid="{00000000-0005-0000-0000-0000242C0000}"/>
    <cellStyle name="백분율 16 2 3 2 3" xfId="997" xr:uid="{00000000-0005-0000-0000-0000252C0000}"/>
    <cellStyle name="백분율 16 2 3 3" xfId="998" xr:uid="{00000000-0005-0000-0000-0000262C0000}"/>
    <cellStyle name="백분율 16 2 3 4" xfId="999" xr:uid="{00000000-0005-0000-0000-0000272C0000}"/>
    <cellStyle name="백분율 16 2 4" xfId="1000" xr:uid="{00000000-0005-0000-0000-0000282C0000}"/>
    <cellStyle name="백분율 16 2 4 2" xfId="1001" xr:uid="{00000000-0005-0000-0000-0000292C0000}"/>
    <cellStyle name="백분율 16 2 4 2 2" xfId="1002" xr:uid="{00000000-0005-0000-0000-00002A2C0000}"/>
    <cellStyle name="백분율 16 2 4 2 3" xfId="1003" xr:uid="{00000000-0005-0000-0000-00002B2C0000}"/>
    <cellStyle name="백분율 16 2 4 3" xfId="1004" xr:uid="{00000000-0005-0000-0000-00002C2C0000}"/>
    <cellStyle name="백분율 16 2 4 4" xfId="1005" xr:uid="{00000000-0005-0000-0000-00002D2C0000}"/>
    <cellStyle name="백분율 16 2 5" xfId="1006" xr:uid="{00000000-0005-0000-0000-00002E2C0000}"/>
    <cellStyle name="백분율 16 2 5 2" xfId="1007" xr:uid="{00000000-0005-0000-0000-00002F2C0000}"/>
    <cellStyle name="백분율 16 2 5 3" xfId="1008" xr:uid="{00000000-0005-0000-0000-0000302C0000}"/>
    <cellStyle name="백분율 16 2 6" xfId="1009" xr:uid="{00000000-0005-0000-0000-0000312C0000}"/>
    <cellStyle name="백분율 16 2 6 2" xfId="1010" xr:uid="{00000000-0005-0000-0000-0000322C0000}"/>
    <cellStyle name="백분율 16 2 6 3" xfId="1011" xr:uid="{00000000-0005-0000-0000-0000332C0000}"/>
    <cellStyle name="백분율 16 2 7" xfId="1012" xr:uid="{00000000-0005-0000-0000-0000342C0000}"/>
    <cellStyle name="백분율 16 2 8" xfId="1013" xr:uid="{00000000-0005-0000-0000-0000352C0000}"/>
    <cellStyle name="백분율 16 3" xfId="1014" xr:uid="{00000000-0005-0000-0000-0000362C0000}"/>
    <cellStyle name="백분율 16 3 2" xfId="1015" xr:uid="{00000000-0005-0000-0000-0000372C0000}"/>
    <cellStyle name="백분율 16 3 2 2" xfId="1016" xr:uid="{00000000-0005-0000-0000-0000382C0000}"/>
    <cellStyle name="백분율 16 3 2 2 2" xfId="1017" xr:uid="{00000000-0005-0000-0000-0000392C0000}"/>
    <cellStyle name="백분율 16 3 2 2 3" xfId="1018" xr:uid="{00000000-0005-0000-0000-00003A2C0000}"/>
    <cellStyle name="백분율 16 3 2 3" xfId="1019" xr:uid="{00000000-0005-0000-0000-00003B2C0000}"/>
    <cellStyle name="백분율 16 3 2 4" xfId="1020" xr:uid="{00000000-0005-0000-0000-00003C2C0000}"/>
    <cellStyle name="백분율 16 3 3" xfId="1021" xr:uid="{00000000-0005-0000-0000-00003D2C0000}"/>
    <cellStyle name="백분율 16 3 3 2" xfId="1022" xr:uid="{00000000-0005-0000-0000-00003E2C0000}"/>
    <cellStyle name="백분율 16 3 3 2 2" xfId="1023" xr:uid="{00000000-0005-0000-0000-00003F2C0000}"/>
    <cellStyle name="백분율 16 3 3 2 3" xfId="1024" xr:uid="{00000000-0005-0000-0000-0000402C0000}"/>
    <cellStyle name="백분율 16 3 3 3" xfId="1025" xr:uid="{00000000-0005-0000-0000-0000412C0000}"/>
    <cellStyle name="백분율 16 3 3 4" xfId="1026" xr:uid="{00000000-0005-0000-0000-0000422C0000}"/>
    <cellStyle name="백분율 16 3 4" xfId="1027" xr:uid="{00000000-0005-0000-0000-0000432C0000}"/>
    <cellStyle name="백분율 16 3 4 2" xfId="1028" xr:uid="{00000000-0005-0000-0000-0000442C0000}"/>
    <cellStyle name="백분율 16 3 4 3" xfId="1029" xr:uid="{00000000-0005-0000-0000-0000452C0000}"/>
    <cellStyle name="백분율 16 3 5" xfId="1030" xr:uid="{00000000-0005-0000-0000-0000462C0000}"/>
    <cellStyle name="백분율 16 3 5 2" xfId="1031" xr:uid="{00000000-0005-0000-0000-0000472C0000}"/>
    <cellStyle name="백분율 16 3 5 3" xfId="1032" xr:uid="{00000000-0005-0000-0000-0000482C0000}"/>
    <cellStyle name="백분율 16 3 6" xfId="1033" xr:uid="{00000000-0005-0000-0000-0000492C0000}"/>
    <cellStyle name="백분율 16 3 7" xfId="1034" xr:uid="{00000000-0005-0000-0000-00004A2C0000}"/>
    <cellStyle name="백분율 16 4" xfId="1035" xr:uid="{00000000-0005-0000-0000-00004B2C0000}"/>
    <cellStyle name="백분율 16 4 2" xfId="1036" xr:uid="{00000000-0005-0000-0000-00004C2C0000}"/>
    <cellStyle name="백분율 16 4 2 2" xfId="1037" xr:uid="{00000000-0005-0000-0000-00004D2C0000}"/>
    <cellStyle name="백분율 16 4 2 2 2" xfId="1038" xr:uid="{00000000-0005-0000-0000-00004E2C0000}"/>
    <cellStyle name="백분율 16 4 2 2 3" xfId="1039" xr:uid="{00000000-0005-0000-0000-00004F2C0000}"/>
    <cellStyle name="백분율 16 4 2 3" xfId="1040" xr:uid="{00000000-0005-0000-0000-0000502C0000}"/>
    <cellStyle name="백분율 16 4 2 4" xfId="1041" xr:uid="{00000000-0005-0000-0000-0000512C0000}"/>
    <cellStyle name="백분율 16 4 3" xfId="1042" xr:uid="{00000000-0005-0000-0000-0000522C0000}"/>
    <cellStyle name="백분율 16 4 3 2" xfId="1043" xr:uid="{00000000-0005-0000-0000-0000532C0000}"/>
    <cellStyle name="백분율 16 4 3 2 2" xfId="1044" xr:uid="{00000000-0005-0000-0000-0000542C0000}"/>
    <cellStyle name="백분율 16 4 3 2 3" xfId="1045" xr:uid="{00000000-0005-0000-0000-0000552C0000}"/>
    <cellStyle name="백분율 16 4 3 3" xfId="1046" xr:uid="{00000000-0005-0000-0000-0000562C0000}"/>
    <cellStyle name="백분율 16 4 3 4" xfId="1047" xr:uid="{00000000-0005-0000-0000-0000572C0000}"/>
    <cellStyle name="백분율 16 4 4" xfId="1048" xr:uid="{00000000-0005-0000-0000-0000582C0000}"/>
    <cellStyle name="백분율 16 4 4 2" xfId="1049" xr:uid="{00000000-0005-0000-0000-0000592C0000}"/>
    <cellStyle name="백분율 16 4 4 3" xfId="1050" xr:uid="{00000000-0005-0000-0000-00005A2C0000}"/>
    <cellStyle name="백분율 16 4 5" xfId="1051" xr:uid="{00000000-0005-0000-0000-00005B2C0000}"/>
    <cellStyle name="백분율 16 4 5 2" xfId="1052" xr:uid="{00000000-0005-0000-0000-00005C2C0000}"/>
    <cellStyle name="백분율 16 4 5 3" xfId="1053" xr:uid="{00000000-0005-0000-0000-00005D2C0000}"/>
    <cellStyle name="백분율 16 4 6" xfId="1054" xr:uid="{00000000-0005-0000-0000-00005E2C0000}"/>
    <cellStyle name="백분율 16 4 7" xfId="1055" xr:uid="{00000000-0005-0000-0000-00005F2C0000}"/>
    <cellStyle name="백분율 16 5" xfId="1056" xr:uid="{00000000-0005-0000-0000-0000602C0000}"/>
    <cellStyle name="백분율 16 5 2" xfId="1057" xr:uid="{00000000-0005-0000-0000-0000612C0000}"/>
    <cellStyle name="백분율 16 5 2 2" xfId="1058" xr:uid="{00000000-0005-0000-0000-0000622C0000}"/>
    <cellStyle name="백분율 16 5 2 3" xfId="1059" xr:uid="{00000000-0005-0000-0000-0000632C0000}"/>
    <cellStyle name="백분율 16 5 3" xfId="1060" xr:uid="{00000000-0005-0000-0000-0000642C0000}"/>
    <cellStyle name="백분율 16 5 4" xfId="1061" xr:uid="{00000000-0005-0000-0000-0000652C0000}"/>
    <cellStyle name="백분율 16 6" xfId="1062" xr:uid="{00000000-0005-0000-0000-0000662C0000}"/>
    <cellStyle name="백분율 16 6 2" xfId="1063" xr:uid="{00000000-0005-0000-0000-0000672C0000}"/>
    <cellStyle name="백분율 16 6 2 2" xfId="1064" xr:uid="{00000000-0005-0000-0000-0000682C0000}"/>
    <cellStyle name="백분율 16 6 2 3" xfId="1065" xr:uid="{00000000-0005-0000-0000-0000692C0000}"/>
    <cellStyle name="백분율 16 6 3" xfId="1066" xr:uid="{00000000-0005-0000-0000-00006A2C0000}"/>
    <cellStyle name="백분율 16 6 4" xfId="1067" xr:uid="{00000000-0005-0000-0000-00006B2C0000}"/>
    <cellStyle name="백분율 16 7" xfId="1068" xr:uid="{00000000-0005-0000-0000-00006C2C0000}"/>
    <cellStyle name="백분율 16 7 2" xfId="1069" xr:uid="{00000000-0005-0000-0000-00006D2C0000}"/>
    <cellStyle name="백분율 16 7 3" xfId="1070" xr:uid="{00000000-0005-0000-0000-00006E2C0000}"/>
    <cellStyle name="백분율 16 8" xfId="1071" xr:uid="{00000000-0005-0000-0000-00006F2C0000}"/>
    <cellStyle name="백분율 16 8 2" xfId="1072" xr:uid="{00000000-0005-0000-0000-0000702C0000}"/>
    <cellStyle name="백분율 16 8 3" xfId="1073" xr:uid="{00000000-0005-0000-0000-0000712C0000}"/>
    <cellStyle name="백분율 16 9" xfId="1074" xr:uid="{00000000-0005-0000-0000-0000722C0000}"/>
    <cellStyle name="백분율 16 9 2" xfId="1075" xr:uid="{00000000-0005-0000-0000-0000732C0000}"/>
    <cellStyle name="백분율 16 9 3" xfId="1076" xr:uid="{00000000-0005-0000-0000-0000742C0000}"/>
    <cellStyle name="백분율 17" xfId="49" xr:uid="{00000000-0005-0000-0000-0000752C0000}"/>
    <cellStyle name="백분율 17 10" xfId="1077" xr:uid="{00000000-0005-0000-0000-0000762C0000}"/>
    <cellStyle name="백분율 17 10 2" xfId="1078" xr:uid="{00000000-0005-0000-0000-0000772C0000}"/>
    <cellStyle name="백분율 17 10 3" xfId="1079" xr:uid="{00000000-0005-0000-0000-0000782C0000}"/>
    <cellStyle name="백분율 17 11" xfId="1080" xr:uid="{00000000-0005-0000-0000-0000792C0000}"/>
    <cellStyle name="백분율 17 11 2" xfId="1081" xr:uid="{00000000-0005-0000-0000-00007A2C0000}"/>
    <cellStyle name="백분율 17 12" xfId="1082" xr:uid="{00000000-0005-0000-0000-00007B2C0000}"/>
    <cellStyle name="백분율 17 12 2" xfId="1083" xr:uid="{00000000-0005-0000-0000-00007C2C0000}"/>
    <cellStyle name="백분율 17 13" xfId="1084" xr:uid="{00000000-0005-0000-0000-00007D2C0000}"/>
    <cellStyle name="백분율 17 13 2" xfId="1085" xr:uid="{00000000-0005-0000-0000-00007E2C0000}"/>
    <cellStyle name="백분율 17 14" xfId="1086" xr:uid="{00000000-0005-0000-0000-00007F2C0000}"/>
    <cellStyle name="백분율 17 14 2" xfId="1087" xr:uid="{00000000-0005-0000-0000-0000802C0000}"/>
    <cellStyle name="백분율 17 15" xfId="1088" xr:uid="{00000000-0005-0000-0000-0000812C0000}"/>
    <cellStyle name="백분율 17 16" xfId="1089" xr:uid="{00000000-0005-0000-0000-0000822C0000}"/>
    <cellStyle name="백분율 17 2" xfId="1090" xr:uid="{00000000-0005-0000-0000-0000832C0000}"/>
    <cellStyle name="백분율 17 2 2" xfId="1091" xr:uid="{00000000-0005-0000-0000-0000842C0000}"/>
    <cellStyle name="백분율 17 2 2 2" xfId="1092" xr:uid="{00000000-0005-0000-0000-0000852C0000}"/>
    <cellStyle name="백분율 17 2 2 2 2" xfId="1093" xr:uid="{00000000-0005-0000-0000-0000862C0000}"/>
    <cellStyle name="백분율 17 2 2 2 2 2" xfId="1094" xr:uid="{00000000-0005-0000-0000-0000872C0000}"/>
    <cellStyle name="백분율 17 2 2 2 2 3" xfId="1095" xr:uid="{00000000-0005-0000-0000-0000882C0000}"/>
    <cellStyle name="백분율 17 2 2 2 3" xfId="1096" xr:uid="{00000000-0005-0000-0000-0000892C0000}"/>
    <cellStyle name="백분율 17 2 2 2 4" xfId="1097" xr:uid="{00000000-0005-0000-0000-00008A2C0000}"/>
    <cellStyle name="백분율 17 2 2 3" xfId="1098" xr:uid="{00000000-0005-0000-0000-00008B2C0000}"/>
    <cellStyle name="백분율 17 2 2 3 2" xfId="1099" xr:uid="{00000000-0005-0000-0000-00008C2C0000}"/>
    <cellStyle name="백분율 17 2 2 3 2 2" xfId="1100" xr:uid="{00000000-0005-0000-0000-00008D2C0000}"/>
    <cellStyle name="백분율 17 2 2 3 2 3" xfId="1101" xr:uid="{00000000-0005-0000-0000-00008E2C0000}"/>
    <cellStyle name="백분율 17 2 2 3 3" xfId="1102" xr:uid="{00000000-0005-0000-0000-00008F2C0000}"/>
    <cellStyle name="백분율 17 2 2 3 4" xfId="1103" xr:uid="{00000000-0005-0000-0000-0000902C0000}"/>
    <cellStyle name="백분율 17 2 2 4" xfId="1104" xr:uid="{00000000-0005-0000-0000-0000912C0000}"/>
    <cellStyle name="백분율 17 2 2 4 2" xfId="1105" xr:uid="{00000000-0005-0000-0000-0000922C0000}"/>
    <cellStyle name="백분율 17 2 2 4 3" xfId="1106" xr:uid="{00000000-0005-0000-0000-0000932C0000}"/>
    <cellStyle name="백분율 17 2 2 5" xfId="1107" xr:uid="{00000000-0005-0000-0000-0000942C0000}"/>
    <cellStyle name="백분율 17 2 2 5 2" xfId="1108" xr:uid="{00000000-0005-0000-0000-0000952C0000}"/>
    <cellStyle name="백분율 17 2 2 5 3" xfId="1109" xr:uid="{00000000-0005-0000-0000-0000962C0000}"/>
    <cellStyle name="백분율 17 2 2 6" xfId="1110" xr:uid="{00000000-0005-0000-0000-0000972C0000}"/>
    <cellStyle name="백분율 17 2 2 7" xfId="1111" xr:uid="{00000000-0005-0000-0000-0000982C0000}"/>
    <cellStyle name="백분율 17 2 3" xfId="1112" xr:uid="{00000000-0005-0000-0000-0000992C0000}"/>
    <cellStyle name="백분율 17 2 3 2" xfId="1113" xr:uid="{00000000-0005-0000-0000-00009A2C0000}"/>
    <cellStyle name="백분율 17 2 3 2 2" xfId="1114" xr:uid="{00000000-0005-0000-0000-00009B2C0000}"/>
    <cellStyle name="백분율 17 2 3 2 3" xfId="1115" xr:uid="{00000000-0005-0000-0000-00009C2C0000}"/>
    <cellStyle name="백분율 17 2 3 3" xfId="1116" xr:uid="{00000000-0005-0000-0000-00009D2C0000}"/>
    <cellStyle name="백분율 17 2 3 4" xfId="1117" xr:uid="{00000000-0005-0000-0000-00009E2C0000}"/>
    <cellStyle name="백분율 17 2 4" xfId="1118" xr:uid="{00000000-0005-0000-0000-00009F2C0000}"/>
    <cellStyle name="백분율 17 2 4 2" xfId="1119" xr:uid="{00000000-0005-0000-0000-0000A02C0000}"/>
    <cellStyle name="백분율 17 2 4 2 2" xfId="1120" xr:uid="{00000000-0005-0000-0000-0000A12C0000}"/>
    <cellStyle name="백분율 17 2 4 2 3" xfId="1121" xr:uid="{00000000-0005-0000-0000-0000A22C0000}"/>
    <cellStyle name="백분율 17 2 4 3" xfId="1122" xr:uid="{00000000-0005-0000-0000-0000A32C0000}"/>
    <cellStyle name="백분율 17 2 4 4" xfId="1123" xr:uid="{00000000-0005-0000-0000-0000A42C0000}"/>
    <cellStyle name="백분율 17 2 5" xfId="1124" xr:uid="{00000000-0005-0000-0000-0000A52C0000}"/>
    <cellStyle name="백분율 17 2 5 2" xfId="1125" xr:uid="{00000000-0005-0000-0000-0000A62C0000}"/>
    <cellStyle name="백분율 17 2 5 3" xfId="1126" xr:uid="{00000000-0005-0000-0000-0000A72C0000}"/>
    <cellStyle name="백분율 17 2 6" xfId="1127" xr:uid="{00000000-0005-0000-0000-0000A82C0000}"/>
    <cellStyle name="백분율 17 2 6 2" xfId="1128" xr:uid="{00000000-0005-0000-0000-0000A92C0000}"/>
    <cellStyle name="백분율 17 2 6 3" xfId="1129" xr:uid="{00000000-0005-0000-0000-0000AA2C0000}"/>
    <cellStyle name="백분율 17 2 7" xfId="1130" xr:uid="{00000000-0005-0000-0000-0000AB2C0000}"/>
    <cellStyle name="백분율 17 2 8" xfId="1131" xr:uid="{00000000-0005-0000-0000-0000AC2C0000}"/>
    <cellStyle name="백분율 17 3" xfId="1132" xr:uid="{00000000-0005-0000-0000-0000AD2C0000}"/>
    <cellStyle name="백분율 17 3 2" xfId="1133" xr:uid="{00000000-0005-0000-0000-0000AE2C0000}"/>
    <cellStyle name="백분율 17 3 2 2" xfId="1134" xr:uid="{00000000-0005-0000-0000-0000AF2C0000}"/>
    <cellStyle name="백분율 17 3 2 2 2" xfId="1135" xr:uid="{00000000-0005-0000-0000-0000B02C0000}"/>
    <cellStyle name="백분율 17 3 2 2 3" xfId="1136" xr:uid="{00000000-0005-0000-0000-0000B12C0000}"/>
    <cellStyle name="백분율 17 3 2 3" xfId="1137" xr:uid="{00000000-0005-0000-0000-0000B22C0000}"/>
    <cellStyle name="백분율 17 3 2 4" xfId="1138" xr:uid="{00000000-0005-0000-0000-0000B32C0000}"/>
    <cellStyle name="백분율 17 3 3" xfId="1139" xr:uid="{00000000-0005-0000-0000-0000B42C0000}"/>
    <cellStyle name="백분율 17 3 3 2" xfId="1140" xr:uid="{00000000-0005-0000-0000-0000B52C0000}"/>
    <cellStyle name="백분율 17 3 3 2 2" xfId="1141" xr:uid="{00000000-0005-0000-0000-0000B62C0000}"/>
    <cellStyle name="백분율 17 3 3 2 3" xfId="1142" xr:uid="{00000000-0005-0000-0000-0000B72C0000}"/>
    <cellStyle name="백분율 17 3 3 3" xfId="1143" xr:uid="{00000000-0005-0000-0000-0000B82C0000}"/>
    <cellStyle name="백분율 17 3 3 4" xfId="1144" xr:uid="{00000000-0005-0000-0000-0000B92C0000}"/>
    <cellStyle name="백분율 17 3 4" xfId="1145" xr:uid="{00000000-0005-0000-0000-0000BA2C0000}"/>
    <cellStyle name="백분율 17 3 4 2" xfId="1146" xr:uid="{00000000-0005-0000-0000-0000BB2C0000}"/>
    <cellStyle name="백분율 17 3 4 3" xfId="1147" xr:uid="{00000000-0005-0000-0000-0000BC2C0000}"/>
    <cellStyle name="백분율 17 3 5" xfId="1148" xr:uid="{00000000-0005-0000-0000-0000BD2C0000}"/>
    <cellStyle name="백분율 17 3 5 2" xfId="1149" xr:uid="{00000000-0005-0000-0000-0000BE2C0000}"/>
    <cellStyle name="백분율 17 3 5 3" xfId="1150" xr:uid="{00000000-0005-0000-0000-0000BF2C0000}"/>
    <cellStyle name="백분율 17 3 6" xfId="1151" xr:uid="{00000000-0005-0000-0000-0000C02C0000}"/>
    <cellStyle name="백분율 17 3 7" xfId="1152" xr:uid="{00000000-0005-0000-0000-0000C12C0000}"/>
    <cellStyle name="백분율 17 4" xfId="1153" xr:uid="{00000000-0005-0000-0000-0000C22C0000}"/>
    <cellStyle name="백분율 17 4 2" xfId="1154" xr:uid="{00000000-0005-0000-0000-0000C32C0000}"/>
    <cellStyle name="백분율 17 4 2 2" xfId="1155" xr:uid="{00000000-0005-0000-0000-0000C42C0000}"/>
    <cellStyle name="백분율 17 4 2 2 2" xfId="1156" xr:uid="{00000000-0005-0000-0000-0000C52C0000}"/>
    <cellStyle name="백분율 17 4 2 2 3" xfId="1157" xr:uid="{00000000-0005-0000-0000-0000C62C0000}"/>
    <cellStyle name="백분율 17 4 2 3" xfId="1158" xr:uid="{00000000-0005-0000-0000-0000C72C0000}"/>
    <cellStyle name="백분율 17 4 2 4" xfId="1159" xr:uid="{00000000-0005-0000-0000-0000C82C0000}"/>
    <cellStyle name="백분율 17 4 3" xfId="1160" xr:uid="{00000000-0005-0000-0000-0000C92C0000}"/>
    <cellStyle name="백분율 17 4 3 2" xfId="1161" xr:uid="{00000000-0005-0000-0000-0000CA2C0000}"/>
    <cellStyle name="백분율 17 4 3 2 2" xfId="1162" xr:uid="{00000000-0005-0000-0000-0000CB2C0000}"/>
    <cellStyle name="백분율 17 4 3 2 3" xfId="1163" xr:uid="{00000000-0005-0000-0000-0000CC2C0000}"/>
    <cellStyle name="백분율 17 4 3 3" xfId="1164" xr:uid="{00000000-0005-0000-0000-0000CD2C0000}"/>
    <cellStyle name="백분율 17 4 3 4" xfId="1165" xr:uid="{00000000-0005-0000-0000-0000CE2C0000}"/>
    <cellStyle name="백분율 17 4 4" xfId="1166" xr:uid="{00000000-0005-0000-0000-0000CF2C0000}"/>
    <cellStyle name="백분율 17 4 4 2" xfId="1167" xr:uid="{00000000-0005-0000-0000-0000D02C0000}"/>
    <cellStyle name="백분율 17 4 4 3" xfId="1168" xr:uid="{00000000-0005-0000-0000-0000D12C0000}"/>
    <cellStyle name="백분율 17 4 5" xfId="1169" xr:uid="{00000000-0005-0000-0000-0000D22C0000}"/>
    <cellStyle name="백분율 17 4 5 2" xfId="1170" xr:uid="{00000000-0005-0000-0000-0000D32C0000}"/>
    <cellStyle name="백분율 17 4 5 3" xfId="1171" xr:uid="{00000000-0005-0000-0000-0000D42C0000}"/>
    <cellStyle name="백분율 17 4 6" xfId="1172" xr:uid="{00000000-0005-0000-0000-0000D52C0000}"/>
    <cellStyle name="백분율 17 4 7" xfId="1173" xr:uid="{00000000-0005-0000-0000-0000D62C0000}"/>
    <cellStyle name="백분율 17 5" xfId="1174" xr:uid="{00000000-0005-0000-0000-0000D72C0000}"/>
    <cellStyle name="백분율 17 5 2" xfId="1175" xr:uid="{00000000-0005-0000-0000-0000D82C0000}"/>
    <cellStyle name="백분율 17 5 2 2" xfId="1176" xr:uid="{00000000-0005-0000-0000-0000D92C0000}"/>
    <cellStyle name="백분율 17 5 2 3" xfId="1177" xr:uid="{00000000-0005-0000-0000-0000DA2C0000}"/>
    <cellStyle name="백분율 17 5 3" xfId="1178" xr:uid="{00000000-0005-0000-0000-0000DB2C0000}"/>
    <cellStyle name="백분율 17 5 4" xfId="1179" xr:uid="{00000000-0005-0000-0000-0000DC2C0000}"/>
    <cellStyle name="백분율 17 6" xfId="1180" xr:uid="{00000000-0005-0000-0000-0000DD2C0000}"/>
    <cellStyle name="백분율 17 6 2" xfId="1181" xr:uid="{00000000-0005-0000-0000-0000DE2C0000}"/>
    <cellStyle name="백분율 17 6 2 2" xfId="1182" xr:uid="{00000000-0005-0000-0000-0000DF2C0000}"/>
    <cellStyle name="백분율 17 6 2 3" xfId="1183" xr:uid="{00000000-0005-0000-0000-0000E02C0000}"/>
    <cellStyle name="백분율 17 6 3" xfId="1184" xr:uid="{00000000-0005-0000-0000-0000E12C0000}"/>
    <cellStyle name="백분율 17 6 4" xfId="1185" xr:uid="{00000000-0005-0000-0000-0000E22C0000}"/>
    <cellStyle name="백분율 17 7" xfId="1186" xr:uid="{00000000-0005-0000-0000-0000E32C0000}"/>
    <cellStyle name="백분율 17 7 2" xfId="1187" xr:uid="{00000000-0005-0000-0000-0000E42C0000}"/>
    <cellStyle name="백분율 17 7 3" xfId="1188" xr:uid="{00000000-0005-0000-0000-0000E52C0000}"/>
    <cellStyle name="백분율 17 8" xfId="1189" xr:uid="{00000000-0005-0000-0000-0000E62C0000}"/>
    <cellStyle name="백분율 17 8 2" xfId="1190" xr:uid="{00000000-0005-0000-0000-0000E72C0000}"/>
    <cellStyle name="백분율 17 8 3" xfId="1191" xr:uid="{00000000-0005-0000-0000-0000E82C0000}"/>
    <cellStyle name="백분율 17 9" xfId="1192" xr:uid="{00000000-0005-0000-0000-0000E92C0000}"/>
    <cellStyle name="백분율 17 9 2" xfId="1193" xr:uid="{00000000-0005-0000-0000-0000EA2C0000}"/>
    <cellStyle name="백분율 17 9 3" xfId="1194" xr:uid="{00000000-0005-0000-0000-0000EB2C0000}"/>
    <cellStyle name="백분율 18" xfId="50" xr:uid="{00000000-0005-0000-0000-0000EC2C0000}"/>
    <cellStyle name="백분율 18 10" xfId="1195" xr:uid="{00000000-0005-0000-0000-0000ED2C0000}"/>
    <cellStyle name="백분율 18 10 2" xfId="1196" xr:uid="{00000000-0005-0000-0000-0000EE2C0000}"/>
    <cellStyle name="백분율 18 10 3" xfId="1197" xr:uid="{00000000-0005-0000-0000-0000EF2C0000}"/>
    <cellStyle name="백분율 18 11" xfId="1198" xr:uid="{00000000-0005-0000-0000-0000F02C0000}"/>
    <cellStyle name="백분율 18 11 2" xfId="1199" xr:uid="{00000000-0005-0000-0000-0000F12C0000}"/>
    <cellStyle name="백분율 18 12" xfId="1200" xr:uid="{00000000-0005-0000-0000-0000F22C0000}"/>
    <cellStyle name="백분율 18 12 2" xfId="1201" xr:uid="{00000000-0005-0000-0000-0000F32C0000}"/>
    <cellStyle name="백분율 18 13" xfId="1202" xr:uid="{00000000-0005-0000-0000-0000F42C0000}"/>
    <cellStyle name="백분율 18 13 2" xfId="1203" xr:uid="{00000000-0005-0000-0000-0000F52C0000}"/>
    <cellStyle name="백분율 18 14" xfId="1204" xr:uid="{00000000-0005-0000-0000-0000F62C0000}"/>
    <cellStyle name="백분율 18 14 2" xfId="1205" xr:uid="{00000000-0005-0000-0000-0000F72C0000}"/>
    <cellStyle name="백분율 18 15" xfId="1206" xr:uid="{00000000-0005-0000-0000-0000F82C0000}"/>
    <cellStyle name="백분율 18 16" xfId="1207" xr:uid="{00000000-0005-0000-0000-0000F92C0000}"/>
    <cellStyle name="백분율 18 2" xfId="1208" xr:uid="{00000000-0005-0000-0000-0000FA2C0000}"/>
    <cellStyle name="백분율 18 2 2" xfId="1209" xr:uid="{00000000-0005-0000-0000-0000FB2C0000}"/>
    <cellStyle name="백분율 18 2 2 2" xfId="1210" xr:uid="{00000000-0005-0000-0000-0000FC2C0000}"/>
    <cellStyle name="백분율 18 2 2 2 2" xfId="1211" xr:uid="{00000000-0005-0000-0000-0000FD2C0000}"/>
    <cellStyle name="백분율 18 2 2 2 2 2" xfId="1212" xr:uid="{00000000-0005-0000-0000-0000FE2C0000}"/>
    <cellStyle name="백분율 18 2 2 2 2 3" xfId="1213" xr:uid="{00000000-0005-0000-0000-0000FF2C0000}"/>
    <cellStyle name="백분율 18 2 2 2 3" xfId="1214" xr:uid="{00000000-0005-0000-0000-0000002D0000}"/>
    <cellStyle name="백분율 18 2 2 2 4" xfId="1215" xr:uid="{00000000-0005-0000-0000-0000012D0000}"/>
    <cellStyle name="백분율 18 2 2 3" xfId="1216" xr:uid="{00000000-0005-0000-0000-0000022D0000}"/>
    <cellStyle name="백분율 18 2 2 3 2" xfId="1217" xr:uid="{00000000-0005-0000-0000-0000032D0000}"/>
    <cellStyle name="백분율 18 2 2 3 2 2" xfId="1218" xr:uid="{00000000-0005-0000-0000-0000042D0000}"/>
    <cellStyle name="백분율 18 2 2 3 2 3" xfId="1219" xr:uid="{00000000-0005-0000-0000-0000052D0000}"/>
    <cellStyle name="백분율 18 2 2 3 3" xfId="1220" xr:uid="{00000000-0005-0000-0000-0000062D0000}"/>
    <cellStyle name="백분율 18 2 2 3 4" xfId="1221" xr:uid="{00000000-0005-0000-0000-0000072D0000}"/>
    <cellStyle name="백분율 18 2 2 4" xfId="1222" xr:uid="{00000000-0005-0000-0000-0000082D0000}"/>
    <cellStyle name="백분율 18 2 2 4 2" xfId="1223" xr:uid="{00000000-0005-0000-0000-0000092D0000}"/>
    <cellStyle name="백분율 18 2 2 4 3" xfId="1224" xr:uid="{00000000-0005-0000-0000-00000A2D0000}"/>
    <cellStyle name="백분율 18 2 2 5" xfId="1225" xr:uid="{00000000-0005-0000-0000-00000B2D0000}"/>
    <cellStyle name="백분율 18 2 2 5 2" xfId="1226" xr:uid="{00000000-0005-0000-0000-00000C2D0000}"/>
    <cellStyle name="백분율 18 2 2 5 3" xfId="1227" xr:uid="{00000000-0005-0000-0000-00000D2D0000}"/>
    <cellStyle name="백분율 18 2 2 6" xfId="1228" xr:uid="{00000000-0005-0000-0000-00000E2D0000}"/>
    <cellStyle name="백분율 18 2 2 7" xfId="1229" xr:uid="{00000000-0005-0000-0000-00000F2D0000}"/>
    <cellStyle name="백분율 18 2 3" xfId="1230" xr:uid="{00000000-0005-0000-0000-0000102D0000}"/>
    <cellStyle name="백분율 18 2 3 2" xfId="1231" xr:uid="{00000000-0005-0000-0000-0000112D0000}"/>
    <cellStyle name="백분율 18 2 3 2 2" xfId="1232" xr:uid="{00000000-0005-0000-0000-0000122D0000}"/>
    <cellStyle name="백분율 18 2 3 2 3" xfId="1233" xr:uid="{00000000-0005-0000-0000-0000132D0000}"/>
    <cellStyle name="백분율 18 2 3 3" xfId="1234" xr:uid="{00000000-0005-0000-0000-0000142D0000}"/>
    <cellStyle name="백분율 18 2 3 4" xfId="1235" xr:uid="{00000000-0005-0000-0000-0000152D0000}"/>
    <cellStyle name="백분율 18 2 4" xfId="1236" xr:uid="{00000000-0005-0000-0000-0000162D0000}"/>
    <cellStyle name="백분율 18 2 4 2" xfId="1237" xr:uid="{00000000-0005-0000-0000-0000172D0000}"/>
    <cellStyle name="백분율 18 2 4 2 2" xfId="1238" xr:uid="{00000000-0005-0000-0000-0000182D0000}"/>
    <cellStyle name="백분율 18 2 4 2 3" xfId="1239" xr:uid="{00000000-0005-0000-0000-0000192D0000}"/>
    <cellStyle name="백분율 18 2 4 3" xfId="1240" xr:uid="{00000000-0005-0000-0000-00001A2D0000}"/>
    <cellStyle name="백분율 18 2 4 4" xfId="1241" xr:uid="{00000000-0005-0000-0000-00001B2D0000}"/>
    <cellStyle name="백분율 18 2 5" xfId="1242" xr:uid="{00000000-0005-0000-0000-00001C2D0000}"/>
    <cellStyle name="백분율 18 2 5 2" xfId="1243" xr:uid="{00000000-0005-0000-0000-00001D2D0000}"/>
    <cellStyle name="백분율 18 2 5 3" xfId="1244" xr:uid="{00000000-0005-0000-0000-00001E2D0000}"/>
    <cellStyle name="백분율 18 2 6" xfId="1245" xr:uid="{00000000-0005-0000-0000-00001F2D0000}"/>
    <cellStyle name="백분율 18 2 6 2" xfId="1246" xr:uid="{00000000-0005-0000-0000-0000202D0000}"/>
    <cellStyle name="백분율 18 2 6 3" xfId="1247" xr:uid="{00000000-0005-0000-0000-0000212D0000}"/>
    <cellStyle name="백분율 18 2 7" xfId="1248" xr:uid="{00000000-0005-0000-0000-0000222D0000}"/>
    <cellStyle name="백분율 18 2 8" xfId="1249" xr:uid="{00000000-0005-0000-0000-0000232D0000}"/>
    <cellStyle name="백분율 18 3" xfId="1250" xr:uid="{00000000-0005-0000-0000-0000242D0000}"/>
    <cellStyle name="백분율 18 3 2" xfId="1251" xr:uid="{00000000-0005-0000-0000-0000252D0000}"/>
    <cellStyle name="백분율 18 3 2 2" xfId="1252" xr:uid="{00000000-0005-0000-0000-0000262D0000}"/>
    <cellStyle name="백분율 18 3 2 2 2" xfId="1253" xr:uid="{00000000-0005-0000-0000-0000272D0000}"/>
    <cellStyle name="백분율 18 3 2 2 3" xfId="1254" xr:uid="{00000000-0005-0000-0000-0000282D0000}"/>
    <cellStyle name="백분율 18 3 2 3" xfId="1255" xr:uid="{00000000-0005-0000-0000-0000292D0000}"/>
    <cellStyle name="백분율 18 3 2 4" xfId="1256" xr:uid="{00000000-0005-0000-0000-00002A2D0000}"/>
    <cellStyle name="백분율 18 3 3" xfId="1257" xr:uid="{00000000-0005-0000-0000-00002B2D0000}"/>
    <cellStyle name="백분율 18 3 3 2" xfId="1258" xr:uid="{00000000-0005-0000-0000-00002C2D0000}"/>
    <cellStyle name="백분율 18 3 3 2 2" xfId="1259" xr:uid="{00000000-0005-0000-0000-00002D2D0000}"/>
    <cellStyle name="백분율 18 3 3 2 3" xfId="1260" xr:uid="{00000000-0005-0000-0000-00002E2D0000}"/>
    <cellStyle name="백분율 18 3 3 3" xfId="1261" xr:uid="{00000000-0005-0000-0000-00002F2D0000}"/>
    <cellStyle name="백분율 18 3 3 4" xfId="1262" xr:uid="{00000000-0005-0000-0000-0000302D0000}"/>
    <cellStyle name="백분율 18 3 4" xfId="1263" xr:uid="{00000000-0005-0000-0000-0000312D0000}"/>
    <cellStyle name="백분율 18 3 4 2" xfId="1264" xr:uid="{00000000-0005-0000-0000-0000322D0000}"/>
    <cellStyle name="백분율 18 3 4 3" xfId="1265" xr:uid="{00000000-0005-0000-0000-0000332D0000}"/>
    <cellStyle name="백분율 18 3 5" xfId="1266" xr:uid="{00000000-0005-0000-0000-0000342D0000}"/>
    <cellStyle name="백분율 18 3 5 2" xfId="1267" xr:uid="{00000000-0005-0000-0000-0000352D0000}"/>
    <cellStyle name="백분율 18 3 5 3" xfId="1268" xr:uid="{00000000-0005-0000-0000-0000362D0000}"/>
    <cellStyle name="백분율 18 3 6" xfId="1269" xr:uid="{00000000-0005-0000-0000-0000372D0000}"/>
    <cellStyle name="백분율 18 3 7" xfId="1270" xr:uid="{00000000-0005-0000-0000-0000382D0000}"/>
    <cellStyle name="백분율 18 4" xfId="1271" xr:uid="{00000000-0005-0000-0000-0000392D0000}"/>
    <cellStyle name="백분율 18 4 2" xfId="1272" xr:uid="{00000000-0005-0000-0000-00003A2D0000}"/>
    <cellStyle name="백분율 18 4 2 2" xfId="1273" xr:uid="{00000000-0005-0000-0000-00003B2D0000}"/>
    <cellStyle name="백분율 18 4 2 2 2" xfId="1274" xr:uid="{00000000-0005-0000-0000-00003C2D0000}"/>
    <cellStyle name="백분율 18 4 2 2 3" xfId="1275" xr:uid="{00000000-0005-0000-0000-00003D2D0000}"/>
    <cellStyle name="백분율 18 4 2 3" xfId="1276" xr:uid="{00000000-0005-0000-0000-00003E2D0000}"/>
    <cellStyle name="백분율 18 4 2 4" xfId="1277" xr:uid="{00000000-0005-0000-0000-00003F2D0000}"/>
    <cellStyle name="백분율 18 4 3" xfId="1278" xr:uid="{00000000-0005-0000-0000-0000402D0000}"/>
    <cellStyle name="백분율 18 4 3 2" xfId="1279" xr:uid="{00000000-0005-0000-0000-0000412D0000}"/>
    <cellStyle name="백분율 18 4 3 2 2" xfId="1280" xr:uid="{00000000-0005-0000-0000-0000422D0000}"/>
    <cellStyle name="백분율 18 4 3 2 3" xfId="1281" xr:uid="{00000000-0005-0000-0000-0000432D0000}"/>
    <cellStyle name="백분율 18 4 3 3" xfId="1282" xr:uid="{00000000-0005-0000-0000-0000442D0000}"/>
    <cellStyle name="백분율 18 4 3 4" xfId="1283" xr:uid="{00000000-0005-0000-0000-0000452D0000}"/>
    <cellStyle name="백분율 18 4 4" xfId="1284" xr:uid="{00000000-0005-0000-0000-0000462D0000}"/>
    <cellStyle name="백분율 18 4 4 2" xfId="1285" xr:uid="{00000000-0005-0000-0000-0000472D0000}"/>
    <cellStyle name="백분율 18 4 4 3" xfId="1286" xr:uid="{00000000-0005-0000-0000-0000482D0000}"/>
    <cellStyle name="백분율 18 4 5" xfId="1287" xr:uid="{00000000-0005-0000-0000-0000492D0000}"/>
    <cellStyle name="백분율 18 4 5 2" xfId="1288" xr:uid="{00000000-0005-0000-0000-00004A2D0000}"/>
    <cellStyle name="백분율 18 4 5 3" xfId="1289" xr:uid="{00000000-0005-0000-0000-00004B2D0000}"/>
    <cellStyle name="백분율 18 4 6" xfId="1290" xr:uid="{00000000-0005-0000-0000-00004C2D0000}"/>
    <cellStyle name="백분율 18 4 7" xfId="1291" xr:uid="{00000000-0005-0000-0000-00004D2D0000}"/>
    <cellStyle name="백분율 18 5" xfId="1292" xr:uid="{00000000-0005-0000-0000-00004E2D0000}"/>
    <cellStyle name="백분율 18 5 2" xfId="1293" xr:uid="{00000000-0005-0000-0000-00004F2D0000}"/>
    <cellStyle name="백분율 18 5 2 2" xfId="1294" xr:uid="{00000000-0005-0000-0000-0000502D0000}"/>
    <cellStyle name="백분율 18 5 2 3" xfId="1295" xr:uid="{00000000-0005-0000-0000-0000512D0000}"/>
    <cellStyle name="백분율 18 5 3" xfId="1296" xr:uid="{00000000-0005-0000-0000-0000522D0000}"/>
    <cellStyle name="백분율 18 5 4" xfId="1297" xr:uid="{00000000-0005-0000-0000-0000532D0000}"/>
    <cellStyle name="백분율 18 6" xfId="1298" xr:uid="{00000000-0005-0000-0000-0000542D0000}"/>
    <cellStyle name="백분율 18 6 2" xfId="1299" xr:uid="{00000000-0005-0000-0000-0000552D0000}"/>
    <cellStyle name="백분율 18 6 2 2" xfId="1300" xr:uid="{00000000-0005-0000-0000-0000562D0000}"/>
    <cellStyle name="백분율 18 6 2 3" xfId="1301" xr:uid="{00000000-0005-0000-0000-0000572D0000}"/>
    <cellStyle name="백분율 18 6 3" xfId="1302" xr:uid="{00000000-0005-0000-0000-0000582D0000}"/>
    <cellStyle name="백분율 18 6 4" xfId="1303" xr:uid="{00000000-0005-0000-0000-0000592D0000}"/>
    <cellStyle name="백분율 18 7" xfId="1304" xr:uid="{00000000-0005-0000-0000-00005A2D0000}"/>
    <cellStyle name="백분율 18 7 2" xfId="1305" xr:uid="{00000000-0005-0000-0000-00005B2D0000}"/>
    <cellStyle name="백분율 18 7 3" xfId="1306" xr:uid="{00000000-0005-0000-0000-00005C2D0000}"/>
    <cellStyle name="백분율 18 8" xfId="1307" xr:uid="{00000000-0005-0000-0000-00005D2D0000}"/>
    <cellStyle name="백분율 18 8 2" xfId="1308" xr:uid="{00000000-0005-0000-0000-00005E2D0000}"/>
    <cellStyle name="백분율 18 8 3" xfId="1309" xr:uid="{00000000-0005-0000-0000-00005F2D0000}"/>
    <cellStyle name="백분율 18 9" xfId="1310" xr:uid="{00000000-0005-0000-0000-0000602D0000}"/>
    <cellStyle name="백분율 18 9 2" xfId="1311" xr:uid="{00000000-0005-0000-0000-0000612D0000}"/>
    <cellStyle name="백분율 18 9 3" xfId="1312" xr:uid="{00000000-0005-0000-0000-0000622D0000}"/>
    <cellStyle name="백분율 19" xfId="51" xr:uid="{00000000-0005-0000-0000-0000632D0000}"/>
    <cellStyle name="백분율 19 10" xfId="1313" xr:uid="{00000000-0005-0000-0000-0000642D0000}"/>
    <cellStyle name="백분율 19 10 2" xfId="1314" xr:uid="{00000000-0005-0000-0000-0000652D0000}"/>
    <cellStyle name="백분율 19 10 3" xfId="1315" xr:uid="{00000000-0005-0000-0000-0000662D0000}"/>
    <cellStyle name="백분율 19 11" xfId="1316" xr:uid="{00000000-0005-0000-0000-0000672D0000}"/>
    <cellStyle name="백분율 19 11 2" xfId="1317" xr:uid="{00000000-0005-0000-0000-0000682D0000}"/>
    <cellStyle name="백분율 19 12" xfId="1318" xr:uid="{00000000-0005-0000-0000-0000692D0000}"/>
    <cellStyle name="백분율 19 12 2" xfId="1319" xr:uid="{00000000-0005-0000-0000-00006A2D0000}"/>
    <cellStyle name="백분율 19 13" xfId="1320" xr:uid="{00000000-0005-0000-0000-00006B2D0000}"/>
    <cellStyle name="백분율 19 13 2" xfId="1321" xr:uid="{00000000-0005-0000-0000-00006C2D0000}"/>
    <cellStyle name="백분율 19 14" xfId="1322" xr:uid="{00000000-0005-0000-0000-00006D2D0000}"/>
    <cellStyle name="백분율 19 14 2" xfId="1323" xr:uid="{00000000-0005-0000-0000-00006E2D0000}"/>
    <cellStyle name="백분율 19 15" xfId="1324" xr:uid="{00000000-0005-0000-0000-00006F2D0000}"/>
    <cellStyle name="백분율 19 16" xfId="1325" xr:uid="{00000000-0005-0000-0000-0000702D0000}"/>
    <cellStyle name="백분율 19 2" xfId="1326" xr:uid="{00000000-0005-0000-0000-0000712D0000}"/>
    <cellStyle name="백분율 19 2 2" xfId="1327" xr:uid="{00000000-0005-0000-0000-0000722D0000}"/>
    <cellStyle name="백분율 19 2 2 2" xfId="1328" xr:uid="{00000000-0005-0000-0000-0000732D0000}"/>
    <cellStyle name="백분율 19 2 2 2 2" xfId="1329" xr:uid="{00000000-0005-0000-0000-0000742D0000}"/>
    <cellStyle name="백분율 19 2 2 2 2 2" xfId="1330" xr:uid="{00000000-0005-0000-0000-0000752D0000}"/>
    <cellStyle name="백분율 19 2 2 2 2 3" xfId="1331" xr:uid="{00000000-0005-0000-0000-0000762D0000}"/>
    <cellStyle name="백분율 19 2 2 2 3" xfId="1332" xr:uid="{00000000-0005-0000-0000-0000772D0000}"/>
    <cellStyle name="백분율 19 2 2 2 4" xfId="1333" xr:uid="{00000000-0005-0000-0000-0000782D0000}"/>
    <cellStyle name="백분율 19 2 2 3" xfId="1334" xr:uid="{00000000-0005-0000-0000-0000792D0000}"/>
    <cellStyle name="백분율 19 2 2 3 2" xfId="1335" xr:uid="{00000000-0005-0000-0000-00007A2D0000}"/>
    <cellStyle name="백분율 19 2 2 3 2 2" xfId="1336" xr:uid="{00000000-0005-0000-0000-00007B2D0000}"/>
    <cellStyle name="백분율 19 2 2 3 2 3" xfId="1337" xr:uid="{00000000-0005-0000-0000-00007C2D0000}"/>
    <cellStyle name="백분율 19 2 2 3 3" xfId="1338" xr:uid="{00000000-0005-0000-0000-00007D2D0000}"/>
    <cellStyle name="백분율 19 2 2 3 4" xfId="1339" xr:uid="{00000000-0005-0000-0000-00007E2D0000}"/>
    <cellStyle name="백분율 19 2 2 4" xfId="1340" xr:uid="{00000000-0005-0000-0000-00007F2D0000}"/>
    <cellStyle name="백분율 19 2 2 4 2" xfId="1341" xr:uid="{00000000-0005-0000-0000-0000802D0000}"/>
    <cellStyle name="백분율 19 2 2 4 3" xfId="1342" xr:uid="{00000000-0005-0000-0000-0000812D0000}"/>
    <cellStyle name="백분율 19 2 2 5" xfId="1343" xr:uid="{00000000-0005-0000-0000-0000822D0000}"/>
    <cellStyle name="백분율 19 2 2 5 2" xfId="1344" xr:uid="{00000000-0005-0000-0000-0000832D0000}"/>
    <cellStyle name="백분율 19 2 2 5 3" xfId="1345" xr:uid="{00000000-0005-0000-0000-0000842D0000}"/>
    <cellStyle name="백분율 19 2 2 6" xfId="1346" xr:uid="{00000000-0005-0000-0000-0000852D0000}"/>
    <cellStyle name="백분율 19 2 2 7" xfId="1347" xr:uid="{00000000-0005-0000-0000-0000862D0000}"/>
    <cellStyle name="백분율 19 2 3" xfId="1348" xr:uid="{00000000-0005-0000-0000-0000872D0000}"/>
    <cellStyle name="백분율 19 2 3 2" xfId="1349" xr:uid="{00000000-0005-0000-0000-0000882D0000}"/>
    <cellStyle name="백분율 19 2 3 2 2" xfId="1350" xr:uid="{00000000-0005-0000-0000-0000892D0000}"/>
    <cellStyle name="백분율 19 2 3 2 3" xfId="1351" xr:uid="{00000000-0005-0000-0000-00008A2D0000}"/>
    <cellStyle name="백분율 19 2 3 3" xfId="1352" xr:uid="{00000000-0005-0000-0000-00008B2D0000}"/>
    <cellStyle name="백분율 19 2 3 4" xfId="1353" xr:uid="{00000000-0005-0000-0000-00008C2D0000}"/>
    <cellStyle name="백분율 19 2 4" xfId="1354" xr:uid="{00000000-0005-0000-0000-00008D2D0000}"/>
    <cellStyle name="백분율 19 2 4 2" xfId="1355" xr:uid="{00000000-0005-0000-0000-00008E2D0000}"/>
    <cellStyle name="백분율 19 2 4 2 2" xfId="1356" xr:uid="{00000000-0005-0000-0000-00008F2D0000}"/>
    <cellStyle name="백분율 19 2 4 2 3" xfId="1357" xr:uid="{00000000-0005-0000-0000-0000902D0000}"/>
    <cellStyle name="백분율 19 2 4 3" xfId="1358" xr:uid="{00000000-0005-0000-0000-0000912D0000}"/>
    <cellStyle name="백분율 19 2 4 4" xfId="1359" xr:uid="{00000000-0005-0000-0000-0000922D0000}"/>
    <cellStyle name="백분율 19 2 5" xfId="1360" xr:uid="{00000000-0005-0000-0000-0000932D0000}"/>
    <cellStyle name="백분율 19 2 5 2" xfId="1361" xr:uid="{00000000-0005-0000-0000-0000942D0000}"/>
    <cellStyle name="백분율 19 2 5 3" xfId="1362" xr:uid="{00000000-0005-0000-0000-0000952D0000}"/>
    <cellStyle name="백분율 19 2 6" xfId="1363" xr:uid="{00000000-0005-0000-0000-0000962D0000}"/>
    <cellStyle name="백분율 19 2 6 2" xfId="1364" xr:uid="{00000000-0005-0000-0000-0000972D0000}"/>
    <cellStyle name="백분율 19 2 6 3" xfId="1365" xr:uid="{00000000-0005-0000-0000-0000982D0000}"/>
    <cellStyle name="백분율 19 2 7" xfId="1366" xr:uid="{00000000-0005-0000-0000-0000992D0000}"/>
    <cellStyle name="백분율 19 2 8" xfId="1367" xr:uid="{00000000-0005-0000-0000-00009A2D0000}"/>
    <cellStyle name="백분율 19 3" xfId="1368" xr:uid="{00000000-0005-0000-0000-00009B2D0000}"/>
    <cellStyle name="백분율 19 3 2" xfId="1369" xr:uid="{00000000-0005-0000-0000-00009C2D0000}"/>
    <cellStyle name="백분율 19 3 2 2" xfId="1370" xr:uid="{00000000-0005-0000-0000-00009D2D0000}"/>
    <cellStyle name="백분율 19 3 2 2 2" xfId="1371" xr:uid="{00000000-0005-0000-0000-00009E2D0000}"/>
    <cellStyle name="백분율 19 3 2 2 3" xfId="1372" xr:uid="{00000000-0005-0000-0000-00009F2D0000}"/>
    <cellStyle name="백분율 19 3 2 3" xfId="1373" xr:uid="{00000000-0005-0000-0000-0000A02D0000}"/>
    <cellStyle name="백분율 19 3 2 4" xfId="1374" xr:uid="{00000000-0005-0000-0000-0000A12D0000}"/>
    <cellStyle name="백분율 19 3 3" xfId="1375" xr:uid="{00000000-0005-0000-0000-0000A22D0000}"/>
    <cellStyle name="백분율 19 3 3 2" xfId="1376" xr:uid="{00000000-0005-0000-0000-0000A32D0000}"/>
    <cellStyle name="백분율 19 3 3 2 2" xfId="1377" xr:uid="{00000000-0005-0000-0000-0000A42D0000}"/>
    <cellStyle name="백분율 19 3 3 2 3" xfId="1378" xr:uid="{00000000-0005-0000-0000-0000A52D0000}"/>
    <cellStyle name="백분율 19 3 3 3" xfId="1379" xr:uid="{00000000-0005-0000-0000-0000A62D0000}"/>
    <cellStyle name="백분율 19 3 3 4" xfId="1380" xr:uid="{00000000-0005-0000-0000-0000A72D0000}"/>
    <cellStyle name="백분율 19 3 4" xfId="1381" xr:uid="{00000000-0005-0000-0000-0000A82D0000}"/>
    <cellStyle name="백분율 19 3 4 2" xfId="1382" xr:uid="{00000000-0005-0000-0000-0000A92D0000}"/>
    <cellStyle name="백분율 19 3 4 3" xfId="1383" xr:uid="{00000000-0005-0000-0000-0000AA2D0000}"/>
    <cellStyle name="백분율 19 3 5" xfId="1384" xr:uid="{00000000-0005-0000-0000-0000AB2D0000}"/>
    <cellStyle name="백분율 19 3 5 2" xfId="1385" xr:uid="{00000000-0005-0000-0000-0000AC2D0000}"/>
    <cellStyle name="백분율 19 3 5 3" xfId="1386" xr:uid="{00000000-0005-0000-0000-0000AD2D0000}"/>
    <cellStyle name="백분율 19 3 6" xfId="1387" xr:uid="{00000000-0005-0000-0000-0000AE2D0000}"/>
    <cellStyle name="백분율 19 3 7" xfId="1388" xr:uid="{00000000-0005-0000-0000-0000AF2D0000}"/>
    <cellStyle name="백분율 19 4" xfId="1389" xr:uid="{00000000-0005-0000-0000-0000B02D0000}"/>
    <cellStyle name="백분율 19 4 2" xfId="1390" xr:uid="{00000000-0005-0000-0000-0000B12D0000}"/>
    <cellStyle name="백분율 19 4 2 2" xfId="1391" xr:uid="{00000000-0005-0000-0000-0000B22D0000}"/>
    <cellStyle name="백분율 19 4 2 2 2" xfId="1392" xr:uid="{00000000-0005-0000-0000-0000B32D0000}"/>
    <cellStyle name="백분율 19 4 2 2 3" xfId="1393" xr:uid="{00000000-0005-0000-0000-0000B42D0000}"/>
    <cellStyle name="백분율 19 4 2 3" xfId="1394" xr:uid="{00000000-0005-0000-0000-0000B52D0000}"/>
    <cellStyle name="백분율 19 4 2 4" xfId="1395" xr:uid="{00000000-0005-0000-0000-0000B62D0000}"/>
    <cellStyle name="백분율 19 4 3" xfId="1396" xr:uid="{00000000-0005-0000-0000-0000B72D0000}"/>
    <cellStyle name="백분율 19 4 3 2" xfId="1397" xr:uid="{00000000-0005-0000-0000-0000B82D0000}"/>
    <cellStyle name="백분율 19 4 3 2 2" xfId="1398" xr:uid="{00000000-0005-0000-0000-0000B92D0000}"/>
    <cellStyle name="백분율 19 4 3 2 3" xfId="1399" xr:uid="{00000000-0005-0000-0000-0000BA2D0000}"/>
    <cellStyle name="백분율 19 4 3 3" xfId="1400" xr:uid="{00000000-0005-0000-0000-0000BB2D0000}"/>
    <cellStyle name="백분율 19 4 3 4" xfId="1401" xr:uid="{00000000-0005-0000-0000-0000BC2D0000}"/>
    <cellStyle name="백분율 19 4 4" xfId="1402" xr:uid="{00000000-0005-0000-0000-0000BD2D0000}"/>
    <cellStyle name="백분율 19 4 4 2" xfId="1403" xr:uid="{00000000-0005-0000-0000-0000BE2D0000}"/>
    <cellStyle name="백분율 19 4 4 3" xfId="1404" xr:uid="{00000000-0005-0000-0000-0000BF2D0000}"/>
    <cellStyle name="백분율 19 4 5" xfId="1405" xr:uid="{00000000-0005-0000-0000-0000C02D0000}"/>
    <cellStyle name="백분율 19 4 5 2" xfId="1406" xr:uid="{00000000-0005-0000-0000-0000C12D0000}"/>
    <cellStyle name="백분율 19 4 5 3" xfId="1407" xr:uid="{00000000-0005-0000-0000-0000C22D0000}"/>
    <cellStyle name="백분율 19 4 6" xfId="1408" xr:uid="{00000000-0005-0000-0000-0000C32D0000}"/>
    <cellStyle name="백분율 19 4 7" xfId="1409" xr:uid="{00000000-0005-0000-0000-0000C42D0000}"/>
    <cellStyle name="백분율 19 5" xfId="1410" xr:uid="{00000000-0005-0000-0000-0000C52D0000}"/>
    <cellStyle name="백분율 19 5 2" xfId="1411" xr:uid="{00000000-0005-0000-0000-0000C62D0000}"/>
    <cellStyle name="백분율 19 5 2 2" xfId="1412" xr:uid="{00000000-0005-0000-0000-0000C72D0000}"/>
    <cellStyle name="백분율 19 5 2 3" xfId="1413" xr:uid="{00000000-0005-0000-0000-0000C82D0000}"/>
    <cellStyle name="백분율 19 5 3" xfId="1414" xr:uid="{00000000-0005-0000-0000-0000C92D0000}"/>
    <cellStyle name="백분율 19 5 4" xfId="1415" xr:uid="{00000000-0005-0000-0000-0000CA2D0000}"/>
    <cellStyle name="백분율 19 6" xfId="1416" xr:uid="{00000000-0005-0000-0000-0000CB2D0000}"/>
    <cellStyle name="백분율 19 6 2" xfId="1417" xr:uid="{00000000-0005-0000-0000-0000CC2D0000}"/>
    <cellStyle name="백분율 19 6 2 2" xfId="1418" xr:uid="{00000000-0005-0000-0000-0000CD2D0000}"/>
    <cellStyle name="백분율 19 6 2 3" xfId="1419" xr:uid="{00000000-0005-0000-0000-0000CE2D0000}"/>
    <cellStyle name="백분율 19 6 3" xfId="1420" xr:uid="{00000000-0005-0000-0000-0000CF2D0000}"/>
    <cellStyle name="백분율 19 6 4" xfId="1421" xr:uid="{00000000-0005-0000-0000-0000D02D0000}"/>
    <cellStyle name="백분율 19 7" xfId="1422" xr:uid="{00000000-0005-0000-0000-0000D12D0000}"/>
    <cellStyle name="백분율 19 7 2" xfId="1423" xr:uid="{00000000-0005-0000-0000-0000D22D0000}"/>
    <cellStyle name="백분율 19 7 3" xfId="1424" xr:uid="{00000000-0005-0000-0000-0000D32D0000}"/>
    <cellStyle name="백분율 19 8" xfId="1425" xr:uid="{00000000-0005-0000-0000-0000D42D0000}"/>
    <cellStyle name="백분율 19 8 2" xfId="1426" xr:uid="{00000000-0005-0000-0000-0000D52D0000}"/>
    <cellStyle name="백분율 19 8 3" xfId="1427" xr:uid="{00000000-0005-0000-0000-0000D62D0000}"/>
    <cellStyle name="백분율 19 9" xfId="1428" xr:uid="{00000000-0005-0000-0000-0000D72D0000}"/>
    <cellStyle name="백분율 19 9 2" xfId="1429" xr:uid="{00000000-0005-0000-0000-0000D82D0000}"/>
    <cellStyle name="백분율 19 9 3" xfId="1430" xr:uid="{00000000-0005-0000-0000-0000D92D0000}"/>
    <cellStyle name="백분율 2" xfId="8" xr:uid="{00000000-0005-0000-0000-0000DA2D0000}"/>
    <cellStyle name="백분율 2 10" xfId="1431" xr:uid="{00000000-0005-0000-0000-0000DB2D0000}"/>
    <cellStyle name="백분율 2 11" xfId="17114" xr:uid="{00000000-0005-0000-0000-0000DC2D0000}"/>
    <cellStyle name="백분율 2 2" xfId="52" xr:uid="{00000000-0005-0000-0000-0000DD2D0000}"/>
    <cellStyle name="백분율 2 2 2" xfId="12015" xr:uid="{00000000-0005-0000-0000-0000DE2D0000}"/>
    <cellStyle name="백분율 2 2 3" xfId="17115" xr:uid="{00000000-0005-0000-0000-0000DF2D0000}"/>
    <cellStyle name="백분율 2 3" xfId="1432" xr:uid="{00000000-0005-0000-0000-0000E02D0000}"/>
    <cellStyle name="백분율 2 3 2" xfId="1433" xr:uid="{00000000-0005-0000-0000-0000E12D0000}"/>
    <cellStyle name="백분율 2 3 3" xfId="1434" xr:uid="{00000000-0005-0000-0000-0000E22D0000}"/>
    <cellStyle name="백분율 2 3 3 2" xfId="1435" xr:uid="{00000000-0005-0000-0000-0000E32D0000}"/>
    <cellStyle name="백분율 2 3 3 3" xfId="1436" xr:uid="{00000000-0005-0000-0000-0000E42D0000}"/>
    <cellStyle name="백분율 2 4" xfId="1437" xr:uid="{00000000-0005-0000-0000-0000E52D0000}"/>
    <cellStyle name="백분율 2 4 2" xfId="1438" xr:uid="{00000000-0005-0000-0000-0000E62D0000}"/>
    <cellStyle name="백분율 2 4 2 2" xfId="1439" xr:uid="{00000000-0005-0000-0000-0000E72D0000}"/>
    <cellStyle name="백분율 2 4 2 2 2" xfId="1440" xr:uid="{00000000-0005-0000-0000-0000E82D0000}"/>
    <cellStyle name="백분율 2 4 2 2 3" xfId="1441" xr:uid="{00000000-0005-0000-0000-0000E92D0000}"/>
    <cellStyle name="백분율 2 4 2 3" xfId="1442" xr:uid="{00000000-0005-0000-0000-0000EA2D0000}"/>
    <cellStyle name="백분율 2 4 2 4" xfId="1443" xr:uid="{00000000-0005-0000-0000-0000EB2D0000}"/>
    <cellStyle name="백분율 2 4 3" xfId="1444" xr:uid="{00000000-0005-0000-0000-0000EC2D0000}"/>
    <cellStyle name="백분율 2 4 3 2" xfId="1445" xr:uid="{00000000-0005-0000-0000-0000ED2D0000}"/>
    <cellStyle name="백분율 2 4 3 2 2" xfId="1446" xr:uid="{00000000-0005-0000-0000-0000EE2D0000}"/>
    <cellStyle name="백분율 2 4 3 2 3" xfId="1447" xr:uid="{00000000-0005-0000-0000-0000EF2D0000}"/>
    <cellStyle name="백분율 2 4 3 3" xfId="1448" xr:uid="{00000000-0005-0000-0000-0000F02D0000}"/>
    <cellStyle name="백분율 2 4 3 4" xfId="1449" xr:uid="{00000000-0005-0000-0000-0000F12D0000}"/>
    <cellStyle name="백분율 2 4 4" xfId="1450" xr:uid="{00000000-0005-0000-0000-0000F22D0000}"/>
    <cellStyle name="백분율 2 4 4 2" xfId="1451" xr:uid="{00000000-0005-0000-0000-0000F32D0000}"/>
    <cellStyle name="백분율 2 4 4 3" xfId="1452" xr:uid="{00000000-0005-0000-0000-0000F42D0000}"/>
    <cellStyle name="백분율 2 4 5" xfId="1453" xr:uid="{00000000-0005-0000-0000-0000F52D0000}"/>
    <cellStyle name="백분율 2 4 5 2" xfId="1454" xr:uid="{00000000-0005-0000-0000-0000F62D0000}"/>
    <cellStyle name="백분율 2 4 5 3" xfId="1455" xr:uid="{00000000-0005-0000-0000-0000F72D0000}"/>
    <cellStyle name="백분율 2 4 6" xfId="1456" xr:uid="{00000000-0005-0000-0000-0000F82D0000}"/>
    <cellStyle name="백분율 2 4 7" xfId="1457" xr:uid="{00000000-0005-0000-0000-0000F92D0000}"/>
    <cellStyle name="백분율 2 4 8" xfId="17116" xr:uid="{00000000-0005-0000-0000-0000FA2D0000}"/>
    <cellStyle name="백분율 2 5" xfId="1458" xr:uid="{00000000-0005-0000-0000-0000FB2D0000}"/>
    <cellStyle name="백분율 2 5 2" xfId="1459" xr:uid="{00000000-0005-0000-0000-0000FC2D0000}"/>
    <cellStyle name="백분율 2 5 2 2" xfId="1460" xr:uid="{00000000-0005-0000-0000-0000FD2D0000}"/>
    <cellStyle name="백분율 2 5 2 2 2" xfId="1461" xr:uid="{00000000-0005-0000-0000-0000FE2D0000}"/>
    <cellStyle name="백분율 2 5 2 2 3" xfId="1462" xr:uid="{00000000-0005-0000-0000-0000FF2D0000}"/>
    <cellStyle name="백분율 2 5 2 3" xfId="1463" xr:uid="{00000000-0005-0000-0000-0000002E0000}"/>
    <cellStyle name="백분율 2 5 2 4" xfId="1464" xr:uid="{00000000-0005-0000-0000-0000012E0000}"/>
    <cellStyle name="백분율 2 5 3" xfId="1465" xr:uid="{00000000-0005-0000-0000-0000022E0000}"/>
    <cellStyle name="백분율 2 5 3 2" xfId="1466" xr:uid="{00000000-0005-0000-0000-0000032E0000}"/>
    <cellStyle name="백분율 2 5 3 2 2" xfId="1467" xr:uid="{00000000-0005-0000-0000-0000042E0000}"/>
    <cellStyle name="백분율 2 5 3 2 3" xfId="1468" xr:uid="{00000000-0005-0000-0000-0000052E0000}"/>
    <cellStyle name="백분율 2 5 3 3" xfId="1469" xr:uid="{00000000-0005-0000-0000-0000062E0000}"/>
    <cellStyle name="백분율 2 5 3 4" xfId="1470" xr:uid="{00000000-0005-0000-0000-0000072E0000}"/>
    <cellStyle name="백분율 2 5 4" xfId="1471" xr:uid="{00000000-0005-0000-0000-0000082E0000}"/>
    <cellStyle name="백분율 2 5 4 2" xfId="1472" xr:uid="{00000000-0005-0000-0000-0000092E0000}"/>
    <cellStyle name="백분율 2 5 4 3" xfId="1473" xr:uid="{00000000-0005-0000-0000-00000A2E0000}"/>
    <cellStyle name="백분율 2 5 5" xfId="1474" xr:uid="{00000000-0005-0000-0000-00000B2E0000}"/>
    <cellStyle name="백분율 2 5 5 2" xfId="1475" xr:uid="{00000000-0005-0000-0000-00000C2E0000}"/>
    <cellStyle name="백분율 2 5 5 3" xfId="1476" xr:uid="{00000000-0005-0000-0000-00000D2E0000}"/>
    <cellStyle name="백분율 2 5 6" xfId="1477" xr:uid="{00000000-0005-0000-0000-00000E2E0000}"/>
    <cellStyle name="백분율 2 5 7" xfId="1478" xr:uid="{00000000-0005-0000-0000-00000F2E0000}"/>
    <cellStyle name="백분율 2 6" xfId="1479" xr:uid="{00000000-0005-0000-0000-0000102E0000}"/>
    <cellStyle name="백분율 2 6 2" xfId="1480" xr:uid="{00000000-0005-0000-0000-0000112E0000}"/>
    <cellStyle name="백분율 2 6 2 2" xfId="1481" xr:uid="{00000000-0005-0000-0000-0000122E0000}"/>
    <cellStyle name="백분율 2 6 2 3" xfId="1482" xr:uid="{00000000-0005-0000-0000-0000132E0000}"/>
    <cellStyle name="백분율 2 6 3" xfId="1483" xr:uid="{00000000-0005-0000-0000-0000142E0000}"/>
    <cellStyle name="백분율 2 6 4" xfId="1484" xr:uid="{00000000-0005-0000-0000-0000152E0000}"/>
    <cellStyle name="백분율 2 7" xfId="1485" xr:uid="{00000000-0005-0000-0000-0000162E0000}"/>
    <cellStyle name="백분율 2 7 2" xfId="1486" xr:uid="{00000000-0005-0000-0000-0000172E0000}"/>
    <cellStyle name="백분율 2 7 2 2" xfId="1487" xr:uid="{00000000-0005-0000-0000-0000182E0000}"/>
    <cellStyle name="백분율 2 7 2 3" xfId="1488" xr:uid="{00000000-0005-0000-0000-0000192E0000}"/>
    <cellStyle name="백분율 2 7 3" xfId="1489" xr:uid="{00000000-0005-0000-0000-00001A2E0000}"/>
    <cellStyle name="백분율 2 7 4" xfId="1490" xr:uid="{00000000-0005-0000-0000-00001B2E0000}"/>
    <cellStyle name="백분율 2 8" xfId="1491" xr:uid="{00000000-0005-0000-0000-00001C2E0000}"/>
    <cellStyle name="백분율 2 8 2" xfId="1492" xr:uid="{00000000-0005-0000-0000-00001D2E0000}"/>
    <cellStyle name="백분율 2 8 3" xfId="1493" xr:uid="{00000000-0005-0000-0000-00001E2E0000}"/>
    <cellStyle name="백분율 2 9" xfId="1494" xr:uid="{00000000-0005-0000-0000-00001F2E0000}"/>
    <cellStyle name="백분율 2 9 2" xfId="1495" xr:uid="{00000000-0005-0000-0000-0000202E0000}"/>
    <cellStyle name="백분율 2 9 3" xfId="1496" xr:uid="{00000000-0005-0000-0000-0000212E0000}"/>
    <cellStyle name="백분율 20" xfId="53" xr:uid="{00000000-0005-0000-0000-0000222E0000}"/>
    <cellStyle name="백분율 20 10" xfId="1497" xr:uid="{00000000-0005-0000-0000-0000232E0000}"/>
    <cellStyle name="백분율 20 10 2" xfId="1498" xr:uid="{00000000-0005-0000-0000-0000242E0000}"/>
    <cellStyle name="백분율 20 10 3" xfId="1499" xr:uid="{00000000-0005-0000-0000-0000252E0000}"/>
    <cellStyle name="백분율 20 11" xfId="1500" xr:uid="{00000000-0005-0000-0000-0000262E0000}"/>
    <cellStyle name="백분율 20 11 2" xfId="1501" xr:uid="{00000000-0005-0000-0000-0000272E0000}"/>
    <cellStyle name="백분율 20 12" xfId="1502" xr:uid="{00000000-0005-0000-0000-0000282E0000}"/>
    <cellStyle name="백분율 20 12 2" xfId="1503" xr:uid="{00000000-0005-0000-0000-0000292E0000}"/>
    <cellStyle name="백분율 20 13" xfId="1504" xr:uid="{00000000-0005-0000-0000-00002A2E0000}"/>
    <cellStyle name="백분율 20 13 2" xfId="1505" xr:uid="{00000000-0005-0000-0000-00002B2E0000}"/>
    <cellStyle name="백분율 20 14" xfId="1506" xr:uid="{00000000-0005-0000-0000-00002C2E0000}"/>
    <cellStyle name="백분율 20 14 2" xfId="1507" xr:uid="{00000000-0005-0000-0000-00002D2E0000}"/>
    <cellStyle name="백분율 20 15" xfId="1508" xr:uid="{00000000-0005-0000-0000-00002E2E0000}"/>
    <cellStyle name="백분율 20 16" xfId="1509" xr:uid="{00000000-0005-0000-0000-00002F2E0000}"/>
    <cellStyle name="백분율 20 2" xfId="1510" xr:uid="{00000000-0005-0000-0000-0000302E0000}"/>
    <cellStyle name="백분율 20 2 2" xfId="1511" xr:uid="{00000000-0005-0000-0000-0000312E0000}"/>
    <cellStyle name="백분율 20 2 2 2" xfId="1512" xr:uid="{00000000-0005-0000-0000-0000322E0000}"/>
    <cellStyle name="백분율 20 2 2 2 2" xfId="1513" xr:uid="{00000000-0005-0000-0000-0000332E0000}"/>
    <cellStyle name="백분율 20 2 2 2 2 2" xfId="1514" xr:uid="{00000000-0005-0000-0000-0000342E0000}"/>
    <cellStyle name="백분율 20 2 2 2 2 3" xfId="1515" xr:uid="{00000000-0005-0000-0000-0000352E0000}"/>
    <cellStyle name="백분율 20 2 2 2 3" xfId="1516" xr:uid="{00000000-0005-0000-0000-0000362E0000}"/>
    <cellStyle name="백분율 20 2 2 2 4" xfId="1517" xr:uid="{00000000-0005-0000-0000-0000372E0000}"/>
    <cellStyle name="백분율 20 2 2 3" xfId="1518" xr:uid="{00000000-0005-0000-0000-0000382E0000}"/>
    <cellStyle name="백분율 20 2 2 3 2" xfId="1519" xr:uid="{00000000-0005-0000-0000-0000392E0000}"/>
    <cellStyle name="백분율 20 2 2 3 2 2" xfId="1520" xr:uid="{00000000-0005-0000-0000-00003A2E0000}"/>
    <cellStyle name="백분율 20 2 2 3 2 3" xfId="1521" xr:uid="{00000000-0005-0000-0000-00003B2E0000}"/>
    <cellStyle name="백분율 20 2 2 3 3" xfId="1522" xr:uid="{00000000-0005-0000-0000-00003C2E0000}"/>
    <cellStyle name="백분율 20 2 2 3 4" xfId="1523" xr:uid="{00000000-0005-0000-0000-00003D2E0000}"/>
    <cellStyle name="백분율 20 2 2 4" xfId="1524" xr:uid="{00000000-0005-0000-0000-00003E2E0000}"/>
    <cellStyle name="백분율 20 2 2 4 2" xfId="1525" xr:uid="{00000000-0005-0000-0000-00003F2E0000}"/>
    <cellStyle name="백분율 20 2 2 4 3" xfId="1526" xr:uid="{00000000-0005-0000-0000-0000402E0000}"/>
    <cellStyle name="백분율 20 2 2 5" xfId="1527" xr:uid="{00000000-0005-0000-0000-0000412E0000}"/>
    <cellStyle name="백분율 20 2 2 5 2" xfId="1528" xr:uid="{00000000-0005-0000-0000-0000422E0000}"/>
    <cellStyle name="백분율 20 2 2 5 3" xfId="1529" xr:uid="{00000000-0005-0000-0000-0000432E0000}"/>
    <cellStyle name="백분율 20 2 2 6" xfId="1530" xr:uid="{00000000-0005-0000-0000-0000442E0000}"/>
    <cellStyle name="백분율 20 2 2 7" xfId="1531" xr:uid="{00000000-0005-0000-0000-0000452E0000}"/>
    <cellStyle name="백분율 20 2 3" xfId="1532" xr:uid="{00000000-0005-0000-0000-0000462E0000}"/>
    <cellStyle name="백분율 20 2 3 2" xfId="1533" xr:uid="{00000000-0005-0000-0000-0000472E0000}"/>
    <cellStyle name="백분율 20 2 3 2 2" xfId="1534" xr:uid="{00000000-0005-0000-0000-0000482E0000}"/>
    <cellStyle name="백분율 20 2 3 2 3" xfId="1535" xr:uid="{00000000-0005-0000-0000-0000492E0000}"/>
    <cellStyle name="백분율 20 2 3 3" xfId="1536" xr:uid="{00000000-0005-0000-0000-00004A2E0000}"/>
    <cellStyle name="백분율 20 2 3 4" xfId="1537" xr:uid="{00000000-0005-0000-0000-00004B2E0000}"/>
    <cellStyle name="백분율 20 2 4" xfId="1538" xr:uid="{00000000-0005-0000-0000-00004C2E0000}"/>
    <cellStyle name="백분율 20 2 4 2" xfId="1539" xr:uid="{00000000-0005-0000-0000-00004D2E0000}"/>
    <cellStyle name="백분율 20 2 4 2 2" xfId="1540" xr:uid="{00000000-0005-0000-0000-00004E2E0000}"/>
    <cellStyle name="백분율 20 2 4 2 3" xfId="1541" xr:uid="{00000000-0005-0000-0000-00004F2E0000}"/>
    <cellStyle name="백분율 20 2 4 3" xfId="1542" xr:uid="{00000000-0005-0000-0000-0000502E0000}"/>
    <cellStyle name="백분율 20 2 4 4" xfId="1543" xr:uid="{00000000-0005-0000-0000-0000512E0000}"/>
    <cellStyle name="백분율 20 2 5" xfId="1544" xr:uid="{00000000-0005-0000-0000-0000522E0000}"/>
    <cellStyle name="백분율 20 2 5 2" xfId="1545" xr:uid="{00000000-0005-0000-0000-0000532E0000}"/>
    <cellStyle name="백분율 20 2 5 3" xfId="1546" xr:uid="{00000000-0005-0000-0000-0000542E0000}"/>
    <cellStyle name="백분율 20 2 6" xfId="1547" xr:uid="{00000000-0005-0000-0000-0000552E0000}"/>
    <cellStyle name="백분율 20 2 6 2" xfId="1548" xr:uid="{00000000-0005-0000-0000-0000562E0000}"/>
    <cellStyle name="백분율 20 2 6 3" xfId="1549" xr:uid="{00000000-0005-0000-0000-0000572E0000}"/>
    <cellStyle name="백분율 20 2 7" xfId="1550" xr:uid="{00000000-0005-0000-0000-0000582E0000}"/>
    <cellStyle name="백분율 20 2 8" xfId="1551" xr:uid="{00000000-0005-0000-0000-0000592E0000}"/>
    <cellStyle name="백분율 20 3" xfId="1552" xr:uid="{00000000-0005-0000-0000-00005A2E0000}"/>
    <cellStyle name="백분율 20 3 2" xfId="1553" xr:uid="{00000000-0005-0000-0000-00005B2E0000}"/>
    <cellStyle name="백분율 20 3 2 2" xfId="1554" xr:uid="{00000000-0005-0000-0000-00005C2E0000}"/>
    <cellStyle name="백분율 20 3 2 2 2" xfId="1555" xr:uid="{00000000-0005-0000-0000-00005D2E0000}"/>
    <cellStyle name="백분율 20 3 2 2 3" xfId="1556" xr:uid="{00000000-0005-0000-0000-00005E2E0000}"/>
    <cellStyle name="백분율 20 3 2 3" xfId="1557" xr:uid="{00000000-0005-0000-0000-00005F2E0000}"/>
    <cellStyle name="백분율 20 3 2 4" xfId="1558" xr:uid="{00000000-0005-0000-0000-0000602E0000}"/>
    <cellStyle name="백분율 20 3 3" xfId="1559" xr:uid="{00000000-0005-0000-0000-0000612E0000}"/>
    <cellStyle name="백분율 20 3 3 2" xfId="1560" xr:uid="{00000000-0005-0000-0000-0000622E0000}"/>
    <cellStyle name="백분율 20 3 3 2 2" xfId="1561" xr:uid="{00000000-0005-0000-0000-0000632E0000}"/>
    <cellStyle name="백분율 20 3 3 2 3" xfId="1562" xr:uid="{00000000-0005-0000-0000-0000642E0000}"/>
    <cellStyle name="백분율 20 3 3 3" xfId="1563" xr:uid="{00000000-0005-0000-0000-0000652E0000}"/>
    <cellStyle name="백분율 20 3 3 4" xfId="1564" xr:uid="{00000000-0005-0000-0000-0000662E0000}"/>
    <cellStyle name="백분율 20 3 4" xfId="1565" xr:uid="{00000000-0005-0000-0000-0000672E0000}"/>
    <cellStyle name="백분율 20 3 4 2" xfId="1566" xr:uid="{00000000-0005-0000-0000-0000682E0000}"/>
    <cellStyle name="백분율 20 3 4 3" xfId="1567" xr:uid="{00000000-0005-0000-0000-0000692E0000}"/>
    <cellStyle name="백분율 20 3 5" xfId="1568" xr:uid="{00000000-0005-0000-0000-00006A2E0000}"/>
    <cellStyle name="백분율 20 3 5 2" xfId="1569" xr:uid="{00000000-0005-0000-0000-00006B2E0000}"/>
    <cellStyle name="백분율 20 3 5 3" xfId="1570" xr:uid="{00000000-0005-0000-0000-00006C2E0000}"/>
    <cellStyle name="백분율 20 3 6" xfId="1571" xr:uid="{00000000-0005-0000-0000-00006D2E0000}"/>
    <cellStyle name="백분율 20 3 7" xfId="1572" xr:uid="{00000000-0005-0000-0000-00006E2E0000}"/>
    <cellStyle name="백분율 20 4" xfId="1573" xr:uid="{00000000-0005-0000-0000-00006F2E0000}"/>
    <cellStyle name="백분율 20 4 2" xfId="1574" xr:uid="{00000000-0005-0000-0000-0000702E0000}"/>
    <cellStyle name="백분율 20 4 2 2" xfId="1575" xr:uid="{00000000-0005-0000-0000-0000712E0000}"/>
    <cellStyle name="백분율 20 4 2 2 2" xfId="1576" xr:uid="{00000000-0005-0000-0000-0000722E0000}"/>
    <cellStyle name="백분율 20 4 2 2 3" xfId="1577" xr:uid="{00000000-0005-0000-0000-0000732E0000}"/>
    <cellStyle name="백분율 20 4 2 3" xfId="1578" xr:uid="{00000000-0005-0000-0000-0000742E0000}"/>
    <cellStyle name="백분율 20 4 2 4" xfId="1579" xr:uid="{00000000-0005-0000-0000-0000752E0000}"/>
    <cellStyle name="백분율 20 4 3" xfId="1580" xr:uid="{00000000-0005-0000-0000-0000762E0000}"/>
    <cellStyle name="백분율 20 4 3 2" xfId="1581" xr:uid="{00000000-0005-0000-0000-0000772E0000}"/>
    <cellStyle name="백분율 20 4 3 2 2" xfId="1582" xr:uid="{00000000-0005-0000-0000-0000782E0000}"/>
    <cellStyle name="백분율 20 4 3 2 3" xfId="1583" xr:uid="{00000000-0005-0000-0000-0000792E0000}"/>
    <cellStyle name="백분율 20 4 3 3" xfId="1584" xr:uid="{00000000-0005-0000-0000-00007A2E0000}"/>
    <cellStyle name="백분율 20 4 3 4" xfId="1585" xr:uid="{00000000-0005-0000-0000-00007B2E0000}"/>
    <cellStyle name="백분율 20 4 4" xfId="1586" xr:uid="{00000000-0005-0000-0000-00007C2E0000}"/>
    <cellStyle name="백분율 20 4 4 2" xfId="1587" xr:uid="{00000000-0005-0000-0000-00007D2E0000}"/>
    <cellStyle name="백분율 20 4 4 3" xfId="1588" xr:uid="{00000000-0005-0000-0000-00007E2E0000}"/>
    <cellStyle name="백분율 20 4 5" xfId="1589" xr:uid="{00000000-0005-0000-0000-00007F2E0000}"/>
    <cellStyle name="백분율 20 4 5 2" xfId="1590" xr:uid="{00000000-0005-0000-0000-0000802E0000}"/>
    <cellStyle name="백분율 20 4 5 3" xfId="1591" xr:uid="{00000000-0005-0000-0000-0000812E0000}"/>
    <cellStyle name="백분율 20 4 6" xfId="1592" xr:uid="{00000000-0005-0000-0000-0000822E0000}"/>
    <cellStyle name="백분율 20 4 7" xfId="1593" xr:uid="{00000000-0005-0000-0000-0000832E0000}"/>
    <cellStyle name="백분율 20 5" xfId="1594" xr:uid="{00000000-0005-0000-0000-0000842E0000}"/>
    <cellStyle name="백분율 20 5 2" xfId="1595" xr:uid="{00000000-0005-0000-0000-0000852E0000}"/>
    <cellStyle name="백분율 20 5 2 2" xfId="1596" xr:uid="{00000000-0005-0000-0000-0000862E0000}"/>
    <cellStyle name="백분율 20 5 2 3" xfId="1597" xr:uid="{00000000-0005-0000-0000-0000872E0000}"/>
    <cellStyle name="백분율 20 5 3" xfId="1598" xr:uid="{00000000-0005-0000-0000-0000882E0000}"/>
    <cellStyle name="백분율 20 5 4" xfId="1599" xr:uid="{00000000-0005-0000-0000-0000892E0000}"/>
    <cellStyle name="백분율 20 6" xfId="1600" xr:uid="{00000000-0005-0000-0000-00008A2E0000}"/>
    <cellStyle name="백분율 20 6 2" xfId="1601" xr:uid="{00000000-0005-0000-0000-00008B2E0000}"/>
    <cellStyle name="백분율 20 6 2 2" xfId="1602" xr:uid="{00000000-0005-0000-0000-00008C2E0000}"/>
    <cellStyle name="백분율 20 6 2 3" xfId="1603" xr:uid="{00000000-0005-0000-0000-00008D2E0000}"/>
    <cellStyle name="백분율 20 6 3" xfId="1604" xr:uid="{00000000-0005-0000-0000-00008E2E0000}"/>
    <cellStyle name="백분율 20 6 4" xfId="1605" xr:uid="{00000000-0005-0000-0000-00008F2E0000}"/>
    <cellStyle name="백분율 20 7" xfId="1606" xr:uid="{00000000-0005-0000-0000-0000902E0000}"/>
    <cellStyle name="백분율 20 7 2" xfId="1607" xr:uid="{00000000-0005-0000-0000-0000912E0000}"/>
    <cellStyle name="백분율 20 7 3" xfId="1608" xr:uid="{00000000-0005-0000-0000-0000922E0000}"/>
    <cellStyle name="백분율 20 8" xfId="1609" xr:uid="{00000000-0005-0000-0000-0000932E0000}"/>
    <cellStyle name="백분율 20 8 2" xfId="1610" xr:uid="{00000000-0005-0000-0000-0000942E0000}"/>
    <cellStyle name="백분율 20 8 3" xfId="1611" xr:uid="{00000000-0005-0000-0000-0000952E0000}"/>
    <cellStyle name="백분율 20 9" xfId="1612" xr:uid="{00000000-0005-0000-0000-0000962E0000}"/>
    <cellStyle name="백분율 20 9 2" xfId="1613" xr:uid="{00000000-0005-0000-0000-0000972E0000}"/>
    <cellStyle name="백분율 20 9 3" xfId="1614" xr:uid="{00000000-0005-0000-0000-0000982E0000}"/>
    <cellStyle name="백분율 21" xfId="54" xr:uid="{00000000-0005-0000-0000-0000992E0000}"/>
    <cellStyle name="백분율 21 10" xfId="1615" xr:uid="{00000000-0005-0000-0000-00009A2E0000}"/>
    <cellStyle name="백분율 21 10 2" xfId="1616" xr:uid="{00000000-0005-0000-0000-00009B2E0000}"/>
    <cellStyle name="백분율 21 10 3" xfId="1617" xr:uid="{00000000-0005-0000-0000-00009C2E0000}"/>
    <cellStyle name="백분율 21 11" xfId="1618" xr:uid="{00000000-0005-0000-0000-00009D2E0000}"/>
    <cellStyle name="백분율 21 11 2" xfId="1619" xr:uid="{00000000-0005-0000-0000-00009E2E0000}"/>
    <cellStyle name="백분율 21 12" xfId="1620" xr:uid="{00000000-0005-0000-0000-00009F2E0000}"/>
    <cellStyle name="백분율 21 12 2" xfId="1621" xr:uid="{00000000-0005-0000-0000-0000A02E0000}"/>
    <cellStyle name="백분율 21 13" xfId="1622" xr:uid="{00000000-0005-0000-0000-0000A12E0000}"/>
    <cellStyle name="백분율 21 13 2" xfId="1623" xr:uid="{00000000-0005-0000-0000-0000A22E0000}"/>
    <cellStyle name="백분율 21 14" xfId="1624" xr:uid="{00000000-0005-0000-0000-0000A32E0000}"/>
    <cellStyle name="백분율 21 14 2" xfId="1625" xr:uid="{00000000-0005-0000-0000-0000A42E0000}"/>
    <cellStyle name="백분율 21 15" xfId="1626" xr:uid="{00000000-0005-0000-0000-0000A52E0000}"/>
    <cellStyle name="백분율 21 16" xfId="1627" xr:uid="{00000000-0005-0000-0000-0000A62E0000}"/>
    <cellStyle name="백분율 21 2" xfId="1628" xr:uid="{00000000-0005-0000-0000-0000A72E0000}"/>
    <cellStyle name="백분율 21 2 2" xfId="1629" xr:uid="{00000000-0005-0000-0000-0000A82E0000}"/>
    <cellStyle name="백분율 21 2 2 2" xfId="1630" xr:uid="{00000000-0005-0000-0000-0000A92E0000}"/>
    <cellStyle name="백분율 21 2 2 2 2" xfId="1631" xr:uid="{00000000-0005-0000-0000-0000AA2E0000}"/>
    <cellStyle name="백분율 21 2 2 2 2 2" xfId="1632" xr:uid="{00000000-0005-0000-0000-0000AB2E0000}"/>
    <cellStyle name="백분율 21 2 2 2 2 3" xfId="1633" xr:uid="{00000000-0005-0000-0000-0000AC2E0000}"/>
    <cellStyle name="백분율 21 2 2 2 3" xfId="1634" xr:uid="{00000000-0005-0000-0000-0000AD2E0000}"/>
    <cellStyle name="백분율 21 2 2 2 4" xfId="1635" xr:uid="{00000000-0005-0000-0000-0000AE2E0000}"/>
    <cellStyle name="백분율 21 2 2 3" xfId="1636" xr:uid="{00000000-0005-0000-0000-0000AF2E0000}"/>
    <cellStyle name="백분율 21 2 2 3 2" xfId="1637" xr:uid="{00000000-0005-0000-0000-0000B02E0000}"/>
    <cellStyle name="백분율 21 2 2 3 2 2" xfId="1638" xr:uid="{00000000-0005-0000-0000-0000B12E0000}"/>
    <cellStyle name="백분율 21 2 2 3 2 3" xfId="1639" xr:uid="{00000000-0005-0000-0000-0000B22E0000}"/>
    <cellStyle name="백분율 21 2 2 3 3" xfId="1640" xr:uid="{00000000-0005-0000-0000-0000B32E0000}"/>
    <cellStyle name="백분율 21 2 2 3 4" xfId="1641" xr:uid="{00000000-0005-0000-0000-0000B42E0000}"/>
    <cellStyle name="백분율 21 2 2 4" xfId="1642" xr:uid="{00000000-0005-0000-0000-0000B52E0000}"/>
    <cellStyle name="백분율 21 2 2 4 2" xfId="1643" xr:uid="{00000000-0005-0000-0000-0000B62E0000}"/>
    <cellStyle name="백분율 21 2 2 4 3" xfId="1644" xr:uid="{00000000-0005-0000-0000-0000B72E0000}"/>
    <cellStyle name="백분율 21 2 2 5" xfId="1645" xr:uid="{00000000-0005-0000-0000-0000B82E0000}"/>
    <cellStyle name="백분율 21 2 2 5 2" xfId="1646" xr:uid="{00000000-0005-0000-0000-0000B92E0000}"/>
    <cellStyle name="백분율 21 2 2 5 3" xfId="1647" xr:uid="{00000000-0005-0000-0000-0000BA2E0000}"/>
    <cellStyle name="백분율 21 2 2 6" xfId="1648" xr:uid="{00000000-0005-0000-0000-0000BB2E0000}"/>
    <cellStyle name="백분율 21 2 2 7" xfId="1649" xr:uid="{00000000-0005-0000-0000-0000BC2E0000}"/>
    <cellStyle name="백분율 21 2 3" xfId="1650" xr:uid="{00000000-0005-0000-0000-0000BD2E0000}"/>
    <cellStyle name="백분율 21 2 3 2" xfId="1651" xr:uid="{00000000-0005-0000-0000-0000BE2E0000}"/>
    <cellStyle name="백분율 21 2 3 2 2" xfId="1652" xr:uid="{00000000-0005-0000-0000-0000BF2E0000}"/>
    <cellStyle name="백분율 21 2 3 2 3" xfId="1653" xr:uid="{00000000-0005-0000-0000-0000C02E0000}"/>
    <cellStyle name="백분율 21 2 3 3" xfId="1654" xr:uid="{00000000-0005-0000-0000-0000C12E0000}"/>
    <cellStyle name="백분율 21 2 3 4" xfId="1655" xr:uid="{00000000-0005-0000-0000-0000C22E0000}"/>
    <cellStyle name="백분율 21 2 4" xfId="1656" xr:uid="{00000000-0005-0000-0000-0000C32E0000}"/>
    <cellStyle name="백분율 21 2 4 2" xfId="1657" xr:uid="{00000000-0005-0000-0000-0000C42E0000}"/>
    <cellStyle name="백분율 21 2 4 2 2" xfId="1658" xr:uid="{00000000-0005-0000-0000-0000C52E0000}"/>
    <cellStyle name="백분율 21 2 4 2 3" xfId="1659" xr:uid="{00000000-0005-0000-0000-0000C62E0000}"/>
    <cellStyle name="백분율 21 2 4 3" xfId="1660" xr:uid="{00000000-0005-0000-0000-0000C72E0000}"/>
    <cellStyle name="백분율 21 2 4 4" xfId="1661" xr:uid="{00000000-0005-0000-0000-0000C82E0000}"/>
    <cellStyle name="백분율 21 2 5" xfId="1662" xr:uid="{00000000-0005-0000-0000-0000C92E0000}"/>
    <cellStyle name="백분율 21 2 5 2" xfId="1663" xr:uid="{00000000-0005-0000-0000-0000CA2E0000}"/>
    <cellStyle name="백분율 21 2 5 3" xfId="1664" xr:uid="{00000000-0005-0000-0000-0000CB2E0000}"/>
    <cellStyle name="백분율 21 2 6" xfId="1665" xr:uid="{00000000-0005-0000-0000-0000CC2E0000}"/>
    <cellStyle name="백분율 21 2 6 2" xfId="1666" xr:uid="{00000000-0005-0000-0000-0000CD2E0000}"/>
    <cellStyle name="백분율 21 2 6 3" xfId="1667" xr:uid="{00000000-0005-0000-0000-0000CE2E0000}"/>
    <cellStyle name="백분율 21 2 7" xfId="1668" xr:uid="{00000000-0005-0000-0000-0000CF2E0000}"/>
    <cellStyle name="백분율 21 2 8" xfId="1669" xr:uid="{00000000-0005-0000-0000-0000D02E0000}"/>
    <cellStyle name="백분율 21 3" xfId="1670" xr:uid="{00000000-0005-0000-0000-0000D12E0000}"/>
    <cellStyle name="백분율 21 3 2" xfId="1671" xr:uid="{00000000-0005-0000-0000-0000D22E0000}"/>
    <cellStyle name="백분율 21 3 2 2" xfId="1672" xr:uid="{00000000-0005-0000-0000-0000D32E0000}"/>
    <cellStyle name="백분율 21 3 2 2 2" xfId="1673" xr:uid="{00000000-0005-0000-0000-0000D42E0000}"/>
    <cellStyle name="백분율 21 3 2 2 3" xfId="1674" xr:uid="{00000000-0005-0000-0000-0000D52E0000}"/>
    <cellStyle name="백분율 21 3 2 3" xfId="1675" xr:uid="{00000000-0005-0000-0000-0000D62E0000}"/>
    <cellStyle name="백분율 21 3 2 4" xfId="1676" xr:uid="{00000000-0005-0000-0000-0000D72E0000}"/>
    <cellStyle name="백분율 21 3 3" xfId="1677" xr:uid="{00000000-0005-0000-0000-0000D82E0000}"/>
    <cellStyle name="백분율 21 3 3 2" xfId="1678" xr:uid="{00000000-0005-0000-0000-0000D92E0000}"/>
    <cellStyle name="백분율 21 3 3 2 2" xfId="1679" xr:uid="{00000000-0005-0000-0000-0000DA2E0000}"/>
    <cellStyle name="백분율 21 3 3 2 3" xfId="1680" xr:uid="{00000000-0005-0000-0000-0000DB2E0000}"/>
    <cellStyle name="백분율 21 3 3 3" xfId="1681" xr:uid="{00000000-0005-0000-0000-0000DC2E0000}"/>
    <cellStyle name="백분율 21 3 3 4" xfId="1682" xr:uid="{00000000-0005-0000-0000-0000DD2E0000}"/>
    <cellStyle name="백분율 21 3 4" xfId="1683" xr:uid="{00000000-0005-0000-0000-0000DE2E0000}"/>
    <cellStyle name="백분율 21 3 4 2" xfId="1684" xr:uid="{00000000-0005-0000-0000-0000DF2E0000}"/>
    <cellStyle name="백분율 21 3 4 3" xfId="1685" xr:uid="{00000000-0005-0000-0000-0000E02E0000}"/>
    <cellStyle name="백분율 21 3 5" xfId="1686" xr:uid="{00000000-0005-0000-0000-0000E12E0000}"/>
    <cellStyle name="백분율 21 3 5 2" xfId="1687" xr:uid="{00000000-0005-0000-0000-0000E22E0000}"/>
    <cellStyle name="백분율 21 3 5 3" xfId="1688" xr:uid="{00000000-0005-0000-0000-0000E32E0000}"/>
    <cellStyle name="백분율 21 3 6" xfId="1689" xr:uid="{00000000-0005-0000-0000-0000E42E0000}"/>
    <cellStyle name="백분율 21 3 7" xfId="1690" xr:uid="{00000000-0005-0000-0000-0000E52E0000}"/>
    <cellStyle name="백분율 21 4" xfId="1691" xr:uid="{00000000-0005-0000-0000-0000E62E0000}"/>
    <cellStyle name="백분율 21 4 2" xfId="1692" xr:uid="{00000000-0005-0000-0000-0000E72E0000}"/>
    <cellStyle name="백분율 21 4 2 2" xfId="1693" xr:uid="{00000000-0005-0000-0000-0000E82E0000}"/>
    <cellStyle name="백분율 21 4 2 2 2" xfId="1694" xr:uid="{00000000-0005-0000-0000-0000E92E0000}"/>
    <cellStyle name="백분율 21 4 2 2 3" xfId="1695" xr:uid="{00000000-0005-0000-0000-0000EA2E0000}"/>
    <cellStyle name="백분율 21 4 2 3" xfId="1696" xr:uid="{00000000-0005-0000-0000-0000EB2E0000}"/>
    <cellStyle name="백분율 21 4 2 4" xfId="1697" xr:uid="{00000000-0005-0000-0000-0000EC2E0000}"/>
    <cellStyle name="백분율 21 4 3" xfId="1698" xr:uid="{00000000-0005-0000-0000-0000ED2E0000}"/>
    <cellStyle name="백분율 21 4 3 2" xfId="1699" xr:uid="{00000000-0005-0000-0000-0000EE2E0000}"/>
    <cellStyle name="백분율 21 4 3 2 2" xfId="1700" xr:uid="{00000000-0005-0000-0000-0000EF2E0000}"/>
    <cellStyle name="백분율 21 4 3 2 3" xfId="1701" xr:uid="{00000000-0005-0000-0000-0000F02E0000}"/>
    <cellStyle name="백분율 21 4 3 3" xfId="1702" xr:uid="{00000000-0005-0000-0000-0000F12E0000}"/>
    <cellStyle name="백분율 21 4 3 4" xfId="1703" xr:uid="{00000000-0005-0000-0000-0000F22E0000}"/>
    <cellStyle name="백분율 21 4 4" xfId="1704" xr:uid="{00000000-0005-0000-0000-0000F32E0000}"/>
    <cellStyle name="백분율 21 4 4 2" xfId="1705" xr:uid="{00000000-0005-0000-0000-0000F42E0000}"/>
    <cellStyle name="백분율 21 4 4 3" xfId="1706" xr:uid="{00000000-0005-0000-0000-0000F52E0000}"/>
    <cellStyle name="백분율 21 4 5" xfId="1707" xr:uid="{00000000-0005-0000-0000-0000F62E0000}"/>
    <cellStyle name="백분율 21 4 5 2" xfId="1708" xr:uid="{00000000-0005-0000-0000-0000F72E0000}"/>
    <cellStyle name="백분율 21 4 5 3" xfId="1709" xr:uid="{00000000-0005-0000-0000-0000F82E0000}"/>
    <cellStyle name="백분율 21 4 6" xfId="1710" xr:uid="{00000000-0005-0000-0000-0000F92E0000}"/>
    <cellStyle name="백분율 21 4 7" xfId="1711" xr:uid="{00000000-0005-0000-0000-0000FA2E0000}"/>
    <cellStyle name="백분율 21 5" xfId="1712" xr:uid="{00000000-0005-0000-0000-0000FB2E0000}"/>
    <cellStyle name="백분율 21 5 2" xfId="1713" xr:uid="{00000000-0005-0000-0000-0000FC2E0000}"/>
    <cellStyle name="백분율 21 5 2 2" xfId="1714" xr:uid="{00000000-0005-0000-0000-0000FD2E0000}"/>
    <cellStyle name="백분율 21 5 2 3" xfId="1715" xr:uid="{00000000-0005-0000-0000-0000FE2E0000}"/>
    <cellStyle name="백분율 21 5 3" xfId="1716" xr:uid="{00000000-0005-0000-0000-0000FF2E0000}"/>
    <cellStyle name="백분율 21 5 4" xfId="1717" xr:uid="{00000000-0005-0000-0000-0000002F0000}"/>
    <cellStyle name="백분율 21 6" xfId="1718" xr:uid="{00000000-0005-0000-0000-0000012F0000}"/>
    <cellStyle name="백분율 21 6 2" xfId="1719" xr:uid="{00000000-0005-0000-0000-0000022F0000}"/>
    <cellStyle name="백분율 21 6 2 2" xfId="1720" xr:uid="{00000000-0005-0000-0000-0000032F0000}"/>
    <cellStyle name="백분율 21 6 2 3" xfId="1721" xr:uid="{00000000-0005-0000-0000-0000042F0000}"/>
    <cellStyle name="백분율 21 6 3" xfId="1722" xr:uid="{00000000-0005-0000-0000-0000052F0000}"/>
    <cellStyle name="백분율 21 6 4" xfId="1723" xr:uid="{00000000-0005-0000-0000-0000062F0000}"/>
    <cellStyle name="백분율 21 7" xfId="1724" xr:uid="{00000000-0005-0000-0000-0000072F0000}"/>
    <cellStyle name="백분율 21 7 2" xfId="1725" xr:uid="{00000000-0005-0000-0000-0000082F0000}"/>
    <cellStyle name="백분율 21 7 3" xfId="1726" xr:uid="{00000000-0005-0000-0000-0000092F0000}"/>
    <cellStyle name="백분율 21 8" xfId="1727" xr:uid="{00000000-0005-0000-0000-00000A2F0000}"/>
    <cellStyle name="백분율 21 8 2" xfId="1728" xr:uid="{00000000-0005-0000-0000-00000B2F0000}"/>
    <cellStyle name="백분율 21 8 3" xfId="1729" xr:uid="{00000000-0005-0000-0000-00000C2F0000}"/>
    <cellStyle name="백분율 21 9" xfId="1730" xr:uid="{00000000-0005-0000-0000-00000D2F0000}"/>
    <cellStyle name="백분율 21 9 2" xfId="1731" xr:uid="{00000000-0005-0000-0000-00000E2F0000}"/>
    <cellStyle name="백분율 21 9 3" xfId="1732" xr:uid="{00000000-0005-0000-0000-00000F2F0000}"/>
    <cellStyle name="백분율 22" xfId="55" xr:uid="{00000000-0005-0000-0000-0000102F0000}"/>
    <cellStyle name="백분율 22 10" xfId="1733" xr:uid="{00000000-0005-0000-0000-0000112F0000}"/>
    <cellStyle name="백분율 22 10 2" xfId="1734" xr:uid="{00000000-0005-0000-0000-0000122F0000}"/>
    <cellStyle name="백분율 22 10 3" xfId="1735" xr:uid="{00000000-0005-0000-0000-0000132F0000}"/>
    <cellStyle name="백분율 22 11" xfId="1736" xr:uid="{00000000-0005-0000-0000-0000142F0000}"/>
    <cellStyle name="백분율 22 11 2" xfId="1737" xr:uid="{00000000-0005-0000-0000-0000152F0000}"/>
    <cellStyle name="백분율 22 12" xfId="1738" xr:uid="{00000000-0005-0000-0000-0000162F0000}"/>
    <cellStyle name="백분율 22 12 2" xfId="1739" xr:uid="{00000000-0005-0000-0000-0000172F0000}"/>
    <cellStyle name="백분율 22 13" xfId="1740" xr:uid="{00000000-0005-0000-0000-0000182F0000}"/>
    <cellStyle name="백분율 22 13 2" xfId="1741" xr:uid="{00000000-0005-0000-0000-0000192F0000}"/>
    <cellStyle name="백분율 22 14" xfId="1742" xr:uid="{00000000-0005-0000-0000-00001A2F0000}"/>
    <cellStyle name="백분율 22 14 2" xfId="1743" xr:uid="{00000000-0005-0000-0000-00001B2F0000}"/>
    <cellStyle name="백분율 22 15" xfId="1744" xr:uid="{00000000-0005-0000-0000-00001C2F0000}"/>
    <cellStyle name="백분율 22 16" xfId="1745" xr:uid="{00000000-0005-0000-0000-00001D2F0000}"/>
    <cellStyle name="백분율 22 2" xfId="1746" xr:uid="{00000000-0005-0000-0000-00001E2F0000}"/>
    <cellStyle name="백분율 22 2 2" xfId="1747" xr:uid="{00000000-0005-0000-0000-00001F2F0000}"/>
    <cellStyle name="백분율 22 2 2 2" xfId="1748" xr:uid="{00000000-0005-0000-0000-0000202F0000}"/>
    <cellStyle name="백분율 22 2 2 2 2" xfId="1749" xr:uid="{00000000-0005-0000-0000-0000212F0000}"/>
    <cellStyle name="백분율 22 2 2 2 2 2" xfId="1750" xr:uid="{00000000-0005-0000-0000-0000222F0000}"/>
    <cellStyle name="백분율 22 2 2 2 2 3" xfId="1751" xr:uid="{00000000-0005-0000-0000-0000232F0000}"/>
    <cellStyle name="백분율 22 2 2 2 3" xfId="1752" xr:uid="{00000000-0005-0000-0000-0000242F0000}"/>
    <cellStyle name="백분율 22 2 2 2 4" xfId="1753" xr:uid="{00000000-0005-0000-0000-0000252F0000}"/>
    <cellStyle name="백분율 22 2 2 3" xfId="1754" xr:uid="{00000000-0005-0000-0000-0000262F0000}"/>
    <cellStyle name="백분율 22 2 2 3 2" xfId="1755" xr:uid="{00000000-0005-0000-0000-0000272F0000}"/>
    <cellStyle name="백분율 22 2 2 3 2 2" xfId="1756" xr:uid="{00000000-0005-0000-0000-0000282F0000}"/>
    <cellStyle name="백분율 22 2 2 3 2 3" xfId="1757" xr:uid="{00000000-0005-0000-0000-0000292F0000}"/>
    <cellStyle name="백분율 22 2 2 3 3" xfId="1758" xr:uid="{00000000-0005-0000-0000-00002A2F0000}"/>
    <cellStyle name="백분율 22 2 2 3 4" xfId="1759" xr:uid="{00000000-0005-0000-0000-00002B2F0000}"/>
    <cellStyle name="백분율 22 2 2 4" xfId="1760" xr:uid="{00000000-0005-0000-0000-00002C2F0000}"/>
    <cellStyle name="백분율 22 2 2 4 2" xfId="1761" xr:uid="{00000000-0005-0000-0000-00002D2F0000}"/>
    <cellStyle name="백분율 22 2 2 4 3" xfId="1762" xr:uid="{00000000-0005-0000-0000-00002E2F0000}"/>
    <cellStyle name="백분율 22 2 2 5" xfId="1763" xr:uid="{00000000-0005-0000-0000-00002F2F0000}"/>
    <cellStyle name="백분율 22 2 2 5 2" xfId="1764" xr:uid="{00000000-0005-0000-0000-0000302F0000}"/>
    <cellStyle name="백분율 22 2 2 5 3" xfId="1765" xr:uid="{00000000-0005-0000-0000-0000312F0000}"/>
    <cellStyle name="백분율 22 2 2 6" xfId="1766" xr:uid="{00000000-0005-0000-0000-0000322F0000}"/>
    <cellStyle name="백분율 22 2 2 7" xfId="1767" xr:uid="{00000000-0005-0000-0000-0000332F0000}"/>
    <cellStyle name="백분율 22 2 3" xfId="1768" xr:uid="{00000000-0005-0000-0000-0000342F0000}"/>
    <cellStyle name="백분율 22 2 3 2" xfId="1769" xr:uid="{00000000-0005-0000-0000-0000352F0000}"/>
    <cellStyle name="백분율 22 2 3 2 2" xfId="1770" xr:uid="{00000000-0005-0000-0000-0000362F0000}"/>
    <cellStyle name="백분율 22 2 3 2 3" xfId="1771" xr:uid="{00000000-0005-0000-0000-0000372F0000}"/>
    <cellStyle name="백분율 22 2 3 3" xfId="1772" xr:uid="{00000000-0005-0000-0000-0000382F0000}"/>
    <cellStyle name="백분율 22 2 3 4" xfId="1773" xr:uid="{00000000-0005-0000-0000-0000392F0000}"/>
    <cellStyle name="백분율 22 2 4" xfId="1774" xr:uid="{00000000-0005-0000-0000-00003A2F0000}"/>
    <cellStyle name="백분율 22 2 4 2" xfId="1775" xr:uid="{00000000-0005-0000-0000-00003B2F0000}"/>
    <cellStyle name="백분율 22 2 4 2 2" xfId="1776" xr:uid="{00000000-0005-0000-0000-00003C2F0000}"/>
    <cellStyle name="백분율 22 2 4 2 3" xfId="1777" xr:uid="{00000000-0005-0000-0000-00003D2F0000}"/>
    <cellStyle name="백분율 22 2 4 3" xfId="1778" xr:uid="{00000000-0005-0000-0000-00003E2F0000}"/>
    <cellStyle name="백분율 22 2 4 4" xfId="1779" xr:uid="{00000000-0005-0000-0000-00003F2F0000}"/>
    <cellStyle name="백분율 22 2 5" xfId="1780" xr:uid="{00000000-0005-0000-0000-0000402F0000}"/>
    <cellStyle name="백분율 22 2 5 2" xfId="1781" xr:uid="{00000000-0005-0000-0000-0000412F0000}"/>
    <cellStyle name="백분율 22 2 5 3" xfId="1782" xr:uid="{00000000-0005-0000-0000-0000422F0000}"/>
    <cellStyle name="백분율 22 2 6" xfId="1783" xr:uid="{00000000-0005-0000-0000-0000432F0000}"/>
    <cellStyle name="백분율 22 2 6 2" xfId="1784" xr:uid="{00000000-0005-0000-0000-0000442F0000}"/>
    <cellStyle name="백분율 22 2 6 3" xfId="1785" xr:uid="{00000000-0005-0000-0000-0000452F0000}"/>
    <cellStyle name="백분율 22 2 7" xfId="1786" xr:uid="{00000000-0005-0000-0000-0000462F0000}"/>
    <cellStyle name="백분율 22 2 8" xfId="1787" xr:uid="{00000000-0005-0000-0000-0000472F0000}"/>
    <cellStyle name="백분율 22 3" xfId="1788" xr:uid="{00000000-0005-0000-0000-0000482F0000}"/>
    <cellStyle name="백분율 22 3 2" xfId="1789" xr:uid="{00000000-0005-0000-0000-0000492F0000}"/>
    <cellStyle name="백분율 22 3 2 2" xfId="1790" xr:uid="{00000000-0005-0000-0000-00004A2F0000}"/>
    <cellStyle name="백분율 22 3 2 2 2" xfId="1791" xr:uid="{00000000-0005-0000-0000-00004B2F0000}"/>
    <cellStyle name="백분율 22 3 2 2 3" xfId="1792" xr:uid="{00000000-0005-0000-0000-00004C2F0000}"/>
    <cellStyle name="백분율 22 3 2 3" xfId="1793" xr:uid="{00000000-0005-0000-0000-00004D2F0000}"/>
    <cellStyle name="백분율 22 3 2 4" xfId="1794" xr:uid="{00000000-0005-0000-0000-00004E2F0000}"/>
    <cellStyle name="백분율 22 3 3" xfId="1795" xr:uid="{00000000-0005-0000-0000-00004F2F0000}"/>
    <cellStyle name="백분율 22 3 3 2" xfId="1796" xr:uid="{00000000-0005-0000-0000-0000502F0000}"/>
    <cellStyle name="백분율 22 3 3 2 2" xfId="1797" xr:uid="{00000000-0005-0000-0000-0000512F0000}"/>
    <cellStyle name="백분율 22 3 3 2 3" xfId="1798" xr:uid="{00000000-0005-0000-0000-0000522F0000}"/>
    <cellStyle name="백분율 22 3 3 3" xfId="1799" xr:uid="{00000000-0005-0000-0000-0000532F0000}"/>
    <cellStyle name="백분율 22 3 3 4" xfId="1800" xr:uid="{00000000-0005-0000-0000-0000542F0000}"/>
    <cellStyle name="백분율 22 3 4" xfId="1801" xr:uid="{00000000-0005-0000-0000-0000552F0000}"/>
    <cellStyle name="백분율 22 3 4 2" xfId="1802" xr:uid="{00000000-0005-0000-0000-0000562F0000}"/>
    <cellStyle name="백분율 22 3 4 3" xfId="1803" xr:uid="{00000000-0005-0000-0000-0000572F0000}"/>
    <cellStyle name="백분율 22 3 5" xfId="1804" xr:uid="{00000000-0005-0000-0000-0000582F0000}"/>
    <cellStyle name="백분율 22 3 5 2" xfId="1805" xr:uid="{00000000-0005-0000-0000-0000592F0000}"/>
    <cellStyle name="백분율 22 3 5 3" xfId="1806" xr:uid="{00000000-0005-0000-0000-00005A2F0000}"/>
    <cellStyle name="백분율 22 3 6" xfId="1807" xr:uid="{00000000-0005-0000-0000-00005B2F0000}"/>
    <cellStyle name="백분율 22 3 7" xfId="1808" xr:uid="{00000000-0005-0000-0000-00005C2F0000}"/>
    <cellStyle name="백분율 22 4" xfId="1809" xr:uid="{00000000-0005-0000-0000-00005D2F0000}"/>
    <cellStyle name="백분율 22 4 2" xfId="1810" xr:uid="{00000000-0005-0000-0000-00005E2F0000}"/>
    <cellStyle name="백분율 22 4 2 2" xfId="1811" xr:uid="{00000000-0005-0000-0000-00005F2F0000}"/>
    <cellStyle name="백분율 22 4 2 2 2" xfId="1812" xr:uid="{00000000-0005-0000-0000-0000602F0000}"/>
    <cellStyle name="백분율 22 4 2 2 3" xfId="1813" xr:uid="{00000000-0005-0000-0000-0000612F0000}"/>
    <cellStyle name="백분율 22 4 2 3" xfId="1814" xr:uid="{00000000-0005-0000-0000-0000622F0000}"/>
    <cellStyle name="백분율 22 4 2 4" xfId="1815" xr:uid="{00000000-0005-0000-0000-0000632F0000}"/>
    <cellStyle name="백분율 22 4 3" xfId="1816" xr:uid="{00000000-0005-0000-0000-0000642F0000}"/>
    <cellStyle name="백분율 22 4 3 2" xfId="1817" xr:uid="{00000000-0005-0000-0000-0000652F0000}"/>
    <cellStyle name="백분율 22 4 3 2 2" xfId="1818" xr:uid="{00000000-0005-0000-0000-0000662F0000}"/>
    <cellStyle name="백분율 22 4 3 2 3" xfId="1819" xr:uid="{00000000-0005-0000-0000-0000672F0000}"/>
    <cellStyle name="백분율 22 4 3 3" xfId="1820" xr:uid="{00000000-0005-0000-0000-0000682F0000}"/>
    <cellStyle name="백분율 22 4 3 4" xfId="1821" xr:uid="{00000000-0005-0000-0000-0000692F0000}"/>
    <cellStyle name="백분율 22 4 4" xfId="1822" xr:uid="{00000000-0005-0000-0000-00006A2F0000}"/>
    <cellStyle name="백분율 22 4 4 2" xfId="1823" xr:uid="{00000000-0005-0000-0000-00006B2F0000}"/>
    <cellStyle name="백분율 22 4 4 3" xfId="1824" xr:uid="{00000000-0005-0000-0000-00006C2F0000}"/>
    <cellStyle name="백분율 22 4 5" xfId="1825" xr:uid="{00000000-0005-0000-0000-00006D2F0000}"/>
    <cellStyle name="백분율 22 4 5 2" xfId="1826" xr:uid="{00000000-0005-0000-0000-00006E2F0000}"/>
    <cellStyle name="백분율 22 4 5 3" xfId="1827" xr:uid="{00000000-0005-0000-0000-00006F2F0000}"/>
    <cellStyle name="백분율 22 4 6" xfId="1828" xr:uid="{00000000-0005-0000-0000-0000702F0000}"/>
    <cellStyle name="백분율 22 4 7" xfId="1829" xr:uid="{00000000-0005-0000-0000-0000712F0000}"/>
    <cellStyle name="백분율 22 5" xfId="1830" xr:uid="{00000000-0005-0000-0000-0000722F0000}"/>
    <cellStyle name="백분율 22 5 2" xfId="1831" xr:uid="{00000000-0005-0000-0000-0000732F0000}"/>
    <cellStyle name="백분율 22 5 2 2" xfId="1832" xr:uid="{00000000-0005-0000-0000-0000742F0000}"/>
    <cellStyle name="백분율 22 5 2 3" xfId="1833" xr:uid="{00000000-0005-0000-0000-0000752F0000}"/>
    <cellStyle name="백분율 22 5 3" xfId="1834" xr:uid="{00000000-0005-0000-0000-0000762F0000}"/>
    <cellStyle name="백분율 22 5 4" xfId="1835" xr:uid="{00000000-0005-0000-0000-0000772F0000}"/>
    <cellStyle name="백분율 22 6" xfId="1836" xr:uid="{00000000-0005-0000-0000-0000782F0000}"/>
    <cellStyle name="백분율 22 6 2" xfId="1837" xr:uid="{00000000-0005-0000-0000-0000792F0000}"/>
    <cellStyle name="백분율 22 6 2 2" xfId="1838" xr:uid="{00000000-0005-0000-0000-00007A2F0000}"/>
    <cellStyle name="백분율 22 6 2 3" xfId="1839" xr:uid="{00000000-0005-0000-0000-00007B2F0000}"/>
    <cellStyle name="백분율 22 6 3" xfId="1840" xr:uid="{00000000-0005-0000-0000-00007C2F0000}"/>
    <cellStyle name="백분율 22 6 4" xfId="1841" xr:uid="{00000000-0005-0000-0000-00007D2F0000}"/>
    <cellStyle name="백분율 22 7" xfId="1842" xr:uid="{00000000-0005-0000-0000-00007E2F0000}"/>
    <cellStyle name="백분율 22 7 2" xfId="1843" xr:uid="{00000000-0005-0000-0000-00007F2F0000}"/>
    <cellStyle name="백분율 22 7 3" xfId="1844" xr:uid="{00000000-0005-0000-0000-0000802F0000}"/>
    <cellStyle name="백분율 22 8" xfId="1845" xr:uid="{00000000-0005-0000-0000-0000812F0000}"/>
    <cellStyle name="백분율 22 8 2" xfId="1846" xr:uid="{00000000-0005-0000-0000-0000822F0000}"/>
    <cellStyle name="백분율 22 8 3" xfId="1847" xr:uid="{00000000-0005-0000-0000-0000832F0000}"/>
    <cellStyle name="백분율 22 9" xfId="1848" xr:uid="{00000000-0005-0000-0000-0000842F0000}"/>
    <cellStyle name="백분율 22 9 2" xfId="1849" xr:uid="{00000000-0005-0000-0000-0000852F0000}"/>
    <cellStyle name="백분율 22 9 3" xfId="1850" xr:uid="{00000000-0005-0000-0000-0000862F0000}"/>
    <cellStyle name="백분율 23" xfId="1851" xr:uid="{00000000-0005-0000-0000-0000872F0000}"/>
    <cellStyle name="백분율 23 2" xfId="12016" xr:uid="{00000000-0005-0000-0000-0000882F0000}"/>
    <cellStyle name="백분율 23 3" xfId="12017" xr:uid="{00000000-0005-0000-0000-0000892F0000}"/>
    <cellStyle name="백분율 23 4" xfId="20523" xr:uid="{00000000-0005-0000-0000-00008A2F0000}"/>
    <cellStyle name="백분율 24" xfId="1852" xr:uid="{00000000-0005-0000-0000-00008B2F0000}"/>
    <cellStyle name="백분율 24 2" xfId="12018" xr:uid="{00000000-0005-0000-0000-00008C2F0000}"/>
    <cellStyle name="백분율 25" xfId="1853" xr:uid="{00000000-0005-0000-0000-00008D2F0000}"/>
    <cellStyle name="백분율 25 10" xfId="1854" xr:uid="{00000000-0005-0000-0000-00008E2F0000}"/>
    <cellStyle name="백분율 25 2" xfId="1855" xr:uid="{00000000-0005-0000-0000-00008F2F0000}"/>
    <cellStyle name="백분율 25 3" xfId="1856" xr:uid="{00000000-0005-0000-0000-0000902F0000}"/>
    <cellStyle name="백분율 25 3 2" xfId="1857" xr:uid="{00000000-0005-0000-0000-0000912F0000}"/>
    <cellStyle name="백분율 25 3 2 2" xfId="1858" xr:uid="{00000000-0005-0000-0000-0000922F0000}"/>
    <cellStyle name="백분율 25 3 2 2 2" xfId="1859" xr:uid="{00000000-0005-0000-0000-0000932F0000}"/>
    <cellStyle name="백분율 25 3 2 2 3" xfId="1860" xr:uid="{00000000-0005-0000-0000-0000942F0000}"/>
    <cellStyle name="백분율 25 3 2 3" xfId="1861" xr:uid="{00000000-0005-0000-0000-0000952F0000}"/>
    <cellStyle name="백분율 25 3 2 4" xfId="1862" xr:uid="{00000000-0005-0000-0000-0000962F0000}"/>
    <cellStyle name="백분율 25 3 3" xfId="1863" xr:uid="{00000000-0005-0000-0000-0000972F0000}"/>
    <cellStyle name="백분율 25 3 3 2" xfId="1864" xr:uid="{00000000-0005-0000-0000-0000982F0000}"/>
    <cellStyle name="백분율 25 3 3 2 2" xfId="1865" xr:uid="{00000000-0005-0000-0000-0000992F0000}"/>
    <cellStyle name="백분율 25 3 3 2 3" xfId="1866" xr:uid="{00000000-0005-0000-0000-00009A2F0000}"/>
    <cellStyle name="백분율 25 3 3 3" xfId="1867" xr:uid="{00000000-0005-0000-0000-00009B2F0000}"/>
    <cellStyle name="백분율 25 3 3 4" xfId="1868" xr:uid="{00000000-0005-0000-0000-00009C2F0000}"/>
    <cellStyle name="백분율 25 3 4" xfId="1869" xr:uid="{00000000-0005-0000-0000-00009D2F0000}"/>
    <cellStyle name="백분율 25 3 4 2" xfId="1870" xr:uid="{00000000-0005-0000-0000-00009E2F0000}"/>
    <cellStyle name="백분율 25 3 4 3" xfId="1871" xr:uid="{00000000-0005-0000-0000-00009F2F0000}"/>
    <cellStyle name="백분율 25 3 5" xfId="1872" xr:uid="{00000000-0005-0000-0000-0000A02F0000}"/>
    <cellStyle name="백분율 25 3 5 2" xfId="1873" xr:uid="{00000000-0005-0000-0000-0000A12F0000}"/>
    <cellStyle name="백분율 25 3 5 3" xfId="1874" xr:uid="{00000000-0005-0000-0000-0000A22F0000}"/>
    <cellStyle name="백분율 25 3 6" xfId="1875" xr:uid="{00000000-0005-0000-0000-0000A32F0000}"/>
    <cellStyle name="백분율 25 3 7" xfId="1876" xr:uid="{00000000-0005-0000-0000-0000A42F0000}"/>
    <cellStyle name="백분율 25 4" xfId="1877" xr:uid="{00000000-0005-0000-0000-0000A52F0000}"/>
    <cellStyle name="백분율 25 4 2" xfId="1878" xr:uid="{00000000-0005-0000-0000-0000A62F0000}"/>
    <cellStyle name="백분율 25 4 2 2" xfId="1879" xr:uid="{00000000-0005-0000-0000-0000A72F0000}"/>
    <cellStyle name="백분율 25 4 2 2 2" xfId="1880" xr:uid="{00000000-0005-0000-0000-0000A82F0000}"/>
    <cellStyle name="백분율 25 4 2 2 3" xfId="1881" xr:uid="{00000000-0005-0000-0000-0000A92F0000}"/>
    <cellStyle name="백분율 25 4 2 3" xfId="1882" xr:uid="{00000000-0005-0000-0000-0000AA2F0000}"/>
    <cellStyle name="백분율 25 4 2 4" xfId="1883" xr:uid="{00000000-0005-0000-0000-0000AB2F0000}"/>
    <cellStyle name="백분율 25 4 3" xfId="1884" xr:uid="{00000000-0005-0000-0000-0000AC2F0000}"/>
    <cellStyle name="백분율 25 4 3 2" xfId="1885" xr:uid="{00000000-0005-0000-0000-0000AD2F0000}"/>
    <cellStyle name="백분율 25 4 3 2 2" xfId="1886" xr:uid="{00000000-0005-0000-0000-0000AE2F0000}"/>
    <cellStyle name="백분율 25 4 3 2 3" xfId="1887" xr:uid="{00000000-0005-0000-0000-0000AF2F0000}"/>
    <cellStyle name="백분율 25 4 3 3" xfId="1888" xr:uid="{00000000-0005-0000-0000-0000B02F0000}"/>
    <cellStyle name="백분율 25 4 3 4" xfId="1889" xr:uid="{00000000-0005-0000-0000-0000B12F0000}"/>
    <cellStyle name="백분율 25 4 4" xfId="1890" xr:uid="{00000000-0005-0000-0000-0000B22F0000}"/>
    <cellStyle name="백분율 25 4 4 2" xfId="1891" xr:uid="{00000000-0005-0000-0000-0000B32F0000}"/>
    <cellStyle name="백분율 25 4 4 3" xfId="1892" xr:uid="{00000000-0005-0000-0000-0000B42F0000}"/>
    <cellStyle name="백분율 25 4 5" xfId="1893" xr:uid="{00000000-0005-0000-0000-0000B52F0000}"/>
    <cellStyle name="백분율 25 4 5 2" xfId="1894" xr:uid="{00000000-0005-0000-0000-0000B62F0000}"/>
    <cellStyle name="백분율 25 4 5 3" xfId="1895" xr:uid="{00000000-0005-0000-0000-0000B72F0000}"/>
    <cellStyle name="백분율 25 4 6" xfId="1896" xr:uid="{00000000-0005-0000-0000-0000B82F0000}"/>
    <cellStyle name="백분율 25 4 7" xfId="1897" xr:uid="{00000000-0005-0000-0000-0000B92F0000}"/>
    <cellStyle name="백분율 25 5" xfId="1898" xr:uid="{00000000-0005-0000-0000-0000BA2F0000}"/>
    <cellStyle name="백분율 25 5 2" xfId="1899" xr:uid="{00000000-0005-0000-0000-0000BB2F0000}"/>
    <cellStyle name="백분율 25 5 2 2" xfId="1900" xr:uid="{00000000-0005-0000-0000-0000BC2F0000}"/>
    <cellStyle name="백분율 25 5 2 3" xfId="1901" xr:uid="{00000000-0005-0000-0000-0000BD2F0000}"/>
    <cellStyle name="백분율 25 5 3" xfId="1902" xr:uid="{00000000-0005-0000-0000-0000BE2F0000}"/>
    <cellStyle name="백분율 25 5 4" xfId="1903" xr:uid="{00000000-0005-0000-0000-0000BF2F0000}"/>
    <cellStyle name="백분율 25 6" xfId="1904" xr:uid="{00000000-0005-0000-0000-0000C02F0000}"/>
    <cellStyle name="백분율 25 6 2" xfId="1905" xr:uid="{00000000-0005-0000-0000-0000C12F0000}"/>
    <cellStyle name="백분율 25 6 2 2" xfId="1906" xr:uid="{00000000-0005-0000-0000-0000C22F0000}"/>
    <cellStyle name="백분율 25 6 2 3" xfId="1907" xr:uid="{00000000-0005-0000-0000-0000C32F0000}"/>
    <cellStyle name="백분율 25 6 3" xfId="1908" xr:uid="{00000000-0005-0000-0000-0000C42F0000}"/>
    <cellStyle name="백분율 25 6 4" xfId="1909" xr:uid="{00000000-0005-0000-0000-0000C52F0000}"/>
    <cellStyle name="백분율 25 7" xfId="1910" xr:uid="{00000000-0005-0000-0000-0000C62F0000}"/>
    <cellStyle name="백분율 25 7 2" xfId="1911" xr:uid="{00000000-0005-0000-0000-0000C72F0000}"/>
    <cellStyle name="백분율 25 7 3" xfId="1912" xr:uid="{00000000-0005-0000-0000-0000C82F0000}"/>
    <cellStyle name="백분율 25 8" xfId="1913" xr:uid="{00000000-0005-0000-0000-0000C92F0000}"/>
    <cellStyle name="백분율 25 9" xfId="1914" xr:uid="{00000000-0005-0000-0000-0000CA2F0000}"/>
    <cellStyle name="백분율 26" xfId="1915" xr:uid="{00000000-0005-0000-0000-0000CB2F0000}"/>
    <cellStyle name="백분율 26 2" xfId="1916" xr:uid="{00000000-0005-0000-0000-0000CC2F0000}"/>
    <cellStyle name="백분율 26 2 2" xfId="1917" xr:uid="{00000000-0005-0000-0000-0000CD2F0000}"/>
    <cellStyle name="백분율 26 2 2 2" xfId="1918" xr:uid="{00000000-0005-0000-0000-0000CE2F0000}"/>
    <cellStyle name="백분율 26 2 2 2 2" xfId="1919" xr:uid="{00000000-0005-0000-0000-0000CF2F0000}"/>
    <cellStyle name="백분율 26 2 2 2 3" xfId="1920" xr:uid="{00000000-0005-0000-0000-0000D02F0000}"/>
    <cellStyle name="백분율 26 2 2 3" xfId="1921" xr:uid="{00000000-0005-0000-0000-0000D12F0000}"/>
    <cellStyle name="백분율 26 2 2 4" xfId="1922" xr:uid="{00000000-0005-0000-0000-0000D22F0000}"/>
    <cellStyle name="백분율 26 2 3" xfId="1923" xr:uid="{00000000-0005-0000-0000-0000D32F0000}"/>
    <cellStyle name="백분율 26 2 3 2" xfId="1924" xr:uid="{00000000-0005-0000-0000-0000D42F0000}"/>
    <cellStyle name="백분율 26 2 3 2 2" xfId="1925" xr:uid="{00000000-0005-0000-0000-0000D52F0000}"/>
    <cellStyle name="백분율 26 2 3 2 3" xfId="1926" xr:uid="{00000000-0005-0000-0000-0000D62F0000}"/>
    <cellStyle name="백분율 26 2 3 3" xfId="1927" xr:uid="{00000000-0005-0000-0000-0000D72F0000}"/>
    <cellStyle name="백분율 26 2 3 4" xfId="1928" xr:uid="{00000000-0005-0000-0000-0000D82F0000}"/>
    <cellStyle name="백분율 26 2 4" xfId="1929" xr:uid="{00000000-0005-0000-0000-0000D92F0000}"/>
    <cellStyle name="백분율 26 2 4 2" xfId="1930" xr:uid="{00000000-0005-0000-0000-0000DA2F0000}"/>
    <cellStyle name="백분율 26 2 4 3" xfId="1931" xr:uid="{00000000-0005-0000-0000-0000DB2F0000}"/>
    <cellStyle name="백분율 26 2 5" xfId="1932" xr:uid="{00000000-0005-0000-0000-0000DC2F0000}"/>
    <cellStyle name="백분율 26 2 5 2" xfId="1933" xr:uid="{00000000-0005-0000-0000-0000DD2F0000}"/>
    <cellStyle name="백분율 26 2 5 3" xfId="1934" xr:uid="{00000000-0005-0000-0000-0000DE2F0000}"/>
    <cellStyle name="백분율 26 2 6" xfId="1935" xr:uid="{00000000-0005-0000-0000-0000DF2F0000}"/>
    <cellStyle name="백분율 26 2 7" xfId="1936" xr:uid="{00000000-0005-0000-0000-0000E02F0000}"/>
    <cellStyle name="백분율 26 3" xfId="1937" xr:uid="{00000000-0005-0000-0000-0000E12F0000}"/>
    <cellStyle name="백분율 26 3 2" xfId="1938" xr:uid="{00000000-0005-0000-0000-0000E22F0000}"/>
    <cellStyle name="백분율 26 3 2 2" xfId="1939" xr:uid="{00000000-0005-0000-0000-0000E32F0000}"/>
    <cellStyle name="백분율 26 3 2 2 2" xfId="1940" xr:uid="{00000000-0005-0000-0000-0000E42F0000}"/>
    <cellStyle name="백분율 26 3 2 2 3" xfId="1941" xr:uid="{00000000-0005-0000-0000-0000E52F0000}"/>
    <cellStyle name="백분율 26 3 2 3" xfId="1942" xr:uid="{00000000-0005-0000-0000-0000E62F0000}"/>
    <cellStyle name="백분율 26 3 2 4" xfId="1943" xr:uid="{00000000-0005-0000-0000-0000E72F0000}"/>
    <cellStyle name="백분율 26 3 3" xfId="1944" xr:uid="{00000000-0005-0000-0000-0000E82F0000}"/>
    <cellStyle name="백분율 26 3 3 2" xfId="1945" xr:uid="{00000000-0005-0000-0000-0000E92F0000}"/>
    <cellStyle name="백분율 26 3 3 2 2" xfId="1946" xr:uid="{00000000-0005-0000-0000-0000EA2F0000}"/>
    <cellStyle name="백분율 26 3 3 2 3" xfId="1947" xr:uid="{00000000-0005-0000-0000-0000EB2F0000}"/>
    <cellStyle name="백분율 26 3 3 3" xfId="1948" xr:uid="{00000000-0005-0000-0000-0000EC2F0000}"/>
    <cellStyle name="백분율 26 3 3 4" xfId="1949" xr:uid="{00000000-0005-0000-0000-0000ED2F0000}"/>
    <cellStyle name="백분율 26 3 4" xfId="1950" xr:uid="{00000000-0005-0000-0000-0000EE2F0000}"/>
    <cellStyle name="백분율 26 3 4 2" xfId="1951" xr:uid="{00000000-0005-0000-0000-0000EF2F0000}"/>
    <cellStyle name="백분율 26 3 4 3" xfId="1952" xr:uid="{00000000-0005-0000-0000-0000F02F0000}"/>
    <cellStyle name="백분율 26 3 5" xfId="1953" xr:uid="{00000000-0005-0000-0000-0000F12F0000}"/>
    <cellStyle name="백분율 26 3 5 2" xfId="1954" xr:uid="{00000000-0005-0000-0000-0000F22F0000}"/>
    <cellStyle name="백분율 26 3 5 3" xfId="1955" xr:uid="{00000000-0005-0000-0000-0000F32F0000}"/>
    <cellStyle name="백분율 26 3 6" xfId="1956" xr:uid="{00000000-0005-0000-0000-0000F42F0000}"/>
    <cellStyle name="백분율 26 3 7" xfId="1957" xr:uid="{00000000-0005-0000-0000-0000F52F0000}"/>
    <cellStyle name="백분율 26 4" xfId="1958" xr:uid="{00000000-0005-0000-0000-0000F62F0000}"/>
    <cellStyle name="백분율 26 4 2" xfId="1959" xr:uid="{00000000-0005-0000-0000-0000F72F0000}"/>
    <cellStyle name="백분율 26 4 2 2" xfId="1960" xr:uid="{00000000-0005-0000-0000-0000F82F0000}"/>
    <cellStyle name="백분율 26 4 2 3" xfId="1961" xr:uid="{00000000-0005-0000-0000-0000F92F0000}"/>
    <cellStyle name="백분율 26 4 3" xfId="1962" xr:uid="{00000000-0005-0000-0000-0000FA2F0000}"/>
    <cellStyle name="백분율 26 4 4" xfId="1963" xr:uid="{00000000-0005-0000-0000-0000FB2F0000}"/>
    <cellStyle name="백분율 26 5" xfId="1964" xr:uid="{00000000-0005-0000-0000-0000FC2F0000}"/>
    <cellStyle name="백분율 26 5 2" xfId="1965" xr:uid="{00000000-0005-0000-0000-0000FD2F0000}"/>
    <cellStyle name="백분율 26 5 2 2" xfId="1966" xr:uid="{00000000-0005-0000-0000-0000FE2F0000}"/>
    <cellStyle name="백분율 26 5 2 3" xfId="1967" xr:uid="{00000000-0005-0000-0000-0000FF2F0000}"/>
    <cellStyle name="백분율 26 5 3" xfId="1968" xr:uid="{00000000-0005-0000-0000-000000300000}"/>
    <cellStyle name="백분율 26 5 4" xfId="1969" xr:uid="{00000000-0005-0000-0000-000001300000}"/>
    <cellStyle name="백분율 26 6" xfId="1970" xr:uid="{00000000-0005-0000-0000-000002300000}"/>
    <cellStyle name="백분율 26 6 2" xfId="1971" xr:uid="{00000000-0005-0000-0000-000003300000}"/>
    <cellStyle name="백분율 26 6 3" xfId="1972" xr:uid="{00000000-0005-0000-0000-000004300000}"/>
    <cellStyle name="백분율 26 7" xfId="1973" xr:uid="{00000000-0005-0000-0000-000005300000}"/>
    <cellStyle name="백분율 26 7 2" xfId="1974" xr:uid="{00000000-0005-0000-0000-000006300000}"/>
    <cellStyle name="백분율 26 7 3" xfId="1975" xr:uid="{00000000-0005-0000-0000-000007300000}"/>
    <cellStyle name="백분율 26 8" xfId="1976" xr:uid="{00000000-0005-0000-0000-000008300000}"/>
    <cellStyle name="백분율 26 9" xfId="1977" xr:uid="{00000000-0005-0000-0000-000009300000}"/>
    <cellStyle name="백분율 27" xfId="1978" xr:uid="{00000000-0005-0000-0000-00000A300000}"/>
    <cellStyle name="백분율 27 2" xfId="1979" xr:uid="{00000000-0005-0000-0000-00000B300000}"/>
    <cellStyle name="백분율 27 2 2" xfId="1980" xr:uid="{00000000-0005-0000-0000-00000C300000}"/>
    <cellStyle name="백분율 27 2 2 2" xfId="1981" xr:uid="{00000000-0005-0000-0000-00000D300000}"/>
    <cellStyle name="백분율 27 2 2 2 2" xfId="1982" xr:uid="{00000000-0005-0000-0000-00000E300000}"/>
    <cellStyle name="백분율 27 2 2 2 3" xfId="1983" xr:uid="{00000000-0005-0000-0000-00000F300000}"/>
    <cellStyle name="백분율 27 2 2 3" xfId="1984" xr:uid="{00000000-0005-0000-0000-000010300000}"/>
    <cellStyle name="백분율 27 2 2 4" xfId="1985" xr:uid="{00000000-0005-0000-0000-000011300000}"/>
    <cellStyle name="백분율 27 2 3" xfId="1986" xr:uid="{00000000-0005-0000-0000-000012300000}"/>
    <cellStyle name="백분율 27 2 3 2" xfId="1987" xr:uid="{00000000-0005-0000-0000-000013300000}"/>
    <cellStyle name="백분율 27 2 3 2 2" xfId="1988" xr:uid="{00000000-0005-0000-0000-000014300000}"/>
    <cellStyle name="백분율 27 2 3 2 3" xfId="1989" xr:uid="{00000000-0005-0000-0000-000015300000}"/>
    <cellStyle name="백분율 27 2 3 3" xfId="1990" xr:uid="{00000000-0005-0000-0000-000016300000}"/>
    <cellStyle name="백분율 27 2 3 4" xfId="1991" xr:uid="{00000000-0005-0000-0000-000017300000}"/>
    <cellStyle name="백분율 27 2 4" xfId="1992" xr:uid="{00000000-0005-0000-0000-000018300000}"/>
    <cellStyle name="백분율 27 2 4 2" xfId="1993" xr:uid="{00000000-0005-0000-0000-000019300000}"/>
    <cellStyle name="백분율 27 2 4 3" xfId="1994" xr:uid="{00000000-0005-0000-0000-00001A300000}"/>
    <cellStyle name="백분율 27 2 5" xfId="1995" xr:uid="{00000000-0005-0000-0000-00001B300000}"/>
    <cellStyle name="백분율 27 2 5 2" xfId="1996" xr:uid="{00000000-0005-0000-0000-00001C300000}"/>
    <cellStyle name="백분율 27 2 5 3" xfId="1997" xr:uid="{00000000-0005-0000-0000-00001D300000}"/>
    <cellStyle name="백분율 27 2 6" xfId="1998" xr:uid="{00000000-0005-0000-0000-00001E300000}"/>
    <cellStyle name="백분율 27 2 7" xfId="1999" xr:uid="{00000000-0005-0000-0000-00001F300000}"/>
    <cellStyle name="백분율 27 3" xfId="2000" xr:uid="{00000000-0005-0000-0000-000020300000}"/>
    <cellStyle name="백분율 27 3 2" xfId="2001" xr:uid="{00000000-0005-0000-0000-000021300000}"/>
    <cellStyle name="백분율 27 3 2 2" xfId="2002" xr:uid="{00000000-0005-0000-0000-000022300000}"/>
    <cellStyle name="백분율 27 3 2 3" xfId="2003" xr:uid="{00000000-0005-0000-0000-000023300000}"/>
    <cellStyle name="백분율 27 3 3" xfId="2004" xr:uid="{00000000-0005-0000-0000-000024300000}"/>
    <cellStyle name="백분율 27 3 4" xfId="2005" xr:uid="{00000000-0005-0000-0000-000025300000}"/>
    <cellStyle name="백분율 27 4" xfId="2006" xr:uid="{00000000-0005-0000-0000-000026300000}"/>
    <cellStyle name="백분율 27 4 2" xfId="2007" xr:uid="{00000000-0005-0000-0000-000027300000}"/>
    <cellStyle name="백분율 27 4 2 2" xfId="2008" xr:uid="{00000000-0005-0000-0000-000028300000}"/>
    <cellStyle name="백분율 27 4 2 3" xfId="2009" xr:uid="{00000000-0005-0000-0000-000029300000}"/>
    <cellStyle name="백분율 27 4 3" xfId="2010" xr:uid="{00000000-0005-0000-0000-00002A300000}"/>
    <cellStyle name="백분율 27 4 4" xfId="2011" xr:uid="{00000000-0005-0000-0000-00002B300000}"/>
    <cellStyle name="백분율 27 5" xfId="2012" xr:uid="{00000000-0005-0000-0000-00002C300000}"/>
    <cellStyle name="백분율 27 5 2" xfId="2013" xr:uid="{00000000-0005-0000-0000-00002D300000}"/>
    <cellStyle name="백분율 27 5 3" xfId="2014" xr:uid="{00000000-0005-0000-0000-00002E300000}"/>
    <cellStyle name="백분율 27 6" xfId="2015" xr:uid="{00000000-0005-0000-0000-00002F300000}"/>
    <cellStyle name="백분율 27 6 2" xfId="2016" xr:uid="{00000000-0005-0000-0000-000030300000}"/>
    <cellStyle name="백분율 27 6 3" xfId="2017" xr:uid="{00000000-0005-0000-0000-000031300000}"/>
    <cellStyle name="백분율 27 7" xfId="2018" xr:uid="{00000000-0005-0000-0000-000032300000}"/>
    <cellStyle name="백분율 27 8" xfId="2019" xr:uid="{00000000-0005-0000-0000-000033300000}"/>
    <cellStyle name="백분율 28" xfId="2020" xr:uid="{00000000-0005-0000-0000-000034300000}"/>
    <cellStyle name="백분율 28 2" xfId="2021" xr:uid="{00000000-0005-0000-0000-000035300000}"/>
    <cellStyle name="백분율 28 2 2" xfId="2022" xr:uid="{00000000-0005-0000-0000-000036300000}"/>
    <cellStyle name="백분율 28 2 2 2" xfId="2023" xr:uid="{00000000-0005-0000-0000-000037300000}"/>
    <cellStyle name="백분율 28 2 2 3" xfId="2024" xr:uid="{00000000-0005-0000-0000-000038300000}"/>
    <cellStyle name="백분율 28 2 3" xfId="2025" xr:uid="{00000000-0005-0000-0000-000039300000}"/>
    <cellStyle name="백분율 28 2 4" xfId="2026" xr:uid="{00000000-0005-0000-0000-00003A300000}"/>
    <cellStyle name="백분율 28 3" xfId="2027" xr:uid="{00000000-0005-0000-0000-00003B300000}"/>
    <cellStyle name="백분율 28 3 2" xfId="2028" xr:uid="{00000000-0005-0000-0000-00003C300000}"/>
    <cellStyle name="백분율 28 3 2 2" xfId="2029" xr:uid="{00000000-0005-0000-0000-00003D300000}"/>
    <cellStyle name="백분율 28 3 2 3" xfId="2030" xr:uid="{00000000-0005-0000-0000-00003E300000}"/>
    <cellStyle name="백분율 28 3 3" xfId="2031" xr:uid="{00000000-0005-0000-0000-00003F300000}"/>
    <cellStyle name="백분율 28 3 4" xfId="2032" xr:uid="{00000000-0005-0000-0000-000040300000}"/>
    <cellStyle name="백분율 28 4" xfId="2033" xr:uid="{00000000-0005-0000-0000-000041300000}"/>
    <cellStyle name="백분율 28 4 2" xfId="2034" xr:uid="{00000000-0005-0000-0000-000042300000}"/>
    <cellStyle name="백분율 28 4 3" xfId="2035" xr:uid="{00000000-0005-0000-0000-000043300000}"/>
    <cellStyle name="백분율 28 5" xfId="2036" xr:uid="{00000000-0005-0000-0000-000044300000}"/>
    <cellStyle name="백분율 28 5 2" xfId="2037" xr:uid="{00000000-0005-0000-0000-000045300000}"/>
    <cellStyle name="백분율 28 5 3" xfId="2038" xr:uid="{00000000-0005-0000-0000-000046300000}"/>
    <cellStyle name="백분율 28 6" xfId="2039" xr:uid="{00000000-0005-0000-0000-000047300000}"/>
    <cellStyle name="백분율 28 7" xfId="2040" xr:uid="{00000000-0005-0000-0000-000048300000}"/>
    <cellStyle name="백분율 29" xfId="2041" xr:uid="{00000000-0005-0000-0000-000049300000}"/>
    <cellStyle name="백분율 3" xfId="14" xr:uid="{00000000-0005-0000-0000-00004A300000}"/>
    <cellStyle name="백분율 3 10" xfId="2042" xr:uid="{00000000-0005-0000-0000-00004B300000}"/>
    <cellStyle name="백분율 3 10 2" xfId="2043" xr:uid="{00000000-0005-0000-0000-00004C300000}"/>
    <cellStyle name="백분율 3 10 3" xfId="2044" xr:uid="{00000000-0005-0000-0000-00004D300000}"/>
    <cellStyle name="백분율 3 11" xfId="2045" xr:uid="{00000000-0005-0000-0000-00004E300000}"/>
    <cellStyle name="백분율 3 11 2" xfId="2046" xr:uid="{00000000-0005-0000-0000-00004F300000}"/>
    <cellStyle name="백분율 3 12" xfId="2047" xr:uid="{00000000-0005-0000-0000-000050300000}"/>
    <cellStyle name="백분율 3 12 2" xfId="2048" xr:uid="{00000000-0005-0000-0000-000051300000}"/>
    <cellStyle name="백분율 3 13" xfId="2049" xr:uid="{00000000-0005-0000-0000-000052300000}"/>
    <cellStyle name="백분율 3 13 2" xfId="2050" xr:uid="{00000000-0005-0000-0000-000053300000}"/>
    <cellStyle name="백분율 3 14" xfId="2051" xr:uid="{00000000-0005-0000-0000-000054300000}"/>
    <cellStyle name="백분율 3 14 2" xfId="2052" xr:uid="{00000000-0005-0000-0000-000055300000}"/>
    <cellStyle name="백분율 3 15" xfId="2053" xr:uid="{00000000-0005-0000-0000-000056300000}"/>
    <cellStyle name="백분율 3 16" xfId="2054" xr:uid="{00000000-0005-0000-0000-000057300000}"/>
    <cellStyle name="백분율 3 17" xfId="17117" xr:uid="{00000000-0005-0000-0000-000058300000}"/>
    <cellStyle name="백분율 3 17 2" xfId="32356" xr:uid="{00000000-0005-0000-0000-000059300000}"/>
    <cellStyle name="백분율 3 17 3" xfId="17360" xr:uid="{00000000-0005-0000-0000-00005A300000}"/>
    <cellStyle name="백분율 3 18" xfId="17118" xr:uid="{00000000-0005-0000-0000-00005B300000}"/>
    <cellStyle name="백분율 3 19" xfId="17119" xr:uid="{00000000-0005-0000-0000-00005C300000}"/>
    <cellStyle name="백분율 3 2" xfId="2055" xr:uid="{00000000-0005-0000-0000-00005D300000}"/>
    <cellStyle name="백분율 3 2 2" xfId="2056" xr:uid="{00000000-0005-0000-0000-00005E300000}"/>
    <cellStyle name="백분율 3 2 2 2" xfId="2057" xr:uid="{00000000-0005-0000-0000-00005F300000}"/>
    <cellStyle name="백분율 3 2 2 2 2" xfId="2058" xr:uid="{00000000-0005-0000-0000-000060300000}"/>
    <cellStyle name="백분율 3 2 2 2 2 2" xfId="2059" xr:uid="{00000000-0005-0000-0000-000061300000}"/>
    <cellStyle name="백분율 3 2 2 2 2 3" xfId="2060" xr:uid="{00000000-0005-0000-0000-000062300000}"/>
    <cellStyle name="백분율 3 2 2 2 3" xfId="2061" xr:uid="{00000000-0005-0000-0000-000063300000}"/>
    <cellStyle name="백분율 3 2 2 2 4" xfId="2062" xr:uid="{00000000-0005-0000-0000-000064300000}"/>
    <cellStyle name="백분율 3 2 2 3" xfId="2063" xr:uid="{00000000-0005-0000-0000-000065300000}"/>
    <cellStyle name="백분율 3 2 2 3 2" xfId="2064" xr:uid="{00000000-0005-0000-0000-000066300000}"/>
    <cellStyle name="백분율 3 2 2 3 2 2" xfId="2065" xr:uid="{00000000-0005-0000-0000-000067300000}"/>
    <cellStyle name="백분율 3 2 2 3 2 3" xfId="2066" xr:uid="{00000000-0005-0000-0000-000068300000}"/>
    <cellStyle name="백분율 3 2 2 3 3" xfId="2067" xr:uid="{00000000-0005-0000-0000-000069300000}"/>
    <cellStyle name="백분율 3 2 2 3 4" xfId="2068" xr:uid="{00000000-0005-0000-0000-00006A300000}"/>
    <cellStyle name="백분율 3 2 2 4" xfId="2069" xr:uid="{00000000-0005-0000-0000-00006B300000}"/>
    <cellStyle name="백분율 3 2 2 4 2" xfId="2070" xr:uid="{00000000-0005-0000-0000-00006C300000}"/>
    <cellStyle name="백분율 3 2 2 4 3" xfId="2071" xr:uid="{00000000-0005-0000-0000-00006D300000}"/>
    <cellStyle name="백분율 3 2 2 5" xfId="2072" xr:uid="{00000000-0005-0000-0000-00006E300000}"/>
    <cellStyle name="백분율 3 2 2 5 2" xfId="2073" xr:uid="{00000000-0005-0000-0000-00006F300000}"/>
    <cellStyle name="백분율 3 2 2 5 3" xfId="2074" xr:uid="{00000000-0005-0000-0000-000070300000}"/>
    <cellStyle name="백분율 3 2 2 6" xfId="2075" xr:uid="{00000000-0005-0000-0000-000071300000}"/>
    <cellStyle name="백분율 3 2 2 7" xfId="2076" xr:uid="{00000000-0005-0000-0000-000072300000}"/>
    <cellStyle name="백분율 3 2 2 8" xfId="17120" xr:uid="{00000000-0005-0000-0000-000073300000}"/>
    <cellStyle name="백분율 3 2 3" xfId="2077" xr:uid="{00000000-0005-0000-0000-000074300000}"/>
    <cellStyle name="백분율 3 2 3 2" xfId="2078" xr:uid="{00000000-0005-0000-0000-000075300000}"/>
    <cellStyle name="백분율 3 2 3 2 2" xfId="2079" xr:uid="{00000000-0005-0000-0000-000076300000}"/>
    <cellStyle name="백분율 3 2 3 2 3" xfId="2080" xr:uid="{00000000-0005-0000-0000-000077300000}"/>
    <cellStyle name="백분율 3 2 3 3" xfId="2081" xr:uid="{00000000-0005-0000-0000-000078300000}"/>
    <cellStyle name="백분율 3 2 3 4" xfId="2082" xr:uid="{00000000-0005-0000-0000-000079300000}"/>
    <cellStyle name="백분율 3 2 4" xfId="2083" xr:uid="{00000000-0005-0000-0000-00007A300000}"/>
    <cellStyle name="백분율 3 2 4 2" xfId="2084" xr:uid="{00000000-0005-0000-0000-00007B300000}"/>
    <cellStyle name="백분율 3 2 4 2 2" xfId="2085" xr:uid="{00000000-0005-0000-0000-00007C300000}"/>
    <cellStyle name="백분율 3 2 4 2 3" xfId="2086" xr:uid="{00000000-0005-0000-0000-00007D300000}"/>
    <cellStyle name="백분율 3 2 4 3" xfId="2087" xr:uid="{00000000-0005-0000-0000-00007E300000}"/>
    <cellStyle name="백분율 3 2 4 4" xfId="2088" xr:uid="{00000000-0005-0000-0000-00007F300000}"/>
    <cellStyle name="백분율 3 2 5" xfId="2089" xr:uid="{00000000-0005-0000-0000-000080300000}"/>
    <cellStyle name="백분율 3 2 5 2" xfId="2090" xr:uid="{00000000-0005-0000-0000-000081300000}"/>
    <cellStyle name="백분율 3 2 5 3" xfId="2091" xr:uid="{00000000-0005-0000-0000-000082300000}"/>
    <cellStyle name="백분율 3 2 6" xfId="2092" xr:uid="{00000000-0005-0000-0000-000083300000}"/>
    <cellStyle name="백분율 3 2 6 2" xfId="2093" xr:uid="{00000000-0005-0000-0000-000084300000}"/>
    <cellStyle name="백분율 3 2 6 3" xfId="2094" xr:uid="{00000000-0005-0000-0000-000085300000}"/>
    <cellStyle name="백분율 3 2 7" xfId="2095" xr:uid="{00000000-0005-0000-0000-000086300000}"/>
    <cellStyle name="백분율 3 2 8" xfId="2096" xr:uid="{00000000-0005-0000-0000-000087300000}"/>
    <cellStyle name="백분율 3 2 9" xfId="17121" xr:uid="{00000000-0005-0000-0000-000088300000}"/>
    <cellStyle name="백분율 3 3" xfId="2097" xr:uid="{00000000-0005-0000-0000-000089300000}"/>
    <cellStyle name="백분율 3 3 2" xfId="2098" xr:uid="{00000000-0005-0000-0000-00008A300000}"/>
    <cellStyle name="백분율 3 3 2 2" xfId="2099" xr:uid="{00000000-0005-0000-0000-00008B300000}"/>
    <cellStyle name="백분율 3 3 2 2 2" xfId="2100" xr:uid="{00000000-0005-0000-0000-00008C300000}"/>
    <cellStyle name="백분율 3 3 2 2 3" xfId="2101" xr:uid="{00000000-0005-0000-0000-00008D300000}"/>
    <cellStyle name="백분율 3 3 2 3" xfId="2102" xr:uid="{00000000-0005-0000-0000-00008E300000}"/>
    <cellStyle name="백분율 3 3 2 4" xfId="2103" xr:uid="{00000000-0005-0000-0000-00008F300000}"/>
    <cellStyle name="백분율 3 3 3" xfId="2104" xr:uid="{00000000-0005-0000-0000-000090300000}"/>
    <cellStyle name="백분율 3 3 3 2" xfId="2105" xr:uid="{00000000-0005-0000-0000-000091300000}"/>
    <cellStyle name="백분율 3 3 3 2 2" xfId="2106" xr:uid="{00000000-0005-0000-0000-000092300000}"/>
    <cellStyle name="백분율 3 3 3 2 3" xfId="2107" xr:uid="{00000000-0005-0000-0000-000093300000}"/>
    <cellStyle name="백분율 3 3 3 3" xfId="2108" xr:uid="{00000000-0005-0000-0000-000094300000}"/>
    <cellStyle name="백분율 3 3 3 4" xfId="2109" xr:uid="{00000000-0005-0000-0000-000095300000}"/>
    <cellStyle name="백분율 3 3 4" xfId="2110" xr:uid="{00000000-0005-0000-0000-000096300000}"/>
    <cellStyle name="백분율 3 3 4 2" xfId="2111" xr:uid="{00000000-0005-0000-0000-000097300000}"/>
    <cellStyle name="백분율 3 3 4 3" xfId="2112" xr:uid="{00000000-0005-0000-0000-000098300000}"/>
    <cellStyle name="백분율 3 3 5" xfId="2113" xr:uid="{00000000-0005-0000-0000-000099300000}"/>
    <cellStyle name="백분율 3 3 5 2" xfId="2114" xr:uid="{00000000-0005-0000-0000-00009A300000}"/>
    <cellStyle name="백분율 3 3 5 3" xfId="2115" xr:uid="{00000000-0005-0000-0000-00009B300000}"/>
    <cellStyle name="백분율 3 3 6" xfId="2116" xr:uid="{00000000-0005-0000-0000-00009C300000}"/>
    <cellStyle name="백분율 3 3 7" xfId="2117" xr:uid="{00000000-0005-0000-0000-00009D300000}"/>
    <cellStyle name="백분율 3 4" xfId="2118" xr:uid="{00000000-0005-0000-0000-00009E300000}"/>
    <cellStyle name="백분율 3 4 2" xfId="2119" xr:uid="{00000000-0005-0000-0000-00009F300000}"/>
    <cellStyle name="백분율 3 4 2 2" xfId="2120" xr:uid="{00000000-0005-0000-0000-0000A0300000}"/>
    <cellStyle name="백분율 3 4 2 2 2" xfId="2121" xr:uid="{00000000-0005-0000-0000-0000A1300000}"/>
    <cellStyle name="백분율 3 4 2 2 3" xfId="2122" xr:uid="{00000000-0005-0000-0000-0000A2300000}"/>
    <cellStyle name="백분율 3 4 2 3" xfId="2123" xr:uid="{00000000-0005-0000-0000-0000A3300000}"/>
    <cellStyle name="백분율 3 4 2 4" xfId="2124" xr:uid="{00000000-0005-0000-0000-0000A4300000}"/>
    <cellStyle name="백분율 3 4 3" xfId="2125" xr:uid="{00000000-0005-0000-0000-0000A5300000}"/>
    <cellStyle name="백분율 3 4 3 2" xfId="2126" xr:uid="{00000000-0005-0000-0000-0000A6300000}"/>
    <cellStyle name="백분율 3 4 3 2 2" xfId="2127" xr:uid="{00000000-0005-0000-0000-0000A7300000}"/>
    <cellStyle name="백분율 3 4 3 2 3" xfId="2128" xr:uid="{00000000-0005-0000-0000-0000A8300000}"/>
    <cellStyle name="백분율 3 4 3 3" xfId="2129" xr:uid="{00000000-0005-0000-0000-0000A9300000}"/>
    <cellStyle name="백분율 3 4 3 4" xfId="2130" xr:uid="{00000000-0005-0000-0000-0000AA300000}"/>
    <cellStyle name="백분율 3 4 4" xfId="2131" xr:uid="{00000000-0005-0000-0000-0000AB300000}"/>
    <cellStyle name="백분율 3 4 4 2" xfId="2132" xr:uid="{00000000-0005-0000-0000-0000AC300000}"/>
    <cellStyle name="백분율 3 4 4 3" xfId="2133" xr:uid="{00000000-0005-0000-0000-0000AD300000}"/>
    <cellStyle name="백분율 3 4 5" xfId="2134" xr:uid="{00000000-0005-0000-0000-0000AE300000}"/>
    <cellStyle name="백분율 3 4 5 2" xfId="2135" xr:uid="{00000000-0005-0000-0000-0000AF300000}"/>
    <cellStyle name="백분율 3 4 5 3" xfId="2136" xr:uid="{00000000-0005-0000-0000-0000B0300000}"/>
    <cellStyle name="백분율 3 4 6" xfId="2137" xr:uid="{00000000-0005-0000-0000-0000B1300000}"/>
    <cellStyle name="백분율 3 4 7" xfId="2138" xr:uid="{00000000-0005-0000-0000-0000B2300000}"/>
    <cellStyle name="백분율 3 5" xfId="2139" xr:uid="{00000000-0005-0000-0000-0000B3300000}"/>
    <cellStyle name="백분율 3 5 2" xfId="2140" xr:uid="{00000000-0005-0000-0000-0000B4300000}"/>
    <cellStyle name="백분율 3 5 2 2" xfId="2141" xr:uid="{00000000-0005-0000-0000-0000B5300000}"/>
    <cellStyle name="백분율 3 5 2 3" xfId="2142" xr:uid="{00000000-0005-0000-0000-0000B6300000}"/>
    <cellStyle name="백분율 3 5 3" xfId="2143" xr:uid="{00000000-0005-0000-0000-0000B7300000}"/>
    <cellStyle name="백분율 3 5 4" xfId="2144" xr:uid="{00000000-0005-0000-0000-0000B8300000}"/>
    <cellStyle name="백분율 3 6" xfId="2145" xr:uid="{00000000-0005-0000-0000-0000B9300000}"/>
    <cellStyle name="백분율 3 6 2" xfId="2146" xr:uid="{00000000-0005-0000-0000-0000BA300000}"/>
    <cellStyle name="백분율 3 6 2 2" xfId="2147" xr:uid="{00000000-0005-0000-0000-0000BB300000}"/>
    <cellStyle name="백분율 3 6 2 3" xfId="2148" xr:uid="{00000000-0005-0000-0000-0000BC300000}"/>
    <cellStyle name="백분율 3 6 3" xfId="2149" xr:uid="{00000000-0005-0000-0000-0000BD300000}"/>
    <cellStyle name="백분율 3 6 4" xfId="2150" xr:uid="{00000000-0005-0000-0000-0000BE300000}"/>
    <cellStyle name="백분율 3 7" xfId="2151" xr:uid="{00000000-0005-0000-0000-0000BF300000}"/>
    <cellStyle name="백분율 3 7 2" xfId="2152" xr:uid="{00000000-0005-0000-0000-0000C0300000}"/>
    <cellStyle name="백분율 3 7 3" xfId="2153" xr:uid="{00000000-0005-0000-0000-0000C1300000}"/>
    <cellStyle name="백분율 3 8" xfId="2154" xr:uid="{00000000-0005-0000-0000-0000C2300000}"/>
    <cellStyle name="백분율 3 8 2" xfId="2155" xr:uid="{00000000-0005-0000-0000-0000C3300000}"/>
    <cellStyle name="백분율 3 8 3" xfId="2156" xr:uid="{00000000-0005-0000-0000-0000C4300000}"/>
    <cellStyle name="백분율 3 9" xfId="2157" xr:uid="{00000000-0005-0000-0000-0000C5300000}"/>
    <cellStyle name="백분율 3 9 2" xfId="2158" xr:uid="{00000000-0005-0000-0000-0000C6300000}"/>
    <cellStyle name="백분율 3 9 3" xfId="2159" xr:uid="{00000000-0005-0000-0000-0000C7300000}"/>
    <cellStyle name="백분율 30" xfId="2160" xr:uid="{00000000-0005-0000-0000-0000C8300000}"/>
    <cellStyle name="백분율 30 2" xfId="2161" xr:uid="{00000000-0005-0000-0000-0000C9300000}"/>
    <cellStyle name="백분율 30 3" xfId="2162" xr:uid="{00000000-0005-0000-0000-0000CA300000}"/>
    <cellStyle name="백분율 31" xfId="2163" xr:uid="{00000000-0005-0000-0000-0000CB300000}"/>
    <cellStyle name="백분율 31 2" xfId="2164" xr:uid="{00000000-0005-0000-0000-0000CC300000}"/>
    <cellStyle name="백분율 31 3" xfId="2165" xr:uid="{00000000-0005-0000-0000-0000CD300000}"/>
    <cellStyle name="백분율 32" xfId="2166" xr:uid="{00000000-0005-0000-0000-0000CE300000}"/>
    <cellStyle name="백분율 32 2" xfId="2167" xr:uid="{00000000-0005-0000-0000-0000CF300000}"/>
    <cellStyle name="백분율 33" xfId="2168" xr:uid="{00000000-0005-0000-0000-0000D0300000}"/>
    <cellStyle name="백분율 33 2" xfId="2169" xr:uid="{00000000-0005-0000-0000-0000D1300000}"/>
    <cellStyle name="백분율 34" xfId="2170" xr:uid="{00000000-0005-0000-0000-0000D2300000}"/>
    <cellStyle name="백분율 34 2" xfId="2171" xr:uid="{00000000-0005-0000-0000-0000D3300000}"/>
    <cellStyle name="백분율 35" xfId="2172" xr:uid="{00000000-0005-0000-0000-0000D4300000}"/>
    <cellStyle name="백분율 35 2" xfId="2173" xr:uid="{00000000-0005-0000-0000-0000D5300000}"/>
    <cellStyle name="백분율 36" xfId="12019" xr:uid="{00000000-0005-0000-0000-0000D6300000}"/>
    <cellStyle name="백분율 37" xfId="17966" xr:uid="{00000000-0005-0000-0000-0000D7300000}"/>
    <cellStyle name="백분율 4" xfId="15" xr:uid="{00000000-0005-0000-0000-0000D8300000}"/>
    <cellStyle name="백분율 4 10" xfId="2174" xr:uid="{00000000-0005-0000-0000-0000D9300000}"/>
    <cellStyle name="백분율 4 10 2" xfId="2175" xr:uid="{00000000-0005-0000-0000-0000DA300000}"/>
    <cellStyle name="백분율 4 10 2 2" xfId="2176" xr:uid="{00000000-0005-0000-0000-0000DB300000}"/>
    <cellStyle name="백분율 4 10 2 3" xfId="2177" xr:uid="{00000000-0005-0000-0000-0000DC300000}"/>
    <cellStyle name="백분율 4 10 3" xfId="2178" xr:uid="{00000000-0005-0000-0000-0000DD300000}"/>
    <cellStyle name="백분율 4 10 4" xfId="2179" xr:uid="{00000000-0005-0000-0000-0000DE300000}"/>
    <cellStyle name="백분율 4 11" xfId="2180" xr:uid="{00000000-0005-0000-0000-0000DF300000}"/>
    <cellStyle name="백분율 4 11 2" xfId="2181" xr:uid="{00000000-0005-0000-0000-0000E0300000}"/>
    <cellStyle name="백분율 4 11 3" xfId="2182" xr:uid="{00000000-0005-0000-0000-0000E1300000}"/>
    <cellStyle name="백분율 4 12" xfId="2183" xr:uid="{00000000-0005-0000-0000-0000E2300000}"/>
    <cellStyle name="백분율 4 12 2" xfId="2184" xr:uid="{00000000-0005-0000-0000-0000E3300000}"/>
    <cellStyle name="백분율 4 12 3" xfId="2185" xr:uid="{00000000-0005-0000-0000-0000E4300000}"/>
    <cellStyle name="백분율 4 13" xfId="2186" xr:uid="{00000000-0005-0000-0000-0000E5300000}"/>
    <cellStyle name="백분율 4 13 2" xfId="2187" xr:uid="{00000000-0005-0000-0000-0000E6300000}"/>
    <cellStyle name="백분율 4 13 3" xfId="2188" xr:uid="{00000000-0005-0000-0000-0000E7300000}"/>
    <cellStyle name="백분율 4 14" xfId="2189" xr:uid="{00000000-0005-0000-0000-0000E8300000}"/>
    <cellStyle name="백분율 4 14 2" xfId="2190" xr:uid="{00000000-0005-0000-0000-0000E9300000}"/>
    <cellStyle name="백분율 4 14 3" xfId="2191" xr:uid="{00000000-0005-0000-0000-0000EA300000}"/>
    <cellStyle name="백분율 4 15" xfId="2192" xr:uid="{00000000-0005-0000-0000-0000EB300000}"/>
    <cellStyle name="백분율 4 15 2" xfId="2193" xr:uid="{00000000-0005-0000-0000-0000EC300000}"/>
    <cellStyle name="백분율 4 16" xfId="2194" xr:uid="{00000000-0005-0000-0000-0000ED300000}"/>
    <cellStyle name="백분율 4 16 2" xfId="2195" xr:uid="{00000000-0005-0000-0000-0000EE300000}"/>
    <cellStyle name="백분율 4 17" xfId="2196" xr:uid="{00000000-0005-0000-0000-0000EF300000}"/>
    <cellStyle name="백분율 4 17 2" xfId="2197" xr:uid="{00000000-0005-0000-0000-0000F0300000}"/>
    <cellStyle name="백분율 4 18" xfId="2198" xr:uid="{00000000-0005-0000-0000-0000F1300000}"/>
    <cellStyle name="백분율 4 18 2" xfId="2199" xr:uid="{00000000-0005-0000-0000-0000F2300000}"/>
    <cellStyle name="백분율 4 19" xfId="2200" xr:uid="{00000000-0005-0000-0000-0000F3300000}"/>
    <cellStyle name="백분율 4 2" xfId="56" xr:uid="{00000000-0005-0000-0000-0000F4300000}"/>
    <cellStyle name="백분율 4 2 10" xfId="2201" xr:uid="{00000000-0005-0000-0000-0000F5300000}"/>
    <cellStyle name="백분율 4 2 10 2" xfId="2202" xr:uid="{00000000-0005-0000-0000-0000F6300000}"/>
    <cellStyle name="백분율 4 2 10 3" xfId="2203" xr:uid="{00000000-0005-0000-0000-0000F7300000}"/>
    <cellStyle name="백분율 4 2 11" xfId="2204" xr:uid="{00000000-0005-0000-0000-0000F8300000}"/>
    <cellStyle name="백분율 4 2 11 2" xfId="2205" xr:uid="{00000000-0005-0000-0000-0000F9300000}"/>
    <cellStyle name="백분율 4 2 12" xfId="2206" xr:uid="{00000000-0005-0000-0000-0000FA300000}"/>
    <cellStyle name="백분율 4 2 12 2" xfId="2207" xr:uid="{00000000-0005-0000-0000-0000FB300000}"/>
    <cellStyle name="백분율 4 2 13" xfId="2208" xr:uid="{00000000-0005-0000-0000-0000FC300000}"/>
    <cellStyle name="백분율 4 2 13 2" xfId="2209" xr:uid="{00000000-0005-0000-0000-0000FD300000}"/>
    <cellStyle name="백분율 4 2 14" xfId="2210" xr:uid="{00000000-0005-0000-0000-0000FE300000}"/>
    <cellStyle name="백분율 4 2 14 2" xfId="2211" xr:uid="{00000000-0005-0000-0000-0000FF300000}"/>
    <cellStyle name="백분율 4 2 15" xfId="2212" xr:uid="{00000000-0005-0000-0000-000000310000}"/>
    <cellStyle name="백분율 4 2 16" xfId="2213" xr:uid="{00000000-0005-0000-0000-000001310000}"/>
    <cellStyle name="백분율 4 2 2" xfId="2214" xr:uid="{00000000-0005-0000-0000-000002310000}"/>
    <cellStyle name="백분율 4 2 2 2" xfId="2215" xr:uid="{00000000-0005-0000-0000-000003310000}"/>
    <cellStyle name="백분율 4 2 2 2 2" xfId="2216" xr:uid="{00000000-0005-0000-0000-000004310000}"/>
    <cellStyle name="백분율 4 2 2 2 2 2" xfId="2217" xr:uid="{00000000-0005-0000-0000-000005310000}"/>
    <cellStyle name="백분율 4 2 2 2 2 2 2" xfId="2218" xr:uid="{00000000-0005-0000-0000-000006310000}"/>
    <cellStyle name="백분율 4 2 2 2 2 2 3" xfId="2219" xr:uid="{00000000-0005-0000-0000-000007310000}"/>
    <cellStyle name="백분율 4 2 2 2 2 3" xfId="2220" xr:uid="{00000000-0005-0000-0000-000008310000}"/>
    <cellStyle name="백분율 4 2 2 2 2 4" xfId="2221" xr:uid="{00000000-0005-0000-0000-000009310000}"/>
    <cellStyle name="백분율 4 2 2 2 3" xfId="2222" xr:uid="{00000000-0005-0000-0000-00000A310000}"/>
    <cellStyle name="백분율 4 2 2 2 3 2" xfId="2223" xr:uid="{00000000-0005-0000-0000-00000B310000}"/>
    <cellStyle name="백분율 4 2 2 2 3 2 2" xfId="2224" xr:uid="{00000000-0005-0000-0000-00000C310000}"/>
    <cellStyle name="백분율 4 2 2 2 3 2 3" xfId="2225" xr:uid="{00000000-0005-0000-0000-00000D310000}"/>
    <cellStyle name="백분율 4 2 2 2 3 3" xfId="2226" xr:uid="{00000000-0005-0000-0000-00000E310000}"/>
    <cellStyle name="백분율 4 2 2 2 3 4" xfId="2227" xr:uid="{00000000-0005-0000-0000-00000F310000}"/>
    <cellStyle name="백분율 4 2 2 2 4" xfId="2228" xr:uid="{00000000-0005-0000-0000-000010310000}"/>
    <cellStyle name="백분율 4 2 2 2 4 2" xfId="2229" xr:uid="{00000000-0005-0000-0000-000011310000}"/>
    <cellStyle name="백분율 4 2 2 2 4 3" xfId="2230" xr:uid="{00000000-0005-0000-0000-000012310000}"/>
    <cellStyle name="백분율 4 2 2 2 5" xfId="2231" xr:uid="{00000000-0005-0000-0000-000013310000}"/>
    <cellStyle name="백분율 4 2 2 2 5 2" xfId="2232" xr:uid="{00000000-0005-0000-0000-000014310000}"/>
    <cellStyle name="백분율 4 2 2 2 5 3" xfId="2233" xr:uid="{00000000-0005-0000-0000-000015310000}"/>
    <cellStyle name="백분율 4 2 2 2 6" xfId="2234" xr:uid="{00000000-0005-0000-0000-000016310000}"/>
    <cellStyle name="백분율 4 2 2 2 7" xfId="2235" xr:uid="{00000000-0005-0000-0000-000017310000}"/>
    <cellStyle name="백분율 4 2 2 3" xfId="2236" xr:uid="{00000000-0005-0000-0000-000018310000}"/>
    <cellStyle name="백분율 4 2 2 3 2" xfId="2237" xr:uid="{00000000-0005-0000-0000-000019310000}"/>
    <cellStyle name="백분율 4 2 2 3 2 2" xfId="2238" xr:uid="{00000000-0005-0000-0000-00001A310000}"/>
    <cellStyle name="백분율 4 2 2 3 2 3" xfId="2239" xr:uid="{00000000-0005-0000-0000-00001B310000}"/>
    <cellStyle name="백분율 4 2 2 3 3" xfId="2240" xr:uid="{00000000-0005-0000-0000-00001C310000}"/>
    <cellStyle name="백분율 4 2 2 3 4" xfId="2241" xr:uid="{00000000-0005-0000-0000-00001D310000}"/>
    <cellStyle name="백분율 4 2 2 4" xfId="2242" xr:uid="{00000000-0005-0000-0000-00001E310000}"/>
    <cellStyle name="백분율 4 2 2 4 2" xfId="2243" xr:uid="{00000000-0005-0000-0000-00001F310000}"/>
    <cellStyle name="백분율 4 2 2 4 2 2" xfId="2244" xr:uid="{00000000-0005-0000-0000-000020310000}"/>
    <cellStyle name="백분율 4 2 2 4 2 3" xfId="2245" xr:uid="{00000000-0005-0000-0000-000021310000}"/>
    <cellStyle name="백분율 4 2 2 4 3" xfId="2246" xr:uid="{00000000-0005-0000-0000-000022310000}"/>
    <cellStyle name="백분율 4 2 2 4 4" xfId="2247" xr:uid="{00000000-0005-0000-0000-000023310000}"/>
    <cellStyle name="백분율 4 2 2 5" xfId="2248" xr:uid="{00000000-0005-0000-0000-000024310000}"/>
    <cellStyle name="백분율 4 2 2 5 2" xfId="2249" xr:uid="{00000000-0005-0000-0000-000025310000}"/>
    <cellStyle name="백분율 4 2 2 5 3" xfId="2250" xr:uid="{00000000-0005-0000-0000-000026310000}"/>
    <cellStyle name="백분율 4 2 2 6" xfId="2251" xr:uid="{00000000-0005-0000-0000-000027310000}"/>
    <cellStyle name="백분율 4 2 2 6 2" xfId="2252" xr:uid="{00000000-0005-0000-0000-000028310000}"/>
    <cellStyle name="백분율 4 2 2 6 3" xfId="2253" xr:uid="{00000000-0005-0000-0000-000029310000}"/>
    <cellStyle name="백분율 4 2 2 7" xfId="2254" xr:uid="{00000000-0005-0000-0000-00002A310000}"/>
    <cellStyle name="백분율 4 2 2 8" xfId="2255" xr:uid="{00000000-0005-0000-0000-00002B310000}"/>
    <cellStyle name="백분율 4 2 3" xfId="2256" xr:uid="{00000000-0005-0000-0000-00002C310000}"/>
    <cellStyle name="백분율 4 2 3 2" xfId="2257" xr:uid="{00000000-0005-0000-0000-00002D310000}"/>
    <cellStyle name="백분율 4 2 3 2 2" xfId="2258" xr:uid="{00000000-0005-0000-0000-00002E310000}"/>
    <cellStyle name="백분율 4 2 3 2 2 2" xfId="2259" xr:uid="{00000000-0005-0000-0000-00002F310000}"/>
    <cellStyle name="백분율 4 2 3 2 2 3" xfId="2260" xr:uid="{00000000-0005-0000-0000-000030310000}"/>
    <cellStyle name="백분율 4 2 3 2 3" xfId="2261" xr:uid="{00000000-0005-0000-0000-000031310000}"/>
    <cellStyle name="백분율 4 2 3 2 4" xfId="2262" xr:uid="{00000000-0005-0000-0000-000032310000}"/>
    <cellStyle name="백분율 4 2 3 3" xfId="2263" xr:uid="{00000000-0005-0000-0000-000033310000}"/>
    <cellStyle name="백분율 4 2 3 3 2" xfId="2264" xr:uid="{00000000-0005-0000-0000-000034310000}"/>
    <cellStyle name="백분율 4 2 3 3 2 2" xfId="2265" xr:uid="{00000000-0005-0000-0000-000035310000}"/>
    <cellStyle name="백분율 4 2 3 3 2 3" xfId="2266" xr:uid="{00000000-0005-0000-0000-000036310000}"/>
    <cellStyle name="백분율 4 2 3 3 3" xfId="2267" xr:uid="{00000000-0005-0000-0000-000037310000}"/>
    <cellStyle name="백분율 4 2 3 3 4" xfId="2268" xr:uid="{00000000-0005-0000-0000-000038310000}"/>
    <cellStyle name="백분율 4 2 3 4" xfId="2269" xr:uid="{00000000-0005-0000-0000-000039310000}"/>
    <cellStyle name="백분율 4 2 3 4 2" xfId="2270" xr:uid="{00000000-0005-0000-0000-00003A310000}"/>
    <cellStyle name="백분율 4 2 3 4 3" xfId="2271" xr:uid="{00000000-0005-0000-0000-00003B310000}"/>
    <cellStyle name="백분율 4 2 3 5" xfId="2272" xr:uid="{00000000-0005-0000-0000-00003C310000}"/>
    <cellStyle name="백분율 4 2 3 5 2" xfId="2273" xr:uid="{00000000-0005-0000-0000-00003D310000}"/>
    <cellStyle name="백분율 4 2 3 5 3" xfId="2274" xr:uid="{00000000-0005-0000-0000-00003E310000}"/>
    <cellStyle name="백분율 4 2 3 6" xfId="2275" xr:uid="{00000000-0005-0000-0000-00003F310000}"/>
    <cellStyle name="백분율 4 2 3 7" xfId="2276" xr:uid="{00000000-0005-0000-0000-000040310000}"/>
    <cellStyle name="백분율 4 2 4" xfId="2277" xr:uid="{00000000-0005-0000-0000-000041310000}"/>
    <cellStyle name="백분율 4 2 4 2" xfId="2278" xr:uid="{00000000-0005-0000-0000-000042310000}"/>
    <cellStyle name="백분율 4 2 4 2 2" xfId="2279" xr:uid="{00000000-0005-0000-0000-000043310000}"/>
    <cellStyle name="백분율 4 2 4 2 2 2" xfId="2280" xr:uid="{00000000-0005-0000-0000-000044310000}"/>
    <cellStyle name="백분율 4 2 4 2 2 3" xfId="2281" xr:uid="{00000000-0005-0000-0000-000045310000}"/>
    <cellStyle name="백분율 4 2 4 2 3" xfId="2282" xr:uid="{00000000-0005-0000-0000-000046310000}"/>
    <cellStyle name="백분율 4 2 4 2 4" xfId="2283" xr:uid="{00000000-0005-0000-0000-000047310000}"/>
    <cellStyle name="백분율 4 2 4 3" xfId="2284" xr:uid="{00000000-0005-0000-0000-000048310000}"/>
    <cellStyle name="백분율 4 2 4 3 2" xfId="2285" xr:uid="{00000000-0005-0000-0000-000049310000}"/>
    <cellStyle name="백분율 4 2 4 3 2 2" xfId="2286" xr:uid="{00000000-0005-0000-0000-00004A310000}"/>
    <cellStyle name="백분율 4 2 4 3 2 3" xfId="2287" xr:uid="{00000000-0005-0000-0000-00004B310000}"/>
    <cellStyle name="백분율 4 2 4 3 3" xfId="2288" xr:uid="{00000000-0005-0000-0000-00004C310000}"/>
    <cellStyle name="백분율 4 2 4 3 4" xfId="2289" xr:uid="{00000000-0005-0000-0000-00004D310000}"/>
    <cellStyle name="백분율 4 2 4 4" xfId="2290" xr:uid="{00000000-0005-0000-0000-00004E310000}"/>
    <cellStyle name="백분율 4 2 4 4 2" xfId="2291" xr:uid="{00000000-0005-0000-0000-00004F310000}"/>
    <cellStyle name="백분율 4 2 4 4 3" xfId="2292" xr:uid="{00000000-0005-0000-0000-000050310000}"/>
    <cellStyle name="백분율 4 2 4 5" xfId="2293" xr:uid="{00000000-0005-0000-0000-000051310000}"/>
    <cellStyle name="백분율 4 2 4 5 2" xfId="2294" xr:uid="{00000000-0005-0000-0000-000052310000}"/>
    <cellStyle name="백분율 4 2 4 5 3" xfId="2295" xr:uid="{00000000-0005-0000-0000-000053310000}"/>
    <cellStyle name="백분율 4 2 4 6" xfId="2296" xr:uid="{00000000-0005-0000-0000-000054310000}"/>
    <cellStyle name="백분율 4 2 4 7" xfId="2297" xr:uid="{00000000-0005-0000-0000-000055310000}"/>
    <cellStyle name="백분율 4 2 5" xfId="2298" xr:uid="{00000000-0005-0000-0000-000056310000}"/>
    <cellStyle name="백분율 4 2 5 2" xfId="2299" xr:uid="{00000000-0005-0000-0000-000057310000}"/>
    <cellStyle name="백분율 4 2 5 2 2" xfId="2300" xr:uid="{00000000-0005-0000-0000-000058310000}"/>
    <cellStyle name="백분율 4 2 5 2 3" xfId="2301" xr:uid="{00000000-0005-0000-0000-000059310000}"/>
    <cellStyle name="백분율 4 2 5 3" xfId="2302" xr:uid="{00000000-0005-0000-0000-00005A310000}"/>
    <cellStyle name="백분율 4 2 5 4" xfId="2303" xr:uid="{00000000-0005-0000-0000-00005B310000}"/>
    <cellStyle name="백분율 4 2 6" xfId="2304" xr:uid="{00000000-0005-0000-0000-00005C310000}"/>
    <cellStyle name="백분율 4 2 6 2" xfId="2305" xr:uid="{00000000-0005-0000-0000-00005D310000}"/>
    <cellStyle name="백분율 4 2 6 2 2" xfId="2306" xr:uid="{00000000-0005-0000-0000-00005E310000}"/>
    <cellStyle name="백분율 4 2 6 2 3" xfId="2307" xr:uid="{00000000-0005-0000-0000-00005F310000}"/>
    <cellStyle name="백분율 4 2 6 3" xfId="2308" xr:uid="{00000000-0005-0000-0000-000060310000}"/>
    <cellStyle name="백분율 4 2 6 4" xfId="2309" xr:uid="{00000000-0005-0000-0000-000061310000}"/>
    <cellStyle name="백분율 4 2 7" xfId="2310" xr:uid="{00000000-0005-0000-0000-000062310000}"/>
    <cellStyle name="백분율 4 2 7 2" xfId="2311" xr:uid="{00000000-0005-0000-0000-000063310000}"/>
    <cellStyle name="백분율 4 2 7 3" xfId="2312" xr:uid="{00000000-0005-0000-0000-000064310000}"/>
    <cellStyle name="백분율 4 2 8" xfId="2313" xr:uid="{00000000-0005-0000-0000-000065310000}"/>
    <cellStyle name="백분율 4 2 8 2" xfId="2314" xr:uid="{00000000-0005-0000-0000-000066310000}"/>
    <cellStyle name="백분율 4 2 8 3" xfId="2315" xr:uid="{00000000-0005-0000-0000-000067310000}"/>
    <cellStyle name="백분율 4 2 9" xfId="2316" xr:uid="{00000000-0005-0000-0000-000068310000}"/>
    <cellStyle name="백분율 4 2 9 2" xfId="2317" xr:uid="{00000000-0005-0000-0000-000069310000}"/>
    <cellStyle name="백분율 4 2 9 3" xfId="2318" xr:uid="{00000000-0005-0000-0000-00006A310000}"/>
    <cellStyle name="백분율 4 20" xfId="2319" xr:uid="{00000000-0005-0000-0000-00006B310000}"/>
    <cellStyle name="백분율 4 21" xfId="17122" xr:uid="{00000000-0005-0000-0000-00006C310000}"/>
    <cellStyle name="백분율 4 21 2" xfId="32357" xr:uid="{00000000-0005-0000-0000-00006D310000}"/>
    <cellStyle name="백분율 4 21 3" xfId="17374" xr:uid="{00000000-0005-0000-0000-00006E310000}"/>
    <cellStyle name="백분율 4 3" xfId="57" xr:uid="{00000000-0005-0000-0000-00006F310000}"/>
    <cellStyle name="백분율 4 3 10" xfId="2320" xr:uid="{00000000-0005-0000-0000-000070310000}"/>
    <cellStyle name="백분율 4 3 10 2" xfId="2321" xr:uid="{00000000-0005-0000-0000-000071310000}"/>
    <cellStyle name="백분율 4 3 10 3" xfId="2322" xr:uid="{00000000-0005-0000-0000-000072310000}"/>
    <cellStyle name="백분율 4 3 11" xfId="2323" xr:uid="{00000000-0005-0000-0000-000073310000}"/>
    <cellStyle name="백분율 4 3 11 2" xfId="2324" xr:uid="{00000000-0005-0000-0000-000074310000}"/>
    <cellStyle name="백분율 4 3 12" xfId="2325" xr:uid="{00000000-0005-0000-0000-000075310000}"/>
    <cellStyle name="백분율 4 3 12 2" xfId="2326" xr:uid="{00000000-0005-0000-0000-000076310000}"/>
    <cellStyle name="백분율 4 3 13" xfId="2327" xr:uid="{00000000-0005-0000-0000-000077310000}"/>
    <cellStyle name="백분율 4 3 13 2" xfId="2328" xr:uid="{00000000-0005-0000-0000-000078310000}"/>
    <cellStyle name="백분율 4 3 14" xfId="2329" xr:uid="{00000000-0005-0000-0000-000079310000}"/>
    <cellStyle name="백분율 4 3 14 2" xfId="2330" xr:uid="{00000000-0005-0000-0000-00007A310000}"/>
    <cellStyle name="백분율 4 3 15" xfId="2331" xr:uid="{00000000-0005-0000-0000-00007B310000}"/>
    <cellStyle name="백분율 4 3 16" xfId="2332" xr:uid="{00000000-0005-0000-0000-00007C310000}"/>
    <cellStyle name="백분율 4 3 2" xfId="2333" xr:uid="{00000000-0005-0000-0000-00007D310000}"/>
    <cellStyle name="백분율 4 3 2 2" xfId="2334" xr:uid="{00000000-0005-0000-0000-00007E310000}"/>
    <cellStyle name="백분율 4 3 2 2 2" xfId="2335" xr:uid="{00000000-0005-0000-0000-00007F310000}"/>
    <cellStyle name="백분율 4 3 2 2 2 2" xfId="2336" xr:uid="{00000000-0005-0000-0000-000080310000}"/>
    <cellStyle name="백분율 4 3 2 2 2 2 2" xfId="2337" xr:uid="{00000000-0005-0000-0000-000081310000}"/>
    <cellStyle name="백분율 4 3 2 2 2 2 3" xfId="2338" xr:uid="{00000000-0005-0000-0000-000082310000}"/>
    <cellStyle name="백분율 4 3 2 2 2 3" xfId="2339" xr:uid="{00000000-0005-0000-0000-000083310000}"/>
    <cellStyle name="백분율 4 3 2 2 2 4" xfId="2340" xr:uid="{00000000-0005-0000-0000-000084310000}"/>
    <cellStyle name="백분율 4 3 2 2 3" xfId="2341" xr:uid="{00000000-0005-0000-0000-000085310000}"/>
    <cellStyle name="백분율 4 3 2 2 3 2" xfId="2342" xr:uid="{00000000-0005-0000-0000-000086310000}"/>
    <cellStyle name="백분율 4 3 2 2 3 2 2" xfId="2343" xr:uid="{00000000-0005-0000-0000-000087310000}"/>
    <cellStyle name="백분율 4 3 2 2 3 2 3" xfId="2344" xr:uid="{00000000-0005-0000-0000-000088310000}"/>
    <cellStyle name="백분율 4 3 2 2 3 3" xfId="2345" xr:uid="{00000000-0005-0000-0000-000089310000}"/>
    <cellStyle name="백분율 4 3 2 2 3 4" xfId="2346" xr:uid="{00000000-0005-0000-0000-00008A310000}"/>
    <cellStyle name="백분율 4 3 2 2 4" xfId="2347" xr:uid="{00000000-0005-0000-0000-00008B310000}"/>
    <cellStyle name="백분율 4 3 2 2 4 2" xfId="2348" xr:uid="{00000000-0005-0000-0000-00008C310000}"/>
    <cellStyle name="백분율 4 3 2 2 4 3" xfId="2349" xr:uid="{00000000-0005-0000-0000-00008D310000}"/>
    <cellStyle name="백분율 4 3 2 2 5" xfId="2350" xr:uid="{00000000-0005-0000-0000-00008E310000}"/>
    <cellStyle name="백분율 4 3 2 2 5 2" xfId="2351" xr:uid="{00000000-0005-0000-0000-00008F310000}"/>
    <cellStyle name="백분율 4 3 2 2 5 3" xfId="2352" xr:uid="{00000000-0005-0000-0000-000090310000}"/>
    <cellStyle name="백분율 4 3 2 2 6" xfId="2353" xr:uid="{00000000-0005-0000-0000-000091310000}"/>
    <cellStyle name="백분율 4 3 2 2 7" xfId="2354" xr:uid="{00000000-0005-0000-0000-000092310000}"/>
    <cellStyle name="백분율 4 3 2 3" xfId="2355" xr:uid="{00000000-0005-0000-0000-000093310000}"/>
    <cellStyle name="백분율 4 3 2 3 2" xfId="2356" xr:uid="{00000000-0005-0000-0000-000094310000}"/>
    <cellStyle name="백분율 4 3 2 3 2 2" xfId="2357" xr:uid="{00000000-0005-0000-0000-000095310000}"/>
    <cellStyle name="백분율 4 3 2 3 2 3" xfId="2358" xr:uid="{00000000-0005-0000-0000-000096310000}"/>
    <cellStyle name="백분율 4 3 2 3 3" xfId="2359" xr:uid="{00000000-0005-0000-0000-000097310000}"/>
    <cellStyle name="백분율 4 3 2 3 4" xfId="2360" xr:uid="{00000000-0005-0000-0000-000098310000}"/>
    <cellStyle name="백분율 4 3 2 4" xfId="2361" xr:uid="{00000000-0005-0000-0000-000099310000}"/>
    <cellStyle name="백분율 4 3 2 4 2" xfId="2362" xr:uid="{00000000-0005-0000-0000-00009A310000}"/>
    <cellStyle name="백분율 4 3 2 4 2 2" xfId="2363" xr:uid="{00000000-0005-0000-0000-00009B310000}"/>
    <cellStyle name="백분율 4 3 2 4 2 3" xfId="2364" xr:uid="{00000000-0005-0000-0000-00009C310000}"/>
    <cellStyle name="백분율 4 3 2 4 3" xfId="2365" xr:uid="{00000000-0005-0000-0000-00009D310000}"/>
    <cellStyle name="백분율 4 3 2 4 4" xfId="2366" xr:uid="{00000000-0005-0000-0000-00009E310000}"/>
    <cellStyle name="백분율 4 3 2 5" xfId="2367" xr:uid="{00000000-0005-0000-0000-00009F310000}"/>
    <cellStyle name="백분율 4 3 2 5 2" xfId="2368" xr:uid="{00000000-0005-0000-0000-0000A0310000}"/>
    <cellStyle name="백분율 4 3 2 5 3" xfId="2369" xr:uid="{00000000-0005-0000-0000-0000A1310000}"/>
    <cellStyle name="백분율 4 3 2 6" xfId="2370" xr:uid="{00000000-0005-0000-0000-0000A2310000}"/>
    <cellStyle name="백분율 4 3 2 6 2" xfId="2371" xr:uid="{00000000-0005-0000-0000-0000A3310000}"/>
    <cellStyle name="백분율 4 3 2 6 3" xfId="2372" xr:uid="{00000000-0005-0000-0000-0000A4310000}"/>
    <cellStyle name="백분율 4 3 2 7" xfId="2373" xr:uid="{00000000-0005-0000-0000-0000A5310000}"/>
    <cellStyle name="백분율 4 3 2 8" xfId="2374" xr:uid="{00000000-0005-0000-0000-0000A6310000}"/>
    <cellStyle name="백분율 4 3 3" xfId="2375" xr:uid="{00000000-0005-0000-0000-0000A7310000}"/>
    <cellStyle name="백분율 4 3 3 2" xfId="2376" xr:uid="{00000000-0005-0000-0000-0000A8310000}"/>
    <cellStyle name="백분율 4 3 3 2 2" xfId="2377" xr:uid="{00000000-0005-0000-0000-0000A9310000}"/>
    <cellStyle name="백분율 4 3 3 2 2 2" xfId="2378" xr:uid="{00000000-0005-0000-0000-0000AA310000}"/>
    <cellStyle name="백분율 4 3 3 2 2 3" xfId="2379" xr:uid="{00000000-0005-0000-0000-0000AB310000}"/>
    <cellStyle name="백분율 4 3 3 2 3" xfId="2380" xr:uid="{00000000-0005-0000-0000-0000AC310000}"/>
    <cellStyle name="백분율 4 3 3 2 4" xfId="2381" xr:uid="{00000000-0005-0000-0000-0000AD310000}"/>
    <cellStyle name="백분율 4 3 3 3" xfId="2382" xr:uid="{00000000-0005-0000-0000-0000AE310000}"/>
    <cellStyle name="백분율 4 3 3 3 2" xfId="2383" xr:uid="{00000000-0005-0000-0000-0000AF310000}"/>
    <cellStyle name="백분율 4 3 3 3 2 2" xfId="2384" xr:uid="{00000000-0005-0000-0000-0000B0310000}"/>
    <cellStyle name="백분율 4 3 3 3 2 3" xfId="2385" xr:uid="{00000000-0005-0000-0000-0000B1310000}"/>
    <cellStyle name="백분율 4 3 3 3 3" xfId="2386" xr:uid="{00000000-0005-0000-0000-0000B2310000}"/>
    <cellStyle name="백분율 4 3 3 3 4" xfId="2387" xr:uid="{00000000-0005-0000-0000-0000B3310000}"/>
    <cellStyle name="백분율 4 3 3 4" xfId="2388" xr:uid="{00000000-0005-0000-0000-0000B4310000}"/>
    <cellStyle name="백분율 4 3 3 4 2" xfId="2389" xr:uid="{00000000-0005-0000-0000-0000B5310000}"/>
    <cellStyle name="백분율 4 3 3 4 3" xfId="2390" xr:uid="{00000000-0005-0000-0000-0000B6310000}"/>
    <cellStyle name="백분율 4 3 3 5" xfId="2391" xr:uid="{00000000-0005-0000-0000-0000B7310000}"/>
    <cellStyle name="백분율 4 3 3 5 2" xfId="2392" xr:uid="{00000000-0005-0000-0000-0000B8310000}"/>
    <cellStyle name="백분율 4 3 3 5 3" xfId="2393" xr:uid="{00000000-0005-0000-0000-0000B9310000}"/>
    <cellStyle name="백분율 4 3 3 6" xfId="2394" xr:uid="{00000000-0005-0000-0000-0000BA310000}"/>
    <cellStyle name="백분율 4 3 3 7" xfId="2395" xr:uid="{00000000-0005-0000-0000-0000BB310000}"/>
    <cellStyle name="백분율 4 3 4" xfId="2396" xr:uid="{00000000-0005-0000-0000-0000BC310000}"/>
    <cellStyle name="백분율 4 3 4 2" xfId="2397" xr:uid="{00000000-0005-0000-0000-0000BD310000}"/>
    <cellStyle name="백분율 4 3 4 2 2" xfId="2398" xr:uid="{00000000-0005-0000-0000-0000BE310000}"/>
    <cellStyle name="백분율 4 3 4 2 2 2" xfId="2399" xr:uid="{00000000-0005-0000-0000-0000BF310000}"/>
    <cellStyle name="백분율 4 3 4 2 2 3" xfId="2400" xr:uid="{00000000-0005-0000-0000-0000C0310000}"/>
    <cellStyle name="백분율 4 3 4 2 3" xfId="2401" xr:uid="{00000000-0005-0000-0000-0000C1310000}"/>
    <cellStyle name="백분율 4 3 4 2 4" xfId="2402" xr:uid="{00000000-0005-0000-0000-0000C2310000}"/>
    <cellStyle name="백분율 4 3 4 3" xfId="2403" xr:uid="{00000000-0005-0000-0000-0000C3310000}"/>
    <cellStyle name="백분율 4 3 4 3 2" xfId="2404" xr:uid="{00000000-0005-0000-0000-0000C4310000}"/>
    <cellStyle name="백분율 4 3 4 3 2 2" xfId="2405" xr:uid="{00000000-0005-0000-0000-0000C5310000}"/>
    <cellStyle name="백분율 4 3 4 3 2 3" xfId="2406" xr:uid="{00000000-0005-0000-0000-0000C6310000}"/>
    <cellStyle name="백분율 4 3 4 3 3" xfId="2407" xr:uid="{00000000-0005-0000-0000-0000C7310000}"/>
    <cellStyle name="백분율 4 3 4 3 4" xfId="2408" xr:uid="{00000000-0005-0000-0000-0000C8310000}"/>
    <cellStyle name="백분율 4 3 4 4" xfId="2409" xr:uid="{00000000-0005-0000-0000-0000C9310000}"/>
    <cellStyle name="백분율 4 3 4 4 2" xfId="2410" xr:uid="{00000000-0005-0000-0000-0000CA310000}"/>
    <cellStyle name="백분율 4 3 4 4 3" xfId="2411" xr:uid="{00000000-0005-0000-0000-0000CB310000}"/>
    <cellStyle name="백분율 4 3 4 5" xfId="2412" xr:uid="{00000000-0005-0000-0000-0000CC310000}"/>
    <cellStyle name="백분율 4 3 4 5 2" xfId="2413" xr:uid="{00000000-0005-0000-0000-0000CD310000}"/>
    <cellStyle name="백분율 4 3 4 5 3" xfId="2414" xr:uid="{00000000-0005-0000-0000-0000CE310000}"/>
    <cellStyle name="백분율 4 3 4 6" xfId="2415" xr:uid="{00000000-0005-0000-0000-0000CF310000}"/>
    <cellStyle name="백분율 4 3 4 7" xfId="2416" xr:uid="{00000000-0005-0000-0000-0000D0310000}"/>
    <cellStyle name="백분율 4 3 5" xfId="2417" xr:uid="{00000000-0005-0000-0000-0000D1310000}"/>
    <cellStyle name="백분율 4 3 5 2" xfId="2418" xr:uid="{00000000-0005-0000-0000-0000D2310000}"/>
    <cellStyle name="백분율 4 3 5 2 2" xfId="2419" xr:uid="{00000000-0005-0000-0000-0000D3310000}"/>
    <cellStyle name="백분율 4 3 5 2 3" xfId="2420" xr:uid="{00000000-0005-0000-0000-0000D4310000}"/>
    <cellStyle name="백분율 4 3 5 3" xfId="2421" xr:uid="{00000000-0005-0000-0000-0000D5310000}"/>
    <cellStyle name="백분율 4 3 5 4" xfId="2422" xr:uid="{00000000-0005-0000-0000-0000D6310000}"/>
    <cellStyle name="백분율 4 3 6" xfId="2423" xr:uid="{00000000-0005-0000-0000-0000D7310000}"/>
    <cellStyle name="백분율 4 3 6 2" xfId="2424" xr:uid="{00000000-0005-0000-0000-0000D8310000}"/>
    <cellStyle name="백분율 4 3 6 2 2" xfId="2425" xr:uid="{00000000-0005-0000-0000-0000D9310000}"/>
    <cellStyle name="백분율 4 3 6 2 3" xfId="2426" xr:uid="{00000000-0005-0000-0000-0000DA310000}"/>
    <cellStyle name="백분율 4 3 6 3" xfId="2427" xr:uid="{00000000-0005-0000-0000-0000DB310000}"/>
    <cellStyle name="백분율 4 3 6 4" xfId="2428" xr:uid="{00000000-0005-0000-0000-0000DC310000}"/>
    <cellStyle name="백분율 4 3 7" xfId="2429" xr:uid="{00000000-0005-0000-0000-0000DD310000}"/>
    <cellStyle name="백분율 4 3 7 2" xfId="2430" xr:uid="{00000000-0005-0000-0000-0000DE310000}"/>
    <cellStyle name="백분율 4 3 7 3" xfId="2431" xr:uid="{00000000-0005-0000-0000-0000DF310000}"/>
    <cellStyle name="백분율 4 3 8" xfId="2432" xr:uid="{00000000-0005-0000-0000-0000E0310000}"/>
    <cellStyle name="백분율 4 3 8 2" xfId="2433" xr:uid="{00000000-0005-0000-0000-0000E1310000}"/>
    <cellStyle name="백분율 4 3 8 3" xfId="2434" xr:uid="{00000000-0005-0000-0000-0000E2310000}"/>
    <cellStyle name="백분율 4 3 9" xfId="2435" xr:uid="{00000000-0005-0000-0000-0000E3310000}"/>
    <cellStyle name="백분율 4 3 9 2" xfId="2436" xr:uid="{00000000-0005-0000-0000-0000E4310000}"/>
    <cellStyle name="백분율 4 3 9 3" xfId="2437" xr:uid="{00000000-0005-0000-0000-0000E5310000}"/>
    <cellStyle name="백분율 4 4" xfId="2438" xr:uid="{00000000-0005-0000-0000-0000E6310000}"/>
    <cellStyle name="백분율 4 4 2" xfId="2439" xr:uid="{00000000-0005-0000-0000-0000E7310000}"/>
    <cellStyle name="백분율 4 4 2 2" xfId="12020" xr:uid="{00000000-0005-0000-0000-0000E8310000}"/>
    <cellStyle name="백분율 4 4 2 3" xfId="12021" xr:uid="{00000000-0005-0000-0000-0000E9310000}"/>
    <cellStyle name="백분율 4 4 2 4" xfId="12022" xr:uid="{00000000-0005-0000-0000-0000EA310000}"/>
    <cellStyle name="백분율 4 4 3" xfId="2440" xr:uid="{00000000-0005-0000-0000-0000EB310000}"/>
    <cellStyle name="백분율 4 4 3 2" xfId="2441" xr:uid="{00000000-0005-0000-0000-0000EC310000}"/>
    <cellStyle name="백분율 4 4 3 2 2" xfId="2442" xr:uid="{00000000-0005-0000-0000-0000ED310000}"/>
    <cellStyle name="백분율 4 4 3 2 2 2" xfId="2443" xr:uid="{00000000-0005-0000-0000-0000EE310000}"/>
    <cellStyle name="백분율 4 4 3 2 2 3" xfId="2444" xr:uid="{00000000-0005-0000-0000-0000EF310000}"/>
    <cellStyle name="백분율 4 4 3 2 3" xfId="2445" xr:uid="{00000000-0005-0000-0000-0000F0310000}"/>
    <cellStyle name="백분율 4 4 3 2 4" xfId="2446" xr:uid="{00000000-0005-0000-0000-0000F1310000}"/>
    <cellStyle name="백분율 4 4 3 3" xfId="2447" xr:uid="{00000000-0005-0000-0000-0000F2310000}"/>
    <cellStyle name="백분율 4 4 3 3 2" xfId="2448" xr:uid="{00000000-0005-0000-0000-0000F3310000}"/>
    <cellStyle name="백분율 4 4 3 3 2 2" xfId="2449" xr:uid="{00000000-0005-0000-0000-0000F4310000}"/>
    <cellStyle name="백분율 4 4 3 3 2 3" xfId="2450" xr:uid="{00000000-0005-0000-0000-0000F5310000}"/>
    <cellStyle name="백분율 4 4 3 3 3" xfId="2451" xr:uid="{00000000-0005-0000-0000-0000F6310000}"/>
    <cellStyle name="백분율 4 4 3 3 4" xfId="2452" xr:uid="{00000000-0005-0000-0000-0000F7310000}"/>
    <cellStyle name="백분율 4 4 3 4" xfId="2453" xr:uid="{00000000-0005-0000-0000-0000F8310000}"/>
    <cellStyle name="백분율 4 4 3 4 2" xfId="2454" xr:uid="{00000000-0005-0000-0000-0000F9310000}"/>
    <cellStyle name="백분율 4 4 3 4 3" xfId="2455" xr:uid="{00000000-0005-0000-0000-0000FA310000}"/>
    <cellStyle name="백분율 4 4 3 5" xfId="2456" xr:uid="{00000000-0005-0000-0000-0000FB310000}"/>
    <cellStyle name="백분율 4 4 3 5 2" xfId="2457" xr:uid="{00000000-0005-0000-0000-0000FC310000}"/>
    <cellStyle name="백분율 4 4 3 5 3" xfId="2458" xr:uid="{00000000-0005-0000-0000-0000FD310000}"/>
    <cellStyle name="백분율 4 4 3 6" xfId="2459" xr:uid="{00000000-0005-0000-0000-0000FE310000}"/>
    <cellStyle name="백분율 4 4 3 7" xfId="2460" xr:uid="{00000000-0005-0000-0000-0000FF310000}"/>
    <cellStyle name="백분율 4 4 4" xfId="2461" xr:uid="{00000000-0005-0000-0000-000000320000}"/>
    <cellStyle name="백분율 4 4 4 2" xfId="2462" xr:uid="{00000000-0005-0000-0000-000001320000}"/>
    <cellStyle name="백분율 4 4 4 2 2" xfId="2463" xr:uid="{00000000-0005-0000-0000-000002320000}"/>
    <cellStyle name="백분율 4 4 4 2 3" xfId="2464" xr:uid="{00000000-0005-0000-0000-000003320000}"/>
    <cellStyle name="백분율 4 4 4 3" xfId="2465" xr:uid="{00000000-0005-0000-0000-000004320000}"/>
    <cellStyle name="백분율 4 4 4 4" xfId="2466" xr:uid="{00000000-0005-0000-0000-000005320000}"/>
    <cellStyle name="백분율 4 4 5" xfId="2467" xr:uid="{00000000-0005-0000-0000-000006320000}"/>
    <cellStyle name="백분율 4 4 5 2" xfId="2468" xr:uid="{00000000-0005-0000-0000-000007320000}"/>
    <cellStyle name="백분율 4 4 5 2 2" xfId="2469" xr:uid="{00000000-0005-0000-0000-000008320000}"/>
    <cellStyle name="백분율 4 4 5 2 3" xfId="2470" xr:uid="{00000000-0005-0000-0000-000009320000}"/>
    <cellStyle name="백분율 4 4 5 3" xfId="2471" xr:uid="{00000000-0005-0000-0000-00000A320000}"/>
    <cellStyle name="백분율 4 4 5 4" xfId="2472" xr:uid="{00000000-0005-0000-0000-00000B320000}"/>
    <cellStyle name="백분율 4 4 6" xfId="2473" xr:uid="{00000000-0005-0000-0000-00000C320000}"/>
    <cellStyle name="백분율 4 4 6 2" xfId="2474" xr:uid="{00000000-0005-0000-0000-00000D320000}"/>
    <cellStyle name="백분율 4 4 6 3" xfId="2475" xr:uid="{00000000-0005-0000-0000-00000E320000}"/>
    <cellStyle name="백분율 4 4 7" xfId="2476" xr:uid="{00000000-0005-0000-0000-00000F320000}"/>
    <cellStyle name="백분율 4 4 8" xfId="2477" xr:uid="{00000000-0005-0000-0000-000010320000}"/>
    <cellStyle name="백분율 4 4 9" xfId="2478" xr:uid="{00000000-0005-0000-0000-000011320000}"/>
    <cellStyle name="백분율 4 5" xfId="2479" xr:uid="{00000000-0005-0000-0000-000012320000}"/>
    <cellStyle name="백분율 4 5 2" xfId="2480" xr:uid="{00000000-0005-0000-0000-000013320000}"/>
    <cellStyle name="백분율 4 5 3" xfId="2481" xr:uid="{00000000-0005-0000-0000-000014320000}"/>
    <cellStyle name="백분율 4 5 3 2" xfId="2482" xr:uid="{00000000-0005-0000-0000-000015320000}"/>
    <cellStyle name="백분율 4 5 3 2 2" xfId="2483" xr:uid="{00000000-0005-0000-0000-000016320000}"/>
    <cellStyle name="백분율 4 5 3 2 2 2" xfId="2484" xr:uid="{00000000-0005-0000-0000-000017320000}"/>
    <cellStyle name="백분율 4 5 3 2 2 3" xfId="2485" xr:uid="{00000000-0005-0000-0000-000018320000}"/>
    <cellStyle name="백분율 4 5 3 2 3" xfId="2486" xr:uid="{00000000-0005-0000-0000-000019320000}"/>
    <cellStyle name="백분율 4 5 3 2 4" xfId="2487" xr:uid="{00000000-0005-0000-0000-00001A320000}"/>
    <cellStyle name="백분율 4 5 3 3" xfId="2488" xr:uid="{00000000-0005-0000-0000-00001B320000}"/>
    <cellStyle name="백분율 4 5 3 3 2" xfId="2489" xr:uid="{00000000-0005-0000-0000-00001C320000}"/>
    <cellStyle name="백분율 4 5 3 3 2 2" xfId="2490" xr:uid="{00000000-0005-0000-0000-00001D320000}"/>
    <cellStyle name="백분율 4 5 3 3 2 3" xfId="2491" xr:uid="{00000000-0005-0000-0000-00001E320000}"/>
    <cellStyle name="백분율 4 5 3 3 3" xfId="2492" xr:uid="{00000000-0005-0000-0000-00001F320000}"/>
    <cellStyle name="백분율 4 5 3 3 4" xfId="2493" xr:uid="{00000000-0005-0000-0000-000020320000}"/>
    <cellStyle name="백분율 4 5 3 4" xfId="2494" xr:uid="{00000000-0005-0000-0000-000021320000}"/>
    <cellStyle name="백분율 4 5 3 4 2" xfId="2495" xr:uid="{00000000-0005-0000-0000-000022320000}"/>
    <cellStyle name="백분율 4 5 3 4 3" xfId="2496" xr:uid="{00000000-0005-0000-0000-000023320000}"/>
    <cellStyle name="백분율 4 5 3 5" xfId="2497" xr:uid="{00000000-0005-0000-0000-000024320000}"/>
    <cellStyle name="백분율 4 5 3 5 2" xfId="2498" xr:uid="{00000000-0005-0000-0000-000025320000}"/>
    <cellStyle name="백분율 4 5 3 5 3" xfId="2499" xr:uid="{00000000-0005-0000-0000-000026320000}"/>
    <cellStyle name="백분율 4 5 3 6" xfId="2500" xr:uid="{00000000-0005-0000-0000-000027320000}"/>
    <cellStyle name="백분율 4 5 3 7" xfId="2501" xr:uid="{00000000-0005-0000-0000-000028320000}"/>
    <cellStyle name="백분율 4 5 4" xfId="2502" xr:uid="{00000000-0005-0000-0000-000029320000}"/>
    <cellStyle name="백분율 4 5 4 2" xfId="2503" xr:uid="{00000000-0005-0000-0000-00002A320000}"/>
    <cellStyle name="백분율 4 5 4 2 2" xfId="2504" xr:uid="{00000000-0005-0000-0000-00002B320000}"/>
    <cellStyle name="백분율 4 5 4 2 3" xfId="2505" xr:uid="{00000000-0005-0000-0000-00002C320000}"/>
    <cellStyle name="백분율 4 5 4 3" xfId="2506" xr:uid="{00000000-0005-0000-0000-00002D320000}"/>
    <cellStyle name="백분율 4 5 4 4" xfId="2507" xr:uid="{00000000-0005-0000-0000-00002E320000}"/>
    <cellStyle name="백분율 4 5 5" xfId="2508" xr:uid="{00000000-0005-0000-0000-00002F320000}"/>
    <cellStyle name="백분율 4 5 5 2" xfId="2509" xr:uid="{00000000-0005-0000-0000-000030320000}"/>
    <cellStyle name="백분율 4 5 5 2 2" xfId="2510" xr:uid="{00000000-0005-0000-0000-000031320000}"/>
    <cellStyle name="백분율 4 5 5 2 3" xfId="2511" xr:uid="{00000000-0005-0000-0000-000032320000}"/>
    <cellStyle name="백분율 4 5 5 3" xfId="2512" xr:uid="{00000000-0005-0000-0000-000033320000}"/>
    <cellStyle name="백분율 4 5 5 4" xfId="2513" xr:uid="{00000000-0005-0000-0000-000034320000}"/>
    <cellStyle name="백분율 4 5 6" xfId="2514" xr:uid="{00000000-0005-0000-0000-000035320000}"/>
    <cellStyle name="백분율 4 5 6 2" xfId="2515" xr:uid="{00000000-0005-0000-0000-000036320000}"/>
    <cellStyle name="백분율 4 5 6 3" xfId="2516" xr:uid="{00000000-0005-0000-0000-000037320000}"/>
    <cellStyle name="백분율 4 5 7" xfId="2517" xr:uid="{00000000-0005-0000-0000-000038320000}"/>
    <cellStyle name="백분율 4 5 8" xfId="2518" xr:uid="{00000000-0005-0000-0000-000039320000}"/>
    <cellStyle name="백분율 4 5 9" xfId="2519" xr:uid="{00000000-0005-0000-0000-00003A320000}"/>
    <cellStyle name="백분율 4 6" xfId="2520" xr:uid="{00000000-0005-0000-0000-00003B320000}"/>
    <cellStyle name="백분율 4 6 2" xfId="2521" xr:uid="{00000000-0005-0000-0000-00003C320000}"/>
    <cellStyle name="백분율 4 6 2 2" xfId="2522" xr:uid="{00000000-0005-0000-0000-00003D320000}"/>
    <cellStyle name="백분율 4 6 2 2 2" xfId="2523" xr:uid="{00000000-0005-0000-0000-00003E320000}"/>
    <cellStyle name="백분율 4 6 2 2 2 2" xfId="2524" xr:uid="{00000000-0005-0000-0000-00003F320000}"/>
    <cellStyle name="백분율 4 6 2 2 2 3" xfId="2525" xr:uid="{00000000-0005-0000-0000-000040320000}"/>
    <cellStyle name="백분율 4 6 2 2 3" xfId="2526" xr:uid="{00000000-0005-0000-0000-000041320000}"/>
    <cellStyle name="백분율 4 6 2 2 4" xfId="2527" xr:uid="{00000000-0005-0000-0000-000042320000}"/>
    <cellStyle name="백분율 4 6 2 3" xfId="2528" xr:uid="{00000000-0005-0000-0000-000043320000}"/>
    <cellStyle name="백분율 4 6 2 3 2" xfId="2529" xr:uid="{00000000-0005-0000-0000-000044320000}"/>
    <cellStyle name="백분율 4 6 2 3 2 2" xfId="2530" xr:uid="{00000000-0005-0000-0000-000045320000}"/>
    <cellStyle name="백분율 4 6 2 3 2 3" xfId="2531" xr:uid="{00000000-0005-0000-0000-000046320000}"/>
    <cellStyle name="백분율 4 6 2 3 3" xfId="2532" xr:uid="{00000000-0005-0000-0000-000047320000}"/>
    <cellStyle name="백분율 4 6 2 3 4" xfId="2533" xr:uid="{00000000-0005-0000-0000-000048320000}"/>
    <cellStyle name="백분율 4 6 2 4" xfId="2534" xr:uid="{00000000-0005-0000-0000-000049320000}"/>
    <cellStyle name="백분율 4 6 2 4 2" xfId="2535" xr:uid="{00000000-0005-0000-0000-00004A320000}"/>
    <cellStyle name="백분율 4 6 2 4 3" xfId="2536" xr:uid="{00000000-0005-0000-0000-00004B320000}"/>
    <cellStyle name="백분율 4 6 2 5" xfId="2537" xr:uid="{00000000-0005-0000-0000-00004C320000}"/>
    <cellStyle name="백분율 4 6 2 5 2" xfId="2538" xr:uid="{00000000-0005-0000-0000-00004D320000}"/>
    <cellStyle name="백분율 4 6 2 5 3" xfId="2539" xr:uid="{00000000-0005-0000-0000-00004E320000}"/>
    <cellStyle name="백분율 4 6 2 6" xfId="2540" xr:uid="{00000000-0005-0000-0000-00004F320000}"/>
    <cellStyle name="백분율 4 6 2 7" xfId="2541" xr:uid="{00000000-0005-0000-0000-000050320000}"/>
    <cellStyle name="백분율 4 6 3" xfId="2542" xr:uid="{00000000-0005-0000-0000-000051320000}"/>
    <cellStyle name="백분율 4 6 3 2" xfId="2543" xr:uid="{00000000-0005-0000-0000-000052320000}"/>
    <cellStyle name="백분율 4 6 3 2 2" xfId="2544" xr:uid="{00000000-0005-0000-0000-000053320000}"/>
    <cellStyle name="백분율 4 6 3 2 3" xfId="2545" xr:uid="{00000000-0005-0000-0000-000054320000}"/>
    <cellStyle name="백분율 4 6 3 3" xfId="2546" xr:uid="{00000000-0005-0000-0000-000055320000}"/>
    <cellStyle name="백분율 4 6 3 4" xfId="2547" xr:uid="{00000000-0005-0000-0000-000056320000}"/>
    <cellStyle name="백분율 4 6 4" xfId="2548" xr:uid="{00000000-0005-0000-0000-000057320000}"/>
    <cellStyle name="백분율 4 6 4 2" xfId="2549" xr:uid="{00000000-0005-0000-0000-000058320000}"/>
    <cellStyle name="백분율 4 6 4 2 2" xfId="2550" xr:uid="{00000000-0005-0000-0000-000059320000}"/>
    <cellStyle name="백분율 4 6 4 2 3" xfId="2551" xr:uid="{00000000-0005-0000-0000-00005A320000}"/>
    <cellStyle name="백분율 4 6 4 3" xfId="2552" xr:uid="{00000000-0005-0000-0000-00005B320000}"/>
    <cellStyle name="백분율 4 6 4 4" xfId="2553" xr:uid="{00000000-0005-0000-0000-00005C320000}"/>
    <cellStyle name="백분율 4 6 5" xfId="2554" xr:uid="{00000000-0005-0000-0000-00005D320000}"/>
    <cellStyle name="백분율 4 6 5 2" xfId="2555" xr:uid="{00000000-0005-0000-0000-00005E320000}"/>
    <cellStyle name="백분율 4 6 5 3" xfId="2556" xr:uid="{00000000-0005-0000-0000-00005F320000}"/>
    <cellStyle name="백분율 4 6 6" xfId="2557" xr:uid="{00000000-0005-0000-0000-000060320000}"/>
    <cellStyle name="백분율 4 6 6 2" xfId="2558" xr:uid="{00000000-0005-0000-0000-000061320000}"/>
    <cellStyle name="백분율 4 6 6 3" xfId="2559" xr:uid="{00000000-0005-0000-0000-000062320000}"/>
    <cellStyle name="백분율 4 6 7" xfId="2560" xr:uid="{00000000-0005-0000-0000-000063320000}"/>
    <cellStyle name="백분율 4 6 8" xfId="2561" xr:uid="{00000000-0005-0000-0000-000064320000}"/>
    <cellStyle name="백분율 4 7" xfId="2562" xr:uid="{00000000-0005-0000-0000-000065320000}"/>
    <cellStyle name="백분율 4 7 2" xfId="2563" xr:uid="{00000000-0005-0000-0000-000066320000}"/>
    <cellStyle name="백분율 4 7 2 2" xfId="2564" xr:uid="{00000000-0005-0000-0000-000067320000}"/>
    <cellStyle name="백분율 4 7 2 2 2" xfId="2565" xr:uid="{00000000-0005-0000-0000-000068320000}"/>
    <cellStyle name="백분율 4 7 2 2 3" xfId="2566" xr:uid="{00000000-0005-0000-0000-000069320000}"/>
    <cellStyle name="백분율 4 7 2 3" xfId="2567" xr:uid="{00000000-0005-0000-0000-00006A320000}"/>
    <cellStyle name="백분율 4 7 2 4" xfId="2568" xr:uid="{00000000-0005-0000-0000-00006B320000}"/>
    <cellStyle name="백분율 4 7 3" xfId="2569" xr:uid="{00000000-0005-0000-0000-00006C320000}"/>
    <cellStyle name="백분율 4 7 3 2" xfId="2570" xr:uid="{00000000-0005-0000-0000-00006D320000}"/>
    <cellStyle name="백분율 4 7 3 2 2" xfId="2571" xr:uid="{00000000-0005-0000-0000-00006E320000}"/>
    <cellStyle name="백분율 4 7 3 2 3" xfId="2572" xr:uid="{00000000-0005-0000-0000-00006F320000}"/>
    <cellStyle name="백분율 4 7 3 3" xfId="2573" xr:uid="{00000000-0005-0000-0000-000070320000}"/>
    <cellStyle name="백분율 4 7 3 4" xfId="2574" xr:uid="{00000000-0005-0000-0000-000071320000}"/>
    <cellStyle name="백분율 4 7 4" xfId="2575" xr:uid="{00000000-0005-0000-0000-000072320000}"/>
    <cellStyle name="백분율 4 7 4 2" xfId="2576" xr:uid="{00000000-0005-0000-0000-000073320000}"/>
    <cellStyle name="백분율 4 7 4 3" xfId="2577" xr:uid="{00000000-0005-0000-0000-000074320000}"/>
    <cellStyle name="백분율 4 7 5" xfId="2578" xr:uid="{00000000-0005-0000-0000-000075320000}"/>
    <cellStyle name="백분율 4 7 5 2" xfId="2579" xr:uid="{00000000-0005-0000-0000-000076320000}"/>
    <cellStyle name="백분율 4 7 5 3" xfId="2580" xr:uid="{00000000-0005-0000-0000-000077320000}"/>
    <cellStyle name="백분율 4 7 6" xfId="2581" xr:uid="{00000000-0005-0000-0000-000078320000}"/>
    <cellStyle name="백분율 4 7 7" xfId="2582" xr:uid="{00000000-0005-0000-0000-000079320000}"/>
    <cellStyle name="백분율 4 8" xfId="2583" xr:uid="{00000000-0005-0000-0000-00007A320000}"/>
    <cellStyle name="백분율 4 8 2" xfId="2584" xr:uid="{00000000-0005-0000-0000-00007B320000}"/>
    <cellStyle name="백분율 4 8 2 2" xfId="2585" xr:uid="{00000000-0005-0000-0000-00007C320000}"/>
    <cellStyle name="백분율 4 8 2 2 2" xfId="2586" xr:uid="{00000000-0005-0000-0000-00007D320000}"/>
    <cellStyle name="백분율 4 8 2 2 3" xfId="2587" xr:uid="{00000000-0005-0000-0000-00007E320000}"/>
    <cellStyle name="백분율 4 8 2 3" xfId="2588" xr:uid="{00000000-0005-0000-0000-00007F320000}"/>
    <cellStyle name="백분율 4 8 2 4" xfId="2589" xr:uid="{00000000-0005-0000-0000-000080320000}"/>
    <cellStyle name="백분율 4 8 3" xfId="2590" xr:uid="{00000000-0005-0000-0000-000081320000}"/>
    <cellStyle name="백분율 4 8 3 2" xfId="2591" xr:uid="{00000000-0005-0000-0000-000082320000}"/>
    <cellStyle name="백분율 4 8 3 2 2" xfId="2592" xr:uid="{00000000-0005-0000-0000-000083320000}"/>
    <cellStyle name="백분율 4 8 3 2 3" xfId="2593" xr:uid="{00000000-0005-0000-0000-000084320000}"/>
    <cellStyle name="백분율 4 8 3 3" xfId="2594" xr:uid="{00000000-0005-0000-0000-000085320000}"/>
    <cellStyle name="백분율 4 8 3 4" xfId="2595" xr:uid="{00000000-0005-0000-0000-000086320000}"/>
    <cellStyle name="백분율 4 8 4" xfId="2596" xr:uid="{00000000-0005-0000-0000-000087320000}"/>
    <cellStyle name="백분율 4 8 4 2" xfId="2597" xr:uid="{00000000-0005-0000-0000-000088320000}"/>
    <cellStyle name="백분율 4 8 4 3" xfId="2598" xr:uid="{00000000-0005-0000-0000-000089320000}"/>
    <cellStyle name="백분율 4 8 5" xfId="2599" xr:uid="{00000000-0005-0000-0000-00008A320000}"/>
    <cellStyle name="백분율 4 8 5 2" xfId="2600" xr:uid="{00000000-0005-0000-0000-00008B320000}"/>
    <cellStyle name="백분율 4 8 5 3" xfId="2601" xr:uid="{00000000-0005-0000-0000-00008C320000}"/>
    <cellStyle name="백분율 4 8 6" xfId="2602" xr:uid="{00000000-0005-0000-0000-00008D320000}"/>
    <cellStyle name="백분율 4 8 7" xfId="2603" xr:uid="{00000000-0005-0000-0000-00008E320000}"/>
    <cellStyle name="백분율 4 9" xfId="2604" xr:uid="{00000000-0005-0000-0000-00008F320000}"/>
    <cellStyle name="백분율 4 9 2" xfId="2605" xr:uid="{00000000-0005-0000-0000-000090320000}"/>
    <cellStyle name="백분율 4 9 2 2" xfId="2606" xr:uid="{00000000-0005-0000-0000-000091320000}"/>
    <cellStyle name="백분율 4 9 2 3" xfId="2607" xr:uid="{00000000-0005-0000-0000-000092320000}"/>
    <cellStyle name="백분율 4 9 3" xfId="2608" xr:uid="{00000000-0005-0000-0000-000093320000}"/>
    <cellStyle name="백분율 4 9 4" xfId="2609" xr:uid="{00000000-0005-0000-0000-000094320000}"/>
    <cellStyle name="백분율 5" xfId="16" xr:uid="{00000000-0005-0000-0000-000095320000}"/>
    <cellStyle name="백분율 5 10" xfId="2610" xr:uid="{00000000-0005-0000-0000-000096320000}"/>
    <cellStyle name="백분율 5 10 2" xfId="2611" xr:uid="{00000000-0005-0000-0000-000097320000}"/>
    <cellStyle name="백분율 5 10 3" xfId="2612" xr:uid="{00000000-0005-0000-0000-000098320000}"/>
    <cellStyle name="백분율 5 11" xfId="2613" xr:uid="{00000000-0005-0000-0000-000099320000}"/>
    <cellStyle name="백분율 5 11 2" xfId="2614" xr:uid="{00000000-0005-0000-0000-00009A320000}"/>
    <cellStyle name="백분율 5 12" xfId="2615" xr:uid="{00000000-0005-0000-0000-00009B320000}"/>
    <cellStyle name="백분율 5 12 2" xfId="2616" xr:uid="{00000000-0005-0000-0000-00009C320000}"/>
    <cellStyle name="백분율 5 13" xfId="2617" xr:uid="{00000000-0005-0000-0000-00009D320000}"/>
    <cellStyle name="백분율 5 13 2" xfId="2618" xr:uid="{00000000-0005-0000-0000-00009E320000}"/>
    <cellStyle name="백분율 5 14" xfId="2619" xr:uid="{00000000-0005-0000-0000-00009F320000}"/>
    <cellStyle name="백분율 5 14 2" xfId="2620" xr:uid="{00000000-0005-0000-0000-0000A0320000}"/>
    <cellStyle name="백분율 5 15" xfId="2621" xr:uid="{00000000-0005-0000-0000-0000A1320000}"/>
    <cellStyle name="백분율 5 16" xfId="2622" xr:uid="{00000000-0005-0000-0000-0000A2320000}"/>
    <cellStyle name="백분율 5 17" xfId="17123" xr:uid="{00000000-0005-0000-0000-0000A3320000}"/>
    <cellStyle name="백분율 5 2" xfId="2623" xr:uid="{00000000-0005-0000-0000-0000A4320000}"/>
    <cellStyle name="백분율 5 2 2" xfId="2624" xr:uid="{00000000-0005-0000-0000-0000A5320000}"/>
    <cellStyle name="백분율 5 2 2 2" xfId="2625" xr:uid="{00000000-0005-0000-0000-0000A6320000}"/>
    <cellStyle name="백분율 5 2 2 2 2" xfId="2626" xr:uid="{00000000-0005-0000-0000-0000A7320000}"/>
    <cellStyle name="백분율 5 2 2 2 2 2" xfId="2627" xr:uid="{00000000-0005-0000-0000-0000A8320000}"/>
    <cellStyle name="백분율 5 2 2 2 2 3" xfId="2628" xr:uid="{00000000-0005-0000-0000-0000A9320000}"/>
    <cellStyle name="백분율 5 2 2 2 3" xfId="2629" xr:uid="{00000000-0005-0000-0000-0000AA320000}"/>
    <cellStyle name="백분율 5 2 2 2 4" xfId="2630" xr:uid="{00000000-0005-0000-0000-0000AB320000}"/>
    <cellStyle name="백분율 5 2 2 3" xfId="2631" xr:uid="{00000000-0005-0000-0000-0000AC320000}"/>
    <cellStyle name="백분율 5 2 2 3 2" xfId="2632" xr:uid="{00000000-0005-0000-0000-0000AD320000}"/>
    <cellStyle name="백분율 5 2 2 3 2 2" xfId="2633" xr:uid="{00000000-0005-0000-0000-0000AE320000}"/>
    <cellStyle name="백분율 5 2 2 3 2 3" xfId="2634" xr:uid="{00000000-0005-0000-0000-0000AF320000}"/>
    <cellStyle name="백분율 5 2 2 3 3" xfId="2635" xr:uid="{00000000-0005-0000-0000-0000B0320000}"/>
    <cellStyle name="백분율 5 2 2 3 4" xfId="2636" xr:uid="{00000000-0005-0000-0000-0000B1320000}"/>
    <cellStyle name="백분율 5 2 2 4" xfId="2637" xr:uid="{00000000-0005-0000-0000-0000B2320000}"/>
    <cellStyle name="백분율 5 2 2 4 2" xfId="2638" xr:uid="{00000000-0005-0000-0000-0000B3320000}"/>
    <cellStyle name="백분율 5 2 2 4 3" xfId="2639" xr:uid="{00000000-0005-0000-0000-0000B4320000}"/>
    <cellStyle name="백분율 5 2 2 5" xfId="2640" xr:uid="{00000000-0005-0000-0000-0000B5320000}"/>
    <cellStyle name="백분율 5 2 2 5 2" xfId="2641" xr:uid="{00000000-0005-0000-0000-0000B6320000}"/>
    <cellStyle name="백분율 5 2 2 5 3" xfId="2642" xr:uid="{00000000-0005-0000-0000-0000B7320000}"/>
    <cellStyle name="백분율 5 2 2 6" xfId="2643" xr:uid="{00000000-0005-0000-0000-0000B8320000}"/>
    <cellStyle name="백분율 5 2 2 7" xfId="2644" xr:uid="{00000000-0005-0000-0000-0000B9320000}"/>
    <cellStyle name="백분율 5 2 3" xfId="2645" xr:uid="{00000000-0005-0000-0000-0000BA320000}"/>
    <cellStyle name="백분율 5 2 3 2" xfId="2646" xr:uid="{00000000-0005-0000-0000-0000BB320000}"/>
    <cellStyle name="백분율 5 2 3 2 2" xfId="2647" xr:uid="{00000000-0005-0000-0000-0000BC320000}"/>
    <cellStyle name="백분율 5 2 3 2 3" xfId="2648" xr:uid="{00000000-0005-0000-0000-0000BD320000}"/>
    <cellStyle name="백분율 5 2 3 3" xfId="2649" xr:uid="{00000000-0005-0000-0000-0000BE320000}"/>
    <cellStyle name="백분율 5 2 3 4" xfId="2650" xr:uid="{00000000-0005-0000-0000-0000BF320000}"/>
    <cellStyle name="백분율 5 2 4" xfId="2651" xr:uid="{00000000-0005-0000-0000-0000C0320000}"/>
    <cellStyle name="백분율 5 2 4 2" xfId="2652" xr:uid="{00000000-0005-0000-0000-0000C1320000}"/>
    <cellStyle name="백분율 5 2 4 2 2" xfId="2653" xr:uid="{00000000-0005-0000-0000-0000C2320000}"/>
    <cellStyle name="백분율 5 2 4 2 3" xfId="2654" xr:uid="{00000000-0005-0000-0000-0000C3320000}"/>
    <cellStyle name="백분율 5 2 4 3" xfId="2655" xr:uid="{00000000-0005-0000-0000-0000C4320000}"/>
    <cellStyle name="백분율 5 2 4 4" xfId="2656" xr:uid="{00000000-0005-0000-0000-0000C5320000}"/>
    <cellStyle name="백분율 5 2 5" xfId="2657" xr:uid="{00000000-0005-0000-0000-0000C6320000}"/>
    <cellStyle name="백분율 5 2 5 2" xfId="2658" xr:uid="{00000000-0005-0000-0000-0000C7320000}"/>
    <cellStyle name="백분율 5 2 5 3" xfId="2659" xr:uid="{00000000-0005-0000-0000-0000C8320000}"/>
    <cellStyle name="백분율 5 2 6" xfId="2660" xr:uid="{00000000-0005-0000-0000-0000C9320000}"/>
    <cellStyle name="백분율 5 2 6 2" xfId="2661" xr:uid="{00000000-0005-0000-0000-0000CA320000}"/>
    <cellStyle name="백분율 5 2 6 3" xfId="2662" xr:uid="{00000000-0005-0000-0000-0000CB320000}"/>
    <cellStyle name="백분율 5 2 7" xfId="2663" xr:uid="{00000000-0005-0000-0000-0000CC320000}"/>
    <cellStyle name="백분율 5 2 8" xfId="2664" xr:uid="{00000000-0005-0000-0000-0000CD320000}"/>
    <cellStyle name="백분율 5 3" xfId="2665" xr:uid="{00000000-0005-0000-0000-0000CE320000}"/>
    <cellStyle name="백분율 5 3 2" xfId="2666" xr:uid="{00000000-0005-0000-0000-0000CF320000}"/>
    <cellStyle name="백분율 5 3 2 2" xfId="2667" xr:uid="{00000000-0005-0000-0000-0000D0320000}"/>
    <cellStyle name="백분율 5 3 2 2 2" xfId="2668" xr:uid="{00000000-0005-0000-0000-0000D1320000}"/>
    <cellStyle name="백분율 5 3 2 2 3" xfId="2669" xr:uid="{00000000-0005-0000-0000-0000D2320000}"/>
    <cellStyle name="백분율 5 3 2 3" xfId="2670" xr:uid="{00000000-0005-0000-0000-0000D3320000}"/>
    <cellStyle name="백분율 5 3 2 4" xfId="2671" xr:uid="{00000000-0005-0000-0000-0000D4320000}"/>
    <cellStyle name="백분율 5 3 3" xfId="2672" xr:uid="{00000000-0005-0000-0000-0000D5320000}"/>
    <cellStyle name="백분율 5 3 3 2" xfId="2673" xr:uid="{00000000-0005-0000-0000-0000D6320000}"/>
    <cellStyle name="백분율 5 3 3 2 2" xfId="2674" xr:uid="{00000000-0005-0000-0000-0000D7320000}"/>
    <cellStyle name="백분율 5 3 3 2 3" xfId="2675" xr:uid="{00000000-0005-0000-0000-0000D8320000}"/>
    <cellStyle name="백분율 5 3 3 3" xfId="2676" xr:uid="{00000000-0005-0000-0000-0000D9320000}"/>
    <cellStyle name="백분율 5 3 3 4" xfId="2677" xr:uid="{00000000-0005-0000-0000-0000DA320000}"/>
    <cellStyle name="백분율 5 3 4" xfId="2678" xr:uid="{00000000-0005-0000-0000-0000DB320000}"/>
    <cellStyle name="백분율 5 3 4 2" xfId="2679" xr:uid="{00000000-0005-0000-0000-0000DC320000}"/>
    <cellStyle name="백분율 5 3 4 3" xfId="2680" xr:uid="{00000000-0005-0000-0000-0000DD320000}"/>
    <cellStyle name="백분율 5 3 5" xfId="2681" xr:uid="{00000000-0005-0000-0000-0000DE320000}"/>
    <cellStyle name="백분율 5 3 5 2" xfId="2682" xr:uid="{00000000-0005-0000-0000-0000DF320000}"/>
    <cellStyle name="백분율 5 3 5 3" xfId="2683" xr:uid="{00000000-0005-0000-0000-0000E0320000}"/>
    <cellStyle name="백분율 5 3 6" xfId="2684" xr:uid="{00000000-0005-0000-0000-0000E1320000}"/>
    <cellStyle name="백분율 5 3 7" xfId="2685" xr:uid="{00000000-0005-0000-0000-0000E2320000}"/>
    <cellStyle name="백분율 5 3 8" xfId="12023" xr:uid="{00000000-0005-0000-0000-0000E3320000}"/>
    <cellStyle name="백분율 5 4" xfId="2686" xr:uid="{00000000-0005-0000-0000-0000E4320000}"/>
    <cellStyle name="백분율 5 4 2" xfId="2687" xr:uid="{00000000-0005-0000-0000-0000E5320000}"/>
    <cellStyle name="백분율 5 4 2 2" xfId="2688" xr:uid="{00000000-0005-0000-0000-0000E6320000}"/>
    <cellStyle name="백분율 5 4 2 2 2" xfId="2689" xr:uid="{00000000-0005-0000-0000-0000E7320000}"/>
    <cellStyle name="백분율 5 4 2 2 3" xfId="2690" xr:uid="{00000000-0005-0000-0000-0000E8320000}"/>
    <cellStyle name="백분율 5 4 2 3" xfId="2691" xr:uid="{00000000-0005-0000-0000-0000E9320000}"/>
    <cellStyle name="백분율 5 4 2 4" xfId="2692" xr:uid="{00000000-0005-0000-0000-0000EA320000}"/>
    <cellStyle name="백분율 5 4 3" xfId="2693" xr:uid="{00000000-0005-0000-0000-0000EB320000}"/>
    <cellStyle name="백분율 5 4 3 2" xfId="2694" xr:uid="{00000000-0005-0000-0000-0000EC320000}"/>
    <cellStyle name="백분율 5 4 3 2 2" xfId="2695" xr:uid="{00000000-0005-0000-0000-0000ED320000}"/>
    <cellStyle name="백분율 5 4 3 2 3" xfId="2696" xr:uid="{00000000-0005-0000-0000-0000EE320000}"/>
    <cellStyle name="백분율 5 4 3 3" xfId="2697" xr:uid="{00000000-0005-0000-0000-0000EF320000}"/>
    <cellStyle name="백분율 5 4 3 4" xfId="2698" xr:uid="{00000000-0005-0000-0000-0000F0320000}"/>
    <cellStyle name="백분율 5 4 4" xfId="2699" xr:uid="{00000000-0005-0000-0000-0000F1320000}"/>
    <cellStyle name="백분율 5 4 4 2" xfId="2700" xr:uid="{00000000-0005-0000-0000-0000F2320000}"/>
    <cellStyle name="백분율 5 4 4 3" xfId="2701" xr:uid="{00000000-0005-0000-0000-0000F3320000}"/>
    <cellStyle name="백분율 5 4 5" xfId="2702" xr:uid="{00000000-0005-0000-0000-0000F4320000}"/>
    <cellStyle name="백분율 5 4 5 2" xfId="2703" xr:uid="{00000000-0005-0000-0000-0000F5320000}"/>
    <cellStyle name="백분율 5 4 5 3" xfId="2704" xr:uid="{00000000-0005-0000-0000-0000F6320000}"/>
    <cellStyle name="백분율 5 4 6" xfId="2705" xr:uid="{00000000-0005-0000-0000-0000F7320000}"/>
    <cellStyle name="백분율 5 4 7" xfId="2706" xr:uid="{00000000-0005-0000-0000-0000F8320000}"/>
    <cellStyle name="백분율 5 5" xfId="2707" xr:uid="{00000000-0005-0000-0000-0000F9320000}"/>
    <cellStyle name="백분율 5 5 2" xfId="2708" xr:uid="{00000000-0005-0000-0000-0000FA320000}"/>
    <cellStyle name="백분율 5 5 2 2" xfId="2709" xr:uid="{00000000-0005-0000-0000-0000FB320000}"/>
    <cellStyle name="백분율 5 5 2 3" xfId="2710" xr:uid="{00000000-0005-0000-0000-0000FC320000}"/>
    <cellStyle name="백분율 5 5 3" xfId="2711" xr:uid="{00000000-0005-0000-0000-0000FD320000}"/>
    <cellStyle name="백분율 5 5 4" xfId="2712" xr:uid="{00000000-0005-0000-0000-0000FE320000}"/>
    <cellStyle name="백분율 5 6" xfId="2713" xr:uid="{00000000-0005-0000-0000-0000FF320000}"/>
    <cellStyle name="백분율 5 6 2" xfId="2714" xr:uid="{00000000-0005-0000-0000-000000330000}"/>
    <cellStyle name="백분율 5 6 2 2" xfId="2715" xr:uid="{00000000-0005-0000-0000-000001330000}"/>
    <cellStyle name="백분율 5 6 2 3" xfId="2716" xr:uid="{00000000-0005-0000-0000-000002330000}"/>
    <cellStyle name="백분율 5 6 3" xfId="2717" xr:uid="{00000000-0005-0000-0000-000003330000}"/>
    <cellStyle name="백분율 5 6 4" xfId="2718" xr:uid="{00000000-0005-0000-0000-000004330000}"/>
    <cellStyle name="백분율 5 7" xfId="2719" xr:uid="{00000000-0005-0000-0000-000005330000}"/>
    <cellStyle name="백분율 5 7 2" xfId="2720" xr:uid="{00000000-0005-0000-0000-000006330000}"/>
    <cellStyle name="백분율 5 7 3" xfId="2721" xr:uid="{00000000-0005-0000-0000-000007330000}"/>
    <cellStyle name="백분율 5 8" xfId="2722" xr:uid="{00000000-0005-0000-0000-000008330000}"/>
    <cellStyle name="백분율 5 8 2" xfId="2723" xr:uid="{00000000-0005-0000-0000-000009330000}"/>
    <cellStyle name="백분율 5 8 3" xfId="2724" xr:uid="{00000000-0005-0000-0000-00000A330000}"/>
    <cellStyle name="백분율 5 9" xfId="2725" xr:uid="{00000000-0005-0000-0000-00000B330000}"/>
    <cellStyle name="백분율 5 9 2" xfId="2726" xr:uid="{00000000-0005-0000-0000-00000C330000}"/>
    <cellStyle name="백분율 5 9 3" xfId="2727" xr:uid="{00000000-0005-0000-0000-00000D330000}"/>
    <cellStyle name="백분율 6" xfId="17" xr:uid="{00000000-0005-0000-0000-00000E330000}"/>
    <cellStyle name="백분율 6 10" xfId="2728" xr:uid="{00000000-0005-0000-0000-00000F330000}"/>
    <cellStyle name="백분율 6 10 2" xfId="2729" xr:uid="{00000000-0005-0000-0000-000010330000}"/>
    <cellStyle name="백분율 6 10 3" xfId="2730" xr:uid="{00000000-0005-0000-0000-000011330000}"/>
    <cellStyle name="백분율 6 11" xfId="2731" xr:uid="{00000000-0005-0000-0000-000012330000}"/>
    <cellStyle name="백분율 6 11 2" xfId="2732" xr:uid="{00000000-0005-0000-0000-000013330000}"/>
    <cellStyle name="백분율 6 12" xfId="2733" xr:uid="{00000000-0005-0000-0000-000014330000}"/>
    <cellStyle name="백분율 6 12 2" xfId="2734" xr:uid="{00000000-0005-0000-0000-000015330000}"/>
    <cellStyle name="백분율 6 13" xfId="2735" xr:uid="{00000000-0005-0000-0000-000016330000}"/>
    <cellStyle name="백분율 6 13 2" xfId="2736" xr:uid="{00000000-0005-0000-0000-000017330000}"/>
    <cellStyle name="백분율 6 14" xfId="2737" xr:uid="{00000000-0005-0000-0000-000018330000}"/>
    <cellStyle name="백분율 6 14 2" xfId="2738" xr:uid="{00000000-0005-0000-0000-000019330000}"/>
    <cellStyle name="백분율 6 15" xfId="2739" xr:uid="{00000000-0005-0000-0000-00001A330000}"/>
    <cellStyle name="백분율 6 16" xfId="2740" xr:uid="{00000000-0005-0000-0000-00001B330000}"/>
    <cellStyle name="백분율 6 17" xfId="17124" xr:uid="{00000000-0005-0000-0000-00001C330000}"/>
    <cellStyle name="백분율 6 2" xfId="2741" xr:uid="{00000000-0005-0000-0000-00001D330000}"/>
    <cellStyle name="백분율 6 2 2" xfId="2742" xr:uid="{00000000-0005-0000-0000-00001E330000}"/>
    <cellStyle name="백분율 6 2 2 2" xfId="2743" xr:uid="{00000000-0005-0000-0000-00001F330000}"/>
    <cellStyle name="백분율 6 2 2 2 2" xfId="2744" xr:uid="{00000000-0005-0000-0000-000020330000}"/>
    <cellStyle name="백분율 6 2 2 2 2 2" xfId="2745" xr:uid="{00000000-0005-0000-0000-000021330000}"/>
    <cellStyle name="백분율 6 2 2 2 2 3" xfId="2746" xr:uid="{00000000-0005-0000-0000-000022330000}"/>
    <cellStyle name="백분율 6 2 2 2 3" xfId="2747" xr:uid="{00000000-0005-0000-0000-000023330000}"/>
    <cellStyle name="백분율 6 2 2 2 4" xfId="2748" xr:uid="{00000000-0005-0000-0000-000024330000}"/>
    <cellStyle name="백분율 6 2 2 3" xfId="2749" xr:uid="{00000000-0005-0000-0000-000025330000}"/>
    <cellStyle name="백분율 6 2 2 3 2" xfId="2750" xr:uid="{00000000-0005-0000-0000-000026330000}"/>
    <cellStyle name="백분율 6 2 2 3 2 2" xfId="2751" xr:uid="{00000000-0005-0000-0000-000027330000}"/>
    <cellStyle name="백분율 6 2 2 3 2 3" xfId="2752" xr:uid="{00000000-0005-0000-0000-000028330000}"/>
    <cellStyle name="백분율 6 2 2 3 3" xfId="2753" xr:uid="{00000000-0005-0000-0000-000029330000}"/>
    <cellStyle name="백분율 6 2 2 3 4" xfId="2754" xr:uid="{00000000-0005-0000-0000-00002A330000}"/>
    <cellStyle name="백분율 6 2 2 4" xfId="2755" xr:uid="{00000000-0005-0000-0000-00002B330000}"/>
    <cellStyle name="백분율 6 2 2 4 2" xfId="2756" xr:uid="{00000000-0005-0000-0000-00002C330000}"/>
    <cellStyle name="백분율 6 2 2 4 3" xfId="2757" xr:uid="{00000000-0005-0000-0000-00002D330000}"/>
    <cellStyle name="백분율 6 2 2 5" xfId="2758" xr:uid="{00000000-0005-0000-0000-00002E330000}"/>
    <cellStyle name="백분율 6 2 2 5 2" xfId="2759" xr:uid="{00000000-0005-0000-0000-00002F330000}"/>
    <cellStyle name="백분율 6 2 2 5 3" xfId="2760" xr:uid="{00000000-0005-0000-0000-000030330000}"/>
    <cellStyle name="백분율 6 2 2 6" xfId="2761" xr:uid="{00000000-0005-0000-0000-000031330000}"/>
    <cellStyle name="백분율 6 2 2 7" xfId="2762" xr:uid="{00000000-0005-0000-0000-000032330000}"/>
    <cellStyle name="백분율 6 2 3" xfId="2763" xr:uid="{00000000-0005-0000-0000-000033330000}"/>
    <cellStyle name="백분율 6 2 3 2" xfId="2764" xr:uid="{00000000-0005-0000-0000-000034330000}"/>
    <cellStyle name="백분율 6 2 3 2 2" xfId="2765" xr:uid="{00000000-0005-0000-0000-000035330000}"/>
    <cellStyle name="백분율 6 2 3 2 3" xfId="2766" xr:uid="{00000000-0005-0000-0000-000036330000}"/>
    <cellStyle name="백분율 6 2 3 3" xfId="2767" xr:uid="{00000000-0005-0000-0000-000037330000}"/>
    <cellStyle name="백분율 6 2 3 4" xfId="2768" xr:uid="{00000000-0005-0000-0000-000038330000}"/>
    <cellStyle name="백분율 6 2 4" xfId="2769" xr:uid="{00000000-0005-0000-0000-000039330000}"/>
    <cellStyle name="백분율 6 2 4 2" xfId="2770" xr:uid="{00000000-0005-0000-0000-00003A330000}"/>
    <cellStyle name="백분율 6 2 4 2 2" xfId="2771" xr:uid="{00000000-0005-0000-0000-00003B330000}"/>
    <cellStyle name="백분율 6 2 4 2 3" xfId="2772" xr:uid="{00000000-0005-0000-0000-00003C330000}"/>
    <cellStyle name="백분율 6 2 4 3" xfId="2773" xr:uid="{00000000-0005-0000-0000-00003D330000}"/>
    <cellStyle name="백분율 6 2 4 4" xfId="2774" xr:uid="{00000000-0005-0000-0000-00003E330000}"/>
    <cellStyle name="백분율 6 2 5" xfId="2775" xr:uid="{00000000-0005-0000-0000-00003F330000}"/>
    <cellStyle name="백분율 6 2 5 2" xfId="2776" xr:uid="{00000000-0005-0000-0000-000040330000}"/>
    <cellStyle name="백분율 6 2 5 3" xfId="2777" xr:uid="{00000000-0005-0000-0000-000041330000}"/>
    <cellStyle name="백분율 6 2 6" xfId="2778" xr:uid="{00000000-0005-0000-0000-000042330000}"/>
    <cellStyle name="백분율 6 2 6 2" xfId="2779" xr:uid="{00000000-0005-0000-0000-000043330000}"/>
    <cellStyle name="백분율 6 2 6 3" xfId="2780" xr:uid="{00000000-0005-0000-0000-000044330000}"/>
    <cellStyle name="백분율 6 2 7" xfId="2781" xr:uid="{00000000-0005-0000-0000-000045330000}"/>
    <cellStyle name="백분율 6 2 8" xfId="2782" xr:uid="{00000000-0005-0000-0000-000046330000}"/>
    <cellStyle name="백분율 6 3" xfId="2783" xr:uid="{00000000-0005-0000-0000-000047330000}"/>
    <cellStyle name="백분율 6 3 2" xfId="2784" xr:uid="{00000000-0005-0000-0000-000048330000}"/>
    <cellStyle name="백분율 6 3 2 2" xfId="2785" xr:uid="{00000000-0005-0000-0000-000049330000}"/>
    <cellStyle name="백분율 6 3 2 2 2" xfId="2786" xr:uid="{00000000-0005-0000-0000-00004A330000}"/>
    <cellStyle name="백분율 6 3 2 2 3" xfId="2787" xr:uid="{00000000-0005-0000-0000-00004B330000}"/>
    <cellStyle name="백분율 6 3 2 3" xfId="2788" xr:uid="{00000000-0005-0000-0000-00004C330000}"/>
    <cellStyle name="백분율 6 3 2 4" xfId="2789" xr:uid="{00000000-0005-0000-0000-00004D330000}"/>
    <cellStyle name="백분율 6 3 3" xfId="2790" xr:uid="{00000000-0005-0000-0000-00004E330000}"/>
    <cellStyle name="백분율 6 3 3 2" xfId="2791" xr:uid="{00000000-0005-0000-0000-00004F330000}"/>
    <cellStyle name="백분율 6 3 3 2 2" xfId="2792" xr:uid="{00000000-0005-0000-0000-000050330000}"/>
    <cellStyle name="백분율 6 3 3 2 3" xfId="2793" xr:uid="{00000000-0005-0000-0000-000051330000}"/>
    <cellStyle name="백분율 6 3 3 3" xfId="2794" xr:uid="{00000000-0005-0000-0000-000052330000}"/>
    <cellStyle name="백분율 6 3 3 4" xfId="2795" xr:uid="{00000000-0005-0000-0000-000053330000}"/>
    <cellStyle name="백분율 6 3 4" xfId="2796" xr:uid="{00000000-0005-0000-0000-000054330000}"/>
    <cellStyle name="백분율 6 3 4 2" xfId="2797" xr:uid="{00000000-0005-0000-0000-000055330000}"/>
    <cellStyle name="백분율 6 3 4 3" xfId="2798" xr:uid="{00000000-0005-0000-0000-000056330000}"/>
    <cellStyle name="백분율 6 3 5" xfId="2799" xr:uid="{00000000-0005-0000-0000-000057330000}"/>
    <cellStyle name="백분율 6 3 5 2" xfId="2800" xr:uid="{00000000-0005-0000-0000-000058330000}"/>
    <cellStyle name="백분율 6 3 5 3" xfId="2801" xr:uid="{00000000-0005-0000-0000-000059330000}"/>
    <cellStyle name="백분율 6 3 6" xfId="2802" xr:uid="{00000000-0005-0000-0000-00005A330000}"/>
    <cellStyle name="백분율 6 3 7" xfId="2803" xr:uid="{00000000-0005-0000-0000-00005B330000}"/>
    <cellStyle name="백분율 6 4" xfId="2804" xr:uid="{00000000-0005-0000-0000-00005C330000}"/>
    <cellStyle name="백분율 6 4 2" xfId="2805" xr:uid="{00000000-0005-0000-0000-00005D330000}"/>
    <cellStyle name="백분율 6 4 2 2" xfId="2806" xr:uid="{00000000-0005-0000-0000-00005E330000}"/>
    <cellStyle name="백분율 6 4 2 2 2" xfId="2807" xr:uid="{00000000-0005-0000-0000-00005F330000}"/>
    <cellStyle name="백분율 6 4 2 2 3" xfId="2808" xr:uid="{00000000-0005-0000-0000-000060330000}"/>
    <cellStyle name="백분율 6 4 2 3" xfId="2809" xr:uid="{00000000-0005-0000-0000-000061330000}"/>
    <cellStyle name="백분율 6 4 2 4" xfId="2810" xr:uid="{00000000-0005-0000-0000-000062330000}"/>
    <cellStyle name="백분율 6 4 3" xfId="2811" xr:uid="{00000000-0005-0000-0000-000063330000}"/>
    <cellStyle name="백분율 6 4 3 2" xfId="2812" xr:uid="{00000000-0005-0000-0000-000064330000}"/>
    <cellStyle name="백분율 6 4 3 2 2" xfId="2813" xr:uid="{00000000-0005-0000-0000-000065330000}"/>
    <cellStyle name="백분율 6 4 3 2 3" xfId="2814" xr:uid="{00000000-0005-0000-0000-000066330000}"/>
    <cellStyle name="백분율 6 4 3 3" xfId="2815" xr:uid="{00000000-0005-0000-0000-000067330000}"/>
    <cellStyle name="백분율 6 4 3 4" xfId="2816" xr:uid="{00000000-0005-0000-0000-000068330000}"/>
    <cellStyle name="백분율 6 4 4" xfId="2817" xr:uid="{00000000-0005-0000-0000-000069330000}"/>
    <cellStyle name="백분율 6 4 4 2" xfId="2818" xr:uid="{00000000-0005-0000-0000-00006A330000}"/>
    <cellStyle name="백분율 6 4 4 3" xfId="2819" xr:uid="{00000000-0005-0000-0000-00006B330000}"/>
    <cellStyle name="백분율 6 4 5" xfId="2820" xr:uid="{00000000-0005-0000-0000-00006C330000}"/>
    <cellStyle name="백분율 6 4 5 2" xfId="2821" xr:uid="{00000000-0005-0000-0000-00006D330000}"/>
    <cellStyle name="백분율 6 4 5 3" xfId="2822" xr:uid="{00000000-0005-0000-0000-00006E330000}"/>
    <cellStyle name="백분율 6 4 6" xfId="2823" xr:uid="{00000000-0005-0000-0000-00006F330000}"/>
    <cellStyle name="백분율 6 4 7" xfId="2824" xr:uid="{00000000-0005-0000-0000-000070330000}"/>
    <cellStyle name="백분율 6 5" xfId="2825" xr:uid="{00000000-0005-0000-0000-000071330000}"/>
    <cellStyle name="백분율 6 5 2" xfId="2826" xr:uid="{00000000-0005-0000-0000-000072330000}"/>
    <cellStyle name="백분율 6 5 2 2" xfId="2827" xr:uid="{00000000-0005-0000-0000-000073330000}"/>
    <cellStyle name="백분율 6 5 2 3" xfId="2828" xr:uid="{00000000-0005-0000-0000-000074330000}"/>
    <cellStyle name="백분율 6 5 3" xfId="2829" xr:uid="{00000000-0005-0000-0000-000075330000}"/>
    <cellStyle name="백분율 6 5 4" xfId="2830" xr:uid="{00000000-0005-0000-0000-000076330000}"/>
    <cellStyle name="백분율 6 6" xfId="2831" xr:uid="{00000000-0005-0000-0000-000077330000}"/>
    <cellStyle name="백분율 6 6 2" xfId="2832" xr:uid="{00000000-0005-0000-0000-000078330000}"/>
    <cellStyle name="백분율 6 6 2 2" xfId="2833" xr:uid="{00000000-0005-0000-0000-000079330000}"/>
    <cellStyle name="백분율 6 6 2 3" xfId="2834" xr:uid="{00000000-0005-0000-0000-00007A330000}"/>
    <cellStyle name="백분율 6 6 3" xfId="2835" xr:uid="{00000000-0005-0000-0000-00007B330000}"/>
    <cellStyle name="백분율 6 6 4" xfId="2836" xr:uid="{00000000-0005-0000-0000-00007C330000}"/>
    <cellStyle name="백분율 6 7" xfId="2837" xr:uid="{00000000-0005-0000-0000-00007D330000}"/>
    <cellStyle name="백분율 6 7 2" xfId="2838" xr:uid="{00000000-0005-0000-0000-00007E330000}"/>
    <cellStyle name="백분율 6 7 3" xfId="2839" xr:uid="{00000000-0005-0000-0000-00007F330000}"/>
    <cellStyle name="백분율 6 8" xfId="2840" xr:uid="{00000000-0005-0000-0000-000080330000}"/>
    <cellStyle name="백분율 6 8 2" xfId="2841" xr:uid="{00000000-0005-0000-0000-000081330000}"/>
    <cellStyle name="백분율 6 8 3" xfId="2842" xr:uid="{00000000-0005-0000-0000-000082330000}"/>
    <cellStyle name="백분율 6 9" xfId="2843" xr:uid="{00000000-0005-0000-0000-000083330000}"/>
    <cellStyle name="백분율 6 9 2" xfId="2844" xr:uid="{00000000-0005-0000-0000-000084330000}"/>
    <cellStyle name="백분율 6 9 3" xfId="2845" xr:uid="{00000000-0005-0000-0000-000085330000}"/>
    <cellStyle name="백분율 7" xfId="18" xr:uid="{00000000-0005-0000-0000-000086330000}"/>
    <cellStyle name="백분율 7 10" xfId="2846" xr:uid="{00000000-0005-0000-0000-000087330000}"/>
    <cellStyle name="백분율 7 10 2" xfId="2847" xr:uid="{00000000-0005-0000-0000-000088330000}"/>
    <cellStyle name="백분율 7 10 3" xfId="2848" xr:uid="{00000000-0005-0000-0000-000089330000}"/>
    <cellStyle name="백분율 7 11" xfId="2849" xr:uid="{00000000-0005-0000-0000-00008A330000}"/>
    <cellStyle name="백분율 7 11 2" xfId="2850" xr:uid="{00000000-0005-0000-0000-00008B330000}"/>
    <cellStyle name="백분율 7 12" xfId="2851" xr:uid="{00000000-0005-0000-0000-00008C330000}"/>
    <cellStyle name="백분율 7 12 2" xfId="2852" xr:uid="{00000000-0005-0000-0000-00008D330000}"/>
    <cellStyle name="백분율 7 13" xfId="2853" xr:uid="{00000000-0005-0000-0000-00008E330000}"/>
    <cellStyle name="백분율 7 13 2" xfId="2854" xr:uid="{00000000-0005-0000-0000-00008F330000}"/>
    <cellStyle name="백분율 7 14" xfId="2855" xr:uid="{00000000-0005-0000-0000-000090330000}"/>
    <cellStyle name="백분율 7 14 2" xfId="2856" xr:uid="{00000000-0005-0000-0000-000091330000}"/>
    <cellStyle name="백분율 7 15" xfId="2857" xr:uid="{00000000-0005-0000-0000-000092330000}"/>
    <cellStyle name="백분율 7 16" xfId="2858" xr:uid="{00000000-0005-0000-0000-000093330000}"/>
    <cellStyle name="백분율 7 17" xfId="17125" xr:uid="{00000000-0005-0000-0000-000094330000}"/>
    <cellStyle name="백분율 7 2" xfId="2859" xr:uid="{00000000-0005-0000-0000-000095330000}"/>
    <cellStyle name="백분율 7 2 2" xfId="2860" xr:uid="{00000000-0005-0000-0000-000096330000}"/>
    <cellStyle name="백분율 7 2 2 2" xfId="2861" xr:uid="{00000000-0005-0000-0000-000097330000}"/>
    <cellStyle name="백분율 7 2 2 2 2" xfId="2862" xr:uid="{00000000-0005-0000-0000-000098330000}"/>
    <cellStyle name="백분율 7 2 2 2 2 2" xfId="2863" xr:uid="{00000000-0005-0000-0000-000099330000}"/>
    <cellStyle name="백분율 7 2 2 2 2 3" xfId="2864" xr:uid="{00000000-0005-0000-0000-00009A330000}"/>
    <cellStyle name="백분율 7 2 2 2 3" xfId="2865" xr:uid="{00000000-0005-0000-0000-00009B330000}"/>
    <cellStyle name="백분율 7 2 2 2 4" xfId="2866" xr:uid="{00000000-0005-0000-0000-00009C330000}"/>
    <cellStyle name="백분율 7 2 2 3" xfId="2867" xr:uid="{00000000-0005-0000-0000-00009D330000}"/>
    <cellStyle name="백분율 7 2 2 3 2" xfId="2868" xr:uid="{00000000-0005-0000-0000-00009E330000}"/>
    <cellStyle name="백분율 7 2 2 3 2 2" xfId="2869" xr:uid="{00000000-0005-0000-0000-00009F330000}"/>
    <cellStyle name="백분율 7 2 2 3 2 3" xfId="2870" xr:uid="{00000000-0005-0000-0000-0000A0330000}"/>
    <cellStyle name="백분율 7 2 2 3 3" xfId="2871" xr:uid="{00000000-0005-0000-0000-0000A1330000}"/>
    <cellStyle name="백분율 7 2 2 3 4" xfId="2872" xr:uid="{00000000-0005-0000-0000-0000A2330000}"/>
    <cellStyle name="백분율 7 2 2 4" xfId="2873" xr:uid="{00000000-0005-0000-0000-0000A3330000}"/>
    <cellStyle name="백분율 7 2 2 4 2" xfId="2874" xr:uid="{00000000-0005-0000-0000-0000A4330000}"/>
    <cellStyle name="백분율 7 2 2 4 3" xfId="2875" xr:uid="{00000000-0005-0000-0000-0000A5330000}"/>
    <cellStyle name="백분율 7 2 2 5" xfId="2876" xr:uid="{00000000-0005-0000-0000-0000A6330000}"/>
    <cellStyle name="백분율 7 2 2 5 2" xfId="2877" xr:uid="{00000000-0005-0000-0000-0000A7330000}"/>
    <cellStyle name="백분율 7 2 2 5 3" xfId="2878" xr:uid="{00000000-0005-0000-0000-0000A8330000}"/>
    <cellStyle name="백분율 7 2 2 6" xfId="2879" xr:uid="{00000000-0005-0000-0000-0000A9330000}"/>
    <cellStyle name="백분율 7 2 2 7" xfId="2880" xr:uid="{00000000-0005-0000-0000-0000AA330000}"/>
    <cellStyle name="백분율 7 2 3" xfId="2881" xr:uid="{00000000-0005-0000-0000-0000AB330000}"/>
    <cellStyle name="백분율 7 2 3 2" xfId="2882" xr:uid="{00000000-0005-0000-0000-0000AC330000}"/>
    <cellStyle name="백분율 7 2 3 2 2" xfId="2883" xr:uid="{00000000-0005-0000-0000-0000AD330000}"/>
    <cellStyle name="백분율 7 2 3 2 3" xfId="2884" xr:uid="{00000000-0005-0000-0000-0000AE330000}"/>
    <cellStyle name="백분율 7 2 3 3" xfId="2885" xr:uid="{00000000-0005-0000-0000-0000AF330000}"/>
    <cellStyle name="백분율 7 2 3 4" xfId="2886" xr:uid="{00000000-0005-0000-0000-0000B0330000}"/>
    <cellStyle name="백분율 7 2 4" xfId="2887" xr:uid="{00000000-0005-0000-0000-0000B1330000}"/>
    <cellStyle name="백분율 7 2 4 2" xfId="2888" xr:uid="{00000000-0005-0000-0000-0000B2330000}"/>
    <cellStyle name="백분율 7 2 4 2 2" xfId="2889" xr:uid="{00000000-0005-0000-0000-0000B3330000}"/>
    <cellStyle name="백분율 7 2 4 2 3" xfId="2890" xr:uid="{00000000-0005-0000-0000-0000B4330000}"/>
    <cellStyle name="백분율 7 2 4 3" xfId="2891" xr:uid="{00000000-0005-0000-0000-0000B5330000}"/>
    <cellStyle name="백분율 7 2 4 4" xfId="2892" xr:uid="{00000000-0005-0000-0000-0000B6330000}"/>
    <cellStyle name="백분율 7 2 5" xfId="2893" xr:uid="{00000000-0005-0000-0000-0000B7330000}"/>
    <cellStyle name="백분율 7 2 5 2" xfId="2894" xr:uid="{00000000-0005-0000-0000-0000B8330000}"/>
    <cellStyle name="백분율 7 2 5 3" xfId="2895" xr:uid="{00000000-0005-0000-0000-0000B9330000}"/>
    <cellStyle name="백분율 7 2 6" xfId="2896" xr:uid="{00000000-0005-0000-0000-0000BA330000}"/>
    <cellStyle name="백분율 7 2 6 2" xfId="2897" xr:uid="{00000000-0005-0000-0000-0000BB330000}"/>
    <cellStyle name="백분율 7 2 6 3" xfId="2898" xr:uid="{00000000-0005-0000-0000-0000BC330000}"/>
    <cellStyle name="백분율 7 2 7" xfId="2899" xr:uid="{00000000-0005-0000-0000-0000BD330000}"/>
    <cellStyle name="백분율 7 2 8" xfId="2900" xr:uid="{00000000-0005-0000-0000-0000BE330000}"/>
    <cellStyle name="백분율 7 3" xfId="2901" xr:uid="{00000000-0005-0000-0000-0000BF330000}"/>
    <cellStyle name="백분율 7 3 2" xfId="2902" xr:uid="{00000000-0005-0000-0000-0000C0330000}"/>
    <cellStyle name="백분율 7 3 2 2" xfId="2903" xr:uid="{00000000-0005-0000-0000-0000C1330000}"/>
    <cellStyle name="백분율 7 3 2 2 2" xfId="2904" xr:uid="{00000000-0005-0000-0000-0000C2330000}"/>
    <cellStyle name="백분율 7 3 2 2 3" xfId="2905" xr:uid="{00000000-0005-0000-0000-0000C3330000}"/>
    <cellStyle name="백분율 7 3 2 3" xfId="2906" xr:uid="{00000000-0005-0000-0000-0000C4330000}"/>
    <cellStyle name="백분율 7 3 2 4" xfId="2907" xr:uid="{00000000-0005-0000-0000-0000C5330000}"/>
    <cellStyle name="백분율 7 3 3" xfId="2908" xr:uid="{00000000-0005-0000-0000-0000C6330000}"/>
    <cellStyle name="백분율 7 3 3 2" xfId="2909" xr:uid="{00000000-0005-0000-0000-0000C7330000}"/>
    <cellStyle name="백분율 7 3 3 2 2" xfId="2910" xr:uid="{00000000-0005-0000-0000-0000C8330000}"/>
    <cellStyle name="백분율 7 3 3 2 3" xfId="2911" xr:uid="{00000000-0005-0000-0000-0000C9330000}"/>
    <cellStyle name="백분율 7 3 3 3" xfId="2912" xr:uid="{00000000-0005-0000-0000-0000CA330000}"/>
    <cellStyle name="백분율 7 3 3 4" xfId="2913" xr:uid="{00000000-0005-0000-0000-0000CB330000}"/>
    <cellStyle name="백분율 7 3 4" xfId="2914" xr:uid="{00000000-0005-0000-0000-0000CC330000}"/>
    <cellStyle name="백분율 7 3 4 2" xfId="2915" xr:uid="{00000000-0005-0000-0000-0000CD330000}"/>
    <cellStyle name="백분율 7 3 4 3" xfId="2916" xr:uid="{00000000-0005-0000-0000-0000CE330000}"/>
    <cellStyle name="백분율 7 3 5" xfId="2917" xr:uid="{00000000-0005-0000-0000-0000CF330000}"/>
    <cellStyle name="백분율 7 3 5 2" xfId="2918" xr:uid="{00000000-0005-0000-0000-0000D0330000}"/>
    <cellStyle name="백분율 7 3 5 3" xfId="2919" xr:uid="{00000000-0005-0000-0000-0000D1330000}"/>
    <cellStyle name="백분율 7 3 6" xfId="2920" xr:uid="{00000000-0005-0000-0000-0000D2330000}"/>
    <cellStyle name="백분율 7 3 7" xfId="2921" xr:uid="{00000000-0005-0000-0000-0000D3330000}"/>
    <cellStyle name="백분율 7 4" xfId="2922" xr:uid="{00000000-0005-0000-0000-0000D4330000}"/>
    <cellStyle name="백분율 7 4 2" xfId="2923" xr:uid="{00000000-0005-0000-0000-0000D5330000}"/>
    <cellStyle name="백분율 7 4 2 2" xfId="2924" xr:uid="{00000000-0005-0000-0000-0000D6330000}"/>
    <cellStyle name="백분율 7 4 2 2 2" xfId="2925" xr:uid="{00000000-0005-0000-0000-0000D7330000}"/>
    <cellStyle name="백분율 7 4 2 2 3" xfId="2926" xr:uid="{00000000-0005-0000-0000-0000D8330000}"/>
    <cellStyle name="백분율 7 4 2 3" xfId="2927" xr:uid="{00000000-0005-0000-0000-0000D9330000}"/>
    <cellStyle name="백분율 7 4 2 4" xfId="2928" xr:uid="{00000000-0005-0000-0000-0000DA330000}"/>
    <cellStyle name="백분율 7 4 3" xfId="2929" xr:uid="{00000000-0005-0000-0000-0000DB330000}"/>
    <cellStyle name="백분율 7 4 3 2" xfId="2930" xr:uid="{00000000-0005-0000-0000-0000DC330000}"/>
    <cellStyle name="백분율 7 4 3 2 2" xfId="2931" xr:uid="{00000000-0005-0000-0000-0000DD330000}"/>
    <cellStyle name="백분율 7 4 3 2 3" xfId="2932" xr:uid="{00000000-0005-0000-0000-0000DE330000}"/>
    <cellStyle name="백분율 7 4 3 3" xfId="2933" xr:uid="{00000000-0005-0000-0000-0000DF330000}"/>
    <cellStyle name="백분율 7 4 3 4" xfId="2934" xr:uid="{00000000-0005-0000-0000-0000E0330000}"/>
    <cellStyle name="백분율 7 4 4" xfId="2935" xr:uid="{00000000-0005-0000-0000-0000E1330000}"/>
    <cellStyle name="백분율 7 4 4 2" xfId="2936" xr:uid="{00000000-0005-0000-0000-0000E2330000}"/>
    <cellStyle name="백분율 7 4 4 3" xfId="2937" xr:uid="{00000000-0005-0000-0000-0000E3330000}"/>
    <cellStyle name="백분율 7 4 5" xfId="2938" xr:uid="{00000000-0005-0000-0000-0000E4330000}"/>
    <cellStyle name="백분율 7 4 5 2" xfId="2939" xr:uid="{00000000-0005-0000-0000-0000E5330000}"/>
    <cellStyle name="백분율 7 4 5 3" xfId="2940" xr:uid="{00000000-0005-0000-0000-0000E6330000}"/>
    <cellStyle name="백분율 7 4 6" xfId="2941" xr:uid="{00000000-0005-0000-0000-0000E7330000}"/>
    <cellStyle name="백분율 7 4 7" xfId="2942" xr:uid="{00000000-0005-0000-0000-0000E8330000}"/>
    <cellStyle name="백분율 7 5" xfId="2943" xr:uid="{00000000-0005-0000-0000-0000E9330000}"/>
    <cellStyle name="백분율 7 5 2" xfId="2944" xr:uid="{00000000-0005-0000-0000-0000EA330000}"/>
    <cellStyle name="백분율 7 5 2 2" xfId="2945" xr:uid="{00000000-0005-0000-0000-0000EB330000}"/>
    <cellStyle name="백분율 7 5 2 3" xfId="2946" xr:uid="{00000000-0005-0000-0000-0000EC330000}"/>
    <cellStyle name="백분율 7 5 3" xfId="2947" xr:uid="{00000000-0005-0000-0000-0000ED330000}"/>
    <cellStyle name="백분율 7 5 4" xfId="2948" xr:uid="{00000000-0005-0000-0000-0000EE330000}"/>
    <cellStyle name="백분율 7 6" xfId="2949" xr:uid="{00000000-0005-0000-0000-0000EF330000}"/>
    <cellStyle name="백분율 7 6 2" xfId="2950" xr:uid="{00000000-0005-0000-0000-0000F0330000}"/>
    <cellStyle name="백분율 7 6 2 2" xfId="2951" xr:uid="{00000000-0005-0000-0000-0000F1330000}"/>
    <cellStyle name="백분율 7 6 2 3" xfId="2952" xr:uid="{00000000-0005-0000-0000-0000F2330000}"/>
    <cellStyle name="백분율 7 6 3" xfId="2953" xr:uid="{00000000-0005-0000-0000-0000F3330000}"/>
    <cellStyle name="백분율 7 6 4" xfId="2954" xr:uid="{00000000-0005-0000-0000-0000F4330000}"/>
    <cellStyle name="백분율 7 7" xfId="2955" xr:uid="{00000000-0005-0000-0000-0000F5330000}"/>
    <cellStyle name="백분율 7 7 2" xfId="2956" xr:uid="{00000000-0005-0000-0000-0000F6330000}"/>
    <cellStyle name="백분율 7 7 3" xfId="2957" xr:uid="{00000000-0005-0000-0000-0000F7330000}"/>
    <cellStyle name="백분율 7 8" xfId="2958" xr:uid="{00000000-0005-0000-0000-0000F8330000}"/>
    <cellStyle name="백분율 7 8 2" xfId="2959" xr:uid="{00000000-0005-0000-0000-0000F9330000}"/>
    <cellStyle name="백분율 7 8 3" xfId="2960" xr:uid="{00000000-0005-0000-0000-0000FA330000}"/>
    <cellStyle name="백분율 7 9" xfId="2961" xr:uid="{00000000-0005-0000-0000-0000FB330000}"/>
    <cellStyle name="백분율 7 9 2" xfId="2962" xr:uid="{00000000-0005-0000-0000-0000FC330000}"/>
    <cellStyle name="백분율 7 9 3" xfId="2963" xr:uid="{00000000-0005-0000-0000-0000FD330000}"/>
    <cellStyle name="백분율 8" xfId="19" xr:uid="{00000000-0005-0000-0000-0000FE330000}"/>
    <cellStyle name="백분율 8 10" xfId="2964" xr:uid="{00000000-0005-0000-0000-0000FF330000}"/>
    <cellStyle name="백분율 8 10 2" xfId="2965" xr:uid="{00000000-0005-0000-0000-000000340000}"/>
    <cellStyle name="백분율 8 10 3" xfId="2966" xr:uid="{00000000-0005-0000-0000-000001340000}"/>
    <cellStyle name="백분율 8 11" xfId="2967" xr:uid="{00000000-0005-0000-0000-000002340000}"/>
    <cellStyle name="백분율 8 11 2" xfId="2968" xr:uid="{00000000-0005-0000-0000-000003340000}"/>
    <cellStyle name="백분율 8 12" xfId="2969" xr:uid="{00000000-0005-0000-0000-000004340000}"/>
    <cellStyle name="백분율 8 12 2" xfId="2970" xr:uid="{00000000-0005-0000-0000-000005340000}"/>
    <cellStyle name="백분율 8 13" xfId="2971" xr:uid="{00000000-0005-0000-0000-000006340000}"/>
    <cellStyle name="백분율 8 13 2" xfId="2972" xr:uid="{00000000-0005-0000-0000-000007340000}"/>
    <cellStyle name="백분율 8 14" xfId="2973" xr:uid="{00000000-0005-0000-0000-000008340000}"/>
    <cellStyle name="백분율 8 14 2" xfId="2974" xr:uid="{00000000-0005-0000-0000-000009340000}"/>
    <cellStyle name="백분율 8 15" xfId="2975" xr:uid="{00000000-0005-0000-0000-00000A340000}"/>
    <cellStyle name="백분율 8 16" xfId="2976" xr:uid="{00000000-0005-0000-0000-00000B340000}"/>
    <cellStyle name="백분율 8 2" xfId="2977" xr:uid="{00000000-0005-0000-0000-00000C340000}"/>
    <cellStyle name="백분율 8 2 2" xfId="2978" xr:uid="{00000000-0005-0000-0000-00000D340000}"/>
    <cellStyle name="백분율 8 2 2 2" xfId="2979" xr:uid="{00000000-0005-0000-0000-00000E340000}"/>
    <cellStyle name="백분율 8 2 2 2 2" xfId="2980" xr:uid="{00000000-0005-0000-0000-00000F340000}"/>
    <cellStyle name="백분율 8 2 2 2 2 2" xfId="2981" xr:uid="{00000000-0005-0000-0000-000010340000}"/>
    <cellStyle name="백분율 8 2 2 2 2 3" xfId="2982" xr:uid="{00000000-0005-0000-0000-000011340000}"/>
    <cellStyle name="백분율 8 2 2 2 3" xfId="2983" xr:uid="{00000000-0005-0000-0000-000012340000}"/>
    <cellStyle name="백분율 8 2 2 2 4" xfId="2984" xr:uid="{00000000-0005-0000-0000-000013340000}"/>
    <cellStyle name="백분율 8 2 2 3" xfId="2985" xr:uid="{00000000-0005-0000-0000-000014340000}"/>
    <cellStyle name="백분율 8 2 2 3 2" xfId="2986" xr:uid="{00000000-0005-0000-0000-000015340000}"/>
    <cellStyle name="백분율 8 2 2 3 2 2" xfId="2987" xr:uid="{00000000-0005-0000-0000-000016340000}"/>
    <cellStyle name="백분율 8 2 2 3 2 3" xfId="2988" xr:uid="{00000000-0005-0000-0000-000017340000}"/>
    <cellStyle name="백분율 8 2 2 3 3" xfId="2989" xr:uid="{00000000-0005-0000-0000-000018340000}"/>
    <cellStyle name="백분율 8 2 2 3 4" xfId="2990" xr:uid="{00000000-0005-0000-0000-000019340000}"/>
    <cellStyle name="백분율 8 2 2 4" xfId="2991" xr:uid="{00000000-0005-0000-0000-00001A340000}"/>
    <cellStyle name="백분율 8 2 2 4 2" xfId="2992" xr:uid="{00000000-0005-0000-0000-00001B340000}"/>
    <cellStyle name="백분율 8 2 2 4 3" xfId="2993" xr:uid="{00000000-0005-0000-0000-00001C340000}"/>
    <cellStyle name="백분율 8 2 2 5" xfId="2994" xr:uid="{00000000-0005-0000-0000-00001D340000}"/>
    <cellStyle name="백분율 8 2 2 5 2" xfId="2995" xr:uid="{00000000-0005-0000-0000-00001E340000}"/>
    <cellStyle name="백분율 8 2 2 5 3" xfId="2996" xr:uid="{00000000-0005-0000-0000-00001F340000}"/>
    <cellStyle name="백분율 8 2 2 6" xfId="2997" xr:uid="{00000000-0005-0000-0000-000020340000}"/>
    <cellStyle name="백분율 8 2 2 7" xfId="2998" xr:uid="{00000000-0005-0000-0000-000021340000}"/>
    <cellStyle name="백분율 8 2 3" xfId="2999" xr:uid="{00000000-0005-0000-0000-000022340000}"/>
    <cellStyle name="백분율 8 2 3 2" xfId="3000" xr:uid="{00000000-0005-0000-0000-000023340000}"/>
    <cellStyle name="백분율 8 2 3 2 2" xfId="3001" xr:uid="{00000000-0005-0000-0000-000024340000}"/>
    <cellStyle name="백분율 8 2 3 2 3" xfId="3002" xr:uid="{00000000-0005-0000-0000-000025340000}"/>
    <cellStyle name="백분율 8 2 3 3" xfId="3003" xr:uid="{00000000-0005-0000-0000-000026340000}"/>
    <cellStyle name="백분율 8 2 3 4" xfId="3004" xr:uid="{00000000-0005-0000-0000-000027340000}"/>
    <cellStyle name="백분율 8 2 4" xfId="3005" xr:uid="{00000000-0005-0000-0000-000028340000}"/>
    <cellStyle name="백분율 8 2 4 2" xfId="3006" xr:uid="{00000000-0005-0000-0000-000029340000}"/>
    <cellStyle name="백분율 8 2 4 2 2" xfId="3007" xr:uid="{00000000-0005-0000-0000-00002A340000}"/>
    <cellStyle name="백분율 8 2 4 2 3" xfId="3008" xr:uid="{00000000-0005-0000-0000-00002B340000}"/>
    <cellStyle name="백분율 8 2 4 3" xfId="3009" xr:uid="{00000000-0005-0000-0000-00002C340000}"/>
    <cellStyle name="백분율 8 2 4 4" xfId="3010" xr:uid="{00000000-0005-0000-0000-00002D340000}"/>
    <cellStyle name="백분율 8 2 5" xfId="3011" xr:uid="{00000000-0005-0000-0000-00002E340000}"/>
    <cellStyle name="백분율 8 2 5 2" xfId="3012" xr:uid="{00000000-0005-0000-0000-00002F340000}"/>
    <cellStyle name="백분율 8 2 5 3" xfId="3013" xr:uid="{00000000-0005-0000-0000-000030340000}"/>
    <cellStyle name="백분율 8 2 6" xfId="3014" xr:uid="{00000000-0005-0000-0000-000031340000}"/>
    <cellStyle name="백분율 8 2 6 2" xfId="3015" xr:uid="{00000000-0005-0000-0000-000032340000}"/>
    <cellStyle name="백분율 8 2 6 3" xfId="3016" xr:uid="{00000000-0005-0000-0000-000033340000}"/>
    <cellStyle name="백분율 8 2 7" xfId="3017" xr:uid="{00000000-0005-0000-0000-000034340000}"/>
    <cellStyle name="백분율 8 2 8" xfId="3018" xr:uid="{00000000-0005-0000-0000-000035340000}"/>
    <cellStyle name="백분율 8 3" xfId="3019" xr:uid="{00000000-0005-0000-0000-000036340000}"/>
    <cellStyle name="백분율 8 3 2" xfId="3020" xr:uid="{00000000-0005-0000-0000-000037340000}"/>
    <cellStyle name="백분율 8 3 2 2" xfId="3021" xr:uid="{00000000-0005-0000-0000-000038340000}"/>
    <cellStyle name="백분율 8 3 2 2 2" xfId="3022" xr:uid="{00000000-0005-0000-0000-000039340000}"/>
    <cellStyle name="백분율 8 3 2 2 3" xfId="3023" xr:uid="{00000000-0005-0000-0000-00003A340000}"/>
    <cellStyle name="백분율 8 3 2 3" xfId="3024" xr:uid="{00000000-0005-0000-0000-00003B340000}"/>
    <cellStyle name="백분율 8 3 2 4" xfId="3025" xr:uid="{00000000-0005-0000-0000-00003C340000}"/>
    <cellStyle name="백분율 8 3 3" xfId="3026" xr:uid="{00000000-0005-0000-0000-00003D340000}"/>
    <cellStyle name="백분율 8 3 3 2" xfId="3027" xr:uid="{00000000-0005-0000-0000-00003E340000}"/>
    <cellStyle name="백분율 8 3 3 2 2" xfId="3028" xr:uid="{00000000-0005-0000-0000-00003F340000}"/>
    <cellStyle name="백분율 8 3 3 2 3" xfId="3029" xr:uid="{00000000-0005-0000-0000-000040340000}"/>
    <cellStyle name="백분율 8 3 3 3" xfId="3030" xr:uid="{00000000-0005-0000-0000-000041340000}"/>
    <cellStyle name="백분율 8 3 3 4" xfId="3031" xr:uid="{00000000-0005-0000-0000-000042340000}"/>
    <cellStyle name="백분율 8 3 4" xfId="3032" xr:uid="{00000000-0005-0000-0000-000043340000}"/>
    <cellStyle name="백분율 8 3 4 2" xfId="3033" xr:uid="{00000000-0005-0000-0000-000044340000}"/>
    <cellStyle name="백분율 8 3 4 3" xfId="3034" xr:uid="{00000000-0005-0000-0000-000045340000}"/>
    <cellStyle name="백분율 8 3 5" xfId="3035" xr:uid="{00000000-0005-0000-0000-000046340000}"/>
    <cellStyle name="백분율 8 3 5 2" xfId="3036" xr:uid="{00000000-0005-0000-0000-000047340000}"/>
    <cellStyle name="백분율 8 3 5 3" xfId="3037" xr:uid="{00000000-0005-0000-0000-000048340000}"/>
    <cellStyle name="백분율 8 3 6" xfId="3038" xr:uid="{00000000-0005-0000-0000-000049340000}"/>
    <cellStyle name="백분율 8 3 7" xfId="3039" xr:uid="{00000000-0005-0000-0000-00004A340000}"/>
    <cellStyle name="백분율 8 4" xfId="3040" xr:uid="{00000000-0005-0000-0000-00004B340000}"/>
    <cellStyle name="백분율 8 4 2" xfId="3041" xr:uid="{00000000-0005-0000-0000-00004C340000}"/>
    <cellStyle name="백분율 8 4 2 2" xfId="3042" xr:uid="{00000000-0005-0000-0000-00004D340000}"/>
    <cellStyle name="백분율 8 4 2 2 2" xfId="3043" xr:uid="{00000000-0005-0000-0000-00004E340000}"/>
    <cellStyle name="백분율 8 4 2 2 3" xfId="3044" xr:uid="{00000000-0005-0000-0000-00004F340000}"/>
    <cellStyle name="백분율 8 4 2 3" xfId="3045" xr:uid="{00000000-0005-0000-0000-000050340000}"/>
    <cellStyle name="백분율 8 4 2 4" xfId="3046" xr:uid="{00000000-0005-0000-0000-000051340000}"/>
    <cellStyle name="백분율 8 4 3" xfId="3047" xr:uid="{00000000-0005-0000-0000-000052340000}"/>
    <cellStyle name="백분율 8 4 3 2" xfId="3048" xr:uid="{00000000-0005-0000-0000-000053340000}"/>
    <cellStyle name="백분율 8 4 3 2 2" xfId="3049" xr:uid="{00000000-0005-0000-0000-000054340000}"/>
    <cellStyle name="백분율 8 4 3 2 3" xfId="3050" xr:uid="{00000000-0005-0000-0000-000055340000}"/>
    <cellStyle name="백분율 8 4 3 3" xfId="3051" xr:uid="{00000000-0005-0000-0000-000056340000}"/>
    <cellStyle name="백분율 8 4 3 4" xfId="3052" xr:uid="{00000000-0005-0000-0000-000057340000}"/>
    <cellStyle name="백분율 8 4 4" xfId="3053" xr:uid="{00000000-0005-0000-0000-000058340000}"/>
    <cellStyle name="백분율 8 4 4 2" xfId="3054" xr:uid="{00000000-0005-0000-0000-000059340000}"/>
    <cellStyle name="백분율 8 4 4 3" xfId="3055" xr:uid="{00000000-0005-0000-0000-00005A340000}"/>
    <cellStyle name="백분율 8 4 5" xfId="3056" xr:uid="{00000000-0005-0000-0000-00005B340000}"/>
    <cellStyle name="백분율 8 4 5 2" xfId="3057" xr:uid="{00000000-0005-0000-0000-00005C340000}"/>
    <cellStyle name="백분율 8 4 5 3" xfId="3058" xr:uid="{00000000-0005-0000-0000-00005D340000}"/>
    <cellStyle name="백분율 8 4 6" xfId="3059" xr:uid="{00000000-0005-0000-0000-00005E340000}"/>
    <cellStyle name="백분율 8 4 7" xfId="3060" xr:uid="{00000000-0005-0000-0000-00005F340000}"/>
    <cellStyle name="백분율 8 5" xfId="3061" xr:uid="{00000000-0005-0000-0000-000060340000}"/>
    <cellStyle name="백분율 8 5 2" xfId="3062" xr:uid="{00000000-0005-0000-0000-000061340000}"/>
    <cellStyle name="백분율 8 5 2 2" xfId="3063" xr:uid="{00000000-0005-0000-0000-000062340000}"/>
    <cellStyle name="백분율 8 5 2 3" xfId="3064" xr:uid="{00000000-0005-0000-0000-000063340000}"/>
    <cellStyle name="백분율 8 5 3" xfId="3065" xr:uid="{00000000-0005-0000-0000-000064340000}"/>
    <cellStyle name="백분율 8 5 4" xfId="3066" xr:uid="{00000000-0005-0000-0000-000065340000}"/>
    <cellStyle name="백분율 8 6" xfId="3067" xr:uid="{00000000-0005-0000-0000-000066340000}"/>
    <cellStyle name="백분율 8 6 2" xfId="3068" xr:uid="{00000000-0005-0000-0000-000067340000}"/>
    <cellStyle name="백분율 8 6 2 2" xfId="3069" xr:uid="{00000000-0005-0000-0000-000068340000}"/>
    <cellStyle name="백분율 8 6 2 3" xfId="3070" xr:uid="{00000000-0005-0000-0000-000069340000}"/>
    <cellStyle name="백분율 8 6 3" xfId="3071" xr:uid="{00000000-0005-0000-0000-00006A340000}"/>
    <cellStyle name="백분율 8 6 4" xfId="3072" xr:uid="{00000000-0005-0000-0000-00006B340000}"/>
    <cellStyle name="백분율 8 7" xfId="3073" xr:uid="{00000000-0005-0000-0000-00006C340000}"/>
    <cellStyle name="백분율 8 7 2" xfId="3074" xr:uid="{00000000-0005-0000-0000-00006D340000}"/>
    <cellStyle name="백분율 8 7 3" xfId="3075" xr:uid="{00000000-0005-0000-0000-00006E340000}"/>
    <cellStyle name="백분율 8 8" xfId="3076" xr:uid="{00000000-0005-0000-0000-00006F340000}"/>
    <cellStyle name="백분율 8 8 2" xfId="3077" xr:uid="{00000000-0005-0000-0000-000070340000}"/>
    <cellStyle name="백분율 8 8 3" xfId="3078" xr:uid="{00000000-0005-0000-0000-000071340000}"/>
    <cellStyle name="백분율 8 9" xfId="3079" xr:uid="{00000000-0005-0000-0000-000072340000}"/>
    <cellStyle name="백분율 8 9 2" xfId="3080" xr:uid="{00000000-0005-0000-0000-000073340000}"/>
    <cellStyle name="백분율 8 9 3" xfId="3081" xr:uid="{00000000-0005-0000-0000-000074340000}"/>
    <cellStyle name="백분율 9" xfId="20" xr:uid="{00000000-0005-0000-0000-000075340000}"/>
    <cellStyle name="백분율 9 10" xfId="3082" xr:uid="{00000000-0005-0000-0000-000076340000}"/>
    <cellStyle name="백분율 9 10 2" xfId="3083" xr:uid="{00000000-0005-0000-0000-000077340000}"/>
    <cellStyle name="백분율 9 10 3" xfId="3084" xr:uid="{00000000-0005-0000-0000-000078340000}"/>
    <cellStyle name="백분율 9 11" xfId="3085" xr:uid="{00000000-0005-0000-0000-000079340000}"/>
    <cellStyle name="백분율 9 11 2" xfId="3086" xr:uid="{00000000-0005-0000-0000-00007A340000}"/>
    <cellStyle name="백분율 9 12" xfId="3087" xr:uid="{00000000-0005-0000-0000-00007B340000}"/>
    <cellStyle name="백분율 9 12 2" xfId="3088" xr:uid="{00000000-0005-0000-0000-00007C340000}"/>
    <cellStyle name="백분율 9 13" xfId="3089" xr:uid="{00000000-0005-0000-0000-00007D340000}"/>
    <cellStyle name="백분율 9 13 2" xfId="3090" xr:uid="{00000000-0005-0000-0000-00007E340000}"/>
    <cellStyle name="백분율 9 14" xfId="3091" xr:uid="{00000000-0005-0000-0000-00007F340000}"/>
    <cellStyle name="백분율 9 14 2" xfId="3092" xr:uid="{00000000-0005-0000-0000-000080340000}"/>
    <cellStyle name="백분율 9 15" xfId="3093" xr:uid="{00000000-0005-0000-0000-000081340000}"/>
    <cellStyle name="백분율 9 16" xfId="3094" xr:uid="{00000000-0005-0000-0000-000082340000}"/>
    <cellStyle name="백분율 9 2" xfId="3095" xr:uid="{00000000-0005-0000-0000-000083340000}"/>
    <cellStyle name="백분율 9 2 2" xfId="3096" xr:uid="{00000000-0005-0000-0000-000084340000}"/>
    <cellStyle name="백분율 9 2 2 2" xfId="3097" xr:uid="{00000000-0005-0000-0000-000085340000}"/>
    <cellStyle name="백분율 9 2 2 2 2" xfId="3098" xr:uid="{00000000-0005-0000-0000-000086340000}"/>
    <cellStyle name="백분율 9 2 2 2 2 2" xfId="3099" xr:uid="{00000000-0005-0000-0000-000087340000}"/>
    <cellStyle name="백분율 9 2 2 2 2 3" xfId="3100" xr:uid="{00000000-0005-0000-0000-000088340000}"/>
    <cellStyle name="백분율 9 2 2 2 3" xfId="3101" xr:uid="{00000000-0005-0000-0000-000089340000}"/>
    <cellStyle name="백분율 9 2 2 2 4" xfId="3102" xr:uid="{00000000-0005-0000-0000-00008A340000}"/>
    <cellStyle name="백분율 9 2 2 3" xfId="3103" xr:uid="{00000000-0005-0000-0000-00008B340000}"/>
    <cellStyle name="백분율 9 2 2 3 2" xfId="3104" xr:uid="{00000000-0005-0000-0000-00008C340000}"/>
    <cellStyle name="백분율 9 2 2 3 2 2" xfId="3105" xr:uid="{00000000-0005-0000-0000-00008D340000}"/>
    <cellStyle name="백분율 9 2 2 3 2 3" xfId="3106" xr:uid="{00000000-0005-0000-0000-00008E340000}"/>
    <cellStyle name="백분율 9 2 2 3 3" xfId="3107" xr:uid="{00000000-0005-0000-0000-00008F340000}"/>
    <cellStyle name="백분율 9 2 2 3 4" xfId="3108" xr:uid="{00000000-0005-0000-0000-000090340000}"/>
    <cellStyle name="백분율 9 2 2 4" xfId="3109" xr:uid="{00000000-0005-0000-0000-000091340000}"/>
    <cellStyle name="백분율 9 2 2 4 2" xfId="3110" xr:uid="{00000000-0005-0000-0000-000092340000}"/>
    <cellStyle name="백분율 9 2 2 4 3" xfId="3111" xr:uid="{00000000-0005-0000-0000-000093340000}"/>
    <cellStyle name="백분율 9 2 2 5" xfId="3112" xr:uid="{00000000-0005-0000-0000-000094340000}"/>
    <cellStyle name="백분율 9 2 2 5 2" xfId="3113" xr:uid="{00000000-0005-0000-0000-000095340000}"/>
    <cellStyle name="백분율 9 2 2 5 3" xfId="3114" xr:uid="{00000000-0005-0000-0000-000096340000}"/>
    <cellStyle name="백분율 9 2 2 6" xfId="3115" xr:uid="{00000000-0005-0000-0000-000097340000}"/>
    <cellStyle name="백분율 9 2 2 7" xfId="3116" xr:uid="{00000000-0005-0000-0000-000098340000}"/>
    <cellStyle name="백분율 9 2 3" xfId="3117" xr:uid="{00000000-0005-0000-0000-000099340000}"/>
    <cellStyle name="백분율 9 2 3 2" xfId="3118" xr:uid="{00000000-0005-0000-0000-00009A340000}"/>
    <cellStyle name="백분율 9 2 3 2 2" xfId="3119" xr:uid="{00000000-0005-0000-0000-00009B340000}"/>
    <cellStyle name="백분율 9 2 3 2 3" xfId="3120" xr:uid="{00000000-0005-0000-0000-00009C340000}"/>
    <cellStyle name="백분율 9 2 3 3" xfId="3121" xr:uid="{00000000-0005-0000-0000-00009D340000}"/>
    <cellStyle name="백분율 9 2 3 4" xfId="3122" xr:uid="{00000000-0005-0000-0000-00009E340000}"/>
    <cellStyle name="백분율 9 2 4" xfId="3123" xr:uid="{00000000-0005-0000-0000-00009F340000}"/>
    <cellStyle name="백분율 9 2 4 2" xfId="3124" xr:uid="{00000000-0005-0000-0000-0000A0340000}"/>
    <cellStyle name="백분율 9 2 4 2 2" xfId="3125" xr:uid="{00000000-0005-0000-0000-0000A1340000}"/>
    <cellStyle name="백분율 9 2 4 2 3" xfId="3126" xr:uid="{00000000-0005-0000-0000-0000A2340000}"/>
    <cellStyle name="백분율 9 2 4 3" xfId="3127" xr:uid="{00000000-0005-0000-0000-0000A3340000}"/>
    <cellStyle name="백분율 9 2 4 4" xfId="3128" xr:uid="{00000000-0005-0000-0000-0000A4340000}"/>
    <cellStyle name="백분율 9 2 5" xfId="3129" xr:uid="{00000000-0005-0000-0000-0000A5340000}"/>
    <cellStyle name="백분율 9 2 5 2" xfId="3130" xr:uid="{00000000-0005-0000-0000-0000A6340000}"/>
    <cellStyle name="백분율 9 2 5 3" xfId="3131" xr:uid="{00000000-0005-0000-0000-0000A7340000}"/>
    <cellStyle name="백분율 9 2 6" xfId="3132" xr:uid="{00000000-0005-0000-0000-0000A8340000}"/>
    <cellStyle name="백분율 9 2 6 2" xfId="3133" xr:uid="{00000000-0005-0000-0000-0000A9340000}"/>
    <cellStyle name="백분율 9 2 6 3" xfId="3134" xr:uid="{00000000-0005-0000-0000-0000AA340000}"/>
    <cellStyle name="백분율 9 2 7" xfId="3135" xr:uid="{00000000-0005-0000-0000-0000AB340000}"/>
    <cellStyle name="백분율 9 2 8" xfId="3136" xr:uid="{00000000-0005-0000-0000-0000AC340000}"/>
    <cellStyle name="백분율 9 3" xfId="3137" xr:uid="{00000000-0005-0000-0000-0000AD340000}"/>
    <cellStyle name="백분율 9 3 2" xfId="3138" xr:uid="{00000000-0005-0000-0000-0000AE340000}"/>
    <cellStyle name="백분율 9 3 2 2" xfId="3139" xr:uid="{00000000-0005-0000-0000-0000AF340000}"/>
    <cellStyle name="백분율 9 3 2 2 2" xfId="3140" xr:uid="{00000000-0005-0000-0000-0000B0340000}"/>
    <cellStyle name="백분율 9 3 2 2 3" xfId="3141" xr:uid="{00000000-0005-0000-0000-0000B1340000}"/>
    <cellStyle name="백분율 9 3 2 3" xfId="3142" xr:uid="{00000000-0005-0000-0000-0000B2340000}"/>
    <cellStyle name="백분율 9 3 2 4" xfId="3143" xr:uid="{00000000-0005-0000-0000-0000B3340000}"/>
    <cellStyle name="백분율 9 3 3" xfId="3144" xr:uid="{00000000-0005-0000-0000-0000B4340000}"/>
    <cellStyle name="백분율 9 3 3 2" xfId="3145" xr:uid="{00000000-0005-0000-0000-0000B5340000}"/>
    <cellStyle name="백분율 9 3 3 2 2" xfId="3146" xr:uid="{00000000-0005-0000-0000-0000B6340000}"/>
    <cellStyle name="백분율 9 3 3 2 3" xfId="3147" xr:uid="{00000000-0005-0000-0000-0000B7340000}"/>
    <cellStyle name="백분율 9 3 3 3" xfId="3148" xr:uid="{00000000-0005-0000-0000-0000B8340000}"/>
    <cellStyle name="백분율 9 3 3 4" xfId="3149" xr:uid="{00000000-0005-0000-0000-0000B9340000}"/>
    <cellStyle name="백분율 9 3 4" xfId="3150" xr:uid="{00000000-0005-0000-0000-0000BA340000}"/>
    <cellStyle name="백분율 9 3 4 2" xfId="3151" xr:uid="{00000000-0005-0000-0000-0000BB340000}"/>
    <cellStyle name="백분율 9 3 4 3" xfId="3152" xr:uid="{00000000-0005-0000-0000-0000BC340000}"/>
    <cellStyle name="백분율 9 3 5" xfId="3153" xr:uid="{00000000-0005-0000-0000-0000BD340000}"/>
    <cellStyle name="백분율 9 3 5 2" xfId="3154" xr:uid="{00000000-0005-0000-0000-0000BE340000}"/>
    <cellStyle name="백분율 9 3 5 3" xfId="3155" xr:uid="{00000000-0005-0000-0000-0000BF340000}"/>
    <cellStyle name="백분율 9 3 6" xfId="3156" xr:uid="{00000000-0005-0000-0000-0000C0340000}"/>
    <cellStyle name="백분율 9 3 7" xfId="3157" xr:uid="{00000000-0005-0000-0000-0000C1340000}"/>
    <cellStyle name="백분율 9 4" xfId="3158" xr:uid="{00000000-0005-0000-0000-0000C2340000}"/>
    <cellStyle name="백분율 9 4 2" xfId="3159" xr:uid="{00000000-0005-0000-0000-0000C3340000}"/>
    <cellStyle name="백분율 9 4 2 2" xfId="3160" xr:uid="{00000000-0005-0000-0000-0000C4340000}"/>
    <cellStyle name="백분율 9 4 2 2 2" xfId="3161" xr:uid="{00000000-0005-0000-0000-0000C5340000}"/>
    <cellStyle name="백분율 9 4 2 2 3" xfId="3162" xr:uid="{00000000-0005-0000-0000-0000C6340000}"/>
    <cellStyle name="백분율 9 4 2 3" xfId="3163" xr:uid="{00000000-0005-0000-0000-0000C7340000}"/>
    <cellStyle name="백분율 9 4 2 4" xfId="3164" xr:uid="{00000000-0005-0000-0000-0000C8340000}"/>
    <cellStyle name="백분율 9 4 3" xfId="3165" xr:uid="{00000000-0005-0000-0000-0000C9340000}"/>
    <cellStyle name="백분율 9 4 3 2" xfId="3166" xr:uid="{00000000-0005-0000-0000-0000CA340000}"/>
    <cellStyle name="백분율 9 4 3 2 2" xfId="3167" xr:uid="{00000000-0005-0000-0000-0000CB340000}"/>
    <cellStyle name="백분율 9 4 3 2 3" xfId="3168" xr:uid="{00000000-0005-0000-0000-0000CC340000}"/>
    <cellStyle name="백분율 9 4 3 3" xfId="3169" xr:uid="{00000000-0005-0000-0000-0000CD340000}"/>
    <cellStyle name="백분율 9 4 3 4" xfId="3170" xr:uid="{00000000-0005-0000-0000-0000CE340000}"/>
    <cellStyle name="백분율 9 4 4" xfId="3171" xr:uid="{00000000-0005-0000-0000-0000CF340000}"/>
    <cellStyle name="백분율 9 4 4 2" xfId="3172" xr:uid="{00000000-0005-0000-0000-0000D0340000}"/>
    <cellStyle name="백분율 9 4 4 3" xfId="3173" xr:uid="{00000000-0005-0000-0000-0000D1340000}"/>
    <cellStyle name="백분율 9 4 5" xfId="3174" xr:uid="{00000000-0005-0000-0000-0000D2340000}"/>
    <cellStyle name="백분율 9 4 5 2" xfId="3175" xr:uid="{00000000-0005-0000-0000-0000D3340000}"/>
    <cellStyle name="백분율 9 4 5 3" xfId="3176" xr:uid="{00000000-0005-0000-0000-0000D4340000}"/>
    <cellStyle name="백분율 9 4 6" xfId="3177" xr:uid="{00000000-0005-0000-0000-0000D5340000}"/>
    <cellStyle name="백분율 9 4 7" xfId="3178" xr:uid="{00000000-0005-0000-0000-0000D6340000}"/>
    <cellStyle name="백분율 9 5" xfId="3179" xr:uid="{00000000-0005-0000-0000-0000D7340000}"/>
    <cellStyle name="백분율 9 5 2" xfId="3180" xr:uid="{00000000-0005-0000-0000-0000D8340000}"/>
    <cellStyle name="백분율 9 5 2 2" xfId="3181" xr:uid="{00000000-0005-0000-0000-0000D9340000}"/>
    <cellStyle name="백분율 9 5 2 3" xfId="3182" xr:uid="{00000000-0005-0000-0000-0000DA340000}"/>
    <cellStyle name="백분율 9 5 3" xfId="3183" xr:uid="{00000000-0005-0000-0000-0000DB340000}"/>
    <cellStyle name="백분율 9 5 4" xfId="3184" xr:uid="{00000000-0005-0000-0000-0000DC340000}"/>
    <cellStyle name="백분율 9 6" xfId="3185" xr:uid="{00000000-0005-0000-0000-0000DD340000}"/>
    <cellStyle name="백분율 9 6 2" xfId="3186" xr:uid="{00000000-0005-0000-0000-0000DE340000}"/>
    <cellStyle name="백분율 9 6 2 2" xfId="3187" xr:uid="{00000000-0005-0000-0000-0000DF340000}"/>
    <cellStyle name="백분율 9 6 2 3" xfId="3188" xr:uid="{00000000-0005-0000-0000-0000E0340000}"/>
    <cellStyle name="백분율 9 6 3" xfId="3189" xr:uid="{00000000-0005-0000-0000-0000E1340000}"/>
    <cellStyle name="백분율 9 6 4" xfId="3190" xr:uid="{00000000-0005-0000-0000-0000E2340000}"/>
    <cellStyle name="백분율 9 7" xfId="3191" xr:uid="{00000000-0005-0000-0000-0000E3340000}"/>
    <cellStyle name="백분율 9 7 2" xfId="3192" xr:uid="{00000000-0005-0000-0000-0000E4340000}"/>
    <cellStyle name="백분율 9 7 3" xfId="3193" xr:uid="{00000000-0005-0000-0000-0000E5340000}"/>
    <cellStyle name="백분율 9 8" xfId="3194" xr:uid="{00000000-0005-0000-0000-0000E6340000}"/>
    <cellStyle name="백분율 9 8 2" xfId="3195" xr:uid="{00000000-0005-0000-0000-0000E7340000}"/>
    <cellStyle name="백분율 9 8 3" xfId="3196" xr:uid="{00000000-0005-0000-0000-0000E8340000}"/>
    <cellStyle name="백분율 9 9" xfId="3197" xr:uid="{00000000-0005-0000-0000-0000E9340000}"/>
    <cellStyle name="백분율 9 9 2" xfId="3198" xr:uid="{00000000-0005-0000-0000-0000EA340000}"/>
    <cellStyle name="백분율 9 9 3" xfId="3199" xr:uid="{00000000-0005-0000-0000-0000EB340000}"/>
    <cellStyle name="보통" xfId="17180" builtinId="28" customBuiltin="1"/>
    <cellStyle name="보통 2" xfId="12024" xr:uid="{00000000-0005-0000-0000-0000ED340000}"/>
    <cellStyle name="보통 2 2" xfId="14740" xr:uid="{00000000-0005-0000-0000-0000EE340000}"/>
    <cellStyle name="보통 2 2 2" xfId="31069" xr:uid="{00000000-0005-0000-0000-0000EF340000}"/>
    <cellStyle name="보통 2 2 3" xfId="17967" xr:uid="{00000000-0005-0000-0000-0000F0340000}"/>
    <cellStyle name="보통 2 3" xfId="15376" xr:uid="{00000000-0005-0000-0000-0000F1340000}"/>
    <cellStyle name="보통 2 3 2" xfId="31414" xr:uid="{00000000-0005-0000-0000-0000F2340000}"/>
    <cellStyle name="보통 2 3 3" xfId="17968" xr:uid="{00000000-0005-0000-0000-0000F3340000}"/>
    <cellStyle name="보통 3" xfId="12025" xr:uid="{00000000-0005-0000-0000-0000F4340000}"/>
    <cellStyle name="보통 4" xfId="12026" xr:uid="{00000000-0005-0000-0000-0000F5340000}"/>
    <cellStyle name="보통 5" xfId="12027" xr:uid="{00000000-0005-0000-0000-0000F6340000}"/>
    <cellStyle name="보통 6" xfId="21524" xr:uid="{00000000-0005-0000-0000-0000F7340000}"/>
    <cellStyle name="보통 7" xfId="20490" xr:uid="{00000000-0005-0000-0000-0000F8340000}"/>
    <cellStyle name="설명 텍스트" xfId="17188" builtinId="53" customBuiltin="1"/>
    <cellStyle name="설명 텍스트 2" xfId="12028" xr:uid="{00000000-0005-0000-0000-0000FA340000}"/>
    <cellStyle name="설명 텍스트 2 2" xfId="17361" xr:uid="{00000000-0005-0000-0000-0000FB340000}"/>
    <cellStyle name="설명 텍스트 3" xfId="12029" xr:uid="{00000000-0005-0000-0000-0000FC340000}"/>
    <cellStyle name="설명 텍스트 4" xfId="12030" xr:uid="{00000000-0005-0000-0000-0000FD340000}"/>
    <cellStyle name="설명 텍스트 5" xfId="12031" xr:uid="{00000000-0005-0000-0000-0000FE340000}"/>
    <cellStyle name="설명 텍스트 6" xfId="21531" xr:uid="{00000000-0005-0000-0000-0000FF340000}"/>
    <cellStyle name="설명 텍스트 7" xfId="20497" xr:uid="{00000000-0005-0000-0000-000000350000}"/>
    <cellStyle name="셀 확인" xfId="17185" builtinId="23" customBuiltin="1"/>
    <cellStyle name="셀 확인 2" xfId="12032" xr:uid="{00000000-0005-0000-0000-000002350000}"/>
    <cellStyle name="셀 확인 2 2" xfId="17362" xr:uid="{00000000-0005-0000-0000-000003350000}"/>
    <cellStyle name="셀 확인 3" xfId="12033" xr:uid="{00000000-0005-0000-0000-000004350000}"/>
    <cellStyle name="셀 확인 4" xfId="12034" xr:uid="{00000000-0005-0000-0000-000005350000}"/>
    <cellStyle name="셀 확인 5" xfId="12035" xr:uid="{00000000-0005-0000-0000-000006350000}"/>
    <cellStyle name="셀 확인 6" xfId="21529" xr:uid="{00000000-0005-0000-0000-000007350000}"/>
    <cellStyle name="셀 확인 7" xfId="20495" xr:uid="{00000000-0005-0000-0000-000008350000}"/>
    <cellStyle name="쉼표 [0]" xfId="1" builtinId="6"/>
    <cellStyle name="쉼표 [0] 10" xfId="21" xr:uid="{00000000-0005-0000-0000-00000A350000}"/>
    <cellStyle name="쉼표 [0] 10 10" xfId="3200" xr:uid="{00000000-0005-0000-0000-00000B350000}"/>
    <cellStyle name="쉼표 [0] 10 10 2" xfId="3201" xr:uid="{00000000-0005-0000-0000-00000C350000}"/>
    <cellStyle name="쉼표 [0] 10 10 3" xfId="3202" xr:uid="{00000000-0005-0000-0000-00000D350000}"/>
    <cellStyle name="쉼표 [0] 10 11" xfId="3203" xr:uid="{00000000-0005-0000-0000-00000E350000}"/>
    <cellStyle name="쉼표 [0] 10 11 2" xfId="3204" xr:uid="{00000000-0005-0000-0000-00000F350000}"/>
    <cellStyle name="쉼표 [0] 10 12" xfId="3205" xr:uid="{00000000-0005-0000-0000-000010350000}"/>
    <cellStyle name="쉼표 [0] 10 12 2" xfId="3206" xr:uid="{00000000-0005-0000-0000-000011350000}"/>
    <cellStyle name="쉼표 [0] 10 13" xfId="3207" xr:uid="{00000000-0005-0000-0000-000012350000}"/>
    <cellStyle name="쉼표 [0] 10 13 2" xfId="3208" xr:uid="{00000000-0005-0000-0000-000013350000}"/>
    <cellStyle name="쉼표 [0] 10 14" xfId="3209" xr:uid="{00000000-0005-0000-0000-000014350000}"/>
    <cellStyle name="쉼표 [0] 10 14 2" xfId="3210" xr:uid="{00000000-0005-0000-0000-000015350000}"/>
    <cellStyle name="쉼표 [0] 10 15" xfId="3211" xr:uid="{00000000-0005-0000-0000-000016350000}"/>
    <cellStyle name="쉼표 [0] 10 16" xfId="3212" xr:uid="{00000000-0005-0000-0000-000017350000}"/>
    <cellStyle name="쉼표 [0] 10 2" xfId="3213" xr:uid="{00000000-0005-0000-0000-000018350000}"/>
    <cellStyle name="쉼표 [0] 10 2 2" xfId="3214" xr:uid="{00000000-0005-0000-0000-000019350000}"/>
    <cellStyle name="쉼표 [0] 10 2 2 2" xfId="3215" xr:uid="{00000000-0005-0000-0000-00001A350000}"/>
    <cellStyle name="쉼표 [0] 10 2 2 2 2" xfId="3216" xr:uid="{00000000-0005-0000-0000-00001B350000}"/>
    <cellStyle name="쉼표 [0] 10 2 2 2 2 2" xfId="3217" xr:uid="{00000000-0005-0000-0000-00001C350000}"/>
    <cellStyle name="쉼표 [0] 10 2 2 2 2 3" xfId="3218" xr:uid="{00000000-0005-0000-0000-00001D350000}"/>
    <cellStyle name="쉼표 [0] 10 2 2 2 3" xfId="3219" xr:uid="{00000000-0005-0000-0000-00001E350000}"/>
    <cellStyle name="쉼표 [0] 10 2 2 2 4" xfId="3220" xr:uid="{00000000-0005-0000-0000-00001F350000}"/>
    <cellStyle name="쉼표 [0] 10 2 2 3" xfId="3221" xr:uid="{00000000-0005-0000-0000-000020350000}"/>
    <cellStyle name="쉼표 [0] 10 2 2 3 2" xfId="3222" xr:uid="{00000000-0005-0000-0000-000021350000}"/>
    <cellStyle name="쉼표 [0] 10 2 2 3 2 2" xfId="3223" xr:uid="{00000000-0005-0000-0000-000022350000}"/>
    <cellStyle name="쉼표 [0] 10 2 2 3 2 3" xfId="3224" xr:uid="{00000000-0005-0000-0000-000023350000}"/>
    <cellStyle name="쉼표 [0] 10 2 2 3 3" xfId="3225" xr:uid="{00000000-0005-0000-0000-000024350000}"/>
    <cellStyle name="쉼표 [0] 10 2 2 3 4" xfId="3226" xr:uid="{00000000-0005-0000-0000-000025350000}"/>
    <cellStyle name="쉼표 [0] 10 2 2 4" xfId="3227" xr:uid="{00000000-0005-0000-0000-000026350000}"/>
    <cellStyle name="쉼표 [0] 10 2 2 4 2" xfId="3228" xr:uid="{00000000-0005-0000-0000-000027350000}"/>
    <cellStyle name="쉼표 [0] 10 2 2 4 3" xfId="3229" xr:uid="{00000000-0005-0000-0000-000028350000}"/>
    <cellStyle name="쉼표 [0] 10 2 2 5" xfId="3230" xr:uid="{00000000-0005-0000-0000-000029350000}"/>
    <cellStyle name="쉼표 [0] 10 2 2 5 2" xfId="3231" xr:uid="{00000000-0005-0000-0000-00002A350000}"/>
    <cellStyle name="쉼표 [0] 10 2 2 5 3" xfId="3232" xr:uid="{00000000-0005-0000-0000-00002B350000}"/>
    <cellStyle name="쉼표 [0] 10 2 2 6" xfId="3233" xr:uid="{00000000-0005-0000-0000-00002C350000}"/>
    <cellStyle name="쉼표 [0] 10 2 2 7" xfId="3234" xr:uid="{00000000-0005-0000-0000-00002D350000}"/>
    <cellStyle name="쉼표 [0] 10 2 3" xfId="3235" xr:uid="{00000000-0005-0000-0000-00002E350000}"/>
    <cellStyle name="쉼표 [0] 10 2 3 2" xfId="3236" xr:uid="{00000000-0005-0000-0000-00002F350000}"/>
    <cellStyle name="쉼표 [0] 10 2 3 2 2" xfId="3237" xr:uid="{00000000-0005-0000-0000-000030350000}"/>
    <cellStyle name="쉼표 [0] 10 2 3 2 3" xfId="3238" xr:uid="{00000000-0005-0000-0000-000031350000}"/>
    <cellStyle name="쉼표 [0] 10 2 3 3" xfId="3239" xr:uid="{00000000-0005-0000-0000-000032350000}"/>
    <cellStyle name="쉼표 [0] 10 2 3 4" xfId="3240" xr:uid="{00000000-0005-0000-0000-000033350000}"/>
    <cellStyle name="쉼표 [0] 10 2 4" xfId="3241" xr:uid="{00000000-0005-0000-0000-000034350000}"/>
    <cellStyle name="쉼표 [0] 10 2 4 2" xfId="3242" xr:uid="{00000000-0005-0000-0000-000035350000}"/>
    <cellStyle name="쉼표 [0] 10 2 4 2 2" xfId="3243" xr:uid="{00000000-0005-0000-0000-000036350000}"/>
    <cellStyle name="쉼표 [0] 10 2 4 2 3" xfId="3244" xr:uid="{00000000-0005-0000-0000-000037350000}"/>
    <cellStyle name="쉼표 [0] 10 2 4 3" xfId="3245" xr:uid="{00000000-0005-0000-0000-000038350000}"/>
    <cellStyle name="쉼표 [0] 10 2 4 4" xfId="3246" xr:uid="{00000000-0005-0000-0000-000039350000}"/>
    <cellStyle name="쉼표 [0] 10 2 5" xfId="3247" xr:uid="{00000000-0005-0000-0000-00003A350000}"/>
    <cellStyle name="쉼표 [0] 10 2 5 2" xfId="3248" xr:uid="{00000000-0005-0000-0000-00003B350000}"/>
    <cellStyle name="쉼표 [0] 10 2 5 3" xfId="3249" xr:uid="{00000000-0005-0000-0000-00003C350000}"/>
    <cellStyle name="쉼표 [0] 10 2 6" xfId="3250" xr:uid="{00000000-0005-0000-0000-00003D350000}"/>
    <cellStyle name="쉼표 [0] 10 2 6 2" xfId="3251" xr:uid="{00000000-0005-0000-0000-00003E350000}"/>
    <cellStyle name="쉼표 [0] 10 2 6 3" xfId="3252" xr:uid="{00000000-0005-0000-0000-00003F350000}"/>
    <cellStyle name="쉼표 [0] 10 2 7" xfId="3253" xr:uid="{00000000-0005-0000-0000-000040350000}"/>
    <cellStyle name="쉼표 [0] 10 2 8" xfId="3254" xr:uid="{00000000-0005-0000-0000-000041350000}"/>
    <cellStyle name="쉼표 [0] 10 3" xfId="3255" xr:uid="{00000000-0005-0000-0000-000042350000}"/>
    <cellStyle name="쉼표 [0] 10 3 2" xfId="3256" xr:uid="{00000000-0005-0000-0000-000043350000}"/>
    <cellStyle name="쉼표 [0] 10 3 2 2" xfId="3257" xr:uid="{00000000-0005-0000-0000-000044350000}"/>
    <cellStyle name="쉼표 [0] 10 3 2 2 2" xfId="3258" xr:uid="{00000000-0005-0000-0000-000045350000}"/>
    <cellStyle name="쉼표 [0] 10 3 2 2 3" xfId="3259" xr:uid="{00000000-0005-0000-0000-000046350000}"/>
    <cellStyle name="쉼표 [0] 10 3 2 3" xfId="3260" xr:uid="{00000000-0005-0000-0000-000047350000}"/>
    <cellStyle name="쉼표 [0] 10 3 2 4" xfId="3261" xr:uid="{00000000-0005-0000-0000-000048350000}"/>
    <cellStyle name="쉼표 [0] 10 3 3" xfId="3262" xr:uid="{00000000-0005-0000-0000-000049350000}"/>
    <cellStyle name="쉼표 [0] 10 3 3 2" xfId="3263" xr:uid="{00000000-0005-0000-0000-00004A350000}"/>
    <cellStyle name="쉼표 [0] 10 3 3 2 2" xfId="3264" xr:uid="{00000000-0005-0000-0000-00004B350000}"/>
    <cellStyle name="쉼표 [0] 10 3 3 2 3" xfId="3265" xr:uid="{00000000-0005-0000-0000-00004C350000}"/>
    <cellStyle name="쉼표 [0] 10 3 3 3" xfId="3266" xr:uid="{00000000-0005-0000-0000-00004D350000}"/>
    <cellStyle name="쉼표 [0] 10 3 3 4" xfId="3267" xr:uid="{00000000-0005-0000-0000-00004E350000}"/>
    <cellStyle name="쉼표 [0] 10 3 4" xfId="3268" xr:uid="{00000000-0005-0000-0000-00004F350000}"/>
    <cellStyle name="쉼표 [0] 10 3 4 2" xfId="3269" xr:uid="{00000000-0005-0000-0000-000050350000}"/>
    <cellStyle name="쉼표 [0] 10 3 4 3" xfId="3270" xr:uid="{00000000-0005-0000-0000-000051350000}"/>
    <cellStyle name="쉼표 [0] 10 3 5" xfId="3271" xr:uid="{00000000-0005-0000-0000-000052350000}"/>
    <cellStyle name="쉼표 [0] 10 3 5 2" xfId="3272" xr:uid="{00000000-0005-0000-0000-000053350000}"/>
    <cellStyle name="쉼표 [0] 10 3 5 3" xfId="3273" xr:uid="{00000000-0005-0000-0000-000054350000}"/>
    <cellStyle name="쉼표 [0] 10 3 6" xfId="3274" xr:uid="{00000000-0005-0000-0000-000055350000}"/>
    <cellStyle name="쉼표 [0] 10 3 7" xfId="3275" xr:uid="{00000000-0005-0000-0000-000056350000}"/>
    <cellStyle name="쉼표 [0] 10 4" xfId="3276" xr:uid="{00000000-0005-0000-0000-000057350000}"/>
    <cellStyle name="쉼표 [0] 10 4 2" xfId="3277" xr:uid="{00000000-0005-0000-0000-000058350000}"/>
    <cellStyle name="쉼표 [0] 10 4 2 2" xfId="3278" xr:uid="{00000000-0005-0000-0000-000059350000}"/>
    <cellStyle name="쉼표 [0] 10 4 2 2 2" xfId="3279" xr:uid="{00000000-0005-0000-0000-00005A350000}"/>
    <cellStyle name="쉼표 [0] 10 4 2 2 3" xfId="3280" xr:uid="{00000000-0005-0000-0000-00005B350000}"/>
    <cellStyle name="쉼표 [0] 10 4 2 3" xfId="3281" xr:uid="{00000000-0005-0000-0000-00005C350000}"/>
    <cellStyle name="쉼표 [0] 10 4 2 4" xfId="3282" xr:uid="{00000000-0005-0000-0000-00005D350000}"/>
    <cellStyle name="쉼표 [0] 10 4 3" xfId="3283" xr:uid="{00000000-0005-0000-0000-00005E350000}"/>
    <cellStyle name="쉼표 [0] 10 4 3 2" xfId="3284" xr:uid="{00000000-0005-0000-0000-00005F350000}"/>
    <cellStyle name="쉼표 [0] 10 4 3 2 2" xfId="3285" xr:uid="{00000000-0005-0000-0000-000060350000}"/>
    <cellStyle name="쉼표 [0] 10 4 3 2 3" xfId="3286" xr:uid="{00000000-0005-0000-0000-000061350000}"/>
    <cellStyle name="쉼표 [0] 10 4 3 3" xfId="3287" xr:uid="{00000000-0005-0000-0000-000062350000}"/>
    <cellStyle name="쉼표 [0] 10 4 3 4" xfId="3288" xr:uid="{00000000-0005-0000-0000-000063350000}"/>
    <cellStyle name="쉼표 [0] 10 4 4" xfId="3289" xr:uid="{00000000-0005-0000-0000-000064350000}"/>
    <cellStyle name="쉼표 [0] 10 4 4 2" xfId="3290" xr:uid="{00000000-0005-0000-0000-000065350000}"/>
    <cellStyle name="쉼표 [0] 10 4 4 3" xfId="3291" xr:uid="{00000000-0005-0000-0000-000066350000}"/>
    <cellStyle name="쉼표 [0] 10 4 5" xfId="3292" xr:uid="{00000000-0005-0000-0000-000067350000}"/>
    <cellStyle name="쉼표 [0] 10 4 5 2" xfId="3293" xr:uid="{00000000-0005-0000-0000-000068350000}"/>
    <cellStyle name="쉼표 [0] 10 4 5 3" xfId="3294" xr:uid="{00000000-0005-0000-0000-000069350000}"/>
    <cellStyle name="쉼표 [0] 10 4 6" xfId="3295" xr:uid="{00000000-0005-0000-0000-00006A350000}"/>
    <cellStyle name="쉼표 [0] 10 4 7" xfId="3296" xr:uid="{00000000-0005-0000-0000-00006B350000}"/>
    <cellStyle name="쉼표 [0] 10 5" xfId="3297" xr:uid="{00000000-0005-0000-0000-00006C350000}"/>
    <cellStyle name="쉼표 [0] 10 5 2" xfId="3298" xr:uid="{00000000-0005-0000-0000-00006D350000}"/>
    <cellStyle name="쉼표 [0] 10 5 2 2" xfId="3299" xr:uid="{00000000-0005-0000-0000-00006E350000}"/>
    <cellStyle name="쉼표 [0] 10 5 2 3" xfId="3300" xr:uid="{00000000-0005-0000-0000-00006F350000}"/>
    <cellStyle name="쉼표 [0] 10 5 3" xfId="3301" xr:uid="{00000000-0005-0000-0000-000070350000}"/>
    <cellStyle name="쉼표 [0] 10 5 4" xfId="3302" xr:uid="{00000000-0005-0000-0000-000071350000}"/>
    <cellStyle name="쉼표 [0] 10 6" xfId="3303" xr:uid="{00000000-0005-0000-0000-000072350000}"/>
    <cellStyle name="쉼표 [0] 10 6 2" xfId="3304" xr:uid="{00000000-0005-0000-0000-000073350000}"/>
    <cellStyle name="쉼표 [0] 10 6 2 2" xfId="3305" xr:uid="{00000000-0005-0000-0000-000074350000}"/>
    <cellStyle name="쉼표 [0] 10 6 2 3" xfId="3306" xr:uid="{00000000-0005-0000-0000-000075350000}"/>
    <cellStyle name="쉼표 [0] 10 6 3" xfId="3307" xr:uid="{00000000-0005-0000-0000-000076350000}"/>
    <cellStyle name="쉼표 [0] 10 6 4" xfId="3308" xr:uid="{00000000-0005-0000-0000-000077350000}"/>
    <cellStyle name="쉼표 [0] 10 7" xfId="3309" xr:uid="{00000000-0005-0000-0000-000078350000}"/>
    <cellStyle name="쉼표 [0] 10 7 2" xfId="3310" xr:uid="{00000000-0005-0000-0000-000079350000}"/>
    <cellStyle name="쉼표 [0] 10 7 3" xfId="3311" xr:uid="{00000000-0005-0000-0000-00007A350000}"/>
    <cellStyle name="쉼표 [0] 10 8" xfId="3312" xr:uid="{00000000-0005-0000-0000-00007B350000}"/>
    <cellStyle name="쉼표 [0] 10 8 2" xfId="3313" xr:uid="{00000000-0005-0000-0000-00007C350000}"/>
    <cellStyle name="쉼표 [0] 10 8 3" xfId="3314" xr:uid="{00000000-0005-0000-0000-00007D350000}"/>
    <cellStyle name="쉼표 [0] 10 9" xfId="3315" xr:uid="{00000000-0005-0000-0000-00007E350000}"/>
    <cellStyle name="쉼표 [0] 10 9 2" xfId="3316" xr:uid="{00000000-0005-0000-0000-00007F350000}"/>
    <cellStyle name="쉼표 [0] 10 9 3" xfId="3317" xr:uid="{00000000-0005-0000-0000-000080350000}"/>
    <cellStyle name="쉼표 [0] 11" xfId="22" xr:uid="{00000000-0005-0000-0000-000081350000}"/>
    <cellStyle name="쉼표 [0] 11 10" xfId="3318" xr:uid="{00000000-0005-0000-0000-000082350000}"/>
    <cellStyle name="쉼표 [0] 11 10 2" xfId="3319" xr:uid="{00000000-0005-0000-0000-000083350000}"/>
    <cellStyle name="쉼표 [0] 11 10 3" xfId="3320" xr:uid="{00000000-0005-0000-0000-000084350000}"/>
    <cellStyle name="쉼표 [0] 11 11" xfId="3321" xr:uid="{00000000-0005-0000-0000-000085350000}"/>
    <cellStyle name="쉼표 [0] 11 11 2" xfId="3322" xr:uid="{00000000-0005-0000-0000-000086350000}"/>
    <cellStyle name="쉼표 [0] 11 12" xfId="3323" xr:uid="{00000000-0005-0000-0000-000087350000}"/>
    <cellStyle name="쉼표 [0] 11 12 2" xfId="3324" xr:uid="{00000000-0005-0000-0000-000088350000}"/>
    <cellStyle name="쉼표 [0] 11 13" xfId="3325" xr:uid="{00000000-0005-0000-0000-000089350000}"/>
    <cellStyle name="쉼표 [0] 11 13 2" xfId="3326" xr:uid="{00000000-0005-0000-0000-00008A350000}"/>
    <cellStyle name="쉼표 [0] 11 14" xfId="3327" xr:uid="{00000000-0005-0000-0000-00008B350000}"/>
    <cellStyle name="쉼표 [0] 11 14 2" xfId="3328" xr:uid="{00000000-0005-0000-0000-00008C350000}"/>
    <cellStyle name="쉼표 [0] 11 15" xfId="3329" xr:uid="{00000000-0005-0000-0000-00008D350000}"/>
    <cellStyle name="쉼표 [0] 11 16" xfId="3330" xr:uid="{00000000-0005-0000-0000-00008E350000}"/>
    <cellStyle name="쉼표 [0] 11 2" xfId="3331" xr:uid="{00000000-0005-0000-0000-00008F350000}"/>
    <cellStyle name="쉼표 [0] 11 2 2" xfId="3332" xr:uid="{00000000-0005-0000-0000-000090350000}"/>
    <cellStyle name="쉼표 [0] 11 2 2 2" xfId="3333" xr:uid="{00000000-0005-0000-0000-000091350000}"/>
    <cellStyle name="쉼표 [0] 11 2 2 2 2" xfId="3334" xr:uid="{00000000-0005-0000-0000-000092350000}"/>
    <cellStyle name="쉼표 [0] 11 2 2 2 2 2" xfId="3335" xr:uid="{00000000-0005-0000-0000-000093350000}"/>
    <cellStyle name="쉼표 [0] 11 2 2 2 2 3" xfId="3336" xr:uid="{00000000-0005-0000-0000-000094350000}"/>
    <cellStyle name="쉼표 [0] 11 2 2 2 3" xfId="3337" xr:uid="{00000000-0005-0000-0000-000095350000}"/>
    <cellStyle name="쉼표 [0] 11 2 2 2 4" xfId="3338" xr:uid="{00000000-0005-0000-0000-000096350000}"/>
    <cellStyle name="쉼표 [0] 11 2 2 3" xfId="3339" xr:uid="{00000000-0005-0000-0000-000097350000}"/>
    <cellStyle name="쉼표 [0] 11 2 2 3 2" xfId="3340" xr:uid="{00000000-0005-0000-0000-000098350000}"/>
    <cellStyle name="쉼표 [0] 11 2 2 3 2 2" xfId="3341" xr:uid="{00000000-0005-0000-0000-000099350000}"/>
    <cellStyle name="쉼표 [0] 11 2 2 3 2 3" xfId="3342" xr:uid="{00000000-0005-0000-0000-00009A350000}"/>
    <cellStyle name="쉼표 [0] 11 2 2 3 3" xfId="3343" xr:uid="{00000000-0005-0000-0000-00009B350000}"/>
    <cellStyle name="쉼표 [0] 11 2 2 3 4" xfId="3344" xr:uid="{00000000-0005-0000-0000-00009C350000}"/>
    <cellStyle name="쉼표 [0] 11 2 2 4" xfId="3345" xr:uid="{00000000-0005-0000-0000-00009D350000}"/>
    <cellStyle name="쉼표 [0] 11 2 2 4 2" xfId="3346" xr:uid="{00000000-0005-0000-0000-00009E350000}"/>
    <cellStyle name="쉼표 [0] 11 2 2 4 3" xfId="3347" xr:uid="{00000000-0005-0000-0000-00009F350000}"/>
    <cellStyle name="쉼표 [0] 11 2 2 5" xfId="3348" xr:uid="{00000000-0005-0000-0000-0000A0350000}"/>
    <cellStyle name="쉼표 [0] 11 2 2 5 2" xfId="3349" xr:uid="{00000000-0005-0000-0000-0000A1350000}"/>
    <cellStyle name="쉼표 [0] 11 2 2 5 3" xfId="3350" xr:uid="{00000000-0005-0000-0000-0000A2350000}"/>
    <cellStyle name="쉼표 [0] 11 2 2 6" xfId="3351" xr:uid="{00000000-0005-0000-0000-0000A3350000}"/>
    <cellStyle name="쉼표 [0] 11 2 2 7" xfId="3352" xr:uid="{00000000-0005-0000-0000-0000A4350000}"/>
    <cellStyle name="쉼표 [0] 11 2 3" xfId="3353" xr:uid="{00000000-0005-0000-0000-0000A5350000}"/>
    <cellStyle name="쉼표 [0] 11 2 3 2" xfId="3354" xr:uid="{00000000-0005-0000-0000-0000A6350000}"/>
    <cellStyle name="쉼표 [0] 11 2 3 2 2" xfId="3355" xr:uid="{00000000-0005-0000-0000-0000A7350000}"/>
    <cellStyle name="쉼표 [0] 11 2 3 2 3" xfId="3356" xr:uid="{00000000-0005-0000-0000-0000A8350000}"/>
    <cellStyle name="쉼표 [0] 11 2 3 3" xfId="3357" xr:uid="{00000000-0005-0000-0000-0000A9350000}"/>
    <cellStyle name="쉼표 [0] 11 2 3 4" xfId="3358" xr:uid="{00000000-0005-0000-0000-0000AA350000}"/>
    <cellStyle name="쉼표 [0] 11 2 4" xfId="3359" xr:uid="{00000000-0005-0000-0000-0000AB350000}"/>
    <cellStyle name="쉼표 [0] 11 2 4 2" xfId="3360" xr:uid="{00000000-0005-0000-0000-0000AC350000}"/>
    <cellStyle name="쉼표 [0] 11 2 4 2 2" xfId="3361" xr:uid="{00000000-0005-0000-0000-0000AD350000}"/>
    <cellStyle name="쉼표 [0] 11 2 4 2 3" xfId="3362" xr:uid="{00000000-0005-0000-0000-0000AE350000}"/>
    <cellStyle name="쉼표 [0] 11 2 4 3" xfId="3363" xr:uid="{00000000-0005-0000-0000-0000AF350000}"/>
    <cellStyle name="쉼표 [0] 11 2 4 4" xfId="3364" xr:uid="{00000000-0005-0000-0000-0000B0350000}"/>
    <cellStyle name="쉼표 [0] 11 2 5" xfId="3365" xr:uid="{00000000-0005-0000-0000-0000B1350000}"/>
    <cellStyle name="쉼표 [0] 11 2 5 2" xfId="3366" xr:uid="{00000000-0005-0000-0000-0000B2350000}"/>
    <cellStyle name="쉼표 [0] 11 2 5 3" xfId="3367" xr:uid="{00000000-0005-0000-0000-0000B3350000}"/>
    <cellStyle name="쉼표 [0] 11 2 6" xfId="3368" xr:uid="{00000000-0005-0000-0000-0000B4350000}"/>
    <cellStyle name="쉼표 [0] 11 2 6 2" xfId="3369" xr:uid="{00000000-0005-0000-0000-0000B5350000}"/>
    <cellStyle name="쉼표 [0] 11 2 6 3" xfId="3370" xr:uid="{00000000-0005-0000-0000-0000B6350000}"/>
    <cellStyle name="쉼표 [0] 11 2 7" xfId="3371" xr:uid="{00000000-0005-0000-0000-0000B7350000}"/>
    <cellStyle name="쉼표 [0] 11 2 8" xfId="3372" xr:uid="{00000000-0005-0000-0000-0000B8350000}"/>
    <cellStyle name="쉼표 [0] 11 3" xfId="3373" xr:uid="{00000000-0005-0000-0000-0000B9350000}"/>
    <cellStyle name="쉼표 [0] 11 3 2" xfId="3374" xr:uid="{00000000-0005-0000-0000-0000BA350000}"/>
    <cellStyle name="쉼표 [0] 11 3 2 2" xfId="3375" xr:uid="{00000000-0005-0000-0000-0000BB350000}"/>
    <cellStyle name="쉼표 [0] 11 3 2 2 2" xfId="3376" xr:uid="{00000000-0005-0000-0000-0000BC350000}"/>
    <cellStyle name="쉼표 [0] 11 3 2 2 3" xfId="3377" xr:uid="{00000000-0005-0000-0000-0000BD350000}"/>
    <cellStyle name="쉼표 [0] 11 3 2 3" xfId="3378" xr:uid="{00000000-0005-0000-0000-0000BE350000}"/>
    <cellStyle name="쉼표 [0] 11 3 2 4" xfId="3379" xr:uid="{00000000-0005-0000-0000-0000BF350000}"/>
    <cellStyle name="쉼표 [0] 11 3 3" xfId="3380" xr:uid="{00000000-0005-0000-0000-0000C0350000}"/>
    <cellStyle name="쉼표 [0] 11 3 3 2" xfId="3381" xr:uid="{00000000-0005-0000-0000-0000C1350000}"/>
    <cellStyle name="쉼표 [0] 11 3 3 2 2" xfId="3382" xr:uid="{00000000-0005-0000-0000-0000C2350000}"/>
    <cellStyle name="쉼표 [0] 11 3 3 2 3" xfId="3383" xr:uid="{00000000-0005-0000-0000-0000C3350000}"/>
    <cellStyle name="쉼표 [0] 11 3 3 3" xfId="3384" xr:uid="{00000000-0005-0000-0000-0000C4350000}"/>
    <cellStyle name="쉼표 [0] 11 3 3 4" xfId="3385" xr:uid="{00000000-0005-0000-0000-0000C5350000}"/>
    <cellStyle name="쉼표 [0] 11 3 4" xfId="3386" xr:uid="{00000000-0005-0000-0000-0000C6350000}"/>
    <cellStyle name="쉼표 [0] 11 3 4 2" xfId="3387" xr:uid="{00000000-0005-0000-0000-0000C7350000}"/>
    <cellStyle name="쉼표 [0] 11 3 4 3" xfId="3388" xr:uid="{00000000-0005-0000-0000-0000C8350000}"/>
    <cellStyle name="쉼표 [0] 11 3 5" xfId="3389" xr:uid="{00000000-0005-0000-0000-0000C9350000}"/>
    <cellStyle name="쉼표 [0] 11 3 5 2" xfId="3390" xr:uid="{00000000-0005-0000-0000-0000CA350000}"/>
    <cellStyle name="쉼표 [0] 11 3 5 3" xfId="3391" xr:uid="{00000000-0005-0000-0000-0000CB350000}"/>
    <cellStyle name="쉼표 [0] 11 3 6" xfId="3392" xr:uid="{00000000-0005-0000-0000-0000CC350000}"/>
    <cellStyle name="쉼표 [0] 11 3 7" xfId="3393" xr:uid="{00000000-0005-0000-0000-0000CD350000}"/>
    <cellStyle name="쉼표 [0] 11 4" xfId="3394" xr:uid="{00000000-0005-0000-0000-0000CE350000}"/>
    <cellStyle name="쉼표 [0] 11 4 2" xfId="3395" xr:uid="{00000000-0005-0000-0000-0000CF350000}"/>
    <cellStyle name="쉼표 [0] 11 4 2 2" xfId="3396" xr:uid="{00000000-0005-0000-0000-0000D0350000}"/>
    <cellStyle name="쉼표 [0] 11 4 2 2 2" xfId="3397" xr:uid="{00000000-0005-0000-0000-0000D1350000}"/>
    <cellStyle name="쉼표 [0] 11 4 2 2 3" xfId="3398" xr:uid="{00000000-0005-0000-0000-0000D2350000}"/>
    <cellStyle name="쉼표 [0] 11 4 2 3" xfId="3399" xr:uid="{00000000-0005-0000-0000-0000D3350000}"/>
    <cellStyle name="쉼표 [0] 11 4 2 4" xfId="3400" xr:uid="{00000000-0005-0000-0000-0000D4350000}"/>
    <cellStyle name="쉼표 [0] 11 4 3" xfId="3401" xr:uid="{00000000-0005-0000-0000-0000D5350000}"/>
    <cellStyle name="쉼표 [0] 11 4 3 2" xfId="3402" xr:uid="{00000000-0005-0000-0000-0000D6350000}"/>
    <cellStyle name="쉼표 [0] 11 4 3 2 2" xfId="3403" xr:uid="{00000000-0005-0000-0000-0000D7350000}"/>
    <cellStyle name="쉼표 [0] 11 4 3 2 3" xfId="3404" xr:uid="{00000000-0005-0000-0000-0000D8350000}"/>
    <cellStyle name="쉼표 [0] 11 4 3 3" xfId="3405" xr:uid="{00000000-0005-0000-0000-0000D9350000}"/>
    <cellStyle name="쉼표 [0] 11 4 3 4" xfId="3406" xr:uid="{00000000-0005-0000-0000-0000DA350000}"/>
    <cellStyle name="쉼표 [0] 11 4 4" xfId="3407" xr:uid="{00000000-0005-0000-0000-0000DB350000}"/>
    <cellStyle name="쉼표 [0] 11 4 4 2" xfId="3408" xr:uid="{00000000-0005-0000-0000-0000DC350000}"/>
    <cellStyle name="쉼표 [0] 11 4 4 3" xfId="3409" xr:uid="{00000000-0005-0000-0000-0000DD350000}"/>
    <cellStyle name="쉼표 [0] 11 4 5" xfId="3410" xr:uid="{00000000-0005-0000-0000-0000DE350000}"/>
    <cellStyle name="쉼표 [0] 11 4 5 2" xfId="3411" xr:uid="{00000000-0005-0000-0000-0000DF350000}"/>
    <cellStyle name="쉼표 [0] 11 4 5 3" xfId="3412" xr:uid="{00000000-0005-0000-0000-0000E0350000}"/>
    <cellStyle name="쉼표 [0] 11 4 6" xfId="3413" xr:uid="{00000000-0005-0000-0000-0000E1350000}"/>
    <cellStyle name="쉼표 [0] 11 4 7" xfId="3414" xr:uid="{00000000-0005-0000-0000-0000E2350000}"/>
    <cellStyle name="쉼표 [0] 11 5" xfId="3415" xr:uid="{00000000-0005-0000-0000-0000E3350000}"/>
    <cellStyle name="쉼표 [0] 11 5 2" xfId="3416" xr:uid="{00000000-0005-0000-0000-0000E4350000}"/>
    <cellStyle name="쉼표 [0] 11 5 2 2" xfId="3417" xr:uid="{00000000-0005-0000-0000-0000E5350000}"/>
    <cellStyle name="쉼표 [0] 11 5 2 3" xfId="3418" xr:uid="{00000000-0005-0000-0000-0000E6350000}"/>
    <cellStyle name="쉼표 [0] 11 5 3" xfId="3419" xr:uid="{00000000-0005-0000-0000-0000E7350000}"/>
    <cellStyle name="쉼표 [0] 11 5 4" xfId="3420" xr:uid="{00000000-0005-0000-0000-0000E8350000}"/>
    <cellStyle name="쉼표 [0] 11 6" xfId="3421" xr:uid="{00000000-0005-0000-0000-0000E9350000}"/>
    <cellStyle name="쉼표 [0] 11 6 2" xfId="3422" xr:uid="{00000000-0005-0000-0000-0000EA350000}"/>
    <cellStyle name="쉼표 [0] 11 6 2 2" xfId="3423" xr:uid="{00000000-0005-0000-0000-0000EB350000}"/>
    <cellStyle name="쉼표 [0] 11 6 2 3" xfId="3424" xr:uid="{00000000-0005-0000-0000-0000EC350000}"/>
    <cellStyle name="쉼표 [0] 11 6 3" xfId="3425" xr:uid="{00000000-0005-0000-0000-0000ED350000}"/>
    <cellStyle name="쉼표 [0] 11 6 4" xfId="3426" xr:uid="{00000000-0005-0000-0000-0000EE350000}"/>
    <cellStyle name="쉼표 [0] 11 7" xfId="3427" xr:uid="{00000000-0005-0000-0000-0000EF350000}"/>
    <cellStyle name="쉼표 [0] 11 7 2" xfId="3428" xr:uid="{00000000-0005-0000-0000-0000F0350000}"/>
    <cellStyle name="쉼표 [0] 11 7 3" xfId="3429" xr:uid="{00000000-0005-0000-0000-0000F1350000}"/>
    <cellStyle name="쉼표 [0] 11 8" xfId="3430" xr:uid="{00000000-0005-0000-0000-0000F2350000}"/>
    <cellStyle name="쉼표 [0] 11 8 2" xfId="3431" xr:uid="{00000000-0005-0000-0000-0000F3350000}"/>
    <cellStyle name="쉼표 [0] 11 8 3" xfId="3432" xr:uid="{00000000-0005-0000-0000-0000F4350000}"/>
    <cellStyle name="쉼표 [0] 11 9" xfId="3433" xr:uid="{00000000-0005-0000-0000-0000F5350000}"/>
    <cellStyle name="쉼표 [0] 11 9 2" xfId="3434" xr:uid="{00000000-0005-0000-0000-0000F6350000}"/>
    <cellStyle name="쉼표 [0] 11 9 3" xfId="3435" xr:uid="{00000000-0005-0000-0000-0000F7350000}"/>
    <cellStyle name="쉼표 [0] 12" xfId="23" xr:uid="{00000000-0005-0000-0000-0000F8350000}"/>
    <cellStyle name="쉼표 [0] 12 10" xfId="3436" xr:uid="{00000000-0005-0000-0000-0000F9350000}"/>
    <cellStyle name="쉼표 [0] 12 10 2" xfId="3437" xr:uid="{00000000-0005-0000-0000-0000FA350000}"/>
    <cellStyle name="쉼표 [0] 12 10 3" xfId="3438" xr:uid="{00000000-0005-0000-0000-0000FB350000}"/>
    <cellStyle name="쉼표 [0] 12 11" xfId="3439" xr:uid="{00000000-0005-0000-0000-0000FC350000}"/>
    <cellStyle name="쉼표 [0] 12 11 2" xfId="3440" xr:uid="{00000000-0005-0000-0000-0000FD350000}"/>
    <cellStyle name="쉼표 [0] 12 11 3" xfId="3441" xr:uid="{00000000-0005-0000-0000-0000FE350000}"/>
    <cellStyle name="쉼표 [0] 12 12" xfId="3442" xr:uid="{00000000-0005-0000-0000-0000FF350000}"/>
    <cellStyle name="쉼표 [0] 12 12 2" xfId="3443" xr:uid="{00000000-0005-0000-0000-000000360000}"/>
    <cellStyle name="쉼표 [0] 12 13" xfId="3444" xr:uid="{00000000-0005-0000-0000-000001360000}"/>
    <cellStyle name="쉼표 [0] 12 13 2" xfId="3445" xr:uid="{00000000-0005-0000-0000-000002360000}"/>
    <cellStyle name="쉼표 [0] 12 14" xfId="3446" xr:uid="{00000000-0005-0000-0000-000003360000}"/>
    <cellStyle name="쉼표 [0] 12 14 2" xfId="3447" xr:uid="{00000000-0005-0000-0000-000004360000}"/>
    <cellStyle name="쉼표 [0] 12 15" xfId="3448" xr:uid="{00000000-0005-0000-0000-000005360000}"/>
    <cellStyle name="쉼표 [0] 12 15 2" xfId="3449" xr:uid="{00000000-0005-0000-0000-000006360000}"/>
    <cellStyle name="쉼표 [0] 12 16" xfId="3450" xr:uid="{00000000-0005-0000-0000-000007360000}"/>
    <cellStyle name="쉼표 [0] 12 17" xfId="3451" xr:uid="{00000000-0005-0000-0000-000008360000}"/>
    <cellStyle name="쉼표 [0] 12 2" xfId="3452" xr:uid="{00000000-0005-0000-0000-000009360000}"/>
    <cellStyle name="쉼표 [0] 12 2 10" xfId="3453" xr:uid="{00000000-0005-0000-0000-00000A360000}"/>
    <cellStyle name="쉼표 [0] 12 2 11" xfId="3454" xr:uid="{00000000-0005-0000-0000-00000B360000}"/>
    <cellStyle name="쉼표 [0] 12 2 2" xfId="3455" xr:uid="{00000000-0005-0000-0000-00000C360000}"/>
    <cellStyle name="쉼표 [0] 12 2 2 2" xfId="3456" xr:uid="{00000000-0005-0000-0000-00000D360000}"/>
    <cellStyle name="쉼표 [0] 12 2 2 2 2" xfId="3457" xr:uid="{00000000-0005-0000-0000-00000E360000}"/>
    <cellStyle name="쉼표 [0] 12 2 2 2 2 2" xfId="3458" xr:uid="{00000000-0005-0000-0000-00000F360000}"/>
    <cellStyle name="쉼표 [0] 12 2 2 2 2 3" xfId="3459" xr:uid="{00000000-0005-0000-0000-000010360000}"/>
    <cellStyle name="쉼표 [0] 12 2 2 2 3" xfId="3460" xr:uid="{00000000-0005-0000-0000-000011360000}"/>
    <cellStyle name="쉼표 [0] 12 2 2 2 4" xfId="3461" xr:uid="{00000000-0005-0000-0000-000012360000}"/>
    <cellStyle name="쉼표 [0] 12 2 2 3" xfId="3462" xr:uid="{00000000-0005-0000-0000-000013360000}"/>
    <cellStyle name="쉼표 [0] 12 2 2 3 2" xfId="3463" xr:uid="{00000000-0005-0000-0000-000014360000}"/>
    <cellStyle name="쉼표 [0] 12 2 2 3 2 2" xfId="3464" xr:uid="{00000000-0005-0000-0000-000015360000}"/>
    <cellStyle name="쉼표 [0] 12 2 2 3 2 3" xfId="3465" xr:uid="{00000000-0005-0000-0000-000016360000}"/>
    <cellStyle name="쉼표 [0] 12 2 2 3 3" xfId="3466" xr:uid="{00000000-0005-0000-0000-000017360000}"/>
    <cellStyle name="쉼표 [0] 12 2 2 3 4" xfId="3467" xr:uid="{00000000-0005-0000-0000-000018360000}"/>
    <cellStyle name="쉼표 [0] 12 2 2 4" xfId="3468" xr:uid="{00000000-0005-0000-0000-000019360000}"/>
    <cellStyle name="쉼표 [0] 12 2 2 4 2" xfId="3469" xr:uid="{00000000-0005-0000-0000-00001A360000}"/>
    <cellStyle name="쉼표 [0] 12 2 2 4 3" xfId="3470" xr:uid="{00000000-0005-0000-0000-00001B360000}"/>
    <cellStyle name="쉼표 [0] 12 2 2 5" xfId="3471" xr:uid="{00000000-0005-0000-0000-00001C360000}"/>
    <cellStyle name="쉼표 [0] 12 2 2 5 2" xfId="3472" xr:uid="{00000000-0005-0000-0000-00001D360000}"/>
    <cellStyle name="쉼표 [0] 12 2 2 5 3" xfId="3473" xr:uid="{00000000-0005-0000-0000-00001E360000}"/>
    <cellStyle name="쉼표 [0] 12 2 2 6" xfId="3474" xr:uid="{00000000-0005-0000-0000-00001F360000}"/>
    <cellStyle name="쉼표 [0] 12 2 2 7" xfId="3475" xr:uid="{00000000-0005-0000-0000-000020360000}"/>
    <cellStyle name="쉼표 [0] 12 2 3" xfId="3476" xr:uid="{00000000-0005-0000-0000-000021360000}"/>
    <cellStyle name="쉼표 [0] 12 2 3 2" xfId="3477" xr:uid="{00000000-0005-0000-0000-000022360000}"/>
    <cellStyle name="쉼표 [0] 12 2 3 2 2" xfId="3478" xr:uid="{00000000-0005-0000-0000-000023360000}"/>
    <cellStyle name="쉼표 [0] 12 2 3 2 3" xfId="3479" xr:uid="{00000000-0005-0000-0000-000024360000}"/>
    <cellStyle name="쉼표 [0] 12 2 3 3" xfId="3480" xr:uid="{00000000-0005-0000-0000-000025360000}"/>
    <cellStyle name="쉼표 [0] 12 2 3 4" xfId="3481" xr:uid="{00000000-0005-0000-0000-000026360000}"/>
    <cellStyle name="쉼표 [0] 12 2 4" xfId="3482" xr:uid="{00000000-0005-0000-0000-000027360000}"/>
    <cellStyle name="쉼표 [0] 12 2 4 2" xfId="3483" xr:uid="{00000000-0005-0000-0000-000028360000}"/>
    <cellStyle name="쉼표 [0] 12 2 4 2 2" xfId="3484" xr:uid="{00000000-0005-0000-0000-000029360000}"/>
    <cellStyle name="쉼표 [0] 12 2 4 2 3" xfId="3485" xr:uid="{00000000-0005-0000-0000-00002A360000}"/>
    <cellStyle name="쉼표 [0] 12 2 4 3" xfId="3486" xr:uid="{00000000-0005-0000-0000-00002B360000}"/>
    <cellStyle name="쉼표 [0] 12 2 4 4" xfId="3487" xr:uid="{00000000-0005-0000-0000-00002C360000}"/>
    <cellStyle name="쉼표 [0] 12 2 5" xfId="3488" xr:uid="{00000000-0005-0000-0000-00002D360000}"/>
    <cellStyle name="쉼표 [0] 12 2 5 2" xfId="3489" xr:uid="{00000000-0005-0000-0000-00002E360000}"/>
    <cellStyle name="쉼표 [0] 12 2 5 3" xfId="3490" xr:uid="{00000000-0005-0000-0000-00002F360000}"/>
    <cellStyle name="쉼표 [0] 12 2 6" xfId="3491" xr:uid="{00000000-0005-0000-0000-000030360000}"/>
    <cellStyle name="쉼표 [0] 12 2 6 2" xfId="3492" xr:uid="{00000000-0005-0000-0000-000031360000}"/>
    <cellStyle name="쉼표 [0] 12 2 6 3" xfId="3493" xr:uid="{00000000-0005-0000-0000-000032360000}"/>
    <cellStyle name="쉼표 [0] 12 2 7" xfId="3494" xr:uid="{00000000-0005-0000-0000-000033360000}"/>
    <cellStyle name="쉼표 [0] 12 2 7 2" xfId="3495" xr:uid="{00000000-0005-0000-0000-000034360000}"/>
    <cellStyle name="쉼표 [0] 12 2 8" xfId="3496" xr:uid="{00000000-0005-0000-0000-000035360000}"/>
    <cellStyle name="쉼표 [0] 12 2 8 2" xfId="3497" xr:uid="{00000000-0005-0000-0000-000036360000}"/>
    <cellStyle name="쉼표 [0] 12 2 9" xfId="3498" xr:uid="{00000000-0005-0000-0000-000037360000}"/>
    <cellStyle name="쉼표 [0] 12 2 9 2" xfId="3499" xr:uid="{00000000-0005-0000-0000-000038360000}"/>
    <cellStyle name="쉼표 [0] 12 3" xfId="3500" xr:uid="{00000000-0005-0000-0000-000039360000}"/>
    <cellStyle name="쉼표 [0] 12 3 2" xfId="3501" xr:uid="{00000000-0005-0000-0000-00003A360000}"/>
    <cellStyle name="쉼표 [0] 12 3 2 2" xfId="3502" xr:uid="{00000000-0005-0000-0000-00003B360000}"/>
    <cellStyle name="쉼표 [0] 12 3 2 2 2" xfId="3503" xr:uid="{00000000-0005-0000-0000-00003C360000}"/>
    <cellStyle name="쉼표 [0] 12 3 2 2 2 2" xfId="3504" xr:uid="{00000000-0005-0000-0000-00003D360000}"/>
    <cellStyle name="쉼표 [0] 12 3 2 2 2 3" xfId="3505" xr:uid="{00000000-0005-0000-0000-00003E360000}"/>
    <cellStyle name="쉼표 [0] 12 3 2 2 3" xfId="3506" xr:uid="{00000000-0005-0000-0000-00003F360000}"/>
    <cellStyle name="쉼표 [0] 12 3 2 2 4" xfId="3507" xr:uid="{00000000-0005-0000-0000-000040360000}"/>
    <cellStyle name="쉼표 [0] 12 3 2 3" xfId="3508" xr:uid="{00000000-0005-0000-0000-000041360000}"/>
    <cellStyle name="쉼표 [0] 12 3 2 3 2" xfId="3509" xr:uid="{00000000-0005-0000-0000-000042360000}"/>
    <cellStyle name="쉼표 [0] 12 3 2 3 2 2" xfId="3510" xr:uid="{00000000-0005-0000-0000-000043360000}"/>
    <cellStyle name="쉼표 [0] 12 3 2 3 2 3" xfId="3511" xr:uid="{00000000-0005-0000-0000-000044360000}"/>
    <cellStyle name="쉼표 [0] 12 3 2 3 3" xfId="3512" xr:uid="{00000000-0005-0000-0000-000045360000}"/>
    <cellStyle name="쉼표 [0] 12 3 2 3 4" xfId="3513" xr:uid="{00000000-0005-0000-0000-000046360000}"/>
    <cellStyle name="쉼표 [0] 12 3 2 4" xfId="3514" xr:uid="{00000000-0005-0000-0000-000047360000}"/>
    <cellStyle name="쉼표 [0] 12 3 2 4 2" xfId="3515" xr:uid="{00000000-0005-0000-0000-000048360000}"/>
    <cellStyle name="쉼표 [0] 12 3 2 4 3" xfId="3516" xr:uid="{00000000-0005-0000-0000-000049360000}"/>
    <cellStyle name="쉼표 [0] 12 3 2 5" xfId="3517" xr:uid="{00000000-0005-0000-0000-00004A360000}"/>
    <cellStyle name="쉼표 [0] 12 3 2 5 2" xfId="3518" xr:uid="{00000000-0005-0000-0000-00004B360000}"/>
    <cellStyle name="쉼표 [0] 12 3 2 5 3" xfId="3519" xr:uid="{00000000-0005-0000-0000-00004C360000}"/>
    <cellStyle name="쉼표 [0] 12 3 2 6" xfId="3520" xr:uid="{00000000-0005-0000-0000-00004D360000}"/>
    <cellStyle name="쉼표 [0] 12 3 2 7" xfId="3521" xr:uid="{00000000-0005-0000-0000-00004E360000}"/>
    <cellStyle name="쉼표 [0] 12 3 3" xfId="3522" xr:uid="{00000000-0005-0000-0000-00004F360000}"/>
    <cellStyle name="쉼표 [0] 12 3 3 2" xfId="3523" xr:uid="{00000000-0005-0000-0000-000050360000}"/>
    <cellStyle name="쉼표 [0] 12 3 3 2 2" xfId="3524" xr:uid="{00000000-0005-0000-0000-000051360000}"/>
    <cellStyle name="쉼표 [0] 12 3 3 2 3" xfId="3525" xr:uid="{00000000-0005-0000-0000-000052360000}"/>
    <cellStyle name="쉼표 [0] 12 3 3 3" xfId="3526" xr:uid="{00000000-0005-0000-0000-000053360000}"/>
    <cellStyle name="쉼표 [0] 12 3 3 4" xfId="3527" xr:uid="{00000000-0005-0000-0000-000054360000}"/>
    <cellStyle name="쉼표 [0] 12 3 4" xfId="3528" xr:uid="{00000000-0005-0000-0000-000055360000}"/>
    <cellStyle name="쉼표 [0] 12 3 4 2" xfId="3529" xr:uid="{00000000-0005-0000-0000-000056360000}"/>
    <cellStyle name="쉼표 [0] 12 3 4 2 2" xfId="3530" xr:uid="{00000000-0005-0000-0000-000057360000}"/>
    <cellStyle name="쉼표 [0] 12 3 4 2 3" xfId="3531" xr:uid="{00000000-0005-0000-0000-000058360000}"/>
    <cellStyle name="쉼표 [0] 12 3 4 3" xfId="3532" xr:uid="{00000000-0005-0000-0000-000059360000}"/>
    <cellStyle name="쉼표 [0] 12 3 4 4" xfId="3533" xr:uid="{00000000-0005-0000-0000-00005A360000}"/>
    <cellStyle name="쉼표 [0] 12 3 5" xfId="3534" xr:uid="{00000000-0005-0000-0000-00005B360000}"/>
    <cellStyle name="쉼표 [0] 12 3 5 2" xfId="3535" xr:uid="{00000000-0005-0000-0000-00005C360000}"/>
    <cellStyle name="쉼표 [0] 12 3 5 3" xfId="3536" xr:uid="{00000000-0005-0000-0000-00005D360000}"/>
    <cellStyle name="쉼표 [0] 12 3 6" xfId="3537" xr:uid="{00000000-0005-0000-0000-00005E360000}"/>
    <cellStyle name="쉼표 [0] 12 3 6 2" xfId="3538" xr:uid="{00000000-0005-0000-0000-00005F360000}"/>
    <cellStyle name="쉼표 [0] 12 3 6 3" xfId="3539" xr:uid="{00000000-0005-0000-0000-000060360000}"/>
    <cellStyle name="쉼표 [0] 12 3 7" xfId="3540" xr:uid="{00000000-0005-0000-0000-000061360000}"/>
    <cellStyle name="쉼표 [0] 12 3 8" xfId="3541" xr:uid="{00000000-0005-0000-0000-000062360000}"/>
    <cellStyle name="쉼표 [0] 12 4" xfId="3542" xr:uid="{00000000-0005-0000-0000-000063360000}"/>
    <cellStyle name="쉼표 [0] 12 4 2" xfId="3543" xr:uid="{00000000-0005-0000-0000-000064360000}"/>
    <cellStyle name="쉼표 [0] 12 4 2 2" xfId="3544" xr:uid="{00000000-0005-0000-0000-000065360000}"/>
    <cellStyle name="쉼표 [0] 12 4 2 2 2" xfId="3545" xr:uid="{00000000-0005-0000-0000-000066360000}"/>
    <cellStyle name="쉼표 [0] 12 4 2 2 3" xfId="3546" xr:uid="{00000000-0005-0000-0000-000067360000}"/>
    <cellStyle name="쉼표 [0] 12 4 2 3" xfId="3547" xr:uid="{00000000-0005-0000-0000-000068360000}"/>
    <cellStyle name="쉼표 [0] 12 4 2 4" xfId="3548" xr:uid="{00000000-0005-0000-0000-000069360000}"/>
    <cellStyle name="쉼표 [0] 12 4 3" xfId="3549" xr:uid="{00000000-0005-0000-0000-00006A360000}"/>
    <cellStyle name="쉼표 [0] 12 4 3 2" xfId="3550" xr:uid="{00000000-0005-0000-0000-00006B360000}"/>
    <cellStyle name="쉼표 [0] 12 4 3 2 2" xfId="3551" xr:uid="{00000000-0005-0000-0000-00006C360000}"/>
    <cellStyle name="쉼표 [0] 12 4 3 2 3" xfId="3552" xr:uid="{00000000-0005-0000-0000-00006D360000}"/>
    <cellStyle name="쉼표 [0] 12 4 3 3" xfId="3553" xr:uid="{00000000-0005-0000-0000-00006E360000}"/>
    <cellStyle name="쉼표 [0] 12 4 3 4" xfId="3554" xr:uid="{00000000-0005-0000-0000-00006F360000}"/>
    <cellStyle name="쉼표 [0] 12 4 4" xfId="3555" xr:uid="{00000000-0005-0000-0000-000070360000}"/>
    <cellStyle name="쉼표 [0] 12 4 4 2" xfId="3556" xr:uid="{00000000-0005-0000-0000-000071360000}"/>
    <cellStyle name="쉼표 [0] 12 4 4 3" xfId="3557" xr:uid="{00000000-0005-0000-0000-000072360000}"/>
    <cellStyle name="쉼표 [0] 12 4 5" xfId="3558" xr:uid="{00000000-0005-0000-0000-000073360000}"/>
    <cellStyle name="쉼표 [0] 12 4 5 2" xfId="3559" xr:uid="{00000000-0005-0000-0000-000074360000}"/>
    <cellStyle name="쉼표 [0] 12 4 5 3" xfId="3560" xr:uid="{00000000-0005-0000-0000-000075360000}"/>
    <cellStyle name="쉼표 [0] 12 4 6" xfId="3561" xr:uid="{00000000-0005-0000-0000-000076360000}"/>
    <cellStyle name="쉼표 [0] 12 4 7" xfId="3562" xr:uid="{00000000-0005-0000-0000-000077360000}"/>
    <cellStyle name="쉼표 [0] 12 5" xfId="3563" xr:uid="{00000000-0005-0000-0000-000078360000}"/>
    <cellStyle name="쉼표 [0] 12 5 2" xfId="3564" xr:uid="{00000000-0005-0000-0000-000079360000}"/>
    <cellStyle name="쉼표 [0] 12 5 2 2" xfId="3565" xr:uid="{00000000-0005-0000-0000-00007A360000}"/>
    <cellStyle name="쉼표 [0] 12 5 2 2 2" xfId="3566" xr:uid="{00000000-0005-0000-0000-00007B360000}"/>
    <cellStyle name="쉼표 [0] 12 5 2 2 3" xfId="3567" xr:uid="{00000000-0005-0000-0000-00007C360000}"/>
    <cellStyle name="쉼표 [0] 12 5 2 3" xfId="3568" xr:uid="{00000000-0005-0000-0000-00007D360000}"/>
    <cellStyle name="쉼표 [0] 12 5 2 4" xfId="3569" xr:uid="{00000000-0005-0000-0000-00007E360000}"/>
    <cellStyle name="쉼표 [0] 12 5 3" xfId="3570" xr:uid="{00000000-0005-0000-0000-00007F360000}"/>
    <cellStyle name="쉼표 [0] 12 5 3 2" xfId="3571" xr:uid="{00000000-0005-0000-0000-000080360000}"/>
    <cellStyle name="쉼표 [0] 12 5 3 2 2" xfId="3572" xr:uid="{00000000-0005-0000-0000-000081360000}"/>
    <cellStyle name="쉼표 [0] 12 5 3 2 3" xfId="3573" xr:uid="{00000000-0005-0000-0000-000082360000}"/>
    <cellStyle name="쉼표 [0] 12 5 3 3" xfId="3574" xr:uid="{00000000-0005-0000-0000-000083360000}"/>
    <cellStyle name="쉼표 [0] 12 5 3 4" xfId="3575" xr:uid="{00000000-0005-0000-0000-000084360000}"/>
    <cellStyle name="쉼표 [0] 12 5 4" xfId="3576" xr:uid="{00000000-0005-0000-0000-000085360000}"/>
    <cellStyle name="쉼표 [0] 12 5 4 2" xfId="3577" xr:uid="{00000000-0005-0000-0000-000086360000}"/>
    <cellStyle name="쉼표 [0] 12 5 4 3" xfId="3578" xr:uid="{00000000-0005-0000-0000-000087360000}"/>
    <cellStyle name="쉼표 [0] 12 5 5" xfId="3579" xr:uid="{00000000-0005-0000-0000-000088360000}"/>
    <cellStyle name="쉼표 [0] 12 5 5 2" xfId="3580" xr:uid="{00000000-0005-0000-0000-000089360000}"/>
    <cellStyle name="쉼표 [0] 12 5 5 3" xfId="3581" xr:uid="{00000000-0005-0000-0000-00008A360000}"/>
    <cellStyle name="쉼표 [0] 12 5 6" xfId="3582" xr:uid="{00000000-0005-0000-0000-00008B360000}"/>
    <cellStyle name="쉼표 [0] 12 5 7" xfId="3583" xr:uid="{00000000-0005-0000-0000-00008C360000}"/>
    <cellStyle name="쉼표 [0] 12 6" xfId="3584" xr:uid="{00000000-0005-0000-0000-00008D360000}"/>
    <cellStyle name="쉼표 [0] 12 6 2" xfId="3585" xr:uid="{00000000-0005-0000-0000-00008E360000}"/>
    <cellStyle name="쉼표 [0] 12 6 2 2" xfId="3586" xr:uid="{00000000-0005-0000-0000-00008F360000}"/>
    <cellStyle name="쉼표 [0] 12 6 2 3" xfId="3587" xr:uid="{00000000-0005-0000-0000-000090360000}"/>
    <cellStyle name="쉼표 [0] 12 6 3" xfId="3588" xr:uid="{00000000-0005-0000-0000-000091360000}"/>
    <cellStyle name="쉼표 [0] 12 6 4" xfId="3589" xr:uid="{00000000-0005-0000-0000-000092360000}"/>
    <cellStyle name="쉼표 [0] 12 7" xfId="3590" xr:uid="{00000000-0005-0000-0000-000093360000}"/>
    <cellStyle name="쉼표 [0] 12 7 2" xfId="3591" xr:uid="{00000000-0005-0000-0000-000094360000}"/>
    <cellStyle name="쉼표 [0] 12 7 2 2" xfId="3592" xr:uid="{00000000-0005-0000-0000-000095360000}"/>
    <cellStyle name="쉼표 [0] 12 7 2 3" xfId="3593" xr:uid="{00000000-0005-0000-0000-000096360000}"/>
    <cellStyle name="쉼표 [0] 12 7 3" xfId="3594" xr:uid="{00000000-0005-0000-0000-000097360000}"/>
    <cellStyle name="쉼표 [0] 12 7 4" xfId="3595" xr:uid="{00000000-0005-0000-0000-000098360000}"/>
    <cellStyle name="쉼표 [0] 12 8" xfId="3596" xr:uid="{00000000-0005-0000-0000-000099360000}"/>
    <cellStyle name="쉼표 [0] 12 8 2" xfId="3597" xr:uid="{00000000-0005-0000-0000-00009A360000}"/>
    <cellStyle name="쉼표 [0] 12 8 3" xfId="3598" xr:uid="{00000000-0005-0000-0000-00009B360000}"/>
    <cellStyle name="쉼표 [0] 12 9" xfId="3599" xr:uid="{00000000-0005-0000-0000-00009C360000}"/>
    <cellStyle name="쉼표 [0] 12 9 2" xfId="3600" xr:uid="{00000000-0005-0000-0000-00009D360000}"/>
    <cellStyle name="쉼표 [0] 12 9 3" xfId="3601" xr:uid="{00000000-0005-0000-0000-00009E360000}"/>
    <cellStyle name="쉼표 [0] 13" xfId="24" xr:uid="{00000000-0005-0000-0000-00009F360000}"/>
    <cellStyle name="쉼표 [0] 13 10" xfId="3602" xr:uid="{00000000-0005-0000-0000-0000A0360000}"/>
    <cellStyle name="쉼표 [0] 13 10 2" xfId="3603" xr:uid="{00000000-0005-0000-0000-0000A1360000}"/>
    <cellStyle name="쉼표 [0] 13 10 2 2" xfId="3604" xr:uid="{00000000-0005-0000-0000-0000A2360000}"/>
    <cellStyle name="쉼표 [0] 13 10 2 3" xfId="3605" xr:uid="{00000000-0005-0000-0000-0000A3360000}"/>
    <cellStyle name="쉼표 [0] 13 10 3" xfId="3606" xr:uid="{00000000-0005-0000-0000-0000A4360000}"/>
    <cellStyle name="쉼표 [0] 13 10 4" xfId="3607" xr:uid="{00000000-0005-0000-0000-0000A5360000}"/>
    <cellStyle name="쉼표 [0] 13 11" xfId="3608" xr:uid="{00000000-0005-0000-0000-0000A6360000}"/>
    <cellStyle name="쉼표 [0] 13 11 2" xfId="3609" xr:uid="{00000000-0005-0000-0000-0000A7360000}"/>
    <cellStyle name="쉼표 [0] 13 11 2 2" xfId="3610" xr:uid="{00000000-0005-0000-0000-0000A8360000}"/>
    <cellStyle name="쉼표 [0] 13 11 2 3" xfId="3611" xr:uid="{00000000-0005-0000-0000-0000A9360000}"/>
    <cellStyle name="쉼표 [0] 13 11 3" xfId="3612" xr:uid="{00000000-0005-0000-0000-0000AA360000}"/>
    <cellStyle name="쉼표 [0] 13 11 4" xfId="3613" xr:uid="{00000000-0005-0000-0000-0000AB360000}"/>
    <cellStyle name="쉼표 [0] 13 12" xfId="3614" xr:uid="{00000000-0005-0000-0000-0000AC360000}"/>
    <cellStyle name="쉼표 [0] 13 12 2" xfId="3615" xr:uid="{00000000-0005-0000-0000-0000AD360000}"/>
    <cellStyle name="쉼표 [0] 13 12 3" xfId="3616" xr:uid="{00000000-0005-0000-0000-0000AE360000}"/>
    <cellStyle name="쉼표 [0] 13 13" xfId="3617" xr:uid="{00000000-0005-0000-0000-0000AF360000}"/>
    <cellStyle name="쉼표 [0] 13 13 2" xfId="3618" xr:uid="{00000000-0005-0000-0000-0000B0360000}"/>
    <cellStyle name="쉼표 [0] 13 13 3" xfId="3619" xr:uid="{00000000-0005-0000-0000-0000B1360000}"/>
    <cellStyle name="쉼표 [0] 13 14" xfId="3620" xr:uid="{00000000-0005-0000-0000-0000B2360000}"/>
    <cellStyle name="쉼표 [0] 13 14 2" xfId="3621" xr:uid="{00000000-0005-0000-0000-0000B3360000}"/>
    <cellStyle name="쉼표 [0] 13 14 3" xfId="3622" xr:uid="{00000000-0005-0000-0000-0000B4360000}"/>
    <cellStyle name="쉼표 [0] 13 15" xfId="3623" xr:uid="{00000000-0005-0000-0000-0000B5360000}"/>
    <cellStyle name="쉼표 [0] 13 15 2" xfId="3624" xr:uid="{00000000-0005-0000-0000-0000B6360000}"/>
    <cellStyle name="쉼표 [0] 13 15 3" xfId="3625" xr:uid="{00000000-0005-0000-0000-0000B7360000}"/>
    <cellStyle name="쉼표 [0] 13 16" xfId="3626" xr:uid="{00000000-0005-0000-0000-0000B8360000}"/>
    <cellStyle name="쉼표 [0] 13 16 2" xfId="3627" xr:uid="{00000000-0005-0000-0000-0000B9360000}"/>
    <cellStyle name="쉼표 [0] 13 17" xfId="3628" xr:uid="{00000000-0005-0000-0000-0000BA360000}"/>
    <cellStyle name="쉼표 [0] 13 17 2" xfId="3629" xr:uid="{00000000-0005-0000-0000-0000BB360000}"/>
    <cellStyle name="쉼표 [0] 13 18" xfId="3630" xr:uid="{00000000-0005-0000-0000-0000BC360000}"/>
    <cellStyle name="쉼표 [0] 13 18 2" xfId="3631" xr:uid="{00000000-0005-0000-0000-0000BD360000}"/>
    <cellStyle name="쉼표 [0] 13 19" xfId="3632" xr:uid="{00000000-0005-0000-0000-0000BE360000}"/>
    <cellStyle name="쉼표 [0] 13 19 2" xfId="3633" xr:uid="{00000000-0005-0000-0000-0000BF360000}"/>
    <cellStyle name="쉼표 [0] 13 2" xfId="58" xr:uid="{00000000-0005-0000-0000-0000C0360000}"/>
    <cellStyle name="쉼표 [0] 13 2 10" xfId="3634" xr:uid="{00000000-0005-0000-0000-0000C1360000}"/>
    <cellStyle name="쉼표 [0] 13 2 10 2" xfId="3635" xr:uid="{00000000-0005-0000-0000-0000C2360000}"/>
    <cellStyle name="쉼표 [0] 13 2 10 3" xfId="3636" xr:uid="{00000000-0005-0000-0000-0000C3360000}"/>
    <cellStyle name="쉼표 [0] 13 2 11" xfId="3637" xr:uid="{00000000-0005-0000-0000-0000C4360000}"/>
    <cellStyle name="쉼표 [0] 13 2 11 2" xfId="3638" xr:uid="{00000000-0005-0000-0000-0000C5360000}"/>
    <cellStyle name="쉼표 [0] 13 2 12" xfId="3639" xr:uid="{00000000-0005-0000-0000-0000C6360000}"/>
    <cellStyle name="쉼표 [0] 13 2 12 2" xfId="3640" xr:uid="{00000000-0005-0000-0000-0000C7360000}"/>
    <cellStyle name="쉼표 [0] 13 2 13" xfId="3641" xr:uid="{00000000-0005-0000-0000-0000C8360000}"/>
    <cellStyle name="쉼표 [0] 13 2 13 2" xfId="3642" xr:uid="{00000000-0005-0000-0000-0000C9360000}"/>
    <cellStyle name="쉼표 [0] 13 2 14" xfId="3643" xr:uid="{00000000-0005-0000-0000-0000CA360000}"/>
    <cellStyle name="쉼표 [0] 13 2 14 2" xfId="3644" xr:uid="{00000000-0005-0000-0000-0000CB360000}"/>
    <cellStyle name="쉼표 [0] 13 2 15" xfId="3645" xr:uid="{00000000-0005-0000-0000-0000CC360000}"/>
    <cellStyle name="쉼표 [0] 13 2 16" xfId="3646" xr:uid="{00000000-0005-0000-0000-0000CD360000}"/>
    <cellStyle name="쉼표 [0] 13 2 2" xfId="3647" xr:uid="{00000000-0005-0000-0000-0000CE360000}"/>
    <cellStyle name="쉼표 [0] 13 2 2 2" xfId="3648" xr:uid="{00000000-0005-0000-0000-0000CF360000}"/>
    <cellStyle name="쉼표 [0] 13 2 2 2 2" xfId="3649" xr:uid="{00000000-0005-0000-0000-0000D0360000}"/>
    <cellStyle name="쉼표 [0] 13 2 2 2 2 2" xfId="3650" xr:uid="{00000000-0005-0000-0000-0000D1360000}"/>
    <cellStyle name="쉼표 [0] 13 2 2 2 2 2 2" xfId="3651" xr:uid="{00000000-0005-0000-0000-0000D2360000}"/>
    <cellStyle name="쉼표 [0] 13 2 2 2 2 2 3" xfId="3652" xr:uid="{00000000-0005-0000-0000-0000D3360000}"/>
    <cellStyle name="쉼표 [0] 13 2 2 2 2 3" xfId="3653" xr:uid="{00000000-0005-0000-0000-0000D4360000}"/>
    <cellStyle name="쉼표 [0] 13 2 2 2 2 4" xfId="3654" xr:uid="{00000000-0005-0000-0000-0000D5360000}"/>
    <cellStyle name="쉼표 [0] 13 2 2 2 3" xfId="3655" xr:uid="{00000000-0005-0000-0000-0000D6360000}"/>
    <cellStyle name="쉼표 [0] 13 2 2 2 3 2" xfId="3656" xr:uid="{00000000-0005-0000-0000-0000D7360000}"/>
    <cellStyle name="쉼표 [0] 13 2 2 2 3 2 2" xfId="3657" xr:uid="{00000000-0005-0000-0000-0000D8360000}"/>
    <cellStyle name="쉼표 [0] 13 2 2 2 3 2 3" xfId="3658" xr:uid="{00000000-0005-0000-0000-0000D9360000}"/>
    <cellStyle name="쉼표 [0] 13 2 2 2 3 3" xfId="3659" xr:uid="{00000000-0005-0000-0000-0000DA360000}"/>
    <cellStyle name="쉼표 [0] 13 2 2 2 3 4" xfId="3660" xr:uid="{00000000-0005-0000-0000-0000DB360000}"/>
    <cellStyle name="쉼표 [0] 13 2 2 2 4" xfId="3661" xr:uid="{00000000-0005-0000-0000-0000DC360000}"/>
    <cellStyle name="쉼표 [0] 13 2 2 2 4 2" xfId="3662" xr:uid="{00000000-0005-0000-0000-0000DD360000}"/>
    <cellStyle name="쉼표 [0] 13 2 2 2 4 3" xfId="3663" xr:uid="{00000000-0005-0000-0000-0000DE360000}"/>
    <cellStyle name="쉼표 [0] 13 2 2 2 5" xfId="3664" xr:uid="{00000000-0005-0000-0000-0000DF360000}"/>
    <cellStyle name="쉼표 [0] 13 2 2 2 5 2" xfId="3665" xr:uid="{00000000-0005-0000-0000-0000E0360000}"/>
    <cellStyle name="쉼표 [0] 13 2 2 2 5 3" xfId="3666" xr:uid="{00000000-0005-0000-0000-0000E1360000}"/>
    <cellStyle name="쉼표 [0] 13 2 2 2 6" xfId="3667" xr:uid="{00000000-0005-0000-0000-0000E2360000}"/>
    <cellStyle name="쉼표 [0] 13 2 2 2 7" xfId="3668" xr:uid="{00000000-0005-0000-0000-0000E3360000}"/>
    <cellStyle name="쉼표 [0] 13 2 2 3" xfId="3669" xr:uid="{00000000-0005-0000-0000-0000E4360000}"/>
    <cellStyle name="쉼표 [0] 13 2 2 3 2" xfId="3670" xr:uid="{00000000-0005-0000-0000-0000E5360000}"/>
    <cellStyle name="쉼표 [0] 13 2 2 3 2 2" xfId="3671" xr:uid="{00000000-0005-0000-0000-0000E6360000}"/>
    <cellStyle name="쉼표 [0] 13 2 2 3 2 3" xfId="3672" xr:uid="{00000000-0005-0000-0000-0000E7360000}"/>
    <cellStyle name="쉼표 [0] 13 2 2 3 3" xfId="3673" xr:uid="{00000000-0005-0000-0000-0000E8360000}"/>
    <cellStyle name="쉼표 [0] 13 2 2 3 4" xfId="3674" xr:uid="{00000000-0005-0000-0000-0000E9360000}"/>
    <cellStyle name="쉼표 [0] 13 2 2 4" xfId="3675" xr:uid="{00000000-0005-0000-0000-0000EA360000}"/>
    <cellStyle name="쉼표 [0] 13 2 2 4 2" xfId="3676" xr:uid="{00000000-0005-0000-0000-0000EB360000}"/>
    <cellStyle name="쉼표 [0] 13 2 2 4 2 2" xfId="3677" xr:uid="{00000000-0005-0000-0000-0000EC360000}"/>
    <cellStyle name="쉼표 [0] 13 2 2 4 2 3" xfId="3678" xr:uid="{00000000-0005-0000-0000-0000ED360000}"/>
    <cellStyle name="쉼표 [0] 13 2 2 4 3" xfId="3679" xr:uid="{00000000-0005-0000-0000-0000EE360000}"/>
    <cellStyle name="쉼표 [0] 13 2 2 4 4" xfId="3680" xr:uid="{00000000-0005-0000-0000-0000EF360000}"/>
    <cellStyle name="쉼표 [0] 13 2 2 5" xfId="3681" xr:uid="{00000000-0005-0000-0000-0000F0360000}"/>
    <cellStyle name="쉼표 [0] 13 2 2 5 2" xfId="3682" xr:uid="{00000000-0005-0000-0000-0000F1360000}"/>
    <cellStyle name="쉼표 [0] 13 2 2 5 3" xfId="3683" xr:uid="{00000000-0005-0000-0000-0000F2360000}"/>
    <cellStyle name="쉼표 [0] 13 2 2 6" xfId="3684" xr:uid="{00000000-0005-0000-0000-0000F3360000}"/>
    <cellStyle name="쉼표 [0] 13 2 2 6 2" xfId="3685" xr:uid="{00000000-0005-0000-0000-0000F4360000}"/>
    <cellStyle name="쉼표 [0] 13 2 2 6 3" xfId="3686" xr:uid="{00000000-0005-0000-0000-0000F5360000}"/>
    <cellStyle name="쉼표 [0] 13 2 2 7" xfId="3687" xr:uid="{00000000-0005-0000-0000-0000F6360000}"/>
    <cellStyle name="쉼표 [0] 13 2 2 8" xfId="3688" xr:uid="{00000000-0005-0000-0000-0000F7360000}"/>
    <cellStyle name="쉼표 [0] 13 2 3" xfId="3689" xr:uid="{00000000-0005-0000-0000-0000F8360000}"/>
    <cellStyle name="쉼표 [0] 13 2 3 2" xfId="3690" xr:uid="{00000000-0005-0000-0000-0000F9360000}"/>
    <cellStyle name="쉼표 [0] 13 2 3 2 2" xfId="3691" xr:uid="{00000000-0005-0000-0000-0000FA360000}"/>
    <cellStyle name="쉼표 [0] 13 2 3 2 2 2" xfId="3692" xr:uid="{00000000-0005-0000-0000-0000FB360000}"/>
    <cellStyle name="쉼표 [0] 13 2 3 2 2 3" xfId="3693" xr:uid="{00000000-0005-0000-0000-0000FC360000}"/>
    <cellStyle name="쉼표 [0] 13 2 3 2 3" xfId="3694" xr:uid="{00000000-0005-0000-0000-0000FD360000}"/>
    <cellStyle name="쉼표 [0] 13 2 3 2 4" xfId="3695" xr:uid="{00000000-0005-0000-0000-0000FE360000}"/>
    <cellStyle name="쉼표 [0] 13 2 3 3" xfId="3696" xr:uid="{00000000-0005-0000-0000-0000FF360000}"/>
    <cellStyle name="쉼표 [0] 13 2 3 3 2" xfId="3697" xr:uid="{00000000-0005-0000-0000-000000370000}"/>
    <cellStyle name="쉼표 [0] 13 2 3 3 2 2" xfId="3698" xr:uid="{00000000-0005-0000-0000-000001370000}"/>
    <cellStyle name="쉼표 [0] 13 2 3 3 2 3" xfId="3699" xr:uid="{00000000-0005-0000-0000-000002370000}"/>
    <cellStyle name="쉼표 [0] 13 2 3 3 3" xfId="3700" xr:uid="{00000000-0005-0000-0000-000003370000}"/>
    <cellStyle name="쉼표 [0] 13 2 3 3 4" xfId="3701" xr:uid="{00000000-0005-0000-0000-000004370000}"/>
    <cellStyle name="쉼표 [0] 13 2 3 4" xfId="3702" xr:uid="{00000000-0005-0000-0000-000005370000}"/>
    <cellStyle name="쉼표 [0] 13 2 3 4 2" xfId="3703" xr:uid="{00000000-0005-0000-0000-000006370000}"/>
    <cellStyle name="쉼표 [0] 13 2 3 4 3" xfId="3704" xr:uid="{00000000-0005-0000-0000-000007370000}"/>
    <cellStyle name="쉼표 [0] 13 2 3 5" xfId="3705" xr:uid="{00000000-0005-0000-0000-000008370000}"/>
    <cellStyle name="쉼표 [0] 13 2 3 5 2" xfId="3706" xr:uid="{00000000-0005-0000-0000-000009370000}"/>
    <cellStyle name="쉼표 [0] 13 2 3 5 3" xfId="3707" xr:uid="{00000000-0005-0000-0000-00000A370000}"/>
    <cellStyle name="쉼표 [0] 13 2 3 6" xfId="3708" xr:uid="{00000000-0005-0000-0000-00000B370000}"/>
    <cellStyle name="쉼표 [0] 13 2 3 7" xfId="3709" xr:uid="{00000000-0005-0000-0000-00000C370000}"/>
    <cellStyle name="쉼표 [0] 13 2 4" xfId="3710" xr:uid="{00000000-0005-0000-0000-00000D370000}"/>
    <cellStyle name="쉼표 [0] 13 2 4 2" xfId="3711" xr:uid="{00000000-0005-0000-0000-00000E370000}"/>
    <cellStyle name="쉼표 [0] 13 2 4 2 2" xfId="3712" xr:uid="{00000000-0005-0000-0000-00000F370000}"/>
    <cellStyle name="쉼표 [0] 13 2 4 2 2 2" xfId="3713" xr:uid="{00000000-0005-0000-0000-000010370000}"/>
    <cellStyle name="쉼표 [0] 13 2 4 2 2 3" xfId="3714" xr:uid="{00000000-0005-0000-0000-000011370000}"/>
    <cellStyle name="쉼표 [0] 13 2 4 2 3" xfId="3715" xr:uid="{00000000-0005-0000-0000-000012370000}"/>
    <cellStyle name="쉼표 [0] 13 2 4 2 4" xfId="3716" xr:uid="{00000000-0005-0000-0000-000013370000}"/>
    <cellStyle name="쉼표 [0] 13 2 4 3" xfId="3717" xr:uid="{00000000-0005-0000-0000-000014370000}"/>
    <cellStyle name="쉼표 [0] 13 2 4 3 2" xfId="3718" xr:uid="{00000000-0005-0000-0000-000015370000}"/>
    <cellStyle name="쉼표 [0] 13 2 4 3 2 2" xfId="3719" xr:uid="{00000000-0005-0000-0000-000016370000}"/>
    <cellStyle name="쉼표 [0] 13 2 4 3 2 3" xfId="3720" xr:uid="{00000000-0005-0000-0000-000017370000}"/>
    <cellStyle name="쉼표 [0] 13 2 4 3 3" xfId="3721" xr:uid="{00000000-0005-0000-0000-000018370000}"/>
    <cellStyle name="쉼표 [0] 13 2 4 3 4" xfId="3722" xr:uid="{00000000-0005-0000-0000-000019370000}"/>
    <cellStyle name="쉼표 [0] 13 2 4 4" xfId="3723" xr:uid="{00000000-0005-0000-0000-00001A370000}"/>
    <cellStyle name="쉼표 [0] 13 2 4 4 2" xfId="3724" xr:uid="{00000000-0005-0000-0000-00001B370000}"/>
    <cellStyle name="쉼표 [0] 13 2 4 4 3" xfId="3725" xr:uid="{00000000-0005-0000-0000-00001C370000}"/>
    <cellStyle name="쉼표 [0] 13 2 4 5" xfId="3726" xr:uid="{00000000-0005-0000-0000-00001D370000}"/>
    <cellStyle name="쉼표 [0] 13 2 4 5 2" xfId="3727" xr:uid="{00000000-0005-0000-0000-00001E370000}"/>
    <cellStyle name="쉼표 [0] 13 2 4 5 3" xfId="3728" xr:uid="{00000000-0005-0000-0000-00001F370000}"/>
    <cellStyle name="쉼표 [0] 13 2 4 6" xfId="3729" xr:uid="{00000000-0005-0000-0000-000020370000}"/>
    <cellStyle name="쉼표 [0] 13 2 4 7" xfId="3730" xr:uid="{00000000-0005-0000-0000-000021370000}"/>
    <cellStyle name="쉼표 [0] 13 2 5" xfId="3731" xr:uid="{00000000-0005-0000-0000-000022370000}"/>
    <cellStyle name="쉼표 [0] 13 2 5 2" xfId="3732" xr:uid="{00000000-0005-0000-0000-000023370000}"/>
    <cellStyle name="쉼표 [0] 13 2 5 2 2" xfId="3733" xr:uid="{00000000-0005-0000-0000-000024370000}"/>
    <cellStyle name="쉼표 [0] 13 2 5 2 3" xfId="3734" xr:uid="{00000000-0005-0000-0000-000025370000}"/>
    <cellStyle name="쉼표 [0] 13 2 5 3" xfId="3735" xr:uid="{00000000-0005-0000-0000-000026370000}"/>
    <cellStyle name="쉼표 [0] 13 2 5 4" xfId="3736" xr:uid="{00000000-0005-0000-0000-000027370000}"/>
    <cellStyle name="쉼표 [0] 13 2 6" xfId="3737" xr:uid="{00000000-0005-0000-0000-000028370000}"/>
    <cellStyle name="쉼표 [0] 13 2 6 2" xfId="3738" xr:uid="{00000000-0005-0000-0000-000029370000}"/>
    <cellStyle name="쉼표 [0] 13 2 6 2 2" xfId="3739" xr:uid="{00000000-0005-0000-0000-00002A370000}"/>
    <cellStyle name="쉼표 [0] 13 2 6 2 3" xfId="3740" xr:uid="{00000000-0005-0000-0000-00002B370000}"/>
    <cellStyle name="쉼표 [0] 13 2 6 3" xfId="3741" xr:uid="{00000000-0005-0000-0000-00002C370000}"/>
    <cellStyle name="쉼표 [0] 13 2 6 4" xfId="3742" xr:uid="{00000000-0005-0000-0000-00002D370000}"/>
    <cellStyle name="쉼표 [0] 13 2 7" xfId="3743" xr:uid="{00000000-0005-0000-0000-00002E370000}"/>
    <cellStyle name="쉼표 [0] 13 2 7 2" xfId="3744" xr:uid="{00000000-0005-0000-0000-00002F370000}"/>
    <cellStyle name="쉼표 [0] 13 2 7 3" xfId="3745" xr:uid="{00000000-0005-0000-0000-000030370000}"/>
    <cellStyle name="쉼표 [0] 13 2 8" xfId="3746" xr:uid="{00000000-0005-0000-0000-000031370000}"/>
    <cellStyle name="쉼표 [0] 13 2 8 2" xfId="3747" xr:uid="{00000000-0005-0000-0000-000032370000}"/>
    <cellStyle name="쉼표 [0] 13 2 8 3" xfId="3748" xr:uid="{00000000-0005-0000-0000-000033370000}"/>
    <cellStyle name="쉼표 [0] 13 2 9" xfId="3749" xr:uid="{00000000-0005-0000-0000-000034370000}"/>
    <cellStyle name="쉼표 [0] 13 2 9 2" xfId="3750" xr:uid="{00000000-0005-0000-0000-000035370000}"/>
    <cellStyle name="쉼표 [0] 13 2 9 3" xfId="3751" xr:uid="{00000000-0005-0000-0000-000036370000}"/>
    <cellStyle name="쉼표 [0] 13 20" xfId="3752" xr:uid="{00000000-0005-0000-0000-000037370000}"/>
    <cellStyle name="쉼표 [0] 13 21" xfId="3753" xr:uid="{00000000-0005-0000-0000-000038370000}"/>
    <cellStyle name="쉼표 [0] 13 3" xfId="3754" xr:uid="{00000000-0005-0000-0000-000039370000}"/>
    <cellStyle name="쉼표 [0] 13 3 10" xfId="3755" xr:uid="{00000000-0005-0000-0000-00003A370000}"/>
    <cellStyle name="쉼표 [0] 13 3 2" xfId="3756" xr:uid="{00000000-0005-0000-0000-00003B370000}"/>
    <cellStyle name="쉼표 [0] 13 3 2 2" xfId="12036" xr:uid="{00000000-0005-0000-0000-00003C370000}"/>
    <cellStyle name="쉼표 [0] 13 3 3" xfId="3757" xr:uid="{00000000-0005-0000-0000-00003D370000}"/>
    <cellStyle name="쉼표 [0] 13 3 3 2" xfId="3758" xr:uid="{00000000-0005-0000-0000-00003E370000}"/>
    <cellStyle name="쉼표 [0] 13 3 3 2 2" xfId="3759" xr:uid="{00000000-0005-0000-0000-00003F370000}"/>
    <cellStyle name="쉼표 [0] 13 3 3 2 2 2" xfId="3760" xr:uid="{00000000-0005-0000-0000-000040370000}"/>
    <cellStyle name="쉼표 [0] 13 3 3 2 2 3" xfId="3761" xr:uid="{00000000-0005-0000-0000-000041370000}"/>
    <cellStyle name="쉼표 [0] 13 3 3 2 3" xfId="3762" xr:uid="{00000000-0005-0000-0000-000042370000}"/>
    <cellStyle name="쉼표 [0] 13 3 3 2 4" xfId="3763" xr:uid="{00000000-0005-0000-0000-000043370000}"/>
    <cellStyle name="쉼표 [0] 13 3 3 3" xfId="3764" xr:uid="{00000000-0005-0000-0000-000044370000}"/>
    <cellStyle name="쉼표 [0] 13 3 3 3 2" xfId="3765" xr:uid="{00000000-0005-0000-0000-000045370000}"/>
    <cellStyle name="쉼표 [0] 13 3 3 3 2 2" xfId="3766" xr:uid="{00000000-0005-0000-0000-000046370000}"/>
    <cellStyle name="쉼표 [0] 13 3 3 3 2 3" xfId="3767" xr:uid="{00000000-0005-0000-0000-000047370000}"/>
    <cellStyle name="쉼표 [0] 13 3 3 3 3" xfId="3768" xr:uid="{00000000-0005-0000-0000-000048370000}"/>
    <cellStyle name="쉼표 [0] 13 3 3 3 4" xfId="3769" xr:uid="{00000000-0005-0000-0000-000049370000}"/>
    <cellStyle name="쉼표 [0] 13 3 3 4" xfId="3770" xr:uid="{00000000-0005-0000-0000-00004A370000}"/>
    <cellStyle name="쉼표 [0] 13 3 3 4 2" xfId="3771" xr:uid="{00000000-0005-0000-0000-00004B370000}"/>
    <cellStyle name="쉼표 [0] 13 3 3 4 3" xfId="3772" xr:uid="{00000000-0005-0000-0000-00004C370000}"/>
    <cellStyle name="쉼표 [0] 13 3 3 5" xfId="3773" xr:uid="{00000000-0005-0000-0000-00004D370000}"/>
    <cellStyle name="쉼표 [0] 13 3 3 5 2" xfId="3774" xr:uid="{00000000-0005-0000-0000-00004E370000}"/>
    <cellStyle name="쉼표 [0] 13 3 3 5 3" xfId="3775" xr:uid="{00000000-0005-0000-0000-00004F370000}"/>
    <cellStyle name="쉼표 [0] 13 3 3 6" xfId="3776" xr:uid="{00000000-0005-0000-0000-000050370000}"/>
    <cellStyle name="쉼표 [0] 13 3 3 7" xfId="3777" xr:uid="{00000000-0005-0000-0000-000051370000}"/>
    <cellStyle name="쉼표 [0] 13 3 4" xfId="3778" xr:uid="{00000000-0005-0000-0000-000052370000}"/>
    <cellStyle name="쉼표 [0] 13 3 4 2" xfId="3779" xr:uid="{00000000-0005-0000-0000-000053370000}"/>
    <cellStyle name="쉼표 [0] 13 3 4 2 2" xfId="3780" xr:uid="{00000000-0005-0000-0000-000054370000}"/>
    <cellStyle name="쉼표 [0] 13 3 4 2 3" xfId="3781" xr:uid="{00000000-0005-0000-0000-000055370000}"/>
    <cellStyle name="쉼표 [0] 13 3 4 3" xfId="3782" xr:uid="{00000000-0005-0000-0000-000056370000}"/>
    <cellStyle name="쉼표 [0] 13 3 4 4" xfId="3783" xr:uid="{00000000-0005-0000-0000-000057370000}"/>
    <cellStyle name="쉼표 [0] 13 3 5" xfId="3784" xr:uid="{00000000-0005-0000-0000-000058370000}"/>
    <cellStyle name="쉼표 [0] 13 3 5 2" xfId="3785" xr:uid="{00000000-0005-0000-0000-000059370000}"/>
    <cellStyle name="쉼표 [0] 13 3 5 2 2" xfId="3786" xr:uid="{00000000-0005-0000-0000-00005A370000}"/>
    <cellStyle name="쉼표 [0] 13 3 5 2 3" xfId="3787" xr:uid="{00000000-0005-0000-0000-00005B370000}"/>
    <cellStyle name="쉼표 [0] 13 3 5 3" xfId="3788" xr:uid="{00000000-0005-0000-0000-00005C370000}"/>
    <cellStyle name="쉼표 [0] 13 3 5 4" xfId="3789" xr:uid="{00000000-0005-0000-0000-00005D370000}"/>
    <cellStyle name="쉼표 [0] 13 3 6" xfId="3790" xr:uid="{00000000-0005-0000-0000-00005E370000}"/>
    <cellStyle name="쉼표 [0] 13 3 6 2" xfId="3791" xr:uid="{00000000-0005-0000-0000-00005F370000}"/>
    <cellStyle name="쉼표 [0] 13 3 6 3" xfId="3792" xr:uid="{00000000-0005-0000-0000-000060370000}"/>
    <cellStyle name="쉼표 [0] 13 3 7" xfId="3793" xr:uid="{00000000-0005-0000-0000-000061370000}"/>
    <cellStyle name="쉼표 [0] 13 3 7 2" xfId="3794" xr:uid="{00000000-0005-0000-0000-000062370000}"/>
    <cellStyle name="쉼표 [0] 13 3 7 3" xfId="3795" xr:uid="{00000000-0005-0000-0000-000063370000}"/>
    <cellStyle name="쉼표 [0] 13 3 8" xfId="3796" xr:uid="{00000000-0005-0000-0000-000064370000}"/>
    <cellStyle name="쉼표 [0] 13 3 9" xfId="3797" xr:uid="{00000000-0005-0000-0000-000065370000}"/>
    <cellStyle name="쉼표 [0] 13 4" xfId="3798" xr:uid="{00000000-0005-0000-0000-000066370000}"/>
    <cellStyle name="쉼표 [0] 13 4 2" xfId="3799" xr:uid="{00000000-0005-0000-0000-000067370000}"/>
    <cellStyle name="쉼표 [0] 13 4 2 2" xfId="3800" xr:uid="{00000000-0005-0000-0000-000068370000}"/>
    <cellStyle name="쉼표 [0] 13 4 2 2 2" xfId="3801" xr:uid="{00000000-0005-0000-0000-000069370000}"/>
    <cellStyle name="쉼표 [0] 13 4 2 2 2 2" xfId="3802" xr:uid="{00000000-0005-0000-0000-00006A370000}"/>
    <cellStyle name="쉼표 [0] 13 4 2 2 2 3" xfId="3803" xr:uid="{00000000-0005-0000-0000-00006B370000}"/>
    <cellStyle name="쉼표 [0] 13 4 2 2 3" xfId="3804" xr:uid="{00000000-0005-0000-0000-00006C370000}"/>
    <cellStyle name="쉼표 [0] 13 4 2 2 4" xfId="3805" xr:uid="{00000000-0005-0000-0000-00006D370000}"/>
    <cellStyle name="쉼표 [0] 13 4 2 3" xfId="3806" xr:uid="{00000000-0005-0000-0000-00006E370000}"/>
    <cellStyle name="쉼표 [0] 13 4 2 3 2" xfId="3807" xr:uid="{00000000-0005-0000-0000-00006F370000}"/>
    <cellStyle name="쉼표 [0] 13 4 2 3 2 2" xfId="3808" xr:uid="{00000000-0005-0000-0000-000070370000}"/>
    <cellStyle name="쉼표 [0] 13 4 2 3 2 3" xfId="3809" xr:uid="{00000000-0005-0000-0000-000071370000}"/>
    <cellStyle name="쉼표 [0] 13 4 2 3 3" xfId="3810" xr:uid="{00000000-0005-0000-0000-000072370000}"/>
    <cellStyle name="쉼표 [0] 13 4 2 3 4" xfId="3811" xr:uid="{00000000-0005-0000-0000-000073370000}"/>
    <cellStyle name="쉼표 [0] 13 4 2 4" xfId="3812" xr:uid="{00000000-0005-0000-0000-000074370000}"/>
    <cellStyle name="쉼표 [0] 13 4 2 4 2" xfId="3813" xr:uid="{00000000-0005-0000-0000-000075370000}"/>
    <cellStyle name="쉼표 [0] 13 4 2 4 3" xfId="3814" xr:uid="{00000000-0005-0000-0000-000076370000}"/>
    <cellStyle name="쉼표 [0] 13 4 2 5" xfId="3815" xr:uid="{00000000-0005-0000-0000-000077370000}"/>
    <cellStyle name="쉼표 [0] 13 4 2 5 2" xfId="3816" xr:uid="{00000000-0005-0000-0000-000078370000}"/>
    <cellStyle name="쉼표 [0] 13 4 2 5 3" xfId="3817" xr:uid="{00000000-0005-0000-0000-000079370000}"/>
    <cellStyle name="쉼표 [0] 13 4 2 6" xfId="3818" xr:uid="{00000000-0005-0000-0000-00007A370000}"/>
    <cellStyle name="쉼표 [0] 13 4 2 7" xfId="3819" xr:uid="{00000000-0005-0000-0000-00007B370000}"/>
    <cellStyle name="쉼표 [0] 13 4 3" xfId="3820" xr:uid="{00000000-0005-0000-0000-00007C370000}"/>
    <cellStyle name="쉼표 [0] 13 4 3 2" xfId="3821" xr:uid="{00000000-0005-0000-0000-00007D370000}"/>
    <cellStyle name="쉼표 [0] 13 4 3 2 2" xfId="3822" xr:uid="{00000000-0005-0000-0000-00007E370000}"/>
    <cellStyle name="쉼표 [0] 13 4 3 2 2 2" xfId="3823" xr:uid="{00000000-0005-0000-0000-00007F370000}"/>
    <cellStyle name="쉼표 [0] 13 4 3 2 2 3" xfId="3824" xr:uid="{00000000-0005-0000-0000-000080370000}"/>
    <cellStyle name="쉼표 [0] 13 4 3 2 3" xfId="3825" xr:uid="{00000000-0005-0000-0000-000081370000}"/>
    <cellStyle name="쉼표 [0] 13 4 3 2 4" xfId="3826" xr:uid="{00000000-0005-0000-0000-000082370000}"/>
    <cellStyle name="쉼표 [0] 13 4 3 3" xfId="3827" xr:uid="{00000000-0005-0000-0000-000083370000}"/>
    <cellStyle name="쉼표 [0] 13 4 3 3 2" xfId="3828" xr:uid="{00000000-0005-0000-0000-000084370000}"/>
    <cellStyle name="쉼표 [0] 13 4 3 3 2 2" xfId="3829" xr:uid="{00000000-0005-0000-0000-000085370000}"/>
    <cellStyle name="쉼표 [0] 13 4 3 3 2 3" xfId="3830" xr:uid="{00000000-0005-0000-0000-000086370000}"/>
    <cellStyle name="쉼표 [0] 13 4 3 3 3" xfId="3831" xr:uid="{00000000-0005-0000-0000-000087370000}"/>
    <cellStyle name="쉼표 [0] 13 4 3 3 4" xfId="3832" xr:uid="{00000000-0005-0000-0000-000088370000}"/>
    <cellStyle name="쉼표 [0] 13 4 3 4" xfId="3833" xr:uid="{00000000-0005-0000-0000-000089370000}"/>
    <cellStyle name="쉼표 [0] 13 4 3 4 2" xfId="3834" xr:uid="{00000000-0005-0000-0000-00008A370000}"/>
    <cellStyle name="쉼표 [0] 13 4 3 4 3" xfId="3835" xr:uid="{00000000-0005-0000-0000-00008B370000}"/>
    <cellStyle name="쉼표 [0] 13 4 3 5" xfId="3836" xr:uid="{00000000-0005-0000-0000-00008C370000}"/>
    <cellStyle name="쉼표 [0] 13 4 3 5 2" xfId="3837" xr:uid="{00000000-0005-0000-0000-00008D370000}"/>
    <cellStyle name="쉼표 [0] 13 4 3 5 3" xfId="3838" xr:uid="{00000000-0005-0000-0000-00008E370000}"/>
    <cellStyle name="쉼표 [0] 13 4 3 6" xfId="3839" xr:uid="{00000000-0005-0000-0000-00008F370000}"/>
    <cellStyle name="쉼표 [0] 13 4 3 7" xfId="3840" xr:uid="{00000000-0005-0000-0000-000090370000}"/>
    <cellStyle name="쉼표 [0] 13 4 4" xfId="3841" xr:uid="{00000000-0005-0000-0000-000091370000}"/>
    <cellStyle name="쉼표 [0] 13 4 4 2" xfId="3842" xr:uid="{00000000-0005-0000-0000-000092370000}"/>
    <cellStyle name="쉼표 [0] 13 4 4 2 2" xfId="3843" xr:uid="{00000000-0005-0000-0000-000093370000}"/>
    <cellStyle name="쉼표 [0] 13 4 4 2 3" xfId="3844" xr:uid="{00000000-0005-0000-0000-000094370000}"/>
    <cellStyle name="쉼표 [0] 13 4 4 3" xfId="3845" xr:uid="{00000000-0005-0000-0000-000095370000}"/>
    <cellStyle name="쉼표 [0] 13 4 4 4" xfId="3846" xr:uid="{00000000-0005-0000-0000-000096370000}"/>
    <cellStyle name="쉼표 [0] 13 4 5" xfId="3847" xr:uid="{00000000-0005-0000-0000-000097370000}"/>
    <cellStyle name="쉼표 [0] 13 4 5 2" xfId="3848" xr:uid="{00000000-0005-0000-0000-000098370000}"/>
    <cellStyle name="쉼표 [0] 13 4 5 2 2" xfId="3849" xr:uid="{00000000-0005-0000-0000-000099370000}"/>
    <cellStyle name="쉼표 [0] 13 4 5 2 3" xfId="3850" xr:uid="{00000000-0005-0000-0000-00009A370000}"/>
    <cellStyle name="쉼표 [0] 13 4 5 3" xfId="3851" xr:uid="{00000000-0005-0000-0000-00009B370000}"/>
    <cellStyle name="쉼표 [0] 13 4 5 4" xfId="3852" xr:uid="{00000000-0005-0000-0000-00009C370000}"/>
    <cellStyle name="쉼표 [0] 13 4 6" xfId="3853" xr:uid="{00000000-0005-0000-0000-00009D370000}"/>
    <cellStyle name="쉼표 [0] 13 4 6 2" xfId="3854" xr:uid="{00000000-0005-0000-0000-00009E370000}"/>
    <cellStyle name="쉼표 [0] 13 4 6 3" xfId="3855" xr:uid="{00000000-0005-0000-0000-00009F370000}"/>
    <cellStyle name="쉼표 [0] 13 4 7" xfId="3856" xr:uid="{00000000-0005-0000-0000-0000A0370000}"/>
    <cellStyle name="쉼표 [0] 13 4 7 2" xfId="3857" xr:uid="{00000000-0005-0000-0000-0000A1370000}"/>
    <cellStyle name="쉼표 [0] 13 4 7 3" xfId="3858" xr:uid="{00000000-0005-0000-0000-0000A2370000}"/>
    <cellStyle name="쉼표 [0] 13 4 8" xfId="3859" xr:uid="{00000000-0005-0000-0000-0000A3370000}"/>
    <cellStyle name="쉼표 [0] 13 4 9" xfId="3860" xr:uid="{00000000-0005-0000-0000-0000A4370000}"/>
    <cellStyle name="쉼표 [0] 13 5" xfId="3861" xr:uid="{00000000-0005-0000-0000-0000A5370000}"/>
    <cellStyle name="쉼표 [0] 13 5 2" xfId="3862" xr:uid="{00000000-0005-0000-0000-0000A6370000}"/>
    <cellStyle name="쉼표 [0] 13 5 2 2" xfId="3863" xr:uid="{00000000-0005-0000-0000-0000A7370000}"/>
    <cellStyle name="쉼표 [0] 13 5 2 2 2" xfId="3864" xr:uid="{00000000-0005-0000-0000-0000A8370000}"/>
    <cellStyle name="쉼표 [0] 13 5 2 2 2 2" xfId="3865" xr:uid="{00000000-0005-0000-0000-0000A9370000}"/>
    <cellStyle name="쉼표 [0] 13 5 2 2 2 3" xfId="3866" xr:uid="{00000000-0005-0000-0000-0000AA370000}"/>
    <cellStyle name="쉼표 [0] 13 5 2 2 3" xfId="3867" xr:uid="{00000000-0005-0000-0000-0000AB370000}"/>
    <cellStyle name="쉼표 [0] 13 5 2 2 4" xfId="3868" xr:uid="{00000000-0005-0000-0000-0000AC370000}"/>
    <cellStyle name="쉼표 [0] 13 5 2 3" xfId="3869" xr:uid="{00000000-0005-0000-0000-0000AD370000}"/>
    <cellStyle name="쉼표 [0] 13 5 2 3 2" xfId="3870" xr:uid="{00000000-0005-0000-0000-0000AE370000}"/>
    <cellStyle name="쉼표 [0] 13 5 2 3 2 2" xfId="3871" xr:uid="{00000000-0005-0000-0000-0000AF370000}"/>
    <cellStyle name="쉼표 [0] 13 5 2 3 2 3" xfId="3872" xr:uid="{00000000-0005-0000-0000-0000B0370000}"/>
    <cellStyle name="쉼표 [0] 13 5 2 3 3" xfId="3873" xr:uid="{00000000-0005-0000-0000-0000B1370000}"/>
    <cellStyle name="쉼표 [0] 13 5 2 3 4" xfId="3874" xr:uid="{00000000-0005-0000-0000-0000B2370000}"/>
    <cellStyle name="쉼표 [0] 13 5 2 4" xfId="3875" xr:uid="{00000000-0005-0000-0000-0000B3370000}"/>
    <cellStyle name="쉼표 [0] 13 5 2 4 2" xfId="3876" xr:uid="{00000000-0005-0000-0000-0000B4370000}"/>
    <cellStyle name="쉼표 [0] 13 5 2 4 3" xfId="3877" xr:uid="{00000000-0005-0000-0000-0000B5370000}"/>
    <cellStyle name="쉼표 [0] 13 5 2 5" xfId="3878" xr:uid="{00000000-0005-0000-0000-0000B6370000}"/>
    <cellStyle name="쉼표 [0] 13 5 2 5 2" xfId="3879" xr:uid="{00000000-0005-0000-0000-0000B7370000}"/>
    <cellStyle name="쉼표 [0] 13 5 2 5 3" xfId="3880" xr:uid="{00000000-0005-0000-0000-0000B8370000}"/>
    <cellStyle name="쉼표 [0] 13 5 2 6" xfId="3881" xr:uid="{00000000-0005-0000-0000-0000B9370000}"/>
    <cellStyle name="쉼표 [0] 13 5 2 7" xfId="3882" xr:uid="{00000000-0005-0000-0000-0000BA370000}"/>
    <cellStyle name="쉼표 [0] 13 5 3" xfId="3883" xr:uid="{00000000-0005-0000-0000-0000BB370000}"/>
    <cellStyle name="쉼표 [0] 13 5 3 2" xfId="3884" xr:uid="{00000000-0005-0000-0000-0000BC370000}"/>
    <cellStyle name="쉼표 [0] 13 5 3 2 2" xfId="3885" xr:uid="{00000000-0005-0000-0000-0000BD370000}"/>
    <cellStyle name="쉼표 [0] 13 5 3 2 2 2" xfId="3886" xr:uid="{00000000-0005-0000-0000-0000BE370000}"/>
    <cellStyle name="쉼표 [0] 13 5 3 2 2 3" xfId="3887" xr:uid="{00000000-0005-0000-0000-0000BF370000}"/>
    <cellStyle name="쉼표 [0] 13 5 3 2 2_뇌출혈특약(갱신형)" xfId="12329" xr:uid="{00000000-0005-0000-0000-0000C0370000}"/>
    <cellStyle name="쉼표 [0] 13 5 3 2 3" xfId="3888" xr:uid="{00000000-0005-0000-0000-0000C1370000}"/>
    <cellStyle name="쉼표 [0] 13 5 3 2 4" xfId="3889" xr:uid="{00000000-0005-0000-0000-0000C2370000}"/>
    <cellStyle name="쉼표 [0] 13 5 3 2_뇌출혈특약(갱신형)" xfId="12330" xr:uid="{00000000-0005-0000-0000-0000C3370000}"/>
    <cellStyle name="쉼표 [0] 13 5 3 3" xfId="3890" xr:uid="{00000000-0005-0000-0000-0000C4370000}"/>
    <cellStyle name="쉼표 [0] 13 5 3 3 2" xfId="3891" xr:uid="{00000000-0005-0000-0000-0000C5370000}"/>
    <cellStyle name="쉼표 [0] 13 5 3 3 2 2" xfId="3892" xr:uid="{00000000-0005-0000-0000-0000C6370000}"/>
    <cellStyle name="쉼표 [0] 13 5 3 3 2 3" xfId="3893" xr:uid="{00000000-0005-0000-0000-0000C7370000}"/>
    <cellStyle name="쉼표 [0] 13 5 3 3 2_뇌출혈특약(갱신형)" xfId="12331" xr:uid="{00000000-0005-0000-0000-0000C8370000}"/>
    <cellStyle name="쉼표 [0] 13 5 3 3 3" xfId="3894" xr:uid="{00000000-0005-0000-0000-0000C9370000}"/>
    <cellStyle name="쉼표 [0] 13 5 3 3 4" xfId="3895" xr:uid="{00000000-0005-0000-0000-0000CA370000}"/>
    <cellStyle name="쉼표 [0] 13 5 3 3_뇌출혈특약(갱신형)" xfId="12332" xr:uid="{00000000-0005-0000-0000-0000CB370000}"/>
    <cellStyle name="쉼표 [0] 13 5 3 4" xfId="3896" xr:uid="{00000000-0005-0000-0000-0000CC370000}"/>
    <cellStyle name="쉼표 [0] 13 5 3 4 2" xfId="3897" xr:uid="{00000000-0005-0000-0000-0000CD370000}"/>
    <cellStyle name="쉼표 [0] 13 5 3 4 3" xfId="3898" xr:uid="{00000000-0005-0000-0000-0000CE370000}"/>
    <cellStyle name="쉼표 [0] 13 5 3 4_뇌출혈특약(갱신형)" xfId="12333" xr:uid="{00000000-0005-0000-0000-0000CF370000}"/>
    <cellStyle name="쉼표 [0] 13 5 3 5" xfId="3899" xr:uid="{00000000-0005-0000-0000-0000D0370000}"/>
    <cellStyle name="쉼표 [0] 13 5 3 5 2" xfId="3900" xr:uid="{00000000-0005-0000-0000-0000D1370000}"/>
    <cellStyle name="쉼표 [0] 13 5 3 5 3" xfId="3901" xr:uid="{00000000-0005-0000-0000-0000D2370000}"/>
    <cellStyle name="쉼표 [0] 13 5 3 5_뇌출혈특약(갱신형)" xfId="12334" xr:uid="{00000000-0005-0000-0000-0000D3370000}"/>
    <cellStyle name="쉼표 [0] 13 5 3 6" xfId="3902" xr:uid="{00000000-0005-0000-0000-0000D4370000}"/>
    <cellStyle name="쉼표 [0] 13 5 3 7" xfId="3903" xr:uid="{00000000-0005-0000-0000-0000D5370000}"/>
    <cellStyle name="쉼표 [0] 13 5 3_뇌출혈특약(갱신형)" xfId="12335" xr:uid="{00000000-0005-0000-0000-0000D6370000}"/>
    <cellStyle name="쉼표 [0] 13 5 4" xfId="3904" xr:uid="{00000000-0005-0000-0000-0000D7370000}"/>
    <cellStyle name="쉼표 [0] 13 5 4 2" xfId="3905" xr:uid="{00000000-0005-0000-0000-0000D8370000}"/>
    <cellStyle name="쉼표 [0] 13 5 4 2 2" xfId="3906" xr:uid="{00000000-0005-0000-0000-0000D9370000}"/>
    <cellStyle name="쉼표 [0] 13 5 4 2 3" xfId="3907" xr:uid="{00000000-0005-0000-0000-0000DA370000}"/>
    <cellStyle name="쉼표 [0] 13 5 4 2_뇌출혈특약(갱신형)" xfId="12336" xr:uid="{00000000-0005-0000-0000-0000DB370000}"/>
    <cellStyle name="쉼표 [0] 13 5 4 3" xfId="3908" xr:uid="{00000000-0005-0000-0000-0000DC370000}"/>
    <cellStyle name="쉼표 [0] 13 5 4 4" xfId="3909" xr:uid="{00000000-0005-0000-0000-0000DD370000}"/>
    <cellStyle name="쉼표 [0] 13 5 4_뇌출혈특약(갱신형)" xfId="12337" xr:uid="{00000000-0005-0000-0000-0000DE370000}"/>
    <cellStyle name="쉼표 [0] 13 5 5" xfId="3910" xr:uid="{00000000-0005-0000-0000-0000DF370000}"/>
    <cellStyle name="쉼표 [0] 13 5 5 2" xfId="3911" xr:uid="{00000000-0005-0000-0000-0000E0370000}"/>
    <cellStyle name="쉼표 [0] 13 5 5 2 2" xfId="3912" xr:uid="{00000000-0005-0000-0000-0000E1370000}"/>
    <cellStyle name="쉼표 [0] 13 5 5 2 3" xfId="3913" xr:uid="{00000000-0005-0000-0000-0000E2370000}"/>
    <cellStyle name="쉼표 [0] 13 5 5 2_뇌출혈특약(갱신형)" xfId="12338" xr:uid="{00000000-0005-0000-0000-0000E3370000}"/>
    <cellStyle name="쉼표 [0] 13 5 5 3" xfId="3914" xr:uid="{00000000-0005-0000-0000-0000E4370000}"/>
    <cellStyle name="쉼표 [0] 13 5 5 4" xfId="3915" xr:uid="{00000000-0005-0000-0000-0000E5370000}"/>
    <cellStyle name="쉼표 [0] 13 5 5_뇌출혈특약(갱신형)" xfId="12339" xr:uid="{00000000-0005-0000-0000-0000E6370000}"/>
    <cellStyle name="쉼표 [0] 13 5 6" xfId="3916" xr:uid="{00000000-0005-0000-0000-0000E7370000}"/>
    <cellStyle name="쉼표 [0] 13 5 6 2" xfId="3917" xr:uid="{00000000-0005-0000-0000-0000E8370000}"/>
    <cellStyle name="쉼표 [0] 13 5 6 3" xfId="3918" xr:uid="{00000000-0005-0000-0000-0000E9370000}"/>
    <cellStyle name="쉼표 [0] 13 5 6_뇌출혈특약(갱신형)" xfId="12340" xr:uid="{00000000-0005-0000-0000-0000EA370000}"/>
    <cellStyle name="쉼표 [0] 13 5 7" xfId="3919" xr:uid="{00000000-0005-0000-0000-0000EB370000}"/>
    <cellStyle name="쉼표 [0] 13 5 7 2" xfId="3920" xr:uid="{00000000-0005-0000-0000-0000EC370000}"/>
    <cellStyle name="쉼표 [0] 13 5 7 3" xfId="3921" xr:uid="{00000000-0005-0000-0000-0000ED370000}"/>
    <cellStyle name="쉼표 [0] 13 5 7_뇌출혈특약(갱신형)" xfId="12341" xr:uid="{00000000-0005-0000-0000-0000EE370000}"/>
    <cellStyle name="쉼표 [0] 13 5 8" xfId="3922" xr:uid="{00000000-0005-0000-0000-0000EF370000}"/>
    <cellStyle name="쉼표 [0] 13 5 9" xfId="3923" xr:uid="{00000000-0005-0000-0000-0000F0370000}"/>
    <cellStyle name="쉼표 [0] 13 6" xfId="3924" xr:uid="{00000000-0005-0000-0000-0000F1370000}"/>
    <cellStyle name="쉼표 [0] 13 6 2" xfId="3925" xr:uid="{00000000-0005-0000-0000-0000F2370000}"/>
    <cellStyle name="쉼표 [0] 13 6 2 2" xfId="3926" xr:uid="{00000000-0005-0000-0000-0000F3370000}"/>
    <cellStyle name="쉼표 [0] 13 6 2 2 2" xfId="3927" xr:uid="{00000000-0005-0000-0000-0000F4370000}"/>
    <cellStyle name="쉼표 [0] 13 6 2 2 2 2" xfId="3928" xr:uid="{00000000-0005-0000-0000-0000F5370000}"/>
    <cellStyle name="쉼표 [0] 13 6 2 2 2 3" xfId="3929" xr:uid="{00000000-0005-0000-0000-0000F6370000}"/>
    <cellStyle name="쉼표 [0] 13 6 2 2 2_뇌출혈특약(갱신형)" xfId="12342" xr:uid="{00000000-0005-0000-0000-0000F7370000}"/>
    <cellStyle name="쉼표 [0] 13 6 2 2 3" xfId="3930" xr:uid="{00000000-0005-0000-0000-0000F8370000}"/>
    <cellStyle name="쉼표 [0] 13 6 2 2 4" xfId="3931" xr:uid="{00000000-0005-0000-0000-0000F9370000}"/>
    <cellStyle name="쉼표 [0] 13 6 2 2_뇌출혈특약(갱신형)" xfId="12343" xr:uid="{00000000-0005-0000-0000-0000FA370000}"/>
    <cellStyle name="쉼표 [0] 13 6 2 3" xfId="3932" xr:uid="{00000000-0005-0000-0000-0000FB370000}"/>
    <cellStyle name="쉼표 [0] 13 6 2 3 2" xfId="3933" xr:uid="{00000000-0005-0000-0000-0000FC370000}"/>
    <cellStyle name="쉼표 [0] 13 6 2 3 2 2" xfId="3934" xr:uid="{00000000-0005-0000-0000-0000FD370000}"/>
    <cellStyle name="쉼표 [0] 13 6 2 3 2 3" xfId="3935" xr:uid="{00000000-0005-0000-0000-0000FE370000}"/>
    <cellStyle name="쉼표 [0] 13 6 2 3 2_뇌출혈특약(갱신형)" xfId="12344" xr:uid="{00000000-0005-0000-0000-0000FF370000}"/>
    <cellStyle name="쉼표 [0] 13 6 2 3 3" xfId="3936" xr:uid="{00000000-0005-0000-0000-000000380000}"/>
    <cellStyle name="쉼표 [0] 13 6 2 3 4" xfId="3937" xr:uid="{00000000-0005-0000-0000-000001380000}"/>
    <cellStyle name="쉼표 [0] 13 6 2 3_뇌출혈특약(갱신형)" xfId="12345" xr:uid="{00000000-0005-0000-0000-000002380000}"/>
    <cellStyle name="쉼표 [0] 13 6 2 4" xfId="3938" xr:uid="{00000000-0005-0000-0000-000003380000}"/>
    <cellStyle name="쉼표 [0] 13 6 2 4 2" xfId="3939" xr:uid="{00000000-0005-0000-0000-000004380000}"/>
    <cellStyle name="쉼표 [0] 13 6 2 4 3" xfId="3940" xr:uid="{00000000-0005-0000-0000-000005380000}"/>
    <cellStyle name="쉼표 [0] 13 6 2 4_뇌출혈특약(갱신형)" xfId="12346" xr:uid="{00000000-0005-0000-0000-000006380000}"/>
    <cellStyle name="쉼표 [0] 13 6 2 5" xfId="3941" xr:uid="{00000000-0005-0000-0000-000007380000}"/>
    <cellStyle name="쉼표 [0] 13 6 2 5 2" xfId="3942" xr:uid="{00000000-0005-0000-0000-000008380000}"/>
    <cellStyle name="쉼표 [0] 13 6 2 5 3" xfId="3943" xr:uid="{00000000-0005-0000-0000-000009380000}"/>
    <cellStyle name="쉼표 [0] 13 6 2 5_뇌출혈특약(갱신형)" xfId="12347" xr:uid="{00000000-0005-0000-0000-00000A380000}"/>
    <cellStyle name="쉼표 [0] 13 6 2 6" xfId="3944" xr:uid="{00000000-0005-0000-0000-00000B380000}"/>
    <cellStyle name="쉼표 [0] 13 6 2 7" xfId="3945" xr:uid="{00000000-0005-0000-0000-00000C380000}"/>
    <cellStyle name="쉼표 [0] 13 6 2_뇌출혈특약(갱신형)" xfId="12348" xr:uid="{00000000-0005-0000-0000-00000D380000}"/>
    <cellStyle name="쉼표 [0] 13 6 3" xfId="3946" xr:uid="{00000000-0005-0000-0000-00000E380000}"/>
    <cellStyle name="쉼표 [0] 13 6 3 2" xfId="3947" xr:uid="{00000000-0005-0000-0000-00000F380000}"/>
    <cellStyle name="쉼표 [0] 13 6 3 2 2" xfId="3948" xr:uid="{00000000-0005-0000-0000-000010380000}"/>
    <cellStyle name="쉼표 [0] 13 6 3 2 2 2" xfId="3949" xr:uid="{00000000-0005-0000-0000-000011380000}"/>
    <cellStyle name="쉼표 [0] 13 6 3 2 2 3" xfId="3950" xr:uid="{00000000-0005-0000-0000-000012380000}"/>
    <cellStyle name="쉼표 [0] 13 6 3 2 2_뇌출혈특약(갱신형)" xfId="12349" xr:uid="{00000000-0005-0000-0000-000013380000}"/>
    <cellStyle name="쉼표 [0] 13 6 3 2 3" xfId="3951" xr:uid="{00000000-0005-0000-0000-000014380000}"/>
    <cellStyle name="쉼표 [0] 13 6 3 2 4" xfId="3952" xr:uid="{00000000-0005-0000-0000-000015380000}"/>
    <cellStyle name="쉼표 [0] 13 6 3 2_뇌출혈특약(갱신형)" xfId="12350" xr:uid="{00000000-0005-0000-0000-000016380000}"/>
    <cellStyle name="쉼표 [0] 13 6 3 3" xfId="3953" xr:uid="{00000000-0005-0000-0000-000017380000}"/>
    <cellStyle name="쉼표 [0] 13 6 3 3 2" xfId="3954" xr:uid="{00000000-0005-0000-0000-000018380000}"/>
    <cellStyle name="쉼표 [0] 13 6 3 3 2 2" xfId="3955" xr:uid="{00000000-0005-0000-0000-000019380000}"/>
    <cellStyle name="쉼표 [0] 13 6 3 3 2 3" xfId="3956" xr:uid="{00000000-0005-0000-0000-00001A380000}"/>
    <cellStyle name="쉼표 [0] 13 6 3 3 2_뇌출혈특약(갱신형)" xfId="12351" xr:uid="{00000000-0005-0000-0000-00001B380000}"/>
    <cellStyle name="쉼표 [0] 13 6 3 3 3" xfId="3957" xr:uid="{00000000-0005-0000-0000-00001C380000}"/>
    <cellStyle name="쉼표 [0] 13 6 3 3 4" xfId="3958" xr:uid="{00000000-0005-0000-0000-00001D380000}"/>
    <cellStyle name="쉼표 [0] 13 6 3 3_뇌출혈특약(갱신형)" xfId="12352" xr:uid="{00000000-0005-0000-0000-00001E380000}"/>
    <cellStyle name="쉼표 [0] 13 6 3 4" xfId="3959" xr:uid="{00000000-0005-0000-0000-00001F380000}"/>
    <cellStyle name="쉼표 [0] 13 6 3 4 2" xfId="3960" xr:uid="{00000000-0005-0000-0000-000020380000}"/>
    <cellStyle name="쉼표 [0] 13 6 3 4 3" xfId="3961" xr:uid="{00000000-0005-0000-0000-000021380000}"/>
    <cellStyle name="쉼표 [0] 13 6 3 4_뇌출혈특약(갱신형)" xfId="12353" xr:uid="{00000000-0005-0000-0000-000022380000}"/>
    <cellStyle name="쉼표 [0] 13 6 3 5" xfId="3962" xr:uid="{00000000-0005-0000-0000-000023380000}"/>
    <cellStyle name="쉼표 [0] 13 6 3 5 2" xfId="3963" xr:uid="{00000000-0005-0000-0000-000024380000}"/>
    <cellStyle name="쉼표 [0] 13 6 3 5 3" xfId="3964" xr:uid="{00000000-0005-0000-0000-000025380000}"/>
    <cellStyle name="쉼표 [0] 13 6 3 5_뇌출혈특약(갱신형)" xfId="12354" xr:uid="{00000000-0005-0000-0000-000026380000}"/>
    <cellStyle name="쉼표 [0] 13 6 3 6" xfId="3965" xr:uid="{00000000-0005-0000-0000-000027380000}"/>
    <cellStyle name="쉼표 [0] 13 6 3 7" xfId="3966" xr:uid="{00000000-0005-0000-0000-000028380000}"/>
    <cellStyle name="쉼표 [0] 13 6 3_뇌출혈특약(갱신형)" xfId="12355" xr:uid="{00000000-0005-0000-0000-000029380000}"/>
    <cellStyle name="쉼표 [0] 13 6 4" xfId="3967" xr:uid="{00000000-0005-0000-0000-00002A380000}"/>
    <cellStyle name="쉼표 [0] 13 6 4 2" xfId="3968" xr:uid="{00000000-0005-0000-0000-00002B380000}"/>
    <cellStyle name="쉼표 [0] 13 6 4 2 2" xfId="3969" xr:uid="{00000000-0005-0000-0000-00002C380000}"/>
    <cellStyle name="쉼표 [0] 13 6 4 2 3" xfId="3970" xr:uid="{00000000-0005-0000-0000-00002D380000}"/>
    <cellStyle name="쉼표 [0] 13 6 4 2_뇌출혈특약(갱신형)" xfId="12356" xr:uid="{00000000-0005-0000-0000-00002E380000}"/>
    <cellStyle name="쉼표 [0] 13 6 4 3" xfId="3971" xr:uid="{00000000-0005-0000-0000-00002F380000}"/>
    <cellStyle name="쉼표 [0] 13 6 4 4" xfId="3972" xr:uid="{00000000-0005-0000-0000-000030380000}"/>
    <cellStyle name="쉼표 [0] 13 6 4_뇌출혈특약(갱신형)" xfId="12357" xr:uid="{00000000-0005-0000-0000-000031380000}"/>
    <cellStyle name="쉼표 [0] 13 6 5" xfId="3973" xr:uid="{00000000-0005-0000-0000-000032380000}"/>
    <cellStyle name="쉼표 [0] 13 6 5 2" xfId="3974" xr:uid="{00000000-0005-0000-0000-000033380000}"/>
    <cellStyle name="쉼표 [0] 13 6 5 2 2" xfId="3975" xr:uid="{00000000-0005-0000-0000-000034380000}"/>
    <cellStyle name="쉼표 [0] 13 6 5 2 3" xfId="3976" xr:uid="{00000000-0005-0000-0000-000035380000}"/>
    <cellStyle name="쉼표 [0] 13 6 5 2_뇌출혈특약(갱신형)" xfId="12358" xr:uid="{00000000-0005-0000-0000-000036380000}"/>
    <cellStyle name="쉼표 [0] 13 6 5 3" xfId="3977" xr:uid="{00000000-0005-0000-0000-000037380000}"/>
    <cellStyle name="쉼표 [0] 13 6 5 4" xfId="3978" xr:uid="{00000000-0005-0000-0000-000038380000}"/>
    <cellStyle name="쉼표 [0] 13 6 5_뇌출혈특약(갱신형)" xfId="12359" xr:uid="{00000000-0005-0000-0000-000039380000}"/>
    <cellStyle name="쉼표 [0] 13 6 6" xfId="3979" xr:uid="{00000000-0005-0000-0000-00003A380000}"/>
    <cellStyle name="쉼표 [0] 13 6 6 2" xfId="3980" xr:uid="{00000000-0005-0000-0000-00003B380000}"/>
    <cellStyle name="쉼표 [0] 13 6 6 3" xfId="3981" xr:uid="{00000000-0005-0000-0000-00003C380000}"/>
    <cellStyle name="쉼표 [0] 13 6 6_뇌출혈특약(갱신형)" xfId="12360" xr:uid="{00000000-0005-0000-0000-00003D380000}"/>
    <cellStyle name="쉼표 [0] 13 6 7" xfId="3982" xr:uid="{00000000-0005-0000-0000-00003E380000}"/>
    <cellStyle name="쉼표 [0] 13 6 7 2" xfId="3983" xr:uid="{00000000-0005-0000-0000-00003F380000}"/>
    <cellStyle name="쉼표 [0] 13 6 7 3" xfId="3984" xr:uid="{00000000-0005-0000-0000-000040380000}"/>
    <cellStyle name="쉼표 [0] 13 6 7_뇌출혈특약(갱신형)" xfId="12361" xr:uid="{00000000-0005-0000-0000-000041380000}"/>
    <cellStyle name="쉼표 [0] 13 6 8" xfId="3985" xr:uid="{00000000-0005-0000-0000-000042380000}"/>
    <cellStyle name="쉼표 [0] 13 6 9" xfId="3986" xr:uid="{00000000-0005-0000-0000-000043380000}"/>
    <cellStyle name="쉼표 [0] 13 6_뇌출혈특약(갱신형)" xfId="12362" xr:uid="{00000000-0005-0000-0000-000044380000}"/>
    <cellStyle name="쉼표 [0] 13 7" xfId="3987" xr:uid="{00000000-0005-0000-0000-000045380000}"/>
    <cellStyle name="쉼표 [0] 13 7 2" xfId="3988" xr:uid="{00000000-0005-0000-0000-000046380000}"/>
    <cellStyle name="쉼표 [0] 13 7 2 2" xfId="3989" xr:uid="{00000000-0005-0000-0000-000047380000}"/>
    <cellStyle name="쉼표 [0] 13 7 2 2 2" xfId="3990" xr:uid="{00000000-0005-0000-0000-000048380000}"/>
    <cellStyle name="쉼표 [0] 13 7 2 2 2 2" xfId="3991" xr:uid="{00000000-0005-0000-0000-000049380000}"/>
    <cellStyle name="쉼표 [0] 13 7 2 2 2 3" xfId="3992" xr:uid="{00000000-0005-0000-0000-00004A380000}"/>
    <cellStyle name="쉼표 [0] 13 7 2 2 2_뇌출혈특약(갱신형)" xfId="12363" xr:uid="{00000000-0005-0000-0000-00004B380000}"/>
    <cellStyle name="쉼표 [0] 13 7 2 2 3" xfId="3993" xr:uid="{00000000-0005-0000-0000-00004C380000}"/>
    <cellStyle name="쉼표 [0] 13 7 2 2 4" xfId="3994" xr:uid="{00000000-0005-0000-0000-00004D380000}"/>
    <cellStyle name="쉼표 [0] 13 7 2 2_뇌출혈특약(갱신형)" xfId="12364" xr:uid="{00000000-0005-0000-0000-00004E380000}"/>
    <cellStyle name="쉼표 [0] 13 7 2 3" xfId="3995" xr:uid="{00000000-0005-0000-0000-00004F380000}"/>
    <cellStyle name="쉼표 [0] 13 7 2 3 2" xfId="3996" xr:uid="{00000000-0005-0000-0000-000050380000}"/>
    <cellStyle name="쉼표 [0] 13 7 2 3 2 2" xfId="3997" xr:uid="{00000000-0005-0000-0000-000051380000}"/>
    <cellStyle name="쉼표 [0] 13 7 2 3 2 3" xfId="3998" xr:uid="{00000000-0005-0000-0000-000052380000}"/>
    <cellStyle name="쉼표 [0] 13 7 2 3 2_뇌출혈특약(갱신형)" xfId="12365" xr:uid="{00000000-0005-0000-0000-000053380000}"/>
    <cellStyle name="쉼표 [0] 13 7 2 3 3" xfId="3999" xr:uid="{00000000-0005-0000-0000-000054380000}"/>
    <cellStyle name="쉼표 [0] 13 7 2 3 4" xfId="4000" xr:uid="{00000000-0005-0000-0000-000055380000}"/>
    <cellStyle name="쉼표 [0] 13 7 2 3_뇌출혈특약(갱신형)" xfId="12366" xr:uid="{00000000-0005-0000-0000-000056380000}"/>
    <cellStyle name="쉼표 [0] 13 7 2 4" xfId="4001" xr:uid="{00000000-0005-0000-0000-000057380000}"/>
    <cellStyle name="쉼표 [0] 13 7 2 4 2" xfId="4002" xr:uid="{00000000-0005-0000-0000-000058380000}"/>
    <cellStyle name="쉼표 [0] 13 7 2 4 3" xfId="4003" xr:uid="{00000000-0005-0000-0000-000059380000}"/>
    <cellStyle name="쉼표 [0] 13 7 2 4_뇌출혈특약(갱신형)" xfId="12367" xr:uid="{00000000-0005-0000-0000-00005A380000}"/>
    <cellStyle name="쉼표 [0] 13 7 2 5" xfId="4004" xr:uid="{00000000-0005-0000-0000-00005B380000}"/>
    <cellStyle name="쉼표 [0] 13 7 2 5 2" xfId="4005" xr:uid="{00000000-0005-0000-0000-00005C380000}"/>
    <cellStyle name="쉼표 [0] 13 7 2 5 3" xfId="4006" xr:uid="{00000000-0005-0000-0000-00005D380000}"/>
    <cellStyle name="쉼표 [0] 13 7 2 5_뇌출혈특약(갱신형)" xfId="12368" xr:uid="{00000000-0005-0000-0000-00005E380000}"/>
    <cellStyle name="쉼표 [0] 13 7 2 6" xfId="4007" xr:uid="{00000000-0005-0000-0000-00005F380000}"/>
    <cellStyle name="쉼표 [0] 13 7 2 7" xfId="4008" xr:uid="{00000000-0005-0000-0000-000060380000}"/>
    <cellStyle name="쉼표 [0] 13 7 2_뇌출혈특약(갱신형)" xfId="12369" xr:uid="{00000000-0005-0000-0000-000061380000}"/>
    <cellStyle name="쉼표 [0] 13 7 3" xfId="4009" xr:uid="{00000000-0005-0000-0000-000062380000}"/>
    <cellStyle name="쉼표 [0] 13 7 3 2" xfId="4010" xr:uid="{00000000-0005-0000-0000-000063380000}"/>
    <cellStyle name="쉼표 [0] 13 7 3 2 2" xfId="4011" xr:uid="{00000000-0005-0000-0000-000064380000}"/>
    <cellStyle name="쉼표 [0] 13 7 3 2 3" xfId="4012" xr:uid="{00000000-0005-0000-0000-000065380000}"/>
    <cellStyle name="쉼표 [0] 13 7 3 2_뇌출혈특약(갱신형)" xfId="12370" xr:uid="{00000000-0005-0000-0000-000066380000}"/>
    <cellStyle name="쉼표 [0] 13 7 3 3" xfId="4013" xr:uid="{00000000-0005-0000-0000-000067380000}"/>
    <cellStyle name="쉼표 [0] 13 7 3 4" xfId="4014" xr:uid="{00000000-0005-0000-0000-000068380000}"/>
    <cellStyle name="쉼표 [0] 13 7 3_뇌출혈특약(갱신형)" xfId="12371" xr:uid="{00000000-0005-0000-0000-000069380000}"/>
    <cellStyle name="쉼표 [0] 13 7 4" xfId="4015" xr:uid="{00000000-0005-0000-0000-00006A380000}"/>
    <cellStyle name="쉼표 [0] 13 7 4 2" xfId="4016" xr:uid="{00000000-0005-0000-0000-00006B380000}"/>
    <cellStyle name="쉼표 [0] 13 7 4 2 2" xfId="4017" xr:uid="{00000000-0005-0000-0000-00006C380000}"/>
    <cellStyle name="쉼표 [0] 13 7 4 2 3" xfId="4018" xr:uid="{00000000-0005-0000-0000-00006D380000}"/>
    <cellStyle name="쉼표 [0] 13 7 4 2_뇌출혈특약(갱신형)" xfId="12372" xr:uid="{00000000-0005-0000-0000-00006E380000}"/>
    <cellStyle name="쉼표 [0] 13 7 4 3" xfId="4019" xr:uid="{00000000-0005-0000-0000-00006F380000}"/>
    <cellStyle name="쉼표 [0] 13 7 4 4" xfId="4020" xr:uid="{00000000-0005-0000-0000-000070380000}"/>
    <cellStyle name="쉼표 [0] 13 7 4_뇌출혈특약(갱신형)" xfId="12373" xr:uid="{00000000-0005-0000-0000-000071380000}"/>
    <cellStyle name="쉼표 [0] 13 7 5" xfId="4021" xr:uid="{00000000-0005-0000-0000-000072380000}"/>
    <cellStyle name="쉼표 [0] 13 7 5 2" xfId="4022" xr:uid="{00000000-0005-0000-0000-000073380000}"/>
    <cellStyle name="쉼표 [0] 13 7 5 3" xfId="4023" xr:uid="{00000000-0005-0000-0000-000074380000}"/>
    <cellStyle name="쉼표 [0] 13 7 5_뇌출혈특약(갱신형)" xfId="12374" xr:uid="{00000000-0005-0000-0000-000075380000}"/>
    <cellStyle name="쉼표 [0] 13 7 6" xfId="4024" xr:uid="{00000000-0005-0000-0000-000076380000}"/>
    <cellStyle name="쉼표 [0] 13 7 6 2" xfId="4025" xr:uid="{00000000-0005-0000-0000-000077380000}"/>
    <cellStyle name="쉼표 [0] 13 7 6 3" xfId="4026" xr:uid="{00000000-0005-0000-0000-000078380000}"/>
    <cellStyle name="쉼표 [0] 13 7 6_뇌출혈특약(갱신형)" xfId="12375" xr:uid="{00000000-0005-0000-0000-000079380000}"/>
    <cellStyle name="쉼표 [0] 13 7 7" xfId="4027" xr:uid="{00000000-0005-0000-0000-00007A380000}"/>
    <cellStyle name="쉼표 [0] 13 7 8" xfId="4028" xr:uid="{00000000-0005-0000-0000-00007B380000}"/>
    <cellStyle name="쉼표 [0] 13 7_뇌출혈특약(갱신형)" xfId="12376" xr:uid="{00000000-0005-0000-0000-00007C380000}"/>
    <cellStyle name="쉼표 [0] 13 8" xfId="4029" xr:uid="{00000000-0005-0000-0000-00007D380000}"/>
    <cellStyle name="쉼표 [0] 13 8 2" xfId="4030" xr:uid="{00000000-0005-0000-0000-00007E380000}"/>
    <cellStyle name="쉼표 [0] 13 8 2 2" xfId="4031" xr:uid="{00000000-0005-0000-0000-00007F380000}"/>
    <cellStyle name="쉼표 [0] 13 8 2 2 2" xfId="4032" xr:uid="{00000000-0005-0000-0000-000080380000}"/>
    <cellStyle name="쉼표 [0] 13 8 2 2 3" xfId="4033" xr:uid="{00000000-0005-0000-0000-000081380000}"/>
    <cellStyle name="쉼표 [0] 13 8 2 2_뇌출혈특약(갱신형)" xfId="12377" xr:uid="{00000000-0005-0000-0000-000082380000}"/>
    <cellStyle name="쉼표 [0] 13 8 2 3" xfId="4034" xr:uid="{00000000-0005-0000-0000-000083380000}"/>
    <cellStyle name="쉼표 [0] 13 8 2 4" xfId="4035" xr:uid="{00000000-0005-0000-0000-000084380000}"/>
    <cellStyle name="쉼표 [0] 13 8 2_뇌출혈특약(갱신형)" xfId="12378" xr:uid="{00000000-0005-0000-0000-000085380000}"/>
    <cellStyle name="쉼표 [0] 13 8 3" xfId="4036" xr:uid="{00000000-0005-0000-0000-000086380000}"/>
    <cellStyle name="쉼표 [0] 13 8 3 2" xfId="4037" xr:uid="{00000000-0005-0000-0000-000087380000}"/>
    <cellStyle name="쉼표 [0] 13 8 3 2 2" xfId="4038" xr:uid="{00000000-0005-0000-0000-000088380000}"/>
    <cellStyle name="쉼표 [0] 13 8 3 2 3" xfId="4039" xr:uid="{00000000-0005-0000-0000-000089380000}"/>
    <cellStyle name="쉼표 [0] 13 8 3 2_뇌출혈특약(갱신형)" xfId="12379" xr:uid="{00000000-0005-0000-0000-00008A380000}"/>
    <cellStyle name="쉼표 [0] 13 8 3 3" xfId="4040" xr:uid="{00000000-0005-0000-0000-00008B380000}"/>
    <cellStyle name="쉼표 [0] 13 8 3 4" xfId="4041" xr:uid="{00000000-0005-0000-0000-00008C380000}"/>
    <cellStyle name="쉼표 [0] 13 8 3_뇌출혈특약(갱신형)" xfId="12380" xr:uid="{00000000-0005-0000-0000-00008D380000}"/>
    <cellStyle name="쉼표 [0] 13 8 4" xfId="4042" xr:uid="{00000000-0005-0000-0000-00008E380000}"/>
    <cellStyle name="쉼표 [0] 13 8 4 2" xfId="4043" xr:uid="{00000000-0005-0000-0000-00008F380000}"/>
    <cellStyle name="쉼표 [0] 13 8 4 3" xfId="4044" xr:uid="{00000000-0005-0000-0000-000090380000}"/>
    <cellStyle name="쉼표 [0] 13 8 4_뇌출혈특약(갱신형)" xfId="12381" xr:uid="{00000000-0005-0000-0000-000091380000}"/>
    <cellStyle name="쉼표 [0] 13 8 5" xfId="4045" xr:uid="{00000000-0005-0000-0000-000092380000}"/>
    <cellStyle name="쉼표 [0] 13 8 5 2" xfId="4046" xr:uid="{00000000-0005-0000-0000-000093380000}"/>
    <cellStyle name="쉼표 [0] 13 8 5 3" xfId="4047" xr:uid="{00000000-0005-0000-0000-000094380000}"/>
    <cellStyle name="쉼표 [0] 13 8 5_뇌출혈특약(갱신형)" xfId="12382" xr:uid="{00000000-0005-0000-0000-000095380000}"/>
    <cellStyle name="쉼표 [0] 13 8 6" xfId="4048" xr:uid="{00000000-0005-0000-0000-000096380000}"/>
    <cellStyle name="쉼표 [0] 13 8 7" xfId="4049" xr:uid="{00000000-0005-0000-0000-000097380000}"/>
    <cellStyle name="쉼표 [0] 13 8_뇌출혈특약(갱신형)" xfId="12383" xr:uid="{00000000-0005-0000-0000-000098380000}"/>
    <cellStyle name="쉼표 [0] 13 9" xfId="4050" xr:uid="{00000000-0005-0000-0000-000099380000}"/>
    <cellStyle name="쉼표 [0] 13 9 2" xfId="4051" xr:uid="{00000000-0005-0000-0000-00009A380000}"/>
    <cellStyle name="쉼표 [0] 13 9 2 2" xfId="4052" xr:uid="{00000000-0005-0000-0000-00009B380000}"/>
    <cellStyle name="쉼표 [0] 13 9 2 2 2" xfId="4053" xr:uid="{00000000-0005-0000-0000-00009C380000}"/>
    <cellStyle name="쉼표 [0] 13 9 2 2 3" xfId="4054" xr:uid="{00000000-0005-0000-0000-00009D380000}"/>
    <cellStyle name="쉼표 [0] 13 9 2 2_뇌출혈특약(갱신형)" xfId="12384" xr:uid="{00000000-0005-0000-0000-00009E380000}"/>
    <cellStyle name="쉼표 [0] 13 9 2 3" xfId="4055" xr:uid="{00000000-0005-0000-0000-00009F380000}"/>
    <cellStyle name="쉼표 [0] 13 9 2 4" xfId="4056" xr:uid="{00000000-0005-0000-0000-0000A0380000}"/>
    <cellStyle name="쉼표 [0] 13 9 2_뇌출혈특약(갱신형)" xfId="12385" xr:uid="{00000000-0005-0000-0000-0000A1380000}"/>
    <cellStyle name="쉼표 [0] 13 9 3" xfId="4057" xr:uid="{00000000-0005-0000-0000-0000A2380000}"/>
    <cellStyle name="쉼표 [0] 13 9 3 2" xfId="4058" xr:uid="{00000000-0005-0000-0000-0000A3380000}"/>
    <cellStyle name="쉼표 [0] 13 9 3 2 2" xfId="4059" xr:uid="{00000000-0005-0000-0000-0000A4380000}"/>
    <cellStyle name="쉼표 [0] 13 9 3 2 3" xfId="4060" xr:uid="{00000000-0005-0000-0000-0000A5380000}"/>
    <cellStyle name="쉼표 [0] 13 9 3 2_뇌출혈특약(갱신형)" xfId="12386" xr:uid="{00000000-0005-0000-0000-0000A6380000}"/>
    <cellStyle name="쉼표 [0] 13 9 3 3" xfId="4061" xr:uid="{00000000-0005-0000-0000-0000A7380000}"/>
    <cellStyle name="쉼표 [0] 13 9 3 4" xfId="4062" xr:uid="{00000000-0005-0000-0000-0000A8380000}"/>
    <cellStyle name="쉼표 [0] 13 9 3_뇌출혈특약(갱신형)" xfId="12387" xr:uid="{00000000-0005-0000-0000-0000A9380000}"/>
    <cellStyle name="쉼표 [0] 13 9 4" xfId="4063" xr:uid="{00000000-0005-0000-0000-0000AA380000}"/>
    <cellStyle name="쉼표 [0] 13 9 4 2" xfId="4064" xr:uid="{00000000-0005-0000-0000-0000AB380000}"/>
    <cellStyle name="쉼표 [0] 13 9 4 3" xfId="4065" xr:uid="{00000000-0005-0000-0000-0000AC380000}"/>
    <cellStyle name="쉼표 [0] 13 9 4_뇌출혈특약(갱신형)" xfId="12388" xr:uid="{00000000-0005-0000-0000-0000AD380000}"/>
    <cellStyle name="쉼표 [0] 13 9 5" xfId="4066" xr:uid="{00000000-0005-0000-0000-0000AE380000}"/>
    <cellStyle name="쉼표 [0] 13 9 5 2" xfId="4067" xr:uid="{00000000-0005-0000-0000-0000AF380000}"/>
    <cellStyle name="쉼표 [0] 13 9 5 3" xfId="4068" xr:uid="{00000000-0005-0000-0000-0000B0380000}"/>
    <cellStyle name="쉼표 [0] 13 9 5_뇌출혈특약(갱신형)" xfId="12389" xr:uid="{00000000-0005-0000-0000-0000B1380000}"/>
    <cellStyle name="쉼표 [0] 13 9 6" xfId="4069" xr:uid="{00000000-0005-0000-0000-0000B2380000}"/>
    <cellStyle name="쉼표 [0] 13 9 7" xfId="4070" xr:uid="{00000000-0005-0000-0000-0000B3380000}"/>
    <cellStyle name="쉼표 [0] 13 9_뇌출혈특약(갱신형)" xfId="12390" xr:uid="{00000000-0005-0000-0000-0000B4380000}"/>
    <cellStyle name="쉼표 [0] 14" xfId="59" xr:uid="{00000000-0005-0000-0000-0000B5380000}"/>
    <cellStyle name="쉼표 [0] 14 10" xfId="4071" xr:uid="{00000000-0005-0000-0000-0000B6380000}"/>
    <cellStyle name="쉼표 [0] 14 10 2" xfId="4072" xr:uid="{00000000-0005-0000-0000-0000B7380000}"/>
    <cellStyle name="쉼표 [0] 14 10_뇌출혈특약(갱신형)" xfId="12391" xr:uid="{00000000-0005-0000-0000-0000B8380000}"/>
    <cellStyle name="쉼표 [0] 14 11" xfId="4073" xr:uid="{00000000-0005-0000-0000-0000B9380000}"/>
    <cellStyle name="쉼표 [0] 14 12" xfId="4074" xr:uid="{00000000-0005-0000-0000-0000BA380000}"/>
    <cellStyle name="쉼표 [0] 14 13" xfId="4075" xr:uid="{00000000-0005-0000-0000-0000BB380000}"/>
    <cellStyle name="쉼표 [0] 14 2" xfId="4076" xr:uid="{00000000-0005-0000-0000-0000BC380000}"/>
    <cellStyle name="쉼표 [0] 14 2 10" xfId="18097" xr:uid="{00000000-0005-0000-0000-0000BD380000}"/>
    <cellStyle name="쉼표 [0] 14 2 2" xfId="4077" xr:uid="{00000000-0005-0000-0000-0000BE380000}"/>
    <cellStyle name="쉼표 [0] 14 2 2 2" xfId="4078" xr:uid="{00000000-0005-0000-0000-0000BF380000}"/>
    <cellStyle name="쉼표 [0] 14 2 2 2 2" xfId="4079" xr:uid="{00000000-0005-0000-0000-0000C0380000}"/>
    <cellStyle name="쉼표 [0] 14 2 2 2 2 2" xfId="4080" xr:uid="{00000000-0005-0000-0000-0000C1380000}"/>
    <cellStyle name="쉼표 [0] 14 2 2 2 2 3" xfId="4081" xr:uid="{00000000-0005-0000-0000-0000C2380000}"/>
    <cellStyle name="쉼표 [0] 14 2 2 2 2_뇌출혈특약(갱신형)" xfId="12392" xr:uid="{00000000-0005-0000-0000-0000C3380000}"/>
    <cellStyle name="쉼표 [0] 14 2 2 2 3" xfId="4082" xr:uid="{00000000-0005-0000-0000-0000C4380000}"/>
    <cellStyle name="쉼표 [0] 14 2 2 2 4" xfId="4083" xr:uid="{00000000-0005-0000-0000-0000C5380000}"/>
    <cellStyle name="쉼표 [0] 14 2 2 2_뇌출혈특약(갱신형)" xfId="12393" xr:uid="{00000000-0005-0000-0000-0000C6380000}"/>
    <cellStyle name="쉼표 [0] 14 2 2 3" xfId="4084" xr:uid="{00000000-0005-0000-0000-0000C7380000}"/>
    <cellStyle name="쉼표 [0] 14 2 2 3 2" xfId="4085" xr:uid="{00000000-0005-0000-0000-0000C8380000}"/>
    <cellStyle name="쉼표 [0] 14 2 2 3 2 2" xfId="4086" xr:uid="{00000000-0005-0000-0000-0000C9380000}"/>
    <cellStyle name="쉼표 [0] 14 2 2 3 2 3" xfId="4087" xr:uid="{00000000-0005-0000-0000-0000CA380000}"/>
    <cellStyle name="쉼표 [0] 14 2 2 3 2_뇌출혈특약(갱신형)" xfId="12394" xr:uid="{00000000-0005-0000-0000-0000CB380000}"/>
    <cellStyle name="쉼표 [0] 14 2 2 3 3" xfId="4088" xr:uid="{00000000-0005-0000-0000-0000CC380000}"/>
    <cellStyle name="쉼표 [0] 14 2 2 3 4" xfId="4089" xr:uid="{00000000-0005-0000-0000-0000CD380000}"/>
    <cellStyle name="쉼표 [0] 14 2 2 3_뇌출혈특약(갱신형)" xfId="12395" xr:uid="{00000000-0005-0000-0000-0000CE380000}"/>
    <cellStyle name="쉼표 [0] 14 2 2 4" xfId="4090" xr:uid="{00000000-0005-0000-0000-0000CF380000}"/>
    <cellStyle name="쉼표 [0] 14 2 2 4 2" xfId="4091" xr:uid="{00000000-0005-0000-0000-0000D0380000}"/>
    <cellStyle name="쉼표 [0] 14 2 2 4 3" xfId="4092" xr:uid="{00000000-0005-0000-0000-0000D1380000}"/>
    <cellStyle name="쉼표 [0] 14 2 2 4_뇌출혈특약(갱신형)" xfId="12396" xr:uid="{00000000-0005-0000-0000-0000D2380000}"/>
    <cellStyle name="쉼표 [0] 14 2 2 5" xfId="4093" xr:uid="{00000000-0005-0000-0000-0000D3380000}"/>
    <cellStyle name="쉼표 [0] 14 2 2 5 2" xfId="4094" xr:uid="{00000000-0005-0000-0000-0000D4380000}"/>
    <cellStyle name="쉼표 [0] 14 2 2 5 3" xfId="4095" xr:uid="{00000000-0005-0000-0000-0000D5380000}"/>
    <cellStyle name="쉼표 [0] 14 2 2 5_뇌출혈특약(갱신형)" xfId="12397" xr:uid="{00000000-0005-0000-0000-0000D6380000}"/>
    <cellStyle name="쉼표 [0] 14 2 2 6" xfId="4096" xr:uid="{00000000-0005-0000-0000-0000D7380000}"/>
    <cellStyle name="쉼표 [0] 14 2 2 7" xfId="4097" xr:uid="{00000000-0005-0000-0000-0000D8380000}"/>
    <cellStyle name="쉼표 [0] 14 2 2_뇌출혈특약(갱신형)" xfId="12398" xr:uid="{00000000-0005-0000-0000-0000D9380000}"/>
    <cellStyle name="쉼표 [0] 14 2 3" xfId="4098" xr:uid="{00000000-0005-0000-0000-0000DA380000}"/>
    <cellStyle name="쉼표 [0] 14 2 3 2" xfId="4099" xr:uid="{00000000-0005-0000-0000-0000DB380000}"/>
    <cellStyle name="쉼표 [0] 14 2 3 2 2" xfId="4100" xr:uid="{00000000-0005-0000-0000-0000DC380000}"/>
    <cellStyle name="쉼표 [0] 14 2 3 2 3" xfId="4101" xr:uid="{00000000-0005-0000-0000-0000DD380000}"/>
    <cellStyle name="쉼표 [0] 14 2 3 2_뇌출혈특약(갱신형)" xfId="12399" xr:uid="{00000000-0005-0000-0000-0000DE380000}"/>
    <cellStyle name="쉼표 [0] 14 2 3 3" xfId="4102" xr:uid="{00000000-0005-0000-0000-0000DF380000}"/>
    <cellStyle name="쉼표 [0] 14 2 3 4" xfId="4103" xr:uid="{00000000-0005-0000-0000-0000E0380000}"/>
    <cellStyle name="쉼표 [0] 14 2 3_뇌출혈특약(갱신형)" xfId="12400" xr:uid="{00000000-0005-0000-0000-0000E1380000}"/>
    <cellStyle name="쉼표 [0] 14 2 4" xfId="4104" xr:uid="{00000000-0005-0000-0000-0000E2380000}"/>
    <cellStyle name="쉼표 [0] 14 2 4 2" xfId="4105" xr:uid="{00000000-0005-0000-0000-0000E3380000}"/>
    <cellStyle name="쉼표 [0] 14 2 4 2 2" xfId="4106" xr:uid="{00000000-0005-0000-0000-0000E4380000}"/>
    <cellStyle name="쉼표 [0] 14 2 4 2 3" xfId="4107" xr:uid="{00000000-0005-0000-0000-0000E5380000}"/>
    <cellStyle name="쉼표 [0] 14 2 4 2_뇌출혈특약(갱신형)" xfId="12401" xr:uid="{00000000-0005-0000-0000-0000E6380000}"/>
    <cellStyle name="쉼표 [0] 14 2 4 3" xfId="4108" xr:uid="{00000000-0005-0000-0000-0000E7380000}"/>
    <cellStyle name="쉼표 [0] 14 2 4 4" xfId="4109" xr:uid="{00000000-0005-0000-0000-0000E8380000}"/>
    <cellStyle name="쉼표 [0] 14 2 4_뇌출혈특약(갱신형)" xfId="12402" xr:uid="{00000000-0005-0000-0000-0000E9380000}"/>
    <cellStyle name="쉼표 [0] 14 2 5" xfId="4110" xr:uid="{00000000-0005-0000-0000-0000EA380000}"/>
    <cellStyle name="쉼표 [0] 14 2 5 2" xfId="4111" xr:uid="{00000000-0005-0000-0000-0000EB380000}"/>
    <cellStyle name="쉼표 [0] 14 2 5 3" xfId="4112" xr:uid="{00000000-0005-0000-0000-0000EC380000}"/>
    <cellStyle name="쉼표 [0] 14 2 5_뇌출혈특약(갱신형)" xfId="12403" xr:uid="{00000000-0005-0000-0000-0000ED380000}"/>
    <cellStyle name="쉼표 [0] 14 2 6" xfId="4113" xr:uid="{00000000-0005-0000-0000-0000EE380000}"/>
    <cellStyle name="쉼표 [0] 14 2 6 2" xfId="4114" xr:uid="{00000000-0005-0000-0000-0000EF380000}"/>
    <cellStyle name="쉼표 [0] 14 2 6 3" xfId="4115" xr:uid="{00000000-0005-0000-0000-0000F0380000}"/>
    <cellStyle name="쉼표 [0] 14 2 6_뇌출혈특약(갱신형)" xfId="12404" xr:uid="{00000000-0005-0000-0000-0000F1380000}"/>
    <cellStyle name="쉼표 [0] 14 2 7" xfId="4116" xr:uid="{00000000-0005-0000-0000-0000F2380000}"/>
    <cellStyle name="쉼표 [0] 14 2 8" xfId="4117" xr:uid="{00000000-0005-0000-0000-0000F3380000}"/>
    <cellStyle name="쉼표 [0] 14 2 9" xfId="21457" xr:uid="{00000000-0005-0000-0000-0000F4380000}"/>
    <cellStyle name="쉼표 [0] 14 2_뇌출혈특약(갱신형)" xfId="12405" xr:uid="{00000000-0005-0000-0000-0000F5380000}"/>
    <cellStyle name="쉼표 [0] 14 3" xfId="4118" xr:uid="{00000000-0005-0000-0000-0000F6380000}"/>
    <cellStyle name="쉼표 [0] 14 3 2" xfId="4119" xr:uid="{00000000-0005-0000-0000-0000F7380000}"/>
    <cellStyle name="쉼표 [0] 14 3 2 2" xfId="4120" xr:uid="{00000000-0005-0000-0000-0000F8380000}"/>
    <cellStyle name="쉼표 [0] 14 3 2 2 2" xfId="4121" xr:uid="{00000000-0005-0000-0000-0000F9380000}"/>
    <cellStyle name="쉼표 [0] 14 3 2 2 3" xfId="4122" xr:uid="{00000000-0005-0000-0000-0000FA380000}"/>
    <cellStyle name="쉼표 [0] 14 3 2 2_뇌출혈특약(갱신형)" xfId="12406" xr:uid="{00000000-0005-0000-0000-0000FB380000}"/>
    <cellStyle name="쉼표 [0] 14 3 2 3" xfId="4123" xr:uid="{00000000-0005-0000-0000-0000FC380000}"/>
    <cellStyle name="쉼표 [0] 14 3 2 4" xfId="4124" xr:uid="{00000000-0005-0000-0000-0000FD380000}"/>
    <cellStyle name="쉼표 [0] 14 3 2_뇌출혈특약(갱신형)" xfId="12407" xr:uid="{00000000-0005-0000-0000-0000FE380000}"/>
    <cellStyle name="쉼표 [0] 14 3 3" xfId="4125" xr:uid="{00000000-0005-0000-0000-0000FF380000}"/>
    <cellStyle name="쉼표 [0] 14 3 3 2" xfId="4126" xr:uid="{00000000-0005-0000-0000-000000390000}"/>
    <cellStyle name="쉼표 [0] 14 3 3 2 2" xfId="4127" xr:uid="{00000000-0005-0000-0000-000001390000}"/>
    <cellStyle name="쉼표 [0] 14 3 3 2 3" xfId="4128" xr:uid="{00000000-0005-0000-0000-000002390000}"/>
    <cellStyle name="쉼표 [0] 14 3 3 2_뇌출혈특약(갱신형)" xfId="12408" xr:uid="{00000000-0005-0000-0000-000003390000}"/>
    <cellStyle name="쉼표 [0] 14 3 3 3" xfId="4129" xr:uid="{00000000-0005-0000-0000-000004390000}"/>
    <cellStyle name="쉼표 [0] 14 3 3 4" xfId="4130" xr:uid="{00000000-0005-0000-0000-000005390000}"/>
    <cellStyle name="쉼표 [0] 14 3 3_뇌출혈특약(갱신형)" xfId="12409" xr:uid="{00000000-0005-0000-0000-000006390000}"/>
    <cellStyle name="쉼표 [0] 14 3 4" xfId="4131" xr:uid="{00000000-0005-0000-0000-000007390000}"/>
    <cellStyle name="쉼표 [0] 14 3 4 2" xfId="4132" xr:uid="{00000000-0005-0000-0000-000008390000}"/>
    <cellStyle name="쉼표 [0] 14 3 4 3" xfId="4133" xr:uid="{00000000-0005-0000-0000-000009390000}"/>
    <cellStyle name="쉼표 [0] 14 3 4_뇌출혈특약(갱신형)" xfId="12410" xr:uid="{00000000-0005-0000-0000-00000A390000}"/>
    <cellStyle name="쉼표 [0] 14 3 5" xfId="4134" xr:uid="{00000000-0005-0000-0000-00000B390000}"/>
    <cellStyle name="쉼표 [0] 14 3 5 2" xfId="4135" xr:uid="{00000000-0005-0000-0000-00000C390000}"/>
    <cellStyle name="쉼표 [0] 14 3 5 3" xfId="4136" xr:uid="{00000000-0005-0000-0000-00000D390000}"/>
    <cellStyle name="쉼표 [0] 14 3 5_뇌출혈특약(갱신형)" xfId="12411" xr:uid="{00000000-0005-0000-0000-00000E390000}"/>
    <cellStyle name="쉼표 [0] 14 3 6" xfId="4137" xr:uid="{00000000-0005-0000-0000-00000F390000}"/>
    <cellStyle name="쉼표 [0] 14 3 7" xfId="4138" xr:uid="{00000000-0005-0000-0000-000010390000}"/>
    <cellStyle name="쉼표 [0] 14 3_뇌출혈특약(갱신형)" xfId="12412" xr:uid="{00000000-0005-0000-0000-000011390000}"/>
    <cellStyle name="쉼표 [0] 14 4" xfId="4139" xr:uid="{00000000-0005-0000-0000-000012390000}"/>
    <cellStyle name="쉼표 [0] 14 4 2" xfId="4140" xr:uid="{00000000-0005-0000-0000-000013390000}"/>
    <cellStyle name="쉼표 [0] 14 4 3" xfId="4141" xr:uid="{00000000-0005-0000-0000-000014390000}"/>
    <cellStyle name="쉼표 [0] 14 4_뇌출혈특약(갱신형)" xfId="12413" xr:uid="{00000000-0005-0000-0000-000015390000}"/>
    <cellStyle name="쉼표 [0] 14 5" xfId="4142" xr:uid="{00000000-0005-0000-0000-000016390000}"/>
    <cellStyle name="쉼표 [0] 14 5 2" xfId="4143" xr:uid="{00000000-0005-0000-0000-000017390000}"/>
    <cellStyle name="쉼표 [0] 14 5 3" xfId="4144" xr:uid="{00000000-0005-0000-0000-000018390000}"/>
    <cellStyle name="쉼표 [0] 14 5_뇌출혈특약(갱신형)" xfId="12414" xr:uid="{00000000-0005-0000-0000-000019390000}"/>
    <cellStyle name="쉼표 [0] 14 6" xfId="4145" xr:uid="{00000000-0005-0000-0000-00001A390000}"/>
    <cellStyle name="쉼표 [0] 14 7" xfId="4146" xr:uid="{00000000-0005-0000-0000-00001B390000}"/>
    <cellStyle name="쉼표 [0] 14 7 2" xfId="4147" xr:uid="{00000000-0005-0000-0000-00001C390000}"/>
    <cellStyle name="쉼표 [0] 14 7_뇌출혈특약(갱신형)" xfId="12415" xr:uid="{00000000-0005-0000-0000-00001D390000}"/>
    <cellStyle name="쉼표 [0] 14 8" xfId="4148" xr:uid="{00000000-0005-0000-0000-00001E390000}"/>
    <cellStyle name="쉼표 [0] 14 8 2" xfId="4149" xr:uid="{00000000-0005-0000-0000-00001F390000}"/>
    <cellStyle name="쉼표 [0] 14 8_뇌출혈특약(갱신형)" xfId="12416" xr:uid="{00000000-0005-0000-0000-000020390000}"/>
    <cellStyle name="쉼표 [0] 14 9" xfId="4150" xr:uid="{00000000-0005-0000-0000-000021390000}"/>
    <cellStyle name="쉼표 [0] 14 9 2" xfId="4151" xr:uid="{00000000-0005-0000-0000-000022390000}"/>
    <cellStyle name="쉼표 [0] 14 9_뇌출혈특약(갱신형)" xfId="12417" xr:uid="{00000000-0005-0000-0000-000023390000}"/>
    <cellStyle name="쉼표 [0] 14_뇌출혈특약(갱신형)" xfId="12418" xr:uid="{00000000-0005-0000-0000-000024390000}"/>
    <cellStyle name="쉼표 [0] 15" xfId="60" xr:uid="{00000000-0005-0000-0000-000025390000}"/>
    <cellStyle name="쉼표 [0] 15 10" xfId="4152" xr:uid="{00000000-0005-0000-0000-000026390000}"/>
    <cellStyle name="쉼표 [0] 15 10 2" xfId="4153" xr:uid="{00000000-0005-0000-0000-000027390000}"/>
    <cellStyle name="쉼표 [0] 15 10 3" xfId="4154" xr:uid="{00000000-0005-0000-0000-000028390000}"/>
    <cellStyle name="쉼표 [0] 15 10_뇌출혈특약(갱신형)" xfId="12419" xr:uid="{00000000-0005-0000-0000-000029390000}"/>
    <cellStyle name="쉼표 [0] 15 11" xfId="4155" xr:uid="{00000000-0005-0000-0000-00002A390000}"/>
    <cellStyle name="쉼표 [0] 15 11 2" xfId="4156" xr:uid="{00000000-0005-0000-0000-00002B390000}"/>
    <cellStyle name="쉼표 [0] 15 11_뇌출혈특약(갱신형)" xfId="12420" xr:uid="{00000000-0005-0000-0000-00002C390000}"/>
    <cellStyle name="쉼표 [0] 15 12" xfId="4157" xr:uid="{00000000-0005-0000-0000-00002D390000}"/>
    <cellStyle name="쉼표 [0] 15 12 2" xfId="4158" xr:uid="{00000000-0005-0000-0000-00002E390000}"/>
    <cellStyle name="쉼표 [0] 15 12_뇌출혈특약(갱신형)" xfId="12421" xr:uid="{00000000-0005-0000-0000-00002F390000}"/>
    <cellStyle name="쉼표 [0] 15 13" xfId="4159" xr:uid="{00000000-0005-0000-0000-000030390000}"/>
    <cellStyle name="쉼표 [0] 15 13 2" xfId="4160" xr:uid="{00000000-0005-0000-0000-000031390000}"/>
    <cellStyle name="쉼표 [0] 15 13_뇌출혈특약(갱신형)" xfId="12422" xr:uid="{00000000-0005-0000-0000-000032390000}"/>
    <cellStyle name="쉼표 [0] 15 14" xfId="4161" xr:uid="{00000000-0005-0000-0000-000033390000}"/>
    <cellStyle name="쉼표 [0] 15 14 2" xfId="4162" xr:uid="{00000000-0005-0000-0000-000034390000}"/>
    <cellStyle name="쉼표 [0] 15 14_뇌출혈특약(갱신형)" xfId="12423" xr:uid="{00000000-0005-0000-0000-000035390000}"/>
    <cellStyle name="쉼표 [0] 15 15" xfId="4163" xr:uid="{00000000-0005-0000-0000-000036390000}"/>
    <cellStyle name="쉼표 [0] 15 16" xfId="4164" xr:uid="{00000000-0005-0000-0000-000037390000}"/>
    <cellStyle name="쉼표 [0] 15 2" xfId="4165" xr:uid="{00000000-0005-0000-0000-000038390000}"/>
    <cellStyle name="쉼표 [0] 15 2 2" xfId="4166" xr:uid="{00000000-0005-0000-0000-000039390000}"/>
    <cellStyle name="쉼표 [0] 15 2 2 2" xfId="4167" xr:uid="{00000000-0005-0000-0000-00003A390000}"/>
    <cellStyle name="쉼표 [0] 15 2 2 2 2" xfId="4168" xr:uid="{00000000-0005-0000-0000-00003B390000}"/>
    <cellStyle name="쉼표 [0] 15 2 2 2 2 2" xfId="4169" xr:uid="{00000000-0005-0000-0000-00003C390000}"/>
    <cellStyle name="쉼표 [0] 15 2 2 2 2 3" xfId="4170" xr:uid="{00000000-0005-0000-0000-00003D390000}"/>
    <cellStyle name="쉼표 [0] 15 2 2 2 2_뇌출혈특약(갱신형)" xfId="12424" xr:uid="{00000000-0005-0000-0000-00003E390000}"/>
    <cellStyle name="쉼표 [0] 15 2 2 2 3" xfId="4171" xr:uid="{00000000-0005-0000-0000-00003F390000}"/>
    <cellStyle name="쉼표 [0] 15 2 2 2 4" xfId="4172" xr:uid="{00000000-0005-0000-0000-000040390000}"/>
    <cellStyle name="쉼표 [0] 15 2 2 2_뇌출혈특약(갱신형)" xfId="12425" xr:uid="{00000000-0005-0000-0000-000041390000}"/>
    <cellStyle name="쉼표 [0] 15 2 2 3" xfId="4173" xr:uid="{00000000-0005-0000-0000-000042390000}"/>
    <cellStyle name="쉼표 [0] 15 2 2 3 2" xfId="4174" xr:uid="{00000000-0005-0000-0000-000043390000}"/>
    <cellStyle name="쉼표 [0] 15 2 2 3 2 2" xfId="4175" xr:uid="{00000000-0005-0000-0000-000044390000}"/>
    <cellStyle name="쉼표 [0] 15 2 2 3 2 3" xfId="4176" xr:uid="{00000000-0005-0000-0000-000045390000}"/>
    <cellStyle name="쉼표 [0] 15 2 2 3 2_뇌출혈특약(갱신형)" xfId="12426" xr:uid="{00000000-0005-0000-0000-000046390000}"/>
    <cellStyle name="쉼표 [0] 15 2 2 3 3" xfId="4177" xr:uid="{00000000-0005-0000-0000-000047390000}"/>
    <cellStyle name="쉼표 [0] 15 2 2 3 4" xfId="4178" xr:uid="{00000000-0005-0000-0000-000048390000}"/>
    <cellStyle name="쉼표 [0] 15 2 2 3_뇌출혈특약(갱신형)" xfId="12427" xr:uid="{00000000-0005-0000-0000-000049390000}"/>
    <cellStyle name="쉼표 [0] 15 2 2 4" xfId="4179" xr:uid="{00000000-0005-0000-0000-00004A390000}"/>
    <cellStyle name="쉼표 [0] 15 2 2 4 2" xfId="4180" xr:uid="{00000000-0005-0000-0000-00004B390000}"/>
    <cellStyle name="쉼표 [0] 15 2 2 4 3" xfId="4181" xr:uid="{00000000-0005-0000-0000-00004C390000}"/>
    <cellStyle name="쉼표 [0] 15 2 2 4_뇌출혈특약(갱신형)" xfId="12428" xr:uid="{00000000-0005-0000-0000-00004D390000}"/>
    <cellStyle name="쉼표 [0] 15 2 2 5" xfId="4182" xr:uid="{00000000-0005-0000-0000-00004E390000}"/>
    <cellStyle name="쉼표 [0] 15 2 2 5 2" xfId="4183" xr:uid="{00000000-0005-0000-0000-00004F390000}"/>
    <cellStyle name="쉼표 [0] 15 2 2 5 3" xfId="4184" xr:uid="{00000000-0005-0000-0000-000050390000}"/>
    <cellStyle name="쉼표 [0] 15 2 2 5_뇌출혈특약(갱신형)" xfId="12429" xr:uid="{00000000-0005-0000-0000-000051390000}"/>
    <cellStyle name="쉼표 [0] 15 2 2 6" xfId="4185" xr:uid="{00000000-0005-0000-0000-000052390000}"/>
    <cellStyle name="쉼표 [0] 15 2 2 7" xfId="4186" xr:uid="{00000000-0005-0000-0000-000053390000}"/>
    <cellStyle name="쉼표 [0] 15 2 2_뇌출혈특약(갱신형)" xfId="12430" xr:uid="{00000000-0005-0000-0000-000054390000}"/>
    <cellStyle name="쉼표 [0] 15 2 3" xfId="4187" xr:uid="{00000000-0005-0000-0000-000055390000}"/>
    <cellStyle name="쉼표 [0] 15 2 3 2" xfId="4188" xr:uid="{00000000-0005-0000-0000-000056390000}"/>
    <cellStyle name="쉼표 [0] 15 2 3 2 2" xfId="4189" xr:uid="{00000000-0005-0000-0000-000057390000}"/>
    <cellStyle name="쉼표 [0] 15 2 3 2 3" xfId="4190" xr:uid="{00000000-0005-0000-0000-000058390000}"/>
    <cellStyle name="쉼표 [0] 15 2 3 2_뇌출혈특약(갱신형)" xfId="12431" xr:uid="{00000000-0005-0000-0000-000059390000}"/>
    <cellStyle name="쉼표 [0] 15 2 3 3" xfId="4191" xr:uid="{00000000-0005-0000-0000-00005A390000}"/>
    <cellStyle name="쉼표 [0] 15 2 3 4" xfId="4192" xr:uid="{00000000-0005-0000-0000-00005B390000}"/>
    <cellStyle name="쉼표 [0] 15 2 3_뇌출혈특약(갱신형)" xfId="12432" xr:uid="{00000000-0005-0000-0000-00005C390000}"/>
    <cellStyle name="쉼표 [0] 15 2 4" xfId="4193" xr:uid="{00000000-0005-0000-0000-00005D390000}"/>
    <cellStyle name="쉼표 [0] 15 2 4 2" xfId="4194" xr:uid="{00000000-0005-0000-0000-00005E390000}"/>
    <cellStyle name="쉼표 [0] 15 2 4 2 2" xfId="4195" xr:uid="{00000000-0005-0000-0000-00005F390000}"/>
    <cellStyle name="쉼표 [0] 15 2 4 2 3" xfId="4196" xr:uid="{00000000-0005-0000-0000-000060390000}"/>
    <cellStyle name="쉼표 [0] 15 2 4 2_뇌출혈특약(갱신형)" xfId="12433" xr:uid="{00000000-0005-0000-0000-000061390000}"/>
    <cellStyle name="쉼표 [0] 15 2 4 3" xfId="4197" xr:uid="{00000000-0005-0000-0000-000062390000}"/>
    <cellStyle name="쉼표 [0] 15 2 4 4" xfId="4198" xr:uid="{00000000-0005-0000-0000-000063390000}"/>
    <cellStyle name="쉼표 [0] 15 2 4_뇌출혈특약(갱신형)" xfId="12434" xr:uid="{00000000-0005-0000-0000-000064390000}"/>
    <cellStyle name="쉼표 [0] 15 2 5" xfId="4199" xr:uid="{00000000-0005-0000-0000-000065390000}"/>
    <cellStyle name="쉼표 [0] 15 2 5 2" xfId="4200" xr:uid="{00000000-0005-0000-0000-000066390000}"/>
    <cellStyle name="쉼표 [0] 15 2 5 3" xfId="4201" xr:uid="{00000000-0005-0000-0000-000067390000}"/>
    <cellStyle name="쉼표 [0] 15 2 5_뇌출혈특약(갱신형)" xfId="12435" xr:uid="{00000000-0005-0000-0000-000068390000}"/>
    <cellStyle name="쉼표 [0] 15 2 6" xfId="4202" xr:uid="{00000000-0005-0000-0000-000069390000}"/>
    <cellStyle name="쉼표 [0] 15 2 6 2" xfId="4203" xr:uid="{00000000-0005-0000-0000-00006A390000}"/>
    <cellStyle name="쉼표 [0] 15 2 6 3" xfId="4204" xr:uid="{00000000-0005-0000-0000-00006B390000}"/>
    <cellStyle name="쉼표 [0] 15 2 6_뇌출혈특약(갱신형)" xfId="12436" xr:uid="{00000000-0005-0000-0000-00006C390000}"/>
    <cellStyle name="쉼표 [0] 15 2 7" xfId="4205" xr:uid="{00000000-0005-0000-0000-00006D390000}"/>
    <cellStyle name="쉼표 [0] 15 2 8" xfId="4206" xr:uid="{00000000-0005-0000-0000-00006E390000}"/>
    <cellStyle name="쉼표 [0] 15 2_뇌출혈특약(갱신형)" xfId="12437" xr:uid="{00000000-0005-0000-0000-00006F390000}"/>
    <cellStyle name="쉼표 [0] 15 3" xfId="4207" xr:uid="{00000000-0005-0000-0000-000070390000}"/>
    <cellStyle name="쉼표 [0] 15 3 2" xfId="4208" xr:uid="{00000000-0005-0000-0000-000071390000}"/>
    <cellStyle name="쉼표 [0] 15 3 2 2" xfId="4209" xr:uid="{00000000-0005-0000-0000-000072390000}"/>
    <cellStyle name="쉼표 [0] 15 3 2 2 2" xfId="4210" xr:uid="{00000000-0005-0000-0000-000073390000}"/>
    <cellStyle name="쉼표 [0] 15 3 2 2 3" xfId="4211" xr:uid="{00000000-0005-0000-0000-000074390000}"/>
    <cellStyle name="쉼표 [0] 15 3 2 2_뇌출혈특약(갱신형)" xfId="12438" xr:uid="{00000000-0005-0000-0000-000075390000}"/>
    <cellStyle name="쉼표 [0] 15 3 2 3" xfId="4212" xr:uid="{00000000-0005-0000-0000-000076390000}"/>
    <cellStyle name="쉼표 [0] 15 3 2 4" xfId="4213" xr:uid="{00000000-0005-0000-0000-000077390000}"/>
    <cellStyle name="쉼표 [0] 15 3 2_뇌출혈특약(갱신형)" xfId="12439" xr:uid="{00000000-0005-0000-0000-000078390000}"/>
    <cellStyle name="쉼표 [0] 15 3 3" xfId="4214" xr:uid="{00000000-0005-0000-0000-000079390000}"/>
    <cellStyle name="쉼표 [0] 15 3 3 2" xfId="4215" xr:uid="{00000000-0005-0000-0000-00007A390000}"/>
    <cellStyle name="쉼표 [0] 15 3 3 2 2" xfId="4216" xr:uid="{00000000-0005-0000-0000-00007B390000}"/>
    <cellStyle name="쉼표 [0] 15 3 3 2 3" xfId="4217" xr:uid="{00000000-0005-0000-0000-00007C390000}"/>
    <cellStyle name="쉼표 [0] 15 3 3 2_뇌출혈특약(갱신형)" xfId="12440" xr:uid="{00000000-0005-0000-0000-00007D390000}"/>
    <cellStyle name="쉼표 [0] 15 3 3 3" xfId="4218" xr:uid="{00000000-0005-0000-0000-00007E390000}"/>
    <cellStyle name="쉼표 [0] 15 3 3 4" xfId="4219" xr:uid="{00000000-0005-0000-0000-00007F390000}"/>
    <cellStyle name="쉼표 [0] 15 3 3_뇌출혈특약(갱신형)" xfId="12441" xr:uid="{00000000-0005-0000-0000-000080390000}"/>
    <cellStyle name="쉼표 [0] 15 3 4" xfId="4220" xr:uid="{00000000-0005-0000-0000-000081390000}"/>
    <cellStyle name="쉼표 [0] 15 3 4 2" xfId="4221" xr:uid="{00000000-0005-0000-0000-000082390000}"/>
    <cellStyle name="쉼표 [0] 15 3 4 3" xfId="4222" xr:uid="{00000000-0005-0000-0000-000083390000}"/>
    <cellStyle name="쉼표 [0] 15 3 4_뇌출혈특약(갱신형)" xfId="12442" xr:uid="{00000000-0005-0000-0000-000084390000}"/>
    <cellStyle name="쉼표 [0] 15 3 5" xfId="4223" xr:uid="{00000000-0005-0000-0000-000085390000}"/>
    <cellStyle name="쉼표 [0] 15 3 5 2" xfId="4224" xr:uid="{00000000-0005-0000-0000-000086390000}"/>
    <cellStyle name="쉼표 [0] 15 3 5 3" xfId="4225" xr:uid="{00000000-0005-0000-0000-000087390000}"/>
    <cellStyle name="쉼표 [0] 15 3 5_뇌출혈특약(갱신형)" xfId="12443" xr:uid="{00000000-0005-0000-0000-000088390000}"/>
    <cellStyle name="쉼표 [0] 15 3 6" xfId="4226" xr:uid="{00000000-0005-0000-0000-000089390000}"/>
    <cellStyle name="쉼표 [0] 15 3 7" xfId="4227" xr:uid="{00000000-0005-0000-0000-00008A390000}"/>
    <cellStyle name="쉼표 [0] 15 3_뇌출혈특약(갱신형)" xfId="12444" xr:uid="{00000000-0005-0000-0000-00008B390000}"/>
    <cellStyle name="쉼표 [0] 15 4" xfId="4228" xr:uid="{00000000-0005-0000-0000-00008C390000}"/>
    <cellStyle name="쉼표 [0] 15 4 2" xfId="4229" xr:uid="{00000000-0005-0000-0000-00008D390000}"/>
    <cellStyle name="쉼표 [0] 15 4 2 2" xfId="4230" xr:uid="{00000000-0005-0000-0000-00008E390000}"/>
    <cellStyle name="쉼표 [0] 15 4 2 2 2" xfId="4231" xr:uid="{00000000-0005-0000-0000-00008F390000}"/>
    <cellStyle name="쉼표 [0] 15 4 2 2 3" xfId="4232" xr:uid="{00000000-0005-0000-0000-000090390000}"/>
    <cellStyle name="쉼표 [0] 15 4 2 2_뇌출혈특약(갱신형)" xfId="12445" xr:uid="{00000000-0005-0000-0000-000091390000}"/>
    <cellStyle name="쉼표 [0] 15 4 2 3" xfId="4233" xr:uid="{00000000-0005-0000-0000-000092390000}"/>
    <cellStyle name="쉼표 [0] 15 4 2 4" xfId="4234" xr:uid="{00000000-0005-0000-0000-000093390000}"/>
    <cellStyle name="쉼표 [0] 15 4 2_뇌출혈특약(갱신형)" xfId="12446" xr:uid="{00000000-0005-0000-0000-000094390000}"/>
    <cellStyle name="쉼표 [0] 15 4 3" xfId="4235" xr:uid="{00000000-0005-0000-0000-000095390000}"/>
    <cellStyle name="쉼표 [0] 15 4 3 2" xfId="4236" xr:uid="{00000000-0005-0000-0000-000096390000}"/>
    <cellStyle name="쉼표 [0] 15 4 3 2 2" xfId="4237" xr:uid="{00000000-0005-0000-0000-000097390000}"/>
    <cellStyle name="쉼표 [0] 15 4 3 2 3" xfId="4238" xr:uid="{00000000-0005-0000-0000-000098390000}"/>
    <cellStyle name="쉼표 [0] 15 4 3 2_뇌출혈특약(갱신형)" xfId="12447" xr:uid="{00000000-0005-0000-0000-000099390000}"/>
    <cellStyle name="쉼표 [0] 15 4 3 3" xfId="4239" xr:uid="{00000000-0005-0000-0000-00009A390000}"/>
    <cellStyle name="쉼표 [0] 15 4 3 4" xfId="4240" xr:uid="{00000000-0005-0000-0000-00009B390000}"/>
    <cellStyle name="쉼표 [0] 15 4 3_뇌출혈특약(갱신형)" xfId="12448" xr:uid="{00000000-0005-0000-0000-00009C390000}"/>
    <cellStyle name="쉼표 [0] 15 4 4" xfId="4241" xr:uid="{00000000-0005-0000-0000-00009D390000}"/>
    <cellStyle name="쉼표 [0] 15 4 4 2" xfId="4242" xr:uid="{00000000-0005-0000-0000-00009E390000}"/>
    <cellStyle name="쉼표 [0] 15 4 4 3" xfId="4243" xr:uid="{00000000-0005-0000-0000-00009F390000}"/>
    <cellStyle name="쉼표 [0] 15 4 4_뇌출혈특약(갱신형)" xfId="12449" xr:uid="{00000000-0005-0000-0000-0000A0390000}"/>
    <cellStyle name="쉼표 [0] 15 4 5" xfId="4244" xr:uid="{00000000-0005-0000-0000-0000A1390000}"/>
    <cellStyle name="쉼표 [0] 15 4 5 2" xfId="4245" xr:uid="{00000000-0005-0000-0000-0000A2390000}"/>
    <cellStyle name="쉼표 [0] 15 4 5 3" xfId="4246" xr:uid="{00000000-0005-0000-0000-0000A3390000}"/>
    <cellStyle name="쉼표 [0] 15 4 5_뇌출혈특약(갱신형)" xfId="12450" xr:uid="{00000000-0005-0000-0000-0000A4390000}"/>
    <cellStyle name="쉼표 [0] 15 4 6" xfId="4247" xr:uid="{00000000-0005-0000-0000-0000A5390000}"/>
    <cellStyle name="쉼표 [0] 15 4 7" xfId="4248" xr:uid="{00000000-0005-0000-0000-0000A6390000}"/>
    <cellStyle name="쉼표 [0] 15 4_뇌출혈특약(갱신형)" xfId="12451" xr:uid="{00000000-0005-0000-0000-0000A7390000}"/>
    <cellStyle name="쉼표 [0] 15 5" xfId="4249" xr:uid="{00000000-0005-0000-0000-0000A8390000}"/>
    <cellStyle name="쉼표 [0] 15 5 2" xfId="4250" xr:uid="{00000000-0005-0000-0000-0000A9390000}"/>
    <cellStyle name="쉼표 [0] 15 5 2 2" xfId="4251" xr:uid="{00000000-0005-0000-0000-0000AA390000}"/>
    <cellStyle name="쉼표 [0] 15 5 2 3" xfId="4252" xr:uid="{00000000-0005-0000-0000-0000AB390000}"/>
    <cellStyle name="쉼표 [0] 15 5 2_뇌출혈특약(갱신형)" xfId="12452" xr:uid="{00000000-0005-0000-0000-0000AC390000}"/>
    <cellStyle name="쉼표 [0] 15 5 3" xfId="4253" xr:uid="{00000000-0005-0000-0000-0000AD390000}"/>
    <cellStyle name="쉼표 [0] 15 5 4" xfId="4254" xr:uid="{00000000-0005-0000-0000-0000AE390000}"/>
    <cellStyle name="쉼표 [0] 15 5_뇌출혈특약(갱신형)" xfId="12453" xr:uid="{00000000-0005-0000-0000-0000AF390000}"/>
    <cellStyle name="쉼표 [0] 15 6" xfId="4255" xr:uid="{00000000-0005-0000-0000-0000B0390000}"/>
    <cellStyle name="쉼표 [0] 15 6 2" xfId="4256" xr:uid="{00000000-0005-0000-0000-0000B1390000}"/>
    <cellStyle name="쉼표 [0] 15 6 2 2" xfId="4257" xr:uid="{00000000-0005-0000-0000-0000B2390000}"/>
    <cellStyle name="쉼표 [0] 15 6 2 3" xfId="4258" xr:uid="{00000000-0005-0000-0000-0000B3390000}"/>
    <cellStyle name="쉼표 [0] 15 6 2_뇌출혈특약(갱신형)" xfId="12454" xr:uid="{00000000-0005-0000-0000-0000B4390000}"/>
    <cellStyle name="쉼표 [0] 15 6 3" xfId="4259" xr:uid="{00000000-0005-0000-0000-0000B5390000}"/>
    <cellStyle name="쉼표 [0] 15 6 4" xfId="4260" xr:uid="{00000000-0005-0000-0000-0000B6390000}"/>
    <cellStyle name="쉼표 [0] 15 6_뇌출혈특약(갱신형)" xfId="12455" xr:uid="{00000000-0005-0000-0000-0000B7390000}"/>
    <cellStyle name="쉼표 [0] 15 7" xfId="4261" xr:uid="{00000000-0005-0000-0000-0000B8390000}"/>
    <cellStyle name="쉼표 [0] 15 7 2" xfId="4262" xr:uid="{00000000-0005-0000-0000-0000B9390000}"/>
    <cellStyle name="쉼표 [0] 15 7 3" xfId="4263" xr:uid="{00000000-0005-0000-0000-0000BA390000}"/>
    <cellStyle name="쉼표 [0] 15 7_뇌출혈특약(갱신형)" xfId="12456" xr:uid="{00000000-0005-0000-0000-0000BB390000}"/>
    <cellStyle name="쉼표 [0] 15 8" xfId="4264" xr:uid="{00000000-0005-0000-0000-0000BC390000}"/>
    <cellStyle name="쉼표 [0] 15 8 2" xfId="4265" xr:uid="{00000000-0005-0000-0000-0000BD390000}"/>
    <cellStyle name="쉼표 [0] 15 8 3" xfId="4266" xr:uid="{00000000-0005-0000-0000-0000BE390000}"/>
    <cellStyle name="쉼표 [0] 15 8_뇌출혈특약(갱신형)" xfId="12457" xr:uid="{00000000-0005-0000-0000-0000BF390000}"/>
    <cellStyle name="쉼표 [0] 15 9" xfId="4267" xr:uid="{00000000-0005-0000-0000-0000C0390000}"/>
    <cellStyle name="쉼표 [0] 15 9 2" xfId="4268" xr:uid="{00000000-0005-0000-0000-0000C1390000}"/>
    <cellStyle name="쉼표 [0] 15 9 3" xfId="4269" xr:uid="{00000000-0005-0000-0000-0000C2390000}"/>
    <cellStyle name="쉼표 [0] 15 9_뇌출혈특약(갱신형)" xfId="12458" xr:uid="{00000000-0005-0000-0000-0000C3390000}"/>
    <cellStyle name="쉼표 [0] 15_뇌출혈특약(갱신형)" xfId="12459" xr:uid="{00000000-0005-0000-0000-0000C4390000}"/>
    <cellStyle name="쉼표 [0] 16" xfId="61" xr:uid="{00000000-0005-0000-0000-0000C5390000}"/>
    <cellStyle name="쉼표 [0] 16 10" xfId="4270" xr:uid="{00000000-0005-0000-0000-0000C6390000}"/>
    <cellStyle name="쉼표 [0] 16 10 2" xfId="4271" xr:uid="{00000000-0005-0000-0000-0000C7390000}"/>
    <cellStyle name="쉼표 [0] 16 10 3" xfId="4272" xr:uid="{00000000-0005-0000-0000-0000C8390000}"/>
    <cellStyle name="쉼표 [0] 16 10_뇌출혈특약(갱신형)" xfId="12460" xr:uid="{00000000-0005-0000-0000-0000C9390000}"/>
    <cellStyle name="쉼표 [0] 16 11" xfId="4273" xr:uid="{00000000-0005-0000-0000-0000CA390000}"/>
    <cellStyle name="쉼표 [0] 16 11 2" xfId="4274" xr:uid="{00000000-0005-0000-0000-0000CB390000}"/>
    <cellStyle name="쉼표 [0] 16 11_뇌출혈특약(갱신형)" xfId="12461" xr:uid="{00000000-0005-0000-0000-0000CC390000}"/>
    <cellStyle name="쉼표 [0] 16 12" xfId="4275" xr:uid="{00000000-0005-0000-0000-0000CD390000}"/>
    <cellStyle name="쉼표 [0] 16 12 2" xfId="4276" xr:uid="{00000000-0005-0000-0000-0000CE390000}"/>
    <cellStyle name="쉼표 [0] 16 12_뇌출혈특약(갱신형)" xfId="12462" xr:uid="{00000000-0005-0000-0000-0000CF390000}"/>
    <cellStyle name="쉼표 [0] 16 13" xfId="4277" xr:uid="{00000000-0005-0000-0000-0000D0390000}"/>
    <cellStyle name="쉼표 [0] 16 13 2" xfId="4278" xr:uid="{00000000-0005-0000-0000-0000D1390000}"/>
    <cellStyle name="쉼표 [0] 16 13_뇌출혈특약(갱신형)" xfId="12463" xr:uid="{00000000-0005-0000-0000-0000D2390000}"/>
    <cellStyle name="쉼표 [0] 16 14" xfId="4279" xr:uid="{00000000-0005-0000-0000-0000D3390000}"/>
    <cellStyle name="쉼표 [0] 16 14 2" xfId="4280" xr:uid="{00000000-0005-0000-0000-0000D4390000}"/>
    <cellStyle name="쉼표 [0] 16 14_뇌출혈특약(갱신형)" xfId="12464" xr:uid="{00000000-0005-0000-0000-0000D5390000}"/>
    <cellStyle name="쉼표 [0] 16 15" xfId="4281" xr:uid="{00000000-0005-0000-0000-0000D6390000}"/>
    <cellStyle name="쉼표 [0] 16 16" xfId="4282" xr:uid="{00000000-0005-0000-0000-0000D7390000}"/>
    <cellStyle name="쉼표 [0] 16 2" xfId="4283" xr:uid="{00000000-0005-0000-0000-0000D8390000}"/>
    <cellStyle name="쉼표 [0] 16 2 2" xfId="4284" xr:uid="{00000000-0005-0000-0000-0000D9390000}"/>
    <cellStyle name="쉼표 [0] 16 2 2 2" xfId="4285" xr:uid="{00000000-0005-0000-0000-0000DA390000}"/>
    <cellStyle name="쉼표 [0] 16 2 2 2 2" xfId="4286" xr:uid="{00000000-0005-0000-0000-0000DB390000}"/>
    <cellStyle name="쉼표 [0] 16 2 2 2 2 2" xfId="4287" xr:uid="{00000000-0005-0000-0000-0000DC390000}"/>
    <cellStyle name="쉼표 [0] 16 2 2 2 2 3" xfId="4288" xr:uid="{00000000-0005-0000-0000-0000DD390000}"/>
    <cellStyle name="쉼표 [0] 16 2 2 2 2_뇌출혈특약(갱신형)" xfId="12465" xr:uid="{00000000-0005-0000-0000-0000DE390000}"/>
    <cellStyle name="쉼표 [0] 16 2 2 2 3" xfId="4289" xr:uid="{00000000-0005-0000-0000-0000DF390000}"/>
    <cellStyle name="쉼표 [0] 16 2 2 2 4" xfId="4290" xr:uid="{00000000-0005-0000-0000-0000E0390000}"/>
    <cellStyle name="쉼표 [0] 16 2 2 2_뇌출혈특약(갱신형)" xfId="12466" xr:uid="{00000000-0005-0000-0000-0000E1390000}"/>
    <cellStyle name="쉼표 [0] 16 2 2 3" xfId="4291" xr:uid="{00000000-0005-0000-0000-0000E2390000}"/>
    <cellStyle name="쉼표 [0] 16 2 2 3 2" xfId="4292" xr:uid="{00000000-0005-0000-0000-0000E3390000}"/>
    <cellStyle name="쉼표 [0] 16 2 2 3 2 2" xfId="4293" xr:uid="{00000000-0005-0000-0000-0000E4390000}"/>
    <cellStyle name="쉼표 [0] 16 2 2 3 2 3" xfId="4294" xr:uid="{00000000-0005-0000-0000-0000E5390000}"/>
    <cellStyle name="쉼표 [0] 16 2 2 3 2_뇌출혈특약(갱신형)" xfId="12467" xr:uid="{00000000-0005-0000-0000-0000E6390000}"/>
    <cellStyle name="쉼표 [0] 16 2 2 3 3" xfId="4295" xr:uid="{00000000-0005-0000-0000-0000E7390000}"/>
    <cellStyle name="쉼표 [0] 16 2 2 3 4" xfId="4296" xr:uid="{00000000-0005-0000-0000-0000E8390000}"/>
    <cellStyle name="쉼표 [0] 16 2 2 3_뇌출혈특약(갱신형)" xfId="12468" xr:uid="{00000000-0005-0000-0000-0000E9390000}"/>
    <cellStyle name="쉼표 [0] 16 2 2 4" xfId="4297" xr:uid="{00000000-0005-0000-0000-0000EA390000}"/>
    <cellStyle name="쉼표 [0] 16 2 2 4 2" xfId="4298" xr:uid="{00000000-0005-0000-0000-0000EB390000}"/>
    <cellStyle name="쉼표 [0] 16 2 2 4 3" xfId="4299" xr:uid="{00000000-0005-0000-0000-0000EC390000}"/>
    <cellStyle name="쉼표 [0] 16 2 2 4_뇌출혈특약(갱신형)" xfId="12469" xr:uid="{00000000-0005-0000-0000-0000ED390000}"/>
    <cellStyle name="쉼표 [0] 16 2 2 5" xfId="4300" xr:uid="{00000000-0005-0000-0000-0000EE390000}"/>
    <cellStyle name="쉼표 [0] 16 2 2 5 2" xfId="4301" xr:uid="{00000000-0005-0000-0000-0000EF390000}"/>
    <cellStyle name="쉼표 [0] 16 2 2 5 3" xfId="4302" xr:uid="{00000000-0005-0000-0000-0000F0390000}"/>
    <cellStyle name="쉼표 [0] 16 2 2 5_뇌출혈특약(갱신형)" xfId="12470" xr:uid="{00000000-0005-0000-0000-0000F1390000}"/>
    <cellStyle name="쉼표 [0] 16 2 2 6" xfId="4303" xr:uid="{00000000-0005-0000-0000-0000F2390000}"/>
    <cellStyle name="쉼표 [0] 16 2 2 7" xfId="4304" xr:uid="{00000000-0005-0000-0000-0000F3390000}"/>
    <cellStyle name="쉼표 [0] 16 2 2_뇌출혈특약(갱신형)" xfId="12471" xr:uid="{00000000-0005-0000-0000-0000F4390000}"/>
    <cellStyle name="쉼표 [0] 16 2 3" xfId="4305" xr:uid="{00000000-0005-0000-0000-0000F5390000}"/>
    <cellStyle name="쉼표 [0] 16 2 3 2" xfId="4306" xr:uid="{00000000-0005-0000-0000-0000F6390000}"/>
    <cellStyle name="쉼표 [0] 16 2 3 2 2" xfId="4307" xr:uid="{00000000-0005-0000-0000-0000F7390000}"/>
    <cellStyle name="쉼표 [0] 16 2 3 2 3" xfId="4308" xr:uid="{00000000-0005-0000-0000-0000F8390000}"/>
    <cellStyle name="쉼표 [0] 16 2 3 2_뇌출혈특약(갱신형)" xfId="12472" xr:uid="{00000000-0005-0000-0000-0000F9390000}"/>
    <cellStyle name="쉼표 [0] 16 2 3 3" xfId="4309" xr:uid="{00000000-0005-0000-0000-0000FA390000}"/>
    <cellStyle name="쉼표 [0] 16 2 3 4" xfId="4310" xr:uid="{00000000-0005-0000-0000-0000FB390000}"/>
    <cellStyle name="쉼표 [0] 16 2 3_뇌출혈특약(갱신형)" xfId="12473" xr:uid="{00000000-0005-0000-0000-0000FC390000}"/>
    <cellStyle name="쉼표 [0] 16 2 4" xfId="4311" xr:uid="{00000000-0005-0000-0000-0000FD390000}"/>
    <cellStyle name="쉼표 [0] 16 2 4 2" xfId="4312" xr:uid="{00000000-0005-0000-0000-0000FE390000}"/>
    <cellStyle name="쉼표 [0] 16 2 4 2 2" xfId="4313" xr:uid="{00000000-0005-0000-0000-0000FF390000}"/>
    <cellStyle name="쉼표 [0] 16 2 4 2 3" xfId="4314" xr:uid="{00000000-0005-0000-0000-0000003A0000}"/>
    <cellStyle name="쉼표 [0] 16 2 4 2_뇌출혈특약(갱신형)" xfId="12474" xr:uid="{00000000-0005-0000-0000-0000013A0000}"/>
    <cellStyle name="쉼표 [0] 16 2 4 3" xfId="4315" xr:uid="{00000000-0005-0000-0000-0000023A0000}"/>
    <cellStyle name="쉼표 [0] 16 2 4 4" xfId="4316" xr:uid="{00000000-0005-0000-0000-0000033A0000}"/>
    <cellStyle name="쉼표 [0] 16 2 4_뇌출혈특약(갱신형)" xfId="12475" xr:uid="{00000000-0005-0000-0000-0000043A0000}"/>
    <cellStyle name="쉼표 [0] 16 2 5" xfId="4317" xr:uid="{00000000-0005-0000-0000-0000053A0000}"/>
    <cellStyle name="쉼표 [0] 16 2 5 2" xfId="4318" xr:uid="{00000000-0005-0000-0000-0000063A0000}"/>
    <cellStyle name="쉼표 [0] 16 2 5 3" xfId="4319" xr:uid="{00000000-0005-0000-0000-0000073A0000}"/>
    <cellStyle name="쉼표 [0] 16 2 5_뇌출혈특약(갱신형)" xfId="12476" xr:uid="{00000000-0005-0000-0000-0000083A0000}"/>
    <cellStyle name="쉼표 [0] 16 2 6" xfId="4320" xr:uid="{00000000-0005-0000-0000-0000093A0000}"/>
    <cellStyle name="쉼표 [0] 16 2 6 2" xfId="4321" xr:uid="{00000000-0005-0000-0000-00000A3A0000}"/>
    <cellStyle name="쉼표 [0] 16 2 6 3" xfId="4322" xr:uid="{00000000-0005-0000-0000-00000B3A0000}"/>
    <cellStyle name="쉼표 [0] 16 2 6_뇌출혈특약(갱신형)" xfId="12477" xr:uid="{00000000-0005-0000-0000-00000C3A0000}"/>
    <cellStyle name="쉼표 [0] 16 2 7" xfId="4323" xr:uid="{00000000-0005-0000-0000-00000D3A0000}"/>
    <cellStyle name="쉼표 [0] 16 2 8" xfId="4324" xr:uid="{00000000-0005-0000-0000-00000E3A0000}"/>
    <cellStyle name="쉼표 [0] 16 2_뇌출혈특약(갱신형)" xfId="12478" xr:uid="{00000000-0005-0000-0000-00000F3A0000}"/>
    <cellStyle name="쉼표 [0] 16 3" xfId="4325" xr:uid="{00000000-0005-0000-0000-0000103A0000}"/>
    <cellStyle name="쉼표 [0] 16 3 2" xfId="4326" xr:uid="{00000000-0005-0000-0000-0000113A0000}"/>
    <cellStyle name="쉼표 [0] 16 3 2 2" xfId="4327" xr:uid="{00000000-0005-0000-0000-0000123A0000}"/>
    <cellStyle name="쉼표 [0] 16 3 2 2 2" xfId="4328" xr:uid="{00000000-0005-0000-0000-0000133A0000}"/>
    <cellStyle name="쉼표 [0] 16 3 2 2 3" xfId="4329" xr:uid="{00000000-0005-0000-0000-0000143A0000}"/>
    <cellStyle name="쉼표 [0] 16 3 2 2_뇌출혈특약(갱신형)" xfId="12479" xr:uid="{00000000-0005-0000-0000-0000153A0000}"/>
    <cellStyle name="쉼표 [0] 16 3 2 3" xfId="4330" xr:uid="{00000000-0005-0000-0000-0000163A0000}"/>
    <cellStyle name="쉼표 [0] 16 3 2 4" xfId="4331" xr:uid="{00000000-0005-0000-0000-0000173A0000}"/>
    <cellStyle name="쉼표 [0] 16 3 2_뇌출혈특약(갱신형)" xfId="12480" xr:uid="{00000000-0005-0000-0000-0000183A0000}"/>
    <cellStyle name="쉼표 [0] 16 3 3" xfId="4332" xr:uid="{00000000-0005-0000-0000-0000193A0000}"/>
    <cellStyle name="쉼표 [0] 16 3 3 2" xfId="4333" xr:uid="{00000000-0005-0000-0000-00001A3A0000}"/>
    <cellStyle name="쉼표 [0] 16 3 3 2 2" xfId="4334" xr:uid="{00000000-0005-0000-0000-00001B3A0000}"/>
    <cellStyle name="쉼표 [0] 16 3 3 2 3" xfId="4335" xr:uid="{00000000-0005-0000-0000-00001C3A0000}"/>
    <cellStyle name="쉼표 [0] 16 3 3 2_뇌출혈특약(갱신형)" xfId="12481" xr:uid="{00000000-0005-0000-0000-00001D3A0000}"/>
    <cellStyle name="쉼표 [0] 16 3 3 3" xfId="4336" xr:uid="{00000000-0005-0000-0000-00001E3A0000}"/>
    <cellStyle name="쉼표 [0] 16 3 3 4" xfId="4337" xr:uid="{00000000-0005-0000-0000-00001F3A0000}"/>
    <cellStyle name="쉼표 [0] 16 3 3_뇌출혈특약(갱신형)" xfId="12482" xr:uid="{00000000-0005-0000-0000-0000203A0000}"/>
    <cellStyle name="쉼표 [0] 16 3 4" xfId="4338" xr:uid="{00000000-0005-0000-0000-0000213A0000}"/>
    <cellStyle name="쉼표 [0] 16 3 4 2" xfId="4339" xr:uid="{00000000-0005-0000-0000-0000223A0000}"/>
    <cellStyle name="쉼표 [0] 16 3 4 3" xfId="4340" xr:uid="{00000000-0005-0000-0000-0000233A0000}"/>
    <cellStyle name="쉼표 [0] 16 3 4_뇌출혈특약(갱신형)" xfId="12483" xr:uid="{00000000-0005-0000-0000-0000243A0000}"/>
    <cellStyle name="쉼표 [0] 16 3 5" xfId="4341" xr:uid="{00000000-0005-0000-0000-0000253A0000}"/>
    <cellStyle name="쉼표 [0] 16 3 5 2" xfId="4342" xr:uid="{00000000-0005-0000-0000-0000263A0000}"/>
    <cellStyle name="쉼표 [0] 16 3 5 3" xfId="4343" xr:uid="{00000000-0005-0000-0000-0000273A0000}"/>
    <cellStyle name="쉼표 [0] 16 3 5_뇌출혈특약(갱신형)" xfId="12484" xr:uid="{00000000-0005-0000-0000-0000283A0000}"/>
    <cellStyle name="쉼표 [0] 16 3 6" xfId="4344" xr:uid="{00000000-0005-0000-0000-0000293A0000}"/>
    <cellStyle name="쉼표 [0] 16 3 7" xfId="4345" xr:uid="{00000000-0005-0000-0000-00002A3A0000}"/>
    <cellStyle name="쉼표 [0] 16 3_뇌출혈특약(갱신형)" xfId="12485" xr:uid="{00000000-0005-0000-0000-00002B3A0000}"/>
    <cellStyle name="쉼표 [0] 16 4" xfId="4346" xr:uid="{00000000-0005-0000-0000-00002C3A0000}"/>
    <cellStyle name="쉼표 [0] 16 4 2" xfId="4347" xr:uid="{00000000-0005-0000-0000-00002D3A0000}"/>
    <cellStyle name="쉼표 [0] 16 4 2 2" xfId="4348" xr:uid="{00000000-0005-0000-0000-00002E3A0000}"/>
    <cellStyle name="쉼표 [0] 16 4 2 2 2" xfId="4349" xr:uid="{00000000-0005-0000-0000-00002F3A0000}"/>
    <cellStyle name="쉼표 [0] 16 4 2 2 3" xfId="4350" xr:uid="{00000000-0005-0000-0000-0000303A0000}"/>
    <cellStyle name="쉼표 [0] 16 4 2 2_뇌출혈특약(갱신형)" xfId="12486" xr:uid="{00000000-0005-0000-0000-0000313A0000}"/>
    <cellStyle name="쉼표 [0] 16 4 2 3" xfId="4351" xr:uid="{00000000-0005-0000-0000-0000323A0000}"/>
    <cellStyle name="쉼표 [0] 16 4 2 4" xfId="4352" xr:uid="{00000000-0005-0000-0000-0000333A0000}"/>
    <cellStyle name="쉼표 [0] 16 4 2_뇌출혈특약(갱신형)" xfId="12487" xr:uid="{00000000-0005-0000-0000-0000343A0000}"/>
    <cellStyle name="쉼표 [0] 16 4 3" xfId="4353" xr:uid="{00000000-0005-0000-0000-0000353A0000}"/>
    <cellStyle name="쉼표 [0] 16 4 3 2" xfId="4354" xr:uid="{00000000-0005-0000-0000-0000363A0000}"/>
    <cellStyle name="쉼표 [0] 16 4 3 2 2" xfId="4355" xr:uid="{00000000-0005-0000-0000-0000373A0000}"/>
    <cellStyle name="쉼표 [0] 16 4 3 2 3" xfId="4356" xr:uid="{00000000-0005-0000-0000-0000383A0000}"/>
    <cellStyle name="쉼표 [0] 16 4 3 2_뇌출혈특약(갱신형)" xfId="12488" xr:uid="{00000000-0005-0000-0000-0000393A0000}"/>
    <cellStyle name="쉼표 [0] 16 4 3 3" xfId="4357" xr:uid="{00000000-0005-0000-0000-00003A3A0000}"/>
    <cellStyle name="쉼표 [0] 16 4 3 4" xfId="4358" xr:uid="{00000000-0005-0000-0000-00003B3A0000}"/>
    <cellStyle name="쉼표 [0] 16 4 3_뇌출혈특약(갱신형)" xfId="12489" xr:uid="{00000000-0005-0000-0000-00003C3A0000}"/>
    <cellStyle name="쉼표 [0] 16 4 4" xfId="4359" xr:uid="{00000000-0005-0000-0000-00003D3A0000}"/>
    <cellStyle name="쉼표 [0] 16 4 4 2" xfId="4360" xr:uid="{00000000-0005-0000-0000-00003E3A0000}"/>
    <cellStyle name="쉼표 [0] 16 4 4 3" xfId="4361" xr:uid="{00000000-0005-0000-0000-00003F3A0000}"/>
    <cellStyle name="쉼표 [0] 16 4 4_뇌출혈특약(갱신형)" xfId="12490" xr:uid="{00000000-0005-0000-0000-0000403A0000}"/>
    <cellStyle name="쉼표 [0] 16 4 5" xfId="4362" xr:uid="{00000000-0005-0000-0000-0000413A0000}"/>
    <cellStyle name="쉼표 [0] 16 4 5 2" xfId="4363" xr:uid="{00000000-0005-0000-0000-0000423A0000}"/>
    <cellStyle name="쉼표 [0] 16 4 5 3" xfId="4364" xr:uid="{00000000-0005-0000-0000-0000433A0000}"/>
    <cellStyle name="쉼표 [0] 16 4 5_뇌출혈특약(갱신형)" xfId="12491" xr:uid="{00000000-0005-0000-0000-0000443A0000}"/>
    <cellStyle name="쉼표 [0] 16 4 6" xfId="4365" xr:uid="{00000000-0005-0000-0000-0000453A0000}"/>
    <cellStyle name="쉼표 [0] 16 4 7" xfId="4366" xr:uid="{00000000-0005-0000-0000-0000463A0000}"/>
    <cellStyle name="쉼표 [0] 16 4_뇌출혈특약(갱신형)" xfId="12492" xr:uid="{00000000-0005-0000-0000-0000473A0000}"/>
    <cellStyle name="쉼표 [0] 16 5" xfId="4367" xr:uid="{00000000-0005-0000-0000-0000483A0000}"/>
    <cellStyle name="쉼표 [0] 16 5 2" xfId="4368" xr:uid="{00000000-0005-0000-0000-0000493A0000}"/>
    <cellStyle name="쉼표 [0] 16 5 2 2" xfId="4369" xr:uid="{00000000-0005-0000-0000-00004A3A0000}"/>
    <cellStyle name="쉼표 [0] 16 5 2 3" xfId="4370" xr:uid="{00000000-0005-0000-0000-00004B3A0000}"/>
    <cellStyle name="쉼표 [0] 16 5 2_뇌출혈특약(갱신형)" xfId="12493" xr:uid="{00000000-0005-0000-0000-00004C3A0000}"/>
    <cellStyle name="쉼표 [0] 16 5 3" xfId="4371" xr:uid="{00000000-0005-0000-0000-00004D3A0000}"/>
    <cellStyle name="쉼표 [0] 16 5 4" xfId="4372" xr:uid="{00000000-0005-0000-0000-00004E3A0000}"/>
    <cellStyle name="쉼표 [0] 16 5_뇌출혈특약(갱신형)" xfId="12494" xr:uid="{00000000-0005-0000-0000-00004F3A0000}"/>
    <cellStyle name="쉼표 [0] 16 6" xfId="4373" xr:uid="{00000000-0005-0000-0000-0000503A0000}"/>
    <cellStyle name="쉼표 [0] 16 6 2" xfId="4374" xr:uid="{00000000-0005-0000-0000-0000513A0000}"/>
    <cellStyle name="쉼표 [0] 16 6 2 2" xfId="4375" xr:uid="{00000000-0005-0000-0000-0000523A0000}"/>
    <cellStyle name="쉼표 [0] 16 6 2 3" xfId="4376" xr:uid="{00000000-0005-0000-0000-0000533A0000}"/>
    <cellStyle name="쉼표 [0] 16 6 2_뇌출혈특약(갱신형)" xfId="12495" xr:uid="{00000000-0005-0000-0000-0000543A0000}"/>
    <cellStyle name="쉼표 [0] 16 6 3" xfId="4377" xr:uid="{00000000-0005-0000-0000-0000553A0000}"/>
    <cellStyle name="쉼표 [0] 16 6 4" xfId="4378" xr:uid="{00000000-0005-0000-0000-0000563A0000}"/>
    <cellStyle name="쉼표 [0] 16 6_뇌출혈특약(갱신형)" xfId="12496" xr:uid="{00000000-0005-0000-0000-0000573A0000}"/>
    <cellStyle name="쉼표 [0] 16 7" xfId="4379" xr:uid="{00000000-0005-0000-0000-0000583A0000}"/>
    <cellStyle name="쉼표 [0] 16 7 2" xfId="4380" xr:uid="{00000000-0005-0000-0000-0000593A0000}"/>
    <cellStyle name="쉼표 [0] 16 7 3" xfId="4381" xr:uid="{00000000-0005-0000-0000-00005A3A0000}"/>
    <cellStyle name="쉼표 [0] 16 7_뇌출혈특약(갱신형)" xfId="12497" xr:uid="{00000000-0005-0000-0000-00005B3A0000}"/>
    <cellStyle name="쉼표 [0] 16 8" xfId="4382" xr:uid="{00000000-0005-0000-0000-00005C3A0000}"/>
    <cellStyle name="쉼표 [0] 16 8 2" xfId="4383" xr:uid="{00000000-0005-0000-0000-00005D3A0000}"/>
    <cellStyle name="쉼표 [0] 16 8 3" xfId="4384" xr:uid="{00000000-0005-0000-0000-00005E3A0000}"/>
    <cellStyle name="쉼표 [0] 16 8_뇌출혈특약(갱신형)" xfId="12498" xr:uid="{00000000-0005-0000-0000-00005F3A0000}"/>
    <cellStyle name="쉼표 [0] 16 9" xfId="4385" xr:uid="{00000000-0005-0000-0000-0000603A0000}"/>
    <cellStyle name="쉼표 [0] 16 9 2" xfId="4386" xr:uid="{00000000-0005-0000-0000-0000613A0000}"/>
    <cellStyle name="쉼표 [0] 16 9 3" xfId="4387" xr:uid="{00000000-0005-0000-0000-0000623A0000}"/>
    <cellStyle name="쉼표 [0] 16 9_뇌출혈특약(갱신형)" xfId="12499" xr:uid="{00000000-0005-0000-0000-0000633A0000}"/>
    <cellStyle name="쉼표 [0] 16_뇌출혈특약(갱신형)" xfId="12500" xr:uid="{00000000-0005-0000-0000-0000643A0000}"/>
    <cellStyle name="쉼표 [0] 17" xfId="62" xr:uid="{00000000-0005-0000-0000-0000653A0000}"/>
    <cellStyle name="쉼표 [0] 17 10" xfId="4388" xr:uid="{00000000-0005-0000-0000-0000663A0000}"/>
    <cellStyle name="쉼표 [0] 17 10 2" xfId="4389" xr:uid="{00000000-0005-0000-0000-0000673A0000}"/>
    <cellStyle name="쉼표 [0] 17 10 3" xfId="4390" xr:uid="{00000000-0005-0000-0000-0000683A0000}"/>
    <cellStyle name="쉼표 [0] 17 10_뇌출혈특약(갱신형)" xfId="12501" xr:uid="{00000000-0005-0000-0000-0000693A0000}"/>
    <cellStyle name="쉼표 [0] 17 11" xfId="4391" xr:uid="{00000000-0005-0000-0000-00006A3A0000}"/>
    <cellStyle name="쉼표 [0] 17 11 2" xfId="4392" xr:uid="{00000000-0005-0000-0000-00006B3A0000}"/>
    <cellStyle name="쉼표 [0] 17 11_뇌출혈특약(갱신형)" xfId="12502" xr:uid="{00000000-0005-0000-0000-00006C3A0000}"/>
    <cellStyle name="쉼표 [0] 17 12" xfId="4393" xr:uid="{00000000-0005-0000-0000-00006D3A0000}"/>
    <cellStyle name="쉼표 [0] 17 12 2" xfId="4394" xr:uid="{00000000-0005-0000-0000-00006E3A0000}"/>
    <cellStyle name="쉼표 [0] 17 12_뇌출혈특약(갱신형)" xfId="12503" xr:uid="{00000000-0005-0000-0000-00006F3A0000}"/>
    <cellStyle name="쉼표 [0] 17 13" xfId="4395" xr:uid="{00000000-0005-0000-0000-0000703A0000}"/>
    <cellStyle name="쉼표 [0] 17 13 2" xfId="4396" xr:uid="{00000000-0005-0000-0000-0000713A0000}"/>
    <cellStyle name="쉼표 [0] 17 13_뇌출혈특약(갱신형)" xfId="12504" xr:uid="{00000000-0005-0000-0000-0000723A0000}"/>
    <cellStyle name="쉼표 [0] 17 14" xfId="4397" xr:uid="{00000000-0005-0000-0000-0000733A0000}"/>
    <cellStyle name="쉼표 [0] 17 14 2" xfId="4398" xr:uid="{00000000-0005-0000-0000-0000743A0000}"/>
    <cellStyle name="쉼표 [0] 17 14_뇌출혈특약(갱신형)" xfId="12505" xr:uid="{00000000-0005-0000-0000-0000753A0000}"/>
    <cellStyle name="쉼표 [0] 17 15" xfId="4399" xr:uid="{00000000-0005-0000-0000-0000763A0000}"/>
    <cellStyle name="쉼표 [0] 17 16" xfId="4400" xr:uid="{00000000-0005-0000-0000-0000773A0000}"/>
    <cellStyle name="쉼표 [0] 17 2" xfId="4401" xr:uid="{00000000-0005-0000-0000-0000783A0000}"/>
    <cellStyle name="쉼표 [0] 17 2 2" xfId="4402" xr:uid="{00000000-0005-0000-0000-0000793A0000}"/>
    <cellStyle name="쉼표 [0] 17 2 2 2" xfId="4403" xr:uid="{00000000-0005-0000-0000-00007A3A0000}"/>
    <cellStyle name="쉼표 [0] 17 2 2 2 2" xfId="4404" xr:uid="{00000000-0005-0000-0000-00007B3A0000}"/>
    <cellStyle name="쉼표 [0] 17 2 2 2 2 2" xfId="4405" xr:uid="{00000000-0005-0000-0000-00007C3A0000}"/>
    <cellStyle name="쉼표 [0] 17 2 2 2 2 3" xfId="4406" xr:uid="{00000000-0005-0000-0000-00007D3A0000}"/>
    <cellStyle name="쉼표 [0] 17 2 2 2 2_뇌출혈특약(갱신형)" xfId="12506" xr:uid="{00000000-0005-0000-0000-00007E3A0000}"/>
    <cellStyle name="쉼표 [0] 17 2 2 2 3" xfId="4407" xr:uid="{00000000-0005-0000-0000-00007F3A0000}"/>
    <cellStyle name="쉼표 [0] 17 2 2 2 4" xfId="4408" xr:uid="{00000000-0005-0000-0000-0000803A0000}"/>
    <cellStyle name="쉼표 [0] 17 2 2 2_뇌출혈특약(갱신형)" xfId="12507" xr:uid="{00000000-0005-0000-0000-0000813A0000}"/>
    <cellStyle name="쉼표 [0] 17 2 2 3" xfId="4409" xr:uid="{00000000-0005-0000-0000-0000823A0000}"/>
    <cellStyle name="쉼표 [0] 17 2 2 3 2" xfId="4410" xr:uid="{00000000-0005-0000-0000-0000833A0000}"/>
    <cellStyle name="쉼표 [0] 17 2 2 3 2 2" xfId="4411" xr:uid="{00000000-0005-0000-0000-0000843A0000}"/>
    <cellStyle name="쉼표 [0] 17 2 2 3 2 3" xfId="4412" xr:uid="{00000000-0005-0000-0000-0000853A0000}"/>
    <cellStyle name="쉼표 [0] 17 2 2 3 2_뇌출혈특약(갱신형)" xfId="12508" xr:uid="{00000000-0005-0000-0000-0000863A0000}"/>
    <cellStyle name="쉼표 [0] 17 2 2 3 3" xfId="4413" xr:uid="{00000000-0005-0000-0000-0000873A0000}"/>
    <cellStyle name="쉼표 [0] 17 2 2 3 4" xfId="4414" xr:uid="{00000000-0005-0000-0000-0000883A0000}"/>
    <cellStyle name="쉼표 [0] 17 2 2 3_뇌출혈특약(갱신형)" xfId="12509" xr:uid="{00000000-0005-0000-0000-0000893A0000}"/>
    <cellStyle name="쉼표 [0] 17 2 2 4" xfId="4415" xr:uid="{00000000-0005-0000-0000-00008A3A0000}"/>
    <cellStyle name="쉼표 [0] 17 2 2 4 2" xfId="4416" xr:uid="{00000000-0005-0000-0000-00008B3A0000}"/>
    <cellStyle name="쉼표 [0] 17 2 2 4 3" xfId="4417" xr:uid="{00000000-0005-0000-0000-00008C3A0000}"/>
    <cellStyle name="쉼표 [0] 17 2 2 4_뇌출혈특약(갱신형)" xfId="12510" xr:uid="{00000000-0005-0000-0000-00008D3A0000}"/>
    <cellStyle name="쉼표 [0] 17 2 2 5" xfId="4418" xr:uid="{00000000-0005-0000-0000-00008E3A0000}"/>
    <cellStyle name="쉼표 [0] 17 2 2 5 2" xfId="4419" xr:uid="{00000000-0005-0000-0000-00008F3A0000}"/>
    <cellStyle name="쉼표 [0] 17 2 2 5 3" xfId="4420" xr:uid="{00000000-0005-0000-0000-0000903A0000}"/>
    <cellStyle name="쉼표 [0] 17 2 2 5_뇌출혈특약(갱신형)" xfId="12511" xr:uid="{00000000-0005-0000-0000-0000913A0000}"/>
    <cellStyle name="쉼표 [0] 17 2 2 6" xfId="4421" xr:uid="{00000000-0005-0000-0000-0000923A0000}"/>
    <cellStyle name="쉼표 [0] 17 2 2 7" xfId="4422" xr:uid="{00000000-0005-0000-0000-0000933A0000}"/>
    <cellStyle name="쉼표 [0] 17 2 2_뇌출혈특약(갱신형)" xfId="12512" xr:uid="{00000000-0005-0000-0000-0000943A0000}"/>
    <cellStyle name="쉼표 [0] 17 2 3" xfId="4423" xr:uid="{00000000-0005-0000-0000-0000953A0000}"/>
    <cellStyle name="쉼표 [0] 17 2 3 2" xfId="4424" xr:uid="{00000000-0005-0000-0000-0000963A0000}"/>
    <cellStyle name="쉼표 [0] 17 2 3 2 2" xfId="4425" xr:uid="{00000000-0005-0000-0000-0000973A0000}"/>
    <cellStyle name="쉼표 [0] 17 2 3 2 3" xfId="4426" xr:uid="{00000000-0005-0000-0000-0000983A0000}"/>
    <cellStyle name="쉼표 [0] 17 2 3 2_뇌출혈특약(갱신형)" xfId="12513" xr:uid="{00000000-0005-0000-0000-0000993A0000}"/>
    <cellStyle name="쉼표 [0] 17 2 3 3" xfId="4427" xr:uid="{00000000-0005-0000-0000-00009A3A0000}"/>
    <cellStyle name="쉼표 [0] 17 2 3 4" xfId="4428" xr:uid="{00000000-0005-0000-0000-00009B3A0000}"/>
    <cellStyle name="쉼표 [0] 17 2 3_뇌출혈특약(갱신형)" xfId="12514" xr:uid="{00000000-0005-0000-0000-00009C3A0000}"/>
    <cellStyle name="쉼표 [0] 17 2 4" xfId="4429" xr:uid="{00000000-0005-0000-0000-00009D3A0000}"/>
    <cellStyle name="쉼표 [0] 17 2 4 2" xfId="4430" xr:uid="{00000000-0005-0000-0000-00009E3A0000}"/>
    <cellStyle name="쉼표 [0] 17 2 4 2 2" xfId="4431" xr:uid="{00000000-0005-0000-0000-00009F3A0000}"/>
    <cellStyle name="쉼표 [0] 17 2 4 2 3" xfId="4432" xr:uid="{00000000-0005-0000-0000-0000A03A0000}"/>
    <cellStyle name="쉼표 [0] 17 2 4 2_뇌출혈특약(갱신형)" xfId="12515" xr:uid="{00000000-0005-0000-0000-0000A13A0000}"/>
    <cellStyle name="쉼표 [0] 17 2 4 3" xfId="4433" xr:uid="{00000000-0005-0000-0000-0000A23A0000}"/>
    <cellStyle name="쉼표 [0] 17 2 4 4" xfId="4434" xr:uid="{00000000-0005-0000-0000-0000A33A0000}"/>
    <cellStyle name="쉼표 [0] 17 2 4_뇌출혈특약(갱신형)" xfId="12516" xr:uid="{00000000-0005-0000-0000-0000A43A0000}"/>
    <cellStyle name="쉼표 [0] 17 2 5" xfId="4435" xr:uid="{00000000-0005-0000-0000-0000A53A0000}"/>
    <cellStyle name="쉼표 [0] 17 2 5 2" xfId="4436" xr:uid="{00000000-0005-0000-0000-0000A63A0000}"/>
    <cellStyle name="쉼표 [0] 17 2 5 3" xfId="4437" xr:uid="{00000000-0005-0000-0000-0000A73A0000}"/>
    <cellStyle name="쉼표 [0] 17 2 5_뇌출혈특약(갱신형)" xfId="12517" xr:uid="{00000000-0005-0000-0000-0000A83A0000}"/>
    <cellStyle name="쉼표 [0] 17 2 6" xfId="4438" xr:uid="{00000000-0005-0000-0000-0000A93A0000}"/>
    <cellStyle name="쉼표 [0] 17 2 6 2" xfId="4439" xr:uid="{00000000-0005-0000-0000-0000AA3A0000}"/>
    <cellStyle name="쉼표 [0] 17 2 6 3" xfId="4440" xr:uid="{00000000-0005-0000-0000-0000AB3A0000}"/>
    <cellStyle name="쉼표 [0] 17 2 6_뇌출혈특약(갱신형)" xfId="12518" xr:uid="{00000000-0005-0000-0000-0000AC3A0000}"/>
    <cellStyle name="쉼표 [0] 17 2 7" xfId="4441" xr:uid="{00000000-0005-0000-0000-0000AD3A0000}"/>
    <cellStyle name="쉼표 [0] 17 2 8" xfId="4442" xr:uid="{00000000-0005-0000-0000-0000AE3A0000}"/>
    <cellStyle name="쉼표 [0] 17 2_뇌출혈특약(갱신형)" xfId="12519" xr:uid="{00000000-0005-0000-0000-0000AF3A0000}"/>
    <cellStyle name="쉼표 [0] 17 3" xfId="4443" xr:uid="{00000000-0005-0000-0000-0000B03A0000}"/>
    <cellStyle name="쉼표 [0] 17 3 2" xfId="4444" xr:uid="{00000000-0005-0000-0000-0000B13A0000}"/>
    <cellStyle name="쉼표 [0] 17 3 2 2" xfId="4445" xr:uid="{00000000-0005-0000-0000-0000B23A0000}"/>
    <cellStyle name="쉼표 [0] 17 3 2 2 2" xfId="4446" xr:uid="{00000000-0005-0000-0000-0000B33A0000}"/>
    <cellStyle name="쉼표 [0] 17 3 2 2 3" xfId="4447" xr:uid="{00000000-0005-0000-0000-0000B43A0000}"/>
    <cellStyle name="쉼표 [0] 17 3 2 2_뇌출혈특약(갱신형)" xfId="12520" xr:uid="{00000000-0005-0000-0000-0000B53A0000}"/>
    <cellStyle name="쉼표 [0] 17 3 2 3" xfId="4448" xr:uid="{00000000-0005-0000-0000-0000B63A0000}"/>
    <cellStyle name="쉼표 [0] 17 3 2 4" xfId="4449" xr:uid="{00000000-0005-0000-0000-0000B73A0000}"/>
    <cellStyle name="쉼표 [0] 17 3 2_뇌출혈특약(갱신형)" xfId="12521" xr:uid="{00000000-0005-0000-0000-0000B83A0000}"/>
    <cellStyle name="쉼표 [0] 17 3 3" xfId="4450" xr:uid="{00000000-0005-0000-0000-0000B93A0000}"/>
    <cellStyle name="쉼표 [0] 17 3 3 2" xfId="4451" xr:uid="{00000000-0005-0000-0000-0000BA3A0000}"/>
    <cellStyle name="쉼표 [0] 17 3 3 2 2" xfId="4452" xr:uid="{00000000-0005-0000-0000-0000BB3A0000}"/>
    <cellStyle name="쉼표 [0] 17 3 3 2 3" xfId="4453" xr:uid="{00000000-0005-0000-0000-0000BC3A0000}"/>
    <cellStyle name="쉼표 [0] 17 3 3 2_뇌출혈특약(갱신형)" xfId="12522" xr:uid="{00000000-0005-0000-0000-0000BD3A0000}"/>
    <cellStyle name="쉼표 [0] 17 3 3 3" xfId="4454" xr:uid="{00000000-0005-0000-0000-0000BE3A0000}"/>
    <cellStyle name="쉼표 [0] 17 3 3 4" xfId="4455" xr:uid="{00000000-0005-0000-0000-0000BF3A0000}"/>
    <cellStyle name="쉼표 [0] 17 3 3_뇌출혈특약(갱신형)" xfId="12523" xr:uid="{00000000-0005-0000-0000-0000C03A0000}"/>
    <cellStyle name="쉼표 [0] 17 3 4" xfId="4456" xr:uid="{00000000-0005-0000-0000-0000C13A0000}"/>
    <cellStyle name="쉼표 [0] 17 3 4 2" xfId="4457" xr:uid="{00000000-0005-0000-0000-0000C23A0000}"/>
    <cellStyle name="쉼표 [0] 17 3 4 3" xfId="4458" xr:uid="{00000000-0005-0000-0000-0000C33A0000}"/>
    <cellStyle name="쉼표 [0] 17 3 4_뇌출혈특약(갱신형)" xfId="12524" xr:uid="{00000000-0005-0000-0000-0000C43A0000}"/>
    <cellStyle name="쉼표 [0] 17 3 5" xfId="4459" xr:uid="{00000000-0005-0000-0000-0000C53A0000}"/>
    <cellStyle name="쉼표 [0] 17 3 5 2" xfId="4460" xr:uid="{00000000-0005-0000-0000-0000C63A0000}"/>
    <cellStyle name="쉼표 [0] 17 3 5 3" xfId="4461" xr:uid="{00000000-0005-0000-0000-0000C73A0000}"/>
    <cellStyle name="쉼표 [0] 17 3 5_뇌출혈특약(갱신형)" xfId="12525" xr:uid="{00000000-0005-0000-0000-0000C83A0000}"/>
    <cellStyle name="쉼표 [0] 17 3 6" xfId="4462" xr:uid="{00000000-0005-0000-0000-0000C93A0000}"/>
    <cellStyle name="쉼표 [0] 17 3 7" xfId="4463" xr:uid="{00000000-0005-0000-0000-0000CA3A0000}"/>
    <cellStyle name="쉼표 [0] 17 3_뇌출혈특약(갱신형)" xfId="12526" xr:uid="{00000000-0005-0000-0000-0000CB3A0000}"/>
    <cellStyle name="쉼표 [0] 17 4" xfId="4464" xr:uid="{00000000-0005-0000-0000-0000CC3A0000}"/>
    <cellStyle name="쉼표 [0] 17 4 2" xfId="4465" xr:uid="{00000000-0005-0000-0000-0000CD3A0000}"/>
    <cellStyle name="쉼표 [0] 17 4 2 2" xfId="4466" xr:uid="{00000000-0005-0000-0000-0000CE3A0000}"/>
    <cellStyle name="쉼표 [0] 17 4 2 2 2" xfId="4467" xr:uid="{00000000-0005-0000-0000-0000CF3A0000}"/>
    <cellStyle name="쉼표 [0] 17 4 2 2 3" xfId="4468" xr:uid="{00000000-0005-0000-0000-0000D03A0000}"/>
    <cellStyle name="쉼표 [0] 17 4 2 2_뇌출혈특약(갱신형)" xfId="12527" xr:uid="{00000000-0005-0000-0000-0000D13A0000}"/>
    <cellStyle name="쉼표 [0] 17 4 2 3" xfId="4469" xr:uid="{00000000-0005-0000-0000-0000D23A0000}"/>
    <cellStyle name="쉼표 [0] 17 4 2 4" xfId="4470" xr:uid="{00000000-0005-0000-0000-0000D33A0000}"/>
    <cellStyle name="쉼표 [0] 17 4 2_뇌출혈특약(갱신형)" xfId="12528" xr:uid="{00000000-0005-0000-0000-0000D43A0000}"/>
    <cellStyle name="쉼표 [0] 17 4 3" xfId="4471" xr:uid="{00000000-0005-0000-0000-0000D53A0000}"/>
    <cellStyle name="쉼표 [0] 17 4 3 2" xfId="4472" xr:uid="{00000000-0005-0000-0000-0000D63A0000}"/>
    <cellStyle name="쉼표 [0] 17 4 3 2 2" xfId="4473" xr:uid="{00000000-0005-0000-0000-0000D73A0000}"/>
    <cellStyle name="쉼표 [0] 17 4 3 2 3" xfId="4474" xr:uid="{00000000-0005-0000-0000-0000D83A0000}"/>
    <cellStyle name="쉼표 [0] 17 4 3 2_뇌출혈특약(갱신형)" xfId="12529" xr:uid="{00000000-0005-0000-0000-0000D93A0000}"/>
    <cellStyle name="쉼표 [0] 17 4 3 3" xfId="4475" xr:uid="{00000000-0005-0000-0000-0000DA3A0000}"/>
    <cellStyle name="쉼표 [0] 17 4 3 4" xfId="4476" xr:uid="{00000000-0005-0000-0000-0000DB3A0000}"/>
    <cellStyle name="쉼표 [0] 17 4 3_뇌출혈특약(갱신형)" xfId="12530" xr:uid="{00000000-0005-0000-0000-0000DC3A0000}"/>
    <cellStyle name="쉼표 [0] 17 4 4" xfId="4477" xr:uid="{00000000-0005-0000-0000-0000DD3A0000}"/>
    <cellStyle name="쉼표 [0] 17 4 4 2" xfId="4478" xr:uid="{00000000-0005-0000-0000-0000DE3A0000}"/>
    <cellStyle name="쉼표 [0] 17 4 4 3" xfId="4479" xr:uid="{00000000-0005-0000-0000-0000DF3A0000}"/>
    <cellStyle name="쉼표 [0] 17 4 4_뇌출혈특약(갱신형)" xfId="12531" xr:uid="{00000000-0005-0000-0000-0000E03A0000}"/>
    <cellStyle name="쉼표 [0] 17 4 5" xfId="4480" xr:uid="{00000000-0005-0000-0000-0000E13A0000}"/>
    <cellStyle name="쉼표 [0] 17 4 5 2" xfId="4481" xr:uid="{00000000-0005-0000-0000-0000E23A0000}"/>
    <cellStyle name="쉼표 [0] 17 4 5 3" xfId="4482" xr:uid="{00000000-0005-0000-0000-0000E33A0000}"/>
    <cellStyle name="쉼표 [0] 17 4 5_뇌출혈특약(갱신형)" xfId="12532" xr:uid="{00000000-0005-0000-0000-0000E43A0000}"/>
    <cellStyle name="쉼표 [0] 17 4 6" xfId="4483" xr:uid="{00000000-0005-0000-0000-0000E53A0000}"/>
    <cellStyle name="쉼표 [0] 17 4 7" xfId="4484" xr:uid="{00000000-0005-0000-0000-0000E63A0000}"/>
    <cellStyle name="쉼표 [0] 17 4_뇌출혈특약(갱신형)" xfId="12533" xr:uid="{00000000-0005-0000-0000-0000E73A0000}"/>
    <cellStyle name="쉼표 [0] 17 5" xfId="4485" xr:uid="{00000000-0005-0000-0000-0000E83A0000}"/>
    <cellStyle name="쉼표 [0] 17 5 2" xfId="4486" xr:uid="{00000000-0005-0000-0000-0000E93A0000}"/>
    <cellStyle name="쉼표 [0] 17 5 2 2" xfId="4487" xr:uid="{00000000-0005-0000-0000-0000EA3A0000}"/>
    <cellStyle name="쉼표 [0] 17 5 2 3" xfId="4488" xr:uid="{00000000-0005-0000-0000-0000EB3A0000}"/>
    <cellStyle name="쉼표 [0] 17 5 2_뇌출혈특약(갱신형)" xfId="12534" xr:uid="{00000000-0005-0000-0000-0000EC3A0000}"/>
    <cellStyle name="쉼표 [0] 17 5 3" xfId="4489" xr:uid="{00000000-0005-0000-0000-0000ED3A0000}"/>
    <cellStyle name="쉼표 [0] 17 5 4" xfId="4490" xr:uid="{00000000-0005-0000-0000-0000EE3A0000}"/>
    <cellStyle name="쉼표 [0] 17 5_뇌출혈특약(갱신형)" xfId="12535" xr:uid="{00000000-0005-0000-0000-0000EF3A0000}"/>
    <cellStyle name="쉼표 [0] 17 6" xfId="4491" xr:uid="{00000000-0005-0000-0000-0000F03A0000}"/>
    <cellStyle name="쉼표 [0] 17 6 2" xfId="4492" xr:uid="{00000000-0005-0000-0000-0000F13A0000}"/>
    <cellStyle name="쉼표 [0] 17 6 2 2" xfId="4493" xr:uid="{00000000-0005-0000-0000-0000F23A0000}"/>
    <cellStyle name="쉼표 [0] 17 6 2 3" xfId="4494" xr:uid="{00000000-0005-0000-0000-0000F33A0000}"/>
    <cellStyle name="쉼표 [0] 17 6 2_뇌출혈특약(갱신형)" xfId="12536" xr:uid="{00000000-0005-0000-0000-0000F43A0000}"/>
    <cellStyle name="쉼표 [0] 17 6 3" xfId="4495" xr:uid="{00000000-0005-0000-0000-0000F53A0000}"/>
    <cellStyle name="쉼표 [0] 17 6 4" xfId="4496" xr:uid="{00000000-0005-0000-0000-0000F63A0000}"/>
    <cellStyle name="쉼표 [0] 17 6_뇌출혈특약(갱신형)" xfId="12537" xr:uid="{00000000-0005-0000-0000-0000F73A0000}"/>
    <cellStyle name="쉼표 [0] 17 7" xfId="4497" xr:uid="{00000000-0005-0000-0000-0000F83A0000}"/>
    <cellStyle name="쉼표 [0] 17 7 2" xfId="4498" xr:uid="{00000000-0005-0000-0000-0000F93A0000}"/>
    <cellStyle name="쉼표 [0] 17 7 3" xfId="4499" xr:uid="{00000000-0005-0000-0000-0000FA3A0000}"/>
    <cellStyle name="쉼표 [0] 17 7_뇌출혈특약(갱신형)" xfId="12538" xr:uid="{00000000-0005-0000-0000-0000FB3A0000}"/>
    <cellStyle name="쉼표 [0] 17 8" xfId="4500" xr:uid="{00000000-0005-0000-0000-0000FC3A0000}"/>
    <cellStyle name="쉼표 [0] 17 8 2" xfId="4501" xr:uid="{00000000-0005-0000-0000-0000FD3A0000}"/>
    <cellStyle name="쉼표 [0] 17 8 3" xfId="4502" xr:uid="{00000000-0005-0000-0000-0000FE3A0000}"/>
    <cellStyle name="쉼표 [0] 17 8_뇌출혈특약(갱신형)" xfId="12539" xr:uid="{00000000-0005-0000-0000-0000FF3A0000}"/>
    <cellStyle name="쉼표 [0] 17 9" xfId="4503" xr:uid="{00000000-0005-0000-0000-0000003B0000}"/>
    <cellStyle name="쉼표 [0] 17 9 2" xfId="4504" xr:uid="{00000000-0005-0000-0000-0000013B0000}"/>
    <cellStyle name="쉼표 [0] 17 9 3" xfId="4505" xr:uid="{00000000-0005-0000-0000-0000023B0000}"/>
    <cellStyle name="쉼표 [0] 17 9_뇌출혈특약(갱신형)" xfId="12540" xr:uid="{00000000-0005-0000-0000-0000033B0000}"/>
    <cellStyle name="쉼표 [0] 17_뇌출혈특약(갱신형)" xfId="12541" xr:uid="{00000000-0005-0000-0000-0000043B0000}"/>
    <cellStyle name="쉼표 [0] 18" xfId="63" xr:uid="{00000000-0005-0000-0000-0000053B0000}"/>
    <cellStyle name="쉼표 [0] 18 10" xfId="4506" xr:uid="{00000000-0005-0000-0000-0000063B0000}"/>
    <cellStyle name="쉼표 [0] 18 10 2" xfId="4507" xr:uid="{00000000-0005-0000-0000-0000073B0000}"/>
    <cellStyle name="쉼표 [0] 18 10 3" xfId="4508" xr:uid="{00000000-0005-0000-0000-0000083B0000}"/>
    <cellStyle name="쉼표 [0] 18 10_뇌출혈특약(갱신형)" xfId="12542" xr:uid="{00000000-0005-0000-0000-0000093B0000}"/>
    <cellStyle name="쉼표 [0] 18 11" xfId="4509" xr:uid="{00000000-0005-0000-0000-00000A3B0000}"/>
    <cellStyle name="쉼표 [0] 18 11 2" xfId="4510" xr:uid="{00000000-0005-0000-0000-00000B3B0000}"/>
    <cellStyle name="쉼표 [0] 18 11_뇌출혈특약(갱신형)" xfId="12543" xr:uid="{00000000-0005-0000-0000-00000C3B0000}"/>
    <cellStyle name="쉼표 [0] 18 12" xfId="4511" xr:uid="{00000000-0005-0000-0000-00000D3B0000}"/>
    <cellStyle name="쉼표 [0] 18 12 2" xfId="4512" xr:uid="{00000000-0005-0000-0000-00000E3B0000}"/>
    <cellStyle name="쉼표 [0] 18 12_뇌출혈특약(갱신형)" xfId="12544" xr:uid="{00000000-0005-0000-0000-00000F3B0000}"/>
    <cellStyle name="쉼표 [0] 18 13" xfId="4513" xr:uid="{00000000-0005-0000-0000-0000103B0000}"/>
    <cellStyle name="쉼표 [0] 18 13 2" xfId="4514" xr:uid="{00000000-0005-0000-0000-0000113B0000}"/>
    <cellStyle name="쉼표 [0] 18 13_뇌출혈특약(갱신형)" xfId="12545" xr:uid="{00000000-0005-0000-0000-0000123B0000}"/>
    <cellStyle name="쉼표 [0] 18 14" xfId="4515" xr:uid="{00000000-0005-0000-0000-0000133B0000}"/>
    <cellStyle name="쉼표 [0] 18 14 2" xfId="4516" xr:uid="{00000000-0005-0000-0000-0000143B0000}"/>
    <cellStyle name="쉼표 [0] 18 14_뇌출혈특약(갱신형)" xfId="12546" xr:uid="{00000000-0005-0000-0000-0000153B0000}"/>
    <cellStyle name="쉼표 [0] 18 15" xfId="4517" xr:uid="{00000000-0005-0000-0000-0000163B0000}"/>
    <cellStyle name="쉼표 [0] 18 16" xfId="4518" xr:uid="{00000000-0005-0000-0000-0000173B0000}"/>
    <cellStyle name="쉼표 [0] 18 2" xfId="4519" xr:uid="{00000000-0005-0000-0000-0000183B0000}"/>
    <cellStyle name="쉼표 [0] 18 2 2" xfId="4520" xr:uid="{00000000-0005-0000-0000-0000193B0000}"/>
    <cellStyle name="쉼표 [0] 18 2 2 2" xfId="4521" xr:uid="{00000000-0005-0000-0000-00001A3B0000}"/>
    <cellStyle name="쉼표 [0] 18 2 2 2 2" xfId="4522" xr:uid="{00000000-0005-0000-0000-00001B3B0000}"/>
    <cellStyle name="쉼표 [0] 18 2 2 2 2 2" xfId="4523" xr:uid="{00000000-0005-0000-0000-00001C3B0000}"/>
    <cellStyle name="쉼표 [0] 18 2 2 2 2 3" xfId="4524" xr:uid="{00000000-0005-0000-0000-00001D3B0000}"/>
    <cellStyle name="쉼표 [0] 18 2 2 2 2_뇌출혈특약(갱신형)" xfId="12547" xr:uid="{00000000-0005-0000-0000-00001E3B0000}"/>
    <cellStyle name="쉼표 [0] 18 2 2 2 3" xfId="4525" xr:uid="{00000000-0005-0000-0000-00001F3B0000}"/>
    <cellStyle name="쉼표 [0] 18 2 2 2 4" xfId="4526" xr:uid="{00000000-0005-0000-0000-0000203B0000}"/>
    <cellStyle name="쉼표 [0] 18 2 2 2_뇌출혈특약(갱신형)" xfId="12548" xr:uid="{00000000-0005-0000-0000-0000213B0000}"/>
    <cellStyle name="쉼표 [0] 18 2 2 3" xfId="4527" xr:uid="{00000000-0005-0000-0000-0000223B0000}"/>
    <cellStyle name="쉼표 [0] 18 2 2 3 2" xfId="4528" xr:uid="{00000000-0005-0000-0000-0000233B0000}"/>
    <cellStyle name="쉼표 [0] 18 2 2 3 2 2" xfId="4529" xr:uid="{00000000-0005-0000-0000-0000243B0000}"/>
    <cellStyle name="쉼표 [0] 18 2 2 3 2 3" xfId="4530" xr:uid="{00000000-0005-0000-0000-0000253B0000}"/>
    <cellStyle name="쉼표 [0] 18 2 2 3 2_뇌출혈특약(갱신형)" xfId="12549" xr:uid="{00000000-0005-0000-0000-0000263B0000}"/>
    <cellStyle name="쉼표 [0] 18 2 2 3 3" xfId="4531" xr:uid="{00000000-0005-0000-0000-0000273B0000}"/>
    <cellStyle name="쉼표 [0] 18 2 2 3 4" xfId="4532" xr:uid="{00000000-0005-0000-0000-0000283B0000}"/>
    <cellStyle name="쉼표 [0] 18 2 2 3_뇌출혈특약(갱신형)" xfId="12550" xr:uid="{00000000-0005-0000-0000-0000293B0000}"/>
    <cellStyle name="쉼표 [0] 18 2 2 4" xfId="4533" xr:uid="{00000000-0005-0000-0000-00002A3B0000}"/>
    <cellStyle name="쉼표 [0] 18 2 2 4 2" xfId="4534" xr:uid="{00000000-0005-0000-0000-00002B3B0000}"/>
    <cellStyle name="쉼표 [0] 18 2 2 4 3" xfId="4535" xr:uid="{00000000-0005-0000-0000-00002C3B0000}"/>
    <cellStyle name="쉼표 [0] 18 2 2 4_뇌출혈특약(갱신형)" xfId="12551" xr:uid="{00000000-0005-0000-0000-00002D3B0000}"/>
    <cellStyle name="쉼표 [0] 18 2 2 5" xfId="4536" xr:uid="{00000000-0005-0000-0000-00002E3B0000}"/>
    <cellStyle name="쉼표 [0] 18 2 2 5 2" xfId="4537" xr:uid="{00000000-0005-0000-0000-00002F3B0000}"/>
    <cellStyle name="쉼표 [0] 18 2 2 5 3" xfId="4538" xr:uid="{00000000-0005-0000-0000-0000303B0000}"/>
    <cellStyle name="쉼표 [0] 18 2 2 5_뇌출혈특약(갱신형)" xfId="12552" xr:uid="{00000000-0005-0000-0000-0000313B0000}"/>
    <cellStyle name="쉼표 [0] 18 2 2 6" xfId="4539" xr:uid="{00000000-0005-0000-0000-0000323B0000}"/>
    <cellStyle name="쉼표 [0] 18 2 2 7" xfId="4540" xr:uid="{00000000-0005-0000-0000-0000333B0000}"/>
    <cellStyle name="쉼표 [0] 18 2 2_뇌출혈특약(갱신형)" xfId="12553" xr:uid="{00000000-0005-0000-0000-0000343B0000}"/>
    <cellStyle name="쉼표 [0] 18 2 3" xfId="4541" xr:uid="{00000000-0005-0000-0000-0000353B0000}"/>
    <cellStyle name="쉼표 [0] 18 2 3 2" xfId="4542" xr:uid="{00000000-0005-0000-0000-0000363B0000}"/>
    <cellStyle name="쉼표 [0] 18 2 3 2 2" xfId="4543" xr:uid="{00000000-0005-0000-0000-0000373B0000}"/>
    <cellStyle name="쉼표 [0] 18 2 3 2 3" xfId="4544" xr:uid="{00000000-0005-0000-0000-0000383B0000}"/>
    <cellStyle name="쉼표 [0] 18 2 3 2_뇌출혈특약(갱신형)" xfId="12554" xr:uid="{00000000-0005-0000-0000-0000393B0000}"/>
    <cellStyle name="쉼표 [0] 18 2 3 3" xfId="4545" xr:uid="{00000000-0005-0000-0000-00003A3B0000}"/>
    <cellStyle name="쉼표 [0] 18 2 3 4" xfId="4546" xr:uid="{00000000-0005-0000-0000-00003B3B0000}"/>
    <cellStyle name="쉼표 [0] 18 2 3_뇌출혈특약(갱신형)" xfId="12555" xr:uid="{00000000-0005-0000-0000-00003C3B0000}"/>
    <cellStyle name="쉼표 [0] 18 2 4" xfId="4547" xr:uid="{00000000-0005-0000-0000-00003D3B0000}"/>
    <cellStyle name="쉼표 [0] 18 2 4 2" xfId="4548" xr:uid="{00000000-0005-0000-0000-00003E3B0000}"/>
    <cellStyle name="쉼표 [0] 18 2 4 2 2" xfId="4549" xr:uid="{00000000-0005-0000-0000-00003F3B0000}"/>
    <cellStyle name="쉼표 [0] 18 2 4 2 3" xfId="4550" xr:uid="{00000000-0005-0000-0000-0000403B0000}"/>
    <cellStyle name="쉼표 [0] 18 2 4 2_뇌출혈특약(갱신형)" xfId="12556" xr:uid="{00000000-0005-0000-0000-0000413B0000}"/>
    <cellStyle name="쉼표 [0] 18 2 4 3" xfId="4551" xr:uid="{00000000-0005-0000-0000-0000423B0000}"/>
    <cellStyle name="쉼표 [0] 18 2 4 4" xfId="4552" xr:uid="{00000000-0005-0000-0000-0000433B0000}"/>
    <cellStyle name="쉼표 [0] 18 2 4_뇌출혈특약(갱신형)" xfId="12557" xr:uid="{00000000-0005-0000-0000-0000443B0000}"/>
    <cellStyle name="쉼표 [0] 18 2 5" xfId="4553" xr:uid="{00000000-0005-0000-0000-0000453B0000}"/>
    <cellStyle name="쉼표 [0] 18 2 5 2" xfId="4554" xr:uid="{00000000-0005-0000-0000-0000463B0000}"/>
    <cellStyle name="쉼표 [0] 18 2 5 3" xfId="4555" xr:uid="{00000000-0005-0000-0000-0000473B0000}"/>
    <cellStyle name="쉼표 [0] 18 2 5_뇌출혈특약(갱신형)" xfId="12558" xr:uid="{00000000-0005-0000-0000-0000483B0000}"/>
    <cellStyle name="쉼표 [0] 18 2 6" xfId="4556" xr:uid="{00000000-0005-0000-0000-0000493B0000}"/>
    <cellStyle name="쉼표 [0] 18 2 6 2" xfId="4557" xr:uid="{00000000-0005-0000-0000-00004A3B0000}"/>
    <cellStyle name="쉼표 [0] 18 2 6 3" xfId="4558" xr:uid="{00000000-0005-0000-0000-00004B3B0000}"/>
    <cellStyle name="쉼표 [0] 18 2 6_뇌출혈특약(갱신형)" xfId="12559" xr:uid="{00000000-0005-0000-0000-00004C3B0000}"/>
    <cellStyle name="쉼표 [0] 18 2 7" xfId="4559" xr:uid="{00000000-0005-0000-0000-00004D3B0000}"/>
    <cellStyle name="쉼표 [0] 18 2 8" xfId="4560" xr:uid="{00000000-0005-0000-0000-00004E3B0000}"/>
    <cellStyle name="쉼표 [0] 18 2_뇌출혈특약(갱신형)" xfId="12560" xr:uid="{00000000-0005-0000-0000-00004F3B0000}"/>
    <cellStyle name="쉼표 [0] 18 3" xfId="4561" xr:uid="{00000000-0005-0000-0000-0000503B0000}"/>
    <cellStyle name="쉼표 [0] 18 3 2" xfId="4562" xr:uid="{00000000-0005-0000-0000-0000513B0000}"/>
    <cellStyle name="쉼표 [0] 18 3 2 2" xfId="4563" xr:uid="{00000000-0005-0000-0000-0000523B0000}"/>
    <cellStyle name="쉼표 [0] 18 3 2 2 2" xfId="4564" xr:uid="{00000000-0005-0000-0000-0000533B0000}"/>
    <cellStyle name="쉼표 [0] 18 3 2 2 3" xfId="4565" xr:uid="{00000000-0005-0000-0000-0000543B0000}"/>
    <cellStyle name="쉼표 [0] 18 3 2 2_뇌출혈특약(갱신형)" xfId="12561" xr:uid="{00000000-0005-0000-0000-0000553B0000}"/>
    <cellStyle name="쉼표 [0] 18 3 2 3" xfId="4566" xr:uid="{00000000-0005-0000-0000-0000563B0000}"/>
    <cellStyle name="쉼표 [0] 18 3 2 4" xfId="4567" xr:uid="{00000000-0005-0000-0000-0000573B0000}"/>
    <cellStyle name="쉼표 [0] 18 3 2_뇌출혈특약(갱신형)" xfId="12562" xr:uid="{00000000-0005-0000-0000-0000583B0000}"/>
    <cellStyle name="쉼표 [0] 18 3 3" xfId="4568" xr:uid="{00000000-0005-0000-0000-0000593B0000}"/>
    <cellStyle name="쉼표 [0] 18 3 3 2" xfId="4569" xr:uid="{00000000-0005-0000-0000-00005A3B0000}"/>
    <cellStyle name="쉼표 [0] 18 3 3 2 2" xfId="4570" xr:uid="{00000000-0005-0000-0000-00005B3B0000}"/>
    <cellStyle name="쉼표 [0] 18 3 3 2 3" xfId="4571" xr:uid="{00000000-0005-0000-0000-00005C3B0000}"/>
    <cellStyle name="쉼표 [0] 18 3 3 2_뇌출혈특약(갱신형)" xfId="12563" xr:uid="{00000000-0005-0000-0000-00005D3B0000}"/>
    <cellStyle name="쉼표 [0] 18 3 3 3" xfId="4572" xr:uid="{00000000-0005-0000-0000-00005E3B0000}"/>
    <cellStyle name="쉼표 [0] 18 3 3 4" xfId="4573" xr:uid="{00000000-0005-0000-0000-00005F3B0000}"/>
    <cellStyle name="쉼표 [0] 18 3 3_뇌출혈특약(갱신형)" xfId="12564" xr:uid="{00000000-0005-0000-0000-0000603B0000}"/>
    <cellStyle name="쉼표 [0] 18 3 4" xfId="4574" xr:uid="{00000000-0005-0000-0000-0000613B0000}"/>
    <cellStyle name="쉼표 [0] 18 3 4 2" xfId="4575" xr:uid="{00000000-0005-0000-0000-0000623B0000}"/>
    <cellStyle name="쉼표 [0] 18 3 4 3" xfId="4576" xr:uid="{00000000-0005-0000-0000-0000633B0000}"/>
    <cellStyle name="쉼표 [0] 18 3 4_뇌출혈특약(갱신형)" xfId="12565" xr:uid="{00000000-0005-0000-0000-0000643B0000}"/>
    <cellStyle name="쉼표 [0] 18 3 5" xfId="4577" xr:uid="{00000000-0005-0000-0000-0000653B0000}"/>
    <cellStyle name="쉼표 [0] 18 3 5 2" xfId="4578" xr:uid="{00000000-0005-0000-0000-0000663B0000}"/>
    <cellStyle name="쉼표 [0] 18 3 5 3" xfId="4579" xr:uid="{00000000-0005-0000-0000-0000673B0000}"/>
    <cellStyle name="쉼표 [0] 18 3 5_뇌출혈특약(갱신형)" xfId="12566" xr:uid="{00000000-0005-0000-0000-0000683B0000}"/>
    <cellStyle name="쉼표 [0] 18 3 6" xfId="4580" xr:uid="{00000000-0005-0000-0000-0000693B0000}"/>
    <cellStyle name="쉼표 [0] 18 3 7" xfId="4581" xr:uid="{00000000-0005-0000-0000-00006A3B0000}"/>
    <cellStyle name="쉼표 [0] 18 3_뇌출혈특약(갱신형)" xfId="12567" xr:uid="{00000000-0005-0000-0000-00006B3B0000}"/>
    <cellStyle name="쉼표 [0] 18 4" xfId="4582" xr:uid="{00000000-0005-0000-0000-00006C3B0000}"/>
    <cellStyle name="쉼표 [0] 18 4 2" xfId="4583" xr:uid="{00000000-0005-0000-0000-00006D3B0000}"/>
    <cellStyle name="쉼표 [0] 18 4 2 2" xfId="4584" xr:uid="{00000000-0005-0000-0000-00006E3B0000}"/>
    <cellStyle name="쉼표 [0] 18 4 2 2 2" xfId="4585" xr:uid="{00000000-0005-0000-0000-00006F3B0000}"/>
    <cellStyle name="쉼표 [0] 18 4 2 2 3" xfId="4586" xr:uid="{00000000-0005-0000-0000-0000703B0000}"/>
    <cellStyle name="쉼표 [0] 18 4 2 2_뇌출혈특약(갱신형)" xfId="12568" xr:uid="{00000000-0005-0000-0000-0000713B0000}"/>
    <cellStyle name="쉼표 [0] 18 4 2 3" xfId="4587" xr:uid="{00000000-0005-0000-0000-0000723B0000}"/>
    <cellStyle name="쉼표 [0] 18 4 2 4" xfId="4588" xr:uid="{00000000-0005-0000-0000-0000733B0000}"/>
    <cellStyle name="쉼표 [0] 18 4 2_뇌출혈특약(갱신형)" xfId="12569" xr:uid="{00000000-0005-0000-0000-0000743B0000}"/>
    <cellStyle name="쉼표 [0] 18 4 3" xfId="4589" xr:uid="{00000000-0005-0000-0000-0000753B0000}"/>
    <cellStyle name="쉼표 [0] 18 4 3 2" xfId="4590" xr:uid="{00000000-0005-0000-0000-0000763B0000}"/>
    <cellStyle name="쉼표 [0] 18 4 3 2 2" xfId="4591" xr:uid="{00000000-0005-0000-0000-0000773B0000}"/>
    <cellStyle name="쉼표 [0] 18 4 3 2 3" xfId="4592" xr:uid="{00000000-0005-0000-0000-0000783B0000}"/>
    <cellStyle name="쉼표 [0] 18 4 3 2_뇌출혈특약(갱신형)" xfId="12570" xr:uid="{00000000-0005-0000-0000-0000793B0000}"/>
    <cellStyle name="쉼표 [0] 18 4 3 3" xfId="4593" xr:uid="{00000000-0005-0000-0000-00007A3B0000}"/>
    <cellStyle name="쉼표 [0] 18 4 3 4" xfId="4594" xr:uid="{00000000-0005-0000-0000-00007B3B0000}"/>
    <cellStyle name="쉼표 [0] 18 4 3_뇌출혈특약(갱신형)" xfId="12571" xr:uid="{00000000-0005-0000-0000-00007C3B0000}"/>
    <cellStyle name="쉼표 [0] 18 4 4" xfId="4595" xr:uid="{00000000-0005-0000-0000-00007D3B0000}"/>
    <cellStyle name="쉼표 [0] 18 4 4 2" xfId="4596" xr:uid="{00000000-0005-0000-0000-00007E3B0000}"/>
    <cellStyle name="쉼표 [0] 18 4 4 3" xfId="4597" xr:uid="{00000000-0005-0000-0000-00007F3B0000}"/>
    <cellStyle name="쉼표 [0] 18 4 4_뇌출혈특약(갱신형)" xfId="12572" xr:uid="{00000000-0005-0000-0000-0000803B0000}"/>
    <cellStyle name="쉼표 [0] 18 4 5" xfId="4598" xr:uid="{00000000-0005-0000-0000-0000813B0000}"/>
    <cellStyle name="쉼표 [0] 18 4 5 2" xfId="4599" xr:uid="{00000000-0005-0000-0000-0000823B0000}"/>
    <cellStyle name="쉼표 [0] 18 4 5 3" xfId="4600" xr:uid="{00000000-0005-0000-0000-0000833B0000}"/>
    <cellStyle name="쉼표 [0] 18 4 5_뇌출혈특약(갱신형)" xfId="12573" xr:uid="{00000000-0005-0000-0000-0000843B0000}"/>
    <cellStyle name="쉼표 [0] 18 4 6" xfId="4601" xr:uid="{00000000-0005-0000-0000-0000853B0000}"/>
    <cellStyle name="쉼표 [0] 18 4 7" xfId="4602" xr:uid="{00000000-0005-0000-0000-0000863B0000}"/>
    <cellStyle name="쉼표 [0] 18 4_뇌출혈특약(갱신형)" xfId="12574" xr:uid="{00000000-0005-0000-0000-0000873B0000}"/>
    <cellStyle name="쉼표 [0] 18 5" xfId="4603" xr:uid="{00000000-0005-0000-0000-0000883B0000}"/>
    <cellStyle name="쉼표 [0] 18 5 2" xfId="4604" xr:uid="{00000000-0005-0000-0000-0000893B0000}"/>
    <cellStyle name="쉼표 [0] 18 5 2 2" xfId="4605" xr:uid="{00000000-0005-0000-0000-00008A3B0000}"/>
    <cellStyle name="쉼표 [0] 18 5 2 3" xfId="4606" xr:uid="{00000000-0005-0000-0000-00008B3B0000}"/>
    <cellStyle name="쉼표 [0] 18 5 2_뇌출혈특약(갱신형)" xfId="12575" xr:uid="{00000000-0005-0000-0000-00008C3B0000}"/>
    <cellStyle name="쉼표 [0] 18 5 3" xfId="4607" xr:uid="{00000000-0005-0000-0000-00008D3B0000}"/>
    <cellStyle name="쉼표 [0] 18 5 4" xfId="4608" xr:uid="{00000000-0005-0000-0000-00008E3B0000}"/>
    <cellStyle name="쉼표 [0] 18 5_뇌출혈특약(갱신형)" xfId="12576" xr:uid="{00000000-0005-0000-0000-00008F3B0000}"/>
    <cellStyle name="쉼표 [0] 18 6" xfId="4609" xr:uid="{00000000-0005-0000-0000-0000903B0000}"/>
    <cellStyle name="쉼표 [0] 18 6 2" xfId="4610" xr:uid="{00000000-0005-0000-0000-0000913B0000}"/>
    <cellStyle name="쉼표 [0] 18 6 2 2" xfId="4611" xr:uid="{00000000-0005-0000-0000-0000923B0000}"/>
    <cellStyle name="쉼표 [0] 18 6 2 3" xfId="4612" xr:uid="{00000000-0005-0000-0000-0000933B0000}"/>
    <cellStyle name="쉼표 [0] 18 6 2_뇌출혈특약(갱신형)" xfId="12577" xr:uid="{00000000-0005-0000-0000-0000943B0000}"/>
    <cellStyle name="쉼표 [0] 18 6 3" xfId="4613" xr:uid="{00000000-0005-0000-0000-0000953B0000}"/>
    <cellStyle name="쉼표 [0] 18 6 4" xfId="4614" xr:uid="{00000000-0005-0000-0000-0000963B0000}"/>
    <cellStyle name="쉼표 [0] 18 6_뇌출혈특약(갱신형)" xfId="12578" xr:uid="{00000000-0005-0000-0000-0000973B0000}"/>
    <cellStyle name="쉼표 [0] 18 7" xfId="4615" xr:uid="{00000000-0005-0000-0000-0000983B0000}"/>
    <cellStyle name="쉼표 [0] 18 7 2" xfId="4616" xr:uid="{00000000-0005-0000-0000-0000993B0000}"/>
    <cellStyle name="쉼표 [0] 18 7 3" xfId="4617" xr:uid="{00000000-0005-0000-0000-00009A3B0000}"/>
    <cellStyle name="쉼표 [0] 18 7_뇌출혈특약(갱신형)" xfId="12579" xr:uid="{00000000-0005-0000-0000-00009B3B0000}"/>
    <cellStyle name="쉼표 [0] 18 8" xfId="4618" xr:uid="{00000000-0005-0000-0000-00009C3B0000}"/>
    <cellStyle name="쉼표 [0] 18 8 2" xfId="4619" xr:uid="{00000000-0005-0000-0000-00009D3B0000}"/>
    <cellStyle name="쉼표 [0] 18 8 3" xfId="4620" xr:uid="{00000000-0005-0000-0000-00009E3B0000}"/>
    <cellStyle name="쉼표 [0] 18 8_뇌출혈특약(갱신형)" xfId="12580" xr:uid="{00000000-0005-0000-0000-00009F3B0000}"/>
    <cellStyle name="쉼표 [0] 18 9" xfId="4621" xr:uid="{00000000-0005-0000-0000-0000A03B0000}"/>
    <cellStyle name="쉼표 [0] 18 9 2" xfId="4622" xr:uid="{00000000-0005-0000-0000-0000A13B0000}"/>
    <cellStyle name="쉼표 [0] 18 9 3" xfId="4623" xr:uid="{00000000-0005-0000-0000-0000A23B0000}"/>
    <cellStyle name="쉼표 [0] 18 9_뇌출혈특약(갱신형)" xfId="12581" xr:uid="{00000000-0005-0000-0000-0000A33B0000}"/>
    <cellStyle name="쉼표 [0] 18_뇌출혈특약(갱신형)" xfId="12582" xr:uid="{00000000-0005-0000-0000-0000A43B0000}"/>
    <cellStyle name="쉼표 [0] 19" xfId="64" xr:uid="{00000000-0005-0000-0000-0000A53B0000}"/>
    <cellStyle name="쉼표 [0] 19 10" xfId="4624" xr:uid="{00000000-0005-0000-0000-0000A63B0000}"/>
    <cellStyle name="쉼표 [0] 19 10 2" xfId="4625" xr:uid="{00000000-0005-0000-0000-0000A73B0000}"/>
    <cellStyle name="쉼표 [0] 19 10 3" xfId="4626" xr:uid="{00000000-0005-0000-0000-0000A83B0000}"/>
    <cellStyle name="쉼표 [0] 19 10_뇌출혈특약(갱신형)" xfId="12583" xr:uid="{00000000-0005-0000-0000-0000A93B0000}"/>
    <cellStyle name="쉼표 [0] 19 11" xfId="4627" xr:uid="{00000000-0005-0000-0000-0000AA3B0000}"/>
    <cellStyle name="쉼표 [0] 19 11 2" xfId="4628" xr:uid="{00000000-0005-0000-0000-0000AB3B0000}"/>
    <cellStyle name="쉼표 [0] 19 11_뇌출혈특약(갱신형)" xfId="12584" xr:uid="{00000000-0005-0000-0000-0000AC3B0000}"/>
    <cellStyle name="쉼표 [0] 19 12" xfId="4629" xr:uid="{00000000-0005-0000-0000-0000AD3B0000}"/>
    <cellStyle name="쉼표 [0] 19 12 2" xfId="4630" xr:uid="{00000000-0005-0000-0000-0000AE3B0000}"/>
    <cellStyle name="쉼표 [0] 19 12_뇌출혈특약(갱신형)" xfId="12585" xr:uid="{00000000-0005-0000-0000-0000AF3B0000}"/>
    <cellStyle name="쉼표 [0] 19 13" xfId="4631" xr:uid="{00000000-0005-0000-0000-0000B03B0000}"/>
    <cellStyle name="쉼표 [0] 19 13 2" xfId="4632" xr:uid="{00000000-0005-0000-0000-0000B13B0000}"/>
    <cellStyle name="쉼표 [0] 19 13_뇌출혈특약(갱신형)" xfId="12586" xr:uid="{00000000-0005-0000-0000-0000B23B0000}"/>
    <cellStyle name="쉼표 [0] 19 14" xfId="4633" xr:uid="{00000000-0005-0000-0000-0000B33B0000}"/>
    <cellStyle name="쉼표 [0] 19 14 2" xfId="4634" xr:uid="{00000000-0005-0000-0000-0000B43B0000}"/>
    <cellStyle name="쉼표 [0] 19 14_뇌출혈특약(갱신형)" xfId="12587" xr:uid="{00000000-0005-0000-0000-0000B53B0000}"/>
    <cellStyle name="쉼표 [0] 19 15" xfId="4635" xr:uid="{00000000-0005-0000-0000-0000B63B0000}"/>
    <cellStyle name="쉼표 [0] 19 16" xfId="4636" xr:uid="{00000000-0005-0000-0000-0000B73B0000}"/>
    <cellStyle name="쉼표 [0] 19 2" xfId="4637" xr:uid="{00000000-0005-0000-0000-0000B83B0000}"/>
    <cellStyle name="쉼표 [0] 19 2 2" xfId="4638" xr:uid="{00000000-0005-0000-0000-0000B93B0000}"/>
    <cellStyle name="쉼표 [0] 19 2 2 2" xfId="4639" xr:uid="{00000000-0005-0000-0000-0000BA3B0000}"/>
    <cellStyle name="쉼표 [0] 19 2 2 2 2" xfId="4640" xr:uid="{00000000-0005-0000-0000-0000BB3B0000}"/>
    <cellStyle name="쉼표 [0] 19 2 2 2 2 2" xfId="4641" xr:uid="{00000000-0005-0000-0000-0000BC3B0000}"/>
    <cellStyle name="쉼표 [0] 19 2 2 2 2 3" xfId="4642" xr:uid="{00000000-0005-0000-0000-0000BD3B0000}"/>
    <cellStyle name="쉼표 [0] 19 2 2 2 2_뇌출혈특약(갱신형)" xfId="12588" xr:uid="{00000000-0005-0000-0000-0000BE3B0000}"/>
    <cellStyle name="쉼표 [0] 19 2 2 2 3" xfId="4643" xr:uid="{00000000-0005-0000-0000-0000BF3B0000}"/>
    <cellStyle name="쉼표 [0] 19 2 2 2 4" xfId="4644" xr:uid="{00000000-0005-0000-0000-0000C03B0000}"/>
    <cellStyle name="쉼표 [0] 19 2 2 2_뇌출혈특약(갱신형)" xfId="12589" xr:uid="{00000000-0005-0000-0000-0000C13B0000}"/>
    <cellStyle name="쉼표 [0] 19 2 2 3" xfId="4645" xr:uid="{00000000-0005-0000-0000-0000C23B0000}"/>
    <cellStyle name="쉼표 [0] 19 2 2 3 2" xfId="4646" xr:uid="{00000000-0005-0000-0000-0000C33B0000}"/>
    <cellStyle name="쉼표 [0] 19 2 2 3 2 2" xfId="4647" xr:uid="{00000000-0005-0000-0000-0000C43B0000}"/>
    <cellStyle name="쉼표 [0] 19 2 2 3 2 3" xfId="4648" xr:uid="{00000000-0005-0000-0000-0000C53B0000}"/>
    <cellStyle name="쉼표 [0] 19 2 2 3 2_뇌출혈특약(갱신형)" xfId="12590" xr:uid="{00000000-0005-0000-0000-0000C63B0000}"/>
    <cellStyle name="쉼표 [0] 19 2 2 3 3" xfId="4649" xr:uid="{00000000-0005-0000-0000-0000C73B0000}"/>
    <cellStyle name="쉼표 [0] 19 2 2 3 4" xfId="4650" xr:uid="{00000000-0005-0000-0000-0000C83B0000}"/>
    <cellStyle name="쉼표 [0] 19 2 2 3_뇌출혈특약(갱신형)" xfId="12591" xr:uid="{00000000-0005-0000-0000-0000C93B0000}"/>
    <cellStyle name="쉼표 [0] 19 2 2 4" xfId="4651" xr:uid="{00000000-0005-0000-0000-0000CA3B0000}"/>
    <cellStyle name="쉼표 [0] 19 2 2 4 2" xfId="4652" xr:uid="{00000000-0005-0000-0000-0000CB3B0000}"/>
    <cellStyle name="쉼표 [0] 19 2 2 4 3" xfId="4653" xr:uid="{00000000-0005-0000-0000-0000CC3B0000}"/>
    <cellStyle name="쉼표 [0] 19 2 2 4_뇌출혈특약(갱신형)" xfId="12592" xr:uid="{00000000-0005-0000-0000-0000CD3B0000}"/>
    <cellStyle name="쉼표 [0] 19 2 2 5" xfId="4654" xr:uid="{00000000-0005-0000-0000-0000CE3B0000}"/>
    <cellStyle name="쉼표 [0] 19 2 2 5 2" xfId="4655" xr:uid="{00000000-0005-0000-0000-0000CF3B0000}"/>
    <cellStyle name="쉼표 [0] 19 2 2 5 3" xfId="4656" xr:uid="{00000000-0005-0000-0000-0000D03B0000}"/>
    <cellStyle name="쉼표 [0] 19 2 2 5_뇌출혈특약(갱신형)" xfId="12593" xr:uid="{00000000-0005-0000-0000-0000D13B0000}"/>
    <cellStyle name="쉼표 [0] 19 2 2 6" xfId="4657" xr:uid="{00000000-0005-0000-0000-0000D23B0000}"/>
    <cellStyle name="쉼표 [0] 19 2 2 7" xfId="4658" xr:uid="{00000000-0005-0000-0000-0000D33B0000}"/>
    <cellStyle name="쉼표 [0] 19 2 2_뇌출혈특약(갱신형)" xfId="12594" xr:uid="{00000000-0005-0000-0000-0000D43B0000}"/>
    <cellStyle name="쉼표 [0] 19 2 3" xfId="4659" xr:uid="{00000000-0005-0000-0000-0000D53B0000}"/>
    <cellStyle name="쉼표 [0] 19 2 3 2" xfId="4660" xr:uid="{00000000-0005-0000-0000-0000D63B0000}"/>
    <cellStyle name="쉼표 [0] 19 2 3 2 2" xfId="4661" xr:uid="{00000000-0005-0000-0000-0000D73B0000}"/>
    <cellStyle name="쉼표 [0] 19 2 3 2 3" xfId="4662" xr:uid="{00000000-0005-0000-0000-0000D83B0000}"/>
    <cellStyle name="쉼표 [0] 19 2 3 2_뇌출혈특약(갱신형)" xfId="12595" xr:uid="{00000000-0005-0000-0000-0000D93B0000}"/>
    <cellStyle name="쉼표 [0] 19 2 3 3" xfId="4663" xr:uid="{00000000-0005-0000-0000-0000DA3B0000}"/>
    <cellStyle name="쉼표 [0] 19 2 3 4" xfId="4664" xr:uid="{00000000-0005-0000-0000-0000DB3B0000}"/>
    <cellStyle name="쉼표 [0] 19 2 3_뇌출혈특약(갱신형)" xfId="12596" xr:uid="{00000000-0005-0000-0000-0000DC3B0000}"/>
    <cellStyle name="쉼표 [0] 19 2 4" xfId="4665" xr:uid="{00000000-0005-0000-0000-0000DD3B0000}"/>
    <cellStyle name="쉼표 [0] 19 2 4 2" xfId="4666" xr:uid="{00000000-0005-0000-0000-0000DE3B0000}"/>
    <cellStyle name="쉼표 [0] 19 2 4 2 2" xfId="4667" xr:uid="{00000000-0005-0000-0000-0000DF3B0000}"/>
    <cellStyle name="쉼표 [0] 19 2 4 2 3" xfId="4668" xr:uid="{00000000-0005-0000-0000-0000E03B0000}"/>
    <cellStyle name="쉼표 [0] 19 2 4 2_뇌출혈특약(갱신형)" xfId="12597" xr:uid="{00000000-0005-0000-0000-0000E13B0000}"/>
    <cellStyle name="쉼표 [0] 19 2 4 3" xfId="4669" xr:uid="{00000000-0005-0000-0000-0000E23B0000}"/>
    <cellStyle name="쉼표 [0] 19 2 4 4" xfId="4670" xr:uid="{00000000-0005-0000-0000-0000E33B0000}"/>
    <cellStyle name="쉼표 [0] 19 2 4_뇌출혈특약(갱신형)" xfId="12598" xr:uid="{00000000-0005-0000-0000-0000E43B0000}"/>
    <cellStyle name="쉼표 [0] 19 2 5" xfId="4671" xr:uid="{00000000-0005-0000-0000-0000E53B0000}"/>
    <cellStyle name="쉼표 [0] 19 2 5 2" xfId="4672" xr:uid="{00000000-0005-0000-0000-0000E63B0000}"/>
    <cellStyle name="쉼표 [0] 19 2 5 3" xfId="4673" xr:uid="{00000000-0005-0000-0000-0000E73B0000}"/>
    <cellStyle name="쉼표 [0] 19 2 5_뇌출혈특약(갱신형)" xfId="12599" xr:uid="{00000000-0005-0000-0000-0000E83B0000}"/>
    <cellStyle name="쉼표 [0] 19 2 6" xfId="4674" xr:uid="{00000000-0005-0000-0000-0000E93B0000}"/>
    <cellStyle name="쉼표 [0] 19 2 6 2" xfId="4675" xr:uid="{00000000-0005-0000-0000-0000EA3B0000}"/>
    <cellStyle name="쉼표 [0] 19 2 6 3" xfId="4676" xr:uid="{00000000-0005-0000-0000-0000EB3B0000}"/>
    <cellStyle name="쉼표 [0] 19 2 6_뇌출혈특약(갱신형)" xfId="12600" xr:uid="{00000000-0005-0000-0000-0000EC3B0000}"/>
    <cellStyle name="쉼표 [0] 19 2 7" xfId="4677" xr:uid="{00000000-0005-0000-0000-0000ED3B0000}"/>
    <cellStyle name="쉼표 [0] 19 2 8" xfId="4678" xr:uid="{00000000-0005-0000-0000-0000EE3B0000}"/>
    <cellStyle name="쉼표 [0] 19 2_뇌출혈특약(갱신형)" xfId="12601" xr:uid="{00000000-0005-0000-0000-0000EF3B0000}"/>
    <cellStyle name="쉼표 [0] 19 3" xfId="4679" xr:uid="{00000000-0005-0000-0000-0000F03B0000}"/>
    <cellStyle name="쉼표 [0] 19 3 2" xfId="4680" xr:uid="{00000000-0005-0000-0000-0000F13B0000}"/>
    <cellStyle name="쉼표 [0] 19 3 2 2" xfId="4681" xr:uid="{00000000-0005-0000-0000-0000F23B0000}"/>
    <cellStyle name="쉼표 [0] 19 3 2 2 2" xfId="4682" xr:uid="{00000000-0005-0000-0000-0000F33B0000}"/>
    <cellStyle name="쉼표 [0] 19 3 2 2 3" xfId="4683" xr:uid="{00000000-0005-0000-0000-0000F43B0000}"/>
    <cellStyle name="쉼표 [0] 19 3 2 2_뇌출혈특약(갱신형)" xfId="12602" xr:uid="{00000000-0005-0000-0000-0000F53B0000}"/>
    <cellStyle name="쉼표 [0] 19 3 2 3" xfId="4684" xr:uid="{00000000-0005-0000-0000-0000F63B0000}"/>
    <cellStyle name="쉼표 [0] 19 3 2 4" xfId="4685" xr:uid="{00000000-0005-0000-0000-0000F73B0000}"/>
    <cellStyle name="쉼표 [0] 19 3 2_뇌출혈특약(갱신형)" xfId="12603" xr:uid="{00000000-0005-0000-0000-0000F83B0000}"/>
    <cellStyle name="쉼표 [0] 19 3 3" xfId="4686" xr:uid="{00000000-0005-0000-0000-0000F93B0000}"/>
    <cellStyle name="쉼표 [0] 19 3 3 2" xfId="4687" xr:uid="{00000000-0005-0000-0000-0000FA3B0000}"/>
    <cellStyle name="쉼표 [0] 19 3 3 2 2" xfId="4688" xr:uid="{00000000-0005-0000-0000-0000FB3B0000}"/>
    <cellStyle name="쉼표 [0] 19 3 3 2 3" xfId="4689" xr:uid="{00000000-0005-0000-0000-0000FC3B0000}"/>
    <cellStyle name="쉼표 [0] 19 3 3 2_뇌출혈특약(갱신형)" xfId="12604" xr:uid="{00000000-0005-0000-0000-0000FD3B0000}"/>
    <cellStyle name="쉼표 [0] 19 3 3 3" xfId="4690" xr:uid="{00000000-0005-0000-0000-0000FE3B0000}"/>
    <cellStyle name="쉼표 [0] 19 3 3 4" xfId="4691" xr:uid="{00000000-0005-0000-0000-0000FF3B0000}"/>
    <cellStyle name="쉼표 [0] 19 3 3_뇌출혈특약(갱신형)" xfId="12605" xr:uid="{00000000-0005-0000-0000-0000003C0000}"/>
    <cellStyle name="쉼표 [0] 19 3 4" xfId="4692" xr:uid="{00000000-0005-0000-0000-0000013C0000}"/>
    <cellStyle name="쉼표 [0] 19 3 4 2" xfId="4693" xr:uid="{00000000-0005-0000-0000-0000023C0000}"/>
    <cellStyle name="쉼표 [0] 19 3 4 3" xfId="4694" xr:uid="{00000000-0005-0000-0000-0000033C0000}"/>
    <cellStyle name="쉼표 [0] 19 3 4_뇌출혈특약(갱신형)" xfId="12606" xr:uid="{00000000-0005-0000-0000-0000043C0000}"/>
    <cellStyle name="쉼표 [0] 19 3 5" xfId="4695" xr:uid="{00000000-0005-0000-0000-0000053C0000}"/>
    <cellStyle name="쉼표 [0] 19 3 5 2" xfId="4696" xr:uid="{00000000-0005-0000-0000-0000063C0000}"/>
    <cellStyle name="쉼표 [0] 19 3 5 3" xfId="4697" xr:uid="{00000000-0005-0000-0000-0000073C0000}"/>
    <cellStyle name="쉼표 [0] 19 3 5_뇌출혈특약(갱신형)" xfId="12607" xr:uid="{00000000-0005-0000-0000-0000083C0000}"/>
    <cellStyle name="쉼표 [0] 19 3 6" xfId="4698" xr:uid="{00000000-0005-0000-0000-0000093C0000}"/>
    <cellStyle name="쉼표 [0] 19 3 7" xfId="4699" xr:uid="{00000000-0005-0000-0000-00000A3C0000}"/>
    <cellStyle name="쉼표 [0] 19 3_뇌출혈특약(갱신형)" xfId="12608" xr:uid="{00000000-0005-0000-0000-00000B3C0000}"/>
    <cellStyle name="쉼표 [0] 19 4" xfId="4700" xr:uid="{00000000-0005-0000-0000-00000C3C0000}"/>
    <cellStyle name="쉼표 [0] 19 4 2" xfId="4701" xr:uid="{00000000-0005-0000-0000-00000D3C0000}"/>
    <cellStyle name="쉼표 [0] 19 4 2 2" xfId="4702" xr:uid="{00000000-0005-0000-0000-00000E3C0000}"/>
    <cellStyle name="쉼표 [0] 19 4 2 2 2" xfId="4703" xr:uid="{00000000-0005-0000-0000-00000F3C0000}"/>
    <cellStyle name="쉼표 [0] 19 4 2 2 3" xfId="4704" xr:uid="{00000000-0005-0000-0000-0000103C0000}"/>
    <cellStyle name="쉼표 [0] 19 4 2 2_뇌출혈특약(갱신형)" xfId="12609" xr:uid="{00000000-0005-0000-0000-0000113C0000}"/>
    <cellStyle name="쉼표 [0] 19 4 2 3" xfId="4705" xr:uid="{00000000-0005-0000-0000-0000123C0000}"/>
    <cellStyle name="쉼표 [0] 19 4 2 4" xfId="4706" xr:uid="{00000000-0005-0000-0000-0000133C0000}"/>
    <cellStyle name="쉼표 [0] 19 4 2_뇌출혈특약(갱신형)" xfId="12610" xr:uid="{00000000-0005-0000-0000-0000143C0000}"/>
    <cellStyle name="쉼표 [0] 19 4 3" xfId="4707" xr:uid="{00000000-0005-0000-0000-0000153C0000}"/>
    <cellStyle name="쉼표 [0] 19 4 3 2" xfId="4708" xr:uid="{00000000-0005-0000-0000-0000163C0000}"/>
    <cellStyle name="쉼표 [0] 19 4 3 2 2" xfId="4709" xr:uid="{00000000-0005-0000-0000-0000173C0000}"/>
    <cellStyle name="쉼표 [0] 19 4 3 2 3" xfId="4710" xr:uid="{00000000-0005-0000-0000-0000183C0000}"/>
    <cellStyle name="쉼표 [0] 19 4 3 2_뇌출혈특약(갱신형)" xfId="12611" xr:uid="{00000000-0005-0000-0000-0000193C0000}"/>
    <cellStyle name="쉼표 [0] 19 4 3 3" xfId="4711" xr:uid="{00000000-0005-0000-0000-00001A3C0000}"/>
    <cellStyle name="쉼표 [0] 19 4 3 4" xfId="4712" xr:uid="{00000000-0005-0000-0000-00001B3C0000}"/>
    <cellStyle name="쉼표 [0] 19 4 3_뇌출혈특약(갱신형)" xfId="12612" xr:uid="{00000000-0005-0000-0000-00001C3C0000}"/>
    <cellStyle name="쉼표 [0] 19 4 4" xfId="4713" xr:uid="{00000000-0005-0000-0000-00001D3C0000}"/>
    <cellStyle name="쉼표 [0] 19 4 4 2" xfId="4714" xr:uid="{00000000-0005-0000-0000-00001E3C0000}"/>
    <cellStyle name="쉼표 [0] 19 4 4 3" xfId="4715" xr:uid="{00000000-0005-0000-0000-00001F3C0000}"/>
    <cellStyle name="쉼표 [0] 19 4 4_뇌출혈특약(갱신형)" xfId="12613" xr:uid="{00000000-0005-0000-0000-0000203C0000}"/>
    <cellStyle name="쉼표 [0] 19 4 5" xfId="4716" xr:uid="{00000000-0005-0000-0000-0000213C0000}"/>
    <cellStyle name="쉼표 [0] 19 4 5 2" xfId="4717" xr:uid="{00000000-0005-0000-0000-0000223C0000}"/>
    <cellStyle name="쉼표 [0] 19 4 5 3" xfId="4718" xr:uid="{00000000-0005-0000-0000-0000233C0000}"/>
    <cellStyle name="쉼표 [0] 19 4 5_뇌출혈특약(갱신형)" xfId="12614" xr:uid="{00000000-0005-0000-0000-0000243C0000}"/>
    <cellStyle name="쉼표 [0] 19 4 6" xfId="4719" xr:uid="{00000000-0005-0000-0000-0000253C0000}"/>
    <cellStyle name="쉼표 [0] 19 4 7" xfId="4720" xr:uid="{00000000-0005-0000-0000-0000263C0000}"/>
    <cellStyle name="쉼표 [0] 19 4_뇌출혈특약(갱신형)" xfId="12615" xr:uid="{00000000-0005-0000-0000-0000273C0000}"/>
    <cellStyle name="쉼표 [0] 19 5" xfId="4721" xr:uid="{00000000-0005-0000-0000-0000283C0000}"/>
    <cellStyle name="쉼표 [0] 19 5 2" xfId="4722" xr:uid="{00000000-0005-0000-0000-0000293C0000}"/>
    <cellStyle name="쉼표 [0] 19 5 2 2" xfId="4723" xr:uid="{00000000-0005-0000-0000-00002A3C0000}"/>
    <cellStyle name="쉼표 [0] 19 5 2 3" xfId="4724" xr:uid="{00000000-0005-0000-0000-00002B3C0000}"/>
    <cellStyle name="쉼표 [0] 19 5 2_뇌출혈특약(갱신형)" xfId="12616" xr:uid="{00000000-0005-0000-0000-00002C3C0000}"/>
    <cellStyle name="쉼표 [0] 19 5 3" xfId="4725" xr:uid="{00000000-0005-0000-0000-00002D3C0000}"/>
    <cellStyle name="쉼표 [0] 19 5 4" xfId="4726" xr:uid="{00000000-0005-0000-0000-00002E3C0000}"/>
    <cellStyle name="쉼표 [0] 19 5_뇌출혈특약(갱신형)" xfId="12617" xr:uid="{00000000-0005-0000-0000-00002F3C0000}"/>
    <cellStyle name="쉼표 [0] 19 6" xfId="4727" xr:uid="{00000000-0005-0000-0000-0000303C0000}"/>
    <cellStyle name="쉼표 [0] 19 6 2" xfId="4728" xr:uid="{00000000-0005-0000-0000-0000313C0000}"/>
    <cellStyle name="쉼표 [0] 19 6 2 2" xfId="4729" xr:uid="{00000000-0005-0000-0000-0000323C0000}"/>
    <cellStyle name="쉼표 [0] 19 6 2 3" xfId="4730" xr:uid="{00000000-0005-0000-0000-0000333C0000}"/>
    <cellStyle name="쉼표 [0] 19 6 2_뇌출혈특약(갱신형)" xfId="12618" xr:uid="{00000000-0005-0000-0000-0000343C0000}"/>
    <cellStyle name="쉼표 [0] 19 6 3" xfId="4731" xr:uid="{00000000-0005-0000-0000-0000353C0000}"/>
    <cellStyle name="쉼표 [0] 19 6 4" xfId="4732" xr:uid="{00000000-0005-0000-0000-0000363C0000}"/>
    <cellStyle name="쉼표 [0] 19 6_뇌출혈특약(갱신형)" xfId="12619" xr:uid="{00000000-0005-0000-0000-0000373C0000}"/>
    <cellStyle name="쉼표 [0] 19 7" xfId="4733" xr:uid="{00000000-0005-0000-0000-0000383C0000}"/>
    <cellStyle name="쉼표 [0] 19 7 2" xfId="4734" xr:uid="{00000000-0005-0000-0000-0000393C0000}"/>
    <cellStyle name="쉼표 [0] 19 7 3" xfId="4735" xr:uid="{00000000-0005-0000-0000-00003A3C0000}"/>
    <cellStyle name="쉼표 [0] 19 7_뇌출혈특약(갱신형)" xfId="12620" xr:uid="{00000000-0005-0000-0000-00003B3C0000}"/>
    <cellStyle name="쉼표 [0] 19 8" xfId="4736" xr:uid="{00000000-0005-0000-0000-00003C3C0000}"/>
    <cellStyle name="쉼표 [0] 19 8 2" xfId="4737" xr:uid="{00000000-0005-0000-0000-00003D3C0000}"/>
    <cellStyle name="쉼표 [0] 19 8 3" xfId="4738" xr:uid="{00000000-0005-0000-0000-00003E3C0000}"/>
    <cellStyle name="쉼표 [0] 19 8_뇌출혈특약(갱신형)" xfId="12621" xr:uid="{00000000-0005-0000-0000-00003F3C0000}"/>
    <cellStyle name="쉼표 [0] 19 9" xfId="4739" xr:uid="{00000000-0005-0000-0000-0000403C0000}"/>
    <cellStyle name="쉼표 [0] 19 9 2" xfId="4740" xr:uid="{00000000-0005-0000-0000-0000413C0000}"/>
    <cellStyle name="쉼표 [0] 19 9 3" xfId="4741" xr:uid="{00000000-0005-0000-0000-0000423C0000}"/>
    <cellStyle name="쉼표 [0] 19 9_뇌출혈특약(갱신형)" xfId="12622" xr:uid="{00000000-0005-0000-0000-0000433C0000}"/>
    <cellStyle name="쉼표 [0] 19_뇌출혈특약(갱신형)" xfId="12623" xr:uid="{00000000-0005-0000-0000-0000443C0000}"/>
    <cellStyle name="쉼표 [0] 2" xfId="7" xr:uid="{00000000-0005-0000-0000-0000453C0000}"/>
    <cellStyle name="쉼표 [0] 2 10" xfId="4742" xr:uid="{00000000-0005-0000-0000-0000463C0000}"/>
    <cellStyle name="쉼표 [0] 2 11" xfId="4743" xr:uid="{00000000-0005-0000-0000-0000473C0000}"/>
    <cellStyle name="쉼표 [0] 2 12" xfId="4744" xr:uid="{00000000-0005-0000-0000-0000483C0000}"/>
    <cellStyle name="쉼표 [0] 2 13" xfId="17126" xr:uid="{00000000-0005-0000-0000-0000493C0000}"/>
    <cellStyle name="쉼표 [0] 2 13 2" xfId="32358" xr:uid="{00000000-0005-0000-0000-00004A3C0000}"/>
    <cellStyle name="쉼표 [0] 2 13 3" xfId="17329" xr:uid="{00000000-0005-0000-0000-00004B3C0000}"/>
    <cellStyle name="쉼표 [0] 2 14" xfId="17127" xr:uid="{00000000-0005-0000-0000-00004C3C0000}"/>
    <cellStyle name="쉼표 [0] 2 15" xfId="32381" xr:uid="{00000000-0005-0000-0000-00004D3C0000}"/>
    <cellStyle name="쉼표 [0] 2 15 2" xfId="32382" xr:uid="{00000000-0005-0000-0000-00004E3C0000}"/>
    <cellStyle name="쉼표 [0] 2 2" xfId="25" xr:uid="{00000000-0005-0000-0000-00004F3C0000}"/>
    <cellStyle name="쉼표 [0] 2 2 2" xfId="12037" xr:uid="{00000000-0005-0000-0000-0000503C0000}"/>
    <cellStyle name="쉼표 [0] 2 2 3" xfId="17128" xr:uid="{00000000-0005-0000-0000-0000513C0000}"/>
    <cellStyle name="쉼표 [0] 2 2 3 2" xfId="32359" xr:uid="{00000000-0005-0000-0000-0000523C0000}"/>
    <cellStyle name="쉼표 [0] 2 2 3 3" xfId="17330" xr:uid="{00000000-0005-0000-0000-0000533C0000}"/>
    <cellStyle name="쉼표 [0] 2 23 5" xfId="32374" xr:uid="{00000000-0005-0000-0000-0000543C0000}"/>
    <cellStyle name="쉼표 [0] 2 3" xfId="4745" xr:uid="{00000000-0005-0000-0000-0000553C0000}"/>
    <cellStyle name="쉼표 [0] 2 3 2" xfId="4746" xr:uid="{00000000-0005-0000-0000-0000563C0000}"/>
    <cellStyle name="쉼표 [0] 2 3 3" xfId="4747" xr:uid="{00000000-0005-0000-0000-0000573C0000}"/>
    <cellStyle name="쉼표 [0] 2 3 3 2" xfId="4748" xr:uid="{00000000-0005-0000-0000-0000583C0000}"/>
    <cellStyle name="쉼표 [0] 2 3 3 3" xfId="4749" xr:uid="{00000000-0005-0000-0000-0000593C0000}"/>
    <cellStyle name="쉼표 [0] 2 3 3_뇌출혈특약(갱신형)" xfId="12624" xr:uid="{00000000-0005-0000-0000-00005A3C0000}"/>
    <cellStyle name="쉼표 [0] 2 3 4" xfId="17969" xr:uid="{00000000-0005-0000-0000-00005B3C0000}"/>
    <cellStyle name="쉼표 [0] 2 3 5" xfId="17970" xr:uid="{00000000-0005-0000-0000-00005C3C0000}"/>
    <cellStyle name="쉼표 [0] 2 3_뇌출혈특약(갱신형)" xfId="12625" xr:uid="{00000000-0005-0000-0000-00005D3C0000}"/>
    <cellStyle name="쉼표 [0] 2 4" xfId="4750" xr:uid="{00000000-0005-0000-0000-00005E3C0000}"/>
    <cellStyle name="쉼표 [0] 2 4 10" xfId="4751" xr:uid="{00000000-0005-0000-0000-00005F3C0000}"/>
    <cellStyle name="쉼표 [0] 2 4 11" xfId="17971" xr:uid="{00000000-0005-0000-0000-0000603C0000}"/>
    <cellStyle name="쉼표 [0] 2 4 12" xfId="17972" xr:uid="{00000000-0005-0000-0000-0000613C0000}"/>
    <cellStyle name="쉼표 [0] 2 4 2" xfId="4752" xr:uid="{00000000-0005-0000-0000-0000623C0000}"/>
    <cellStyle name="쉼표 [0] 2 4 2 2" xfId="4753" xr:uid="{00000000-0005-0000-0000-0000633C0000}"/>
    <cellStyle name="쉼표 [0] 2 4 2 2 2" xfId="4754" xr:uid="{00000000-0005-0000-0000-0000643C0000}"/>
    <cellStyle name="쉼표 [0] 2 4 2 2 3" xfId="4755" xr:uid="{00000000-0005-0000-0000-0000653C0000}"/>
    <cellStyle name="쉼표 [0] 2 4 2 2_뇌출혈특약(갱신형)" xfId="12626" xr:uid="{00000000-0005-0000-0000-0000663C0000}"/>
    <cellStyle name="쉼표 [0] 2 4 2 3" xfId="4756" xr:uid="{00000000-0005-0000-0000-0000673C0000}"/>
    <cellStyle name="쉼표 [0] 2 4 2 4" xfId="4757" xr:uid="{00000000-0005-0000-0000-0000683C0000}"/>
    <cellStyle name="쉼표 [0] 2 4 2_뇌출혈특약(갱신형)" xfId="12627" xr:uid="{00000000-0005-0000-0000-0000693C0000}"/>
    <cellStyle name="쉼표 [0] 2 4 3" xfId="4758" xr:uid="{00000000-0005-0000-0000-00006A3C0000}"/>
    <cellStyle name="쉼표 [0] 2 4 3 2" xfId="4759" xr:uid="{00000000-0005-0000-0000-00006B3C0000}"/>
    <cellStyle name="쉼표 [0] 2 4 3 2 2" xfId="4760" xr:uid="{00000000-0005-0000-0000-00006C3C0000}"/>
    <cellStyle name="쉼표 [0] 2 4 3 2 3" xfId="4761" xr:uid="{00000000-0005-0000-0000-00006D3C0000}"/>
    <cellStyle name="쉼표 [0] 2 4 3 2_뇌출혈특약(갱신형)" xfId="12628" xr:uid="{00000000-0005-0000-0000-00006E3C0000}"/>
    <cellStyle name="쉼표 [0] 2 4 3 3" xfId="4762" xr:uid="{00000000-0005-0000-0000-00006F3C0000}"/>
    <cellStyle name="쉼표 [0] 2 4 3 4" xfId="4763" xr:uid="{00000000-0005-0000-0000-0000703C0000}"/>
    <cellStyle name="쉼표 [0] 2 4 3_뇌출혈특약(갱신형)" xfId="12629" xr:uid="{00000000-0005-0000-0000-0000713C0000}"/>
    <cellStyle name="쉼표 [0] 2 4 4" xfId="4764" xr:uid="{00000000-0005-0000-0000-0000723C0000}"/>
    <cellStyle name="쉼표 [0] 2 4 4 2" xfId="4765" xr:uid="{00000000-0005-0000-0000-0000733C0000}"/>
    <cellStyle name="쉼표 [0] 2 4 4 3" xfId="4766" xr:uid="{00000000-0005-0000-0000-0000743C0000}"/>
    <cellStyle name="쉼표 [0] 2 4 4_뇌출혈특약(갱신형)" xfId="12630" xr:uid="{00000000-0005-0000-0000-0000753C0000}"/>
    <cellStyle name="쉼표 [0] 2 4 5" xfId="4767" xr:uid="{00000000-0005-0000-0000-0000763C0000}"/>
    <cellStyle name="쉼표 [0] 2 4 5 2" xfId="4768" xr:uid="{00000000-0005-0000-0000-0000773C0000}"/>
    <cellStyle name="쉼표 [0] 2 4 5 3" xfId="4769" xr:uid="{00000000-0005-0000-0000-0000783C0000}"/>
    <cellStyle name="쉼표 [0] 2 4 5_뇌출혈특약(갱신형)" xfId="12631" xr:uid="{00000000-0005-0000-0000-0000793C0000}"/>
    <cellStyle name="쉼표 [0] 2 4 6" xfId="4770" xr:uid="{00000000-0005-0000-0000-00007A3C0000}"/>
    <cellStyle name="쉼표 [0] 2 4 6 2" xfId="4771" xr:uid="{00000000-0005-0000-0000-00007B3C0000}"/>
    <cellStyle name="쉼표 [0] 2 4 6_뇌출혈특약(갱신형)" xfId="12632" xr:uid="{00000000-0005-0000-0000-00007C3C0000}"/>
    <cellStyle name="쉼표 [0] 2 4 7" xfId="4772" xr:uid="{00000000-0005-0000-0000-00007D3C0000}"/>
    <cellStyle name="쉼표 [0] 2 4 7 2" xfId="4773" xr:uid="{00000000-0005-0000-0000-00007E3C0000}"/>
    <cellStyle name="쉼표 [0] 2 4 7_뇌출혈특약(갱신형)" xfId="12633" xr:uid="{00000000-0005-0000-0000-00007F3C0000}"/>
    <cellStyle name="쉼표 [0] 2 4 8" xfId="4774" xr:uid="{00000000-0005-0000-0000-0000803C0000}"/>
    <cellStyle name="쉼표 [0] 2 4 8 2" xfId="4775" xr:uid="{00000000-0005-0000-0000-0000813C0000}"/>
    <cellStyle name="쉼표 [0] 2 4 8_뇌출혈특약(갱신형)" xfId="12634" xr:uid="{00000000-0005-0000-0000-0000823C0000}"/>
    <cellStyle name="쉼표 [0] 2 4 9" xfId="4776" xr:uid="{00000000-0005-0000-0000-0000833C0000}"/>
    <cellStyle name="쉼표 [0] 2 4_뇌출혈특약(갱신형)" xfId="12635" xr:uid="{00000000-0005-0000-0000-0000843C0000}"/>
    <cellStyle name="쉼표 [0] 2 5" xfId="4777" xr:uid="{00000000-0005-0000-0000-0000853C0000}"/>
    <cellStyle name="쉼표 [0] 2 5 2" xfId="4778" xr:uid="{00000000-0005-0000-0000-0000863C0000}"/>
    <cellStyle name="쉼표 [0] 2 5 2 2" xfId="4779" xr:uid="{00000000-0005-0000-0000-0000873C0000}"/>
    <cellStyle name="쉼표 [0] 2 5 2 2 2" xfId="4780" xr:uid="{00000000-0005-0000-0000-0000883C0000}"/>
    <cellStyle name="쉼표 [0] 2 5 2 2 3" xfId="4781" xr:uid="{00000000-0005-0000-0000-0000893C0000}"/>
    <cellStyle name="쉼표 [0] 2 5 2 2_뇌출혈특약(갱신형)" xfId="12636" xr:uid="{00000000-0005-0000-0000-00008A3C0000}"/>
    <cellStyle name="쉼표 [0] 2 5 2 3" xfId="4782" xr:uid="{00000000-0005-0000-0000-00008B3C0000}"/>
    <cellStyle name="쉼표 [0] 2 5 2 4" xfId="4783" xr:uid="{00000000-0005-0000-0000-00008C3C0000}"/>
    <cellStyle name="쉼표 [0] 2 5 2_뇌출혈특약(갱신형)" xfId="12637" xr:uid="{00000000-0005-0000-0000-00008D3C0000}"/>
    <cellStyle name="쉼표 [0] 2 5 3" xfId="4784" xr:uid="{00000000-0005-0000-0000-00008E3C0000}"/>
    <cellStyle name="쉼표 [0] 2 5 3 2" xfId="4785" xr:uid="{00000000-0005-0000-0000-00008F3C0000}"/>
    <cellStyle name="쉼표 [0] 2 5 3 2 2" xfId="4786" xr:uid="{00000000-0005-0000-0000-0000903C0000}"/>
    <cellStyle name="쉼표 [0] 2 5 3 2 3" xfId="4787" xr:uid="{00000000-0005-0000-0000-0000913C0000}"/>
    <cellStyle name="쉼표 [0] 2 5 3 2_뇌출혈특약(갱신형)" xfId="12638" xr:uid="{00000000-0005-0000-0000-0000923C0000}"/>
    <cellStyle name="쉼표 [0] 2 5 3 3" xfId="4788" xr:uid="{00000000-0005-0000-0000-0000933C0000}"/>
    <cellStyle name="쉼표 [0] 2 5 3 4" xfId="4789" xr:uid="{00000000-0005-0000-0000-0000943C0000}"/>
    <cellStyle name="쉼표 [0] 2 5 3_뇌출혈특약(갱신형)" xfId="12639" xr:uid="{00000000-0005-0000-0000-0000953C0000}"/>
    <cellStyle name="쉼표 [0] 2 5 4" xfId="4790" xr:uid="{00000000-0005-0000-0000-0000963C0000}"/>
    <cellStyle name="쉼표 [0] 2 5 4 2" xfId="4791" xr:uid="{00000000-0005-0000-0000-0000973C0000}"/>
    <cellStyle name="쉼표 [0] 2 5 4 3" xfId="4792" xr:uid="{00000000-0005-0000-0000-0000983C0000}"/>
    <cellStyle name="쉼표 [0] 2 5 4_뇌출혈특약(갱신형)" xfId="12640" xr:uid="{00000000-0005-0000-0000-0000993C0000}"/>
    <cellStyle name="쉼표 [0] 2 5 5" xfId="4793" xr:uid="{00000000-0005-0000-0000-00009A3C0000}"/>
    <cellStyle name="쉼표 [0] 2 5 5 2" xfId="4794" xr:uid="{00000000-0005-0000-0000-00009B3C0000}"/>
    <cellStyle name="쉼표 [0] 2 5 5 3" xfId="4795" xr:uid="{00000000-0005-0000-0000-00009C3C0000}"/>
    <cellStyle name="쉼표 [0] 2 5 5_뇌출혈특약(갱신형)" xfId="12641" xr:uid="{00000000-0005-0000-0000-00009D3C0000}"/>
    <cellStyle name="쉼표 [0] 2 5 6" xfId="4796" xr:uid="{00000000-0005-0000-0000-00009E3C0000}"/>
    <cellStyle name="쉼표 [0] 2 5 7" xfId="4797" xr:uid="{00000000-0005-0000-0000-00009F3C0000}"/>
    <cellStyle name="쉼표 [0] 2 5 8" xfId="17973" xr:uid="{00000000-0005-0000-0000-0000A03C0000}"/>
    <cellStyle name="쉼표 [0] 2 5 9" xfId="17974" xr:uid="{00000000-0005-0000-0000-0000A13C0000}"/>
    <cellStyle name="쉼표 [0] 2 5_뇌출혈특약(갱신형)" xfId="12642" xr:uid="{00000000-0005-0000-0000-0000A23C0000}"/>
    <cellStyle name="쉼표 [0] 2 6" xfId="4798" xr:uid="{00000000-0005-0000-0000-0000A33C0000}"/>
    <cellStyle name="쉼표 [0] 2 6 2" xfId="4799" xr:uid="{00000000-0005-0000-0000-0000A43C0000}"/>
    <cellStyle name="쉼표 [0] 2 6 2 2" xfId="4800" xr:uid="{00000000-0005-0000-0000-0000A53C0000}"/>
    <cellStyle name="쉼표 [0] 2 6 2 3" xfId="4801" xr:uid="{00000000-0005-0000-0000-0000A63C0000}"/>
    <cellStyle name="쉼표 [0] 2 6 2_뇌출혈특약(갱신형)" xfId="12643" xr:uid="{00000000-0005-0000-0000-0000A73C0000}"/>
    <cellStyle name="쉼표 [0] 2 6 3" xfId="4802" xr:uid="{00000000-0005-0000-0000-0000A83C0000}"/>
    <cellStyle name="쉼표 [0] 2 6 4" xfId="4803" xr:uid="{00000000-0005-0000-0000-0000A93C0000}"/>
    <cellStyle name="쉼표 [0] 2 6 5" xfId="17975" xr:uid="{00000000-0005-0000-0000-0000AA3C0000}"/>
    <cellStyle name="쉼표 [0] 2 6 6" xfId="17976" xr:uid="{00000000-0005-0000-0000-0000AB3C0000}"/>
    <cellStyle name="쉼표 [0] 2 6_뇌출혈특약(갱신형)" xfId="12644" xr:uid="{00000000-0005-0000-0000-0000AC3C0000}"/>
    <cellStyle name="쉼표 [0] 2 7" xfId="4804" xr:uid="{00000000-0005-0000-0000-0000AD3C0000}"/>
    <cellStyle name="쉼표 [0] 2 7 2" xfId="4805" xr:uid="{00000000-0005-0000-0000-0000AE3C0000}"/>
    <cellStyle name="쉼표 [0] 2 7 2 2" xfId="4806" xr:uid="{00000000-0005-0000-0000-0000AF3C0000}"/>
    <cellStyle name="쉼표 [0] 2 7 2 3" xfId="4807" xr:uid="{00000000-0005-0000-0000-0000B03C0000}"/>
    <cellStyle name="쉼표 [0] 2 7 2_뇌출혈특약(갱신형)" xfId="12645" xr:uid="{00000000-0005-0000-0000-0000B13C0000}"/>
    <cellStyle name="쉼표 [0] 2 7 3" xfId="4808" xr:uid="{00000000-0005-0000-0000-0000B23C0000}"/>
    <cellStyle name="쉼표 [0] 2 7 4" xfId="4809" xr:uid="{00000000-0005-0000-0000-0000B33C0000}"/>
    <cellStyle name="쉼표 [0] 2 7 5" xfId="17977" xr:uid="{00000000-0005-0000-0000-0000B43C0000}"/>
    <cellStyle name="쉼표 [0] 2 7 6" xfId="17978" xr:uid="{00000000-0005-0000-0000-0000B53C0000}"/>
    <cellStyle name="쉼표 [0] 2 7_뇌출혈특약(갱신형)" xfId="12646" xr:uid="{00000000-0005-0000-0000-0000B63C0000}"/>
    <cellStyle name="쉼표 [0] 2 8" xfId="4810" xr:uid="{00000000-0005-0000-0000-0000B73C0000}"/>
    <cellStyle name="쉼표 [0] 2 8 2" xfId="4811" xr:uid="{00000000-0005-0000-0000-0000B83C0000}"/>
    <cellStyle name="쉼표 [0] 2 8 3" xfId="4812" xr:uid="{00000000-0005-0000-0000-0000B93C0000}"/>
    <cellStyle name="쉼표 [0] 2 8 4" xfId="17979" xr:uid="{00000000-0005-0000-0000-0000BA3C0000}"/>
    <cellStyle name="쉼표 [0] 2 8 5" xfId="17980" xr:uid="{00000000-0005-0000-0000-0000BB3C0000}"/>
    <cellStyle name="쉼표 [0] 2 8_뇌출혈특약(갱신형)" xfId="12647" xr:uid="{00000000-0005-0000-0000-0000BC3C0000}"/>
    <cellStyle name="쉼표 [0] 2 9" xfId="4813" xr:uid="{00000000-0005-0000-0000-0000BD3C0000}"/>
    <cellStyle name="쉼표 [0] 2 9 2" xfId="4814" xr:uid="{00000000-0005-0000-0000-0000BE3C0000}"/>
    <cellStyle name="쉼표 [0] 2 9 3" xfId="4815" xr:uid="{00000000-0005-0000-0000-0000BF3C0000}"/>
    <cellStyle name="쉼표 [0] 2 9 4" xfId="17981" xr:uid="{00000000-0005-0000-0000-0000C03C0000}"/>
    <cellStyle name="쉼표 [0] 2 9 5" xfId="17982" xr:uid="{00000000-0005-0000-0000-0000C13C0000}"/>
    <cellStyle name="쉼표 [0] 2 9_뇌출혈특약(갱신형)" xfId="12648" xr:uid="{00000000-0005-0000-0000-0000C23C0000}"/>
    <cellStyle name="쉼표 [0] 2_뇌출혈특약(갱신형)" xfId="12649" xr:uid="{00000000-0005-0000-0000-0000C33C0000}"/>
    <cellStyle name="쉼표 [0] 20" xfId="65" xr:uid="{00000000-0005-0000-0000-0000C43C0000}"/>
    <cellStyle name="쉼표 [0] 20 10" xfId="4816" xr:uid="{00000000-0005-0000-0000-0000C53C0000}"/>
    <cellStyle name="쉼표 [0] 20 10 2" xfId="4817" xr:uid="{00000000-0005-0000-0000-0000C63C0000}"/>
    <cellStyle name="쉼표 [0] 20 10 3" xfId="4818" xr:uid="{00000000-0005-0000-0000-0000C73C0000}"/>
    <cellStyle name="쉼표 [0] 20 10_뇌출혈특약(갱신형)" xfId="12650" xr:uid="{00000000-0005-0000-0000-0000C83C0000}"/>
    <cellStyle name="쉼표 [0] 20 11" xfId="4819" xr:uid="{00000000-0005-0000-0000-0000C93C0000}"/>
    <cellStyle name="쉼표 [0] 20 11 2" xfId="4820" xr:uid="{00000000-0005-0000-0000-0000CA3C0000}"/>
    <cellStyle name="쉼표 [0] 20 11_뇌출혈특약(갱신형)" xfId="12651" xr:uid="{00000000-0005-0000-0000-0000CB3C0000}"/>
    <cellStyle name="쉼표 [0] 20 12" xfId="4821" xr:uid="{00000000-0005-0000-0000-0000CC3C0000}"/>
    <cellStyle name="쉼표 [0] 20 12 2" xfId="4822" xr:uid="{00000000-0005-0000-0000-0000CD3C0000}"/>
    <cellStyle name="쉼표 [0] 20 12_뇌출혈특약(갱신형)" xfId="12652" xr:uid="{00000000-0005-0000-0000-0000CE3C0000}"/>
    <cellStyle name="쉼표 [0] 20 13" xfId="4823" xr:uid="{00000000-0005-0000-0000-0000CF3C0000}"/>
    <cellStyle name="쉼표 [0] 20 13 2" xfId="4824" xr:uid="{00000000-0005-0000-0000-0000D03C0000}"/>
    <cellStyle name="쉼표 [0] 20 13_뇌출혈특약(갱신형)" xfId="12653" xr:uid="{00000000-0005-0000-0000-0000D13C0000}"/>
    <cellStyle name="쉼표 [0] 20 14" xfId="4825" xr:uid="{00000000-0005-0000-0000-0000D23C0000}"/>
    <cellStyle name="쉼표 [0] 20 14 2" xfId="4826" xr:uid="{00000000-0005-0000-0000-0000D33C0000}"/>
    <cellStyle name="쉼표 [0] 20 14_뇌출혈특약(갱신형)" xfId="12654" xr:uid="{00000000-0005-0000-0000-0000D43C0000}"/>
    <cellStyle name="쉼표 [0] 20 15" xfId="4827" xr:uid="{00000000-0005-0000-0000-0000D53C0000}"/>
    <cellStyle name="쉼표 [0] 20 16" xfId="4828" xr:uid="{00000000-0005-0000-0000-0000D63C0000}"/>
    <cellStyle name="쉼표 [0] 20 2" xfId="4829" xr:uid="{00000000-0005-0000-0000-0000D73C0000}"/>
    <cellStyle name="쉼표 [0] 20 2 2" xfId="4830" xr:uid="{00000000-0005-0000-0000-0000D83C0000}"/>
    <cellStyle name="쉼표 [0] 20 2 2 2" xfId="4831" xr:uid="{00000000-0005-0000-0000-0000D93C0000}"/>
    <cellStyle name="쉼표 [0] 20 2 2 2 2" xfId="4832" xr:uid="{00000000-0005-0000-0000-0000DA3C0000}"/>
    <cellStyle name="쉼표 [0] 20 2 2 2 2 2" xfId="4833" xr:uid="{00000000-0005-0000-0000-0000DB3C0000}"/>
    <cellStyle name="쉼표 [0] 20 2 2 2 2 3" xfId="4834" xr:uid="{00000000-0005-0000-0000-0000DC3C0000}"/>
    <cellStyle name="쉼표 [0] 20 2 2 2 2_뇌출혈특약(갱신형)" xfId="12655" xr:uid="{00000000-0005-0000-0000-0000DD3C0000}"/>
    <cellStyle name="쉼표 [0] 20 2 2 2 3" xfId="4835" xr:uid="{00000000-0005-0000-0000-0000DE3C0000}"/>
    <cellStyle name="쉼표 [0] 20 2 2 2 4" xfId="4836" xr:uid="{00000000-0005-0000-0000-0000DF3C0000}"/>
    <cellStyle name="쉼표 [0] 20 2 2 2_뇌출혈특약(갱신형)" xfId="12656" xr:uid="{00000000-0005-0000-0000-0000E03C0000}"/>
    <cellStyle name="쉼표 [0] 20 2 2 3" xfId="4837" xr:uid="{00000000-0005-0000-0000-0000E13C0000}"/>
    <cellStyle name="쉼표 [0] 20 2 2 3 2" xfId="4838" xr:uid="{00000000-0005-0000-0000-0000E23C0000}"/>
    <cellStyle name="쉼표 [0] 20 2 2 3 2 2" xfId="4839" xr:uid="{00000000-0005-0000-0000-0000E33C0000}"/>
    <cellStyle name="쉼표 [0] 20 2 2 3 2 3" xfId="4840" xr:uid="{00000000-0005-0000-0000-0000E43C0000}"/>
    <cellStyle name="쉼표 [0] 20 2 2 3 2_뇌출혈특약(갱신형)" xfId="12657" xr:uid="{00000000-0005-0000-0000-0000E53C0000}"/>
    <cellStyle name="쉼표 [0] 20 2 2 3 3" xfId="4841" xr:uid="{00000000-0005-0000-0000-0000E63C0000}"/>
    <cellStyle name="쉼표 [0] 20 2 2 3 4" xfId="4842" xr:uid="{00000000-0005-0000-0000-0000E73C0000}"/>
    <cellStyle name="쉼표 [0] 20 2 2 3_뇌출혈특약(갱신형)" xfId="12658" xr:uid="{00000000-0005-0000-0000-0000E83C0000}"/>
    <cellStyle name="쉼표 [0] 20 2 2 4" xfId="4843" xr:uid="{00000000-0005-0000-0000-0000E93C0000}"/>
    <cellStyle name="쉼표 [0] 20 2 2 4 2" xfId="4844" xr:uid="{00000000-0005-0000-0000-0000EA3C0000}"/>
    <cellStyle name="쉼표 [0] 20 2 2 4 3" xfId="4845" xr:uid="{00000000-0005-0000-0000-0000EB3C0000}"/>
    <cellStyle name="쉼표 [0] 20 2 2 4_뇌출혈특약(갱신형)" xfId="12659" xr:uid="{00000000-0005-0000-0000-0000EC3C0000}"/>
    <cellStyle name="쉼표 [0] 20 2 2 5" xfId="4846" xr:uid="{00000000-0005-0000-0000-0000ED3C0000}"/>
    <cellStyle name="쉼표 [0] 20 2 2 5 2" xfId="4847" xr:uid="{00000000-0005-0000-0000-0000EE3C0000}"/>
    <cellStyle name="쉼표 [0] 20 2 2 5 3" xfId="4848" xr:uid="{00000000-0005-0000-0000-0000EF3C0000}"/>
    <cellStyle name="쉼표 [0] 20 2 2 5_뇌출혈특약(갱신형)" xfId="12660" xr:uid="{00000000-0005-0000-0000-0000F03C0000}"/>
    <cellStyle name="쉼표 [0] 20 2 2 6" xfId="4849" xr:uid="{00000000-0005-0000-0000-0000F13C0000}"/>
    <cellStyle name="쉼표 [0] 20 2 2 7" xfId="4850" xr:uid="{00000000-0005-0000-0000-0000F23C0000}"/>
    <cellStyle name="쉼표 [0] 20 2 2_뇌출혈특약(갱신형)" xfId="12661" xr:uid="{00000000-0005-0000-0000-0000F33C0000}"/>
    <cellStyle name="쉼표 [0] 20 2 3" xfId="4851" xr:uid="{00000000-0005-0000-0000-0000F43C0000}"/>
    <cellStyle name="쉼표 [0] 20 2 3 2" xfId="4852" xr:uid="{00000000-0005-0000-0000-0000F53C0000}"/>
    <cellStyle name="쉼표 [0] 20 2 3 2 2" xfId="4853" xr:uid="{00000000-0005-0000-0000-0000F63C0000}"/>
    <cellStyle name="쉼표 [0] 20 2 3 2 3" xfId="4854" xr:uid="{00000000-0005-0000-0000-0000F73C0000}"/>
    <cellStyle name="쉼표 [0] 20 2 3 2_뇌출혈특약(갱신형)" xfId="12662" xr:uid="{00000000-0005-0000-0000-0000F83C0000}"/>
    <cellStyle name="쉼표 [0] 20 2 3 3" xfId="4855" xr:uid="{00000000-0005-0000-0000-0000F93C0000}"/>
    <cellStyle name="쉼표 [0] 20 2 3 4" xfId="4856" xr:uid="{00000000-0005-0000-0000-0000FA3C0000}"/>
    <cellStyle name="쉼표 [0] 20 2 3_뇌출혈특약(갱신형)" xfId="12663" xr:uid="{00000000-0005-0000-0000-0000FB3C0000}"/>
    <cellStyle name="쉼표 [0] 20 2 4" xfId="4857" xr:uid="{00000000-0005-0000-0000-0000FC3C0000}"/>
    <cellStyle name="쉼표 [0] 20 2 4 2" xfId="4858" xr:uid="{00000000-0005-0000-0000-0000FD3C0000}"/>
    <cellStyle name="쉼표 [0] 20 2 4 2 2" xfId="4859" xr:uid="{00000000-0005-0000-0000-0000FE3C0000}"/>
    <cellStyle name="쉼표 [0] 20 2 4 2 3" xfId="4860" xr:uid="{00000000-0005-0000-0000-0000FF3C0000}"/>
    <cellStyle name="쉼표 [0] 20 2 4 2_뇌출혈특약(갱신형)" xfId="12664" xr:uid="{00000000-0005-0000-0000-0000003D0000}"/>
    <cellStyle name="쉼표 [0] 20 2 4 3" xfId="4861" xr:uid="{00000000-0005-0000-0000-0000013D0000}"/>
    <cellStyle name="쉼표 [0] 20 2 4 4" xfId="4862" xr:uid="{00000000-0005-0000-0000-0000023D0000}"/>
    <cellStyle name="쉼표 [0] 20 2 4_뇌출혈특약(갱신형)" xfId="12665" xr:uid="{00000000-0005-0000-0000-0000033D0000}"/>
    <cellStyle name="쉼표 [0] 20 2 5" xfId="4863" xr:uid="{00000000-0005-0000-0000-0000043D0000}"/>
    <cellStyle name="쉼표 [0] 20 2 5 2" xfId="4864" xr:uid="{00000000-0005-0000-0000-0000053D0000}"/>
    <cellStyle name="쉼표 [0] 20 2 5 3" xfId="4865" xr:uid="{00000000-0005-0000-0000-0000063D0000}"/>
    <cellStyle name="쉼표 [0] 20 2 5_뇌출혈특약(갱신형)" xfId="12666" xr:uid="{00000000-0005-0000-0000-0000073D0000}"/>
    <cellStyle name="쉼표 [0] 20 2 6" xfId="4866" xr:uid="{00000000-0005-0000-0000-0000083D0000}"/>
    <cellStyle name="쉼표 [0] 20 2 6 2" xfId="4867" xr:uid="{00000000-0005-0000-0000-0000093D0000}"/>
    <cellStyle name="쉼표 [0] 20 2 6 3" xfId="4868" xr:uid="{00000000-0005-0000-0000-00000A3D0000}"/>
    <cellStyle name="쉼표 [0] 20 2 6_뇌출혈특약(갱신형)" xfId="12667" xr:uid="{00000000-0005-0000-0000-00000B3D0000}"/>
    <cellStyle name="쉼표 [0] 20 2 7" xfId="4869" xr:uid="{00000000-0005-0000-0000-00000C3D0000}"/>
    <cellStyle name="쉼표 [0] 20 2 8" xfId="4870" xr:uid="{00000000-0005-0000-0000-00000D3D0000}"/>
    <cellStyle name="쉼표 [0] 20 2_뇌출혈특약(갱신형)" xfId="12668" xr:uid="{00000000-0005-0000-0000-00000E3D0000}"/>
    <cellStyle name="쉼표 [0] 20 3" xfId="4871" xr:uid="{00000000-0005-0000-0000-00000F3D0000}"/>
    <cellStyle name="쉼표 [0] 20 3 2" xfId="4872" xr:uid="{00000000-0005-0000-0000-0000103D0000}"/>
    <cellStyle name="쉼표 [0] 20 3 2 2" xfId="4873" xr:uid="{00000000-0005-0000-0000-0000113D0000}"/>
    <cellStyle name="쉼표 [0] 20 3 2 2 2" xfId="4874" xr:uid="{00000000-0005-0000-0000-0000123D0000}"/>
    <cellStyle name="쉼표 [0] 20 3 2 2 3" xfId="4875" xr:uid="{00000000-0005-0000-0000-0000133D0000}"/>
    <cellStyle name="쉼표 [0] 20 3 2 2_뇌출혈특약(갱신형)" xfId="12669" xr:uid="{00000000-0005-0000-0000-0000143D0000}"/>
    <cellStyle name="쉼표 [0] 20 3 2 3" xfId="4876" xr:uid="{00000000-0005-0000-0000-0000153D0000}"/>
    <cellStyle name="쉼표 [0] 20 3 2 4" xfId="4877" xr:uid="{00000000-0005-0000-0000-0000163D0000}"/>
    <cellStyle name="쉼표 [0] 20 3 2_뇌출혈특약(갱신형)" xfId="12670" xr:uid="{00000000-0005-0000-0000-0000173D0000}"/>
    <cellStyle name="쉼표 [0] 20 3 3" xfId="4878" xr:uid="{00000000-0005-0000-0000-0000183D0000}"/>
    <cellStyle name="쉼표 [0] 20 3 3 2" xfId="4879" xr:uid="{00000000-0005-0000-0000-0000193D0000}"/>
    <cellStyle name="쉼표 [0] 20 3 3 2 2" xfId="4880" xr:uid="{00000000-0005-0000-0000-00001A3D0000}"/>
    <cellStyle name="쉼표 [0] 20 3 3 2 3" xfId="4881" xr:uid="{00000000-0005-0000-0000-00001B3D0000}"/>
    <cellStyle name="쉼표 [0] 20 3 3 2_뇌출혈특약(갱신형)" xfId="12671" xr:uid="{00000000-0005-0000-0000-00001C3D0000}"/>
    <cellStyle name="쉼표 [0] 20 3 3 3" xfId="4882" xr:uid="{00000000-0005-0000-0000-00001D3D0000}"/>
    <cellStyle name="쉼표 [0] 20 3 3 4" xfId="4883" xr:uid="{00000000-0005-0000-0000-00001E3D0000}"/>
    <cellStyle name="쉼표 [0] 20 3 3_뇌출혈특약(갱신형)" xfId="12672" xr:uid="{00000000-0005-0000-0000-00001F3D0000}"/>
    <cellStyle name="쉼표 [0] 20 3 4" xfId="4884" xr:uid="{00000000-0005-0000-0000-0000203D0000}"/>
    <cellStyle name="쉼표 [0] 20 3 4 2" xfId="4885" xr:uid="{00000000-0005-0000-0000-0000213D0000}"/>
    <cellStyle name="쉼표 [0] 20 3 4 3" xfId="4886" xr:uid="{00000000-0005-0000-0000-0000223D0000}"/>
    <cellStyle name="쉼표 [0] 20 3 4_뇌출혈특약(갱신형)" xfId="12673" xr:uid="{00000000-0005-0000-0000-0000233D0000}"/>
    <cellStyle name="쉼표 [0] 20 3 5" xfId="4887" xr:uid="{00000000-0005-0000-0000-0000243D0000}"/>
    <cellStyle name="쉼표 [0] 20 3 5 2" xfId="4888" xr:uid="{00000000-0005-0000-0000-0000253D0000}"/>
    <cellStyle name="쉼표 [0] 20 3 5 3" xfId="4889" xr:uid="{00000000-0005-0000-0000-0000263D0000}"/>
    <cellStyle name="쉼표 [0] 20 3 5_뇌출혈특약(갱신형)" xfId="12674" xr:uid="{00000000-0005-0000-0000-0000273D0000}"/>
    <cellStyle name="쉼표 [0] 20 3 6" xfId="4890" xr:uid="{00000000-0005-0000-0000-0000283D0000}"/>
    <cellStyle name="쉼표 [0] 20 3 7" xfId="4891" xr:uid="{00000000-0005-0000-0000-0000293D0000}"/>
    <cellStyle name="쉼표 [0] 20 3_뇌출혈특약(갱신형)" xfId="12675" xr:uid="{00000000-0005-0000-0000-00002A3D0000}"/>
    <cellStyle name="쉼표 [0] 20 4" xfId="4892" xr:uid="{00000000-0005-0000-0000-00002B3D0000}"/>
    <cellStyle name="쉼표 [0] 20 4 2" xfId="4893" xr:uid="{00000000-0005-0000-0000-00002C3D0000}"/>
    <cellStyle name="쉼표 [0] 20 4 2 2" xfId="4894" xr:uid="{00000000-0005-0000-0000-00002D3D0000}"/>
    <cellStyle name="쉼표 [0] 20 4 2 2 2" xfId="4895" xr:uid="{00000000-0005-0000-0000-00002E3D0000}"/>
    <cellStyle name="쉼표 [0] 20 4 2 2 3" xfId="4896" xr:uid="{00000000-0005-0000-0000-00002F3D0000}"/>
    <cellStyle name="쉼표 [0] 20 4 2 2_뇌출혈특약(갱신형)" xfId="12676" xr:uid="{00000000-0005-0000-0000-0000303D0000}"/>
    <cellStyle name="쉼표 [0] 20 4 2 3" xfId="4897" xr:uid="{00000000-0005-0000-0000-0000313D0000}"/>
    <cellStyle name="쉼표 [0] 20 4 2 4" xfId="4898" xr:uid="{00000000-0005-0000-0000-0000323D0000}"/>
    <cellStyle name="쉼표 [0] 20 4 2_뇌출혈특약(갱신형)" xfId="12677" xr:uid="{00000000-0005-0000-0000-0000333D0000}"/>
    <cellStyle name="쉼표 [0] 20 4 3" xfId="4899" xr:uid="{00000000-0005-0000-0000-0000343D0000}"/>
    <cellStyle name="쉼표 [0] 20 4 3 2" xfId="4900" xr:uid="{00000000-0005-0000-0000-0000353D0000}"/>
    <cellStyle name="쉼표 [0] 20 4 3 2 2" xfId="4901" xr:uid="{00000000-0005-0000-0000-0000363D0000}"/>
    <cellStyle name="쉼표 [0] 20 4 3 2 3" xfId="4902" xr:uid="{00000000-0005-0000-0000-0000373D0000}"/>
    <cellStyle name="쉼표 [0] 20 4 3 2_뇌출혈특약(갱신형)" xfId="12678" xr:uid="{00000000-0005-0000-0000-0000383D0000}"/>
    <cellStyle name="쉼표 [0] 20 4 3 3" xfId="4903" xr:uid="{00000000-0005-0000-0000-0000393D0000}"/>
    <cellStyle name="쉼표 [0] 20 4 3 4" xfId="4904" xr:uid="{00000000-0005-0000-0000-00003A3D0000}"/>
    <cellStyle name="쉼표 [0] 20 4 3_뇌출혈특약(갱신형)" xfId="12679" xr:uid="{00000000-0005-0000-0000-00003B3D0000}"/>
    <cellStyle name="쉼표 [0] 20 4 4" xfId="4905" xr:uid="{00000000-0005-0000-0000-00003C3D0000}"/>
    <cellStyle name="쉼표 [0] 20 4 4 2" xfId="4906" xr:uid="{00000000-0005-0000-0000-00003D3D0000}"/>
    <cellStyle name="쉼표 [0] 20 4 4 3" xfId="4907" xr:uid="{00000000-0005-0000-0000-00003E3D0000}"/>
    <cellStyle name="쉼표 [0] 20 4 4_뇌출혈특약(갱신형)" xfId="12680" xr:uid="{00000000-0005-0000-0000-00003F3D0000}"/>
    <cellStyle name="쉼표 [0] 20 4 5" xfId="4908" xr:uid="{00000000-0005-0000-0000-0000403D0000}"/>
    <cellStyle name="쉼표 [0] 20 4 5 2" xfId="4909" xr:uid="{00000000-0005-0000-0000-0000413D0000}"/>
    <cellStyle name="쉼표 [0] 20 4 5 3" xfId="4910" xr:uid="{00000000-0005-0000-0000-0000423D0000}"/>
    <cellStyle name="쉼표 [0] 20 4 5_뇌출혈특약(갱신형)" xfId="12681" xr:uid="{00000000-0005-0000-0000-0000433D0000}"/>
    <cellStyle name="쉼표 [0] 20 4 6" xfId="4911" xr:uid="{00000000-0005-0000-0000-0000443D0000}"/>
    <cellStyle name="쉼표 [0] 20 4 7" xfId="4912" xr:uid="{00000000-0005-0000-0000-0000453D0000}"/>
    <cellStyle name="쉼표 [0] 20 4_뇌출혈특약(갱신형)" xfId="12682" xr:uid="{00000000-0005-0000-0000-0000463D0000}"/>
    <cellStyle name="쉼표 [0] 20 5" xfId="4913" xr:uid="{00000000-0005-0000-0000-0000473D0000}"/>
    <cellStyle name="쉼표 [0] 20 5 2" xfId="4914" xr:uid="{00000000-0005-0000-0000-0000483D0000}"/>
    <cellStyle name="쉼표 [0] 20 5 2 2" xfId="4915" xr:uid="{00000000-0005-0000-0000-0000493D0000}"/>
    <cellStyle name="쉼표 [0] 20 5 2 3" xfId="4916" xr:uid="{00000000-0005-0000-0000-00004A3D0000}"/>
    <cellStyle name="쉼표 [0] 20 5 2_뇌출혈특약(갱신형)" xfId="12683" xr:uid="{00000000-0005-0000-0000-00004B3D0000}"/>
    <cellStyle name="쉼표 [0] 20 5 3" xfId="4917" xr:uid="{00000000-0005-0000-0000-00004C3D0000}"/>
    <cellStyle name="쉼표 [0] 20 5 4" xfId="4918" xr:uid="{00000000-0005-0000-0000-00004D3D0000}"/>
    <cellStyle name="쉼표 [0] 20 5_뇌출혈특약(갱신형)" xfId="12684" xr:uid="{00000000-0005-0000-0000-00004E3D0000}"/>
    <cellStyle name="쉼표 [0] 20 6" xfId="4919" xr:uid="{00000000-0005-0000-0000-00004F3D0000}"/>
    <cellStyle name="쉼표 [0] 20 6 2" xfId="4920" xr:uid="{00000000-0005-0000-0000-0000503D0000}"/>
    <cellStyle name="쉼표 [0] 20 6 2 2" xfId="4921" xr:uid="{00000000-0005-0000-0000-0000513D0000}"/>
    <cellStyle name="쉼표 [0] 20 6 2 3" xfId="4922" xr:uid="{00000000-0005-0000-0000-0000523D0000}"/>
    <cellStyle name="쉼표 [0] 20 6 2_뇌출혈특약(갱신형)" xfId="12685" xr:uid="{00000000-0005-0000-0000-0000533D0000}"/>
    <cellStyle name="쉼표 [0] 20 6 3" xfId="4923" xr:uid="{00000000-0005-0000-0000-0000543D0000}"/>
    <cellStyle name="쉼표 [0] 20 6 4" xfId="4924" xr:uid="{00000000-0005-0000-0000-0000553D0000}"/>
    <cellStyle name="쉼표 [0] 20 6_뇌출혈특약(갱신형)" xfId="12686" xr:uid="{00000000-0005-0000-0000-0000563D0000}"/>
    <cellStyle name="쉼표 [0] 20 7" xfId="4925" xr:uid="{00000000-0005-0000-0000-0000573D0000}"/>
    <cellStyle name="쉼표 [0] 20 7 2" xfId="4926" xr:uid="{00000000-0005-0000-0000-0000583D0000}"/>
    <cellStyle name="쉼표 [0] 20 7 3" xfId="4927" xr:uid="{00000000-0005-0000-0000-0000593D0000}"/>
    <cellStyle name="쉼표 [0] 20 7_뇌출혈특약(갱신형)" xfId="12687" xr:uid="{00000000-0005-0000-0000-00005A3D0000}"/>
    <cellStyle name="쉼표 [0] 20 8" xfId="4928" xr:uid="{00000000-0005-0000-0000-00005B3D0000}"/>
    <cellStyle name="쉼표 [0] 20 8 2" xfId="4929" xr:uid="{00000000-0005-0000-0000-00005C3D0000}"/>
    <cellStyle name="쉼표 [0] 20 8 3" xfId="4930" xr:uid="{00000000-0005-0000-0000-00005D3D0000}"/>
    <cellStyle name="쉼표 [0] 20 8_뇌출혈특약(갱신형)" xfId="12688" xr:uid="{00000000-0005-0000-0000-00005E3D0000}"/>
    <cellStyle name="쉼표 [0] 20 9" xfId="4931" xr:uid="{00000000-0005-0000-0000-00005F3D0000}"/>
    <cellStyle name="쉼표 [0] 20 9 2" xfId="4932" xr:uid="{00000000-0005-0000-0000-0000603D0000}"/>
    <cellStyle name="쉼표 [0] 20 9 3" xfId="4933" xr:uid="{00000000-0005-0000-0000-0000613D0000}"/>
    <cellStyle name="쉼표 [0] 20 9_뇌출혈특약(갱신형)" xfId="12689" xr:uid="{00000000-0005-0000-0000-0000623D0000}"/>
    <cellStyle name="쉼표 [0] 20_뇌출혈특약(갱신형)" xfId="12690" xr:uid="{00000000-0005-0000-0000-0000633D0000}"/>
    <cellStyle name="쉼표 [0] 21" xfId="66" xr:uid="{00000000-0005-0000-0000-0000643D0000}"/>
    <cellStyle name="쉼표 [0] 21 10" xfId="4934" xr:uid="{00000000-0005-0000-0000-0000653D0000}"/>
    <cellStyle name="쉼표 [0] 21 10 2" xfId="4935" xr:uid="{00000000-0005-0000-0000-0000663D0000}"/>
    <cellStyle name="쉼표 [0] 21 10 3" xfId="4936" xr:uid="{00000000-0005-0000-0000-0000673D0000}"/>
    <cellStyle name="쉼표 [0] 21 10_뇌출혈특약(갱신형)" xfId="12691" xr:uid="{00000000-0005-0000-0000-0000683D0000}"/>
    <cellStyle name="쉼표 [0] 21 11" xfId="4937" xr:uid="{00000000-0005-0000-0000-0000693D0000}"/>
    <cellStyle name="쉼표 [0] 21 11 2" xfId="4938" xr:uid="{00000000-0005-0000-0000-00006A3D0000}"/>
    <cellStyle name="쉼표 [0] 21 11_뇌출혈특약(갱신형)" xfId="12692" xr:uid="{00000000-0005-0000-0000-00006B3D0000}"/>
    <cellStyle name="쉼표 [0] 21 12" xfId="4939" xr:uid="{00000000-0005-0000-0000-00006C3D0000}"/>
    <cellStyle name="쉼표 [0] 21 12 2" xfId="4940" xr:uid="{00000000-0005-0000-0000-00006D3D0000}"/>
    <cellStyle name="쉼표 [0] 21 12_뇌출혈특약(갱신형)" xfId="12693" xr:uid="{00000000-0005-0000-0000-00006E3D0000}"/>
    <cellStyle name="쉼표 [0] 21 13" xfId="4941" xr:uid="{00000000-0005-0000-0000-00006F3D0000}"/>
    <cellStyle name="쉼표 [0] 21 13 2" xfId="4942" xr:uid="{00000000-0005-0000-0000-0000703D0000}"/>
    <cellStyle name="쉼표 [0] 21 13_뇌출혈특약(갱신형)" xfId="12694" xr:uid="{00000000-0005-0000-0000-0000713D0000}"/>
    <cellStyle name="쉼표 [0] 21 14" xfId="4943" xr:uid="{00000000-0005-0000-0000-0000723D0000}"/>
    <cellStyle name="쉼표 [0] 21 14 2" xfId="4944" xr:uid="{00000000-0005-0000-0000-0000733D0000}"/>
    <cellStyle name="쉼표 [0] 21 14_뇌출혈특약(갱신형)" xfId="12695" xr:uid="{00000000-0005-0000-0000-0000743D0000}"/>
    <cellStyle name="쉼표 [0] 21 15" xfId="4945" xr:uid="{00000000-0005-0000-0000-0000753D0000}"/>
    <cellStyle name="쉼표 [0] 21 16" xfId="4946" xr:uid="{00000000-0005-0000-0000-0000763D0000}"/>
    <cellStyle name="쉼표 [0] 21 2" xfId="4947" xr:uid="{00000000-0005-0000-0000-0000773D0000}"/>
    <cellStyle name="쉼표 [0] 21 2 2" xfId="4948" xr:uid="{00000000-0005-0000-0000-0000783D0000}"/>
    <cellStyle name="쉼표 [0] 21 2 2 2" xfId="4949" xr:uid="{00000000-0005-0000-0000-0000793D0000}"/>
    <cellStyle name="쉼표 [0] 21 2 2 2 2" xfId="4950" xr:uid="{00000000-0005-0000-0000-00007A3D0000}"/>
    <cellStyle name="쉼표 [0] 21 2 2 2 2 2" xfId="4951" xr:uid="{00000000-0005-0000-0000-00007B3D0000}"/>
    <cellStyle name="쉼표 [0] 21 2 2 2 2 3" xfId="4952" xr:uid="{00000000-0005-0000-0000-00007C3D0000}"/>
    <cellStyle name="쉼표 [0] 21 2 2 2 2_뇌출혈특약(갱신형)" xfId="12696" xr:uid="{00000000-0005-0000-0000-00007D3D0000}"/>
    <cellStyle name="쉼표 [0] 21 2 2 2 3" xfId="4953" xr:uid="{00000000-0005-0000-0000-00007E3D0000}"/>
    <cellStyle name="쉼표 [0] 21 2 2 2 4" xfId="4954" xr:uid="{00000000-0005-0000-0000-00007F3D0000}"/>
    <cellStyle name="쉼표 [0] 21 2 2 2_뇌출혈특약(갱신형)" xfId="12697" xr:uid="{00000000-0005-0000-0000-0000803D0000}"/>
    <cellStyle name="쉼표 [0] 21 2 2 3" xfId="4955" xr:uid="{00000000-0005-0000-0000-0000813D0000}"/>
    <cellStyle name="쉼표 [0] 21 2 2 3 2" xfId="4956" xr:uid="{00000000-0005-0000-0000-0000823D0000}"/>
    <cellStyle name="쉼표 [0] 21 2 2 3 2 2" xfId="4957" xr:uid="{00000000-0005-0000-0000-0000833D0000}"/>
    <cellStyle name="쉼표 [0] 21 2 2 3 2 3" xfId="4958" xr:uid="{00000000-0005-0000-0000-0000843D0000}"/>
    <cellStyle name="쉼표 [0] 21 2 2 3 2_뇌출혈특약(갱신형)" xfId="12698" xr:uid="{00000000-0005-0000-0000-0000853D0000}"/>
    <cellStyle name="쉼표 [0] 21 2 2 3 3" xfId="4959" xr:uid="{00000000-0005-0000-0000-0000863D0000}"/>
    <cellStyle name="쉼표 [0] 21 2 2 3 4" xfId="4960" xr:uid="{00000000-0005-0000-0000-0000873D0000}"/>
    <cellStyle name="쉼표 [0] 21 2 2 3_뇌출혈특약(갱신형)" xfId="12699" xr:uid="{00000000-0005-0000-0000-0000883D0000}"/>
    <cellStyle name="쉼표 [0] 21 2 2 4" xfId="4961" xr:uid="{00000000-0005-0000-0000-0000893D0000}"/>
    <cellStyle name="쉼표 [0] 21 2 2 4 2" xfId="4962" xr:uid="{00000000-0005-0000-0000-00008A3D0000}"/>
    <cellStyle name="쉼표 [0] 21 2 2 4 3" xfId="4963" xr:uid="{00000000-0005-0000-0000-00008B3D0000}"/>
    <cellStyle name="쉼표 [0] 21 2 2 4_뇌출혈특약(갱신형)" xfId="12700" xr:uid="{00000000-0005-0000-0000-00008C3D0000}"/>
    <cellStyle name="쉼표 [0] 21 2 2 5" xfId="4964" xr:uid="{00000000-0005-0000-0000-00008D3D0000}"/>
    <cellStyle name="쉼표 [0] 21 2 2 5 2" xfId="4965" xr:uid="{00000000-0005-0000-0000-00008E3D0000}"/>
    <cellStyle name="쉼표 [0] 21 2 2 5 3" xfId="4966" xr:uid="{00000000-0005-0000-0000-00008F3D0000}"/>
    <cellStyle name="쉼표 [0] 21 2 2 5_뇌출혈특약(갱신형)" xfId="12701" xr:uid="{00000000-0005-0000-0000-0000903D0000}"/>
    <cellStyle name="쉼표 [0] 21 2 2 6" xfId="4967" xr:uid="{00000000-0005-0000-0000-0000913D0000}"/>
    <cellStyle name="쉼표 [0] 21 2 2 7" xfId="4968" xr:uid="{00000000-0005-0000-0000-0000923D0000}"/>
    <cellStyle name="쉼표 [0] 21 2 2_뇌출혈특약(갱신형)" xfId="12702" xr:uid="{00000000-0005-0000-0000-0000933D0000}"/>
    <cellStyle name="쉼표 [0] 21 2 3" xfId="4969" xr:uid="{00000000-0005-0000-0000-0000943D0000}"/>
    <cellStyle name="쉼표 [0] 21 2 3 2" xfId="4970" xr:uid="{00000000-0005-0000-0000-0000953D0000}"/>
    <cellStyle name="쉼표 [0] 21 2 3 2 2" xfId="4971" xr:uid="{00000000-0005-0000-0000-0000963D0000}"/>
    <cellStyle name="쉼표 [0] 21 2 3 2 3" xfId="4972" xr:uid="{00000000-0005-0000-0000-0000973D0000}"/>
    <cellStyle name="쉼표 [0] 21 2 3 2_뇌출혈특약(갱신형)" xfId="12703" xr:uid="{00000000-0005-0000-0000-0000983D0000}"/>
    <cellStyle name="쉼표 [0] 21 2 3 3" xfId="4973" xr:uid="{00000000-0005-0000-0000-0000993D0000}"/>
    <cellStyle name="쉼표 [0] 21 2 3 4" xfId="4974" xr:uid="{00000000-0005-0000-0000-00009A3D0000}"/>
    <cellStyle name="쉼표 [0] 21 2 3_뇌출혈특약(갱신형)" xfId="12704" xr:uid="{00000000-0005-0000-0000-00009B3D0000}"/>
    <cellStyle name="쉼표 [0] 21 2 4" xfId="4975" xr:uid="{00000000-0005-0000-0000-00009C3D0000}"/>
    <cellStyle name="쉼표 [0] 21 2 4 2" xfId="4976" xr:uid="{00000000-0005-0000-0000-00009D3D0000}"/>
    <cellStyle name="쉼표 [0] 21 2 4 2 2" xfId="4977" xr:uid="{00000000-0005-0000-0000-00009E3D0000}"/>
    <cellStyle name="쉼표 [0] 21 2 4 2 3" xfId="4978" xr:uid="{00000000-0005-0000-0000-00009F3D0000}"/>
    <cellStyle name="쉼표 [0] 21 2 4 2_뇌출혈특약(갱신형)" xfId="12705" xr:uid="{00000000-0005-0000-0000-0000A03D0000}"/>
    <cellStyle name="쉼표 [0] 21 2 4 3" xfId="4979" xr:uid="{00000000-0005-0000-0000-0000A13D0000}"/>
    <cellStyle name="쉼표 [0] 21 2 4 4" xfId="4980" xr:uid="{00000000-0005-0000-0000-0000A23D0000}"/>
    <cellStyle name="쉼표 [0] 21 2 4_뇌출혈특약(갱신형)" xfId="12706" xr:uid="{00000000-0005-0000-0000-0000A33D0000}"/>
    <cellStyle name="쉼표 [0] 21 2 5" xfId="4981" xr:uid="{00000000-0005-0000-0000-0000A43D0000}"/>
    <cellStyle name="쉼표 [0] 21 2 5 2" xfId="4982" xr:uid="{00000000-0005-0000-0000-0000A53D0000}"/>
    <cellStyle name="쉼표 [0] 21 2 5 3" xfId="4983" xr:uid="{00000000-0005-0000-0000-0000A63D0000}"/>
    <cellStyle name="쉼표 [0] 21 2 5_뇌출혈특약(갱신형)" xfId="12707" xr:uid="{00000000-0005-0000-0000-0000A73D0000}"/>
    <cellStyle name="쉼표 [0] 21 2 6" xfId="4984" xr:uid="{00000000-0005-0000-0000-0000A83D0000}"/>
    <cellStyle name="쉼표 [0] 21 2 6 2" xfId="4985" xr:uid="{00000000-0005-0000-0000-0000A93D0000}"/>
    <cellStyle name="쉼표 [0] 21 2 6 3" xfId="4986" xr:uid="{00000000-0005-0000-0000-0000AA3D0000}"/>
    <cellStyle name="쉼표 [0] 21 2 6_뇌출혈특약(갱신형)" xfId="12708" xr:uid="{00000000-0005-0000-0000-0000AB3D0000}"/>
    <cellStyle name="쉼표 [0] 21 2 7" xfId="4987" xr:uid="{00000000-0005-0000-0000-0000AC3D0000}"/>
    <cellStyle name="쉼표 [0] 21 2 8" xfId="4988" xr:uid="{00000000-0005-0000-0000-0000AD3D0000}"/>
    <cellStyle name="쉼표 [0] 21 2_뇌출혈특약(갱신형)" xfId="12709" xr:uid="{00000000-0005-0000-0000-0000AE3D0000}"/>
    <cellStyle name="쉼표 [0] 21 3" xfId="4989" xr:uid="{00000000-0005-0000-0000-0000AF3D0000}"/>
    <cellStyle name="쉼표 [0] 21 3 2" xfId="4990" xr:uid="{00000000-0005-0000-0000-0000B03D0000}"/>
    <cellStyle name="쉼표 [0] 21 3 2 2" xfId="4991" xr:uid="{00000000-0005-0000-0000-0000B13D0000}"/>
    <cellStyle name="쉼표 [0] 21 3 2 2 2" xfId="4992" xr:uid="{00000000-0005-0000-0000-0000B23D0000}"/>
    <cellStyle name="쉼표 [0] 21 3 2 2 3" xfId="4993" xr:uid="{00000000-0005-0000-0000-0000B33D0000}"/>
    <cellStyle name="쉼표 [0] 21 3 2 2_뇌출혈특약(갱신형)" xfId="12710" xr:uid="{00000000-0005-0000-0000-0000B43D0000}"/>
    <cellStyle name="쉼표 [0] 21 3 2 3" xfId="4994" xr:uid="{00000000-0005-0000-0000-0000B53D0000}"/>
    <cellStyle name="쉼표 [0] 21 3 2 4" xfId="4995" xr:uid="{00000000-0005-0000-0000-0000B63D0000}"/>
    <cellStyle name="쉼표 [0] 21 3 2_뇌출혈특약(갱신형)" xfId="12711" xr:uid="{00000000-0005-0000-0000-0000B73D0000}"/>
    <cellStyle name="쉼표 [0] 21 3 3" xfId="4996" xr:uid="{00000000-0005-0000-0000-0000B83D0000}"/>
    <cellStyle name="쉼표 [0] 21 3 3 2" xfId="4997" xr:uid="{00000000-0005-0000-0000-0000B93D0000}"/>
    <cellStyle name="쉼표 [0] 21 3 3 2 2" xfId="4998" xr:uid="{00000000-0005-0000-0000-0000BA3D0000}"/>
    <cellStyle name="쉼표 [0] 21 3 3 2 3" xfId="4999" xr:uid="{00000000-0005-0000-0000-0000BB3D0000}"/>
    <cellStyle name="쉼표 [0] 21 3 3 2_뇌출혈특약(갱신형)" xfId="12712" xr:uid="{00000000-0005-0000-0000-0000BC3D0000}"/>
    <cellStyle name="쉼표 [0] 21 3 3 3" xfId="5000" xr:uid="{00000000-0005-0000-0000-0000BD3D0000}"/>
    <cellStyle name="쉼표 [0] 21 3 3 4" xfId="5001" xr:uid="{00000000-0005-0000-0000-0000BE3D0000}"/>
    <cellStyle name="쉼표 [0] 21 3 3_뇌출혈특약(갱신형)" xfId="12713" xr:uid="{00000000-0005-0000-0000-0000BF3D0000}"/>
    <cellStyle name="쉼표 [0] 21 3 4" xfId="5002" xr:uid="{00000000-0005-0000-0000-0000C03D0000}"/>
    <cellStyle name="쉼표 [0] 21 3 4 2" xfId="5003" xr:uid="{00000000-0005-0000-0000-0000C13D0000}"/>
    <cellStyle name="쉼표 [0] 21 3 4 3" xfId="5004" xr:uid="{00000000-0005-0000-0000-0000C23D0000}"/>
    <cellStyle name="쉼표 [0] 21 3 4_뇌출혈특약(갱신형)" xfId="12714" xr:uid="{00000000-0005-0000-0000-0000C33D0000}"/>
    <cellStyle name="쉼표 [0] 21 3 5" xfId="5005" xr:uid="{00000000-0005-0000-0000-0000C43D0000}"/>
    <cellStyle name="쉼표 [0] 21 3 5 2" xfId="5006" xr:uid="{00000000-0005-0000-0000-0000C53D0000}"/>
    <cellStyle name="쉼표 [0] 21 3 5 3" xfId="5007" xr:uid="{00000000-0005-0000-0000-0000C63D0000}"/>
    <cellStyle name="쉼표 [0] 21 3 5_뇌출혈특약(갱신형)" xfId="12715" xr:uid="{00000000-0005-0000-0000-0000C73D0000}"/>
    <cellStyle name="쉼표 [0] 21 3 6" xfId="5008" xr:uid="{00000000-0005-0000-0000-0000C83D0000}"/>
    <cellStyle name="쉼표 [0] 21 3 7" xfId="5009" xr:uid="{00000000-0005-0000-0000-0000C93D0000}"/>
    <cellStyle name="쉼표 [0] 21 3_뇌출혈특약(갱신형)" xfId="12716" xr:uid="{00000000-0005-0000-0000-0000CA3D0000}"/>
    <cellStyle name="쉼표 [0] 21 4" xfId="5010" xr:uid="{00000000-0005-0000-0000-0000CB3D0000}"/>
    <cellStyle name="쉼표 [0] 21 4 2" xfId="5011" xr:uid="{00000000-0005-0000-0000-0000CC3D0000}"/>
    <cellStyle name="쉼표 [0] 21 4 2 2" xfId="5012" xr:uid="{00000000-0005-0000-0000-0000CD3D0000}"/>
    <cellStyle name="쉼표 [0] 21 4 2 2 2" xfId="5013" xr:uid="{00000000-0005-0000-0000-0000CE3D0000}"/>
    <cellStyle name="쉼표 [0] 21 4 2 2 3" xfId="5014" xr:uid="{00000000-0005-0000-0000-0000CF3D0000}"/>
    <cellStyle name="쉼표 [0] 21 4 2 2_뇌출혈특약(갱신형)" xfId="12717" xr:uid="{00000000-0005-0000-0000-0000D03D0000}"/>
    <cellStyle name="쉼표 [0] 21 4 2 3" xfId="5015" xr:uid="{00000000-0005-0000-0000-0000D13D0000}"/>
    <cellStyle name="쉼표 [0] 21 4 2 4" xfId="5016" xr:uid="{00000000-0005-0000-0000-0000D23D0000}"/>
    <cellStyle name="쉼표 [0] 21 4 2_뇌출혈특약(갱신형)" xfId="12718" xr:uid="{00000000-0005-0000-0000-0000D33D0000}"/>
    <cellStyle name="쉼표 [0] 21 4 3" xfId="5017" xr:uid="{00000000-0005-0000-0000-0000D43D0000}"/>
    <cellStyle name="쉼표 [0] 21 4 3 2" xfId="5018" xr:uid="{00000000-0005-0000-0000-0000D53D0000}"/>
    <cellStyle name="쉼표 [0] 21 4 3 2 2" xfId="5019" xr:uid="{00000000-0005-0000-0000-0000D63D0000}"/>
    <cellStyle name="쉼표 [0] 21 4 3 2 3" xfId="5020" xr:uid="{00000000-0005-0000-0000-0000D73D0000}"/>
    <cellStyle name="쉼표 [0] 21 4 3 2_뇌출혈특약(갱신형)" xfId="12719" xr:uid="{00000000-0005-0000-0000-0000D83D0000}"/>
    <cellStyle name="쉼표 [0] 21 4 3 3" xfId="5021" xr:uid="{00000000-0005-0000-0000-0000D93D0000}"/>
    <cellStyle name="쉼표 [0] 21 4 3 4" xfId="5022" xr:uid="{00000000-0005-0000-0000-0000DA3D0000}"/>
    <cellStyle name="쉼표 [0] 21 4 3_뇌출혈특약(갱신형)" xfId="12720" xr:uid="{00000000-0005-0000-0000-0000DB3D0000}"/>
    <cellStyle name="쉼표 [0] 21 4 4" xfId="5023" xr:uid="{00000000-0005-0000-0000-0000DC3D0000}"/>
    <cellStyle name="쉼표 [0] 21 4 4 2" xfId="5024" xr:uid="{00000000-0005-0000-0000-0000DD3D0000}"/>
    <cellStyle name="쉼표 [0] 21 4 4 3" xfId="5025" xr:uid="{00000000-0005-0000-0000-0000DE3D0000}"/>
    <cellStyle name="쉼표 [0] 21 4 4_뇌출혈특약(갱신형)" xfId="12721" xr:uid="{00000000-0005-0000-0000-0000DF3D0000}"/>
    <cellStyle name="쉼표 [0] 21 4 5" xfId="5026" xr:uid="{00000000-0005-0000-0000-0000E03D0000}"/>
    <cellStyle name="쉼표 [0] 21 4 5 2" xfId="5027" xr:uid="{00000000-0005-0000-0000-0000E13D0000}"/>
    <cellStyle name="쉼표 [0] 21 4 5 3" xfId="5028" xr:uid="{00000000-0005-0000-0000-0000E23D0000}"/>
    <cellStyle name="쉼표 [0] 21 4 5_뇌출혈특약(갱신형)" xfId="12722" xr:uid="{00000000-0005-0000-0000-0000E33D0000}"/>
    <cellStyle name="쉼표 [0] 21 4 6" xfId="5029" xr:uid="{00000000-0005-0000-0000-0000E43D0000}"/>
    <cellStyle name="쉼표 [0] 21 4 7" xfId="5030" xr:uid="{00000000-0005-0000-0000-0000E53D0000}"/>
    <cellStyle name="쉼표 [0] 21 4_뇌출혈특약(갱신형)" xfId="12723" xr:uid="{00000000-0005-0000-0000-0000E63D0000}"/>
    <cellStyle name="쉼표 [0] 21 5" xfId="5031" xr:uid="{00000000-0005-0000-0000-0000E73D0000}"/>
    <cellStyle name="쉼표 [0] 21 5 2" xfId="5032" xr:uid="{00000000-0005-0000-0000-0000E83D0000}"/>
    <cellStyle name="쉼표 [0] 21 5 2 2" xfId="5033" xr:uid="{00000000-0005-0000-0000-0000E93D0000}"/>
    <cellStyle name="쉼표 [0] 21 5 2 3" xfId="5034" xr:uid="{00000000-0005-0000-0000-0000EA3D0000}"/>
    <cellStyle name="쉼표 [0] 21 5 2_뇌출혈특약(갱신형)" xfId="12724" xr:uid="{00000000-0005-0000-0000-0000EB3D0000}"/>
    <cellStyle name="쉼표 [0] 21 5 3" xfId="5035" xr:uid="{00000000-0005-0000-0000-0000EC3D0000}"/>
    <cellStyle name="쉼표 [0] 21 5 4" xfId="5036" xr:uid="{00000000-0005-0000-0000-0000ED3D0000}"/>
    <cellStyle name="쉼표 [0] 21 5_뇌출혈특약(갱신형)" xfId="12725" xr:uid="{00000000-0005-0000-0000-0000EE3D0000}"/>
    <cellStyle name="쉼표 [0] 21 6" xfId="5037" xr:uid="{00000000-0005-0000-0000-0000EF3D0000}"/>
    <cellStyle name="쉼표 [0] 21 6 2" xfId="5038" xr:uid="{00000000-0005-0000-0000-0000F03D0000}"/>
    <cellStyle name="쉼표 [0] 21 6 2 2" xfId="5039" xr:uid="{00000000-0005-0000-0000-0000F13D0000}"/>
    <cellStyle name="쉼표 [0] 21 6 2 3" xfId="5040" xr:uid="{00000000-0005-0000-0000-0000F23D0000}"/>
    <cellStyle name="쉼표 [0] 21 6 2_뇌출혈특약(갱신형)" xfId="12726" xr:uid="{00000000-0005-0000-0000-0000F33D0000}"/>
    <cellStyle name="쉼표 [0] 21 6 3" xfId="5041" xr:uid="{00000000-0005-0000-0000-0000F43D0000}"/>
    <cellStyle name="쉼표 [0] 21 6 4" xfId="5042" xr:uid="{00000000-0005-0000-0000-0000F53D0000}"/>
    <cellStyle name="쉼표 [0] 21 6_뇌출혈특약(갱신형)" xfId="12727" xr:uid="{00000000-0005-0000-0000-0000F63D0000}"/>
    <cellStyle name="쉼표 [0] 21 7" xfId="5043" xr:uid="{00000000-0005-0000-0000-0000F73D0000}"/>
    <cellStyle name="쉼표 [0] 21 7 2" xfId="5044" xr:uid="{00000000-0005-0000-0000-0000F83D0000}"/>
    <cellStyle name="쉼표 [0] 21 7 3" xfId="5045" xr:uid="{00000000-0005-0000-0000-0000F93D0000}"/>
    <cellStyle name="쉼표 [0] 21 7_뇌출혈특약(갱신형)" xfId="12728" xr:uid="{00000000-0005-0000-0000-0000FA3D0000}"/>
    <cellStyle name="쉼표 [0] 21 8" xfId="5046" xr:uid="{00000000-0005-0000-0000-0000FB3D0000}"/>
    <cellStyle name="쉼표 [0] 21 8 2" xfId="5047" xr:uid="{00000000-0005-0000-0000-0000FC3D0000}"/>
    <cellStyle name="쉼표 [0] 21 8 3" xfId="5048" xr:uid="{00000000-0005-0000-0000-0000FD3D0000}"/>
    <cellStyle name="쉼표 [0] 21 8_뇌출혈특약(갱신형)" xfId="12729" xr:uid="{00000000-0005-0000-0000-0000FE3D0000}"/>
    <cellStyle name="쉼표 [0] 21 9" xfId="5049" xr:uid="{00000000-0005-0000-0000-0000FF3D0000}"/>
    <cellStyle name="쉼표 [0] 21 9 2" xfId="5050" xr:uid="{00000000-0005-0000-0000-0000003E0000}"/>
    <cellStyle name="쉼표 [0] 21 9 3" xfId="5051" xr:uid="{00000000-0005-0000-0000-0000013E0000}"/>
    <cellStyle name="쉼표 [0] 21 9_뇌출혈특약(갱신형)" xfId="12730" xr:uid="{00000000-0005-0000-0000-0000023E0000}"/>
    <cellStyle name="쉼표 [0] 21_뇌출혈특약(갱신형)" xfId="12731" xr:uid="{00000000-0005-0000-0000-0000033E0000}"/>
    <cellStyle name="쉼표 [0] 22" xfId="5052" xr:uid="{00000000-0005-0000-0000-0000043E0000}"/>
    <cellStyle name="쉼표 [0] 22 10" xfId="5053" xr:uid="{00000000-0005-0000-0000-0000053E0000}"/>
    <cellStyle name="쉼표 [0] 22 11" xfId="5054" xr:uid="{00000000-0005-0000-0000-0000063E0000}"/>
    <cellStyle name="쉼표 [0] 22 12" xfId="12038" xr:uid="{00000000-0005-0000-0000-0000073E0000}"/>
    <cellStyle name="쉼표 [0] 22 13" xfId="17983" xr:uid="{00000000-0005-0000-0000-0000083E0000}"/>
    <cellStyle name="쉼표 [0] 22 2" xfId="5055" xr:uid="{00000000-0005-0000-0000-0000093E0000}"/>
    <cellStyle name="쉼표 [0] 22 2 2" xfId="5056" xr:uid="{00000000-0005-0000-0000-00000A3E0000}"/>
    <cellStyle name="쉼표 [0] 22 2 2 2" xfId="5057" xr:uid="{00000000-0005-0000-0000-00000B3E0000}"/>
    <cellStyle name="쉼표 [0] 22 2 2 2 2" xfId="5058" xr:uid="{00000000-0005-0000-0000-00000C3E0000}"/>
    <cellStyle name="쉼표 [0] 22 2 2 2 2 2" xfId="5059" xr:uid="{00000000-0005-0000-0000-00000D3E0000}"/>
    <cellStyle name="쉼표 [0] 22 2 2 2 2 3" xfId="5060" xr:uid="{00000000-0005-0000-0000-00000E3E0000}"/>
    <cellStyle name="쉼표 [0] 22 2 2 2 2_뇌출혈특약(갱신형)" xfId="12732" xr:uid="{00000000-0005-0000-0000-00000F3E0000}"/>
    <cellStyle name="쉼표 [0] 22 2 2 2 3" xfId="5061" xr:uid="{00000000-0005-0000-0000-0000103E0000}"/>
    <cellStyle name="쉼표 [0] 22 2 2 2 4" xfId="5062" xr:uid="{00000000-0005-0000-0000-0000113E0000}"/>
    <cellStyle name="쉼표 [0] 22 2 2 2_뇌출혈특약(갱신형)" xfId="12733" xr:uid="{00000000-0005-0000-0000-0000123E0000}"/>
    <cellStyle name="쉼표 [0] 22 2 2 3" xfId="5063" xr:uid="{00000000-0005-0000-0000-0000133E0000}"/>
    <cellStyle name="쉼표 [0] 22 2 2 3 2" xfId="5064" xr:uid="{00000000-0005-0000-0000-0000143E0000}"/>
    <cellStyle name="쉼표 [0] 22 2 2 3 2 2" xfId="5065" xr:uid="{00000000-0005-0000-0000-0000153E0000}"/>
    <cellStyle name="쉼표 [0] 22 2 2 3 2 3" xfId="5066" xr:uid="{00000000-0005-0000-0000-0000163E0000}"/>
    <cellStyle name="쉼표 [0] 22 2 2 3 2_뇌출혈특약(갱신형)" xfId="12734" xr:uid="{00000000-0005-0000-0000-0000173E0000}"/>
    <cellStyle name="쉼표 [0] 22 2 2 3 3" xfId="5067" xr:uid="{00000000-0005-0000-0000-0000183E0000}"/>
    <cellStyle name="쉼표 [0] 22 2 2 3 4" xfId="5068" xr:uid="{00000000-0005-0000-0000-0000193E0000}"/>
    <cellStyle name="쉼표 [0] 22 2 2 3_뇌출혈특약(갱신형)" xfId="12735" xr:uid="{00000000-0005-0000-0000-00001A3E0000}"/>
    <cellStyle name="쉼표 [0] 22 2 2 4" xfId="5069" xr:uid="{00000000-0005-0000-0000-00001B3E0000}"/>
    <cellStyle name="쉼표 [0] 22 2 2 4 2" xfId="5070" xr:uid="{00000000-0005-0000-0000-00001C3E0000}"/>
    <cellStyle name="쉼표 [0] 22 2 2 4 3" xfId="5071" xr:uid="{00000000-0005-0000-0000-00001D3E0000}"/>
    <cellStyle name="쉼표 [0] 22 2 2 4_뇌출혈특약(갱신형)" xfId="12736" xr:uid="{00000000-0005-0000-0000-00001E3E0000}"/>
    <cellStyle name="쉼표 [0] 22 2 2 5" xfId="5072" xr:uid="{00000000-0005-0000-0000-00001F3E0000}"/>
    <cellStyle name="쉼표 [0] 22 2 2 5 2" xfId="5073" xr:uid="{00000000-0005-0000-0000-0000203E0000}"/>
    <cellStyle name="쉼표 [0] 22 2 2 5 3" xfId="5074" xr:uid="{00000000-0005-0000-0000-0000213E0000}"/>
    <cellStyle name="쉼표 [0] 22 2 2 5_뇌출혈특약(갱신형)" xfId="12737" xr:uid="{00000000-0005-0000-0000-0000223E0000}"/>
    <cellStyle name="쉼표 [0] 22 2 2 6" xfId="5075" xr:uid="{00000000-0005-0000-0000-0000233E0000}"/>
    <cellStyle name="쉼표 [0] 22 2 2 7" xfId="5076" xr:uid="{00000000-0005-0000-0000-0000243E0000}"/>
    <cellStyle name="쉼표 [0] 22 2 2_뇌출혈특약(갱신형)" xfId="12738" xr:uid="{00000000-0005-0000-0000-0000253E0000}"/>
    <cellStyle name="쉼표 [0] 22 2 3" xfId="5077" xr:uid="{00000000-0005-0000-0000-0000263E0000}"/>
    <cellStyle name="쉼표 [0] 22 2 3 2" xfId="5078" xr:uid="{00000000-0005-0000-0000-0000273E0000}"/>
    <cellStyle name="쉼표 [0] 22 2 3 2 2" xfId="5079" xr:uid="{00000000-0005-0000-0000-0000283E0000}"/>
    <cellStyle name="쉼표 [0] 22 2 3 2 2 2" xfId="5080" xr:uid="{00000000-0005-0000-0000-0000293E0000}"/>
    <cellStyle name="쉼표 [0] 22 2 3 2 2 3" xfId="5081" xr:uid="{00000000-0005-0000-0000-00002A3E0000}"/>
    <cellStyle name="쉼표 [0] 22 2 3 2 2_뇌출혈특약(갱신형)" xfId="12739" xr:uid="{00000000-0005-0000-0000-00002B3E0000}"/>
    <cellStyle name="쉼표 [0] 22 2 3 2 3" xfId="5082" xr:uid="{00000000-0005-0000-0000-00002C3E0000}"/>
    <cellStyle name="쉼표 [0] 22 2 3 2 4" xfId="5083" xr:uid="{00000000-0005-0000-0000-00002D3E0000}"/>
    <cellStyle name="쉼표 [0] 22 2 3 2_뇌출혈특약(갱신형)" xfId="12740" xr:uid="{00000000-0005-0000-0000-00002E3E0000}"/>
    <cellStyle name="쉼표 [0] 22 2 3 3" xfId="5084" xr:uid="{00000000-0005-0000-0000-00002F3E0000}"/>
    <cellStyle name="쉼표 [0] 22 2 3 3 2" xfId="5085" xr:uid="{00000000-0005-0000-0000-0000303E0000}"/>
    <cellStyle name="쉼표 [0] 22 2 3 3 2 2" xfId="5086" xr:uid="{00000000-0005-0000-0000-0000313E0000}"/>
    <cellStyle name="쉼표 [0] 22 2 3 3 2 3" xfId="5087" xr:uid="{00000000-0005-0000-0000-0000323E0000}"/>
    <cellStyle name="쉼표 [0] 22 2 3 3 2_뇌출혈특약(갱신형)" xfId="12741" xr:uid="{00000000-0005-0000-0000-0000333E0000}"/>
    <cellStyle name="쉼표 [0] 22 2 3 3 3" xfId="5088" xr:uid="{00000000-0005-0000-0000-0000343E0000}"/>
    <cellStyle name="쉼표 [0] 22 2 3 3 4" xfId="5089" xr:uid="{00000000-0005-0000-0000-0000353E0000}"/>
    <cellStyle name="쉼표 [0] 22 2 3 3_뇌출혈특약(갱신형)" xfId="12742" xr:uid="{00000000-0005-0000-0000-0000363E0000}"/>
    <cellStyle name="쉼표 [0] 22 2 3 4" xfId="5090" xr:uid="{00000000-0005-0000-0000-0000373E0000}"/>
    <cellStyle name="쉼표 [0] 22 2 3 4 2" xfId="5091" xr:uid="{00000000-0005-0000-0000-0000383E0000}"/>
    <cellStyle name="쉼표 [0] 22 2 3 4 3" xfId="5092" xr:uid="{00000000-0005-0000-0000-0000393E0000}"/>
    <cellStyle name="쉼표 [0] 22 2 3 4_뇌출혈특약(갱신형)" xfId="12743" xr:uid="{00000000-0005-0000-0000-00003A3E0000}"/>
    <cellStyle name="쉼표 [0] 22 2 3 5" xfId="5093" xr:uid="{00000000-0005-0000-0000-00003B3E0000}"/>
    <cellStyle name="쉼표 [0] 22 2 3 5 2" xfId="5094" xr:uid="{00000000-0005-0000-0000-00003C3E0000}"/>
    <cellStyle name="쉼표 [0] 22 2 3 5 3" xfId="5095" xr:uid="{00000000-0005-0000-0000-00003D3E0000}"/>
    <cellStyle name="쉼표 [0] 22 2 3 5_뇌출혈특약(갱신형)" xfId="12744" xr:uid="{00000000-0005-0000-0000-00003E3E0000}"/>
    <cellStyle name="쉼표 [0] 22 2 3 6" xfId="5096" xr:uid="{00000000-0005-0000-0000-00003F3E0000}"/>
    <cellStyle name="쉼표 [0] 22 2 3 7" xfId="5097" xr:uid="{00000000-0005-0000-0000-0000403E0000}"/>
    <cellStyle name="쉼표 [0] 22 2 3_뇌출혈특약(갱신형)" xfId="12745" xr:uid="{00000000-0005-0000-0000-0000413E0000}"/>
    <cellStyle name="쉼표 [0] 22 2 4" xfId="5098" xr:uid="{00000000-0005-0000-0000-0000423E0000}"/>
    <cellStyle name="쉼표 [0] 22 2 4 2" xfId="5099" xr:uid="{00000000-0005-0000-0000-0000433E0000}"/>
    <cellStyle name="쉼표 [0] 22 2 4 2 2" xfId="5100" xr:uid="{00000000-0005-0000-0000-0000443E0000}"/>
    <cellStyle name="쉼표 [0] 22 2 4 2 3" xfId="5101" xr:uid="{00000000-0005-0000-0000-0000453E0000}"/>
    <cellStyle name="쉼표 [0] 22 2 4 2_뇌출혈특약(갱신형)" xfId="12746" xr:uid="{00000000-0005-0000-0000-0000463E0000}"/>
    <cellStyle name="쉼표 [0] 22 2 4 3" xfId="5102" xr:uid="{00000000-0005-0000-0000-0000473E0000}"/>
    <cellStyle name="쉼표 [0] 22 2 4 4" xfId="5103" xr:uid="{00000000-0005-0000-0000-0000483E0000}"/>
    <cellStyle name="쉼표 [0] 22 2 4_뇌출혈특약(갱신형)" xfId="12747" xr:uid="{00000000-0005-0000-0000-0000493E0000}"/>
    <cellStyle name="쉼표 [0] 22 2 5" xfId="5104" xr:uid="{00000000-0005-0000-0000-00004A3E0000}"/>
    <cellStyle name="쉼표 [0] 22 2 5 2" xfId="5105" xr:uid="{00000000-0005-0000-0000-00004B3E0000}"/>
    <cellStyle name="쉼표 [0] 22 2 5 2 2" xfId="5106" xr:uid="{00000000-0005-0000-0000-00004C3E0000}"/>
    <cellStyle name="쉼표 [0] 22 2 5 2 3" xfId="5107" xr:uid="{00000000-0005-0000-0000-00004D3E0000}"/>
    <cellStyle name="쉼표 [0] 22 2 5 2_뇌출혈특약(갱신형)" xfId="12748" xr:uid="{00000000-0005-0000-0000-00004E3E0000}"/>
    <cellStyle name="쉼표 [0] 22 2 5 3" xfId="5108" xr:uid="{00000000-0005-0000-0000-00004F3E0000}"/>
    <cellStyle name="쉼표 [0] 22 2 5 4" xfId="5109" xr:uid="{00000000-0005-0000-0000-0000503E0000}"/>
    <cellStyle name="쉼표 [0] 22 2 5_뇌출혈특약(갱신형)" xfId="12749" xr:uid="{00000000-0005-0000-0000-0000513E0000}"/>
    <cellStyle name="쉼표 [0] 22 2 6" xfId="5110" xr:uid="{00000000-0005-0000-0000-0000523E0000}"/>
    <cellStyle name="쉼표 [0] 22 2 6 2" xfId="5111" xr:uid="{00000000-0005-0000-0000-0000533E0000}"/>
    <cellStyle name="쉼표 [0] 22 2 6 3" xfId="5112" xr:uid="{00000000-0005-0000-0000-0000543E0000}"/>
    <cellStyle name="쉼표 [0] 22 2 6_뇌출혈특약(갱신형)" xfId="12750" xr:uid="{00000000-0005-0000-0000-0000553E0000}"/>
    <cellStyle name="쉼표 [0] 22 2 7" xfId="5113" xr:uid="{00000000-0005-0000-0000-0000563E0000}"/>
    <cellStyle name="쉼표 [0] 22 2 7 2" xfId="5114" xr:uid="{00000000-0005-0000-0000-0000573E0000}"/>
    <cellStyle name="쉼표 [0] 22 2 7 3" xfId="5115" xr:uid="{00000000-0005-0000-0000-0000583E0000}"/>
    <cellStyle name="쉼표 [0] 22 2 7_뇌출혈특약(갱신형)" xfId="12751" xr:uid="{00000000-0005-0000-0000-0000593E0000}"/>
    <cellStyle name="쉼표 [0] 22 2 8" xfId="5116" xr:uid="{00000000-0005-0000-0000-00005A3E0000}"/>
    <cellStyle name="쉼표 [0] 22 2 9" xfId="5117" xr:uid="{00000000-0005-0000-0000-00005B3E0000}"/>
    <cellStyle name="쉼표 [0] 22 2_뇌출혈특약(갱신형)" xfId="12752" xr:uid="{00000000-0005-0000-0000-00005C3E0000}"/>
    <cellStyle name="쉼표 [0] 22 3" xfId="5118" xr:uid="{00000000-0005-0000-0000-00005D3E0000}"/>
    <cellStyle name="쉼표 [0] 22 3 2" xfId="5119" xr:uid="{00000000-0005-0000-0000-00005E3E0000}"/>
    <cellStyle name="쉼표 [0] 22 3 2 2" xfId="5120" xr:uid="{00000000-0005-0000-0000-00005F3E0000}"/>
    <cellStyle name="쉼표 [0] 22 3 2 2 2" xfId="5121" xr:uid="{00000000-0005-0000-0000-0000603E0000}"/>
    <cellStyle name="쉼표 [0] 22 3 2 2 2 2" xfId="5122" xr:uid="{00000000-0005-0000-0000-0000613E0000}"/>
    <cellStyle name="쉼표 [0] 22 3 2 2 2 3" xfId="5123" xr:uid="{00000000-0005-0000-0000-0000623E0000}"/>
    <cellStyle name="쉼표 [0] 22 3 2 2 2_뇌출혈특약(갱신형)" xfId="12753" xr:uid="{00000000-0005-0000-0000-0000633E0000}"/>
    <cellStyle name="쉼표 [0] 22 3 2 2 3" xfId="5124" xr:uid="{00000000-0005-0000-0000-0000643E0000}"/>
    <cellStyle name="쉼표 [0] 22 3 2 2 4" xfId="5125" xr:uid="{00000000-0005-0000-0000-0000653E0000}"/>
    <cellStyle name="쉼표 [0] 22 3 2 2_뇌출혈특약(갱신형)" xfId="12754" xr:uid="{00000000-0005-0000-0000-0000663E0000}"/>
    <cellStyle name="쉼표 [0] 22 3 2 3" xfId="5126" xr:uid="{00000000-0005-0000-0000-0000673E0000}"/>
    <cellStyle name="쉼표 [0] 22 3 2 3 2" xfId="5127" xr:uid="{00000000-0005-0000-0000-0000683E0000}"/>
    <cellStyle name="쉼표 [0] 22 3 2 3 2 2" xfId="5128" xr:uid="{00000000-0005-0000-0000-0000693E0000}"/>
    <cellStyle name="쉼표 [0] 22 3 2 3 2 3" xfId="5129" xr:uid="{00000000-0005-0000-0000-00006A3E0000}"/>
    <cellStyle name="쉼표 [0] 22 3 2 3 2_뇌출혈특약(갱신형)" xfId="12755" xr:uid="{00000000-0005-0000-0000-00006B3E0000}"/>
    <cellStyle name="쉼표 [0] 22 3 2 3 3" xfId="5130" xr:uid="{00000000-0005-0000-0000-00006C3E0000}"/>
    <cellStyle name="쉼표 [0] 22 3 2 3 4" xfId="5131" xr:uid="{00000000-0005-0000-0000-00006D3E0000}"/>
    <cellStyle name="쉼표 [0] 22 3 2 3_뇌출혈특약(갱신형)" xfId="12756" xr:uid="{00000000-0005-0000-0000-00006E3E0000}"/>
    <cellStyle name="쉼표 [0] 22 3 2 4" xfId="5132" xr:uid="{00000000-0005-0000-0000-00006F3E0000}"/>
    <cellStyle name="쉼표 [0] 22 3 2 4 2" xfId="5133" xr:uid="{00000000-0005-0000-0000-0000703E0000}"/>
    <cellStyle name="쉼표 [0] 22 3 2 4 3" xfId="5134" xr:uid="{00000000-0005-0000-0000-0000713E0000}"/>
    <cellStyle name="쉼표 [0] 22 3 2 4_뇌출혈특약(갱신형)" xfId="12757" xr:uid="{00000000-0005-0000-0000-0000723E0000}"/>
    <cellStyle name="쉼표 [0] 22 3 2 5" xfId="5135" xr:uid="{00000000-0005-0000-0000-0000733E0000}"/>
    <cellStyle name="쉼표 [0] 22 3 2 5 2" xfId="5136" xr:uid="{00000000-0005-0000-0000-0000743E0000}"/>
    <cellStyle name="쉼표 [0] 22 3 2 5 3" xfId="5137" xr:uid="{00000000-0005-0000-0000-0000753E0000}"/>
    <cellStyle name="쉼표 [0] 22 3 2 5_뇌출혈특약(갱신형)" xfId="12758" xr:uid="{00000000-0005-0000-0000-0000763E0000}"/>
    <cellStyle name="쉼표 [0] 22 3 2 6" xfId="5138" xr:uid="{00000000-0005-0000-0000-0000773E0000}"/>
    <cellStyle name="쉼표 [0] 22 3 2 7" xfId="5139" xr:uid="{00000000-0005-0000-0000-0000783E0000}"/>
    <cellStyle name="쉼표 [0] 22 3 2_뇌출혈특약(갱신형)" xfId="12759" xr:uid="{00000000-0005-0000-0000-0000793E0000}"/>
    <cellStyle name="쉼표 [0] 22 3 3" xfId="5140" xr:uid="{00000000-0005-0000-0000-00007A3E0000}"/>
    <cellStyle name="쉼표 [0] 22 3 3 2" xfId="5141" xr:uid="{00000000-0005-0000-0000-00007B3E0000}"/>
    <cellStyle name="쉼표 [0] 22 3 3 2 2" xfId="5142" xr:uid="{00000000-0005-0000-0000-00007C3E0000}"/>
    <cellStyle name="쉼표 [0] 22 3 3 2 2 2" xfId="5143" xr:uid="{00000000-0005-0000-0000-00007D3E0000}"/>
    <cellStyle name="쉼표 [0] 22 3 3 2 2 3" xfId="5144" xr:uid="{00000000-0005-0000-0000-00007E3E0000}"/>
    <cellStyle name="쉼표 [0] 22 3 3 2 2_뇌출혈특약(갱신형)" xfId="12760" xr:uid="{00000000-0005-0000-0000-00007F3E0000}"/>
    <cellStyle name="쉼표 [0] 22 3 3 2 3" xfId="5145" xr:uid="{00000000-0005-0000-0000-0000803E0000}"/>
    <cellStyle name="쉼표 [0] 22 3 3 2 4" xfId="5146" xr:uid="{00000000-0005-0000-0000-0000813E0000}"/>
    <cellStyle name="쉼표 [0] 22 3 3 2_뇌출혈특약(갱신형)" xfId="12761" xr:uid="{00000000-0005-0000-0000-0000823E0000}"/>
    <cellStyle name="쉼표 [0] 22 3 3 3" xfId="5147" xr:uid="{00000000-0005-0000-0000-0000833E0000}"/>
    <cellStyle name="쉼표 [0] 22 3 3 3 2" xfId="5148" xr:uid="{00000000-0005-0000-0000-0000843E0000}"/>
    <cellStyle name="쉼표 [0] 22 3 3 3 2 2" xfId="5149" xr:uid="{00000000-0005-0000-0000-0000853E0000}"/>
    <cellStyle name="쉼표 [0] 22 3 3 3 2 3" xfId="5150" xr:uid="{00000000-0005-0000-0000-0000863E0000}"/>
    <cellStyle name="쉼표 [0] 22 3 3 3 2_뇌출혈특약(갱신형)" xfId="12762" xr:uid="{00000000-0005-0000-0000-0000873E0000}"/>
    <cellStyle name="쉼표 [0] 22 3 3 3 3" xfId="5151" xr:uid="{00000000-0005-0000-0000-0000883E0000}"/>
    <cellStyle name="쉼표 [0] 22 3 3 3 4" xfId="5152" xr:uid="{00000000-0005-0000-0000-0000893E0000}"/>
    <cellStyle name="쉼표 [0] 22 3 3 3_뇌출혈특약(갱신형)" xfId="12763" xr:uid="{00000000-0005-0000-0000-00008A3E0000}"/>
    <cellStyle name="쉼표 [0] 22 3 3 4" xfId="5153" xr:uid="{00000000-0005-0000-0000-00008B3E0000}"/>
    <cellStyle name="쉼표 [0] 22 3 3 4 2" xfId="5154" xr:uid="{00000000-0005-0000-0000-00008C3E0000}"/>
    <cellStyle name="쉼표 [0] 22 3 3 4 3" xfId="5155" xr:uid="{00000000-0005-0000-0000-00008D3E0000}"/>
    <cellStyle name="쉼표 [0] 22 3 3 4_뇌출혈특약(갱신형)" xfId="12764" xr:uid="{00000000-0005-0000-0000-00008E3E0000}"/>
    <cellStyle name="쉼표 [0] 22 3 3 5" xfId="5156" xr:uid="{00000000-0005-0000-0000-00008F3E0000}"/>
    <cellStyle name="쉼표 [0] 22 3 3 5 2" xfId="5157" xr:uid="{00000000-0005-0000-0000-0000903E0000}"/>
    <cellStyle name="쉼표 [0] 22 3 3 5 3" xfId="5158" xr:uid="{00000000-0005-0000-0000-0000913E0000}"/>
    <cellStyle name="쉼표 [0] 22 3 3 5_뇌출혈특약(갱신형)" xfId="12765" xr:uid="{00000000-0005-0000-0000-0000923E0000}"/>
    <cellStyle name="쉼표 [0] 22 3 3 6" xfId="5159" xr:uid="{00000000-0005-0000-0000-0000933E0000}"/>
    <cellStyle name="쉼표 [0] 22 3 3 7" xfId="5160" xr:uid="{00000000-0005-0000-0000-0000943E0000}"/>
    <cellStyle name="쉼표 [0] 22 3 3_뇌출혈특약(갱신형)" xfId="12766" xr:uid="{00000000-0005-0000-0000-0000953E0000}"/>
    <cellStyle name="쉼표 [0] 22 3 4" xfId="5161" xr:uid="{00000000-0005-0000-0000-0000963E0000}"/>
    <cellStyle name="쉼표 [0] 22 3 4 2" xfId="5162" xr:uid="{00000000-0005-0000-0000-0000973E0000}"/>
    <cellStyle name="쉼표 [0] 22 3 4 2 2" xfId="5163" xr:uid="{00000000-0005-0000-0000-0000983E0000}"/>
    <cellStyle name="쉼표 [0] 22 3 4 2 3" xfId="5164" xr:uid="{00000000-0005-0000-0000-0000993E0000}"/>
    <cellStyle name="쉼표 [0] 22 3 4 2_뇌출혈특약(갱신형)" xfId="12767" xr:uid="{00000000-0005-0000-0000-00009A3E0000}"/>
    <cellStyle name="쉼표 [0] 22 3 4 3" xfId="5165" xr:uid="{00000000-0005-0000-0000-00009B3E0000}"/>
    <cellStyle name="쉼표 [0] 22 3 4 4" xfId="5166" xr:uid="{00000000-0005-0000-0000-00009C3E0000}"/>
    <cellStyle name="쉼표 [0] 22 3 4_뇌출혈특약(갱신형)" xfId="12768" xr:uid="{00000000-0005-0000-0000-00009D3E0000}"/>
    <cellStyle name="쉼표 [0] 22 3 5" xfId="5167" xr:uid="{00000000-0005-0000-0000-00009E3E0000}"/>
    <cellStyle name="쉼표 [0] 22 3 5 2" xfId="5168" xr:uid="{00000000-0005-0000-0000-00009F3E0000}"/>
    <cellStyle name="쉼표 [0] 22 3 5 2 2" xfId="5169" xr:uid="{00000000-0005-0000-0000-0000A03E0000}"/>
    <cellStyle name="쉼표 [0] 22 3 5 2 3" xfId="5170" xr:uid="{00000000-0005-0000-0000-0000A13E0000}"/>
    <cellStyle name="쉼표 [0] 22 3 5 2_뇌출혈특약(갱신형)" xfId="12769" xr:uid="{00000000-0005-0000-0000-0000A23E0000}"/>
    <cellStyle name="쉼표 [0] 22 3 5 3" xfId="5171" xr:uid="{00000000-0005-0000-0000-0000A33E0000}"/>
    <cellStyle name="쉼표 [0] 22 3 5 4" xfId="5172" xr:uid="{00000000-0005-0000-0000-0000A43E0000}"/>
    <cellStyle name="쉼표 [0] 22 3 5_뇌출혈특약(갱신형)" xfId="12770" xr:uid="{00000000-0005-0000-0000-0000A53E0000}"/>
    <cellStyle name="쉼표 [0] 22 3 6" xfId="5173" xr:uid="{00000000-0005-0000-0000-0000A63E0000}"/>
    <cellStyle name="쉼표 [0] 22 3 6 2" xfId="5174" xr:uid="{00000000-0005-0000-0000-0000A73E0000}"/>
    <cellStyle name="쉼표 [0] 22 3 6 3" xfId="5175" xr:uid="{00000000-0005-0000-0000-0000A83E0000}"/>
    <cellStyle name="쉼표 [0] 22 3 6_뇌출혈특약(갱신형)" xfId="12771" xr:uid="{00000000-0005-0000-0000-0000A93E0000}"/>
    <cellStyle name="쉼표 [0] 22 3 7" xfId="5176" xr:uid="{00000000-0005-0000-0000-0000AA3E0000}"/>
    <cellStyle name="쉼표 [0] 22 3 7 2" xfId="5177" xr:uid="{00000000-0005-0000-0000-0000AB3E0000}"/>
    <cellStyle name="쉼표 [0] 22 3 7 3" xfId="5178" xr:uid="{00000000-0005-0000-0000-0000AC3E0000}"/>
    <cellStyle name="쉼표 [0] 22 3 7_뇌출혈특약(갱신형)" xfId="12772" xr:uid="{00000000-0005-0000-0000-0000AD3E0000}"/>
    <cellStyle name="쉼표 [0] 22 3 8" xfId="5179" xr:uid="{00000000-0005-0000-0000-0000AE3E0000}"/>
    <cellStyle name="쉼표 [0] 22 3 9" xfId="5180" xr:uid="{00000000-0005-0000-0000-0000AF3E0000}"/>
    <cellStyle name="쉼표 [0] 22 3_뇌출혈특약(갱신형)" xfId="12773" xr:uid="{00000000-0005-0000-0000-0000B03E0000}"/>
    <cellStyle name="쉼표 [0] 22 4" xfId="5181" xr:uid="{00000000-0005-0000-0000-0000B13E0000}"/>
    <cellStyle name="쉼표 [0] 22 4 2" xfId="12039" xr:uid="{00000000-0005-0000-0000-0000B23E0000}"/>
    <cellStyle name="쉼표 [0] 22 5" xfId="5182" xr:uid="{00000000-0005-0000-0000-0000B33E0000}"/>
    <cellStyle name="쉼표 [0] 22 5 2" xfId="5183" xr:uid="{00000000-0005-0000-0000-0000B43E0000}"/>
    <cellStyle name="쉼표 [0] 22 5 2 2" xfId="5184" xr:uid="{00000000-0005-0000-0000-0000B53E0000}"/>
    <cellStyle name="쉼표 [0] 22 5 2 2 2" xfId="5185" xr:uid="{00000000-0005-0000-0000-0000B63E0000}"/>
    <cellStyle name="쉼표 [0] 22 5 2 2 3" xfId="5186" xr:uid="{00000000-0005-0000-0000-0000B73E0000}"/>
    <cellStyle name="쉼표 [0] 22 5 2 2_뇌출혈특약(갱신형)" xfId="12774" xr:uid="{00000000-0005-0000-0000-0000B83E0000}"/>
    <cellStyle name="쉼표 [0] 22 5 2 3" xfId="5187" xr:uid="{00000000-0005-0000-0000-0000B93E0000}"/>
    <cellStyle name="쉼표 [0] 22 5 2 4" xfId="5188" xr:uid="{00000000-0005-0000-0000-0000BA3E0000}"/>
    <cellStyle name="쉼표 [0] 22 5 2_뇌출혈특약(갱신형)" xfId="12775" xr:uid="{00000000-0005-0000-0000-0000BB3E0000}"/>
    <cellStyle name="쉼표 [0] 22 5 3" xfId="5189" xr:uid="{00000000-0005-0000-0000-0000BC3E0000}"/>
    <cellStyle name="쉼표 [0] 22 5 3 2" xfId="5190" xr:uid="{00000000-0005-0000-0000-0000BD3E0000}"/>
    <cellStyle name="쉼표 [0] 22 5 3 2 2" xfId="5191" xr:uid="{00000000-0005-0000-0000-0000BE3E0000}"/>
    <cellStyle name="쉼표 [0] 22 5 3 2 3" xfId="5192" xr:uid="{00000000-0005-0000-0000-0000BF3E0000}"/>
    <cellStyle name="쉼표 [0] 22 5 3 2_뇌출혈특약(갱신형)" xfId="12776" xr:uid="{00000000-0005-0000-0000-0000C03E0000}"/>
    <cellStyle name="쉼표 [0] 22 5 3 3" xfId="5193" xr:uid="{00000000-0005-0000-0000-0000C13E0000}"/>
    <cellStyle name="쉼표 [0] 22 5 3 4" xfId="5194" xr:uid="{00000000-0005-0000-0000-0000C23E0000}"/>
    <cellStyle name="쉼표 [0] 22 5 3_뇌출혈특약(갱신형)" xfId="12777" xr:uid="{00000000-0005-0000-0000-0000C33E0000}"/>
    <cellStyle name="쉼표 [0] 22 5 4" xfId="5195" xr:uid="{00000000-0005-0000-0000-0000C43E0000}"/>
    <cellStyle name="쉼표 [0] 22 5 4 2" xfId="5196" xr:uid="{00000000-0005-0000-0000-0000C53E0000}"/>
    <cellStyle name="쉼표 [0] 22 5 4 3" xfId="5197" xr:uid="{00000000-0005-0000-0000-0000C63E0000}"/>
    <cellStyle name="쉼표 [0] 22 5 4_뇌출혈특약(갱신형)" xfId="12778" xr:uid="{00000000-0005-0000-0000-0000C73E0000}"/>
    <cellStyle name="쉼표 [0] 22 5 5" xfId="5198" xr:uid="{00000000-0005-0000-0000-0000C83E0000}"/>
    <cellStyle name="쉼표 [0] 22 5 5 2" xfId="5199" xr:uid="{00000000-0005-0000-0000-0000C93E0000}"/>
    <cellStyle name="쉼표 [0] 22 5 5 3" xfId="5200" xr:uid="{00000000-0005-0000-0000-0000CA3E0000}"/>
    <cellStyle name="쉼표 [0] 22 5 5_뇌출혈특약(갱신형)" xfId="12779" xr:uid="{00000000-0005-0000-0000-0000CB3E0000}"/>
    <cellStyle name="쉼표 [0] 22 5 6" xfId="5201" xr:uid="{00000000-0005-0000-0000-0000CC3E0000}"/>
    <cellStyle name="쉼표 [0] 22 5 7" xfId="5202" xr:uid="{00000000-0005-0000-0000-0000CD3E0000}"/>
    <cellStyle name="쉼표 [0] 22 5_뇌출혈특약(갱신형)" xfId="12780" xr:uid="{00000000-0005-0000-0000-0000CE3E0000}"/>
    <cellStyle name="쉼표 [0] 22 6" xfId="5203" xr:uid="{00000000-0005-0000-0000-0000CF3E0000}"/>
    <cellStyle name="쉼표 [0] 22 6 2" xfId="5204" xr:uid="{00000000-0005-0000-0000-0000D03E0000}"/>
    <cellStyle name="쉼표 [0] 22 6 2 2" xfId="5205" xr:uid="{00000000-0005-0000-0000-0000D13E0000}"/>
    <cellStyle name="쉼표 [0] 22 6 2 3" xfId="5206" xr:uid="{00000000-0005-0000-0000-0000D23E0000}"/>
    <cellStyle name="쉼표 [0] 22 6 2_뇌출혈특약(갱신형)" xfId="12781" xr:uid="{00000000-0005-0000-0000-0000D33E0000}"/>
    <cellStyle name="쉼표 [0] 22 6 3" xfId="5207" xr:uid="{00000000-0005-0000-0000-0000D43E0000}"/>
    <cellStyle name="쉼표 [0] 22 6 4" xfId="5208" xr:uid="{00000000-0005-0000-0000-0000D53E0000}"/>
    <cellStyle name="쉼표 [0] 22 6_뇌출혈특약(갱신형)" xfId="12782" xr:uid="{00000000-0005-0000-0000-0000D63E0000}"/>
    <cellStyle name="쉼표 [0] 22 7" xfId="5209" xr:uid="{00000000-0005-0000-0000-0000D73E0000}"/>
    <cellStyle name="쉼표 [0] 22 7 2" xfId="5210" xr:uid="{00000000-0005-0000-0000-0000D83E0000}"/>
    <cellStyle name="쉼표 [0] 22 7 2 2" xfId="5211" xr:uid="{00000000-0005-0000-0000-0000D93E0000}"/>
    <cellStyle name="쉼표 [0] 22 7 2 3" xfId="5212" xr:uid="{00000000-0005-0000-0000-0000DA3E0000}"/>
    <cellStyle name="쉼표 [0] 22 7 2_뇌출혈특약(갱신형)" xfId="12783" xr:uid="{00000000-0005-0000-0000-0000DB3E0000}"/>
    <cellStyle name="쉼표 [0] 22 7 3" xfId="5213" xr:uid="{00000000-0005-0000-0000-0000DC3E0000}"/>
    <cellStyle name="쉼표 [0] 22 7 4" xfId="5214" xr:uid="{00000000-0005-0000-0000-0000DD3E0000}"/>
    <cellStyle name="쉼표 [0] 22 7_뇌출혈특약(갱신형)" xfId="12784" xr:uid="{00000000-0005-0000-0000-0000DE3E0000}"/>
    <cellStyle name="쉼표 [0] 22 8" xfId="5215" xr:uid="{00000000-0005-0000-0000-0000DF3E0000}"/>
    <cellStyle name="쉼표 [0] 22 8 2" xfId="5216" xr:uid="{00000000-0005-0000-0000-0000E03E0000}"/>
    <cellStyle name="쉼표 [0] 22 8 3" xfId="5217" xr:uid="{00000000-0005-0000-0000-0000E13E0000}"/>
    <cellStyle name="쉼표 [0] 22 8_뇌출혈특약(갱신형)" xfId="12785" xr:uid="{00000000-0005-0000-0000-0000E23E0000}"/>
    <cellStyle name="쉼표 [0] 22 9" xfId="5218" xr:uid="{00000000-0005-0000-0000-0000E33E0000}"/>
    <cellStyle name="쉼표 [0] 22_뇌출혈특약(갱신형)" xfId="12786" xr:uid="{00000000-0005-0000-0000-0000E43E0000}"/>
    <cellStyle name="쉼표 [0] 23" xfId="5219" xr:uid="{00000000-0005-0000-0000-0000E53E0000}"/>
    <cellStyle name="쉼표 [0] 23 2" xfId="12040" xr:uid="{00000000-0005-0000-0000-0000E63E0000}"/>
    <cellStyle name="쉼표 [0] 23 3" xfId="12041" xr:uid="{00000000-0005-0000-0000-0000E73E0000}"/>
    <cellStyle name="쉼표 [0] 23 4" xfId="20524" xr:uid="{00000000-0005-0000-0000-0000E83E0000}"/>
    <cellStyle name="쉼표 [0] 24" xfId="5220" xr:uid="{00000000-0005-0000-0000-0000E93E0000}"/>
    <cellStyle name="쉼표 [0] 24 10" xfId="5221" xr:uid="{00000000-0005-0000-0000-0000EA3E0000}"/>
    <cellStyle name="쉼표 [0] 24 2" xfId="5222" xr:uid="{00000000-0005-0000-0000-0000EB3E0000}"/>
    <cellStyle name="쉼표 [0] 24 3" xfId="5223" xr:uid="{00000000-0005-0000-0000-0000EC3E0000}"/>
    <cellStyle name="쉼표 [0] 24 3 2" xfId="5224" xr:uid="{00000000-0005-0000-0000-0000ED3E0000}"/>
    <cellStyle name="쉼표 [0] 24 3 2 2" xfId="5225" xr:uid="{00000000-0005-0000-0000-0000EE3E0000}"/>
    <cellStyle name="쉼표 [0] 24 3 2 2 2" xfId="5226" xr:uid="{00000000-0005-0000-0000-0000EF3E0000}"/>
    <cellStyle name="쉼표 [0] 24 3 2 2 3" xfId="5227" xr:uid="{00000000-0005-0000-0000-0000F03E0000}"/>
    <cellStyle name="쉼표 [0] 24 3 2 2_뇌출혈특약(갱신형)" xfId="12787" xr:uid="{00000000-0005-0000-0000-0000F13E0000}"/>
    <cellStyle name="쉼표 [0] 24 3 2 3" xfId="5228" xr:uid="{00000000-0005-0000-0000-0000F23E0000}"/>
    <cellStyle name="쉼표 [0] 24 3 2 4" xfId="5229" xr:uid="{00000000-0005-0000-0000-0000F33E0000}"/>
    <cellStyle name="쉼표 [0] 24 3 2_뇌출혈특약(갱신형)" xfId="12788" xr:uid="{00000000-0005-0000-0000-0000F43E0000}"/>
    <cellStyle name="쉼표 [0] 24 3 3" xfId="5230" xr:uid="{00000000-0005-0000-0000-0000F53E0000}"/>
    <cellStyle name="쉼표 [0] 24 3 3 2" xfId="5231" xr:uid="{00000000-0005-0000-0000-0000F63E0000}"/>
    <cellStyle name="쉼표 [0] 24 3 3 2 2" xfId="5232" xr:uid="{00000000-0005-0000-0000-0000F73E0000}"/>
    <cellStyle name="쉼표 [0] 24 3 3 2 3" xfId="5233" xr:uid="{00000000-0005-0000-0000-0000F83E0000}"/>
    <cellStyle name="쉼표 [0] 24 3 3 2_뇌출혈특약(갱신형)" xfId="12789" xr:uid="{00000000-0005-0000-0000-0000F93E0000}"/>
    <cellStyle name="쉼표 [0] 24 3 3 3" xfId="5234" xr:uid="{00000000-0005-0000-0000-0000FA3E0000}"/>
    <cellStyle name="쉼표 [0] 24 3 3 4" xfId="5235" xr:uid="{00000000-0005-0000-0000-0000FB3E0000}"/>
    <cellStyle name="쉼표 [0] 24 3 3_뇌출혈특약(갱신형)" xfId="12790" xr:uid="{00000000-0005-0000-0000-0000FC3E0000}"/>
    <cellStyle name="쉼표 [0] 24 3 4" xfId="5236" xr:uid="{00000000-0005-0000-0000-0000FD3E0000}"/>
    <cellStyle name="쉼표 [0] 24 3 4 2" xfId="5237" xr:uid="{00000000-0005-0000-0000-0000FE3E0000}"/>
    <cellStyle name="쉼표 [0] 24 3 4 3" xfId="5238" xr:uid="{00000000-0005-0000-0000-0000FF3E0000}"/>
    <cellStyle name="쉼표 [0] 24 3 4_뇌출혈특약(갱신형)" xfId="12791" xr:uid="{00000000-0005-0000-0000-0000003F0000}"/>
    <cellStyle name="쉼표 [0] 24 3 5" xfId="5239" xr:uid="{00000000-0005-0000-0000-0000013F0000}"/>
    <cellStyle name="쉼표 [0] 24 3 5 2" xfId="5240" xr:uid="{00000000-0005-0000-0000-0000023F0000}"/>
    <cellStyle name="쉼표 [0] 24 3 5 3" xfId="5241" xr:uid="{00000000-0005-0000-0000-0000033F0000}"/>
    <cellStyle name="쉼표 [0] 24 3 5_뇌출혈특약(갱신형)" xfId="12792" xr:uid="{00000000-0005-0000-0000-0000043F0000}"/>
    <cellStyle name="쉼표 [0] 24 3 6" xfId="5242" xr:uid="{00000000-0005-0000-0000-0000053F0000}"/>
    <cellStyle name="쉼표 [0] 24 3 7" xfId="5243" xr:uid="{00000000-0005-0000-0000-0000063F0000}"/>
    <cellStyle name="쉼표 [0] 24 3_뇌출혈특약(갱신형)" xfId="12793" xr:uid="{00000000-0005-0000-0000-0000073F0000}"/>
    <cellStyle name="쉼표 [0] 24 4" xfId="5244" xr:uid="{00000000-0005-0000-0000-0000083F0000}"/>
    <cellStyle name="쉼표 [0] 24 4 2" xfId="5245" xr:uid="{00000000-0005-0000-0000-0000093F0000}"/>
    <cellStyle name="쉼표 [0] 24 4 2 2" xfId="5246" xr:uid="{00000000-0005-0000-0000-00000A3F0000}"/>
    <cellStyle name="쉼표 [0] 24 4 2 2 2" xfId="5247" xr:uid="{00000000-0005-0000-0000-00000B3F0000}"/>
    <cellStyle name="쉼표 [0] 24 4 2 2 3" xfId="5248" xr:uid="{00000000-0005-0000-0000-00000C3F0000}"/>
    <cellStyle name="쉼표 [0] 24 4 2 2_뇌출혈특약(갱신형)" xfId="12794" xr:uid="{00000000-0005-0000-0000-00000D3F0000}"/>
    <cellStyle name="쉼표 [0] 24 4 2 3" xfId="5249" xr:uid="{00000000-0005-0000-0000-00000E3F0000}"/>
    <cellStyle name="쉼표 [0] 24 4 2 4" xfId="5250" xr:uid="{00000000-0005-0000-0000-00000F3F0000}"/>
    <cellStyle name="쉼표 [0] 24 4 2_뇌출혈특약(갱신형)" xfId="12795" xr:uid="{00000000-0005-0000-0000-0000103F0000}"/>
    <cellStyle name="쉼표 [0] 24 4 3" xfId="5251" xr:uid="{00000000-0005-0000-0000-0000113F0000}"/>
    <cellStyle name="쉼표 [0] 24 4 3 2" xfId="5252" xr:uid="{00000000-0005-0000-0000-0000123F0000}"/>
    <cellStyle name="쉼표 [0] 24 4 3 2 2" xfId="5253" xr:uid="{00000000-0005-0000-0000-0000133F0000}"/>
    <cellStyle name="쉼표 [0] 24 4 3 2 3" xfId="5254" xr:uid="{00000000-0005-0000-0000-0000143F0000}"/>
    <cellStyle name="쉼표 [0] 24 4 3 2_뇌출혈특약(갱신형)" xfId="12796" xr:uid="{00000000-0005-0000-0000-0000153F0000}"/>
    <cellStyle name="쉼표 [0] 24 4 3 3" xfId="5255" xr:uid="{00000000-0005-0000-0000-0000163F0000}"/>
    <cellStyle name="쉼표 [0] 24 4 3 4" xfId="5256" xr:uid="{00000000-0005-0000-0000-0000173F0000}"/>
    <cellStyle name="쉼표 [0] 24 4 3_뇌출혈특약(갱신형)" xfId="12797" xr:uid="{00000000-0005-0000-0000-0000183F0000}"/>
    <cellStyle name="쉼표 [0] 24 4 4" xfId="5257" xr:uid="{00000000-0005-0000-0000-0000193F0000}"/>
    <cellStyle name="쉼표 [0] 24 4 4 2" xfId="5258" xr:uid="{00000000-0005-0000-0000-00001A3F0000}"/>
    <cellStyle name="쉼표 [0] 24 4 4 3" xfId="5259" xr:uid="{00000000-0005-0000-0000-00001B3F0000}"/>
    <cellStyle name="쉼표 [0] 24 4 4_뇌출혈특약(갱신형)" xfId="12798" xr:uid="{00000000-0005-0000-0000-00001C3F0000}"/>
    <cellStyle name="쉼표 [0] 24 4 5" xfId="5260" xr:uid="{00000000-0005-0000-0000-00001D3F0000}"/>
    <cellStyle name="쉼표 [0] 24 4 5 2" xfId="5261" xr:uid="{00000000-0005-0000-0000-00001E3F0000}"/>
    <cellStyle name="쉼표 [0] 24 4 5 3" xfId="5262" xr:uid="{00000000-0005-0000-0000-00001F3F0000}"/>
    <cellStyle name="쉼표 [0] 24 4 5_뇌출혈특약(갱신형)" xfId="12799" xr:uid="{00000000-0005-0000-0000-0000203F0000}"/>
    <cellStyle name="쉼표 [0] 24 4 6" xfId="5263" xr:uid="{00000000-0005-0000-0000-0000213F0000}"/>
    <cellStyle name="쉼표 [0] 24 4 7" xfId="5264" xr:uid="{00000000-0005-0000-0000-0000223F0000}"/>
    <cellStyle name="쉼표 [0] 24 4_뇌출혈특약(갱신형)" xfId="12800" xr:uid="{00000000-0005-0000-0000-0000233F0000}"/>
    <cellStyle name="쉼표 [0] 24 5" xfId="5265" xr:uid="{00000000-0005-0000-0000-0000243F0000}"/>
    <cellStyle name="쉼표 [0] 24 5 2" xfId="5266" xr:uid="{00000000-0005-0000-0000-0000253F0000}"/>
    <cellStyle name="쉼표 [0] 24 5 2 2" xfId="5267" xr:uid="{00000000-0005-0000-0000-0000263F0000}"/>
    <cellStyle name="쉼표 [0] 24 5 2 3" xfId="5268" xr:uid="{00000000-0005-0000-0000-0000273F0000}"/>
    <cellStyle name="쉼표 [0] 24 5 2_뇌출혈특약(갱신형)" xfId="12801" xr:uid="{00000000-0005-0000-0000-0000283F0000}"/>
    <cellStyle name="쉼표 [0] 24 5 3" xfId="5269" xr:uid="{00000000-0005-0000-0000-0000293F0000}"/>
    <cellStyle name="쉼표 [0] 24 5 4" xfId="5270" xr:uid="{00000000-0005-0000-0000-00002A3F0000}"/>
    <cellStyle name="쉼표 [0] 24 5_뇌출혈특약(갱신형)" xfId="12802" xr:uid="{00000000-0005-0000-0000-00002B3F0000}"/>
    <cellStyle name="쉼표 [0] 24 6" xfId="5271" xr:uid="{00000000-0005-0000-0000-00002C3F0000}"/>
    <cellStyle name="쉼표 [0] 24 6 2" xfId="5272" xr:uid="{00000000-0005-0000-0000-00002D3F0000}"/>
    <cellStyle name="쉼표 [0] 24 6 2 2" xfId="5273" xr:uid="{00000000-0005-0000-0000-00002E3F0000}"/>
    <cellStyle name="쉼표 [0] 24 6 2 3" xfId="5274" xr:uid="{00000000-0005-0000-0000-00002F3F0000}"/>
    <cellStyle name="쉼표 [0] 24 6 2_뇌출혈특약(갱신형)" xfId="12803" xr:uid="{00000000-0005-0000-0000-0000303F0000}"/>
    <cellStyle name="쉼표 [0] 24 6 3" xfId="5275" xr:uid="{00000000-0005-0000-0000-0000313F0000}"/>
    <cellStyle name="쉼표 [0] 24 6 4" xfId="5276" xr:uid="{00000000-0005-0000-0000-0000323F0000}"/>
    <cellStyle name="쉼표 [0] 24 6_뇌출혈특약(갱신형)" xfId="12804" xr:uid="{00000000-0005-0000-0000-0000333F0000}"/>
    <cellStyle name="쉼표 [0] 24 7" xfId="5277" xr:uid="{00000000-0005-0000-0000-0000343F0000}"/>
    <cellStyle name="쉼표 [0] 24 7 2" xfId="5278" xr:uid="{00000000-0005-0000-0000-0000353F0000}"/>
    <cellStyle name="쉼표 [0] 24 7 3" xfId="5279" xr:uid="{00000000-0005-0000-0000-0000363F0000}"/>
    <cellStyle name="쉼표 [0] 24 7_뇌출혈특약(갱신형)" xfId="12805" xr:uid="{00000000-0005-0000-0000-0000373F0000}"/>
    <cellStyle name="쉼표 [0] 24 8" xfId="5280" xr:uid="{00000000-0005-0000-0000-0000383F0000}"/>
    <cellStyle name="쉼표 [0] 24 9" xfId="5281" xr:uid="{00000000-0005-0000-0000-0000393F0000}"/>
    <cellStyle name="쉼표 [0] 24_뇌출혈특약(갱신형)" xfId="12806" xr:uid="{00000000-0005-0000-0000-00003A3F0000}"/>
    <cellStyle name="쉼표 [0] 25" xfId="5282" xr:uid="{00000000-0005-0000-0000-00003B3F0000}"/>
    <cellStyle name="쉼표 [0] 25 2" xfId="5283" xr:uid="{00000000-0005-0000-0000-00003C3F0000}"/>
    <cellStyle name="쉼표 [0] 25 2 2" xfId="5284" xr:uid="{00000000-0005-0000-0000-00003D3F0000}"/>
    <cellStyle name="쉼표 [0] 25 2 2 2" xfId="5285" xr:uid="{00000000-0005-0000-0000-00003E3F0000}"/>
    <cellStyle name="쉼표 [0] 25 2 2 2 2" xfId="5286" xr:uid="{00000000-0005-0000-0000-00003F3F0000}"/>
    <cellStyle name="쉼표 [0] 25 2 2 2 3" xfId="5287" xr:uid="{00000000-0005-0000-0000-0000403F0000}"/>
    <cellStyle name="쉼표 [0] 25 2 2 2_뇌출혈특약(갱신형)" xfId="12807" xr:uid="{00000000-0005-0000-0000-0000413F0000}"/>
    <cellStyle name="쉼표 [0] 25 2 2 3" xfId="5288" xr:uid="{00000000-0005-0000-0000-0000423F0000}"/>
    <cellStyle name="쉼표 [0] 25 2 2 4" xfId="5289" xr:uid="{00000000-0005-0000-0000-0000433F0000}"/>
    <cellStyle name="쉼표 [0] 25 2 2_뇌출혈특약(갱신형)" xfId="12808" xr:uid="{00000000-0005-0000-0000-0000443F0000}"/>
    <cellStyle name="쉼표 [0] 25 2 3" xfId="5290" xr:uid="{00000000-0005-0000-0000-0000453F0000}"/>
    <cellStyle name="쉼표 [0] 25 2 3 2" xfId="5291" xr:uid="{00000000-0005-0000-0000-0000463F0000}"/>
    <cellStyle name="쉼표 [0] 25 2 3 2 2" xfId="5292" xr:uid="{00000000-0005-0000-0000-0000473F0000}"/>
    <cellStyle name="쉼표 [0] 25 2 3 2 3" xfId="5293" xr:uid="{00000000-0005-0000-0000-0000483F0000}"/>
    <cellStyle name="쉼표 [0] 25 2 3 2_뇌출혈특약(갱신형)" xfId="12809" xr:uid="{00000000-0005-0000-0000-0000493F0000}"/>
    <cellStyle name="쉼표 [0] 25 2 3 3" xfId="5294" xr:uid="{00000000-0005-0000-0000-00004A3F0000}"/>
    <cellStyle name="쉼표 [0] 25 2 3 4" xfId="5295" xr:uid="{00000000-0005-0000-0000-00004B3F0000}"/>
    <cellStyle name="쉼표 [0] 25 2 3_뇌출혈특약(갱신형)" xfId="12810" xr:uid="{00000000-0005-0000-0000-00004C3F0000}"/>
    <cellStyle name="쉼표 [0] 25 2 4" xfId="5296" xr:uid="{00000000-0005-0000-0000-00004D3F0000}"/>
    <cellStyle name="쉼표 [0] 25 2 4 2" xfId="5297" xr:uid="{00000000-0005-0000-0000-00004E3F0000}"/>
    <cellStyle name="쉼표 [0] 25 2 4 3" xfId="5298" xr:uid="{00000000-0005-0000-0000-00004F3F0000}"/>
    <cellStyle name="쉼표 [0] 25 2 4_뇌출혈특약(갱신형)" xfId="12811" xr:uid="{00000000-0005-0000-0000-0000503F0000}"/>
    <cellStyle name="쉼표 [0] 25 2 5" xfId="5299" xr:uid="{00000000-0005-0000-0000-0000513F0000}"/>
    <cellStyle name="쉼표 [0] 25 2 5 2" xfId="5300" xr:uid="{00000000-0005-0000-0000-0000523F0000}"/>
    <cellStyle name="쉼표 [0] 25 2 5 3" xfId="5301" xr:uid="{00000000-0005-0000-0000-0000533F0000}"/>
    <cellStyle name="쉼표 [0] 25 2 5_뇌출혈특약(갱신형)" xfId="12812" xr:uid="{00000000-0005-0000-0000-0000543F0000}"/>
    <cellStyle name="쉼표 [0] 25 2 6" xfId="5302" xr:uid="{00000000-0005-0000-0000-0000553F0000}"/>
    <cellStyle name="쉼표 [0] 25 2 7" xfId="5303" xr:uid="{00000000-0005-0000-0000-0000563F0000}"/>
    <cellStyle name="쉼표 [0] 25 2_뇌출혈특약(갱신형)" xfId="12813" xr:uid="{00000000-0005-0000-0000-0000573F0000}"/>
    <cellStyle name="쉼표 [0] 25 3" xfId="5304" xr:uid="{00000000-0005-0000-0000-0000583F0000}"/>
    <cellStyle name="쉼표 [0] 25 3 2" xfId="5305" xr:uid="{00000000-0005-0000-0000-0000593F0000}"/>
    <cellStyle name="쉼표 [0] 25 3 2 2" xfId="5306" xr:uid="{00000000-0005-0000-0000-00005A3F0000}"/>
    <cellStyle name="쉼표 [0] 25 3 2 3" xfId="5307" xr:uid="{00000000-0005-0000-0000-00005B3F0000}"/>
    <cellStyle name="쉼표 [0] 25 3 2_뇌출혈특약(갱신형)" xfId="12814" xr:uid="{00000000-0005-0000-0000-00005C3F0000}"/>
    <cellStyle name="쉼표 [0] 25 3 3" xfId="5308" xr:uid="{00000000-0005-0000-0000-00005D3F0000}"/>
    <cellStyle name="쉼표 [0] 25 3 4" xfId="5309" xr:uid="{00000000-0005-0000-0000-00005E3F0000}"/>
    <cellStyle name="쉼표 [0] 25 3_뇌출혈특약(갱신형)" xfId="12815" xr:uid="{00000000-0005-0000-0000-00005F3F0000}"/>
    <cellStyle name="쉼표 [0] 25 4" xfId="5310" xr:uid="{00000000-0005-0000-0000-0000603F0000}"/>
    <cellStyle name="쉼표 [0] 25 4 2" xfId="5311" xr:uid="{00000000-0005-0000-0000-0000613F0000}"/>
    <cellStyle name="쉼표 [0] 25 4 2 2" xfId="5312" xr:uid="{00000000-0005-0000-0000-0000623F0000}"/>
    <cellStyle name="쉼표 [0] 25 4 2 3" xfId="5313" xr:uid="{00000000-0005-0000-0000-0000633F0000}"/>
    <cellStyle name="쉼표 [0] 25 4 2_뇌출혈특약(갱신형)" xfId="12816" xr:uid="{00000000-0005-0000-0000-0000643F0000}"/>
    <cellStyle name="쉼표 [0] 25 4 3" xfId="5314" xr:uid="{00000000-0005-0000-0000-0000653F0000}"/>
    <cellStyle name="쉼표 [0] 25 4 4" xfId="5315" xr:uid="{00000000-0005-0000-0000-0000663F0000}"/>
    <cellStyle name="쉼표 [0] 25 4_뇌출혈특약(갱신형)" xfId="12817" xr:uid="{00000000-0005-0000-0000-0000673F0000}"/>
    <cellStyle name="쉼표 [0] 25 5" xfId="5316" xr:uid="{00000000-0005-0000-0000-0000683F0000}"/>
    <cellStyle name="쉼표 [0] 25 5 2" xfId="5317" xr:uid="{00000000-0005-0000-0000-0000693F0000}"/>
    <cellStyle name="쉼표 [0] 25 5 3" xfId="5318" xr:uid="{00000000-0005-0000-0000-00006A3F0000}"/>
    <cellStyle name="쉼표 [0] 25 5_뇌출혈특약(갱신형)" xfId="12818" xr:uid="{00000000-0005-0000-0000-00006B3F0000}"/>
    <cellStyle name="쉼표 [0] 25 6" xfId="5319" xr:uid="{00000000-0005-0000-0000-00006C3F0000}"/>
    <cellStyle name="쉼표 [0] 25 6 2" xfId="5320" xr:uid="{00000000-0005-0000-0000-00006D3F0000}"/>
    <cellStyle name="쉼표 [0] 25 6 3" xfId="5321" xr:uid="{00000000-0005-0000-0000-00006E3F0000}"/>
    <cellStyle name="쉼표 [0] 25 6_뇌출혈특약(갱신형)" xfId="12819" xr:uid="{00000000-0005-0000-0000-00006F3F0000}"/>
    <cellStyle name="쉼표 [0] 25 7" xfId="5322" xr:uid="{00000000-0005-0000-0000-0000703F0000}"/>
    <cellStyle name="쉼표 [0] 25 8" xfId="5323" xr:uid="{00000000-0005-0000-0000-0000713F0000}"/>
    <cellStyle name="쉼표 [0] 25_뇌출혈특약(갱신형)" xfId="12820" xr:uid="{00000000-0005-0000-0000-0000723F0000}"/>
    <cellStyle name="쉼표 [0] 26" xfId="5324" xr:uid="{00000000-0005-0000-0000-0000733F0000}"/>
    <cellStyle name="쉼표 [0] 26 2" xfId="5325" xr:uid="{00000000-0005-0000-0000-0000743F0000}"/>
    <cellStyle name="쉼표 [0] 26 2 2" xfId="5326" xr:uid="{00000000-0005-0000-0000-0000753F0000}"/>
    <cellStyle name="쉼표 [0] 26 2 2 2" xfId="5327" xr:uid="{00000000-0005-0000-0000-0000763F0000}"/>
    <cellStyle name="쉼표 [0] 26 2 2 3" xfId="5328" xr:uid="{00000000-0005-0000-0000-0000773F0000}"/>
    <cellStyle name="쉼표 [0] 26 2 2_뇌출혈특약(갱신형)" xfId="12821" xr:uid="{00000000-0005-0000-0000-0000783F0000}"/>
    <cellStyle name="쉼표 [0] 26 2 3" xfId="5329" xr:uid="{00000000-0005-0000-0000-0000793F0000}"/>
    <cellStyle name="쉼표 [0] 26 2 4" xfId="5330" xr:uid="{00000000-0005-0000-0000-00007A3F0000}"/>
    <cellStyle name="쉼표 [0] 26 2_뇌출혈특약(갱신형)" xfId="12822" xr:uid="{00000000-0005-0000-0000-00007B3F0000}"/>
    <cellStyle name="쉼표 [0] 26 3" xfId="5331" xr:uid="{00000000-0005-0000-0000-00007C3F0000}"/>
    <cellStyle name="쉼표 [0] 26 3 2" xfId="5332" xr:uid="{00000000-0005-0000-0000-00007D3F0000}"/>
    <cellStyle name="쉼표 [0] 26 3 2 2" xfId="5333" xr:uid="{00000000-0005-0000-0000-00007E3F0000}"/>
    <cellStyle name="쉼표 [0] 26 3 2 3" xfId="5334" xr:uid="{00000000-0005-0000-0000-00007F3F0000}"/>
    <cellStyle name="쉼표 [0] 26 3 2_뇌출혈특약(갱신형)" xfId="12823" xr:uid="{00000000-0005-0000-0000-0000803F0000}"/>
    <cellStyle name="쉼표 [0] 26 3 3" xfId="5335" xr:uid="{00000000-0005-0000-0000-0000813F0000}"/>
    <cellStyle name="쉼표 [0] 26 3 4" xfId="5336" xr:uid="{00000000-0005-0000-0000-0000823F0000}"/>
    <cellStyle name="쉼표 [0] 26 3_뇌출혈특약(갱신형)" xfId="12824" xr:uid="{00000000-0005-0000-0000-0000833F0000}"/>
    <cellStyle name="쉼표 [0] 26 4" xfId="5337" xr:uid="{00000000-0005-0000-0000-0000843F0000}"/>
    <cellStyle name="쉼표 [0] 26 4 2" xfId="5338" xr:uid="{00000000-0005-0000-0000-0000853F0000}"/>
    <cellStyle name="쉼표 [0] 26 4 3" xfId="5339" xr:uid="{00000000-0005-0000-0000-0000863F0000}"/>
    <cellStyle name="쉼표 [0] 26 4_뇌출혈특약(갱신형)" xfId="12825" xr:uid="{00000000-0005-0000-0000-0000873F0000}"/>
    <cellStyle name="쉼표 [0] 26 5" xfId="5340" xr:uid="{00000000-0005-0000-0000-0000883F0000}"/>
    <cellStyle name="쉼표 [0] 26 5 2" xfId="5341" xr:uid="{00000000-0005-0000-0000-0000893F0000}"/>
    <cellStyle name="쉼표 [0] 26 5 3" xfId="5342" xr:uid="{00000000-0005-0000-0000-00008A3F0000}"/>
    <cellStyle name="쉼표 [0] 26 5_뇌출혈특약(갱신형)" xfId="12826" xr:uid="{00000000-0005-0000-0000-00008B3F0000}"/>
    <cellStyle name="쉼표 [0] 26 6" xfId="5343" xr:uid="{00000000-0005-0000-0000-00008C3F0000}"/>
    <cellStyle name="쉼표 [0] 26 7" xfId="5344" xr:uid="{00000000-0005-0000-0000-00008D3F0000}"/>
    <cellStyle name="쉼표 [0] 26_뇌출혈특약(갱신형)" xfId="12827" xr:uid="{00000000-0005-0000-0000-00008E3F0000}"/>
    <cellStyle name="쉼표 [0] 27" xfId="5345" xr:uid="{00000000-0005-0000-0000-00008F3F0000}"/>
    <cellStyle name="쉼표 [0] 27 2" xfId="5346" xr:uid="{00000000-0005-0000-0000-0000903F0000}"/>
    <cellStyle name="쉼표 [0] 27 2 2" xfId="5347" xr:uid="{00000000-0005-0000-0000-0000913F0000}"/>
    <cellStyle name="쉼표 [0] 27 2_뇌출혈특약(갱신형)" xfId="12828" xr:uid="{00000000-0005-0000-0000-0000923F0000}"/>
    <cellStyle name="쉼표 [0] 27 3" xfId="5348" xr:uid="{00000000-0005-0000-0000-0000933F0000}"/>
    <cellStyle name="쉼표 [0] 27 4" xfId="5349" xr:uid="{00000000-0005-0000-0000-0000943F0000}"/>
    <cellStyle name="쉼표 [0] 27_뇌출혈특약(갱신형)" xfId="12829" xr:uid="{00000000-0005-0000-0000-0000953F0000}"/>
    <cellStyle name="쉼표 [0] 28" xfId="5350" xr:uid="{00000000-0005-0000-0000-0000963F0000}"/>
    <cellStyle name="쉼표 [0] 28 2" xfId="5351" xr:uid="{00000000-0005-0000-0000-0000973F0000}"/>
    <cellStyle name="쉼표 [0] 28 3" xfId="5352" xr:uid="{00000000-0005-0000-0000-0000983F0000}"/>
    <cellStyle name="쉼표 [0] 28_뇌출혈특약(갱신형)" xfId="12830" xr:uid="{00000000-0005-0000-0000-0000993F0000}"/>
    <cellStyle name="쉼표 [0] 29" xfId="5353" xr:uid="{00000000-0005-0000-0000-00009A3F0000}"/>
    <cellStyle name="쉼표 [0] 29 2" xfId="5354" xr:uid="{00000000-0005-0000-0000-00009B3F0000}"/>
    <cellStyle name="쉼표 [0] 29_뇌출혈특약(갱신형)" xfId="12831" xr:uid="{00000000-0005-0000-0000-00009C3F0000}"/>
    <cellStyle name="쉼표 [0] 3" xfId="26" xr:uid="{00000000-0005-0000-0000-00009D3F0000}"/>
    <cellStyle name="쉼표 [0] 3 10" xfId="5355" xr:uid="{00000000-0005-0000-0000-00009E3F0000}"/>
    <cellStyle name="쉼표 [0] 3 10 2" xfId="5356" xr:uid="{00000000-0005-0000-0000-00009F3F0000}"/>
    <cellStyle name="쉼표 [0] 3 10 3" xfId="5357" xr:uid="{00000000-0005-0000-0000-0000A03F0000}"/>
    <cellStyle name="쉼표 [0] 3 10_뇌출혈특약(갱신형)" xfId="12832" xr:uid="{00000000-0005-0000-0000-0000A13F0000}"/>
    <cellStyle name="쉼표 [0] 3 11" xfId="5358" xr:uid="{00000000-0005-0000-0000-0000A23F0000}"/>
    <cellStyle name="쉼표 [0] 3 11 2" xfId="5359" xr:uid="{00000000-0005-0000-0000-0000A33F0000}"/>
    <cellStyle name="쉼표 [0] 3 11 3" xfId="5360" xr:uid="{00000000-0005-0000-0000-0000A43F0000}"/>
    <cellStyle name="쉼표 [0] 3 11_뇌출혈특약(갱신형)" xfId="12833" xr:uid="{00000000-0005-0000-0000-0000A53F0000}"/>
    <cellStyle name="쉼표 [0] 3 12" xfId="5361" xr:uid="{00000000-0005-0000-0000-0000A63F0000}"/>
    <cellStyle name="쉼표 [0] 3 12 2" xfId="5362" xr:uid="{00000000-0005-0000-0000-0000A73F0000}"/>
    <cellStyle name="쉼표 [0] 3 12_뇌출혈특약(갱신형)" xfId="12834" xr:uid="{00000000-0005-0000-0000-0000A83F0000}"/>
    <cellStyle name="쉼표 [0] 3 13" xfId="5363" xr:uid="{00000000-0005-0000-0000-0000A93F0000}"/>
    <cellStyle name="쉼표 [0] 3 13 2" xfId="5364" xr:uid="{00000000-0005-0000-0000-0000AA3F0000}"/>
    <cellStyle name="쉼표 [0] 3 13_뇌출혈특약(갱신형)" xfId="12835" xr:uid="{00000000-0005-0000-0000-0000AB3F0000}"/>
    <cellStyle name="쉼표 [0] 3 14" xfId="5365" xr:uid="{00000000-0005-0000-0000-0000AC3F0000}"/>
    <cellStyle name="쉼표 [0] 3 14 2" xfId="5366" xr:uid="{00000000-0005-0000-0000-0000AD3F0000}"/>
    <cellStyle name="쉼표 [0] 3 14_뇌출혈특약(갱신형)" xfId="12836" xr:uid="{00000000-0005-0000-0000-0000AE3F0000}"/>
    <cellStyle name="쉼표 [0] 3 15" xfId="5367" xr:uid="{00000000-0005-0000-0000-0000AF3F0000}"/>
    <cellStyle name="쉼표 [0] 3 15 2" xfId="5368" xr:uid="{00000000-0005-0000-0000-0000B03F0000}"/>
    <cellStyle name="쉼표 [0] 3 15_뇌출혈특약(갱신형)" xfId="12837" xr:uid="{00000000-0005-0000-0000-0000B13F0000}"/>
    <cellStyle name="쉼표 [0] 3 16" xfId="5369" xr:uid="{00000000-0005-0000-0000-0000B23F0000}"/>
    <cellStyle name="쉼표 [0] 3 17" xfId="5370" xr:uid="{00000000-0005-0000-0000-0000B33F0000}"/>
    <cellStyle name="쉼표 [0] 3 18" xfId="17129" xr:uid="{00000000-0005-0000-0000-0000B43F0000}"/>
    <cellStyle name="쉼표 [0] 3 18 2" xfId="32360" xr:uid="{00000000-0005-0000-0000-0000B53F0000}"/>
    <cellStyle name="쉼표 [0] 3 18 3" xfId="17331" xr:uid="{00000000-0005-0000-0000-0000B63F0000}"/>
    <cellStyle name="쉼표 [0] 3 19" xfId="17130" xr:uid="{00000000-0005-0000-0000-0000B73F0000}"/>
    <cellStyle name="쉼표 [0] 3 2" xfId="5371" xr:uid="{00000000-0005-0000-0000-0000B83F0000}"/>
    <cellStyle name="쉼표 [0] 3 2 10" xfId="12042" xr:uid="{00000000-0005-0000-0000-0000B93F0000}"/>
    <cellStyle name="쉼표 [0] 3 2 11" xfId="12043" xr:uid="{00000000-0005-0000-0000-0000BA3F0000}"/>
    <cellStyle name="쉼표 [0] 3 2 2" xfId="5372" xr:uid="{00000000-0005-0000-0000-0000BB3F0000}"/>
    <cellStyle name="쉼표 [0] 3 2 2 2" xfId="12044" xr:uid="{00000000-0005-0000-0000-0000BC3F0000}"/>
    <cellStyle name="쉼표 [0] 3 2 2 2 2" xfId="12045" xr:uid="{00000000-0005-0000-0000-0000BD3F0000}"/>
    <cellStyle name="쉼표 [0] 3 2 2 2 3" xfId="12046" xr:uid="{00000000-0005-0000-0000-0000BE3F0000}"/>
    <cellStyle name="쉼표 [0] 3 2 2 2 4" xfId="12047" xr:uid="{00000000-0005-0000-0000-0000BF3F0000}"/>
    <cellStyle name="쉼표 [0] 3 2 2 3" xfId="12048" xr:uid="{00000000-0005-0000-0000-0000C03F0000}"/>
    <cellStyle name="쉼표 [0] 3 2 2 3 2" xfId="12049" xr:uid="{00000000-0005-0000-0000-0000C13F0000}"/>
    <cellStyle name="쉼표 [0] 3 2 2 3 3" xfId="12050" xr:uid="{00000000-0005-0000-0000-0000C23F0000}"/>
    <cellStyle name="쉼표 [0] 3 2 2 3 4" xfId="12051" xr:uid="{00000000-0005-0000-0000-0000C33F0000}"/>
    <cellStyle name="쉼표 [0] 3 2 2 4" xfId="12052" xr:uid="{00000000-0005-0000-0000-0000C43F0000}"/>
    <cellStyle name="쉼표 [0] 3 2 2 5" xfId="12053" xr:uid="{00000000-0005-0000-0000-0000C53F0000}"/>
    <cellStyle name="쉼표 [0] 3 2 2 6" xfId="12054" xr:uid="{00000000-0005-0000-0000-0000C63F0000}"/>
    <cellStyle name="쉼표 [0] 3 2 3" xfId="5373" xr:uid="{00000000-0005-0000-0000-0000C73F0000}"/>
    <cellStyle name="쉼표 [0] 3 2 3 2" xfId="5374" xr:uid="{00000000-0005-0000-0000-0000C83F0000}"/>
    <cellStyle name="쉼표 [0] 3 2 3 2 2" xfId="12055" xr:uid="{00000000-0005-0000-0000-0000C93F0000}"/>
    <cellStyle name="쉼표 [0] 3 2 3 2 3" xfId="12056" xr:uid="{00000000-0005-0000-0000-0000CA3F0000}"/>
    <cellStyle name="쉼표 [0] 3 2 3 2 4" xfId="12057" xr:uid="{00000000-0005-0000-0000-0000CB3F0000}"/>
    <cellStyle name="쉼표 [0] 3 2 3 3" xfId="5375" xr:uid="{00000000-0005-0000-0000-0000CC3F0000}"/>
    <cellStyle name="쉼표 [0] 3 2 3 3 2" xfId="12058" xr:uid="{00000000-0005-0000-0000-0000CD3F0000}"/>
    <cellStyle name="쉼표 [0] 3 2 3 3 3" xfId="12059" xr:uid="{00000000-0005-0000-0000-0000CE3F0000}"/>
    <cellStyle name="쉼표 [0] 3 2 3 3 4" xfId="12060" xr:uid="{00000000-0005-0000-0000-0000CF3F0000}"/>
    <cellStyle name="쉼표 [0] 3 2 3 4" xfId="12061" xr:uid="{00000000-0005-0000-0000-0000D03F0000}"/>
    <cellStyle name="쉼표 [0] 3 2 3 5" xfId="12062" xr:uid="{00000000-0005-0000-0000-0000D13F0000}"/>
    <cellStyle name="쉼표 [0] 3 2 3 6" xfId="12063" xr:uid="{00000000-0005-0000-0000-0000D23F0000}"/>
    <cellStyle name="쉼표 [0] 3 2 3_뇌출혈특약(갱신형)" xfId="12838" xr:uid="{00000000-0005-0000-0000-0000D33F0000}"/>
    <cellStyle name="쉼표 [0] 3 2 4" xfId="12064" xr:uid="{00000000-0005-0000-0000-0000D43F0000}"/>
    <cellStyle name="쉼표 [0] 3 2 4 2" xfId="12065" xr:uid="{00000000-0005-0000-0000-0000D53F0000}"/>
    <cellStyle name="쉼표 [0] 3 2 4 2 2" xfId="12066" xr:uid="{00000000-0005-0000-0000-0000D63F0000}"/>
    <cellStyle name="쉼표 [0] 3 2 4 2 3" xfId="12067" xr:uid="{00000000-0005-0000-0000-0000D73F0000}"/>
    <cellStyle name="쉼표 [0] 3 2 4 2 4" xfId="12068" xr:uid="{00000000-0005-0000-0000-0000D83F0000}"/>
    <cellStyle name="쉼표 [0] 3 2 4 3" xfId="12069" xr:uid="{00000000-0005-0000-0000-0000D93F0000}"/>
    <cellStyle name="쉼표 [0] 3 2 4 3 2" xfId="12070" xr:uid="{00000000-0005-0000-0000-0000DA3F0000}"/>
    <cellStyle name="쉼표 [0] 3 2 4 3 3" xfId="12071" xr:uid="{00000000-0005-0000-0000-0000DB3F0000}"/>
    <cellStyle name="쉼표 [0] 3 2 4 3 4" xfId="12072" xr:uid="{00000000-0005-0000-0000-0000DC3F0000}"/>
    <cellStyle name="쉼표 [0] 3 2 4 4" xfId="12073" xr:uid="{00000000-0005-0000-0000-0000DD3F0000}"/>
    <cellStyle name="쉼표 [0] 3 2 4 5" xfId="12074" xr:uid="{00000000-0005-0000-0000-0000DE3F0000}"/>
    <cellStyle name="쉼표 [0] 3 2 4 6" xfId="12075" xr:uid="{00000000-0005-0000-0000-0000DF3F0000}"/>
    <cellStyle name="쉼표 [0] 3 2 5" xfId="12076" xr:uid="{00000000-0005-0000-0000-0000E03F0000}"/>
    <cellStyle name="쉼표 [0] 3 2 5 2" xfId="12077" xr:uid="{00000000-0005-0000-0000-0000E13F0000}"/>
    <cellStyle name="쉼표 [0] 3 2 5 3" xfId="12078" xr:uid="{00000000-0005-0000-0000-0000E23F0000}"/>
    <cellStyle name="쉼표 [0] 3 2 5 4" xfId="12079" xr:uid="{00000000-0005-0000-0000-0000E33F0000}"/>
    <cellStyle name="쉼표 [0] 3 2 6" xfId="12080" xr:uid="{00000000-0005-0000-0000-0000E43F0000}"/>
    <cellStyle name="쉼표 [0] 3 2 6 2" xfId="12081" xr:uid="{00000000-0005-0000-0000-0000E53F0000}"/>
    <cellStyle name="쉼표 [0] 3 2 6 3" xfId="12082" xr:uid="{00000000-0005-0000-0000-0000E63F0000}"/>
    <cellStyle name="쉼표 [0] 3 2 6 4" xfId="12083" xr:uid="{00000000-0005-0000-0000-0000E73F0000}"/>
    <cellStyle name="쉼표 [0] 3 2 7" xfId="12084" xr:uid="{00000000-0005-0000-0000-0000E83F0000}"/>
    <cellStyle name="쉼표 [0] 3 2 7 2" xfId="12085" xr:uid="{00000000-0005-0000-0000-0000E93F0000}"/>
    <cellStyle name="쉼표 [0] 3 2 7 3" xfId="12086" xr:uid="{00000000-0005-0000-0000-0000EA3F0000}"/>
    <cellStyle name="쉼표 [0] 3 2 7 4" xfId="12087" xr:uid="{00000000-0005-0000-0000-0000EB3F0000}"/>
    <cellStyle name="쉼표 [0] 3 2 8" xfId="12088" xr:uid="{00000000-0005-0000-0000-0000EC3F0000}"/>
    <cellStyle name="쉼표 [0] 3 2 9" xfId="12089" xr:uid="{00000000-0005-0000-0000-0000ED3F0000}"/>
    <cellStyle name="쉼표 [0] 3 2_뇌출혈특약(갱신형)" xfId="12839" xr:uid="{00000000-0005-0000-0000-0000EE3F0000}"/>
    <cellStyle name="쉼표 [0] 3 20" xfId="17131" xr:uid="{00000000-0005-0000-0000-0000EF3F0000}"/>
    <cellStyle name="쉼표 [0] 3 3" xfId="5376" xr:uid="{00000000-0005-0000-0000-0000F03F0000}"/>
    <cellStyle name="쉼표 [0] 3 3 2" xfId="5377" xr:uid="{00000000-0005-0000-0000-0000F13F0000}"/>
    <cellStyle name="쉼표 [0] 3 3 2 2" xfId="5378" xr:uid="{00000000-0005-0000-0000-0000F23F0000}"/>
    <cellStyle name="쉼표 [0] 3 3 2 2 2" xfId="5379" xr:uid="{00000000-0005-0000-0000-0000F33F0000}"/>
    <cellStyle name="쉼표 [0] 3 3 2 2 2 2" xfId="5380" xr:uid="{00000000-0005-0000-0000-0000F43F0000}"/>
    <cellStyle name="쉼표 [0] 3 3 2 2 2 3" xfId="5381" xr:uid="{00000000-0005-0000-0000-0000F53F0000}"/>
    <cellStyle name="쉼표 [0] 3 3 2 2 2_뇌출혈특약(갱신형)" xfId="12840" xr:uid="{00000000-0005-0000-0000-0000F63F0000}"/>
    <cellStyle name="쉼표 [0] 3 3 2 2 3" xfId="5382" xr:uid="{00000000-0005-0000-0000-0000F73F0000}"/>
    <cellStyle name="쉼표 [0] 3 3 2 2 4" xfId="5383" xr:uid="{00000000-0005-0000-0000-0000F83F0000}"/>
    <cellStyle name="쉼표 [0] 3 3 2 2_뇌출혈특약(갱신형)" xfId="12841" xr:uid="{00000000-0005-0000-0000-0000F93F0000}"/>
    <cellStyle name="쉼표 [0] 3 3 2 3" xfId="5384" xr:uid="{00000000-0005-0000-0000-0000FA3F0000}"/>
    <cellStyle name="쉼표 [0] 3 3 2 3 2" xfId="5385" xr:uid="{00000000-0005-0000-0000-0000FB3F0000}"/>
    <cellStyle name="쉼표 [0] 3 3 2 3 2 2" xfId="5386" xr:uid="{00000000-0005-0000-0000-0000FC3F0000}"/>
    <cellStyle name="쉼표 [0] 3 3 2 3 2 3" xfId="5387" xr:uid="{00000000-0005-0000-0000-0000FD3F0000}"/>
    <cellStyle name="쉼표 [0] 3 3 2 3 2_뇌출혈특약(갱신형)" xfId="12842" xr:uid="{00000000-0005-0000-0000-0000FE3F0000}"/>
    <cellStyle name="쉼표 [0] 3 3 2 3 3" xfId="5388" xr:uid="{00000000-0005-0000-0000-0000FF3F0000}"/>
    <cellStyle name="쉼표 [0] 3 3 2 3 4" xfId="5389" xr:uid="{00000000-0005-0000-0000-000000400000}"/>
    <cellStyle name="쉼표 [0] 3 3 2 3_뇌출혈특약(갱신형)" xfId="12843" xr:uid="{00000000-0005-0000-0000-000001400000}"/>
    <cellStyle name="쉼표 [0] 3 3 2 4" xfId="5390" xr:uid="{00000000-0005-0000-0000-000002400000}"/>
    <cellStyle name="쉼표 [0] 3 3 2 4 2" xfId="5391" xr:uid="{00000000-0005-0000-0000-000003400000}"/>
    <cellStyle name="쉼표 [0] 3 3 2 4 3" xfId="5392" xr:uid="{00000000-0005-0000-0000-000004400000}"/>
    <cellStyle name="쉼표 [0] 3 3 2 4_뇌출혈특약(갱신형)" xfId="12844" xr:uid="{00000000-0005-0000-0000-000005400000}"/>
    <cellStyle name="쉼표 [0] 3 3 2 5" xfId="5393" xr:uid="{00000000-0005-0000-0000-000006400000}"/>
    <cellStyle name="쉼표 [0] 3 3 2 5 2" xfId="5394" xr:uid="{00000000-0005-0000-0000-000007400000}"/>
    <cellStyle name="쉼표 [0] 3 3 2 5 3" xfId="5395" xr:uid="{00000000-0005-0000-0000-000008400000}"/>
    <cellStyle name="쉼표 [0] 3 3 2 5_뇌출혈특약(갱신형)" xfId="12845" xr:uid="{00000000-0005-0000-0000-000009400000}"/>
    <cellStyle name="쉼표 [0] 3 3 2 6" xfId="5396" xr:uid="{00000000-0005-0000-0000-00000A400000}"/>
    <cellStyle name="쉼표 [0] 3 3 2 7" xfId="5397" xr:uid="{00000000-0005-0000-0000-00000B400000}"/>
    <cellStyle name="쉼표 [0] 3 3 2_뇌출혈특약(갱신형)" xfId="12846" xr:uid="{00000000-0005-0000-0000-00000C400000}"/>
    <cellStyle name="쉼표 [0] 3 3 3" xfId="5398" xr:uid="{00000000-0005-0000-0000-00000D400000}"/>
    <cellStyle name="쉼표 [0] 3 3 3 2" xfId="5399" xr:uid="{00000000-0005-0000-0000-00000E400000}"/>
    <cellStyle name="쉼표 [0] 3 3 3 2 2" xfId="5400" xr:uid="{00000000-0005-0000-0000-00000F400000}"/>
    <cellStyle name="쉼표 [0] 3 3 3 2 3" xfId="5401" xr:uid="{00000000-0005-0000-0000-000010400000}"/>
    <cellStyle name="쉼표 [0] 3 3 3 2_뇌출혈특약(갱신형)" xfId="12847" xr:uid="{00000000-0005-0000-0000-000011400000}"/>
    <cellStyle name="쉼표 [0] 3 3 3 3" xfId="5402" xr:uid="{00000000-0005-0000-0000-000012400000}"/>
    <cellStyle name="쉼표 [0] 3 3 3 4" xfId="5403" xr:uid="{00000000-0005-0000-0000-000013400000}"/>
    <cellStyle name="쉼표 [0] 3 3 3_뇌출혈특약(갱신형)" xfId="12848" xr:uid="{00000000-0005-0000-0000-000014400000}"/>
    <cellStyle name="쉼표 [0] 3 3 4" xfId="5404" xr:uid="{00000000-0005-0000-0000-000015400000}"/>
    <cellStyle name="쉼표 [0] 3 3 4 2" xfId="5405" xr:uid="{00000000-0005-0000-0000-000016400000}"/>
    <cellStyle name="쉼표 [0] 3 3 4 2 2" xfId="5406" xr:uid="{00000000-0005-0000-0000-000017400000}"/>
    <cellStyle name="쉼표 [0] 3 3 4 2 3" xfId="5407" xr:uid="{00000000-0005-0000-0000-000018400000}"/>
    <cellStyle name="쉼표 [0] 3 3 4 2_뇌출혈특약(갱신형)" xfId="12849" xr:uid="{00000000-0005-0000-0000-000019400000}"/>
    <cellStyle name="쉼표 [0] 3 3 4 3" xfId="5408" xr:uid="{00000000-0005-0000-0000-00001A400000}"/>
    <cellStyle name="쉼표 [0] 3 3 4 4" xfId="5409" xr:uid="{00000000-0005-0000-0000-00001B400000}"/>
    <cellStyle name="쉼표 [0] 3 3 4_뇌출혈특약(갱신형)" xfId="12850" xr:uid="{00000000-0005-0000-0000-00001C400000}"/>
    <cellStyle name="쉼표 [0] 3 3 5" xfId="5410" xr:uid="{00000000-0005-0000-0000-00001D400000}"/>
    <cellStyle name="쉼표 [0] 3 3 5 2" xfId="5411" xr:uid="{00000000-0005-0000-0000-00001E400000}"/>
    <cellStyle name="쉼표 [0] 3 3 5 3" xfId="5412" xr:uid="{00000000-0005-0000-0000-00001F400000}"/>
    <cellStyle name="쉼표 [0] 3 3 5_뇌출혈특약(갱신형)" xfId="12851" xr:uid="{00000000-0005-0000-0000-000020400000}"/>
    <cellStyle name="쉼표 [0] 3 3 6" xfId="5413" xr:uid="{00000000-0005-0000-0000-000021400000}"/>
    <cellStyle name="쉼표 [0] 3 3 6 2" xfId="5414" xr:uid="{00000000-0005-0000-0000-000022400000}"/>
    <cellStyle name="쉼표 [0] 3 3 6 3" xfId="5415" xr:uid="{00000000-0005-0000-0000-000023400000}"/>
    <cellStyle name="쉼표 [0] 3 3 6_뇌출혈특약(갱신형)" xfId="12852" xr:uid="{00000000-0005-0000-0000-000024400000}"/>
    <cellStyle name="쉼표 [0] 3 3 7" xfId="5416" xr:uid="{00000000-0005-0000-0000-000025400000}"/>
    <cellStyle name="쉼표 [0] 3 3 8" xfId="5417" xr:uid="{00000000-0005-0000-0000-000026400000}"/>
    <cellStyle name="쉼표 [0] 3 3_뇌출혈특약(갱신형)" xfId="12853" xr:uid="{00000000-0005-0000-0000-000027400000}"/>
    <cellStyle name="쉼표 [0] 3 4" xfId="5418" xr:uid="{00000000-0005-0000-0000-000028400000}"/>
    <cellStyle name="쉼표 [0] 3 4 2" xfId="5419" xr:uid="{00000000-0005-0000-0000-000029400000}"/>
    <cellStyle name="쉼표 [0] 3 4 2 2" xfId="5420" xr:uid="{00000000-0005-0000-0000-00002A400000}"/>
    <cellStyle name="쉼표 [0] 3 4 2 2 2" xfId="5421" xr:uid="{00000000-0005-0000-0000-00002B400000}"/>
    <cellStyle name="쉼표 [0] 3 4 2 2 3" xfId="5422" xr:uid="{00000000-0005-0000-0000-00002C400000}"/>
    <cellStyle name="쉼표 [0] 3 4 2 2_뇌출혈특약(갱신형)" xfId="12854" xr:uid="{00000000-0005-0000-0000-00002D400000}"/>
    <cellStyle name="쉼표 [0] 3 4 2 3" xfId="5423" xr:uid="{00000000-0005-0000-0000-00002E400000}"/>
    <cellStyle name="쉼표 [0] 3 4 2 4" xfId="5424" xr:uid="{00000000-0005-0000-0000-00002F400000}"/>
    <cellStyle name="쉼표 [0] 3 4 2_뇌출혈특약(갱신형)" xfId="12855" xr:uid="{00000000-0005-0000-0000-000030400000}"/>
    <cellStyle name="쉼표 [0] 3 4 3" xfId="5425" xr:uid="{00000000-0005-0000-0000-000031400000}"/>
    <cellStyle name="쉼표 [0] 3 4 3 2" xfId="5426" xr:uid="{00000000-0005-0000-0000-000032400000}"/>
    <cellStyle name="쉼표 [0] 3 4 3 2 2" xfId="5427" xr:uid="{00000000-0005-0000-0000-000033400000}"/>
    <cellStyle name="쉼표 [0] 3 4 3 2 3" xfId="5428" xr:uid="{00000000-0005-0000-0000-000034400000}"/>
    <cellStyle name="쉼표 [0] 3 4 3 2_뇌출혈특약(갱신형)" xfId="12856" xr:uid="{00000000-0005-0000-0000-000035400000}"/>
    <cellStyle name="쉼표 [0] 3 4 3 3" xfId="5429" xr:uid="{00000000-0005-0000-0000-000036400000}"/>
    <cellStyle name="쉼표 [0] 3 4 3 4" xfId="5430" xr:uid="{00000000-0005-0000-0000-000037400000}"/>
    <cellStyle name="쉼표 [0] 3 4 3_뇌출혈특약(갱신형)" xfId="12857" xr:uid="{00000000-0005-0000-0000-000038400000}"/>
    <cellStyle name="쉼표 [0] 3 4 4" xfId="5431" xr:uid="{00000000-0005-0000-0000-000039400000}"/>
    <cellStyle name="쉼표 [0] 3 4 4 2" xfId="5432" xr:uid="{00000000-0005-0000-0000-00003A400000}"/>
    <cellStyle name="쉼표 [0] 3 4 4 3" xfId="5433" xr:uid="{00000000-0005-0000-0000-00003B400000}"/>
    <cellStyle name="쉼표 [0] 3 4 4_뇌출혈특약(갱신형)" xfId="12858" xr:uid="{00000000-0005-0000-0000-00003C400000}"/>
    <cellStyle name="쉼표 [0] 3 4 5" xfId="5434" xr:uid="{00000000-0005-0000-0000-00003D400000}"/>
    <cellStyle name="쉼표 [0] 3 4 5 2" xfId="5435" xr:uid="{00000000-0005-0000-0000-00003E400000}"/>
    <cellStyle name="쉼표 [0] 3 4 5 3" xfId="5436" xr:uid="{00000000-0005-0000-0000-00003F400000}"/>
    <cellStyle name="쉼표 [0] 3 4 5_뇌출혈특약(갱신형)" xfId="12859" xr:uid="{00000000-0005-0000-0000-000040400000}"/>
    <cellStyle name="쉼표 [0] 3 4 6" xfId="5437" xr:uid="{00000000-0005-0000-0000-000041400000}"/>
    <cellStyle name="쉼표 [0] 3 4 7" xfId="5438" xr:uid="{00000000-0005-0000-0000-000042400000}"/>
    <cellStyle name="쉼표 [0] 3 4_뇌출혈특약(갱신형)" xfId="12860" xr:uid="{00000000-0005-0000-0000-000043400000}"/>
    <cellStyle name="쉼표 [0] 3 5" xfId="5439" xr:uid="{00000000-0005-0000-0000-000044400000}"/>
    <cellStyle name="쉼표 [0] 3 5 2" xfId="5440" xr:uid="{00000000-0005-0000-0000-000045400000}"/>
    <cellStyle name="쉼표 [0] 3 5 2 2" xfId="5441" xr:uid="{00000000-0005-0000-0000-000046400000}"/>
    <cellStyle name="쉼표 [0] 3 5 2 2 2" xfId="5442" xr:uid="{00000000-0005-0000-0000-000047400000}"/>
    <cellStyle name="쉼표 [0] 3 5 2 2 3" xfId="5443" xr:uid="{00000000-0005-0000-0000-000048400000}"/>
    <cellStyle name="쉼표 [0] 3 5 2 2_뇌출혈특약(갱신형)" xfId="12861" xr:uid="{00000000-0005-0000-0000-000049400000}"/>
    <cellStyle name="쉼표 [0] 3 5 2 3" xfId="5444" xr:uid="{00000000-0005-0000-0000-00004A400000}"/>
    <cellStyle name="쉼표 [0] 3 5 2 4" xfId="5445" xr:uid="{00000000-0005-0000-0000-00004B400000}"/>
    <cellStyle name="쉼표 [0] 3 5 2_뇌출혈특약(갱신형)" xfId="12862" xr:uid="{00000000-0005-0000-0000-00004C400000}"/>
    <cellStyle name="쉼표 [0] 3 5 3" xfId="5446" xr:uid="{00000000-0005-0000-0000-00004D400000}"/>
    <cellStyle name="쉼표 [0] 3 5 3 2" xfId="5447" xr:uid="{00000000-0005-0000-0000-00004E400000}"/>
    <cellStyle name="쉼표 [0] 3 5 3 2 2" xfId="5448" xr:uid="{00000000-0005-0000-0000-00004F400000}"/>
    <cellStyle name="쉼표 [0] 3 5 3 2 3" xfId="5449" xr:uid="{00000000-0005-0000-0000-000050400000}"/>
    <cellStyle name="쉼표 [0] 3 5 3 2_뇌출혈특약(갱신형)" xfId="12863" xr:uid="{00000000-0005-0000-0000-000051400000}"/>
    <cellStyle name="쉼표 [0] 3 5 3 3" xfId="5450" xr:uid="{00000000-0005-0000-0000-000052400000}"/>
    <cellStyle name="쉼표 [0] 3 5 3 4" xfId="5451" xr:uid="{00000000-0005-0000-0000-000053400000}"/>
    <cellStyle name="쉼표 [0] 3 5 3_뇌출혈특약(갱신형)" xfId="12864" xr:uid="{00000000-0005-0000-0000-000054400000}"/>
    <cellStyle name="쉼표 [0] 3 5 4" xfId="5452" xr:uid="{00000000-0005-0000-0000-000055400000}"/>
    <cellStyle name="쉼표 [0] 3 5 4 2" xfId="5453" xr:uid="{00000000-0005-0000-0000-000056400000}"/>
    <cellStyle name="쉼표 [0] 3 5 4 3" xfId="5454" xr:uid="{00000000-0005-0000-0000-000057400000}"/>
    <cellStyle name="쉼표 [0] 3 5 4_뇌출혈특약(갱신형)" xfId="12865" xr:uid="{00000000-0005-0000-0000-000058400000}"/>
    <cellStyle name="쉼표 [0] 3 5 5" xfId="5455" xr:uid="{00000000-0005-0000-0000-000059400000}"/>
    <cellStyle name="쉼표 [0] 3 5 5 2" xfId="5456" xr:uid="{00000000-0005-0000-0000-00005A400000}"/>
    <cellStyle name="쉼표 [0] 3 5 5 3" xfId="5457" xr:uid="{00000000-0005-0000-0000-00005B400000}"/>
    <cellStyle name="쉼표 [0] 3 5 5_뇌출혈특약(갱신형)" xfId="12866" xr:uid="{00000000-0005-0000-0000-00005C400000}"/>
    <cellStyle name="쉼표 [0] 3 5 6" xfId="5458" xr:uid="{00000000-0005-0000-0000-00005D400000}"/>
    <cellStyle name="쉼표 [0] 3 5 7" xfId="5459" xr:uid="{00000000-0005-0000-0000-00005E400000}"/>
    <cellStyle name="쉼표 [0] 3 5_뇌출혈특약(갱신형)" xfId="12867" xr:uid="{00000000-0005-0000-0000-00005F400000}"/>
    <cellStyle name="쉼표 [0] 3 6" xfId="5460" xr:uid="{00000000-0005-0000-0000-000060400000}"/>
    <cellStyle name="쉼표 [0] 3 6 2" xfId="5461" xr:uid="{00000000-0005-0000-0000-000061400000}"/>
    <cellStyle name="쉼표 [0] 3 6 2 2" xfId="5462" xr:uid="{00000000-0005-0000-0000-000062400000}"/>
    <cellStyle name="쉼표 [0] 3 6 2 3" xfId="5463" xr:uid="{00000000-0005-0000-0000-000063400000}"/>
    <cellStyle name="쉼표 [0] 3 6 2 4" xfId="12090" xr:uid="{00000000-0005-0000-0000-000064400000}"/>
    <cellStyle name="쉼표 [0] 3 6 2_뇌출혈특약(갱신형)" xfId="12868" xr:uid="{00000000-0005-0000-0000-000065400000}"/>
    <cellStyle name="쉼표 [0] 3 6 3" xfId="5464" xr:uid="{00000000-0005-0000-0000-000066400000}"/>
    <cellStyle name="쉼표 [0] 3 6 3 2" xfId="12091" xr:uid="{00000000-0005-0000-0000-000067400000}"/>
    <cellStyle name="쉼표 [0] 3 6 3 3" xfId="12092" xr:uid="{00000000-0005-0000-0000-000068400000}"/>
    <cellStyle name="쉼표 [0] 3 6 3 4" xfId="12093" xr:uid="{00000000-0005-0000-0000-000069400000}"/>
    <cellStyle name="쉼표 [0] 3 6 4" xfId="5465" xr:uid="{00000000-0005-0000-0000-00006A400000}"/>
    <cellStyle name="쉼표 [0] 3 6 5" xfId="12094" xr:uid="{00000000-0005-0000-0000-00006B400000}"/>
    <cellStyle name="쉼표 [0] 3 6 6" xfId="12095" xr:uid="{00000000-0005-0000-0000-00006C400000}"/>
    <cellStyle name="쉼표 [0] 3 6_뇌출혈특약(갱신형)" xfId="12869" xr:uid="{00000000-0005-0000-0000-00006D400000}"/>
    <cellStyle name="쉼표 [0] 3 7" xfId="5466" xr:uid="{00000000-0005-0000-0000-00006E400000}"/>
    <cellStyle name="쉼표 [0] 3 7 2" xfId="5467" xr:uid="{00000000-0005-0000-0000-00006F400000}"/>
    <cellStyle name="쉼표 [0] 3 7 2 2" xfId="5468" xr:uid="{00000000-0005-0000-0000-000070400000}"/>
    <cellStyle name="쉼표 [0] 3 7 2 3" xfId="5469" xr:uid="{00000000-0005-0000-0000-000071400000}"/>
    <cellStyle name="쉼표 [0] 3 7 2_뇌출혈특약(갱신형)" xfId="12870" xr:uid="{00000000-0005-0000-0000-000072400000}"/>
    <cellStyle name="쉼표 [0] 3 7 3" xfId="5470" xr:uid="{00000000-0005-0000-0000-000073400000}"/>
    <cellStyle name="쉼표 [0] 3 7 4" xfId="5471" xr:uid="{00000000-0005-0000-0000-000074400000}"/>
    <cellStyle name="쉼표 [0] 3 7_뇌출혈특약(갱신형)" xfId="12871" xr:uid="{00000000-0005-0000-0000-000075400000}"/>
    <cellStyle name="쉼표 [0] 3 8" xfId="5472" xr:uid="{00000000-0005-0000-0000-000076400000}"/>
    <cellStyle name="쉼표 [0] 3 8 2" xfId="5473" xr:uid="{00000000-0005-0000-0000-000077400000}"/>
    <cellStyle name="쉼표 [0] 3 8 3" xfId="5474" xr:uid="{00000000-0005-0000-0000-000078400000}"/>
    <cellStyle name="쉼표 [0] 3 8 4" xfId="12096" xr:uid="{00000000-0005-0000-0000-000079400000}"/>
    <cellStyle name="쉼표 [0] 3 8_뇌출혈특약(갱신형)" xfId="12872" xr:uid="{00000000-0005-0000-0000-00007A400000}"/>
    <cellStyle name="쉼표 [0] 3 9" xfId="5475" xr:uid="{00000000-0005-0000-0000-00007B400000}"/>
    <cellStyle name="쉼표 [0] 3 9 2" xfId="5476" xr:uid="{00000000-0005-0000-0000-00007C400000}"/>
    <cellStyle name="쉼표 [0] 3 9 3" xfId="5477" xr:uid="{00000000-0005-0000-0000-00007D400000}"/>
    <cellStyle name="쉼표 [0] 3 9 4" xfId="12097" xr:uid="{00000000-0005-0000-0000-00007E400000}"/>
    <cellStyle name="쉼표 [0] 3 9_뇌출혈특약(갱신형)" xfId="12873" xr:uid="{00000000-0005-0000-0000-00007F400000}"/>
    <cellStyle name="쉼표 [0] 3_뇌출혈특약(갱신형)" xfId="12874" xr:uid="{00000000-0005-0000-0000-000080400000}"/>
    <cellStyle name="쉼표 [0] 30" xfId="5478" xr:uid="{00000000-0005-0000-0000-000081400000}"/>
    <cellStyle name="쉼표 [0] 30 2" xfId="5479" xr:uid="{00000000-0005-0000-0000-000082400000}"/>
    <cellStyle name="쉼표 [0] 30_뇌출혈특약(갱신형)" xfId="12875" xr:uid="{00000000-0005-0000-0000-000083400000}"/>
    <cellStyle name="쉼표 [0] 31" xfId="5480" xr:uid="{00000000-0005-0000-0000-000084400000}"/>
    <cellStyle name="쉼표 [0] 31 2" xfId="5481" xr:uid="{00000000-0005-0000-0000-000085400000}"/>
    <cellStyle name="쉼표 [0] 31_뇌출혈특약(갱신형)" xfId="12876" xr:uid="{00000000-0005-0000-0000-000086400000}"/>
    <cellStyle name="쉼표 [0] 32" xfId="5482" xr:uid="{00000000-0005-0000-0000-000087400000}"/>
    <cellStyle name="쉼표 [0] 32 2" xfId="5483" xr:uid="{00000000-0005-0000-0000-000088400000}"/>
    <cellStyle name="쉼표 [0] 32_뇌출혈특약(갱신형)" xfId="12877" xr:uid="{00000000-0005-0000-0000-000089400000}"/>
    <cellStyle name="쉼표 [0] 33" xfId="12098" xr:uid="{00000000-0005-0000-0000-00008A400000}"/>
    <cellStyle name="쉼표 [0] 34" xfId="12099" xr:uid="{00000000-0005-0000-0000-00008B400000}"/>
    <cellStyle name="쉼표 [0] 35" xfId="17984" xr:uid="{00000000-0005-0000-0000-00008C400000}"/>
    <cellStyle name="쉼표 [0] 35 2" xfId="32378" xr:uid="{00000000-0005-0000-0000-00008D400000}"/>
    <cellStyle name="쉼표 [0] 35 3" xfId="32379" xr:uid="{00000000-0005-0000-0000-00008E400000}"/>
    <cellStyle name="쉼표 [0] 36" xfId="32372" xr:uid="{00000000-0005-0000-0000-00008F400000}"/>
    <cellStyle name="쉼표 [0] 37" xfId="32380" xr:uid="{00000000-0005-0000-0000-000090400000}"/>
    <cellStyle name="쉼표 [0] 4" xfId="27" xr:uid="{00000000-0005-0000-0000-000091400000}"/>
    <cellStyle name="쉼표 [0] 4 10" xfId="5484" xr:uid="{00000000-0005-0000-0000-000092400000}"/>
    <cellStyle name="쉼표 [0] 4 10 2" xfId="5485" xr:uid="{00000000-0005-0000-0000-000093400000}"/>
    <cellStyle name="쉼표 [0] 4 10 2 2" xfId="5486" xr:uid="{00000000-0005-0000-0000-000094400000}"/>
    <cellStyle name="쉼표 [0] 4 10 2 3" xfId="5487" xr:uid="{00000000-0005-0000-0000-000095400000}"/>
    <cellStyle name="쉼표 [0] 4 10 2_뇌출혈특약(갱신형)" xfId="12878" xr:uid="{00000000-0005-0000-0000-000096400000}"/>
    <cellStyle name="쉼표 [0] 4 10 3" xfId="5488" xr:uid="{00000000-0005-0000-0000-000097400000}"/>
    <cellStyle name="쉼표 [0] 4 10 4" xfId="5489" xr:uid="{00000000-0005-0000-0000-000098400000}"/>
    <cellStyle name="쉼표 [0] 4 10_뇌출혈특약(갱신형)" xfId="12879" xr:uid="{00000000-0005-0000-0000-000099400000}"/>
    <cellStyle name="쉼표 [0] 4 11" xfId="5490" xr:uid="{00000000-0005-0000-0000-00009A400000}"/>
    <cellStyle name="쉼표 [0] 4 11 2" xfId="5491" xr:uid="{00000000-0005-0000-0000-00009B400000}"/>
    <cellStyle name="쉼표 [0] 4 11 3" xfId="5492" xr:uid="{00000000-0005-0000-0000-00009C400000}"/>
    <cellStyle name="쉼표 [0] 4 11_뇌출혈특약(갱신형)" xfId="12880" xr:uid="{00000000-0005-0000-0000-00009D400000}"/>
    <cellStyle name="쉼표 [0] 4 12" xfId="5493" xr:uid="{00000000-0005-0000-0000-00009E400000}"/>
    <cellStyle name="쉼표 [0] 4 12 2" xfId="5494" xr:uid="{00000000-0005-0000-0000-00009F400000}"/>
    <cellStyle name="쉼표 [0] 4 12 3" xfId="5495" xr:uid="{00000000-0005-0000-0000-0000A0400000}"/>
    <cellStyle name="쉼표 [0] 4 12_뇌출혈특약(갱신형)" xfId="12881" xr:uid="{00000000-0005-0000-0000-0000A1400000}"/>
    <cellStyle name="쉼표 [0] 4 13" xfId="5496" xr:uid="{00000000-0005-0000-0000-0000A2400000}"/>
    <cellStyle name="쉼표 [0] 4 13 2" xfId="5497" xr:uid="{00000000-0005-0000-0000-0000A3400000}"/>
    <cellStyle name="쉼표 [0] 4 13 3" xfId="5498" xr:uid="{00000000-0005-0000-0000-0000A4400000}"/>
    <cellStyle name="쉼표 [0] 4 13_뇌출혈특약(갱신형)" xfId="12882" xr:uid="{00000000-0005-0000-0000-0000A5400000}"/>
    <cellStyle name="쉼표 [0] 4 14" xfId="5499" xr:uid="{00000000-0005-0000-0000-0000A6400000}"/>
    <cellStyle name="쉼표 [0] 4 14 2" xfId="5500" xr:uid="{00000000-0005-0000-0000-0000A7400000}"/>
    <cellStyle name="쉼표 [0] 4 14 3" xfId="5501" xr:uid="{00000000-0005-0000-0000-0000A8400000}"/>
    <cellStyle name="쉼표 [0] 4 14_뇌출혈특약(갱신형)" xfId="12883" xr:uid="{00000000-0005-0000-0000-0000A9400000}"/>
    <cellStyle name="쉼표 [0] 4 15" xfId="5502" xr:uid="{00000000-0005-0000-0000-0000AA400000}"/>
    <cellStyle name="쉼표 [0] 4 15 2" xfId="5503" xr:uid="{00000000-0005-0000-0000-0000AB400000}"/>
    <cellStyle name="쉼표 [0] 4 15_뇌출혈특약(갱신형)" xfId="12884" xr:uid="{00000000-0005-0000-0000-0000AC400000}"/>
    <cellStyle name="쉼표 [0] 4 16" xfId="5504" xr:uid="{00000000-0005-0000-0000-0000AD400000}"/>
    <cellStyle name="쉼표 [0] 4 16 2" xfId="5505" xr:uid="{00000000-0005-0000-0000-0000AE400000}"/>
    <cellStyle name="쉼표 [0] 4 16_뇌출혈특약(갱신형)" xfId="12885" xr:uid="{00000000-0005-0000-0000-0000AF400000}"/>
    <cellStyle name="쉼표 [0] 4 17" xfId="5506" xr:uid="{00000000-0005-0000-0000-0000B0400000}"/>
    <cellStyle name="쉼표 [0] 4 17 2" xfId="5507" xr:uid="{00000000-0005-0000-0000-0000B1400000}"/>
    <cellStyle name="쉼표 [0] 4 17_뇌출혈특약(갱신형)" xfId="12886" xr:uid="{00000000-0005-0000-0000-0000B2400000}"/>
    <cellStyle name="쉼표 [0] 4 18" xfId="5508" xr:uid="{00000000-0005-0000-0000-0000B3400000}"/>
    <cellStyle name="쉼표 [0] 4 18 2" xfId="5509" xr:uid="{00000000-0005-0000-0000-0000B4400000}"/>
    <cellStyle name="쉼표 [0] 4 18_뇌출혈특약(갱신형)" xfId="12887" xr:uid="{00000000-0005-0000-0000-0000B5400000}"/>
    <cellStyle name="쉼표 [0] 4 19" xfId="5510" xr:uid="{00000000-0005-0000-0000-0000B6400000}"/>
    <cellStyle name="쉼표 [0] 4 2" xfId="67" xr:uid="{00000000-0005-0000-0000-0000B7400000}"/>
    <cellStyle name="쉼표 [0] 4 2 10" xfId="5511" xr:uid="{00000000-0005-0000-0000-0000B8400000}"/>
    <cellStyle name="쉼표 [0] 4 2 10 2" xfId="5512" xr:uid="{00000000-0005-0000-0000-0000B9400000}"/>
    <cellStyle name="쉼표 [0] 4 2 10 3" xfId="5513" xr:uid="{00000000-0005-0000-0000-0000BA400000}"/>
    <cellStyle name="쉼표 [0] 4 2 10_뇌출혈특약(갱신형)" xfId="12888" xr:uid="{00000000-0005-0000-0000-0000BB400000}"/>
    <cellStyle name="쉼표 [0] 4 2 11" xfId="5514" xr:uid="{00000000-0005-0000-0000-0000BC400000}"/>
    <cellStyle name="쉼표 [0] 4 2 11 2" xfId="5515" xr:uid="{00000000-0005-0000-0000-0000BD400000}"/>
    <cellStyle name="쉼표 [0] 4 2 11_뇌출혈특약(갱신형)" xfId="12889" xr:uid="{00000000-0005-0000-0000-0000BE400000}"/>
    <cellStyle name="쉼표 [0] 4 2 12" xfId="5516" xr:uid="{00000000-0005-0000-0000-0000BF400000}"/>
    <cellStyle name="쉼표 [0] 4 2 12 2" xfId="5517" xr:uid="{00000000-0005-0000-0000-0000C0400000}"/>
    <cellStyle name="쉼표 [0] 4 2 12_뇌출혈특약(갱신형)" xfId="12890" xr:uid="{00000000-0005-0000-0000-0000C1400000}"/>
    <cellStyle name="쉼표 [0] 4 2 13" xfId="5518" xr:uid="{00000000-0005-0000-0000-0000C2400000}"/>
    <cellStyle name="쉼표 [0] 4 2 13 2" xfId="5519" xr:uid="{00000000-0005-0000-0000-0000C3400000}"/>
    <cellStyle name="쉼표 [0] 4 2 13_뇌출혈특약(갱신형)" xfId="12891" xr:uid="{00000000-0005-0000-0000-0000C4400000}"/>
    <cellStyle name="쉼표 [0] 4 2 14" xfId="5520" xr:uid="{00000000-0005-0000-0000-0000C5400000}"/>
    <cellStyle name="쉼표 [0] 4 2 14 2" xfId="5521" xr:uid="{00000000-0005-0000-0000-0000C6400000}"/>
    <cellStyle name="쉼표 [0] 4 2 14_뇌출혈특약(갱신형)" xfId="12892" xr:uid="{00000000-0005-0000-0000-0000C7400000}"/>
    <cellStyle name="쉼표 [0] 4 2 15" xfId="5522" xr:uid="{00000000-0005-0000-0000-0000C8400000}"/>
    <cellStyle name="쉼표 [0] 4 2 16" xfId="5523" xr:uid="{00000000-0005-0000-0000-0000C9400000}"/>
    <cellStyle name="쉼표 [0] 4 2 2" xfId="5524" xr:uid="{00000000-0005-0000-0000-0000CA400000}"/>
    <cellStyle name="쉼표 [0] 4 2 2 2" xfId="5525" xr:uid="{00000000-0005-0000-0000-0000CB400000}"/>
    <cellStyle name="쉼표 [0] 4 2 2 2 2" xfId="5526" xr:uid="{00000000-0005-0000-0000-0000CC400000}"/>
    <cellStyle name="쉼표 [0] 4 2 2 2 2 2" xfId="5527" xr:uid="{00000000-0005-0000-0000-0000CD400000}"/>
    <cellStyle name="쉼표 [0] 4 2 2 2 2 2 2" xfId="5528" xr:uid="{00000000-0005-0000-0000-0000CE400000}"/>
    <cellStyle name="쉼표 [0] 4 2 2 2 2 2 3" xfId="5529" xr:uid="{00000000-0005-0000-0000-0000CF400000}"/>
    <cellStyle name="쉼표 [0] 4 2 2 2 2 2_뇌출혈특약(갱신형)" xfId="12893" xr:uid="{00000000-0005-0000-0000-0000D0400000}"/>
    <cellStyle name="쉼표 [0] 4 2 2 2 2 3" xfId="5530" xr:uid="{00000000-0005-0000-0000-0000D1400000}"/>
    <cellStyle name="쉼표 [0] 4 2 2 2 2 4" xfId="5531" xr:uid="{00000000-0005-0000-0000-0000D2400000}"/>
    <cellStyle name="쉼표 [0] 4 2 2 2 2_뇌출혈특약(갱신형)" xfId="12894" xr:uid="{00000000-0005-0000-0000-0000D3400000}"/>
    <cellStyle name="쉼표 [0] 4 2 2 2 3" xfId="5532" xr:uid="{00000000-0005-0000-0000-0000D4400000}"/>
    <cellStyle name="쉼표 [0] 4 2 2 2 3 2" xfId="5533" xr:uid="{00000000-0005-0000-0000-0000D5400000}"/>
    <cellStyle name="쉼표 [0] 4 2 2 2 3 2 2" xfId="5534" xr:uid="{00000000-0005-0000-0000-0000D6400000}"/>
    <cellStyle name="쉼표 [0] 4 2 2 2 3 2 3" xfId="5535" xr:uid="{00000000-0005-0000-0000-0000D7400000}"/>
    <cellStyle name="쉼표 [0] 4 2 2 2 3 2_뇌출혈특약(갱신형)" xfId="12895" xr:uid="{00000000-0005-0000-0000-0000D8400000}"/>
    <cellStyle name="쉼표 [0] 4 2 2 2 3 3" xfId="5536" xr:uid="{00000000-0005-0000-0000-0000D9400000}"/>
    <cellStyle name="쉼표 [0] 4 2 2 2 3 4" xfId="5537" xr:uid="{00000000-0005-0000-0000-0000DA400000}"/>
    <cellStyle name="쉼표 [0] 4 2 2 2 3_뇌출혈특약(갱신형)" xfId="12896" xr:uid="{00000000-0005-0000-0000-0000DB400000}"/>
    <cellStyle name="쉼표 [0] 4 2 2 2 4" xfId="5538" xr:uid="{00000000-0005-0000-0000-0000DC400000}"/>
    <cellStyle name="쉼표 [0] 4 2 2 2 4 2" xfId="5539" xr:uid="{00000000-0005-0000-0000-0000DD400000}"/>
    <cellStyle name="쉼표 [0] 4 2 2 2 4 3" xfId="5540" xr:uid="{00000000-0005-0000-0000-0000DE400000}"/>
    <cellStyle name="쉼표 [0] 4 2 2 2 4_뇌출혈특약(갱신형)" xfId="12897" xr:uid="{00000000-0005-0000-0000-0000DF400000}"/>
    <cellStyle name="쉼표 [0] 4 2 2 2 5" xfId="5541" xr:uid="{00000000-0005-0000-0000-0000E0400000}"/>
    <cellStyle name="쉼표 [0] 4 2 2 2 5 2" xfId="5542" xr:uid="{00000000-0005-0000-0000-0000E1400000}"/>
    <cellStyle name="쉼표 [0] 4 2 2 2 5 3" xfId="5543" xr:uid="{00000000-0005-0000-0000-0000E2400000}"/>
    <cellStyle name="쉼표 [0] 4 2 2 2 5_뇌출혈특약(갱신형)" xfId="12898" xr:uid="{00000000-0005-0000-0000-0000E3400000}"/>
    <cellStyle name="쉼표 [0] 4 2 2 2 6" xfId="5544" xr:uid="{00000000-0005-0000-0000-0000E4400000}"/>
    <cellStyle name="쉼표 [0] 4 2 2 2 7" xfId="5545" xr:uid="{00000000-0005-0000-0000-0000E5400000}"/>
    <cellStyle name="쉼표 [0] 4 2 2 2_뇌출혈특약(갱신형)" xfId="12899" xr:uid="{00000000-0005-0000-0000-0000E6400000}"/>
    <cellStyle name="쉼표 [0] 4 2 2 3" xfId="5546" xr:uid="{00000000-0005-0000-0000-0000E7400000}"/>
    <cellStyle name="쉼표 [0] 4 2 2 3 2" xfId="5547" xr:uid="{00000000-0005-0000-0000-0000E8400000}"/>
    <cellStyle name="쉼표 [0] 4 2 2 3 2 2" xfId="5548" xr:uid="{00000000-0005-0000-0000-0000E9400000}"/>
    <cellStyle name="쉼표 [0] 4 2 2 3 2 3" xfId="5549" xr:uid="{00000000-0005-0000-0000-0000EA400000}"/>
    <cellStyle name="쉼표 [0] 4 2 2 3 2_뇌출혈특약(갱신형)" xfId="12900" xr:uid="{00000000-0005-0000-0000-0000EB400000}"/>
    <cellStyle name="쉼표 [0] 4 2 2 3 3" xfId="5550" xr:uid="{00000000-0005-0000-0000-0000EC400000}"/>
    <cellStyle name="쉼표 [0] 4 2 2 3 4" xfId="5551" xr:uid="{00000000-0005-0000-0000-0000ED400000}"/>
    <cellStyle name="쉼표 [0] 4 2 2 3_뇌출혈특약(갱신형)" xfId="12901" xr:uid="{00000000-0005-0000-0000-0000EE400000}"/>
    <cellStyle name="쉼표 [0] 4 2 2 4" xfId="5552" xr:uid="{00000000-0005-0000-0000-0000EF400000}"/>
    <cellStyle name="쉼표 [0] 4 2 2 4 2" xfId="5553" xr:uid="{00000000-0005-0000-0000-0000F0400000}"/>
    <cellStyle name="쉼표 [0] 4 2 2 4 2 2" xfId="5554" xr:uid="{00000000-0005-0000-0000-0000F1400000}"/>
    <cellStyle name="쉼표 [0] 4 2 2 4 2 3" xfId="5555" xr:uid="{00000000-0005-0000-0000-0000F2400000}"/>
    <cellStyle name="쉼표 [0] 4 2 2 4 2_뇌출혈특약(갱신형)" xfId="12902" xr:uid="{00000000-0005-0000-0000-0000F3400000}"/>
    <cellStyle name="쉼표 [0] 4 2 2 4 3" xfId="5556" xr:uid="{00000000-0005-0000-0000-0000F4400000}"/>
    <cellStyle name="쉼표 [0] 4 2 2 4 4" xfId="5557" xr:uid="{00000000-0005-0000-0000-0000F5400000}"/>
    <cellStyle name="쉼표 [0] 4 2 2 4_뇌출혈특약(갱신형)" xfId="12903" xr:uid="{00000000-0005-0000-0000-0000F6400000}"/>
    <cellStyle name="쉼표 [0] 4 2 2 5" xfId="5558" xr:uid="{00000000-0005-0000-0000-0000F7400000}"/>
    <cellStyle name="쉼표 [0] 4 2 2 5 2" xfId="5559" xr:uid="{00000000-0005-0000-0000-0000F8400000}"/>
    <cellStyle name="쉼표 [0] 4 2 2 5 3" xfId="5560" xr:uid="{00000000-0005-0000-0000-0000F9400000}"/>
    <cellStyle name="쉼표 [0] 4 2 2 5_뇌출혈특약(갱신형)" xfId="12904" xr:uid="{00000000-0005-0000-0000-0000FA400000}"/>
    <cellStyle name="쉼표 [0] 4 2 2 6" xfId="5561" xr:uid="{00000000-0005-0000-0000-0000FB400000}"/>
    <cellStyle name="쉼표 [0] 4 2 2 6 2" xfId="5562" xr:uid="{00000000-0005-0000-0000-0000FC400000}"/>
    <cellStyle name="쉼표 [0] 4 2 2 6 3" xfId="5563" xr:uid="{00000000-0005-0000-0000-0000FD400000}"/>
    <cellStyle name="쉼표 [0] 4 2 2 6_뇌출혈특약(갱신형)" xfId="12905" xr:uid="{00000000-0005-0000-0000-0000FE400000}"/>
    <cellStyle name="쉼표 [0] 4 2 2 7" xfId="5564" xr:uid="{00000000-0005-0000-0000-0000FF400000}"/>
    <cellStyle name="쉼표 [0] 4 2 2 8" xfId="5565" xr:uid="{00000000-0005-0000-0000-000000410000}"/>
    <cellStyle name="쉼표 [0] 4 2 2_뇌출혈특약(갱신형)" xfId="12906" xr:uid="{00000000-0005-0000-0000-000001410000}"/>
    <cellStyle name="쉼표 [0] 4 2 3" xfId="5566" xr:uid="{00000000-0005-0000-0000-000002410000}"/>
    <cellStyle name="쉼표 [0] 4 2 3 2" xfId="5567" xr:uid="{00000000-0005-0000-0000-000003410000}"/>
    <cellStyle name="쉼표 [0] 4 2 3 2 2" xfId="5568" xr:uid="{00000000-0005-0000-0000-000004410000}"/>
    <cellStyle name="쉼표 [0] 4 2 3 2 2 2" xfId="5569" xr:uid="{00000000-0005-0000-0000-000005410000}"/>
    <cellStyle name="쉼표 [0] 4 2 3 2 2 3" xfId="5570" xr:uid="{00000000-0005-0000-0000-000006410000}"/>
    <cellStyle name="쉼표 [0] 4 2 3 2 2_뇌출혈특약(갱신형)" xfId="12907" xr:uid="{00000000-0005-0000-0000-000007410000}"/>
    <cellStyle name="쉼표 [0] 4 2 3 2 3" xfId="5571" xr:uid="{00000000-0005-0000-0000-000008410000}"/>
    <cellStyle name="쉼표 [0] 4 2 3 2 4" xfId="5572" xr:uid="{00000000-0005-0000-0000-000009410000}"/>
    <cellStyle name="쉼표 [0] 4 2 3 2_뇌출혈특약(갱신형)" xfId="12908" xr:uid="{00000000-0005-0000-0000-00000A410000}"/>
    <cellStyle name="쉼표 [0] 4 2 3 3" xfId="5573" xr:uid="{00000000-0005-0000-0000-00000B410000}"/>
    <cellStyle name="쉼표 [0] 4 2 3 3 2" xfId="5574" xr:uid="{00000000-0005-0000-0000-00000C410000}"/>
    <cellStyle name="쉼표 [0] 4 2 3 3 2 2" xfId="5575" xr:uid="{00000000-0005-0000-0000-00000D410000}"/>
    <cellStyle name="쉼표 [0] 4 2 3 3 2 3" xfId="5576" xr:uid="{00000000-0005-0000-0000-00000E410000}"/>
    <cellStyle name="쉼표 [0] 4 2 3 3 2_뇌출혈특약(갱신형)" xfId="12909" xr:uid="{00000000-0005-0000-0000-00000F410000}"/>
    <cellStyle name="쉼표 [0] 4 2 3 3 3" xfId="5577" xr:uid="{00000000-0005-0000-0000-000010410000}"/>
    <cellStyle name="쉼표 [0] 4 2 3 3 4" xfId="5578" xr:uid="{00000000-0005-0000-0000-000011410000}"/>
    <cellStyle name="쉼표 [0] 4 2 3 3_뇌출혈특약(갱신형)" xfId="12910" xr:uid="{00000000-0005-0000-0000-000012410000}"/>
    <cellStyle name="쉼표 [0] 4 2 3 4" xfId="5579" xr:uid="{00000000-0005-0000-0000-000013410000}"/>
    <cellStyle name="쉼표 [0] 4 2 3 4 2" xfId="5580" xr:uid="{00000000-0005-0000-0000-000014410000}"/>
    <cellStyle name="쉼표 [0] 4 2 3 4 3" xfId="5581" xr:uid="{00000000-0005-0000-0000-000015410000}"/>
    <cellStyle name="쉼표 [0] 4 2 3 4_뇌출혈특약(갱신형)" xfId="12911" xr:uid="{00000000-0005-0000-0000-000016410000}"/>
    <cellStyle name="쉼표 [0] 4 2 3 5" xfId="5582" xr:uid="{00000000-0005-0000-0000-000017410000}"/>
    <cellStyle name="쉼표 [0] 4 2 3 5 2" xfId="5583" xr:uid="{00000000-0005-0000-0000-000018410000}"/>
    <cellStyle name="쉼표 [0] 4 2 3 5 3" xfId="5584" xr:uid="{00000000-0005-0000-0000-000019410000}"/>
    <cellStyle name="쉼표 [0] 4 2 3 5_뇌출혈특약(갱신형)" xfId="12912" xr:uid="{00000000-0005-0000-0000-00001A410000}"/>
    <cellStyle name="쉼표 [0] 4 2 3 6" xfId="5585" xr:uid="{00000000-0005-0000-0000-00001B410000}"/>
    <cellStyle name="쉼표 [0] 4 2 3 7" xfId="5586" xr:uid="{00000000-0005-0000-0000-00001C410000}"/>
    <cellStyle name="쉼표 [0] 4 2 3_뇌출혈특약(갱신형)" xfId="12913" xr:uid="{00000000-0005-0000-0000-00001D410000}"/>
    <cellStyle name="쉼표 [0] 4 2 4" xfId="5587" xr:uid="{00000000-0005-0000-0000-00001E410000}"/>
    <cellStyle name="쉼표 [0] 4 2 4 2" xfId="5588" xr:uid="{00000000-0005-0000-0000-00001F410000}"/>
    <cellStyle name="쉼표 [0] 4 2 4 2 2" xfId="5589" xr:uid="{00000000-0005-0000-0000-000020410000}"/>
    <cellStyle name="쉼표 [0] 4 2 4 2 2 2" xfId="5590" xr:uid="{00000000-0005-0000-0000-000021410000}"/>
    <cellStyle name="쉼표 [0] 4 2 4 2 2 3" xfId="5591" xr:uid="{00000000-0005-0000-0000-000022410000}"/>
    <cellStyle name="쉼표 [0] 4 2 4 2 2_뇌출혈특약(갱신형)" xfId="12914" xr:uid="{00000000-0005-0000-0000-000023410000}"/>
    <cellStyle name="쉼표 [0] 4 2 4 2 3" xfId="5592" xr:uid="{00000000-0005-0000-0000-000024410000}"/>
    <cellStyle name="쉼표 [0] 4 2 4 2 4" xfId="5593" xr:uid="{00000000-0005-0000-0000-000025410000}"/>
    <cellStyle name="쉼표 [0] 4 2 4 2_뇌출혈특약(갱신형)" xfId="12915" xr:uid="{00000000-0005-0000-0000-000026410000}"/>
    <cellStyle name="쉼표 [0] 4 2 4 3" xfId="5594" xr:uid="{00000000-0005-0000-0000-000027410000}"/>
    <cellStyle name="쉼표 [0] 4 2 4 3 2" xfId="5595" xr:uid="{00000000-0005-0000-0000-000028410000}"/>
    <cellStyle name="쉼표 [0] 4 2 4 3 2 2" xfId="5596" xr:uid="{00000000-0005-0000-0000-000029410000}"/>
    <cellStyle name="쉼표 [0] 4 2 4 3 2 3" xfId="5597" xr:uid="{00000000-0005-0000-0000-00002A410000}"/>
    <cellStyle name="쉼표 [0] 4 2 4 3 2_뇌출혈특약(갱신형)" xfId="12916" xr:uid="{00000000-0005-0000-0000-00002B410000}"/>
    <cellStyle name="쉼표 [0] 4 2 4 3 3" xfId="5598" xr:uid="{00000000-0005-0000-0000-00002C410000}"/>
    <cellStyle name="쉼표 [0] 4 2 4 3 4" xfId="5599" xr:uid="{00000000-0005-0000-0000-00002D410000}"/>
    <cellStyle name="쉼표 [0] 4 2 4 3_뇌출혈특약(갱신형)" xfId="12917" xr:uid="{00000000-0005-0000-0000-00002E410000}"/>
    <cellStyle name="쉼표 [0] 4 2 4 4" xfId="5600" xr:uid="{00000000-0005-0000-0000-00002F410000}"/>
    <cellStyle name="쉼표 [0] 4 2 4 4 2" xfId="5601" xr:uid="{00000000-0005-0000-0000-000030410000}"/>
    <cellStyle name="쉼표 [0] 4 2 4 4 3" xfId="5602" xr:uid="{00000000-0005-0000-0000-000031410000}"/>
    <cellStyle name="쉼표 [0] 4 2 4 4_뇌출혈특약(갱신형)" xfId="12918" xr:uid="{00000000-0005-0000-0000-000032410000}"/>
    <cellStyle name="쉼표 [0] 4 2 4 5" xfId="5603" xr:uid="{00000000-0005-0000-0000-000033410000}"/>
    <cellStyle name="쉼표 [0] 4 2 4 5 2" xfId="5604" xr:uid="{00000000-0005-0000-0000-000034410000}"/>
    <cellStyle name="쉼표 [0] 4 2 4 5 3" xfId="5605" xr:uid="{00000000-0005-0000-0000-000035410000}"/>
    <cellStyle name="쉼표 [0] 4 2 4 5_뇌출혈특약(갱신형)" xfId="12919" xr:uid="{00000000-0005-0000-0000-000036410000}"/>
    <cellStyle name="쉼표 [0] 4 2 4 6" xfId="5606" xr:uid="{00000000-0005-0000-0000-000037410000}"/>
    <cellStyle name="쉼표 [0] 4 2 4 7" xfId="5607" xr:uid="{00000000-0005-0000-0000-000038410000}"/>
    <cellStyle name="쉼표 [0] 4 2 4_뇌출혈특약(갱신형)" xfId="12920" xr:uid="{00000000-0005-0000-0000-000039410000}"/>
    <cellStyle name="쉼표 [0] 4 2 5" xfId="5608" xr:uid="{00000000-0005-0000-0000-00003A410000}"/>
    <cellStyle name="쉼표 [0] 4 2 5 2" xfId="5609" xr:uid="{00000000-0005-0000-0000-00003B410000}"/>
    <cellStyle name="쉼표 [0] 4 2 5 2 2" xfId="5610" xr:uid="{00000000-0005-0000-0000-00003C410000}"/>
    <cellStyle name="쉼표 [0] 4 2 5 2 3" xfId="5611" xr:uid="{00000000-0005-0000-0000-00003D410000}"/>
    <cellStyle name="쉼표 [0] 4 2 5 2_뇌출혈특약(갱신형)" xfId="12921" xr:uid="{00000000-0005-0000-0000-00003E410000}"/>
    <cellStyle name="쉼표 [0] 4 2 5 3" xfId="5612" xr:uid="{00000000-0005-0000-0000-00003F410000}"/>
    <cellStyle name="쉼표 [0] 4 2 5 4" xfId="5613" xr:uid="{00000000-0005-0000-0000-000040410000}"/>
    <cellStyle name="쉼표 [0] 4 2 5_뇌출혈특약(갱신형)" xfId="12922" xr:uid="{00000000-0005-0000-0000-000041410000}"/>
    <cellStyle name="쉼표 [0] 4 2 6" xfId="5614" xr:uid="{00000000-0005-0000-0000-000042410000}"/>
    <cellStyle name="쉼표 [0] 4 2 6 2" xfId="5615" xr:uid="{00000000-0005-0000-0000-000043410000}"/>
    <cellStyle name="쉼표 [0] 4 2 6 2 2" xfId="5616" xr:uid="{00000000-0005-0000-0000-000044410000}"/>
    <cellStyle name="쉼표 [0] 4 2 6 2 3" xfId="5617" xr:uid="{00000000-0005-0000-0000-000045410000}"/>
    <cellStyle name="쉼표 [0] 4 2 6 2_뇌출혈특약(갱신형)" xfId="12923" xr:uid="{00000000-0005-0000-0000-000046410000}"/>
    <cellStyle name="쉼표 [0] 4 2 6 3" xfId="5618" xr:uid="{00000000-0005-0000-0000-000047410000}"/>
    <cellStyle name="쉼표 [0] 4 2 6 4" xfId="5619" xr:uid="{00000000-0005-0000-0000-000048410000}"/>
    <cellStyle name="쉼표 [0] 4 2 6_뇌출혈특약(갱신형)" xfId="12924" xr:uid="{00000000-0005-0000-0000-000049410000}"/>
    <cellStyle name="쉼표 [0] 4 2 7" xfId="5620" xr:uid="{00000000-0005-0000-0000-00004A410000}"/>
    <cellStyle name="쉼표 [0] 4 2 7 2" xfId="5621" xr:uid="{00000000-0005-0000-0000-00004B410000}"/>
    <cellStyle name="쉼표 [0] 4 2 7 3" xfId="5622" xr:uid="{00000000-0005-0000-0000-00004C410000}"/>
    <cellStyle name="쉼표 [0] 4 2 7_뇌출혈특약(갱신형)" xfId="12925" xr:uid="{00000000-0005-0000-0000-00004D410000}"/>
    <cellStyle name="쉼표 [0] 4 2 8" xfId="5623" xr:uid="{00000000-0005-0000-0000-00004E410000}"/>
    <cellStyle name="쉼표 [0] 4 2 8 2" xfId="5624" xr:uid="{00000000-0005-0000-0000-00004F410000}"/>
    <cellStyle name="쉼표 [0] 4 2 8 3" xfId="5625" xr:uid="{00000000-0005-0000-0000-000050410000}"/>
    <cellStyle name="쉼표 [0] 4 2 8_뇌출혈특약(갱신형)" xfId="12926" xr:uid="{00000000-0005-0000-0000-000051410000}"/>
    <cellStyle name="쉼표 [0] 4 2 9" xfId="5626" xr:uid="{00000000-0005-0000-0000-000052410000}"/>
    <cellStyle name="쉼표 [0] 4 2 9 2" xfId="5627" xr:uid="{00000000-0005-0000-0000-000053410000}"/>
    <cellStyle name="쉼표 [0] 4 2 9 3" xfId="5628" xr:uid="{00000000-0005-0000-0000-000054410000}"/>
    <cellStyle name="쉼표 [0] 4 2 9_뇌출혈특약(갱신형)" xfId="12927" xr:uid="{00000000-0005-0000-0000-000055410000}"/>
    <cellStyle name="쉼표 [0] 4 2_뇌출혈특약(갱신형)" xfId="12928" xr:uid="{00000000-0005-0000-0000-000056410000}"/>
    <cellStyle name="쉼표 [0] 4 20" xfId="5629" xr:uid="{00000000-0005-0000-0000-000057410000}"/>
    <cellStyle name="쉼표 [0] 4 21" xfId="17132" xr:uid="{00000000-0005-0000-0000-000058410000}"/>
    <cellStyle name="쉼표 [0] 4 21 2" xfId="32361" xr:uid="{00000000-0005-0000-0000-000059410000}"/>
    <cellStyle name="쉼표 [0] 4 21 3" xfId="17373" xr:uid="{00000000-0005-0000-0000-00005A410000}"/>
    <cellStyle name="쉼표 [0] 4 3" xfId="68" xr:uid="{00000000-0005-0000-0000-00005B410000}"/>
    <cellStyle name="쉼표 [0] 4 3 10" xfId="5630" xr:uid="{00000000-0005-0000-0000-00005C410000}"/>
    <cellStyle name="쉼표 [0] 4 3 10 2" xfId="5631" xr:uid="{00000000-0005-0000-0000-00005D410000}"/>
    <cellStyle name="쉼표 [0] 4 3 10 3" xfId="5632" xr:uid="{00000000-0005-0000-0000-00005E410000}"/>
    <cellStyle name="쉼표 [0] 4 3 10_뇌출혈특약(갱신형)" xfId="12929" xr:uid="{00000000-0005-0000-0000-00005F410000}"/>
    <cellStyle name="쉼표 [0] 4 3 11" xfId="5633" xr:uid="{00000000-0005-0000-0000-000060410000}"/>
    <cellStyle name="쉼표 [0] 4 3 11 2" xfId="5634" xr:uid="{00000000-0005-0000-0000-000061410000}"/>
    <cellStyle name="쉼표 [0] 4 3 11_뇌출혈특약(갱신형)" xfId="12930" xr:uid="{00000000-0005-0000-0000-000062410000}"/>
    <cellStyle name="쉼표 [0] 4 3 12" xfId="5635" xr:uid="{00000000-0005-0000-0000-000063410000}"/>
    <cellStyle name="쉼표 [0] 4 3 12 2" xfId="5636" xr:uid="{00000000-0005-0000-0000-000064410000}"/>
    <cellStyle name="쉼표 [0] 4 3 12_뇌출혈특약(갱신형)" xfId="12931" xr:uid="{00000000-0005-0000-0000-000065410000}"/>
    <cellStyle name="쉼표 [0] 4 3 13" xfId="5637" xr:uid="{00000000-0005-0000-0000-000066410000}"/>
    <cellStyle name="쉼표 [0] 4 3 13 2" xfId="5638" xr:uid="{00000000-0005-0000-0000-000067410000}"/>
    <cellStyle name="쉼표 [0] 4 3 13_뇌출혈특약(갱신형)" xfId="12932" xr:uid="{00000000-0005-0000-0000-000068410000}"/>
    <cellStyle name="쉼표 [0] 4 3 14" xfId="5639" xr:uid="{00000000-0005-0000-0000-000069410000}"/>
    <cellStyle name="쉼표 [0] 4 3 14 2" xfId="5640" xr:uid="{00000000-0005-0000-0000-00006A410000}"/>
    <cellStyle name="쉼표 [0] 4 3 14_뇌출혈특약(갱신형)" xfId="12933" xr:uid="{00000000-0005-0000-0000-00006B410000}"/>
    <cellStyle name="쉼표 [0] 4 3 15" xfId="5641" xr:uid="{00000000-0005-0000-0000-00006C410000}"/>
    <cellStyle name="쉼표 [0] 4 3 16" xfId="5642" xr:uid="{00000000-0005-0000-0000-00006D410000}"/>
    <cellStyle name="쉼표 [0] 4 3 2" xfId="5643" xr:uid="{00000000-0005-0000-0000-00006E410000}"/>
    <cellStyle name="쉼표 [0] 4 3 2 2" xfId="5644" xr:uid="{00000000-0005-0000-0000-00006F410000}"/>
    <cellStyle name="쉼표 [0] 4 3 2 2 2" xfId="5645" xr:uid="{00000000-0005-0000-0000-000070410000}"/>
    <cellStyle name="쉼표 [0] 4 3 2 2 2 2" xfId="5646" xr:uid="{00000000-0005-0000-0000-000071410000}"/>
    <cellStyle name="쉼표 [0] 4 3 2 2 2 2 2" xfId="5647" xr:uid="{00000000-0005-0000-0000-000072410000}"/>
    <cellStyle name="쉼표 [0] 4 3 2 2 2 2 3" xfId="5648" xr:uid="{00000000-0005-0000-0000-000073410000}"/>
    <cellStyle name="쉼표 [0] 4 3 2 2 2 2_뇌출혈특약(갱신형)" xfId="12934" xr:uid="{00000000-0005-0000-0000-000074410000}"/>
    <cellStyle name="쉼표 [0] 4 3 2 2 2 3" xfId="5649" xr:uid="{00000000-0005-0000-0000-000075410000}"/>
    <cellStyle name="쉼표 [0] 4 3 2 2 2 4" xfId="5650" xr:uid="{00000000-0005-0000-0000-000076410000}"/>
    <cellStyle name="쉼표 [0] 4 3 2 2 2_뇌출혈특약(갱신형)" xfId="12935" xr:uid="{00000000-0005-0000-0000-000077410000}"/>
    <cellStyle name="쉼표 [0] 4 3 2 2 3" xfId="5651" xr:uid="{00000000-0005-0000-0000-000078410000}"/>
    <cellStyle name="쉼표 [0] 4 3 2 2 3 2" xfId="5652" xr:uid="{00000000-0005-0000-0000-000079410000}"/>
    <cellStyle name="쉼표 [0] 4 3 2 2 3 2 2" xfId="5653" xr:uid="{00000000-0005-0000-0000-00007A410000}"/>
    <cellStyle name="쉼표 [0] 4 3 2 2 3 2 3" xfId="5654" xr:uid="{00000000-0005-0000-0000-00007B410000}"/>
    <cellStyle name="쉼표 [0] 4 3 2 2 3 2_뇌출혈특약(갱신형)" xfId="12936" xr:uid="{00000000-0005-0000-0000-00007C410000}"/>
    <cellStyle name="쉼표 [0] 4 3 2 2 3 3" xfId="5655" xr:uid="{00000000-0005-0000-0000-00007D410000}"/>
    <cellStyle name="쉼표 [0] 4 3 2 2 3 4" xfId="5656" xr:uid="{00000000-0005-0000-0000-00007E410000}"/>
    <cellStyle name="쉼표 [0] 4 3 2 2 3_뇌출혈특약(갱신형)" xfId="12937" xr:uid="{00000000-0005-0000-0000-00007F410000}"/>
    <cellStyle name="쉼표 [0] 4 3 2 2 4" xfId="5657" xr:uid="{00000000-0005-0000-0000-000080410000}"/>
    <cellStyle name="쉼표 [0] 4 3 2 2 4 2" xfId="5658" xr:uid="{00000000-0005-0000-0000-000081410000}"/>
    <cellStyle name="쉼표 [0] 4 3 2 2 4 3" xfId="5659" xr:uid="{00000000-0005-0000-0000-000082410000}"/>
    <cellStyle name="쉼표 [0] 4 3 2 2 4_뇌출혈특약(갱신형)" xfId="12938" xr:uid="{00000000-0005-0000-0000-000083410000}"/>
    <cellStyle name="쉼표 [0] 4 3 2 2 5" xfId="5660" xr:uid="{00000000-0005-0000-0000-000084410000}"/>
    <cellStyle name="쉼표 [0] 4 3 2 2 5 2" xfId="5661" xr:uid="{00000000-0005-0000-0000-000085410000}"/>
    <cellStyle name="쉼표 [0] 4 3 2 2 5 3" xfId="5662" xr:uid="{00000000-0005-0000-0000-000086410000}"/>
    <cellStyle name="쉼표 [0] 4 3 2 2 5_뇌출혈특약(갱신형)" xfId="12939" xr:uid="{00000000-0005-0000-0000-000087410000}"/>
    <cellStyle name="쉼표 [0] 4 3 2 2 6" xfId="5663" xr:uid="{00000000-0005-0000-0000-000088410000}"/>
    <cellStyle name="쉼표 [0] 4 3 2 2 7" xfId="5664" xr:uid="{00000000-0005-0000-0000-000089410000}"/>
    <cellStyle name="쉼표 [0] 4 3 2 2_뇌출혈특약(갱신형)" xfId="12940" xr:uid="{00000000-0005-0000-0000-00008A410000}"/>
    <cellStyle name="쉼표 [0] 4 3 2 3" xfId="5665" xr:uid="{00000000-0005-0000-0000-00008B410000}"/>
    <cellStyle name="쉼표 [0] 4 3 2 3 2" xfId="5666" xr:uid="{00000000-0005-0000-0000-00008C410000}"/>
    <cellStyle name="쉼표 [0] 4 3 2 3 2 2" xfId="5667" xr:uid="{00000000-0005-0000-0000-00008D410000}"/>
    <cellStyle name="쉼표 [0] 4 3 2 3 2 3" xfId="5668" xr:uid="{00000000-0005-0000-0000-00008E410000}"/>
    <cellStyle name="쉼표 [0] 4 3 2 3 2_뇌출혈특약(갱신형)" xfId="12941" xr:uid="{00000000-0005-0000-0000-00008F410000}"/>
    <cellStyle name="쉼표 [0] 4 3 2 3 3" xfId="5669" xr:uid="{00000000-0005-0000-0000-000090410000}"/>
    <cellStyle name="쉼표 [0] 4 3 2 3 4" xfId="5670" xr:uid="{00000000-0005-0000-0000-000091410000}"/>
    <cellStyle name="쉼표 [0] 4 3 2 3_뇌출혈특약(갱신형)" xfId="12942" xr:uid="{00000000-0005-0000-0000-000092410000}"/>
    <cellStyle name="쉼표 [0] 4 3 2 4" xfId="5671" xr:uid="{00000000-0005-0000-0000-000093410000}"/>
    <cellStyle name="쉼표 [0] 4 3 2 4 2" xfId="5672" xr:uid="{00000000-0005-0000-0000-000094410000}"/>
    <cellStyle name="쉼표 [0] 4 3 2 4 2 2" xfId="5673" xr:uid="{00000000-0005-0000-0000-000095410000}"/>
    <cellStyle name="쉼표 [0] 4 3 2 4 2 3" xfId="5674" xr:uid="{00000000-0005-0000-0000-000096410000}"/>
    <cellStyle name="쉼표 [0] 4 3 2 4 2_뇌출혈특약(갱신형)" xfId="12943" xr:uid="{00000000-0005-0000-0000-000097410000}"/>
    <cellStyle name="쉼표 [0] 4 3 2 4 3" xfId="5675" xr:uid="{00000000-0005-0000-0000-000098410000}"/>
    <cellStyle name="쉼표 [0] 4 3 2 4 4" xfId="5676" xr:uid="{00000000-0005-0000-0000-000099410000}"/>
    <cellStyle name="쉼표 [0] 4 3 2 4_뇌출혈특약(갱신형)" xfId="12944" xr:uid="{00000000-0005-0000-0000-00009A410000}"/>
    <cellStyle name="쉼표 [0] 4 3 2 5" xfId="5677" xr:uid="{00000000-0005-0000-0000-00009B410000}"/>
    <cellStyle name="쉼표 [0] 4 3 2 5 2" xfId="5678" xr:uid="{00000000-0005-0000-0000-00009C410000}"/>
    <cellStyle name="쉼표 [0] 4 3 2 5 3" xfId="5679" xr:uid="{00000000-0005-0000-0000-00009D410000}"/>
    <cellStyle name="쉼표 [0] 4 3 2 5_뇌출혈특약(갱신형)" xfId="12945" xr:uid="{00000000-0005-0000-0000-00009E410000}"/>
    <cellStyle name="쉼표 [0] 4 3 2 6" xfId="5680" xr:uid="{00000000-0005-0000-0000-00009F410000}"/>
    <cellStyle name="쉼표 [0] 4 3 2 6 2" xfId="5681" xr:uid="{00000000-0005-0000-0000-0000A0410000}"/>
    <cellStyle name="쉼표 [0] 4 3 2 6 3" xfId="5682" xr:uid="{00000000-0005-0000-0000-0000A1410000}"/>
    <cellStyle name="쉼표 [0] 4 3 2 6_뇌출혈특약(갱신형)" xfId="12946" xr:uid="{00000000-0005-0000-0000-0000A2410000}"/>
    <cellStyle name="쉼표 [0] 4 3 2 7" xfId="5683" xr:uid="{00000000-0005-0000-0000-0000A3410000}"/>
    <cellStyle name="쉼표 [0] 4 3 2 8" xfId="5684" xr:uid="{00000000-0005-0000-0000-0000A4410000}"/>
    <cellStyle name="쉼표 [0] 4 3 2_뇌출혈특약(갱신형)" xfId="12947" xr:uid="{00000000-0005-0000-0000-0000A5410000}"/>
    <cellStyle name="쉼표 [0] 4 3 3" xfId="5685" xr:uid="{00000000-0005-0000-0000-0000A6410000}"/>
    <cellStyle name="쉼표 [0] 4 3 3 2" xfId="5686" xr:uid="{00000000-0005-0000-0000-0000A7410000}"/>
    <cellStyle name="쉼표 [0] 4 3 3 2 2" xfId="5687" xr:uid="{00000000-0005-0000-0000-0000A8410000}"/>
    <cellStyle name="쉼표 [0] 4 3 3 2 2 2" xfId="5688" xr:uid="{00000000-0005-0000-0000-0000A9410000}"/>
    <cellStyle name="쉼표 [0] 4 3 3 2 2 3" xfId="5689" xr:uid="{00000000-0005-0000-0000-0000AA410000}"/>
    <cellStyle name="쉼표 [0] 4 3 3 2 2_뇌출혈특약(갱신형)" xfId="12948" xr:uid="{00000000-0005-0000-0000-0000AB410000}"/>
    <cellStyle name="쉼표 [0] 4 3 3 2 3" xfId="5690" xr:uid="{00000000-0005-0000-0000-0000AC410000}"/>
    <cellStyle name="쉼표 [0] 4 3 3 2 4" xfId="5691" xr:uid="{00000000-0005-0000-0000-0000AD410000}"/>
    <cellStyle name="쉼표 [0] 4 3 3 2_뇌출혈특약(갱신형)" xfId="12949" xr:uid="{00000000-0005-0000-0000-0000AE410000}"/>
    <cellStyle name="쉼표 [0] 4 3 3 3" xfId="5692" xr:uid="{00000000-0005-0000-0000-0000AF410000}"/>
    <cellStyle name="쉼표 [0] 4 3 3 3 2" xfId="5693" xr:uid="{00000000-0005-0000-0000-0000B0410000}"/>
    <cellStyle name="쉼표 [0] 4 3 3 3 2 2" xfId="5694" xr:uid="{00000000-0005-0000-0000-0000B1410000}"/>
    <cellStyle name="쉼표 [0] 4 3 3 3 2 3" xfId="5695" xr:uid="{00000000-0005-0000-0000-0000B2410000}"/>
    <cellStyle name="쉼표 [0] 4 3 3 3 2_뇌출혈특약(갱신형)" xfId="12950" xr:uid="{00000000-0005-0000-0000-0000B3410000}"/>
    <cellStyle name="쉼표 [0] 4 3 3 3 3" xfId="5696" xr:uid="{00000000-0005-0000-0000-0000B4410000}"/>
    <cellStyle name="쉼표 [0] 4 3 3 3 4" xfId="5697" xr:uid="{00000000-0005-0000-0000-0000B5410000}"/>
    <cellStyle name="쉼표 [0] 4 3 3 3_뇌출혈특약(갱신형)" xfId="12951" xr:uid="{00000000-0005-0000-0000-0000B6410000}"/>
    <cellStyle name="쉼표 [0] 4 3 3 4" xfId="5698" xr:uid="{00000000-0005-0000-0000-0000B7410000}"/>
    <cellStyle name="쉼표 [0] 4 3 3 4 2" xfId="5699" xr:uid="{00000000-0005-0000-0000-0000B8410000}"/>
    <cellStyle name="쉼표 [0] 4 3 3 4 3" xfId="5700" xr:uid="{00000000-0005-0000-0000-0000B9410000}"/>
    <cellStyle name="쉼표 [0] 4 3 3 4_뇌출혈특약(갱신형)" xfId="12952" xr:uid="{00000000-0005-0000-0000-0000BA410000}"/>
    <cellStyle name="쉼표 [0] 4 3 3 5" xfId="5701" xr:uid="{00000000-0005-0000-0000-0000BB410000}"/>
    <cellStyle name="쉼표 [0] 4 3 3 5 2" xfId="5702" xr:uid="{00000000-0005-0000-0000-0000BC410000}"/>
    <cellStyle name="쉼표 [0] 4 3 3 5 3" xfId="5703" xr:uid="{00000000-0005-0000-0000-0000BD410000}"/>
    <cellStyle name="쉼표 [0] 4 3 3 5_뇌출혈특약(갱신형)" xfId="12953" xr:uid="{00000000-0005-0000-0000-0000BE410000}"/>
    <cellStyle name="쉼표 [0] 4 3 3 6" xfId="5704" xr:uid="{00000000-0005-0000-0000-0000BF410000}"/>
    <cellStyle name="쉼표 [0] 4 3 3 7" xfId="5705" xr:uid="{00000000-0005-0000-0000-0000C0410000}"/>
    <cellStyle name="쉼표 [0] 4 3 3_뇌출혈특약(갱신형)" xfId="12954" xr:uid="{00000000-0005-0000-0000-0000C1410000}"/>
    <cellStyle name="쉼표 [0] 4 3 4" xfId="5706" xr:uid="{00000000-0005-0000-0000-0000C2410000}"/>
    <cellStyle name="쉼표 [0] 4 3 4 2" xfId="5707" xr:uid="{00000000-0005-0000-0000-0000C3410000}"/>
    <cellStyle name="쉼표 [0] 4 3 4 2 2" xfId="5708" xr:uid="{00000000-0005-0000-0000-0000C4410000}"/>
    <cellStyle name="쉼표 [0] 4 3 4 2 2 2" xfId="5709" xr:uid="{00000000-0005-0000-0000-0000C5410000}"/>
    <cellStyle name="쉼표 [0] 4 3 4 2 2 3" xfId="5710" xr:uid="{00000000-0005-0000-0000-0000C6410000}"/>
    <cellStyle name="쉼표 [0] 4 3 4 2 2_뇌출혈특약(갱신형)" xfId="12955" xr:uid="{00000000-0005-0000-0000-0000C7410000}"/>
    <cellStyle name="쉼표 [0] 4 3 4 2 3" xfId="5711" xr:uid="{00000000-0005-0000-0000-0000C8410000}"/>
    <cellStyle name="쉼표 [0] 4 3 4 2 4" xfId="5712" xr:uid="{00000000-0005-0000-0000-0000C9410000}"/>
    <cellStyle name="쉼표 [0] 4 3 4 2_뇌출혈특약(갱신형)" xfId="12956" xr:uid="{00000000-0005-0000-0000-0000CA410000}"/>
    <cellStyle name="쉼표 [0] 4 3 4 3" xfId="5713" xr:uid="{00000000-0005-0000-0000-0000CB410000}"/>
    <cellStyle name="쉼표 [0] 4 3 4 3 2" xfId="5714" xr:uid="{00000000-0005-0000-0000-0000CC410000}"/>
    <cellStyle name="쉼표 [0] 4 3 4 3 2 2" xfId="5715" xr:uid="{00000000-0005-0000-0000-0000CD410000}"/>
    <cellStyle name="쉼표 [0] 4 3 4 3 2 3" xfId="5716" xr:uid="{00000000-0005-0000-0000-0000CE410000}"/>
    <cellStyle name="쉼표 [0] 4 3 4 3 2_뇌출혈특약(갱신형)" xfId="12957" xr:uid="{00000000-0005-0000-0000-0000CF410000}"/>
    <cellStyle name="쉼표 [0] 4 3 4 3 3" xfId="5717" xr:uid="{00000000-0005-0000-0000-0000D0410000}"/>
    <cellStyle name="쉼표 [0] 4 3 4 3 4" xfId="5718" xr:uid="{00000000-0005-0000-0000-0000D1410000}"/>
    <cellStyle name="쉼표 [0] 4 3 4 3_뇌출혈특약(갱신형)" xfId="12958" xr:uid="{00000000-0005-0000-0000-0000D2410000}"/>
    <cellStyle name="쉼표 [0] 4 3 4 4" xfId="5719" xr:uid="{00000000-0005-0000-0000-0000D3410000}"/>
    <cellStyle name="쉼표 [0] 4 3 4 4 2" xfId="5720" xr:uid="{00000000-0005-0000-0000-0000D4410000}"/>
    <cellStyle name="쉼표 [0] 4 3 4 4 3" xfId="5721" xr:uid="{00000000-0005-0000-0000-0000D5410000}"/>
    <cellStyle name="쉼표 [0] 4 3 4 4_뇌출혈특약(갱신형)" xfId="12959" xr:uid="{00000000-0005-0000-0000-0000D6410000}"/>
    <cellStyle name="쉼표 [0] 4 3 4 5" xfId="5722" xr:uid="{00000000-0005-0000-0000-0000D7410000}"/>
    <cellStyle name="쉼표 [0] 4 3 4 5 2" xfId="5723" xr:uid="{00000000-0005-0000-0000-0000D8410000}"/>
    <cellStyle name="쉼표 [0] 4 3 4 5 3" xfId="5724" xr:uid="{00000000-0005-0000-0000-0000D9410000}"/>
    <cellStyle name="쉼표 [0] 4 3 4 5_뇌출혈특약(갱신형)" xfId="12960" xr:uid="{00000000-0005-0000-0000-0000DA410000}"/>
    <cellStyle name="쉼표 [0] 4 3 4 6" xfId="5725" xr:uid="{00000000-0005-0000-0000-0000DB410000}"/>
    <cellStyle name="쉼표 [0] 4 3 4 7" xfId="5726" xr:uid="{00000000-0005-0000-0000-0000DC410000}"/>
    <cellStyle name="쉼표 [0] 4 3 4_뇌출혈특약(갱신형)" xfId="12961" xr:uid="{00000000-0005-0000-0000-0000DD410000}"/>
    <cellStyle name="쉼표 [0] 4 3 5" xfId="5727" xr:uid="{00000000-0005-0000-0000-0000DE410000}"/>
    <cellStyle name="쉼표 [0] 4 3 5 2" xfId="5728" xr:uid="{00000000-0005-0000-0000-0000DF410000}"/>
    <cellStyle name="쉼표 [0] 4 3 5 2 2" xfId="5729" xr:uid="{00000000-0005-0000-0000-0000E0410000}"/>
    <cellStyle name="쉼표 [0] 4 3 5 2 3" xfId="5730" xr:uid="{00000000-0005-0000-0000-0000E1410000}"/>
    <cellStyle name="쉼표 [0] 4 3 5 2_뇌출혈특약(갱신형)" xfId="12962" xr:uid="{00000000-0005-0000-0000-0000E2410000}"/>
    <cellStyle name="쉼표 [0] 4 3 5 3" xfId="5731" xr:uid="{00000000-0005-0000-0000-0000E3410000}"/>
    <cellStyle name="쉼표 [0] 4 3 5 4" xfId="5732" xr:uid="{00000000-0005-0000-0000-0000E4410000}"/>
    <cellStyle name="쉼표 [0] 4 3 5_뇌출혈특약(갱신형)" xfId="12963" xr:uid="{00000000-0005-0000-0000-0000E5410000}"/>
    <cellStyle name="쉼표 [0] 4 3 6" xfId="5733" xr:uid="{00000000-0005-0000-0000-0000E6410000}"/>
    <cellStyle name="쉼표 [0] 4 3 6 2" xfId="5734" xr:uid="{00000000-0005-0000-0000-0000E7410000}"/>
    <cellStyle name="쉼표 [0] 4 3 6 2 2" xfId="5735" xr:uid="{00000000-0005-0000-0000-0000E8410000}"/>
    <cellStyle name="쉼표 [0] 4 3 6 2 3" xfId="5736" xr:uid="{00000000-0005-0000-0000-0000E9410000}"/>
    <cellStyle name="쉼표 [0] 4 3 6 2_뇌출혈특약(갱신형)" xfId="12964" xr:uid="{00000000-0005-0000-0000-0000EA410000}"/>
    <cellStyle name="쉼표 [0] 4 3 6 3" xfId="5737" xr:uid="{00000000-0005-0000-0000-0000EB410000}"/>
    <cellStyle name="쉼표 [0] 4 3 6 4" xfId="5738" xr:uid="{00000000-0005-0000-0000-0000EC410000}"/>
    <cellStyle name="쉼표 [0] 4 3 6_뇌출혈특약(갱신형)" xfId="12965" xr:uid="{00000000-0005-0000-0000-0000ED410000}"/>
    <cellStyle name="쉼표 [0] 4 3 7" xfId="5739" xr:uid="{00000000-0005-0000-0000-0000EE410000}"/>
    <cellStyle name="쉼표 [0] 4 3 7 2" xfId="5740" xr:uid="{00000000-0005-0000-0000-0000EF410000}"/>
    <cellStyle name="쉼표 [0] 4 3 7 3" xfId="5741" xr:uid="{00000000-0005-0000-0000-0000F0410000}"/>
    <cellStyle name="쉼표 [0] 4 3 7_뇌출혈특약(갱신형)" xfId="12966" xr:uid="{00000000-0005-0000-0000-0000F1410000}"/>
    <cellStyle name="쉼표 [0] 4 3 8" xfId="5742" xr:uid="{00000000-0005-0000-0000-0000F2410000}"/>
    <cellStyle name="쉼표 [0] 4 3 8 2" xfId="5743" xr:uid="{00000000-0005-0000-0000-0000F3410000}"/>
    <cellStyle name="쉼표 [0] 4 3 8 3" xfId="5744" xr:uid="{00000000-0005-0000-0000-0000F4410000}"/>
    <cellStyle name="쉼표 [0] 4 3 8_뇌출혈특약(갱신형)" xfId="12967" xr:uid="{00000000-0005-0000-0000-0000F5410000}"/>
    <cellStyle name="쉼표 [0] 4 3 9" xfId="5745" xr:uid="{00000000-0005-0000-0000-0000F6410000}"/>
    <cellStyle name="쉼표 [0] 4 3 9 2" xfId="5746" xr:uid="{00000000-0005-0000-0000-0000F7410000}"/>
    <cellStyle name="쉼표 [0] 4 3 9 3" xfId="5747" xr:uid="{00000000-0005-0000-0000-0000F8410000}"/>
    <cellStyle name="쉼표 [0] 4 3 9_뇌출혈특약(갱신형)" xfId="12968" xr:uid="{00000000-0005-0000-0000-0000F9410000}"/>
    <cellStyle name="쉼표 [0] 4 3_뇌출혈특약(갱신형)" xfId="12969" xr:uid="{00000000-0005-0000-0000-0000FA410000}"/>
    <cellStyle name="쉼표 [0] 4 4" xfId="5748" xr:uid="{00000000-0005-0000-0000-0000FB410000}"/>
    <cellStyle name="쉼표 [0] 4 4 2" xfId="5749" xr:uid="{00000000-0005-0000-0000-0000FC410000}"/>
    <cellStyle name="쉼표 [0] 4 4 2 2" xfId="12100" xr:uid="{00000000-0005-0000-0000-0000FD410000}"/>
    <cellStyle name="쉼표 [0] 4 4 3" xfId="5750" xr:uid="{00000000-0005-0000-0000-0000FE410000}"/>
    <cellStyle name="쉼표 [0] 4 4 3 2" xfId="5751" xr:uid="{00000000-0005-0000-0000-0000FF410000}"/>
    <cellStyle name="쉼표 [0] 4 4 3 2 2" xfId="5752" xr:uid="{00000000-0005-0000-0000-000000420000}"/>
    <cellStyle name="쉼표 [0] 4 4 3 2 2 2" xfId="5753" xr:uid="{00000000-0005-0000-0000-000001420000}"/>
    <cellStyle name="쉼표 [0] 4 4 3 2 2 3" xfId="5754" xr:uid="{00000000-0005-0000-0000-000002420000}"/>
    <cellStyle name="쉼표 [0] 4 4 3 2 2_뇌출혈특약(갱신형)" xfId="12970" xr:uid="{00000000-0005-0000-0000-000003420000}"/>
    <cellStyle name="쉼표 [0] 4 4 3 2 3" xfId="5755" xr:uid="{00000000-0005-0000-0000-000004420000}"/>
    <cellStyle name="쉼표 [0] 4 4 3 2 4" xfId="5756" xr:uid="{00000000-0005-0000-0000-000005420000}"/>
    <cellStyle name="쉼표 [0] 4 4 3 2_뇌출혈특약(갱신형)" xfId="12971" xr:uid="{00000000-0005-0000-0000-000006420000}"/>
    <cellStyle name="쉼표 [0] 4 4 3 3" xfId="5757" xr:uid="{00000000-0005-0000-0000-000007420000}"/>
    <cellStyle name="쉼표 [0] 4 4 3 3 2" xfId="5758" xr:uid="{00000000-0005-0000-0000-000008420000}"/>
    <cellStyle name="쉼표 [0] 4 4 3 3 2 2" xfId="5759" xr:uid="{00000000-0005-0000-0000-000009420000}"/>
    <cellStyle name="쉼표 [0] 4 4 3 3 2 3" xfId="5760" xr:uid="{00000000-0005-0000-0000-00000A420000}"/>
    <cellStyle name="쉼표 [0] 4 4 3 3 2_뇌출혈특약(갱신형)" xfId="12972" xr:uid="{00000000-0005-0000-0000-00000B420000}"/>
    <cellStyle name="쉼표 [0] 4 4 3 3 3" xfId="5761" xr:uid="{00000000-0005-0000-0000-00000C420000}"/>
    <cellStyle name="쉼표 [0] 4 4 3 3 4" xfId="5762" xr:uid="{00000000-0005-0000-0000-00000D420000}"/>
    <cellStyle name="쉼표 [0] 4 4 3 3_뇌출혈특약(갱신형)" xfId="12973" xr:uid="{00000000-0005-0000-0000-00000E420000}"/>
    <cellStyle name="쉼표 [0] 4 4 3 4" xfId="5763" xr:uid="{00000000-0005-0000-0000-00000F420000}"/>
    <cellStyle name="쉼표 [0] 4 4 3 4 2" xfId="5764" xr:uid="{00000000-0005-0000-0000-000010420000}"/>
    <cellStyle name="쉼표 [0] 4 4 3 4 3" xfId="5765" xr:uid="{00000000-0005-0000-0000-000011420000}"/>
    <cellStyle name="쉼표 [0] 4 4 3 4_뇌출혈특약(갱신형)" xfId="12974" xr:uid="{00000000-0005-0000-0000-000012420000}"/>
    <cellStyle name="쉼표 [0] 4 4 3 5" xfId="5766" xr:uid="{00000000-0005-0000-0000-000013420000}"/>
    <cellStyle name="쉼표 [0] 4 4 3 5 2" xfId="5767" xr:uid="{00000000-0005-0000-0000-000014420000}"/>
    <cellStyle name="쉼표 [0] 4 4 3 5 3" xfId="5768" xr:uid="{00000000-0005-0000-0000-000015420000}"/>
    <cellStyle name="쉼표 [0] 4 4 3 5_뇌출혈특약(갱신형)" xfId="12975" xr:uid="{00000000-0005-0000-0000-000016420000}"/>
    <cellStyle name="쉼표 [0] 4 4 3 6" xfId="5769" xr:uid="{00000000-0005-0000-0000-000017420000}"/>
    <cellStyle name="쉼표 [0] 4 4 3 7" xfId="5770" xr:uid="{00000000-0005-0000-0000-000018420000}"/>
    <cellStyle name="쉼표 [0] 4 4 3_뇌출혈특약(갱신형)" xfId="12976" xr:uid="{00000000-0005-0000-0000-000019420000}"/>
    <cellStyle name="쉼표 [0] 4 4 4" xfId="5771" xr:uid="{00000000-0005-0000-0000-00001A420000}"/>
    <cellStyle name="쉼표 [0] 4 4 4 2" xfId="5772" xr:uid="{00000000-0005-0000-0000-00001B420000}"/>
    <cellStyle name="쉼표 [0] 4 4 4 2 2" xfId="5773" xr:uid="{00000000-0005-0000-0000-00001C420000}"/>
    <cellStyle name="쉼표 [0] 4 4 4 2 3" xfId="5774" xr:uid="{00000000-0005-0000-0000-00001D420000}"/>
    <cellStyle name="쉼표 [0] 4 4 4 2_뇌출혈특약(갱신형)" xfId="12977" xr:uid="{00000000-0005-0000-0000-00001E420000}"/>
    <cellStyle name="쉼표 [0] 4 4 4 3" xfId="5775" xr:uid="{00000000-0005-0000-0000-00001F420000}"/>
    <cellStyle name="쉼표 [0] 4 4 4 4" xfId="5776" xr:uid="{00000000-0005-0000-0000-000020420000}"/>
    <cellStyle name="쉼표 [0] 4 4 4_뇌출혈특약(갱신형)" xfId="12978" xr:uid="{00000000-0005-0000-0000-000021420000}"/>
    <cellStyle name="쉼표 [0] 4 4 5" xfId="5777" xr:uid="{00000000-0005-0000-0000-000022420000}"/>
    <cellStyle name="쉼표 [0] 4 4 5 2" xfId="5778" xr:uid="{00000000-0005-0000-0000-000023420000}"/>
    <cellStyle name="쉼표 [0] 4 4 5 2 2" xfId="5779" xr:uid="{00000000-0005-0000-0000-000024420000}"/>
    <cellStyle name="쉼표 [0] 4 4 5 2 3" xfId="5780" xr:uid="{00000000-0005-0000-0000-000025420000}"/>
    <cellStyle name="쉼표 [0] 4 4 5 2_뇌출혈특약(갱신형)" xfId="12979" xr:uid="{00000000-0005-0000-0000-000026420000}"/>
    <cellStyle name="쉼표 [0] 4 4 5 3" xfId="5781" xr:uid="{00000000-0005-0000-0000-000027420000}"/>
    <cellStyle name="쉼표 [0] 4 4 5 4" xfId="5782" xr:uid="{00000000-0005-0000-0000-000028420000}"/>
    <cellStyle name="쉼표 [0] 4 4 5_뇌출혈특약(갱신형)" xfId="12980" xr:uid="{00000000-0005-0000-0000-000029420000}"/>
    <cellStyle name="쉼표 [0] 4 4 6" xfId="5783" xr:uid="{00000000-0005-0000-0000-00002A420000}"/>
    <cellStyle name="쉼표 [0] 4 4 6 2" xfId="5784" xr:uid="{00000000-0005-0000-0000-00002B420000}"/>
    <cellStyle name="쉼표 [0] 4 4 6 3" xfId="5785" xr:uid="{00000000-0005-0000-0000-00002C420000}"/>
    <cellStyle name="쉼표 [0] 4 4 6_뇌출혈특약(갱신형)" xfId="12981" xr:uid="{00000000-0005-0000-0000-00002D420000}"/>
    <cellStyle name="쉼표 [0] 4 4 7" xfId="5786" xr:uid="{00000000-0005-0000-0000-00002E420000}"/>
    <cellStyle name="쉼표 [0] 4 4 8" xfId="5787" xr:uid="{00000000-0005-0000-0000-00002F420000}"/>
    <cellStyle name="쉼표 [0] 4 4 9" xfId="5788" xr:uid="{00000000-0005-0000-0000-000030420000}"/>
    <cellStyle name="쉼표 [0] 4 4_뇌출혈특약(갱신형)" xfId="12982" xr:uid="{00000000-0005-0000-0000-000031420000}"/>
    <cellStyle name="쉼표 [0] 4 5" xfId="5789" xr:uid="{00000000-0005-0000-0000-000032420000}"/>
    <cellStyle name="쉼표 [0] 4 5 2" xfId="5790" xr:uid="{00000000-0005-0000-0000-000033420000}"/>
    <cellStyle name="쉼표 [0] 4 5 3" xfId="5791" xr:uid="{00000000-0005-0000-0000-000034420000}"/>
    <cellStyle name="쉼표 [0] 4 5 3 2" xfId="5792" xr:uid="{00000000-0005-0000-0000-000035420000}"/>
    <cellStyle name="쉼표 [0] 4 5 3 2 2" xfId="5793" xr:uid="{00000000-0005-0000-0000-000036420000}"/>
    <cellStyle name="쉼표 [0] 4 5 3 2 2 2" xfId="5794" xr:uid="{00000000-0005-0000-0000-000037420000}"/>
    <cellStyle name="쉼표 [0] 4 5 3 2 2 3" xfId="5795" xr:uid="{00000000-0005-0000-0000-000038420000}"/>
    <cellStyle name="쉼표 [0] 4 5 3 2 2_뇌출혈특약(갱신형)" xfId="12983" xr:uid="{00000000-0005-0000-0000-000039420000}"/>
    <cellStyle name="쉼표 [0] 4 5 3 2 3" xfId="5796" xr:uid="{00000000-0005-0000-0000-00003A420000}"/>
    <cellStyle name="쉼표 [0] 4 5 3 2 4" xfId="5797" xr:uid="{00000000-0005-0000-0000-00003B420000}"/>
    <cellStyle name="쉼표 [0] 4 5 3 2_뇌출혈특약(갱신형)" xfId="12984" xr:uid="{00000000-0005-0000-0000-00003C420000}"/>
    <cellStyle name="쉼표 [0] 4 5 3 3" xfId="5798" xr:uid="{00000000-0005-0000-0000-00003D420000}"/>
    <cellStyle name="쉼표 [0] 4 5 3 3 2" xfId="5799" xr:uid="{00000000-0005-0000-0000-00003E420000}"/>
    <cellStyle name="쉼표 [0] 4 5 3 3 2 2" xfId="5800" xr:uid="{00000000-0005-0000-0000-00003F420000}"/>
    <cellStyle name="쉼표 [0] 4 5 3 3 2 3" xfId="5801" xr:uid="{00000000-0005-0000-0000-000040420000}"/>
    <cellStyle name="쉼표 [0] 4 5 3 3 2_뇌출혈특약(갱신형)" xfId="12985" xr:uid="{00000000-0005-0000-0000-000041420000}"/>
    <cellStyle name="쉼표 [0] 4 5 3 3 3" xfId="5802" xr:uid="{00000000-0005-0000-0000-000042420000}"/>
    <cellStyle name="쉼표 [0] 4 5 3 3 4" xfId="5803" xr:uid="{00000000-0005-0000-0000-000043420000}"/>
    <cellStyle name="쉼표 [0] 4 5 3 3_뇌출혈특약(갱신형)" xfId="12986" xr:uid="{00000000-0005-0000-0000-000044420000}"/>
    <cellStyle name="쉼표 [0] 4 5 3 4" xfId="5804" xr:uid="{00000000-0005-0000-0000-000045420000}"/>
    <cellStyle name="쉼표 [0] 4 5 3 4 2" xfId="5805" xr:uid="{00000000-0005-0000-0000-000046420000}"/>
    <cellStyle name="쉼표 [0] 4 5 3 4 3" xfId="5806" xr:uid="{00000000-0005-0000-0000-000047420000}"/>
    <cellStyle name="쉼표 [0] 4 5 3 4_뇌출혈특약(갱신형)" xfId="12987" xr:uid="{00000000-0005-0000-0000-000048420000}"/>
    <cellStyle name="쉼표 [0] 4 5 3 5" xfId="5807" xr:uid="{00000000-0005-0000-0000-000049420000}"/>
    <cellStyle name="쉼표 [0] 4 5 3 5 2" xfId="5808" xr:uid="{00000000-0005-0000-0000-00004A420000}"/>
    <cellStyle name="쉼표 [0] 4 5 3 5 3" xfId="5809" xr:uid="{00000000-0005-0000-0000-00004B420000}"/>
    <cellStyle name="쉼표 [0] 4 5 3 5_뇌출혈특약(갱신형)" xfId="12988" xr:uid="{00000000-0005-0000-0000-00004C420000}"/>
    <cellStyle name="쉼표 [0] 4 5 3 6" xfId="5810" xr:uid="{00000000-0005-0000-0000-00004D420000}"/>
    <cellStyle name="쉼표 [0] 4 5 3 7" xfId="5811" xr:uid="{00000000-0005-0000-0000-00004E420000}"/>
    <cellStyle name="쉼표 [0] 4 5 3_뇌출혈특약(갱신형)" xfId="12989" xr:uid="{00000000-0005-0000-0000-00004F420000}"/>
    <cellStyle name="쉼표 [0] 4 5 4" xfId="5812" xr:uid="{00000000-0005-0000-0000-000050420000}"/>
    <cellStyle name="쉼표 [0] 4 5 4 2" xfId="5813" xr:uid="{00000000-0005-0000-0000-000051420000}"/>
    <cellStyle name="쉼표 [0] 4 5 4 2 2" xfId="5814" xr:uid="{00000000-0005-0000-0000-000052420000}"/>
    <cellStyle name="쉼표 [0] 4 5 4 2 3" xfId="5815" xr:uid="{00000000-0005-0000-0000-000053420000}"/>
    <cellStyle name="쉼표 [0] 4 5 4 2_뇌출혈특약(갱신형)" xfId="12990" xr:uid="{00000000-0005-0000-0000-000054420000}"/>
    <cellStyle name="쉼표 [0] 4 5 4 3" xfId="5816" xr:uid="{00000000-0005-0000-0000-000055420000}"/>
    <cellStyle name="쉼표 [0] 4 5 4 4" xfId="5817" xr:uid="{00000000-0005-0000-0000-000056420000}"/>
    <cellStyle name="쉼표 [0] 4 5 4_뇌출혈특약(갱신형)" xfId="12991" xr:uid="{00000000-0005-0000-0000-000057420000}"/>
    <cellStyle name="쉼표 [0] 4 5 5" xfId="5818" xr:uid="{00000000-0005-0000-0000-000058420000}"/>
    <cellStyle name="쉼표 [0] 4 5 5 2" xfId="5819" xr:uid="{00000000-0005-0000-0000-000059420000}"/>
    <cellStyle name="쉼표 [0] 4 5 5 2 2" xfId="5820" xr:uid="{00000000-0005-0000-0000-00005A420000}"/>
    <cellStyle name="쉼표 [0] 4 5 5 2 3" xfId="5821" xr:uid="{00000000-0005-0000-0000-00005B420000}"/>
    <cellStyle name="쉼표 [0] 4 5 5 2_뇌출혈특약(갱신형)" xfId="12992" xr:uid="{00000000-0005-0000-0000-00005C420000}"/>
    <cellStyle name="쉼표 [0] 4 5 5 3" xfId="5822" xr:uid="{00000000-0005-0000-0000-00005D420000}"/>
    <cellStyle name="쉼표 [0] 4 5 5 4" xfId="5823" xr:uid="{00000000-0005-0000-0000-00005E420000}"/>
    <cellStyle name="쉼표 [0] 4 5 5_뇌출혈특약(갱신형)" xfId="12993" xr:uid="{00000000-0005-0000-0000-00005F420000}"/>
    <cellStyle name="쉼표 [0] 4 5 6" xfId="5824" xr:uid="{00000000-0005-0000-0000-000060420000}"/>
    <cellStyle name="쉼표 [0] 4 5 6 2" xfId="5825" xr:uid="{00000000-0005-0000-0000-000061420000}"/>
    <cellStyle name="쉼표 [0] 4 5 6 3" xfId="5826" xr:uid="{00000000-0005-0000-0000-000062420000}"/>
    <cellStyle name="쉼표 [0] 4 5 6_뇌출혈특약(갱신형)" xfId="12994" xr:uid="{00000000-0005-0000-0000-000063420000}"/>
    <cellStyle name="쉼표 [0] 4 5 7" xfId="5827" xr:uid="{00000000-0005-0000-0000-000064420000}"/>
    <cellStyle name="쉼표 [0] 4 5 8" xfId="5828" xr:uid="{00000000-0005-0000-0000-000065420000}"/>
    <cellStyle name="쉼표 [0] 4 5 9" xfId="5829" xr:uid="{00000000-0005-0000-0000-000066420000}"/>
    <cellStyle name="쉼표 [0] 4 5_뇌출혈특약(갱신형)" xfId="12995" xr:uid="{00000000-0005-0000-0000-000067420000}"/>
    <cellStyle name="쉼표 [0] 4 6" xfId="5830" xr:uid="{00000000-0005-0000-0000-000068420000}"/>
    <cellStyle name="쉼표 [0] 4 6 2" xfId="5831" xr:uid="{00000000-0005-0000-0000-000069420000}"/>
    <cellStyle name="쉼표 [0] 4 6 2 2" xfId="5832" xr:uid="{00000000-0005-0000-0000-00006A420000}"/>
    <cellStyle name="쉼표 [0] 4 6 2 2 2" xfId="5833" xr:uid="{00000000-0005-0000-0000-00006B420000}"/>
    <cellStyle name="쉼표 [0] 4 6 2 2 2 2" xfId="5834" xr:uid="{00000000-0005-0000-0000-00006C420000}"/>
    <cellStyle name="쉼표 [0] 4 6 2 2 2 3" xfId="5835" xr:uid="{00000000-0005-0000-0000-00006D420000}"/>
    <cellStyle name="쉼표 [0] 4 6 2 2 2_뇌출혈특약(갱신형)" xfId="12996" xr:uid="{00000000-0005-0000-0000-00006E420000}"/>
    <cellStyle name="쉼표 [0] 4 6 2 2 3" xfId="5836" xr:uid="{00000000-0005-0000-0000-00006F420000}"/>
    <cellStyle name="쉼표 [0] 4 6 2 2 4" xfId="5837" xr:uid="{00000000-0005-0000-0000-000070420000}"/>
    <cellStyle name="쉼표 [0] 4 6 2 2_뇌출혈특약(갱신형)" xfId="12997" xr:uid="{00000000-0005-0000-0000-000071420000}"/>
    <cellStyle name="쉼표 [0] 4 6 2 3" xfId="5838" xr:uid="{00000000-0005-0000-0000-000072420000}"/>
    <cellStyle name="쉼표 [0] 4 6 2 3 2" xfId="5839" xr:uid="{00000000-0005-0000-0000-000073420000}"/>
    <cellStyle name="쉼표 [0] 4 6 2 3 2 2" xfId="5840" xr:uid="{00000000-0005-0000-0000-000074420000}"/>
    <cellStyle name="쉼표 [0] 4 6 2 3 2 3" xfId="5841" xr:uid="{00000000-0005-0000-0000-000075420000}"/>
    <cellStyle name="쉼표 [0] 4 6 2 3 2_뇌출혈특약(갱신형)" xfId="12998" xr:uid="{00000000-0005-0000-0000-000076420000}"/>
    <cellStyle name="쉼표 [0] 4 6 2 3 3" xfId="5842" xr:uid="{00000000-0005-0000-0000-000077420000}"/>
    <cellStyle name="쉼표 [0] 4 6 2 3 4" xfId="5843" xr:uid="{00000000-0005-0000-0000-000078420000}"/>
    <cellStyle name="쉼표 [0] 4 6 2 3_뇌출혈특약(갱신형)" xfId="12999" xr:uid="{00000000-0005-0000-0000-000079420000}"/>
    <cellStyle name="쉼표 [0] 4 6 2 4" xfId="5844" xr:uid="{00000000-0005-0000-0000-00007A420000}"/>
    <cellStyle name="쉼표 [0] 4 6 2 4 2" xfId="5845" xr:uid="{00000000-0005-0000-0000-00007B420000}"/>
    <cellStyle name="쉼표 [0] 4 6 2 4 3" xfId="5846" xr:uid="{00000000-0005-0000-0000-00007C420000}"/>
    <cellStyle name="쉼표 [0] 4 6 2 4_뇌출혈특약(갱신형)" xfId="13000" xr:uid="{00000000-0005-0000-0000-00007D420000}"/>
    <cellStyle name="쉼표 [0] 4 6 2 5" xfId="5847" xr:uid="{00000000-0005-0000-0000-00007E420000}"/>
    <cellStyle name="쉼표 [0] 4 6 2 5 2" xfId="5848" xr:uid="{00000000-0005-0000-0000-00007F420000}"/>
    <cellStyle name="쉼표 [0] 4 6 2 5 3" xfId="5849" xr:uid="{00000000-0005-0000-0000-000080420000}"/>
    <cellStyle name="쉼표 [0] 4 6 2 5_뇌출혈특약(갱신형)" xfId="13001" xr:uid="{00000000-0005-0000-0000-000081420000}"/>
    <cellStyle name="쉼표 [0] 4 6 2 6" xfId="5850" xr:uid="{00000000-0005-0000-0000-000082420000}"/>
    <cellStyle name="쉼표 [0] 4 6 2 7" xfId="5851" xr:uid="{00000000-0005-0000-0000-000083420000}"/>
    <cellStyle name="쉼표 [0] 4 6 2_뇌출혈특약(갱신형)" xfId="13002" xr:uid="{00000000-0005-0000-0000-000084420000}"/>
    <cellStyle name="쉼표 [0] 4 6 3" xfId="5852" xr:uid="{00000000-0005-0000-0000-000085420000}"/>
    <cellStyle name="쉼표 [0] 4 6 3 2" xfId="5853" xr:uid="{00000000-0005-0000-0000-000086420000}"/>
    <cellStyle name="쉼표 [0] 4 6 3 2 2" xfId="5854" xr:uid="{00000000-0005-0000-0000-000087420000}"/>
    <cellStyle name="쉼표 [0] 4 6 3 2 3" xfId="5855" xr:uid="{00000000-0005-0000-0000-000088420000}"/>
    <cellStyle name="쉼표 [0] 4 6 3 2_뇌출혈특약(갱신형)" xfId="13003" xr:uid="{00000000-0005-0000-0000-000089420000}"/>
    <cellStyle name="쉼표 [0] 4 6 3 3" xfId="5856" xr:uid="{00000000-0005-0000-0000-00008A420000}"/>
    <cellStyle name="쉼표 [0] 4 6 3 4" xfId="5857" xr:uid="{00000000-0005-0000-0000-00008B420000}"/>
    <cellStyle name="쉼표 [0] 4 6 3_뇌출혈특약(갱신형)" xfId="13004" xr:uid="{00000000-0005-0000-0000-00008C420000}"/>
    <cellStyle name="쉼표 [0] 4 6 4" xfId="5858" xr:uid="{00000000-0005-0000-0000-00008D420000}"/>
    <cellStyle name="쉼표 [0] 4 6 4 2" xfId="5859" xr:uid="{00000000-0005-0000-0000-00008E420000}"/>
    <cellStyle name="쉼표 [0] 4 6 4 2 2" xfId="5860" xr:uid="{00000000-0005-0000-0000-00008F420000}"/>
    <cellStyle name="쉼표 [0] 4 6 4 2 3" xfId="5861" xr:uid="{00000000-0005-0000-0000-000090420000}"/>
    <cellStyle name="쉼표 [0] 4 6 4 2_뇌출혈특약(갱신형)" xfId="13005" xr:uid="{00000000-0005-0000-0000-000091420000}"/>
    <cellStyle name="쉼표 [0] 4 6 4 3" xfId="5862" xr:uid="{00000000-0005-0000-0000-000092420000}"/>
    <cellStyle name="쉼표 [0] 4 6 4 4" xfId="5863" xr:uid="{00000000-0005-0000-0000-000093420000}"/>
    <cellStyle name="쉼표 [0] 4 6 4_뇌출혈특약(갱신형)" xfId="13006" xr:uid="{00000000-0005-0000-0000-000094420000}"/>
    <cellStyle name="쉼표 [0] 4 6 5" xfId="5864" xr:uid="{00000000-0005-0000-0000-000095420000}"/>
    <cellStyle name="쉼표 [0] 4 6 5 2" xfId="5865" xr:uid="{00000000-0005-0000-0000-000096420000}"/>
    <cellStyle name="쉼표 [0] 4 6 5 3" xfId="5866" xr:uid="{00000000-0005-0000-0000-000097420000}"/>
    <cellStyle name="쉼표 [0] 4 6 5_뇌출혈특약(갱신형)" xfId="13007" xr:uid="{00000000-0005-0000-0000-000098420000}"/>
    <cellStyle name="쉼표 [0] 4 6 6" xfId="5867" xr:uid="{00000000-0005-0000-0000-000099420000}"/>
    <cellStyle name="쉼표 [0] 4 6 6 2" xfId="5868" xr:uid="{00000000-0005-0000-0000-00009A420000}"/>
    <cellStyle name="쉼표 [0] 4 6 6 3" xfId="5869" xr:uid="{00000000-0005-0000-0000-00009B420000}"/>
    <cellStyle name="쉼표 [0] 4 6 6_뇌출혈특약(갱신형)" xfId="13008" xr:uid="{00000000-0005-0000-0000-00009C420000}"/>
    <cellStyle name="쉼표 [0] 4 6 7" xfId="5870" xr:uid="{00000000-0005-0000-0000-00009D420000}"/>
    <cellStyle name="쉼표 [0] 4 6 8" xfId="5871" xr:uid="{00000000-0005-0000-0000-00009E420000}"/>
    <cellStyle name="쉼표 [0] 4 6 9" xfId="5872" xr:uid="{00000000-0005-0000-0000-00009F420000}"/>
    <cellStyle name="쉼표 [0] 4 6_뇌출혈특약(갱신형)" xfId="13009" xr:uid="{00000000-0005-0000-0000-0000A0420000}"/>
    <cellStyle name="쉼표 [0] 4 7" xfId="5873" xr:uid="{00000000-0005-0000-0000-0000A1420000}"/>
    <cellStyle name="쉼표 [0] 4 7 2" xfId="5874" xr:uid="{00000000-0005-0000-0000-0000A2420000}"/>
    <cellStyle name="쉼표 [0] 4 7 2 2" xfId="5875" xr:uid="{00000000-0005-0000-0000-0000A3420000}"/>
    <cellStyle name="쉼표 [0] 4 7 2 2 2" xfId="5876" xr:uid="{00000000-0005-0000-0000-0000A4420000}"/>
    <cellStyle name="쉼표 [0] 4 7 2 2 3" xfId="5877" xr:uid="{00000000-0005-0000-0000-0000A5420000}"/>
    <cellStyle name="쉼표 [0] 4 7 2 2_뇌출혈특약(갱신형)" xfId="13010" xr:uid="{00000000-0005-0000-0000-0000A6420000}"/>
    <cellStyle name="쉼표 [0] 4 7 2 3" xfId="5878" xr:uid="{00000000-0005-0000-0000-0000A7420000}"/>
    <cellStyle name="쉼표 [0] 4 7 2 4" xfId="5879" xr:uid="{00000000-0005-0000-0000-0000A8420000}"/>
    <cellStyle name="쉼표 [0] 4 7 2_뇌출혈특약(갱신형)" xfId="13011" xr:uid="{00000000-0005-0000-0000-0000A9420000}"/>
    <cellStyle name="쉼표 [0] 4 7 3" xfId="5880" xr:uid="{00000000-0005-0000-0000-0000AA420000}"/>
    <cellStyle name="쉼표 [0] 4 7 3 2" xfId="5881" xr:uid="{00000000-0005-0000-0000-0000AB420000}"/>
    <cellStyle name="쉼표 [0] 4 7 3 2 2" xfId="5882" xr:uid="{00000000-0005-0000-0000-0000AC420000}"/>
    <cellStyle name="쉼표 [0] 4 7 3 2 3" xfId="5883" xr:uid="{00000000-0005-0000-0000-0000AD420000}"/>
    <cellStyle name="쉼표 [0] 4 7 3 2_뇌출혈특약(갱신형)" xfId="13012" xr:uid="{00000000-0005-0000-0000-0000AE420000}"/>
    <cellStyle name="쉼표 [0] 4 7 3 3" xfId="5884" xr:uid="{00000000-0005-0000-0000-0000AF420000}"/>
    <cellStyle name="쉼표 [0] 4 7 3 4" xfId="5885" xr:uid="{00000000-0005-0000-0000-0000B0420000}"/>
    <cellStyle name="쉼표 [0] 4 7 3_뇌출혈특약(갱신형)" xfId="13013" xr:uid="{00000000-0005-0000-0000-0000B1420000}"/>
    <cellStyle name="쉼표 [0] 4 7 4" xfId="5886" xr:uid="{00000000-0005-0000-0000-0000B2420000}"/>
    <cellStyle name="쉼표 [0] 4 7 4 2" xfId="5887" xr:uid="{00000000-0005-0000-0000-0000B3420000}"/>
    <cellStyle name="쉼표 [0] 4 7 4 3" xfId="5888" xr:uid="{00000000-0005-0000-0000-0000B4420000}"/>
    <cellStyle name="쉼표 [0] 4 7 4_뇌출혈특약(갱신형)" xfId="13014" xr:uid="{00000000-0005-0000-0000-0000B5420000}"/>
    <cellStyle name="쉼표 [0] 4 7 5" xfId="5889" xr:uid="{00000000-0005-0000-0000-0000B6420000}"/>
    <cellStyle name="쉼표 [0] 4 7 5 2" xfId="5890" xr:uid="{00000000-0005-0000-0000-0000B7420000}"/>
    <cellStyle name="쉼표 [0] 4 7 5 3" xfId="5891" xr:uid="{00000000-0005-0000-0000-0000B8420000}"/>
    <cellStyle name="쉼표 [0] 4 7 5_뇌출혈특약(갱신형)" xfId="13015" xr:uid="{00000000-0005-0000-0000-0000B9420000}"/>
    <cellStyle name="쉼표 [0] 4 7 6" xfId="5892" xr:uid="{00000000-0005-0000-0000-0000BA420000}"/>
    <cellStyle name="쉼표 [0] 4 7 7" xfId="5893" xr:uid="{00000000-0005-0000-0000-0000BB420000}"/>
    <cellStyle name="쉼표 [0] 4 7_뇌출혈특약(갱신형)" xfId="13016" xr:uid="{00000000-0005-0000-0000-0000BC420000}"/>
    <cellStyle name="쉼표 [0] 4 8" xfId="5894" xr:uid="{00000000-0005-0000-0000-0000BD420000}"/>
    <cellStyle name="쉼표 [0] 4 8 2" xfId="5895" xr:uid="{00000000-0005-0000-0000-0000BE420000}"/>
    <cellStyle name="쉼표 [0] 4 8 2 2" xfId="5896" xr:uid="{00000000-0005-0000-0000-0000BF420000}"/>
    <cellStyle name="쉼표 [0] 4 8 2 2 2" xfId="5897" xr:uid="{00000000-0005-0000-0000-0000C0420000}"/>
    <cellStyle name="쉼표 [0] 4 8 2 2 3" xfId="5898" xr:uid="{00000000-0005-0000-0000-0000C1420000}"/>
    <cellStyle name="쉼표 [0] 4 8 2 2_뇌출혈특약(갱신형)" xfId="13017" xr:uid="{00000000-0005-0000-0000-0000C2420000}"/>
    <cellStyle name="쉼표 [0] 4 8 2 3" xfId="5899" xr:uid="{00000000-0005-0000-0000-0000C3420000}"/>
    <cellStyle name="쉼표 [0] 4 8 2 4" xfId="5900" xr:uid="{00000000-0005-0000-0000-0000C4420000}"/>
    <cellStyle name="쉼표 [0] 4 8 2_뇌출혈특약(갱신형)" xfId="13018" xr:uid="{00000000-0005-0000-0000-0000C5420000}"/>
    <cellStyle name="쉼표 [0] 4 8 3" xfId="5901" xr:uid="{00000000-0005-0000-0000-0000C6420000}"/>
    <cellStyle name="쉼표 [0] 4 8 3 2" xfId="5902" xr:uid="{00000000-0005-0000-0000-0000C7420000}"/>
    <cellStyle name="쉼표 [0] 4 8 3 2 2" xfId="5903" xr:uid="{00000000-0005-0000-0000-0000C8420000}"/>
    <cellStyle name="쉼표 [0] 4 8 3 2 3" xfId="5904" xr:uid="{00000000-0005-0000-0000-0000C9420000}"/>
    <cellStyle name="쉼표 [0] 4 8 3 2_뇌출혈특약(갱신형)" xfId="13019" xr:uid="{00000000-0005-0000-0000-0000CA420000}"/>
    <cellStyle name="쉼표 [0] 4 8 3 3" xfId="5905" xr:uid="{00000000-0005-0000-0000-0000CB420000}"/>
    <cellStyle name="쉼표 [0] 4 8 3 4" xfId="5906" xr:uid="{00000000-0005-0000-0000-0000CC420000}"/>
    <cellStyle name="쉼표 [0] 4 8 3_뇌출혈특약(갱신형)" xfId="13020" xr:uid="{00000000-0005-0000-0000-0000CD420000}"/>
    <cellStyle name="쉼표 [0] 4 8 4" xfId="5907" xr:uid="{00000000-0005-0000-0000-0000CE420000}"/>
    <cellStyle name="쉼표 [0] 4 8 4 2" xfId="5908" xr:uid="{00000000-0005-0000-0000-0000CF420000}"/>
    <cellStyle name="쉼표 [0] 4 8 4 3" xfId="5909" xr:uid="{00000000-0005-0000-0000-0000D0420000}"/>
    <cellStyle name="쉼표 [0] 4 8 4_뇌출혈특약(갱신형)" xfId="13021" xr:uid="{00000000-0005-0000-0000-0000D1420000}"/>
    <cellStyle name="쉼표 [0] 4 8 5" xfId="5910" xr:uid="{00000000-0005-0000-0000-0000D2420000}"/>
    <cellStyle name="쉼표 [0] 4 8 5 2" xfId="5911" xr:uid="{00000000-0005-0000-0000-0000D3420000}"/>
    <cellStyle name="쉼표 [0] 4 8 5 3" xfId="5912" xr:uid="{00000000-0005-0000-0000-0000D4420000}"/>
    <cellStyle name="쉼표 [0] 4 8 5_뇌출혈특약(갱신형)" xfId="13022" xr:uid="{00000000-0005-0000-0000-0000D5420000}"/>
    <cellStyle name="쉼표 [0] 4 8 6" xfId="5913" xr:uid="{00000000-0005-0000-0000-0000D6420000}"/>
    <cellStyle name="쉼표 [0] 4 8 7" xfId="5914" xr:uid="{00000000-0005-0000-0000-0000D7420000}"/>
    <cellStyle name="쉼표 [0] 4 8_뇌출혈특약(갱신형)" xfId="13023" xr:uid="{00000000-0005-0000-0000-0000D8420000}"/>
    <cellStyle name="쉼표 [0] 4 9" xfId="5915" xr:uid="{00000000-0005-0000-0000-0000D9420000}"/>
    <cellStyle name="쉼표 [0] 4 9 2" xfId="5916" xr:uid="{00000000-0005-0000-0000-0000DA420000}"/>
    <cellStyle name="쉼표 [0] 4 9 2 2" xfId="5917" xr:uid="{00000000-0005-0000-0000-0000DB420000}"/>
    <cellStyle name="쉼표 [0] 4 9 2 3" xfId="5918" xr:uid="{00000000-0005-0000-0000-0000DC420000}"/>
    <cellStyle name="쉼표 [0] 4 9 2_뇌출혈특약(갱신형)" xfId="13024" xr:uid="{00000000-0005-0000-0000-0000DD420000}"/>
    <cellStyle name="쉼표 [0] 4 9 3" xfId="5919" xr:uid="{00000000-0005-0000-0000-0000DE420000}"/>
    <cellStyle name="쉼표 [0] 4 9 4" xfId="5920" xr:uid="{00000000-0005-0000-0000-0000DF420000}"/>
    <cellStyle name="쉼표 [0] 4 9_뇌출혈특약(갱신형)" xfId="13025" xr:uid="{00000000-0005-0000-0000-0000E0420000}"/>
    <cellStyle name="쉼표 [0] 4_뇌출혈특약(갱신형)" xfId="13026" xr:uid="{00000000-0005-0000-0000-0000E1420000}"/>
    <cellStyle name="쉼표 [0] 5" xfId="28" xr:uid="{00000000-0005-0000-0000-0000E2420000}"/>
    <cellStyle name="쉼표 [0] 5 10" xfId="5921" xr:uid="{00000000-0005-0000-0000-0000E3420000}"/>
    <cellStyle name="쉼표 [0] 5 10 2" xfId="5922" xr:uid="{00000000-0005-0000-0000-0000E4420000}"/>
    <cellStyle name="쉼표 [0] 5 10 3" xfId="5923" xr:uid="{00000000-0005-0000-0000-0000E5420000}"/>
    <cellStyle name="쉼표 [0] 5 10_뇌출혈특약(갱신형)" xfId="13027" xr:uid="{00000000-0005-0000-0000-0000E6420000}"/>
    <cellStyle name="쉼표 [0] 5 11" xfId="5924" xr:uid="{00000000-0005-0000-0000-0000E7420000}"/>
    <cellStyle name="쉼표 [0] 5 11 2" xfId="5925" xr:uid="{00000000-0005-0000-0000-0000E8420000}"/>
    <cellStyle name="쉼표 [0] 5 11_뇌출혈특약(갱신형)" xfId="13028" xr:uid="{00000000-0005-0000-0000-0000E9420000}"/>
    <cellStyle name="쉼표 [0] 5 12" xfId="5926" xr:uid="{00000000-0005-0000-0000-0000EA420000}"/>
    <cellStyle name="쉼표 [0] 5 12 2" xfId="5927" xr:uid="{00000000-0005-0000-0000-0000EB420000}"/>
    <cellStyle name="쉼표 [0] 5 12_뇌출혈특약(갱신형)" xfId="13029" xr:uid="{00000000-0005-0000-0000-0000EC420000}"/>
    <cellStyle name="쉼표 [0] 5 13" xfId="5928" xr:uid="{00000000-0005-0000-0000-0000ED420000}"/>
    <cellStyle name="쉼표 [0] 5 13 2" xfId="5929" xr:uid="{00000000-0005-0000-0000-0000EE420000}"/>
    <cellStyle name="쉼표 [0] 5 13_뇌출혈특약(갱신형)" xfId="13030" xr:uid="{00000000-0005-0000-0000-0000EF420000}"/>
    <cellStyle name="쉼표 [0] 5 14" xfId="5930" xr:uid="{00000000-0005-0000-0000-0000F0420000}"/>
    <cellStyle name="쉼표 [0] 5 14 2" xfId="5931" xr:uid="{00000000-0005-0000-0000-0000F1420000}"/>
    <cellStyle name="쉼표 [0] 5 14_뇌출혈특약(갱신형)" xfId="13031" xr:uid="{00000000-0005-0000-0000-0000F2420000}"/>
    <cellStyle name="쉼표 [0] 5 15" xfId="5932" xr:uid="{00000000-0005-0000-0000-0000F3420000}"/>
    <cellStyle name="쉼표 [0] 5 16" xfId="5933" xr:uid="{00000000-0005-0000-0000-0000F4420000}"/>
    <cellStyle name="쉼표 [0] 5 17" xfId="17133" xr:uid="{00000000-0005-0000-0000-0000F5420000}"/>
    <cellStyle name="쉼표 [0] 5 2" xfId="5934" xr:uid="{00000000-0005-0000-0000-0000F6420000}"/>
    <cellStyle name="쉼표 [0] 5 2 2" xfId="5935" xr:uid="{00000000-0005-0000-0000-0000F7420000}"/>
    <cellStyle name="쉼표 [0] 5 2 2 2" xfId="5936" xr:uid="{00000000-0005-0000-0000-0000F8420000}"/>
    <cellStyle name="쉼표 [0] 5 2 2 2 2" xfId="5937" xr:uid="{00000000-0005-0000-0000-0000F9420000}"/>
    <cellStyle name="쉼표 [0] 5 2 2 2 2 2" xfId="5938" xr:uid="{00000000-0005-0000-0000-0000FA420000}"/>
    <cellStyle name="쉼표 [0] 5 2 2 2 2 3" xfId="5939" xr:uid="{00000000-0005-0000-0000-0000FB420000}"/>
    <cellStyle name="쉼표 [0] 5 2 2 2 2_뇌출혈특약(갱신형)" xfId="13032" xr:uid="{00000000-0005-0000-0000-0000FC420000}"/>
    <cellStyle name="쉼표 [0] 5 2 2 2 3" xfId="5940" xr:uid="{00000000-0005-0000-0000-0000FD420000}"/>
    <cellStyle name="쉼표 [0] 5 2 2 2 4" xfId="5941" xr:uid="{00000000-0005-0000-0000-0000FE420000}"/>
    <cellStyle name="쉼표 [0] 5 2 2 2_뇌출혈특약(갱신형)" xfId="13033" xr:uid="{00000000-0005-0000-0000-0000FF420000}"/>
    <cellStyle name="쉼표 [0] 5 2 2 3" xfId="5942" xr:uid="{00000000-0005-0000-0000-000000430000}"/>
    <cellStyle name="쉼표 [0] 5 2 2 3 2" xfId="5943" xr:uid="{00000000-0005-0000-0000-000001430000}"/>
    <cellStyle name="쉼표 [0] 5 2 2 3 2 2" xfId="5944" xr:uid="{00000000-0005-0000-0000-000002430000}"/>
    <cellStyle name="쉼표 [0] 5 2 2 3 2 3" xfId="5945" xr:uid="{00000000-0005-0000-0000-000003430000}"/>
    <cellStyle name="쉼표 [0] 5 2 2 3 2_뇌출혈특약(갱신형)" xfId="13034" xr:uid="{00000000-0005-0000-0000-000004430000}"/>
    <cellStyle name="쉼표 [0] 5 2 2 3 3" xfId="5946" xr:uid="{00000000-0005-0000-0000-000005430000}"/>
    <cellStyle name="쉼표 [0] 5 2 2 3 4" xfId="5947" xr:uid="{00000000-0005-0000-0000-000006430000}"/>
    <cellStyle name="쉼표 [0] 5 2 2 3_뇌출혈특약(갱신형)" xfId="13035" xr:uid="{00000000-0005-0000-0000-000007430000}"/>
    <cellStyle name="쉼표 [0] 5 2 2 4" xfId="5948" xr:uid="{00000000-0005-0000-0000-000008430000}"/>
    <cellStyle name="쉼표 [0] 5 2 2 4 2" xfId="5949" xr:uid="{00000000-0005-0000-0000-000009430000}"/>
    <cellStyle name="쉼표 [0] 5 2 2 4 3" xfId="5950" xr:uid="{00000000-0005-0000-0000-00000A430000}"/>
    <cellStyle name="쉼표 [0] 5 2 2 4_뇌출혈특약(갱신형)" xfId="13036" xr:uid="{00000000-0005-0000-0000-00000B430000}"/>
    <cellStyle name="쉼표 [0] 5 2 2 5" xfId="5951" xr:uid="{00000000-0005-0000-0000-00000C430000}"/>
    <cellStyle name="쉼표 [0] 5 2 2 5 2" xfId="5952" xr:uid="{00000000-0005-0000-0000-00000D430000}"/>
    <cellStyle name="쉼표 [0] 5 2 2 5 3" xfId="5953" xr:uid="{00000000-0005-0000-0000-00000E430000}"/>
    <cellStyle name="쉼표 [0] 5 2 2 5_뇌출혈특약(갱신형)" xfId="13037" xr:uid="{00000000-0005-0000-0000-00000F430000}"/>
    <cellStyle name="쉼표 [0] 5 2 2 6" xfId="5954" xr:uid="{00000000-0005-0000-0000-000010430000}"/>
    <cellStyle name="쉼표 [0] 5 2 2 7" xfId="5955" xr:uid="{00000000-0005-0000-0000-000011430000}"/>
    <cellStyle name="쉼표 [0] 5 2 2_뇌출혈특약(갱신형)" xfId="13038" xr:uid="{00000000-0005-0000-0000-000012430000}"/>
    <cellStyle name="쉼표 [0] 5 2 3" xfId="5956" xr:uid="{00000000-0005-0000-0000-000013430000}"/>
    <cellStyle name="쉼표 [0] 5 2 3 2" xfId="5957" xr:uid="{00000000-0005-0000-0000-000014430000}"/>
    <cellStyle name="쉼표 [0] 5 2 3 2 2" xfId="5958" xr:uid="{00000000-0005-0000-0000-000015430000}"/>
    <cellStyle name="쉼표 [0] 5 2 3 2 3" xfId="5959" xr:uid="{00000000-0005-0000-0000-000016430000}"/>
    <cellStyle name="쉼표 [0] 5 2 3 2_뇌출혈특약(갱신형)" xfId="13039" xr:uid="{00000000-0005-0000-0000-000017430000}"/>
    <cellStyle name="쉼표 [0] 5 2 3 3" xfId="5960" xr:uid="{00000000-0005-0000-0000-000018430000}"/>
    <cellStyle name="쉼표 [0] 5 2 3 4" xfId="5961" xr:uid="{00000000-0005-0000-0000-000019430000}"/>
    <cellStyle name="쉼표 [0] 5 2 3_뇌출혈특약(갱신형)" xfId="13040" xr:uid="{00000000-0005-0000-0000-00001A430000}"/>
    <cellStyle name="쉼표 [0] 5 2 4" xfId="5962" xr:uid="{00000000-0005-0000-0000-00001B430000}"/>
    <cellStyle name="쉼표 [0] 5 2 4 2" xfId="5963" xr:uid="{00000000-0005-0000-0000-00001C430000}"/>
    <cellStyle name="쉼표 [0] 5 2 4 2 2" xfId="5964" xr:uid="{00000000-0005-0000-0000-00001D430000}"/>
    <cellStyle name="쉼표 [0] 5 2 4 2 3" xfId="5965" xr:uid="{00000000-0005-0000-0000-00001E430000}"/>
    <cellStyle name="쉼표 [0] 5 2 4 2_뇌출혈특약(갱신형)" xfId="13041" xr:uid="{00000000-0005-0000-0000-00001F430000}"/>
    <cellStyle name="쉼표 [0] 5 2 4 3" xfId="5966" xr:uid="{00000000-0005-0000-0000-000020430000}"/>
    <cellStyle name="쉼표 [0] 5 2 4 4" xfId="5967" xr:uid="{00000000-0005-0000-0000-000021430000}"/>
    <cellStyle name="쉼표 [0] 5 2 4_뇌출혈특약(갱신형)" xfId="13042" xr:uid="{00000000-0005-0000-0000-000022430000}"/>
    <cellStyle name="쉼표 [0] 5 2 5" xfId="5968" xr:uid="{00000000-0005-0000-0000-000023430000}"/>
    <cellStyle name="쉼표 [0] 5 2 5 2" xfId="5969" xr:uid="{00000000-0005-0000-0000-000024430000}"/>
    <cellStyle name="쉼표 [0] 5 2 5 3" xfId="5970" xr:uid="{00000000-0005-0000-0000-000025430000}"/>
    <cellStyle name="쉼표 [0] 5 2 5_뇌출혈특약(갱신형)" xfId="13043" xr:uid="{00000000-0005-0000-0000-000026430000}"/>
    <cellStyle name="쉼표 [0] 5 2 6" xfId="5971" xr:uid="{00000000-0005-0000-0000-000027430000}"/>
    <cellStyle name="쉼표 [0] 5 2 6 2" xfId="5972" xr:uid="{00000000-0005-0000-0000-000028430000}"/>
    <cellStyle name="쉼표 [0] 5 2 6 3" xfId="5973" xr:uid="{00000000-0005-0000-0000-000029430000}"/>
    <cellStyle name="쉼표 [0] 5 2 6_뇌출혈특약(갱신형)" xfId="13044" xr:uid="{00000000-0005-0000-0000-00002A430000}"/>
    <cellStyle name="쉼표 [0] 5 2 7" xfId="5974" xr:uid="{00000000-0005-0000-0000-00002B430000}"/>
    <cellStyle name="쉼표 [0] 5 2 8" xfId="5975" xr:uid="{00000000-0005-0000-0000-00002C430000}"/>
    <cellStyle name="쉼표 [0] 5 2_뇌출혈특약(갱신형)" xfId="13045" xr:uid="{00000000-0005-0000-0000-00002D430000}"/>
    <cellStyle name="쉼표 [0] 5 3" xfId="5976" xr:uid="{00000000-0005-0000-0000-00002E430000}"/>
    <cellStyle name="쉼표 [0] 5 3 2" xfId="5977" xr:uid="{00000000-0005-0000-0000-00002F430000}"/>
    <cellStyle name="쉼표 [0] 5 3 2 2" xfId="5978" xr:uid="{00000000-0005-0000-0000-000030430000}"/>
    <cellStyle name="쉼표 [0] 5 3 2 2 2" xfId="5979" xr:uid="{00000000-0005-0000-0000-000031430000}"/>
    <cellStyle name="쉼표 [0] 5 3 2 2 3" xfId="5980" xr:uid="{00000000-0005-0000-0000-000032430000}"/>
    <cellStyle name="쉼표 [0] 5 3 2 2_뇌출혈특약(갱신형)" xfId="13046" xr:uid="{00000000-0005-0000-0000-000033430000}"/>
    <cellStyle name="쉼표 [0] 5 3 2 3" xfId="5981" xr:uid="{00000000-0005-0000-0000-000034430000}"/>
    <cellStyle name="쉼표 [0] 5 3 2 4" xfId="5982" xr:uid="{00000000-0005-0000-0000-000035430000}"/>
    <cellStyle name="쉼표 [0] 5 3 2_뇌출혈특약(갱신형)" xfId="13047" xr:uid="{00000000-0005-0000-0000-000036430000}"/>
    <cellStyle name="쉼표 [0] 5 3 3" xfId="5983" xr:uid="{00000000-0005-0000-0000-000037430000}"/>
    <cellStyle name="쉼표 [0] 5 3 3 2" xfId="5984" xr:uid="{00000000-0005-0000-0000-000038430000}"/>
    <cellStyle name="쉼표 [0] 5 3 3 2 2" xfId="5985" xr:uid="{00000000-0005-0000-0000-000039430000}"/>
    <cellStyle name="쉼표 [0] 5 3 3 2 3" xfId="5986" xr:uid="{00000000-0005-0000-0000-00003A430000}"/>
    <cellStyle name="쉼표 [0] 5 3 3 2_뇌출혈특약(갱신형)" xfId="13048" xr:uid="{00000000-0005-0000-0000-00003B430000}"/>
    <cellStyle name="쉼표 [0] 5 3 3 3" xfId="5987" xr:uid="{00000000-0005-0000-0000-00003C430000}"/>
    <cellStyle name="쉼표 [0] 5 3 3 4" xfId="5988" xr:uid="{00000000-0005-0000-0000-00003D430000}"/>
    <cellStyle name="쉼표 [0] 5 3 3_뇌출혈특약(갱신형)" xfId="13049" xr:uid="{00000000-0005-0000-0000-00003E430000}"/>
    <cellStyle name="쉼표 [0] 5 3 4" xfId="5989" xr:uid="{00000000-0005-0000-0000-00003F430000}"/>
    <cellStyle name="쉼표 [0] 5 3 4 2" xfId="5990" xr:uid="{00000000-0005-0000-0000-000040430000}"/>
    <cellStyle name="쉼표 [0] 5 3 4 3" xfId="5991" xr:uid="{00000000-0005-0000-0000-000041430000}"/>
    <cellStyle name="쉼표 [0] 5 3 4_뇌출혈특약(갱신형)" xfId="13050" xr:uid="{00000000-0005-0000-0000-000042430000}"/>
    <cellStyle name="쉼표 [0] 5 3 5" xfId="5992" xr:uid="{00000000-0005-0000-0000-000043430000}"/>
    <cellStyle name="쉼표 [0] 5 3 5 2" xfId="5993" xr:uid="{00000000-0005-0000-0000-000044430000}"/>
    <cellStyle name="쉼표 [0] 5 3 5 3" xfId="5994" xr:uid="{00000000-0005-0000-0000-000045430000}"/>
    <cellStyle name="쉼표 [0] 5 3 5_뇌출혈특약(갱신형)" xfId="13051" xr:uid="{00000000-0005-0000-0000-000046430000}"/>
    <cellStyle name="쉼표 [0] 5 3 6" xfId="5995" xr:uid="{00000000-0005-0000-0000-000047430000}"/>
    <cellStyle name="쉼표 [0] 5 3 7" xfId="5996" xr:uid="{00000000-0005-0000-0000-000048430000}"/>
    <cellStyle name="쉼표 [0] 5 3 8" xfId="12101" xr:uid="{00000000-0005-0000-0000-000049430000}"/>
    <cellStyle name="쉼표 [0] 5 3_뇌출혈특약(갱신형)" xfId="13052" xr:uid="{00000000-0005-0000-0000-00004A430000}"/>
    <cellStyle name="쉼표 [0] 5 4" xfId="5997" xr:uid="{00000000-0005-0000-0000-00004B430000}"/>
    <cellStyle name="쉼표 [0] 5 4 2" xfId="5998" xr:uid="{00000000-0005-0000-0000-00004C430000}"/>
    <cellStyle name="쉼표 [0] 5 4 2 2" xfId="5999" xr:uid="{00000000-0005-0000-0000-00004D430000}"/>
    <cellStyle name="쉼표 [0] 5 4 2 2 2" xfId="6000" xr:uid="{00000000-0005-0000-0000-00004E430000}"/>
    <cellStyle name="쉼표 [0] 5 4 2 2 3" xfId="6001" xr:uid="{00000000-0005-0000-0000-00004F430000}"/>
    <cellStyle name="쉼표 [0] 5 4 2 2_뇌출혈특약(갱신형)" xfId="13053" xr:uid="{00000000-0005-0000-0000-000050430000}"/>
    <cellStyle name="쉼표 [0] 5 4 2 3" xfId="6002" xr:uid="{00000000-0005-0000-0000-000051430000}"/>
    <cellStyle name="쉼표 [0] 5 4 2 4" xfId="6003" xr:uid="{00000000-0005-0000-0000-000052430000}"/>
    <cellStyle name="쉼표 [0] 5 4 2_뇌출혈특약(갱신형)" xfId="13054" xr:uid="{00000000-0005-0000-0000-000053430000}"/>
    <cellStyle name="쉼표 [0] 5 4 3" xfId="6004" xr:uid="{00000000-0005-0000-0000-000054430000}"/>
    <cellStyle name="쉼표 [0] 5 4 3 2" xfId="6005" xr:uid="{00000000-0005-0000-0000-000055430000}"/>
    <cellStyle name="쉼표 [0] 5 4 3 2 2" xfId="6006" xr:uid="{00000000-0005-0000-0000-000056430000}"/>
    <cellStyle name="쉼표 [0] 5 4 3 2 3" xfId="6007" xr:uid="{00000000-0005-0000-0000-000057430000}"/>
    <cellStyle name="쉼표 [0] 5 4 3 2_뇌출혈특약(갱신형)" xfId="13055" xr:uid="{00000000-0005-0000-0000-000058430000}"/>
    <cellStyle name="쉼표 [0] 5 4 3 3" xfId="6008" xr:uid="{00000000-0005-0000-0000-000059430000}"/>
    <cellStyle name="쉼표 [0] 5 4 3 4" xfId="6009" xr:uid="{00000000-0005-0000-0000-00005A430000}"/>
    <cellStyle name="쉼표 [0] 5 4 3_뇌출혈특약(갱신형)" xfId="13056" xr:uid="{00000000-0005-0000-0000-00005B430000}"/>
    <cellStyle name="쉼표 [0] 5 4 4" xfId="6010" xr:uid="{00000000-0005-0000-0000-00005C430000}"/>
    <cellStyle name="쉼표 [0] 5 4 4 2" xfId="6011" xr:uid="{00000000-0005-0000-0000-00005D430000}"/>
    <cellStyle name="쉼표 [0] 5 4 4 3" xfId="6012" xr:uid="{00000000-0005-0000-0000-00005E430000}"/>
    <cellStyle name="쉼표 [0] 5 4 4_뇌출혈특약(갱신형)" xfId="13057" xr:uid="{00000000-0005-0000-0000-00005F430000}"/>
    <cellStyle name="쉼표 [0] 5 4 5" xfId="6013" xr:uid="{00000000-0005-0000-0000-000060430000}"/>
    <cellStyle name="쉼표 [0] 5 4 5 2" xfId="6014" xr:uid="{00000000-0005-0000-0000-000061430000}"/>
    <cellStyle name="쉼표 [0] 5 4 5 3" xfId="6015" xr:uid="{00000000-0005-0000-0000-000062430000}"/>
    <cellStyle name="쉼표 [0] 5 4 5_뇌출혈특약(갱신형)" xfId="13058" xr:uid="{00000000-0005-0000-0000-000063430000}"/>
    <cellStyle name="쉼표 [0] 5 4 6" xfId="6016" xr:uid="{00000000-0005-0000-0000-000064430000}"/>
    <cellStyle name="쉼표 [0] 5 4 7" xfId="6017" xr:uid="{00000000-0005-0000-0000-000065430000}"/>
    <cellStyle name="쉼표 [0] 5 4_뇌출혈특약(갱신형)" xfId="13059" xr:uid="{00000000-0005-0000-0000-000066430000}"/>
    <cellStyle name="쉼표 [0] 5 5" xfId="6018" xr:uid="{00000000-0005-0000-0000-000067430000}"/>
    <cellStyle name="쉼표 [0] 5 5 2" xfId="6019" xr:uid="{00000000-0005-0000-0000-000068430000}"/>
    <cellStyle name="쉼표 [0] 5 5 2 2" xfId="6020" xr:uid="{00000000-0005-0000-0000-000069430000}"/>
    <cellStyle name="쉼표 [0] 5 5 2 3" xfId="6021" xr:uid="{00000000-0005-0000-0000-00006A430000}"/>
    <cellStyle name="쉼표 [0] 5 5 2_뇌출혈특약(갱신형)" xfId="13060" xr:uid="{00000000-0005-0000-0000-00006B430000}"/>
    <cellStyle name="쉼표 [0] 5 5 3" xfId="6022" xr:uid="{00000000-0005-0000-0000-00006C430000}"/>
    <cellStyle name="쉼표 [0] 5 5 4" xfId="6023" xr:uid="{00000000-0005-0000-0000-00006D430000}"/>
    <cellStyle name="쉼표 [0] 5 5_뇌출혈특약(갱신형)" xfId="13061" xr:uid="{00000000-0005-0000-0000-00006E430000}"/>
    <cellStyle name="쉼표 [0] 5 6" xfId="6024" xr:uid="{00000000-0005-0000-0000-00006F430000}"/>
    <cellStyle name="쉼표 [0] 5 6 2" xfId="6025" xr:uid="{00000000-0005-0000-0000-000070430000}"/>
    <cellStyle name="쉼표 [0] 5 6 2 2" xfId="6026" xr:uid="{00000000-0005-0000-0000-000071430000}"/>
    <cellStyle name="쉼표 [0] 5 6 2 3" xfId="6027" xr:uid="{00000000-0005-0000-0000-000072430000}"/>
    <cellStyle name="쉼표 [0] 5 6 2_뇌출혈특약(갱신형)" xfId="13062" xr:uid="{00000000-0005-0000-0000-000073430000}"/>
    <cellStyle name="쉼표 [0] 5 6 3" xfId="6028" xr:uid="{00000000-0005-0000-0000-000074430000}"/>
    <cellStyle name="쉼표 [0] 5 6 4" xfId="6029" xr:uid="{00000000-0005-0000-0000-000075430000}"/>
    <cellStyle name="쉼표 [0] 5 6_뇌출혈특약(갱신형)" xfId="13063" xr:uid="{00000000-0005-0000-0000-000076430000}"/>
    <cellStyle name="쉼표 [0] 5 7" xfId="6030" xr:uid="{00000000-0005-0000-0000-000077430000}"/>
    <cellStyle name="쉼표 [0] 5 7 2" xfId="6031" xr:uid="{00000000-0005-0000-0000-000078430000}"/>
    <cellStyle name="쉼표 [0] 5 7 3" xfId="6032" xr:uid="{00000000-0005-0000-0000-000079430000}"/>
    <cellStyle name="쉼표 [0] 5 7_뇌출혈특약(갱신형)" xfId="13064" xr:uid="{00000000-0005-0000-0000-00007A430000}"/>
    <cellStyle name="쉼표 [0] 5 8" xfId="6033" xr:uid="{00000000-0005-0000-0000-00007B430000}"/>
    <cellStyle name="쉼표 [0] 5 8 2" xfId="6034" xr:uid="{00000000-0005-0000-0000-00007C430000}"/>
    <cellStyle name="쉼표 [0] 5 8 3" xfId="6035" xr:uid="{00000000-0005-0000-0000-00007D430000}"/>
    <cellStyle name="쉼표 [0] 5 8_뇌출혈특약(갱신형)" xfId="13065" xr:uid="{00000000-0005-0000-0000-00007E430000}"/>
    <cellStyle name="쉼표 [0] 5 9" xfId="6036" xr:uid="{00000000-0005-0000-0000-00007F430000}"/>
    <cellStyle name="쉼표 [0] 5 9 2" xfId="6037" xr:uid="{00000000-0005-0000-0000-000080430000}"/>
    <cellStyle name="쉼표 [0] 5 9 3" xfId="6038" xr:uid="{00000000-0005-0000-0000-000081430000}"/>
    <cellStyle name="쉼표 [0] 5 9_뇌출혈특약(갱신형)" xfId="13066" xr:uid="{00000000-0005-0000-0000-000082430000}"/>
    <cellStyle name="쉼표 [0] 5_뇌출혈특약(갱신형)" xfId="13067" xr:uid="{00000000-0005-0000-0000-000083430000}"/>
    <cellStyle name="쉼표 [0] 6" xfId="29" xr:uid="{00000000-0005-0000-0000-000084430000}"/>
    <cellStyle name="쉼표 [0] 6 10" xfId="6039" xr:uid="{00000000-0005-0000-0000-000085430000}"/>
    <cellStyle name="쉼표 [0] 6 10 2" xfId="6040" xr:uid="{00000000-0005-0000-0000-000086430000}"/>
    <cellStyle name="쉼표 [0] 6 10 3" xfId="6041" xr:uid="{00000000-0005-0000-0000-000087430000}"/>
    <cellStyle name="쉼표 [0] 6 10_뇌출혈특약(갱신형)" xfId="13068" xr:uid="{00000000-0005-0000-0000-000088430000}"/>
    <cellStyle name="쉼표 [0] 6 11" xfId="6042" xr:uid="{00000000-0005-0000-0000-000089430000}"/>
    <cellStyle name="쉼표 [0] 6 11 2" xfId="6043" xr:uid="{00000000-0005-0000-0000-00008A430000}"/>
    <cellStyle name="쉼표 [0] 6 11_뇌출혈특약(갱신형)" xfId="13069" xr:uid="{00000000-0005-0000-0000-00008B430000}"/>
    <cellStyle name="쉼표 [0] 6 12" xfId="6044" xr:uid="{00000000-0005-0000-0000-00008C430000}"/>
    <cellStyle name="쉼표 [0] 6 12 2" xfId="6045" xr:uid="{00000000-0005-0000-0000-00008D430000}"/>
    <cellStyle name="쉼표 [0] 6 12_뇌출혈특약(갱신형)" xfId="13070" xr:uid="{00000000-0005-0000-0000-00008E430000}"/>
    <cellStyle name="쉼표 [0] 6 13" xfId="6046" xr:uid="{00000000-0005-0000-0000-00008F430000}"/>
    <cellStyle name="쉼표 [0] 6 13 2" xfId="6047" xr:uid="{00000000-0005-0000-0000-000090430000}"/>
    <cellStyle name="쉼표 [0] 6 13_뇌출혈특약(갱신형)" xfId="13071" xr:uid="{00000000-0005-0000-0000-000091430000}"/>
    <cellStyle name="쉼표 [0] 6 14" xfId="6048" xr:uid="{00000000-0005-0000-0000-000092430000}"/>
    <cellStyle name="쉼표 [0] 6 14 2" xfId="6049" xr:uid="{00000000-0005-0000-0000-000093430000}"/>
    <cellStyle name="쉼표 [0] 6 14_뇌출혈특약(갱신형)" xfId="13072" xr:uid="{00000000-0005-0000-0000-000094430000}"/>
    <cellStyle name="쉼표 [0] 6 15" xfId="6050" xr:uid="{00000000-0005-0000-0000-000095430000}"/>
    <cellStyle name="쉼표 [0] 6 16" xfId="6051" xr:uid="{00000000-0005-0000-0000-000096430000}"/>
    <cellStyle name="쉼표 [0] 6 17" xfId="17134" xr:uid="{00000000-0005-0000-0000-000097430000}"/>
    <cellStyle name="쉼표 [0] 6 2" xfId="6052" xr:uid="{00000000-0005-0000-0000-000098430000}"/>
    <cellStyle name="쉼표 [0] 6 2 2" xfId="6053" xr:uid="{00000000-0005-0000-0000-000099430000}"/>
    <cellStyle name="쉼표 [0] 6 2 2 2" xfId="6054" xr:uid="{00000000-0005-0000-0000-00009A430000}"/>
    <cellStyle name="쉼표 [0] 6 2 2 2 2" xfId="6055" xr:uid="{00000000-0005-0000-0000-00009B430000}"/>
    <cellStyle name="쉼표 [0] 6 2 2 2 2 2" xfId="6056" xr:uid="{00000000-0005-0000-0000-00009C430000}"/>
    <cellStyle name="쉼표 [0] 6 2 2 2 2 3" xfId="6057" xr:uid="{00000000-0005-0000-0000-00009D430000}"/>
    <cellStyle name="쉼표 [0] 6 2 2 2 2_뇌출혈특약(갱신형)" xfId="13073" xr:uid="{00000000-0005-0000-0000-00009E430000}"/>
    <cellStyle name="쉼표 [0] 6 2 2 2 3" xfId="6058" xr:uid="{00000000-0005-0000-0000-00009F430000}"/>
    <cellStyle name="쉼표 [0] 6 2 2 2 4" xfId="6059" xr:uid="{00000000-0005-0000-0000-0000A0430000}"/>
    <cellStyle name="쉼표 [0] 6 2 2 2_뇌출혈특약(갱신형)" xfId="13074" xr:uid="{00000000-0005-0000-0000-0000A1430000}"/>
    <cellStyle name="쉼표 [0] 6 2 2 3" xfId="6060" xr:uid="{00000000-0005-0000-0000-0000A2430000}"/>
    <cellStyle name="쉼표 [0] 6 2 2 3 2" xfId="6061" xr:uid="{00000000-0005-0000-0000-0000A3430000}"/>
    <cellStyle name="쉼표 [0] 6 2 2 3 2 2" xfId="6062" xr:uid="{00000000-0005-0000-0000-0000A4430000}"/>
    <cellStyle name="쉼표 [0] 6 2 2 3 2 3" xfId="6063" xr:uid="{00000000-0005-0000-0000-0000A5430000}"/>
    <cellStyle name="쉼표 [0] 6 2 2 3 2_뇌출혈특약(갱신형)" xfId="13075" xr:uid="{00000000-0005-0000-0000-0000A6430000}"/>
    <cellStyle name="쉼표 [0] 6 2 2 3 3" xfId="6064" xr:uid="{00000000-0005-0000-0000-0000A7430000}"/>
    <cellStyle name="쉼표 [0] 6 2 2 3 4" xfId="6065" xr:uid="{00000000-0005-0000-0000-0000A8430000}"/>
    <cellStyle name="쉼표 [0] 6 2 2 3_뇌출혈특약(갱신형)" xfId="13076" xr:uid="{00000000-0005-0000-0000-0000A9430000}"/>
    <cellStyle name="쉼표 [0] 6 2 2 4" xfId="6066" xr:uid="{00000000-0005-0000-0000-0000AA430000}"/>
    <cellStyle name="쉼표 [0] 6 2 2 4 2" xfId="6067" xr:uid="{00000000-0005-0000-0000-0000AB430000}"/>
    <cellStyle name="쉼표 [0] 6 2 2 4 3" xfId="6068" xr:uid="{00000000-0005-0000-0000-0000AC430000}"/>
    <cellStyle name="쉼표 [0] 6 2 2 4_뇌출혈특약(갱신형)" xfId="13077" xr:uid="{00000000-0005-0000-0000-0000AD430000}"/>
    <cellStyle name="쉼표 [0] 6 2 2 5" xfId="6069" xr:uid="{00000000-0005-0000-0000-0000AE430000}"/>
    <cellStyle name="쉼표 [0] 6 2 2 5 2" xfId="6070" xr:uid="{00000000-0005-0000-0000-0000AF430000}"/>
    <cellStyle name="쉼표 [0] 6 2 2 5 3" xfId="6071" xr:uid="{00000000-0005-0000-0000-0000B0430000}"/>
    <cellStyle name="쉼표 [0] 6 2 2 5_뇌출혈특약(갱신형)" xfId="13078" xr:uid="{00000000-0005-0000-0000-0000B1430000}"/>
    <cellStyle name="쉼표 [0] 6 2 2 6" xfId="6072" xr:uid="{00000000-0005-0000-0000-0000B2430000}"/>
    <cellStyle name="쉼표 [0] 6 2 2 7" xfId="6073" xr:uid="{00000000-0005-0000-0000-0000B3430000}"/>
    <cellStyle name="쉼표 [0] 6 2 2_뇌출혈특약(갱신형)" xfId="13079" xr:uid="{00000000-0005-0000-0000-0000B4430000}"/>
    <cellStyle name="쉼표 [0] 6 2 3" xfId="6074" xr:uid="{00000000-0005-0000-0000-0000B5430000}"/>
    <cellStyle name="쉼표 [0] 6 2 3 2" xfId="6075" xr:uid="{00000000-0005-0000-0000-0000B6430000}"/>
    <cellStyle name="쉼표 [0] 6 2 3 2 2" xfId="6076" xr:uid="{00000000-0005-0000-0000-0000B7430000}"/>
    <cellStyle name="쉼표 [0] 6 2 3 2 3" xfId="6077" xr:uid="{00000000-0005-0000-0000-0000B8430000}"/>
    <cellStyle name="쉼표 [0] 6 2 3 2_뇌출혈특약(갱신형)" xfId="13080" xr:uid="{00000000-0005-0000-0000-0000B9430000}"/>
    <cellStyle name="쉼표 [0] 6 2 3 3" xfId="6078" xr:uid="{00000000-0005-0000-0000-0000BA430000}"/>
    <cellStyle name="쉼표 [0] 6 2 3 4" xfId="6079" xr:uid="{00000000-0005-0000-0000-0000BB430000}"/>
    <cellStyle name="쉼표 [0] 6 2 3_뇌출혈특약(갱신형)" xfId="13081" xr:uid="{00000000-0005-0000-0000-0000BC430000}"/>
    <cellStyle name="쉼표 [0] 6 2 4" xfId="6080" xr:uid="{00000000-0005-0000-0000-0000BD430000}"/>
    <cellStyle name="쉼표 [0] 6 2 4 2" xfId="6081" xr:uid="{00000000-0005-0000-0000-0000BE430000}"/>
    <cellStyle name="쉼표 [0] 6 2 4 2 2" xfId="6082" xr:uid="{00000000-0005-0000-0000-0000BF430000}"/>
    <cellStyle name="쉼표 [0] 6 2 4 2 3" xfId="6083" xr:uid="{00000000-0005-0000-0000-0000C0430000}"/>
    <cellStyle name="쉼표 [0] 6 2 4 2_뇌출혈특약(갱신형)" xfId="13082" xr:uid="{00000000-0005-0000-0000-0000C1430000}"/>
    <cellStyle name="쉼표 [0] 6 2 4 3" xfId="6084" xr:uid="{00000000-0005-0000-0000-0000C2430000}"/>
    <cellStyle name="쉼표 [0] 6 2 4 4" xfId="6085" xr:uid="{00000000-0005-0000-0000-0000C3430000}"/>
    <cellStyle name="쉼표 [0] 6 2 4_뇌출혈특약(갱신형)" xfId="13083" xr:uid="{00000000-0005-0000-0000-0000C4430000}"/>
    <cellStyle name="쉼표 [0] 6 2 5" xfId="6086" xr:uid="{00000000-0005-0000-0000-0000C5430000}"/>
    <cellStyle name="쉼표 [0] 6 2 5 2" xfId="6087" xr:uid="{00000000-0005-0000-0000-0000C6430000}"/>
    <cellStyle name="쉼표 [0] 6 2 5 3" xfId="6088" xr:uid="{00000000-0005-0000-0000-0000C7430000}"/>
    <cellStyle name="쉼표 [0] 6 2 5_뇌출혈특약(갱신형)" xfId="13084" xr:uid="{00000000-0005-0000-0000-0000C8430000}"/>
    <cellStyle name="쉼표 [0] 6 2 6" xfId="6089" xr:uid="{00000000-0005-0000-0000-0000C9430000}"/>
    <cellStyle name="쉼표 [0] 6 2 6 2" xfId="6090" xr:uid="{00000000-0005-0000-0000-0000CA430000}"/>
    <cellStyle name="쉼표 [0] 6 2 6 3" xfId="6091" xr:uid="{00000000-0005-0000-0000-0000CB430000}"/>
    <cellStyle name="쉼표 [0] 6 2 6_뇌출혈특약(갱신형)" xfId="13085" xr:uid="{00000000-0005-0000-0000-0000CC430000}"/>
    <cellStyle name="쉼표 [0] 6 2 7" xfId="6092" xr:uid="{00000000-0005-0000-0000-0000CD430000}"/>
    <cellStyle name="쉼표 [0] 6 2 8" xfId="6093" xr:uid="{00000000-0005-0000-0000-0000CE430000}"/>
    <cellStyle name="쉼표 [0] 6 2_뇌출혈특약(갱신형)" xfId="13086" xr:uid="{00000000-0005-0000-0000-0000CF430000}"/>
    <cellStyle name="쉼표 [0] 6 3" xfId="6094" xr:uid="{00000000-0005-0000-0000-0000D0430000}"/>
    <cellStyle name="쉼표 [0] 6 3 2" xfId="6095" xr:uid="{00000000-0005-0000-0000-0000D1430000}"/>
    <cellStyle name="쉼표 [0] 6 3 2 2" xfId="6096" xr:uid="{00000000-0005-0000-0000-0000D2430000}"/>
    <cellStyle name="쉼표 [0] 6 3 2 2 2" xfId="6097" xr:uid="{00000000-0005-0000-0000-0000D3430000}"/>
    <cellStyle name="쉼표 [0] 6 3 2 2 3" xfId="6098" xr:uid="{00000000-0005-0000-0000-0000D4430000}"/>
    <cellStyle name="쉼표 [0] 6 3 2 2_뇌출혈특약(갱신형)" xfId="13087" xr:uid="{00000000-0005-0000-0000-0000D5430000}"/>
    <cellStyle name="쉼표 [0] 6 3 2 3" xfId="6099" xr:uid="{00000000-0005-0000-0000-0000D6430000}"/>
    <cellStyle name="쉼표 [0] 6 3 2 4" xfId="6100" xr:uid="{00000000-0005-0000-0000-0000D7430000}"/>
    <cellStyle name="쉼표 [0] 6 3 2_뇌출혈특약(갱신형)" xfId="13088" xr:uid="{00000000-0005-0000-0000-0000D8430000}"/>
    <cellStyle name="쉼표 [0] 6 3 3" xfId="6101" xr:uid="{00000000-0005-0000-0000-0000D9430000}"/>
    <cellStyle name="쉼표 [0] 6 3 3 2" xfId="6102" xr:uid="{00000000-0005-0000-0000-0000DA430000}"/>
    <cellStyle name="쉼표 [0] 6 3 3 2 2" xfId="6103" xr:uid="{00000000-0005-0000-0000-0000DB430000}"/>
    <cellStyle name="쉼표 [0] 6 3 3 2 3" xfId="6104" xr:uid="{00000000-0005-0000-0000-0000DC430000}"/>
    <cellStyle name="쉼표 [0] 6 3 3 2_뇌출혈특약(갱신형)" xfId="13089" xr:uid="{00000000-0005-0000-0000-0000DD430000}"/>
    <cellStyle name="쉼표 [0] 6 3 3 3" xfId="6105" xr:uid="{00000000-0005-0000-0000-0000DE430000}"/>
    <cellStyle name="쉼표 [0] 6 3 3 4" xfId="6106" xr:uid="{00000000-0005-0000-0000-0000DF430000}"/>
    <cellStyle name="쉼표 [0] 6 3 3_뇌출혈특약(갱신형)" xfId="13090" xr:uid="{00000000-0005-0000-0000-0000E0430000}"/>
    <cellStyle name="쉼표 [0] 6 3 4" xfId="6107" xr:uid="{00000000-0005-0000-0000-0000E1430000}"/>
    <cellStyle name="쉼표 [0] 6 3 4 2" xfId="6108" xr:uid="{00000000-0005-0000-0000-0000E2430000}"/>
    <cellStyle name="쉼표 [0] 6 3 4 3" xfId="6109" xr:uid="{00000000-0005-0000-0000-0000E3430000}"/>
    <cellStyle name="쉼표 [0] 6 3 4_뇌출혈특약(갱신형)" xfId="13091" xr:uid="{00000000-0005-0000-0000-0000E4430000}"/>
    <cellStyle name="쉼표 [0] 6 3 5" xfId="6110" xr:uid="{00000000-0005-0000-0000-0000E5430000}"/>
    <cellStyle name="쉼표 [0] 6 3 5 2" xfId="6111" xr:uid="{00000000-0005-0000-0000-0000E6430000}"/>
    <cellStyle name="쉼표 [0] 6 3 5 3" xfId="6112" xr:uid="{00000000-0005-0000-0000-0000E7430000}"/>
    <cellStyle name="쉼표 [0] 6 3 5_뇌출혈특약(갱신형)" xfId="13092" xr:uid="{00000000-0005-0000-0000-0000E8430000}"/>
    <cellStyle name="쉼표 [0] 6 3 6" xfId="6113" xr:uid="{00000000-0005-0000-0000-0000E9430000}"/>
    <cellStyle name="쉼표 [0] 6 3 7" xfId="6114" xr:uid="{00000000-0005-0000-0000-0000EA430000}"/>
    <cellStyle name="쉼표 [0] 6 3_뇌출혈특약(갱신형)" xfId="13093" xr:uid="{00000000-0005-0000-0000-0000EB430000}"/>
    <cellStyle name="쉼표 [0] 6 4" xfId="6115" xr:uid="{00000000-0005-0000-0000-0000EC430000}"/>
    <cellStyle name="쉼표 [0] 6 4 2" xfId="6116" xr:uid="{00000000-0005-0000-0000-0000ED430000}"/>
    <cellStyle name="쉼표 [0] 6 4 2 2" xfId="6117" xr:uid="{00000000-0005-0000-0000-0000EE430000}"/>
    <cellStyle name="쉼표 [0] 6 4 2 2 2" xfId="6118" xr:uid="{00000000-0005-0000-0000-0000EF430000}"/>
    <cellStyle name="쉼표 [0] 6 4 2 2 3" xfId="6119" xr:uid="{00000000-0005-0000-0000-0000F0430000}"/>
    <cellStyle name="쉼표 [0] 6 4 2 2_뇌출혈특약(갱신형)" xfId="13094" xr:uid="{00000000-0005-0000-0000-0000F1430000}"/>
    <cellStyle name="쉼표 [0] 6 4 2 3" xfId="6120" xr:uid="{00000000-0005-0000-0000-0000F2430000}"/>
    <cellStyle name="쉼표 [0] 6 4 2 4" xfId="6121" xr:uid="{00000000-0005-0000-0000-0000F3430000}"/>
    <cellStyle name="쉼표 [0] 6 4 2_뇌출혈특약(갱신형)" xfId="13095" xr:uid="{00000000-0005-0000-0000-0000F4430000}"/>
    <cellStyle name="쉼표 [0] 6 4 3" xfId="6122" xr:uid="{00000000-0005-0000-0000-0000F5430000}"/>
    <cellStyle name="쉼표 [0] 6 4 3 2" xfId="6123" xr:uid="{00000000-0005-0000-0000-0000F6430000}"/>
    <cellStyle name="쉼표 [0] 6 4 3 2 2" xfId="6124" xr:uid="{00000000-0005-0000-0000-0000F7430000}"/>
    <cellStyle name="쉼표 [0] 6 4 3 2 3" xfId="6125" xr:uid="{00000000-0005-0000-0000-0000F8430000}"/>
    <cellStyle name="쉼표 [0] 6 4 3 2_뇌출혈특약(갱신형)" xfId="13096" xr:uid="{00000000-0005-0000-0000-0000F9430000}"/>
    <cellStyle name="쉼표 [0] 6 4 3 3" xfId="6126" xr:uid="{00000000-0005-0000-0000-0000FA430000}"/>
    <cellStyle name="쉼표 [0] 6 4 3 4" xfId="6127" xr:uid="{00000000-0005-0000-0000-0000FB430000}"/>
    <cellStyle name="쉼표 [0] 6 4 3_뇌출혈특약(갱신형)" xfId="13097" xr:uid="{00000000-0005-0000-0000-0000FC430000}"/>
    <cellStyle name="쉼표 [0] 6 4 4" xfId="6128" xr:uid="{00000000-0005-0000-0000-0000FD430000}"/>
    <cellStyle name="쉼표 [0] 6 4 4 2" xfId="6129" xr:uid="{00000000-0005-0000-0000-0000FE430000}"/>
    <cellStyle name="쉼표 [0] 6 4 4 3" xfId="6130" xr:uid="{00000000-0005-0000-0000-0000FF430000}"/>
    <cellStyle name="쉼표 [0] 6 4 4_뇌출혈특약(갱신형)" xfId="13098" xr:uid="{00000000-0005-0000-0000-000000440000}"/>
    <cellStyle name="쉼표 [0] 6 4 5" xfId="6131" xr:uid="{00000000-0005-0000-0000-000001440000}"/>
    <cellStyle name="쉼표 [0] 6 4 5 2" xfId="6132" xr:uid="{00000000-0005-0000-0000-000002440000}"/>
    <cellStyle name="쉼표 [0] 6 4 5 3" xfId="6133" xr:uid="{00000000-0005-0000-0000-000003440000}"/>
    <cellStyle name="쉼표 [0] 6 4 5_뇌출혈특약(갱신형)" xfId="13099" xr:uid="{00000000-0005-0000-0000-000004440000}"/>
    <cellStyle name="쉼표 [0] 6 4 6" xfId="6134" xr:uid="{00000000-0005-0000-0000-000005440000}"/>
    <cellStyle name="쉼표 [0] 6 4 7" xfId="6135" xr:uid="{00000000-0005-0000-0000-000006440000}"/>
    <cellStyle name="쉼표 [0] 6 4_뇌출혈특약(갱신형)" xfId="13100" xr:uid="{00000000-0005-0000-0000-000007440000}"/>
    <cellStyle name="쉼표 [0] 6 5" xfId="6136" xr:uid="{00000000-0005-0000-0000-000008440000}"/>
    <cellStyle name="쉼표 [0] 6 5 2" xfId="6137" xr:uid="{00000000-0005-0000-0000-000009440000}"/>
    <cellStyle name="쉼표 [0] 6 5 2 2" xfId="6138" xr:uid="{00000000-0005-0000-0000-00000A440000}"/>
    <cellStyle name="쉼표 [0] 6 5 2 3" xfId="6139" xr:uid="{00000000-0005-0000-0000-00000B440000}"/>
    <cellStyle name="쉼표 [0] 6 5 2_뇌출혈특약(갱신형)" xfId="13101" xr:uid="{00000000-0005-0000-0000-00000C440000}"/>
    <cellStyle name="쉼표 [0] 6 5 3" xfId="6140" xr:uid="{00000000-0005-0000-0000-00000D440000}"/>
    <cellStyle name="쉼표 [0] 6 5 4" xfId="6141" xr:uid="{00000000-0005-0000-0000-00000E440000}"/>
    <cellStyle name="쉼표 [0] 6 5_뇌출혈특약(갱신형)" xfId="13102" xr:uid="{00000000-0005-0000-0000-00000F440000}"/>
    <cellStyle name="쉼표 [0] 6 6" xfId="6142" xr:uid="{00000000-0005-0000-0000-000010440000}"/>
    <cellStyle name="쉼표 [0] 6 6 2" xfId="6143" xr:uid="{00000000-0005-0000-0000-000011440000}"/>
    <cellStyle name="쉼표 [0] 6 6 2 2" xfId="6144" xr:uid="{00000000-0005-0000-0000-000012440000}"/>
    <cellStyle name="쉼표 [0] 6 6 2 3" xfId="6145" xr:uid="{00000000-0005-0000-0000-000013440000}"/>
    <cellStyle name="쉼표 [0] 6 6 2_뇌출혈특약(갱신형)" xfId="13103" xr:uid="{00000000-0005-0000-0000-000014440000}"/>
    <cellStyle name="쉼표 [0] 6 6 3" xfId="6146" xr:uid="{00000000-0005-0000-0000-000015440000}"/>
    <cellStyle name="쉼표 [0] 6 6 4" xfId="6147" xr:uid="{00000000-0005-0000-0000-000016440000}"/>
    <cellStyle name="쉼표 [0] 6 6_뇌출혈특약(갱신형)" xfId="13104" xr:uid="{00000000-0005-0000-0000-000017440000}"/>
    <cellStyle name="쉼표 [0] 6 7" xfId="6148" xr:uid="{00000000-0005-0000-0000-000018440000}"/>
    <cellStyle name="쉼표 [0] 6 7 2" xfId="6149" xr:uid="{00000000-0005-0000-0000-000019440000}"/>
    <cellStyle name="쉼표 [0] 6 7 3" xfId="6150" xr:uid="{00000000-0005-0000-0000-00001A440000}"/>
    <cellStyle name="쉼표 [0] 6 7_뇌출혈특약(갱신형)" xfId="13105" xr:uid="{00000000-0005-0000-0000-00001B440000}"/>
    <cellStyle name="쉼표 [0] 6 8" xfId="6151" xr:uid="{00000000-0005-0000-0000-00001C440000}"/>
    <cellStyle name="쉼표 [0] 6 8 2" xfId="6152" xr:uid="{00000000-0005-0000-0000-00001D440000}"/>
    <cellStyle name="쉼표 [0] 6 8 3" xfId="6153" xr:uid="{00000000-0005-0000-0000-00001E440000}"/>
    <cellStyle name="쉼표 [0] 6 8_뇌출혈특약(갱신형)" xfId="13106" xr:uid="{00000000-0005-0000-0000-00001F440000}"/>
    <cellStyle name="쉼표 [0] 6 9" xfId="6154" xr:uid="{00000000-0005-0000-0000-000020440000}"/>
    <cellStyle name="쉼표 [0] 6 9 2" xfId="6155" xr:uid="{00000000-0005-0000-0000-000021440000}"/>
    <cellStyle name="쉼표 [0] 6 9 3" xfId="6156" xr:uid="{00000000-0005-0000-0000-000022440000}"/>
    <cellStyle name="쉼표 [0] 6 9_뇌출혈특약(갱신형)" xfId="13107" xr:uid="{00000000-0005-0000-0000-000023440000}"/>
    <cellStyle name="쉼표 [0] 6_뇌출혈특약(갱신형)" xfId="13108" xr:uid="{00000000-0005-0000-0000-000024440000}"/>
    <cellStyle name="쉼표 [0] 64" xfId="32375" xr:uid="{00000000-0005-0000-0000-000025440000}"/>
    <cellStyle name="쉼표 [0] 7" xfId="30" xr:uid="{00000000-0005-0000-0000-000026440000}"/>
    <cellStyle name="쉼표 [0] 7 10" xfId="6157" xr:uid="{00000000-0005-0000-0000-000027440000}"/>
    <cellStyle name="쉼표 [0] 7 10 2" xfId="6158" xr:uid="{00000000-0005-0000-0000-000028440000}"/>
    <cellStyle name="쉼표 [0] 7 10 3" xfId="6159" xr:uid="{00000000-0005-0000-0000-000029440000}"/>
    <cellStyle name="쉼표 [0] 7 10_뇌출혈특약(갱신형)" xfId="13109" xr:uid="{00000000-0005-0000-0000-00002A440000}"/>
    <cellStyle name="쉼표 [0] 7 11" xfId="6160" xr:uid="{00000000-0005-0000-0000-00002B440000}"/>
    <cellStyle name="쉼표 [0] 7 11 2" xfId="6161" xr:uid="{00000000-0005-0000-0000-00002C440000}"/>
    <cellStyle name="쉼표 [0] 7 11_뇌출혈특약(갱신형)" xfId="13110" xr:uid="{00000000-0005-0000-0000-00002D440000}"/>
    <cellStyle name="쉼표 [0] 7 12" xfId="6162" xr:uid="{00000000-0005-0000-0000-00002E440000}"/>
    <cellStyle name="쉼표 [0] 7 12 2" xfId="6163" xr:uid="{00000000-0005-0000-0000-00002F440000}"/>
    <cellStyle name="쉼표 [0] 7 12_뇌출혈특약(갱신형)" xfId="13111" xr:uid="{00000000-0005-0000-0000-000030440000}"/>
    <cellStyle name="쉼표 [0] 7 13" xfId="6164" xr:uid="{00000000-0005-0000-0000-000031440000}"/>
    <cellStyle name="쉼표 [0] 7 13 2" xfId="6165" xr:uid="{00000000-0005-0000-0000-000032440000}"/>
    <cellStyle name="쉼표 [0] 7 13_뇌출혈특약(갱신형)" xfId="13112" xr:uid="{00000000-0005-0000-0000-000033440000}"/>
    <cellStyle name="쉼표 [0] 7 14" xfId="6166" xr:uid="{00000000-0005-0000-0000-000034440000}"/>
    <cellStyle name="쉼표 [0] 7 14 2" xfId="6167" xr:uid="{00000000-0005-0000-0000-000035440000}"/>
    <cellStyle name="쉼표 [0] 7 14_뇌출혈특약(갱신형)" xfId="13113" xr:uid="{00000000-0005-0000-0000-000036440000}"/>
    <cellStyle name="쉼표 [0] 7 15" xfId="6168" xr:uid="{00000000-0005-0000-0000-000037440000}"/>
    <cellStyle name="쉼표 [0] 7 16" xfId="6169" xr:uid="{00000000-0005-0000-0000-000038440000}"/>
    <cellStyle name="쉼표 [0] 7 17" xfId="17135" xr:uid="{00000000-0005-0000-0000-000039440000}"/>
    <cellStyle name="쉼표 [0] 7 2" xfId="6170" xr:uid="{00000000-0005-0000-0000-00003A440000}"/>
    <cellStyle name="쉼표 [0] 7 2 2" xfId="6171" xr:uid="{00000000-0005-0000-0000-00003B440000}"/>
    <cellStyle name="쉼표 [0] 7 2 2 2" xfId="6172" xr:uid="{00000000-0005-0000-0000-00003C440000}"/>
    <cellStyle name="쉼표 [0] 7 2 2 2 2" xfId="6173" xr:uid="{00000000-0005-0000-0000-00003D440000}"/>
    <cellStyle name="쉼표 [0] 7 2 2 2 2 2" xfId="6174" xr:uid="{00000000-0005-0000-0000-00003E440000}"/>
    <cellStyle name="쉼표 [0] 7 2 2 2 2 3" xfId="6175" xr:uid="{00000000-0005-0000-0000-00003F440000}"/>
    <cellStyle name="쉼표 [0] 7 2 2 2 2_뇌출혈특약(갱신형)" xfId="13114" xr:uid="{00000000-0005-0000-0000-000040440000}"/>
    <cellStyle name="쉼표 [0] 7 2 2 2 3" xfId="6176" xr:uid="{00000000-0005-0000-0000-000041440000}"/>
    <cellStyle name="쉼표 [0] 7 2 2 2 4" xfId="6177" xr:uid="{00000000-0005-0000-0000-000042440000}"/>
    <cellStyle name="쉼표 [0] 7 2 2 2_뇌출혈특약(갱신형)" xfId="13115" xr:uid="{00000000-0005-0000-0000-000043440000}"/>
    <cellStyle name="쉼표 [0] 7 2 2 3" xfId="6178" xr:uid="{00000000-0005-0000-0000-000044440000}"/>
    <cellStyle name="쉼표 [0] 7 2 2 3 2" xfId="6179" xr:uid="{00000000-0005-0000-0000-000045440000}"/>
    <cellStyle name="쉼표 [0] 7 2 2 3 2 2" xfId="6180" xr:uid="{00000000-0005-0000-0000-000046440000}"/>
    <cellStyle name="쉼표 [0] 7 2 2 3 2 3" xfId="6181" xr:uid="{00000000-0005-0000-0000-000047440000}"/>
    <cellStyle name="쉼표 [0] 7 2 2 3 2_뇌출혈특약(갱신형)" xfId="13116" xr:uid="{00000000-0005-0000-0000-000048440000}"/>
    <cellStyle name="쉼표 [0] 7 2 2 3 3" xfId="6182" xr:uid="{00000000-0005-0000-0000-000049440000}"/>
    <cellStyle name="쉼표 [0] 7 2 2 3 4" xfId="6183" xr:uid="{00000000-0005-0000-0000-00004A440000}"/>
    <cellStyle name="쉼표 [0] 7 2 2 3_뇌출혈특약(갱신형)" xfId="13117" xr:uid="{00000000-0005-0000-0000-00004B440000}"/>
    <cellStyle name="쉼표 [0] 7 2 2 4" xfId="6184" xr:uid="{00000000-0005-0000-0000-00004C440000}"/>
    <cellStyle name="쉼표 [0] 7 2 2 4 2" xfId="6185" xr:uid="{00000000-0005-0000-0000-00004D440000}"/>
    <cellStyle name="쉼표 [0] 7 2 2 4 3" xfId="6186" xr:uid="{00000000-0005-0000-0000-00004E440000}"/>
    <cellStyle name="쉼표 [0] 7 2 2 4_뇌출혈특약(갱신형)" xfId="13118" xr:uid="{00000000-0005-0000-0000-00004F440000}"/>
    <cellStyle name="쉼표 [0] 7 2 2 5" xfId="6187" xr:uid="{00000000-0005-0000-0000-000050440000}"/>
    <cellStyle name="쉼표 [0] 7 2 2 5 2" xfId="6188" xr:uid="{00000000-0005-0000-0000-000051440000}"/>
    <cellStyle name="쉼표 [0] 7 2 2 5 3" xfId="6189" xr:uid="{00000000-0005-0000-0000-000052440000}"/>
    <cellStyle name="쉼표 [0] 7 2 2 5_뇌출혈특약(갱신형)" xfId="13119" xr:uid="{00000000-0005-0000-0000-000053440000}"/>
    <cellStyle name="쉼표 [0] 7 2 2 6" xfId="6190" xr:uid="{00000000-0005-0000-0000-000054440000}"/>
    <cellStyle name="쉼표 [0] 7 2 2 7" xfId="6191" xr:uid="{00000000-0005-0000-0000-000055440000}"/>
    <cellStyle name="쉼표 [0] 7 2 2_뇌출혈특약(갱신형)" xfId="13120" xr:uid="{00000000-0005-0000-0000-000056440000}"/>
    <cellStyle name="쉼표 [0] 7 2 3" xfId="6192" xr:uid="{00000000-0005-0000-0000-000057440000}"/>
    <cellStyle name="쉼표 [0] 7 2 3 2" xfId="6193" xr:uid="{00000000-0005-0000-0000-000058440000}"/>
    <cellStyle name="쉼표 [0] 7 2 3 2 2" xfId="6194" xr:uid="{00000000-0005-0000-0000-000059440000}"/>
    <cellStyle name="쉼표 [0] 7 2 3 2 3" xfId="6195" xr:uid="{00000000-0005-0000-0000-00005A440000}"/>
    <cellStyle name="쉼표 [0] 7 2 3 2_뇌출혈특약(갱신형)" xfId="13121" xr:uid="{00000000-0005-0000-0000-00005B440000}"/>
    <cellStyle name="쉼표 [0] 7 2 3 3" xfId="6196" xr:uid="{00000000-0005-0000-0000-00005C440000}"/>
    <cellStyle name="쉼표 [0] 7 2 3 4" xfId="6197" xr:uid="{00000000-0005-0000-0000-00005D440000}"/>
    <cellStyle name="쉼표 [0] 7 2 3_뇌출혈특약(갱신형)" xfId="13122" xr:uid="{00000000-0005-0000-0000-00005E440000}"/>
    <cellStyle name="쉼표 [0] 7 2 4" xfId="6198" xr:uid="{00000000-0005-0000-0000-00005F440000}"/>
    <cellStyle name="쉼표 [0] 7 2 4 2" xfId="6199" xr:uid="{00000000-0005-0000-0000-000060440000}"/>
    <cellStyle name="쉼표 [0] 7 2 4 2 2" xfId="6200" xr:uid="{00000000-0005-0000-0000-000061440000}"/>
    <cellStyle name="쉼표 [0] 7 2 4 2 3" xfId="6201" xr:uid="{00000000-0005-0000-0000-000062440000}"/>
    <cellStyle name="쉼표 [0] 7 2 4 2_뇌출혈특약(갱신형)" xfId="13123" xr:uid="{00000000-0005-0000-0000-000063440000}"/>
    <cellStyle name="쉼표 [0] 7 2 4 3" xfId="6202" xr:uid="{00000000-0005-0000-0000-000064440000}"/>
    <cellStyle name="쉼표 [0] 7 2 4 4" xfId="6203" xr:uid="{00000000-0005-0000-0000-000065440000}"/>
    <cellStyle name="쉼표 [0] 7 2 4_뇌출혈특약(갱신형)" xfId="13124" xr:uid="{00000000-0005-0000-0000-000066440000}"/>
    <cellStyle name="쉼표 [0] 7 2 5" xfId="6204" xr:uid="{00000000-0005-0000-0000-000067440000}"/>
    <cellStyle name="쉼표 [0] 7 2 5 2" xfId="6205" xr:uid="{00000000-0005-0000-0000-000068440000}"/>
    <cellStyle name="쉼표 [0] 7 2 5 3" xfId="6206" xr:uid="{00000000-0005-0000-0000-000069440000}"/>
    <cellStyle name="쉼표 [0] 7 2 5_뇌출혈특약(갱신형)" xfId="13125" xr:uid="{00000000-0005-0000-0000-00006A440000}"/>
    <cellStyle name="쉼표 [0] 7 2 6" xfId="6207" xr:uid="{00000000-0005-0000-0000-00006B440000}"/>
    <cellStyle name="쉼표 [0] 7 2 6 2" xfId="6208" xr:uid="{00000000-0005-0000-0000-00006C440000}"/>
    <cellStyle name="쉼표 [0] 7 2 6 3" xfId="6209" xr:uid="{00000000-0005-0000-0000-00006D440000}"/>
    <cellStyle name="쉼표 [0] 7 2 6_뇌출혈특약(갱신형)" xfId="13126" xr:uid="{00000000-0005-0000-0000-00006E440000}"/>
    <cellStyle name="쉼표 [0] 7 2 7" xfId="6210" xr:uid="{00000000-0005-0000-0000-00006F440000}"/>
    <cellStyle name="쉼표 [0] 7 2 8" xfId="6211" xr:uid="{00000000-0005-0000-0000-000070440000}"/>
    <cellStyle name="쉼표 [0] 7 2_뇌출혈특약(갱신형)" xfId="13127" xr:uid="{00000000-0005-0000-0000-000071440000}"/>
    <cellStyle name="쉼표 [0] 7 3" xfId="6212" xr:uid="{00000000-0005-0000-0000-000072440000}"/>
    <cellStyle name="쉼표 [0] 7 3 2" xfId="6213" xr:uid="{00000000-0005-0000-0000-000073440000}"/>
    <cellStyle name="쉼표 [0] 7 3 2 2" xfId="6214" xr:uid="{00000000-0005-0000-0000-000074440000}"/>
    <cellStyle name="쉼표 [0] 7 3 2 2 2" xfId="6215" xr:uid="{00000000-0005-0000-0000-000075440000}"/>
    <cellStyle name="쉼표 [0] 7 3 2 2 3" xfId="6216" xr:uid="{00000000-0005-0000-0000-000076440000}"/>
    <cellStyle name="쉼표 [0] 7 3 2 2_뇌출혈특약(갱신형)" xfId="13128" xr:uid="{00000000-0005-0000-0000-000077440000}"/>
    <cellStyle name="쉼표 [0] 7 3 2 3" xfId="6217" xr:uid="{00000000-0005-0000-0000-000078440000}"/>
    <cellStyle name="쉼표 [0] 7 3 2 4" xfId="6218" xr:uid="{00000000-0005-0000-0000-000079440000}"/>
    <cellStyle name="쉼표 [0] 7 3 2_뇌출혈특약(갱신형)" xfId="13129" xr:uid="{00000000-0005-0000-0000-00007A440000}"/>
    <cellStyle name="쉼표 [0] 7 3 3" xfId="6219" xr:uid="{00000000-0005-0000-0000-00007B440000}"/>
    <cellStyle name="쉼표 [0] 7 3 3 2" xfId="6220" xr:uid="{00000000-0005-0000-0000-00007C440000}"/>
    <cellStyle name="쉼표 [0] 7 3 3 2 2" xfId="6221" xr:uid="{00000000-0005-0000-0000-00007D440000}"/>
    <cellStyle name="쉼표 [0] 7 3 3 2 3" xfId="6222" xr:uid="{00000000-0005-0000-0000-00007E440000}"/>
    <cellStyle name="쉼표 [0] 7 3 3 2_뇌출혈특약(갱신형)" xfId="13130" xr:uid="{00000000-0005-0000-0000-00007F440000}"/>
    <cellStyle name="쉼표 [0] 7 3 3 3" xfId="6223" xr:uid="{00000000-0005-0000-0000-000080440000}"/>
    <cellStyle name="쉼표 [0] 7 3 3 4" xfId="6224" xr:uid="{00000000-0005-0000-0000-000081440000}"/>
    <cellStyle name="쉼표 [0] 7 3 3_뇌출혈특약(갱신형)" xfId="13131" xr:uid="{00000000-0005-0000-0000-000082440000}"/>
    <cellStyle name="쉼표 [0] 7 3 4" xfId="6225" xr:uid="{00000000-0005-0000-0000-000083440000}"/>
    <cellStyle name="쉼표 [0] 7 3 4 2" xfId="6226" xr:uid="{00000000-0005-0000-0000-000084440000}"/>
    <cellStyle name="쉼표 [0] 7 3 4 3" xfId="6227" xr:uid="{00000000-0005-0000-0000-000085440000}"/>
    <cellStyle name="쉼표 [0] 7 3 4_뇌출혈특약(갱신형)" xfId="13132" xr:uid="{00000000-0005-0000-0000-000086440000}"/>
    <cellStyle name="쉼표 [0] 7 3 5" xfId="6228" xr:uid="{00000000-0005-0000-0000-000087440000}"/>
    <cellStyle name="쉼표 [0] 7 3 5 2" xfId="6229" xr:uid="{00000000-0005-0000-0000-000088440000}"/>
    <cellStyle name="쉼표 [0] 7 3 5 3" xfId="6230" xr:uid="{00000000-0005-0000-0000-000089440000}"/>
    <cellStyle name="쉼표 [0] 7 3 5_뇌출혈특약(갱신형)" xfId="13133" xr:uid="{00000000-0005-0000-0000-00008A440000}"/>
    <cellStyle name="쉼표 [0] 7 3 6" xfId="6231" xr:uid="{00000000-0005-0000-0000-00008B440000}"/>
    <cellStyle name="쉼표 [0] 7 3 7" xfId="6232" xr:uid="{00000000-0005-0000-0000-00008C440000}"/>
    <cellStyle name="쉼표 [0] 7 3_뇌출혈특약(갱신형)" xfId="13134" xr:uid="{00000000-0005-0000-0000-00008D440000}"/>
    <cellStyle name="쉼표 [0] 7 4" xfId="6233" xr:uid="{00000000-0005-0000-0000-00008E440000}"/>
    <cellStyle name="쉼표 [0] 7 4 2" xfId="6234" xr:uid="{00000000-0005-0000-0000-00008F440000}"/>
    <cellStyle name="쉼표 [0] 7 4 2 2" xfId="6235" xr:uid="{00000000-0005-0000-0000-000090440000}"/>
    <cellStyle name="쉼표 [0] 7 4 2 2 2" xfId="6236" xr:uid="{00000000-0005-0000-0000-000091440000}"/>
    <cellStyle name="쉼표 [0] 7 4 2 2 3" xfId="6237" xr:uid="{00000000-0005-0000-0000-000092440000}"/>
    <cellStyle name="쉼표 [0] 7 4 2 2_뇌출혈특약(갱신형)" xfId="13135" xr:uid="{00000000-0005-0000-0000-000093440000}"/>
    <cellStyle name="쉼표 [0] 7 4 2 3" xfId="6238" xr:uid="{00000000-0005-0000-0000-000094440000}"/>
    <cellStyle name="쉼표 [0] 7 4 2 4" xfId="6239" xr:uid="{00000000-0005-0000-0000-000095440000}"/>
    <cellStyle name="쉼표 [0] 7 4 2_뇌출혈특약(갱신형)" xfId="13136" xr:uid="{00000000-0005-0000-0000-000096440000}"/>
    <cellStyle name="쉼표 [0] 7 4 3" xfId="6240" xr:uid="{00000000-0005-0000-0000-000097440000}"/>
    <cellStyle name="쉼표 [0] 7 4 3 2" xfId="6241" xr:uid="{00000000-0005-0000-0000-000098440000}"/>
    <cellStyle name="쉼표 [0] 7 4 3 2 2" xfId="6242" xr:uid="{00000000-0005-0000-0000-000099440000}"/>
    <cellStyle name="쉼표 [0] 7 4 3 2 3" xfId="6243" xr:uid="{00000000-0005-0000-0000-00009A440000}"/>
    <cellStyle name="쉼표 [0] 7 4 3 2_뇌출혈특약(갱신형)" xfId="13137" xr:uid="{00000000-0005-0000-0000-00009B440000}"/>
    <cellStyle name="쉼표 [0] 7 4 3 3" xfId="6244" xr:uid="{00000000-0005-0000-0000-00009C440000}"/>
    <cellStyle name="쉼표 [0] 7 4 3 4" xfId="6245" xr:uid="{00000000-0005-0000-0000-00009D440000}"/>
    <cellStyle name="쉼표 [0] 7 4 3_뇌출혈특약(갱신형)" xfId="13138" xr:uid="{00000000-0005-0000-0000-00009E440000}"/>
    <cellStyle name="쉼표 [0] 7 4 4" xfId="6246" xr:uid="{00000000-0005-0000-0000-00009F440000}"/>
    <cellStyle name="쉼표 [0] 7 4 4 2" xfId="6247" xr:uid="{00000000-0005-0000-0000-0000A0440000}"/>
    <cellStyle name="쉼표 [0] 7 4 4 3" xfId="6248" xr:uid="{00000000-0005-0000-0000-0000A1440000}"/>
    <cellStyle name="쉼표 [0] 7 4 4_뇌출혈특약(갱신형)" xfId="13139" xr:uid="{00000000-0005-0000-0000-0000A2440000}"/>
    <cellStyle name="쉼표 [0] 7 4 5" xfId="6249" xr:uid="{00000000-0005-0000-0000-0000A3440000}"/>
    <cellStyle name="쉼표 [0] 7 4 5 2" xfId="6250" xr:uid="{00000000-0005-0000-0000-0000A4440000}"/>
    <cellStyle name="쉼표 [0] 7 4 5 3" xfId="6251" xr:uid="{00000000-0005-0000-0000-0000A5440000}"/>
    <cellStyle name="쉼표 [0] 7 4 5_뇌출혈특약(갱신형)" xfId="13140" xr:uid="{00000000-0005-0000-0000-0000A6440000}"/>
    <cellStyle name="쉼표 [0] 7 4 6" xfId="6252" xr:uid="{00000000-0005-0000-0000-0000A7440000}"/>
    <cellStyle name="쉼표 [0] 7 4 7" xfId="6253" xr:uid="{00000000-0005-0000-0000-0000A8440000}"/>
    <cellStyle name="쉼표 [0] 7 4_뇌출혈특약(갱신형)" xfId="13141" xr:uid="{00000000-0005-0000-0000-0000A9440000}"/>
    <cellStyle name="쉼표 [0] 7 5" xfId="6254" xr:uid="{00000000-0005-0000-0000-0000AA440000}"/>
    <cellStyle name="쉼표 [0] 7 5 2" xfId="6255" xr:uid="{00000000-0005-0000-0000-0000AB440000}"/>
    <cellStyle name="쉼표 [0] 7 5 2 2" xfId="6256" xr:uid="{00000000-0005-0000-0000-0000AC440000}"/>
    <cellStyle name="쉼표 [0] 7 5 2 3" xfId="6257" xr:uid="{00000000-0005-0000-0000-0000AD440000}"/>
    <cellStyle name="쉼표 [0] 7 5 2_뇌출혈특약(갱신형)" xfId="13142" xr:uid="{00000000-0005-0000-0000-0000AE440000}"/>
    <cellStyle name="쉼표 [0] 7 5 3" xfId="6258" xr:uid="{00000000-0005-0000-0000-0000AF440000}"/>
    <cellStyle name="쉼표 [0] 7 5 4" xfId="6259" xr:uid="{00000000-0005-0000-0000-0000B0440000}"/>
    <cellStyle name="쉼표 [0] 7 5_뇌출혈특약(갱신형)" xfId="13143" xr:uid="{00000000-0005-0000-0000-0000B1440000}"/>
    <cellStyle name="쉼표 [0] 7 6" xfId="6260" xr:uid="{00000000-0005-0000-0000-0000B2440000}"/>
    <cellStyle name="쉼표 [0] 7 6 2" xfId="6261" xr:uid="{00000000-0005-0000-0000-0000B3440000}"/>
    <cellStyle name="쉼표 [0] 7 6 2 2" xfId="6262" xr:uid="{00000000-0005-0000-0000-0000B4440000}"/>
    <cellStyle name="쉼표 [0] 7 6 2 3" xfId="6263" xr:uid="{00000000-0005-0000-0000-0000B5440000}"/>
    <cellStyle name="쉼표 [0] 7 6 2_뇌출혈특약(갱신형)" xfId="13144" xr:uid="{00000000-0005-0000-0000-0000B6440000}"/>
    <cellStyle name="쉼표 [0] 7 6 3" xfId="6264" xr:uid="{00000000-0005-0000-0000-0000B7440000}"/>
    <cellStyle name="쉼표 [0] 7 6 4" xfId="6265" xr:uid="{00000000-0005-0000-0000-0000B8440000}"/>
    <cellStyle name="쉼표 [0] 7 6_뇌출혈특약(갱신형)" xfId="13145" xr:uid="{00000000-0005-0000-0000-0000B9440000}"/>
    <cellStyle name="쉼표 [0] 7 7" xfId="6266" xr:uid="{00000000-0005-0000-0000-0000BA440000}"/>
    <cellStyle name="쉼표 [0] 7 7 2" xfId="6267" xr:uid="{00000000-0005-0000-0000-0000BB440000}"/>
    <cellStyle name="쉼표 [0] 7 7 3" xfId="6268" xr:uid="{00000000-0005-0000-0000-0000BC440000}"/>
    <cellStyle name="쉼표 [0] 7 7_뇌출혈특약(갱신형)" xfId="13146" xr:uid="{00000000-0005-0000-0000-0000BD440000}"/>
    <cellStyle name="쉼표 [0] 7 8" xfId="6269" xr:uid="{00000000-0005-0000-0000-0000BE440000}"/>
    <cellStyle name="쉼표 [0] 7 8 2" xfId="6270" xr:uid="{00000000-0005-0000-0000-0000BF440000}"/>
    <cellStyle name="쉼표 [0] 7 8 3" xfId="6271" xr:uid="{00000000-0005-0000-0000-0000C0440000}"/>
    <cellStyle name="쉼표 [0] 7 8_뇌출혈특약(갱신형)" xfId="13147" xr:uid="{00000000-0005-0000-0000-0000C1440000}"/>
    <cellStyle name="쉼표 [0] 7 9" xfId="6272" xr:uid="{00000000-0005-0000-0000-0000C2440000}"/>
    <cellStyle name="쉼표 [0] 7 9 2" xfId="6273" xr:uid="{00000000-0005-0000-0000-0000C3440000}"/>
    <cellStyle name="쉼표 [0] 7 9 3" xfId="6274" xr:uid="{00000000-0005-0000-0000-0000C4440000}"/>
    <cellStyle name="쉼표 [0] 7 9_뇌출혈특약(갱신형)" xfId="13148" xr:uid="{00000000-0005-0000-0000-0000C5440000}"/>
    <cellStyle name="쉼표 [0] 7_뇌출혈특약(갱신형)" xfId="13149" xr:uid="{00000000-0005-0000-0000-0000C6440000}"/>
    <cellStyle name="쉼표 [0] 8" xfId="31" xr:uid="{00000000-0005-0000-0000-0000C7440000}"/>
    <cellStyle name="쉼표 [0] 8 10" xfId="6275" xr:uid="{00000000-0005-0000-0000-0000C8440000}"/>
    <cellStyle name="쉼표 [0] 8 10 2" xfId="6276" xr:uid="{00000000-0005-0000-0000-0000C9440000}"/>
    <cellStyle name="쉼표 [0] 8 10 3" xfId="6277" xr:uid="{00000000-0005-0000-0000-0000CA440000}"/>
    <cellStyle name="쉼표 [0] 8 10_뇌출혈특약(갱신형)" xfId="13150" xr:uid="{00000000-0005-0000-0000-0000CB440000}"/>
    <cellStyle name="쉼표 [0] 8 11" xfId="6278" xr:uid="{00000000-0005-0000-0000-0000CC440000}"/>
    <cellStyle name="쉼표 [0] 8 11 2" xfId="6279" xr:uid="{00000000-0005-0000-0000-0000CD440000}"/>
    <cellStyle name="쉼표 [0] 8 11_뇌출혈특약(갱신형)" xfId="13151" xr:uid="{00000000-0005-0000-0000-0000CE440000}"/>
    <cellStyle name="쉼표 [0] 8 12" xfId="6280" xr:uid="{00000000-0005-0000-0000-0000CF440000}"/>
    <cellStyle name="쉼표 [0] 8 12 2" xfId="6281" xr:uid="{00000000-0005-0000-0000-0000D0440000}"/>
    <cellStyle name="쉼표 [0] 8 12_뇌출혈특약(갱신형)" xfId="13152" xr:uid="{00000000-0005-0000-0000-0000D1440000}"/>
    <cellStyle name="쉼표 [0] 8 13" xfId="6282" xr:uid="{00000000-0005-0000-0000-0000D2440000}"/>
    <cellStyle name="쉼표 [0] 8 13 2" xfId="6283" xr:uid="{00000000-0005-0000-0000-0000D3440000}"/>
    <cellStyle name="쉼표 [0] 8 13_뇌출혈특약(갱신형)" xfId="13153" xr:uid="{00000000-0005-0000-0000-0000D4440000}"/>
    <cellStyle name="쉼표 [0] 8 14" xfId="6284" xr:uid="{00000000-0005-0000-0000-0000D5440000}"/>
    <cellStyle name="쉼표 [0] 8 14 2" xfId="6285" xr:uid="{00000000-0005-0000-0000-0000D6440000}"/>
    <cellStyle name="쉼표 [0] 8 14_뇌출혈특약(갱신형)" xfId="13154" xr:uid="{00000000-0005-0000-0000-0000D7440000}"/>
    <cellStyle name="쉼표 [0] 8 15" xfId="6286" xr:uid="{00000000-0005-0000-0000-0000D8440000}"/>
    <cellStyle name="쉼표 [0] 8 16" xfId="6287" xr:uid="{00000000-0005-0000-0000-0000D9440000}"/>
    <cellStyle name="쉼표 [0] 8 2" xfId="6288" xr:uid="{00000000-0005-0000-0000-0000DA440000}"/>
    <cellStyle name="쉼표 [0] 8 2 2" xfId="6289" xr:uid="{00000000-0005-0000-0000-0000DB440000}"/>
    <cellStyle name="쉼표 [0] 8 2 2 2" xfId="6290" xr:uid="{00000000-0005-0000-0000-0000DC440000}"/>
    <cellStyle name="쉼표 [0] 8 2 2 2 2" xfId="6291" xr:uid="{00000000-0005-0000-0000-0000DD440000}"/>
    <cellStyle name="쉼표 [0] 8 2 2 2 2 2" xfId="6292" xr:uid="{00000000-0005-0000-0000-0000DE440000}"/>
    <cellStyle name="쉼표 [0] 8 2 2 2 2 3" xfId="6293" xr:uid="{00000000-0005-0000-0000-0000DF440000}"/>
    <cellStyle name="쉼표 [0] 8 2 2 2 2_뇌출혈특약(갱신형)" xfId="13155" xr:uid="{00000000-0005-0000-0000-0000E0440000}"/>
    <cellStyle name="쉼표 [0] 8 2 2 2 3" xfId="6294" xr:uid="{00000000-0005-0000-0000-0000E1440000}"/>
    <cellStyle name="쉼표 [0] 8 2 2 2 4" xfId="6295" xr:uid="{00000000-0005-0000-0000-0000E2440000}"/>
    <cellStyle name="쉼표 [0] 8 2 2 2_뇌출혈특약(갱신형)" xfId="13156" xr:uid="{00000000-0005-0000-0000-0000E3440000}"/>
    <cellStyle name="쉼표 [0] 8 2 2 3" xfId="6296" xr:uid="{00000000-0005-0000-0000-0000E4440000}"/>
    <cellStyle name="쉼표 [0] 8 2 2 3 2" xfId="6297" xr:uid="{00000000-0005-0000-0000-0000E5440000}"/>
    <cellStyle name="쉼표 [0] 8 2 2 3 2 2" xfId="6298" xr:uid="{00000000-0005-0000-0000-0000E6440000}"/>
    <cellStyle name="쉼표 [0] 8 2 2 3 2 3" xfId="6299" xr:uid="{00000000-0005-0000-0000-0000E7440000}"/>
    <cellStyle name="쉼표 [0] 8 2 2 3 2_뇌출혈특약(갱신형)" xfId="13157" xr:uid="{00000000-0005-0000-0000-0000E8440000}"/>
    <cellStyle name="쉼표 [0] 8 2 2 3 3" xfId="6300" xr:uid="{00000000-0005-0000-0000-0000E9440000}"/>
    <cellStyle name="쉼표 [0] 8 2 2 3 4" xfId="6301" xr:uid="{00000000-0005-0000-0000-0000EA440000}"/>
    <cellStyle name="쉼표 [0] 8 2 2 3_뇌출혈특약(갱신형)" xfId="13158" xr:uid="{00000000-0005-0000-0000-0000EB440000}"/>
    <cellStyle name="쉼표 [0] 8 2 2 4" xfId="6302" xr:uid="{00000000-0005-0000-0000-0000EC440000}"/>
    <cellStyle name="쉼표 [0] 8 2 2 4 2" xfId="6303" xr:uid="{00000000-0005-0000-0000-0000ED440000}"/>
    <cellStyle name="쉼표 [0] 8 2 2 4 3" xfId="6304" xr:uid="{00000000-0005-0000-0000-0000EE440000}"/>
    <cellStyle name="쉼표 [0] 8 2 2 4_뇌출혈특약(갱신형)" xfId="13159" xr:uid="{00000000-0005-0000-0000-0000EF440000}"/>
    <cellStyle name="쉼표 [0] 8 2 2 5" xfId="6305" xr:uid="{00000000-0005-0000-0000-0000F0440000}"/>
    <cellStyle name="쉼표 [0] 8 2 2 5 2" xfId="6306" xr:uid="{00000000-0005-0000-0000-0000F1440000}"/>
    <cellStyle name="쉼표 [0] 8 2 2 5 3" xfId="6307" xr:uid="{00000000-0005-0000-0000-0000F2440000}"/>
    <cellStyle name="쉼표 [0] 8 2 2 5_뇌출혈특약(갱신형)" xfId="13160" xr:uid="{00000000-0005-0000-0000-0000F3440000}"/>
    <cellStyle name="쉼표 [0] 8 2 2 6" xfId="6308" xr:uid="{00000000-0005-0000-0000-0000F4440000}"/>
    <cellStyle name="쉼표 [0] 8 2 2 7" xfId="6309" xr:uid="{00000000-0005-0000-0000-0000F5440000}"/>
    <cellStyle name="쉼표 [0] 8 2 2_뇌출혈특약(갱신형)" xfId="13161" xr:uid="{00000000-0005-0000-0000-0000F6440000}"/>
    <cellStyle name="쉼표 [0] 8 2 3" xfId="6310" xr:uid="{00000000-0005-0000-0000-0000F7440000}"/>
    <cellStyle name="쉼표 [0] 8 2 3 2" xfId="6311" xr:uid="{00000000-0005-0000-0000-0000F8440000}"/>
    <cellStyle name="쉼표 [0] 8 2 3 2 2" xfId="6312" xr:uid="{00000000-0005-0000-0000-0000F9440000}"/>
    <cellStyle name="쉼표 [0] 8 2 3 2 3" xfId="6313" xr:uid="{00000000-0005-0000-0000-0000FA440000}"/>
    <cellStyle name="쉼표 [0] 8 2 3 2_뇌출혈특약(갱신형)" xfId="13162" xr:uid="{00000000-0005-0000-0000-0000FB440000}"/>
    <cellStyle name="쉼표 [0] 8 2 3 3" xfId="6314" xr:uid="{00000000-0005-0000-0000-0000FC440000}"/>
    <cellStyle name="쉼표 [0] 8 2 3 4" xfId="6315" xr:uid="{00000000-0005-0000-0000-0000FD440000}"/>
    <cellStyle name="쉼표 [0] 8 2 3_뇌출혈특약(갱신형)" xfId="13163" xr:uid="{00000000-0005-0000-0000-0000FE440000}"/>
    <cellStyle name="쉼표 [0] 8 2 4" xfId="6316" xr:uid="{00000000-0005-0000-0000-0000FF440000}"/>
    <cellStyle name="쉼표 [0] 8 2 4 2" xfId="6317" xr:uid="{00000000-0005-0000-0000-000000450000}"/>
    <cellStyle name="쉼표 [0] 8 2 4 2 2" xfId="6318" xr:uid="{00000000-0005-0000-0000-000001450000}"/>
    <cellStyle name="쉼표 [0] 8 2 4 2 3" xfId="6319" xr:uid="{00000000-0005-0000-0000-000002450000}"/>
    <cellStyle name="쉼표 [0] 8 2 4 2_뇌출혈특약(갱신형)" xfId="13164" xr:uid="{00000000-0005-0000-0000-000003450000}"/>
    <cellStyle name="쉼표 [0] 8 2 4 3" xfId="6320" xr:uid="{00000000-0005-0000-0000-000004450000}"/>
    <cellStyle name="쉼표 [0] 8 2 4 4" xfId="6321" xr:uid="{00000000-0005-0000-0000-000005450000}"/>
    <cellStyle name="쉼표 [0] 8 2 4_뇌출혈특약(갱신형)" xfId="13165" xr:uid="{00000000-0005-0000-0000-000006450000}"/>
    <cellStyle name="쉼표 [0] 8 2 5" xfId="6322" xr:uid="{00000000-0005-0000-0000-000007450000}"/>
    <cellStyle name="쉼표 [0] 8 2 5 2" xfId="6323" xr:uid="{00000000-0005-0000-0000-000008450000}"/>
    <cellStyle name="쉼표 [0] 8 2 5 3" xfId="6324" xr:uid="{00000000-0005-0000-0000-000009450000}"/>
    <cellStyle name="쉼표 [0] 8 2 5_뇌출혈특약(갱신형)" xfId="13166" xr:uid="{00000000-0005-0000-0000-00000A450000}"/>
    <cellStyle name="쉼표 [0] 8 2 6" xfId="6325" xr:uid="{00000000-0005-0000-0000-00000B450000}"/>
    <cellStyle name="쉼표 [0] 8 2 6 2" xfId="6326" xr:uid="{00000000-0005-0000-0000-00000C450000}"/>
    <cellStyle name="쉼표 [0] 8 2 6 3" xfId="6327" xr:uid="{00000000-0005-0000-0000-00000D450000}"/>
    <cellStyle name="쉼표 [0] 8 2 6_뇌출혈특약(갱신형)" xfId="13167" xr:uid="{00000000-0005-0000-0000-00000E450000}"/>
    <cellStyle name="쉼표 [0] 8 2 7" xfId="6328" xr:uid="{00000000-0005-0000-0000-00000F450000}"/>
    <cellStyle name="쉼표 [0] 8 2 8" xfId="6329" xr:uid="{00000000-0005-0000-0000-000010450000}"/>
    <cellStyle name="쉼표 [0] 8 2_뇌출혈특약(갱신형)" xfId="13168" xr:uid="{00000000-0005-0000-0000-000011450000}"/>
    <cellStyle name="쉼표 [0] 8 3" xfId="6330" xr:uid="{00000000-0005-0000-0000-000012450000}"/>
    <cellStyle name="쉼표 [0] 8 3 2" xfId="6331" xr:uid="{00000000-0005-0000-0000-000013450000}"/>
    <cellStyle name="쉼표 [0] 8 3 2 2" xfId="6332" xr:uid="{00000000-0005-0000-0000-000014450000}"/>
    <cellStyle name="쉼표 [0] 8 3 2 2 2" xfId="6333" xr:uid="{00000000-0005-0000-0000-000015450000}"/>
    <cellStyle name="쉼표 [0] 8 3 2 2 3" xfId="6334" xr:uid="{00000000-0005-0000-0000-000016450000}"/>
    <cellStyle name="쉼표 [0] 8 3 2 2_뇌출혈특약(갱신형)" xfId="13169" xr:uid="{00000000-0005-0000-0000-000017450000}"/>
    <cellStyle name="쉼표 [0] 8 3 2 3" xfId="6335" xr:uid="{00000000-0005-0000-0000-000018450000}"/>
    <cellStyle name="쉼표 [0] 8 3 2 4" xfId="6336" xr:uid="{00000000-0005-0000-0000-000019450000}"/>
    <cellStyle name="쉼표 [0] 8 3 2_뇌출혈특약(갱신형)" xfId="13170" xr:uid="{00000000-0005-0000-0000-00001A450000}"/>
    <cellStyle name="쉼표 [0] 8 3 3" xfId="6337" xr:uid="{00000000-0005-0000-0000-00001B450000}"/>
    <cellStyle name="쉼표 [0] 8 3 3 2" xfId="6338" xr:uid="{00000000-0005-0000-0000-00001C450000}"/>
    <cellStyle name="쉼표 [0] 8 3 3 2 2" xfId="6339" xr:uid="{00000000-0005-0000-0000-00001D450000}"/>
    <cellStyle name="쉼표 [0] 8 3 3 2 3" xfId="6340" xr:uid="{00000000-0005-0000-0000-00001E450000}"/>
    <cellStyle name="쉼표 [0] 8 3 3 2_뇌출혈특약(갱신형)" xfId="13171" xr:uid="{00000000-0005-0000-0000-00001F450000}"/>
    <cellStyle name="쉼표 [0] 8 3 3 3" xfId="6341" xr:uid="{00000000-0005-0000-0000-000020450000}"/>
    <cellStyle name="쉼표 [0] 8 3 3 4" xfId="6342" xr:uid="{00000000-0005-0000-0000-000021450000}"/>
    <cellStyle name="쉼표 [0] 8 3 3_뇌출혈특약(갱신형)" xfId="13172" xr:uid="{00000000-0005-0000-0000-000022450000}"/>
    <cellStyle name="쉼표 [0] 8 3 4" xfId="6343" xr:uid="{00000000-0005-0000-0000-000023450000}"/>
    <cellStyle name="쉼표 [0] 8 3 4 2" xfId="6344" xr:uid="{00000000-0005-0000-0000-000024450000}"/>
    <cellStyle name="쉼표 [0] 8 3 4 3" xfId="6345" xr:uid="{00000000-0005-0000-0000-000025450000}"/>
    <cellStyle name="쉼표 [0] 8 3 4_뇌출혈특약(갱신형)" xfId="13173" xr:uid="{00000000-0005-0000-0000-000026450000}"/>
    <cellStyle name="쉼표 [0] 8 3 5" xfId="6346" xr:uid="{00000000-0005-0000-0000-000027450000}"/>
    <cellStyle name="쉼표 [0] 8 3 5 2" xfId="6347" xr:uid="{00000000-0005-0000-0000-000028450000}"/>
    <cellStyle name="쉼표 [0] 8 3 5 3" xfId="6348" xr:uid="{00000000-0005-0000-0000-000029450000}"/>
    <cellStyle name="쉼표 [0] 8 3 5_뇌출혈특약(갱신형)" xfId="13174" xr:uid="{00000000-0005-0000-0000-00002A450000}"/>
    <cellStyle name="쉼표 [0] 8 3 6" xfId="6349" xr:uid="{00000000-0005-0000-0000-00002B450000}"/>
    <cellStyle name="쉼표 [0] 8 3 7" xfId="6350" xr:uid="{00000000-0005-0000-0000-00002C450000}"/>
    <cellStyle name="쉼표 [0] 8 3_뇌출혈특약(갱신형)" xfId="13175" xr:uid="{00000000-0005-0000-0000-00002D450000}"/>
    <cellStyle name="쉼표 [0] 8 4" xfId="6351" xr:uid="{00000000-0005-0000-0000-00002E450000}"/>
    <cellStyle name="쉼표 [0] 8 4 2" xfId="6352" xr:uid="{00000000-0005-0000-0000-00002F450000}"/>
    <cellStyle name="쉼표 [0] 8 4 2 2" xfId="6353" xr:uid="{00000000-0005-0000-0000-000030450000}"/>
    <cellStyle name="쉼표 [0] 8 4 2 2 2" xfId="6354" xr:uid="{00000000-0005-0000-0000-000031450000}"/>
    <cellStyle name="쉼표 [0] 8 4 2 2 3" xfId="6355" xr:uid="{00000000-0005-0000-0000-000032450000}"/>
    <cellStyle name="쉼표 [0] 8 4 2 2_뇌출혈특약(갱신형)" xfId="13176" xr:uid="{00000000-0005-0000-0000-000033450000}"/>
    <cellStyle name="쉼표 [0] 8 4 2 3" xfId="6356" xr:uid="{00000000-0005-0000-0000-000034450000}"/>
    <cellStyle name="쉼표 [0] 8 4 2 4" xfId="6357" xr:uid="{00000000-0005-0000-0000-000035450000}"/>
    <cellStyle name="쉼표 [0] 8 4 2_뇌출혈특약(갱신형)" xfId="13177" xr:uid="{00000000-0005-0000-0000-000036450000}"/>
    <cellStyle name="쉼표 [0] 8 4 3" xfId="6358" xr:uid="{00000000-0005-0000-0000-000037450000}"/>
    <cellStyle name="쉼표 [0] 8 4 3 2" xfId="6359" xr:uid="{00000000-0005-0000-0000-000038450000}"/>
    <cellStyle name="쉼표 [0] 8 4 3 2 2" xfId="6360" xr:uid="{00000000-0005-0000-0000-000039450000}"/>
    <cellStyle name="쉼표 [0] 8 4 3 2 3" xfId="6361" xr:uid="{00000000-0005-0000-0000-00003A450000}"/>
    <cellStyle name="쉼표 [0] 8 4 3 2_뇌출혈특약(갱신형)" xfId="13178" xr:uid="{00000000-0005-0000-0000-00003B450000}"/>
    <cellStyle name="쉼표 [0] 8 4 3 3" xfId="6362" xr:uid="{00000000-0005-0000-0000-00003C450000}"/>
    <cellStyle name="쉼표 [0] 8 4 3 4" xfId="6363" xr:uid="{00000000-0005-0000-0000-00003D450000}"/>
    <cellStyle name="쉼표 [0] 8 4 3_뇌출혈특약(갱신형)" xfId="13179" xr:uid="{00000000-0005-0000-0000-00003E450000}"/>
    <cellStyle name="쉼표 [0] 8 4 4" xfId="6364" xr:uid="{00000000-0005-0000-0000-00003F450000}"/>
    <cellStyle name="쉼표 [0] 8 4 4 2" xfId="6365" xr:uid="{00000000-0005-0000-0000-000040450000}"/>
    <cellStyle name="쉼표 [0] 8 4 4 3" xfId="6366" xr:uid="{00000000-0005-0000-0000-000041450000}"/>
    <cellStyle name="쉼표 [0] 8 4 4_뇌출혈특약(갱신형)" xfId="13180" xr:uid="{00000000-0005-0000-0000-000042450000}"/>
    <cellStyle name="쉼표 [0] 8 4 5" xfId="6367" xr:uid="{00000000-0005-0000-0000-000043450000}"/>
    <cellStyle name="쉼표 [0] 8 4 5 2" xfId="6368" xr:uid="{00000000-0005-0000-0000-000044450000}"/>
    <cellStyle name="쉼표 [0] 8 4 5 3" xfId="6369" xr:uid="{00000000-0005-0000-0000-000045450000}"/>
    <cellStyle name="쉼표 [0] 8 4 5_뇌출혈특약(갱신형)" xfId="13181" xr:uid="{00000000-0005-0000-0000-000046450000}"/>
    <cellStyle name="쉼표 [0] 8 4 6" xfId="6370" xr:uid="{00000000-0005-0000-0000-000047450000}"/>
    <cellStyle name="쉼표 [0] 8 4 7" xfId="6371" xr:uid="{00000000-0005-0000-0000-000048450000}"/>
    <cellStyle name="쉼표 [0] 8 4_뇌출혈특약(갱신형)" xfId="13182" xr:uid="{00000000-0005-0000-0000-000049450000}"/>
    <cellStyle name="쉼표 [0] 8 5" xfId="6372" xr:uid="{00000000-0005-0000-0000-00004A450000}"/>
    <cellStyle name="쉼표 [0] 8 5 2" xfId="6373" xr:uid="{00000000-0005-0000-0000-00004B450000}"/>
    <cellStyle name="쉼표 [0] 8 5 2 2" xfId="6374" xr:uid="{00000000-0005-0000-0000-00004C450000}"/>
    <cellStyle name="쉼표 [0] 8 5 2 3" xfId="6375" xr:uid="{00000000-0005-0000-0000-00004D450000}"/>
    <cellStyle name="쉼표 [0] 8 5 2_뇌출혈특약(갱신형)" xfId="13183" xr:uid="{00000000-0005-0000-0000-00004E450000}"/>
    <cellStyle name="쉼표 [0] 8 5 3" xfId="6376" xr:uid="{00000000-0005-0000-0000-00004F450000}"/>
    <cellStyle name="쉼표 [0] 8 5 4" xfId="6377" xr:uid="{00000000-0005-0000-0000-000050450000}"/>
    <cellStyle name="쉼표 [0] 8 5_뇌출혈특약(갱신형)" xfId="13184" xr:uid="{00000000-0005-0000-0000-000051450000}"/>
    <cellStyle name="쉼표 [0] 8 6" xfId="6378" xr:uid="{00000000-0005-0000-0000-000052450000}"/>
    <cellStyle name="쉼표 [0] 8 6 2" xfId="6379" xr:uid="{00000000-0005-0000-0000-000053450000}"/>
    <cellStyle name="쉼표 [0] 8 6 2 2" xfId="6380" xr:uid="{00000000-0005-0000-0000-000054450000}"/>
    <cellStyle name="쉼표 [0] 8 6 2 3" xfId="6381" xr:uid="{00000000-0005-0000-0000-000055450000}"/>
    <cellStyle name="쉼표 [0] 8 6 2_뇌출혈특약(갱신형)" xfId="13185" xr:uid="{00000000-0005-0000-0000-000056450000}"/>
    <cellStyle name="쉼표 [0] 8 6 3" xfId="6382" xr:uid="{00000000-0005-0000-0000-000057450000}"/>
    <cellStyle name="쉼표 [0] 8 6 4" xfId="6383" xr:uid="{00000000-0005-0000-0000-000058450000}"/>
    <cellStyle name="쉼표 [0] 8 6_뇌출혈특약(갱신형)" xfId="13186" xr:uid="{00000000-0005-0000-0000-000059450000}"/>
    <cellStyle name="쉼표 [0] 8 7" xfId="6384" xr:uid="{00000000-0005-0000-0000-00005A450000}"/>
    <cellStyle name="쉼표 [0] 8 7 2" xfId="6385" xr:uid="{00000000-0005-0000-0000-00005B450000}"/>
    <cellStyle name="쉼표 [0] 8 7 3" xfId="6386" xr:uid="{00000000-0005-0000-0000-00005C450000}"/>
    <cellStyle name="쉼표 [0] 8 7_뇌출혈특약(갱신형)" xfId="13187" xr:uid="{00000000-0005-0000-0000-00005D450000}"/>
    <cellStyle name="쉼표 [0] 8 8" xfId="6387" xr:uid="{00000000-0005-0000-0000-00005E450000}"/>
    <cellStyle name="쉼표 [0] 8 8 2" xfId="6388" xr:uid="{00000000-0005-0000-0000-00005F450000}"/>
    <cellStyle name="쉼표 [0] 8 8 3" xfId="6389" xr:uid="{00000000-0005-0000-0000-000060450000}"/>
    <cellStyle name="쉼표 [0] 8 8_뇌출혈특약(갱신형)" xfId="13188" xr:uid="{00000000-0005-0000-0000-000061450000}"/>
    <cellStyle name="쉼표 [0] 8 9" xfId="6390" xr:uid="{00000000-0005-0000-0000-000062450000}"/>
    <cellStyle name="쉼표 [0] 8 9 2" xfId="6391" xr:uid="{00000000-0005-0000-0000-000063450000}"/>
    <cellStyle name="쉼표 [0] 8 9 3" xfId="6392" xr:uid="{00000000-0005-0000-0000-000064450000}"/>
    <cellStyle name="쉼표 [0] 8 9_뇌출혈특약(갱신형)" xfId="13189" xr:uid="{00000000-0005-0000-0000-000065450000}"/>
    <cellStyle name="쉼표 [0] 8_뇌출혈특약(갱신형)" xfId="13190" xr:uid="{00000000-0005-0000-0000-000066450000}"/>
    <cellStyle name="쉼표 [0] 9" xfId="32" xr:uid="{00000000-0005-0000-0000-000067450000}"/>
    <cellStyle name="쉼표 [0] 9 10" xfId="6393" xr:uid="{00000000-0005-0000-0000-000068450000}"/>
    <cellStyle name="쉼표 [0] 9 10 2" xfId="6394" xr:uid="{00000000-0005-0000-0000-000069450000}"/>
    <cellStyle name="쉼표 [0] 9 10 3" xfId="6395" xr:uid="{00000000-0005-0000-0000-00006A450000}"/>
    <cellStyle name="쉼표 [0] 9 10_뇌출혈특약(갱신형)" xfId="13191" xr:uid="{00000000-0005-0000-0000-00006B450000}"/>
    <cellStyle name="쉼표 [0] 9 11" xfId="6396" xr:uid="{00000000-0005-0000-0000-00006C450000}"/>
    <cellStyle name="쉼표 [0] 9 11 2" xfId="6397" xr:uid="{00000000-0005-0000-0000-00006D450000}"/>
    <cellStyle name="쉼표 [0] 9 11_뇌출혈특약(갱신형)" xfId="13192" xr:uid="{00000000-0005-0000-0000-00006E450000}"/>
    <cellStyle name="쉼표 [0] 9 12" xfId="6398" xr:uid="{00000000-0005-0000-0000-00006F450000}"/>
    <cellStyle name="쉼표 [0] 9 12 2" xfId="6399" xr:uid="{00000000-0005-0000-0000-000070450000}"/>
    <cellStyle name="쉼표 [0] 9 12_뇌출혈특약(갱신형)" xfId="13193" xr:uid="{00000000-0005-0000-0000-000071450000}"/>
    <cellStyle name="쉼표 [0] 9 13" xfId="6400" xr:uid="{00000000-0005-0000-0000-000072450000}"/>
    <cellStyle name="쉼표 [0] 9 13 2" xfId="6401" xr:uid="{00000000-0005-0000-0000-000073450000}"/>
    <cellStyle name="쉼표 [0] 9 13_뇌출혈특약(갱신형)" xfId="13194" xr:uid="{00000000-0005-0000-0000-000074450000}"/>
    <cellStyle name="쉼표 [0] 9 14" xfId="6402" xr:uid="{00000000-0005-0000-0000-000075450000}"/>
    <cellStyle name="쉼표 [0] 9 14 2" xfId="6403" xr:uid="{00000000-0005-0000-0000-000076450000}"/>
    <cellStyle name="쉼표 [0] 9 14_뇌출혈특약(갱신형)" xfId="13195" xr:uid="{00000000-0005-0000-0000-000077450000}"/>
    <cellStyle name="쉼표 [0] 9 15" xfId="6404" xr:uid="{00000000-0005-0000-0000-000078450000}"/>
    <cellStyle name="쉼표 [0] 9 16" xfId="6405" xr:uid="{00000000-0005-0000-0000-000079450000}"/>
    <cellStyle name="쉼표 [0] 9 2" xfId="6406" xr:uid="{00000000-0005-0000-0000-00007A450000}"/>
    <cellStyle name="쉼표 [0] 9 2 2" xfId="6407" xr:uid="{00000000-0005-0000-0000-00007B450000}"/>
    <cellStyle name="쉼표 [0] 9 2 2 2" xfId="6408" xr:uid="{00000000-0005-0000-0000-00007C450000}"/>
    <cellStyle name="쉼표 [0] 9 2 2 2 2" xfId="6409" xr:uid="{00000000-0005-0000-0000-00007D450000}"/>
    <cellStyle name="쉼표 [0] 9 2 2 2 2 2" xfId="6410" xr:uid="{00000000-0005-0000-0000-00007E450000}"/>
    <cellStyle name="쉼표 [0] 9 2 2 2 2 3" xfId="6411" xr:uid="{00000000-0005-0000-0000-00007F450000}"/>
    <cellStyle name="쉼표 [0] 9 2 2 2 2_뇌출혈특약(갱신형)" xfId="13196" xr:uid="{00000000-0005-0000-0000-000080450000}"/>
    <cellStyle name="쉼표 [0] 9 2 2 2 3" xfId="6412" xr:uid="{00000000-0005-0000-0000-000081450000}"/>
    <cellStyle name="쉼표 [0] 9 2 2 2 4" xfId="6413" xr:uid="{00000000-0005-0000-0000-000082450000}"/>
    <cellStyle name="쉼표 [0] 9 2 2 2_뇌출혈특약(갱신형)" xfId="13197" xr:uid="{00000000-0005-0000-0000-000083450000}"/>
    <cellStyle name="쉼표 [0] 9 2 2 3" xfId="6414" xr:uid="{00000000-0005-0000-0000-000084450000}"/>
    <cellStyle name="쉼표 [0] 9 2 2 3 2" xfId="6415" xr:uid="{00000000-0005-0000-0000-000085450000}"/>
    <cellStyle name="쉼표 [0] 9 2 2 3 2 2" xfId="6416" xr:uid="{00000000-0005-0000-0000-000086450000}"/>
    <cellStyle name="쉼표 [0] 9 2 2 3 2 3" xfId="6417" xr:uid="{00000000-0005-0000-0000-000087450000}"/>
    <cellStyle name="쉼표 [0] 9 2 2 3 2_뇌출혈특약(갱신형)" xfId="13198" xr:uid="{00000000-0005-0000-0000-000088450000}"/>
    <cellStyle name="쉼표 [0] 9 2 2 3 3" xfId="6418" xr:uid="{00000000-0005-0000-0000-000089450000}"/>
    <cellStyle name="쉼표 [0] 9 2 2 3 4" xfId="6419" xr:uid="{00000000-0005-0000-0000-00008A450000}"/>
    <cellStyle name="쉼표 [0] 9 2 2 3_뇌출혈특약(갱신형)" xfId="13199" xr:uid="{00000000-0005-0000-0000-00008B450000}"/>
    <cellStyle name="쉼표 [0] 9 2 2 4" xfId="6420" xr:uid="{00000000-0005-0000-0000-00008C450000}"/>
    <cellStyle name="쉼표 [0] 9 2 2 4 2" xfId="6421" xr:uid="{00000000-0005-0000-0000-00008D450000}"/>
    <cellStyle name="쉼표 [0] 9 2 2 4 3" xfId="6422" xr:uid="{00000000-0005-0000-0000-00008E450000}"/>
    <cellStyle name="쉼표 [0] 9 2 2 4_뇌출혈특약(갱신형)" xfId="13200" xr:uid="{00000000-0005-0000-0000-00008F450000}"/>
    <cellStyle name="쉼표 [0] 9 2 2 5" xfId="6423" xr:uid="{00000000-0005-0000-0000-000090450000}"/>
    <cellStyle name="쉼표 [0] 9 2 2 5 2" xfId="6424" xr:uid="{00000000-0005-0000-0000-000091450000}"/>
    <cellStyle name="쉼표 [0] 9 2 2 5 3" xfId="6425" xr:uid="{00000000-0005-0000-0000-000092450000}"/>
    <cellStyle name="쉼표 [0] 9 2 2 5_뇌출혈특약(갱신형)" xfId="13201" xr:uid="{00000000-0005-0000-0000-000093450000}"/>
    <cellStyle name="쉼표 [0] 9 2 2 6" xfId="6426" xr:uid="{00000000-0005-0000-0000-000094450000}"/>
    <cellStyle name="쉼표 [0] 9 2 2 7" xfId="6427" xr:uid="{00000000-0005-0000-0000-000095450000}"/>
    <cellStyle name="쉼표 [0] 9 2 2_뇌출혈특약(갱신형)" xfId="13202" xr:uid="{00000000-0005-0000-0000-000096450000}"/>
    <cellStyle name="쉼표 [0] 9 2 3" xfId="6428" xr:uid="{00000000-0005-0000-0000-000097450000}"/>
    <cellStyle name="쉼표 [0] 9 2 3 2" xfId="6429" xr:uid="{00000000-0005-0000-0000-000098450000}"/>
    <cellStyle name="쉼표 [0] 9 2 3 2 2" xfId="6430" xr:uid="{00000000-0005-0000-0000-000099450000}"/>
    <cellStyle name="쉼표 [0] 9 2 3 2 3" xfId="6431" xr:uid="{00000000-0005-0000-0000-00009A450000}"/>
    <cellStyle name="쉼표 [0] 9 2 3 2_뇌출혈특약(갱신형)" xfId="13203" xr:uid="{00000000-0005-0000-0000-00009B450000}"/>
    <cellStyle name="쉼표 [0] 9 2 3 3" xfId="6432" xr:uid="{00000000-0005-0000-0000-00009C450000}"/>
    <cellStyle name="쉼표 [0] 9 2 3 4" xfId="6433" xr:uid="{00000000-0005-0000-0000-00009D450000}"/>
    <cellStyle name="쉼표 [0] 9 2 3_뇌출혈특약(갱신형)" xfId="13204" xr:uid="{00000000-0005-0000-0000-00009E450000}"/>
    <cellStyle name="쉼표 [0] 9 2 4" xfId="6434" xr:uid="{00000000-0005-0000-0000-00009F450000}"/>
    <cellStyle name="쉼표 [0] 9 2 4 2" xfId="6435" xr:uid="{00000000-0005-0000-0000-0000A0450000}"/>
    <cellStyle name="쉼표 [0] 9 2 4 2 2" xfId="6436" xr:uid="{00000000-0005-0000-0000-0000A1450000}"/>
    <cellStyle name="쉼표 [0] 9 2 4 2 3" xfId="6437" xr:uid="{00000000-0005-0000-0000-0000A2450000}"/>
    <cellStyle name="쉼표 [0] 9 2 4 2_뇌출혈특약(갱신형)" xfId="13205" xr:uid="{00000000-0005-0000-0000-0000A3450000}"/>
    <cellStyle name="쉼표 [0] 9 2 4 3" xfId="6438" xr:uid="{00000000-0005-0000-0000-0000A4450000}"/>
    <cellStyle name="쉼표 [0] 9 2 4 4" xfId="6439" xr:uid="{00000000-0005-0000-0000-0000A5450000}"/>
    <cellStyle name="쉼표 [0] 9 2 4_뇌출혈특약(갱신형)" xfId="13206" xr:uid="{00000000-0005-0000-0000-0000A6450000}"/>
    <cellStyle name="쉼표 [0] 9 2 5" xfId="6440" xr:uid="{00000000-0005-0000-0000-0000A7450000}"/>
    <cellStyle name="쉼표 [0] 9 2 5 2" xfId="6441" xr:uid="{00000000-0005-0000-0000-0000A8450000}"/>
    <cellStyle name="쉼표 [0] 9 2 5 3" xfId="6442" xr:uid="{00000000-0005-0000-0000-0000A9450000}"/>
    <cellStyle name="쉼표 [0] 9 2 5_뇌출혈특약(갱신형)" xfId="13207" xr:uid="{00000000-0005-0000-0000-0000AA450000}"/>
    <cellStyle name="쉼표 [0] 9 2 6" xfId="6443" xr:uid="{00000000-0005-0000-0000-0000AB450000}"/>
    <cellStyle name="쉼표 [0] 9 2 6 2" xfId="6444" xr:uid="{00000000-0005-0000-0000-0000AC450000}"/>
    <cellStyle name="쉼표 [0] 9 2 6 3" xfId="6445" xr:uid="{00000000-0005-0000-0000-0000AD450000}"/>
    <cellStyle name="쉼표 [0] 9 2 6_뇌출혈특약(갱신형)" xfId="13208" xr:uid="{00000000-0005-0000-0000-0000AE450000}"/>
    <cellStyle name="쉼표 [0] 9 2 7" xfId="6446" xr:uid="{00000000-0005-0000-0000-0000AF450000}"/>
    <cellStyle name="쉼표 [0] 9 2 8" xfId="6447" xr:uid="{00000000-0005-0000-0000-0000B0450000}"/>
    <cellStyle name="쉼표 [0] 9 2_뇌출혈특약(갱신형)" xfId="13209" xr:uid="{00000000-0005-0000-0000-0000B1450000}"/>
    <cellStyle name="쉼표 [0] 9 3" xfId="6448" xr:uid="{00000000-0005-0000-0000-0000B2450000}"/>
    <cellStyle name="쉼표 [0] 9 3 2" xfId="6449" xr:uid="{00000000-0005-0000-0000-0000B3450000}"/>
    <cellStyle name="쉼표 [0] 9 3 2 2" xfId="6450" xr:uid="{00000000-0005-0000-0000-0000B4450000}"/>
    <cellStyle name="쉼표 [0] 9 3 2 2 2" xfId="6451" xr:uid="{00000000-0005-0000-0000-0000B5450000}"/>
    <cellStyle name="쉼표 [0] 9 3 2 2 3" xfId="6452" xr:uid="{00000000-0005-0000-0000-0000B6450000}"/>
    <cellStyle name="쉼표 [0] 9 3 2 2_뇌출혈특약(갱신형)" xfId="13210" xr:uid="{00000000-0005-0000-0000-0000B7450000}"/>
    <cellStyle name="쉼표 [0] 9 3 2 3" xfId="6453" xr:uid="{00000000-0005-0000-0000-0000B8450000}"/>
    <cellStyle name="쉼표 [0] 9 3 2 4" xfId="6454" xr:uid="{00000000-0005-0000-0000-0000B9450000}"/>
    <cellStyle name="쉼표 [0] 9 3 2_뇌출혈특약(갱신형)" xfId="13211" xr:uid="{00000000-0005-0000-0000-0000BA450000}"/>
    <cellStyle name="쉼표 [0] 9 3 3" xfId="6455" xr:uid="{00000000-0005-0000-0000-0000BB450000}"/>
    <cellStyle name="쉼표 [0] 9 3 3 2" xfId="6456" xr:uid="{00000000-0005-0000-0000-0000BC450000}"/>
    <cellStyle name="쉼표 [0] 9 3 3 2 2" xfId="6457" xr:uid="{00000000-0005-0000-0000-0000BD450000}"/>
    <cellStyle name="쉼표 [0] 9 3 3 2 3" xfId="6458" xr:uid="{00000000-0005-0000-0000-0000BE450000}"/>
    <cellStyle name="쉼표 [0] 9 3 3 2_뇌출혈특약(갱신형)" xfId="13212" xr:uid="{00000000-0005-0000-0000-0000BF450000}"/>
    <cellStyle name="쉼표 [0] 9 3 3 3" xfId="6459" xr:uid="{00000000-0005-0000-0000-0000C0450000}"/>
    <cellStyle name="쉼표 [0] 9 3 3 4" xfId="6460" xr:uid="{00000000-0005-0000-0000-0000C1450000}"/>
    <cellStyle name="쉼표 [0] 9 3 3_뇌출혈특약(갱신형)" xfId="13213" xr:uid="{00000000-0005-0000-0000-0000C2450000}"/>
    <cellStyle name="쉼표 [0] 9 3 4" xfId="6461" xr:uid="{00000000-0005-0000-0000-0000C3450000}"/>
    <cellStyle name="쉼표 [0] 9 3 4 2" xfId="6462" xr:uid="{00000000-0005-0000-0000-0000C4450000}"/>
    <cellStyle name="쉼표 [0] 9 3 4 3" xfId="6463" xr:uid="{00000000-0005-0000-0000-0000C5450000}"/>
    <cellStyle name="쉼표 [0] 9 3 4_뇌출혈특약(갱신형)" xfId="13214" xr:uid="{00000000-0005-0000-0000-0000C6450000}"/>
    <cellStyle name="쉼표 [0] 9 3 5" xfId="6464" xr:uid="{00000000-0005-0000-0000-0000C7450000}"/>
    <cellStyle name="쉼표 [0] 9 3 5 2" xfId="6465" xr:uid="{00000000-0005-0000-0000-0000C8450000}"/>
    <cellStyle name="쉼표 [0] 9 3 5 3" xfId="6466" xr:uid="{00000000-0005-0000-0000-0000C9450000}"/>
    <cellStyle name="쉼표 [0] 9 3 5_뇌출혈특약(갱신형)" xfId="13215" xr:uid="{00000000-0005-0000-0000-0000CA450000}"/>
    <cellStyle name="쉼표 [0] 9 3 6" xfId="6467" xr:uid="{00000000-0005-0000-0000-0000CB450000}"/>
    <cellStyle name="쉼표 [0] 9 3 7" xfId="6468" xr:uid="{00000000-0005-0000-0000-0000CC450000}"/>
    <cellStyle name="쉼표 [0] 9 3_뇌출혈특약(갱신형)" xfId="13216" xr:uid="{00000000-0005-0000-0000-0000CD450000}"/>
    <cellStyle name="쉼표 [0] 9 4" xfId="6469" xr:uid="{00000000-0005-0000-0000-0000CE450000}"/>
    <cellStyle name="쉼표 [0] 9 4 2" xfId="6470" xr:uid="{00000000-0005-0000-0000-0000CF450000}"/>
    <cellStyle name="쉼표 [0] 9 4 2 2" xfId="6471" xr:uid="{00000000-0005-0000-0000-0000D0450000}"/>
    <cellStyle name="쉼표 [0] 9 4 2 2 2" xfId="6472" xr:uid="{00000000-0005-0000-0000-0000D1450000}"/>
    <cellStyle name="쉼표 [0] 9 4 2 2 3" xfId="6473" xr:uid="{00000000-0005-0000-0000-0000D2450000}"/>
    <cellStyle name="쉼표 [0] 9 4 2 2_뇌출혈특약(갱신형)" xfId="13217" xr:uid="{00000000-0005-0000-0000-0000D3450000}"/>
    <cellStyle name="쉼표 [0] 9 4 2 3" xfId="6474" xr:uid="{00000000-0005-0000-0000-0000D4450000}"/>
    <cellStyle name="쉼표 [0] 9 4 2 4" xfId="6475" xr:uid="{00000000-0005-0000-0000-0000D5450000}"/>
    <cellStyle name="쉼표 [0] 9 4 2_뇌출혈특약(갱신형)" xfId="13218" xr:uid="{00000000-0005-0000-0000-0000D6450000}"/>
    <cellStyle name="쉼표 [0] 9 4 3" xfId="6476" xr:uid="{00000000-0005-0000-0000-0000D7450000}"/>
    <cellStyle name="쉼표 [0] 9 4 3 2" xfId="6477" xr:uid="{00000000-0005-0000-0000-0000D8450000}"/>
    <cellStyle name="쉼표 [0] 9 4 3 2 2" xfId="6478" xr:uid="{00000000-0005-0000-0000-0000D9450000}"/>
    <cellStyle name="쉼표 [0] 9 4 3 2 3" xfId="6479" xr:uid="{00000000-0005-0000-0000-0000DA450000}"/>
    <cellStyle name="쉼표 [0] 9 4 3 2_뇌출혈특약(갱신형)" xfId="13219" xr:uid="{00000000-0005-0000-0000-0000DB450000}"/>
    <cellStyle name="쉼표 [0] 9 4 3 3" xfId="6480" xr:uid="{00000000-0005-0000-0000-0000DC450000}"/>
    <cellStyle name="쉼표 [0] 9 4 3 4" xfId="6481" xr:uid="{00000000-0005-0000-0000-0000DD450000}"/>
    <cellStyle name="쉼표 [0] 9 4 3_뇌출혈특약(갱신형)" xfId="13220" xr:uid="{00000000-0005-0000-0000-0000DE450000}"/>
    <cellStyle name="쉼표 [0] 9 4 4" xfId="6482" xr:uid="{00000000-0005-0000-0000-0000DF450000}"/>
    <cellStyle name="쉼표 [0] 9 4 4 2" xfId="6483" xr:uid="{00000000-0005-0000-0000-0000E0450000}"/>
    <cellStyle name="쉼표 [0] 9 4 4 3" xfId="6484" xr:uid="{00000000-0005-0000-0000-0000E1450000}"/>
    <cellStyle name="쉼표 [0] 9 4 4_뇌출혈특약(갱신형)" xfId="13221" xr:uid="{00000000-0005-0000-0000-0000E2450000}"/>
    <cellStyle name="쉼표 [0] 9 4 5" xfId="6485" xr:uid="{00000000-0005-0000-0000-0000E3450000}"/>
    <cellStyle name="쉼표 [0] 9 4 5 2" xfId="6486" xr:uid="{00000000-0005-0000-0000-0000E4450000}"/>
    <cellStyle name="쉼표 [0] 9 4 5 3" xfId="6487" xr:uid="{00000000-0005-0000-0000-0000E5450000}"/>
    <cellStyle name="쉼표 [0] 9 4 5_뇌출혈특약(갱신형)" xfId="13222" xr:uid="{00000000-0005-0000-0000-0000E6450000}"/>
    <cellStyle name="쉼표 [0] 9 4 6" xfId="6488" xr:uid="{00000000-0005-0000-0000-0000E7450000}"/>
    <cellStyle name="쉼표 [0] 9 4 7" xfId="6489" xr:uid="{00000000-0005-0000-0000-0000E8450000}"/>
    <cellStyle name="쉼표 [0] 9 4_뇌출혈특약(갱신형)" xfId="13223" xr:uid="{00000000-0005-0000-0000-0000E9450000}"/>
    <cellStyle name="쉼표 [0] 9 5" xfId="6490" xr:uid="{00000000-0005-0000-0000-0000EA450000}"/>
    <cellStyle name="쉼표 [0] 9 5 2" xfId="6491" xr:uid="{00000000-0005-0000-0000-0000EB450000}"/>
    <cellStyle name="쉼표 [0] 9 5 2 2" xfId="6492" xr:uid="{00000000-0005-0000-0000-0000EC450000}"/>
    <cellStyle name="쉼표 [0] 9 5 2 3" xfId="6493" xr:uid="{00000000-0005-0000-0000-0000ED450000}"/>
    <cellStyle name="쉼표 [0] 9 5 2_뇌출혈특약(갱신형)" xfId="13224" xr:uid="{00000000-0005-0000-0000-0000EE450000}"/>
    <cellStyle name="쉼표 [0] 9 5 3" xfId="6494" xr:uid="{00000000-0005-0000-0000-0000EF450000}"/>
    <cellStyle name="쉼표 [0] 9 5 4" xfId="6495" xr:uid="{00000000-0005-0000-0000-0000F0450000}"/>
    <cellStyle name="쉼표 [0] 9 5_뇌출혈특약(갱신형)" xfId="13225" xr:uid="{00000000-0005-0000-0000-0000F1450000}"/>
    <cellStyle name="쉼표 [0] 9 6" xfId="6496" xr:uid="{00000000-0005-0000-0000-0000F2450000}"/>
    <cellStyle name="쉼표 [0] 9 6 2" xfId="6497" xr:uid="{00000000-0005-0000-0000-0000F3450000}"/>
    <cellStyle name="쉼표 [0] 9 6 2 2" xfId="6498" xr:uid="{00000000-0005-0000-0000-0000F4450000}"/>
    <cellStyle name="쉼표 [0] 9 6 2 3" xfId="6499" xr:uid="{00000000-0005-0000-0000-0000F5450000}"/>
    <cellStyle name="쉼표 [0] 9 6 2_뇌출혈특약(갱신형)" xfId="13226" xr:uid="{00000000-0005-0000-0000-0000F6450000}"/>
    <cellStyle name="쉼표 [0] 9 6 3" xfId="6500" xr:uid="{00000000-0005-0000-0000-0000F7450000}"/>
    <cellStyle name="쉼표 [0] 9 6 4" xfId="6501" xr:uid="{00000000-0005-0000-0000-0000F8450000}"/>
    <cellStyle name="쉼표 [0] 9 6_뇌출혈특약(갱신형)" xfId="13227" xr:uid="{00000000-0005-0000-0000-0000F9450000}"/>
    <cellStyle name="쉼표 [0] 9 7" xfId="6502" xr:uid="{00000000-0005-0000-0000-0000FA450000}"/>
    <cellStyle name="쉼표 [0] 9 7 2" xfId="6503" xr:uid="{00000000-0005-0000-0000-0000FB450000}"/>
    <cellStyle name="쉼표 [0] 9 7 3" xfId="6504" xr:uid="{00000000-0005-0000-0000-0000FC450000}"/>
    <cellStyle name="쉼표 [0] 9 7_뇌출혈특약(갱신형)" xfId="13228" xr:uid="{00000000-0005-0000-0000-0000FD450000}"/>
    <cellStyle name="쉼표 [0] 9 8" xfId="6505" xr:uid="{00000000-0005-0000-0000-0000FE450000}"/>
    <cellStyle name="쉼표 [0] 9 8 2" xfId="6506" xr:uid="{00000000-0005-0000-0000-0000FF450000}"/>
    <cellStyle name="쉼표 [0] 9 8 3" xfId="6507" xr:uid="{00000000-0005-0000-0000-000000460000}"/>
    <cellStyle name="쉼표 [0] 9 8_뇌출혈특약(갱신형)" xfId="13229" xr:uid="{00000000-0005-0000-0000-000001460000}"/>
    <cellStyle name="쉼표 [0] 9 9" xfId="6508" xr:uid="{00000000-0005-0000-0000-000002460000}"/>
    <cellStyle name="쉼표 [0] 9 9 2" xfId="6509" xr:uid="{00000000-0005-0000-0000-000003460000}"/>
    <cellStyle name="쉼표 [0] 9 9 3" xfId="6510" xr:uid="{00000000-0005-0000-0000-000004460000}"/>
    <cellStyle name="쉼표 [0] 9 9_뇌출혈특약(갱신형)" xfId="13230" xr:uid="{00000000-0005-0000-0000-000005460000}"/>
    <cellStyle name="쉼표 [0] 9_뇌출혈특약(갱신형)" xfId="13231" xr:uid="{00000000-0005-0000-0000-000006460000}"/>
    <cellStyle name="쉼표 [0]_특정질병사망_2004적용(051219)" xfId="5" xr:uid="{00000000-0005-0000-0000-000007460000}"/>
    <cellStyle name="쉼표 2" xfId="12102" xr:uid="{00000000-0005-0000-0000-000008460000}"/>
    <cellStyle name="쉼표 2 2" xfId="17136" xr:uid="{00000000-0005-0000-0000-000009460000}"/>
    <cellStyle name="쉼표 3" xfId="12103" xr:uid="{00000000-0005-0000-0000-00000A460000}"/>
    <cellStyle name="쉼표 3 2" xfId="17137" xr:uid="{00000000-0005-0000-0000-00000B460000}"/>
    <cellStyle name="쉼표 4" xfId="12104" xr:uid="{00000000-0005-0000-0000-00000C460000}"/>
    <cellStyle name="쉼표 5" xfId="12105" xr:uid="{00000000-0005-0000-0000-00000D460000}"/>
    <cellStyle name="연결된 셀" xfId="17184" builtinId="24" customBuiltin="1"/>
    <cellStyle name="연결된 셀 2" xfId="12106" xr:uid="{00000000-0005-0000-0000-00000F460000}"/>
    <cellStyle name="연결된 셀 2 2" xfId="14751" xr:uid="{00000000-0005-0000-0000-000010460000}"/>
    <cellStyle name="연결된 셀 2 2 2" xfId="31070" xr:uid="{00000000-0005-0000-0000-000011460000}"/>
    <cellStyle name="연결된 셀 2 2 3" xfId="17363" xr:uid="{00000000-0005-0000-0000-000012460000}"/>
    <cellStyle name="연결된 셀 2 3" xfId="15377" xr:uid="{00000000-0005-0000-0000-000013460000}"/>
    <cellStyle name="연결된 셀 3" xfId="12107" xr:uid="{00000000-0005-0000-0000-000014460000}"/>
    <cellStyle name="연결된 셀 3 2" xfId="14752" xr:uid="{00000000-0005-0000-0000-000015460000}"/>
    <cellStyle name="연결된 셀 3 3" xfId="15378" xr:uid="{00000000-0005-0000-0000-000016460000}"/>
    <cellStyle name="연결된 셀 4" xfId="12108" xr:uid="{00000000-0005-0000-0000-000017460000}"/>
    <cellStyle name="연결된 셀 4 2" xfId="14753" xr:uid="{00000000-0005-0000-0000-000018460000}"/>
    <cellStyle name="연결된 셀 4 3" xfId="15379" xr:uid="{00000000-0005-0000-0000-000019460000}"/>
    <cellStyle name="연결된 셀 5" xfId="12109" xr:uid="{00000000-0005-0000-0000-00001A460000}"/>
    <cellStyle name="연결된 셀 5 2" xfId="14754" xr:uid="{00000000-0005-0000-0000-00001B460000}"/>
    <cellStyle name="연결된 셀 5 3" xfId="15380" xr:uid="{00000000-0005-0000-0000-00001C460000}"/>
    <cellStyle name="연결된 셀 6" xfId="21528" xr:uid="{00000000-0005-0000-0000-00001D460000}"/>
    <cellStyle name="연결된 셀 7" xfId="20494" xr:uid="{00000000-0005-0000-0000-00001E460000}"/>
    <cellStyle name="요약" xfId="17189" builtinId="25" customBuiltin="1"/>
    <cellStyle name="요약 2" xfId="12110" xr:uid="{00000000-0005-0000-0000-000020460000}"/>
    <cellStyle name="요약 2 10" xfId="17582" xr:uid="{00000000-0005-0000-0000-000021460000}"/>
    <cellStyle name="요약 2 10 2" xfId="22021" xr:uid="{00000000-0005-0000-0000-000022460000}"/>
    <cellStyle name="요약 2 10 2 2" xfId="23878" xr:uid="{00000000-0005-0000-0000-000023460000}"/>
    <cellStyle name="요약 2 10 2 3" xfId="26251" xr:uid="{00000000-0005-0000-0000-000024460000}"/>
    <cellStyle name="요약 2 10 2 4" xfId="29365" xr:uid="{00000000-0005-0000-0000-000025460000}"/>
    <cellStyle name="요약 2 10 3" xfId="22494" xr:uid="{00000000-0005-0000-0000-000026460000}"/>
    <cellStyle name="요약 2 10 3 2" xfId="23912" xr:uid="{00000000-0005-0000-0000-000027460000}"/>
    <cellStyle name="요약 2 10 3 3" xfId="26724" xr:uid="{00000000-0005-0000-0000-000028460000}"/>
    <cellStyle name="요약 2 10 3 4" xfId="29838" xr:uid="{00000000-0005-0000-0000-000029460000}"/>
    <cellStyle name="요약 2 10 4" xfId="22939" xr:uid="{00000000-0005-0000-0000-00002A460000}"/>
    <cellStyle name="요약 2 10 4 2" xfId="20158" xr:uid="{00000000-0005-0000-0000-00002B460000}"/>
    <cellStyle name="요약 2 10 4 3" xfId="27169" xr:uid="{00000000-0005-0000-0000-00002C460000}"/>
    <cellStyle name="요약 2 10 4 4" xfId="30283" xr:uid="{00000000-0005-0000-0000-00002D460000}"/>
    <cellStyle name="요약 2 10 5" xfId="23312" xr:uid="{00000000-0005-0000-0000-00002E460000}"/>
    <cellStyle name="요약 2 10 5 2" xfId="20352" xr:uid="{00000000-0005-0000-0000-00002F460000}"/>
    <cellStyle name="요약 2 10 5 3" xfId="27542" xr:uid="{00000000-0005-0000-0000-000030460000}"/>
    <cellStyle name="요약 2 10 5 4" xfId="30656" xr:uid="{00000000-0005-0000-0000-000031460000}"/>
    <cellStyle name="요약 2 10 6" xfId="21515" xr:uid="{00000000-0005-0000-0000-000032460000}"/>
    <cellStyle name="요약 2 10 7" xfId="24524" xr:uid="{00000000-0005-0000-0000-000033460000}"/>
    <cellStyle name="요약 2 10 8" xfId="25700" xr:uid="{00000000-0005-0000-0000-000034460000}"/>
    <cellStyle name="요약 2 10 9" xfId="28817" xr:uid="{00000000-0005-0000-0000-000035460000}"/>
    <cellStyle name="요약 2 11" xfId="17684" xr:uid="{00000000-0005-0000-0000-000036460000}"/>
    <cellStyle name="요약 2 11 2" xfId="19118" xr:uid="{00000000-0005-0000-0000-000037460000}"/>
    <cellStyle name="요약 2 11 3" xfId="25063" xr:uid="{00000000-0005-0000-0000-000038460000}"/>
    <cellStyle name="요약 2 11 4" xfId="28187" xr:uid="{00000000-0005-0000-0000-000039460000}"/>
    <cellStyle name="요약 2 12" xfId="18745" xr:uid="{00000000-0005-0000-0000-00003A460000}"/>
    <cellStyle name="요약 2 13" xfId="18566" xr:uid="{00000000-0005-0000-0000-00003B460000}"/>
    <cellStyle name="요약 2 14" xfId="18657" xr:uid="{00000000-0005-0000-0000-00003C460000}"/>
    <cellStyle name="요약 2 15" xfId="17245" xr:uid="{00000000-0005-0000-0000-00003D460000}"/>
    <cellStyle name="요약 2 2" xfId="12111" xr:uid="{00000000-0005-0000-0000-00003E460000}"/>
    <cellStyle name="요약 2 2 2" xfId="14756" xr:uid="{00000000-0005-0000-0000-00003F460000}"/>
    <cellStyle name="요약 2 2 2 10" xfId="24972" xr:uid="{00000000-0005-0000-0000-000040460000}"/>
    <cellStyle name="요약 2 2 2 11" xfId="28096" xr:uid="{00000000-0005-0000-0000-000041460000}"/>
    <cellStyle name="요약 2 2 2 12" xfId="31072" xr:uid="{00000000-0005-0000-0000-000042460000}"/>
    <cellStyle name="요약 2 2 2 13" xfId="17496" xr:uid="{00000000-0005-0000-0000-000043460000}"/>
    <cellStyle name="요약 2 2 2 2" xfId="21754" xr:uid="{00000000-0005-0000-0000-000044460000}"/>
    <cellStyle name="요약 2 2 2 2 2" xfId="22307" xr:uid="{00000000-0005-0000-0000-000045460000}"/>
    <cellStyle name="요약 2 2 2 2 2 2" xfId="18455" xr:uid="{00000000-0005-0000-0000-000046460000}"/>
    <cellStyle name="요약 2 2 2 2 2 3" xfId="26537" xr:uid="{00000000-0005-0000-0000-000047460000}"/>
    <cellStyle name="요약 2 2 2 2 2 4" xfId="29651" xr:uid="{00000000-0005-0000-0000-000048460000}"/>
    <cellStyle name="요약 2 2 2 2 3" xfId="22783" xr:uid="{00000000-0005-0000-0000-000049460000}"/>
    <cellStyle name="요약 2 2 2 2 3 2" xfId="24050" xr:uid="{00000000-0005-0000-0000-00004A460000}"/>
    <cellStyle name="요약 2 2 2 2 3 3" xfId="27013" xr:uid="{00000000-0005-0000-0000-00004B460000}"/>
    <cellStyle name="요약 2 2 2 2 3 4" xfId="30127" xr:uid="{00000000-0005-0000-0000-00004C460000}"/>
    <cellStyle name="요약 2 2 2 2 4" xfId="23166" xr:uid="{00000000-0005-0000-0000-00004D460000}"/>
    <cellStyle name="요약 2 2 2 2 4 2" xfId="19256" xr:uid="{00000000-0005-0000-0000-00004E460000}"/>
    <cellStyle name="요약 2 2 2 2 4 3" xfId="27396" xr:uid="{00000000-0005-0000-0000-00004F460000}"/>
    <cellStyle name="요약 2 2 2 2 4 4" xfId="30510" xr:uid="{00000000-0005-0000-0000-000050460000}"/>
    <cellStyle name="요약 2 2 2 2 5" xfId="23593" xr:uid="{00000000-0005-0000-0000-000051460000}"/>
    <cellStyle name="요약 2 2 2 2 5 2" xfId="18249" xr:uid="{00000000-0005-0000-0000-000052460000}"/>
    <cellStyle name="요약 2 2 2 2 5 3" xfId="27823" xr:uid="{00000000-0005-0000-0000-000053460000}"/>
    <cellStyle name="요약 2 2 2 2 5 4" xfId="30937" xr:uid="{00000000-0005-0000-0000-000054460000}"/>
    <cellStyle name="요약 2 2 2 2 6" xfId="19335" xr:uid="{00000000-0005-0000-0000-000055460000}"/>
    <cellStyle name="요약 2 2 2 2 7" xfId="25984" xr:uid="{00000000-0005-0000-0000-000056460000}"/>
    <cellStyle name="요약 2 2 2 2 8" xfId="29098" xr:uid="{00000000-0005-0000-0000-000057460000}"/>
    <cellStyle name="요약 2 2 2 3" xfId="21352" xr:uid="{00000000-0005-0000-0000-000058460000}"/>
    <cellStyle name="요약 2 2 2 3 2" xfId="24763" xr:uid="{00000000-0005-0000-0000-000059460000}"/>
    <cellStyle name="요약 2 2 2 3 3" xfId="25539" xr:uid="{00000000-0005-0000-0000-00005A460000}"/>
    <cellStyle name="요약 2 2 2 3 4" xfId="28656" xr:uid="{00000000-0005-0000-0000-00005B460000}"/>
    <cellStyle name="요약 2 2 2 4" xfId="21860" xr:uid="{00000000-0005-0000-0000-00005C460000}"/>
    <cellStyle name="요약 2 2 2 4 2" xfId="24128" xr:uid="{00000000-0005-0000-0000-00005D460000}"/>
    <cellStyle name="요약 2 2 2 4 3" xfId="26090" xr:uid="{00000000-0005-0000-0000-00005E460000}"/>
    <cellStyle name="요약 2 2 2 4 4" xfId="29204" xr:uid="{00000000-0005-0000-0000-00005F460000}"/>
    <cellStyle name="요약 2 2 2 5" xfId="21015" xr:uid="{00000000-0005-0000-0000-000060460000}"/>
    <cellStyle name="요약 2 2 2 5 2" xfId="23691" xr:uid="{00000000-0005-0000-0000-000061460000}"/>
    <cellStyle name="요약 2 2 2 5 3" xfId="25260" xr:uid="{00000000-0005-0000-0000-000062460000}"/>
    <cellStyle name="요약 2 2 2 5 4" xfId="28384" xr:uid="{00000000-0005-0000-0000-000063460000}"/>
    <cellStyle name="요약 2 2 2 6" xfId="22108" xr:uid="{00000000-0005-0000-0000-000064460000}"/>
    <cellStyle name="요약 2 2 2 6 2" xfId="23990" xr:uid="{00000000-0005-0000-0000-000065460000}"/>
    <cellStyle name="요약 2 2 2 6 3" xfId="26338" xr:uid="{00000000-0005-0000-0000-000066460000}"/>
    <cellStyle name="요약 2 2 2 6 4" xfId="29452" xr:uid="{00000000-0005-0000-0000-000067460000}"/>
    <cellStyle name="요약 2 2 2 7" xfId="21080" xr:uid="{00000000-0005-0000-0000-000068460000}"/>
    <cellStyle name="요약 2 2 2 7 2" xfId="23688" xr:uid="{00000000-0005-0000-0000-000069460000}"/>
    <cellStyle name="요약 2 2 2 7 3" xfId="25325" xr:uid="{00000000-0005-0000-0000-00006A460000}"/>
    <cellStyle name="요약 2 2 2 7 4" xfId="28449" xr:uid="{00000000-0005-0000-0000-00006B460000}"/>
    <cellStyle name="요약 2 2 2 8" xfId="20724" xr:uid="{00000000-0005-0000-0000-00006C460000}"/>
    <cellStyle name="요약 2 2 2 9" xfId="19028" xr:uid="{00000000-0005-0000-0000-00006D460000}"/>
    <cellStyle name="요약 2 2 3" xfId="15382" xr:uid="{00000000-0005-0000-0000-00006E460000}"/>
    <cellStyle name="요약 2 2 3 10" xfId="27984" xr:uid="{00000000-0005-0000-0000-00006F460000}"/>
    <cellStyle name="요약 2 2 3 11" xfId="17581" xr:uid="{00000000-0005-0000-0000-000070460000}"/>
    <cellStyle name="요약 2 2 3 2" xfId="15303" xr:uid="{00000000-0005-0000-0000-000071460000}"/>
    <cellStyle name="요약 2 2 3 2 2" xfId="24612" xr:uid="{00000000-0005-0000-0000-000072460000}"/>
    <cellStyle name="요약 2 2 3 2 3" xfId="25872" xr:uid="{00000000-0005-0000-0000-000073460000}"/>
    <cellStyle name="요약 2 2 3 2 4" xfId="28986" xr:uid="{00000000-0005-0000-0000-000074460000}"/>
    <cellStyle name="요약 2 2 3 2 5" xfId="21642" xr:uid="{00000000-0005-0000-0000-000075460000}"/>
    <cellStyle name="요약 2 2 3 3" xfId="16912" xr:uid="{00000000-0005-0000-0000-000076460000}"/>
    <cellStyle name="요약 2 2 3 3 2" xfId="18346" xr:uid="{00000000-0005-0000-0000-000077460000}"/>
    <cellStyle name="요약 2 2 3 3 3" xfId="26425" xr:uid="{00000000-0005-0000-0000-000078460000}"/>
    <cellStyle name="요약 2 2 3 3 4" xfId="29539" xr:uid="{00000000-0005-0000-0000-000079460000}"/>
    <cellStyle name="요약 2 2 3 3 5" xfId="22195" xr:uid="{00000000-0005-0000-0000-00007A460000}"/>
    <cellStyle name="요약 2 2 3 4" xfId="16913" xr:uid="{00000000-0005-0000-0000-00007B460000}"/>
    <cellStyle name="요약 2 2 3 4 2" xfId="19914" xr:uid="{00000000-0005-0000-0000-00007C460000}"/>
    <cellStyle name="요약 2 2 3 4 3" xfId="26901" xr:uid="{00000000-0005-0000-0000-00007D460000}"/>
    <cellStyle name="요약 2 2 3 4 4" xfId="30015" xr:uid="{00000000-0005-0000-0000-00007E460000}"/>
    <cellStyle name="요약 2 2 3 4 5" xfId="22671" xr:uid="{00000000-0005-0000-0000-00007F460000}"/>
    <cellStyle name="요약 2 2 3 5" xfId="23082" xr:uid="{00000000-0005-0000-0000-000080460000}"/>
    <cellStyle name="요약 2 2 3 5 2" xfId="19178" xr:uid="{00000000-0005-0000-0000-000081460000}"/>
    <cellStyle name="요약 2 2 3 5 3" xfId="27312" xr:uid="{00000000-0005-0000-0000-000082460000}"/>
    <cellStyle name="요약 2 2 3 5 4" xfId="30426" xr:uid="{00000000-0005-0000-0000-000083460000}"/>
    <cellStyle name="요약 2 2 3 6" xfId="23481" xr:uid="{00000000-0005-0000-0000-000084460000}"/>
    <cellStyle name="요약 2 2 3 6 2" xfId="18144" xr:uid="{00000000-0005-0000-0000-000085460000}"/>
    <cellStyle name="요약 2 2 3 6 3" xfId="27711" xr:uid="{00000000-0005-0000-0000-000086460000}"/>
    <cellStyle name="요약 2 2 3 6 4" xfId="30825" xr:uid="{00000000-0005-0000-0000-000087460000}"/>
    <cellStyle name="요약 2 2 3 7" xfId="20612" xr:uid="{00000000-0005-0000-0000-000088460000}"/>
    <cellStyle name="요약 2 2 3 8" xfId="18918" xr:uid="{00000000-0005-0000-0000-000089460000}"/>
    <cellStyle name="요약 2 2 3 9" xfId="24860" xr:uid="{00000000-0005-0000-0000-00008A460000}"/>
    <cellStyle name="요약 2 2 4" xfId="17683" xr:uid="{00000000-0005-0000-0000-00008B460000}"/>
    <cellStyle name="요약 2 2 4 2" xfId="22022" xr:uid="{00000000-0005-0000-0000-00008C460000}"/>
    <cellStyle name="요약 2 2 4 2 2" xfId="23790" xr:uid="{00000000-0005-0000-0000-00008D460000}"/>
    <cellStyle name="요약 2 2 4 2 3" xfId="26252" xr:uid="{00000000-0005-0000-0000-00008E460000}"/>
    <cellStyle name="요약 2 2 4 2 4" xfId="29366" xr:uid="{00000000-0005-0000-0000-00008F460000}"/>
    <cellStyle name="요약 2 2 4 3" xfId="22495" xr:uid="{00000000-0005-0000-0000-000090460000}"/>
    <cellStyle name="요약 2 2 4 3 2" xfId="19750" xr:uid="{00000000-0005-0000-0000-000091460000}"/>
    <cellStyle name="요약 2 2 4 3 3" xfId="26725" xr:uid="{00000000-0005-0000-0000-000092460000}"/>
    <cellStyle name="요약 2 2 4 3 4" xfId="29839" xr:uid="{00000000-0005-0000-0000-000093460000}"/>
    <cellStyle name="요약 2 2 4 4" xfId="22940" xr:uid="{00000000-0005-0000-0000-000094460000}"/>
    <cellStyle name="요약 2 2 4 4 2" xfId="20159" xr:uid="{00000000-0005-0000-0000-000095460000}"/>
    <cellStyle name="요약 2 2 4 4 3" xfId="27170" xr:uid="{00000000-0005-0000-0000-000096460000}"/>
    <cellStyle name="요약 2 2 4 4 4" xfId="30284" xr:uid="{00000000-0005-0000-0000-000097460000}"/>
    <cellStyle name="요약 2 2 4 5" xfId="23313" xr:uid="{00000000-0005-0000-0000-000098460000}"/>
    <cellStyle name="요약 2 2 4 5 2" xfId="20353" xr:uid="{00000000-0005-0000-0000-000099460000}"/>
    <cellStyle name="요약 2 2 4 5 3" xfId="27543" xr:uid="{00000000-0005-0000-0000-00009A460000}"/>
    <cellStyle name="요약 2 2 4 5 4" xfId="30657" xr:uid="{00000000-0005-0000-0000-00009B460000}"/>
    <cellStyle name="요약 2 2 4 6" xfId="24349" xr:uid="{00000000-0005-0000-0000-00009C460000}"/>
    <cellStyle name="요약 2 2 4 7" xfId="25701" xr:uid="{00000000-0005-0000-0000-00009D460000}"/>
    <cellStyle name="요약 2 2 4 8" xfId="28818" xr:uid="{00000000-0005-0000-0000-00009E460000}"/>
    <cellStyle name="요약 2 2 5" xfId="20900" xr:uid="{00000000-0005-0000-0000-00009F460000}"/>
    <cellStyle name="요약 2 2 5 2" xfId="23756" xr:uid="{00000000-0005-0000-0000-0000A0460000}"/>
    <cellStyle name="요약 2 2 5 3" xfId="25151" xr:uid="{00000000-0005-0000-0000-0000A1460000}"/>
    <cellStyle name="요약 2 2 5 4" xfId="28275" xr:uid="{00000000-0005-0000-0000-0000A2460000}"/>
    <cellStyle name="요약 2 2 6" xfId="18746" xr:uid="{00000000-0005-0000-0000-0000A3460000}"/>
    <cellStyle name="요약 2 2 7" xfId="18565" xr:uid="{00000000-0005-0000-0000-0000A4460000}"/>
    <cellStyle name="요약 2 2 8" xfId="18658" xr:uid="{00000000-0005-0000-0000-0000A5460000}"/>
    <cellStyle name="요약 2 2 9" xfId="17246" xr:uid="{00000000-0005-0000-0000-0000A6460000}"/>
    <cellStyle name="요약 2 3" xfId="12112" xr:uid="{00000000-0005-0000-0000-0000A7460000}"/>
    <cellStyle name="요약 2 3 2" xfId="14757" xr:uid="{00000000-0005-0000-0000-0000A8460000}"/>
    <cellStyle name="요약 2 3 2 10" xfId="24973" xr:uid="{00000000-0005-0000-0000-0000A9460000}"/>
    <cellStyle name="요약 2 3 2 11" xfId="28097" xr:uid="{00000000-0005-0000-0000-0000AA460000}"/>
    <cellStyle name="요약 2 3 2 12" xfId="31073" xr:uid="{00000000-0005-0000-0000-0000AB460000}"/>
    <cellStyle name="요약 2 3 2 13" xfId="17495" xr:uid="{00000000-0005-0000-0000-0000AC460000}"/>
    <cellStyle name="요약 2 3 2 2" xfId="21755" xr:uid="{00000000-0005-0000-0000-0000AD460000}"/>
    <cellStyle name="요약 2 3 2 2 2" xfId="22308" xr:uid="{00000000-0005-0000-0000-0000AE460000}"/>
    <cellStyle name="요약 2 3 2 2 2 2" xfId="24063" xr:uid="{00000000-0005-0000-0000-0000AF460000}"/>
    <cellStyle name="요약 2 3 2 2 2 3" xfId="26538" xr:uid="{00000000-0005-0000-0000-0000B0460000}"/>
    <cellStyle name="요약 2 3 2 2 2 4" xfId="29652" xr:uid="{00000000-0005-0000-0000-0000B1460000}"/>
    <cellStyle name="요약 2 3 2 2 3" xfId="22784" xr:uid="{00000000-0005-0000-0000-0000B2460000}"/>
    <cellStyle name="요약 2 3 2 2 3 2" xfId="20017" xr:uid="{00000000-0005-0000-0000-0000B3460000}"/>
    <cellStyle name="요약 2 3 2 2 3 3" xfId="27014" xr:uid="{00000000-0005-0000-0000-0000B4460000}"/>
    <cellStyle name="요약 2 3 2 2 3 4" xfId="30128" xr:uid="{00000000-0005-0000-0000-0000B5460000}"/>
    <cellStyle name="요약 2 3 2 2 4" xfId="23167" xr:uid="{00000000-0005-0000-0000-0000B6460000}"/>
    <cellStyle name="요약 2 3 2 2 4 2" xfId="19257" xr:uid="{00000000-0005-0000-0000-0000B7460000}"/>
    <cellStyle name="요약 2 3 2 2 4 3" xfId="27397" xr:uid="{00000000-0005-0000-0000-0000B8460000}"/>
    <cellStyle name="요약 2 3 2 2 4 4" xfId="30511" xr:uid="{00000000-0005-0000-0000-0000B9460000}"/>
    <cellStyle name="요약 2 3 2 2 5" xfId="23594" xr:uid="{00000000-0005-0000-0000-0000BA460000}"/>
    <cellStyle name="요약 2 3 2 2 5 2" xfId="18250" xr:uid="{00000000-0005-0000-0000-0000BB460000}"/>
    <cellStyle name="요약 2 3 2 2 5 3" xfId="27824" xr:uid="{00000000-0005-0000-0000-0000BC460000}"/>
    <cellStyle name="요약 2 3 2 2 5 4" xfId="30938" xr:uid="{00000000-0005-0000-0000-0000BD460000}"/>
    <cellStyle name="요약 2 3 2 2 6" xfId="23863" xr:uid="{00000000-0005-0000-0000-0000BE460000}"/>
    <cellStyle name="요약 2 3 2 2 7" xfId="25985" xr:uid="{00000000-0005-0000-0000-0000BF460000}"/>
    <cellStyle name="요약 2 3 2 2 8" xfId="29099" xr:uid="{00000000-0005-0000-0000-0000C0460000}"/>
    <cellStyle name="요약 2 3 2 3" xfId="21353" xr:uid="{00000000-0005-0000-0000-0000C1460000}"/>
    <cellStyle name="요약 2 3 2 3 2" xfId="24502" xr:uid="{00000000-0005-0000-0000-0000C2460000}"/>
    <cellStyle name="요약 2 3 2 3 3" xfId="25540" xr:uid="{00000000-0005-0000-0000-0000C3460000}"/>
    <cellStyle name="요약 2 3 2 3 4" xfId="28657" xr:uid="{00000000-0005-0000-0000-0000C4460000}"/>
    <cellStyle name="요약 2 3 2 4" xfId="21861" xr:uid="{00000000-0005-0000-0000-0000C5460000}"/>
    <cellStyle name="요약 2 3 2 4 2" xfId="19308" xr:uid="{00000000-0005-0000-0000-0000C6460000}"/>
    <cellStyle name="요약 2 3 2 4 3" xfId="26091" xr:uid="{00000000-0005-0000-0000-0000C7460000}"/>
    <cellStyle name="요약 2 3 2 4 4" xfId="29205" xr:uid="{00000000-0005-0000-0000-0000C8460000}"/>
    <cellStyle name="요약 2 3 2 5" xfId="21257" xr:uid="{00000000-0005-0000-0000-0000C9460000}"/>
    <cellStyle name="요약 2 3 2 5 2" xfId="23907" xr:uid="{00000000-0005-0000-0000-0000CA460000}"/>
    <cellStyle name="요약 2 3 2 5 3" xfId="25471" xr:uid="{00000000-0005-0000-0000-0000CB460000}"/>
    <cellStyle name="요약 2 3 2 5 4" xfId="28588" xr:uid="{00000000-0005-0000-0000-0000CC460000}"/>
    <cellStyle name="요약 2 3 2 6" xfId="21073" xr:uid="{00000000-0005-0000-0000-0000CD460000}"/>
    <cellStyle name="요약 2 3 2 6 2" xfId="24069" xr:uid="{00000000-0005-0000-0000-0000CE460000}"/>
    <cellStyle name="요약 2 3 2 6 3" xfId="25318" xr:uid="{00000000-0005-0000-0000-0000CF460000}"/>
    <cellStyle name="요약 2 3 2 6 4" xfId="28442" xr:uid="{00000000-0005-0000-0000-0000D0460000}"/>
    <cellStyle name="요약 2 3 2 7" xfId="21025" xr:uid="{00000000-0005-0000-0000-0000D1460000}"/>
    <cellStyle name="요약 2 3 2 7 2" xfId="23984" xr:uid="{00000000-0005-0000-0000-0000D2460000}"/>
    <cellStyle name="요약 2 3 2 7 3" xfId="25270" xr:uid="{00000000-0005-0000-0000-0000D3460000}"/>
    <cellStyle name="요약 2 3 2 7 4" xfId="28394" xr:uid="{00000000-0005-0000-0000-0000D4460000}"/>
    <cellStyle name="요약 2 3 2 8" xfId="20725" xr:uid="{00000000-0005-0000-0000-0000D5460000}"/>
    <cellStyle name="요약 2 3 2 9" xfId="19029" xr:uid="{00000000-0005-0000-0000-0000D6460000}"/>
    <cellStyle name="요약 2 3 3" xfId="15383" xr:uid="{00000000-0005-0000-0000-0000D7460000}"/>
    <cellStyle name="요약 2 3 3 10" xfId="27985" xr:uid="{00000000-0005-0000-0000-0000D8460000}"/>
    <cellStyle name="요약 2 3 3 11" xfId="17580" xr:uid="{00000000-0005-0000-0000-0000D9460000}"/>
    <cellStyle name="요약 2 3 3 2" xfId="15302" xr:uid="{00000000-0005-0000-0000-0000DA460000}"/>
    <cellStyle name="요약 2 3 3 2 2" xfId="24485" xr:uid="{00000000-0005-0000-0000-0000DB460000}"/>
    <cellStyle name="요약 2 3 3 2 3" xfId="25873" xr:uid="{00000000-0005-0000-0000-0000DC460000}"/>
    <cellStyle name="요약 2 3 3 2 4" xfId="28987" xr:uid="{00000000-0005-0000-0000-0000DD460000}"/>
    <cellStyle name="요약 2 3 3 2 5" xfId="21643" xr:uid="{00000000-0005-0000-0000-0000DE460000}"/>
    <cellStyle name="요약 2 3 3 3" xfId="16914" xr:uid="{00000000-0005-0000-0000-0000DF460000}"/>
    <cellStyle name="요약 2 3 3 3 2" xfId="18347" xr:uid="{00000000-0005-0000-0000-0000E0460000}"/>
    <cellStyle name="요약 2 3 3 3 3" xfId="26426" xr:uid="{00000000-0005-0000-0000-0000E1460000}"/>
    <cellStyle name="요약 2 3 3 3 4" xfId="29540" xr:uid="{00000000-0005-0000-0000-0000E2460000}"/>
    <cellStyle name="요약 2 3 3 3 5" xfId="22196" xr:uid="{00000000-0005-0000-0000-0000E3460000}"/>
    <cellStyle name="요약 2 3 3 4" xfId="16915" xr:uid="{00000000-0005-0000-0000-0000E4460000}"/>
    <cellStyle name="요약 2 3 3 4 2" xfId="24054" xr:uid="{00000000-0005-0000-0000-0000E5460000}"/>
    <cellStyle name="요약 2 3 3 4 3" xfId="26902" xr:uid="{00000000-0005-0000-0000-0000E6460000}"/>
    <cellStyle name="요약 2 3 3 4 4" xfId="30016" xr:uid="{00000000-0005-0000-0000-0000E7460000}"/>
    <cellStyle name="요약 2 3 3 4 5" xfId="22672" xr:uid="{00000000-0005-0000-0000-0000E8460000}"/>
    <cellStyle name="요약 2 3 3 5" xfId="23083" xr:uid="{00000000-0005-0000-0000-0000E9460000}"/>
    <cellStyle name="요약 2 3 3 5 2" xfId="19179" xr:uid="{00000000-0005-0000-0000-0000EA460000}"/>
    <cellStyle name="요약 2 3 3 5 3" xfId="27313" xr:uid="{00000000-0005-0000-0000-0000EB460000}"/>
    <cellStyle name="요약 2 3 3 5 4" xfId="30427" xr:uid="{00000000-0005-0000-0000-0000EC460000}"/>
    <cellStyle name="요약 2 3 3 6" xfId="23482" xr:uid="{00000000-0005-0000-0000-0000ED460000}"/>
    <cellStyle name="요약 2 3 3 6 2" xfId="18145" xr:uid="{00000000-0005-0000-0000-0000EE460000}"/>
    <cellStyle name="요약 2 3 3 6 3" xfId="27712" xr:uid="{00000000-0005-0000-0000-0000EF460000}"/>
    <cellStyle name="요약 2 3 3 6 4" xfId="30826" xr:uid="{00000000-0005-0000-0000-0000F0460000}"/>
    <cellStyle name="요약 2 3 3 7" xfId="20613" xr:uid="{00000000-0005-0000-0000-0000F1460000}"/>
    <cellStyle name="요약 2 3 3 8" xfId="18919" xr:uid="{00000000-0005-0000-0000-0000F2460000}"/>
    <cellStyle name="요약 2 3 3 9" xfId="24861" xr:uid="{00000000-0005-0000-0000-0000F3460000}"/>
    <cellStyle name="요약 2 3 4" xfId="17718" xr:uid="{00000000-0005-0000-0000-0000F4460000}"/>
    <cellStyle name="요약 2 3 4 2" xfId="22023" xr:uid="{00000000-0005-0000-0000-0000F5460000}"/>
    <cellStyle name="요약 2 3 4 2 2" xfId="23926" xr:uid="{00000000-0005-0000-0000-0000F6460000}"/>
    <cellStyle name="요약 2 3 4 2 3" xfId="26253" xr:uid="{00000000-0005-0000-0000-0000F7460000}"/>
    <cellStyle name="요약 2 3 4 2 4" xfId="29367" xr:uid="{00000000-0005-0000-0000-0000F8460000}"/>
    <cellStyle name="요약 2 3 4 3" xfId="22496" xr:uid="{00000000-0005-0000-0000-0000F9460000}"/>
    <cellStyle name="요약 2 3 4 3 2" xfId="19751" xr:uid="{00000000-0005-0000-0000-0000FA460000}"/>
    <cellStyle name="요약 2 3 4 3 3" xfId="26726" xr:uid="{00000000-0005-0000-0000-0000FB460000}"/>
    <cellStyle name="요약 2 3 4 3 4" xfId="29840" xr:uid="{00000000-0005-0000-0000-0000FC460000}"/>
    <cellStyle name="요약 2 3 4 4" xfId="22941" xr:uid="{00000000-0005-0000-0000-0000FD460000}"/>
    <cellStyle name="요약 2 3 4 4 2" xfId="20160" xr:uid="{00000000-0005-0000-0000-0000FE460000}"/>
    <cellStyle name="요약 2 3 4 4 3" xfId="27171" xr:uid="{00000000-0005-0000-0000-0000FF460000}"/>
    <cellStyle name="요약 2 3 4 4 4" xfId="30285" xr:uid="{00000000-0005-0000-0000-000000470000}"/>
    <cellStyle name="요약 2 3 4 5" xfId="23314" xr:uid="{00000000-0005-0000-0000-000001470000}"/>
    <cellStyle name="요약 2 3 4 5 2" xfId="20354" xr:uid="{00000000-0005-0000-0000-000002470000}"/>
    <cellStyle name="요약 2 3 4 5 3" xfId="27544" xr:uid="{00000000-0005-0000-0000-000003470000}"/>
    <cellStyle name="요약 2 3 4 5 4" xfId="30658" xr:uid="{00000000-0005-0000-0000-000004470000}"/>
    <cellStyle name="요약 2 3 4 6" xfId="24177" xr:uid="{00000000-0005-0000-0000-000005470000}"/>
    <cellStyle name="요약 2 3 4 7" xfId="25702" xr:uid="{00000000-0005-0000-0000-000006470000}"/>
    <cellStyle name="요약 2 3 4 8" xfId="28819" xr:uid="{00000000-0005-0000-0000-000007470000}"/>
    <cellStyle name="요약 2 3 5" xfId="20901" xr:uid="{00000000-0005-0000-0000-000008470000}"/>
    <cellStyle name="요약 2 3 5 2" xfId="24678" xr:uid="{00000000-0005-0000-0000-000009470000}"/>
    <cellStyle name="요약 2 3 5 3" xfId="25152" xr:uid="{00000000-0005-0000-0000-00000A470000}"/>
    <cellStyle name="요약 2 3 5 4" xfId="28276" xr:uid="{00000000-0005-0000-0000-00000B470000}"/>
    <cellStyle name="요약 2 3 6" xfId="18747" xr:uid="{00000000-0005-0000-0000-00000C470000}"/>
    <cellStyle name="요약 2 3 7" xfId="18564" xr:uid="{00000000-0005-0000-0000-00000D470000}"/>
    <cellStyle name="요약 2 3 8" xfId="18659" xr:uid="{00000000-0005-0000-0000-00000E470000}"/>
    <cellStyle name="요약 2 3 9" xfId="17247" xr:uid="{00000000-0005-0000-0000-00000F470000}"/>
    <cellStyle name="요약 2 4" xfId="12113" xr:uid="{00000000-0005-0000-0000-000010470000}"/>
    <cellStyle name="요약 2 4 2" xfId="14758" xr:uid="{00000000-0005-0000-0000-000011470000}"/>
    <cellStyle name="요약 2 4 2 10" xfId="24974" xr:uid="{00000000-0005-0000-0000-000012470000}"/>
    <cellStyle name="요약 2 4 2 11" xfId="28098" xr:uid="{00000000-0005-0000-0000-000013470000}"/>
    <cellStyle name="요약 2 4 2 12" xfId="31074" xr:uid="{00000000-0005-0000-0000-000014470000}"/>
    <cellStyle name="요약 2 4 2 13" xfId="17494" xr:uid="{00000000-0005-0000-0000-000015470000}"/>
    <cellStyle name="요약 2 4 2 2" xfId="21756" xr:uid="{00000000-0005-0000-0000-000016470000}"/>
    <cellStyle name="요약 2 4 2 2 2" xfId="22309" xr:uid="{00000000-0005-0000-0000-000017470000}"/>
    <cellStyle name="요약 2 4 2 2 2 2" xfId="19589" xr:uid="{00000000-0005-0000-0000-000018470000}"/>
    <cellStyle name="요약 2 4 2 2 2 3" xfId="26539" xr:uid="{00000000-0005-0000-0000-000019470000}"/>
    <cellStyle name="요약 2 4 2 2 2 4" xfId="29653" xr:uid="{00000000-0005-0000-0000-00001A470000}"/>
    <cellStyle name="요약 2 4 2 2 3" xfId="22785" xr:uid="{00000000-0005-0000-0000-00001B470000}"/>
    <cellStyle name="요약 2 4 2 2 3 2" xfId="20018" xr:uid="{00000000-0005-0000-0000-00001C470000}"/>
    <cellStyle name="요약 2 4 2 2 3 3" xfId="27015" xr:uid="{00000000-0005-0000-0000-00001D470000}"/>
    <cellStyle name="요약 2 4 2 2 3 4" xfId="30129" xr:uid="{00000000-0005-0000-0000-00001E470000}"/>
    <cellStyle name="요약 2 4 2 2 4" xfId="23168" xr:uid="{00000000-0005-0000-0000-00001F470000}"/>
    <cellStyle name="요약 2 4 2 2 4 2" xfId="19258" xr:uid="{00000000-0005-0000-0000-000020470000}"/>
    <cellStyle name="요약 2 4 2 2 4 3" xfId="27398" xr:uid="{00000000-0005-0000-0000-000021470000}"/>
    <cellStyle name="요약 2 4 2 2 4 4" xfId="30512" xr:uid="{00000000-0005-0000-0000-000022470000}"/>
    <cellStyle name="요약 2 4 2 2 5" xfId="23595" xr:uid="{00000000-0005-0000-0000-000023470000}"/>
    <cellStyle name="요약 2 4 2 2 5 2" xfId="18251" xr:uid="{00000000-0005-0000-0000-000024470000}"/>
    <cellStyle name="요약 2 4 2 2 5 3" xfId="27825" xr:uid="{00000000-0005-0000-0000-000025470000}"/>
    <cellStyle name="요약 2 4 2 2 5 4" xfId="30939" xr:uid="{00000000-0005-0000-0000-000026470000}"/>
    <cellStyle name="요약 2 4 2 2 6" xfId="23759" xr:uid="{00000000-0005-0000-0000-000027470000}"/>
    <cellStyle name="요약 2 4 2 2 7" xfId="25986" xr:uid="{00000000-0005-0000-0000-000028470000}"/>
    <cellStyle name="요약 2 4 2 2 8" xfId="29100" xr:uid="{00000000-0005-0000-0000-000029470000}"/>
    <cellStyle name="요약 2 4 2 3" xfId="21354" xr:uid="{00000000-0005-0000-0000-00002A470000}"/>
    <cellStyle name="요약 2 4 2 3 2" xfId="24328" xr:uid="{00000000-0005-0000-0000-00002B470000}"/>
    <cellStyle name="요약 2 4 2 3 3" xfId="25541" xr:uid="{00000000-0005-0000-0000-00002C470000}"/>
    <cellStyle name="요약 2 4 2 3 4" xfId="28658" xr:uid="{00000000-0005-0000-0000-00002D470000}"/>
    <cellStyle name="요약 2 4 2 4" xfId="21862" xr:uid="{00000000-0005-0000-0000-00002E470000}"/>
    <cellStyle name="요약 2 4 2 4 2" xfId="19549" xr:uid="{00000000-0005-0000-0000-00002F470000}"/>
    <cellStyle name="요약 2 4 2 4 3" xfId="26092" xr:uid="{00000000-0005-0000-0000-000030470000}"/>
    <cellStyle name="요약 2 4 2 4 4" xfId="29206" xr:uid="{00000000-0005-0000-0000-000031470000}"/>
    <cellStyle name="요약 2 4 2 5" xfId="21258" xr:uid="{00000000-0005-0000-0000-000032470000}"/>
    <cellStyle name="요약 2 4 2 5 2" xfId="24531" xr:uid="{00000000-0005-0000-0000-000033470000}"/>
    <cellStyle name="요약 2 4 2 5 3" xfId="25472" xr:uid="{00000000-0005-0000-0000-000034470000}"/>
    <cellStyle name="요약 2 4 2 5 4" xfId="28589" xr:uid="{00000000-0005-0000-0000-000035470000}"/>
    <cellStyle name="요약 2 4 2 6" xfId="21014" xr:uid="{00000000-0005-0000-0000-000036470000}"/>
    <cellStyle name="요약 2 4 2 6 2" xfId="24162" xr:uid="{00000000-0005-0000-0000-000037470000}"/>
    <cellStyle name="요약 2 4 2 6 3" xfId="25259" xr:uid="{00000000-0005-0000-0000-000038470000}"/>
    <cellStyle name="요약 2 4 2 6 4" xfId="28383" xr:uid="{00000000-0005-0000-0000-000039470000}"/>
    <cellStyle name="요약 2 4 2 7" xfId="21027" xr:uid="{00000000-0005-0000-0000-00003A470000}"/>
    <cellStyle name="요약 2 4 2 7 2" xfId="24432" xr:uid="{00000000-0005-0000-0000-00003B470000}"/>
    <cellStyle name="요약 2 4 2 7 3" xfId="25272" xr:uid="{00000000-0005-0000-0000-00003C470000}"/>
    <cellStyle name="요약 2 4 2 7 4" xfId="28396" xr:uid="{00000000-0005-0000-0000-00003D470000}"/>
    <cellStyle name="요약 2 4 2 8" xfId="20726" xr:uid="{00000000-0005-0000-0000-00003E470000}"/>
    <cellStyle name="요약 2 4 2 9" xfId="19030" xr:uid="{00000000-0005-0000-0000-00003F470000}"/>
    <cellStyle name="요약 2 4 3" xfId="15384" xr:uid="{00000000-0005-0000-0000-000040470000}"/>
    <cellStyle name="요약 2 4 3 10" xfId="27986" xr:uid="{00000000-0005-0000-0000-000041470000}"/>
    <cellStyle name="요약 2 4 3 11" xfId="17579" xr:uid="{00000000-0005-0000-0000-000042470000}"/>
    <cellStyle name="요약 2 4 3 2" xfId="15301" xr:uid="{00000000-0005-0000-0000-000043470000}"/>
    <cellStyle name="요약 2 4 3 2 2" xfId="24312" xr:uid="{00000000-0005-0000-0000-000044470000}"/>
    <cellStyle name="요약 2 4 3 2 3" xfId="25874" xr:uid="{00000000-0005-0000-0000-000045470000}"/>
    <cellStyle name="요약 2 4 3 2 4" xfId="28988" xr:uid="{00000000-0005-0000-0000-000046470000}"/>
    <cellStyle name="요약 2 4 3 2 5" xfId="21644" xr:uid="{00000000-0005-0000-0000-000047470000}"/>
    <cellStyle name="요약 2 4 3 3" xfId="16916" xr:uid="{00000000-0005-0000-0000-000048470000}"/>
    <cellStyle name="요약 2 4 3 3 2" xfId="18348" xr:uid="{00000000-0005-0000-0000-000049470000}"/>
    <cellStyle name="요약 2 4 3 3 3" xfId="26427" xr:uid="{00000000-0005-0000-0000-00004A470000}"/>
    <cellStyle name="요약 2 4 3 3 4" xfId="29541" xr:uid="{00000000-0005-0000-0000-00004B470000}"/>
    <cellStyle name="요약 2 4 3 3 5" xfId="22197" xr:uid="{00000000-0005-0000-0000-00004C470000}"/>
    <cellStyle name="요약 2 4 3 4" xfId="16917" xr:uid="{00000000-0005-0000-0000-00004D470000}"/>
    <cellStyle name="요약 2 4 3 4 2" xfId="19915" xr:uid="{00000000-0005-0000-0000-00004E470000}"/>
    <cellStyle name="요약 2 4 3 4 3" xfId="26903" xr:uid="{00000000-0005-0000-0000-00004F470000}"/>
    <cellStyle name="요약 2 4 3 4 4" xfId="30017" xr:uid="{00000000-0005-0000-0000-000050470000}"/>
    <cellStyle name="요약 2 4 3 4 5" xfId="22673" xr:uid="{00000000-0005-0000-0000-000051470000}"/>
    <cellStyle name="요약 2 4 3 5" xfId="23084" xr:uid="{00000000-0005-0000-0000-000052470000}"/>
    <cellStyle name="요약 2 4 3 5 2" xfId="19180" xr:uid="{00000000-0005-0000-0000-000053470000}"/>
    <cellStyle name="요약 2 4 3 5 3" xfId="27314" xr:uid="{00000000-0005-0000-0000-000054470000}"/>
    <cellStyle name="요약 2 4 3 5 4" xfId="30428" xr:uid="{00000000-0005-0000-0000-000055470000}"/>
    <cellStyle name="요약 2 4 3 6" xfId="23483" xr:uid="{00000000-0005-0000-0000-000056470000}"/>
    <cellStyle name="요약 2 4 3 6 2" xfId="18146" xr:uid="{00000000-0005-0000-0000-000057470000}"/>
    <cellStyle name="요약 2 4 3 6 3" xfId="27713" xr:uid="{00000000-0005-0000-0000-000058470000}"/>
    <cellStyle name="요약 2 4 3 6 4" xfId="30827" xr:uid="{00000000-0005-0000-0000-000059470000}"/>
    <cellStyle name="요약 2 4 3 7" xfId="20614" xr:uid="{00000000-0005-0000-0000-00005A470000}"/>
    <cellStyle name="요약 2 4 3 8" xfId="19159" xr:uid="{00000000-0005-0000-0000-00005B470000}"/>
    <cellStyle name="요약 2 4 3 9" xfId="24862" xr:uid="{00000000-0005-0000-0000-00005C470000}"/>
    <cellStyle name="요약 2 4 4" xfId="17682" xr:uid="{00000000-0005-0000-0000-00005D470000}"/>
    <cellStyle name="요약 2 4 4 2" xfId="22024" xr:uid="{00000000-0005-0000-0000-00005E470000}"/>
    <cellStyle name="요약 2 4 4 2 2" xfId="24737" xr:uid="{00000000-0005-0000-0000-00005F470000}"/>
    <cellStyle name="요약 2 4 4 2 3" xfId="26254" xr:uid="{00000000-0005-0000-0000-000060470000}"/>
    <cellStyle name="요약 2 4 4 2 4" xfId="29368" xr:uid="{00000000-0005-0000-0000-000061470000}"/>
    <cellStyle name="요약 2 4 4 3" xfId="22497" xr:uid="{00000000-0005-0000-0000-000062470000}"/>
    <cellStyle name="요약 2 4 4 3 2" xfId="19752" xr:uid="{00000000-0005-0000-0000-000063470000}"/>
    <cellStyle name="요약 2 4 4 3 3" xfId="26727" xr:uid="{00000000-0005-0000-0000-000064470000}"/>
    <cellStyle name="요약 2 4 4 3 4" xfId="29841" xr:uid="{00000000-0005-0000-0000-000065470000}"/>
    <cellStyle name="요약 2 4 4 4" xfId="22942" xr:uid="{00000000-0005-0000-0000-000066470000}"/>
    <cellStyle name="요약 2 4 4 4 2" xfId="20161" xr:uid="{00000000-0005-0000-0000-000067470000}"/>
    <cellStyle name="요약 2 4 4 4 3" xfId="27172" xr:uid="{00000000-0005-0000-0000-000068470000}"/>
    <cellStyle name="요약 2 4 4 4 4" xfId="30286" xr:uid="{00000000-0005-0000-0000-000069470000}"/>
    <cellStyle name="요약 2 4 4 5" xfId="23315" xr:uid="{00000000-0005-0000-0000-00006A470000}"/>
    <cellStyle name="요약 2 4 4 5 2" xfId="20355" xr:uid="{00000000-0005-0000-0000-00006B470000}"/>
    <cellStyle name="요약 2 4 4 5 3" xfId="27545" xr:uid="{00000000-0005-0000-0000-00006C470000}"/>
    <cellStyle name="요약 2 4 4 5 4" xfId="30659" xr:uid="{00000000-0005-0000-0000-00006D470000}"/>
    <cellStyle name="요약 2 4 4 6" xfId="23970" xr:uid="{00000000-0005-0000-0000-00006E470000}"/>
    <cellStyle name="요약 2 4 4 7" xfId="25703" xr:uid="{00000000-0005-0000-0000-00006F470000}"/>
    <cellStyle name="요약 2 4 4 8" xfId="28820" xr:uid="{00000000-0005-0000-0000-000070470000}"/>
    <cellStyle name="요약 2 4 5" xfId="20902" xr:uid="{00000000-0005-0000-0000-000071470000}"/>
    <cellStyle name="요약 2 4 5 2" xfId="24415" xr:uid="{00000000-0005-0000-0000-000072470000}"/>
    <cellStyle name="요약 2 4 5 3" xfId="25153" xr:uid="{00000000-0005-0000-0000-000073470000}"/>
    <cellStyle name="요약 2 4 5 4" xfId="28277" xr:uid="{00000000-0005-0000-0000-000074470000}"/>
    <cellStyle name="요약 2 4 6" xfId="18748" xr:uid="{00000000-0005-0000-0000-000075470000}"/>
    <cellStyle name="요약 2 4 7" xfId="18563" xr:uid="{00000000-0005-0000-0000-000076470000}"/>
    <cellStyle name="요약 2 4 8" xfId="18660" xr:uid="{00000000-0005-0000-0000-000077470000}"/>
    <cellStyle name="요약 2 4 9" xfId="17248" xr:uid="{00000000-0005-0000-0000-000078470000}"/>
    <cellStyle name="요약 2 5" xfId="12114" xr:uid="{00000000-0005-0000-0000-000079470000}"/>
    <cellStyle name="요약 2 5 2" xfId="14759" xr:uid="{00000000-0005-0000-0000-00007A470000}"/>
    <cellStyle name="요약 2 5 2 10" xfId="24975" xr:uid="{00000000-0005-0000-0000-00007B470000}"/>
    <cellStyle name="요약 2 5 2 11" xfId="28099" xr:uid="{00000000-0005-0000-0000-00007C470000}"/>
    <cellStyle name="요약 2 5 2 12" xfId="31075" xr:uid="{00000000-0005-0000-0000-00007D470000}"/>
    <cellStyle name="요약 2 5 2 13" xfId="17493" xr:uid="{00000000-0005-0000-0000-00007E470000}"/>
    <cellStyle name="요약 2 5 2 2" xfId="21757" xr:uid="{00000000-0005-0000-0000-00007F470000}"/>
    <cellStyle name="요약 2 5 2 2 2" xfId="22310" xr:uid="{00000000-0005-0000-0000-000080470000}"/>
    <cellStyle name="요약 2 5 2 2 2 2" xfId="19590" xr:uid="{00000000-0005-0000-0000-000081470000}"/>
    <cellStyle name="요약 2 5 2 2 2 3" xfId="26540" xr:uid="{00000000-0005-0000-0000-000082470000}"/>
    <cellStyle name="요약 2 5 2 2 2 4" xfId="29654" xr:uid="{00000000-0005-0000-0000-000083470000}"/>
    <cellStyle name="요약 2 5 2 2 3" xfId="22786" xr:uid="{00000000-0005-0000-0000-000084470000}"/>
    <cellStyle name="요약 2 5 2 2 3 2" xfId="20019" xr:uid="{00000000-0005-0000-0000-000085470000}"/>
    <cellStyle name="요약 2 5 2 2 3 3" xfId="27016" xr:uid="{00000000-0005-0000-0000-000086470000}"/>
    <cellStyle name="요약 2 5 2 2 3 4" xfId="30130" xr:uid="{00000000-0005-0000-0000-000087470000}"/>
    <cellStyle name="요약 2 5 2 2 4" xfId="23169" xr:uid="{00000000-0005-0000-0000-000088470000}"/>
    <cellStyle name="요약 2 5 2 2 4 2" xfId="19259" xr:uid="{00000000-0005-0000-0000-000089470000}"/>
    <cellStyle name="요약 2 5 2 2 4 3" xfId="27399" xr:uid="{00000000-0005-0000-0000-00008A470000}"/>
    <cellStyle name="요약 2 5 2 2 4 4" xfId="30513" xr:uid="{00000000-0005-0000-0000-00008B470000}"/>
    <cellStyle name="요약 2 5 2 2 5" xfId="23596" xr:uid="{00000000-0005-0000-0000-00008C470000}"/>
    <cellStyle name="요약 2 5 2 2 5 2" xfId="18252" xr:uid="{00000000-0005-0000-0000-00008D470000}"/>
    <cellStyle name="요약 2 5 2 2 5 3" xfId="27826" xr:uid="{00000000-0005-0000-0000-00008E470000}"/>
    <cellStyle name="요약 2 5 2 2 5 4" xfId="30940" xr:uid="{00000000-0005-0000-0000-00008F470000}"/>
    <cellStyle name="요약 2 5 2 2 6" xfId="23888" xr:uid="{00000000-0005-0000-0000-000090470000}"/>
    <cellStyle name="요약 2 5 2 2 7" xfId="25987" xr:uid="{00000000-0005-0000-0000-000091470000}"/>
    <cellStyle name="요약 2 5 2 2 8" xfId="29101" xr:uid="{00000000-0005-0000-0000-000092470000}"/>
    <cellStyle name="요약 2 5 2 3" xfId="21355" xr:uid="{00000000-0005-0000-0000-000093470000}"/>
    <cellStyle name="요약 2 5 2 3 2" xfId="24147" xr:uid="{00000000-0005-0000-0000-000094470000}"/>
    <cellStyle name="요약 2 5 2 3 3" xfId="25542" xr:uid="{00000000-0005-0000-0000-000095470000}"/>
    <cellStyle name="요약 2 5 2 3 4" xfId="28659" xr:uid="{00000000-0005-0000-0000-000096470000}"/>
    <cellStyle name="요약 2 5 2 4" xfId="21863" xr:uid="{00000000-0005-0000-0000-000097470000}"/>
    <cellStyle name="요약 2 5 2 4 2" xfId="23723" xr:uid="{00000000-0005-0000-0000-000098470000}"/>
    <cellStyle name="요약 2 5 2 4 3" xfId="26093" xr:uid="{00000000-0005-0000-0000-000099470000}"/>
    <cellStyle name="요약 2 5 2 4 4" xfId="29207" xr:uid="{00000000-0005-0000-0000-00009A470000}"/>
    <cellStyle name="요약 2 5 2 5" xfId="21259" xr:uid="{00000000-0005-0000-0000-00009B470000}"/>
    <cellStyle name="요약 2 5 2 5 2" xfId="24355" xr:uid="{00000000-0005-0000-0000-00009C470000}"/>
    <cellStyle name="요약 2 5 2 5 3" xfId="25473" xr:uid="{00000000-0005-0000-0000-00009D470000}"/>
    <cellStyle name="요약 2 5 2 5 4" xfId="28590" xr:uid="{00000000-0005-0000-0000-00009E470000}"/>
    <cellStyle name="요약 2 5 2 6" xfId="20995" xr:uid="{00000000-0005-0000-0000-00009F470000}"/>
    <cellStyle name="요약 2 5 2 6 2" xfId="24156" xr:uid="{00000000-0005-0000-0000-0000A0470000}"/>
    <cellStyle name="요약 2 5 2 6 3" xfId="25243" xr:uid="{00000000-0005-0000-0000-0000A1470000}"/>
    <cellStyle name="요약 2 5 2 6 4" xfId="28367" xr:uid="{00000000-0005-0000-0000-0000A2470000}"/>
    <cellStyle name="요약 2 5 2 7" xfId="21093" xr:uid="{00000000-0005-0000-0000-0000A3470000}"/>
    <cellStyle name="요약 2 5 2 7 2" xfId="24430" xr:uid="{00000000-0005-0000-0000-0000A4470000}"/>
    <cellStyle name="요약 2 5 2 7 3" xfId="25338" xr:uid="{00000000-0005-0000-0000-0000A5470000}"/>
    <cellStyle name="요약 2 5 2 7 4" xfId="28462" xr:uid="{00000000-0005-0000-0000-0000A6470000}"/>
    <cellStyle name="요약 2 5 2 8" xfId="20727" xr:uid="{00000000-0005-0000-0000-0000A7470000}"/>
    <cellStyle name="요약 2 5 2 9" xfId="19031" xr:uid="{00000000-0005-0000-0000-0000A8470000}"/>
    <cellStyle name="요약 2 5 3" xfId="15385" xr:uid="{00000000-0005-0000-0000-0000A9470000}"/>
    <cellStyle name="요약 2 5 3 10" xfId="27988" xr:uid="{00000000-0005-0000-0000-0000AA470000}"/>
    <cellStyle name="요약 2 5 3 11" xfId="17578" xr:uid="{00000000-0005-0000-0000-0000AB470000}"/>
    <cellStyle name="요약 2 5 3 2" xfId="15300" xr:uid="{00000000-0005-0000-0000-0000AC470000}"/>
    <cellStyle name="요약 2 5 3 2 2" xfId="19306" xr:uid="{00000000-0005-0000-0000-0000AD470000}"/>
    <cellStyle name="요약 2 5 3 2 3" xfId="25876" xr:uid="{00000000-0005-0000-0000-0000AE470000}"/>
    <cellStyle name="요약 2 5 3 2 4" xfId="28990" xr:uid="{00000000-0005-0000-0000-0000AF470000}"/>
    <cellStyle name="요약 2 5 3 2 5" xfId="21646" xr:uid="{00000000-0005-0000-0000-0000B0470000}"/>
    <cellStyle name="요약 2 5 3 3" xfId="16918" xr:uid="{00000000-0005-0000-0000-0000B1470000}"/>
    <cellStyle name="요약 2 5 3 3 2" xfId="18350" xr:uid="{00000000-0005-0000-0000-0000B2470000}"/>
    <cellStyle name="요약 2 5 3 3 3" xfId="26429" xr:uid="{00000000-0005-0000-0000-0000B3470000}"/>
    <cellStyle name="요약 2 5 3 3 4" xfId="29543" xr:uid="{00000000-0005-0000-0000-0000B4470000}"/>
    <cellStyle name="요약 2 5 3 3 5" xfId="22199" xr:uid="{00000000-0005-0000-0000-0000B5470000}"/>
    <cellStyle name="요약 2 5 3 4" xfId="16919" xr:uid="{00000000-0005-0000-0000-0000B6470000}"/>
    <cellStyle name="요약 2 5 3 4 2" xfId="19917" xr:uid="{00000000-0005-0000-0000-0000B7470000}"/>
    <cellStyle name="요약 2 5 3 4 3" xfId="26905" xr:uid="{00000000-0005-0000-0000-0000B8470000}"/>
    <cellStyle name="요약 2 5 3 4 4" xfId="30019" xr:uid="{00000000-0005-0000-0000-0000B9470000}"/>
    <cellStyle name="요약 2 5 3 4 5" xfId="22675" xr:uid="{00000000-0005-0000-0000-0000BA470000}"/>
    <cellStyle name="요약 2 5 3 5" xfId="23085" xr:uid="{00000000-0005-0000-0000-0000BB470000}"/>
    <cellStyle name="요약 2 5 3 5 2" xfId="19181" xr:uid="{00000000-0005-0000-0000-0000BC470000}"/>
    <cellStyle name="요약 2 5 3 5 3" xfId="27315" xr:uid="{00000000-0005-0000-0000-0000BD470000}"/>
    <cellStyle name="요약 2 5 3 5 4" xfId="30429" xr:uid="{00000000-0005-0000-0000-0000BE470000}"/>
    <cellStyle name="요약 2 5 3 6" xfId="23485" xr:uid="{00000000-0005-0000-0000-0000BF470000}"/>
    <cellStyle name="요약 2 5 3 6 2" xfId="18148" xr:uid="{00000000-0005-0000-0000-0000C0470000}"/>
    <cellStyle name="요약 2 5 3 6 3" xfId="27715" xr:uid="{00000000-0005-0000-0000-0000C1470000}"/>
    <cellStyle name="요약 2 5 3 6 4" xfId="30829" xr:uid="{00000000-0005-0000-0000-0000C2470000}"/>
    <cellStyle name="요약 2 5 3 7" xfId="20616" xr:uid="{00000000-0005-0000-0000-0000C3470000}"/>
    <cellStyle name="요약 2 5 3 8" xfId="18921" xr:uid="{00000000-0005-0000-0000-0000C4470000}"/>
    <cellStyle name="요약 2 5 3 9" xfId="24864" xr:uid="{00000000-0005-0000-0000-0000C5470000}"/>
    <cellStyle name="요약 2 5 4" xfId="17681" xr:uid="{00000000-0005-0000-0000-0000C6470000}"/>
    <cellStyle name="요약 2 5 4 2" xfId="22025" xr:uid="{00000000-0005-0000-0000-0000C7470000}"/>
    <cellStyle name="요약 2 5 4 2 2" xfId="24603" xr:uid="{00000000-0005-0000-0000-0000C8470000}"/>
    <cellStyle name="요약 2 5 4 2 3" xfId="26255" xr:uid="{00000000-0005-0000-0000-0000C9470000}"/>
    <cellStyle name="요약 2 5 4 2 4" xfId="29369" xr:uid="{00000000-0005-0000-0000-0000CA470000}"/>
    <cellStyle name="요약 2 5 4 3" xfId="22498" xr:uid="{00000000-0005-0000-0000-0000CB470000}"/>
    <cellStyle name="요약 2 5 4 3 2" xfId="19753" xr:uid="{00000000-0005-0000-0000-0000CC470000}"/>
    <cellStyle name="요약 2 5 4 3 3" xfId="26728" xr:uid="{00000000-0005-0000-0000-0000CD470000}"/>
    <cellStyle name="요약 2 5 4 3 4" xfId="29842" xr:uid="{00000000-0005-0000-0000-0000CE470000}"/>
    <cellStyle name="요약 2 5 4 4" xfId="22943" xr:uid="{00000000-0005-0000-0000-0000CF470000}"/>
    <cellStyle name="요약 2 5 4 4 2" xfId="20162" xr:uid="{00000000-0005-0000-0000-0000D0470000}"/>
    <cellStyle name="요약 2 5 4 4 3" xfId="27173" xr:uid="{00000000-0005-0000-0000-0000D1470000}"/>
    <cellStyle name="요약 2 5 4 4 4" xfId="30287" xr:uid="{00000000-0005-0000-0000-0000D2470000}"/>
    <cellStyle name="요약 2 5 4 5" xfId="23316" xr:uid="{00000000-0005-0000-0000-0000D3470000}"/>
    <cellStyle name="요약 2 5 4 5 2" xfId="20356" xr:uid="{00000000-0005-0000-0000-0000D4470000}"/>
    <cellStyle name="요약 2 5 4 5 3" xfId="27546" xr:uid="{00000000-0005-0000-0000-0000D5470000}"/>
    <cellStyle name="요약 2 5 4 5 4" xfId="30660" xr:uid="{00000000-0005-0000-0000-0000D6470000}"/>
    <cellStyle name="요약 2 5 4 6" xfId="24728" xr:uid="{00000000-0005-0000-0000-0000D7470000}"/>
    <cellStyle name="요약 2 5 4 7" xfId="25704" xr:uid="{00000000-0005-0000-0000-0000D8470000}"/>
    <cellStyle name="요약 2 5 4 8" xfId="28821" xr:uid="{00000000-0005-0000-0000-0000D9470000}"/>
    <cellStyle name="요약 2 5 5" xfId="20903" xr:uid="{00000000-0005-0000-0000-0000DA470000}"/>
    <cellStyle name="요약 2 5 5 2" xfId="24244" xr:uid="{00000000-0005-0000-0000-0000DB470000}"/>
    <cellStyle name="요약 2 5 5 3" xfId="25154" xr:uid="{00000000-0005-0000-0000-0000DC470000}"/>
    <cellStyle name="요약 2 5 5 4" xfId="28278" xr:uid="{00000000-0005-0000-0000-0000DD470000}"/>
    <cellStyle name="요약 2 5 6" xfId="18749" xr:uid="{00000000-0005-0000-0000-0000DE470000}"/>
    <cellStyle name="요약 2 5 7" xfId="18562" xr:uid="{00000000-0005-0000-0000-0000DF470000}"/>
    <cellStyle name="요약 2 5 8" xfId="18661" xr:uid="{00000000-0005-0000-0000-0000E0470000}"/>
    <cellStyle name="요약 2 5 9" xfId="17249" xr:uid="{00000000-0005-0000-0000-0000E1470000}"/>
    <cellStyle name="요약 2 6" xfId="12115" xr:uid="{00000000-0005-0000-0000-0000E2470000}"/>
    <cellStyle name="요약 2 6 2" xfId="14760" xr:uid="{00000000-0005-0000-0000-0000E3470000}"/>
    <cellStyle name="요약 2 6 2 10" xfId="24976" xr:uid="{00000000-0005-0000-0000-0000E4470000}"/>
    <cellStyle name="요약 2 6 2 11" xfId="28100" xr:uid="{00000000-0005-0000-0000-0000E5470000}"/>
    <cellStyle name="요약 2 6 2 12" xfId="31076" xr:uid="{00000000-0005-0000-0000-0000E6470000}"/>
    <cellStyle name="요약 2 6 2 13" xfId="17492" xr:uid="{00000000-0005-0000-0000-0000E7470000}"/>
    <cellStyle name="요약 2 6 2 2" xfId="21758" xr:uid="{00000000-0005-0000-0000-0000E8470000}"/>
    <cellStyle name="요약 2 6 2 2 2" xfId="22311" xr:uid="{00000000-0005-0000-0000-0000E9470000}"/>
    <cellStyle name="요약 2 6 2 2 2 2" xfId="19591" xr:uid="{00000000-0005-0000-0000-0000EA470000}"/>
    <cellStyle name="요약 2 6 2 2 2 3" xfId="26541" xr:uid="{00000000-0005-0000-0000-0000EB470000}"/>
    <cellStyle name="요약 2 6 2 2 2 4" xfId="29655" xr:uid="{00000000-0005-0000-0000-0000EC470000}"/>
    <cellStyle name="요약 2 6 2 2 3" xfId="22787" xr:uid="{00000000-0005-0000-0000-0000ED470000}"/>
    <cellStyle name="요약 2 6 2 2 3 2" xfId="19384" xr:uid="{00000000-0005-0000-0000-0000EE470000}"/>
    <cellStyle name="요약 2 6 2 2 3 3" xfId="27017" xr:uid="{00000000-0005-0000-0000-0000EF470000}"/>
    <cellStyle name="요약 2 6 2 2 3 4" xfId="30131" xr:uid="{00000000-0005-0000-0000-0000F0470000}"/>
    <cellStyle name="요약 2 6 2 2 4" xfId="23170" xr:uid="{00000000-0005-0000-0000-0000F1470000}"/>
    <cellStyle name="요약 2 6 2 2 4 2" xfId="19260" xr:uid="{00000000-0005-0000-0000-0000F2470000}"/>
    <cellStyle name="요약 2 6 2 2 4 3" xfId="27400" xr:uid="{00000000-0005-0000-0000-0000F3470000}"/>
    <cellStyle name="요약 2 6 2 2 4 4" xfId="30514" xr:uid="{00000000-0005-0000-0000-0000F4470000}"/>
    <cellStyle name="요약 2 6 2 2 5" xfId="23597" xr:uid="{00000000-0005-0000-0000-0000F5470000}"/>
    <cellStyle name="요약 2 6 2 2 5 2" xfId="18253" xr:uid="{00000000-0005-0000-0000-0000F6470000}"/>
    <cellStyle name="요약 2 6 2 2 5 3" xfId="27827" xr:uid="{00000000-0005-0000-0000-0000F7470000}"/>
    <cellStyle name="요약 2 6 2 2 5 4" xfId="30941" xr:uid="{00000000-0005-0000-0000-0000F8470000}"/>
    <cellStyle name="요약 2 6 2 2 6" xfId="23698" xr:uid="{00000000-0005-0000-0000-0000F9470000}"/>
    <cellStyle name="요약 2 6 2 2 7" xfId="25988" xr:uid="{00000000-0005-0000-0000-0000FA470000}"/>
    <cellStyle name="요약 2 6 2 2 8" xfId="29102" xr:uid="{00000000-0005-0000-0000-0000FB470000}"/>
    <cellStyle name="요약 2 6 2 3" xfId="21356" xr:uid="{00000000-0005-0000-0000-0000FC470000}"/>
    <cellStyle name="요약 2 6 2 3 2" xfId="23678" xr:uid="{00000000-0005-0000-0000-0000FD470000}"/>
    <cellStyle name="요약 2 6 2 3 3" xfId="25543" xr:uid="{00000000-0005-0000-0000-0000FE470000}"/>
    <cellStyle name="요약 2 6 2 3 4" xfId="28660" xr:uid="{00000000-0005-0000-0000-0000FF470000}"/>
    <cellStyle name="요약 2 6 2 4" xfId="21864" xr:uid="{00000000-0005-0000-0000-000000480000}"/>
    <cellStyle name="요약 2 6 2 4 2" xfId="24640" xr:uid="{00000000-0005-0000-0000-000001480000}"/>
    <cellStyle name="요약 2 6 2 4 3" xfId="26094" xr:uid="{00000000-0005-0000-0000-000002480000}"/>
    <cellStyle name="요약 2 6 2 4 4" xfId="29208" xr:uid="{00000000-0005-0000-0000-000003480000}"/>
    <cellStyle name="요약 2 6 2 5" xfId="21260" xr:uid="{00000000-0005-0000-0000-000004480000}"/>
    <cellStyle name="요약 2 6 2 5 2" xfId="24183" xr:uid="{00000000-0005-0000-0000-000005480000}"/>
    <cellStyle name="요약 2 6 2 5 3" xfId="25474" xr:uid="{00000000-0005-0000-0000-000006480000}"/>
    <cellStyle name="요약 2 6 2 5 4" xfId="28591" xr:uid="{00000000-0005-0000-0000-000007480000}"/>
    <cellStyle name="요약 2 6 2 6" xfId="21065" xr:uid="{00000000-0005-0000-0000-000008480000}"/>
    <cellStyle name="요약 2 6 2 6 2" xfId="23910" xr:uid="{00000000-0005-0000-0000-000009480000}"/>
    <cellStyle name="요약 2 6 2 6 3" xfId="25310" xr:uid="{00000000-0005-0000-0000-00000A480000}"/>
    <cellStyle name="요약 2 6 2 6 4" xfId="28434" xr:uid="{00000000-0005-0000-0000-00000B480000}"/>
    <cellStyle name="요약 2 6 2 7" xfId="21085" xr:uid="{00000000-0005-0000-0000-00000C480000}"/>
    <cellStyle name="요약 2 6 2 7 2" xfId="24237" xr:uid="{00000000-0005-0000-0000-00000D480000}"/>
    <cellStyle name="요약 2 6 2 7 3" xfId="25330" xr:uid="{00000000-0005-0000-0000-00000E480000}"/>
    <cellStyle name="요약 2 6 2 7 4" xfId="28454" xr:uid="{00000000-0005-0000-0000-00000F480000}"/>
    <cellStyle name="요약 2 6 2 8" xfId="20728" xr:uid="{00000000-0005-0000-0000-000010480000}"/>
    <cellStyle name="요약 2 6 2 9" xfId="19032" xr:uid="{00000000-0005-0000-0000-000011480000}"/>
    <cellStyle name="요약 2 6 3" xfId="15386" xr:uid="{00000000-0005-0000-0000-000012480000}"/>
    <cellStyle name="요약 2 6 3 10" xfId="27989" xr:uid="{00000000-0005-0000-0000-000013480000}"/>
    <cellStyle name="요약 2 6 3 11" xfId="17577" xr:uid="{00000000-0005-0000-0000-000014480000}"/>
    <cellStyle name="요약 2 6 3 2" xfId="15299" xr:uid="{00000000-0005-0000-0000-000015480000}"/>
    <cellStyle name="요약 2 6 3 2 2" xfId="23731" xr:uid="{00000000-0005-0000-0000-000016480000}"/>
    <cellStyle name="요약 2 6 3 2 3" xfId="25877" xr:uid="{00000000-0005-0000-0000-000017480000}"/>
    <cellStyle name="요약 2 6 3 2 4" xfId="28991" xr:uid="{00000000-0005-0000-0000-000018480000}"/>
    <cellStyle name="요약 2 6 3 2 5" xfId="21647" xr:uid="{00000000-0005-0000-0000-000019480000}"/>
    <cellStyle name="요약 2 6 3 3" xfId="16920" xr:uid="{00000000-0005-0000-0000-00001A480000}"/>
    <cellStyle name="요약 2 6 3 3 2" xfId="18351" xr:uid="{00000000-0005-0000-0000-00001B480000}"/>
    <cellStyle name="요약 2 6 3 3 3" xfId="26430" xr:uid="{00000000-0005-0000-0000-00001C480000}"/>
    <cellStyle name="요약 2 6 3 3 4" xfId="29544" xr:uid="{00000000-0005-0000-0000-00001D480000}"/>
    <cellStyle name="요약 2 6 3 3 5" xfId="22200" xr:uid="{00000000-0005-0000-0000-00001E480000}"/>
    <cellStyle name="요약 2 6 3 4" xfId="16921" xr:uid="{00000000-0005-0000-0000-00001F480000}"/>
    <cellStyle name="요약 2 6 3 4 2" xfId="19380" xr:uid="{00000000-0005-0000-0000-000020480000}"/>
    <cellStyle name="요약 2 6 3 4 3" xfId="26906" xr:uid="{00000000-0005-0000-0000-000021480000}"/>
    <cellStyle name="요약 2 6 3 4 4" xfId="30020" xr:uid="{00000000-0005-0000-0000-000022480000}"/>
    <cellStyle name="요약 2 6 3 4 5" xfId="22676" xr:uid="{00000000-0005-0000-0000-000023480000}"/>
    <cellStyle name="요약 2 6 3 5" xfId="23086" xr:uid="{00000000-0005-0000-0000-000024480000}"/>
    <cellStyle name="요약 2 6 3 5 2" xfId="19182" xr:uid="{00000000-0005-0000-0000-000025480000}"/>
    <cellStyle name="요약 2 6 3 5 3" xfId="27316" xr:uid="{00000000-0005-0000-0000-000026480000}"/>
    <cellStyle name="요약 2 6 3 5 4" xfId="30430" xr:uid="{00000000-0005-0000-0000-000027480000}"/>
    <cellStyle name="요약 2 6 3 6" xfId="23486" xr:uid="{00000000-0005-0000-0000-000028480000}"/>
    <cellStyle name="요약 2 6 3 6 2" xfId="18149" xr:uid="{00000000-0005-0000-0000-000029480000}"/>
    <cellStyle name="요약 2 6 3 6 3" xfId="27716" xr:uid="{00000000-0005-0000-0000-00002A480000}"/>
    <cellStyle name="요약 2 6 3 6 4" xfId="30830" xr:uid="{00000000-0005-0000-0000-00002B480000}"/>
    <cellStyle name="요약 2 6 3 7" xfId="20617" xr:uid="{00000000-0005-0000-0000-00002C480000}"/>
    <cellStyle name="요약 2 6 3 8" xfId="18922" xr:uid="{00000000-0005-0000-0000-00002D480000}"/>
    <cellStyle name="요약 2 6 3 9" xfId="24865" xr:uid="{00000000-0005-0000-0000-00002E480000}"/>
    <cellStyle name="요약 2 6 4" xfId="17680" xr:uid="{00000000-0005-0000-0000-00002F480000}"/>
    <cellStyle name="요약 2 6 4 2" xfId="22026" xr:uid="{00000000-0005-0000-0000-000030480000}"/>
    <cellStyle name="요약 2 6 4 2 2" xfId="24476" xr:uid="{00000000-0005-0000-0000-000031480000}"/>
    <cellStyle name="요약 2 6 4 2 3" xfId="26256" xr:uid="{00000000-0005-0000-0000-000032480000}"/>
    <cellStyle name="요약 2 6 4 2 4" xfId="29370" xr:uid="{00000000-0005-0000-0000-000033480000}"/>
    <cellStyle name="요약 2 6 4 3" xfId="22499" xr:uid="{00000000-0005-0000-0000-000034480000}"/>
    <cellStyle name="요약 2 6 4 3 2" xfId="19754" xr:uid="{00000000-0005-0000-0000-000035480000}"/>
    <cellStyle name="요약 2 6 4 3 3" xfId="26729" xr:uid="{00000000-0005-0000-0000-000036480000}"/>
    <cellStyle name="요약 2 6 4 3 4" xfId="29843" xr:uid="{00000000-0005-0000-0000-000037480000}"/>
    <cellStyle name="요약 2 6 4 4" xfId="22944" xr:uid="{00000000-0005-0000-0000-000038480000}"/>
    <cellStyle name="요약 2 6 4 4 2" xfId="20163" xr:uid="{00000000-0005-0000-0000-000039480000}"/>
    <cellStyle name="요약 2 6 4 4 3" xfId="27174" xr:uid="{00000000-0005-0000-0000-00003A480000}"/>
    <cellStyle name="요약 2 6 4 4 4" xfId="30288" xr:uid="{00000000-0005-0000-0000-00003B480000}"/>
    <cellStyle name="요약 2 6 4 5" xfId="23317" xr:uid="{00000000-0005-0000-0000-00003C480000}"/>
    <cellStyle name="요약 2 6 4 5 2" xfId="20357" xr:uid="{00000000-0005-0000-0000-00003D480000}"/>
    <cellStyle name="요약 2 6 4 5 3" xfId="27547" xr:uid="{00000000-0005-0000-0000-00003E480000}"/>
    <cellStyle name="요약 2 6 4 5 4" xfId="30661" xr:uid="{00000000-0005-0000-0000-00003F480000}"/>
    <cellStyle name="요약 2 6 4 6" xfId="24467" xr:uid="{00000000-0005-0000-0000-000040480000}"/>
    <cellStyle name="요약 2 6 4 7" xfId="25705" xr:uid="{00000000-0005-0000-0000-000041480000}"/>
    <cellStyle name="요약 2 6 4 8" xfId="28822" xr:uid="{00000000-0005-0000-0000-000042480000}"/>
    <cellStyle name="요약 2 6 5" xfId="20904" xr:uid="{00000000-0005-0000-0000-000043480000}"/>
    <cellStyle name="요약 2 6 5 2" xfId="24034" xr:uid="{00000000-0005-0000-0000-000044480000}"/>
    <cellStyle name="요약 2 6 5 3" xfId="25155" xr:uid="{00000000-0005-0000-0000-000045480000}"/>
    <cellStyle name="요약 2 6 5 4" xfId="28279" xr:uid="{00000000-0005-0000-0000-000046480000}"/>
    <cellStyle name="요약 2 6 6" xfId="18750" xr:uid="{00000000-0005-0000-0000-000047480000}"/>
    <cellStyle name="요약 2 6 7" xfId="18561" xr:uid="{00000000-0005-0000-0000-000048480000}"/>
    <cellStyle name="요약 2 6 8" xfId="18662" xr:uid="{00000000-0005-0000-0000-000049480000}"/>
    <cellStyle name="요약 2 6 9" xfId="17250" xr:uid="{00000000-0005-0000-0000-00004A480000}"/>
    <cellStyle name="요약 2 7" xfId="12116" xr:uid="{00000000-0005-0000-0000-00004B480000}"/>
    <cellStyle name="요약 2 7 2" xfId="14761" xr:uid="{00000000-0005-0000-0000-00004C480000}"/>
    <cellStyle name="요약 2 7 2 10" xfId="24977" xr:uid="{00000000-0005-0000-0000-00004D480000}"/>
    <cellStyle name="요약 2 7 2 11" xfId="28101" xr:uid="{00000000-0005-0000-0000-00004E480000}"/>
    <cellStyle name="요약 2 7 2 12" xfId="31077" xr:uid="{00000000-0005-0000-0000-00004F480000}"/>
    <cellStyle name="요약 2 7 2 13" xfId="17491" xr:uid="{00000000-0005-0000-0000-000050480000}"/>
    <cellStyle name="요약 2 7 2 2" xfId="21759" xr:uid="{00000000-0005-0000-0000-000051480000}"/>
    <cellStyle name="요약 2 7 2 2 2" xfId="22312" xr:uid="{00000000-0005-0000-0000-000052480000}"/>
    <cellStyle name="요약 2 7 2 2 2 2" xfId="19592" xr:uid="{00000000-0005-0000-0000-000053480000}"/>
    <cellStyle name="요약 2 7 2 2 2 3" xfId="26542" xr:uid="{00000000-0005-0000-0000-000054480000}"/>
    <cellStyle name="요약 2 7 2 2 2 4" xfId="29656" xr:uid="{00000000-0005-0000-0000-000055480000}"/>
    <cellStyle name="요약 2 7 2 2 3" xfId="22788" xr:uid="{00000000-0005-0000-0000-000056480000}"/>
    <cellStyle name="요약 2 7 2 2 3 2" xfId="20020" xr:uid="{00000000-0005-0000-0000-000057480000}"/>
    <cellStyle name="요약 2 7 2 2 3 3" xfId="27018" xr:uid="{00000000-0005-0000-0000-000058480000}"/>
    <cellStyle name="요약 2 7 2 2 3 4" xfId="30132" xr:uid="{00000000-0005-0000-0000-000059480000}"/>
    <cellStyle name="요약 2 7 2 2 4" xfId="23171" xr:uid="{00000000-0005-0000-0000-00005A480000}"/>
    <cellStyle name="요약 2 7 2 2 4 2" xfId="19261" xr:uid="{00000000-0005-0000-0000-00005B480000}"/>
    <cellStyle name="요약 2 7 2 2 4 3" xfId="27401" xr:uid="{00000000-0005-0000-0000-00005C480000}"/>
    <cellStyle name="요약 2 7 2 2 4 4" xfId="30515" xr:uid="{00000000-0005-0000-0000-00005D480000}"/>
    <cellStyle name="요약 2 7 2 2 5" xfId="23598" xr:uid="{00000000-0005-0000-0000-00005E480000}"/>
    <cellStyle name="요약 2 7 2 2 5 2" xfId="18254" xr:uid="{00000000-0005-0000-0000-00005F480000}"/>
    <cellStyle name="요약 2 7 2 2 5 3" xfId="27828" xr:uid="{00000000-0005-0000-0000-000060480000}"/>
    <cellStyle name="요약 2 7 2 2 5 4" xfId="30942" xr:uid="{00000000-0005-0000-0000-000061480000}"/>
    <cellStyle name="요약 2 7 2 2 6" xfId="23937" xr:uid="{00000000-0005-0000-0000-000062480000}"/>
    <cellStyle name="요약 2 7 2 2 7" xfId="25989" xr:uid="{00000000-0005-0000-0000-000063480000}"/>
    <cellStyle name="요약 2 7 2 2 8" xfId="29103" xr:uid="{00000000-0005-0000-0000-000064480000}"/>
    <cellStyle name="요약 2 7 2 3" xfId="21357" xr:uid="{00000000-0005-0000-0000-000065480000}"/>
    <cellStyle name="요약 2 7 2 3 2" xfId="19443" xr:uid="{00000000-0005-0000-0000-000066480000}"/>
    <cellStyle name="요약 2 7 2 3 3" xfId="25544" xr:uid="{00000000-0005-0000-0000-000067480000}"/>
    <cellStyle name="요약 2 7 2 3 4" xfId="28661" xr:uid="{00000000-0005-0000-0000-000068480000}"/>
    <cellStyle name="요약 2 7 2 4" xfId="21865" xr:uid="{00000000-0005-0000-0000-000069480000}"/>
    <cellStyle name="요약 2 7 2 4 2" xfId="24555" xr:uid="{00000000-0005-0000-0000-00006A480000}"/>
    <cellStyle name="요약 2 7 2 4 3" xfId="26095" xr:uid="{00000000-0005-0000-0000-00006B480000}"/>
    <cellStyle name="요약 2 7 2 4 4" xfId="29209" xr:uid="{00000000-0005-0000-0000-00006C480000}"/>
    <cellStyle name="요약 2 7 2 5" xfId="21261" xr:uid="{00000000-0005-0000-0000-00006D480000}"/>
    <cellStyle name="요약 2 7 2 5 2" xfId="23976" xr:uid="{00000000-0005-0000-0000-00006E480000}"/>
    <cellStyle name="요약 2 7 2 5 3" xfId="25475" xr:uid="{00000000-0005-0000-0000-00006F480000}"/>
    <cellStyle name="요약 2 7 2 5 4" xfId="28592" xr:uid="{00000000-0005-0000-0000-000070480000}"/>
    <cellStyle name="요약 2 7 2 6" xfId="22109" xr:uid="{00000000-0005-0000-0000-000071480000}"/>
    <cellStyle name="요약 2 7 2 6 2" xfId="24701" xr:uid="{00000000-0005-0000-0000-000072480000}"/>
    <cellStyle name="요약 2 7 2 6 3" xfId="26339" xr:uid="{00000000-0005-0000-0000-000073480000}"/>
    <cellStyle name="요약 2 7 2 6 4" xfId="29453" xr:uid="{00000000-0005-0000-0000-000074480000}"/>
    <cellStyle name="요약 2 7 2 7" xfId="20989" xr:uid="{00000000-0005-0000-0000-000075480000}"/>
    <cellStyle name="요약 2 7 2 7 2" xfId="24081" xr:uid="{00000000-0005-0000-0000-000076480000}"/>
    <cellStyle name="요약 2 7 2 7 3" xfId="25237" xr:uid="{00000000-0005-0000-0000-000077480000}"/>
    <cellStyle name="요약 2 7 2 7 4" xfId="28361" xr:uid="{00000000-0005-0000-0000-000078480000}"/>
    <cellStyle name="요약 2 7 2 8" xfId="20729" xr:uid="{00000000-0005-0000-0000-000079480000}"/>
    <cellStyle name="요약 2 7 2 9" xfId="19033" xr:uid="{00000000-0005-0000-0000-00007A480000}"/>
    <cellStyle name="요약 2 7 3" xfId="15387" xr:uid="{00000000-0005-0000-0000-00007B480000}"/>
    <cellStyle name="요약 2 7 3 10" xfId="27990" xr:uid="{00000000-0005-0000-0000-00007C480000}"/>
    <cellStyle name="요약 2 7 3 11" xfId="17576" xr:uid="{00000000-0005-0000-0000-00007D480000}"/>
    <cellStyle name="요약 2 7 3 2" xfId="15298" xr:uid="{00000000-0005-0000-0000-00007E480000}"/>
    <cellStyle name="요약 2 7 3 2 2" xfId="24649" xr:uid="{00000000-0005-0000-0000-00007F480000}"/>
    <cellStyle name="요약 2 7 3 2 3" xfId="25878" xr:uid="{00000000-0005-0000-0000-000080480000}"/>
    <cellStyle name="요약 2 7 3 2 4" xfId="28992" xr:uid="{00000000-0005-0000-0000-000081480000}"/>
    <cellStyle name="요약 2 7 3 2 5" xfId="21648" xr:uid="{00000000-0005-0000-0000-000082480000}"/>
    <cellStyle name="요약 2 7 3 3" xfId="16922" xr:uid="{00000000-0005-0000-0000-000083480000}"/>
    <cellStyle name="요약 2 7 3 3 2" xfId="18352" xr:uid="{00000000-0005-0000-0000-000084480000}"/>
    <cellStyle name="요약 2 7 3 3 3" xfId="26431" xr:uid="{00000000-0005-0000-0000-000085480000}"/>
    <cellStyle name="요약 2 7 3 3 4" xfId="29545" xr:uid="{00000000-0005-0000-0000-000086480000}"/>
    <cellStyle name="요약 2 7 3 3 5" xfId="22201" xr:uid="{00000000-0005-0000-0000-000087480000}"/>
    <cellStyle name="요약 2 7 3 4" xfId="16923" xr:uid="{00000000-0005-0000-0000-000088480000}"/>
    <cellStyle name="요약 2 7 3 4 2" xfId="19918" xr:uid="{00000000-0005-0000-0000-000089480000}"/>
    <cellStyle name="요약 2 7 3 4 3" xfId="26907" xr:uid="{00000000-0005-0000-0000-00008A480000}"/>
    <cellStyle name="요약 2 7 3 4 4" xfId="30021" xr:uid="{00000000-0005-0000-0000-00008B480000}"/>
    <cellStyle name="요약 2 7 3 4 5" xfId="22677" xr:uid="{00000000-0005-0000-0000-00008C480000}"/>
    <cellStyle name="요약 2 7 3 5" xfId="23087" xr:uid="{00000000-0005-0000-0000-00008D480000}"/>
    <cellStyle name="요약 2 7 3 5 2" xfId="19183" xr:uid="{00000000-0005-0000-0000-00008E480000}"/>
    <cellStyle name="요약 2 7 3 5 3" xfId="27317" xr:uid="{00000000-0005-0000-0000-00008F480000}"/>
    <cellStyle name="요약 2 7 3 5 4" xfId="30431" xr:uid="{00000000-0005-0000-0000-000090480000}"/>
    <cellStyle name="요약 2 7 3 6" xfId="23487" xr:uid="{00000000-0005-0000-0000-000091480000}"/>
    <cellStyle name="요약 2 7 3 6 2" xfId="18150" xr:uid="{00000000-0005-0000-0000-000092480000}"/>
    <cellStyle name="요약 2 7 3 6 3" xfId="27717" xr:uid="{00000000-0005-0000-0000-000093480000}"/>
    <cellStyle name="요약 2 7 3 6 4" xfId="30831" xr:uid="{00000000-0005-0000-0000-000094480000}"/>
    <cellStyle name="요약 2 7 3 7" xfId="20618" xr:uid="{00000000-0005-0000-0000-000095480000}"/>
    <cellStyle name="요약 2 7 3 8" xfId="18923" xr:uid="{00000000-0005-0000-0000-000096480000}"/>
    <cellStyle name="요약 2 7 3 9" xfId="24866" xr:uid="{00000000-0005-0000-0000-000097480000}"/>
    <cellStyle name="요약 2 7 4" xfId="17679" xr:uid="{00000000-0005-0000-0000-000098480000}"/>
    <cellStyle name="요약 2 7 4 2" xfId="22027" xr:uid="{00000000-0005-0000-0000-000099480000}"/>
    <cellStyle name="요약 2 7 4 2 2" xfId="24303" xr:uid="{00000000-0005-0000-0000-00009A480000}"/>
    <cellStyle name="요약 2 7 4 2 3" xfId="26257" xr:uid="{00000000-0005-0000-0000-00009B480000}"/>
    <cellStyle name="요약 2 7 4 2 4" xfId="29371" xr:uid="{00000000-0005-0000-0000-00009C480000}"/>
    <cellStyle name="요약 2 7 4 3" xfId="22500" xr:uid="{00000000-0005-0000-0000-00009D480000}"/>
    <cellStyle name="요약 2 7 4 3 2" xfId="19755" xr:uid="{00000000-0005-0000-0000-00009E480000}"/>
    <cellStyle name="요약 2 7 4 3 3" xfId="26730" xr:uid="{00000000-0005-0000-0000-00009F480000}"/>
    <cellStyle name="요약 2 7 4 3 4" xfId="29844" xr:uid="{00000000-0005-0000-0000-0000A0480000}"/>
    <cellStyle name="요약 2 7 4 4" xfId="22945" xr:uid="{00000000-0005-0000-0000-0000A1480000}"/>
    <cellStyle name="요약 2 7 4 4 2" xfId="20164" xr:uid="{00000000-0005-0000-0000-0000A2480000}"/>
    <cellStyle name="요약 2 7 4 4 3" xfId="27175" xr:uid="{00000000-0005-0000-0000-0000A3480000}"/>
    <cellStyle name="요약 2 7 4 4 4" xfId="30289" xr:uid="{00000000-0005-0000-0000-0000A4480000}"/>
    <cellStyle name="요약 2 7 4 5" xfId="23318" xr:uid="{00000000-0005-0000-0000-0000A5480000}"/>
    <cellStyle name="요약 2 7 4 5 2" xfId="20358" xr:uid="{00000000-0005-0000-0000-0000A6480000}"/>
    <cellStyle name="요약 2 7 4 5 3" xfId="27548" xr:uid="{00000000-0005-0000-0000-0000A7480000}"/>
    <cellStyle name="요약 2 7 4 5 4" xfId="30662" xr:uid="{00000000-0005-0000-0000-0000A8480000}"/>
    <cellStyle name="요약 2 7 4 6" xfId="24294" xr:uid="{00000000-0005-0000-0000-0000A9480000}"/>
    <cellStyle name="요약 2 7 4 7" xfId="25706" xr:uid="{00000000-0005-0000-0000-0000AA480000}"/>
    <cellStyle name="요약 2 7 4 8" xfId="28823" xr:uid="{00000000-0005-0000-0000-0000AB480000}"/>
    <cellStyle name="요약 2 7 5" xfId="20905" xr:uid="{00000000-0005-0000-0000-0000AC480000}"/>
    <cellStyle name="요약 2 7 5 2" xfId="24627" xr:uid="{00000000-0005-0000-0000-0000AD480000}"/>
    <cellStyle name="요약 2 7 5 3" xfId="25156" xr:uid="{00000000-0005-0000-0000-0000AE480000}"/>
    <cellStyle name="요약 2 7 5 4" xfId="28280" xr:uid="{00000000-0005-0000-0000-0000AF480000}"/>
    <cellStyle name="요약 2 7 6" xfId="18751" xr:uid="{00000000-0005-0000-0000-0000B0480000}"/>
    <cellStyle name="요약 2 7 7" xfId="24155" xr:uid="{00000000-0005-0000-0000-0000B1480000}"/>
    <cellStyle name="요약 2 7 8" xfId="25408" xr:uid="{00000000-0005-0000-0000-0000B2480000}"/>
    <cellStyle name="요약 2 7 9" xfId="17251" xr:uid="{00000000-0005-0000-0000-0000B3480000}"/>
    <cellStyle name="요약 2 8" xfId="14755" xr:uid="{00000000-0005-0000-0000-0000B4480000}"/>
    <cellStyle name="요약 2 8 10" xfId="24971" xr:uid="{00000000-0005-0000-0000-0000B5480000}"/>
    <cellStyle name="요약 2 8 11" xfId="28095" xr:uid="{00000000-0005-0000-0000-0000B6480000}"/>
    <cellStyle name="요약 2 8 12" xfId="31071" xr:uid="{00000000-0005-0000-0000-0000B7480000}"/>
    <cellStyle name="요약 2 8 13" xfId="17364" xr:uid="{00000000-0005-0000-0000-0000B8480000}"/>
    <cellStyle name="요약 2 8 2" xfId="21753" xr:uid="{00000000-0005-0000-0000-0000B9480000}"/>
    <cellStyle name="요약 2 8 2 2" xfId="22306" xr:uid="{00000000-0005-0000-0000-0000BA480000}"/>
    <cellStyle name="요약 2 8 2 2 2" xfId="18454" xr:uid="{00000000-0005-0000-0000-0000BB480000}"/>
    <cellStyle name="요약 2 8 2 2 3" xfId="26536" xr:uid="{00000000-0005-0000-0000-0000BC480000}"/>
    <cellStyle name="요약 2 8 2 2 4" xfId="29650" xr:uid="{00000000-0005-0000-0000-0000BD480000}"/>
    <cellStyle name="요약 2 8 2 3" xfId="22782" xr:uid="{00000000-0005-0000-0000-0000BE480000}"/>
    <cellStyle name="요약 2 8 2 3 2" xfId="20016" xr:uid="{00000000-0005-0000-0000-0000BF480000}"/>
    <cellStyle name="요약 2 8 2 3 3" xfId="27012" xr:uid="{00000000-0005-0000-0000-0000C0480000}"/>
    <cellStyle name="요약 2 8 2 3 4" xfId="30126" xr:uid="{00000000-0005-0000-0000-0000C1480000}"/>
    <cellStyle name="요약 2 8 2 4" xfId="23165" xr:uid="{00000000-0005-0000-0000-0000C2480000}"/>
    <cellStyle name="요약 2 8 2 4 2" xfId="19255" xr:uid="{00000000-0005-0000-0000-0000C3480000}"/>
    <cellStyle name="요약 2 8 2 4 3" xfId="27395" xr:uid="{00000000-0005-0000-0000-0000C4480000}"/>
    <cellStyle name="요약 2 8 2 4 4" xfId="30509" xr:uid="{00000000-0005-0000-0000-0000C5480000}"/>
    <cellStyle name="요약 2 8 2 5" xfId="23592" xr:uid="{00000000-0005-0000-0000-0000C6480000}"/>
    <cellStyle name="요약 2 8 2 5 2" xfId="18248" xr:uid="{00000000-0005-0000-0000-0000C7480000}"/>
    <cellStyle name="요약 2 8 2 5 3" xfId="27822" xr:uid="{00000000-0005-0000-0000-0000C8480000}"/>
    <cellStyle name="요약 2 8 2 5 4" xfId="30936" xr:uid="{00000000-0005-0000-0000-0000C9480000}"/>
    <cellStyle name="요약 2 8 2 6" xfId="24101" xr:uid="{00000000-0005-0000-0000-0000CA480000}"/>
    <cellStyle name="요약 2 8 2 7" xfId="25983" xr:uid="{00000000-0005-0000-0000-0000CB480000}"/>
    <cellStyle name="요약 2 8 2 8" xfId="29097" xr:uid="{00000000-0005-0000-0000-0000CC480000}"/>
    <cellStyle name="요약 2 8 3" xfId="21351" xr:uid="{00000000-0005-0000-0000-0000CD480000}"/>
    <cellStyle name="요약 2 8 3 2" xfId="23952" xr:uid="{00000000-0005-0000-0000-0000CE480000}"/>
    <cellStyle name="요약 2 8 3 3" xfId="25538" xr:uid="{00000000-0005-0000-0000-0000CF480000}"/>
    <cellStyle name="요약 2 8 3 4" xfId="28655" xr:uid="{00000000-0005-0000-0000-0000D0480000}"/>
    <cellStyle name="요약 2 8 4" xfId="21859" xr:uid="{00000000-0005-0000-0000-0000D1480000}"/>
    <cellStyle name="요약 2 8 4 2" xfId="24310" xr:uid="{00000000-0005-0000-0000-0000D2480000}"/>
    <cellStyle name="요약 2 8 4 3" xfId="26089" xr:uid="{00000000-0005-0000-0000-0000D3480000}"/>
    <cellStyle name="요약 2 8 4 4" xfId="29203" xr:uid="{00000000-0005-0000-0000-0000D4480000}"/>
    <cellStyle name="요약 2 8 5" xfId="21255" xr:uid="{00000000-0005-0000-0000-0000D5480000}"/>
    <cellStyle name="요약 2 8 5 2" xfId="24231" xr:uid="{00000000-0005-0000-0000-0000D6480000}"/>
    <cellStyle name="요약 2 8 5 3" xfId="25470" xr:uid="{00000000-0005-0000-0000-0000D7480000}"/>
    <cellStyle name="요약 2 8 5 4" xfId="28587" xr:uid="{00000000-0005-0000-0000-0000D8480000}"/>
    <cellStyle name="요약 2 8 6" xfId="21112" xr:uid="{00000000-0005-0000-0000-0000D9480000}"/>
    <cellStyle name="요약 2 8 6 2" xfId="23908" xr:uid="{00000000-0005-0000-0000-0000DA480000}"/>
    <cellStyle name="요약 2 8 6 3" xfId="25357" xr:uid="{00000000-0005-0000-0000-0000DB480000}"/>
    <cellStyle name="요약 2 8 6 4" xfId="28481" xr:uid="{00000000-0005-0000-0000-0000DC480000}"/>
    <cellStyle name="요약 2 8 7" xfId="21079" xr:uid="{00000000-0005-0000-0000-0000DD480000}"/>
    <cellStyle name="요약 2 8 7 2" xfId="24159" xr:uid="{00000000-0005-0000-0000-0000DE480000}"/>
    <cellStyle name="요약 2 8 7 3" xfId="25324" xr:uid="{00000000-0005-0000-0000-0000DF480000}"/>
    <cellStyle name="요약 2 8 7 4" xfId="28448" xr:uid="{00000000-0005-0000-0000-0000E0480000}"/>
    <cellStyle name="요약 2 8 8" xfId="20723" xr:uid="{00000000-0005-0000-0000-0000E1480000}"/>
    <cellStyle name="요약 2 8 9" xfId="19027" xr:uid="{00000000-0005-0000-0000-0000E2480000}"/>
    <cellStyle name="요약 2 9" xfId="15381" xr:uid="{00000000-0005-0000-0000-0000E3480000}"/>
    <cellStyle name="요약 2 9 10" xfId="27983" xr:uid="{00000000-0005-0000-0000-0000E4480000}"/>
    <cellStyle name="요약 2 9 11" xfId="17497" xr:uid="{00000000-0005-0000-0000-0000E5480000}"/>
    <cellStyle name="요약 2 9 2" xfId="15304" xr:uid="{00000000-0005-0000-0000-0000E6480000}"/>
    <cellStyle name="요약 2 9 2 2" xfId="24746" xr:uid="{00000000-0005-0000-0000-0000E7480000}"/>
    <cellStyle name="요약 2 9 2 3" xfId="25871" xr:uid="{00000000-0005-0000-0000-0000E8480000}"/>
    <cellStyle name="요약 2 9 2 4" xfId="28985" xr:uid="{00000000-0005-0000-0000-0000E9480000}"/>
    <cellStyle name="요약 2 9 2 5" xfId="21641" xr:uid="{00000000-0005-0000-0000-0000EA480000}"/>
    <cellStyle name="요약 2 9 3" xfId="16924" xr:uid="{00000000-0005-0000-0000-0000EB480000}"/>
    <cellStyle name="요약 2 9 3 2" xfId="18345" xr:uid="{00000000-0005-0000-0000-0000EC480000}"/>
    <cellStyle name="요약 2 9 3 3" xfId="26424" xr:uid="{00000000-0005-0000-0000-0000ED480000}"/>
    <cellStyle name="요약 2 9 3 4" xfId="29538" xr:uid="{00000000-0005-0000-0000-0000EE480000}"/>
    <cellStyle name="요약 2 9 3 5" xfId="22194" xr:uid="{00000000-0005-0000-0000-0000EF480000}"/>
    <cellStyle name="요약 2 9 4" xfId="16925" xr:uid="{00000000-0005-0000-0000-0000F0480000}"/>
    <cellStyle name="요약 2 9 4 2" xfId="19913" xr:uid="{00000000-0005-0000-0000-0000F1480000}"/>
    <cellStyle name="요약 2 9 4 3" xfId="26900" xr:uid="{00000000-0005-0000-0000-0000F2480000}"/>
    <cellStyle name="요약 2 9 4 4" xfId="30014" xr:uid="{00000000-0005-0000-0000-0000F3480000}"/>
    <cellStyle name="요약 2 9 4 5" xfId="22670" xr:uid="{00000000-0005-0000-0000-0000F4480000}"/>
    <cellStyle name="요약 2 9 5" xfId="23081" xr:uid="{00000000-0005-0000-0000-0000F5480000}"/>
    <cellStyle name="요약 2 9 5 2" xfId="19177" xr:uid="{00000000-0005-0000-0000-0000F6480000}"/>
    <cellStyle name="요약 2 9 5 3" xfId="27311" xr:uid="{00000000-0005-0000-0000-0000F7480000}"/>
    <cellStyle name="요약 2 9 5 4" xfId="30425" xr:uid="{00000000-0005-0000-0000-0000F8480000}"/>
    <cellStyle name="요약 2 9 6" xfId="23480" xr:uid="{00000000-0005-0000-0000-0000F9480000}"/>
    <cellStyle name="요약 2 9 6 2" xfId="23823" xr:uid="{00000000-0005-0000-0000-0000FA480000}"/>
    <cellStyle name="요약 2 9 6 3" xfId="27710" xr:uid="{00000000-0005-0000-0000-0000FB480000}"/>
    <cellStyle name="요약 2 9 6 4" xfId="30824" xr:uid="{00000000-0005-0000-0000-0000FC480000}"/>
    <cellStyle name="요약 2 9 7" xfId="20611" xr:uid="{00000000-0005-0000-0000-0000FD480000}"/>
    <cellStyle name="요약 2 9 8" xfId="18917" xr:uid="{00000000-0005-0000-0000-0000FE480000}"/>
    <cellStyle name="요약 2 9 9" xfId="24859" xr:uid="{00000000-0005-0000-0000-0000FF480000}"/>
    <cellStyle name="요약 3" xfId="12117" xr:uid="{00000000-0005-0000-0000-000000490000}"/>
    <cellStyle name="요약 3 10" xfId="17390" xr:uid="{00000000-0005-0000-0000-000001490000}"/>
    <cellStyle name="요약 3 10 2" xfId="22028" xr:uid="{00000000-0005-0000-0000-000002490000}"/>
    <cellStyle name="요약 3 10 2 2" xfId="24121" xr:uid="{00000000-0005-0000-0000-000003490000}"/>
    <cellStyle name="요약 3 10 2 3" xfId="26258" xr:uid="{00000000-0005-0000-0000-000004490000}"/>
    <cellStyle name="요약 3 10 2 4" xfId="29372" xr:uid="{00000000-0005-0000-0000-000005490000}"/>
    <cellStyle name="요약 3 10 3" xfId="22501" xr:uid="{00000000-0005-0000-0000-000006490000}"/>
    <cellStyle name="요약 3 10 3 2" xfId="19756" xr:uid="{00000000-0005-0000-0000-000007490000}"/>
    <cellStyle name="요약 3 10 3 3" xfId="26731" xr:uid="{00000000-0005-0000-0000-000008490000}"/>
    <cellStyle name="요약 3 10 3 4" xfId="29845" xr:uid="{00000000-0005-0000-0000-000009490000}"/>
    <cellStyle name="요약 3 10 4" xfId="22946" xr:uid="{00000000-0005-0000-0000-00000A490000}"/>
    <cellStyle name="요약 3 10 4 2" xfId="20165" xr:uid="{00000000-0005-0000-0000-00000B490000}"/>
    <cellStyle name="요약 3 10 4 3" xfId="27176" xr:uid="{00000000-0005-0000-0000-00000C490000}"/>
    <cellStyle name="요약 3 10 4 4" xfId="30290" xr:uid="{00000000-0005-0000-0000-00000D490000}"/>
    <cellStyle name="요약 3 10 5" xfId="23319" xr:uid="{00000000-0005-0000-0000-00000E490000}"/>
    <cellStyle name="요약 3 10 5 2" xfId="20359" xr:uid="{00000000-0005-0000-0000-00000F490000}"/>
    <cellStyle name="요약 3 10 5 3" xfId="27549" xr:uid="{00000000-0005-0000-0000-000010490000}"/>
    <cellStyle name="요약 3 10 5 4" xfId="30663" xr:uid="{00000000-0005-0000-0000-000011490000}"/>
    <cellStyle name="요약 3 10 6" xfId="24112" xr:uid="{00000000-0005-0000-0000-000012490000}"/>
    <cellStyle name="요약 3 10 7" xfId="25707" xr:uid="{00000000-0005-0000-0000-000013490000}"/>
    <cellStyle name="요약 3 10 8" xfId="28824" xr:uid="{00000000-0005-0000-0000-000014490000}"/>
    <cellStyle name="요약 3 11" xfId="20824" xr:uid="{00000000-0005-0000-0000-000015490000}"/>
    <cellStyle name="요약 3 11 2" xfId="19130" xr:uid="{00000000-0005-0000-0000-000016490000}"/>
    <cellStyle name="요약 3 11 3" xfId="25075" xr:uid="{00000000-0005-0000-0000-000017490000}"/>
    <cellStyle name="요약 3 11 4" xfId="28199" xr:uid="{00000000-0005-0000-0000-000018490000}"/>
    <cellStyle name="요약 3 12" xfId="18752" xr:uid="{00000000-0005-0000-0000-000019490000}"/>
    <cellStyle name="요약 3 13" xfId="18560" xr:uid="{00000000-0005-0000-0000-00001A490000}"/>
    <cellStyle name="요약 3 14" xfId="18663" xr:uid="{00000000-0005-0000-0000-00001B490000}"/>
    <cellStyle name="요약 3 15" xfId="17252" xr:uid="{00000000-0005-0000-0000-00001C490000}"/>
    <cellStyle name="요약 3 2" xfId="12118" xr:uid="{00000000-0005-0000-0000-00001D490000}"/>
    <cellStyle name="요약 3 2 2" xfId="14763" xr:uid="{00000000-0005-0000-0000-00001E490000}"/>
    <cellStyle name="요약 3 2 2 10" xfId="24979" xr:uid="{00000000-0005-0000-0000-00001F490000}"/>
    <cellStyle name="요약 3 2 2 11" xfId="28103" xr:uid="{00000000-0005-0000-0000-000020490000}"/>
    <cellStyle name="요약 3 2 2 12" xfId="31079" xr:uid="{00000000-0005-0000-0000-000021490000}"/>
    <cellStyle name="요약 3 2 2 13" xfId="17489" xr:uid="{00000000-0005-0000-0000-000022490000}"/>
    <cellStyle name="요약 3 2 2 2" xfId="21761" xr:uid="{00000000-0005-0000-0000-000023490000}"/>
    <cellStyle name="요약 3 2 2 2 2" xfId="22314" xr:uid="{00000000-0005-0000-0000-000024490000}"/>
    <cellStyle name="요약 3 2 2 2 2 2" xfId="24059" xr:uid="{00000000-0005-0000-0000-000025490000}"/>
    <cellStyle name="요약 3 2 2 2 2 3" xfId="26544" xr:uid="{00000000-0005-0000-0000-000026490000}"/>
    <cellStyle name="요약 3 2 2 2 2 4" xfId="29658" xr:uid="{00000000-0005-0000-0000-000027490000}"/>
    <cellStyle name="요약 3 2 2 2 3" xfId="22790" xr:uid="{00000000-0005-0000-0000-000028490000}"/>
    <cellStyle name="요약 3 2 2 2 3 2" xfId="20022" xr:uid="{00000000-0005-0000-0000-000029490000}"/>
    <cellStyle name="요약 3 2 2 2 3 3" xfId="27020" xr:uid="{00000000-0005-0000-0000-00002A490000}"/>
    <cellStyle name="요약 3 2 2 2 3 4" xfId="30134" xr:uid="{00000000-0005-0000-0000-00002B490000}"/>
    <cellStyle name="요약 3 2 2 2 4" xfId="23173" xr:uid="{00000000-0005-0000-0000-00002C490000}"/>
    <cellStyle name="요약 3 2 2 2 4 2" xfId="19263" xr:uid="{00000000-0005-0000-0000-00002D490000}"/>
    <cellStyle name="요약 3 2 2 2 4 3" xfId="27403" xr:uid="{00000000-0005-0000-0000-00002E490000}"/>
    <cellStyle name="요약 3 2 2 2 4 4" xfId="30517" xr:uid="{00000000-0005-0000-0000-00002F490000}"/>
    <cellStyle name="요약 3 2 2 2 5" xfId="23600" xr:uid="{00000000-0005-0000-0000-000030490000}"/>
    <cellStyle name="요약 3 2 2 2 5 2" xfId="18256" xr:uid="{00000000-0005-0000-0000-000031490000}"/>
    <cellStyle name="요약 3 2 2 2 5 3" xfId="27830" xr:uid="{00000000-0005-0000-0000-000032490000}"/>
    <cellStyle name="요약 3 2 2 2 5 4" xfId="30944" xr:uid="{00000000-0005-0000-0000-000033490000}"/>
    <cellStyle name="요약 3 2 2 2 6" xfId="24614" xr:uid="{00000000-0005-0000-0000-000034490000}"/>
    <cellStyle name="요약 3 2 2 2 7" xfId="25991" xr:uid="{00000000-0005-0000-0000-000035490000}"/>
    <cellStyle name="요약 3 2 2 2 8" xfId="29105" xr:uid="{00000000-0005-0000-0000-000036490000}"/>
    <cellStyle name="요약 3 2 2 3" xfId="21359" xr:uid="{00000000-0005-0000-0000-000037490000}"/>
    <cellStyle name="요약 3 2 2 3 2" xfId="19445" xr:uid="{00000000-0005-0000-0000-000038490000}"/>
    <cellStyle name="요약 3 2 2 3 3" xfId="25546" xr:uid="{00000000-0005-0000-0000-000039490000}"/>
    <cellStyle name="요약 3 2 2 3 4" xfId="28663" xr:uid="{00000000-0005-0000-0000-00003A490000}"/>
    <cellStyle name="요약 3 2 2 4" xfId="21867" xr:uid="{00000000-0005-0000-0000-00003B490000}"/>
    <cellStyle name="요약 3 2 2 4 2" xfId="24208" xr:uid="{00000000-0005-0000-0000-00003C490000}"/>
    <cellStyle name="요약 3 2 2 4 3" xfId="26097" xr:uid="{00000000-0005-0000-0000-00003D490000}"/>
    <cellStyle name="요약 3 2 2 4 4" xfId="29211" xr:uid="{00000000-0005-0000-0000-00003E490000}"/>
    <cellStyle name="요약 3 2 2 5" xfId="21263" xr:uid="{00000000-0005-0000-0000-00003F490000}"/>
    <cellStyle name="요약 3 2 2 5 2" xfId="24422" xr:uid="{00000000-0005-0000-0000-000040490000}"/>
    <cellStyle name="요약 3 2 2 5 3" xfId="25477" xr:uid="{00000000-0005-0000-0000-000041490000}"/>
    <cellStyle name="요약 3 2 2 5 4" xfId="28594" xr:uid="{00000000-0005-0000-0000-000042490000}"/>
    <cellStyle name="요약 3 2 2 6" xfId="21108" xr:uid="{00000000-0005-0000-0000-000043490000}"/>
    <cellStyle name="요약 3 2 2 6 2" xfId="24669" xr:uid="{00000000-0005-0000-0000-000044490000}"/>
    <cellStyle name="요약 3 2 2 6 3" xfId="25353" xr:uid="{00000000-0005-0000-0000-000045490000}"/>
    <cellStyle name="요약 3 2 2 6 4" xfId="28477" xr:uid="{00000000-0005-0000-0000-000046490000}"/>
    <cellStyle name="요약 3 2 2 7" xfId="20979" xr:uid="{00000000-0005-0000-0000-000047490000}"/>
    <cellStyle name="요약 3 2 2 7 2" xfId="23693" xr:uid="{00000000-0005-0000-0000-000048490000}"/>
    <cellStyle name="요약 3 2 2 7 3" xfId="25227" xr:uid="{00000000-0005-0000-0000-000049490000}"/>
    <cellStyle name="요약 3 2 2 7 4" xfId="28351" xr:uid="{00000000-0005-0000-0000-00004A490000}"/>
    <cellStyle name="요약 3 2 2 8" xfId="20731" xr:uid="{00000000-0005-0000-0000-00004B490000}"/>
    <cellStyle name="요약 3 2 2 9" xfId="19035" xr:uid="{00000000-0005-0000-0000-00004C490000}"/>
    <cellStyle name="요약 3 2 3" xfId="15389" xr:uid="{00000000-0005-0000-0000-00004D490000}"/>
    <cellStyle name="요약 3 2 3 10" xfId="27993" xr:uid="{00000000-0005-0000-0000-00004E490000}"/>
    <cellStyle name="요약 3 2 3 11" xfId="17714" xr:uid="{00000000-0005-0000-0000-00004F490000}"/>
    <cellStyle name="요약 3 2 3 2" xfId="15296" xr:uid="{00000000-0005-0000-0000-000050490000}"/>
    <cellStyle name="요약 3 2 3 2 2" xfId="24217" xr:uid="{00000000-0005-0000-0000-000051490000}"/>
    <cellStyle name="요약 3 2 3 2 3" xfId="25881" xr:uid="{00000000-0005-0000-0000-000052490000}"/>
    <cellStyle name="요약 3 2 3 2 4" xfId="28995" xr:uid="{00000000-0005-0000-0000-000053490000}"/>
    <cellStyle name="요약 3 2 3 2 5" xfId="21651" xr:uid="{00000000-0005-0000-0000-000054490000}"/>
    <cellStyle name="요약 3 2 3 3" xfId="16926" xr:uid="{00000000-0005-0000-0000-000055490000}"/>
    <cellStyle name="요약 3 2 3 3 2" xfId="18355" xr:uid="{00000000-0005-0000-0000-000056490000}"/>
    <cellStyle name="요약 3 2 3 3 3" xfId="26434" xr:uid="{00000000-0005-0000-0000-000057490000}"/>
    <cellStyle name="요약 3 2 3 3 4" xfId="29548" xr:uid="{00000000-0005-0000-0000-000058490000}"/>
    <cellStyle name="요약 3 2 3 3 5" xfId="22204" xr:uid="{00000000-0005-0000-0000-000059490000}"/>
    <cellStyle name="요약 3 2 3 4" xfId="16927" xr:uid="{00000000-0005-0000-0000-00005A490000}"/>
    <cellStyle name="요약 3 2 3 4 2" xfId="19921" xr:uid="{00000000-0005-0000-0000-00005B490000}"/>
    <cellStyle name="요약 3 2 3 4 3" xfId="26910" xr:uid="{00000000-0005-0000-0000-00005C490000}"/>
    <cellStyle name="요약 3 2 3 4 4" xfId="30024" xr:uid="{00000000-0005-0000-0000-00005D490000}"/>
    <cellStyle name="요약 3 2 3 4 5" xfId="22680" xr:uid="{00000000-0005-0000-0000-00005E490000}"/>
    <cellStyle name="요약 3 2 3 5" xfId="23089" xr:uid="{00000000-0005-0000-0000-00005F490000}"/>
    <cellStyle name="요약 3 2 3 5 2" xfId="19185" xr:uid="{00000000-0005-0000-0000-000060490000}"/>
    <cellStyle name="요약 3 2 3 5 3" xfId="27319" xr:uid="{00000000-0005-0000-0000-000061490000}"/>
    <cellStyle name="요약 3 2 3 5 4" xfId="30433" xr:uid="{00000000-0005-0000-0000-000062490000}"/>
    <cellStyle name="요약 3 2 3 6" xfId="23490" xr:uid="{00000000-0005-0000-0000-000063490000}"/>
    <cellStyle name="요약 3 2 3 6 2" xfId="18153" xr:uid="{00000000-0005-0000-0000-000064490000}"/>
    <cellStyle name="요약 3 2 3 6 3" xfId="27720" xr:uid="{00000000-0005-0000-0000-000065490000}"/>
    <cellStyle name="요약 3 2 3 6 4" xfId="30834" xr:uid="{00000000-0005-0000-0000-000066490000}"/>
    <cellStyle name="요약 3 2 3 7" xfId="20621" xr:uid="{00000000-0005-0000-0000-000067490000}"/>
    <cellStyle name="요약 3 2 3 8" xfId="18926" xr:uid="{00000000-0005-0000-0000-000068490000}"/>
    <cellStyle name="요약 3 2 3 9" xfId="24869" xr:uid="{00000000-0005-0000-0000-000069490000}"/>
    <cellStyle name="요약 3 2 4" xfId="17678" xr:uid="{00000000-0005-0000-0000-00006A490000}"/>
    <cellStyle name="요약 3 2 4 2" xfId="22029" xr:uid="{00000000-0005-0000-0000-00006B490000}"/>
    <cellStyle name="요약 3 2 4 2 2" xfId="19315" xr:uid="{00000000-0005-0000-0000-00006C490000}"/>
    <cellStyle name="요약 3 2 4 2 3" xfId="26259" xr:uid="{00000000-0005-0000-0000-00006D490000}"/>
    <cellStyle name="요약 3 2 4 2 4" xfId="29373" xr:uid="{00000000-0005-0000-0000-00006E490000}"/>
    <cellStyle name="요약 3 2 4 3" xfId="22502" xr:uid="{00000000-0005-0000-0000-00006F490000}"/>
    <cellStyle name="요약 3 2 4 3 2" xfId="19757" xr:uid="{00000000-0005-0000-0000-000070490000}"/>
    <cellStyle name="요약 3 2 4 3 3" xfId="26732" xr:uid="{00000000-0005-0000-0000-000071490000}"/>
    <cellStyle name="요약 3 2 4 3 4" xfId="29846" xr:uid="{00000000-0005-0000-0000-000072490000}"/>
    <cellStyle name="요약 3 2 4 4" xfId="22947" xr:uid="{00000000-0005-0000-0000-000073490000}"/>
    <cellStyle name="요약 3 2 4 4 2" xfId="20166" xr:uid="{00000000-0005-0000-0000-000074490000}"/>
    <cellStyle name="요약 3 2 4 4 3" xfId="27177" xr:uid="{00000000-0005-0000-0000-000075490000}"/>
    <cellStyle name="요약 3 2 4 4 4" xfId="30291" xr:uid="{00000000-0005-0000-0000-000076490000}"/>
    <cellStyle name="요약 3 2 4 5" xfId="23320" xr:uid="{00000000-0005-0000-0000-000077490000}"/>
    <cellStyle name="요약 3 2 4 5 2" xfId="20360" xr:uid="{00000000-0005-0000-0000-000078490000}"/>
    <cellStyle name="요약 3 2 4 5 3" xfId="27550" xr:uid="{00000000-0005-0000-0000-000079490000}"/>
    <cellStyle name="요약 3 2 4 5 4" xfId="30664" xr:uid="{00000000-0005-0000-0000-00007A490000}"/>
    <cellStyle name="요약 3 2 4 6" xfId="19324" xr:uid="{00000000-0005-0000-0000-00007B490000}"/>
    <cellStyle name="요약 3 2 4 7" xfId="25708" xr:uid="{00000000-0005-0000-0000-00007C490000}"/>
    <cellStyle name="요약 3 2 4 8" xfId="28825" xr:uid="{00000000-0005-0000-0000-00007D490000}"/>
    <cellStyle name="요약 3 2 5" xfId="20906" xr:uid="{00000000-0005-0000-0000-00007E490000}"/>
    <cellStyle name="요약 3 2 5 2" xfId="24542" xr:uid="{00000000-0005-0000-0000-00007F490000}"/>
    <cellStyle name="요약 3 2 5 3" xfId="25157" xr:uid="{00000000-0005-0000-0000-000080490000}"/>
    <cellStyle name="요약 3 2 5 4" xfId="28281" xr:uid="{00000000-0005-0000-0000-000081490000}"/>
    <cellStyle name="요약 3 2 6" xfId="18753" xr:uid="{00000000-0005-0000-0000-000082490000}"/>
    <cellStyle name="요약 3 2 7" xfId="18559" xr:uid="{00000000-0005-0000-0000-000083490000}"/>
    <cellStyle name="요약 3 2 8" xfId="18664" xr:uid="{00000000-0005-0000-0000-000084490000}"/>
    <cellStyle name="요약 3 2 9" xfId="17253" xr:uid="{00000000-0005-0000-0000-000085490000}"/>
    <cellStyle name="요약 3 3" xfId="12119" xr:uid="{00000000-0005-0000-0000-000086490000}"/>
    <cellStyle name="요약 3 3 2" xfId="14764" xr:uid="{00000000-0005-0000-0000-000087490000}"/>
    <cellStyle name="요약 3 3 2 10" xfId="24980" xr:uid="{00000000-0005-0000-0000-000088490000}"/>
    <cellStyle name="요약 3 3 2 11" xfId="28104" xr:uid="{00000000-0005-0000-0000-000089490000}"/>
    <cellStyle name="요약 3 3 2 12" xfId="31080" xr:uid="{00000000-0005-0000-0000-00008A490000}"/>
    <cellStyle name="요약 3 3 2 13" xfId="17488" xr:uid="{00000000-0005-0000-0000-00008B490000}"/>
    <cellStyle name="요약 3 3 2 2" xfId="21762" xr:uid="{00000000-0005-0000-0000-00008C490000}"/>
    <cellStyle name="요약 3 3 2 2 2" xfId="22315" xr:uid="{00000000-0005-0000-0000-00008D490000}"/>
    <cellStyle name="요약 3 3 2 2 2 2" xfId="19593" xr:uid="{00000000-0005-0000-0000-00008E490000}"/>
    <cellStyle name="요약 3 3 2 2 2 3" xfId="26545" xr:uid="{00000000-0005-0000-0000-00008F490000}"/>
    <cellStyle name="요약 3 3 2 2 2 4" xfId="29659" xr:uid="{00000000-0005-0000-0000-000090490000}"/>
    <cellStyle name="요약 3 3 2 2 3" xfId="22791" xr:uid="{00000000-0005-0000-0000-000091490000}"/>
    <cellStyle name="요약 3 3 2 2 3 2" xfId="20023" xr:uid="{00000000-0005-0000-0000-000092490000}"/>
    <cellStyle name="요약 3 3 2 2 3 3" xfId="27021" xr:uid="{00000000-0005-0000-0000-000093490000}"/>
    <cellStyle name="요약 3 3 2 2 3 4" xfId="30135" xr:uid="{00000000-0005-0000-0000-000094490000}"/>
    <cellStyle name="요약 3 3 2 2 4" xfId="23174" xr:uid="{00000000-0005-0000-0000-000095490000}"/>
    <cellStyle name="요약 3 3 2 2 4 2" xfId="19264" xr:uid="{00000000-0005-0000-0000-000096490000}"/>
    <cellStyle name="요약 3 3 2 2 4 3" xfId="27404" xr:uid="{00000000-0005-0000-0000-000097490000}"/>
    <cellStyle name="요약 3 3 2 2 4 4" xfId="30518" xr:uid="{00000000-0005-0000-0000-000098490000}"/>
    <cellStyle name="요약 3 3 2 2 5" xfId="23601" xr:uid="{00000000-0005-0000-0000-000099490000}"/>
    <cellStyle name="요약 3 3 2 2 5 2" xfId="18257" xr:uid="{00000000-0005-0000-0000-00009A490000}"/>
    <cellStyle name="요약 3 3 2 2 5 3" xfId="27831" xr:uid="{00000000-0005-0000-0000-00009B490000}"/>
    <cellStyle name="요약 3 3 2 2 5 4" xfId="30945" xr:uid="{00000000-0005-0000-0000-00009C490000}"/>
    <cellStyle name="요약 3 3 2 2 6" xfId="24487" xr:uid="{00000000-0005-0000-0000-00009D490000}"/>
    <cellStyle name="요약 3 3 2 2 7" xfId="25992" xr:uid="{00000000-0005-0000-0000-00009E490000}"/>
    <cellStyle name="요약 3 3 2 2 8" xfId="29106" xr:uid="{00000000-0005-0000-0000-00009F490000}"/>
    <cellStyle name="요약 3 3 2 3" xfId="21360" xr:uid="{00000000-0005-0000-0000-0000A0490000}"/>
    <cellStyle name="요약 3 3 2 3 2" xfId="19446" xr:uid="{00000000-0005-0000-0000-0000A1490000}"/>
    <cellStyle name="요약 3 3 2 3 3" xfId="25547" xr:uid="{00000000-0005-0000-0000-0000A2490000}"/>
    <cellStyle name="요약 3 3 2 3 4" xfId="28664" xr:uid="{00000000-0005-0000-0000-0000A3490000}"/>
    <cellStyle name="요약 3 3 2 4" xfId="21868" xr:uid="{00000000-0005-0000-0000-0000A4490000}"/>
    <cellStyle name="요약 3 3 2 4 2" xfId="24000" xr:uid="{00000000-0005-0000-0000-0000A5490000}"/>
    <cellStyle name="요약 3 3 2 4 3" xfId="26098" xr:uid="{00000000-0005-0000-0000-0000A6490000}"/>
    <cellStyle name="요약 3 3 2 4 4" xfId="29212" xr:uid="{00000000-0005-0000-0000-0000A7490000}"/>
    <cellStyle name="요약 3 3 2 5" xfId="21264" xr:uid="{00000000-0005-0000-0000-0000A8490000}"/>
    <cellStyle name="요약 3 3 2 5 2" xfId="24249" xr:uid="{00000000-0005-0000-0000-0000A9490000}"/>
    <cellStyle name="요약 3 3 2 5 3" xfId="25478" xr:uid="{00000000-0005-0000-0000-0000AA490000}"/>
    <cellStyle name="요약 3 3 2 5 4" xfId="28595" xr:uid="{00000000-0005-0000-0000-0000AB490000}"/>
    <cellStyle name="요약 3 3 2 6" xfId="21058" xr:uid="{00000000-0005-0000-0000-0000AC490000}"/>
    <cellStyle name="요약 3 3 2 6 2" xfId="23689" xr:uid="{00000000-0005-0000-0000-0000AD490000}"/>
    <cellStyle name="요약 3 3 2 6 3" xfId="25303" xr:uid="{00000000-0005-0000-0000-0000AE490000}"/>
    <cellStyle name="요약 3 3 2 6 4" xfId="28427" xr:uid="{00000000-0005-0000-0000-0000AF490000}"/>
    <cellStyle name="요약 3 3 2 7" xfId="21045" xr:uid="{00000000-0005-0000-0000-0000B0490000}"/>
    <cellStyle name="요약 3 3 2 7 2" xfId="24362" xr:uid="{00000000-0005-0000-0000-0000B1490000}"/>
    <cellStyle name="요약 3 3 2 7 3" xfId="25290" xr:uid="{00000000-0005-0000-0000-0000B2490000}"/>
    <cellStyle name="요약 3 3 2 7 4" xfId="28414" xr:uid="{00000000-0005-0000-0000-0000B3490000}"/>
    <cellStyle name="요약 3 3 2 8" xfId="20732" xr:uid="{00000000-0005-0000-0000-0000B4490000}"/>
    <cellStyle name="요약 3 3 2 9" xfId="19036" xr:uid="{00000000-0005-0000-0000-0000B5490000}"/>
    <cellStyle name="요약 3 3 3" xfId="15390" xr:uid="{00000000-0005-0000-0000-0000B6490000}"/>
    <cellStyle name="요약 3 3 3 10" xfId="27994" xr:uid="{00000000-0005-0000-0000-0000B7490000}"/>
    <cellStyle name="요약 3 3 3 11" xfId="17574" xr:uid="{00000000-0005-0000-0000-0000B8490000}"/>
    <cellStyle name="요약 3 3 3 2" xfId="15295" xr:uid="{00000000-0005-0000-0000-0000B9490000}"/>
    <cellStyle name="요약 3 3 3 2 2" xfId="24009" xr:uid="{00000000-0005-0000-0000-0000BA490000}"/>
    <cellStyle name="요약 3 3 3 2 3" xfId="25882" xr:uid="{00000000-0005-0000-0000-0000BB490000}"/>
    <cellStyle name="요약 3 3 3 2 4" xfId="28996" xr:uid="{00000000-0005-0000-0000-0000BC490000}"/>
    <cellStyle name="요약 3 3 3 2 5" xfId="21652" xr:uid="{00000000-0005-0000-0000-0000BD490000}"/>
    <cellStyle name="요약 3 3 3 3" xfId="16928" xr:uid="{00000000-0005-0000-0000-0000BE490000}"/>
    <cellStyle name="요약 3 3 3 3 2" xfId="18356" xr:uid="{00000000-0005-0000-0000-0000BF490000}"/>
    <cellStyle name="요약 3 3 3 3 3" xfId="26435" xr:uid="{00000000-0005-0000-0000-0000C0490000}"/>
    <cellStyle name="요약 3 3 3 3 4" xfId="29549" xr:uid="{00000000-0005-0000-0000-0000C1490000}"/>
    <cellStyle name="요약 3 3 3 3 5" xfId="22205" xr:uid="{00000000-0005-0000-0000-0000C2490000}"/>
    <cellStyle name="요약 3 3 3 4" xfId="16929" xr:uid="{00000000-0005-0000-0000-0000C3490000}"/>
    <cellStyle name="요약 3 3 3 4 2" xfId="19922" xr:uid="{00000000-0005-0000-0000-0000C4490000}"/>
    <cellStyle name="요약 3 3 3 4 3" xfId="26911" xr:uid="{00000000-0005-0000-0000-0000C5490000}"/>
    <cellStyle name="요약 3 3 3 4 4" xfId="30025" xr:uid="{00000000-0005-0000-0000-0000C6490000}"/>
    <cellStyle name="요약 3 3 3 4 5" xfId="22681" xr:uid="{00000000-0005-0000-0000-0000C7490000}"/>
    <cellStyle name="요약 3 3 3 5" xfId="23090" xr:uid="{00000000-0005-0000-0000-0000C8490000}"/>
    <cellStyle name="요약 3 3 3 5 2" xfId="19186" xr:uid="{00000000-0005-0000-0000-0000C9490000}"/>
    <cellStyle name="요약 3 3 3 5 3" xfId="27320" xr:uid="{00000000-0005-0000-0000-0000CA490000}"/>
    <cellStyle name="요약 3 3 3 5 4" xfId="30434" xr:uid="{00000000-0005-0000-0000-0000CB490000}"/>
    <cellStyle name="요약 3 3 3 6" xfId="23491" xr:uid="{00000000-0005-0000-0000-0000CC490000}"/>
    <cellStyle name="요약 3 3 3 6 2" xfId="18154" xr:uid="{00000000-0005-0000-0000-0000CD490000}"/>
    <cellStyle name="요약 3 3 3 6 3" xfId="27721" xr:uid="{00000000-0005-0000-0000-0000CE490000}"/>
    <cellStyle name="요약 3 3 3 6 4" xfId="30835" xr:uid="{00000000-0005-0000-0000-0000CF490000}"/>
    <cellStyle name="요약 3 3 3 7" xfId="20622" xr:uid="{00000000-0005-0000-0000-0000D0490000}"/>
    <cellStyle name="요약 3 3 3 8" xfId="18927" xr:uid="{00000000-0005-0000-0000-0000D1490000}"/>
    <cellStyle name="요약 3 3 3 9" xfId="24870" xr:uid="{00000000-0005-0000-0000-0000D2490000}"/>
    <cellStyle name="요약 3 3 4" xfId="17677" xr:uid="{00000000-0005-0000-0000-0000D3490000}"/>
    <cellStyle name="요약 3 3 4 2" xfId="22030" xr:uid="{00000000-0005-0000-0000-0000D4490000}"/>
    <cellStyle name="요약 3 3 4 2 2" xfId="19556" xr:uid="{00000000-0005-0000-0000-0000D5490000}"/>
    <cellStyle name="요약 3 3 4 2 3" xfId="26260" xr:uid="{00000000-0005-0000-0000-0000D6490000}"/>
    <cellStyle name="요약 3 3 4 2 4" xfId="29374" xr:uid="{00000000-0005-0000-0000-0000D7490000}"/>
    <cellStyle name="요약 3 3 4 3" xfId="22503" xr:uid="{00000000-0005-0000-0000-0000D8490000}"/>
    <cellStyle name="요약 3 3 4 3 2" xfId="19758" xr:uid="{00000000-0005-0000-0000-0000D9490000}"/>
    <cellStyle name="요약 3 3 4 3 3" xfId="26733" xr:uid="{00000000-0005-0000-0000-0000DA490000}"/>
    <cellStyle name="요약 3 3 4 3 4" xfId="29847" xr:uid="{00000000-0005-0000-0000-0000DB490000}"/>
    <cellStyle name="요약 3 3 4 4" xfId="22948" xr:uid="{00000000-0005-0000-0000-0000DC490000}"/>
    <cellStyle name="요약 3 3 4 4 2" xfId="20167" xr:uid="{00000000-0005-0000-0000-0000DD490000}"/>
    <cellStyle name="요약 3 3 4 4 3" xfId="27178" xr:uid="{00000000-0005-0000-0000-0000DE490000}"/>
    <cellStyle name="요약 3 3 4 4 4" xfId="30292" xr:uid="{00000000-0005-0000-0000-0000DF490000}"/>
    <cellStyle name="요약 3 3 4 5" xfId="23321" xr:uid="{00000000-0005-0000-0000-0000E0490000}"/>
    <cellStyle name="요약 3 3 4 5 2" xfId="20361" xr:uid="{00000000-0005-0000-0000-0000E1490000}"/>
    <cellStyle name="요약 3 3 4 5 3" xfId="27551" xr:uid="{00000000-0005-0000-0000-0000E2490000}"/>
    <cellStyle name="요약 3 3 4 5 4" xfId="30665" xr:uid="{00000000-0005-0000-0000-0000E3490000}"/>
    <cellStyle name="요약 3 3 4 6" xfId="23948" xr:uid="{00000000-0005-0000-0000-0000E4490000}"/>
    <cellStyle name="요약 3 3 4 7" xfId="25709" xr:uid="{00000000-0005-0000-0000-0000E5490000}"/>
    <cellStyle name="요약 3 3 4 8" xfId="28826" xr:uid="{00000000-0005-0000-0000-0000E6490000}"/>
    <cellStyle name="요약 3 3 5" xfId="20907" xr:uid="{00000000-0005-0000-0000-0000E7490000}"/>
    <cellStyle name="요약 3 3 5 2" xfId="24366" xr:uid="{00000000-0005-0000-0000-0000E8490000}"/>
    <cellStyle name="요약 3 3 5 3" xfId="25158" xr:uid="{00000000-0005-0000-0000-0000E9490000}"/>
    <cellStyle name="요약 3 3 5 4" xfId="28282" xr:uid="{00000000-0005-0000-0000-0000EA490000}"/>
    <cellStyle name="요약 3 3 6" xfId="18754" xr:uid="{00000000-0005-0000-0000-0000EB490000}"/>
    <cellStyle name="요약 3 3 7" xfId="18558" xr:uid="{00000000-0005-0000-0000-0000EC490000}"/>
    <cellStyle name="요약 3 3 8" xfId="18665" xr:uid="{00000000-0005-0000-0000-0000ED490000}"/>
    <cellStyle name="요약 3 3 9" xfId="17254" xr:uid="{00000000-0005-0000-0000-0000EE490000}"/>
    <cellStyle name="요약 3 4" xfId="12120" xr:uid="{00000000-0005-0000-0000-0000EF490000}"/>
    <cellStyle name="요약 3 4 2" xfId="14765" xr:uid="{00000000-0005-0000-0000-0000F0490000}"/>
    <cellStyle name="요약 3 4 2 10" xfId="24981" xr:uid="{00000000-0005-0000-0000-0000F1490000}"/>
    <cellStyle name="요약 3 4 2 11" xfId="28105" xr:uid="{00000000-0005-0000-0000-0000F2490000}"/>
    <cellStyle name="요약 3 4 2 12" xfId="31081" xr:uid="{00000000-0005-0000-0000-0000F3490000}"/>
    <cellStyle name="요약 3 4 2 13" xfId="17487" xr:uid="{00000000-0005-0000-0000-0000F4490000}"/>
    <cellStyle name="요약 3 4 2 2" xfId="21763" xr:uid="{00000000-0005-0000-0000-0000F5490000}"/>
    <cellStyle name="요약 3 4 2 2 2" xfId="22316" xr:uid="{00000000-0005-0000-0000-0000F6490000}"/>
    <cellStyle name="요약 3 4 2 2 2 2" xfId="19594" xr:uid="{00000000-0005-0000-0000-0000F7490000}"/>
    <cellStyle name="요약 3 4 2 2 2 3" xfId="26546" xr:uid="{00000000-0005-0000-0000-0000F8490000}"/>
    <cellStyle name="요약 3 4 2 2 2 4" xfId="29660" xr:uid="{00000000-0005-0000-0000-0000F9490000}"/>
    <cellStyle name="요약 3 4 2 2 3" xfId="22792" xr:uid="{00000000-0005-0000-0000-0000FA490000}"/>
    <cellStyle name="요약 3 4 2 2 3 2" xfId="20024" xr:uid="{00000000-0005-0000-0000-0000FB490000}"/>
    <cellStyle name="요약 3 4 2 2 3 3" xfId="27022" xr:uid="{00000000-0005-0000-0000-0000FC490000}"/>
    <cellStyle name="요약 3 4 2 2 3 4" xfId="30136" xr:uid="{00000000-0005-0000-0000-0000FD490000}"/>
    <cellStyle name="요약 3 4 2 2 4" xfId="23175" xr:uid="{00000000-0005-0000-0000-0000FE490000}"/>
    <cellStyle name="요약 3 4 2 2 4 2" xfId="19265" xr:uid="{00000000-0005-0000-0000-0000FF490000}"/>
    <cellStyle name="요약 3 4 2 2 4 3" xfId="27405" xr:uid="{00000000-0005-0000-0000-0000004A0000}"/>
    <cellStyle name="요약 3 4 2 2 4 4" xfId="30519" xr:uid="{00000000-0005-0000-0000-0000014A0000}"/>
    <cellStyle name="요약 3 4 2 2 5" xfId="23602" xr:uid="{00000000-0005-0000-0000-0000024A0000}"/>
    <cellStyle name="요약 3 4 2 2 5 2" xfId="18258" xr:uid="{00000000-0005-0000-0000-0000034A0000}"/>
    <cellStyle name="요약 3 4 2 2 5 3" xfId="27832" xr:uid="{00000000-0005-0000-0000-0000044A0000}"/>
    <cellStyle name="요약 3 4 2 2 5 4" xfId="30946" xr:uid="{00000000-0005-0000-0000-0000054A0000}"/>
    <cellStyle name="요약 3 4 2 2 6" xfId="24314" xr:uid="{00000000-0005-0000-0000-0000064A0000}"/>
    <cellStyle name="요약 3 4 2 2 7" xfId="25993" xr:uid="{00000000-0005-0000-0000-0000074A0000}"/>
    <cellStyle name="요약 3 4 2 2 8" xfId="29107" xr:uid="{00000000-0005-0000-0000-0000084A0000}"/>
    <cellStyle name="요약 3 4 2 3" xfId="21361" xr:uid="{00000000-0005-0000-0000-0000094A0000}"/>
    <cellStyle name="요약 3 4 2 3 2" xfId="19447" xr:uid="{00000000-0005-0000-0000-00000A4A0000}"/>
    <cellStyle name="요약 3 4 2 3 3" xfId="25548" xr:uid="{00000000-0005-0000-0000-00000B4A0000}"/>
    <cellStyle name="요약 3 4 2 3 4" xfId="28665" xr:uid="{00000000-0005-0000-0000-00000C4A0000}"/>
    <cellStyle name="요약 3 4 2 4" xfId="21869" xr:uid="{00000000-0005-0000-0000-00000D4A0000}"/>
    <cellStyle name="요약 3 4 2 4 2" xfId="24711" xr:uid="{00000000-0005-0000-0000-00000E4A0000}"/>
    <cellStyle name="요약 3 4 2 4 3" xfId="26099" xr:uid="{00000000-0005-0000-0000-00000F4A0000}"/>
    <cellStyle name="요약 3 4 2 4 4" xfId="29213" xr:uid="{00000000-0005-0000-0000-0000104A0000}"/>
    <cellStyle name="요약 3 4 2 5" xfId="21265" xr:uid="{00000000-0005-0000-0000-0000114A0000}"/>
    <cellStyle name="요약 3 4 2 5 2" xfId="24066" xr:uid="{00000000-0005-0000-0000-0000124A0000}"/>
    <cellStyle name="요약 3 4 2 5 3" xfId="25479" xr:uid="{00000000-0005-0000-0000-0000134A0000}"/>
    <cellStyle name="요약 3 4 2 5 4" xfId="28596" xr:uid="{00000000-0005-0000-0000-0000144A0000}"/>
    <cellStyle name="요약 3 4 2 6" xfId="21104" xr:uid="{00000000-0005-0000-0000-0000154A0000}"/>
    <cellStyle name="요약 3 4 2 6 2" xfId="19414" xr:uid="{00000000-0005-0000-0000-0000164A0000}"/>
    <cellStyle name="요약 3 4 2 6 3" xfId="25349" xr:uid="{00000000-0005-0000-0000-0000174A0000}"/>
    <cellStyle name="요약 3 4 2 6 4" xfId="28473" xr:uid="{00000000-0005-0000-0000-0000184A0000}"/>
    <cellStyle name="요약 3 4 2 7" xfId="20997" xr:uid="{00000000-0005-0000-0000-0000194A0000}"/>
    <cellStyle name="요약 3 4 2 7 2" xfId="23752" xr:uid="{00000000-0005-0000-0000-00001A4A0000}"/>
    <cellStyle name="요약 3 4 2 7 3" xfId="25245" xr:uid="{00000000-0005-0000-0000-00001B4A0000}"/>
    <cellStyle name="요약 3 4 2 7 4" xfId="28369" xr:uid="{00000000-0005-0000-0000-00001C4A0000}"/>
    <cellStyle name="요약 3 4 2 8" xfId="20733" xr:uid="{00000000-0005-0000-0000-00001D4A0000}"/>
    <cellStyle name="요약 3 4 2 9" xfId="19160" xr:uid="{00000000-0005-0000-0000-00001E4A0000}"/>
    <cellStyle name="요약 3 4 3" xfId="15391" xr:uid="{00000000-0005-0000-0000-00001F4A0000}"/>
    <cellStyle name="요약 3 4 3 10" xfId="27995" xr:uid="{00000000-0005-0000-0000-0000204A0000}"/>
    <cellStyle name="요약 3 4 3 11" xfId="17573" xr:uid="{00000000-0005-0000-0000-0000214A0000}"/>
    <cellStyle name="요약 3 4 3 2" xfId="15294" xr:uid="{00000000-0005-0000-0000-0000224A0000}"/>
    <cellStyle name="요약 3 4 3 2 2" xfId="24720" xr:uid="{00000000-0005-0000-0000-0000234A0000}"/>
    <cellStyle name="요약 3 4 3 2 3" xfId="25883" xr:uid="{00000000-0005-0000-0000-0000244A0000}"/>
    <cellStyle name="요약 3 4 3 2 4" xfId="28997" xr:uid="{00000000-0005-0000-0000-0000254A0000}"/>
    <cellStyle name="요약 3 4 3 2 5" xfId="21653" xr:uid="{00000000-0005-0000-0000-0000264A0000}"/>
    <cellStyle name="요약 3 4 3 3" xfId="16930" xr:uid="{00000000-0005-0000-0000-0000274A0000}"/>
    <cellStyle name="요약 3 4 3 3 2" xfId="18357" xr:uid="{00000000-0005-0000-0000-0000284A0000}"/>
    <cellStyle name="요약 3 4 3 3 3" xfId="26436" xr:uid="{00000000-0005-0000-0000-0000294A0000}"/>
    <cellStyle name="요약 3 4 3 3 4" xfId="29550" xr:uid="{00000000-0005-0000-0000-00002A4A0000}"/>
    <cellStyle name="요약 3 4 3 3 5" xfId="22206" xr:uid="{00000000-0005-0000-0000-00002B4A0000}"/>
    <cellStyle name="요약 3 4 3 4" xfId="16931" xr:uid="{00000000-0005-0000-0000-00002C4A0000}"/>
    <cellStyle name="요약 3 4 3 4 2" xfId="21208" xr:uid="{00000000-0005-0000-0000-00002D4A0000}"/>
    <cellStyle name="요약 3 4 3 4 3" xfId="26912" xr:uid="{00000000-0005-0000-0000-00002E4A0000}"/>
    <cellStyle name="요약 3 4 3 4 4" xfId="30026" xr:uid="{00000000-0005-0000-0000-00002F4A0000}"/>
    <cellStyle name="요약 3 4 3 4 5" xfId="22682" xr:uid="{00000000-0005-0000-0000-0000304A0000}"/>
    <cellStyle name="요약 3 4 3 5" xfId="23091" xr:uid="{00000000-0005-0000-0000-0000314A0000}"/>
    <cellStyle name="요약 3 4 3 5 2" xfId="19187" xr:uid="{00000000-0005-0000-0000-0000324A0000}"/>
    <cellStyle name="요약 3 4 3 5 3" xfId="27321" xr:uid="{00000000-0005-0000-0000-0000334A0000}"/>
    <cellStyle name="요약 3 4 3 5 4" xfId="30435" xr:uid="{00000000-0005-0000-0000-0000344A0000}"/>
    <cellStyle name="요약 3 4 3 6" xfId="23492" xr:uid="{00000000-0005-0000-0000-0000354A0000}"/>
    <cellStyle name="요약 3 4 3 6 2" xfId="18155" xr:uid="{00000000-0005-0000-0000-0000364A0000}"/>
    <cellStyle name="요약 3 4 3 6 3" xfId="27722" xr:uid="{00000000-0005-0000-0000-0000374A0000}"/>
    <cellStyle name="요약 3 4 3 6 4" xfId="30836" xr:uid="{00000000-0005-0000-0000-0000384A0000}"/>
    <cellStyle name="요약 3 4 3 7" xfId="20623" xr:uid="{00000000-0005-0000-0000-0000394A0000}"/>
    <cellStyle name="요약 3 4 3 8" xfId="18928" xr:uid="{00000000-0005-0000-0000-00003A4A0000}"/>
    <cellStyle name="요약 3 4 3 9" xfId="24871" xr:uid="{00000000-0005-0000-0000-00003B4A0000}"/>
    <cellStyle name="요약 3 4 4" xfId="17676" xr:uid="{00000000-0005-0000-0000-00003C4A0000}"/>
    <cellStyle name="요약 3 4 4 2" xfId="22031" xr:uid="{00000000-0005-0000-0000-00003D4A0000}"/>
    <cellStyle name="요약 3 4 4 2 2" xfId="23717" xr:uid="{00000000-0005-0000-0000-00003E4A0000}"/>
    <cellStyle name="요약 3 4 4 2 3" xfId="26261" xr:uid="{00000000-0005-0000-0000-00003F4A0000}"/>
    <cellStyle name="요약 3 4 4 2 4" xfId="29375" xr:uid="{00000000-0005-0000-0000-0000404A0000}"/>
    <cellStyle name="요약 3 4 4 3" xfId="22504" xr:uid="{00000000-0005-0000-0000-0000414A0000}"/>
    <cellStyle name="요약 3 4 4 3 2" xfId="19759" xr:uid="{00000000-0005-0000-0000-0000424A0000}"/>
    <cellStyle name="요약 3 4 4 3 3" xfId="26734" xr:uid="{00000000-0005-0000-0000-0000434A0000}"/>
    <cellStyle name="요약 3 4 4 3 4" xfId="29848" xr:uid="{00000000-0005-0000-0000-0000444A0000}"/>
    <cellStyle name="요약 3 4 4 4" xfId="22949" xr:uid="{00000000-0005-0000-0000-0000454A0000}"/>
    <cellStyle name="요약 3 4 4 4 2" xfId="20168" xr:uid="{00000000-0005-0000-0000-0000464A0000}"/>
    <cellStyle name="요약 3 4 4 4 3" xfId="27179" xr:uid="{00000000-0005-0000-0000-0000474A0000}"/>
    <cellStyle name="요약 3 4 4 4 4" xfId="30293" xr:uid="{00000000-0005-0000-0000-0000484A0000}"/>
    <cellStyle name="요약 3 4 4 5" xfId="23322" xr:uid="{00000000-0005-0000-0000-0000494A0000}"/>
    <cellStyle name="요약 3 4 4 5 2" xfId="20362" xr:uid="{00000000-0005-0000-0000-00004A4A0000}"/>
    <cellStyle name="요약 3 4 4 5 3" xfId="27552" xr:uid="{00000000-0005-0000-0000-00004B4A0000}"/>
    <cellStyle name="요약 3 4 4 5 4" xfId="30666" xr:uid="{00000000-0005-0000-0000-00004C4A0000}"/>
    <cellStyle name="요약 3 4 4 6" xfId="24759" xr:uid="{00000000-0005-0000-0000-00004D4A0000}"/>
    <cellStyle name="요약 3 4 4 7" xfId="25710" xr:uid="{00000000-0005-0000-0000-00004E4A0000}"/>
    <cellStyle name="요약 3 4 4 8" xfId="28827" xr:uid="{00000000-0005-0000-0000-00004F4A0000}"/>
    <cellStyle name="요약 3 4 5" xfId="20908" xr:uid="{00000000-0005-0000-0000-0000504A0000}"/>
    <cellStyle name="요약 3 4 5 2" xfId="24195" xr:uid="{00000000-0005-0000-0000-0000514A0000}"/>
    <cellStyle name="요약 3 4 5 3" xfId="25159" xr:uid="{00000000-0005-0000-0000-0000524A0000}"/>
    <cellStyle name="요약 3 4 5 4" xfId="28283" xr:uid="{00000000-0005-0000-0000-0000534A0000}"/>
    <cellStyle name="요약 3 4 6" xfId="19158" xr:uid="{00000000-0005-0000-0000-0000544A0000}"/>
    <cellStyle name="요약 3 4 7" xfId="18557" xr:uid="{00000000-0005-0000-0000-0000554A0000}"/>
    <cellStyle name="요약 3 4 8" xfId="18666" xr:uid="{00000000-0005-0000-0000-0000564A0000}"/>
    <cellStyle name="요약 3 4 9" xfId="17255" xr:uid="{00000000-0005-0000-0000-0000574A0000}"/>
    <cellStyle name="요약 3 5" xfId="12121" xr:uid="{00000000-0005-0000-0000-0000584A0000}"/>
    <cellStyle name="요약 3 5 2" xfId="14766" xr:uid="{00000000-0005-0000-0000-0000594A0000}"/>
    <cellStyle name="요약 3 5 2 10" xfId="24982" xr:uid="{00000000-0005-0000-0000-00005A4A0000}"/>
    <cellStyle name="요약 3 5 2 11" xfId="28106" xr:uid="{00000000-0005-0000-0000-00005B4A0000}"/>
    <cellStyle name="요약 3 5 2 12" xfId="31082" xr:uid="{00000000-0005-0000-0000-00005C4A0000}"/>
    <cellStyle name="요약 3 5 2 13" xfId="17486" xr:uid="{00000000-0005-0000-0000-00005D4A0000}"/>
    <cellStyle name="요약 3 5 2 2" xfId="21764" xr:uid="{00000000-0005-0000-0000-00005E4A0000}"/>
    <cellStyle name="요약 3 5 2 2 2" xfId="22317" xr:uid="{00000000-0005-0000-0000-00005F4A0000}"/>
    <cellStyle name="요약 3 5 2 2 2 2" xfId="19595" xr:uid="{00000000-0005-0000-0000-0000604A0000}"/>
    <cellStyle name="요약 3 5 2 2 2 3" xfId="26547" xr:uid="{00000000-0005-0000-0000-0000614A0000}"/>
    <cellStyle name="요약 3 5 2 2 2 4" xfId="29661" xr:uid="{00000000-0005-0000-0000-0000624A0000}"/>
    <cellStyle name="요약 3 5 2 2 3" xfId="22793" xr:uid="{00000000-0005-0000-0000-0000634A0000}"/>
    <cellStyle name="요약 3 5 2 2 3 2" xfId="20025" xr:uid="{00000000-0005-0000-0000-0000644A0000}"/>
    <cellStyle name="요약 3 5 2 2 3 3" xfId="27023" xr:uid="{00000000-0005-0000-0000-0000654A0000}"/>
    <cellStyle name="요약 3 5 2 2 3 4" xfId="30137" xr:uid="{00000000-0005-0000-0000-0000664A0000}"/>
    <cellStyle name="요약 3 5 2 2 4" xfId="23176" xr:uid="{00000000-0005-0000-0000-0000674A0000}"/>
    <cellStyle name="요약 3 5 2 2 4 2" xfId="19266" xr:uid="{00000000-0005-0000-0000-0000684A0000}"/>
    <cellStyle name="요약 3 5 2 2 4 3" xfId="27406" xr:uid="{00000000-0005-0000-0000-0000694A0000}"/>
    <cellStyle name="요약 3 5 2 2 4 4" xfId="30520" xr:uid="{00000000-0005-0000-0000-00006A4A0000}"/>
    <cellStyle name="요약 3 5 2 2 5" xfId="23603" xr:uid="{00000000-0005-0000-0000-00006B4A0000}"/>
    <cellStyle name="요약 3 5 2 2 5 2" xfId="18259" xr:uid="{00000000-0005-0000-0000-00006C4A0000}"/>
    <cellStyle name="요약 3 5 2 2 5 3" xfId="27833" xr:uid="{00000000-0005-0000-0000-00006D4A0000}"/>
    <cellStyle name="요약 3 5 2 2 5 4" xfId="30947" xr:uid="{00000000-0005-0000-0000-00006E4A0000}"/>
    <cellStyle name="요약 3 5 2 2 6" xfId="24132" xr:uid="{00000000-0005-0000-0000-00006F4A0000}"/>
    <cellStyle name="요약 3 5 2 2 7" xfId="25994" xr:uid="{00000000-0005-0000-0000-0000704A0000}"/>
    <cellStyle name="요약 3 5 2 2 8" xfId="29108" xr:uid="{00000000-0005-0000-0000-0000714A0000}"/>
    <cellStyle name="요약 3 5 2 3" xfId="21362" xr:uid="{00000000-0005-0000-0000-0000724A0000}"/>
    <cellStyle name="요약 3 5 2 3 2" xfId="19448" xr:uid="{00000000-0005-0000-0000-0000734A0000}"/>
    <cellStyle name="요약 3 5 2 3 3" xfId="25549" xr:uid="{00000000-0005-0000-0000-0000744A0000}"/>
    <cellStyle name="요약 3 5 2 3 4" xfId="28666" xr:uid="{00000000-0005-0000-0000-0000754A0000}"/>
    <cellStyle name="요약 3 5 2 4" xfId="21870" xr:uid="{00000000-0005-0000-0000-0000764A0000}"/>
    <cellStyle name="요약 3 5 2 4 2" xfId="24581" xr:uid="{00000000-0005-0000-0000-0000774A0000}"/>
    <cellStyle name="요약 3 5 2 4 3" xfId="26100" xr:uid="{00000000-0005-0000-0000-0000784A0000}"/>
    <cellStyle name="요약 3 5 2 4 4" xfId="29214" xr:uid="{00000000-0005-0000-0000-0000794A0000}"/>
    <cellStyle name="요약 3 5 2 5" xfId="21266" xr:uid="{00000000-0005-0000-0000-00007A4A0000}"/>
    <cellStyle name="요약 3 5 2 5 2" xfId="19369" xr:uid="{00000000-0005-0000-0000-00007B4A0000}"/>
    <cellStyle name="요약 3 5 2 5 3" xfId="25480" xr:uid="{00000000-0005-0000-0000-00007C4A0000}"/>
    <cellStyle name="요약 3 5 2 5 4" xfId="28597" xr:uid="{00000000-0005-0000-0000-00007D4A0000}"/>
    <cellStyle name="요약 3 5 2 6" xfId="22107" xr:uid="{00000000-0005-0000-0000-00007E4A0000}"/>
    <cellStyle name="요약 3 5 2 6 2" xfId="24198" xr:uid="{00000000-0005-0000-0000-00007F4A0000}"/>
    <cellStyle name="요약 3 5 2 6 3" xfId="26337" xr:uid="{00000000-0005-0000-0000-0000804A0000}"/>
    <cellStyle name="요약 3 5 2 6 4" xfId="29451" xr:uid="{00000000-0005-0000-0000-0000814A0000}"/>
    <cellStyle name="요약 3 5 2 7" xfId="21078" xr:uid="{00000000-0005-0000-0000-0000824A0000}"/>
    <cellStyle name="요약 3 5 2 7 2" xfId="24339" xr:uid="{00000000-0005-0000-0000-0000834A0000}"/>
    <cellStyle name="요약 3 5 2 7 3" xfId="25323" xr:uid="{00000000-0005-0000-0000-0000844A0000}"/>
    <cellStyle name="요약 3 5 2 7 4" xfId="28447" xr:uid="{00000000-0005-0000-0000-0000854A0000}"/>
    <cellStyle name="요약 3 5 2 8" xfId="20734" xr:uid="{00000000-0005-0000-0000-0000864A0000}"/>
    <cellStyle name="요약 3 5 2 9" xfId="19037" xr:uid="{00000000-0005-0000-0000-0000874A0000}"/>
    <cellStyle name="요약 3 5 3" xfId="15392" xr:uid="{00000000-0005-0000-0000-0000884A0000}"/>
    <cellStyle name="요약 3 5 3 10" xfId="27996" xr:uid="{00000000-0005-0000-0000-0000894A0000}"/>
    <cellStyle name="요약 3 5 3 11" xfId="17572" xr:uid="{00000000-0005-0000-0000-00008A4A0000}"/>
    <cellStyle name="요약 3 5 3 2" xfId="15603" xr:uid="{00000000-0005-0000-0000-00008B4A0000}"/>
    <cellStyle name="요약 3 5 3 2 2" xfId="24590" xr:uid="{00000000-0005-0000-0000-00008C4A0000}"/>
    <cellStyle name="요약 3 5 3 2 3" xfId="25884" xr:uid="{00000000-0005-0000-0000-00008D4A0000}"/>
    <cellStyle name="요약 3 5 3 2 4" xfId="28998" xr:uid="{00000000-0005-0000-0000-00008E4A0000}"/>
    <cellStyle name="요약 3 5 3 2 5" xfId="21654" xr:uid="{00000000-0005-0000-0000-00008F4A0000}"/>
    <cellStyle name="요약 3 5 3 3" xfId="16932" xr:uid="{00000000-0005-0000-0000-0000904A0000}"/>
    <cellStyle name="요약 3 5 3 3 2" xfId="18358" xr:uid="{00000000-0005-0000-0000-0000914A0000}"/>
    <cellStyle name="요약 3 5 3 3 3" xfId="26437" xr:uid="{00000000-0005-0000-0000-0000924A0000}"/>
    <cellStyle name="요약 3 5 3 3 4" xfId="29551" xr:uid="{00000000-0005-0000-0000-0000934A0000}"/>
    <cellStyle name="요약 3 5 3 3 5" xfId="22207" xr:uid="{00000000-0005-0000-0000-0000944A0000}"/>
    <cellStyle name="요약 3 5 3 4" xfId="16933" xr:uid="{00000000-0005-0000-0000-0000954A0000}"/>
    <cellStyle name="요약 3 5 3 4 2" xfId="19923" xr:uid="{00000000-0005-0000-0000-0000964A0000}"/>
    <cellStyle name="요약 3 5 3 4 3" xfId="26913" xr:uid="{00000000-0005-0000-0000-0000974A0000}"/>
    <cellStyle name="요약 3 5 3 4 4" xfId="30027" xr:uid="{00000000-0005-0000-0000-0000984A0000}"/>
    <cellStyle name="요약 3 5 3 4 5" xfId="22683" xr:uid="{00000000-0005-0000-0000-0000994A0000}"/>
    <cellStyle name="요약 3 5 3 5" xfId="23092" xr:uid="{00000000-0005-0000-0000-00009A4A0000}"/>
    <cellStyle name="요약 3 5 3 5 2" xfId="19188" xr:uid="{00000000-0005-0000-0000-00009B4A0000}"/>
    <cellStyle name="요약 3 5 3 5 3" xfId="27322" xr:uid="{00000000-0005-0000-0000-00009C4A0000}"/>
    <cellStyle name="요약 3 5 3 5 4" xfId="30436" xr:uid="{00000000-0005-0000-0000-00009D4A0000}"/>
    <cellStyle name="요약 3 5 3 6" xfId="23493" xr:uid="{00000000-0005-0000-0000-00009E4A0000}"/>
    <cellStyle name="요약 3 5 3 6 2" xfId="23822" xr:uid="{00000000-0005-0000-0000-00009F4A0000}"/>
    <cellStyle name="요약 3 5 3 6 3" xfId="27723" xr:uid="{00000000-0005-0000-0000-0000A04A0000}"/>
    <cellStyle name="요약 3 5 3 6 4" xfId="30837" xr:uid="{00000000-0005-0000-0000-0000A14A0000}"/>
    <cellStyle name="요약 3 5 3 7" xfId="20624" xr:uid="{00000000-0005-0000-0000-0000A24A0000}"/>
    <cellStyle name="요약 3 5 3 8" xfId="18929" xr:uid="{00000000-0005-0000-0000-0000A34A0000}"/>
    <cellStyle name="요약 3 5 3 9" xfId="24872" xr:uid="{00000000-0005-0000-0000-0000A44A0000}"/>
    <cellStyle name="요약 3 5 4" xfId="17675" xr:uid="{00000000-0005-0000-0000-0000A54A0000}"/>
    <cellStyle name="요약 3 5 4 2" xfId="22032" xr:uid="{00000000-0005-0000-0000-0000A64A0000}"/>
    <cellStyle name="요약 3 5 4 2 2" xfId="24633" xr:uid="{00000000-0005-0000-0000-0000A74A0000}"/>
    <cellStyle name="요약 3 5 4 2 3" xfId="26262" xr:uid="{00000000-0005-0000-0000-0000A84A0000}"/>
    <cellStyle name="요약 3 5 4 2 4" xfId="29376" xr:uid="{00000000-0005-0000-0000-0000A94A0000}"/>
    <cellStyle name="요약 3 5 4 3" xfId="22505" xr:uid="{00000000-0005-0000-0000-0000AA4A0000}"/>
    <cellStyle name="요약 3 5 4 3 2" xfId="19760" xr:uid="{00000000-0005-0000-0000-0000AB4A0000}"/>
    <cellStyle name="요약 3 5 4 3 3" xfId="26735" xr:uid="{00000000-0005-0000-0000-0000AC4A0000}"/>
    <cellStyle name="요약 3 5 4 3 4" xfId="29849" xr:uid="{00000000-0005-0000-0000-0000AD4A0000}"/>
    <cellStyle name="요약 3 5 4 4" xfId="22950" xr:uid="{00000000-0005-0000-0000-0000AE4A0000}"/>
    <cellStyle name="요약 3 5 4 4 2" xfId="20169" xr:uid="{00000000-0005-0000-0000-0000AF4A0000}"/>
    <cellStyle name="요약 3 5 4 4 3" xfId="27180" xr:uid="{00000000-0005-0000-0000-0000B04A0000}"/>
    <cellStyle name="요약 3 5 4 4 4" xfId="30294" xr:uid="{00000000-0005-0000-0000-0000B14A0000}"/>
    <cellStyle name="요약 3 5 4 5" xfId="23323" xr:uid="{00000000-0005-0000-0000-0000B24A0000}"/>
    <cellStyle name="요약 3 5 4 5 2" xfId="20363" xr:uid="{00000000-0005-0000-0000-0000B34A0000}"/>
    <cellStyle name="요약 3 5 4 5 3" xfId="27553" xr:uid="{00000000-0005-0000-0000-0000B44A0000}"/>
    <cellStyle name="요약 3 5 4 5 4" xfId="30667" xr:uid="{00000000-0005-0000-0000-0000B54A0000}"/>
    <cellStyle name="요약 3 5 4 6" xfId="24498" xr:uid="{00000000-0005-0000-0000-0000B64A0000}"/>
    <cellStyle name="요약 3 5 4 7" xfId="25711" xr:uid="{00000000-0005-0000-0000-0000B74A0000}"/>
    <cellStyle name="요약 3 5 4 8" xfId="28828" xr:uid="{00000000-0005-0000-0000-0000B84A0000}"/>
    <cellStyle name="요약 3 5 5" xfId="20909" xr:uid="{00000000-0005-0000-0000-0000B94A0000}"/>
    <cellStyle name="요약 3 5 5 2" xfId="23987" xr:uid="{00000000-0005-0000-0000-0000BA4A0000}"/>
    <cellStyle name="요약 3 5 5 3" xfId="25160" xr:uid="{00000000-0005-0000-0000-0000BB4A0000}"/>
    <cellStyle name="요약 3 5 5 4" xfId="28284" xr:uid="{00000000-0005-0000-0000-0000BC4A0000}"/>
    <cellStyle name="요약 3 5 6" xfId="18755" xr:uid="{00000000-0005-0000-0000-0000BD4A0000}"/>
    <cellStyle name="요약 3 5 7" xfId="18556" xr:uid="{00000000-0005-0000-0000-0000BE4A0000}"/>
    <cellStyle name="요약 3 5 8" xfId="18667" xr:uid="{00000000-0005-0000-0000-0000BF4A0000}"/>
    <cellStyle name="요약 3 5 9" xfId="17256" xr:uid="{00000000-0005-0000-0000-0000C04A0000}"/>
    <cellStyle name="요약 3 6" xfId="12122" xr:uid="{00000000-0005-0000-0000-0000C14A0000}"/>
    <cellStyle name="요약 3 6 2" xfId="14767" xr:uid="{00000000-0005-0000-0000-0000C24A0000}"/>
    <cellStyle name="요약 3 6 2 10" xfId="24983" xr:uid="{00000000-0005-0000-0000-0000C34A0000}"/>
    <cellStyle name="요약 3 6 2 11" xfId="28107" xr:uid="{00000000-0005-0000-0000-0000C44A0000}"/>
    <cellStyle name="요약 3 6 2 12" xfId="31083" xr:uid="{00000000-0005-0000-0000-0000C54A0000}"/>
    <cellStyle name="요약 3 6 2 13" xfId="17485" xr:uid="{00000000-0005-0000-0000-0000C64A0000}"/>
    <cellStyle name="요약 3 6 2 2" xfId="21765" xr:uid="{00000000-0005-0000-0000-0000C74A0000}"/>
    <cellStyle name="요약 3 6 2 2 2" xfId="22318" xr:uid="{00000000-0005-0000-0000-0000C84A0000}"/>
    <cellStyle name="요약 3 6 2 2 2 2" xfId="21173" xr:uid="{00000000-0005-0000-0000-0000C94A0000}"/>
    <cellStyle name="요약 3 6 2 2 2 3" xfId="26548" xr:uid="{00000000-0005-0000-0000-0000CA4A0000}"/>
    <cellStyle name="요약 3 6 2 2 2 4" xfId="29662" xr:uid="{00000000-0005-0000-0000-0000CB4A0000}"/>
    <cellStyle name="요약 3 6 2 2 3" xfId="22794" xr:uid="{00000000-0005-0000-0000-0000CC4A0000}"/>
    <cellStyle name="요약 3 6 2 2 3 2" xfId="20026" xr:uid="{00000000-0005-0000-0000-0000CD4A0000}"/>
    <cellStyle name="요약 3 6 2 2 3 3" xfId="27024" xr:uid="{00000000-0005-0000-0000-0000CE4A0000}"/>
    <cellStyle name="요약 3 6 2 2 3 4" xfId="30138" xr:uid="{00000000-0005-0000-0000-0000CF4A0000}"/>
    <cellStyle name="요약 3 6 2 2 4" xfId="23177" xr:uid="{00000000-0005-0000-0000-0000D04A0000}"/>
    <cellStyle name="요약 3 6 2 2 4 2" xfId="19267" xr:uid="{00000000-0005-0000-0000-0000D14A0000}"/>
    <cellStyle name="요약 3 6 2 2 4 3" xfId="27407" xr:uid="{00000000-0005-0000-0000-0000D24A0000}"/>
    <cellStyle name="요약 3 6 2 2 4 4" xfId="30521" xr:uid="{00000000-0005-0000-0000-0000D34A0000}"/>
    <cellStyle name="요약 3 6 2 2 5" xfId="23604" xr:uid="{00000000-0005-0000-0000-0000D44A0000}"/>
    <cellStyle name="요약 3 6 2 2 5 2" xfId="23810" xr:uid="{00000000-0005-0000-0000-0000D54A0000}"/>
    <cellStyle name="요약 3 6 2 2 5 3" xfId="27834" xr:uid="{00000000-0005-0000-0000-0000D64A0000}"/>
    <cellStyle name="요약 3 6 2 2 5 4" xfId="30948" xr:uid="{00000000-0005-0000-0000-0000D74A0000}"/>
    <cellStyle name="요약 3 6 2 2 6" xfId="19304" xr:uid="{00000000-0005-0000-0000-0000D84A0000}"/>
    <cellStyle name="요약 3 6 2 2 7" xfId="25995" xr:uid="{00000000-0005-0000-0000-0000D94A0000}"/>
    <cellStyle name="요약 3 6 2 2 8" xfId="29109" xr:uid="{00000000-0005-0000-0000-0000DA4A0000}"/>
    <cellStyle name="요약 3 6 2 3" xfId="21363" xr:uid="{00000000-0005-0000-0000-0000DB4A0000}"/>
    <cellStyle name="요약 3 6 2 3 2" xfId="19449" xr:uid="{00000000-0005-0000-0000-0000DC4A0000}"/>
    <cellStyle name="요약 3 6 2 3 3" xfId="25550" xr:uid="{00000000-0005-0000-0000-0000DD4A0000}"/>
    <cellStyle name="요약 3 6 2 3 4" xfId="28667" xr:uid="{00000000-0005-0000-0000-0000DE4A0000}"/>
    <cellStyle name="요약 3 6 2 4" xfId="21871" xr:uid="{00000000-0005-0000-0000-0000DF4A0000}"/>
    <cellStyle name="요약 3 6 2 4 2" xfId="24451" xr:uid="{00000000-0005-0000-0000-0000E04A0000}"/>
    <cellStyle name="요약 3 6 2 4 3" xfId="26101" xr:uid="{00000000-0005-0000-0000-0000E14A0000}"/>
    <cellStyle name="요약 3 6 2 4 4" xfId="29215" xr:uid="{00000000-0005-0000-0000-0000E24A0000}"/>
    <cellStyle name="요약 3 6 2 5" xfId="21267" xr:uid="{00000000-0005-0000-0000-0000E34A0000}"/>
    <cellStyle name="요약 3 6 2 5 2" xfId="23955" xr:uid="{00000000-0005-0000-0000-0000E44A0000}"/>
    <cellStyle name="요약 3 6 2 5 3" xfId="25481" xr:uid="{00000000-0005-0000-0000-0000E54A0000}"/>
    <cellStyle name="요약 3 6 2 5 4" xfId="28598" xr:uid="{00000000-0005-0000-0000-0000E64A0000}"/>
    <cellStyle name="요약 3 6 2 6" xfId="21118" xr:uid="{00000000-0005-0000-0000-0000E74A0000}"/>
    <cellStyle name="요약 3 6 2 6 2" xfId="24424" xr:uid="{00000000-0005-0000-0000-0000E84A0000}"/>
    <cellStyle name="요약 3 6 2 6 3" xfId="25363" xr:uid="{00000000-0005-0000-0000-0000E94A0000}"/>
    <cellStyle name="요약 3 6 2 6 4" xfId="28487" xr:uid="{00000000-0005-0000-0000-0000EA4A0000}"/>
    <cellStyle name="요약 3 6 2 7" xfId="21036" xr:uid="{00000000-0005-0000-0000-0000EB4A0000}"/>
    <cellStyle name="요약 3 6 2 7 2" xfId="23690" xr:uid="{00000000-0005-0000-0000-0000EC4A0000}"/>
    <cellStyle name="요약 3 6 2 7 3" xfId="25281" xr:uid="{00000000-0005-0000-0000-0000ED4A0000}"/>
    <cellStyle name="요약 3 6 2 7 4" xfId="28405" xr:uid="{00000000-0005-0000-0000-0000EE4A0000}"/>
    <cellStyle name="요약 3 6 2 8" xfId="20735" xr:uid="{00000000-0005-0000-0000-0000EF4A0000}"/>
    <cellStyle name="요약 3 6 2 9" xfId="19038" xr:uid="{00000000-0005-0000-0000-0000F04A0000}"/>
    <cellStyle name="요약 3 6 3" xfId="15393" xr:uid="{00000000-0005-0000-0000-0000F14A0000}"/>
    <cellStyle name="요약 3 6 3 10" xfId="27997" xr:uid="{00000000-0005-0000-0000-0000F24A0000}"/>
    <cellStyle name="요약 3 6 3 11" xfId="17571" xr:uid="{00000000-0005-0000-0000-0000F34A0000}"/>
    <cellStyle name="요약 3 6 3 2" xfId="15293" xr:uid="{00000000-0005-0000-0000-0000F44A0000}"/>
    <cellStyle name="요약 3 6 3 2 2" xfId="24460" xr:uid="{00000000-0005-0000-0000-0000F54A0000}"/>
    <cellStyle name="요약 3 6 3 2 3" xfId="25885" xr:uid="{00000000-0005-0000-0000-0000F64A0000}"/>
    <cellStyle name="요약 3 6 3 2 4" xfId="28999" xr:uid="{00000000-0005-0000-0000-0000F74A0000}"/>
    <cellStyle name="요약 3 6 3 2 5" xfId="21655" xr:uid="{00000000-0005-0000-0000-0000F84A0000}"/>
    <cellStyle name="요약 3 6 3 3" xfId="16934" xr:uid="{00000000-0005-0000-0000-0000F94A0000}"/>
    <cellStyle name="요약 3 6 3 3 2" xfId="18359" xr:uid="{00000000-0005-0000-0000-0000FA4A0000}"/>
    <cellStyle name="요약 3 6 3 3 3" xfId="26438" xr:uid="{00000000-0005-0000-0000-0000FB4A0000}"/>
    <cellStyle name="요약 3 6 3 3 4" xfId="29552" xr:uid="{00000000-0005-0000-0000-0000FC4A0000}"/>
    <cellStyle name="요약 3 6 3 3 5" xfId="22208" xr:uid="{00000000-0005-0000-0000-0000FD4A0000}"/>
    <cellStyle name="요약 3 6 3 4" xfId="16935" xr:uid="{00000000-0005-0000-0000-0000FE4A0000}"/>
    <cellStyle name="요약 3 6 3 4 2" xfId="19924" xr:uid="{00000000-0005-0000-0000-0000FF4A0000}"/>
    <cellStyle name="요약 3 6 3 4 3" xfId="26914" xr:uid="{00000000-0005-0000-0000-0000004B0000}"/>
    <cellStyle name="요약 3 6 3 4 4" xfId="30028" xr:uid="{00000000-0005-0000-0000-0000014B0000}"/>
    <cellStyle name="요약 3 6 3 4 5" xfId="22684" xr:uid="{00000000-0005-0000-0000-0000024B0000}"/>
    <cellStyle name="요약 3 6 3 5" xfId="23093" xr:uid="{00000000-0005-0000-0000-0000034B0000}"/>
    <cellStyle name="요약 3 6 3 5 2" xfId="19189" xr:uid="{00000000-0005-0000-0000-0000044B0000}"/>
    <cellStyle name="요약 3 6 3 5 3" xfId="27323" xr:uid="{00000000-0005-0000-0000-0000054B0000}"/>
    <cellStyle name="요약 3 6 3 5 4" xfId="30437" xr:uid="{00000000-0005-0000-0000-0000064B0000}"/>
    <cellStyle name="요약 3 6 3 6" xfId="23494" xr:uid="{00000000-0005-0000-0000-0000074B0000}"/>
    <cellStyle name="요약 3 6 3 6 2" xfId="18156" xr:uid="{00000000-0005-0000-0000-0000084B0000}"/>
    <cellStyle name="요약 3 6 3 6 3" xfId="27724" xr:uid="{00000000-0005-0000-0000-0000094B0000}"/>
    <cellStyle name="요약 3 6 3 6 4" xfId="30838" xr:uid="{00000000-0005-0000-0000-00000A4B0000}"/>
    <cellStyle name="요약 3 6 3 7" xfId="20625" xr:uid="{00000000-0005-0000-0000-00000B4B0000}"/>
    <cellStyle name="요약 3 6 3 8" xfId="18930" xr:uid="{00000000-0005-0000-0000-00000C4B0000}"/>
    <cellStyle name="요약 3 6 3 9" xfId="24873" xr:uid="{00000000-0005-0000-0000-00000D4B0000}"/>
    <cellStyle name="요약 3 6 4" xfId="17403" xr:uid="{00000000-0005-0000-0000-00000E4B0000}"/>
    <cellStyle name="요약 3 6 4 2" xfId="22033" xr:uid="{00000000-0005-0000-0000-00000F4B0000}"/>
    <cellStyle name="요약 3 6 4 2 2" xfId="24548" xr:uid="{00000000-0005-0000-0000-0000104B0000}"/>
    <cellStyle name="요약 3 6 4 2 3" xfId="26263" xr:uid="{00000000-0005-0000-0000-0000114B0000}"/>
    <cellStyle name="요약 3 6 4 2 4" xfId="29377" xr:uid="{00000000-0005-0000-0000-0000124B0000}"/>
    <cellStyle name="요약 3 6 4 3" xfId="22506" xr:uid="{00000000-0005-0000-0000-0000134B0000}"/>
    <cellStyle name="요약 3 6 4 3 2" xfId="19761" xr:uid="{00000000-0005-0000-0000-0000144B0000}"/>
    <cellStyle name="요약 3 6 4 3 3" xfId="26736" xr:uid="{00000000-0005-0000-0000-0000154B0000}"/>
    <cellStyle name="요약 3 6 4 3 4" xfId="29850" xr:uid="{00000000-0005-0000-0000-0000164B0000}"/>
    <cellStyle name="요약 3 6 4 4" xfId="22951" xr:uid="{00000000-0005-0000-0000-0000174B0000}"/>
    <cellStyle name="요약 3 6 4 4 2" xfId="20170" xr:uid="{00000000-0005-0000-0000-0000184B0000}"/>
    <cellStyle name="요약 3 6 4 4 3" xfId="27181" xr:uid="{00000000-0005-0000-0000-0000194B0000}"/>
    <cellStyle name="요약 3 6 4 4 4" xfId="30295" xr:uid="{00000000-0005-0000-0000-00001A4B0000}"/>
    <cellStyle name="요약 3 6 4 5" xfId="23324" xr:uid="{00000000-0005-0000-0000-00001B4B0000}"/>
    <cellStyle name="요약 3 6 4 5 2" xfId="20364" xr:uid="{00000000-0005-0000-0000-00001C4B0000}"/>
    <cellStyle name="요약 3 6 4 5 3" xfId="27554" xr:uid="{00000000-0005-0000-0000-00001D4B0000}"/>
    <cellStyle name="요약 3 6 4 5 4" xfId="30668" xr:uid="{00000000-0005-0000-0000-00001E4B0000}"/>
    <cellStyle name="요약 3 6 4 6" xfId="24324" xr:uid="{00000000-0005-0000-0000-00001F4B0000}"/>
    <cellStyle name="요약 3 6 4 7" xfId="25712" xr:uid="{00000000-0005-0000-0000-0000204B0000}"/>
    <cellStyle name="요약 3 6 4 8" xfId="28829" xr:uid="{00000000-0005-0000-0000-0000214B0000}"/>
    <cellStyle name="요약 3 6 5" xfId="20910" xr:uid="{00000000-0005-0000-0000-0000224B0000}"/>
    <cellStyle name="요약 3 6 5 2" xfId="24699" xr:uid="{00000000-0005-0000-0000-0000234B0000}"/>
    <cellStyle name="요약 3 6 5 3" xfId="25161" xr:uid="{00000000-0005-0000-0000-0000244B0000}"/>
    <cellStyle name="요약 3 6 5 4" xfId="28285" xr:uid="{00000000-0005-0000-0000-0000254B0000}"/>
    <cellStyle name="요약 3 6 6" xfId="18756" xr:uid="{00000000-0005-0000-0000-0000264B0000}"/>
    <cellStyle name="요약 3 6 7" xfId="18555" xr:uid="{00000000-0005-0000-0000-0000274B0000}"/>
    <cellStyle name="요약 3 6 8" xfId="18668" xr:uid="{00000000-0005-0000-0000-0000284B0000}"/>
    <cellStyle name="요약 3 6 9" xfId="17257" xr:uid="{00000000-0005-0000-0000-0000294B0000}"/>
    <cellStyle name="요약 3 7" xfId="12123" xr:uid="{00000000-0005-0000-0000-00002A4B0000}"/>
    <cellStyle name="요약 3 7 2" xfId="14768" xr:uid="{00000000-0005-0000-0000-00002B4B0000}"/>
    <cellStyle name="요약 3 7 2 10" xfId="24984" xr:uid="{00000000-0005-0000-0000-00002C4B0000}"/>
    <cellStyle name="요약 3 7 2 11" xfId="28108" xr:uid="{00000000-0005-0000-0000-00002D4B0000}"/>
    <cellStyle name="요약 3 7 2 12" xfId="31084" xr:uid="{00000000-0005-0000-0000-00002E4B0000}"/>
    <cellStyle name="요약 3 7 2 13" xfId="17484" xr:uid="{00000000-0005-0000-0000-00002F4B0000}"/>
    <cellStyle name="요약 3 7 2 2" xfId="21766" xr:uid="{00000000-0005-0000-0000-0000304B0000}"/>
    <cellStyle name="요약 3 7 2 2 2" xfId="22319" xr:uid="{00000000-0005-0000-0000-0000314B0000}"/>
    <cellStyle name="요약 3 7 2 2 2 2" xfId="19375" xr:uid="{00000000-0005-0000-0000-0000324B0000}"/>
    <cellStyle name="요약 3 7 2 2 2 3" xfId="26549" xr:uid="{00000000-0005-0000-0000-0000334B0000}"/>
    <cellStyle name="요약 3 7 2 2 2 4" xfId="29663" xr:uid="{00000000-0005-0000-0000-0000344B0000}"/>
    <cellStyle name="요약 3 7 2 2 3" xfId="22795" xr:uid="{00000000-0005-0000-0000-0000354B0000}"/>
    <cellStyle name="요약 3 7 2 2 3 2" xfId="20027" xr:uid="{00000000-0005-0000-0000-0000364B0000}"/>
    <cellStyle name="요약 3 7 2 2 3 3" xfId="27025" xr:uid="{00000000-0005-0000-0000-0000374B0000}"/>
    <cellStyle name="요약 3 7 2 2 3 4" xfId="30139" xr:uid="{00000000-0005-0000-0000-0000384B0000}"/>
    <cellStyle name="요약 3 7 2 2 4" xfId="23178" xr:uid="{00000000-0005-0000-0000-0000394B0000}"/>
    <cellStyle name="요약 3 7 2 2 4 2" xfId="19268" xr:uid="{00000000-0005-0000-0000-00003A4B0000}"/>
    <cellStyle name="요약 3 7 2 2 4 3" xfId="27408" xr:uid="{00000000-0005-0000-0000-00003B4B0000}"/>
    <cellStyle name="요약 3 7 2 2 4 4" xfId="30522" xr:uid="{00000000-0005-0000-0000-00003C4B0000}"/>
    <cellStyle name="요약 3 7 2 2 5" xfId="23605" xr:uid="{00000000-0005-0000-0000-00003D4B0000}"/>
    <cellStyle name="요약 3 7 2 2 5 2" xfId="18260" xr:uid="{00000000-0005-0000-0000-00003E4B0000}"/>
    <cellStyle name="요약 3 7 2 2 5 3" xfId="27835" xr:uid="{00000000-0005-0000-0000-00003F4B0000}"/>
    <cellStyle name="요약 3 7 2 2 5 4" xfId="30949" xr:uid="{00000000-0005-0000-0000-0000404B0000}"/>
    <cellStyle name="요약 3 7 2 2 6" xfId="19545" xr:uid="{00000000-0005-0000-0000-0000414B0000}"/>
    <cellStyle name="요약 3 7 2 2 7" xfId="25996" xr:uid="{00000000-0005-0000-0000-0000424B0000}"/>
    <cellStyle name="요약 3 7 2 2 8" xfId="29110" xr:uid="{00000000-0005-0000-0000-0000434B0000}"/>
    <cellStyle name="요약 3 7 2 3" xfId="21364" xr:uid="{00000000-0005-0000-0000-0000444B0000}"/>
    <cellStyle name="요약 3 7 2 3 2" xfId="19450" xr:uid="{00000000-0005-0000-0000-0000454B0000}"/>
    <cellStyle name="요약 3 7 2 3 3" xfId="25551" xr:uid="{00000000-0005-0000-0000-0000464B0000}"/>
    <cellStyle name="요약 3 7 2 3 4" xfId="28668" xr:uid="{00000000-0005-0000-0000-0000474B0000}"/>
    <cellStyle name="요약 3 7 2 4" xfId="21872" xr:uid="{00000000-0005-0000-0000-0000484B0000}"/>
    <cellStyle name="요약 3 7 2 4 2" xfId="24278" xr:uid="{00000000-0005-0000-0000-0000494B0000}"/>
    <cellStyle name="요약 3 7 2 4 3" xfId="26102" xr:uid="{00000000-0005-0000-0000-00004A4B0000}"/>
    <cellStyle name="요약 3 7 2 4 4" xfId="29216" xr:uid="{00000000-0005-0000-0000-00004B4B0000}"/>
    <cellStyle name="요약 3 7 2 5" xfId="20841" xr:uid="{00000000-0005-0000-0000-00004C4B0000}"/>
    <cellStyle name="요약 3 7 2 5 2" xfId="19146" xr:uid="{00000000-0005-0000-0000-00004D4B0000}"/>
    <cellStyle name="요약 3 7 2 5 3" xfId="25092" xr:uid="{00000000-0005-0000-0000-00004E4B0000}"/>
    <cellStyle name="요약 3 7 2 5 4" xfId="28216" xr:uid="{00000000-0005-0000-0000-00004F4B0000}"/>
    <cellStyle name="요약 3 7 2 6" xfId="21102" xr:uid="{00000000-0005-0000-0000-0000504B0000}"/>
    <cellStyle name="요약 3 7 2 6 2" xfId="23687" xr:uid="{00000000-0005-0000-0000-0000514B0000}"/>
    <cellStyle name="요약 3 7 2 6 3" xfId="25347" xr:uid="{00000000-0005-0000-0000-0000524B0000}"/>
    <cellStyle name="요약 3 7 2 6 4" xfId="28471" xr:uid="{00000000-0005-0000-0000-0000534B0000}"/>
    <cellStyle name="요약 3 7 2 7" xfId="21028" xr:uid="{00000000-0005-0000-0000-0000544B0000}"/>
    <cellStyle name="요약 3 7 2 7 2" xfId="24259" xr:uid="{00000000-0005-0000-0000-0000554B0000}"/>
    <cellStyle name="요약 3 7 2 7 3" xfId="25273" xr:uid="{00000000-0005-0000-0000-0000564B0000}"/>
    <cellStyle name="요약 3 7 2 7 4" xfId="28397" xr:uid="{00000000-0005-0000-0000-0000574B0000}"/>
    <cellStyle name="요약 3 7 2 8" xfId="20736" xr:uid="{00000000-0005-0000-0000-0000584B0000}"/>
    <cellStyle name="요약 3 7 2 9" xfId="19039" xr:uid="{00000000-0005-0000-0000-0000594B0000}"/>
    <cellStyle name="요약 3 7 3" xfId="15394" xr:uid="{00000000-0005-0000-0000-00005A4B0000}"/>
    <cellStyle name="요약 3 7 3 10" xfId="27998" xr:uid="{00000000-0005-0000-0000-00005B4B0000}"/>
    <cellStyle name="요약 3 7 3 11" xfId="17570" xr:uid="{00000000-0005-0000-0000-00005C4B0000}"/>
    <cellStyle name="요약 3 7 3 2" xfId="15292" xr:uid="{00000000-0005-0000-0000-00005D4B0000}"/>
    <cellStyle name="요약 3 7 3 2 2" xfId="24287" xr:uid="{00000000-0005-0000-0000-00005E4B0000}"/>
    <cellStyle name="요약 3 7 3 2 3" xfId="25886" xr:uid="{00000000-0005-0000-0000-00005F4B0000}"/>
    <cellStyle name="요약 3 7 3 2 4" xfId="29000" xr:uid="{00000000-0005-0000-0000-0000604B0000}"/>
    <cellStyle name="요약 3 7 3 2 5" xfId="21656" xr:uid="{00000000-0005-0000-0000-0000614B0000}"/>
    <cellStyle name="요약 3 7 3 3" xfId="16936" xr:uid="{00000000-0005-0000-0000-0000624B0000}"/>
    <cellStyle name="요약 3 7 3 3 2" xfId="18360" xr:uid="{00000000-0005-0000-0000-0000634B0000}"/>
    <cellStyle name="요약 3 7 3 3 3" xfId="26439" xr:uid="{00000000-0005-0000-0000-0000644B0000}"/>
    <cellStyle name="요약 3 7 3 3 4" xfId="29553" xr:uid="{00000000-0005-0000-0000-0000654B0000}"/>
    <cellStyle name="요약 3 7 3 3 5" xfId="22209" xr:uid="{00000000-0005-0000-0000-0000664B0000}"/>
    <cellStyle name="요약 3 7 3 4" xfId="16937" xr:uid="{00000000-0005-0000-0000-0000674B0000}"/>
    <cellStyle name="요약 3 7 3 4 2" xfId="19925" xr:uid="{00000000-0005-0000-0000-0000684B0000}"/>
    <cellStyle name="요약 3 7 3 4 3" xfId="26915" xr:uid="{00000000-0005-0000-0000-0000694B0000}"/>
    <cellStyle name="요약 3 7 3 4 4" xfId="30029" xr:uid="{00000000-0005-0000-0000-00006A4B0000}"/>
    <cellStyle name="요약 3 7 3 4 5" xfId="22685" xr:uid="{00000000-0005-0000-0000-00006B4B0000}"/>
    <cellStyle name="요약 3 7 3 5" xfId="23094" xr:uid="{00000000-0005-0000-0000-00006C4B0000}"/>
    <cellStyle name="요약 3 7 3 5 2" xfId="19190" xr:uid="{00000000-0005-0000-0000-00006D4B0000}"/>
    <cellStyle name="요약 3 7 3 5 3" xfId="27324" xr:uid="{00000000-0005-0000-0000-00006E4B0000}"/>
    <cellStyle name="요약 3 7 3 5 4" xfId="30438" xr:uid="{00000000-0005-0000-0000-00006F4B0000}"/>
    <cellStyle name="요약 3 7 3 6" xfId="23495" xr:uid="{00000000-0005-0000-0000-0000704B0000}"/>
    <cellStyle name="요약 3 7 3 6 2" xfId="18157" xr:uid="{00000000-0005-0000-0000-0000714B0000}"/>
    <cellStyle name="요약 3 7 3 6 3" xfId="27725" xr:uid="{00000000-0005-0000-0000-0000724B0000}"/>
    <cellStyle name="요약 3 7 3 6 4" xfId="30839" xr:uid="{00000000-0005-0000-0000-0000734B0000}"/>
    <cellStyle name="요약 3 7 3 7" xfId="20626" xr:uid="{00000000-0005-0000-0000-0000744B0000}"/>
    <cellStyle name="요약 3 7 3 8" xfId="18931" xr:uid="{00000000-0005-0000-0000-0000754B0000}"/>
    <cellStyle name="요약 3 7 3 9" xfId="24874" xr:uid="{00000000-0005-0000-0000-0000764B0000}"/>
    <cellStyle name="요약 3 7 4" xfId="17385" xr:uid="{00000000-0005-0000-0000-0000774B0000}"/>
    <cellStyle name="요약 3 7 4 2" xfId="22034" xr:uid="{00000000-0005-0000-0000-0000784B0000}"/>
    <cellStyle name="요약 3 7 4 2 2" xfId="24372" xr:uid="{00000000-0005-0000-0000-0000794B0000}"/>
    <cellStyle name="요약 3 7 4 2 3" xfId="26264" xr:uid="{00000000-0005-0000-0000-00007A4B0000}"/>
    <cellStyle name="요약 3 7 4 2 4" xfId="29378" xr:uid="{00000000-0005-0000-0000-00007B4B0000}"/>
    <cellStyle name="요약 3 7 4 3" xfId="22507" xr:uid="{00000000-0005-0000-0000-00007C4B0000}"/>
    <cellStyle name="요약 3 7 4 3 2" xfId="19762" xr:uid="{00000000-0005-0000-0000-00007D4B0000}"/>
    <cellStyle name="요약 3 7 4 3 3" xfId="26737" xr:uid="{00000000-0005-0000-0000-00007E4B0000}"/>
    <cellStyle name="요약 3 7 4 3 4" xfId="29851" xr:uid="{00000000-0005-0000-0000-00007F4B0000}"/>
    <cellStyle name="요약 3 7 4 4" xfId="22952" xr:uid="{00000000-0005-0000-0000-0000804B0000}"/>
    <cellStyle name="요약 3 7 4 4 2" xfId="20171" xr:uid="{00000000-0005-0000-0000-0000814B0000}"/>
    <cellStyle name="요약 3 7 4 4 3" xfId="27182" xr:uid="{00000000-0005-0000-0000-0000824B0000}"/>
    <cellStyle name="요약 3 7 4 4 4" xfId="30296" xr:uid="{00000000-0005-0000-0000-0000834B0000}"/>
    <cellStyle name="요약 3 7 4 5" xfId="23325" xr:uid="{00000000-0005-0000-0000-0000844B0000}"/>
    <cellStyle name="요약 3 7 4 5 2" xfId="20365" xr:uid="{00000000-0005-0000-0000-0000854B0000}"/>
    <cellStyle name="요약 3 7 4 5 3" xfId="27555" xr:uid="{00000000-0005-0000-0000-0000864B0000}"/>
    <cellStyle name="요약 3 7 4 5 4" xfId="30669" xr:uid="{00000000-0005-0000-0000-0000874B0000}"/>
    <cellStyle name="요약 3 7 4 6" xfId="24143" xr:uid="{00000000-0005-0000-0000-0000884B0000}"/>
    <cellStyle name="요약 3 7 4 7" xfId="25713" xr:uid="{00000000-0005-0000-0000-0000894B0000}"/>
    <cellStyle name="요약 3 7 4 8" xfId="28830" xr:uid="{00000000-0005-0000-0000-00008A4B0000}"/>
    <cellStyle name="요약 3 7 5" xfId="20911" xr:uid="{00000000-0005-0000-0000-00008B4B0000}"/>
    <cellStyle name="요약 3 7 5 2" xfId="24439" xr:uid="{00000000-0005-0000-0000-00008C4B0000}"/>
    <cellStyle name="요약 3 7 5 3" xfId="25162" xr:uid="{00000000-0005-0000-0000-00008D4B0000}"/>
    <cellStyle name="요약 3 7 5 4" xfId="28286" xr:uid="{00000000-0005-0000-0000-00008E4B0000}"/>
    <cellStyle name="요약 3 7 6" xfId="18757" xr:uid="{00000000-0005-0000-0000-00008F4B0000}"/>
    <cellStyle name="요약 3 7 7" xfId="18554" xr:uid="{00000000-0005-0000-0000-0000904B0000}"/>
    <cellStyle name="요약 3 7 8" xfId="18669" xr:uid="{00000000-0005-0000-0000-0000914B0000}"/>
    <cellStyle name="요약 3 7 9" xfId="17258" xr:uid="{00000000-0005-0000-0000-0000924B0000}"/>
    <cellStyle name="요약 3 8" xfId="14762" xr:uid="{00000000-0005-0000-0000-0000934B0000}"/>
    <cellStyle name="요약 3 8 10" xfId="24978" xr:uid="{00000000-0005-0000-0000-0000944B0000}"/>
    <cellStyle name="요약 3 8 11" xfId="28102" xr:uid="{00000000-0005-0000-0000-0000954B0000}"/>
    <cellStyle name="요약 3 8 12" xfId="31078" xr:uid="{00000000-0005-0000-0000-0000964B0000}"/>
    <cellStyle name="요약 3 8 13" xfId="17490" xr:uid="{00000000-0005-0000-0000-0000974B0000}"/>
    <cellStyle name="요약 3 8 2" xfId="21760" xr:uid="{00000000-0005-0000-0000-0000984B0000}"/>
    <cellStyle name="요약 3 8 2 2" xfId="22313" xr:uid="{00000000-0005-0000-0000-0000994B0000}"/>
    <cellStyle name="요약 3 8 2 2 2" xfId="19371" xr:uid="{00000000-0005-0000-0000-00009A4B0000}"/>
    <cellStyle name="요약 3 8 2 2 3" xfId="26543" xr:uid="{00000000-0005-0000-0000-00009B4B0000}"/>
    <cellStyle name="요약 3 8 2 2 4" xfId="29657" xr:uid="{00000000-0005-0000-0000-00009C4B0000}"/>
    <cellStyle name="요약 3 8 2 3" xfId="22789" xr:uid="{00000000-0005-0000-0000-00009D4B0000}"/>
    <cellStyle name="요약 3 8 2 3 2" xfId="20021" xr:uid="{00000000-0005-0000-0000-00009E4B0000}"/>
    <cellStyle name="요약 3 8 2 3 3" xfId="27019" xr:uid="{00000000-0005-0000-0000-00009F4B0000}"/>
    <cellStyle name="요약 3 8 2 3 4" xfId="30133" xr:uid="{00000000-0005-0000-0000-0000A04B0000}"/>
    <cellStyle name="요약 3 8 2 4" xfId="23172" xr:uid="{00000000-0005-0000-0000-0000A14B0000}"/>
    <cellStyle name="요약 3 8 2 4 2" xfId="19262" xr:uid="{00000000-0005-0000-0000-0000A24B0000}"/>
    <cellStyle name="요약 3 8 2 4 3" xfId="27402" xr:uid="{00000000-0005-0000-0000-0000A34B0000}"/>
    <cellStyle name="요약 3 8 2 4 4" xfId="30516" xr:uid="{00000000-0005-0000-0000-0000A44B0000}"/>
    <cellStyle name="요약 3 8 2 5" xfId="23599" xr:uid="{00000000-0005-0000-0000-0000A54B0000}"/>
    <cellStyle name="요약 3 8 2 5 2" xfId="18255" xr:uid="{00000000-0005-0000-0000-0000A64B0000}"/>
    <cellStyle name="요약 3 8 2 5 3" xfId="27829" xr:uid="{00000000-0005-0000-0000-0000A74B0000}"/>
    <cellStyle name="요약 3 8 2 5 4" xfId="30943" xr:uid="{00000000-0005-0000-0000-0000A84B0000}"/>
    <cellStyle name="요약 3 8 2 6" xfId="24748" xr:uid="{00000000-0005-0000-0000-0000A94B0000}"/>
    <cellStyle name="요약 3 8 2 7" xfId="25990" xr:uid="{00000000-0005-0000-0000-0000AA4B0000}"/>
    <cellStyle name="요약 3 8 2 8" xfId="29104" xr:uid="{00000000-0005-0000-0000-0000AB4B0000}"/>
    <cellStyle name="요약 3 8 3" xfId="21358" xr:uid="{00000000-0005-0000-0000-0000AC4B0000}"/>
    <cellStyle name="요약 3 8 3 2" xfId="19444" xr:uid="{00000000-0005-0000-0000-0000AD4B0000}"/>
    <cellStyle name="요약 3 8 3 3" xfId="25545" xr:uid="{00000000-0005-0000-0000-0000AE4B0000}"/>
    <cellStyle name="요약 3 8 3 4" xfId="28662" xr:uid="{00000000-0005-0000-0000-0000AF4B0000}"/>
    <cellStyle name="요약 3 8 4" xfId="21866" xr:uid="{00000000-0005-0000-0000-0000B04B0000}"/>
    <cellStyle name="요약 3 8 4 2" xfId="24379" xr:uid="{00000000-0005-0000-0000-0000B14B0000}"/>
    <cellStyle name="요약 3 8 4 3" xfId="26096" xr:uid="{00000000-0005-0000-0000-0000B24B0000}"/>
    <cellStyle name="요약 3 8 4 4" xfId="29210" xr:uid="{00000000-0005-0000-0000-0000B34B0000}"/>
    <cellStyle name="요약 3 8 5" xfId="21262" xr:uid="{00000000-0005-0000-0000-0000B44B0000}"/>
    <cellStyle name="요약 3 8 5 2" xfId="24682" xr:uid="{00000000-0005-0000-0000-0000B54B0000}"/>
    <cellStyle name="요약 3 8 5 3" xfId="25476" xr:uid="{00000000-0005-0000-0000-0000B64B0000}"/>
    <cellStyle name="요약 3 8 5 4" xfId="28593" xr:uid="{00000000-0005-0000-0000-0000B74B0000}"/>
    <cellStyle name="요약 3 8 6" xfId="21072" xr:uid="{00000000-0005-0000-0000-0000B84B0000}"/>
    <cellStyle name="요약 3 8 6 2" xfId="24252" xr:uid="{00000000-0005-0000-0000-0000B94B0000}"/>
    <cellStyle name="요약 3 8 6 3" xfId="25317" xr:uid="{00000000-0005-0000-0000-0000BA4B0000}"/>
    <cellStyle name="요약 3 8 6 4" xfId="28441" xr:uid="{00000000-0005-0000-0000-0000BB4B0000}"/>
    <cellStyle name="요약 3 8 7" xfId="20981" xr:uid="{00000000-0005-0000-0000-0000BC4B0000}"/>
    <cellStyle name="요약 3 8 7 2" xfId="19407" xr:uid="{00000000-0005-0000-0000-0000BD4B0000}"/>
    <cellStyle name="요약 3 8 7 3" xfId="25229" xr:uid="{00000000-0005-0000-0000-0000BE4B0000}"/>
    <cellStyle name="요약 3 8 7 4" xfId="28353" xr:uid="{00000000-0005-0000-0000-0000BF4B0000}"/>
    <cellStyle name="요약 3 8 8" xfId="20730" xr:uid="{00000000-0005-0000-0000-0000C04B0000}"/>
    <cellStyle name="요약 3 8 9" xfId="19034" xr:uid="{00000000-0005-0000-0000-0000C14B0000}"/>
    <cellStyle name="요약 3 9" xfId="15388" xr:uid="{00000000-0005-0000-0000-0000C24B0000}"/>
    <cellStyle name="요약 3 9 10" xfId="27992" xr:uid="{00000000-0005-0000-0000-0000C34B0000}"/>
    <cellStyle name="요약 3 9 11" xfId="17575" xr:uid="{00000000-0005-0000-0000-0000C44B0000}"/>
    <cellStyle name="요약 3 9 2" xfId="15297" xr:uid="{00000000-0005-0000-0000-0000C54B0000}"/>
    <cellStyle name="요약 3 9 2 2" xfId="24388" xr:uid="{00000000-0005-0000-0000-0000C64B0000}"/>
    <cellStyle name="요약 3 9 2 3" xfId="25880" xr:uid="{00000000-0005-0000-0000-0000C74B0000}"/>
    <cellStyle name="요약 3 9 2 4" xfId="28994" xr:uid="{00000000-0005-0000-0000-0000C84B0000}"/>
    <cellStyle name="요약 3 9 2 5" xfId="21650" xr:uid="{00000000-0005-0000-0000-0000C94B0000}"/>
    <cellStyle name="요약 3 9 3" xfId="16938" xr:uid="{00000000-0005-0000-0000-0000CA4B0000}"/>
    <cellStyle name="요약 3 9 3 2" xfId="18354" xr:uid="{00000000-0005-0000-0000-0000CB4B0000}"/>
    <cellStyle name="요약 3 9 3 3" xfId="26433" xr:uid="{00000000-0005-0000-0000-0000CC4B0000}"/>
    <cellStyle name="요약 3 9 3 4" xfId="29547" xr:uid="{00000000-0005-0000-0000-0000CD4B0000}"/>
    <cellStyle name="요약 3 9 3 5" xfId="22203" xr:uid="{00000000-0005-0000-0000-0000CE4B0000}"/>
    <cellStyle name="요약 3 9 4" xfId="16939" xr:uid="{00000000-0005-0000-0000-0000CF4B0000}"/>
    <cellStyle name="요약 3 9 4 2" xfId="19920" xr:uid="{00000000-0005-0000-0000-0000D04B0000}"/>
    <cellStyle name="요약 3 9 4 3" xfId="26909" xr:uid="{00000000-0005-0000-0000-0000D14B0000}"/>
    <cellStyle name="요약 3 9 4 4" xfId="30023" xr:uid="{00000000-0005-0000-0000-0000D24B0000}"/>
    <cellStyle name="요약 3 9 4 5" xfId="22679" xr:uid="{00000000-0005-0000-0000-0000D34B0000}"/>
    <cellStyle name="요약 3 9 5" xfId="23088" xr:uid="{00000000-0005-0000-0000-0000D44B0000}"/>
    <cellStyle name="요약 3 9 5 2" xfId="19184" xr:uid="{00000000-0005-0000-0000-0000D54B0000}"/>
    <cellStyle name="요약 3 9 5 3" xfId="27318" xr:uid="{00000000-0005-0000-0000-0000D64B0000}"/>
    <cellStyle name="요약 3 9 5 4" xfId="30432" xr:uid="{00000000-0005-0000-0000-0000D74B0000}"/>
    <cellStyle name="요약 3 9 6" xfId="23489" xr:uid="{00000000-0005-0000-0000-0000D84B0000}"/>
    <cellStyle name="요약 3 9 6 2" xfId="18152" xr:uid="{00000000-0005-0000-0000-0000D94B0000}"/>
    <cellStyle name="요약 3 9 6 3" xfId="27719" xr:uid="{00000000-0005-0000-0000-0000DA4B0000}"/>
    <cellStyle name="요약 3 9 6 4" xfId="30833" xr:uid="{00000000-0005-0000-0000-0000DB4B0000}"/>
    <cellStyle name="요약 3 9 7" xfId="20620" xr:uid="{00000000-0005-0000-0000-0000DC4B0000}"/>
    <cellStyle name="요약 3 9 8" xfId="18925" xr:uid="{00000000-0005-0000-0000-0000DD4B0000}"/>
    <cellStyle name="요약 3 9 9" xfId="24868" xr:uid="{00000000-0005-0000-0000-0000DE4B0000}"/>
    <cellStyle name="요약 4" xfId="12124" xr:uid="{00000000-0005-0000-0000-0000DF4B0000}"/>
    <cellStyle name="요약 4 10" xfId="17647" xr:uid="{00000000-0005-0000-0000-0000E04B0000}"/>
    <cellStyle name="요약 4 10 2" xfId="22035" xr:uid="{00000000-0005-0000-0000-0000E14B0000}"/>
    <cellStyle name="요약 4 10 2 2" xfId="24201" xr:uid="{00000000-0005-0000-0000-0000E24B0000}"/>
    <cellStyle name="요약 4 10 2 3" xfId="26265" xr:uid="{00000000-0005-0000-0000-0000E34B0000}"/>
    <cellStyle name="요약 4 10 2 4" xfId="29379" xr:uid="{00000000-0005-0000-0000-0000E44B0000}"/>
    <cellStyle name="요약 4 10 3" xfId="22508" xr:uid="{00000000-0005-0000-0000-0000E54B0000}"/>
    <cellStyle name="요약 4 10 3 2" xfId="19763" xr:uid="{00000000-0005-0000-0000-0000E64B0000}"/>
    <cellStyle name="요약 4 10 3 3" xfId="26738" xr:uid="{00000000-0005-0000-0000-0000E74B0000}"/>
    <cellStyle name="요약 4 10 3 4" xfId="29852" xr:uid="{00000000-0005-0000-0000-0000E84B0000}"/>
    <cellStyle name="요약 4 10 4" xfId="22953" xr:uid="{00000000-0005-0000-0000-0000E94B0000}"/>
    <cellStyle name="요약 4 10 4 2" xfId="20172" xr:uid="{00000000-0005-0000-0000-0000EA4B0000}"/>
    <cellStyle name="요약 4 10 4 3" xfId="27183" xr:uid="{00000000-0005-0000-0000-0000EB4B0000}"/>
    <cellStyle name="요약 4 10 4 4" xfId="30297" xr:uid="{00000000-0005-0000-0000-0000EC4B0000}"/>
    <cellStyle name="요약 4 10 5" xfId="23326" xr:uid="{00000000-0005-0000-0000-0000ED4B0000}"/>
    <cellStyle name="요약 4 10 5 2" xfId="20366" xr:uid="{00000000-0005-0000-0000-0000EE4B0000}"/>
    <cellStyle name="요약 4 10 5 3" xfId="27556" xr:uid="{00000000-0005-0000-0000-0000EF4B0000}"/>
    <cellStyle name="요약 4 10 5 4" xfId="30670" xr:uid="{00000000-0005-0000-0000-0000F04B0000}"/>
    <cellStyle name="요약 4 10 6" xfId="19294" xr:uid="{00000000-0005-0000-0000-0000F14B0000}"/>
    <cellStyle name="요약 4 10 7" xfId="25714" xr:uid="{00000000-0005-0000-0000-0000F24B0000}"/>
    <cellStyle name="요약 4 10 8" xfId="28831" xr:uid="{00000000-0005-0000-0000-0000F34B0000}"/>
    <cellStyle name="요약 4 11" xfId="20836" xr:uid="{00000000-0005-0000-0000-0000F44B0000}"/>
    <cellStyle name="요약 4 11 2" xfId="19142" xr:uid="{00000000-0005-0000-0000-0000F54B0000}"/>
    <cellStyle name="요약 4 11 3" xfId="25087" xr:uid="{00000000-0005-0000-0000-0000F64B0000}"/>
    <cellStyle name="요약 4 11 4" xfId="28211" xr:uid="{00000000-0005-0000-0000-0000F74B0000}"/>
    <cellStyle name="요약 4 12" xfId="18758" xr:uid="{00000000-0005-0000-0000-0000F84B0000}"/>
    <cellStyle name="요약 4 13" xfId="18553" xr:uid="{00000000-0005-0000-0000-0000F94B0000}"/>
    <cellStyle name="요약 4 14" xfId="18670" xr:uid="{00000000-0005-0000-0000-0000FA4B0000}"/>
    <cellStyle name="요약 4 15" xfId="17259" xr:uid="{00000000-0005-0000-0000-0000FB4B0000}"/>
    <cellStyle name="요약 4 2" xfId="12125" xr:uid="{00000000-0005-0000-0000-0000FC4B0000}"/>
    <cellStyle name="요약 4 2 2" xfId="14770" xr:uid="{00000000-0005-0000-0000-0000FD4B0000}"/>
    <cellStyle name="요약 4 2 2 10" xfId="24986" xr:uid="{00000000-0005-0000-0000-0000FE4B0000}"/>
    <cellStyle name="요약 4 2 2 11" xfId="28110" xr:uid="{00000000-0005-0000-0000-0000FF4B0000}"/>
    <cellStyle name="요약 4 2 2 12" xfId="31086" xr:uid="{00000000-0005-0000-0000-0000004C0000}"/>
    <cellStyle name="요약 4 2 2 13" xfId="17482" xr:uid="{00000000-0005-0000-0000-0000014C0000}"/>
    <cellStyle name="요약 4 2 2 2" xfId="21768" xr:uid="{00000000-0005-0000-0000-0000024C0000}"/>
    <cellStyle name="요약 4 2 2 2 2" xfId="22321" xr:uid="{00000000-0005-0000-0000-0000034C0000}"/>
    <cellStyle name="요약 4 2 2 2 2 2" xfId="19596" xr:uid="{00000000-0005-0000-0000-0000044C0000}"/>
    <cellStyle name="요약 4 2 2 2 2 3" xfId="26551" xr:uid="{00000000-0005-0000-0000-0000054C0000}"/>
    <cellStyle name="요약 4 2 2 2 2 4" xfId="29665" xr:uid="{00000000-0005-0000-0000-0000064C0000}"/>
    <cellStyle name="요약 4 2 2 2 3" xfId="22797" xr:uid="{00000000-0005-0000-0000-0000074C0000}"/>
    <cellStyle name="요약 4 2 2 2 3 2" xfId="20028" xr:uid="{00000000-0005-0000-0000-0000084C0000}"/>
    <cellStyle name="요약 4 2 2 2 3 3" xfId="27027" xr:uid="{00000000-0005-0000-0000-0000094C0000}"/>
    <cellStyle name="요약 4 2 2 2 3 4" xfId="30141" xr:uid="{00000000-0005-0000-0000-00000A4C0000}"/>
    <cellStyle name="요약 4 2 2 2 4" xfId="23180" xr:uid="{00000000-0005-0000-0000-00000B4C0000}"/>
    <cellStyle name="요약 4 2 2 2 4 2" xfId="19270" xr:uid="{00000000-0005-0000-0000-00000C4C0000}"/>
    <cellStyle name="요약 4 2 2 2 4 3" xfId="27410" xr:uid="{00000000-0005-0000-0000-00000D4C0000}"/>
    <cellStyle name="요약 4 2 2 2 4 4" xfId="30524" xr:uid="{00000000-0005-0000-0000-00000E4C0000}"/>
    <cellStyle name="요약 4 2 2 2 5" xfId="23607" xr:uid="{00000000-0005-0000-0000-00000F4C0000}"/>
    <cellStyle name="요약 4 2 2 2 5 2" xfId="18262" xr:uid="{00000000-0005-0000-0000-0000104C0000}"/>
    <cellStyle name="요약 4 2 2 2 5 3" xfId="27837" xr:uid="{00000000-0005-0000-0000-0000114C0000}"/>
    <cellStyle name="요약 4 2 2 2 5 4" xfId="30951" xr:uid="{00000000-0005-0000-0000-0000124C0000}"/>
    <cellStyle name="요약 4 2 2 2 6" xfId="24644" xr:uid="{00000000-0005-0000-0000-0000134C0000}"/>
    <cellStyle name="요약 4 2 2 2 7" xfId="25998" xr:uid="{00000000-0005-0000-0000-0000144C0000}"/>
    <cellStyle name="요약 4 2 2 2 8" xfId="29112" xr:uid="{00000000-0005-0000-0000-0000154C0000}"/>
    <cellStyle name="요약 4 2 2 3" xfId="21366" xr:uid="{00000000-0005-0000-0000-0000164C0000}"/>
    <cellStyle name="요약 4 2 2 3 2" xfId="19452" xr:uid="{00000000-0005-0000-0000-0000174C0000}"/>
    <cellStyle name="요약 4 2 2 3 3" xfId="25553" xr:uid="{00000000-0005-0000-0000-0000184C0000}"/>
    <cellStyle name="요약 4 2 2 3 4" xfId="28670" xr:uid="{00000000-0005-0000-0000-0000194C0000}"/>
    <cellStyle name="요약 4 2 2 4" xfId="21874" xr:uid="{00000000-0005-0000-0000-00001A4C0000}"/>
    <cellStyle name="요약 4 2 2 4 2" xfId="19340" xr:uid="{00000000-0005-0000-0000-00001B4C0000}"/>
    <cellStyle name="요약 4 2 2 4 3" xfId="26104" xr:uid="{00000000-0005-0000-0000-00001C4C0000}"/>
    <cellStyle name="요약 4 2 2 4 4" xfId="29218" xr:uid="{00000000-0005-0000-0000-00001D4C0000}"/>
    <cellStyle name="요약 4 2 2 5" xfId="21270" xr:uid="{00000000-0005-0000-0000-00001E4C0000}"/>
    <cellStyle name="요약 4 2 2 5 2" xfId="24331" xr:uid="{00000000-0005-0000-0000-00001F4C0000}"/>
    <cellStyle name="요약 4 2 2 5 3" xfId="25483" xr:uid="{00000000-0005-0000-0000-0000204C0000}"/>
    <cellStyle name="요약 4 2 2 5 4" xfId="28600" xr:uid="{00000000-0005-0000-0000-0000214C0000}"/>
    <cellStyle name="요약 4 2 2 6" xfId="21103" xr:uid="{00000000-0005-0000-0000-0000224C0000}"/>
    <cellStyle name="요약 4 2 2 6 2" xfId="19413" xr:uid="{00000000-0005-0000-0000-0000234C0000}"/>
    <cellStyle name="요약 4 2 2 6 3" xfId="25348" xr:uid="{00000000-0005-0000-0000-0000244C0000}"/>
    <cellStyle name="요약 4 2 2 6 4" xfId="28472" xr:uid="{00000000-0005-0000-0000-0000254C0000}"/>
    <cellStyle name="요약 4 2 2 7" xfId="21091" xr:uid="{00000000-0005-0000-0000-0000264C0000}"/>
    <cellStyle name="요약 4 2 2 7 2" xfId="23981" xr:uid="{00000000-0005-0000-0000-0000274C0000}"/>
    <cellStyle name="요약 4 2 2 7 3" xfId="25336" xr:uid="{00000000-0005-0000-0000-0000284C0000}"/>
    <cellStyle name="요약 4 2 2 7 4" xfId="28460" xr:uid="{00000000-0005-0000-0000-0000294C0000}"/>
    <cellStyle name="요약 4 2 2 8" xfId="20738" xr:uid="{00000000-0005-0000-0000-00002A4C0000}"/>
    <cellStyle name="요약 4 2 2 9" xfId="19041" xr:uid="{00000000-0005-0000-0000-00002B4C0000}"/>
    <cellStyle name="요약 4 2 3" xfId="15396" xr:uid="{00000000-0005-0000-0000-00002C4C0000}"/>
    <cellStyle name="요약 4 2 3 10" xfId="28000" xr:uid="{00000000-0005-0000-0000-00002D4C0000}"/>
    <cellStyle name="요약 4 2 3 11" xfId="17568" xr:uid="{00000000-0005-0000-0000-00002E4C0000}"/>
    <cellStyle name="요약 4 2 3 2" xfId="15291" xr:uid="{00000000-0005-0000-0000-00002F4C0000}"/>
    <cellStyle name="요약 4 2 3 2 2" xfId="19331" xr:uid="{00000000-0005-0000-0000-0000304C0000}"/>
    <cellStyle name="요약 4 2 3 2 3" xfId="25888" xr:uid="{00000000-0005-0000-0000-0000314C0000}"/>
    <cellStyle name="요약 4 2 3 2 4" xfId="29002" xr:uid="{00000000-0005-0000-0000-0000324C0000}"/>
    <cellStyle name="요약 4 2 3 2 5" xfId="21658" xr:uid="{00000000-0005-0000-0000-0000334C0000}"/>
    <cellStyle name="요약 4 2 3 3" xfId="16940" xr:uid="{00000000-0005-0000-0000-0000344C0000}"/>
    <cellStyle name="요약 4 2 3 3 2" xfId="18362" xr:uid="{00000000-0005-0000-0000-0000354C0000}"/>
    <cellStyle name="요약 4 2 3 3 3" xfId="26441" xr:uid="{00000000-0005-0000-0000-0000364C0000}"/>
    <cellStyle name="요약 4 2 3 3 4" xfId="29555" xr:uid="{00000000-0005-0000-0000-0000374C0000}"/>
    <cellStyle name="요약 4 2 3 3 5" xfId="22211" xr:uid="{00000000-0005-0000-0000-0000384C0000}"/>
    <cellStyle name="요약 4 2 3 4" xfId="16941" xr:uid="{00000000-0005-0000-0000-0000394C0000}"/>
    <cellStyle name="요약 4 2 3 4 2" xfId="19927" xr:uid="{00000000-0005-0000-0000-00003A4C0000}"/>
    <cellStyle name="요약 4 2 3 4 3" xfId="26917" xr:uid="{00000000-0005-0000-0000-00003B4C0000}"/>
    <cellStyle name="요약 4 2 3 4 4" xfId="30031" xr:uid="{00000000-0005-0000-0000-00003C4C0000}"/>
    <cellStyle name="요약 4 2 3 4 5" xfId="22687" xr:uid="{00000000-0005-0000-0000-00003D4C0000}"/>
    <cellStyle name="요약 4 2 3 5" xfId="23096" xr:uid="{00000000-0005-0000-0000-00003E4C0000}"/>
    <cellStyle name="요약 4 2 3 5 2" xfId="19192" xr:uid="{00000000-0005-0000-0000-00003F4C0000}"/>
    <cellStyle name="요약 4 2 3 5 3" xfId="27326" xr:uid="{00000000-0005-0000-0000-0000404C0000}"/>
    <cellStyle name="요약 4 2 3 5 4" xfId="30440" xr:uid="{00000000-0005-0000-0000-0000414C0000}"/>
    <cellStyle name="요약 4 2 3 6" xfId="23497" xr:uid="{00000000-0005-0000-0000-0000424C0000}"/>
    <cellStyle name="요약 4 2 3 6 2" xfId="18159" xr:uid="{00000000-0005-0000-0000-0000434C0000}"/>
    <cellStyle name="요약 4 2 3 6 3" xfId="27727" xr:uid="{00000000-0005-0000-0000-0000444C0000}"/>
    <cellStyle name="요약 4 2 3 6 4" xfId="30841" xr:uid="{00000000-0005-0000-0000-0000454C0000}"/>
    <cellStyle name="요약 4 2 3 7" xfId="20628" xr:uid="{00000000-0005-0000-0000-0000464C0000}"/>
    <cellStyle name="요약 4 2 3 8" xfId="18933" xr:uid="{00000000-0005-0000-0000-0000474C0000}"/>
    <cellStyle name="요약 4 2 3 9" xfId="24876" xr:uid="{00000000-0005-0000-0000-0000484C0000}"/>
    <cellStyle name="요약 4 2 4" xfId="17646" xr:uid="{00000000-0005-0000-0000-0000494C0000}"/>
    <cellStyle name="요약 4 2 4 2" xfId="22036" xr:uid="{00000000-0005-0000-0000-00004A4C0000}"/>
    <cellStyle name="요약 4 2 4 2 2" xfId="23993" xr:uid="{00000000-0005-0000-0000-00004B4C0000}"/>
    <cellStyle name="요약 4 2 4 2 3" xfId="26266" xr:uid="{00000000-0005-0000-0000-00004C4C0000}"/>
    <cellStyle name="요약 4 2 4 2 4" xfId="29380" xr:uid="{00000000-0005-0000-0000-00004D4C0000}"/>
    <cellStyle name="요약 4 2 4 3" xfId="22509" xr:uid="{00000000-0005-0000-0000-00004E4C0000}"/>
    <cellStyle name="요약 4 2 4 3 2" xfId="19764" xr:uid="{00000000-0005-0000-0000-00004F4C0000}"/>
    <cellStyle name="요약 4 2 4 3 3" xfId="26739" xr:uid="{00000000-0005-0000-0000-0000504C0000}"/>
    <cellStyle name="요약 4 2 4 3 4" xfId="29853" xr:uid="{00000000-0005-0000-0000-0000514C0000}"/>
    <cellStyle name="요약 4 2 4 4" xfId="22954" xr:uid="{00000000-0005-0000-0000-0000524C0000}"/>
    <cellStyle name="요약 4 2 4 4 2" xfId="20173" xr:uid="{00000000-0005-0000-0000-0000534C0000}"/>
    <cellStyle name="요약 4 2 4 4 3" xfId="27184" xr:uid="{00000000-0005-0000-0000-0000544C0000}"/>
    <cellStyle name="요약 4 2 4 4 4" xfId="30298" xr:uid="{00000000-0005-0000-0000-0000554C0000}"/>
    <cellStyle name="요약 4 2 4 5" xfId="23327" xr:uid="{00000000-0005-0000-0000-0000564C0000}"/>
    <cellStyle name="요약 4 2 4 5 2" xfId="20367" xr:uid="{00000000-0005-0000-0000-0000574C0000}"/>
    <cellStyle name="요약 4 2 4 5 3" xfId="27557" xr:uid="{00000000-0005-0000-0000-0000584C0000}"/>
    <cellStyle name="요약 4 2 4 5 4" xfId="30671" xr:uid="{00000000-0005-0000-0000-0000594C0000}"/>
    <cellStyle name="요약 4 2 4 6" xfId="19527" xr:uid="{00000000-0005-0000-0000-00005A4C0000}"/>
    <cellStyle name="요약 4 2 4 7" xfId="25715" xr:uid="{00000000-0005-0000-0000-00005B4C0000}"/>
    <cellStyle name="요약 4 2 4 8" xfId="28832" xr:uid="{00000000-0005-0000-0000-00005C4C0000}"/>
    <cellStyle name="요약 4 2 5" xfId="20912" xr:uid="{00000000-0005-0000-0000-00005D4C0000}"/>
    <cellStyle name="요약 4 2 5 2" xfId="24266" xr:uid="{00000000-0005-0000-0000-00005E4C0000}"/>
    <cellStyle name="요약 4 2 5 3" xfId="25163" xr:uid="{00000000-0005-0000-0000-00005F4C0000}"/>
    <cellStyle name="요약 4 2 5 4" xfId="28287" xr:uid="{00000000-0005-0000-0000-0000604C0000}"/>
    <cellStyle name="요약 4 2 6" xfId="18759" xr:uid="{00000000-0005-0000-0000-0000614C0000}"/>
    <cellStyle name="요약 4 2 7" xfId="18552" xr:uid="{00000000-0005-0000-0000-0000624C0000}"/>
    <cellStyle name="요약 4 2 8" xfId="18671" xr:uid="{00000000-0005-0000-0000-0000634C0000}"/>
    <cellStyle name="요약 4 2 9" xfId="17260" xr:uid="{00000000-0005-0000-0000-0000644C0000}"/>
    <cellStyle name="요약 4 3" xfId="12126" xr:uid="{00000000-0005-0000-0000-0000654C0000}"/>
    <cellStyle name="요약 4 3 2" xfId="14771" xr:uid="{00000000-0005-0000-0000-0000664C0000}"/>
    <cellStyle name="요약 4 3 2 10" xfId="24987" xr:uid="{00000000-0005-0000-0000-0000674C0000}"/>
    <cellStyle name="요약 4 3 2 11" xfId="28111" xr:uid="{00000000-0005-0000-0000-0000684C0000}"/>
    <cellStyle name="요약 4 3 2 12" xfId="31087" xr:uid="{00000000-0005-0000-0000-0000694C0000}"/>
    <cellStyle name="요약 4 3 2 13" xfId="17481" xr:uid="{00000000-0005-0000-0000-00006A4C0000}"/>
    <cellStyle name="요약 4 3 2 2" xfId="21769" xr:uid="{00000000-0005-0000-0000-00006B4C0000}"/>
    <cellStyle name="요약 4 3 2 2 2" xfId="22322" xr:uid="{00000000-0005-0000-0000-00006C4C0000}"/>
    <cellStyle name="요약 4 3 2 2 2 2" xfId="19597" xr:uid="{00000000-0005-0000-0000-00006D4C0000}"/>
    <cellStyle name="요약 4 3 2 2 2 3" xfId="26552" xr:uid="{00000000-0005-0000-0000-00006E4C0000}"/>
    <cellStyle name="요약 4 3 2 2 2 4" xfId="29666" xr:uid="{00000000-0005-0000-0000-00006F4C0000}"/>
    <cellStyle name="요약 4 3 2 2 3" xfId="22798" xr:uid="{00000000-0005-0000-0000-0000704C0000}"/>
    <cellStyle name="요약 4 3 2 2 3 2" xfId="20029" xr:uid="{00000000-0005-0000-0000-0000714C0000}"/>
    <cellStyle name="요약 4 3 2 2 3 3" xfId="27028" xr:uid="{00000000-0005-0000-0000-0000724C0000}"/>
    <cellStyle name="요약 4 3 2 2 3 4" xfId="30142" xr:uid="{00000000-0005-0000-0000-0000734C0000}"/>
    <cellStyle name="요약 4 3 2 2 4" xfId="23181" xr:uid="{00000000-0005-0000-0000-0000744C0000}"/>
    <cellStyle name="요약 4 3 2 2 4 2" xfId="19271" xr:uid="{00000000-0005-0000-0000-0000754C0000}"/>
    <cellStyle name="요약 4 3 2 2 4 3" xfId="27411" xr:uid="{00000000-0005-0000-0000-0000764C0000}"/>
    <cellStyle name="요약 4 3 2 2 4 4" xfId="30525" xr:uid="{00000000-0005-0000-0000-0000774C0000}"/>
    <cellStyle name="요약 4 3 2 2 5" xfId="23608" xr:uid="{00000000-0005-0000-0000-0000784C0000}"/>
    <cellStyle name="요약 4 3 2 2 5 2" xfId="18263" xr:uid="{00000000-0005-0000-0000-0000794C0000}"/>
    <cellStyle name="요약 4 3 2 2 5 3" xfId="27838" xr:uid="{00000000-0005-0000-0000-00007A4C0000}"/>
    <cellStyle name="요약 4 3 2 2 5 4" xfId="30952" xr:uid="{00000000-0005-0000-0000-00007B4C0000}"/>
    <cellStyle name="요약 4 3 2 2 6" xfId="24559" xr:uid="{00000000-0005-0000-0000-00007C4C0000}"/>
    <cellStyle name="요약 4 3 2 2 7" xfId="25999" xr:uid="{00000000-0005-0000-0000-00007D4C0000}"/>
    <cellStyle name="요약 4 3 2 2 8" xfId="29113" xr:uid="{00000000-0005-0000-0000-00007E4C0000}"/>
    <cellStyle name="요약 4 3 2 3" xfId="21367" xr:uid="{00000000-0005-0000-0000-00007F4C0000}"/>
    <cellStyle name="요약 4 3 2 3 2" xfId="19453" xr:uid="{00000000-0005-0000-0000-0000804C0000}"/>
    <cellStyle name="요약 4 3 2 3 3" xfId="25554" xr:uid="{00000000-0005-0000-0000-0000814C0000}"/>
    <cellStyle name="요약 4 3 2 3 4" xfId="28671" xr:uid="{00000000-0005-0000-0000-0000824C0000}"/>
    <cellStyle name="요약 4 3 2 4" xfId="21875" xr:uid="{00000000-0005-0000-0000-0000834C0000}"/>
    <cellStyle name="요약 4 3 2 4 2" xfId="23860" xr:uid="{00000000-0005-0000-0000-0000844C0000}"/>
    <cellStyle name="요약 4 3 2 4 3" xfId="26105" xr:uid="{00000000-0005-0000-0000-0000854C0000}"/>
    <cellStyle name="요약 4 3 2 4 4" xfId="29219" xr:uid="{00000000-0005-0000-0000-0000864C0000}"/>
    <cellStyle name="요약 4 3 2 5" xfId="21271" xr:uid="{00000000-0005-0000-0000-0000874C0000}"/>
    <cellStyle name="요약 4 3 2 5 2" xfId="24151" xr:uid="{00000000-0005-0000-0000-0000884C0000}"/>
    <cellStyle name="요약 4 3 2 5 3" xfId="25484" xr:uid="{00000000-0005-0000-0000-0000894C0000}"/>
    <cellStyle name="요약 4 3 2 5 4" xfId="28601" xr:uid="{00000000-0005-0000-0000-00008A4C0000}"/>
    <cellStyle name="요약 4 3 2 6" xfId="21055" xr:uid="{00000000-0005-0000-0000-00008B4C0000}"/>
    <cellStyle name="요약 4 3 2 6 2" xfId="24515" xr:uid="{00000000-0005-0000-0000-00008C4C0000}"/>
    <cellStyle name="요약 4 3 2 6 3" xfId="25300" xr:uid="{00000000-0005-0000-0000-00008D4C0000}"/>
    <cellStyle name="요약 4 3 2 6 4" xfId="28424" xr:uid="{00000000-0005-0000-0000-00008E4C0000}"/>
    <cellStyle name="요약 4 3 2 7" xfId="21002" xr:uid="{00000000-0005-0000-0000-00008F4C0000}"/>
    <cellStyle name="요약 4 3 2 7 2" xfId="24437" xr:uid="{00000000-0005-0000-0000-0000904C0000}"/>
    <cellStyle name="요약 4 3 2 7 3" xfId="25247" xr:uid="{00000000-0005-0000-0000-0000914C0000}"/>
    <cellStyle name="요약 4 3 2 7 4" xfId="28371" xr:uid="{00000000-0005-0000-0000-0000924C0000}"/>
    <cellStyle name="요약 4 3 2 8" xfId="20739" xr:uid="{00000000-0005-0000-0000-0000934C0000}"/>
    <cellStyle name="요약 4 3 2 9" xfId="19042" xr:uid="{00000000-0005-0000-0000-0000944C0000}"/>
    <cellStyle name="요약 4 3 3" xfId="15397" xr:uid="{00000000-0005-0000-0000-0000954C0000}"/>
    <cellStyle name="요약 4 3 3 10" xfId="28001" xr:uid="{00000000-0005-0000-0000-0000964C0000}"/>
    <cellStyle name="요약 4 3 3 11" xfId="17567" xr:uid="{00000000-0005-0000-0000-0000974C0000}"/>
    <cellStyle name="요약 4 3 3 2" xfId="15290" xr:uid="{00000000-0005-0000-0000-0000984C0000}"/>
    <cellStyle name="요약 4 3 3 2 2" xfId="24418" xr:uid="{00000000-0005-0000-0000-0000994C0000}"/>
    <cellStyle name="요약 4 3 3 2 3" xfId="25889" xr:uid="{00000000-0005-0000-0000-00009A4C0000}"/>
    <cellStyle name="요약 4 3 3 2 4" xfId="29003" xr:uid="{00000000-0005-0000-0000-00009B4C0000}"/>
    <cellStyle name="요약 4 3 3 2 5" xfId="21659" xr:uid="{00000000-0005-0000-0000-00009C4C0000}"/>
    <cellStyle name="요약 4 3 3 3" xfId="16942" xr:uid="{00000000-0005-0000-0000-00009D4C0000}"/>
    <cellStyle name="요약 4 3 3 3 2" xfId="18363" xr:uid="{00000000-0005-0000-0000-00009E4C0000}"/>
    <cellStyle name="요약 4 3 3 3 3" xfId="26442" xr:uid="{00000000-0005-0000-0000-00009F4C0000}"/>
    <cellStyle name="요약 4 3 3 3 4" xfId="29556" xr:uid="{00000000-0005-0000-0000-0000A04C0000}"/>
    <cellStyle name="요약 4 3 3 3 5" xfId="22212" xr:uid="{00000000-0005-0000-0000-0000A14C0000}"/>
    <cellStyle name="요약 4 3 3 4" xfId="16943" xr:uid="{00000000-0005-0000-0000-0000A24C0000}"/>
    <cellStyle name="요약 4 3 3 4 2" xfId="19928" xr:uid="{00000000-0005-0000-0000-0000A34C0000}"/>
    <cellStyle name="요약 4 3 3 4 3" xfId="26918" xr:uid="{00000000-0005-0000-0000-0000A44C0000}"/>
    <cellStyle name="요약 4 3 3 4 4" xfId="30032" xr:uid="{00000000-0005-0000-0000-0000A54C0000}"/>
    <cellStyle name="요약 4 3 3 4 5" xfId="22688" xr:uid="{00000000-0005-0000-0000-0000A64C0000}"/>
    <cellStyle name="요약 4 3 3 5" xfId="23097" xr:uid="{00000000-0005-0000-0000-0000A74C0000}"/>
    <cellStyle name="요약 4 3 3 5 2" xfId="19193" xr:uid="{00000000-0005-0000-0000-0000A84C0000}"/>
    <cellStyle name="요약 4 3 3 5 3" xfId="27327" xr:uid="{00000000-0005-0000-0000-0000A94C0000}"/>
    <cellStyle name="요약 4 3 3 5 4" xfId="30441" xr:uid="{00000000-0005-0000-0000-0000AA4C0000}"/>
    <cellStyle name="요약 4 3 3 6" xfId="23498" xr:uid="{00000000-0005-0000-0000-0000AB4C0000}"/>
    <cellStyle name="요약 4 3 3 6 2" xfId="18160" xr:uid="{00000000-0005-0000-0000-0000AC4C0000}"/>
    <cellStyle name="요약 4 3 3 6 3" xfId="27728" xr:uid="{00000000-0005-0000-0000-0000AD4C0000}"/>
    <cellStyle name="요약 4 3 3 6 4" xfId="30842" xr:uid="{00000000-0005-0000-0000-0000AE4C0000}"/>
    <cellStyle name="요약 4 3 3 7" xfId="20629" xr:uid="{00000000-0005-0000-0000-0000AF4C0000}"/>
    <cellStyle name="요약 4 3 3 8" xfId="18934" xr:uid="{00000000-0005-0000-0000-0000B04C0000}"/>
    <cellStyle name="요약 4 3 3 9" xfId="24877" xr:uid="{00000000-0005-0000-0000-0000B14C0000}"/>
    <cellStyle name="요약 4 3 4" xfId="17645" xr:uid="{00000000-0005-0000-0000-0000B24C0000}"/>
    <cellStyle name="요약 4 3 4 2" xfId="22037" xr:uid="{00000000-0005-0000-0000-0000B34C0000}"/>
    <cellStyle name="요약 4 3 4 2 2" xfId="24704" xr:uid="{00000000-0005-0000-0000-0000B44C0000}"/>
    <cellStyle name="요약 4 3 4 2 3" xfId="26267" xr:uid="{00000000-0005-0000-0000-0000B54C0000}"/>
    <cellStyle name="요약 4 3 4 2 4" xfId="29381" xr:uid="{00000000-0005-0000-0000-0000B64C0000}"/>
    <cellStyle name="요약 4 3 4 3" xfId="22510" xr:uid="{00000000-0005-0000-0000-0000B74C0000}"/>
    <cellStyle name="요약 4 3 4 3 2" xfId="19765" xr:uid="{00000000-0005-0000-0000-0000B84C0000}"/>
    <cellStyle name="요약 4 3 4 3 3" xfId="26740" xr:uid="{00000000-0005-0000-0000-0000B94C0000}"/>
    <cellStyle name="요약 4 3 4 3 4" xfId="29854" xr:uid="{00000000-0005-0000-0000-0000BA4C0000}"/>
    <cellStyle name="요약 4 3 4 4" xfId="22955" xr:uid="{00000000-0005-0000-0000-0000BB4C0000}"/>
    <cellStyle name="요약 4 3 4 4 2" xfId="20174" xr:uid="{00000000-0005-0000-0000-0000BC4C0000}"/>
    <cellStyle name="요약 4 3 4 4 3" xfId="27185" xr:uid="{00000000-0005-0000-0000-0000BD4C0000}"/>
    <cellStyle name="요약 4 3 4 4 4" xfId="30299" xr:uid="{00000000-0005-0000-0000-0000BE4C0000}"/>
    <cellStyle name="요약 4 3 4 5" xfId="23328" xr:uid="{00000000-0005-0000-0000-0000BF4C0000}"/>
    <cellStyle name="요약 4 3 4 5 2" xfId="20368" xr:uid="{00000000-0005-0000-0000-0000C04C0000}"/>
    <cellStyle name="요약 4 3 4 5 3" xfId="27558" xr:uid="{00000000-0005-0000-0000-0000C14C0000}"/>
    <cellStyle name="요약 4 3 4 5 4" xfId="30672" xr:uid="{00000000-0005-0000-0000-0000C24C0000}"/>
    <cellStyle name="요약 4 3 4 6" xfId="19528" xr:uid="{00000000-0005-0000-0000-0000C34C0000}"/>
    <cellStyle name="요약 4 3 4 7" xfId="25716" xr:uid="{00000000-0005-0000-0000-0000C44C0000}"/>
    <cellStyle name="요약 4 3 4 8" xfId="28833" xr:uid="{00000000-0005-0000-0000-0000C54C0000}"/>
    <cellStyle name="요약 4 3 5" xfId="20913" xr:uid="{00000000-0005-0000-0000-0000C64C0000}"/>
    <cellStyle name="요약 4 3 5 2" xfId="24084" xr:uid="{00000000-0005-0000-0000-0000C74C0000}"/>
    <cellStyle name="요약 4 3 5 3" xfId="25164" xr:uid="{00000000-0005-0000-0000-0000C84C0000}"/>
    <cellStyle name="요약 4 3 5 4" xfId="28288" xr:uid="{00000000-0005-0000-0000-0000C94C0000}"/>
    <cellStyle name="요약 4 3 6" xfId="18760" xr:uid="{00000000-0005-0000-0000-0000CA4C0000}"/>
    <cellStyle name="요약 4 3 7" xfId="18551" xr:uid="{00000000-0005-0000-0000-0000CB4C0000}"/>
    <cellStyle name="요약 4 3 8" xfId="18672" xr:uid="{00000000-0005-0000-0000-0000CC4C0000}"/>
    <cellStyle name="요약 4 3 9" xfId="17261" xr:uid="{00000000-0005-0000-0000-0000CD4C0000}"/>
    <cellStyle name="요약 4 4" xfId="12127" xr:uid="{00000000-0005-0000-0000-0000CE4C0000}"/>
    <cellStyle name="요약 4 4 2" xfId="14772" xr:uid="{00000000-0005-0000-0000-0000CF4C0000}"/>
    <cellStyle name="요약 4 4 2 10" xfId="24988" xr:uid="{00000000-0005-0000-0000-0000D04C0000}"/>
    <cellStyle name="요약 4 4 2 11" xfId="28112" xr:uid="{00000000-0005-0000-0000-0000D14C0000}"/>
    <cellStyle name="요약 4 4 2 12" xfId="31088" xr:uid="{00000000-0005-0000-0000-0000D24C0000}"/>
    <cellStyle name="요약 4 4 2 13" xfId="17480" xr:uid="{00000000-0005-0000-0000-0000D34C0000}"/>
    <cellStyle name="요약 4 4 2 2" xfId="21770" xr:uid="{00000000-0005-0000-0000-0000D44C0000}"/>
    <cellStyle name="요약 4 4 2 2 2" xfId="22323" xr:uid="{00000000-0005-0000-0000-0000D54C0000}"/>
    <cellStyle name="요약 4 4 2 2 2 2" xfId="19598" xr:uid="{00000000-0005-0000-0000-0000D64C0000}"/>
    <cellStyle name="요약 4 4 2 2 2 3" xfId="26553" xr:uid="{00000000-0005-0000-0000-0000D74C0000}"/>
    <cellStyle name="요약 4 4 2 2 2 4" xfId="29667" xr:uid="{00000000-0005-0000-0000-0000D84C0000}"/>
    <cellStyle name="요약 4 4 2 2 3" xfId="22799" xr:uid="{00000000-0005-0000-0000-0000D94C0000}"/>
    <cellStyle name="요약 4 4 2 2 3 2" xfId="20030" xr:uid="{00000000-0005-0000-0000-0000DA4C0000}"/>
    <cellStyle name="요약 4 4 2 2 3 3" xfId="27029" xr:uid="{00000000-0005-0000-0000-0000DB4C0000}"/>
    <cellStyle name="요약 4 4 2 2 3 4" xfId="30143" xr:uid="{00000000-0005-0000-0000-0000DC4C0000}"/>
    <cellStyle name="요약 4 4 2 2 4" xfId="23182" xr:uid="{00000000-0005-0000-0000-0000DD4C0000}"/>
    <cellStyle name="요약 4 4 2 2 4 2" xfId="19272" xr:uid="{00000000-0005-0000-0000-0000DE4C0000}"/>
    <cellStyle name="요약 4 4 2 2 4 3" xfId="27412" xr:uid="{00000000-0005-0000-0000-0000DF4C0000}"/>
    <cellStyle name="요약 4 4 2 2 4 4" xfId="30526" xr:uid="{00000000-0005-0000-0000-0000E04C0000}"/>
    <cellStyle name="요약 4 4 2 2 5" xfId="23609" xr:uid="{00000000-0005-0000-0000-0000E14C0000}"/>
    <cellStyle name="요약 4 4 2 2 5 2" xfId="18264" xr:uid="{00000000-0005-0000-0000-0000E24C0000}"/>
    <cellStyle name="요약 4 4 2 2 5 3" xfId="27839" xr:uid="{00000000-0005-0000-0000-0000E34C0000}"/>
    <cellStyle name="요약 4 4 2 2 5 4" xfId="30953" xr:uid="{00000000-0005-0000-0000-0000E44C0000}"/>
    <cellStyle name="요약 4 4 2 2 6" xfId="24383" xr:uid="{00000000-0005-0000-0000-0000E54C0000}"/>
    <cellStyle name="요약 4 4 2 2 7" xfId="26000" xr:uid="{00000000-0005-0000-0000-0000E64C0000}"/>
    <cellStyle name="요약 4 4 2 2 8" xfId="29114" xr:uid="{00000000-0005-0000-0000-0000E74C0000}"/>
    <cellStyle name="요약 4 4 2 3" xfId="21368" xr:uid="{00000000-0005-0000-0000-0000E84C0000}"/>
    <cellStyle name="요약 4 4 2 3 2" xfId="23739" xr:uid="{00000000-0005-0000-0000-0000E94C0000}"/>
    <cellStyle name="요약 4 4 2 3 3" xfId="25555" xr:uid="{00000000-0005-0000-0000-0000EA4C0000}"/>
    <cellStyle name="요약 4 4 2 3 4" xfId="28672" xr:uid="{00000000-0005-0000-0000-0000EB4C0000}"/>
    <cellStyle name="요약 4 4 2 4" xfId="21876" xr:uid="{00000000-0005-0000-0000-0000EC4C0000}"/>
    <cellStyle name="요약 4 4 2 4 2" xfId="23768" xr:uid="{00000000-0005-0000-0000-0000ED4C0000}"/>
    <cellStyle name="요약 4 4 2 4 3" xfId="26106" xr:uid="{00000000-0005-0000-0000-0000EE4C0000}"/>
    <cellStyle name="요약 4 4 2 4 4" xfId="29220" xr:uid="{00000000-0005-0000-0000-0000EF4C0000}"/>
    <cellStyle name="요약 4 4 2 5" xfId="21272" xr:uid="{00000000-0005-0000-0000-0000F04C0000}"/>
    <cellStyle name="요약 4 4 2 5 2" xfId="23682" xr:uid="{00000000-0005-0000-0000-0000F14C0000}"/>
    <cellStyle name="요약 4 4 2 5 3" xfId="25485" xr:uid="{00000000-0005-0000-0000-0000F24C0000}"/>
    <cellStyle name="요약 4 4 2 5 4" xfId="28602" xr:uid="{00000000-0005-0000-0000-0000F34C0000}"/>
    <cellStyle name="요약 4 4 2 6" xfId="21012" xr:uid="{00000000-0005-0000-0000-0000F44C0000}"/>
    <cellStyle name="요약 4 4 2 6 2" xfId="24517" xr:uid="{00000000-0005-0000-0000-0000F54C0000}"/>
    <cellStyle name="요약 4 4 2 6 3" xfId="25257" xr:uid="{00000000-0005-0000-0000-0000F64C0000}"/>
    <cellStyle name="요약 4 4 2 6 4" xfId="28381" xr:uid="{00000000-0005-0000-0000-0000F74C0000}"/>
    <cellStyle name="요약 4 4 2 7" xfId="21066" xr:uid="{00000000-0005-0000-0000-0000F84C0000}"/>
    <cellStyle name="요약 4 4 2 7 2" xfId="24537" xr:uid="{00000000-0005-0000-0000-0000F94C0000}"/>
    <cellStyle name="요약 4 4 2 7 3" xfId="25311" xr:uid="{00000000-0005-0000-0000-0000FA4C0000}"/>
    <cellStyle name="요약 4 4 2 7 4" xfId="28435" xr:uid="{00000000-0005-0000-0000-0000FB4C0000}"/>
    <cellStyle name="요약 4 4 2 8" xfId="20740" xr:uid="{00000000-0005-0000-0000-0000FC4C0000}"/>
    <cellStyle name="요약 4 4 2 9" xfId="19043" xr:uid="{00000000-0005-0000-0000-0000FD4C0000}"/>
    <cellStyle name="요약 4 4 3" xfId="15398" xr:uid="{00000000-0005-0000-0000-0000FE4C0000}"/>
    <cellStyle name="요약 4 4 3 10" xfId="28002" xr:uid="{00000000-0005-0000-0000-0000FF4C0000}"/>
    <cellStyle name="요약 4 4 3 11" xfId="17566" xr:uid="{00000000-0005-0000-0000-0000004D0000}"/>
    <cellStyle name="요약 4 4 3 2" xfId="15289" xr:uid="{00000000-0005-0000-0000-0000014D0000}"/>
    <cellStyle name="요약 4 4 3 2 2" xfId="23802" xr:uid="{00000000-0005-0000-0000-0000024D0000}"/>
    <cellStyle name="요약 4 4 3 2 3" xfId="25890" xr:uid="{00000000-0005-0000-0000-0000034D0000}"/>
    <cellStyle name="요약 4 4 3 2 4" xfId="29004" xr:uid="{00000000-0005-0000-0000-0000044D0000}"/>
    <cellStyle name="요약 4 4 3 2 5" xfId="21660" xr:uid="{00000000-0005-0000-0000-0000054D0000}"/>
    <cellStyle name="요약 4 4 3 3" xfId="16944" xr:uid="{00000000-0005-0000-0000-0000064D0000}"/>
    <cellStyle name="요약 4 4 3 3 2" xfId="18364" xr:uid="{00000000-0005-0000-0000-0000074D0000}"/>
    <cellStyle name="요약 4 4 3 3 3" xfId="26443" xr:uid="{00000000-0005-0000-0000-0000084D0000}"/>
    <cellStyle name="요약 4 4 3 3 4" xfId="29557" xr:uid="{00000000-0005-0000-0000-0000094D0000}"/>
    <cellStyle name="요약 4 4 3 3 5" xfId="22213" xr:uid="{00000000-0005-0000-0000-00000A4D0000}"/>
    <cellStyle name="요약 4 4 3 4" xfId="16945" xr:uid="{00000000-0005-0000-0000-00000B4D0000}"/>
    <cellStyle name="요약 4 4 3 4 2" xfId="19929" xr:uid="{00000000-0005-0000-0000-00000C4D0000}"/>
    <cellStyle name="요약 4 4 3 4 3" xfId="26919" xr:uid="{00000000-0005-0000-0000-00000D4D0000}"/>
    <cellStyle name="요약 4 4 3 4 4" xfId="30033" xr:uid="{00000000-0005-0000-0000-00000E4D0000}"/>
    <cellStyle name="요약 4 4 3 4 5" xfId="22689" xr:uid="{00000000-0005-0000-0000-00000F4D0000}"/>
    <cellStyle name="요약 4 4 3 5" xfId="23098" xr:uid="{00000000-0005-0000-0000-0000104D0000}"/>
    <cellStyle name="요약 4 4 3 5 2" xfId="19194" xr:uid="{00000000-0005-0000-0000-0000114D0000}"/>
    <cellStyle name="요약 4 4 3 5 3" xfId="27328" xr:uid="{00000000-0005-0000-0000-0000124D0000}"/>
    <cellStyle name="요약 4 4 3 5 4" xfId="30442" xr:uid="{00000000-0005-0000-0000-0000134D0000}"/>
    <cellStyle name="요약 4 4 3 6" xfId="23499" xr:uid="{00000000-0005-0000-0000-0000144D0000}"/>
    <cellStyle name="요약 4 4 3 6 2" xfId="18161" xr:uid="{00000000-0005-0000-0000-0000154D0000}"/>
    <cellStyle name="요약 4 4 3 6 3" xfId="27729" xr:uid="{00000000-0005-0000-0000-0000164D0000}"/>
    <cellStyle name="요약 4 4 3 6 4" xfId="30843" xr:uid="{00000000-0005-0000-0000-0000174D0000}"/>
    <cellStyle name="요약 4 4 3 7" xfId="20630" xr:uid="{00000000-0005-0000-0000-0000184D0000}"/>
    <cellStyle name="요약 4 4 3 8" xfId="18935" xr:uid="{00000000-0005-0000-0000-0000194D0000}"/>
    <cellStyle name="요약 4 4 3 9" xfId="24878" xr:uid="{00000000-0005-0000-0000-00001A4D0000}"/>
    <cellStyle name="요약 4 4 4" xfId="17644" xr:uid="{00000000-0005-0000-0000-00001B4D0000}"/>
    <cellStyle name="요약 4 4 4 2" xfId="22038" xr:uid="{00000000-0005-0000-0000-00001C4D0000}"/>
    <cellStyle name="요약 4 4 4 2 2" xfId="24574" xr:uid="{00000000-0005-0000-0000-00001D4D0000}"/>
    <cellStyle name="요약 4 4 4 2 3" xfId="26268" xr:uid="{00000000-0005-0000-0000-00001E4D0000}"/>
    <cellStyle name="요약 4 4 4 2 4" xfId="29382" xr:uid="{00000000-0005-0000-0000-00001F4D0000}"/>
    <cellStyle name="요약 4 4 4 3" xfId="22511" xr:uid="{00000000-0005-0000-0000-0000204D0000}"/>
    <cellStyle name="요약 4 4 4 3 2" xfId="19766" xr:uid="{00000000-0005-0000-0000-0000214D0000}"/>
    <cellStyle name="요약 4 4 4 3 3" xfId="26741" xr:uid="{00000000-0005-0000-0000-0000224D0000}"/>
    <cellStyle name="요약 4 4 4 3 4" xfId="29855" xr:uid="{00000000-0005-0000-0000-0000234D0000}"/>
    <cellStyle name="요약 4 4 4 4" xfId="22956" xr:uid="{00000000-0005-0000-0000-0000244D0000}"/>
    <cellStyle name="요약 4 4 4 4 2" xfId="20175" xr:uid="{00000000-0005-0000-0000-0000254D0000}"/>
    <cellStyle name="요약 4 4 4 4 3" xfId="27186" xr:uid="{00000000-0005-0000-0000-0000264D0000}"/>
    <cellStyle name="요약 4 4 4 4 4" xfId="30300" xr:uid="{00000000-0005-0000-0000-0000274D0000}"/>
    <cellStyle name="요약 4 4 4 5" xfId="23329" xr:uid="{00000000-0005-0000-0000-0000284D0000}"/>
    <cellStyle name="요약 4 4 4 5 2" xfId="20369" xr:uid="{00000000-0005-0000-0000-0000294D0000}"/>
    <cellStyle name="요약 4 4 4 5 3" xfId="27559" xr:uid="{00000000-0005-0000-0000-00002A4D0000}"/>
    <cellStyle name="요약 4 4 4 5 4" xfId="30673" xr:uid="{00000000-0005-0000-0000-00002B4D0000}"/>
    <cellStyle name="요약 4 4 4 6" xfId="19529" xr:uid="{00000000-0005-0000-0000-00002C4D0000}"/>
    <cellStyle name="요약 4 4 4 7" xfId="25717" xr:uid="{00000000-0005-0000-0000-00002D4D0000}"/>
    <cellStyle name="요약 4 4 4 8" xfId="28834" xr:uid="{00000000-0005-0000-0000-00002E4D0000}"/>
    <cellStyle name="요약 4 4 5" xfId="20914" xr:uid="{00000000-0005-0000-0000-00002F4D0000}"/>
    <cellStyle name="요약 4 4 5 2" xfId="19351" xr:uid="{00000000-0005-0000-0000-0000304D0000}"/>
    <cellStyle name="요약 4 4 5 3" xfId="25165" xr:uid="{00000000-0005-0000-0000-0000314D0000}"/>
    <cellStyle name="요약 4 4 5 4" xfId="28289" xr:uid="{00000000-0005-0000-0000-0000324D0000}"/>
    <cellStyle name="요약 4 4 6" xfId="18761" xr:uid="{00000000-0005-0000-0000-0000334D0000}"/>
    <cellStyle name="요약 4 4 7" xfId="18550" xr:uid="{00000000-0005-0000-0000-0000344D0000}"/>
    <cellStyle name="요약 4 4 8" xfId="18673" xr:uid="{00000000-0005-0000-0000-0000354D0000}"/>
    <cellStyle name="요약 4 4 9" xfId="17262" xr:uid="{00000000-0005-0000-0000-0000364D0000}"/>
    <cellStyle name="요약 4 5" xfId="12128" xr:uid="{00000000-0005-0000-0000-0000374D0000}"/>
    <cellStyle name="요약 4 5 2" xfId="14773" xr:uid="{00000000-0005-0000-0000-0000384D0000}"/>
    <cellStyle name="요약 4 5 2 10" xfId="24989" xr:uid="{00000000-0005-0000-0000-0000394D0000}"/>
    <cellStyle name="요약 4 5 2 11" xfId="28113" xr:uid="{00000000-0005-0000-0000-00003A4D0000}"/>
    <cellStyle name="요약 4 5 2 12" xfId="31089" xr:uid="{00000000-0005-0000-0000-00003B4D0000}"/>
    <cellStyle name="요약 4 5 2 13" xfId="17479" xr:uid="{00000000-0005-0000-0000-00003C4D0000}"/>
    <cellStyle name="요약 4 5 2 2" xfId="21771" xr:uid="{00000000-0005-0000-0000-00003D4D0000}"/>
    <cellStyle name="요약 4 5 2 2 2" xfId="22324" xr:uid="{00000000-0005-0000-0000-00003E4D0000}"/>
    <cellStyle name="요약 4 5 2 2 2 2" xfId="19599" xr:uid="{00000000-0005-0000-0000-00003F4D0000}"/>
    <cellStyle name="요약 4 5 2 2 2 3" xfId="26554" xr:uid="{00000000-0005-0000-0000-0000404D0000}"/>
    <cellStyle name="요약 4 5 2 2 2 4" xfId="29668" xr:uid="{00000000-0005-0000-0000-0000414D0000}"/>
    <cellStyle name="요약 4 5 2 2 3" xfId="22800" xr:uid="{00000000-0005-0000-0000-0000424D0000}"/>
    <cellStyle name="요약 4 5 2 2 3 2" xfId="20031" xr:uid="{00000000-0005-0000-0000-0000434D0000}"/>
    <cellStyle name="요약 4 5 2 2 3 3" xfId="27030" xr:uid="{00000000-0005-0000-0000-0000444D0000}"/>
    <cellStyle name="요약 4 5 2 2 3 4" xfId="30144" xr:uid="{00000000-0005-0000-0000-0000454D0000}"/>
    <cellStyle name="요약 4 5 2 2 4" xfId="23183" xr:uid="{00000000-0005-0000-0000-0000464D0000}"/>
    <cellStyle name="요약 4 5 2 2 4 2" xfId="19273" xr:uid="{00000000-0005-0000-0000-0000474D0000}"/>
    <cellStyle name="요약 4 5 2 2 4 3" xfId="27413" xr:uid="{00000000-0005-0000-0000-0000484D0000}"/>
    <cellStyle name="요약 4 5 2 2 4 4" xfId="30527" xr:uid="{00000000-0005-0000-0000-0000494D0000}"/>
    <cellStyle name="요약 4 5 2 2 5" xfId="23610" xr:uid="{00000000-0005-0000-0000-00004A4D0000}"/>
    <cellStyle name="요약 4 5 2 2 5 2" xfId="18265" xr:uid="{00000000-0005-0000-0000-00004B4D0000}"/>
    <cellStyle name="요약 4 5 2 2 5 3" xfId="27840" xr:uid="{00000000-0005-0000-0000-00004C4D0000}"/>
    <cellStyle name="요약 4 5 2 2 5 4" xfId="30954" xr:uid="{00000000-0005-0000-0000-00004D4D0000}"/>
    <cellStyle name="요약 4 5 2 2 6" xfId="24212" xr:uid="{00000000-0005-0000-0000-00004E4D0000}"/>
    <cellStyle name="요약 4 5 2 2 7" xfId="26001" xr:uid="{00000000-0005-0000-0000-00004F4D0000}"/>
    <cellStyle name="요약 4 5 2 2 8" xfId="29115" xr:uid="{00000000-0005-0000-0000-0000504D0000}"/>
    <cellStyle name="요약 4 5 2 3" xfId="21369" xr:uid="{00000000-0005-0000-0000-0000514D0000}"/>
    <cellStyle name="요약 4 5 2 3 2" xfId="19454" xr:uid="{00000000-0005-0000-0000-0000524D0000}"/>
    <cellStyle name="요약 4 5 2 3 3" xfId="25556" xr:uid="{00000000-0005-0000-0000-0000534D0000}"/>
    <cellStyle name="요약 4 5 2 3 4" xfId="28673" xr:uid="{00000000-0005-0000-0000-0000544D0000}"/>
    <cellStyle name="요약 4 5 2 4" xfId="21877" xr:uid="{00000000-0005-0000-0000-0000554D0000}"/>
    <cellStyle name="요약 4 5 2 4 2" xfId="23884" xr:uid="{00000000-0005-0000-0000-0000564D0000}"/>
    <cellStyle name="요약 4 5 2 4 3" xfId="26107" xr:uid="{00000000-0005-0000-0000-0000574D0000}"/>
    <cellStyle name="요약 4 5 2 4 4" xfId="29221" xr:uid="{00000000-0005-0000-0000-0000584D0000}"/>
    <cellStyle name="요약 4 5 2 5" xfId="21273" xr:uid="{00000000-0005-0000-0000-0000594D0000}"/>
    <cellStyle name="요약 4 5 2 5 2" xfId="19425" xr:uid="{00000000-0005-0000-0000-00005A4D0000}"/>
    <cellStyle name="요약 4 5 2 5 3" xfId="25486" xr:uid="{00000000-0005-0000-0000-00005B4D0000}"/>
    <cellStyle name="요약 4 5 2 5 4" xfId="28603" xr:uid="{00000000-0005-0000-0000-00005C4D0000}"/>
    <cellStyle name="요약 4 5 2 6" xfId="21011" xr:uid="{00000000-0005-0000-0000-00005D4D0000}"/>
    <cellStyle name="요약 4 5 2 6 2" xfId="24776" xr:uid="{00000000-0005-0000-0000-00005E4D0000}"/>
    <cellStyle name="요약 4 5 2 6 3" xfId="25256" xr:uid="{00000000-0005-0000-0000-00005F4D0000}"/>
    <cellStyle name="요약 4 5 2 6 4" xfId="28380" xr:uid="{00000000-0005-0000-0000-0000604D0000}"/>
    <cellStyle name="요약 4 5 2 7" xfId="21113" xr:uid="{00000000-0005-0000-0000-0000614D0000}"/>
    <cellStyle name="요약 4 5 2 7 2" xfId="24535" xr:uid="{00000000-0005-0000-0000-0000624D0000}"/>
    <cellStyle name="요약 4 5 2 7 3" xfId="25358" xr:uid="{00000000-0005-0000-0000-0000634D0000}"/>
    <cellStyle name="요약 4 5 2 7 4" xfId="28482" xr:uid="{00000000-0005-0000-0000-0000644D0000}"/>
    <cellStyle name="요약 4 5 2 8" xfId="20741" xr:uid="{00000000-0005-0000-0000-0000654D0000}"/>
    <cellStyle name="요약 4 5 2 9" xfId="19044" xr:uid="{00000000-0005-0000-0000-0000664D0000}"/>
    <cellStyle name="요약 4 5 3" xfId="15399" xr:uid="{00000000-0005-0000-0000-0000674D0000}"/>
    <cellStyle name="요약 4 5 3 10" xfId="28003" xr:uid="{00000000-0005-0000-0000-0000684D0000}"/>
    <cellStyle name="요약 4 5 3 11" xfId="17565" xr:uid="{00000000-0005-0000-0000-0000694D0000}"/>
    <cellStyle name="요약 4 5 3 2" xfId="15288" xr:uid="{00000000-0005-0000-0000-00006A4D0000}"/>
    <cellStyle name="요약 4 5 3 2 2" xfId="23892" xr:uid="{00000000-0005-0000-0000-00006B4D0000}"/>
    <cellStyle name="요약 4 5 3 2 3" xfId="25891" xr:uid="{00000000-0005-0000-0000-00006C4D0000}"/>
    <cellStyle name="요약 4 5 3 2 4" xfId="29005" xr:uid="{00000000-0005-0000-0000-00006D4D0000}"/>
    <cellStyle name="요약 4 5 3 2 5" xfId="21661" xr:uid="{00000000-0005-0000-0000-00006E4D0000}"/>
    <cellStyle name="요약 4 5 3 3" xfId="16946" xr:uid="{00000000-0005-0000-0000-00006F4D0000}"/>
    <cellStyle name="요약 4 5 3 3 2" xfId="18365" xr:uid="{00000000-0005-0000-0000-0000704D0000}"/>
    <cellStyle name="요약 4 5 3 3 3" xfId="26444" xr:uid="{00000000-0005-0000-0000-0000714D0000}"/>
    <cellStyle name="요약 4 5 3 3 4" xfId="29558" xr:uid="{00000000-0005-0000-0000-0000724D0000}"/>
    <cellStyle name="요약 4 5 3 3 5" xfId="22214" xr:uid="{00000000-0005-0000-0000-0000734D0000}"/>
    <cellStyle name="요약 4 5 3 4" xfId="16947" xr:uid="{00000000-0005-0000-0000-0000744D0000}"/>
    <cellStyle name="요약 4 5 3 4 2" xfId="23873" xr:uid="{00000000-0005-0000-0000-0000754D0000}"/>
    <cellStyle name="요약 4 5 3 4 3" xfId="26920" xr:uid="{00000000-0005-0000-0000-0000764D0000}"/>
    <cellStyle name="요약 4 5 3 4 4" xfId="30034" xr:uid="{00000000-0005-0000-0000-0000774D0000}"/>
    <cellStyle name="요약 4 5 3 4 5" xfId="22690" xr:uid="{00000000-0005-0000-0000-0000784D0000}"/>
    <cellStyle name="요약 4 5 3 5" xfId="23099" xr:uid="{00000000-0005-0000-0000-0000794D0000}"/>
    <cellStyle name="요약 4 5 3 5 2" xfId="19195" xr:uid="{00000000-0005-0000-0000-00007A4D0000}"/>
    <cellStyle name="요약 4 5 3 5 3" xfId="27329" xr:uid="{00000000-0005-0000-0000-00007B4D0000}"/>
    <cellStyle name="요약 4 5 3 5 4" xfId="30443" xr:uid="{00000000-0005-0000-0000-00007C4D0000}"/>
    <cellStyle name="요약 4 5 3 6" xfId="23500" xr:uid="{00000000-0005-0000-0000-00007D4D0000}"/>
    <cellStyle name="요약 4 5 3 6 2" xfId="18162" xr:uid="{00000000-0005-0000-0000-00007E4D0000}"/>
    <cellStyle name="요약 4 5 3 6 3" xfId="27730" xr:uid="{00000000-0005-0000-0000-00007F4D0000}"/>
    <cellStyle name="요약 4 5 3 6 4" xfId="30844" xr:uid="{00000000-0005-0000-0000-0000804D0000}"/>
    <cellStyle name="요약 4 5 3 7" xfId="20631" xr:uid="{00000000-0005-0000-0000-0000814D0000}"/>
    <cellStyle name="요약 4 5 3 8" xfId="18936" xr:uid="{00000000-0005-0000-0000-0000824D0000}"/>
    <cellStyle name="요약 4 5 3 9" xfId="24879" xr:uid="{00000000-0005-0000-0000-0000834D0000}"/>
    <cellStyle name="요약 4 5 4" xfId="17643" xr:uid="{00000000-0005-0000-0000-0000844D0000}"/>
    <cellStyle name="요약 4 5 4 2" xfId="22039" xr:uid="{00000000-0005-0000-0000-0000854D0000}"/>
    <cellStyle name="요약 4 5 4 2 2" xfId="24444" xr:uid="{00000000-0005-0000-0000-0000864D0000}"/>
    <cellStyle name="요약 4 5 4 2 3" xfId="26269" xr:uid="{00000000-0005-0000-0000-0000874D0000}"/>
    <cellStyle name="요약 4 5 4 2 4" xfId="29383" xr:uid="{00000000-0005-0000-0000-0000884D0000}"/>
    <cellStyle name="요약 4 5 4 3" xfId="22512" xr:uid="{00000000-0005-0000-0000-0000894D0000}"/>
    <cellStyle name="요약 4 5 4 3 2" xfId="19767" xr:uid="{00000000-0005-0000-0000-00008A4D0000}"/>
    <cellStyle name="요약 4 5 4 3 3" xfId="26742" xr:uid="{00000000-0005-0000-0000-00008B4D0000}"/>
    <cellStyle name="요약 4 5 4 3 4" xfId="29856" xr:uid="{00000000-0005-0000-0000-00008C4D0000}"/>
    <cellStyle name="요약 4 5 4 4" xfId="22957" xr:uid="{00000000-0005-0000-0000-00008D4D0000}"/>
    <cellStyle name="요약 4 5 4 4 2" xfId="20176" xr:uid="{00000000-0005-0000-0000-00008E4D0000}"/>
    <cellStyle name="요약 4 5 4 4 3" xfId="27187" xr:uid="{00000000-0005-0000-0000-00008F4D0000}"/>
    <cellStyle name="요약 4 5 4 4 4" xfId="30301" xr:uid="{00000000-0005-0000-0000-0000904D0000}"/>
    <cellStyle name="요약 4 5 4 5" xfId="23330" xr:uid="{00000000-0005-0000-0000-0000914D0000}"/>
    <cellStyle name="요약 4 5 4 5 2" xfId="20370" xr:uid="{00000000-0005-0000-0000-0000924D0000}"/>
    <cellStyle name="요약 4 5 4 5 3" xfId="27560" xr:uid="{00000000-0005-0000-0000-0000934D0000}"/>
    <cellStyle name="요약 4 5 4 5 4" xfId="30674" xr:uid="{00000000-0005-0000-0000-0000944D0000}"/>
    <cellStyle name="요약 4 5 4 6" xfId="19530" xr:uid="{00000000-0005-0000-0000-0000954D0000}"/>
    <cellStyle name="요약 4 5 4 7" xfId="25718" xr:uid="{00000000-0005-0000-0000-0000964D0000}"/>
    <cellStyle name="요약 4 5 4 8" xfId="28835" xr:uid="{00000000-0005-0000-0000-0000974D0000}"/>
    <cellStyle name="요약 4 5 5" xfId="20915" xr:uid="{00000000-0005-0000-0000-0000984D0000}"/>
    <cellStyle name="요약 4 5 5 2" xfId="23968" xr:uid="{00000000-0005-0000-0000-0000994D0000}"/>
    <cellStyle name="요약 4 5 5 3" xfId="25166" xr:uid="{00000000-0005-0000-0000-00009A4D0000}"/>
    <cellStyle name="요약 4 5 5 4" xfId="28290" xr:uid="{00000000-0005-0000-0000-00009B4D0000}"/>
    <cellStyle name="요약 4 5 6" xfId="18762" xr:uid="{00000000-0005-0000-0000-00009C4D0000}"/>
    <cellStyle name="요약 4 5 7" xfId="18549" xr:uid="{00000000-0005-0000-0000-00009D4D0000}"/>
    <cellStyle name="요약 4 5 8" xfId="18674" xr:uid="{00000000-0005-0000-0000-00009E4D0000}"/>
    <cellStyle name="요약 4 5 9" xfId="17263" xr:uid="{00000000-0005-0000-0000-00009F4D0000}"/>
    <cellStyle name="요약 4 6" xfId="12129" xr:uid="{00000000-0005-0000-0000-0000A04D0000}"/>
    <cellStyle name="요약 4 6 2" xfId="14774" xr:uid="{00000000-0005-0000-0000-0000A14D0000}"/>
    <cellStyle name="요약 4 6 2 10" xfId="24990" xr:uid="{00000000-0005-0000-0000-0000A24D0000}"/>
    <cellStyle name="요약 4 6 2 11" xfId="28114" xr:uid="{00000000-0005-0000-0000-0000A34D0000}"/>
    <cellStyle name="요약 4 6 2 12" xfId="31090" xr:uid="{00000000-0005-0000-0000-0000A44D0000}"/>
    <cellStyle name="요약 4 6 2 13" xfId="17478" xr:uid="{00000000-0005-0000-0000-0000A54D0000}"/>
    <cellStyle name="요약 4 6 2 2" xfId="21772" xr:uid="{00000000-0005-0000-0000-0000A64D0000}"/>
    <cellStyle name="요약 4 6 2 2 2" xfId="22325" xr:uid="{00000000-0005-0000-0000-0000A74D0000}"/>
    <cellStyle name="요약 4 6 2 2 2 2" xfId="19379" xr:uid="{00000000-0005-0000-0000-0000A84D0000}"/>
    <cellStyle name="요약 4 6 2 2 2 3" xfId="26555" xr:uid="{00000000-0005-0000-0000-0000A94D0000}"/>
    <cellStyle name="요약 4 6 2 2 2 4" xfId="29669" xr:uid="{00000000-0005-0000-0000-0000AA4D0000}"/>
    <cellStyle name="요약 4 6 2 2 3" xfId="22801" xr:uid="{00000000-0005-0000-0000-0000AB4D0000}"/>
    <cellStyle name="요약 4 6 2 2 3 2" xfId="23848" xr:uid="{00000000-0005-0000-0000-0000AC4D0000}"/>
    <cellStyle name="요약 4 6 2 2 3 3" xfId="27031" xr:uid="{00000000-0005-0000-0000-0000AD4D0000}"/>
    <cellStyle name="요약 4 6 2 2 3 4" xfId="30145" xr:uid="{00000000-0005-0000-0000-0000AE4D0000}"/>
    <cellStyle name="요약 4 6 2 2 4" xfId="23184" xr:uid="{00000000-0005-0000-0000-0000AF4D0000}"/>
    <cellStyle name="요약 4 6 2 2 4 2" xfId="19274" xr:uid="{00000000-0005-0000-0000-0000B04D0000}"/>
    <cellStyle name="요약 4 6 2 2 4 3" xfId="27414" xr:uid="{00000000-0005-0000-0000-0000B14D0000}"/>
    <cellStyle name="요약 4 6 2 2 4 4" xfId="30528" xr:uid="{00000000-0005-0000-0000-0000B24D0000}"/>
    <cellStyle name="요약 4 6 2 2 5" xfId="23611" xr:uid="{00000000-0005-0000-0000-0000B34D0000}"/>
    <cellStyle name="요약 4 6 2 2 5 2" xfId="18266" xr:uid="{00000000-0005-0000-0000-0000B44D0000}"/>
    <cellStyle name="요약 4 6 2 2 5 3" xfId="27841" xr:uid="{00000000-0005-0000-0000-0000B54D0000}"/>
    <cellStyle name="요약 4 6 2 2 5 4" xfId="30955" xr:uid="{00000000-0005-0000-0000-0000B64D0000}"/>
    <cellStyle name="요약 4 6 2 2 6" xfId="24004" xr:uid="{00000000-0005-0000-0000-0000B74D0000}"/>
    <cellStyle name="요약 4 6 2 2 7" xfId="26002" xr:uid="{00000000-0005-0000-0000-0000B84D0000}"/>
    <cellStyle name="요약 4 6 2 2 8" xfId="29116" xr:uid="{00000000-0005-0000-0000-0000B94D0000}"/>
    <cellStyle name="요약 4 6 2 3" xfId="21370" xr:uid="{00000000-0005-0000-0000-0000BA4D0000}"/>
    <cellStyle name="요약 4 6 2 3 2" xfId="24659" xr:uid="{00000000-0005-0000-0000-0000BB4D0000}"/>
    <cellStyle name="요약 4 6 2 3 3" xfId="25557" xr:uid="{00000000-0005-0000-0000-0000BC4D0000}"/>
    <cellStyle name="요약 4 6 2 3 4" xfId="28674" xr:uid="{00000000-0005-0000-0000-0000BD4D0000}"/>
    <cellStyle name="요약 4 6 2 4" xfId="21878" xr:uid="{00000000-0005-0000-0000-0000BE4D0000}"/>
    <cellStyle name="요약 4 6 2 4 2" xfId="23784" xr:uid="{00000000-0005-0000-0000-0000BF4D0000}"/>
    <cellStyle name="요약 4 6 2 4 3" xfId="26108" xr:uid="{00000000-0005-0000-0000-0000C04D0000}"/>
    <cellStyle name="요약 4 6 2 4 4" xfId="29222" xr:uid="{00000000-0005-0000-0000-0000C14D0000}"/>
    <cellStyle name="요약 4 6 2 5" xfId="21274" xr:uid="{00000000-0005-0000-0000-0000C24D0000}"/>
    <cellStyle name="요약 4 6 2 5 2" xfId="19426" xr:uid="{00000000-0005-0000-0000-0000C34D0000}"/>
    <cellStyle name="요약 4 6 2 5 3" xfId="25487" xr:uid="{00000000-0005-0000-0000-0000C44D0000}"/>
    <cellStyle name="요약 4 6 2 5 4" xfId="28604" xr:uid="{00000000-0005-0000-0000-0000C54D0000}"/>
    <cellStyle name="요약 4 6 2 6" xfId="21062" xr:uid="{00000000-0005-0000-0000-0000C64D0000}"/>
    <cellStyle name="요약 4 6 2 6 2" xfId="24408" xr:uid="{00000000-0005-0000-0000-0000C74D0000}"/>
    <cellStyle name="요약 4 6 2 6 3" xfId="25307" xr:uid="{00000000-0005-0000-0000-0000C84D0000}"/>
    <cellStyle name="요약 4 6 2 6 4" xfId="28431" xr:uid="{00000000-0005-0000-0000-0000C94D0000}"/>
    <cellStyle name="요약 4 6 2 7" xfId="21018" xr:uid="{00000000-0005-0000-0000-0000CA4D0000}"/>
    <cellStyle name="요약 4 6 2 7 2" xfId="24673" xr:uid="{00000000-0005-0000-0000-0000CB4D0000}"/>
    <cellStyle name="요약 4 6 2 7 3" xfId="25263" xr:uid="{00000000-0005-0000-0000-0000CC4D0000}"/>
    <cellStyle name="요약 4 6 2 7 4" xfId="28387" xr:uid="{00000000-0005-0000-0000-0000CD4D0000}"/>
    <cellStyle name="요약 4 6 2 8" xfId="20742" xr:uid="{00000000-0005-0000-0000-0000CE4D0000}"/>
    <cellStyle name="요약 4 6 2 9" xfId="19045" xr:uid="{00000000-0005-0000-0000-0000CF4D0000}"/>
    <cellStyle name="요약 4 6 3" xfId="15400" xr:uid="{00000000-0005-0000-0000-0000D04D0000}"/>
    <cellStyle name="요약 4 6 3 10" xfId="28004" xr:uid="{00000000-0005-0000-0000-0000D14D0000}"/>
    <cellStyle name="요약 4 6 3 11" xfId="17564" xr:uid="{00000000-0005-0000-0000-0000D24D0000}"/>
    <cellStyle name="요약 4 6 3 2" xfId="15287" xr:uid="{00000000-0005-0000-0000-0000D34D0000}"/>
    <cellStyle name="요약 4 6 3 2 2" xfId="24169" xr:uid="{00000000-0005-0000-0000-0000D44D0000}"/>
    <cellStyle name="요약 4 6 3 2 3" xfId="25892" xr:uid="{00000000-0005-0000-0000-0000D54D0000}"/>
    <cellStyle name="요약 4 6 3 2 4" xfId="29006" xr:uid="{00000000-0005-0000-0000-0000D64D0000}"/>
    <cellStyle name="요약 4 6 3 2 5" xfId="21662" xr:uid="{00000000-0005-0000-0000-0000D74D0000}"/>
    <cellStyle name="요약 4 6 3 3" xfId="16948" xr:uid="{00000000-0005-0000-0000-0000D84D0000}"/>
    <cellStyle name="요약 4 6 3 3 2" xfId="18366" xr:uid="{00000000-0005-0000-0000-0000D94D0000}"/>
    <cellStyle name="요약 4 6 3 3 3" xfId="26445" xr:uid="{00000000-0005-0000-0000-0000DA4D0000}"/>
    <cellStyle name="요약 4 6 3 3 4" xfId="29559" xr:uid="{00000000-0005-0000-0000-0000DB4D0000}"/>
    <cellStyle name="요약 4 6 3 3 5" xfId="22215" xr:uid="{00000000-0005-0000-0000-0000DC4D0000}"/>
    <cellStyle name="요약 4 6 3 4" xfId="16949" xr:uid="{00000000-0005-0000-0000-0000DD4D0000}"/>
    <cellStyle name="요약 4 6 3 4 2" xfId="19930" xr:uid="{00000000-0005-0000-0000-0000DE4D0000}"/>
    <cellStyle name="요약 4 6 3 4 3" xfId="26921" xr:uid="{00000000-0005-0000-0000-0000DF4D0000}"/>
    <cellStyle name="요약 4 6 3 4 4" xfId="30035" xr:uid="{00000000-0005-0000-0000-0000E04D0000}"/>
    <cellStyle name="요약 4 6 3 4 5" xfId="22691" xr:uid="{00000000-0005-0000-0000-0000E14D0000}"/>
    <cellStyle name="요약 4 6 3 5" xfId="23100" xr:uid="{00000000-0005-0000-0000-0000E24D0000}"/>
    <cellStyle name="요약 4 6 3 5 2" xfId="19196" xr:uid="{00000000-0005-0000-0000-0000E34D0000}"/>
    <cellStyle name="요약 4 6 3 5 3" xfId="27330" xr:uid="{00000000-0005-0000-0000-0000E44D0000}"/>
    <cellStyle name="요약 4 6 3 5 4" xfId="30444" xr:uid="{00000000-0005-0000-0000-0000E54D0000}"/>
    <cellStyle name="요약 4 6 3 6" xfId="23501" xr:uid="{00000000-0005-0000-0000-0000E64D0000}"/>
    <cellStyle name="요약 4 6 3 6 2" xfId="18163" xr:uid="{00000000-0005-0000-0000-0000E74D0000}"/>
    <cellStyle name="요약 4 6 3 6 3" xfId="27731" xr:uid="{00000000-0005-0000-0000-0000E84D0000}"/>
    <cellStyle name="요약 4 6 3 6 4" xfId="30845" xr:uid="{00000000-0005-0000-0000-0000E94D0000}"/>
    <cellStyle name="요약 4 6 3 7" xfId="20632" xr:uid="{00000000-0005-0000-0000-0000EA4D0000}"/>
    <cellStyle name="요약 4 6 3 8" xfId="18937" xr:uid="{00000000-0005-0000-0000-0000EB4D0000}"/>
    <cellStyle name="요약 4 6 3 9" xfId="24880" xr:uid="{00000000-0005-0000-0000-0000EC4D0000}"/>
    <cellStyle name="요약 4 6 4" xfId="17377" xr:uid="{00000000-0005-0000-0000-0000ED4D0000}"/>
    <cellStyle name="요약 4 6 4 2" xfId="22040" xr:uid="{00000000-0005-0000-0000-0000EE4D0000}"/>
    <cellStyle name="요약 4 6 4 2 2" xfId="24271" xr:uid="{00000000-0005-0000-0000-0000EF4D0000}"/>
    <cellStyle name="요약 4 6 4 2 3" xfId="26270" xr:uid="{00000000-0005-0000-0000-0000F04D0000}"/>
    <cellStyle name="요약 4 6 4 2 4" xfId="29384" xr:uid="{00000000-0005-0000-0000-0000F14D0000}"/>
    <cellStyle name="요약 4 6 4 3" xfId="22513" xr:uid="{00000000-0005-0000-0000-0000F24D0000}"/>
    <cellStyle name="요약 4 6 4 3 2" xfId="19768" xr:uid="{00000000-0005-0000-0000-0000F34D0000}"/>
    <cellStyle name="요약 4 6 4 3 3" xfId="26743" xr:uid="{00000000-0005-0000-0000-0000F44D0000}"/>
    <cellStyle name="요약 4 6 4 3 4" xfId="29857" xr:uid="{00000000-0005-0000-0000-0000F54D0000}"/>
    <cellStyle name="요약 4 6 4 4" xfId="22958" xr:uid="{00000000-0005-0000-0000-0000F64D0000}"/>
    <cellStyle name="요약 4 6 4 4 2" xfId="20177" xr:uid="{00000000-0005-0000-0000-0000F74D0000}"/>
    <cellStyle name="요약 4 6 4 4 3" xfId="27188" xr:uid="{00000000-0005-0000-0000-0000F84D0000}"/>
    <cellStyle name="요약 4 6 4 4 4" xfId="30302" xr:uid="{00000000-0005-0000-0000-0000F94D0000}"/>
    <cellStyle name="요약 4 6 4 5" xfId="23331" xr:uid="{00000000-0005-0000-0000-0000FA4D0000}"/>
    <cellStyle name="요약 4 6 4 5 2" xfId="20371" xr:uid="{00000000-0005-0000-0000-0000FB4D0000}"/>
    <cellStyle name="요약 4 6 4 5 3" xfId="27561" xr:uid="{00000000-0005-0000-0000-0000FC4D0000}"/>
    <cellStyle name="요약 4 6 4 5 4" xfId="30675" xr:uid="{00000000-0005-0000-0000-0000FD4D0000}"/>
    <cellStyle name="요약 4 6 4 6" xfId="19531" xr:uid="{00000000-0005-0000-0000-0000FE4D0000}"/>
    <cellStyle name="요약 4 6 4 7" xfId="25719" xr:uid="{00000000-0005-0000-0000-0000FF4D0000}"/>
    <cellStyle name="요약 4 6 4 8" xfId="28836" xr:uid="{00000000-0005-0000-0000-0000004E0000}"/>
    <cellStyle name="요약 4 6 5" xfId="20916" xr:uid="{00000000-0005-0000-0000-0000014E0000}"/>
    <cellStyle name="요약 4 6 5 2" xfId="24780" xr:uid="{00000000-0005-0000-0000-0000024E0000}"/>
    <cellStyle name="요약 4 6 5 3" xfId="25167" xr:uid="{00000000-0005-0000-0000-0000034E0000}"/>
    <cellStyle name="요약 4 6 5 4" xfId="28291" xr:uid="{00000000-0005-0000-0000-0000044E0000}"/>
    <cellStyle name="요약 4 6 6" xfId="18763" xr:uid="{00000000-0005-0000-0000-0000054E0000}"/>
    <cellStyle name="요약 4 6 7" xfId="24335" xr:uid="{00000000-0005-0000-0000-0000064E0000}"/>
    <cellStyle name="요약 4 6 8" xfId="25407" xr:uid="{00000000-0005-0000-0000-0000074E0000}"/>
    <cellStyle name="요약 4 6 9" xfId="17264" xr:uid="{00000000-0005-0000-0000-0000084E0000}"/>
    <cellStyle name="요약 4 7" xfId="12130" xr:uid="{00000000-0005-0000-0000-0000094E0000}"/>
    <cellStyle name="요약 4 7 2" xfId="14775" xr:uid="{00000000-0005-0000-0000-00000A4E0000}"/>
    <cellStyle name="요약 4 7 2 10" xfId="24991" xr:uid="{00000000-0005-0000-0000-00000B4E0000}"/>
    <cellStyle name="요약 4 7 2 11" xfId="28115" xr:uid="{00000000-0005-0000-0000-00000C4E0000}"/>
    <cellStyle name="요약 4 7 2 12" xfId="31091" xr:uid="{00000000-0005-0000-0000-00000D4E0000}"/>
    <cellStyle name="요약 4 7 2 13" xfId="17477" xr:uid="{00000000-0005-0000-0000-00000E4E0000}"/>
    <cellStyle name="요약 4 7 2 2" xfId="21773" xr:uid="{00000000-0005-0000-0000-00000F4E0000}"/>
    <cellStyle name="요약 4 7 2 2 2" xfId="22326" xr:uid="{00000000-0005-0000-0000-0000104E0000}"/>
    <cellStyle name="요약 4 7 2 2 2 2" xfId="24051" xr:uid="{00000000-0005-0000-0000-0000114E0000}"/>
    <cellStyle name="요약 4 7 2 2 2 3" xfId="26556" xr:uid="{00000000-0005-0000-0000-0000124E0000}"/>
    <cellStyle name="요약 4 7 2 2 2 4" xfId="29670" xr:uid="{00000000-0005-0000-0000-0000134E0000}"/>
    <cellStyle name="요약 4 7 2 2 3" xfId="22802" xr:uid="{00000000-0005-0000-0000-0000144E0000}"/>
    <cellStyle name="요약 4 7 2 2 3 2" xfId="20032" xr:uid="{00000000-0005-0000-0000-0000154E0000}"/>
    <cellStyle name="요약 4 7 2 2 3 3" xfId="27032" xr:uid="{00000000-0005-0000-0000-0000164E0000}"/>
    <cellStyle name="요약 4 7 2 2 3 4" xfId="30146" xr:uid="{00000000-0005-0000-0000-0000174E0000}"/>
    <cellStyle name="요약 4 7 2 2 4" xfId="23185" xr:uid="{00000000-0005-0000-0000-0000184E0000}"/>
    <cellStyle name="요약 4 7 2 2 4 2" xfId="19275" xr:uid="{00000000-0005-0000-0000-0000194E0000}"/>
    <cellStyle name="요약 4 7 2 2 4 3" xfId="27415" xr:uid="{00000000-0005-0000-0000-00001A4E0000}"/>
    <cellStyle name="요약 4 7 2 2 4 4" xfId="30529" xr:uid="{00000000-0005-0000-0000-00001B4E0000}"/>
    <cellStyle name="요약 4 7 2 2 5" xfId="23612" xr:uid="{00000000-0005-0000-0000-00001C4E0000}"/>
    <cellStyle name="요약 4 7 2 2 5 2" xfId="18267" xr:uid="{00000000-0005-0000-0000-00001D4E0000}"/>
    <cellStyle name="요약 4 7 2 2 5 3" xfId="27842" xr:uid="{00000000-0005-0000-0000-00001E4E0000}"/>
    <cellStyle name="요약 4 7 2 2 5 4" xfId="30956" xr:uid="{00000000-0005-0000-0000-00001F4E0000}"/>
    <cellStyle name="요약 4 7 2 2 6" xfId="24715" xr:uid="{00000000-0005-0000-0000-0000204E0000}"/>
    <cellStyle name="요약 4 7 2 2 7" xfId="26003" xr:uid="{00000000-0005-0000-0000-0000214E0000}"/>
    <cellStyle name="요약 4 7 2 2 8" xfId="29117" xr:uid="{00000000-0005-0000-0000-0000224E0000}"/>
    <cellStyle name="요약 4 7 2 3" xfId="21371" xr:uid="{00000000-0005-0000-0000-0000234E0000}"/>
    <cellStyle name="요약 4 7 2 3 2" xfId="24397" xr:uid="{00000000-0005-0000-0000-0000244E0000}"/>
    <cellStyle name="요약 4 7 2 3 3" xfId="25558" xr:uid="{00000000-0005-0000-0000-0000254E0000}"/>
    <cellStyle name="요약 4 7 2 3 4" xfId="28675" xr:uid="{00000000-0005-0000-0000-0000264E0000}"/>
    <cellStyle name="요약 4 7 2 4" xfId="21879" xr:uid="{00000000-0005-0000-0000-0000274E0000}"/>
    <cellStyle name="요약 4 7 2 4 2" xfId="23932" xr:uid="{00000000-0005-0000-0000-0000284E0000}"/>
    <cellStyle name="요약 4 7 2 4 3" xfId="26109" xr:uid="{00000000-0005-0000-0000-0000294E0000}"/>
    <cellStyle name="요약 4 7 2 4 4" xfId="29223" xr:uid="{00000000-0005-0000-0000-00002A4E0000}"/>
    <cellStyle name="요약 4 7 2 5" xfId="21275" xr:uid="{00000000-0005-0000-0000-00002B4E0000}"/>
    <cellStyle name="요약 4 7 2 5 2" xfId="19427" xr:uid="{00000000-0005-0000-0000-00002C4E0000}"/>
    <cellStyle name="요약 4 7 2 5 3" xfId="25488" xr:uid="{00000000-0005-0000-0000-00002D4E0000}"/>
    <cellStyle name="요약 4 7 2 5 4" xfId="28605" xr:uid="{00000000-0005-0000-0000-00002E4E0000}"/>
    <cellStyle name="요약 4 7 2 6" xfId="21095" xr:uid="{00000000-0005-0000-0000-00002F4E0000}"/>
    <cellStyle name="요약 4 7 2 6 2" xfId="24074" xr:uid="{00000000-0005-0000-0000-0000304E0000}"/>
    <cellStyle name="요약 4 7 2 6 3" xfId="25340" xr:uid="{00000000-0005-0000-0000-0000314E0000}"/>
    <cellStyle name="요약 4 7 2 6 4" xfId="28464" xr:uid="{00000000-0005-0000-0000-0000324E0000}"/>
    <cellStyle name="요약 4 7 2 7" xfId="21029" xr:uid="{00000000-0005-0000-0000-0000334E0000}"/>
    <cellStyle name="요약 4 7 2 7 2" xfId="24076" xr:uid="{00000000-0005-0000-0000-0000344E0000}"/>
    <cellStyle name="요약 4 7 2 7 3" xfId="25274" xr:uid="{00000000-0005-0000-0000-0000354E0000}"/>
    <cellStyle name="요약 4 7 2 7 4" xfId="28398" xr:uid="{00000000-0005-0000-0000-0000364E0000}"/>
    <cellStyle name="요약 4 7 2 8" xfId="20743" xr:uid="{00000000-0005-0000-0000-0000374E0000}"/>
    <cellStyle name="요약 4 7 2 9" xfId="19046" xr:uid="{00000000-0005-0000-0000-0000384E0000}"/>
    <cellStyle name="요약 4 7 3" xfId="15401" xr:uid="{00000000-0005-0000-0000-0000394E0000}"/>
    <cellStyle name="요약 4 7 3 10" xfId="28005" xr:uid="{00000000-0005-0000-0000-00003A4E0000}"/>
    <cellStyle name="요약 4 7 3 11" xfId="17563" xr:uid="{00000000-0005-0000-0000-00003B4E0000}"/>
    <cellStyle name="요약 4 7 3 2" xfId="15286" xr:uid="{00000000-0005-0000-0000-00003C4E0000}"/>
    <cellStyle name="요약 4 7 3 2 2" xfId="23941" xr:uid="{00000000-0005-0000-0000-00003D4E0000}"/>
    <cellStyle name="요약 4 7 3 2 3" xfId="25893" xr:uid="{00000000-0005-0000-0000-00003E4E0000}"/>
    <cellStyle name="요약 4 7 3 2 4" xfId="29007" xr:uid="{00000000-0005-0000-0000-00003F4E0000}"/>
    <cellStyle name="요약 4 7 3 2 5" xfId="21663" xr:uid="{00000000-0005-0000-0000-0000404E0000}"/>
    <cellStyle name="요약 4 7 3 3" xfId="16950" xr:uid="{00000000-0005-0000-0000-0000414E0000}"/>
    <cellStyle name="요약 4 7 3 3 2" xfId="18367" xr:uid="{00000000-0005-0000-0000-0000424E0000}"/>
    <cellStyle name="요약 4 7 3 3 3" xfId="26446" xr:uid="{00000000-0005-0000-0000-0000434E0000}"/>
    <cellStyle name="요약 4 7 3 3 4" xfId="29560" xr:uid="{00000000-0005-0000-0000-0000444E0000}"/>
    <cellStyle name="요약 4 7 3 3 5" xfId="22216" xr:uid="{00000000-0005-0000-0000-0000454E0000}"/>
    <cellStyle name="요약 4 7 3 4" xfId="16951" xr:uid="{00000000-0005-0000-0000-0000464E0000}"/>
    <cellStyle name="요약 4 7 3 4 2" xfId="19931" xr:uid="{00000000-0005-0000-0000-0000474E0000}"/>
    <cellStyle name="요약 4 7 3 4 3" xfId="26922" xr:uid="{00000000-0005-0000-0000-0000484E0000}"/>
    <cellStyle name="요약 4 7 3 4 4" xfId="30036" xr:uid="{00000000-0005-0000-0000-0000494E0000}"/>
    <cellStyle name="요약 4 7 3 4 5" xfId="22692" xr:uid="{00000000-0005-0000-0000-00004A4E0000}"/>
    <cellStyle name="요약 4 7 3 5" xfId="23101" xr:uid="{00000000-0005-0000-0000-00004B4E0000}"/>
    <cellStyle name="요약 4 7 3 5 2" xfId="19197" xr:uid="{00000000-0005-0000-0000-00004C4E0000}"/>
    <cellStyle name="요약 4 7 3 5 3" xfId="27331" xr:uid="{00000000-0005-0000-0000-00004D4E0000}"/>
    <cellStyle name="요약 4 7 3 5 4" xfId="30445" xr:uid="{00000000-0005-0000-0000-00004E4E0000}"/>
    <cellStyle name="요약 4 7 3 6" xfId="23502" xr:uid="{00000000-0005-0000-0000-00004F4E0000}"/>
    <cellStyle name="요약 4 7 3 6 2" xfId="18164" xr:uid="{00000000-0005-0000-0000-0000504E0000}"/>
    <cellStyle name="요약 4 7 3 6 3" xfId="27732" xr:uid="{00000000-0005-0000-0000-0000514E0000}"/>
    <cellStyle name="요약 4 7 3 6 4" xfId="30846" xr:uid="{00000000-0005-0000-0000-0000524E0000}"/>
    <cellStyle name="요약 4 7 3 7" xfId="20633" xr:uid="{00000000-0005-0000-0000-0000534E0000}"/>
    <cellStyle name="요약 4 7 3 8" xfId="18938" xr:uid="{00000000-0005-0000-0000-0000544E0000}"/>
    <cellStyle name="요약 4 7 3 9" xfId="24881" xr:uid="{00000000-0005-0000-0000-0000554E0000}"/>
    <cellStyle name="요약 4 7 4" xfId="17642" xr:uid="{00000000-0005-0000-0000-0000564E0000}"/>
    <cellStyle name="요약 4 7 4 2" xfId="22041" xr:uid="{00000000-0005-0000-0000-0000574E0000}"/>
    <cellStyle name="요약 4 7 4 2 2" xfId="24089" xr:uid="{00000000-0005-0000-0000-0000584E0000}"/>
    <cellStyle name="요약 4 7 4 2 3" xfId="26271" xr:uid="{00000000-0005-0000-0000-0000594E0000}"/>
    <cellStyle name="요약 4 7 4 2 4" xfId="29385" xr:uid="{00000000-0005-0000-0000-00005A4E0000}"/>
    <cellStyle name="요약 4 7 4 3" xfId="22514" xr:uid="{00000000-0005-0000-0000-00005B4E0000}"/>
    <cellStyle name="요약 4 7 4 3 2" xfId="19769" xr:uid="{00000000-0005-0000-0000-00005C4E0000}"/>
    <cellStyle name="요약 4 7 4 3 3" xfId="26744" xr:uid="{00000000-0005-0000-0000-00005D4E0000}"/>
    <cellStyle name="요약 4 7 4 3 4" xfId="29858" xr:uid="{00000000-0005-0000-0000-00005E4E0000}"/>
    <cellStyle name="요약 4 7 4 4" xfId="22959" xr:uid="{00000000-0005-0000-0000-00005F4E0000}"/>
    <cellStyle name="요약 4 7 4 4 2" xfId="20178" xr:uid="{00000000-0005-0000-0000-0000604E0000}"/>
    <cellStyle name="요약 4 7 4 4 3" xfId="27189" xr:uid="{00000000-0005-0000-0000-0000614E0000}"/>
    <cellStyle name="요약 4 7 4 4 4" xfId="30303" xr:uid="{00000000-0005-0000-0000-0000624E0000}"/>
    <cellStyle name="요약 4 7 4 5" xfId="23332" xr:uid="{00000000-0005-0000-0000-0000634E0000}"/>
    <cellStyle name="요약 4 7 4 5 2" xfId="20372" xr:uid="{00000000-0005-0000-0000-0000644E0000}"/>
    <cellStyle name="요약 4 7 4 5 3" xfId="27562" xr:uid="{00000000-0005-0000-0000-0000654E0000}"/>
    <cellStyle name="요약 4 7 4 5 4" xfId="30676" xr:uid="{00000000-0005-0000-0000-0000664E0000}"/>
    <cellStyle name="요약 4 7 4 6" xfId="24037" xr:uid="{00000000-0005-0000-0000-0000674E0000}"/>
    <cellStyle name="요약 4 7 4 7" xfId="25720" xr:uid="{00000000-0005-0000-0000-0000684E0000}"/>
    <cellStyle name="요약 4 7 4 8" xfId="28837" xr:uid="{00000000-0005-0000-0000-0000694E0000}"/>
    <cellStyle name="요약 4 7 5" xfId="20917" xr:uid="{00000000-0005-0000-0000-00006A4E0000}"/>
    <cellStyle name="요약 4 7 5 2" xfId="24522" xr:uid="{00000000-0005-0000-0000-00006B4E0000}"/>
    <cellStyle name="요약 4 7 5 3" xfId="25168" xr:uid="{00000000-0005-0000-0000-00006C4E0000}"/>
    <cellStyle name="요약 4 7 5 4" xfId="28292" xr:uid="{00000000-0005-0000-0000-00006D4E0000}"/>
    <cellStyle name="요약 4 7 6" xfId="18764" xr:uid="{00000000-0005-0000-0000-00006E4E0000}"/>
    <cellStyle name="요약 4 7 7" xfId="18548" xr:uid="{00000000-0005-0000-0000-00006F4E0000}"/>
    <cellStyle name="요약 4 7 8" xfId="18675" xr:uid="{00000000-0005-0000-0000-0000704E0000}"/>
    <cellStyle name="요약 4 7 9" xfId="17265" xr:uid="{00000000-0005-0000-0000-0000714E0000}"/>
    <cellStyle name="요약 4 8" xfId="14769" xr:uid="{00000000-0005-0000-0000-0000724E0000}"/>
    <cellStyle name="요약 4 8 10" xfId="24985" xr:uid="{00000000-0005-0000-0000-0000734E0000}"/>
    <cellStyle name="요약 4 8 11" xfId="28109" xr:uid="{00000000-0005-0000-0000-0000744E0000}"/>
    <cellStyle name="요약 4 8 12" xfId="31085" xr:uid="{00000000-0005-0000-0000-0000754E0000}"/>
    <cellStyle name="요약 4 8 13" xfId="17483" xr:uid="{00000000-0005-0000-0000-0000764E0000}"/>
    <cellStyle name="요약 4 8 2" xfId="21767" xr:uid="{00000000-0005-0000-0000-0000774E0000}"/>
    <cellStyle name="요약 4 8 2 2" xfId="22320" xr:uid="{00000000-0005-0000-0000-0000784E0000}"/>
    <cellStyle name="요약 4 8 2 2 2" xfId="24055" xr:uid="{00000000-0005-0000-0000-0000794E0000}"/>
    <cellStyle name="요약 4 8 2 2 3" xfId="26550" xr:uid="{00000000-0005-0000-0000-00007A4E0000}"/>
    <cellStyle name="요약 4 8 2 2 4" xfId="29664" xr:uid="{00000000-0005-0000-0000-00007B4E0000}"/>
    <cellStyle name="요약 4 8 2 3" xfId="22796" xr:uid="{00000000-0005-0000-0000-00007C4E0000}"/>
    <cellStyle name="요약 4 8 2 3 2" xfId="21241" xr:uid="{00000000-0005-0000-0000-00007D4E0000}"/>
    <cellStyle name="요약 4 8 2 3 3" xfId="27026" xr:uid="{00000000-0005-0000-0000-00007E4E0000}"/>
    <cellStyle name="요약 4 8 2 3 4" xfId="30140" xr:uid="{00000000-0005-0000-0000-00007F4E0000}"/>
    <cellStyle name="요약 4 8 2 4" xfId="23179" xr:uid="{00000000-0005-0000-0000-0000804E0000}"/>
    <cellStyle name="요약 4 8 2 4 2" xfId="19269" xr:uid="{00000000-0005-0000-0000-0000814E0000}"/>
    <cellStyle name="요약 4 8 2 4 3" xfId="27409" xr:uid="{00000000-0005-0000-0000-0000824E0000}"/>
    <cellStyle name="요약 4 8 2 4 4" xfId="30523" xr:uid="{00000000-0005-0000-0000-0000834E0000}"/>
    <cellStyle name="요약 4 8 2 5" xfId="23606" xr:uid="{00000000-0005-0000-0000-0000844E0000}"/>
    <cellStyle name="요약 4 8 2 5 2" xfId="18261" xr:uid="{00000000-0005-0000-0000-0000854E0000}"/>
    <cellStyle name="요약 4 8 2 5 3" xfId="27836" xr:uid="{00000000-0005-0000-0000-0000864E0000}"/>
    <cellStyle name="요약 4 8 2 5 4" xfId="30950" xr:uid="{00000000-0005-0000-0000-0000874E0000}"/>
    <cellStyle name="요약 4 8 2 6" xfId="23726" xr:uid="{00000000-0005-0000-0000-0000884E0000}"/>
    <cellStyle name="요약 4 8 2 7" xfId="25997" xr:uid="{00000000-0005-0000-0000-0000894E0000}"/>
    <cellStyle name="요약 4 8 2 8" xfId="29111" xr:uid="{00000000-0005-0000-0000-00008A4E0000}"/>
    <cellStyle name="요약 4 8 3" xfId="21365" xr:uid="{00000000-0005-0000-0000-00008B4E0000}"/>
    <cellStyle name="요약 4 8 3 2" xfId="19451" xr:uid="{00000000-0005-0000-0000-00008C4E0000}"/>
    <cellStyle name="요약 4 8 3 3" xfId="25552" xr:uid="{00000000-0005-0000-0000-00008D4E0000}"/>
    <cellStyle name="요약 4 8 3 4" xfId="28669" xr:uid="{00000000-0005-0000-0000-00008E4E0000}"/>
    <cellStyle name="요약 4 8 4" xfId="21873" xr:uid="{00000000-0005-0000-0000-00008F4E0000}"/>
    <cellStyle name="요약 4 8 4 2" xfId="24096" xr:uid="{00000000-0005-0000-0000-0000904E0000}"/>
    <cellStyle name="요약 4 8 4 3" xfId="26103" xr:uid="{00000000-0005-0000-0000-0000914E0000}"/>
    <cellStyle name="요약 4 8 4 4" xfId="29217" xr:uid="{00000000-0005-0000-0000-0000924E0000}"/>
    <cellStyle name="요약 4 8 5" xfId="21269" xr:uid="{00000000-0005-0000-0000-0000934E0000}"/>
    <cellStyle name="요약 4 8 5 2" xfId="24506" xr:uid="{00000000-0005-0000-0000-0000944E0000}"/>
    <cellStyle name="요약 4 8 5 3" xfId="25482" xr:uid="{00000000-0005-0000-0000-0000954E0000}"/>
    <cellStyle name="요약 4 8 5 4" xfId="28599" xr:uid="{00000000-0005-0000-0000-0000964E0000}"/>
    <cellStyle name="요약 4 8 6" xfId="21054" xr:uid="{00000000-0005-0000-0000-0000974E0000}"/>
    <cellStyle name="요약 4 8 6 2" xfId="24774" xr:uid="{00000000-0005-0000-0000-0000984E0000}"/>
    <cellStyle name="요약 4 8 6 3" xfId="25299" xr:uid="{00000000-0005-0000-0000-0000994E0000}"/>
    <cellStyle name="요약 4 8 6 4" xfId="28423" xr:uid="{00000000-0005-0000-0000-00009A4E0000}"/>
    <cellStyle name="요약 4 8 7" xfId="21081" xr:uid="{00000000-0005-0000-0000-00009B4E0000}"/>
    <cellStyle name="요약 4 8 7 2" xfId="19412" xr:uid="{00000000-0005-0000-0000-00009C4E0000}"/>
    <cellStyle name="요약 4 8 7 3" xfId="25326" xr:uid="{00000000-0005-0000-0000-00009D4E0000}"/>
    <cellStyle name="요약 4 8 7 4" xfId="28450" xr:uid="{00000000-0005-0000-0000-00009E4E0000}"/>
    <cellStyle name="요약 4 8 8" xfId="20737" xr:uid="{00000000-0005-0000-0000-00009F4E0000}"/>
    <cellStyle name="요약 4 8 9" xfId="19040" xr:uid="{00000000-0005-0000-0000-0000A04E0000}"/>
    <cellStyle name="요약 4 9" xfId="15395" xr:uid="{00000000-0005-0000-0000-0000A14E0000}"/>
    <cellStyle name="요약 4 9 10" xfId="27999" xr:uid="{00000000-0005-0000-0000-0000A24E0000}"/>
    <cellStyle name="요약 4 9 11" xfId="17569" xr:uid="{00000000-0005-0000-0000-0000A34E0000}"/>
    <cellStyle name="요약 4 9 2" xfId="15158" xr:uid="{00000000-0005-0000-0000-0000A44E0000}"/>
    <cellStyle name="요약 4 9 2 2" xfId="24105" xr:uid="{00000000-0005-0000-0000-0000A54E0000}"/>
    <cellStyle name="요약 4 9 2 3" xfId="25887" xr:uid="{00000000-0005-0000-0000-0000A64E0000}"/>
    <cellStyle name="요약 4 9 2 4" xfId="29001" xr:uid="{00000000-0005-0000-0000-0000A74E0000}"/>
    <cellStyle name="요약 4 9 2 5" xfId="21657" xr:uid="{00000000-0005-0000-0000-0000A84E0000}"/>
    <cellStyle name="요약 4 9 3" xfId="16952" xr:uid="{00000000-0005-0000-0000-0000A94E0000}"/>
    <cellStyle name="요약 4 9 3 2" xfId="18361" xr:uid="{00000000-0005-0000-0000-0000AA4E0000}"/>
    <cellStyle name="요약 4 9 3 3" xfId="26440" xr:uid="{00000000-0005-0000-0000-0000AB4E0000}"/>
    <cellStyle name="요약 4 9 3 4" xfId="29554" xr:uid="{00000000-0005-0000-0000-0000AC4E0000}"/>
    <cellStyle name="요약 4 9 3 5" xfId="22210" xr:uid="{00000000-0005-0000-0000-0000AD4E0000}"/>
    <cellStyle name="요약 4 9 4" xfId="16953" xr:uid="{00000000-0005-0000-0000-0000AE4E0000}"/>
    <cellStyle name="요약 4 9 4 2" xfId="19926" xr:uid="{00000000-0005-0000-0000-0000AF4E0000}"/>
    <cellStyle name="요약 4 9 4 3" xfId="26916" xr:uid="{00000000-0005-0000-0000-0000B04E0000}"/>
    <cellStyle name="요약 4 9 4 4" xfId="30030" xr:uid="{00000000-0005-0000-0000-0000B14E0000}"/>
    <cellStyle name="요약 4 9 4 5" xfId="22686" xr:uid="{00000000-0005-0000-0000-0000B24E0000}"/>
    <cellStyle name="요약 4 9 5" xfId="23095" xr:uid="{00000000-0005-0000-0000-0000B34E0000}"/>
    <cellStyle name="요약 4 9 5 2" xfId="19191" xr:uid="{00000000-0005-0000-0000-0000B44E0000}"/>
    <cellStyle name="요약 4 9 5 3" xfId="27325" xr:uid="{00000000-0005-0000-0000-0000B54E0000}"/>
    <cellStyle name="요약 4 9 5 4" xfId="30439" xr:uid="{00000000-0005-0000-0000-0000B64E0000}"/>
    <cellStyle name="요약 4 9 6" xfId="23496" xr:uid="{00000000-0005-0000-0000-0000B74E0000}"/>
    <cellStyle name="요약 4 9 6 2" xfId="18158" xr:uid="{00000000-0005-0000-0000-0000B84E0000}"/>
    <cellStyle name="요약 4 9 6 3" xfId="27726" xr:uid="{00000000-0005-0000-0000-0000B94E0000}"/>
    <cellStyle name="요약 4 9 6 4" xfId="30840" xr:uid="{00000000-0005-0000-0000-0000BA4E0000}"/>
    <cellStyle name="요약 4 9 7" xfId="20627" xr:uid="{00000000-0005-0000-0000-0000BB4E0000}"/>
    <cellStyle name="요약 4 9 8" xfId="18932" xr:uid="{00000000-0005-0000-0000-0000BC4E0000}"/>
    <cellStyle name="요약 4 9 9" xfId="24875" xr:uid="{00000000-0005-0000-0000-0000BD4E0000}"/>
    <cellStyle name="요약 5" xfId="12131" xr:uid="{00000000-0005-0000-0000-0000BE4E0000}"/>
    <cellStyle name="요약 5 10" xfId="17641" xr:uid="{00000000-0005-0000-0000-0000BF4E0000}"/>
    <cellStyle name="요약 5 10 2" xfId="22042" xr:uid="{00000000-0005-0000-0000-0000C04E0000}"/>
    <cellStyle name="요약 5 10 2 2" xfId="19346" xr:uid="{00000000-0005-0000-0000-0000C14E0000}"/>
    <cellStyle name="요약 5 10 2 3" xfId="26272" xr:uid="{00000000-0005-0000-0000-0000C24E0000}"/>
    <cellStyle name="요약 5 10 2 4" xfId="29386" xr:uid="{00000000-0005-0000-0000-0000C34E0000}"/>
    <cellStyle name="요약 5 10 3" xfId="22515" xr:uid="{00000000-0005-0000-0000-0000C44E0000}"/>
    <cellStyle name="요약 5 10 3 2" xfId="19770" xr:uid="{00000000-0005-0000-0000-0000C54E0000}"/>
    <cellStyle name="요약 5 10 3 3" xfId="26745" xr:uid="{00000000-0005-0000-0000-0000C64E0000}"/>
    <cellStyle name="요약 5 10 3 4" xfId="29859" xr:uid="{00000000-0005-0000-0000-0000C74E0000}"/>
    <cellStyle name="요약 5 10 4" xfId="22960" xr:uid="{00000000-0005-0000-0000-0000C84E0000}"/>
    <cellStyle name="요약 5 10 4 2" xfId="20179" xr:uid="{00000000-0005-0000-0000-0000C94E0000}"/>
    <cellStyle name="요약 5 10 4 3" xfId="27190" xr:uid="{00000000-0005-0000-0000-0000CA4E0000}"/>
    <cellStyle name="요약 5 10 4 4" xfId="30304" xr:uid="{00000000-0005-0000-0000-0000CB4E0000}"/>
    <cellStyle name="요약 5 10 5" xfId="23333" xr:uid="{00000000-0005-0000-0000-0000CC4E0000}"/>
    <cellStyle name="요약 5 10 5 2" xfId="20373" xr:uid="{00000000-0005-0000-0000-0000CD4E0000}"/>
    <cellStyle name="요약 5 10 5 3" xfId="27563" xr:uid="{00000000-0005-0000-0000-0000CE4E0000}"/>
    <cellStyle name="요약 5 10 5 4" xfId="30677" xr:uid="{00000000-0005-0000-0000-0000CF4E0000}"/>
    <cellStyle name="요약 5 10 6" xfId="19532" xr:uid="{00000000-0005-0000-0000-0000D04E0000}"/>
    <cellStyle name="요약 5 10 7" xfId="25721" xr:uid="{00000000-0005-0000-0000-0000D14E0000}"/>
    <cellStyle name="요약 5 10 8" xfId="28838" xr:uid="{00000000-0005-0000-0000-0000D24E0000}"/>
    <cellStyle name="요약 5 11" xfId="20849" xr:uid="{00000000-0005-0000-0000-0000D34E0000}"/>
    <cellStyle name="요약 5 11 2" xfId="19161" xr:uid="{00000000-0005-0000-0000-0000D44E0000}"/>
    <cellStyle name="요약 5 11 3" xfId="25100" xr:uid="{00000000-0005-0000-0000-0000D54E0000}"/>
    <cellStyle name="요약 5 11 4" xfId="28224" xr:uid="{00000000-0005-0000-0000-0000D64E0000}"/>
    <cellStyle name="요약 5 12" xfId="18765" xr:uid="{00000000-0005-0000-0000-0000D74E0000}"/>
    <cellStyle name="요약 5 13" xfId="18547" xr:uid="{00000000-0005-0000-0000-0000D84E0000}"/>
    <cellStyle name="요약 5 14" xfId="18676" xr:uid="{00000000-0005-0000-0000-0000D94E0000}"/>
    <cellStyle name="요약 5 15" xfId="17266" xr:uid="{00000000-0005-0000-0000-0000DA4E0000}"/>
    <cellStyle name="요약 5 2" xfId="12132" xr:uid="{00000000-0005-0000-0000-0000DB4E0000}"/>
    <cellStyle name="요약 5 2 2" xfId="14777" xr:uid="{00000000-0005-0000-0000-0000DC4E0000}"/>
    <cellStyle name="요약 5 2 2 10" xfId="24993" xr:uid="{00000000-0005-0000-0000-0000DD4E0000}"/>
    <cellStyle name="요약 5 2 2 11" xfId="28117" xr:uid="{00000000-0005-0000-0000-0000DE4E0000}"/>
    <cellStyle name="요약 5 2 2 12" xfId="31093" xr:uid="{00000000-0005-0000-0000-0000DF4E0000}"/>
    <cellStyle name="요약 5 2 2 13" xfId="17475" xr:uid="{00000000-0005-0000-0000-0000E04E0000}"/>
    <cellStyle name="요약 5 2 2 2" xfId="21775" xr:uid="{00000000-0005-0000-0000-0000E14E0000}"/>
    <cellStyle name="요약 5 2 2 2 2" xfId="22328" xr:uid="{00000000-0005-0000-0000-0000E24E0000}"/>
    <cellStyle name="요약 5 2 2 2 2 2" xfId="19601" xr:uid="{00000000-0005-0000-0000-0000E34E0000}"/>
    <cellStyle name="요약 5 2 2 2 2 3" xfId="26558" xr:uid="{00000000-0005-0000-0000-0000E44E0000}"/>
    <cellStyle name="요약 5 2 2 2 2 4" xfId="29672" xr:uid="{00000000-0005-0000-0000-0000E54E0000}"/>
    <cellStyle name="요약 5 2 2 2 3" xfId="22804" xr:uid="{00000000-0005-0000-0000-0000E64E0000}"/>
    <cellStyle name="요약 5 2 2 2 3 2" xfId="20034" xr:uid="{00000000-0005-0000-0000-0000E74E0000}"/>
    <cellStyle name="요약 5 2 2 2 3 3" xfId="27034" xr:uid="{00000000-0005-0000-0000-0000E84E0000}"/>
    <cellStyle name="요약 5 2 2 2 3 4" xfId="30148" xr:uid="{00000000-0005-0000-0000-0000E94E0000}"/>
    <cellStyle name="요약 5 2 2 2 4" xfId="23187" xr:uid="{00000000-0005-0000-0000-0000EA4E0000}"/>
    <cellStyle name="요약 5 2 2 2 4 2" xfId="19277" xr:uid="{00000000-0005-0000-0000-0000EB4E0000}"/>
    <cellStyle name="요약 5 2 2 2 4 3" xfId="27417" xr:uid="{00000000-0005-0000-0000-0000EC4E0000}"/>
    <cellStyle name="요약 5 2 2 2 4 4" xfId="30531" xr:uid="{00000000-0005-0000-0000-0000ED4E0000}"/>
    <cellStyle name="요약 5 2 2 2 5" xfId="23614" xr:uid="{00000000-0005-0000-0000-0000EE4E0000}"/>
    <cellStyle name="요약 5 2 2 2 5 2" xfId="18269" xr:uid="{00000000-0005-0000-0000-0000EF4E0000}"/>
    <cellStyle name="요약 5 2 2 2 5 3" xfId="27844" xr:uid="{00000000-0005-0000-0000-0000F04E0000}"/>
    <cellStyle name="요약 5 2 2 2 5 4" xfId="30958" xr:uid="{00000000-0005-0000-0000-0000F14E0000}"/>
    <cellStyle name="요약 5 2 2 2 6" xfId="24455" xr:uid="{00000000-0005-0000-0000-0000F24E0000}"/>
    <cellStyle name="요약 5 2 2 2 7" xfId="26005" xr:uid="{00000000-0005-0000-0000-0000F34E0000}"/>
    <cellStyle name="요약 5 2 2 2 8" xfId="29119" xr:uid="{00000000-0005-0000-0000-0000F44E0000}"/>
    <cellStyle name="요약 5 2 2 3" xfId="21373" xr:uid="{00000000-0005-0000-0000-0000F54E0000}"/>
    <cellStyle name="요약 5 2 2 3 2" xfId="24018" xr:uid="{00000000-0005-0000-0000-0000F64E0000}"/>
    <cellStyle name="요약 5 2 2 3 3" xfId="25560" xr:uid="{00000000-0005-0000-0000-0000F74E0000}"/>
    <cellStyle name="요약 5 2 2 3 4" xfId="28677" xr:uid="{00000000-0005-0000-0000-0000F84E0000}"/>
    <cellStyle name="요약 5 2 2 4" xfId="21881" xr:uid="{00000000-0005-0000-0000-0000F94E0000}"/>
    <cellStyle name="요약 5 2 2 4 2" xfId="24609" xr:uid="{00000000-0005-0000-0000-0000FA4E0000}"/>
    <cellStyle name="요약 5 2 2 4 3" xfId="26111" xr:uid="{00000000-0005-0000-0000-0000FB4E0000}"/>
    <cellStyle name="요약 5 2 2 4 4" xfId="29225" xr:uid="{00000000-0005-0000-0000-0000FC4E0000}"/>
    <cellStyle name="요약 5 2 2 5" xfId="21277" xr:uid="{00000000-0005-0000-0000-0000FD4E0000}"/>
    <cellStyle name="요약 5 2 2 5 2" xfId="23705" xr:uid="{00000000-0005-0000-0000-0000FE4E0000}"/>
    <cellStyle name="요약 5 2 2 5 3" xfId="25490" xr:uid="{00000000-0005-0000-0000-0000FF4E0000}"/>
    <cellStyle name="요약 5 2 2 5 4" xfId="28607" xr:uid="{00000000-0005-0000-0000-0000004F0000}"/>
    <cellStyle name="요약 5 2 2 6" xfId="21101" xr:uid="{00000000-0005-0000-0000-0000014F0000}"/>
    <cellStyle name="요약 5 2 2 6 2" xfId="24158" xr:uid="{00000000-0005-0000-0000-0000024F0000}"/>
    <cellStyle name="요약 5 2 2 6 3" xfId="25346" xr:uid="{00000000-0005-0000-0000-0000034F0000}"/>
    <cellStyle name="요약 5 2 2 6 4" xfId="28470" xr:uid="{00000000-0005-0000-0000-0000044F0000}"/>
    <cellStyle name="요약 5 2 2 7" xfId="21088" xr:uid="{00000000-0005-0000-0000-0000054F0000}"/>
    <cellStyle name="요약 5 2 2 7 2" xfId="24536" xr:uid="{00000000-0005-0000-0000-0000064F0000}"/>
    <cellStyle name="요약 5 2 2 7 3" xfId="25333" xr:uid="{00000000-0005-0000-0000-0000074F0000}"/>
    <cellStyle name="요약 5 2 2 7 4" xfId="28457" xr:uid="{00000000-0005-0000-0000-0000084F0000}"/>
    <cellStyle name="요약 5 2 2 8" xfId="20745" xr:uid="{00000000-0005-0000-0000-0000094F0000}"/>
    <cellStyle name="요약 5 2 2 9" xfId="19048" xr:uid="{00000000-0005-0000-0000-00000A4F0000}"/>
    <cellStyle name="요약 5 2 3" xfId="15403" xr:uid="{00000000-0005-0000-0000-00000B4F0000}"/>
    <cellStyle name="요약 5 2 3 10" xfId="28007" xr:uid="{00000000-0005-0000-0000-00000C4F0000}"/>
    <cellStyle name="요약 5 2 3 11" xfId="17561" xr:uid="{00000000-0005-0000-0000-00000D4F0000}"/>
    <cellStyle name="요약 5 2 3 2" xfId="15284" xr:uid="{00000000-0005-0000-0000-00000E4F0000}"/>
    <cellStyle name="요약 5 2 3 2 2" xfId="24618" xr:uid="{00000000-0005-0000-0000-00000F4F0000}"/>
    <cellStyle name="요약 5 2 3 2 3" xfId="25895" xr:uid="{00000000-0005-0000-0000-0000104F0000}"/>
    <cellStyle name="요약 5 2 3 2 4" xfId="29009" xr:uid="{00000000-0005-0000-0000-0000114F0000}"/>
    <cellStyle name="요약 5 2 3 2 5" xfId="21665" xr:uid="{00000000-0005-0000-0000-0000124F0000}"/>
    <cellStyle name="요약 5 2 3 3" xfId="16954" xr:uid="{00000000-0005-0000-0000-0000134F0000}"/>
    <cellStyle name="요약 5 2 3 3 2" xfId="18369" xr:uid="{00000000-0005-0000-0000-0000144F0000}"/>
    <cellStyle name="요약 5 2 3 3 3" xfId="26448" xr:uid="{00000000-0005-0000-0000-0000154F0000}"/>
    <cellStyle name="요약 5 2 3 3 4" xfId="29562" xr:uid="{00000000-0005-0000-0000-0000164F0000}"/>
    <cellStyle name="요약 5 2 3 3 5" xfId="22218" xr:uid="{00000000-0005-0000-0000-0000174F0000}"/>
    <cellStyle name="요약 5 2 3 4" xfId="16955" xr:uid="{00000000-0005-0000-0000-0000184F0000}"/>
    <cellStyle name="요약 5 2 3 4 2" xfId="19933" xr:uid="{00000000-0005-0000-0000-0000194F0000}"/>
    <cellStyle name="요약 5 2 3 4 3" xfId="26924" xr:uid="{00000000-0005-0000-0000-00001A4F0000}"/>
    <cellStyle name="요약 5 2 3 4 4" xfId="30038" xr:uid="{00000000-0005-0000-0000-00001B4F0000}"/>
    <cellStyle name="요약 5 2 3 4 5" xfId="22694" xr:uid="{00000000-0005-0000-0000-00001C4F0000}"/>
    <cellStyle name="요약 5 2 3 5" xfId="23103" xr:uid="{00000000-0005-0000-0000-00001D4F0000}"/>
    <cellStyle name="요약 5 2 3 5 2" xfId="19199" xr:uid="{00000000-0005-0000-0000-00001E4F0000}"/>
    <cellStyle name="요약 5 2 3 5 3" xfId="27333" xr:uid="{00000000-0005-0000-0000-00001F4F0000}"/>
    <cellStyle name="요약 5 2 3 5 4" xfId="30447" xr:uid="{00000000-0005-0000-0000-0000204F0000}"/>
    <cellStyle name="요약 5 2 3 6" xfId="23504" xr:uid="{00000000-0005-0000-0000-0000214F0000}"/>
    <cellStyle name="요약 5 2 3 6 2" xfId="18166" xr:uid="{00000000-0005-0000-0000-0000224F0000}"/>
    <cellStyle name="요약 5 2 3 6 3" xfId="27734" xr:uid="{00000000-0005-0000-0000-0000234F0000}"/>
    <cellStyle name="요약 5 2 3 6 4" xfId="30848" xr:uid="{00000000-0005-0000-0000-0000244F0000}"/>
    <cellStyle name="요약 5 2 3 7" xfId="20635" xr:uid="{00000000-0005-0000-0000-0000254F0000}"/>
    <cellStyle name="요약 5 2 3 8" xfId="18940" xr:uid="{00000000-0005-0000-0000-0000264F0000}"/>
    <cellStyle name="요약 5 2 3 9" xfId="24883" xr:uid="{00000000-0005-0000-0000-0000274F0000}"/>
    <cellStyle name="요약 5 2 4" xfId="17640" xr:uid="{00000000-0005-0000-0000-0000284F0000}"/>
    <cellStyle name="요약 5 2 4 2" xfId="22043" xr:uid="{00000000-0005-0000-0000-0000294F0000}"/>
    <cellStyle name="요약 5 2 4 2 2" xfId="23853" xr:uid="{00000000-0005-0000-0000-00002A4F0000}"/>
    <cellStyle name="요약 5 2 4 2 3" xfId="26273" xr:uid="{00000000-0005-0000-0000-00002B4F0000}"/>
    <cellStyle name="요약 5 2 4 2 4" xfId="29387" xr:uid="{00000000-0005-0000-0000-00002C4F0000}"/>
    <cellStyle name="요약 5 2 4 3" xfId="22516" xr:uid="{00000000-0005-0000-0000-00002D4F0000}"/>
    <cellStyle name="요약 5 2 4 3 2" xfId="19771" xr:uid="{00000000-0005-0000-0000-00002E4F0000}"/>
    <cellStyle name="요약 5 2 4 3 3" xfId="26746" xr:uid="{00000000-0005-0000-0000-00002F4F0000}"/>
    <cellStyle name="요약 5 2 4 3 4" xfId="29860" xr:uid="{00000000-0005-0000-0000-0000304F0000}"/>
    <cellStyle name="요약 5 2 4 4" xfId="22961" xr:uid="{00000000-0005-0000-0000-0000314F0000}"/>
    <cellStyle name="요약 5 2 4 4 2" xfId="20180" xr:uid="{00000000-0005-0000-0000-0000324F0000}"/>
    <cellStyle name="요약 5 2 4 4 3" xfId="27191" xr:uid="{00000000-0005-0000-0000-0000334F0000}"/>
    <cellStyle name="요약 5 2 4 4 4" xfId="30305" xr:uid="{00000000-0005-0000-0000-0000344F0000}"/>
    <cellStyle name="요약 5 2 4 5" xfId="23334" xr:uid="{00000000-0005-0000-0000-0000354F0000}"/>
    <cellStyle name="요약 5 2 4 5 2" xfId="23829" xr:uid="{00000000-0005-0000-0000-0000364F0000}"/>
    <cellStyle name="요약 5 2 4 5 3" xfId="27564" xr:uid="{00000000-0005-0000-0000-0000374F0000}"/>
    <cellStyle name="요약 5 2 4 5 4" xfId="30678" xr:uid="{00000000-0005-0000-0000-0000384F0000}"/>
    <cellStyle name="요약 5 2 4 6" xfId="19533" xr:uid="{00000000-0005-0000-0000-0000394F0000}"/>
    <cellStyle name="요약 5 2 4 7" xfId="25722" xr:uid="{00000000-0005-0000-0000-00003A4F0000}"/>
    <cellStyle name="요약 5 2 4 8" xfId="28839" xr:uid="{00000000-0005-0000-0000-00003B4F0000}"/>
    <cellStyle name="요약 5 2 5" xfId="20918" xr:uid="{00000000-0005-0000-0000-00003C4F0000}"/>
    <cellStyle name="요약 5 2 5 2" xfId="24347" xr:uid="{00000000-0005-0000-0000-00003D4F0000}"/>
    <cellStyle name="요약 5 2 5 3" xfId="25169" xr:uid="{00000000-0005-0000-0000-00003E4F0000}"/>
    <cellStyle name="요약 5 2 5 4" xfId="28293" xr:uid="{00000000-0005-0000-0000-00003F4F0000}"/>
    <cellStyle name="요약 5 2 6" xfId="18766" xr:uid="{00000000-0005-0000-0000-0000404F0000}"/>
    <cellStyle name="요약 5 2 7" xfId="18546" xr:uid="{00000000-0005-0000-0000-0000414F0000}"/>
    <cellStyle name="요약 5 2 8" xfId="18677" xr:uid="{00000000-0005-0000-0000-0000424F0000}"/>
    <cellStyle name="요약 5 2 9" xfId="17267" xr:uid="{00000000-0005-0000-0000-0000434F0000}"/>
    <cellStyle name="요약 5 3" xfId="12133" xr:uid="{00000000-0005-0000-0000-0000444F0000}"/>
    <cellStyle name="요약 5 3 2" xfId="14778" xr:uid="{00000000-0005-0000-0000-0000454F0000}"/>
    <cellStyle name="요약 5 3 2 10" xfId="24994" xr:uid="{00000000-0005-0000-0000-0000464F0000}"/>
    <cellStyle name="요약 5 3 2 11" xfId="28118" xr:uid="{00000000-0005-0000-0000-0000474F0000}"/>
    <cellStyle name="요약 5 3 2 12" xfId="31094" xr:uid="{00000000-0005-0000-0000-0000484F0000}"/>
    <cellStyle name="요약 5 3 2 13" xfId="17474" xr:uid="{00000000-0005-0000-0000-0000494F0000}"/>
    <cellStyle name="요약 5 3 2 2" xfId="21776" xr:uid="{00000000-0005-0000-0000-00004A4F0000}"/>
    <cellStyle name="요약 5 3 2 2 2" xfId="22329" xr:uid="{00000000-0005-0000-0000-00004B4F0000}"/>
    <cellStyle name="요약 5 3 2 2 2 2" xfId="19602" xr:uid="{00000000-0005-0000-0000-00004C4F0000}"/>
    <cellStyle name="요약 5 3 2 2 2 3" xfId="26559" xr:uid="{00000000-0005-0000-0000-00004D4F0000}"/>
    <cellStyle name="요약 5 3 2 2 2 4" xfId="29673" xr:uid="{00000000-0005-0000-0000-00004E4F0000}"/>
    <cellStyle name="요약 5 3 2 2 3" xfId="22805" xr:uid="{00000000-0005-0000-0000-00004F4F0000}"/>
    <cellStyle name="요약 5 3 2 2 3 2" xfId="20035" xr:uid="{00000000-0005-0000-0000-0000504F0000}"/>
    <cellStyle name="요약 5 3 2 2 3 3" xfId="27035" xr:uid="{00000000-0005-0000-0000-0000514F0000}"/>
    <cellStyle name="요약 5 3 2 2 3 4" xfId="30149" xr:uid="{00000000-0005-0000-0000-0000524F0000}"/>
    <cellStyle name="요약 5 3 2 2 4" xfId="23188" xr:uid="{00000000-0005-0000-0000-0000534F0000}"/>
    <cellStyle name="요약 5 3 2 2 4 2" xfId="19278" xr:uid="{00000000-0005-0000-0000-0000544F0000}"/>
    <cellStyle name="요약 5 3 2 2 4 3" xfId="27418" xr:uid="{00000000-0005-0000-0000-0000554F0000}"/>
    <cellStyle name="요약 5 3 2 2 4 4" xfId="30532" xr:uid="{00000000-0005-0000-0000-0000564F0000}"/>
    <cellStyle name="요약 5 3 2 2 5" xfId="23615" xr:uid="{00000000-0005-0000-0000-0000574F0000}"/>
    <cellStyle name="요약 5 3 2 2 5 2" xfId="18270" xr:uid="{00000000-0005-0000-0000-0000584F0000}"/>
    <cellStyle name="요약 5 3 2 2 5 3" xfId="27845" xr:uid="{00000000-0005-0000-0000-0000594F0000}"/>
    <cellStyle name="요약 5 3 2 2 5 4" xfId="30959" xr:uid="{00000000-0005-0000-0000-00005A4F0000}"/>
    <cellStyle name="요약 5 3 2 2 6" xfId="24282" xr:uid="{00000000-0005-0000-0000-00005B4F0000}"/>
    <cellStyle name="요약 5 3 2 2 7" xfId="26006" xr:uid="{00000000-0005-0000-0000-00005C4F0000}"/>
    <cellStyle name="요약 5 3 2 2 8" xfId="29120" xr:uid="{00000000-0005-0000-0000-00005D4F0000}"/>
    <cellStyle name="요약 5 3 2 3" xfId="21374" xr:uid="{00000000-0005-0000-0000-00005E4F0000}"/>
    <cellStyle name="요약 5 3 2 3 2" xfId="23902" xr:uid="{00000000-0005-0000-0000-00005F4F0000}"/>
    <cellStyle name="요약 5 3 2 3 3" xfId="25561" xr:uid="{00000000-0005-0000-0000-0000604F0000}"/>
    <cellStyle name="요약 5 3 2 3 4" xfId="28678" xr:uid="{00000000-0005-0000-0000-0000614F0000}"/>
    <cellStyle name="요약 5 3 2 4" xfId="21882" xr:uid="{00000000-0005-0000-0000-0000624F0000}"/>
    <cellStyle name="요약 5 3 2 4 2" xfId="24482" xr:uid="{00000000-0005-0000-0000-0000634F0000}"/>
    <cellStyle name="요약 5 3 2 4 3" xfId="26112" xr:uid="{00000000-0005-0000-0000-0000644F0000}"/>
    <cellStyle name="요약 5 3 2 4 4" xfId="29226" xr:uid="{00000000-0005-0000-0000-0000654F0000}"/>
    <cellStyle name="요약 5 3 2 5" xfId="21278" xr:uid="{00000000-0005-0000-0000-0000664F0000}"/>
    <cellStyle name="요약 5 3 2 5 2" xfId="24663" xr:uid="{00000000-0005-0000-0000-0000674F0000}"/>
    <cellStyle name="요약 5 3 2 5 3" xfId="25491" xr:uid="{00000000-0005-0000-0000-0000684F0000}"/>
    <cellStyle name="요약 5 3 2 5 4" xfId="28608" xr:uid="{00000000-0005-0000-0000-0000694F0000}"/>
    <cellStyle name="요약 5 3 2 6" xfId="21053" xr:uid="{00000000-0005-0000-0000-00006A4F0000}"/>
    <cellStyle name="요약 5 3 2 6 2" xfId="23962" xr:uid="{00000000-0005-0000-0000-00006B4F0000}"/>
    <cellStyle name="요약 5 3 2 6 3" xfId="25298" xr:uid="{00000000-0005-0000-0000-00006C4F0000}"/>
    <cellStyle name="요약 5 3 2 6 4" xfId="28422" xr:uid="{00000000-0005-0000-0000-00006D4F0000}"/>
    <cellStyle name="요약 5 3 2 7" xfId="20978" xr:uid="{00000000-0005-0000-0000-00006E4F0000}"/>
    <cellStyle name="요약 5 3 2 7 2" xfId="24164" xr:uid="{00000000-0005-0000-0000-00006F4F0000}"/>
    <cellStyle name="요약 5 3 2 7 3" xfId="25226" xr:uid="{00000000-0005-0000-0000-0000704F0000}"/>
    <cellStyle name="요약 5 3 2 7 4" xfId="28350" xr:uid="{00000000-0005-0000-0000-0000714F0000}"/>
    <cellStyle name="요약 5 3 2 8" xfId="20746" xr:uid="{00000000-0005-0000-0000-0000724F0000}"/>
    <cellStyle name="요약 5 3 2 9" xfId="19049" xr:uid="{00000000-0005-0000-0000-0000734F0000}"/>
    <cellStyle name="요약 5 3 3" xfId="15404" xr:uid="{00000000-0005-0000-0000-0000744F0000}"/>
    <cellStyle name="요약 5 3 3 10" xfId="28008" xr:uid="{00000000-0005-0000-0000-0000754F0000}"/>
    <cellStyle name="요약 5 3 3 11" xfId="17560" xr:uid="{00000000-0005-0000-0000-0000764F0000}"/>
    <cellStyle name="요약 5 3 3 2" xfId="15283" xr:uid="{00000000-0005-0000-0000-0000774F0000}"/>
    <cellStyle name="요약 5 3 3 2 2" xfId="24491" xr:uid="{00000000-0005-0000-0000-0000784F0000}"/>
    <cellStyle name="요약 5 3 3 2 3" xfId="25896" xr:uid="{00000000-0005-0000-0000-0000794F0000}"/>
    <cellStyle name="요약 5 3 3 2 4" xfId="29010" xr:uid="{00000000-0005-0000-0000-00007A4F0000}"/>
    <cellStyle name="요약 5 3 3 2 5" xfId="21666" xr:uid="{00000000-0005-0000-0000-00007B4F0000}"/>
    <cellStyle name="요약 5 3 3 3" xfId="16956" xr:uid="{00000000-0005-0000-0000-00007C4F0000}"/>
    <cellStyle name="요약 5 3 3 3 2" xfId="18370" xr:uid="{00000000-0005-0000-0000-00007D4F0000}"/>
    <cellStyle name="요약 5 3 3 3 3" xfId="26449" xr:uid="{00000000-0005-0000-0000-00007E4F0000}"/>
    <cellStyle name="요약 5 3 3 3 4" xfId="29563" xr:uid="{00000000-0005-0000-0000-00007F4F0000}"/>
    <cellStyle name="요약 5 3 3 3 5" xfId="22219" xr:uid="{00000000-0005-0000-0000-0000804F0000}"/>
    <cellStyle name="요약 5 3 3 4" xfId="16957" xr:uid="{00000000-0005-0000-0000-0000814F0000}"/>
    <cellStyle name="요약 5 3 3 4 2" xfId="19934" xr:uid="{00000000-0005-0000-0000-0000824F0000}"/>
    <cellStyle name="요약 5 3 3 4 3" xfId="26925" xr:uid="{00000000-0005-0000-0000-0000834F0000}"/>
    <cellStyle name="요약 5 3 3 4 4" xfId="30039" xr:uid="{00000000-0005-0000-0000-0000844F0000}"/>
    <cellStyle name="요약 5 3 3 4 5" xfId="22695" xr:uid="{00000000-0005-0000-0000-0000854F0000}"/>
    <cellStyle name="요약 5 3 3 5" xfId="23104" xr:uid="{00000000-0005-0000-0000-0000864F0000}"/>
    <cellStyle name="요약 5 3 3 5 2" xfId="19200" xr:uid="{00000000-0005-0000-0000-0000874F0000}"/>
    <cellStyle name="요약 5 3 3 5 3" xfId="27334" xr:uid="{00000000-0005-0000-0000-0000884F0000}"/>
    <cellStyle name="요약 5 3 3 5 4" xfId="30448" xr:uid="{00000000-0005-0000-0000-0000894F0000}"/>
    <cellStyle name="요약 5 3 3 6" xfId="23505" xr:uid="{00000000-0005-0000-0000-00008A4F0000}"/>
    <cellStyle name="요약 5 3 3 6 2" xfId="18167" xr:uid="{00000000-0005-0000-0000-00008B4F0000}"/>
    <cellStyle name="요약 5 3 3 6 3" xfId="27735" xr:uid="{00000000-0005-0000-0000-00008C4F0000}"/>
    <cellStyle name="요약 5 3 3 6 4" xfId="30849" xr:uid="{00000000-0005-0000-0000-00008D4F0000}"/>
    <cellStyle name="요약 5 3 3 7" xfId="20636" xr:uid="{00000000-0005-0000-0000-00008E4F0000}"/>
    <cellStyle name="요약 5 3 3 8" xfId="18941" xr:uid="{00000000-0005-0000-0000-00008F4F0000}"/>
    <cellStyle name="요약 5 3 3 9" xfId="24884" xr:uid="{00000000-0005-0000-0000-0000904F0000}"/>
    <cellStyle name="요약 5 3 4" xfId="17639" xr:uid="{00000000-0005-0000-0000-0000914F0000}"/>
    <cellStyle name="요약 5 3 4 2" xfId="22044" xr:uid="{00000000-0005-0000-0000-0000924F0000}"/>
    <cellStyle name="요약 5 3 4 2 2" xfId="23805" xr:uid="{00000000-0005-0000-0000-0000934F0000}"/>
    <cellStyle name="요약 5 3 4 2 3" xfId="26274" xr:uid="{00000000-0005-0000-0000-0000944F0000}"/>
    <cellStyle name="요약 5 3 4 2 4" xfId="29388" xr:uid="{00000000-0005-0000-0000-0000954F0000}"/>
    <cellStyle name="요약 5 3 4 3" xfId="22517" xr:uid="{00000000-0005-0000-0000-0000964F0000}"/>
    <cellStyle name="요약 5 3 4 3 2" xfId="19772" xr:uid="{00000000-0005-0000-0000-0000974F0000}"/>
    <cellStyle name="요약 5 3 4 3 3" xfId="26747" xr:uid="{00000000-0005-0000-0000-0000984F0000}"/>
    <cellStyle name="요약 5 3 4 3 4" xfId="29861" xr:uid="{00000000-0005-0000-0000-0000994F0000}"/>
    <cellStyle name="요약 5 3 4 4" xfId="22962" xr:uid="{00000000-0005-0000-0000-00009A4F0000}"/>
    <cellStyle name="요약 5 3 4 4 2" xfId="20181" xr:uid="{00000000-0005-0000-0000-00009B4F0000}"/>
    <cellStyle name="요약 5 3 4 4 3" xfId="27192" xr:uid="{00000000-0005-0000-0000-00009C4F0000}"/>
    <cellStyle name="요약 5 3 4 4 4" xfId="30306" xr:uid="{00000000-0005-0000-0000-00009D4F0000}"/>
    <cellStyle name="요약 5 3 4 5" xfId="23335" xr:uid="{00000000-0005-0000-0000-00009E4F0000}"/>
    <cellStyle name="요약 5 3 4 5 2" xfId="20374" xr:uid="{00000000-0005-0000-0000-00009F4F0000}"/>
    <cellStyle name="요약 5 3 4 5 3" xfId="27565" xr:uid="{00000000-0005-0000-0000-0000A04F0000}"/>
    <cellStyle name="요약 5 3 4 5 4" xfId="30679" xr:uid="{00000000-0005-0000-0000-0000A14F0000}"/>
    <cellStyle name="요약 5 3 4 6" xfId="19534" xr:uid="{00000000-0005-0000-0000-0000A24F0000}"/>
    <cellStyle name="요약 5 3 4 7" xfId="25723" xr:uid="{00000000-0005-0000-0000-0000A34F0000}"/>
    <cellStyle name="요약 5 3 4 8" xfId="28840" xr:uid="{00000000-0005-0000-0000-0000A44F0000}"/>
    <cellStyle name="요약 5 3 5" xfId="20919" xr:uid="{00000000-0005-0000-0000-0000A54F0000}"/>
    <cellStyle name="요약 5 3 5 2" xfId="24167" xr:uid="{00000000-0005-0000-0000-0000A64F0000}"/>
    <cellStyle name="요약 5 3 5 3" xfId="25170" xr:uid="{00000000-0005-0000-0000-0000A74F0000}"/>
    <cellStyle name="요약 5 3 5 4" xfId="28294" xr:uid="{00000000-0005-0000-0000-0000A84F0000}"/>
    <cellStyle name="요약 5 3 6" xfId="18767" xr:uid="{00000000-0005-0000-0000-0000A94F0000}"/>
    <cellStyle name="요약 5 3 7" xfId="18545" xr:uid="{00000000-0005-0000-0000-0000AA4F0000}"/>
    <cellStyle name="요약 5 3 8" xfId="18678" xr:uid="{00000000-0005-0000-0000-0000AB4F0000}"/>
    <cellStyle name="요약 5 3 9" xfId="17268" xr:uid="{00000000-0005-0000-0000-0000AC4F0000}"/>
    <cellStyle name="요약 5 4" xfId="12134" xr:uid="{00000000-0005-0000-0000-0000AD4F0000}"/>
    <cellStyle name="요약 5 4 2" xfId="14779" xr:uid="{00000000-0005-0000-0000-0000AE4F0000}"/>
    <cellStyle name="요약 5 4 2 10" xfId="24995" xr:uid="{00000000-0005-0000-0000-0000AF4F0000}"/>
    <cellStyle name="요약 5 4 2 11" xfId="28119" xr:uid="{00000000-0005-0000-0000-0000B04F0000}"/>
    <cellStyle name="요약 5 4 2 12" xfId="31095" xr:uid="{00000000-0005-0000-0000-0000B14F0000}"/>
    <cellStyle name="요약 5 4 2 13" xfId="17473" xr:uid="{00000000-0005-0000-0000-0000B24F0000}"/>
    <cellStyle name="요약 5 4 2 2" xfId="21777" xr:uid="{00000000-0005-0000-0000-0000B34F0000}"/>
    <cellStyle name="요약 5 4 2 2 2" xfId="22330" xr:uid="{00000000-0005-0000-0000-0000B44F0000}"/>
    <cellStyle name="요약 5 4 2 2 2 2" xfId="19603" xr:uid="{00000000-0005-0000-0000-0000B54F0000}"/>
    <cellStyle name="요약 5 4 2 2 2 3" xfId="26560" xr:uid="{00000000-0005-0000-0000-0000B64F0000}"/>
    <cellStyle name="요약 5 4 2 2 2 4" xfId="29674" xr:uid="{00000000-0005-0000-0000-0000B74F0000}"/>
    <cellStyle name="요약 5 4 2 2 3" xfId="22806" xr:uid="{00000000-0005-0000-0000-0000B84F0000}"/>
    <cellStyle name="요약 5 4 2 2 3 2" xfId="20036" xr:uid="{00000000-0005-0000-0000-0000B94F0000}"/>
    <cellStyle name="요약 5 4 2 2 3 3" xfId="27036" xr:uid="{00000000-0005-0000-0000-0000BA4F0000}"/>
    <cellStyle name="요약 5 4 2 2 3 4" xfId="30150" xr:uid="{00000000-0005-0000-0000-0000BB4F0000}"/>
    <cellStyle name="요약 5 4 2 2 4" xfId="23189" xr:uid="{00000000-0005-0000-0000-0000BC4F0000}"/>
    <cellStyle name="요약 5 4 2 2 4 2" xfId="19279" xr:uid="{00000000-0005-0000-0000-0000BD4F0000}"/>
    <cellStyle name="요약 5 4 2 2 4 3" xfId="27419" xr:uid="{00000000-0005-0000-0000-0000BE4F0000}"/>
    <cellStyle name="요약 5 4 2 2 4 4" xfId="30533" xr:uid="{00000000-0005-0000-0000-0000BF4F0000}"/>
    <cellStyle name="요약 5 4 2 2 5" xfId="23616" xr:uid="{00000000-0005-0000-0000-0000C04F0000}"/>
    <cellStyle name="요약 5 4 2 2 5 2" xfId="18271" xr:uid="{00000000-0005-0000-0000-0000C14F0000}"/>
    <cellStyle name="요약 5 4 2 2 5 3" xfId="27846" xr:uid="{00000000-0005-0000-0000-0000C24F0000}"/>
    <cellStyle name="요약 5 4 2 2 5 4" xfId="30960" xr:uid="{00000000-0005-0000-0000-0000C34F0000}"/>
    <cellStyle name="요약 5 4 2 2 6" xfId="24100" xr:uid="{00000000-0005-0000-0000-0000C44F0000}"/>
    <cellStyle name="요약 5 4 2 2 7" xfId="26007" xr:uid="{00000000-0005-0000-0000-0000C54F0000}"/>
    <cellStyle name="요약 5 4 2 2 8" xfId="29121" xr:uid="{00000000-0005-0000-0000-0000C64F0000}"/>
    <cellStyle name="요약 5 4 2 3" xfId="21375" xr:uid="{00000000-0005-0000-0000-0000C74F0000}"/>
    <cellStyle name="요약 5 4 2 3 2" xfId="24527" xr:uid="{00000000-0005-0000-0000-0000C84F0000}"/>
    <cellStyle name="요약 5 4 2 3 3" xfId="25562" xr:uid="{00000000-0005-0000-0000-0000C94F0000}"/>
    <cellStyle name="요약 5 4 2 3 4" xfId="28679" xr:uid="{00000000-0005-0000-0000-0000CA4F0000}"/>
    <cellStyle name="요약 5 4 2 4" xfId="21883" xr:uid="{00000000-0005-0000-0000-0000CB4F0000}"/>
    <cellStyle name="요약 5 4 2 4 2" xfId="24309" xr:uid="{00000000-0005-0000-0000-0000CC4F0000}"/>
    <cellStyle name="요약 5 4 2 4 3" xfId="26113" xr:uid="{00000000-0005-0000-0000-0000CD4F0000}"/>
    <cellStyle name="요약 5 4 2 4 4" xfId="29227" xr:uid="{00000000-0005-0000-0000-0000CE4F0000}"/>
    <cellStyle name="요약 5 4 2 5" xfId="21279" xr:uid="{00000000-0005-0000-0000-0000CF4F0000}"/>
    <cellStyle name="요약 5 4 2 5 2" xfId="24401" xr:uid="{00000000-0005-0000-0000-0000D04F0000}"/>
    <cellStyle name="요약 5 4 2 5 3" xfId="25492" xr:uid="{00000000-0005-0000-0000-0000D14F0000}"/>
    <cellStyle name="요약 5 4 2 5 4" xfId="28609" xr:uid="{00000000-0005-0000-0000-0000D24F0000}"/>
    <cellStyle name="요약 5 4 2 6" xfId="21010" xr:uid="{00000000-0005-0000-0000-0000D34F0000}"/>
    <cellStyle name="요약 5 4 2 6 2" xfId="23964" xr:uid="{00000000-0005-0000-0000-0000D44F0000}"/>
    <cellStyle name="요약 5 4 2 6 3" xfId="25255" xr:uid="{00000000-0005-0000-0000-0000D54F0000}"/>
    <cellStyle name="요약 5 4 2 6 4" xfId="28379" xr:uid="{00000000-0005-0000-0000-0000D64F0000}"/>
    <cellStyle name="요약 5 4 2 7" xfId="21086" xr:uid="{00000000-0005-0000-0000-0000D74F0000}"/>
    <cellStyle name="요약 5 4 2 7 2" xfId="24027" xr:uid="{00000000-0005-0000-0000-0000D84F0000}"/>
    <cellStyle name="요약 5 4 2 7 3" xfId="25331" xr:uid="{00000000-0005-0000-0000-0000D94F0000}"/>
    <cellStyle name="요약 5 4 2 7 4" xfId="28455" xr:uid="{00000000-0005-0000-0000-0000DA4F0000}"/>
    <cellStyle name="요약 5 4 2 8" xfId="20747" xr:uid="{00000000-0005-0000-0000-0000DB4F0000}"/>
    <cellStyle name="요약 5 4 2 9" xfId="19050" xr:uid="{00000000-0005-0000-0000-0000DC4F0000}"/>
    <cellStyle name="요약 5 4 3" xfId="15405" xr:uid="{00000000-0005-0000-0000-0000DD4F0000}"/>
    <cellStyle name="요약 5 4 3 10" xfId="28009" xr:uid="{00000000-0005-0000-0000-0000DE4F0000}"/>
    <cellStyle name="요약 5 4 3 11" xfId="17559" xr:uid="{00000000-0005-0000-0000-0000DF4F0000}"/>
    <cellStyle name="요약 5 4 3 2" xfId="15282" xr:uid="{00000000-0005-0000-0000-0000E04F0000}"/>
    <cellStyle name="요약 5 4 3 2 2" xfId="24318" xr:uid="{00000000-0005-0000-0000-0000E14F0000}"/>
    <cellStyle name="요약 5 4 3 2 3" xfId="25897" xr:uid="{00000000-0005-0000-0000-0000E24F0000}"/>
    <cellStyle name="요약 5 4 3 2 4" xfId="29011" xr:uid="{00000000-0005-0000-0000-0000E34F0000}"/>
    <cellStyle name="요약 5 4 3 2 5" xfId="21667" xr:uid="{00000000-0005-0000-0000-0000E44F0000}"/>
    <cellStyle name="요약 5 4 3 3" xfId="16958" xr:uid="{00000000-0005-0000-0000-0000E54F0000}"/>
    <cellStyle name="요약 5 4 3 3 2" xfId="18371" xr:uid="{00000000-0005-0000-0000-0000E64F0000}"/>
    <cellStyle name="요약 5 4 3 3 3" xfId="26450" xr:uid="{00000000-0005-0000-0000-0000E74F0000}"/>
    <cellStyle name="요약 5 4 3 3 4" xfId="29564" xr:uid="{00000000-0005-0000-0000-0000E84F0000}"/>
    <cellStyle name="요약 5 4 3 3 5" xfId="22220" xr:uid="{00000000-0005-0000-0000-0000E94F0000}"/>
    <cellStyle name="요약 5 4 3 4" xfId="16959" xr:uid="{00000000-0005-0000-0000-0000EA4F0000}"/>
    <cellStyle name="요약 5 4 3 4 2" xfId="19935" xr:uid="{00000000-0005-0000-0000-0000EB4F0000}"/>
    <cellStyle name="요약 5 4 3 4 3" xfId="26926" xr:uid="{00000000-0005-0000-0000-0000EC4F0000}"/>
    <cellStyle name="요약 5 4 3 4 4" xfId="30040" xr:uid="{00000000-0005-0000-0000-0000ED4F0000}"/>
    <cellStyle name="요약 5 4 3 4 5" xfId="22696" xr:uid="{00000000-0005-0000-0000-0000EE4F0000}"/>
    <cellStyle name="요약 5 4 3 5" xfId="23105" xr:uid="{00000000-0005-0000-0000-0000EF4F0000}"/>
    <cellStyle name="요약 5 4 3 5 2" xfId="19201" xr:uid="{00000000-0005-0000-0000-0000F04F0000}"/>
    <cellStyle name="요약 5 4 3 5 3" xfId="27335" xr:uid="{00000000-0005-0000-0000-0000F14F0000}"/>
    <cellStyle name="요약 5 4 3 5 4" xfId="30449" xr:uid="{00000000-0005-0000-0000-0000F24F0000}"/>
    <cellStyle name="요약 5 4 3 6" xfId="23506" xr:uid="{00000000-0005-0000-0000-0000F34F0000}"/>
    <cellStyle name="요약 5 4 3 6 2" xfId="18168" xr:uid="{00000000-0005-0000-0000-0000F44F0000}"/>
    <cellStyle name="요약 5 4 3 6 3" xfId="27736" xr:uid="{00000000-0005-0000-0000-0000F54F0000}"/>
    <cellStyle name="요약 5 4 3 6 4" xfId="30850" xr:uid="{00000000-0005-0000-0000-0000F64F0000}"/>
    <cellStyle name="요약 5 4 3 7" xfId="20637" xr:uid="{00000000-0005-0000-0000-0000F74F0000}"/>
    <cellStyle name="요약 5 4 3 8" xfId="18942" xr:uid="{00000000-0005-0000-0000-0000F84F0000}"/>
    <cellStyle name="요약 5 4 3 9" xfId="24885" xr:uid="{00000000-0005-0000-0000-0000F94F0000}"/>
    <cellStyle name="요약 5 4 4" xfId="17638" xr:uid="{00000000-0005-0000-0000-0000FA4F0000}"/>
    <cellStyle name="요약 5 4 4 2" xfId="22045" xr:uid="{00000000-0005-0000-0000-0000FB4F0000}"/>
    <cellStyle name="요약 5 4 4 2 2" xfId="23877" xr:uid="{00000000-0005-0000-0000-0000FC4F0000}"/>
    <cellStyle name="요약 5 4 4 2 3" xfId="26275" xr:uid="{00000000-0005-0000-0000-0000FD4F0000}"/>
    <cellStyle name="요약 5 4 4 2 4" xfId="29389" xr:uid="{00000000-0005-0000-0000-0000FE4F0000}"/>
    <cellStyle name="요약 5 4 4 3" xfId="22518" xr:uid="{00000000-0005-0000-0000-0000FF4F0000}"/>
    <cellStyle name="요약 5 4 4 3 2" xfId="19773" xr:uid="{00000000-0005-0000-0000-000000500000}"/>
    <cellStyle name="요약 5 4 4 3 3" xfId="26748" xr:uid="{00000000-0005-0000-0000-000001500000}"/>
    <cellStyle name="요약 5 4 4 3 4" xfId="29862" xr:uid="{00000000-0005-0000-0000-000002500000}"/>
    <cellStyle name="요약 5 4 4 4" xfId="22963" xr:uid="{00000000-0005-0000-0000-000003500000}"/>
    <cellStyle name="요약 5 4 4 4 2" xfId="20182" xr:uid="{00000000-0005-0000-0000-000004500000}"/>
    <cellStyle name="요약 5 4 4 4 3" xfId="27193" xr:uid="{00000000-0005-0000-0000-000005500000}"/>
    <cellStyle name="요약 5 4 4 4 4" xfId="30307" xr:uid="{00000000-0005-0000-0000-000006500000}"/>
    <cellStyle name="요약 5 4 4 5" xfId="23336" xr:uid="{00000000-0005-0000-0000-000007500000}"/>
    <cellStyle name="요약 5 4 4 5 2" xfId="20375" xr:uid="{00000000-0005-0000-0000-000008500000}"/>
    <cellStyle name="요약 5 4 4 5 3" xfId="27566" xr:uid="{00000000-0005-0000-0000-000009500000}"/>
    <cellStyle name="요약 5 4 4 5 4" xfId="30680" xr:uid="{00000000-0005-0000-0000-00000A500000}"/>
    <cellStyle name="요약 5 4 4 6" xfId="23947" xr:uid="{00000000-0005-0000-0000-00000B500000}"/>
    <cellStyle name="요약 5 4 4 7" xfId="25724" xr:uid="{00000000-0005-0000-0000-00000C500000}"/>
    <cellStyle name="요약 5 4 4 8" xfId="28841" xr:uid="{00000000-0005-0000-0000-00000D500000}"/>
    <cellStyle name="요약 5 4 5" xfId="20920" xr:uid="{00000000-0005-0000-0000-00000E500000}"/>
    <cellStyle name="요약 5 4 5 2" xfId="23696" xr:uid="{00000000-0005-0000-0000-00000F500000}"/>
    <cellStyle name="요약 5 4 5 3" xfId="25171" xr:uid="{00000000-0005-0000-0000-000010500000}"/>
    <cellStyle name="요약 5 4 5 4" xfId="28295" xr:uid="{00000000-0005-0000-0000-000011500000}"/>
    <cellStyle name="요약 5 4 6" xfId="18768" xr:uid="{00000000-0005-0000-0000-000012500000}"/>
    <cellStyle name="요약 5 4 7" xfId="18544" xr:uid="{00000000-0005-0000-0000-000013500000}"/>
    <cellStyle name="요약 5 4 8" xfId="18680" xr:uid="{00000000-0005-0000-0000-000014500000}"/>
    <cellStyle name="요약 5 4 9" xfId="17269" xr:uid="{00000000-0005-0000-0000-000015500000}"/>
    <cellStyle name="요약 5 5" xfId="12135" xr:uid="{00000000-0005-0000-0000-000016500000}"/>
    <cellStyle name="요약 5 5 2" xfId="14780" xr:uid="{00000000-0005-0000-0000-000017500000}"/>
    <cellStyle name="요약 5 5 2 10" xfId="24996" xr:uid="{00000000-0005-0000-0000-000018500000}"/>
    <cellStyle name="요약 5 5 2 11" xfId="28120" xr:uid="{00000000-0005-0000-0000-000019500000}"/>
    <cellStyle name="요약 5 5 2 12" xfId="31096" xr:uid="{00000000-0005-0000-0000-00001A500000}"/>
    <cellStyle name="요약 5 5 2 13" xfId="17472" xr:uid="{00000000-0005-0000-0000-00001B500000}"/>
    <cellStyle name="요약 5 5 2 2" xfId="21778" xr:uid="{00000000-0005-0000-0000-00001C500000}"/>
    <cellStyle name="요약 5 5 2 2 2" xfId="22331" xr:uid="{00000000-0005-0000-0000-00001D500000}"/>
    <cellStyle name="요약 5 5 2 2 2 2" xfId="19383" xr:uid="{00000000-0005-0000-0000-00001E500000}"/>
    <cellStyle name="요약 5 5 2 2 2 3" xfId="26561" xr:uid="{00000000-0005-0000-0000-00001F500000}"/>
    <cellStyle name="요약 5 5 2 2 2 4" xfId="29675" xr:uid="{00000000-0005-0000-0000-000020500000}"/>
    <cellStyle name="요약 5 5 2 2 3" xfId="22807" xr:uid="{00000000-0005-0000-0000-000021500000}"/>
    <cellStyle name="요약 5 5 2 2 3 2" xfId="20037" xr:uid="{00000000-0005-0000-0000-000022500000}"/>
    <cellStyle name="요약 5 5 2 2 3 3" xfId="27037" xr:uid="{00000000-0005-0000-0000-000023500000}"/>
    <cellStyle name="요약 5 5 2 2 3 4" xfId="30151" xr:uid="{00000000-0005-0000-0000-000024500000}"/>
    <cellStyle name="요약 5 5 2 2 4" xfId="23190" xr:uid="{00000000-0005-0000-0000-000025500000}"/>
    <cellStyle name="요약 5 5 2 2 4 2" xfId="19280" xr:uid="{00000000-0005-0000-0000-000026500000}"/>
    <cellStyle name="요약 5 5 2 2 4 3" xfId="27420" xr:uid="{00000000-0005-0000-0000-000027500000}"/>
    <cellStyle name="요약 5 5 2 2 4 4" xfId="30534" xr:uid="{00000000-0005-0000-0000-000028500000}"/>
    <cellStyle name="요약 5 5 2 2 5" xfId="23617" xr:uid="{00000000-0005-0000-0000-000029500000}"/>
    <cellStyle name="요약 5 5 2 2 5 2" xfId="18272" xr:uid="{00000000-0005-0000-0000-00002A500000}"/>
    <cellStyle name="요약 5 5 2 2 5 3" xfId="27847" xr:uid="{00000000-0005-0000-0000-00002B500000}"/>
    <cellStyle name="요약 5 5 2 2 5 4" xfId="30961" xr:uid="{00000000-0005-0000-0000-00002C500000}"/>
    <cellStyle name="요약 5 5 2 2 6" xfId="19336" xr:uid="{00000000-0005-0000-0000-00002D500000}"/>
    <cellStyle name="요약 5 5 2 2 7" xfId="26008" xr:uid="{00000000-0005-0000-0000-00002E500000}"/>
    <cellStyle name="요약 5 5 2 2 8" xfId="29122" xr:uid="{00000000-0005-0000-0000-00002F500000}"/>
    <cellStyle name="요약 5 5 2 3" xfId="21376" xr:uid="{00000000-0005-0000-0000-000030500000}"/>
    <cellStyle name="요약 5 5 2 3 2" xfId="24352" xr:uid="{00000000-0005-0000-0000-000031500000}"/>
    <cellStyle name="요약 5 5 2 3 3" xfId="25563" xr:uid="{00000000-0005-0000-0000-000032500000}"/>
    <cellStyle name="요약 5 5 2 3 4" xfId="28680" xr:uid="{00000000-0005-0000-0000-000033500000}"/>
    <cellStyle name="요약 5 5 2 4" xfId="21884" xr:uid="{00000000-0005-0000-0000-000034500000}"/>
    <cellStyle name="요약 5 5 2 4 2" xfId="24127" xr:uid="{00000000-0005-0000-0000-000035500000}"/>
    <cellStyle name="요약 5 5 2 4 3" xfId="26114" xr:uid="{00000000-0005-0000-0000-000036500000}"/>
    <cellStyle name="요약 5 5 2 4 4" xfId="29228" xr:uid="{00000000-0005-0000-0000-000037500000}"/>
    <cellStyle name="요약 5 5 2 5" xfId="21280" xr:uid="{00000000-0005-0000-0000-000038500000}"/>
    <cellStyle name="요약 5 5 2 5 2" xfId="24230" xr:uid="{00000000-0005-0000-0000-000039500000}"/>
    <cellStyle name="요약 5 5 2 5 3" xfId="25493" xr:uid="{00000000-0005-0000-0000-00003A500000}"/>
    <cellStyle name="요약 5 5 2 5 4" xfId="28610" xr:uid="{00000000-0005-0000-0000-00003B500000}"/>
    <cellStyle name="요약 5 5 2 6" xfId="21100" xr:uid="{00000000-0005-0000-0000-00003C500000}"/>
    <cellStyle name="요약 5 5 2 6 2" xfId="24338" xr:uid="{00000000-0005-0000-0000-00003D500000}"/>
    <cellStyle name="요약 5 5 2 6 3" xfId="25345" xr:uid="{00000000-0005-0000-0000-00003E500000}"/>
    <cellStyle name="요약 5 5 2 6 4" xfId="28469" xr:uid="{00000000-0005-0000-0000-00003F500000}"/>
    <cellStyle name="요약 5 5 2 7" xfId="21039" xr:uid="{00000000-0005-0000-0000-000040500000}"/>
    <cellStyle name="요약 5 5 2 7 2" xfId="24672" xr:uid="{00000000-0005-0000-0000-000041500000}"/>
    <cellStyle name="요약 5 5 2 7 3" xfId="25284" xr:uid="{00000000-0005-0000-0000-000042500000}"/>
    <cellStyle name="요약 5 5 2 7 4" xfId="28408" xr:uid="{00000000-0005-0000-0000-000043500000}"/>
    <cellStyle name="요약 5 5 2 8" xfId="20748" xr:uid="{00000000-0005-0000-0000-000044500000}"/>
    <cellStyle name="요약 5 5 2 9" xfId="19051" xr:uid="{00000000-0005-0000-0000-000045500000}"/>
    <cellStyle name="요약 5 5 3" xfId="15406" xr:uid="{00000000-0005-0000-0000-000046500000}"/>
    <cellStyle name="요약 5 5 3 10" xfId="28010" xr:uid="{00000000-0005-0000-0000-000047500000}"/>
    <cellStyle name="요약 5 5 3 11" xfId="17558" xr:uid="{00000000-0005-0000-0000-000048500000}"/>
    <cellStyle name="요약 5 5 3 2" xfId="15281" xr:uid="{00000000-0005-0000-0000-000049500000}"/>
    <cellStyle name="요약 5 5 3 2 2" xfId="24136" xr:uid="{00000000-0005-0000-0000-00004A500000}"/>
    <cellStyle name="요약 5 5 3 2 3" xfId="25898" xr:uid="{00000000-0005-0000-0000-00004B500000}"/>
    <cellStyle name="요약 5 5 3 2 4" xfId="29012" xr:uid="{00000000-0005-0000-0000-00004C500000}"/>
    <cellStyle name="요약 5 5 3 2 5" xfId="21668" xr:uid="{00000000-0005-0000-0000-00004D500000}"/>
    <cellStyle name="요약 5 5 3 3" xfId="16960" xr:uid="{00000000-0005-0000-0000-00004E500000}"/>
    <cellStyle name="요약 5 5 3 3 2" xfId="18372" xr:uid="{00000000-0005-0000-0000-00004F500000}"/>
    <cellStyle name="요약 5 5 3 3 3" xfId="26451" xr:uid="{00000000-0005-0000-0000-000050500000}"/>
    <cellStyle name="요약 5 5 3 3 4" xfId="29565" xr:uid="{00000000-0005-0000-0000-000051500000}"/>
    <cellStyle name="요약 5 5 3 3 5" xfId="22221" xr:uid="{00000000-0005-0000-0000-000052500000}"/>
    <cellStyle name="요약 5 5 3 4" xfId="16961" xr:uid="{00000000-0005-0000-0000-000053500000}"/>
    <cellStyle name="요약 5 5 3 4 2" xfId="19936" xr:uid="{00000000-0005-0000-0000-000054500000}"/>
    <cellStyle name="요약 5 5 3 4 3" xfId="26927" xr:uid="{00000000-0005-0000-0000-000055500000}"/>
    <cellStyle name="요약 5 5 3 4 4" xfId="30041" xr:uid="{00000000-0005-0000-0000-000056500000}"/>
    <cellStyle name="요약 5 5 3 4 5" xfId="22697" xr:uid="{00000000-0005-0000-0000-000057500000}"/>
    <cellStyle name="요약 5 5 3 5" xfId="23106" xr:uid="{00000000-0005-0000-0000-000058500000}"/>
    <cellStyle name="요약 5 5 3 5 2" xfId="19202" xr:uid="{00000000-0005-0000-0000-000059500000}"/>
    <cellStyle name="요약 5 5 3 5 3" xfId="27336" xr:uid="{00000000-0005-0000-0000-00005A500000}"/>
    <cellStyle name="요약 5 5 3 5 4" xfId="30450" xr:uid="{00000000-0005-0000-0000-00005B500000}"/>
    <cellStyle name="요약 5 5 3 6" xfId="23507" xr:uid="{00000000-0005-0000-0000-00005C500000}"/>
    <cellStyle name="요약 5 5 3 6 2" xfId="18169" xr:uid="{00000000-0005-0000-0000-00005D500000}"/>
    <cellStyle name="요약 5 5 3 6 3" xfId="27737" xr:uid="{00000000-0005-0000-0000-00005E500000}"/>
    <cellStyle name="요약 5 5 3 6 4" xfId="30851" xr:uid="{00000000-0005-0000-0000-00005F500000}"/>
    <cellStyle name="요약 5 5 3 7" xfId="20638" xr:uid="{00000000-0005-0000-0000-000060500000}"/>
    <cellStyle name="요약 5 5 3 8" xfId="18943" xr:uid="{00000000-0005-0000-0000-000061500000}"/>
    <cellStyle name="요약 5 5 3 9" xfId="24886" xr:uid="{00000000-0005-0000-0000-000062500000}"/>
    <cellStyle name="요약 5 5 4" xfId="17637" xr:uid="{00000000-0005-0000-0000-000063500000}"/>
    <cellStyle name="요약 5 5 4 2" xfId="22046" xr:uid="{00000000-0005-0000-0000-000064500000}"/>
    <cellStyle name="요약 5 5 4 2 2" xfId="23791" xr:uid="{00000000-0005-0000-0000-000065500000}"/>
    <cellStyle name="요약 5 5 4 2 3" xfId="26276" xr:uid="{00000000-0005-0000-0000-000066500000}"/>
    <cellStyle name="요약 5 5 4 2 4" xfId="29390" xr:uid="{00000000-0005-0000-0000-000067500000}"/>
    <cellStyle name="요약 5 5 4 3" xfId="22519" xr:uid="{00000000-0005-0000-0000-000068500000}"/>
    <cellStyle name="요약 5 5 4 3 2" xfId="19774" xr:uid="{00000000-0005-0000-0000-000069500000}"/>
    <cellStyle name="요약 5 5 4 3 3" xfId="26749" xr:uid="{00000000-0005-0000-0000-00006A500000}"/>
    <cellStyle name="요약 5 5 4 3 4" xfId="29863" xr:uid="{00000000-0005-0000-0000-00006B500000}"/>
    <cellStyle name="요약 5 5 4 4" xfId="22964" xr:uid="{00000000-0005-0000-0000-00006C500000}"/>
    <cellStyle name="요약 5 5 4 4 2" xfId="20183" xr:uid="{00000000-0005-0000-0000-00006D500000}"/>
    <cellStyle name="요약 5 5 4 4 3" xfId="27194" xr:uid="{00000000-0005-0000-0000-00006E500000}"/>
    <cellStyle name="요약 5 5 4 4 4" xfId="30308" xr:uid="{00000000-0005-0000-0000-00006F500000}"/>
    <cellStyle name="요약 5 5 4 5" xfId="23337" xr:uid="{00000000-0005-0000-0000-000070500000}"/>
    <cellStyle name="요약 5 5 4 5 2" xfId="20376" xr:uid="{00000000-0005-0000-0000-000071500000}"/>
    <cellStyle name="요약 5 5 4 5 3" xfId="27567" xr:uid="{00000000-0005-0000-0000-000072500000}"/>
    <cellStyle name="요약 5 5 4 5 4" xfId="30681" xr:uid="{00000000-0005-0000-0000-000073500000}"/>
    <cellStyle name="요약 5 5 4 6" xfId="19535" xr:uid="{00000000-0005-0000-0000-000074500000}"/>
    <cellStyle name="요약 5 5 4 7" xfId="25725" xr:uid="{00000000-0005-0000-0000-000075500000}"/>
    <cellStyle name="요약 5 5 4 8" xfId="28842" xr:uid="{00000000-0005-0000-0000-000076500000}"/>
    <cellStyle name="요약 5 5 5" xfId="20921" xr:uid="{00000000-0005-0000-0000-000077500000}"/>
    <cellStyle name="요약 5 5 5 2" xfId="19400" xr:uid="{00000000-0005-0000-0000-000078500000}"/>
    <cellStyle name="요약 5 5 5 3" xfId="25172" xr:uid="{00000000-0005-0000-0000-000079500000}"/>
    <cellStyle name="요약 5 5 5 4" xfId="28296" xr:uid="{00000000-0005-0000-0000-00007A500000}"/>
    <cellStyle name="요약 5 5 6" xfId="18769" xr:uid="{00000000-0005-0000-0000-00007B500000}"/>
    <cellStyle name="요약 5 5 7" xfId="18543" xr:uid="{00000000-0005-0000-0000-00007C500000}"/>
    <cellStyle name="요약 5 5 8" xfId="18681" xr:uid="{00000000-0005-0000-0000-00007D500000}"/>
    <cellStyle name="요약 5 5 9" xfId="17270" xr:uid="{00000000-0005-0000-0000-00007E500000}"/>
    <cellStyle name="요약 5 6" xfId="12136" xr:uid="{00000000-0005-0000-0000-00007F500000}"/>
    <cellStyle name="요약 5 6 2" xfId="14781" xr:uid="{00000000-0005-0000-0000-000080500000}"/>
    <cellStyle name="요약 5 6 2 10" xfId="24997" xr:uid="{00000000-0005-0000-0000-000081500000}"/>
    <cellStyle name="요약 5 6 2 11" xfId="28121" xr:uid="{00000000-0005-0000-0000-000082500000}"/>
    <cellStyle name="요약 5 6 2 12" xfId="31097" xr:uid="{00000000-0005-0000-0000-000083500000}"/>
    <cellStyle name="요약 5 6 2 13" xfId="17471" xr:uid="{00000000-0005-0000-0000-000084500000}"/>
    <cellStyle name="요약 5 6 2 2" xfId="21779" xr:uid="{00000000-0005-0000-0000-000085500000}"/>
    <cellStyle name="요약 5 6 2 2 2" xfId="22332" xr:uid="{00000000-0005-0000-0000-000086500000}"/>
    <cellStyle name="요약 5 6 2 2 2 2" xfId="24047" xr:uid="{00000000-0005-0000-0000-000087500000}"/>
    <cellStyle name="요약 5 6 2 2 2 3" xfId="26562" xr:uid="{00000000-0005-0000-0000-000088500000}"/>
    <cellStyle name="요약 5 6 2 2 2 4" xfId="29676" xr:uid="{00000000-0005-0000-0000-000089500000}"/>
    <cellStyle name="요약 5 6 2 2 3" xfId="22808" xr:uid="{00000000-0005-0000-0000-00008A500000}"/>
    <cellStyle name="요약 5 6 2 2 3 2" xfId="20038" xr:uid="{00000000-0005-0000-0000-00008B500000}"/>
    <cellStyle name="요약 5 6 2 2 3 3" xfId="27038" xr:uid="{00000000-0005-0000-0000-00008C500000}"/>
    <cellStyle name="요약 5 6 2 2 3 4" xfId="30152" xr:uid="{00000000-0005-0000-0000-00008D500000}"/>
    <cellStyle name="요약 5 6 2 2 4" xfId="23191" xr:uid="{00000000-0005-0000-0000-00008E500000}"/>
    <cellStyle name="요약 5 6 2 2 4 2" xfId="19281" xr:uid="{00000000-0005-0000-0000-00008F500000}"/>
    <cellStyle name="요약 5 6 2 2 4 3" xfId="27421" xr:uid="{00000000-0005-0000-0000-000090500000}"/>
    <cellStyle name="요약 5 6 2 2 4 4" xfId="30535" xr:uid="{00000000-0005-0000-0000-000091500000}"/>
    <cellStyle name="요약 5 6 2 2 5" xfId="23618" xr:uid="{00000000-0005-0000-0000-000092500000}"/>
    <cellStyle name="요약 5 6 2 2 5 2" xfId="18273" xr:uid="{00000000-0005-0000-0000-000093500000}"/>
    <cellStyle name="요약 5 6 2 2 5 3" xfId="27848" xr:uid="{00000000-0005-0000-0000-000094500000}"/>
    <cellStyle name="요약 5 6 2 2 5 4" xfId="30962" xr:uid="{00000000-0005-0000-0000-000095500000}"/>
    <cellStyle name="요약 5 6 2 2 6" xfId="23862" xr:uid="{00000000-0005-0000-0000-000096500000}"/>
    <cellStyle name="요약 5 6 2 2 7" xfId="26009" xr:uid="{00000000-0005-0000-0000-000097500000}"/>
    <cellStyle name="요약 5 6 2 2 8" xfId="29123" xr:uid="{00000000-0005-0000-0000-000098500000}"/>
    <cellStyle name="요약 5 6 2 3" xfId="21377" xr:uid="{00000000-0005-0000-0000-000099500000}"/>
    <cellStyle name="요약 5 6 2 3 2" xfId="24180" xr:uid="{00000000-0005-0000-0000-00009A500000}"/>
    <cellStyle name="요약 5 6 2 3 3" xfId="25564" xr:uid="{00000000-0005-0000-0000-00009B500000}"/>
    <cellStyle name="요약 5 6 2 3 4" xfId="28681" xr:uid="{00000000-0005-0000-0000-00009C500000}"/>
    <cellStyle name="요약 5 6 2 4" xfId="21885" xr:uid="{00000000-0005-0000-0000-00009D500000}"/>
    <cellStyle name="요약 5 6 2 4 2" xfId="19309" xr:uid="{00000000-0005-0000-0000-00009E500000}"/>
    <cellStyle name="요약 5 6 2 4 3" xfId="26115" xr:uid="{00000000-0005-0000-0000-00009F500000}"/>
    <cellStyle name="요약 5 6 2 4 4" xfId="29229" xr:uid="{00000000-0005-0000-0000-0000A0500000}"/>
    <cellStyle name="요약 5 6 2 5" xfId="21281" xr:uid="{00000000-0005-0000-0000-0000A1500000}"/>
    <cellStyle name="요약 5 6 2 5 2" xfId="24022" xr:uid="{00000000-0005-0000-0000-0000A2500000}"/>
    <cellStyle name="요약 5 6 2 5 3" xfId="25494" xr:uid="{00000000-0005-0000-0000-0000A3500000}"/>
    <cellStyle name="요약 5 6 2 5 4" xfId="28611" xr:uid="{00000000-0005-0000-0000-0000A4500000}"/>
    <cellStyle name="요약 5 6 2 6" xfId="21106" xr:uid="{00000000-0005-0000-0000-0000A5500000}"/>
    <cellStyle name="요약 5 6 2 6 2" xfId="19416" xr:uid="{00000000-0005-0000-0000-0000A6500000}"/>
    <cellStyle name="요약 5 6 2 6 3" xfId="25351" xr:uid="{00000000-0005-0000-0000-0000A7500000}"/>
    <cellStyle name="요약 5 6 2 6 4" xfId="28475" xr:uid="{00000000-0005-0000-0000-0000A8500000}"/>
    <cellStyle name="요약 5 6 2 7" xfId="21084" xr:uid="{00000000-0005-0000-0000-0000A9500000}"/>
    <cellStyle name="요약 5 6 2 7 2" xfId="24407" xr:uid="{00000000-0005-0000-0000-0000AA500000}"/>
    <cellStyle name="요약 5 6 2 7 3" xfId="25329" xr:uid="{00000000-0005-0000-0000-0000AB500000}"/>
    <cellStyle name="요약 5 6 2 7 4" xfId="28453" xr:uid="{00000000-0005-0000-0000-0000AC500000}"/>
    <cellStyle name="요약 5 6 2 8" xfId="20749" xr:uid="{00000000-0005-0000-0000-0000AD500000}"/>
    <cellStyle name="요약 5 6 2 9" xfId="19052" xr:uid="{00000000-0005-0000-0000-0000AE500000}"/>
    <cellStyle name="요약 5 6 3" xfId="15407" xr:uid="{00000000-0005-0000-0000-0000AF500000}"/>
    <cellStyle name="요약 5 6 3 10" xfId="28011" xr:uid="{00000000-0005-0000-0000-0000B0500000}"/>
    <cellStyle name="요약 5 6 3 11" xfId="17557" xr:uid="{00000000-0005-0000-0000-0000B1500000}"/>
    <cellStyle name="요약 5 6 3 2" xfId="15280" xr:uid="{00000000-0005-0000-0000-0000B2500000}"/>
    <cellStyle name="요약 5 6 3 2 2" xfId="19300" xr:uid="{00000000-0005-0000-0000-0000B3500000}"/>
    <cellStyle name="요약 5 6 3 2 3" xfId="25899" xr:uid="{00000000-0005-0000-0000-0000B4500000}"/>
    <cellStyle name="요약 5 6 3 2 4" xfId="29013" xr:uid="{00000000-0005-0000-0000-0000B5500000}"/>
    <cellStyle name="요약 5 6 3 2 5" xfId="21669" xr:uid="{00000000-0005-0000-0000-0000B6500000}"/>
    <cellStyle name="요약 5 6 3 3" xfId="16962" xr:uid="{00000000-0005-0000-0000-0000B7500000}"/>
    <cellStyle name="요약 5 6 3 3 2" xfId="18373" xr:uid="{00000000-0005-0000-0000-0000B8500000}"/>
    <cellStyle name="요약 5 6 3 3 3" xfId="26452" xr:uid="{00000000-0005-0000-0000-0000B9500000}"/>
    <cellStyle name="요약 5 6 3 3 4" xfId="29566" xr:uid="{00000000-0005-0000-0000-0000BA500000}"/>
    <cellStyle name="요약 5 6 3 3 5" xfId="22222" xr:uid="{00000000-0005-0000-0000-0000BB500000}"/>
    <cellStyle name="요약 5 6 3 4" xfId="16963" xr:uid="{00000000-0005-0000-0000-0000BC500000}"/>
    <cellStyle name="요약 5 6 3 4 2" xfId="19937" xr:uid="{00000000-0005-0000-0000-0000BD500000}"/>
    <cellStyle name="요약 5 6 3 4 3" xfId="26928" xr:uid="{00000000-0005-0000-0000-0000BE500000}"/>
    <cellStyle name="요약 5 6 3 4 4" xfId="30042" xr:uid="{00000000-0005-0000-0000-0000BF500000}"/>
    <cellStyle name="요약 5 6 3 4 5" xfId="22698" xr:uid="{00000000-0005-0000-0000-0000C0500000}"/>
    <cellStyle name="요약 5 6 3 5" xfId="23107" xr:uid="{00000000-0005-0000-0000-0000C1500000}"/>
    <cellStyle name="요약 5 6 3 5 2" xfId="19203" xr:uid="{00000000-0005-0000-0000-0000C2500000}"/>
    <cellStyle name="요약 5 6 3 5 3" xfId="27337" xr:uid="{00000000-0005-0000-0000-0000C3500000}"/>
    <cellStyle name="요약 5 6 3 5 4" xfId="30451" xr:uid="{00000000-0005-0000-0000-0000C4500000}"/>
    <cellStyle name="요약 5 6 3 6" xfId="23508" xr:uid="{00000000-0005-0000-0000-0000C5500000}"/>
    <cellStyle name="요약 5 6 3 6 2" xfId="18170" xr:uid="{00000000-0005-0000-0000-0000C6500000}"/>
    <cellStyle name="요약 5 6 3 6 3" xfId="27738" xr:uid="{00000000-0005-0000-0000-0000C7500000}"/>
    <cellStyle name="요약 5 6 3 6 4" xfId="30852" xr:uid="{00000000-0005-0000-0000-0000C8500000}"/>
    <cellStyle name="요약 5 6 3 7" xfId="20639" xr:uid="{00000000-0005-0000-0000-0000C9500000}"/>
    <cellStyle name="요약 5 6 3 8" xfId="18944" xr:uid="{00000000-0005-0000-0000-0000CA500000}"/>
    <cellStyle name="요약 5 6 3 9" xfId="24887" xr:uid="{00000000-0005-0000-0000-0000CB500000}"/>
    <cellStyle name="요약 5 6 4" xfId="17636" xr:uid="{00000000-0005-0000-0000-0000CC500000}"/>
    <cellStyle name="요약 5 6 4 2" xfId="22047" xr:uid="{00000000-0005-0000-0000-0000CD500000}"/>
    <cellStyle name="요약 5 6 4 2 2" xfId="23925" xr:uid="{00000000-0005-0000-0000-0000CE500000}"/>
    <cellStyle name="요약 5 6 4 2 3" xfId="26277" xr:uid="{00000000-0005-0000-0000-0000CF500000}"/>
    <cellStyle name="요약 5 6 4 2 4" xfId="29391" xr:uid="{00000000-0005-0000-0000-0000D0500000}"/>
    <cellStyle name="요약 5 6 4 3" xfId="22520" xr:uid="{00000000-0005-0000-0000-0000D1500000}"/>
    <cellStyle name="요약 5 6 4 3 2" xfId="19775" xr:uid="{00000000-0005-0000-0000-0000D2500000}"/>
    <cellStyle name="요약 5 6 4 3 3" xfId="26750" xr:uid="{00000000-0005-0000-0000-0000D3500000}"/>
    <cellStyle name="요약 5 6 4 3 4" xfId="29864" xr:uid="{00000000-0005-0000-0000-0000D4500000}"/>
    <cellStyle name="요약 5 6 4 4" xfId="22965" xr:uid="{00000000-0005-0000-0000-0000D5500000}"/>
    <cellStyle name="요약 5 6 4 4 2" xfId="20184" xr:uid="{00000000-0005-0000-0000-0000D6500000}"/>
    <cellStyle name="요약 5 6 4 4 3" xfId="27195" xr:uid="{00000000-0005-0000-0000-0000D7500000}"/>
    <cellStyle name="요약 5 6 4 4 4" xfId="30309" xr:uid="{00000000-0005-0000-0000-0000D8500000}"/>
    <cellStyle name="요약 5 6 4 5" xfId="23338" xr:uid="{00000000-0005-0000-0000-0000D9500000}"/>
    <cellStyle name="요약 5 6 4 5 2" xfId="24053" xr:uid="{00000000-0005-0000-0000-0000DA500000}"/>
    <cellStyle name="요약 5 6 4 5 3" xfId="27568" xr:uid="{00000000-0005-0000-0000-0000DB500000}"/>
    <cellStyle name="요약 5 6 4 5 4" xfId="30682" xr:uid="{00000000-0005-0000-0000-0000DC500000}"/>
    <cellStyle name="요약 5 6 4 6" xfId="19397" xr:uid="{00000000-0005-0000-0000-0000DD500000}"/>
    <cellStyle name="요약 5 6 4 7" xfId="25726" xr:uid="{00000000-0005-0000-0000-0000DE500000}"/>
    <cellStyle name="요약 5 6 4 8" xfId="28843" xr:uid="{00000000-0005-0000-0000-0000DF500000}"/>
    <cellStyle name="요약 5 6 5" xfId="20922" xr:uid="{00000000-0005-0000-0000-0000E0500000}"/>
    <cellStyle name="요약 5 6 5 2" xfId="23755" xr:uid="{00000000-0005-0000-0000-0000E1500000}"/>
    <cellStyle name="요약 5 6 5 3" xfId="25173" xr:uid="{00000000-0005-0000-0000-0000E2500000}"/>
    <cellStyle name="요약 5 6 5 4" xfId="28297" xr:uid="{00000000-0005-0000-0000-0000E3500000}"/>
    <cellStyle name="요약 5 6 6" xfId="18770" xr:uid="{00000000-0005-0000-0000-0000E4500000}"/>
    <cellStyle name="요약 5 6 7" xfId="18542" xr:uid="{00000000-0005-0000-0000-0000E5500000}"/>
    <cellStyle name="요약 5 6 8" xfId="18100" xr:uid="{00000000-0005-0000-0000-0000E6500000}"/>
    <cellStyle name="요약 5 6 9" xfId="17271" xr:uid="{00000000-0005-0000-0000-0000E7500000}"/>
    <cellStyle name="요약 5 7" xfId="12137" xr:uid="{00000000-0005-0000-0000-0000E8500000}"/>
    <cellStyle name="요약 5 7 2" xfId="14782" xr:uid="{00000000-0005-0000-0000-0000E9500000}"/>
    <cellStyle name="요약 5 7 2 10" xfId="24998" xr:uid="{00000000-0005-0000-0000-0000EA500000}"/>
    <cellStyle name="요약 5 7 2 11" xfId="28122" xr:uid="{00000000-0005-0000-0000-0000EB500000}"/>
    <cellStyle name="요약 5 7 2 12" xfId="31098" xr:uid="{00000000-0005-0000-0000-0000EC500000}"/>
    <cellStyle name="요약 5 7 2 13" xfId="17470" xr:uid="{00000000-0005-0000-0000-0000ED500000}"/>
    <cellStyle name="요약 5 7 2 2" xfId="21780" xr:uid="{00000000-0005-0000-0000-0000EE500000}"/>
    <cellStyle name="요약 5 7 2 2 2" xfId="22333" xr:uid="{00000000-0005-0000-0000-0000EF500000}"/>
    <cellStyle name="요약 5 7 2 2 2 2" xfId="19604" xr:uid="{00000000-0005-0000-0000-0000F0500000}"/>
    <cellStyle name="요약 5 7 2 2 2 3" xfId="26563" xr:uid="{00000000-0005-0000-0000-0000F1500000}"/>
    <cellStyle name="요약 5 7 2 2 2 4" xfId="29677" xr:uid="{00000000-0005-0000-0000-0000F2500000}"/>
    <cellStyle name="요약 5 7 2 2 3" xfId="22809" xr:uid="{00000000-0005-0000-0000-0000F3500000}"/>
    <cellStyle name="요약 5 7 2 2 3 2" xfId="20039" xr:uid="{00000000-0005-0000-0000-0000F4500000}"/>
    <cellStyle name="요약 5 7 2 2 3 3" xfId="27039" xr:uid="{00000000-0005-0000-0000-0000F5500000}"/>
    <cellStyle name="요약 5 7 2 2 3 4" xfId="30153" xr:uid="{00000000-0005-0000-0000-0000F6500000}"/>
    <cellStyle name="요약 5 7 2 2 4" xfId="23192" xr:uid="{00000000-0005-0000-0000-0000F7500000}"/>
    <cellStyle name="요약 5 7 2 2 4 2" xfId="19282" xr:uid="{00000000-0005-0000-0000-0000F8500000}"/>
    <cellStyle name="요약 5 7 2 2 4 3" xfId="27422" xr:uid="{00000000-0005-0000-0000-0000F9500000}"/>
    <cellStyle name="요약 5 7 2 2 4 4" xfId="30536" xr:uid="{00000000-0005-0000-0000-0000FA500000}"/>
    <cellStyle name="요약 5 7 2 2 5" xfId="23619" xr:uid="{00000000-0005-0000-0000-0000FB500000}"/>
    <cellStyle name="요약 5 7 2 2 5 2" xfId="18274" xr:uid="{00000000-0005-0000-0000-0000FC500000}"/>
    <cellStyle name="요약 5 7 2 2 5 3" xfId="27849" xr:uid="{00000000-0005-0000-0000-0000FD500000}"/>
    <cellStyle name="요약 5 7 2 2 5 4" xfId="30963" xr:uid="{00000000-0005-0000-0000-0000FE500000}"/>
    <cellStyle name="요약 5 7 2 2 6" xfId="23806" xr:uid="{00000000-0005-0000-0000-0000FF500000}"/>
    <cellStyle name="요약 5 7 2 2 7" xfId="26010" xr:uid="{00000000-0005-0000-0000-000000510000}"/>
    <cellStyle name="요약 5 7 2 2 8" xfId="29124" xr:uid="{00000000-0005-0000-0000-000001510000}"/>
    <cellStyle name="요약 5 7 2 3" xfId="21378" xr:uid="{00000000-0005-0000-0000-000002510000}"/>
    <cellStyle name="요약 5 7 2 3 2" xfId="23973" xr:uid="{00000000-0005-0000-0000-000003510000}"/>
    <cellStyle name="요약 5 7 2 3 3" xfId="25565" xr:uid="{00000000-0005-0000-0000-000004510000}"/>
    <cellStyle name="요약 5 7 2 3 4" xfId="28682" xr:uid="{00000000-0005-0000-0000-000005510000}"/>
    <cellStyle name="요약 5 7 2 4" xfId="21886" xr:uid="{00000000-0005-0000-0000-000006510000}"/>
    <cellStyle name="요약 5 7 2 4 2" xfId="19550" xr:uid="{00000000-0005-0000-0000-000007510000}"/>
    <cellStyle name="요약 5 7 2 4 3" xfId="26116" xr:uid="{00000000-0005-0000-0000-000008510000}"/>
    <cellStyle name="요약 5 7 2 4 4" xfId="29230" xr:uid="{00000000-0005-0000-0000-000009510000}"/>
    <cellStyle name="요약 5 7 2 5" xfId="21282" xr:uid="{00000000-0005-0000-0000-00000A510000}"/>
    <cellStyle name="요약 5 7 2 5 2" xfId="19429" xr:uid="{00000000-0005-0000-0000-00000B510000}"/>
    <cellStyle name="요약 5 7 2 5 3" xfId="25495" xr:uid="{00000000-0005-0000-0000-00000C510000}"/>
    <cellStyle name="요약 5 7 2 5 4" xfId="28612" xr:uid="{00000000-0005-0000-0000-00000D510000}"/>
    <cellStyle name="요약 5 7 2 6" xfId="21052" xr:uid="{00000000-0005-0000-0000-00000E510000}"/>
    <cellStyle name="요약 5 7 2 6 2" xfId="19365" xr:uid="{00000000-0005-0000-0000-00000F510000}"/>
    <cellStyle name="요약 5 7 2 6 3" xfId="25297" xr:uid="{00000000-0005-0000-0000-000010510000}"/>
    <cellStyle name="요약 5 7 2 6 4" xfId="28421" xr:uid="{00000000-0005-0000-0000-000011510000}"/>
    <cellStyle name="요약 5 7 2 7" xfId="21001" xr:uid="{00000000-0005-0000-0000-000012510000}"/>
    <cellStyle name="요약 5 7 2 7 2" xfId="24697" xr:uid="{00000000-0005-0000-0000-000013510000}"/>
    <cellStyle name="요약 5 7 2 7 3" xfId="25246" xr:uid="{00000000-0005-0000-0000-000014510000}"/>
    <cellStyle name="요약 5 7 2 7 4" xfId="28370" xr:uid="{00000000-0005-0000-0000-000015510000}"/>
    <cellStyle name="요약 5 7 2 8" xfId="20750" xr:uid="{00000000-0005-0000-0000-000016510000}"/>
    <cellStyle name="요약 5 7 2 9" xfId="19053" xr:uid="{00000000-0005-0000-0000-000017510000}"/>
    <cellStyle name="요약 5 7 3" xfId="15408" xr:uid="{00000000-0005-0000-0000-000018510000}"/>
    <cellStyle name="요약 5 7 3 10" xfId="28012" xr:uid="{00000000-0005-0000-0000-000019510000}"/>
    <cellStyle name="요약 5 7 3 11" xfId="17556" xr:uid="{00000000-0005-0000-0000-00001A510000}"/>
    <cellStyle name="요약 5 7 3 2" xfId="15279" xr:uid="{00000000-0005-0000-0000-00001B510000}"/>
    <cellStyle name="요약 5 7 3 2 2" xfId="19541" xr:uid="{00000000-0005-0000-0000-00001C510000}"/>
    <cellStyle name="요약 5 7 3 2 3" xfId="25900" xr:uid="{00000000-0005-0000-0000-00001D510000}"/>
    <cellStyle name="요약 5 7 3 2 4" xfId="29014" xr:uid="{00000000-0005-0000-0000-00001E510000}"/>
    <cellStyle name="요약 5 7 3 2 5" xfId="21670" xr:uid="{00000000-0005-0000-0000-00001F510000}"/>
    <cellStyle name="요약 5 7 3 3" xfId="16964" xr:uid="{00000000-0005-0000-0000-000020510000}"/>
    <cellStyle name="요약 5 7 3 3 2" xfId="18374" xr:uid="{00000000-0005-0000-0000-000021510000}"/>
    <cellStyle name="요약 5 7 3 3 3" xfId="26453" xr:uid="{00000000-0005-0000-0000-000022510000}"/>
    <cellStyle name="요약 5 7 3 3 4" xfId="29567" xr:uid="{00000000-0005-0000-0000-000023510000}"/>
    <cellStyle name="요약 5 7 3 3 5" xfId="22223" xr:uid="{00000000-0005-0000-0000-000024510000}"/>
    <cellStyle name="요약 5 7 3 4" xfId="16965" xr:uid="{00000000-0005-0000-0000-000025510000}"/>
    <cellStyle name="요약 5 7 3 4 2" xfId="19938" xr:uid="{00000000-0005-0000-0000-000026510000}"/>
    <cellStyle name="요약 5 7 3 4 3" xfId="26929" xr:uid="{00000000-0005-0000-0000-000027510000}"/>
    <cellStyle name="요약 5 7 3 4 4" xfId="30043" xr:uid="{00000000-0005-0000-0000-000028510000}"/>
    <cellStyle name="요약 5 7 3 4 5" xfId="22699" xr:uid="{00000000-0005-0000-0000-000029510000}"/>
    <cellStyle name="요약 5 7 3 5" xfId="23108" xr:uid="{00000000-0005-0000-0000-00002A510000}"/>
    <cellStyle name="요약 5 7 3 5 2" xfId="19204" xr:uid="{00000000-0005-0000-0000-00002B510000}"/>
    <cellStyle name="요약 5 7 3 5 3" xfId="27338" xr:uid="{00000000-0005-0000-0000-00002C510000}"/>
    <cellStyle name="요약 5 7 3 5 4" xfId="30452" xr:uid="{00000000-0005-0000-0000-00002D510000}"/>
    <cellStyle name="요약 5 7 3 6" xfId="23509" xr:uid="{00000000-0005-0000-0000-00002E510000}"/>
    <cellStyle name="요약 5 7 3 6 2" xfId="18171" xr:uid="{00000000-0005-0000-0000-00002F510000}"/>
    <cellStyle name="요약 5 7 3 6 3" xfId="27739" xr:uid="{00000000-0005-0000-0000-000030510000}"/>
    <cellStyle name="요약 5 7 3 6 4" xfId="30853" xr:uid="{00000000-0005-0000-0000-000031510000}"/>
    <cellStyle name="요약 5 7 3 7" xfId="20640" xr:uid="{00000000-0005-0000-0000-000032510000}"/>
    <cellStyle name="요약 5 7 3 8" xfId="18945" xr:uid="{00000000-0005-0000-0000-000033510000}"/>
    <cellStyle name="요약 5 7 3 9" xfId="24888" xr:uid="{00000000-0005-0000-0000-000034510000}"/>
    <cellStyle name="요약 5 7 4" xfId="17635" xr:uid="{00000000-0005-0000-0000-000035510000}"/>
    <cellStyle name="요약 5 7 4 2" xfId="22048" xr:uid="{00000000-0005-0000-0000-000036510000}"/>
    <cellStyle name="요약 5 7 4 2 2" xfId="24736" xr:uid="{00000000-0005-0000-0000-000037510000}"/>
    <cellStyle name="요약 5 7 4 2 3" xfId="26278" xr:uid="{00000000-0005-0000-0000-000038510000}"/>
    <cellStyle name="요약 5 7 4 2 4" xfId="29392" xr:uid="{00000000-0005-0000-0000-000039510000}"/>
    <cellStyle name="요약 5 7 4 3" xfId="22521" xr:uid="{00000000-0005-0000-0000-00003A510000}"/>
    <cellStyle name="요약 5 7 4 3 2" xfId="19776" xr:uid="{00000000-0005-0000-0000-00003B510000}"/>
    <cellStyle name="요약 5 7 4 3 3" xfId="26751" xr:uid="{00000000-0005-0000-0000-00003C510000}"/>
    <cellStyle name="요약 5 7 4 3 4" xfId="29865" xr:uid="{00000000-0005-0000-0000-00003D510000}"/>
    <cellStyle name="요약 5 7 4 4" xfId="22966" xr:uid="{00000000-0005-0000-0000-00003E510000}"/>
    <cellStyle name="요약 5 7 4 4 2" xfId="20185" xr:uid="{00000000-0005-0000-0000-00003F510000}"/>
    <cellStyle name="요약 5 7 4 4 3" xfId="27196" xr:uid="{00000000-0005-0000-0000-000040510000}"/>
    <cellStyle name="요약 5 7 4 4 4" xfId="30310" xr:uid="{00000000-0005-0000-0000-000041510000}"/>
    <cellStyle name="요약 5 7 4 5" xfId="23339" xr:uid="{00000000-0005-0000-0000-000042510000}"/>
    <cellStyle name="요약 5 7 4 5 2" xfId="20377" xr:uid="{00000000-0005-0000-0000-000043510000}"/>
    <cellStyle name="요약 5 7 4 5 3" xfId="27569" xr:uid="{00000000-0005-0000-0000-000044510000}"/>
    <cellStyle name="요약 5 7 4 5 4" xfId="30683" xr:uid="{00000000-0005-0000-0000-000045510000}"/>
    <cellStyle name="요약 5 7 4 6" xfId="24038" xr:uid="{00000000-0005-0000-0000-000046510000}"/>
    <cellStyle name="요약 5 7 4 7" xfId="25727" xr:uid="{00000000-0005-0000-0000-000047510000}"/>
    <cellStyle name="요약 5 7 4 8" xfId="28844" xr:uid="{00000000-0005-0000-0000-000048510000}"/>
    <cellStyle name="요약 5 7 5" xfId="20923" xr:uid="{00000000-0005-0000-0000-000049510000}"/>
    <cellStyle name="요약 5 7 5 2" xfId="24677" xr:uid="{00000000-0005-0000-0000-00004A510000}"/>
    <cellStyle name="요약 5 7 5 3" xfId="25174" xr:uid="{00000000-0005-0000-0000-00004B510000}"/>
    <cellStyle name="요약 5 7 5 4" xfId="28298" xr:uid="{00000000-0005-0000-0000-00004C510000}"/>
    <cellStyle name="요약 5 7 6" xfId="18771" xr:uid="{00000000-0005-0000-0000-00004D510000}"/>
    <cellStyle name="요약 5 7 7" xfId="18541" xr:uid="{00000000-0005-0000-0000-00004E510000}"/>
    <cellStyle name="요약 5 7 8" xfId="18682" xr:uid="{00000000-0005-0000-0000-00004F510000}"/>
    <cellStyle name="요약 5 7 9" xfId="17272" xr:uid="{00000000-0005-0000-0000-000050510000}"/>
    <cellStyle name="요약 5 8" xfId="14776" xr:uid="{00000000-0005-0000-0000-000051510000}"/>
    <cellStyle name="요약 5 8 10" xfId="24992" xr:uid="{00000000-0005-0000-0000-000052510000}"/>
    <cellStyle name="요약 5 8 11" xfId="28116" xr:uid="{00000000-0005-0000-0000-000053510000}"/>
    <cellStyle name="요약 5 8 12" xfId="31092" xr:uid="{00000000-0005-0000-0000-000054510000}"/>
    <cellStyle name="요약 5 8 13" xfId="17476" xr:uid="{00000000-0005-0000-0000-000055510000}"/>
    <cellStyle name="요약 5 8 2" xfId="21774" xr:uid="{00000000-0005-0000-0000-000056510000}"/>
    <cellStyle name="요약 5 8 2 2" xfId="22327" xr:uid="{00000000-0005-0000-0000-000057510000}"/>
    <cellStyle name="요약 5 8 2 2 2" xfId="19600" xr:uid="{00000000-0005-0000-0000-000058510000}"/>
    <cellStyle name="요약 5 8 2 2 3" xfId="26557" xr:uid="{00000000-0005-0000-0000-000059510000}"/>
    <cellStyle name="요약 5 8 2 2 4" xfId="29671" xr:uid="{00000000-0005-0000-0000-00005A510000}"/>
    <cellStyle name="요약 5 8 2 3" xfId="22803" xr:uid="{00000000-0005-0000-0000-00005B510000}"/>
    <cellStyle name="요약 5 8 2 3 2" xfId="20033" xr:uid="{00000000-0005-0000-0000-00005C510000}"/>
    <cellStyle name="요약 5 8 2 3 3" xfId="27033" xr:uid="{00000000-0005-0000-0000-00005D510000}"/>
    <cellStyle name="요약 5 8 2 3 4" xfId="30147" xr:uid="{00000000-0005-0000-0000-00005E510000}"/>
    <cellStyle name="요약 5 8 2 4" xfId="23186" xr:uid="{00000000-0005-0000-0000-00005F510000}"/>
    <cellStyle name="요약 5 8 2 4 2" xfId="19276" xr:uid="{00000000-0005-0000-0000-000060510000}"/>
    <cellStyle name="요약 5 8 2 4 3" xfId="27416" xr:uid="{00000000-0005-0000-0000-000061510000}"/>
    <cellStyle name="요약 5 8 2 4 4" xfId="30530" xr:uid="{00000000-0005-0000-0000-000062510000}"/>
    <cellStyle name="요약 5 8 2 5" xfId="23613" xr:uid="{00000000-0005-0000-0000-000063510000}"/>
    <cellStyle name="요약 5 8 2 5 2" xfId="18268" xr:uid="{00000000-0005-0000-0000-000064510000}"/>
    <cellStyle name="요약 5 8 2 5 3" xfId="27843" xr:uid="{00000000-0005-0000-0000-000065510000}"/>
    <cellStyle name="요약 5 8 2 5 4" xfId="30957" xr:uid="{00000000-0005-0000-0000-000066510000}"/>
    <cellStyle name="요약 5 8 2 6" xfId="24585" xr:uid="{00000000-0005-0000-0000-000067510000}"/>
    <cellStyle name="요약 5 8 2 7" xfId="26004" xr:uid="{00000000-0005-0000-0000-000068510000}"/>
    <cellStyle name="요약 5 8 2 8" xfId="29118" xr:uid="{00000000-0005-0000-0000-000069510000}"/>
    <cellStyle name="요약 5 8 3" xfId="21372" xr:uid="{00000000-0005-0000-0000-00006A510000}"/>
    <cellStyle name="요약 5 8 3 2" xfId="24226" xr:uid="{00000000-0005-0000-0000-00006B510000}"/>
    <cellStyle name="요약 5 8 3 3" xfId="25559" xr:uid="{00000000-0005-0000-0000-00006C510000}"/>
    <cellStyle name="요약 5 8 3 4" xfId="28676" xr:uid="{00000000-0005-0000-0000-00006D510000}"/>
    <cellStyle name="요약 5 8 4" xfId="21880" xr:uid="{00000000-0005-0000-0000-00006E510000}"/>
    <cellStyle name="요약 5 8 4 2" xfId="24743" xr:uid="{00000000-0005-0000-0000-00006F510000}"/>
    <cellStyle name="요약 5 8 4 3" xfId="26110" xr:uid="{00000000-0005-0000-0000-000070510000}"/>
    <cellStyle name="요약 5 8 4 4" xfId="29224" xr:uid="{00000000-0005-0000-0000-000071510000}"/>
    <cellStyle name="요약 5 8 5" xfId="21276" xr:uid="{00000000-0005-0000-0000-000072510000}"/>
    <cellStyle name="요약 5 8 5 2" xfId="19428" xr:uid="{00000000-0005-0000-0000-000073510000}"/>
    <cellStyle name="요약 5 8 5 3" xfId="25489" xr:uid="{00000000-0005-0000-0000-000074510000}"/>
    <cellStyle name="요약 5 8 5 4" xfId="28606" xr:uid="{00000000-0005-0000-0000-000075510000}"/>
    <cellStyle name="요약 5 8 6" xfId="21047" xr:uid="{00000000-0005-0000-0000-000076510000}"/>
    <cellStyle name="요약 5 8 6 2" xfId="23983" xr:uid="{00000000-0005-0000-0000-000077510000}"/>
    <cellStyle name="요약 5 8 6 3" xfId="25292" xr:uid="{00000000-0005-0000-0000-000078510000}"/>
    <cellStyle name="요약 5 8 6 4" xfId="28416" xr:uid="{00000000-0005-0000-0000-000079510000}"/>
    <cellStyle name="요약 5 8 7" xfId="20990" xr:uid="{00000000-0005-0000-0000-00007A510000}"/>
    <cellStyle name="요약 5 8 7 2" xfId="19354" xr:uid="{00000000-0005-0000-0000-00007B510000}"/>
    <cellStyle name="요약 5 8 7 3" xfId="25238" xr:uid="{00000000-0005-0000-0000-00007C510000}"/>
    <cellStyle name="요약 5 8 7 4" xfId="28362" xr:uid="{00000000-0005-0000-0000-00007D510000}"/>
    <cellStyle name="요약 5 8 8" xfId="20744" xr:uid="{00000000-0005-0000-0000-00007E510000}"/>
    <cellStyle name="요약 5 8 9" xfId="19047" xr:uid="{00000000-0005-0000-0000-00007F510000}"/>
    <cellStyle name="요약 5 9" xfId="15402" xr:uid="{00000000-0005-0000-0000-000080510000}"/>
    <cellStyle name="요약 5 9 10" xfId="28006" xr:uid="{00000000-0005-0000-0000-000081510000}"/>
    <cellStyle name="요약 5 9 11" xfId="17562" xr:uid="{00000000-0005-0000-0000-000082510000}"/>
    <cellStyle name="요약 5 9 2" xfId="15285" xr:uid="{00000000-0005-0000-0000-000083510000}"/>
    <cellStyle name="요약 5 9 2 2" xfId="24752" xr:uid="{00000000-0005-0000-0000-000084510000}"/>
    <cellStyle name="요약 5 9 2 3" xfId="25894" xr:uid="{00000000-0005-0000-0000-000085510000}"/>
    <cellStyle name="요약 5 9 2 4" xfId="29008" xr:uid="{00000000-0005-0000-0000-000086510000}"/>
    <cellStyle name="요약 5 9 2 5" xfId="21664" xr:uid="{00000000-0005-0000-0000-000087510000}"/>
    <cellStyle name="요약 5 9 3" xfId="16966" xr:uid="{00000000-0005-0000-0000-000088510000}"/>
    <cellStyle name="요약 5 9 3 2" xfId="18368" xr:uid="{00000000-0005-0000-0000-000089510000}"/>
    <cellStyle name="요약 5 9 3 3" xfId="26447" xr:uid="{00000000-0005-0000-0000-00008A510000}"/>
    <cellStyle name="요약 5 9 3 4" xfId="29561" xr:uid="{00000000-0005-0000-0000-00008B510000}"/>
    <cellStyle name="요약 5 9 3 5" xfId="22217" xr:uid="{00000000-0005-0000-0000-00008C510000}"/>
    <cellStyle name="요약 5 9 4" xfId="16967" xr:uid="{00000000-0005-0000-0000-00008D510000}"/>
    <cellStyle name="요약 5 9 4 2" xfId="19932" xr:uid="{00000000-0005-0000-0000-00008E510000}"/>
    <cellStyle name="요약 5 9 4 3" xfId="26923" xr:uid="{00000000-0005-0000-0000-00008F510000}"/>
    <cellStyle name="요약 5 9 4 4" xfId="30037" xr:uid="{00000000-0005-0000-0000-000090510000}"/>
    <cellStyle name="요약 5 9 4 5" xfId="22693" xr:uid="{00000000-0005-0000-0000-000091510000}"/>
    <cellStyle name="요약 5 9 5" xfId="23102" xr:uid="{00000000-0005-0000-0000-000092510000}"/>
    <cellStyle name="요약 5 9 5 2" xfId="19198" xr:uid="{00000000-0005-0000-0000-000093510000}"/>
    <cellStyle name="요약 5 9 5 3" xfId="27332" xr:uid="{00000000-0005-0000-0000-000094510000}"/>
    <cellStyle name="요약 5 9 5 4" xfId="30446" xr:uid="{00000000-0005-0000-0000-000095510000}"/>
    <cellStyle name="요약 5 9 6" xfId="23503" xr:uid="{00000000-0005-0000-0000-000096510000}"/>
    <cellStyle name="요약 5 9 6 2" xfId="18165" xr:uid="{00000000-0005-0000-0000-000097510000}"/>
    <cellStyle name="요약 5 9 6 3" xfId="27733" xr:uid="{00000000-0005-0000-0000-000098510000}"/>
    <cellStyle name="요약 5 9 6 4" xfId="30847" xr:uid="{00000000-0005-0000-0000-000099510000}"/>
    <cellStyle name="요약 5 9 7" xfId="20634" xr:uid="{00000000-0005-0000-0000-00009A510000}"/>
    <cellStyle name="요약 5 9 8" xfId="18939" xr:uid="{00000000-0005-0000-0000-00009B510000}"/>
    <cellStyle name="요약 5 9 9" xfId="24882" xr:uid="{00000000-0005-0000-0000-00009C510000}"/>
    <cellStyle name="요약 6" xfId="17138" xr:uid="{00000000-0005-0000-0000-00009D510000}"/>
    <cellStyle name="요약 6 2" xfId="21532" xr:uid="{00000000-0005-0000-0000-00009E510000}"/>
    <cellStyle name="요약 6 3" xfId="32362" xr:uid="{00000000-0005-0000-0000-00009F510000}"/>
    <cellStyle name="요약 7" xfId="17139" xr:uid="{00000000-0005-0000-0000-0000A0510000}"/>
    <cellStyle name="요약 7 2" xfId="32363" xr:uid="{00000000-0005-0000-0000-0000A1510000}"/>
    <cellStyle name="요약 8" xfId="20498" xr:uid="{00000000-0005-0000-0000-0000A2510000}"/>
    <cellStyle name="입력" xfId="17181" builtinId="20" customBuiltin="1"/>
    <cellStyle name="입력 2" xfId="12138" xr:uid="{00000000-0005-0000-0000-0000A4510000}"/>
    <cellStyle name="입력 2 10" xfId="17555" xr:uid="{00000000-0005-0000-0000-0000A5510000}"/>
    <cellStyle name="입력 2 10 2" xfId="22049" xr:uid="{00000000-0005-0000-0000-0000A6510000}"/>
    <cellStyle name="입력 2 10 2 2" xfId="24602" xr:uid="{00000000-0005-0000-0000-0000A7510000}"/>
    <cellStyle name="입력 2 10 2 3" xfId="26279" xr:uid="{00000000-0005-0000-0000-0000A8510000}"/>
    <cellStyle name="입력 2 10 2 4" xfId="29393" xr:uid="{00000000-0005-0000-0000-0000A9510000}"/>
    <cellStyle name="입력 2 10 3" xfId="22522" xr:uid="{00000000-0005-0000-0000-0000AA510000}"/>
    <cellStyle name="입력 2 10 3 2" xfId="19777" xr:uid="{00000000-0005-0000-0000-0000AB510000}"/>
    <cellStyle name="입력 2 10 3 3" xfId="26752" xr:uid="{00000000-0005-0000-0000-0000AC510000}"/>
    <cellStyle name="입력 2 10 3 4" xfId="29866" xr:uid="{00000000-0005-0000-0000-0000AD510000}"/>
    <cellStyle name="입력 2 10 4" xfId="22967" xr:uid="{00000000-0005-0000-0000-0000AE510000}"/>
    <cellStyle name="입력 2 10 4 2" xfId="20186" xr:uid="{00000000-0005-0000-0000-0000AF510000}"/>
    <cellStyle name="입력 2 10 4 3" xfId="27197" xr:uid="{00000000-0005-0000-0000-0000B0510000}"/>
    <cellStyle name="입력 2 10 4 4" xfId="30311" xr:uid="{00000000-0005-0000-0000-0000B1510000}"/>
    <cellStyle name="입력 2 10 5" xfId="23340" xr:uid="{00000000-0005-0000-0000-0000B2510000}"/>
    <cellStyle name="입력 2 10 5 2" xfId="20378" xr:uid="{00000000-0005-0000-0000-0000B3510000}"/>
    <cellStyle name="입력 2 10 5 3" xfId="27570" xr:uid="{00000000-0005-0000-0000-0000B4510000}"/>
    <cellStyle name="입력 2 10 5 4" xfId="30684" xr:uid="{00000000-0005-0000-0000-0000B5510000}"/>
    <cellStyle name="입력 2 10 6" xfId="21516" xr:uid="{00000000-0005-0000-0000-0000B6510000}"/>
    <cellStyle name="입력 2 10 7" xfId="24721" xr:uid="{00000000-0005-0000-0000-0000B7510000}"/>
    <cellStyle name="입력 2 10 8" xfId="25728" xr:uid="{00000000-0005-0000-0000-0000B8510000}"/>
    <cellStyle name="입력 2 10 9" xfId="28845" xr:uid="{00000000-0005-0000-0000-0000B9510000}"/>
    <cellStyle name="입력 2 11" xfId="17634" xr:uid="{00000000-0005-0000-0000-0000BA510000}"/>
    <cellStyle name="입력 2 11 2" xfId="19119" xr:uid="{00000000-0005-0000-0000-0000BB510000}"/>
    <cellStyle name="입력 2 11 3" xfId="25064" xr:uid="{00000000-0005-0000-0000-0000BC510000}"/>
    <cellStyle name="입력 2 11 4" xfId="28188" xr:uid="{00000000-0005-0000-0000-0000BD510000}"/>
    <cellStyle name="입력 2 12" xfId="18772" xr:uid="{00000000-0005-0000-0000-0000BE510000}"/>
    <cellStyle name="입력 2 13" xfId="18540" xr:uid="{00000000-0005-0000-0000-0000BF510000}"/>
    <cellStyle name="입력 2 14" xfId="18683" xr:uid="{00000000-0005-0000-0000-0000C0510000}"/>
    <cellStyle name="입력 2 15" xfId="17273" xr:uid="{00000000-0005-0000-0000-0000C1510000}"/>
    <cellStyle name="입력 2 2" xfId="12139" xr:uid="{00000000-0005-0000-0000-0000C2510000}"/>
    <cellStyle name="입력 2 2 2" xfId="14784" xr:uid="{00000000-0005-0000-0000-0000C3510000}"/>
    <cellStyle name="입력 2 2 2 10" xfId="25000" xr:uid="{00000000-0005-0000-0000-0000C4510000}"/>
    <cellStyle name="입력 2 2 2 11" xfId="28124" xr:uid="{00000000-0005-0000-0000-0000C5510000}"/>
    <cellStyle name="입력 2 2 2 12" xfId="31100" xr:uid="{00000000-0005-0000-0000-0000C6510000}"/>
    <cellStyle name="입력 2 2 2 13" xfId="17468" xr:uid="{00000000-0005-0000-0000-0000C7510000}"/>
    <cellStyle name="입력 2 2 2 2" xfId="17985" xr:uid="{00000000-0005-0000-0000-0000C8510000}"/>
    <cellStyle name="입력 2 2 2 2 2" xfId="22335" xr:uid="{00000000-0005-0000-0000-0000C9510000}"/>
    <cellStyle name="입력 2 2 2 2 2 2" xfId="19606" xr:uid="{00000000-0005-0000-0000-0000CA510000}"/>
    <cellStyle name="입력 2 2 2 2 2 3" xfId="26565" xr:uid="{00000000-0005-0000-0000-0000CB510000}"/>
    <cellStyle name="입력 2 2 2 2 2 4" xfId="29679" xr:uid="{00000000-0005-0000-0000-0000CC510000}"/>
    <cellStyle name="입력 2 2 2 2 3" xfId="22811" xr:uid="{00000000-0005-0000-0000-0000CD510000}"/>
    <cellStyle name="입력 2 2 2 2 3 2" xfId="20041" xr:uid="{00000000-0005-0000-0000-0000CE510000}"/>
    <cellStyle name="입력 2 2 2 2 3 3" xfId="27041" xr:uid="{00000000-0005-0000-0000-0000CF510000}"/>
    <cellStyle name="입력 2 2 2 2 3 4" xfId="30155" xr:uid="{00000000-0005-0000-0000-0000D0510000}"/>
    <cellStyle name="입력 2 2 2 2 4" xfId="23194" xr:uid="{00000000-0005-0000-0000-0000D1510000}"/>
    <cellStyle name="입력 2 2 2 2 4 2" xfId="19284" xr:uid="{00000000-0005-0000-0000-0000D2510000}"/>
    <cellStyle name="입력 2 2 2 2 4 3" xfId="27424" xr:uid="{00000000-0005-0000-0000-0000D3510000}"/>
    <cellStyle name="입력 2 2 2 2 4 4" xfId="30538" xr:uid="{00000000-0005-0000-0000-0000D4510000}"/>
    <cellStyle name="입력 2 2 2 2 5" xfId="23621" xr:uid="{00000000-0005-0000-0000-0000D5510000}"/>
    <cellStyle name="입력 2 2 2 2 5 2" xfId="18276" xr:uid="{00000000-0005-0000-0000-0000D6510000}"/>
    <cellStyle name="입력 2 2 2 2 5 3" xfId="27851" xr:uid="{00000000-0005-0000-0000-0000D7510000}"/>
    <cellStyle name="입력 2 2 2 2 5 4" xfId="30965" xr:uid="{00000000-0005-0000-0000-0000D8510000}"/>
    <cellStyle name="입력 2 2 2 2 6" xfId="21782" xr:uid="{00000000-0005-0000-0000-0000D9510000}"/>
    <cellStyle name="입력 2 2 2 2 7" xfId="23780" xr:uid="{00000000-0005-0000-0000-0000DA510000}"/>
    <cellStyle name="입력 2 2 2 2 8" xfId="26012" xr:uid="{00000000-0005-0000-0000-0000DB510000}"/>
    <cellStyle name="입력 2 2 2 2 9" xfId="29126" xr:uid="{00000000-0005-0000-0000-0000DC510000}"/>
    <cellStyle name="입력 2 2 2 3" xfId="17986" xr:uid="{00000000-0005-0000-0000-0000DD510000}"/>
    <cellStyle name="입력 2 2 2 3 2" xfId="21380" xr:uid="{00000000-0005-0000-0000-0000DE510000}"/>
    <cellStyle name="입력 2 2 2 3 3" xfId="24470" xr:uid="{00000000-0005-0000-0000-0000DF510000}"/>
    <cellStyle name="입력 2 2 2 3 4" xfId="25567" xr:uid="{00000000-0005-0000-0000-0000E0510000}"/>
    <cellStyle name="입력 2 2 2 3 5" xfId="28684" xr:uid="{00000000-0005-0000-0000-0000E1510000}"/>
    <cellStyle name="입력 2 2 2 4" xfId="21888" xr:uid="{00000000-0005-0000-0000-0000E2510000}"/>
    <cellStyle name="입력 2 2 2 4 2" xfId="24639" xr:uid="{00000000-0005-0000-0000-0000E3510000}"/>
    <cellStyle name="입력 2 2 2 4 3" xfId="26118" xr:uid="{00000000-0005-0000-0000-0000E4510000}"/>
    <cellStyle name="입력 2 2 2 4 4" xfId="29232" xr:uid="{00000000-0005-0000-0000-0000E5510000}"/>
    <cellStyle name="입력 2 2 2 5" xfId="21284" xr:uid="{00000000-0005-0000-0000-0000E6510000}"/>
    <cellStyle name="입력 2 2 2 5 2" xfId="19431" xr:uid="{00000000-0005-0000-0000-0000E7510000}"/>
    <cellStyle name="입력 2 2 2 5 3" xfId="25497" xr:uid="{00000000-0005-0000-0000-0000E8510000}"/>
    <cellStyle name="입력 2 2 2 5 4" xfId="28614" xr:uid="{00000000-0005-0000-0000-0000E9510000}"/>
    <cellStyle name="입력 2 2 2 6" xfId="21098" xr:uid="{00000000-0005-0000-0000-0000EA510000}"/>
    <cellStyle name="입력 2 2 2 6 2" xfId="24772" xr:uid="{00000000-0005-0000-0000-0000EB510000}"/>
    <cellStyle name="입력 2 2 2 6 3" xfId="25343" xr:uid="{00000000-0005-0000-0000-0000EC510000}"/>
    <cellStyle name="입력 2 2 2 6 4" xfId="28467" xr:uid="{00000000-0005-0000-0000-0000ED510000}"/>
    <cellStyle name="입력 2 2 2 7" xfId="21077" xr:uid="{00000000-0005-0000-0000-0000EE510000}"/>
    <cellStyle name="입력 2 2 2 7 2" xfId="24514" xr:uid="{00000000-0005-0000-0000-0000EF510000}"/>
    <cellStyle name="입력 2 2 2 7 3" xfId="25322" xr:uid="{00000000-0005-0000-0000-0000F0510000}"/>
    <cellStyle name="입력 2 2 2 7 4" xfId="28446" xr:uid="{00000000-0005-0000-0000-0000F1510000}"/>
    <cellStyle name="입력 2 2 2 8" xfId="20752" xr:uid="{00000000-0005-0000-0000-0000F2510000}"/>
    <cellStyle name="입력 2 2 2 9" xfId="19055" xr:uid="{00000000-0005-0000-0000-0000F3510000}"/>
    <cellStyle name="입력 2 2 3" xfId="15410" xr:uid="{00000000-0005-0000-0000-0000F4510000}"/>
    <cellStyle name="입력 2 2 3 10" xfId="28014" xr:uid="{00000000-0005-0000-0000-0000F5510000}"/>
    <cellStyle name="입력 2 2 3 11" xfId="17554" xr:uid="{00000000-0005-0000-0000-0000F6510000}"/>
    <cellStyle name="입력 2 2 3 2" xfId="15277" xr:uid="{00000000-0005-0000-0000-0000F7510000}"/>
    <cellStyle name="입력 2 2 3 2 2" xfId="24648" xr:uid="{00000000-0005-0000-0000-0000F8510000}"/>
    <cellStyle name="입력 2 2 3 2 3" xfId="25902" xr:uid="{00000000-0005-0000-0000-0000F9510000}"/>
    <cellStyle name="입력 2 2 3 2 4" xfId="29016" xr:uid="{00000000-0005-0000-0000-0000FA510000}"/>
    <cellStyle name="입력 2 2 3 2 5" xfId="21672" xr:uid="{00000000-0005-0000-0000-0000FB510000}"/>
    <cellStyle name="입력 2 2 3 3" xfId="16968" xr:uid="{00000000-0005-0000-0000-0000FC510000}"/>
    <cellStyle name="입력 2 2 3 3 2" xfId="18376" xr:uid="{00000000-0005-0000-0000-0000FD510000}"/>
    <cellStyle name="입력 2 2 3 3 3" xfId="26455" xr:uid="{00000000-0005-0000-0000-0000FE510000}"/>
    <cellStyle name="입력 2 2 3 3 4" xfId="29569" xr:uid="{00000000-0005-0000-0000-0000FF510000}"/>
    <cellStyle name="입력 2 2 3 3 5" xfId="22225" xr:uid="{00000000-0005-0000-0000-000000520000}"/>
    <cellStyle name="입력 2 2 3 4" xfId="16969" xr:uid="{00000000-0005-0000-0000-000001520000}"/>
    <cellStyle name="입력 2 2 3 4 2" xfId="19940" xr:uid="{00000000-0005-0000-0000-000002520000}"/>
    <cellStyle name="입력 2 2 3 4 3" xfId="26931" xr:uid="{00000000-0005-0000-0000-000003520000}"/>
    <cellStyle name="입력 2 2 3 4 4" xfId="30045" xr:uid="{00000000-0005-0000-0000-000004520000}"/>
    <cellStyle name="입력 2 2 3 4 5" xfId="22701" xr:uid="{00000000-0005-0000-0000-000005520000}"/>
    <cellStyle name="입력 2 2 3 5" xfId="23110" xr:uid="{00000000-0005-0000-0000-000006520000}"/>
    <cellStyle name="입력 2 2 3 5 2" xfId="19206" xr:uid="{00000000-0005-0000-0000-000007520000}"/>
    <cellStyle name="입력 2 2 3 5 3" xfId="27340" xr:uid="{00000000-0005-0000-0000-000008520000}"/>
    <cellStyle name="입력 2 2 3 5 4" xfId="30454" xr:uid="{00000000-0005-0000-0000-000009520000}"/>
    <cellStyle name="입력 2 2 3 6" xfId="23511" xr:uid="{00000000-0005-0000-0000-00000A520000}"/>
    <cellStyle name="입력 2 2 3 6 2" xfId="18173" xr:uid="{00000000-0005-0000-0000-00000B520000}"/>
    <cellStyle name="입력 2 2 3 6 3" xfId="27741" xr:uid="{00000000-0005-0000-0000-00000C520000}"/>
    <cellStyle name="입력 2 2 3 6 4" xfId="30855" xr:uid="{00000000-0005-0000-0000-00000D520000}"/>
    <cellStyle name="입력 2 2 3 7" xfId="20642" xr:uid="{00000000-0005-0000-0000-00000E520000}"/>
    <cellStyle name="입력 2 2 3 8" xfId="18947" xr:uid="{00000000-0005-0000-0000-00000F520000}"/>
    <cellStyle name="입력 2 2 3 9" xfId="24890" xr:uid="{00000000-0005-0000-0000-000010520000}"/>
    <cellStyle name="입력 2 2 4" xfId="17633" xr:uid="{00000000-0005-0000-0000-000011520000}"/>
    <cellStyle name="입력 2 2 4 2" xfId="22050" xr:uid="{00000000-0005-0000-0000-000012520000}"/>
    <cellStyle name="입력 2 2 4 2 2" xfId="24475" xr:uid="{00000000-0005-0000-0000-000013520000}"/>
    <cellStyle name="입력 2 2 4 2 3" xfId="26280" xr:uid="{00000000-0005-0000-0000-000014520000}"/>
    <cellStyle name="입력 2 2 4 2 4" xfId="29394" xr:uid="{00000000-0005-0000-0000-000015520000}"/>
    <cellStyle name="입력 2 2 4 3" xfId="22523" xr:uid="{00000000-0005-0000-0000-000016520000}"/>
    <cellStyle name="입력 2 2 4 3 2" xfId="19778" xr:uid="{00000000-0005-0000-0000-000017520000}"/>
    <cellStyle name="입력 2 2 4 3 3" xfId="26753" xr:uid="{00000000-0005-0000-0000-000018520000}"/>
    <cellStyle name="입력 2 2 4 3 4" xfId="29867" xr:uid="{00000000-0005-0000-0000-000019520000}"/>
    <cellStyle name="입력 2 2 4 4" xfId="22968" xr:uid="{00000000-0005-0000-0000-00001A520000}"/>
    <cellStyle name="입력 2 2 4 4 2" xfId="20187" xr:uid="{00000000-0005-0000-0000-00001B520000}"/>
    <cellStyle name="입력 2 2 4 4 3" xfId="27198" xr:uid="{00000000-0005-0000-0000-00001C520000}"/>
    <cellStyle name="입력 2 2 4 4 4" xfId="30312" xr:uid="{00000000-0005-0000-0000-00001D520000}"/>
    <cellStyle name="입력 2 2 4 5" xfId="23341" xr:uid="{00000000-0005-0000-0000-00001E520000}"/>
    <cellStyle name="입력 2 2 4 5 2" xfId="20379" xr:uid="{00000000-0005-0000-0000-00001F520000}"/>
    <cellStyle name="입력 2 2 4 5 3" xfId="27571" xr:uid="{00000000-0005-0000-0000-000020520000}"/>
    <cellStyle name="입력 2 2 4 5 4" xfId="30685" xr:uid="{00000000-0005-0000-0000-000021520000}"/>
    <cellStyle name="입력 2 2 4 6" xfId="24591" xr:uid="{00000000-0005-0000-0000-000022520000}"/>
    <cellStyle name="입력 2 2 4 7" xfId="25729" xr:uid="{00000000-0005-0000-0000-000023520000}"/>
    <cellStyle name="입력 2 2 4 8" xfId="28846" xr:uid="{00000000-0005-0000-0000-000024520000}"/>
    <cellStyle name="입력 2 2 5" xfId="17987" xr:uid="{00000000-0005-0000-0000-000025520000}"/>
    <cellStyle name="입력 2 2 5 2" xfId="20924" xr:uid="{00000000-0005-0000-0000-000026520000}"/>
    <cellStyle name="입력 2 2 5 3" xfId="24414" xr:uid="{00000000-0005-0000-0000-000027520000}"/>
    <cellStyle name="입력 2 2 5 4" xfId="25175" xr:uid="{00000000-0005-0000-0000-000028520000}"/>
    <cellStyle name="입력 2 2 5 5" xfId="28299" xr:uid="{00000000-0005-0000-0000-000029520000}"/>
    <cellStyle name="입력 2 2 6" xfId="18773" xr:uid="{00000000-0005-0000-0000-00002A520000}"/>
    <cellStyle name="입력 2 2 7" xfId="18539" xr:uid="{00000000-0005-0000-0000-00002B520000}"/>
    <cellStyle name="입력 2 2 8" xfId="18684" xr:uid="{00000000-0005-0000-0000-00002C520000}"/>
    <cellStyle name="입력 2 2 9" xfId="17274" xr:uid="{00000000-0005-0000-0000-00002D520000}"/>
    <cellStyle name="입력 2 3" xfId="12140" xr:uid="{00000000-0005-0000-0000-00002E520000}"/>
    <cellStyle name="입력 2 3 2" xfId="14785" xr:uid="{00000000-0005-0000-0000-00002F520000}"/>
    <cellStyle name="입력 2 3 2 10" xfId="25001" xr:uid="{00000000-0005-0000-0000-000030520000}"/>
    <cellStyle name="입력 2 3 2 11" xfId="28125" xr:uid="{00000000-0005-0000-0000-000031520000}"/>
    <cellStyle name="입력 2 3 2 12" xfId="31101" xr:uid="{00000000-0005-0000-0000-000032520000}"/>
    <cellStyle name="입력 2 3 2 13" xfId="17467" xr:uid="{00000000-0005-0000-0000-000033520000}"/>
    <cellStyle name="입력 2 3 2 2" xfId="17988" xr:uid="{00000000-0005-0000-0000-000034520000}"/>
    <cellStyle name="입력 2 3 2 2 2" xfId="22336" xr:uid="{00000000-0005-0000-0000-000035520000}"/>
    <cellStyle name="입력 2 3 2 2 2 2" xfId="19607" xr:uid="{00000000-0005-0000-0000-000036520000}"/>
    <cellStyle name="입력 2 3 2 2 2 3" xfId="26566" xr:uid="{00000000-0005-0000-0000-000037520000}"/>
    <cellStyle name="입력 2 3 2 2 2 4" xfId="29680" xr:uid="{00000000-0005-0000-0000-000038520000}"/>
    <cellStyle name="입력 2 3 2 2 3" xfId="22812" xr:uid="{00000000-0005-0000-0000-000039520000}"/>
    <cellStyle name="입력 2 3 2 2 3 2" xfId="20042" xr:uid="{00000000-0005-0000-0000-00003A520000}"/>
    <cellStyle name="입력 2 3 2 2 3 3" xfId="27042" xr:uid="{00000000-0005-0000-0000-00003B520000}"/>
    <cellStyle name="입력 2 3 2 2 3 4" xfId="30156" xr:uid="{00000000-0005-0000-0000-00003C520000}"/>
    <cellStyle name="입력 2 3 2 2 4" xfId="23195" xr:uid="{00000000-0005-0000-0000-00003D520000}"/>
    <cellStyle name="입력 2 3 2 2 4 2" xfId="19285" xr:uid="{00000000-0005-0000-0000-00003E520000}"/>
    <cellStyle name="입력 2 3 2 2 4 3" xfId="27425" xr:uid="{00000000-0005-0000-0000-00003F520000}"/>
    <cellStyle name="입력 2 3 2 2 4 4" xfId="30539" xr:uid="{00000000-0005-0000-0000-000040520000}"/>
    <cellStyle name="입력 2 3 2 2 5" xfId="23622" xr:uid="{00000000-0005-0000-0000-000041520000}"/>
    <cellStyle name="입력 2 3 2 2 5 2" xfId="18277" xr:uid="{00000000-0005-0000-0000-000042520000}"/>
    <cellStyle name="입력 2 3 2 2 5 3" xfId="27852" xr:uid="{00000000-0005-0000-0000-000043520000}"/>
    <cellStyle name="입력 2 3 2 2 5 4" xfId="30966" xr:uid="{00000000-0005-0000-0000-000044520000}"/>
    <cellStyle name="입력 2 3 2 2 6" xfId="21783" xr:uid="{00000000-0005-0000-0000-000045520000}"/>
    <cellStyle name="입력 2 3 2 2 7" xfId="23936" xr:uid="{00000000-0005-0000-0000-000046520000}"/>
    <cellStyle name="입력 2 3 2 2 8" xfId="26013" xr:uid="{00000000-0005-0000-0000-000047520000}"/>
    <cellStyle name="입력 2 3 2 2 9" xfId="29127" xr:uid="{00000000-0005-0000-0000-000048520000}"/>
    <cellStyle name="입력 2 3 2 3" xfId="17989" xr:uid="{00000000-0005-0000-0000-000049520000}"/>
    <cellStyle name="입력 2 3 2 3 2" xfId="21381" xr:uid="{00000000-0005-0000-0000-00004A520000}"/>
    <cellStyle name="입력 2 3 2 3 3" xfId="24297" xr:uid="{00000000-0005-0000-0000-00004B520000}"/>
    <cellStyle name="입력 2 3 2 3 4" xfId="25568" xr:uid="{00000000-0005-0000-0000-00004C520000}"/>
    <cellStyle name="입력 2 3 2 3 5" xfId="28685" xr:uid="{00000000-0005-0000-0000-00004D520000}"/>
    <cellStyle name="입력 2 3 2 4" xfId="21889" xr:uid="{00000000-0005-0000-0000-00004E520000}"/>
    <cellStyle name="입력 2 3 2 4 2" xfId="24554" xr:uid="{00000000-0005-0000-0000-00004F520000}"/>
    <cellStyle name="입력 2 3 2 4 3" xfId="26119" xr:uid="{00000000-0005-0000-0000-000050520000}"/>
    <cellStyle name="입력 2 3 2 4 4" xfId="29233" xr:uid="{00000000-0005-0000-0000-000051520000}"/>
    <cellStyle name="입력 2 3 2 5" xfId="21285" xr:uid="{00000000-0005-0000-0000-000052520000}"/>
    <cellStyle name="입력 2 3 2 5 2" xfId="19432" xr:uid="{00000000-0005-0000-0000-000053520000}"/>
    <cellStyle name="입력 2 3 2 5 3" xfId="25498" xr:uid="{00000000-0005-0000-0000-000054520000}"/>
    <cellStyle name="입력 2 3 2 5 4" xfId="28615" xr:uid="{00000000-0005-0000-0000-000055520000}"/>
    <cellStyle name="입력 2 3 2 6" xfId="21050" xr:uid="{00000000-0005-0000-0000-000056520000}"/>
    <cellStyle name="입력 2 3 2 6 2" xfId="24253" xr:uid="{00000000-0005-0000-0000-000057520000}"/>
    <cellStyle name="입력 2 3 2 6 3" xfId="25295" xr:uid="{00000000-0005-0000-0000-000058520000}"/>
    <cellStyle name="입력 2 3 2 6 4" xfId="28419" xr:uid="{00000000-0005-0000-0000-000059520000}"/>
    <cellStyle name="입력 2 3 2 7" xfId="21041" xr:uid="{00000000-0005-0000-0000-00005A520000}"/>
    <cellStyle name="입력 2 3 2 7 2" xfId="24239" xr:uid="{00000000-0005-0000-0000-00005B520000}"/>
    <cellStyle name="입력 2 3 2 7 3" xfId="25286" xr:uid="{00000000-0005-0000-0000-00005C520000}"/>
    <cellStyle name="입력 2 3 2 7 4" xfId="28410" xr:uid="{00000000-0005-0000-0000-00005D520000}"/>
    <cellStyle name="입력 2 3 2 8" xfId="20753" xr:uid="{00000000-0005-0000-0000-00005E520000}"/>
    <cellStyle name="입력 2 3 2 9" xfId="19056" xr:uid="{00000000-0005-0000-0000-00005F520000}"/>
    <cellStyle name="입력 2 3 3" xfId="15411" xr:uid="{00000000-0005-0000-0000-000060520000}"/>
    <cellStyle name="입력 2 3 3 10" xfId="28015" xr:uid="{00000000-0005-0000-0000-000061520000}"/>
    <cellStyle name="입력 2 3 3 11" xfId="17553" xr:uid="{00000000-0005-0000-0000-000062520000}"/>
    <cellStyle name="입력 2 3 3 2" xfId="15276" xr:uid="{00000000-0005-0000-0000-000063520000}"/>
    <cellStyle name="입력 2 3 3 2 2" xfId="24563" xr:uid="{00000000-0005-0000-0000-000064520000}"/>
    <cellStyle name="입력 2 3 3 2 3" xfId="25903" xr:uid="{00000000-0005-0000-0000-000065520000}"/>
    <cellStyle name="입력 2 3 3 2 4" xfId="29017" xr:uid="{00000000-0005-0000-0000-000066520000}"/>
    <cellStyle name="입력 2 3 3 2 5" xfId="21673" xr:uid="{00000000-0005-0000-0000-000067520000}"/>
    <cellStyle name="입력 2 3 3 3" xfId="16970" xr:uid="{00000000-0005-0000-0000-000068520000}"/>
    <cellStyle name="입력 2 3 3 3 2" xfId="18377" xr:uid="{00000000-0005-0000-0000-000069520000}"/>
    <cellStyle name="입력 2 3 3 3 3" xfId="26456" xr:uid="{00000000-0005-0000-0000-00006A520000}"/>
    <cellStyle name="입력 2 3 3 3 4" xfId="29570" xr:uid="{00000000-0005-0000-0000-00006B520000}"/>
    <cellStyle name="입력 2 3 3 3 5" xfId="22226" xr:uid="{00000000-0005-0000-0000-00006C520000}"/>
    <cellStyle name="입력 2 3 3 4" xfId="16971" xr:uid="{00000000-0005-0000-0000-00006D520000}"/>
    <cellStyle name="입력 2 3 3 4 2" xfId="19941" xr:uid="{00000000-0005-0000-0000-00006E520000}"/>
    <cellStyle name="입력 2 3 3 4 3" xfId="26932" xr:uid="{00000000-0005-0000-0000-00006F520000}"/>
    <cellStyle name="입력 2 3 3 4 4" xfId="30046" xr:uid="{00000000-0005-0000-0000-000070520000}"/>
    <cellStyle name="입력 2 3 3 4 5" xfId="22702" xr:uid="{00000000-0005-0000-0000-000071520000}"/>
    <cellStyle name="입력 2 3 3 5" xfId="23111" xr:uid="{00000000-0005-0000-0000-000072520000}"/>
    <cellStyle name="입력 2 3 3 5 2" xfId="19207" xr:uid="{00000000-0005-0000-0000-000073520000}"/>
    <cellStyle name="입력 2 3 3 5 3" xfId="27341" xr:uid="{00000000-0005-0000-0000-000074520000}"/>
    <cellStyle name="입력 2 3 3 5 4" xfId="30455" xr:uid="{00000000-0005-0000-0000-000075520000}"/>
    <cellStyle name="입력 2 3 3 6" xfId="23512" xr:uid="{00000000-0005-0000-0000-000076520000}"/>
    <cellStyle name="입력 2 3 3 6 2" xfId="18174" xr:uid="{00000000-0005-0000-0000-000077520000}"/>
    <cellStyle name="입력 2 3 3 6 3" xfId="27742" xr:uid="{00000000-0005-0000-0000-000078520000}"/>
    <cellStyle name="입력 2 3 3 6 4" xfId="30856" xr:uid="{00000000-0005-0000-0000-000079520000}"/>
    <cellStyle name="입력 2 3 3 7" xfId="20643" xr:uid="{00000000-0005-0000-0000-00007A520000}"/>
    <cellStyle name="입력 2 3 3 8" xfId="18948" xr:uid="{00000000-0005-0000-0000-00007B520000}"/>
    <cellStyle name="입력 2 3 3 9" xfId="24891" xr:uid="{00000000-0005-0000-0000-00007C520000}"/>
    <cellStyle name="입력 2 3 4" xfId="17632" xr:uid="{00000000-0005-0000-0000-00007D520000}"/>
    <cellStyle name="입력 2 3 4 2" xfId="22051" xr:uid="{00000000-0005-0000-0000-00007E520000}"/>
    <cellStyle name="입력 2 3 4 2 2" xfId="24302" xr:uid="{00000000-0005-0000-0000-00007F520000}"/>
    <cellStyle name="입력 2 3 4 2 3" xfId="26281" xr:uid="{00000000-0005-0000-0000-000080520000}"/>
    <cellStyle name="입력 2 3 4 2 4" xfId="29395" xr:uid="{00000000-0005-0000-0000-000081520000}"/>
    <cellStyle name="입력 2 3 4 3" xfId="22524" xr:uid="{00000000-0005-0000-0000-000082520000}"/>
    <cellStyle name="입력 2 3 4 3 2" xfId="19779" xr:uid="{00000000-0005-0000-0000-000083520000}"/>
    <cellStyle name="입력 2 3 4 3 3" xfId="26754" xr:uid="{00000000-0005-0000-0000-000084520000}"/>
    <cellStyle name="입력 2 3 4 3 4" xfId="29868" xr:uid="{00000000-0005-0000-0000-000085520000}"/>
    <cellStyle name="입력 2 3 4 4" xfId="22969" xr:uid="{00000000-0005-0000-0000-000086520000}"/>
    <cellStyle name="입력 2 3 4 4 2" xfId="20188" xr:uid="{00000000-0005-0000-0000-000087520000}"/>
    <cellStyle name="입력 2 3 4 4 3" xfId="27199" xr:uid="{00000000-0005-0000-0000-000088520000}"/>
    <cellStyle name="입력 2 3 4 4 4" xfId="30313" xr:uid="{00000000-0005-0000-0000-000089520000}"/>
    <cellStyle name="입력 2 3 4 5" xfId="23342" xr:uid="{00000000-0005-0000-0000-00008A520000}"/>
    <cellStyle name="입력 2 3 4 5 2" xfId="19381" xr:uid="{00000000-0005-0000-0000-00008B520000}"/>
    <cellStyle name="입력 2 3 4 5 3" xfId="27572" xr:uid="{00000000-0005-0000-0000-00008C520000}"/>
    <cellStyle name="입력 2 3 4 5 4" xfId="30686" xr:uid="{00000000-0005-0000-0000-00008D520000}"/>
    <cellStyle name="입력 2 3 4 6" xfId="24461" xr:uid="{00000000-0005-0000-0000-00008E520000}"/>
    <cellStyle name="입력 2 3 4 7" xfId="25730" xr:uid="{00000000-0005-0000-0000-00008F520000}"/>
    <cellStyle name="입력 2 3 4 8" xfId="28847" xr:uid="{00000000-0005-0000-0000-000090520000}"/>
    <cellStyle name="입력 2 3 5" xfId="17990" xr:uid="{00000000-0005-0000-0000-000091520000}"/>
    <cellStyle name="입력 2 3 5 2" xfId="20925" xr:uid="{00000000-0005-0000-0000-000092520000}"/>
    <cellStyle name="입력 2 3 5 3" xfId="24243" xr:uid="{00000000-0005-0000-0000-000093520000}"/>
    <cellStyle name="입력 2 3 5 4" xfId="25176" xr:uid="{00000000-0005-0000-0000-000094520000}"/>
    <cellStyle name="입력 2 3 5 5" xfId="28300" xr:uid="{00000000-0005-0000-0000-000095520000}"/>
    <cellStyle name="입력 2 3 6" xfId="18774" xr:uid="{00000000-0005-0000-0000-000096520000}"/>
    <cellStyle name="입력 2 3 7" xfId="18538" xr:uid="{00000000-0005-0000-0000-000097520000}"/>
    <cellStyle name="입력 2 3 8" xfId="18685" xr:uid="{00000000-0005-0000-0000-000098520000}"/>
    <cellStyle name="입력 2 3 9" xfId="17275" xr:uid="{00000000-0005-0000-0000-000099520000}"/>
    <cellStyle name="입력 2 4" xfId="12141" xr:uid="{00000000-0005-0000-0000-00009A520000}"/>
    <cellStyle name="입력 2 4 2" xfId="14786" xr:uid="{00000000-0005-0000-0000-00009B520000}"/>
    <cellStyle name="입력 2 4 2 10" xfId="25002" xr:uid="{00000000-0005-0000-0000-00009C520000}"/>
    <cellStyle name="입력 2 4 2 11" xfId="28126" xr:uid="{00000000-0005-0000-0000-00009D520000}"/>
    <cellStyle name="입력 2 4 2 12" xfId="31102" xr:uid="{00000000-0005-0000-0000-00009E520000}"/>
    <cellStyle name="입력 2 4 2 13" xfId="17466" xr:uid="{00000000-0005-0000-0000-00009F520000}"/>
    <cellStyle name="입력 2 4 2 2" xfId="17991" xr:uid="{00000000-0005-0000-0000-0000A0520000}"/>
    <cellStyle name="입력 2 4 2 2 2" xfId="22337" xr:uid="{00000000-0005-0000-0000-0000A1520000}"/>
    <cellStyle name="입력 2 4 2 2 2 2" xfId="19387" xr:uid="{00000000-0005-0000-0000-0000A2520000}"/>
    <cellStyle name="입력 2 4 2 2 2 3" xfId="26567" xr:uid="{00000000-0005-0000-0000-0000A3520000}"/>
    <cellStyle name="입력 2 4 2 2 2 4" xfId="29681" xr:uid="{00000000-0005-0000-0000-0000A4520000}"/>
    <cellStyle name="입력 2 4 2 2 3" xfId="22813" xr:uid="{00000000-0005-0000-0000-0000A5520000}"/>
    <cellStyle name="입력 2 4 2 2 3 2" xfId="20043" xr:uid="{00000000-0005-0000-0000-0000A6520000}"/>
    <cellStyle name="입력 2 4 2 2 3 3" xfId="27043" xr:uid="{00000000-0005-0000-0000-0000A7520000}"/>
    <cellStyle name="입력 2 4 2 2 3 4" xfId="30157" xr:uid="{00000000-0005-0000-0000-0000A8520000}"/>
    <cellStyle name="입력 2 4 2 2 4" xfId="23196" xr:uid="{00000000-0005-0000-0000-0000A9520000}"/>
    <cellStyle name="입력 2 4 2 2 4 2" xfId="19286" xr:uid="{00000000-0005-0000-0000-0000AA520000}"/>
    <cellStyle name="입력 2 4 2 2 4 3" xfId="27426" xr:uid="{00000000-0005-0000-0000-0000AB520000}"/>
    <cellStyle name="입력 2 4 2 2 4 4" xfId="30540" xr:uid="{00000000-0005-0000-0000-0000AC520000}"/>
    <cellStyle name="입력 2 4 2 2 5" xfId="23623" xr:uid="{00000000-0005-0000-0000-0000AD520000}"/>
    <cellStyle name="입력 2 4 2 2 5 2" xfId="18278" xr:uid="{00000000-0005-0000-0000-0000AE520000}"/>
    <cellStyle name="입력 2 4 2 2 5 3" xfId="27853" xr:uid="{00000000-0005-0000-0000-0000AF520000}"/>
    <cellStyle name="입력 2 4 2 2 5 4" xfId="30967" xr:uid="{00000000-0005-0000-0000-0000B0520000}"/>
    <cellStyle name="입력 2 4 2 2 6" xfId="21784" xr:uid="{00000000-0005-0000-0000-0000B1520000}"/>
    <cellStyle name="입력 2 4 2 2 7" xfId="24747" xr:uid="{00000000-0005-0000-0000-0000B2520000}"/>
    <cellStyle name="입력 2 4 2 2 8" xfId="26014" xr:uid="{00000000-0005-0000-0000-0000B3520000}"/>
    <cellStyle name="입력 2 4 2 2 9" xfId="29128" xr:uid="{00000000-0005-0000-0000-0000B4520000}"/>
    <cellStyle name="입력 2 4 2 3" xfId="17992" xr:uid="{00000000-0005-0000-0000-0000B5520000}"/>
    <cellStyle name="입력 2 4 2 3 2" xfId="21382" xr:uid="{00000000-0005-0000-0000-0000B6520000}"/>
    <cellStyle name="입력 2 4 2 3 3" xfId="24115" xr:uid="{00000000-0005-0000-0000-0000B7520000}"/>
    <cellStyle name="입력 2 4 2 3 4" xfId="25569" xr:uid="{00000000-0005-0000-0000-0000B8520000}"/>
    <cellStyle name="입력 2 4 2 3 5" xfId="28686" xr:uid="{00000000-0005-0000-0000-0000B9520000}"/>
    <cellStyle name="입력 2 4 2 4" xfId="21890" xr:uid="{00000000-0005-0000-0000-0000BA520000}"/>
    <cellStyle name="입력 2 4 2 4 2" xfId="24378" xr:uid="{00000000-0005-0000-0000-0000BB520000}"/>
    <cellStyle name="입력 2 4 2 4 3" xfId="26120" xr:uid="{00000000-0005-0000-0000-0000BC520000}"/>
    <cellStyle name="입력 2 4 2 4 4" xfId="29234" xr:uid="{00000000-0005-0000-0000-0000BD520000}"/>
    <cellStyle name="입력 2 4 2 5" xfId="21286" xr:uid="{00000000-0005-0000-0000-0000BE520000}"/>
    <cellStyle name="입력 2 4 2 5 2" xfId="19433" xr:uid="{00000000-0005-0000-0000-0000BF520000}"/>
    <cellStyle name="입력 2 4 2 5 3" xfId="25499" xr:uid="{00000000-0005-0000-0000-0000C0520000}"/>
    <cellStyle name="입력 2 4 2 5 4" xfId="28616" xr:uid="{00000000-0005-0000-0000-0000C1520000}"/>
    <cellStyle name="입력 2 4 2 6" xfId="21099" xr:uid="{00000000-0005-0000-0000-0000C2520000}"/>
    <cellStyle name="입력 2 4 2 6 2" xfId="24513" xr:uid="{00000000-0005-0000-0000-0000C3520000}"/>
    <cellStyle name="입력 2 4 2 6 3" xfId="25344" xr:uid="{00000000-0005-0000-0000-0000C4520000}"/>
    <cellStyle name="입력 2 4 2 6 4" xfId="28468" xr:uid="{00000000-0005-0000-0000-0000C5520000}"/>
    <cellStyle name="입력 2 4 2 7" xfId="20991" xr:uid="{00000000-0005-0000-0000-0000C6520000}"/>
    <cellStyle name="입력 2 4 2 7 2" xfId="23959" xr:uid="{00000000-0005-0000-0000-0000C7520000}"/>
    <cellStyle name="입력 2 4 2 7 3" xfId="25239" xr:uid="{00000000-0005-0000-0000-0000C8520000}"/>
    <cellStyle name="입력 2 4 2 7 4" xfId="28363" xr:uid="{00000000-0005-0000-0000-0000C9520000}"/>
    <cellStyle name="입력 2 4 2 8" xfId="20754" xr:uid="{00000000-0005-0000-0000-0000CA520000}"/>
    <cellStyle name="입력 2 4 2 9" xfId="19057" xr:uid="{00000000-0005-0000-0000-0000CB520000}"/>
    <cellStyle name="입력 2 4 3" xfId="15412" xr:uid="{00000000-0005-0000-0000-0000CC520000}"/>
    <cellStyle name="입력 2 4 3 10" xfId="28016" xr:uid="{00000000-0005-0000-0000-0000CD520000}"/>
    <cellStyle name="입력 2 4 3 11" xfId="17552" xr:uid="{00000000-0005-0000-0000-0000CE520000}"/>
    <cellStyle name="입력 2 4 3 2" xfId="15602" xr:uid="{00000000-0005-0000-0000-0000CF520000}"/>
    <cellStyle name="입력 2 4 3 2 2" xfId="24387" xr:uid="{00000000-0005-0000-0000-0000D0520000}"/>
    <cellStyle name="입력 2 4 3 2 3" xfId="25904" xr:uid="{00000000-0005-0000-0000-0000D1520000}"/>
    <cellStyle name="입력 2 4 3 2 4" xfId="29018" xr:uid="{00000000-0005-0000-0000-0000D2520000}"/>
    <cellStyle name="입력 2 4 3 2 5" xfId="21674" xr:uid="{00000000-0005-0000-0000-0000D3520000}"/>
    <cellStyle name="입력 2 4 3 3" xfId="16972" xr:uid="{00000000-0005-0000-0000-0000D4520000}"/>
    <cellStyle name="입력 2 4 3 3 2" xfId="18378" xr:uid="{00000000-0005-0000-0000-0000D5520000}"/>
    <cellStyle name="입력 2 4 3 3 3" xfId="26457" xr:uid="{00000000-0005-0000-0000-0000D6520000}"/>
    <cellStyle name="입력 2 4 3 3 4" xfId="29571" xr:uid="{00000000-0005-0000-0000-0000D7520000}"/>
    <cellStyle name="입력 2 4 3 3 5" xfId="22227" xr:uid="{00000000-0005-0000-0000-0000D8520000}"/>
    <cellStyle name="입력 2 4 3 4" xfId="16973" xr:uid="{00000000-0005-0000-0000-0000D9520000}"/>
    <cellStyle name="입력 2 4 3 4 2" xfId="23872" xr:uid="{00000000-0005-0000-0000-0000DA520000}"/>
    <cellStyle name="입력 2 4 3 4 3" xfId="26933" xr:uid="{00000000-0005-0000-0000-0000DB520000}"/>
    <cellStyle name="입력 2 4 3 4 4" xfId="30047" xr:uid="{00000000-0005-0000-0000-0000DC520000}"/>
    <cellStyle name="입력 2 4 3 4 5" xfId="22703" xr:uid="{00000000-0005-0000-0000-0000DD520000}"/>
    <cellStyle name="입력 2 4 3 5" xfId="23112" xr:uid="{00000000-0005-0000-0000-0000DE520000}"/>
    <cellStyle name="입력 2 4 3 5 2" xfId="23837" xr:uid="{00000000-0005-0000-0000-0000DF520000}"/>
    <cellStyle name="입력 2 4 3 5 3" xfId="27342" xr:uid="{00000000-0005-0000-0000-0000E0520000}"/>
    <cellStyle name="입력 2 4 3 5 4" xfId="30456" xr:uid="{00000000-0005-0000-0000-0000E1520000}"/>
    <cellStyle name="입력 2 4 3 6" xfId="23513" xr:uid="{00000000-0005-0000-0000-0000E2520000}"/>
    <cellStyle name="입력 2 4 3 6 2" xfId="18175" xr:uid="{00000000-0005-0000-0000-0000E3520000}"/>
    <cellStyle name="입력 2 4 3 6 3" xfId="27743" xr:uid="{00000000-0005-0000-0000-0000E4520000}"/>
    <cellStyle name="입력 2 4 3 6 4" xfId="30857" xr:uid="{00000000-0005-0000-0000-0000E5520000}"/>
    <cellStyle name="입력 2 4 3 7" xfId="20644" xr:uid="{00000000-0005-0000-0000-0000E6520000}"/>
    <cellStyle name="입력 2 4 3 8" xfId="18949" xr:uid="{00000000-0005-0000-0000-0000E7520000}"/>
    <cellStyle name="입력 2 4 3 9" xfId="24892" xr:uid="{00000000-0005-0000-0000-0000E8520000}"/>
    <cellStyle name="입력 2 4 4" xfId="17715" xr:uid="{00000000-0005-0000-0000-0000E9520000}"/>
    <cellStyle name="입력 2 4 4 2" xfId="22052" xr:uid="{00000000-0005-0000-0000-0000EA520000}"/>
    <cellStyle name="입력 2 4 4 2 2" xfId="24120" xr:uid="{00000000-0005-0000-0000-0000EB520000}"/>
    <cellStyle name="입력 2 4 4 2 3" xfId="26282" xr:uid="{00000000-0005-0000-0000-0000EC520000}"/>
    <cellStyle name="입력 2 4 4 2 4" xfId="29396" xr:uid="{00000000-0005-0000-0000-0000ED520000}"/>
    <cellStyle name="입력 2 4 4 3" xfId="22525" xr:uid="{00000000-0005-0000-0000-0000EE520000}"/>
    <cellStyle name="입력 2 4 4 3 2" xfId="19780" xr:uid="{00000000-0005-0000-0000-0000EF520000}"/>
    <cellStyle name="입력 2 4 4 3 3" xfId="26755" xr:uid="{00000000-0005-0000-0000-0000F0520000}"/>
    <cellStyle name="입력 2 4 4 3 4" xfId="29869" xr:uid="{00000000-0005-0000-0000-0000F1520000}"/>
    <cellStyle name="입력 2 4 4 4" xfId="22970" xr:uid="{00000000-0005-0000-0000-0000F2520000}"/>
    <cellStyle name="입력 2 4 4 4 2" xfId="20189" xr:uid="{00000000-0005-0000-0000-0000F3520000}"/>
    <cellStyle name="입력 2 4 4 4 3" xfId="27200" xr:uid="{00000000-0005-0000-0000-0000F4520000}"/>
    <cellStyle name="입력 2 4 4 4 4" xfId="30314" xr:uid="{00000000-0005-0000-0000-0000F5520000}"/>
    <cellStyle name="입력 2 4 4 5" xfId="23343" xr:uid="{00000000-0005-0000-0000-0000F6520000}"/>
    <cellStyle name="입력 2 4 4 5 2" xfId="20380" xr:uid="{00000000-0005-0000-0000-0000F7520000}"/>
    <cellStyle name="입력 2 4 4 5 3" xfId="27573" xr:uid="{00000000-0005-0000-0000-0000F8520000}"/>
    <cellStyle name="입력 2 4 4 5 4" xfId="30687" xr:uid="{00000000-0005-0000-0000-0000F9520000}"/>
    <cellStyle name="입력 2 4 4 6" xfId="24288" xr:uid="{00000000-0005-0000-0000-0000FA520000}"/>
    <cellStyle name="입력 2 4 4 7" xfId="25731" xr:uid="{00000000-0005-0000-0000-0000FB520000}"/>
    <cellStyle name="입력 2 4 4 8" xfId="28848" xr:uid="{00000000-0005-0000-0000-0000FC520000}"/>
    <cellStyle name="입력 2 4 5" xfId="17993" xr:uid="{00000000-0005-0000-0000-0000FD520000}"/>
    <cellStyle name="입력 2 4 5 2" xfId="20926" xr:uid="{00000000-0005-0000-0000-0000FE520000}"/>
    <cellStyle name="입력 2 4 5 3" xfId="24033" xr:uid="{00000000-0005-0000-0000-0000FF520000}"/>
    <cellStyle name="입력 2 4 5 4" xfId="25177" xr:uid="{00000000-0005-0000-0000-000000530000}"/>
    <cellStyle name="입력 2 4 5 5" xfId="28301" xr:uid="{00000000-0005-0000-0000-000001530000}"/>
    <cellStyle name="입력 2 4 6" xfId="18775" xr:uid="{00000000-0005-0000-0000-000002530000}"/>
    <cellStyle name="입력 2 4 7" xfId="18537" xr:uid="{00000000-0005-0000-0000-000003530000}"/>
    <cellStyle name="입력 2 4 8" xfId="18686" xr:uid="{00000000-0005-0000-0000-000004530000}"/>
    <cellStyle name="입력 2 4 9" xfId="17276" xr:uid="{00000000-0005-0000-0000-000005530000}"/>
    <cellStyle name="입력 2 5" xfId="12142" xr:uid="{00000000-0005-0000-0000-000006530000}"/>
    <cellStyle name="입력 2 5 2" xfId="14787" xr:uid="{00000000-0005-0000-0000-000007530000}"/>
    <cellStyle name="입력 2 5 2 10" xfId="25003" xr:uid="{00000000-0005-0000-0000-000008530000}"/>
    <cellStyle name="입력 2 5 2 11" xfId="28127" xr:uid="{00000000-0005-0000-0000-000009530000}"/>
    <cellStyle name="입력 2 5 2 12" xfId="31103" xr:uid="{00000000-0005-0000-0000-00000A530000}"/>
    <cellStyle name="입력 2 5 2 13" xfId="17465" xr:uid="{00000000-0005-0000-0000-00000B530000}"/>
    <cellStyle name="입력 2 5 2 2" xfId="17994" xr:uid="{00000000-0005-0000-0000-00000C530000}"/>
    <cellStyle name="입력 2 5 2 2 2" xfId="22338" xr:uid="{00000000-0005-0000-0000-00000D530000}"/>
    <cellStyle name="입력 2 5 2 2 2 2" xfId="24043" xr:uid="{00000000-0005-0000-0000-00000E530000}"/>
    <cellStyle name="입력 2 5 2 2 2 3" xfId="26568" xr:uid="{00000000-0005-0000-0000-00000F530000}"/>
    <cellStyle name="입력 2 5 2 2 2 4" xfId="29682" xr:uid="{00000000-0005-0000-0000-000010530000}"/>
    <cellStyle name="입력 2 5 2 2 3" xfId="22814" xr:uid="{00000000-0005-0000-0000-000011530000}"/>
    <cellStyle name="입력 2 5 2 2 3 2" xfId="23847" xr:uid="{00000000-0005-0000-0000-000012530000}"/>
    <cellStyle name="입력 2 5 2 2 3 3" xfId="27044" xr:uid="{00000000-0005-0000-0000-000013530000}"/>
    <cellStyle name="입력 2 5 2 2 3 4" xfId="30158" xr:uid="{00000000-0005-0000-0000-000014530000}"/>
    <cellStyle name="입력 2 5 2 2 4" xfId="23197" xr:uid="{00000000-0005-0000-0000-000015530000}"/>
    <cellStyle name="입력 2 5 2 2 4 2" xfId="19287" xr:uid="{00000000-0005-0000-0000-000016530000}"/>
    <cellStyle name="입력 2 5 2 2 4 3" xfId="27427" xr:uid="{00000000-0005-0000-0000-000017530000}"/>
    <cellStyle name="입력 2 5 2 2 4 4" xfId="30541" xr:uid="{00000000-0005-0000-0000-000018530000}"/>
    <cellStyle name="입력 2 5 2 2 5" xfId="23624" xr:uid="{00000000-0005-0000-0000-000019530000}"/>
    <cellStyle name="입력 2 5 2 2 5 2" xfId="18279" xr:uid="{00000000-0005-0000-0000-00001A530000}"/>
    <cellStyle name="입력 2 5 2 2 5 3" xfId="27854" xr:uid="{00000000-0005-0000-0000-00001B530000}"/>
    <cellStyle name="입력 2 5 2 2 5 4" xfId="30968" xr:uid="{00000000-0005-0000-0000-00001C530000}"/>
    <cellStyle name="입력 2 5 2 2 6" xfId="21785" xr:uid="{00000000-0005-0000-0000-00001D530000}"/>
    <cellStyle name="입력 2 5 2 2 7" xfId="24613" xr:uid="{00000000-0005-0000-0000-00001E530000}"/>
    <cellStyle name="입력 2 5 2 2 8" xfId="26015" xr:uid="{00000000-0005-0000-0000-00001F530000}"/>
    <cellStyle name="입력 2 5 2 2 9" xfId="29129" xr:uid="{00000000-0005-0000-0000-000020530000}"/>
    <cellStyle name="입력 2 5 2 3" xfId="17995" xr:uid="{00000000-0005-0000-0000-000021530000}"/>
    <cellStyle name="입력 2 5 2 3 2" xfId="21383" xr:uid="{00000000-0005-0000-0000-000022530000}"/>
    <cellStyle name="입력 2 5 2 3 3" xfId="19321" xr:uid="{00000000-0005-0000-0000-000023530000}"/>
    <cellStyle name="입력 2 5 2 3 4" xfId="25570" xr:uid="{00000000-0005-0000-0000-000024530000}"/>
    <cellStyle name="입력 2 5 2 3 5" xfId="28687" xr:uid="{00000000-0005-0000-0000-000025530000}"/>
    <cellStyle name="입력 2 5 2 4" xfId="21891" xr:uid="{00000000-0005-0000-0000-000026530000}"/>
    <cellStyle name="입력 2 5 2 4 2" xfId="24207" xr:uid="{00000000-0005-0000-0000-000027530000}"/>
    <cellStyle name="입력 2 5 2 4 3" xfId="26121" xr:uid="{00000000-0005-0000-0000-000028530000}"/>
    <cellStyle name="입력 2 5 2 4 4" xfId="29235" xr:uid="{00000000-0005-0000-0000-000029530000}"/>
    <cellStyle name="입력 2 5 2 5" xfId="21287" xr:uid="{00000000-0005-0000-0000-00002A530000}"/>
    <cellStyle name="입력 2 5 2 5 2" xfId="19434" xr:uid="{00000000-0005-0000-0000-00002B530000}"/>
    <cellStyle name="입력 2 5 2 5 3" xfId="25500" xr:uid="{00000000-0005-0000-0000-00002C530000}"/>
    <cellStyle name="입력 2 5 2 5 4" xfId="28617" xr:uid="{00000000-0005-0000-0000-00002D530000}"/>
    <cellStyle name="입력 2 5 2 6" xfId="21051" xr:uid="{00000000-0005-0000-0000-00002E530000}"/>
    <cellStyle name="입력 2 5 2 6 2" xfId="24070" xr:uid="{00000000-0005-0000-0000-00002F530000}"/>
    <cellStyle name="입력 2 5 2 6 3" xfId="25296" xr:uid="{00000000-0005-0000-0000-000030530000}"/>
    <cellStyle name="입력 2 5 2 6 4" xfId="28420" xr:uid="{00000000-0005-0000-0000-000031530000}"/>
    <cellStyle name="입력 2 5 2 7" xfId="20984" xr:uid="{00000000-0005-0000-0000-000032530000}"/>
    <cellStyle name="입력 2 5 2 7 2" xfId="23713" xr:uid="{00000000-0005-0000-0000-000033530000}"/>
    <cellStyle name="입력 2 5 2 7 3" xfId="25232" xr:uid="{00000000-0005-0000-0000-000034530000}"/>
    <cellStyle name="입력 2 5 2 7 4" xfId="28356" xr:uid="{00000000-0005-0000-0000-000035530000}"/>
    <cellStyle name="입력 2 5 2 8" xfId="20755" xr:uid="{00000000-0005-0000-0000-000036530000}"/>
    <cellStyle name="입력 2 5 2 9" xfId="19058" xr:uid="{00000000-0005-0000-0000-000037530000}"/>
    <cellStyle name="입력 2 5 3" xfId="15413" xr:uid="{00000000-0005-0000-0000-000038530000}"/>
    <cellStyle name="입력 2 5 3 10" xfId="28017" xr:uid="{00000000-0005-0000-0000-000039530000}"/>
    <cellStyle name="입력 2 5 3 11" xfId="17551" xr:uid="{00000000-0005-0000-0000-00003A530000}"/>
    <cellStyle name="입력 2 5 3 2" xfId="15275" xr:uid="{00000000-0005-0000-0000-00003B530000}"/>
    <cellStyle name="입력 2 5 3 2 2" xfId="24216" xr:uid="{00000000-0005-0000-0000-00003C530000}"/>
    <cellStyle name="입력 2 5 3 2 3" xfId="25905" xr:uid="{00000000-0005-0000-0000-00003D530000}"/>
    <cellStyle name="입력 2 5 3 2 4" xfId="29019" xr:uid="{00000000-0005-0000-0000-00003E530000}"/>
    <cellStyle name="입력 2 5 3 2 5" xfId="21675" xr:uid="{00000000-0005-0000-0000-00003F530000}"/>
    <cellStyle name="입력 2 5 3 3" xfId="16974" xr:uid="{00000000-0005-0000-0000-000040530000}"/>
    <cellStyle name="입력 2 5 3 3 2" xfId="18379" xr:uid="{00000000-0005-0000-0000-000041530000}"/>
    <cellStyle name="입력 2 5 3 3 3" xfId="26458" xr:uid="{00000000-0005-0000-0000-000042530000}"/>
    <cellStyle name="입력 2 5 3 3 4" xfId="29572" xr:uid="{00000000-0005-0000-0000-000043530000}"/>
    <cellStyle name="입력 2 5 3 3 5" xfId="22228" xr:uid="{00000000-0005-0000-0000-000044530000}"/>
    <cellStyle name="입력 2 5 3 4" xfId="16975" xr:uid="{00000000-0005-0000-0000-000045530000}"/>
    <cellStyle name="입력 2 5 3 4 2" xfId="19942" xr:uid="{00000000-0005-0000-0000-000046530000}"/>
    <cellStyle name="입력 2 5 3 4 3" xfId="26934" xr:uid="{00000000-0005-0000-0000-000047530000}"/>
    <cellStyle name="입력 2 5 3 4 4" xfId="30048" xr:uid="{00000000-0005-0000-0000-000048530000}"/>
    <cellStyle name="입력 2 5 3 4 5" xfId="22704" xr:uid="{00000000-0005-0000-0000-000049530000}"/>
    <cellStyle name="입력 2 5 3 5" xfId="23113" xr:uid="{00000000-0005-0000-0000-00004A530000}"/>
    <cellStyle name="입력 2 5 3 5 2" xfId="19208" xr:uid="{00000000-0005-0000-0000-00004B530000}"/>
    <cellStyle name="입력 2 5 3 5 3" xfId="27343" xr:uid="{00000000-0005-0000-0000-00004C530000}"/>
    <cellStyle name="입력 2 5 3 5 4" xfId="30457" xr:uid="{00000000-0005-0000-0000-00004D530000}"/>
    <cellStyle name="입력 2 5 3 6" xfId="23514" xr:uid="{00000000-0005-0000-0000-00004E530000}"/>
    <cellStyle name="입력 2 5 3 6 2" xfId="18176" xr:uid="{00000000-0005-0000-0000-00004F530000}"/>
    <cellStyle name="입력 2 5 3 6 3" xfId="27744" xr:uid="{00000000-0005-0000-0000-000050530000}"/>
    <cellStyle name="입력 2 5 3 6 4" xfId="30858" xr:uid="{00000000-0005-0000-0000-000051530000}"/>
    <cellStyle name="입력 2 5 3 7" xfId="20645" xr:uid="{00000000-0005-0000-0000-000052530000}"/>
    <cellStyle name="입력 2 5 3 8" xfId="18950" xr:uid="{00000000-0005-0000-0000-000053530000}"/>
    <cellStyle name="입력 2 5 3 9" xfId="24893" xr:uid="{00000000-0005-0000-0000-000054530000}"/>
    <cellStyle name="입력 2 5 4" xfId="17631" xr:uid="{00000000-0005-0000-0000-000055530000}"/>
    <cellStyle name="입력 2 5 4 2" xfId="22053" xr:uid="{00000000-0005-0000-0000-000056530000}"/>
    <cellStyle name="입력 2 5 4 2 2" xfId="19316" xr:uid="{00000000-0005-0000-0000-000057530000}"/>
    <cellStyle name="입력 2 5 4 2 3" xfId="26283" xr:uid="{00000000-0005-0000-0000-000058530000}"/>
    <cellStyle name="입력 2 5 4 2 4" xfId="29397" xr:uid="{00000000-0005-0000-0000-000059530000}"/>
    <cellStyle name="입력 2 5 4 3" xfId="22526" xr:uid="{00000000-0005-0000-0000-00005A530000}"/>
    <cellStyle name="입력 2 5 4 3 2" xfId="19781" xr:uid="{00000000-0005-0000-0000-00005B530000}"/>
    <cellStyle name="입력 2 5 4 3 3" xfId="26756" xr:uid="{00000000-0005-0000-0000-00005C530000}"/>
    <cellStyle name="입력 2 5 4 3 4" xfId="29870" xr:uid="{00000000-0005-0000-0000-00005D530000}"/>
    <cellStyle name="입력 2 5 4 4" xfId="22971" xr:uid="{00000000-0005-0000-0000-00005E530000}"/>
    <cellStyle name="입력 2 5 4 4 2" xfId="20190" xr:uid="{00000000-0005-0000-0000-00005F530000}"/>
    <cellStyle name="입력 2 5 4 4 3" xfId="27201" xr:uid="{00000000-0005-0000-0000-000060530000}"/>
    <cellStyle name="입력 2 5 4 4 4" xfId="30315" xr:uid="{00000000-0005-0000-0000-000061530000}"/>
    <cellStyle name="입력 2 5 4 5" xfId="23344" xr:uid="{00000000-0005-0000-0000-000062530000}"/>
    <cellStyle name="입력 2 5 4 5 2" xfId="20381" xr:uid="{00000000-0005-0000-0000-000063530000}"/>
    <cellStyle name="입력 2 5 4 5 3" xfId="27574" xr:uid="{00000000-0005-0000-0000-000064530000}"/>
    <cellStyle name="입력 2 5 4 5 4" xfId="30688" xr:uid="{00000000-0005-0000-0000-000065530000}"/>
    <cellStyle name="입력 2 5 4 6" xfId="24106" xr:uid="{00000000-0005-0000-0000-000066530000}"/>
    <cellStyle name="입력 2 5 4 7" xfId="25732" xr:uid="{00000000-0005-0000-0000-000067530000}"/>
    <cellStyle name="입력 2 5 4 8" xfId="28849" xr:uid="{00000000-0005-0000-0000-000068530000}"/>
    <cellStyle name="입력 2 5 5" xfId="17996" xr:uid="{00000000-0005-0000-0000-000069530000}"/>
    <cellStyle name="입력 2 5 5 2" xfId="20927" xr:uid="{00000000-0005-0000-0000-00006A530000}"/>
    <cellStyle name="입력 2 5 5 3" xfId="24626" xr:uid="{00000000-0005-0000-0000-00006B530000}"/>
    <cellStyle name="입력 2 5 5 4" xfId="25178" xr:uid="{00000000-0005-0000-0000-00006C530000}"/>
    <cellStyle name="입력 2 5 5 5" xfId="28302" xr:uid="{00000000-0005-0000-0000-00006D530000}"/>
    <cellStyle name="입력 2 5 6" xfId="18776" xr:uid="{00000000-0005-0000-0000-00006E530000}"/>
    <cellStyle name="입력 2 5 7" xfId="24510" xr:uid="{00000000-0005-0000-0000-00006F530000}"/>
    <cellStyle name="입력 2 5 8" xfId="25406" xr:uid="{00000000-0005-0000-0000-000070530000}"/>
    <cellStyle name="입력 2 5 9" xfId="17277" xr:uid="{00000000-0005-0000-0000-000071530000}"/>
    <cellStyle name="입력 2 6" xfId="12143" xr:uid="{00000000-0005-0000-0000-000072530000}"/>
    <cellStyle name="입력 2 6 2" xfId="14788" xr:uid="{00000000-0005-0000-0000-000073530000}"/>
    <cellStyle name="입력 2 6 2 10" xfId="25004" xr:uid="{00000000-0005-0000-0000-000074530000}"/>
    <cellStyle name="입력 2 6 2 11" xfId="28128" xr:uid="{00000000-0005-0000-0000-000075530000}"/>
    <cellStyle name="입력 2 6 2 12" xfId="31104" xr:uid="{00000000-0005-0000-0000-000076530000}"/>
    <cellStyle name="입력 2 6 2 13" xfId="17464" xr:uid="{00000000-0005-0000-0000-000077530000}"/>
    <cellStyle name="입력 2 6 2 2" xfId="17997" xr:uid="{00000000-0005-0000-0000-000078530000}"/>
    <cellStyle name="입력 2 6 2 2 2" xfId="22339" xr:uid="{00000000-0005-0000-0000-000079530000}"/>
    <cellStyle name="입력 2 6 2 2 2 2" xfId="21174" xr:uid="{00000000-0005-0000-0000-00007A530000}"/>
    <cellStyle name="입력 2 6 2 2 2 3" xfId="26569" xr:uid="{00000000-0005-0000-0000-00007B530000}"/>
    <cellStyle name="입력 2 6 2 2 2 4" xfId="29683" xr:uid="{00000000-0005-0000-0000-00007C530000}"/>
    <cellStyle name="입력 2 6 2 2 3" xfId="22815" xr:uid="{00000000-0005-0000-0000-00007D530000}"/>
    <cellStyle name="입력 2 6 2 2 3 2" xfId="20044" xr:uid="{00000000-0005-0000-0000-00007E530000}"/>
    <cellStyle name="입력 2 6 2 2 3 3" xfId="27045" xr:uid="{00000000-0005-0000-0000-00007F530000}"/>
    <cellStyle name="입력 2 6 2 2 3 4" xfId="30159" xr:uid="{00000000-0005-0000-0000-000080530000}"/>
    <cellStyle name="입력 2 6 2 2 4" xfId="23198" xr:uid="{00000000-0005-0000-0000-000081530000}"/>
    <cellStyle name="입력 2 6 2 2 4 2" xfId="19288" xr:uid="{00000000-0005-0000-0000-000082530000}"/>
    <cellStyle name="입력 2 6 2 2 4 3" xfId="27428" xr:uid="{00000000-0005-0000-0000-000083530000}"/>
    <cellStyle name="입력 2 6 2 2 4 4" xfId="30542" xr:uid="{00000000-0005-0000-0000-000084530000}"/>
    <cellStyle name="입력 2 6 2 2 5" xfId="23625" xr:uid="{00000000-0005-0000-0000-000085530000}"/>
    <cellStyle name="입력 2 6 2 2 5 2" xfId="18280" xr:uid="{00000000-0005-0000-0000-000086530000}"/>
    <cellStyle name="입력 2 6 2 2 5 3" xfId="27855" xr:uid="{00000000-0005-0000-0000-000087530000}"/>
    <cellStyle name="입력 2 6 2 2 5 4" xfId="30969" xr:uid="{00000000-0005-0000-0000-000088530000}"/>
    <cellStyle name="입력 2 6 2 2 6" xfId="21786" xr:uid="{00000000-0005-0000-0000-000089530000}"/>
    <cellStyle name="입력 2 6 2 2 7" xfId="24486" xr:uid="{00000000-0005-0000-0000-00008A530000}"/>
    <cellStyle name="입력 2 6 2 2 8" xfId="26016" xr:uid="{00000000-0005-0000-0000-00008B530000}"/>
    <cellStyle name="입력 2 6 2 2 9" xfId="29130" xr:uid="{00000000-0005-0000-0000-00008C530000}"/>
    <cellStyle name="입력 2 6 2 3" xfId="17998" xr:uid="{00000000-0005-0000-0000-00008D530000}"/>
    <cellStyle name="입력 2 6 2 3 2" xfId="21384" xr:uid="{00000000-0005-0000-0000-00008E530000}"/>
    <cellStyle name="입력 2 6 2 3 3" xfId="23951" xr:uid="{00000000-0005-0000-0000-00008F530000}"/>
    <cellStyle name="입력 2 6 2 3 4" xfId="25571" xr:uid="{00000000-0005-0000-0000-000090530000}"/>
    <cellStyle name="입력 2 6 2 3 5" xfId="28688" xr:uid="{00000000-0005-0000-0000-000091530000}"/>
    <cellStyle name="입력 2 6 2 4" xfId="21892" xr:uid="{00000000-0005-0000-0000-000092530000}"/>
    <cellStyle name="입력 2 6 2 4 2" xfId="23999" xr:uid="{00000000-0005-0000-0000-000093530000}"/>
    <cellStyle name="입력 2 6 2 4 3" xfId="26122" xr:uid="{00000000-0005-0000-0000-000094530000}"/>
    <cellStyle name="입력 2 6 2 4 4" xfId="29236" xr:uid="{00000000-0005-0000-0000-000095530000}"/>
    <cellStyle name="입력 2 6 2 5" xfId="21288" xr:uid="{00000000-0005-0000-0000-000096530000}"/>
    <cellStyle name="입력 2 6 2 5 2" xfId="23741" xr:uid="{00000000-0005-0000-0000-000097530000}"/>
    <cellStyle name="입력 2 6 2 5 3" xfId="25501" xr:uid="{00000000-0005-0000-0000-000098530000}"/>
    <cellStyle name="입력 2 6 2 5 4" xfId="28618" xr:uid="{00000000-0005-0000-0000-000099530000}"/>
    <cellStyle name="입력 2 6 2 6" xfId="21056" xr:uid="{00000000-0005-0000-0000-00009A530000}"/>
    <cellStyle name="입력 2 6 2 6 2" xfId="24340" xr:uid="{00000000-0005-0000-0000-00009B530000}"/>
    <cellStyle name="입력 2 6 2 6 3" xfId="25301" xr:uid="{00000000-0005-0000-0000-00009C530000}"/>
    <cellStyle name="입력 2 6 2 6 4" xfId="28425" xr:uid="{00000000-0005-0000-0000-00009D530000}"/>
    <cellStyle name="입력 2 6 2 7" xfId="23024" xr:uid="{00000000-0005-0000-0000-00009E530000}"/>
    <cellStyle name="입력 2 6 2 7 2" xfId="20237" xr:uid="{00000000-0005-0000-0000-00009F530000}"/>
    <cellStyle name="입력 2 6 2 7 3" xfId="27254" xr:uid="{00000000-0005-0000-0000-0000A0530000}"/>
    <cellStyle name="입력 2 6 2 7 4" xfId="30368" xr:uid="{00000000-0005-0000-0000-0000A1530000}"/>
    <cellStyle name="입력 2 6 2 8" xfId="20756" xr:uid="{00000000-0005-0000-0000-0000A2530000}"/>
    <cellStyle name="입력 2 6 2 9" xfId="19059" xr:uid="{00000000-0005-0000-0000-0000A3530000}"/>
    <cellStyle name="입력 2 6 3" xfId="15414" xr:uid="{00000000-0005-0000-0000-0000A4530000}"/>
    <cellStyle name="입력 2 6 3 10" xfId="28018" xr:uid="{00000000-0005-0000-0000-0000A5530000}"/>
    <cellStyle name="입력 2 6 3 11" xfId="17550" xr:uid="{00000000-0005-0000-0000-0000A6530000}"/>
    <cellStyle name="입력 2 6 3 2" xfId="15274" xr:uid="{00000000-0005-0000-0000-0000A7530000}"/>
    <cellStyle name="입력 2 6 3 2 2" xfId="24008" xr:uid="{00000000-0005-0000-0000-0000A8530000}"/>
    <cellStyle name="입력 2 6 3 2 3" xfId="25906" xr:uid="{00000000-0005-0000-0000-0000A9530000}"/>
    <cellStyle name="입력 2 6 3 2 4" xfId="29020" xr:uid="{00000000-0005-0000-0000-0000AA530000}"/>
    <cellStyle name="입력 2 6 3 2 5" xfId="21676" xr:uid="{00000000-0005-0000-0000-0000AB530000}"/>
    <cellStyle name="입력 2 6 3 3" xfId="16976" xr:uid="{00000000-0005-0000-0000-0000AC530000}"/>
    <cellStyle name="입력 2 6 3 3 2" xfId="18380" xr:uid="{00000000-0005-0000-0000-0000AD530000}"/>
    <cellStyle name="입력 2 6 3 3 3" xfId="26459" xr:uid="{00000000-0005-0000-0000-0000AE530000}"/>
    <cellStyle name="입력 2 6 3 3 4" xfId="29573" xr:uid="{00000000-0005-0000-0000-0000AF530000}"/>
    <cellStyle name="입력 2 6 3 3 5" xfId="22229" xr:uid="{00000000-0005-0000-0000-0000B0530000}"/>
    <cellStyle name="입력 2 6 3 4" xfId="16977" xr:uid="{00000000-0005-0000-0000-0000B1530000}"/>
    <cellStyle name="입력 2 6 3 4 2" xfId="19943" xr:uid="{00000000-0005-0000-0000-0000B2530000}"/>
    <cellStyle name="입력 2 6 3 4 3" xfId="26935" xr:uid="{00000000-0005-0000-0000-0000B3530000}"/>
    <cellStyle name="입력 2 6 3 4 4" xfId="30049" xr:uid="{00000000-0005-0000-0000-0000B4530000}"/>
    <cellStyle name="입력 2 6 3 4 5" xfId="22705" xr:uid="{00000000-0005-0000-0000-0000B5530000}"/>
    <cellStyle name="입력 2 6 3 5" xfId="23114" xr:uid="{00000000-0005-0000-0000-0000B6530000}"/>
    <cellStyle name="입력 2 6 3 5 2" xfId="19209" xr:uid="{00000000-0005-0000-0000-0000B7530000}"/>
    <cellStyle name="입력 2 6 3 5 3" xfId="27344" xr:uid="{00000000-0005-0000-0000-0000B8530000}"/>
    <cellStyle name="입력 2 6 3 5 4" xfId="30458" xr:uid="{00000000-0005-0000-0000-0000B9530000}"/>
    <cellStyle name="입력 2 6 3 6" xfId="23515" xr:uid="{00000000-0005-0000-0000-0000BA530000}"/>
    <cellStyle name="입력 2 6 3 6 2" xfId="18177" xr:uid="{00000000-0005-0000-0000-0000BB530000}"/>
    <cellStyle name="입력 2 6 3 6 3" xfId="27745" xr:uid="{00000000-0005-0000-0000-0000BC530000}"/>
    <cellStyle name="입력 2 6 3 6 4" xfId="30859" xr:uid="{00000000-0005-0000-0000-0000BD530000}"/>
    <cellStyle name="입력 2 6 3 7" xfId="20646" xr:uid="{00000000-0005-0000-0000-0000BE530000}"/>
    <cellStyle name="입력 2 6 3 8" xfId="18951" xr:uid="{00000000-0005-0000-0000-0000BF530000}"/>
    <cellStyle name="입력 2 6 3 9" xfId="24894" xr:uid="{00000000-0005-0000-0000-0000C0530000}"/>
    <cellStyle name="입력 2 6 4" xfId="17630" xr:uid="{00000000-0005-0000-0000-0000C1530000}"/>
    <cellStyle name="입력 2 6 4 2" xfId="22054" xr:uid="{00000000-0005-0000-0000-0000C2530000}"/>
    <cellStyle name="입력 2 6 4 2 2" xfId="19557" xr:uid="{00000000-0005-0000-0000-0000C3530000}"/>
    <cellStyle name="입력 2 6 4 2 3" xfId="26284" xr:uid="{00000000-0005-0000-0000-0000C4530000}"/>
    <cellStyle name="입력 2 6 4 2 4" xfId="29398" xr:uid="{00000000-0005-0000-0000-0000C5530000}"/>
    <cellStyle name="입력 2 6 4 3" xfId="22527" xr:uid="{00000000-0005-0000-0000-0000C6530000}"/>
    <cellStyle name="입력 2 6 4 3 2" xfId="19782" xr:uid="{00000000-0005-0000-0000-0000C7530000}"/>
    <cellStyle name="입력 2 6 4 3 3" xfId="26757" xr:uid="{00000000-0005-0000-0000-0000C8530000}"/>
    <cellStyle name="입력 2 6 4 3 4" xfId="29871" xr:uid="{00000000-0005-0000-0000-0000C9530000}"/>
    <cellStyle name="입력 2 6 4 4" xfId="22972" xr:uid="{00000000-0005-0000-0000-0000CA530000}"/>
    <cellStyle name="입력 2 6 4 4 2" xfId="20191" xr:uid="{00000000-0005-0000-0000-0000CB530000}"/>
    <cellStyle name="입력 2 6 4 4 3" xfId="27202" xr:uid="{00000000-0005-0000-0000-0000CC530000}"/>
    <cellStyle name="입력 2 6 4 4 4" xfId="30316" xr:uid="{00000000-0005-0000-0000-0000CD530000}"/>
    <cellStyle name="입력 2 6 4 5" xfId="23345" xr:uid="{00000000-0005-0000-0000-0000CE530000}"/>
    <cellStyle name="입력 2 6 4 5 2" xfId="20382" xr:uid="{00000000-0005-0000-0000-0000CF530000}"/>
    <cellStyle name="입력 2 6 4 5 3" xfId="27575" xr:uid="{00000000-0005-0000-0000-0000D0530000}"/>
    <cellStyle name="입력 2 6 4 5 4" xfId="30689" xr:uid="{00000000-0005-0000-0000-0000D1530000}"/>
    <cellStyle name="입력 2 6 4 6" xfId="19330" xr:uid="{00000000-0005-0000-0000-0000D2530000}"/>
    <cellStyle name="입력 2 6 4 7" xfId="25733" xr:uid="{00000000-0005-0000-0000-0000D3530000}"/>
    <cellStyle name="입력 2 6 4 8" xfId="28850" xr:uid="{00000000-0005-0000-0000-0000D4530000}"/>
    <cellStyle name="입력 2 6 5" xfId="17999" xr:uid="{00000000-0005-0000-0000-0000D5530000}"/>
    <cellStyle name="입력 2 6 5 2" xfId="20928" xr:uid="{00000000-0005-0000-0000-0000D6530000}"/>
    <cellStyle name="입력 2 6 5 3" xfId="24541" xr:uid="{00000000-0005-0000-0000-0000D7530000}"/>
    <cellStyle name="입력 2 6 5 4" xfId="25179" xr:uid="{00000000-0005-0000-0000-0000D8530000}"/>
    <cellStyle name="입력 2 6 5 5" xfId="28303" xr:uid="{00000000-0005-0000-0000-0000D9530000}"/>
    <cellStyle name="입력 2 6 6" xfId="18777" xr:uid="{00000000-0005-0000-0000-0000DA530000}"/>
    <cellStyle name="입력 2 6 7" xfId="18536" xr:uid="{00000000-0005-0000-0000-0000DB530000}"/>
    <cellStyle name="입력 2 6 8" xfId="18687" xr:uid="{00000000-0005-0000-0000-0000DC530000}"/>
    <cellStyle name="입력 2 6 9" xfId="17278" xr:uid="{00000000-0005-0000-0000-0000DD530000}"/>
    <cellStyle name="입력 2 7" xfId="12144" xr:uid="{00000000-0005-0000-0000-0000DE530000}"/>
    <cellStyle name="입력 2 7 2" xfId="14789" xr:uid="{00000000-0005-0000-0000-0000DF530000}"/>
    <cellStyle name="입력 2 7 2 10" xfId="25005" xr:uid="{00000000-0005-0000-0000-0000E0530000}"/>
    <cellStyle name="입력 2 7 2 11" xfId="28129" xr:uid="{00000000-0005-0000-0000-0000E1530000}"/>
    <cellStyle name="입력 2 7 2 12" xfId="31105" xr:uid="{00000000-0005-0000-0000-0000E2530000}"/>
    <cellStyle name="입력 2 7 2 13" xfId="17463" xr:uid="{00000000-0005-0000-0000-0000E3530000}"/>
    <cellStyle name="입력 2 7 2 2" xfId="18000" xr:uid="{00000000-0005-0000-0000-0000E4530000}"/>
    <cellStyle name="입력 2 7 2 2 2" xfId="22340" xr:uid="{00000000-0005-0000-0000-0000E5530000}"/>
    <cellStyle name="입력 2 7 2 2 2 2" xfId="19608" xr:uid="{00000000-0005-0000-0000-0000E6530000}"/>
    <cellStyle name="입력 2 7 2 2 2 3" xfId="26570" xr:uid="{00000000-0005-0000-0000-0000E7530000}"/>
    <cellStyle name="입력 2 7 2 2 2 4" xfId="29684" xr:uid="{00000000-0005-0000-0000-0000E8530000}"/>
    <cellStyle name="입력 2 7 2 2 3" xfId="22816" xr:uid="{00000000-0005-0000-0000-0000E9530000}"/>
    <cellStyle name="입력 2 7 2 2 3 2" xfId="20045" xr:uid="{00000000-0005-0000-0000-0000EA530000}"/>
    <cellStyle name="입력 2 7 2 2 3 3" xfId="27046" xr:uid="{00000000-0005-0000-0000-0000EB530000}"/>
    <cellStyle name="입력 2 7 2 2 3 4" xfId="30160" xr:uid="{00000000-0005-0000-0000-0000EC530000}"/>
    <cellStyle name="입력 2 7 2 2 4" xfId="23199" xr:uid="{00000000-0005-0000-0000-0000ED530000}"/>
    <cellStyle name="입력 2 7 2 2 4 2" xfId="19289" xr:uid="{00000000-0005-0000-0000-0000EE530000}"/>
    <cellStyle name="입력 2 7 2 2 4 3" xfId="27429" xr:uid="{00000000-0005-0000-0000-0000EF530000}"/>
    <cellStyle name="입력 2 7 2 2 4 4" xfId="30543" xr:uid="{00000000-0005-0000-0000-0000F0530000}"/>
    <cellStyle name="입력 2 7 2 2 5" xfId="23626" xr:uid="{00000000-0005-0000-0000-0000F1530000}"/>
    <cellStyle name="입력 2 7 2 2 5 2" xfId="18281" xr:uid="{00000000-0005-0000-0000-0000F2530000}"/>
    <cellStyle name="입력 2 7 2 2 5 3" xfId="27856" xr:uid="{00000000-0005-0000-0000-0000F3530000}"/>
    <cellStyle name="입력 2 7 2 2 5 4" xfId="30970" xr:uid="{00000000-0005-0000-0000-0000F4530000}"/>
    <cellStyle name="입력 2 7 2 2 6" xfId="21787" xr:uid="{00000000-0005-0000-0000-0000F5530000}"/>
    <cellStyle name="입력 2 7 2 2 7" xfId="24313" xr:uid="{00000000-0005-0000-0000-0000F6530000}"/>
    <cellStyle name="입력 2 7 2 2 8" xfId="26017" xr:uid="{00000000-0005-0000-0000-0000F7530000}"/>
    <cellStyle name="입력 2 7 2 2 9" xfId="29131" xr:uid="{00000000-0005-0000-0000-0000F8530000}"/>
    <cellStyle name="입력 2 7 2 3" xfId="18001" xr:uid="{00000000-0005-0000-0000-0000F9530000}"/>
    <cellStyle name="입력 2 7 2 3 2" xfId="21385" xr:uid="{00000000-0005-0000-0000-0000FA530000}"/>
    <cellStyle name="입력 2 7 2 3 3" xfId="24762" xr:uid="{00000000-0005-0000-0000-0000FB530000}"/>
    <cellStyle name="입력 2 7 2 3 4" xfId="25572" xr:uid="{00000000-0005-0000-0000-0000FC530000}"/>
    <cellStyle name="입력 2 7 2 3 5" xfId="28689" xr:uid="{00000000-0005-0000-0000-0000FD530000}"/>
    <cellStyle name="입력 2 7 2 4" xfId="21893" xr:uid="{00000000-0005-0000-0000-0000FE530000}"/>
    <cellStyle name="입력 2 7 2 4 2" xfId="24710" xr:uid="{00000000-0005-0000-0000-0000FF530000}"/>
    <cellStyle name="입력 2 7 2 4 3" xfId="26123" xr:uid="{00000000-0005-0000-0000-000000540000}"/>
    <cellStyle name="입력 2 7 2 4 4" xfId="29237" xr:uid="{00000000-0005-0000-0000-000001540000}"/>
    <cellStyle name="입력 2 7 2 5" xfId="21289" xr:uid="{00000000-0005-0000-0000-000002540000}"/>
    <cellStyle name="입력 2 7 2 5 2" xfId="24662" xr:uid="{00000000-0005-0000-0000-000003540000}"/>
    <cellStyle name="입력 2 7 2 5 3" xfId="25502" xr:uid="{00000000-0005-0000-0000-000004540000}"/>
    <cellStyle name="입력 2 7 2 5 4" xfId="28619" xr:uid="{00000000-0005-0000-0000-000005540000}"/>
    <cellStyle name="입력 2 7 2 6" xfId="21008" xr:uid="{00000000-0005-0000-0000-000006540000}"/>
    <cellStyle name="입력 2 7 2 6 2" xfId="23915" xr:uid="{00000000-0005-0000-0000-000007540000}"/>
    <cellStyle name="입력 2 7 2 6 3" xfId="25253" xr:uid="{00000000-0005-0000-0000-000008540000}"/>
    <cellStyle name="입력 2 7 2 6 4" xfId="28377" xr:uid="{00000000-0005-0000-0000-000009540000}"/>
    <cellStyle name="입력 2 7 2 7" xfId="21035" xr:uid="{00000000-0005-0000-0000-00000A540000}"/>
    <cellStyle name="입력 2 7 2 7 2" xfId="24161" xr:uid="{00000000-0005-0000-0000-00000B540000}"/>
    <cellStyle name="입력 2 7 2 7 3" xfId="25280" xr:uid="{00000000-0005-0000-0000-00000C540000}"/>
    <cellStyle name="입력 2 7 2 7 4" xfId="28404" xr:uid="{00000000-0005-0000-0000-00000D540000}"/>
    <cellStyle name="입력 2 7 2 8" xfId="20757" xr:uid="{00000000-0005-0000-0000-00000E540000}"/>
    <cellStyle name="입력 2 7 2 9" xfId="19060" xr:uid="{00000000-0005-0000-0000-00000F540000}"/>
    <cellStyle name="입력 2 7 3" xfId="15415" xr:uid="{00000000-0005-0000-0000-000010540000}"/>
    <cellStyle name="입력 2 7 3 10" xfId="28019" xr:uid="{00000000-0005-0000-0000-000011540000}"/>
    <cellStyle name="입력 2 7 3 11" xfId="17549" xr:uid="{00000000-0005-0000-0000-000012540000}"/>
    <cellStyle name="입력 2 7 3 2" xfId="15273" xr:uid="{00000000-0005-0000-0000-000013540000}"/>
    <cellStyle name="입력 2 7 3 2 2" xfId="24719" xr:uid="{00000000-0005-0000-0000-000014540000}"/>
    <cellStyle name="입력 2 7 3 2 3" xfId="25907" xr:uid="{00000000-0005-0000-0000-000015540000}"/>
    <cellStyle name="입력 2 7 3 2 4" xfId="29021" xr:uid="{00000000-0005-0000-0000-000016540000}"/>
    <cellStyle name="입력 2 7 3 2 5" xfId="21677" xr:uid="{00000000-0005-0000-0000-000017540000}"/>
    <cellStyle name="입력 2 7 3 3" xfId="16978" xr:uid="{00000000-0005-0000-0000-000018540000}"/>
    <cellStyle name="입력 2 7 3 3 2" xfId="18381" xr:uid="{00000000-0005-0000-0000-000019540000}"/>
    <cellStyle name="입력 2 7 3 3 3" xfId="26460" xr:uid="{00000000-0005-0000-0000-00001A540000}"/>
    <cellStyle name="입력 2 7 3 3 4" xfId="29574" xr:uid="{00000000-0005-0000-0000-00001B540000}"/>
    <cellStyle name="입력 2 7 3 3 5" xfId="22230" xr:uid="{00000000-0005-0000-0000-00001C540000}"/>
    <cellStyle name="입력 2 7 3 4" xfId="16979" xr:uid="{00000000-0005-0000-0000-00001D540000}"/>
    <cellStyle name="입력 2 7 3 4 2" xfId="19944" xr:uid="{00000000-0005-0000-0000-00001E540000}"/>
    <cellStyle name="입력 2 7 3 4 3" xfId="26936" xr:uid="{00000000-0005-0000-0000-00001F540000}"/>
    <cellStyle name="입력 2 7 3 4 4" xfId="30050" xr:uid="{00000000-0005-0000-0000-000020540000}"/>
    <cellStyle name="입력 2 7 3 4 5" xfId="22706" xr:uid="{00000000-0005-0000-0000-000021540000}"/>
    <cellStyle name="입력 2 7 3 5" xfId="23115" xr:uid="{00000000-0005-0000-0000-000022540000}"/>
    <cellStyle name="입력 2 7 3 5 2" xfId="19210" xr:uid="{00000000-0005-0000-0000-000023540000}"/>
    <cellStyle name="입력 2 7 3 5 3" xfId="27345" xr:uid="{00000000-0005-0000-0000-000024540000}"/>
    <cellStyle name="입력 2 7 3 5 4" xfId="30459" xr:uid="{00000000-0005-0000-0000-000025540000}"/>
    <cellStyle name="입력 2 7 3 6" xfId="23516" xr:uid="{00000000-0005-0000-0000-000026540000}"/>
    <cellStyle name="입력 2 7 3 6 2" xfId="18178" xr:uid="{00000000-0005-0000-0000-000027540000}"/>
    <cellStyle name="입력 2 7 3 6 3" xfId="27746" xr:uid="{00000000-0005-0000-0000-000028540000}"/>
    <cellStyle name="입력 2 7 3 6 4" xfId="30860" xr:uid="{00000000-0005-0000-0000-000029540000}"/>
    <cellStyle name="입력 2 7 3 7" xfId="20647" xr:uid="{00000000-0005-0000-0000-00002A540000}"/>
    <cellStyle name="입력 2 7 3 8" xfId="18952" xr:uid="{00000000-0005-0000-0000-00002B540000}"/>
    <cellStyle name="입력 2 7 3 9" xfId="24895" xr:uid="{00000000-0005-0000-0000-00002C540000}"/>
    <cellStyle name="입력 2 7 4" xfId="17629" xr:uid="{00000000-0005-0000-0000-00002D540000}"/>
    <cellStyle name="입력 2 7 4 2" xfId="22055" xr:uid="{00000000-0005-0000-0000-00002E540000}"/>
    <cellStyle name="입력 2 7 4 2 2" xfId="23716" xr:uid="{00000000-0005-0000-0000-00002F540000}"/>
    <cellStyle name="입력 2 7 4 2 3" xfId="26285" xr:uid="{00000000-0005-0000-0000-000030540000}"/>
    <cellStyle name="입력 2 7 4 2 4" xfId="29399" xr:uid="{00000000-0005-0000-0000-000031540000}"/>
    <cellStyle name="입력 2 7 4 3" xfId="22528" xr:uid="{00000000-0005-0000-0000-000032540000}"/>
    <cellStyle name="입력 2 7 4 3 2" xfId="19783" xr:uid="{00000000-0005-0000-0000-000033540000}"/>
    <cellStyle name="입력 2 7 4 3 3" xfId="26758" xr:uid="{00000000-0005-0000-0000-000034540000}"/>
    <cellStyle name="입력 2 7 4 3 4" xfId="29872" xr:uid="{00000000-0005-0000-0000-000035540000}"/>
    <cellStyle name="입력 2 7 4 4" xfId="22973" xr:uid="{00000000-0005-0000-0000-000036540000}"/>
    <cellStyle name="입력 2 7 4 4 2" xfId="20192" xr:uid="{00000000-0005-0000-0000-000037540000}"/>
    <cellStyle name="입력 2 7 4 4 3" xfId="27203" xr:uid="{00000000-0005-0000-0000-000038540000}"/>
    <cellStyle name="입력 2 7 4 4 4" xfId="30317" xr:uid="{00000000-0005-0000-0000-000039540000}"/>
    <cellStyle name="입력 2 7 4 5" xfId="23346" xr:uid="{00000000-0005-0000-0000-00003A540000}"/>
    <cellStyle name="입력 2 7 4 5 2" xfId="20383" xr:uid="{00000000-0005-0000-0000-00003B540000}"/>
    <cellStyle name="입력 2 7 4 5 3" xfId="27576" xr:uid="{00000000-0005-0000-0000-00003C540000}"/>
    <cellStyle name="입력 2 7 4 5 4" xfId="30690" xr:uid="{00000000-0005-0000-0000-00003D540000}"/>
    <cellStyle name="입력 2 7 4 6" xfId="23764" xr:uid="{00000000-0005-0000-0000-00003E540000}"/>
    <cellStyle name="입력 2 7 4 7" xfId="25734" xr:uid="{00000000-0005-0000-0000-00003F540000}"/>
    <cellStyle name="입력 2 7 4 8" xfId="28851" xr:uid="{00000000-0005-0000-0000-000040540000}"/>
    <cellStyle name="입력 2 7 5" xfId="18002" xr:uid="{00000000-0005-0000-0000-000041540000}"/>
    <cellStyle name="입력 2 7 5 2" xfId="20929" xr:uid="{00000000-0005-0000-0000-000042540000}"/>
    <cellStyle name="입력 2 7 5 3" xfId="24365" xr:uid="{00000000-0005-0000-0000-000043540000}"/>
    <cellStyle name="입력 2 7 5 4" xfId="25180" xr:uid="{00000000-0005-0000-0000-000044540000}"/>
    <cellStyle name="입력 2 7 5 5" xfId="28304" xr:uid="{00000000-0005-0000-0000-000045540000}"/>
    <cellStyle name="입력 2 7 6" xfId="18778" xr:uid="{00000000-0005-0000-0000-000046540000}"/>
    <cellStyle name="입력 2 7 7" xfId="18535" xr:uid="{00000000-0005-0000-0000-000047540000}"/>
    <cellStyle name="입력 2 7 8" xfId="18688" xr:uid="{00000000-0005-0000-0000-000048540000}"/>
    <cellStyle name="입력 2 7 9" xfId="17279" xr:uid="{00000000-0005-0000-0000-000049540000}"/>
    <cellStyle name="입력 2 8" xfId="14783" xr:uid="{00000000-0005-0000-0000-00004A540000}"/>
    <cellStyle name="입력 2 8 10" xfId="24999" xr:uid="{00000000-0005-0000-0000-00004B540000}"/>
    <cellStyle name="입력 2 8 11" xfId="28123" xr:uid="{00000000-0005-0000-0000-00004C540000}"/>
    <cellStyle name="입력 2 8 12" xfId="31099" xr:uid="{00000000-0005-0000-0000-00004D540000}"/>
    <cellStyle name="입력 2 8 13" xfId="17365" xr:uid="{00000000-0005-0000-0000-00004E540000}"/>
    <cellStyle name="입력 2 8 2" xfId="18003" xr:uid="{00000000-0005-0000-0000-00004F540000}"/>
    <cellStyle name="입력 2 8 2 2" xfId="22334" xr:uid="{00000000-0005-0000-0000-000050540000}"/>
    <cellStyle name="입력 2 8 2 2 2" xfId="19605" xr:uid="{00000000-0005-0000-0000-000051540000}"/>
    <cellStyle name="입력 2 8 2 2 3" xfId="26564" xr:uid="{00000000-0005-0000-0000-000052540000}"/>
    <cellStyle name="입력 2 8 2 2 4" xfId="29678" xr:uid="{00000000-0005-0000-0000-000053540000}"/>
    <cellStyle name="입력 2 8 2 3" xfId="22810" xr:uid="{00000000-0005-0000-0000-000054540000}"/>
    <cellStyle name="입력 2 8 2 3 2" xfId="20040" xr:uid="{00000000-0005-0000-0000-000055540000}"/>
    <cellStyle name="입력 2 8 2 3 3" xfId="27040" xr:uid="{00000000-0005-0000-0000-000056540000}"/>
    <cellStyle name="입력 2 8 2 3 4" xfId="30154" xr:uid="{00000000-0005-0000-0000-000057540000}"/>
    <cellStyle name="입력 2 8 2 4" xfId="23193" xr:uid="{00000000-0005-0000-0000-000058540000}"/>
    <cellStyle name="입력 2 8 2 4 2" xfId="19283" xr:uid="{00000000-0005-0000-0000-000059540000}"/>
    <cellStyle name="입력 2 8 2 4 3" xfId="27423" xr:uid="{00000000-0005-0000-0000-00005A540000}"/>
    <cellStyle name="입력 2 8 2 4 4" xfId="30537" xr:uid="{00000000-0005-0000-0000-00005B540000}"/>
    <cellStyle name="입력 2 8 2 5" xfId="23620" xr:uid="{00000000-0005-0000-0000-00005C540000}"/>
    <cellStyle name="입력 2 8 2 5 2" xfId="18275" xr:uid="{00000000-0005-0000-0000-00005D540000}"/>
    <cellStyle name="입력 2 8 2 5 3" xfId="27850" xr:uid="{00000000-0005-0000-0000-00005E540000}"/>
    <cellStyle name="입력 2 8 2 5 4" xfId="30964" xr:uid="{00000000-0005-0000-0000-00005F540000}"/>
    <cellStyle name="입력 2 8 2 6" xfId="21781" xr:uid="{00000000-0005-0000-0000-000060540000}"/>
    <cellStyle name="입력 2 8 2 7" xfId="23887" xr:uid="{00000000-0005-0000-0000-000061540000}"/>
    <cellStyle name="입력 2 8 2 8" xfId="26011" xr:uid="{00000000-0005-0000-0000-000062540000}"/>
    <cellStyle name="입력 2 8 2 9" xfId="29125" xr:uid="{00000000-0005-0000-0000-000063540000}"/>
    <cellStyle name="입력 2 8 3" xfId="18004" xr:uid="{00000000-0005-0000-0000-000064540000}"/>
    <cellStyle name="입력 2 8 3 2" xfId="21379" xr:uid="{00000000-0005-0000-0000-000065540000}"/>
    <cellStyle name="입력 2 8 3 3" xfId="24731" xr:uid="{00000000-0005-0000-0000-000066540000}"/>
    <cellStyle name="입력 2 8 3 4" xfId="25566" xr:uid="{00000000-0005-0000-0000-000067540000}"/>
    <cellStyle name="입력 2 8 3 5" xfId="28683" xr:uid="{00000000-0005-0000-0000-000068540000}"/>
    <cellStyle name="입력 2 8 4" xfId="21887" xr:uid="{00000000-0005-0000-0000-000069540000}"/>
    <cellStyle name="입력 2 8 4 2" xfId="23722" xr:uid="{00000000-0005-0000-0000-00006A540000}"/>
    <cellStyle name="입력 2 8 4 3" xfId="26117" xr:uid="{00000000-0005-0000-0000-00006B540000}"/>
    <cellStyle name="입력 2 8 4 4" xfId="29231" xr:uid="{00000000-0005-0000-0000-00006C540000}"/>
    <cellStyle name="입력 2 8 5" xfId="21283" xr:uid="{00000000-0005-0000-0000-00006D540000}"/>
    <cellStyle name="입력 2 8 5 2" xfId="19430" xr:uid="{00000000-0005-0000-0000-00006E540000}"/>
    <cellStyle name="입력 2 8 5 3" xfId="25496" xr:uid="{00000000-0005-0000-0000-00006F540000}"/>
    <cellStyle name="입력 2 8 5 4" xfId="28613" xr:uid="{00000000-0005-0000-0000-000070540000}"/>
    <cellStyle name="입력 2 8 6" xfId="21009" xr:uid="{00000000-0005-0000-0000-000071540000}"/>
    <cellStyle name="입력 2 8 6 2" xfId="24175" xr:uid="{00000000-0005-0000-0000-000072540000}"/>
    <cellStyle name="입력 2 8 6 3" xfId="25254" xr:uid="{00000000-0005-0000-0000-000073540000}"/>
    <cellStyle name="입력 2 8 6 4" xfId="28378" xr:uid="{00000000-0005-0000-0000-000074540000}"/>
    <cellStyle name="입력 2 8 7" xfId="21044" xr:uid="{00000000-0005-0000-0000-000075540000}"/>
    <cellStyle name="입력 2 8 7 2" xfId="24538" xr:uid="{00000000-0005-0000-0000-000076540000}"/>
    <cellStyle name="입력 2 8 7 3" xfId="25289" xr:uid="{00000000-0005-0000-0000-000077540000}"/>
    <cellStyle name="입력 2 8 7 4" xfId="28413" xr:uid="{00000000-0005-0000-0000-000078540000}"/>
    <cellStyle name="입력 2 8 8" xfId="20751" xr:uid="{00000000-0005-0000-0000-000079540000}"/>
    <cellStyle name="입력 2 8 9" xfId="19054" xr:uid="{00000000-0005-0000-0000-00007A540000}"/>
    <cellStyle name="입력 2 9" xfId="15409" xr:uid="{00000000-0005-0000-0000-00007B540000}"/>
    <cellStyle name="입력 2 9 10" xfId="28013" xr:uid="{00000000-0005-0000-0000-00007C540000}"/>
    <cellStyle name="입력 2 9 11" xfId="17469" xr:uid="{00000000-0005-0000-0000-00007D540000}"/>
    <cellStyle name="입력 2 9 2" xfId="15278" xr:uid="{00000000-0005-0000-0000-00007E540000}"/>
    <cellStyle name="입력 2 9 2 2" xfId="23730" xr:uid="{00000000-0005-0000-0000-00007F540000}"/>
    <cellStyle name="입력 2 9 2 3" xfId="25901" xr:uid="{00000000-0005-0000-0000-000080540000}"/>
    <cellStyle name="입력 2 9 2 4" xfId="29015" xr:uid="{00000000-0005-0000-0000-000081540000}"/>
    <cellStyle name="입력 2 9 2 5" xfId="21671" xr:uid="{00000000-0005-0000-0000-000082540000}"/>
    <cellStyle name="입력 2 9 3" xfId="16980" xr:uid="{00000000-0005-0000-0000-000083540000}"/>
    <cellStyle name="입력 2 9 3 2" xfId="18375" xr:uid="{00000000-0005-0000-0000-000084540000}"/>
    <cellStyle name="입력 2 9 3 3" xfId="26454" xr:uid="{00000000-0005-0000-0000-000085540000}"/>
    <cellStyle name="입력 2 9 3 4" xfId="29568" xr:uid="{00000000-0005-0000-0000-000086540000}"/>
    <cellStyle name="입력 2 9 3 5" xfId="22224" xr:uid="{00000000-0005-0000-0000-000087540000}"/>
    <cellStyle name="입력 2 9 4" xfId="16981" xr:uid="{00000000-0005-0000-0000-000088540000}"/>
    <cellStyle name="입력 2 9 4 2" xfId="19939" xr:uid="{00000000-0005-0000-0000-000089540000}"/>
    <cellStyle name="입력 2 9 4 3" xfId="26930" xr:uid="{00000000-0005-0000-0000-00008A540000}"/>
    <cellStyle name="입력 2 9 4 4" xfId="30044" xr:uid="{00000000-0005-0000-0000-00008B540000}"/>
    <cellStyle name="입력 2 9 4 5" xfId="22700" xr:uid="{00000000-0005-0000-0000-00008C540000}"/>
    <cellStyle name="입력 2 9 5" xfId="23109" xr:uid="{00000000-0005-0000-0000-00008D540000}"/>
    <cellStyle name="입력 2 9 5 2" xfId="19205" xr:uid="{00000000-0005-0000-0000-00008E540000}"/>
    <cellStyle name="입력 2 9 5 3" xfId="27339" xr:uid="{00000000-0005-0000-0000-00008F540000}"/>
    <cellStyle name="입력 2 9 5 4" xfId="30453" xr:uid="{00000000-0005-0000-0000-000090540000}"/>
    <cellStyle name="입력 2 9 6" xfId="23510" xr:uid="{00000000-0005-0000-0000-000091540000}"/>
    <cellStyle name="입력 2 9 6 2" xfId="18172" xr:uid="{00000000-0005-0000-0000-000092540000}"/>
    <cellStyle name="입력 2 9 6 3" xfId="27740" xr:uid="{00000000-0005-0000-0000-000093540000}"/>
    <cellStyle name="입력 2 9 6 4" xfId="30854" xr:uid="{00000000-0005-0000-0000-000094540000}"/>
    <cellStyle name="입력 2 9 7" xfId="20641" xr:uid="{00000000-0005-0000-0000-000095540000}"/>
    <cellStyle name="입력 2 9 8" xfId="18946" xr:uid="{00000000-0005-0000-0000-000096540000}"/>
    <cellStyle name="입력 2 9 9" xfId="24889" xr:uid="{00000000-0005-0000-0000-000097540000}"/>
    <cellStyle name="입력 3" xfId="12145" xr:uid="{00000000-0005-0000-0000-000098540000}"/>
    <cellStyle name="입력 3 10" xfId="17628" xr:uid="{00000000-0005-0000-0000-000099540000}"/>
    <cellStyle name="입력 3 10 2" xfId="22056" xr:uid="{00000000-0005-0000-0000-00009A540000}"/>
    <cellStyle name="입력 3 10 2 2" xfId="24632" xr:uid="{00000000-0005-0000-0000-00009B540000}"/>
    <cellStyle name="입력 3 10 2 3" xfId="26286" xr:uid="{00000000-0005-0000-0000-00009C540000}"/>
    <cellStyle name="입력 3 10 2 4" xfId="29400" xr:uid="{00000000-0005-0000-0000-00009D540000}"/>
    <cellStyle name="입력 3 10 3" xfId="22529" xr:uid="{00000000-0005-0000-0000-00009E540000}"/>
    <cellStyle name="입력 3 10 3 2" xfId="19784" xr:uid="{00000000-0005-0000-0000-00009F540000}"/>
    <cellStyle name="입력 3 10 3 3" xfId="26759" xr:uid="{00000000-0005-0000-0000-0000A0540000}"/>
    <cellStyle name="입력 3 10 3 4" xfId="29873" xr:uid="{00000000-0005-0000-0000-0000A1540000}"/>
    <cellStyle name="입력 3 10 4" xfId="22974" xr:uid="{00000000-0005-0000-0000-0000A2540000}"/>
    <cellStyle name="입력 3 10 4 2" xfId="20193" xr:uid="{00000000-0005-0000-0000-0000A3540000}"/>
    <cellStyle name="입력 3 10 4 3" xfId="27204" xr:uid="{00000000-0005-0000-0000-0000A4540000}"/>
    <cellStyle name="입력 3 10 4 4" xfId="30318" xr:uid="{00000000-0005-0000-0000-0000A5540000}"/>
    <cellStyle name="입력 3 10 5" xfId="23347" xr:uid="{00000000-0005-0000-0000-0000A6540000}"/>
    <cellStyle name="입력 3 10 5 2" xfId="20384" xr:uid="{00000000-0005-0000-0000-0000A7540000}"/>
    <cellStyle name="입력 3 10 5 3" xfId="27577" xr:uid="{00000000-0005-0000-0000-0000A8540000}"/>
    <cellStyle name="입력 3 10 5 4" xfId="30691" xr:uid="{00000000-0005-0000-0000-0000A9540000}"/>
    <cellStyle name="입력 3 10 6" xfId="23801" xr:uid="{00000000-0005-0000-0000-0000AA540000}"/>
    <cellStyle name="입력 3 10 7" xfId="25735" xr:uid="{00000000-0005-0000-0000-0000AB540000}"/>
    <cellStyle name="입력 3 10 8" xfId="28852" xr:uid="{00000000-0005-0000-0000-0000AC540000}"/>
    <cellStyle name="입력 3 11" xfId="18005" xr:uid="{00000000-0005-0000-0000-0000AD540000}"/>
    <cellStyle name="입력 3 11 2" xfId="20825" xr:uid="{00000000-0005-0000-0000-0000AE540000}"/>
    <cellStyle name="입력 3 11 3" xfId="19131" xr:uid="{00000000-0005-0000-0000-0000AF540000}"/>
    <cellStyle name="입력 3 11 4" xfId="25076" xr:uid="{00000000-0005-0000-0000-0000B0540000}"/>
    <cellStyle name="입력 3 11 5" xfId="28200" xr:uid="{00000000-0005-0000-0000-0000B1540000}"/>
    <cellStyle name="입력 3 12" xfId="18779" xr:uid="{00000000-0005-0000-0000-0000B2540000}"/>
    <cellStyle name="입력 3 13" xfId="18534" xr:uid="{00000000-0005-0000-0000-0000B3540000}"/>
    <cellStyle name="입력 3 14" xfId="18689" xr:uid="{00000000-0005-0000-0000-0000B4540000}"/>
    <cellStyle name="입력 3 15" xfId="17280" xr:uid="{00000000-0005-0000-0000-0000B5540000}"/>
    <cellStyle name="입력 3 2" xfId="12146" xr:uid="{00000000-0005-0000-0000-0000B6540000}"/>
    <cellStyle name="입력 3 2 2" xfId="14791" xr:uid="{00000000-0005-0000-0000-0000B7540000}"/>
    <cellStyle name="입력 3 2 2 10" xfId="25007" xr:uid="{00000000-0005-0000-0000-0000B8540000}"/>
    <cellStyle name="입력 3 2 2 11" xfId="28131" xr:uid="{00000000-0005-0000-0000-0000B9540000}"/>
    <cellStyle name="입력 3 2 2 12" xfId="31107" xr:uid="{00000000-0005-0000-0000-0000BA540000}"/>
    <cellStyle name="입력 3 2 2 13" xfId="17461" xr:uid="{00000000-0005-0000-0000-0000BB540000}"/>
    <cellStyle name="입력 3 2 2 2" xfId="18006" xr:uid="{00000000-0005-0000-0000-0000BC540000}"/>
    <cellStyle name="입력 3 2 2 2 2" xfId="22342" xr:uid="{00000000-0005-0000-0000-0000BD540000}"/>
    <cellStyle name="입력 3 2 2 2 2 2" xfId="19610" xr:uid="{00000000-0005-0000-0000-0000BE540000}"/>
    <cellStyle name="입력 3 2 2 2 2 3" xfId="26572" xr:uid="{00000000-0005-0000-0000-0000BF540000}"/>
    <cellStyle name="입력 3 2 2 2 2 4" xfId="29686" xr:uid="{00000000-0005-0000-0000-0000C0540000}"/>
    <cellStyle name="입력 3 2 2 2 3" xfId="22818" xr:uid="{00000000-0005-0000-0000-0000C1540000}"/>
    <cellStyle name="입력 3 2 2 2 3 2" xfId="20047" xr:uid="{00000000-0005-0000-0000-0000C2540000}"/>
    <cellStyle name="입력 3 2 2 2 3 3" xfId="27048" xr:uid="{00000000-0005-0000-0000-0000C3540000}"/>
    <cellStyle name="입력 3 2 2 2 3 4" xfId="30162" xr:uid="{00000000-0005-0000-0000-0000C4540000}"/>
    <cellStyle name="입력 3 2 2 2 4" xfId="23201" xr:uid="{00000000-0005-0000-0000-0000C5540000}"/>
    <cellStyle name="입력 3 2 2 2 4 2" xfId="19291" xr:uid="{00000000-0005-0000-0000-0000C6540000}"/>
    <cellStyle name="입력 3 2 2 2 4 3" xfId="27431" xr:uid="{00000000-0005-0000-0000-0000C7540000}"/>
    <cellStyle name="입력 3 2 2 2 4 4" xfId="30545" xr:uid="{00000000-0005-0000-0000-0000C8540000}"/>
    <cellStyle name="입력 3 2 2 2 5" xfId="23628" xr:uid="{00000000-0005-0000-0000-0000C9540000}"/>
    <cellStyle name="입력 3 2 2 2 5 2" xfId="18283" xr:uid="{00000000-0005-0000-0000-0000CA540000}"/>
    <cellStyle name="입력 3 2 2 2 5 3" xfId="27858" xr:uid="{00000000-0005-0000-0000-0000CB540000}"/>
    <cellStyle name="입력 3 2 2 2 5 4" xfId="30972" xr:uid="{00000000-0005-0000-0000-0000CC540000}"/>
    <cellStyle name="입력 3 2 2 2 6" xfId="21789" xr:uid="{00000000-0005-0000-0000-0000CD540000}"/>
    <cellStyle name="입력 3 2 2 2 7" xfId="19305" xr:uid="{00000000-0005-0000-0000-0000CE540000}"/>
    <cellStyle name="입력 3 2 2 2 8" xfId="26019" xr:uid="{00000000-0005-0000-0000-0000CF540000}"/>
    <cellStyle name="입력 3 2 2 2 9" xfId="29133" xr:uid="{00000000-0005-0000-0000-0000D0540000}"/>
    <cellStyle name="입력 3 2 2 3" xfId="18007" xr:uid="{00000000-0005-0000-0000-0000D1540000}"/>
    <cellStyle name="입력 3 2 2 3 2" xfId="21387" xr:uid="{00000000-0005-0000-0000-0000D2540000}"/>
    <cellStyle name="입력 3 2 2 3 3" xfId="24327" xr:uid="{00000000-0005-0000-0000-0000D3540000}"/>
    <cellStyle name="입력 3 2 2 3 4" xfId="25574" xr:uid="{00000000-0005-0000-0000-0000D4540000}"/>
    <cellStyle name="입력 3 2 2 3 5" xfId="28691" xr:uid="{00000000-0005-0000-0000-0000D5540000}"/>
    <cellStyle name="입력 3 2 2 4" xfId="21895" xr:uid="{00000000-0005-0000-0000-0000D6540000}"/>
    <cellStyle name="입력 3 2 2 4 2" xfId="24450" xr:uid="{00000000-0005-0000-0000-0000D7540000}"/>
    <cellStyle name="입력 3 2 2 4 3" xfId="26125" xr:uid="{00000000-0005-0000-0000-0000D8540000}"/>
    <cellStyle name="입력 3 2 2 4 4" xfId="29239" xr:uid="{00000000-0005-0000-0000-0000D9540000}"/>
    <cellStyle name="입력 3 2 2 5" xfId="21291" xr:uid="{00000000-0005-0000-0000-0000DA540000}"/>
    <cellStyle name="입력 3 2 2 5 2" xfId="24229" xr:uid="{00000000-0005-0000-0000-0000DB540000}"/>
    <cellStyle name="입력 3 2 2 5 3" xfId="25504" xr:uid="{00000000-0005-0000-0000-0000DC540000}"/>
    <cellStyle name="입력 3 2 2 5 4" xfId="28621" xr:uid="{00000000-0005-0000-0000-0000DD540000}"/>
    <cellStyle name="입력 3 2 2 6" xfId="21096" xr:uid="{00000000-0005-0000-0000-0000DE540000}"/>
    <cellStyle name="입력 3 2 2 6 2" xfId="19361" xr:uid="{00000000-0005-0000-0000-0000DF540000}"/>
    <cellStyle name="입력 3 2 2 6 3" xfId="25341" xr:uid="{00000000-0005-0000-0000-0000E0540000}"/>
    <cellStyle name="입력 3 2 2 6 4" xfId="28465" xr:uid="{00000000-0005-0000-0000-0000E1540000}"/>
    <cellStyle name="입력 3 2 2 7" xfId="21030" xr:uid="{00000000-0005-0000-0000-0000E2540000}"/>
    <cellStyle name="입력 3 2 2 7 2" xfId="19359" xr:uid="{00000000-0005-0000-0000-0000E3540000}"/>
    <cellStyle name="입력 3 2 2 7 3" xfId="25275" xr:uid="{00000000-0005-0000-0000-0000E4540000}"/>
    <cellStyle name="입력 3 2 2 7 4" xfId="28399" xr:uid="{00000000-0005-0000-0000-0000E5540000}"/>
    <cellStyle name="입력 3 2 2 8" xfId="20759" xr:uid="{00000000-0005-0000-0000-0000E6540000}"/>
    <cellStyle name="입력 3 2 2 9" xfId="19062" xr:uid="{00000000-0005-0000-0000-0000E7540000}"/>
    <cellStyle name="입력 3 2 3" xfId="15417" xr:uid="{00000000-0005-0000-0000-0000E8540000}"/>
    <cellStyle name="입력 3 2 3 10" xfId="28021" xr:uid="{00000000-0005-0000-0000-0000E9540000}"/>
    <cellStyle name="입력 3 2 3 11" xfId="17547" xr:uid="{00000000-0005-0000-0000-0000EA540000}"/>
    <cellStyle name="입력 3 2 3 2" xfId="15271" xr:uid="{00000000-0005-0000-0000-0000EB540000}"/>
    <cellStyle name="입력 3 2 3 2 2" xfId="24459" xr:uid="{00000000-0005-0000-0000-0000EC540000}"/>
    <cellStyle name="입력 3 2 3 2 3" xfId="25909" xr:uid="{00000000-0005-0000-0000-0000ED540000}"/>
    <cellStyle name="입력 3 2 3 2 4" xfId="29023" xr:uid="{00000000-0005-0000-0000-0000EE540000}"/>
    <cellStyle name="입력 3 2 3 2 5" xfId="21679" xr:uid="{00000000-0005-0000-0000-0000EF540000}"/>
    <cellStyle name="입력 3 2 3 3" xfId="16982" xr:uid="{00000000-0005-0000-0000-0000F0540000}"/>
    <cellStyle name="입력 3 2 3 3 2" xfId="18383" xr:uid="{00000000-0005-0000-0000-0000F1540000}"/>
    <cellStyle name="입력 3 2 3 3 3" xfId="26462" xr:uid="{00000000-0005-0000-0000-0000F2540000}"/>
    <cellStyle name="입력 3 2 3 3 4" xfId="29576" xr:uid="{00000000-0005-0000-0000-0000F3540000}"/>
    <cellStyle name="입력 3 2 3 3 5" xfId="22232" xr:uid="{00000000-0005-0000-0000-0000F4540000}"/>
    <cellStyle name="입력 3 2 3 4" xfId="16983" xr:uid="{00000000-0005-0000-0000-0000F5540000}"/>
    <cellStyle name="입력 3 2 3 4 2" xfId="19946" xr:uid="{00000000-0005-0000-0000-0000F6540000}"/>
    <cellStyle name="입력 3 2 3 4 3" xfId="26938" xr:uid="{00000000-0005-0000-0000-0000F7540000}"/>
    <cellStyle name="입력 3 2 3 4 4" xfId="30052" xr:uid="{00000000-0005-0000-0000-0000F8540000}"/>
    <cellStyle name="입력 3 2 3 4 5" xfId="22708" xr:uid="{00000000-0005-0000-0000-0000F9540000}"/>
    <cellStyle name="입력 3 2 3 5" xfId="23117" xr:uid="{00000000-0005-0000-0000-0000FA540000}"/>
    <cellStyle name="입력 3 2 3 5 2" xfId="19211" xr:uid="{00000000-0005-0000-0000-0000FB540000}"/>
    <cellStyle name="입력 3 2 3 5 3" xfId="27347" xr:uid="{00000000-0005-0000-0000-0000FC540000}"/>
    <cellStyle name="입력 3 2 3 5 4" xfId="30461" xr:uid="{00000000-0005-0000-0000-0000FD540000}"/>
    <cellStyle name="입력 3 2 3 6" xfId="23518" xr:uid="{00000000-0005-0000-0000-0000FE540000}"/>
    <cellStyle name="입력 3 2 3 6 2" xfId="18180" xr:uid="{00000000-0005-0000-0000-0000FF540000}"/>
    <cellStyle name="입력 3 2 3 6 3" xfId="27748" xr:uid="{00000000-0005-0000-0000-000000550000}"/>
    <cellStyle name="입력 3 2 3 6 4" xfId="30862" xr:uid="{00000000-0005-0000-0000-000001550000}"/>
    <cellStyle name="입력 3 2 3 7" xfId="20649" xr:uid="{00000000-0005-0000-0000-000002550000}"/>
    <cellStyle name="입력 3 2 3 8" xfId="18954" xr:uid="{00000000-0005-0000-0000-000003550000}"/>
    <cellStyle name="입력 3 2 3 9" xfId="24897" xr:uid="{00000000-0005-0000-0000-000004550000}"/>
    <cellStyle name="입력 3 2 4" xfId="17627" xr:uid="{00000000-0005-0000-0000-000005550000}"/>
    <cellStyle name="입력 3 2 4 2" xfId="22057" xr:uid="{00000000-0005-0000-0000-000006550000}"/>
    <cellStyle name="입력 3 2 4 2 2" xfId="24547" xr:uid="{00000000-0005-0000-0000-000007550000}"/>
    <cellStyle name="입력 3 2 4 2 3" xfId="26287" xr:uid="{00000000-0005-0000-0000-000008550000}"/>
    <cellStyle name="입력 3 2 4 2 4" xfId="29401" xr:uid="{00000000-0005-0000-0000-000009550000}"/>
    <cellStyle name="입력 3 2 4 3" xfId="22530" xr:uid="{00000000-0005-0000-0000-00000A550000}"/>
    <cellStyle name="입력 3 2 4 3 2" xfId="19785" xr:uid="{00000000-0005-0000-0000-00000B550000}"/>
    <cellStyle name="입력 3 2 4 3 3" xfId="26760" xr:uid="{00000000-0005-0000-0000-00000C550000}"/>
    <cellStyle name="입력 3 2 4 3 4" xfId="29874" xr:uid="{00000000-0005-0000-0000-00000D550000}"/>
    <cellStyle name="입력 3 2 4 4" xfId="22975" xr:uid="{00000000-0005-0000-0000-00000E550000}"/>
    <cellStyle name="입력 3 2 4 4 2" xfId="20194" xr:uid="{00000000-0005-0000-0000-00000F550000}"/>
    <cellStyle name="입력 3 2 4 4 3" xfId="27205" xr:uid="{00000000-0005-0000-0000-000010550000}"/>
    <cellStyle name="입력 3 2 4 4 4" xfId="30319" xr:uid="{00000000-0005-0000-0000-000011550000}"/>
    <cellStyle name="입력 3 2 4 5" xfId="23348" xr:uid="{00000000-0005-0000-0000-000012550000}"/>
    <cellStyle name="입력 3 2 4 5 2" xfId="20385" xr:uid="{00000000-0005-0000-0000-000013550000}"/>
    <cellStyle name="입력 3 2 4 5 3" xfId="27578" xr:uid="{00000000-0005-0000-0000-000014550000}"/>
    <cellStyle name="입력 3 2 4 5 4" xfId="30692" xr:uid="{00000000-0005-0000-0000-000015550000}"/>
    <cellStyle name="입력 3 2 4 6" xfId="23893" xr:uid="{00000000-0005-0000-0000-000016550000}"/>
    <cellStyle name="입력 3 2 4 7" xfId="25736" xr:uid="{00000000-0005-0000-0000-000017550000}"/>
    <cellStyle name="입력 3 2 4 8" xfId="28853" xr:uid="{00000000-0005-0000-0000-000018550000}"/>
    <cellStyle name="입력 3 2 5" xfId="18008" xr:uid="{00000000-0005-0000-0000-000019550000}"/>
    <cellStyle name="입력 3 2 5 2" xfId="20930" xr:uid="{00000000-0005-0000-0000-00001A550000}"/>
    <cellStyle name="입력 3 2 5 3" xfId="24194" xr:uid="{00000000-0005-0000-0000-00001B550000}"/>
    <cellStyle name="입력 3 2 5 4" xfId="25181" xr:uid="{00000000-0005-0000-0000-00001C550000}"/>
    <cellStyle name="입력 3 2 5 5" xfId="28305" xr:uid="{00000000-0005-0000-0000-00001D550000}"/>
    <cellStyle name="입력 3 2 6" xfId="18780" xr:uid="{00000000-0005-0000-0000-00001E550000}"/>
    <cellStyle name="입력 3 2 7" xfId="18533" xr:uid="{00000000-0005-0000-0000-00001F550000}"/>
    <cellStyle name="입력 3 2 8" xfId="24420" xr:uid="{00000000-0005-0000-0000-000020550000}"/>
    <cellStyle name="입력 3 2 9" xfId="17281" xr:uid="{00000000-0005-0000-0000-000021550000}"/>
    <cellStyle name="입력 3 3" xfId="12147" xr:uid="{00000000-0005-0000-0000-000022550000}"/>
    <cellStyle name="입력 3 3 2" xfId="14792" xr:uid="{00000000-0005-0000-0000-000023550000}"/>
    <cellStyle name="입력 3 3 2 10" xfId="25008" xr:uid="{00000000-0005-0000-0000-000024550000}"/>
    <cellStyle name="입력 3 3 2 11" xfId="28132" xr:uid="{00000000-0005-0000-0000-000025550000}"/>
    <cellStyle name="입력 3 3 2 12" xfId="31108" xr:uid="{00000000-0005-0000-0000-000026550000}"/>
    <cellStyle name="입력 3 3 2 13" xfId="17460" xr:uid="{00000000-0005-0000-0000-000027550000}"/>
    <cellStyle name="입력 3 3 2 2" xfId="18009" xr:uid="{00000000-0005-0000-0000-000028550000}"/>
    <cellStyle name="입력 3 3 2 2 2" xfId="22343" xr:uid="{00000000-0005-0000-0000-000029550000}"/>
    <cellStyle name="입력 3 3 2 2 2 2" xfId="19391" xr:uid="{00000000-0005-0000-0000-00002A550000}"/>
    <cellStyle name="입력 3 3 2 2 2 3" xfId="26573" xr:uid="{00000000-0005-0000-0000-00002B550000}"/>
    <cellStyle name="입력 3 3 2 2 2 4" xfId="29687" xr:uid="{00000000-0005-0000-0000-00002C550000}"/>
    <cellStyle name="입력 3 3 2 2 3" xfId="22819" xr:uid="{00000000-0005-0000-0000-00002D550000}"/>
    <cellStyle name="입력 3 3 2 2 3 2" xfId="20048" xr:uid="{00000000-0005-0000-0000-00002E550000}"/>
    <cellStyle name="입력 3 3 2 2 3 3" xfId="27049" xr:uid="{00000000-0005-0000-0000-00002F550000}"/>
    <cellStyle name="입력 3 3 2 2 3 4" xfId="30163" xr:uid="{00000000-0005-0000-0000-000030550000}"/>
    <cellStyle name="입력 3 3 2 2 4" xfId="23202" xr:uid="{00000000-0005-0000-0000-000031550000}"/>
    <cellStyle name="입력 3 3 2 2 4 2" xfId="20275" xr:uid="{00000000-0005-0000-0000-000032550000}"/>
    <cellStyle name="입력 3 3 2 2 4 3" xfId="27432" xr:uid="{00000000-0005-0000-0000-000033550000}"/>
    <cellStyle name="입력 3 3 2 2 4 4" xfId="30546" xr:uid="{00000000-0005-0000-0000-000034550000}"/>
    <cellStyle name="입력 3 3 2 2 5" xfId="23629" xr:uid="{00000000-0005-0000-0000-000035550000}"/>
    <cellStyle name="입력 3 3 2 2 5 2" xfId="18284" xr:uid="{00000000-0005-0000-0000-000036550000}"/>
    <cellStyle name="입력 3 3 2 2 5 3" xfId="27859" xr:uid="{00000000-0005-0000-0000-000037550000}"/>
    <cellStyle name="입력 3 3 2 2 5 4" xfId="30973" xr:uid="{00000000-0005-0000-0000-000038550000}"/>
    <cellStyle name="입력 3 3 2 2 6" xfId="21790" xr:uid="{00000000-0005-0000-0000-000039550000}"/>
    <cellStyle name="입력 3 3 2 2 7" xfId="19546" xr:uid="{00000000-0005-0000-0000-00003A550000}"/>
    <cellStyle name="입력 3 3 2 2 8" xfId="26020" xr:uid="{00000000-0005-0000-0000-00003B550000}"/>
    <cellStyle name="입력 3 3 2 2 9" xfId="29134" xr:uid="{00000000-0005-0000-0000-00003C550000}"/>
    <cellStyle name="입력 3 3 2 3" xfId="18010" xr:uid="{00000000-0005-0000-0000-00003D550000}"/>
    <cellStyle name="입력 3 3 2 3 2" xfId="21388" xr:uid="{00000000-0005-0000-0000-00003E550000}"/>
    <cellStyle name="입력 3 3 2 3 3" xfId="24146" xr:uid="{00000000-0005-0000-0000-00003F550000}"/>
    <cellStyle name="입력 3 3 2 3 4" xfId="25575" xr:uid="{00000000-0005-0000-0000-000040550000}"/>
    <cellStyle name="입력 3 3 2 3 5" xfId="28692" xr:uid="{00000000-0005-0000-0000-000041550000}"/>
    <cellStyle name="입력 3 3 2 4" xfId="21896" xr:uid="{00000000-0005-0000-0000-000042550000}"/>
    <cellStyle name="입력 3 3 2 4 2" xfId="24277" xr:uid="{00000000-0005-0000-0000-000043550000}"/>
    <cellStyle name="입력 3 3 2 4 3" xfId="26126" xr:uid="{00000000-0005-0000-0000-000044550000}"/>
    <cellStyle name="입력 3 3 2 4 4" xfId="29240" xr:uid="{00000000-0005-0000-0000-000045550000}"/>
    <cellStyle name="입력 3 3 2 5" xfId="21292" xr:uid="{00000000-0005-0000-0000-000046550000}"/>
    <cellStyle name="입력 3 3 2 5 2" xfId="24021" xr:uid="{00000000-0005-0000-0000-000047550000}"/>
    <cellStyle name="입력 3 3 2 5 3" xfId="25505" xr:uid="{00000000-0005-0000-0000-000048550000}"/>
    <cellStyle name="입력 3 3 2 5 4" xfId="28622" xr:uid="{00000000-0005-0000-0000-000049550000}"/>
    <cellStyle name="입력 3 3 2 6" xfId="21048" xr:uid="{00000000-0005-0000-0000-00004A550000}"/>
    <cellStyle name="입력 3 3 2 6 2" xfId="24686" xr:uid="{00000000-0005-0000-0000-00004B550000}"/>
    <cellStyle name="입력 3 3 2 6 3" xfId="25293" xr:uid="{00000000-0005-0000-0000-00004C550000}"/>
    <cellStyle name="입력 3 3 2 6 4" xfId="28417" xr:uid="{00000000-0005-0000-0000-00004D550000}"/>
    <cellStyle name="입력 3 3 2 7" xfId="21042" xr:uid="{00000000-0005-0000-0000-00004E550000}"/>
    <cellStyle name="입력 3 3 2 7 2" xfId="24029" xr:uid="{00000000-0005-0000-0000-00004F550000}"/>
    <cellStyle name="입력 3 3 2 7 3" xfId="25287" xr:uid="{00000000-0005-0000-0000-000050550000}"/>
    <cellStyle name="입력 3 3 2 7 4" xfId="28411" xr:uid="{00000000-0005-0000-0000-000051550000}"/>
    <cellStyle name="입력 3 3 2 8" xfId="20760" xr:uid="{00000000-0005-0000-0000-000052550000}"/>
    <cellStyle name="입력 3 3 2 9" xfId="19063" xr:uid="{00000000-0005-0000-0000-000053550000}"/>
    <cellStyle name="입력 3 3 3" xfId="15418" xr:uid="{00000000-0005-0000-0000-000054550000}"/>
    <cellStyle name="입력 3 3 3 10" xfId="28022" xr:uid="{00000000-0005-0000-0000-000055550000}"/>
    <cellStyle name="입력 3 3 3 11" xfId="17546" xr:uid="{00000000-0005-0000-0000-000056550000}"/>
    <cellStyle name="입력 3 3 3 2" xfId="15270" xr:uid="{00000000-0005-0000-0000-000057550000}"/>
    <cellStyle name="입력 3 3 3 2 2" xfId="24286" xr:uid="{00000000-0005-0000-0000-000058550000}"/>
    <cellStyle name="입력 3 3 3 2 3" xfId="25910" xr:uid="{00000000-0005-0000-0000-000059550000}"/>
    <cellStyle name="입력 3 3 3 2 4" xfId="29024" xr:uid="{00000000-0005-0000-0000-00005A550000}"/>
    <cellStyle name="입력 3 3 3 2 5" xfId="21680" xr:uid="{00000000-0005-0000-0000-00005B550000}"/>
    <cellStyle name="입력 3 3 3 3" xfId="16984" xr:uid="{00000000-0005-0000-0000-00005C550000}"/>
    <cellStyle name="입력 3 3 3 3 2" xfId="18384" xr:uid="{00000000-0005-0000-0000-00005D550000}"/>
    <cellStyle name="입력 3 3 3 3 3" xfId="26463" xr:uid="{00000000-0005-0000-0000-00005E550000}"/>
    <cellStyle name="입력 3 3 3 3 4" xfId="29577" xr:uid="{00000000-0005-0000-0000-00005F550000}"/>
    <cellStyle name="입력 3 3 3 3 5" xfId="22233" xr:uid="{00000000-0005-0000-0000-000060550000}"/>
    <cellStyle name="입력 3 3 3 4" xfId="16985" xr:uid="{00000000-0005-0000-0000-000061550000}"/>
    <cellStyle name="입력 3 3 3 4 2" xfId="19947" xr:uid="{00000000-0005-0000-0000-000062550000}"/>
    <cellStyle name="입력 3 3 3 4 3" xfId="26939" xr:uid="{00000000-0005-0000-0000-000063550000}"/>
    <cellStyle name="입력 3 3 3 4 4" xfId="30053" xr:uid="{00000000-0005-0000-0000-000064550000}"/>
    <cellStyle name="입력 3 3 3 4 5" xfId="22709" xr:uid="{00000000-0005-0000-0000-000065550000}"/>
    <cellStyle name="입력 3 3 3 5" xfId="23118" xr:uid="{00000000-0005-0000-0000-000066550000}"/>
    <cellStyle name="입력 3 3 3 5 2" xfId="19212" xr:uid="{00000000-0005-0000-0000-000067550000}"/>
    <cellStyle name="입력 3 3 3 5 3" xfId="27348" xr:uid="{00000000-0005-0000-0000-000068550000}"/>
    <cellStyle name="입력 3 3 3 5 4" xfId="30462" xr:uid="{00000000-0005-0000-0000-000069550000}"/>
    <cellStyle name="입력 3 3 3 6" xfId="23519" xr:uid="{00000000-0005-0000-0000-00006A550000}"/>
    <cellStyle name="입력 3 3 3 6 2" xfId="18181" xr:uid="{00000000-0005-0000-0000-00006B550000}"/>
    <cellStyle name="입력 3 3 3 6 3" xfId="27749" xr:uid="{00000000-0005-0000-0000-00006C550000}"/>
    <cellStyle name="입력 3 3 3 6 4" xfId="30863" xr:uid="{00000000-0005-0000-0000-00006D550000}"/>
    <cellStyle name="입력 3 3 3 7" xfId="20650" xr:uid="{00000000-0005-0000-0000-00006E550000}"/>
    <cellStyle name="입력 3 3 3 8" xfId="18955" xr:uid="{00000000-0005-0000-0000-00006F550000}"/>
    <cellStyle name="입력 3 3 3 9" xfId="24898" xr:uid="{00000000-0005-0000-0000-000070550000}"/>
    <cellStyle name="입력 3 3 4" xfId="17626" xr:uid="{00000000-0005-0000-0000-000071550000}"/>
    <cellStyle name="입력 3 3 4 2" xfId="22058" xr:uid="{00000000-0005-0000-0000-000072550000}"/>
    <cellStyle name="입력 3 3 4 2 2" xfId="24371" xr:uid="{00000000-0005-0000-0000-000073550000}"/>
    <cellStyle name="입력 3 3 4 2 3" xfId="26288" xr:uid="{00000000-0005-0000-0000-000074550000}"/>
    <cellStyle name="입력 3 3 4 2 4" xfId="29402" xr:uid="{00000000-0005-0000-0000-000075550000}"/>
    <cellStyle name="입력 3 3 4 3" xfId="22531" xr:uid="{00000000-0005-0000-0000-000076550000}"/>
    <cellStyle name="입력 3 3 4 3 2" xfId="19786" xr:uid="{00000000-0005-0000-0000-000077550000}"/>
    <cellStyle name="입력 3 3 4 3 3" xfId="26761" xr:uid="{00000000-0005-0000-0000-000078550000}"/>
    <cellStyle name="입력 3 3 4 3 4" xfId="29875" xr:uid="{00000000-0005-0000-0000-000079550000}"/>
    <cellStyle name="입력 3 3 4 4" xfId="22976" xr:uid="{00000000-0005-0000-0000-00007A550000}"/>
    <cellStyle name="입력 3 3 4 4 2" xfId="20195" xr:uid="{00000000-0005-0000-0000-00007B550000}"/>
    <cellStyle name="입력 3 3 4 4 3" xfId="27206" xr:uid="{00000000-0005-0000-0000-00007C550000}"/>
    <cellStyle name="입력 3 3 4 4 4" xfId="30320" xr:uid="{00000000-0005-0000-0000-00007D550000}"/>
    <cellStyle name="입력 3 3 4 5" xfId="23349" xr:uid="{00000000-0005-0000-0000-00007E550000}"/>
    <cellStyle name="입력 3 3 4 5 2" xfId="20386" xr:uid="{00000000-0005-0000-0000-00007F550000}"/>
    <cellStyle name="입력 3 3 4 5 3" xfId="27579" xr:uid="{00000000-0005-0000-0000-000080550000}"/>
    <cellStyle name="입력 3 3 4 5 4" xfId="30693" xr:uid="{00000000-0005-0000-0000-000081550000}"/>
    <cellStyle name="입력 3 3 4 6" xfId="24170" xr:uid="{00000000-0005-0000-0000-000082550000}"/>
    <cellStyle name="입력 3 3 4 7" xfId="25737" xr:uid="{00000000-0005-0000-0000-000083550000}"/>
    <cellStyle name="입력 3 3 4 8" xfId="28854" xr:uid="{00000000-0005-0000-0000-000084550000}"/>
    <cellStyle name="입력 3 3 5" xfId="18011" xr:uid="{00000000-0005-0000-0000-000085550000}"/>
    <cellStyle name="입력 3 3 5 2" xfId="20931" xr:uid="{00000000-0005-0000-0000-000086550000}"/>
    <cellStyle name="입력 3 3 5 3" xfId="23986" xr:uid="{00000000-0005-0000-0000-000087550000}"/>
    <cellStyle name="입력 3 3 5 4" xfId="25182" xr:uid="{00000000-0005-0000-0000-000088550000}"/>
    <cellStyle name="입력 3 3 5 5" xfId="28306" xr:uid="{00000000-0005-0000-0000-000089550000}"/>
    <cellStyle name="입력 3 3 6" xfId="18781" xr:uid="{00000000-0005-0000-0000-00008A550000}"/>
    <cellStyle name="입력 3 3 7" xfId="18532" xr:uid="{00000000-0005-0000-0000-00008B550000}"/>
    <cellStyle name="입력 3 3 8" xfId="18691" xr:uid="{00000000-0005-0000-0000-00008C550000}"/>
    <cellStyle name="입력 3 3 9" xfId="17282" xr:uid="{00000000-0005-0000-0000-00008D550000}"/>
    <cellStyle name="입력 3 4" xfId="12148" xr:uid="{00000000-0005-0000-0000-00008E550000}"/>
    <cellStyle name="입력 3 4 2" xfId="14793" xr:uid="{00000000-0005-0000-0000-00008F550000}"/>
    <cellStyle name="입력 3 4 2 10" xfId="25009" xr:uid="{00000000-0005-0000-0000-000090550000}"/>
    <cellStyle name="입력 3 4 2 11" xfId="28133" xr:uid="{00000000-0005-0000-0000-000091550000}"/>
    <cellStyle name="입력 3 4 2 12" xfId="31109" xr:uid="{00000000-0005-0000-0000-000092550000}"/>
    <cellStyle name="입력 3 4 2 13" xfId="17459" xr:uid="{00000000-0005-0000-0000-000093550000}"/>
    <cellStyle name="입력 3 4 2 2" xfId="18012" xr:uid="{00000000-0005-0000-0000-000094550000}"/>
    <cellStyle name="입력 3 4 2 2 2" xfId="22344" xr:uid="{00000000-0005-0000-0000-000095550000}"/>
    <cellStyle name="입력 3 4 2 2 2 2" xfId="19611" xr:uid="{00000000-0005-0000-0000-000096550000}"/>
    <cellStyle name="입력 3 4 2 2 2 3" xfId="26574" xr:uid="{00000000-0005-0000-0000-000097550000}"/>
    <cellStyle name="입력 3 4 2 2 2 4" xfId="29688" xr:uid="{00000000-0005-0000-0000-000098550000}"/>
    <cellStyle name="입력 3 4 2 2 3" xfId="22820" xr:uid="{00000000-0005-0000-0000-000099550000}"/>
    <cellStyle name="입력 3 4 2 2 3 2" xfId="20049" xr:uid="{00000000-0005-0000-0000-00009A550000}"/>
    <cellStyle name="입력 3 4 2 2 3 3" xfId="27050" xr:uid="{00000000-0005-0000-0000-00009B550000}"/>
    <cellStyle name="입력 3 4 2 2 3 4" xfId="30164" xr:uid="{00000000-0005-0000-0000-00009C550000}"/>
    <cellStyle name="입력 3 4 2 2 4" xfId="23203" xr:uid="{00000000-0005-0000-0000-00009D550000}"/>
    <cellStyle name="입력 3 4 2 2 4 2" xfId="20276" xr:uid="{00000000-0005-0000-0000-00009E550000}"/>
    <cellStyle name="입력 3 4 2 2 4 3" xfId="27433" xr:uid="{00000000-0005-0000-0000-00009F550000}"/>
    <cellStyle name="입력 3 4 2 2 4 4" xfId="30547" xr:uid="{00000000-0005-0000-0000-0000A0550000}"/>
    <cellStyle name="입력 3 4 2 2 5" xfId="23630" xr:uid="{00000000-0005-0000-0000-0000A1550000}"/>
    <cellStyle name="입력 3 4 2 2 5 2" xfId="18285" xr:uid="{00000000-0005-0000-0000-0000A2550000}"/>
    <cellStyle name="입력 3 4 2 2 5 3" xfId="27860" xr:uid="{00000000-0005-0000-0000-0000A3550000}"/>
    <cellStyle name="입력 3 4 2 2 5 4" xfId="30974" xr:uid="{00000000-0005-0000-0000-0000A4550000}"/>
    <cellStyle name="입력 3 4 2 2 6" xfId="21791" xr:uid="{00000000-0005-0000-0000-0000A5550000}"/>
    <cellStyle name="입력 3 4 2 2 7" xfId="23708" xr:uid="{00000000-0005-0000-0000-0000A6550000}"/>
    <cellStyle name="입력 3 4 2 2 8" xfId="26021" xr:uid="{00000000-0005-0000-0000-0000A7550000}"/>
    <cellStyle name="입력 3 4 2 2 9" xfId="29135" xr:uid="{00000000-0005-0000-0000-0000A8550000}"/>
    <cellStyle name="입력 3 4 2 3" xfId="18013" xr:uid="{00000000-0005-0000-0000-0000A9550000}"/>
    <cellStyle name="입력 3 4 2 3 2" xfId="21389" xr:uid="{00000000-0005-0000-0000-0000AA550000}"/>
    <cellStyle name="입력 3 4 2 3 3" xfId="23677" xr:uid="{00000000-0005-0000-0000-0000AB550000}"/>
    <cellStyle name="입력 3 4 2 3 4" xfId="25576" xr:uid="{00000000-0005-0000-0000-0000AC550000}"/>
    <cellStyle name="입력 3 4 2 3 5" xfId="28693" xr:uid="{00000000-0005-0000-0000-0000AD550000}"/>
    <cellStyle name="입력 3 4 2 4" xfId="21897" xr:uid="{00000000-0005-0000-0000-0000AE550000}"/>
    <cellStyle name="입력 3 4 2 4 2" xfId="24095" xr:uid="{00000000-0005-0000-0000-0000AF550000}"/>
    <cellStyle name="입력 3 4 2 4 3" xfId="26127" xr:uid="{00000000-0005-0000-0000-0000B0550000}"/>
    <cellStyle name="입력 3 4 2 4 4" xfId="29241" xr:uid="{00000000-0005-0000-0000-0000B1550000}"/>
    <cellStyle name="입력 3 4 2 5" xfId="20808" xr:uid="{00000000-0005-0000-0000-0000B2550000}"/>
    <cellStyle name="입력 3 4 2 5 2" xfId="19111" xr:uid="{00000000-0005-0000-0000-0000B3550000}"/>
    <cellStyle name="입력 3 4 2 5 3" xfId="25056" xr:uid="{00000000-0005-0000-0000-0000B4550000}"/>
    <cellStyle name="입력 3 4 2 5 4" xfId="28180" xr:uid="{00000000-0005-0000-0000-0000B5550000}"/>
    <cellStyle name="입력 3 4 2 6" xfId="21097" xr:uid="{00000000-0005-0000-0000-0000B6550000}"/>
    <cellStyle name="입력 3 4 2 6 2" xfId="23960" xr:uid="{00000000-0005-0000-0000-0000B7550000}"/>
    <cellStyle name="입력 3 4 2 6 3" xfId="25342" xr:uid="{00000000-0005-0000-0000-0000B8550000}"/>
    <cellStyle name="입력 3 4 2 6 4" xfId="28466" xr:uid="{00000000-0005-0000-0000-0000B9550000}"/>
    <cellStyle name="입력 3 4 2 7" xfId="21094" xr:uid="{00000000-0005-0000-0000-0000BA550000}"/>
    <cellStyle name="입력 3 4 2 7 2" xfId="24257" xr:uid="{00000000-0005-0000-0000-0000BB550000}"/>
    <cellStyle name="입력 3 4 2 7 3" xfId="25339" xr:uid="{00000000-0005-0000-0000-0000BC550000}"/>
    <cellStyle name="입력 3 4 2 7 4" xfId="28463" xr:uid="{00000000-0005-0000-0000-0000BD550000}"/>
    <cellStyle name="입력 3 4 2 8" xfId="20761" xr:uid="{00000000-0005-0000-0000-0000BE550000}"/>
    <cellStyle name="입력 3 4 2 9" xfId="19064" xr:uid="{00000000-0005-0000-0000-0000BF550000}"/>
    <cellStyle name="입력 3 4 3" xfId="15419" xr:uid="{00000000-0005-0000-0000-0000C0550000}"/>
    <cellStyle name="입력 3 4 3 10" xfId="28023" xr:uid="{00000000-0005-0000-0000-0000C1550000}"/>
    <cellStyle name="입력 3 4 3 11" xfId="17545" xr:uid="{00000000-0005-0000-0000-0000C2550000}"/>
    <cellStyle name="입력 3 4 3 2" xfId="15269" xr:uid="{00000000-0005-0000-0000-0000C3550000}"/>
    <cellStyle name="입력 3 4 3 2 2" xfId="24104" xr:uid="{00000000-0005-0000-0000-0000C4550000}"/>
    <cellStyle name="입력 3 4 3 2 3" xfId="25911" xr:uid="{00000000-0005-0000-0000-0000C5550000}"/>
    <cellStyle name="입력 3 4 3 2 4" xfId="29025" xr:uid="{00000000-0005-0000-0000-0000C6550000}"/>
    <cellStyle name="입력 3 4 3 2 5" xfId="21681" xr:uid="{00000000-0005-0000-0000-0000C7550000}"/>
    <cellStyle name="입력 3 4 3 3" xfId="16986" xr:uid="{00000000-0005-0000-0000-0000C8550000}"/>
    <cellStyle name="입력 3 4 3 3 2" xfId="18385" xr:uid="{00000000-0005-0000-0000-0000C9550000}"/>
    <cellStyle name="입력 3 4 3 3 3" xfId="26464" xr:uid="{00000000-0005-0000-0000-0000CA550000}"/>
    <cellStyle name="입력 3 4 3 3 4" xfId="29578" xr:uid="{00000000-0005-0000-0000-0000CB550000}"/>
    <cellStyle name="입력 3 4 3 3 5" xfId="22234" xr:uid="{00000000-0005-0000-0000-0000CC550000}"/>
    <cellStyle name="입력 3 4 3 4" xfId="16987" xr:uid="{00000000-0005-0000-0000-0000CD550000}"/>
    <cellStyle name="입력 3 4 3 4 2" xfId="19948" xr:uid="{00000000-0005-0000-0000-0000CE550000}"/>
    <cellStyle name="입력 3 4 3 4 3" xfId="26940" xr:uid="{00000000-0005-0000-0000-0000CF550000}"/>
    <cellStyle name="입력 3 4 3 4 4" xfId="30054" xr:uid="{00000000-0005-0000-0000-0000D0550000}"/>
    <cellStyle name="입력 3 4 3 4 5" xfId="22710" xr:uid="{00000000-0005-0000-0000-0000D1550000}"/>
    <cellStyle name="입력 3 4 3 5" xfId="23119" xr:uid="{00000000-0005-0000-0000-0000D2550000}"/>
    <cellStyle name="입력 3 4 3 5 2" xfId="19213" xr:uid="{00000000-0005-0000-0000-0000D3550000}"/>
    <cellStyle name="입력 3 4 3 5 3" xfId="27349" xr:uid="{00000000-0005-0000-0000-0000D4550000}"/>
    <cellStyle name="입력 3 4 3 5 4" xfId="30463" xr:uid="{00000000-0005-0000-0000-0000D5550000}"/>
    <cellStyle name="입력 3 4 3 6" xfId="23520" xr:uid="{00000000-0005-0000-0000-0000D6550000}"/>
    <cellStyle name="입력 3 4 3 6 2" xfId="18182" xr:uid="{00000000-0005-0000-0000-0000D7550000}"/>
    <cellStyle name="입력 3 4 3 6 3" xfId="27750" xr:uid="{00000000-0005-0000-0000-0000D8550000}"/>
    <cellStyle name="입력 3 4 3 6 4" xfId="30864" xr:uid="{00000000-0005-0000-0000-0000D9550000}"/>
    <cellStyle name="입력 3 4 3 7" xfId="20651" xr:uid="{00000000-0005-0000-0000-0000DA550000}"/>
    <cellStyle name="입력 3 4 3 8" xfId="18956" xr:uid="{00000000-0005-0000-0000-0000DB550000}"/>
    <cellStyle name="입력 3 4 3 9" xfId="24899" xr:uid="{00000000-0005-0000-0000-0000DC550000}"/>
    <cellStyle name="입력 3 4 4" xfId="17625" xr:uid="{00000000-0005-0000-0000-0000DD550000}"/>
    <cellStyle name="입력 3 4 4 2" xfId="22059" xr:uid="{00000000-0005-0000-0000-0000DE550000}"/>
    <cellStyle name="입력 3 4 4 2 2" xfId="24200" xr:uid="{00000000-0005-0000-0000-0000DF550000}"/>
    <cellStyle name="입력 3 4 4 2 3" xfId="26289" xr:uid="{00000000-0005-0000-0000-0000E0550000}"/>
    <cellStyle name="입력 3 4 4 2 4" xfId="29403" xr:uid="{00000000-0005-0000-0000-0000E1550000}"/>
    <cellStyle name="입력 3 4 4 3" xfId="22532" xr:uid="{00000000-0005-0000-0000-0000E2550000}"/>
    <cellStyle name="입력 3 4 4 3 2" xfId="19787" xr:uid="{00000000-0005-0000-0000-0000E3550000}"/>
    <cellStyle name="입력 3 4 4 3 3" xfId="26762" xr:uid="{00000000-0005-0000-0000-0000E4550000}"/>
    <cellStyle name="입력 3 4 4 3 4" xfId="29876" xr:uid="{00000000-0005-0000-0000-0000E5550000}"/>
    <cellStyle name="입력 3 4 4 4" xfId="22977" xr:uid="{00000000-0005-0000-0000-0000E6550000}"/>
    <cellStyle name="입력 3 4 4 4 2" xfId="20196" xr:uid="{00000000-0005-0000-0000-0000E7550000}"/>
    <cellStyle name="입력 3 4 4 4 3" xfId="27207" xr:uid="{00000000-0005-0000-0000-0000E8550000}"/>
    <cellStyle name="입력 3 4 4 4 4" xfId="30321" xr:uid="{00000000-0005-0000-0000-0000E9550000}"/>
    <cellStyle name="입력 3 4 4 5" xfId="23350" xr:uid="{00000000-0005-0000-0000-0000EA550000}"/>
    <cellStyle name="입력 3 4 4 5 2" xfId="20387" xr:uid="{00000000-0005-0000-0000-0000EB550000}"/>
    <cellStyle name="입력 3 4 4 5 3" xfId="27580" xr:uid="{00000000-0005-0000-0000-0000EC550000}"/>
    <cellStyle name="입력 3 4 4 5 4" xfId="30694" xr:uid="{00000000-0005-0000-0000-0000ED550000}"/>
    <cellStyle name="입력 3 4 4 6" xfId="23942" xr:uid="{00000000-0005-0000-0000-0000EE550000}"/>
    <cellStyle name="입력 3 4 4 7" xfId="25738" xr:uid="{00000000-0005-0000-0000-0000EF550000}"/>
    <cellStyle name="입력 3 4 4 8" xfId="28855" xr:uid="{00000000-0005-0000-0000-0000F0550000}"/>
    <cellStyle name="입력 3 4 5" xfId="18014" xr:uid="{00000000-0005-0000-0000-0000F1550000}"/>
    <cellStyle name="입력 3 4 5 2" xfId="20932" xr:uid="{00000000-0005-0000-0000-0000F2550000}"/>
    <cellStyle name="입력 3 4 5 3" xfId="24693" xr:uid="{00000000-0005-0000-0000-0000F3550000}"/>
    <cellStyle name="입력 3 4 5 4" xfId="25183" xr:uid="{00000000-0005-0000-0000-0000F4550000}"/>
    <cellStyle name="입력 3 4 5 5" xfId="28307" xr:uid="{00000000-0005-0000-0000-0000F5550000}"/>
    <cellStyle name="입력 3 4 6" xfId="18782" xr:uid="{00000000-0005-0000-0000-0000F6550000}"/>
    <cellStyle name="입력 3 4 7" xfId="18531" xr:uid="{00000000-0005-0000-0000-0000F7550000}"/>
    <cellStyle name="입력 3 4 8" xfId="18692" xr:uid="{00000000-0005-0000-0000-0000F8550000}"/>
    <cellStyle name="입력 3 4 9" xfId="17283" xr:uid="{00000000-0005-0000-0000-0000F9550000}"/>
    <cellStyle name="입력 3 5" xfId="12149" xr:uid="{00000000-0005-0000-0000-0000FA550000}"/>
    <cellStyle name="입력 3 5 2" xfId="14794" xr:uid="{00000000-0005-0000-0000-0000FB550000}"/>
    <cellStyle name="입력 3 5 2 10" xfId="25010" xr:uid="{00000000-0005-0000-0000-0000FC550000}"/>
    <cellStyle name="입력 3 5 2 11" xfId="28134" xr:uid="{00000000-0005-0000-0000-0000FD550000}"/>
    <cellStyle name="입력 3 5 2 12" xfId="31110" xr:uid="{00000000-0005-0000-0000-0000FE550000}"/>
    <cellStyle name="입력 3 5 2 13" xfId="17458" xr:uid="{00000000-0005-0000-0000-0000FF550000}"/>
    <cellStyle name="입력 3 5 2 2" xfId="18015" xr:uid="{00000000-0005-0000-0000-000000560000}"/>
    <cellStyle name="입력 3 5 2 2 2" xfId="22345" xr:uid="{00000000-0005-0000-0000-000001560000}"/>
    <cellStyle name="입력 3 5 2 2 2 2" xfId="19612" xr:uid="{00000000-0005-0000-0000-000002560000}"/>
    <cellStyle name="입력 3 5 2 2 2 3" xfId="26575" xr:uid="{00000000-0005-0000-0000-000003560000}"/>
    <cellStyle name="입력 3 5 2 2 2 4" xfId="29689" xr:uid="{00000000-0005-0000-0000-000004560000}"/>
    <cellStyle name="입력 3 5 2 2 3" xfId="22821" xr:uid="{00000000-0005-0000-0000-000005560000}"/>
    <cellStyle name="입력 3 5 2 2 3 2" xfId="20050" xr:uid="{00000000-0005-0000-0000-000006560000}"/>
    <cellStyle name="입력 3 5 2 2 3 3" xfId="27051" xr:uid="{00000000-0005-0000-0000-000007560000}"/>
    <cellStyle name="입력 3 5 2 2 3 4" xfId="30165" xr:uid="{00000000-0005-0000-0000-000008560000}"/>
    <cellStyle name="입력 3 5 2 2 4" xfId="23204" xr:uid="{00000000-0005-0000-0000-000009560000}"/>
    <cellStyle name="입력 3 5 2 2 4 2" xfId="20277" xr:uid="{00000000-0005-0000-0000-00000A560000}"/>
    <cellStyle name="입력 3 5 2 2 4 3" xfId="27434" xr:uid="{00000000-0005-0000-0000-00000B560000}"/>
    <cellStyle name="입력 3 5 2 2 4 4" xfId="30548" xr:uid="{00000000-0005-0000-0000-00000C560000}"/>
    <cellStyle name="입력 3 5 2 2 5" xfId="23631" xr:uid="{00000000-0005-0000-0000-00000D560000}"/>
    <cellStyle name="입력 3 5 2 2 5 2" xfId="18286" xr:uid="{00000000-0005-0000-0000-00000E560000}"/>
    <cellStyle name="입력 3 5 2 2 5 3" xfId="27861" xr:uid="{00000000-0005-0000-0000-00000F560000}"/>
    <cellStyle name="입력 3 5 2 2 5 4" xfId="30975" xr:uid="{00000000-0005-0000-0000-000010560000}"/>
    <cellStyle name="입력 3 5 2 2 6" xfId="21792" xr:uid="{00000000-0005-0000-0000-000011560000}"/>
    <cellStyle name="입력 3 5 2 2 7" xfId="24643" xr:uid="{00000000-0005-0000-0000-000012560000}"/>
    <cellStyle name="입력 3 5 2 2 8" xfId="26022" xr:uid="{00000000-0005-0000-0000-000013560000}"/>
    <cellStyle name="입력 3 5 2 2 9" xfId="29136" xr:uid="{00000000-0005-0000-0000-000014560000}"/>
    <cellStyle name="입력 3 5 2 3" xfId="18016" xr:uid="{00000000-0005-0000-0000-000015560000}"/>
    <cellStyle name="입력 3 5 2 3 2" xfId="21390" xr:uid="{00000000-0005-0000-0000-000016560000}"/>
    <cellStyle name="입력 3 5 2 3 3" xfId="19455" xr:uid="{00000000-0005-0000-0000-000017560000}"/>
    <cellStyle name="입력 3 5 2 3 4" xfId="25577" xr:uid="{00000000-0005-0000-0000-000018560000}"/>
    <cellStyle name="입력 3 5 2 3 5" xfId="28694" xr:uid="{00000000-0005-0000-0000-000019560000}"/>
    <cellStyle name="입력 3 5 2 4" xfId="21898" xr:uid="{00000000-0005-0000-0000-00001A560000}"/>
    <cellStyle name="입력 3 5 2 4 2" xfId="19341" xr:uid="{00000000-0005-0000-0000-00001B560000}"/>
    <cellStyle name="입력 3 5 2 4 3" xfId="26128" xr:uid="{00000000-0005-0000-0000-00001C560000}"/>
    <cellStyle name="입력 3 5 2 4 4" xfId="29242" xr:uid="{00000000-0005-0000-0000-00001D560000}"/>
    <cellStyle name="입력 3 5 2 5" xfId="20818" xr:uid="{00000000-0005-0000-0000-00001E560000}"/>
    <cellStyle name="입력 3 5 2 5 2" xfId="19124" xr:uid="{00000000-0005-0000-0000-00001F560000}"/>
    <cellStyle name="입력 3 5 2 5 3" xfId="25069" xr:uid="{00000000-0005-0000-0000-000020560000}"/>
    <cellStyle name="입력 3 5 2 5 4" xfId="28193" xr:uid="{00000000-0005-0000-0000-000021560000}"/>
    <cellStyle name="입력 3 5 2 6" xfId="21049" xr:uid="{00000000-0005-0000-0000-000022560000}"/>
    <cellStyle name="입력 3 5 2 6 2" xfId="24426" xr:uid="{00000000-0005-0000-0000-000023560000}"/>
    <cellStyle name="입력 3 5 2 6 3" xfId="25294" xr:uid="{00000000-0005-0000-0000-000024560000}"/>
    <cellStyle name="입력 3 5 2 6 4" xfId="28418" xr:uid="{00000000-0005-0000-0000-000025560000}"/>
    <cellStyle name="입력 3 5 2 7" xfId="21067" xr:uid="{00000000-0005-0000-0000-000026560000}"/>
    <cellStyle name="입력 3 5 2 7 2" xfId="24361" xr:uid="{00000000-0005-0000-0000-000027560000}"/>
    <cellStyle name="입력 3 5 2 7 3" xfId="25312" xr:uid="{00000000-0005-0000-0000-000028560000}"/>
    <cellStyle name="입력 3 5 2 7 4" xfId="28436" xr:uid="{00000000-0005-0000-0000-000029560000}"/>
    <cellStyle name="입력 3 5 2 8" xfId="20762" xr:uid="{00000000-0005-0000-0000-00002A560000}"/>
    <cellStyle name="입력 3 5 2 9" xfId="19065" xr:uid="{00000000-0005-0000-0000-00002B560000}"/>
    <cellStyle name="입력 3 5 3" xfId="15420" xr:uid="{00000000-0005-0000-0000-00002C560000}"/>
    <cellStyle name="입력 3 5 3 10" xfId="28024" xr:uid="{00000000-0005-0000-0000-00002D560000}"/>
    <cellStyle name="입력 3 5 3 11" xfId="17544" xr:uid="{00000000-0005-0000-0000-00002E560000}"/>
    <cellStyle name="입력 3 5 3 2" xfId="15268" xr:uid="{00000000-0005-0000-0000-00002F560000}"/>
    <cellStyle name="입력 3 5 3 2 2" xfId="19332" xr:uid="{00000000-0005-0000-0000-000030560000}"/>
    <cellStyle name="입력 3 5 3 2 3" xfId="25912" xr:uid="{00000000-0005-0000-0000-000031560000}"/>
    <cellStyle name="입력 3 5 3 2 4" xfId="29026" xr:uid="{00000000-0005-0000-0000-000032560000}"/>
    <cellStyle name="입력 3 5 3 2 5" xfId="21682" xr:uid="{00000000-0005-0000-0000-000033560000}"/>
    <cellStyle name="입력 3 5 3 3" xfId="16988" xr:uid="{00000000-0005-0000-0000-000034560000}"/>
    <cellStyle name="입력 3 5 3 3 2" xfId="18386" xr:uid="{00000000-0005-0000-0000-000035560000}"/>
    <cellStyle name="입력 3 5 3 3 3" xfId="26465" xr:uid="{00000000-0005-0000-0000-000036560000}"/>
    <cellStyle name="입력 3 5 3 3 4" xfId="29579" xr:uid="{00000000-0005-0000-0000-000037560000}"/>
    <cellStyle name="입력 3 5 3 3 5" xfId="22235" xr:uid="{00000000-0005-0000-0000-000038560000}"/>
    <cellStyle name="입력 3 5 3 4" xfId="16989" xr:uid="{00000000-0005-0000-0000-000039560000}"/>
    <cellStyle name="입력 3 5 3 4 2" xfId="19949" xr:uid="{00000000-0005-0000-0000-00003A560000}"/>
    <cellStyle name="입력 3 5 3 4 3" xfId="26941" xr:uid="{00000000-0005-0000-0000-00003B560000}"/>
    <cellStyle name="입력 3 5 3 4 4" xfId="30055" xr:uid="{00000000-0005-0000-0000-00003C560000}"/>
    <cellStyle name="입력 3 5 3 4 5" xfId="22711" xr:uid="{00000000-0005-0000-0000-00003D560000}"/>
    <cellStyle name="입력 3 5 3 5" xfId="23120" xr:uid="{00000000-0005-0000-0000-00003E560000}"/>
    <cellStyle name="입력 3 5 3 5 2" xfId="19373" xr:uid="{00000000-0005-0000-0000-00003F560000}"/>
    <cellStyle name="입력 3 5 3 5 3" xfId="27350" xr:uid="{00000000-0005-0000-0000-000040560000}"/>
    <cellStyle name="입력 3 5 3 5 4" xfId="30464" xr:uid="{00000000-0005-0000-0000-000041560000}"/>
    <cellStyle name="입력 3 5 3 6" xfId="23521" xr:uid="{00000000-0005-0000-0000-000042560000}"/>
    <cellStyle name="입력 3 5 3 6 2" xfId="18183" xr:uid="{00000000-0005-0000-0000-000043560000}"/>
    <cellStyle name="입력 3 5 3 6 3" xfId="27751" xr:uid="{00000000-0005-0000-0000-000044560000}"/>
    <cellStyle name="입력 3 5 3 6 4" xfId="30865" xr:uid="{00000000-0005-0000-0000-000045560000}"/>
    <cellStyle name="입력 3 5 3 7" xfId="20652" xr:uid="{00000000-0005-0000-0000-000046560000}"/>
    <cellStyle name="입력 3 5 3 8" xfId="18957" xr:uid="{00000000-0005-0000-0000-000047560000}"/>
    <cellStyle name="입력 3 5 3 9" xfId="24900" xr:uid="{00000000-0005-0000-0000-000048560000}"/>
    <cellStyle name="입력 3 5 4" xfId="17624" xr:uid="{00000000-0005-0000-0000-000049560000}"/>
    <cellStyle name="입력 3 5 4 2" xfId="22060" xr:uid="{00000000-0005-0000-0000-00004A560000}"/>
    <cellStyle name="입력 3 5 4 2 2" xfId="23992" xr:uid="{00000000-0005-0000-0000-00004B560000}"/>
    <cellStyle name="입력 3 5 4 2 3" xfId="26290" xr:uid="{00000000-0005-0000-0000-00004C560000}"/>
    <cellStyle name="입력 3 5 4 2 4" xfId="29404" xr:uid="{00000000-0005-0000-0000-00004D560000}"/>
    <cellStyle name="입력 3 5 4 3" xfId="22533" xr:uid="{00000000-0005-0000-0000-00004E560000}"/>
    <cellStyle name="입력 3 5 4 3 2" xfId="19788" xr:uid="{00000000-0005-0000-0000-00004F560000}"/>
    <cellStyle name="입력 3 5 4 3 3" xfId="26763" xr:uid="{00000000-0005-0000-0000-000050560000}"/>
    <cellStyle name="입력 3 5 4 3 4" xfId="29877" xr:uid="{00000000-0005-0000-0000-000051560000}"/>
    <cellStyle name="입력 3 5 4 4" xfId="22978" xr:uid="{00000000-0005-0000-0000-000052560000}"/>
    <cellStyle name="입력 3 5 4 4 2" xfId="20197" xr:uid="{00000000-0005-0000-0000-000053560000}"/>
    <cellStyle name="입력 3 5 4 4 3" xfId="27208" xr:uid="{00000000-0005-0000-0000-000054560000}"/>
    <cellStyle name="입력 3 5 4 4 4" xfId="30322" xr:uid="{00000000-0005-0000-0000-000055560000}"/>
    <cellStyle name="입력 3 5 4 5" xfId="23351" xr:uid="{00000000-0005-0000-0000-000056560000}"/>
    <cellStyle name="입력 3 5 4 5 2" xfId="20388" xr:uid="{00000000-0005-0000-0000-000057560000}"/>
    <cellStyle name="입력 3 5 4 5 3" xfId="27581" xr:uid="{00000000-0005-0000-0000-000058560000}"/>
    <cellStyle name="입력 3 5 4 5 4" xfId="30695" xr:uid="{00000000-0005-0000-0000-000059560000}"/>
    <cellStyle name="입력 3 5 4 6" xfId="24753" xr:uid="{00000000-0005-0000-0000-00005A560000}"/>
    <cellStyle name="입력 3 5 4 7" xfId="25739" xr:uid="{00000000-0005-0000-0000-00005B560000}"/>
    <cellStyle name="입력 3 5 4 8" xfId="28856" xr:uid="{00000000-0005-0000-0000-00005C560000}"/>
    <cellStyle name="입력 3 5 5" xfId="18017" xr:uid="{00000000-0005-0000-0000-00005D560000}"/>
    <cellStyle name="입력 3 5 5 2" xfId="20933" xr:uid="{00000000-0005-0000-0000-00005E560000}"/>
    <cellStyle name="입력 3 5 5 3" xfId="24433" xr:uid="{00000000-0005-0000-0000-00005F560000}"/>
    <cellStyle name="입력 3 5 5 4" xfId="25184" xr:uid="{00000000-0005-0000-0000-000060560000}"/>
    <cellStyle name="입력 3 5 5 5" xfId="28308" xr:uid="{00000000-0005-0000-0000-000061560000}"/>
    <cellStyle name="입력 3 5 6" xfId="18783" xr:uid="{00000000-0005-0000-0000-000062560000}"/>
    <cellStyle name="입력 3 5 7" xfId="18530" xr:uid="{00000000-0005-0000-0000-000063560000}"/>
    <cellStyle name="입력 3 5 8" xfId="18693" xr:uid="{00000000-0005-0000-0000-000064560000}"/>
    <cellStyle name="입력 3 5 9" xfId="17284" xr:uid="{00000000-0005-0000-0000-000065560000}"/>
    <cellStyle name="입력 3 6" xfId="12150" xr:uid="{00000000-0005-0000-0000-000066560000}"/>
    <cellStyle name="입력 3 6 2" xfId="14795" xr:uid="{00000000-0005-0000-0000-000067560000}"/>
    <cellStyle name="입력 3 6 2 10" xfId="25011" xr:uid="{00000000-0005-0000-0000-000068560000}"/>
    <cellStyle name="입력 3 6 2 11" xfId="28135" xr:uid="{00000000-0005-0000-0000-000069560000}"/>
    <cellStyle name="입력 3 6 2 12" xfId="31111" xr:uid="{00000000-0005-0000-0000-00006A560000}"/>
    <cellStyle name="입력 3 6 2 13" xfId="17457" xr:uid="{00000000-0005-0000-0000-00006B560000}"/>
    <cellStyle name="입력 3 6 2 2" xfId="18018" xr:uid="{00000000-0005-0000-0000-00006C560000}"/>
    <cellStyle name="입력 3 6 2 2 2" xfId="22346" xr:uid="{00000000-0005-0000-0000-00006D560000}"/>
    <cellStyle name="입력 3 6 2 2 2 2" xfId="19613" xr:uid="{00000000-0005-0000-0000-00006E560000}"/>
    <cellStyle name="입력 3 6 2 2 2 3" xfId="26576" xr:uid="{00000000-0005-0000-0000-00006F560000}"/>
    <cellStyle name="입력 3 6 2 2 2 4" xfId="29690" xr:uid="{00000000-0005-0000-0000-000070560000}"/>
    <cellStyle name="입력 3 6 2 2 3" xfId="22822" xr:uid="{00000000-0005-0000-0000-000071560000}"/>
    <cellStyle name="입력 3 6 2 2 3 2" xfId="20051" xr:uid="{00000000-0005-0000-0000-000072560000}"/>
    <cellStyle name="입력 3 6 2 2 3 3" xfId="27052" xr:uid="{00000000-0005-0000-0000-000073560000}"/>
    <cellStyle name="입력 3 6 2 2 3 4" xfId="30166" xr:uid="{00000000-0005-0000-0000-000074560000}"/>
    <cellStyle name="입력 3 6 2 2 4" xfId="23205" xr:uid="{00000000-0005-0000-0000-000075560000}"/>
    <cellStyle name="입력 3 6 2 2 4 2" xfId="20278" xr:uid="{00000000-0005-0000-0000-000076560000}"/>
    <cellStyle name="입력 3 6 2 2 4 3" xfId="27435" xr:uid="{00000000-0005-0000-0000-000077560000}"/>
    <cellStyle name="입력 3 6 2 2 4 4" xfId="30549" xr:uid="{00000000-0005-0000-0000-000078560000}"/>
    <cellStyle name="입력 3 6 2 2 5" xfId="23632" xr:uid="{00000000-0005-0000-0000-000079560000}"/>
    <cellStyle name="입력 3 6 2 2 5 2" xfId="18287" xr:uid="{00000000-0005-0000-0000-00007A560000}"/>
    <cellStyle name="입력 3 6 2 2 5 3" xfId="27862" xr:uid="{00000000-0005-0000-0000-00007B560000}"/>
    <cellStyle name="입력 3 6 2 2 5 4" xfId="30976" xr:uid="{00000000-0005-0000-0000-00007C560000}"/>
    <cellStyle name="입력 3 6 2 2 6" xfId="21793" xr:uid="{00000000-0005-0000-0000-00007D560000}"/>
    <cellStyle name="입력 3 6 2 2 7" xfId="24558" xr:uid="{00000000-0005-0000-0000-00007E560000}"/>
    <cellStyle name="입력 3 6 2 2 8" xfId="26023" xr:uid="{00000000-0005-0000-0000-00007F560000}"/>
    <cellStyle name="입력 3 6 2 2 9" xfId="29137" xr:uid="{00000000-0005-0000-0000-000080560000}"/>
    <cellStyle name="입력 3 6 2 3" xfId="18019" xr:uid="{00000000-0005-0000-0000-000081560000}"/>
    <cellStyle name="입력 3 6 2 3 2" xfId="21391" xr:uid="{00000000-0005-0000-0000-000082560000}"/>
    <cellStyle name="입력 3 6 2 3 3" xfId="19456" xr:uid="{00000000-0005-0000-0000-000083560000}"/>
    <cellStyle name="입력 3 6 2 3 4" xfId="25578" xr:uid="{00000000-0005-0000-0000-000084560000}"/>
    <cellStyle name="입력 3 6 2 3 5" xfId="28695" xr:uid="{00000000-0005-0000-0000-000085560000}"/>
    <cellStyle name="입력 3 6 2 4" xfId="21899" xr:uid="{00000000-0005-0000-0000-000086560000}"/>
    <cellStyle name="입력 3 6 2 4 2" xfId="23859" xr:uid="{00000000-0005-0000-0000-000087560000}"/>
    <cellStyle name="입력 3 6 2 4 3" xfId="26129" xr:uid="{00000000-0005-0000-0000-000088560000}"/>
    <cellStyle name="입력 3 6 2 4 4" xfId="29243" xr:uid="{00000000-0005-0000-0000-000089560000}"/>
    <cellStyle name="입력 3 6 2 5" xfId="20829" xr:uid="{00000000-0005-0000-0000-00008A560000}"/>
    <cellStyle name="입력 3 6 2 5 2" xfId="19135" xr:uid="{00000000-0005-0000-0000-00008B560000}"/>
    <cellStyle name="입력 3 6 2 5 3" xfId="25080" xr:uid="{00000000-0005-0000-0000-00008C560000}"/>
    <cellStyle name="입력 3 6 2 5 4" xfId="28204" xr:uid="{00000000-0005-0000-0000-00008D560000}"/>
    <cellStyle name="입력 3 6 2 6" xfId="22106" xr:uid="{00000000-0005-0000-0000-00008E560000}"/>
    <cellStyle name="입력 3 6 2 6 2" xfId="24369" xr:uid="{00000000-0005-0000-0000-00008F560000}"/>
    <cellStyle name="입력 3 6 2 6 3" xfId="26336" xr:uid="{00000000-0005-0000-0000-000090560000}"/>
    <cellStyle name="입력 3 6 2 6 4" xfId="29450" xr:uid="{00000000-0005-0000-0000-000091560000}"/>
    <cellStyle name="입력 3 6 2 7" xfId="21115" xr:uid="{00000000-0005-0000-0000-000092560000}"/>
    <cellStyle name="입력 3 6 2 7 2" xfId="24187" xr:uid="{00000000-0005-0000-0000-000093560000}"/>
    <cellStyle name="입력 3 6 2 7 3" xfId="25360" xr:uid="{00000000-0005-0000-0000-000094560000}"/>
    <cellStyle name="입력 3 6 2 7 4" xfId="28484" xr:uid="{00000000-0005-0000-0000-000095560000}"/>
    <cellStyle name="입력 3 6 2 8" xfId="20763" xr:uid="{00000000-0005-0000-0000-000096560000}"/>
    <cellStyle name="입력 3 6 2 9" xfId="19066" xr:uid="{00000000-0005-0000-0000-000097560000}"/>
    <cellStyle name="입력 3 6 3" xfId="15421" xr:uid="{00000000-0005-0000-0000-000098560000}"/>
    <cellStyle name="입력 3 6 3 10" xfId="28025" xr:uid="{00000000-0005-0000-0000-000099560000}"/>
    <cellStyle name="입력 3 6 3 11" xfId="17543" xr:uid="{00000000-0005-0000-0000-00009A560000}"/>
    <cellStyle name="입력 3 6 3 2" xfId="15267" xr:uid="{00000000-0005-0000-0000-00009B560000}"/>
    <cellStyle name="입력 3 6 3 2 2" xfId="23866" xr:uid="{00000000-0005-0000-0000-00009C560000}"/>
    <cellStyle name="입력 3 6 3 2 3" xfId="25913" xr:uid="{00000000-0005-0000-0000-00009D560000}"/>
    <cellStyle name="입력 3 6 3 2 4" xfId="29027" xr:uid="{00000000-0005-0000-0000-00009E560000}"/>
    <cellStyle name="입력 3 6 3 2 5" xfId="21683" xr:uid="{00000000-0005-0000-0000-00009F560000}"/>
    <cellStyle name="입력 3 6 3 3" xfId="16990" xr:uid="{00000000-0005-0000-0000-0000A0560000}"/>
    <cellStyle name="입력 3 6 3 3 2" xfId="18387" xr:uid="{00000000-0005-0000-0000-0000A1560000}"/>
    <cellStyle name="입력 3 6 3 3 3" xfId="26466" xr:uid="{00000000-0005-0000-0000-0000A2560000}"/>
    <cellStyle name="입력 3 6 3 3 4" xfId="29580" xr:uid="{00000000-0005-0000-0000-0000A3560000}"/>
    <cellStyle name="입력 3 6 3 3 5" xfId="22236" xr:uid="{00000000-0005-0000-0000-0000A4560000}"/>
    <cellStyle name="입력 3 6 3 4" xfId="16991" xr:uid="{00000000-0005-0000-0000-0000A5560000}"/>
    <cellStyle name="입력 3 6 3 4 2" xfId="19950" xr:uid="{00000000-0005-0000-0000-0000A6560000}"/>
    <cellStyle name="입력 3 6 3 4 3" xfId="26942" xr:uid="{00000000-0005-0000-0000-0000A7560000}"/>
    <cellStyle name="입력 3 6 3 4 4" xfId="30056" xr:uid="{00000000-0005-0000-0000-0000A8560000}"/>
    <cellStyle name="입력 3 6 3 4 5" xfId="22712" xr:uid="{00000000-0005-0000-0000-0000A9560000}"/>
    <cellStyle name="입력 3 6 3 5" xfId="23121" xr:uid="{00000000-0005-0000-0000-0000AA560000}"/>
    <cellStyle name="입력 3 6 3 5 2" xfId="19214" xr:uid="{00000000-0005-0000-0000-0000AB560000}"/>
    <cellStyle name="입력 3 6 3 5 3" xfId="27351" xr:uid="{00000000-0005-0000-0000-0000AC560000}"/>
    <cellStyle name="입력 3 6 3 5 4" xfId="30465" xr:uid="{00000000-0005-0000-0000-0000AD560000}"/>
    <cellStyle name="입력 3 6 3 6" xfId="23522" xr:uid="{00000000-0005-0000-0000-0000AE560000}"/>
    <cellStyle name="입력 3 6 3 6 2" xfId="18184" xr:uid="{00000000-0005-0000-0000-0000AF560000}"/>
    <cellStyle name="입력 3 6 3 6 3" xfId="27752" xr:uid="{00000000-0005-0000-0000-0000B0560000}"/>
    <cellStyle name="입력 3 6 3 6 4" xfId="30866" xr:uid="{00000000-0005-0000-0000-0000B1560000}"/>
    <cellStyle name="입력 3 6 3 7" xfId="20653" xr:uid="{00000000-0005-0000-0000-0000B2560000}"/>
    <cellStyle name="입력 3 6 3 8" xfId="18958" xr:uid="{00000000-0005-0000-0000-0000B3560000}"/>
    <cellStyle name="입력 3 6 3 9" xfId="24901" xr:uid="{00000000-0005-0000-0000-0000B4560000}"/>
    <cellStyle name="입력 3 6 4" xfId="17623" xr:uid="{00000000-0005-0000-0000-0000B5560000}"/>
    <cellStyle name="입력 3 6 4 2" xfId="22061" xr:uid="{00000000-0005-0000-0000-0000B6560000}"/>
    <cellStyle name="입력 3 6 4 2 2" xfId="24703" xr:uid="{00000000-0005-0000-0000-0000B7560000}"/>
    <cellStyle name="입력 3 6 4 2 3" xfId="26291" xr:uid="{00000000-0005-0000-0000-0000B8560000}"/>
    <cellStyle name="입력 3 6 4 2 4" xfId="29405" xr:uid="{00000000-0005-0000-0000-0000B9560000}"/>
    <cellStyle name="입력 3 6 4 3" xfId="22534" xr:uid="{00000000-0005-0000-0000-0000BA560000}"/>
    <cellStyle name="입력 3 6 4 3 2" xfId="19789" xr:uid="{00000000-0005-0000-0000-0000BB560000}"/>
    <cellStyle name="입력 3 6 4 3 3" xfId="26764" xr:uid="{00000000-0005-0000-0000-0000BC560000}"/>
    <cellStyle name="입력 3 6 4 3 4" xfId="29878" xr:uid="{00000000-0005-0000-0000-0000BD560000}"/>
    <cellStyle name="입력 3 6 4 4" xfId="22979" xr:uid="{00000000-0005-0000-0000-0000BE560000}"/>
    <cellStyle name="입력 3 6 4 4 2" xfId="20198" xr:uid="{00000000-0005-0000-0000-0000BF560000}"/>
    <cellStyle name="입력 3 6 4 4 3" xfId="27209" xr:uid="{00000000-0005-0000-0000-0000C0560000}"/>
    <cellStyle name="입력 3 6 4 4 4" xfId="30323" xr:uid="{00000000-0005-0000-0000-0000C1560000}"/>
    <cellStyle name="입력 3 6 4 5" xfId="23352" xr:uid="{00000000-0005-0000-0000-0000C2560000}"/>
    <cellStyle name="입력 3 6 4 5 2" xfId="20389" xr:uid="{00000000-0005-0000-0000-0000C3560000}"/>
    <cellStyle name="입력 3 6 4 5 3" xfId="27582" xr:uid="{00000000-0005-0000-0000-0000C4560000}"/>
    <cellStyle name="입력 3 6 4 5 4" xfId="30696" xr:uid="{00000000-0005-0000-0000-0000C5560000}"/>
    <cellStyle name="입력 3 6 4 6" xfId="24619" xr:uid="{00000000-0005-0000-0000-0000C6560000}"/>
    <cellStyle name="입력 3 6 4 7" xfId="25740" xr:uid="{00000000-0005-0000-0000-0000C7560000}"/>
    <cellStyle name="입력 3 6 4 8" xfId="28857" xr:uid="{00000000-0005-0000-0000-0000C8560000}"/>
    <cellStyle name="입력 3 6 5" xfId="18020" xr:uid="{00000000-0005-0000-0000-0000C9560000}"/>
    <cellStyle name="입력 3 6 5 2" xfId="20934" xr:uid="{00000000-0005-0000-0000-0000CA560000}"/>
    <cellStyle name="입력 3 6 5 3" xfId="24260" xr:uid="{00000000-0005-0000-0000-0000CB560000}"/>
    <cellStyle name="입력 3 6 5 4" xfId="25185" xr:uid="{00000000-0005-0000-0000-0000CC560000}"/>
    <cellStyle name="입력 3 6 5 5" xfId="28309" xr:uid="{00000000-0005-0000-0000-0000CD560000}"/>
    <cellStyle name="입력 3 6 6" xfId="18784" xr:uid="{00000000-0005-0000-0000-0000CE560000}"/>
    <cellStyle name="입력 3 6 7" xfId="18529" xr:uid="{00000000-0005-0000-0000-0000CF560000}"/>
    <cellStyle name="입력 3 6 8" xfId="18694" xr:uid="{00000000-0005-0000-0000-0000D0560000}"/>
    <cellStyle name="입력 3 6 9" xfId="17285" xr:uid="{00000000-0005-0000-0000-0000D1560000}"/>
    <cellStyle name="입력 3 7" xfId="12151" xr:uid="{00000000-0005-0000-0000-0000D2560000}"/>
    <cellStyle name="입력 3 7 2" xfId="14796" xr:uid="{00000000-0005-0000-0000-0000D3560000}"/>
    <cellStyle name="입력 3 7 2 10" xfId="25012" xr:uid="{00000000-0005-0000-0000-0000D4560000}"/>
    <cellStyle name="입력 3 7 2 11" xfId="28136" xr:uid="{00000000-0005-0000-0000-0000D5560000}"/>
    <cellStyle name="입력 3 7 2 12" xfId="31112" xr:uid="{00000000-0005-0000-0000-0000D6560000}"/>
    <cellStyle name="입력 3 7 2 13" xfId="17456" xr:uid="{00000000-0005-0000-0000-0000D7560000}"/>
    <cellStyle name="입력 3 7 2 2" xfId="18021" xr:uid="{00000000-0005-0000-0000-0000D8560000}"/>
    <cellStyle name="입력 3 7 2 2 2" xfId="22347" xr:uid="{00000000-0005-0000-0000-0000D9560000}"/>
    <cellStyle name="입력 3 7 2 2 2 2" xfId="19614" xr:uid="{00000000-0005-0000-0000-0000DA560000}"/>
    <cellStyle name="입력 3 7 2 2 2 3" xfId="26577" xr:uid="{00000000-0005-0000-0000-0000DB560000}"/>
    <cellStyle name="입력 3 7 2 2 2 4" xfId="29691" xr:uid="{00000000-0005-0000-0000-0000DC560000}"/>
    <cellStyle name="입력 3 7 2 2 3" xfId="22823" xr:uid="{00000000-0005-0000-0000-0000DD560000}"/>
    <cellStyle name="입력 3 7 2 2 3 2" xfId="20052" xr:uid="{00000000-0005-0000-0000-0000DE560000}"/>
    <cellStyle name="입력 3 7 2 2 3 3" xfId="27053" xr:uid="{00000000-0005-0000-0000-0000DF560000}"/>
    <cellStyle name="입력 3 7 2 2 3 4" xfId="30167" xr:uid="{00000000-0005-0000-0000-0000E0560000}"/>
    <cellStyle name="입력 3 7 2 2 4" xfId="23206" xr:uid="{00000000-0005-0000-0000-0000E1560000}"/>
    <cellStyle name="입력 3 7 2 2 4 2" xfId="20279" xr:uid="{00000000-0005-0000-0000-0000E2560000}"/>
    <cellStyle name="입력 3 7 2 2 4 3" xfId="27436" xr:uid="{00000000-0005-0000-0000-0000E3560000}"/>
    <cellStyle name="입력 3 7 2 2 4 4" xfId="30550" xr:uid="{00000000-0005-0000-0000-0000E4560000}"/>
    <cellStyle name="입력 3 7 2 2 5" xfId="23633" xr:uid="{00000000-0005-0000-0000-0000E5560000}"/>
    <cellStyle name="입력 3 7 2 2 5 2" xfId="18288" xr:uid="{00000000-0005-0000-0000-0000E6560000}"/>
    <cellStyle name="입력 3 7 2 2 5 3" xfId="27863" xr:uid="{00000000-0005-0000-0000-0000E7560000}"/>
    <cellStyle name="입력 3 7 2 2 5 4" xfId="30977" xr:uid="{00000000-0005-0000-0000-0000E8560000}"/>
    <cellStyle name="입력 3 7 2 2 6" xfId="21794" xr:uid="{00000000-0005-0000-0000-0000E9560000}"/>
    <cellStyle name="입력 3 7 2 2 7" xfId="24382" xr:uid="{00000000-0005-0000-0000-0000EA560000}"/>
    <cellStyle name="입력 3 7 2 2 8" xfId="26024" xr:uid="{00000000-0005-0000-0000-0000EB560000}"/>
    <cellStyle name="입력 3 7 2 2 9" xfId="29138" xr:uid="{00000000-0005-0000-0000-0000EC560000}"/>
    <cellStyle name="입력 3 7 2 3" xfId="18022" xr:uid="{00000000-0005-0000-0000-0000ED560000}"/>
    <cellStyle name="입력 3 7 2 3 2" xfId="21392" xr:uid="{00000000-0005-0000-0000-0000EE560000}"/>
    <cellStyle name="입력 3 7 2 3 3" xfId="19457" xr:uid="{00000000-0005-0000-0000-0000EF560000}"/>
    <cellStyle name="입력 3 7 2 3 4" xfId="25579" xr:uid="{00000000-0005-0000-0000-0000F0560000}"/>
    <cellStyle name="입력 3 7 2 3 5" xfId="28696" xr:uid="{00000000-0005-0000-0000-0000F1560000}"/>
    <cellStyle name="입력 3 7 2 4" xfId="21900" xr:uid="{00000000-0005-0000-0000-0000F2560000}"/>
    <cellStyle name="입력 3 7 2 4 2" xfId="23706" xr:uid="{00000000-0005-0000-0000-0000F3560000}"/>
    <cellStyle name="입력 3 7 2 4 3" xfId="26130" xr:uid="{00000000-0005-0000-0000-0000F4560000}"/>
    <cellStyle name="입력 3 7 2 4 4" xfId="29244" xr:uid="{00000000-0005-0000-0000-0000F5560000}"/>
    <cellStyle name="입력 3 7 2 5" xfId="20842" xr:uid="{00000000-0005-0000-0000-0000F6560000}"/>
    <cellStyle name="입력 3 7 2 5 2" xfId="19147" xr:uid="{00000000-0005-0000-0000-0000F7560000}"/>
    <cellStyle name="입력 3 7 2 5 3" xfId="25093" xr:uid="{00000000-0005-0000-0000-0000F8560000}"/>
    <cellStyle name="입력 3 7 2 5 4" xfId="28217" xr:uid="{00000000-0005-0000-0000-0000F9560000}"/>
    <cellStyle name="입력 3 7 2 6" xfId="21020" xr:uid="{00000000-0005-0000-0000-0000FA560000}"/>
    <cellStyle name="입력 3 7 2 6 2" xfId="24240" xr:uid="{00000000-0005-0000-0000-0000FB560000}"/>
    <cellStyle name="입력 3 7 2 6 3" xfId="25265" xr:uid="{00000000-0005-0000-0000-0000FC560000}"/>
    <cellStyle name="입력 3 7 2 6 4" xfId="28389" xr:uid="{00000000-0005-0000-0000-0000FD560000}"/>
    <cellStyle name="입력 3 7 2 7" xfId="21082" xr:uid="{00000000-0005-0000-0000-0000FE560000}"/>
    <cellStyle name="입력 3 7 2 7 2" xfId="23748" xr:uid="{00000000-0005-0000-0000-0000FF560000}"/>
    <cellStyle name="입력 3 7 2 7 3" xfId="25327" xr:uid="{00000000-0005-0000-0000-000000570000}"/>
    <cellStyle name="입력 3 7 2 7 4" xfId="28451" xr:uid="{00000000-0005-0000-0000-000001570000}"/>
    <cellStyle name="입력 3 7 2 8" xfId="20764" xr:uid="{00000000-0005-0000-0000-000002570000}"/>
    <cellStyle name="입력 3 7 2 9" xfId="19067" xr:uid="{00000000-0005-0000-0000-000003570000}"/>
    <cellStyle name="입력 3 7 3" xfId="15422" xr:uid="{00000000-0005-0000-0000-000004570000}"/>
    <cellStyle name="입력 3 7 3 10" xfId="28026" xr:uid="{00000000-0005-0000-0000-000005570000}"/>
    <cellStyle name="입력 3 7 3 11" xfId="17542" xr:uid="{00000000-0005-0000-0000-000006570000}"/>
    <cellStyle name="입력 3 7 3 2" xfId="15266" xr:uid="{00000000-0005-0000-0000-000007570000}"/>
    <cellStyle name="입력 3 7 3 2 2" xfId="23803" xr:uid="{00000000-0005-0000-0000-000008570000}"/>
    <cellStyle name="입력 3 7 3 2 3" xfId="25914" xr:uid="{00000000-0005-0000-0000-000009570000}"/>
    <cellStyle name="입력 3 7 3 2 4" xfId="29028" xr:uid="{00000000-0005-0000-0000-00000A570000}"/>
    <cellStyle name="입력 3 7 3 2 5" xfId="21684" xr:uid="{00000000-0005-0000-0000-00000B570000}"/>
    <cellStyle name="입력 3 7 3 3" xfId="16992" xr:uid="{00000000-0005-0000-0000-00000C570000}"/>
    <cellStyle name="입력 3 7 3 3 2" xfId="18388" xr:uid="{00000000-0005-0000-0000-00000D570000}"/>
    <cellStyle name="입력 3 7 3 3 3" xfId="26467" xr:uid="{00000000-0005-0000-0000-00000E570000}"/>
    <cellStyle name="입력 3 7 3 3 4" xfId="29581" xr:uid="{00000000-0005-0000-0000-00000F570000}"/>
    <cellStyle name="입력 3 7 3 3 5" xfId="22237" xr:uid="{00000000-0005-0000-0000-000010570000}"/>
    <cellStyle name="입력 3 7 3 4" xfId="16993" xr:uid="{00000000-0005-0000-0000-000011570000}"/>
    <cellStyle name="입력 3 7 3 4 2" xfId="19951" xr:uid="{00000000-0005-0000-0000-000012570000}"/>
    <cellStyle name="입력 3 7 3 4 3" xfId="26943" xr:uid="{00000000-0005-0000-0000-000013570000}"/>
    <cellStyle name="입력 3 7 3 4 4" xfId="30057" xr:uid="{00000000-0005-0000-0000-000014570000}"/>
    <cellStyle name="입력 3 7 3 4 5" xfId="22713" xr:uid="{00000000-0005-0000-0000-000015570000}"/>
    <cellStyle name="입력 3 7 3 5" xfId="23122" xr:uid="{00000000-0005-0000-0000-000016570000}"/>
    <cellStyle name="입력 3 7 3 5 2" xfId="19215" xr:uid="{00000000-0005-0000-0000-000017570000}"/>
    <cellStyle name="입력 3 7 3 5 3" xfId="27352" xr:uid="{00000000-0005-0000-0000-000018570000}"/>
    <cellStyle name="입력 3 7 3 5 4" xfId="30466" xr:uid="{00000000-0005-0000-0000-000019570000}"/>
    <cellStyle name="입력 3 7 3 6" xfId="23523" xr:uid="{00000000-0005-0000-0000-00001A570000}"/>
    <cellStyle name="입력 3 7 3 6 2" xfId="18185" xr:uid="{00000000-0005-0000-0000-00001B570000}"/>
    <cellStyle name="입력 3 7 3 6 3" xfId="27753" xr:uid="{00000000-0005-0000-0000-00001C570000}"/>
    <cellStyle name="입력 3 7 3 6 4" xfId="30867" xr:uid="{00000000-0005-0000-0000-00001D570000}"/>
    <cellStyle name="입력 3 7 3 7" xfId="20654" xr:uid="{00000000-0005-0000-0000-00001E570000}"/>
    <cellStyle name="입력 3 7 3 8" xfId="18959" xr:uid="{00000000-0005-0000-0000-00001F570000}"/>
    <cellStyle name="입력 3 7 3 9" xfId="24902" xr:uid="{00000000-0005-0000-0000-000020570000}"/>
    <cellStyle name="입력 3 7 4" xfId="17414" xr:uid="{00000000-0005-0000-0000-000021570000}"/>
    <cellStyle name="입력 3 7 4 2" xfId="22062" xr:uid="{00000000-0005-0000-0000-000022570000}"/>
    <cellStyle name="입력 3 7 4 2 2" xfId="24573" xr:uid="{00000000-0005-0000-0000-000023570000}"/>
    <cellStyle name="입력 3 7 4 2 3" xfId="26292" xr:uid="{00000000-0005-0000-0000-000024570000}"/>
    <cellStyle name="입력 3 7 4 2 4" xfId="29406" xr:uid="{00000000-0005-0000-0000-000025570000}"/>
    <cellStyle name="입력 3 7 4 3" xfId="22535" xr:uid="{00000000-0005-0000-0000-000026570000}"/>
    <cellStyle name="입력 3 7 4 3 2" xfId="19790" xr:uid="{00000000-0005-0000-0000-000027570000}"/>
    <cellStyle name="입력 3 7 4 3 3" xfId="26765" xr:uid="{00000000-0005-0000-0000-000028570000}"/>
    <cellStyle name="입력 3 7 4 3 4" xfId="29879" xr:uid="{00000000-0005-0000-0000-000029570000}"/>
    <cellStyle name="입력 3 7 4 4" xfId="22980" xr:uid="{00000000-0005-0000-0000-00002A570000}"/>
    <cellStyle name="입력 3 7 4 4 2" xfId="20199" xr:uid="{00000000-0005-0000-0000-00002B570000}"/>
    <cellStyle name="입력 3 7 4 4 3" xfId="27210" xr:uid="{00000000-0005-0000-0000-00002C570000}"/>
    <cellStyle name="입력 3 7 4 4 4" xfId="30324" xr:uid="{00000000-0005-0000-0000-00002D570000}"/>
    <cellStyle name="입력 3 7 4 5" xfId="23353" xr:uid="{00000000-0005-0000-0000-00002E570000}"/>
    <cellStyle name="입력 3 7 4 5 2" xfId="20390" xr:uid="{00000000-0005-0000-0000-00002F570000}"/>
    <cellStyle name="입력 3 7 4 5 3" xfId="27583" xr:uid="{00000000-0005-0000-0000-000030570000}"/>
    <cellStyle name="입력 3 7 4 5 4" xfId="30697" xr:uid="{00000000-0005-0000-0000-000031570000}"/>
    <cellStyle name="입력 3 7 4 6" xfId="24492" xr:uid="{00000000-0005-0000-0000-000032570000}"/>
    <cellStyle name="입력 3 7 4 7" xfId="25741" xr:uid="{00000000-0005-0000-0000-000033570000}"/>
    <cellStyle name="입력 3 7 4 8" xfId="28858" xr:uid="{00000000-0005-0000-0000-000034570000}"/>
    <cellStyle name="입력 3 7 5" xfId="18023" xr:uid="{00000000-0005-0000-0000-000035570000}"/>
    <cellStyle name="입력 3 7 5 2" xfId="20935" xr:uid="{00000000-0005-0000-0000-000036570000}"/>
    <cellStyle name="입력 3 7 5 3" xfId="24077" xr:uid="{00000000-0005-0000-0000-000037570000}"/>
    <cellStyle name="입력 3 7 5 4" xfId="25186" xr:uid="{00000000-0005-0000-0000-000038570000}"/>
    <cellStyle name="입력 3 7 5 5" xfId="28310" xr:uid="{00000000-0005-0000-0000-000039570000}"/>
    <cellStyle name="입력 3 7 6" xfId="18785" xr:uid="{00000000-0005-0000-0000-00003A570000}"/>
    <cellStyle name="입력 3 7 7" xfId="18528" xr:uid="{00000000-0005-0000-0000-00003B570000}"/>
    <cellStyle name="입력 3 7 8" xfId="18695" xr:uid="{00000000-0005-0000-0000-00003C570000}"/>
    <cellStyle name="입력 3 7 9" xfId="17286" xr:uid="{00000000-0005-0000-0000-00003D570000}"/>
    <cellStyle name="입력 3 8" xfId="14790" xr:uid="{00000000-0005-0000-0000-00003E570000}"/>
    <cellStyle name="입력 3 8 10" xfId="25006" xr:uid="{00000000-0005-0000-0000-00003F570000}"/>
    <cellStyle name="입력 3 8 11" xfId="28130" xr:uid="{00000000-0005-0000-0000-000040570000}"/>
    <cellStyle name="입력 3 8 12" xfId="31106" xr:uid="{00000000-0005-0000-0000-000041570000}"/>
    <cellStyle name="입력 3 8 13" xfId="17462" xr:uid="{00000000-0005-0000-0000-000042570000}"/>
    <cellStyle name="입력 3 8 2" xfId="18024" xr:uid="{00000000-0005-0000-0000-000043570000}"/>
    <cellStyle name="입력 3 8 2 2" xfId="22341" xr:uid="{00000000-0005-0000-0000-000044570000}"/>
    <cellStyle name="입력 3 8 2 2 2" xfId="19609" xr:uid="{00000000-0005-0000-0000-000045570000}"/>
    <cellStyle name="입력 3 8 2 2 3" xfId="26571" xr:uid="{00000000-0005-0000-0000-000046570000}"/>
    <cellStyle name="입력 3 8 2 2 4" xfId="29685" xr:uid="{00000000-0005-0000-0000-000047570000}"/>
    <cellStyle name="입력 3 8 2 3" xfId="22817" xr:uid="{00000000-0005-0000-0000-000048570000}"/>
    <cellStyle name="입력 3 8 2 3 2" xfId="20046" xr:uid="{00000000-0005-0000-0000-000049570000}"/>
    <cellStyle name="입력 3 8 2 3 3" xfId="27047" xr:uid="{00000000-0005-0000-0000-00004A570000}"/>
    <cellStyle name="입력 3 8 2 3 4" xfId="30161" xr:uid="{00000000-0005-0000-0000-00004B570000}"/>
    <cellStyle name="입력 3 8 2 4" xfId="23200" xr:uid="{00000000-0005-0000-0000-00004C570000}"/>
    <cellStyle name="입력 3 8 2 4 2" xfId="19290" xr:uid="{00000000-0005-0000-0000-00004D570000}"/>
    <cellStyle name="입력 3 8 2 4 3" xfId="27430" xr:uid="{00000000-0005-0000-0000-00004E570000}"/>
    <cellStyle name="입력 3 8 2 4 4" xfId="30544" xr:uid="{00000000-0005-0000-0000-00004F570000}"/>
    <cellStyle name="입력 3 8 2 5" xfId="23627" xr:uid="{00000000-0005-0000-0000-000050570000}"/>
    <cellStyle name="입력 3 8 2 5 2" xfId="18282" xr:uid="{00000000-0005-0000-0000-000051570000}"/>
    <cellStyle name="입력 3 8 2 5 3" xfId="27857" xr:uid="{00000000-0005-0000-0000-000052570000}"/>
    <cellStyle name="입력 3 8 2 5 4" xfId="30971" xr:uid="{00000000-0005-0000-0000-000053570000}"/>
    <cellStyle name="입력 3 8 2 6" xfId="21788" xr:uid="{00000000-0005-0000-0000-000054570000}"/>
    <cellStyle name="입력 3 8 2 7" xfId="24131" xr:uid="{00000000-0005-0000-0000-000055570000}"/>
    <cellStyle name="입력 3 8 2 8" xfId="26018" xr:uid="{00000000-0005-0000-0000-000056570000}"/>
    <cellStyle name="입력 3 8 2 9" xfId="29132" xr:uid="{00000000-0005-0000-0000-000057570000}"/>
    <cellStyle name="입력 3 8 3" xfId="18025" xr:uid="{00000000-0005-0000-0000-000058570000}"/>
    <cellStyle name="입력 3 8 3 2" xfId="21386" xr:uid="{00000000-0005-0000-0000-000059570000}"/>
    <cellStyle name="입력 3 8 3 3" xfId="24501" xr:uid="{00000000-0005-0000-0000-00005A570000}"/>
    <cellStyle name="입력 3 8 3 4" xfId="25573" xr:uid="{00000000-0005-0000-0000-00005B570000}"/>
    <cellStyle name="입력 3 8 3 5" xfId="28690" xr:uid="{00000000-0005-0000-0000-00005C570000}"/>
    <cellStyle name="입력 3 8 4" xfId="21894" xr:uid="{00000000-0005-0000-0000-00005D570000}"/>
    <cellStyle name="입력 3 8 4 2" xfId="24580" xr:uid="{00000000-0005-0000-0000-00005E570000}"/>
    <cellStyle name="입력 3 8 4 3" xfId="26124" xr:uid="{00000000-0005-0000-0000-00005F570000}"/>
    <cellStyle name="입력 3 8 4 4" xfId="29238" xr:uid="{00000000-0005-0000-0000-000060570000}"/>
    <cellStyle name="입력 3 8 5" xfId="21290" xr:uid="{00000000-0005-0000-0000-000061570000}"/>
    <cellStyle name="입력 3 8 5 2" xfId="24400" xr:uid="{00000000-0005-0000-0000-000062570000}"/>
    <cellStyle name="입력 3 8 5 3" xfId="25503" xr:uid="{00000000-0005-0000-0000-000063570000}"/>
    <cellStyle name="입력 3 8 5 4" xfId="28620" xr:uid="{00000000-0005-0000-0000-000064570000}"/>
    <cellStyle name="입력 3 8 6" xfId="21007" xr:uid="{00000000-0005-0000-0000-000065570000}"/>
    <cellStyle name="입력 3 8 6 2" xfId="23760" xr:uid="{00000000-0005-0000-0000-000066570000}"/>
    <cellStyle name="입력 3 8 6 3" xfId="25252" xr:uid="{00000000-0005-0000-0000-000067570000}"/>
    <cellStyle name="입력 3 8 6 4" xfId="28376" xr:uid="{00000000-0005-0000-0000-000068570000}"/>
    <cellStyle name="입력 3 8 7" xfId="21004" xr:uid="{00000000-0005-0000-0000-000069570000}"/>
    <cellStyle name="입력 3 8 7 2" xfId="24082" xr:uid="{00000000-0005-0000-0000-00006A570000}"/>
    <cellStyle name="입력 3 8 7 3" xfId="25249" xr:uid="{00000000-0005-0000-0000-00006B570000}"/>
    <cellStyle name="입력 3 8 7 4" xfId="28373" xr:uid="{00000000-0005-0000-0000-00006C570000}"/>
    <cellStyle name="입력 3 8 8" xfId="20758" xr:uid="{00000000-0005-0000-0000-00006D570000}"/>
    <cellStyle name="입력 3 8 9" xfId="19061" xr:uid="{00000000-0005-0000-0000-00006E570000}"/>
    <cellStyle name="입력 3 9" xfId="15416" xr:uid="{00000000-0005-0000-0000-00006F570000}"/>
    <cellStyle name="입력 3 9 10" xfId="28020" xr:uid="{00000000-0005-0000-0000-000070570000}"/>
    <cellStyle name="입력 3 9 11" xfId="17548" xr:uid="{00000000-0005-0000-0000-000071570000}"/>
    <cellStyle name="입력 3 9 2" xfId="15272" xr:uid="{00000000-0005-0000-0000-000072570000}"/>
    <cellStyle name="입력 3 9 2 2" xfId="24589" xr:uid="{00000000-0005-0000-0000-000073570000}"/>
    <cellStyle name="입력 3 9 2 3" xfId="25908" xr:uid="{00000000-0005-0000-0000-000074570000}"/>
    <cellStyle name="입력 3 9 2 4" xfId="29022" xr:uid="{00000000-0005-0000-0000-000075570000}"/>
    <cellStyle name="입력 3 9 2 5" xfId="21678" xr:uid="{00000000-0005-0000-0000-000076570000}"/>
    <cellStyle name="입력 3 9 3" xfId="16994" xr:uid="{00000000-0005-0000-0000-000077570000}"/>
    <cellStyle name="입력 3 9 3 2" xfId="18382" xr:uid="{00000000-0005-0000-0000-000078570000}"/>
    <cellStyle name="입력 3 9 3 3" xfId="26461" xr:uid="{00000000-0005-0000-0000-000079570000}"/>
    <cellStyle name="입력 3 9 3 4" xfId="29575" xr:uid="{00000000-0005-0000-0000-00007A570000}"/>
    <cellStyle name="입력 3 9 3 5" xfId="22231" xr:uid="{00000000-0005-0000-0000-00007B570000}"/>
    <cellStyle name="입력 3 9 4" xfId="16995" xr:uid="{00000000-0005-0000-0000-00007C570000}"/>
    <cellStyle name="입력 3 9 4 2" xfId="19945" xr:uid="{00000000-0005-0000-0000-00007D570000}"/>
    <cellStyle name="입력 3 9 4 3" xfId="26937" xr:uid="{00000000-0005-0000-0000-00007E570000}"/>
    <cellStyle name="입력 3 9 4 4" xfId="30051" xr:uid="{00000000-0005-0000-0000-00007F570000}"/>
    <cellStyle name="입력 3 9 4 5" xfId="22707" xr:uid="{00000000-0005-0000-0000-000080570000}"/>
    <cellStyle name="입력 3 9 5" xfId="23116" xr:uid="{00000000-0005-0000-0000-000081570000}"/>
    <cellStyle name="입력 3 9 5 2" xfId="24061" xr:uid="{00000000-0005-0000-0000-000082570000}"/>
    <cellStyle name="입력 3 9 5 3" xfId="27346" xr:uid="{00000000-0005-0000-0000-000083570000}"/>
    <cellStyle name="입력 3 9 5 4" xfId="30460" xr:uid="{00000000-0005-0000-0000-000084570000}"/>
    <cellStyle name="입력 3 9 6" xfId="23517" xr:uid="{00000000-0005-0000-0000-000085570000}"/>
    <cellStyle name="입력 3 9 6 2" xfId="18179" xr:uid="{00000000-0005-0000-0000-000086570000}"/>
    <cellStyle name="입력 3 9 6 3" xfId="27747" xr:uid="{00000000-0005-0000-0000-000087570000}"/>
    <cellStyle name="입력 3 9 6 4" xfId="30861" xr:uid="{00000000-0005-0000-0000-000088570000}"/>
    <cellStyle name="입력 3 9 7" xfId="20648" xr:uid="{00000000-0005-0000-0000-000089570000}"/>
    <cellStyle name="입력 3 9 8" xfId="18953" xr:uid="{00000000-0005-0000-0000-00008A570000}"/>
    <cellStyle name="입력 3 9 9" xfId="24896" xr:uid="{00000000-0005-0000-0000-00008B570000}"/>
    <cellStyle name="입력 4" xfId="12152" xr:uid="{00000000-0005-0000-0000-00008C570000}"/>
    <cellStyle name="입력 4 10" xfId="17622" xr:uid="{00000000-0005-0000-0000-00008D570000}"/>
    <cellStyle name="입력 4 10 2" xfId="22063" xr:uid="{00000000-0005-0000-0000-00008E570000}"/>
    <cellStyle name="입력 4 10 2 2" xfId="24443" xr:uid="{00000000-0005-0000-0000-00008F570000}"/>
    <cellStyle name="입력 4 10 2 3" xfId="26293" xr:uid="{00000000-0005-0000-0000-000090570000}"/>
    <cellStyle name="입력 4 10 2 4" xfId="29407" xr:uid="{00000000-0005-0000-0000-000091570000}"/>
    <cellStyle name="입력 4 10 3" xfId="22536" xr:uid="{00000000-0005-0000-0000-000092570000}"/>
    <cellStyle name="입력 4 10 3 2" xfId="19791" xr:uid="{00000000-0005-0000-0000-000093570000}"/>
    <cellStyle name="입력 4 10 3 3" xfId="26766" xr:uid="{00000000-0005-0000-0000-000094570000}"/>
    <cellStyle name="입력 4 10 3 4" xfId="29880" xr:uid="{00000000-0005-0000-0000-000095570000}"/>
    <cellStyle name="입력 4 10 4" xfId="22981" xr:uid="{00000000-0005-0000-0000-000096570000}"/>
    <cellStyle name="입력 4 10 4 2" xfId="20200" xr:uid="{00000000-0005-0000-0000-000097570000}"/>
    <cellStyle name="입력 4 10 4 3" xfId="27211" xr:uid="{00000000-0005-0000-0000-000098570000}"/>
    <cellStyle name="입력 4 10 4 4" xfId="30325" xr:uid="{00000000-0005-0000-0000-000099570000}"/>
    <cellStyle name="입력 4 10 5" xfId="23354" xr:uid="{00000000-0005-0000-0000-00009A570000}"/>
    <cellStyle name="입력 4 10 5 2" xfId="20391" xr:uid="{00000000-0005-0000-0000-00009B570000}"/>
    <cellStyle name="입력 4 10 5 3" xfId="27584" xr:uid="{00000000-0005-0000-0000-00009C570000}"/>
    <cellStyle name="입력 4 10 5 4" xfId="30698" xr:uid="{00000000-0005-0000-0000-00009D570000}"/>
    <cellStyle name="입력 4 10 6" xfId="24319" xr:uid="{00000000-0005-0000-0000-00009E570000}"/>
    <cellStyle name="입력 4 10 7" xfId="25742" xr:uid="{00000000-0005-0000-0000-00009F570000}"/>
    <cellStyle name="입력 4 10 8" xfId="28859" xr:uid="{00000000-0005-0000-0000-0000A0570000}"/>
    <cellStyle name="입력 4 11" xfId="18026" xr:uid="{00000000-0005-0000-0000-0000A1570000}"/>
    <cellStyle name="입력 4 11 2" xfId="20837" xr:uid="{00000000-0005-0000-0000-0000A2570000}"/>
    <cellStyle name="입력 4 11 3" xfId="19143" xr:uid="{00000000-0005-0000-0000-0000A3570000}"/>
    <cellStyle name="입력 4 11 4" xfId="25088" xr:uid="{00000000-0005-0000-0000-0000A4570000}"/>
    <cellStyle name="입력 4 11 5" xfId="28212" xr:uid="{00000000-0005-0000-0000-0000A5570000}"/>
    <cellStyle name="입력 4 12" xfId="18786" xr:uid="{00000000-0005-0000-0000-0000A6570000}"/>
    <cellStyle name="입력 4 13" xfId="18527" xr:uid="{00000000-0005-0000-0000-0000A7570000}"/>
    <cellStyle name="입력 4 14" xfId="18696" xr:uid="{00000000-0005-0000-0000-0000A8570000}"/>
    <cellStyle name="입력 4 15" xfId="17287" xr:uid="{00000000-0005-0000-0000-0000A9570000}"/>
    <cellStyle name="입력 4 2" xfId="12153" xr:uid="{00000000-0005-0000-0000-0000AA570000}"/>
    <cellStyle name="입력 4 2 2" xfId="14798" xr:uid="{00000000-0005-0000-0000-0000AB570000}"/>
    <cellStyle name="입력 4 2 2 10" xfId="25014" xr:uid="{00000000-0005-0000-0000-0000AC570000}"/>
    <cellStyle name="입력 4 2 2 11" xfId="28138" xr:uid="{00000000-0005-0000-0000-0000AD570000}"/>
    <cellStyle name="입력 4 2 2 12" xfId="31114" xr:uid="{00000000-0005-0000-0000-0000AE570000}"/>
    <cellStyle name="입력 4 2 2 13" xfId="17454" xr:uid="{00000000-0005-0000-0000-0000AF570000}"/>
    <cellStyle name="입력 4 2 2 2" xfId="18027" xr:uid="{00000000-0005-0000-0000-0000B0570000}"/>
    <cellStyle name="입력 4 2 2 2 2" xfId="22349" xr:uid="{00000000-0005-0000-0000-0000B1570000}"/>
    <cellStyle name="입력 4 2 2 2 2 2" xfId="19616" xr:uid="{00000000-0005-0000-0000-0000B2570000}"/>
    <cellStyle name="입력 4 2 2 2 2 3" xfId="26579" xr:uid="{00000000-0005-0000-0000-0000B3570000}"/>
    <cellStyle name="입력 4 2 2 2 2 4" xfId="29693" xr:uid="{00000000-0005-0000-0000-0000B4570000}"/>
    <cellStyle name="입력 4 2 2 2 3" xfId="22825" xr:uid="{00000000-0005-0000-0000-0000B5570000}"/>
    <cellStyle name="입력 4 2 2 2 3 2" xfId="20054" xr:uid="{00000000-0005-0000-0000-0000B6570000}"/>
    <cellStyle name="입력 4 2 2 2 3 3" xfId="27055" xr:uid="{00000000-0005-0000-0000-0000B7570000}"/>
    <cellStyle name="입력 4 2 2 2 3 4" xfId="30169" xr:uid="{00000000-0005-0000-0000-0000B8570000}"/>
    <cellStyle name="입력 4 2 2 2 4" xfId="23208" xr:uid="{00000000-0005-0000-0000-0000B9570000}"/>
    <cellStyle name="입력 4 2 2 2 4 2" xfId="20281" xr:uid="{00000000-0005-0000-0000-0000BA570000}"/>
    <cellStyle name="입력 4 2 2 2 4 3" xfId="27438" xr:uid="{00000000-0005-0000-0000-0000BB570000}"/>
    <cellStyle name="입력 4 2 2 2 4 4" xfId="30552" xr:uid="{00000000-0005-0000-0000-0000BC570000}"/>
    <cellStyle name="입력 4 2 2 2 5" xfId="23635" xr:uid="{00000000-0005-0000-0000-0000BD570000}"/>
    <cellStyle name="입력 4 2 2 2 5 2" xfId="18290" xr:uid="{00000000-0005-0000-0000-0000BE570000}"/>
    <cellStyle name="입력 4 2 2 2 5 3" xfId="27865" xr:uid="{00000000-0005-0000-0000-0000BF570000}"/>
    <cellStyle name="입력 4 2 2 2 5 4" xfId="30979" xr:uid="{00000000-0005-0000-0000-0000C0570000}"/>
    <cellStyle name="입력 4 2 2 2 6" xfId="21796" xr:uid="{00000000-0005-0000-0000-0000C1570000}"/>
    <cellStyle name="입력 4 2 2 2 7" xfId="24003" xr:uid="{00000000-0005-0000-0000-0000C2570000}"/>
    <cellStyle name="입력 4 2 2 2 8" xfId="26026" xr:uid="{00000000-0005-0000-0000-0000C3570000}"/>
    <cellStyle name="입력 4 2 2 2 9" xfId="29140" xr:uid="{00000000-0005-0000-0000-0000C4570000}"/>
    <cellStyle name="입력 4 2 2 3" xfId="18028" xr:uid="{00000000-0005-0000-0000-0000C5570000}"/>
    <cellStyle name="입력 4 2 2 3 2" xfId="21394" xr:uid="{00000000-0005-0000-0000-0000C6570000}"/>
    <cellStyle name="입력 4 2 2 3 3" xfId="19459" xr:uid="{00000000-0005-0000-0000-0000C7570000}"/>
    <cellStyle name="입력 4 2 2 3 4" xfId="25581" xr:uid="{00000000-0005-0000-0000-0000C8570000}"/>
    <cellStyle name="입력 4 2 2 3 5" xfId="28698" xr:uid="{00000000-0005-0000-0000-0000C9570000}"/>
    <cellStyle name="입력 4 2 2 4" xfId="21902" xr:uid="{00000000-0005-0000-0000-0000CA570000}"/>
    <cellStyle name="입력 4 2 2 4 2" xfId="23785" xr:uid="{00000000-0005-0000-0000-0000CB570000}"/>
    <cellStyle name="입력 4 2 2 4 3" xfId="26132" xr:uid="{00000000-0005-0000-0000-0000CC570000}"/>
    <cellStyle name="입력 4 2 2 4 4" xfId="29246" xr:uid="{00000000-0005-0000-0000-0000CD570000}"/>
    <cellStyle name="입력 4 2 2 5" xfId="20819" xr:uid="{00000000-0005-0000-0000-0000CE570000}"/>
    <cellStyle name="입력 4 2 2 5 2" xfId="19125" xr:uid="{00000000-0005-0000-0000-0000CF570000}"/>
    <cellStyle name="입력 4 2 2 5 3" xfId="25070" xr:uid="{00000000-0005-0000-0000-0000D0570000}"/>
    <cellStyle name="입력 4 2 2 5 4" xfId="28194" xr:uid="{00000000-0005-0000-0000-0000D1570000}"/>
    <cellStyle name="입력 4 2 2 6" xfId="21109" xr:uid="{00000000-0005-0000-0000-0000D2570000}"/>
    <cellStyle name="입력 4 2 2 6 2" xfId="24406" xr:uid="{00000000-0005-0000-0000-0000D3570000}"/>
    <cellStyle name="입력 4 2 2 6 3" xfId="25354" xr:uid="{00000000-0005-0000-0000-0000D4570000}"/>
    <cellStyle name="입력 4 2 2 6 4" xfId="28478" xr:uid="{00000000-0005-0000-0000-0000D5570000}"/>
    <cellStyle name="입력 4 2 2 7" xfId="21005" xr:uid="{00000000-0005-0000-0000-0000D6570000}"/>
    <cellStyle name="입력 4 2 2 7 2" xfId="19353" xr:uid="{00000000-0005-0000-0000-0000D7570000}"/>
    <cellStyle name="입력 4 2 2 7 3" xfId="25250" xr:uid="{00000000-0005-0000-0000-0000D8570000}"/>
    <cellStyle name="입력 4 2 2 7 4" xfId="28374" xr:uid="{00000000-0005-0000-0000-0000D9570000}"/>
    <cellStyle name="입력 4 2 2 8" xfId="20766" xr:uid="{00000000-0005-0000-0000-0000DA570000}"/>
    <cellStyle name="입력 4 2 2 9" xfId="19069" xr:uid="{00000000-0005-0000-0000-0000DB570000}"/>
    <cellStyle name="입력 4 2 3" xfId="15424" xr:uid="{00000000-0005-0000-0000-0000DC570000}"/>
    <cellStyle name="입력 4 2 3 10" xfId="28028" xr:uid="{00000000-0005-0000-0000-0000DD570000}"/>
    <cellStyle name="입력 4 2 3 11" xfId="17540" xr:uid="{00000000-0005-0000-0000-0000DE570000}"/>
    <cellStyle name="입력 4 2 3 2" xfId="15157" xr:uid="{00000000-0005-0000-0000-0000DF570000}"/>
    <cellStyle name="입력 4 2 3 2 2" xfId="23776" xr:uid="{00000000-0005-0000-0000-0000E0570000}"/>
    <cellStyle name="입력 4 2 3 2 3" xfId="25916" xr:uid="{00000000-0005-0000-0000-0000E1570000}"/>
    <cellStyle name="입력 4 2 3 2 4" xfId="29030" xr:uid="{00000000-0005-0000-0000-0000E2570000}"/>
    <cellStyle name="입력 4 2 3 2 5" xfId="21686" xr:uid="{00000000-0005-0000-0000-0000E3570000}"/>
    <cellStyle name="입력 4 2 3 3" xfId="16996" xr:uid="{00000000-0005-0000-0000-0000E4570000}"/>
    <cellStyle name="입력 4 2 3 3 2" xfId="18390" xr:uid="{00000000-0005-0000-0000-0000E5570000}"/>
    <cellStyle name="입력 4 2 3 3 3" xfId="26469" xr:uid="{00000000-0005-0000-0000-0000E6570000}"/>
    <cellStyle name="입력 4 2 3 3 4" xfId="29583" xr:uid="{00000000-0005-0000-0000-0000E7570000}"/>
    <cellStyle name="입력 4 2 3 3 5" xfId="22239" xr:uid="{00000000-0005-0000-0000-0000E8570000}"/>
    <cellStyle name="입력 4 2 3 4" xfId="16997" xr:uid="{00000000-0005-0000-0000-0000E9570000}"/>
    <cellStyle name="입력 4 2 3 4 2" xfId="19953" xr:uid="{00000000-0005-0000-0000-0000EA570000}"/>
    <cellStyle name="입력 4 2 3 4 3" xfId="26945" xr:uid="{00000000-0005-0000-0000-0000EB570000}"/>
    <cellStyle name="입력 4 2 3 4 4" xfId="30059" xr:uid="{00000000-0005-0000-0000-0000EC570000}"/>
    <cellStyle name="입력 4 2 3 4 5" xfId="22715" xr:uid="{00000000-0005-0000-0000-0000ED570000}"/>
    <cellStyle name="입력 4 2 3 5" xfId="23124" xr:uid="{00000000-0005-0000-0000-0000EE570000}"/>
    <cellStyle name="입력 4 2 3 5 2" xfId="19217" xr:uid="{00000000-0005-0000-0000-0000EF570000}"/>
    <cellStyle name="입력 4 2 3 5 3" xfId="27354" xr:uid="{00000000-0005-0000-0000-0000F0570000}"/>
    <cellStyle name="입력 4 2 3 5 4" xfId="30468" xr:uid="{00000000-0005-0000-0000-0000F1570000}"/>
    <cellStyle name="입력 4 2 3 6" xfId="23525" xr:uid="{00000000-0005-0000-0000-0000F2570000}"/>
    <cellStyle name="입력 4 2 3 6 2" xfId="18187" xr:uid="{00000000-0005-0000-0000-0000F3570000}"/>
    <cellStyle name="입력 4 2 3 6 3" xfId="27755" xr:uid="{00000000-0005-0000-0000-0000F4570000}"/>
    <cellStyle name="입력 4 2 3 6 4" xfId="30869" xr:uid="{00000000-0005-0000-0000-0000F5570000}"/>
    <cellStyle name="입력 4 2 3 7" xfId="20656" xr:uid="{00000000-0005-0000-0000-0000F6570000}"/>
    <cellStyle name="입력 4 2 3 8" xfId="18961" xr:uid="{00000000-0005-0000-0000-0000F7570000}"/>
    <cellStyle name="입력 4 2 3 9" xfId="24904" xr:uid="{00000000-0005-0000-0000-0000F8570000}"/>
    <cellStyle name="입력 4 2 4" xfId="17621" xr:uid="{00000000-0005-0000-0000-0000F9570000}"/>
    <cellStyle name="입력 4 2 4 2" xfId="22064" xr:uid="{00000000-0005-0000-0000-0000FA570000}"/>
    <cellStyle name="입력 4 2 4 2 2" xfId="24270" xr:uid="{00000000-0005-0000-0000-0000FB570000}"/>
    <cellStyle name="입력 4 2 4 2 3" xfId="26294" xr:uid="{00000000-0005-0000-0000-0000FC570000}"/>
    <cellStyle name="입력 4 2 4 2 4" xfId="29408" xr:uid="{00000000-0005-0000-0000-0000FD570000}"/>
    <cellStyle name="입력 4 2 4 3" xfId="22537" xr:uid="{00000000-0005-0000-0000-0000FE570000}"/>
    <cellStyle name="입력 4 2 4 3 2" xfId="19792" xr:uid="{00000000-0005-0000-0000-0000FF570000}"/>
    <cellStyle name="입력 4 2 4 3 3" xfId="26767" xr:uid="{00000000-0005-0000-0000-000000580000}"/>
    <cellStyle name="입력 4 2 4 3 4" xfId="29881" xr:uid="{00000000-0005-0000-0000-000001580000}"/>
    <cellStyle name="입력 4 2 4 4" xfId="22982" xr:uid="{00000000-0005-0000-0000-000002580000}"/>
    <cellStyle name="입력 4 2 4 4 2" xfId="20201" xr:uid="{00000000-0005-0000-0000-000003580000}"/>
    <cellStyle name="입력 4 2 4 4 3" xfId="27212" xr:uid="{00000000-0005-0000-0000-000004580000}"/>
    <cellStyle name="입력 4 2 4 4 4" xfId="30326" xr:uid="{00000000-0005-0000-0000-000005580000}"/>
    <cellStyle name="입력 4 2 4 5" xfId="23355" xr:uid="{00000000-0005-0000-0000-000006580000}"/>
    <cellStyle name="입력 4 2 4 5 2" xfId="20392" xr:uid="{00000000-0005-0000-0000-000007580000}"/>
    <cellStyle name="입력 4 2 4 5 3" xfId="27585" xr:uid="{00000000-0005-0000-0000-000008580000}"/>
    <cellStyle name="입력 4 2 4 5 4" xfId="30699" xr:uid="{00000000-0005-0000-0000-000009580000}"/>
    <cellStyle name="입력 4 2 4 6" xfId="24137" xr:uid="{00000000-0005-0000-0000-00000A580000}"/>
    <cellStyle name="입력 4 2 4 7" xfId="25743" xr:uid="{00000000-0005-0000-0000-00000B580000}"/>
    <cellStyle name="입력 4 2 4 8" xfId="28860" xr:uid="{00000000-0005-0000-0000-00000C580000}"/>
    <cellStyle name="입력 4 2 5" xfId="18029" xr:uid="{00000000-0005-0000-0000-00000D580000}"/>
    <cellStyle name="입력 4 2 5 2" xfId="20936" xr:uid="{00000000-0005-0000-0000-00000E580000}"/>
    <cellStyle name="입력 4 2 5 3" xfId="19358" xr:uid="{00000000-0005-0000-0000-00000F580000}"/>
    <cellStyle name="입력 4 2 5 4" xfId="25187" xr:uid="{00000000-0005-0000-0000-000010580000}"/>
    <cellStyle name="입력 4 2 5 5" xfId="28311" xr:uid="{00000000-0005-0000-0000-000011580000}"/>
    <cellStyle name="입력 4 2 6" xfId="18787" xr:uid="{00000000-0005-0000-0000-000012580000}"/>
    <cellStyle name="입력 4 2 7" xfId="18526" xr:uid="{00000000-0005-0000-0000-000013580000}"/>
    <cellStyle name="입력 4 2 8" xfId="18697" xr:uid="{00000000-0005-0000-0000-000014580000}"/>
    <cellStyle name="입력 4 2 9" xfId="17288" xr:uid="{00000000-0005-0000-0000-000015580000}"/>
    <cellStyle name="입력 4 3" xfId="12154" xr:uid="{00000000-0005-0000-0000-000016580000}"/>
    <cellStyle name="입력 4 3 2" xfId="14799" xr:uid="{00000000-0005-0000-0000-000017580000}"/>
    <cellStyle name="입력 4 3 2 10" xfId="25015" xr:uid="{00000000-0005-0000-0000-000018580000}"/>
    <cellStyle name="입력 4 3 2 11" xfId="28139" xr:uid="{00000000-0005-0000-0000-000019580000}"/>
    <cellStyle name="입력 4 3 2 12" xfId="31115" xr:uid="{00000000-0005-0000-0000-00001A580000}"/>
    <cellStyle name="입력 4 3 2 13" xfId="17453" xr:uid="{00000000-0005-0000-0000-00001B580000}"/>
    <cellStyle name="입력 4 3 2 2" xfId="18030" xr:uid="{00000000-0005-0000-0000-00001C580000}"/>
    <cellStyle name="입력 4 3 2 2 2" xfId="22350" xr:uid="{00000000-0005-0000-0000-00001D580000}"/>
    <cellStyle name="입력 4 3 2 2 2 2" xfId="19617" xr:uid="{00000000-0005-0000-0000-00001E580000}"/>
    <cellStyle name="입력 4 3 2 2 2 3" xfId="26580" xr:uid="{00000000-0005-0000-0000-00001F580000}"/>
    <cellStyle name="입력 4 3 2 2 2 4" xfId="29694" xr:uid="{00000000-0005-0000-0000-000020580000}"/>
    <cellStyle name="입력 4 3 2 2 3" xfId="22826" xr:uid="{00000000-0005-0000-0000-000021580000}"/>
    <cellStyle name="입력 4 3 2 2 3 2" xfId="20055" xr:uid="{00000000-0005-0000-0000-000022580000}"/>
    <cellStyle name="입력 4 3 2 2 3 3" xfId="27056" xr:uid="{00000000-0005-0000-0000-000023580000}"/>
    <cellStyle name="입력 4 3 2 2 3 4" xfId="30170" xr:uid="{00000000-0005-0000-0000-000024580000}"/>
    <cellStyle name="입력 4 3 2 2 4" xfId="23209" xr:uid="{00000000-0005-0000-0000-000025580000}"/>
    <cellStyle name="입력 4 3 2 2 4 2" xfId="20282" xr:uid="{00000000-0005-0000-0000-000026580000}"/>
    <cellStyle name="입력 4 3 2 2 4 3" xfId="27439" xr:uid="{00000000-0005-0000-0000-000027580000}"/>
    <cellStyle name="입력 4 3 2 2 4 4" xfId="30553" xr:uid="{00000000-0005-0000-0000-000028580000}"/>
    <cellStyle name="입력 4 3 2 2 5" xfId="23636" xr:uid="{00000000-0005-0000-0000-000029580000}"/>
    <cellStyle name="입력 4 3 2 2 5 2" xfId="18291" xr:uid="{00000000-0005-0000-0000-00002A580000}"/>
    <cellStyle name="입력 4 3 2 2 5 3" xfId="27866" xr:uid="{00000000-0005-0000-0000-00002B580000}"/>
    <cellStyle name="입력 4 3 2 2 5 4" xfId="30980" xr:uid="{00000000-0005-0000-0000-00002C580000}"/>
    <cellStyle name="입력 4 3 2 2 6" xfId="21797" xr:uid="{00000000-0005-0000-0000-00002D580000}"/>
    <cellStyle name="입력 4 3 2 2 7" xfId="19547" xr:uid="{00000000-0005-0000-0000-00002E580000}"/>
    <cellStyle name="입력 4 3 2 2 8" xfId="26027" xr:uid="{00000000-0005-0000-0000-00002F580000}"/>
    <cellStyle name="입력 4 3 2 2 9" xfId="29141" xr:uid="{00000000-0005-0000-0000-000030580000}"/>
    <cellStyle name="입력 4 3 2 3" xfId="18031" xr:uid="{00000000-0005-0000-0000-000031580000}"/>
    <cellStyle name="입력 4 3 2 3 2" xfId="21395" xr:uid="{00000000-0005-0000-0000-000032580000}"/>
    <cellStyle name="입력 4 3 2 3 3" xfId="19460" xr:uid="{00000000-0005-0000-0000-000033580000}"/>
    <cellStyle name="입력 4 3 2 3 4" xfId="25582" xr:uid="{00000000-0005-0000-0000-000034580000}"/>
    <cellStyle name="입력 4 3 2 3 5" xfId="28699" xr:uid="{00000000-0005-0000-0000-000035580000}"/>
    <cellStyle name="입력 4 3 2 4" xfId="21903" xr:uid="{00000000-0005-0000-0000-000036580000}"/>
    <cellStyle name="입력 4 3 2 4 2" xfId="23931" xr:uid="{00000000-0005-0000-0000-000037580000}"/>
    <cellStyle name="입력 4 3 2 4 3" xfId="26133" xr:uid="{00000000-0005-0000-0000-000038580000}"/>
    <cellStyle name="입력 4 3 2 4 4" xfId="29247" xr:uid="{00000000-0005-0000-0000-000039580000}"/>
    <cellStyle name="입력 4 3 2 5" xfId="20830" xr:uid="{00000000-0005-0000-0000-00003A580000}"/>
    <cellStyle name="입력 4 3 2 5 2" xfId="19136" xr:uid="{00000000-0005-0000-0000-00003B580000}"/>
    <cellStyle name="입력 4 3 2 5 3" xfId="25081" xr:uid="{00000000-0005-0000-0000-00003C580000}"/>
    <cellStyle name="입력 4 3 2 5 4" xfId="28205" xr:uid="{00000000-0005-0000-0000-00003D580000}"/>
    <cellStyle name="입력 4 3 2 6" xfId="21059" xr:uid="{00000000-0005-0000-0000-00003E580000}"/>
    <cellStyle name="입력 4 3 2 6 2" xfId="19411" xr:uid="{00000000-0005-0000-0000-00003F580000}"/>
    <cellStyle name="입력 4 3 2 6 3" xfId="25304" xr:uid="{00000000-0005-0000-0000-000040580000}"/>
    <cellStyle name="입력 4 3 2 6 4" xfId="28428" xr:uid="{00000000-0005-0000-0000-000041580000}"/>
    <cellStyle name="입력 4 3 2 7" xfId="21087" xr:uid="{00000000-0005-0000-0000-000042580000}"/>
    <cellStyle name="입력 4 3 2 7 2" xfId="23909" xr:uid="{00000000-0005-0000-0000-000043580000}"/>
    <cellStyle name="입력 4 3 2 7 3" xfId="25332" xr:uid="{00000000-0005-0000-0000-000044580000}"/>
    <cellStyle name="입력 4 3 2 7 4" xfId="28456" xr:uid="{00000000-0005-0000-0000-000045580000}"/>
    <cellStyle name="입력 4 3 2 8" xfId="20767" xr:uid="{00000000-0005-0000-0000-000046580000}"/>
    <cellStyle name="입력 4 3 2 9" xfId="19070" xr:uid="{00000000-0005-0000-0000-000047580000}"/>
    <cellStyle name="입력 4 3 3" xfId="15425" xr:uid="{00000000-0005-0000-0000-000048580000}"/>
    <cellStyle name="입력 4 3 3 10" xfId="28029" xr:uid="{00000000-0005-0000-0000-000049580000}"/>
    <cellStyle name="입력 4 3 3 11" xfId="17539" xr:uid="{00000000-0005-0000-0000-00004A580000}"/>
    <cellStyle name="입력 4 3 3 2" xfId="15601" xr:uid="{00000000-0005-0000-0000-00004B580000}"/>
    <cellStyle name="입력 4 3 3 2 2" xfId="23940" xr:uid="{00000000-0005-0000-0000-00004C580000}"/>
    <cellStyle name="입력 4 3 3 2 3" xfId="25917" xr:uid="{00000000-0005-0000-0000-00004D580000}"/>
    <cellStyle name="입력 4 3 3 2 4" xfId="29031" xr:uid="{00000000-0005-0000-0000-00004E580000}"/>
    <cellStyle name="입력 4 3 3 2 5" xfId="21687" xr:uid="{00000000-0005-0000-0000-00004F580000}"/>
    <cellStyle name="입력 4 3 3 3" xfId="16998" xr:uid="{00000000-0005-0000-0000-000050580000}"/>
    <cellStyle name="입력 4 3 3 3 2" xfId="18391" xr:uid="{00000000-0005-0000-0000-000051580000}"/>
    <cellStyle name="입력 4 3 3 3 3" xfId="26470" xr:uid="{00000000-0005-0000-0000-000052580000}"/>
    <cellStyle name="입력 4 3 3 3 4" xfId="29584" xr:uid="{00000000-0005-0000-0000-000053580000}"/>
    <cellStyle name="입력 4 3 3 3 5" xfId="22240" xr:uid="{00000000-0005-0000-0000-000054580000}"/>
    <cellStyle name="입력 4 3 3 4" xfId="16999" xr:uid="{00000000-0005-0000-0000-000055580000}"/>
    <cellStyle name="입력 4 3 3 4 2" xfId="23871" xr:uid="{00000000-0005-0000-0000-000056580000}"/>
    <cellStyle name="입력 4 3 3 4 3" xfId="26946" xr:uid="{00000000-0005-0000-0000-000057580000}"/>
    <cellStyle name="입력 4 3 3 4 4" xfId="30060" xr:uid="{00000000-0005-0000-0000-000058580000}"/>
    <cellStyle name="입력 4 3 3 4 5" xfId="22716" xr:uid="{00000000-0005-0000-0000-000059580000}"/>
    <cellStyle name="입력 4 3 3 5" xfId="23125" xr:uid="{00000000-0005-0000-0000-00005A580000}"/>
    <cellStyle name="입력 4 3 3 5 2" xfId="19218" xr:uid="{00000000-0005-0000-0000-00005B580000}"/>
    <cellStyle name="입력 4 3 3 5 3" xfId="27355" xr:uid="{00000000-0005-0000-0000-00005C580000}"/>
    <cellStyle name="입력 4 3 3 5 4" xfId="30469" xr:uid="{00000000-0005-0000-0000-00005D580000}"/>
    <cellStyle name="입력 4 3 3 6" xfId="23526" xr:uid="{00000000-0005-0000-0000-00005E580000}"/>
    <cellStyle name="입력 4 3 3 6 2" xfId="18188" xr:uid="{00000000-0005-0000-0000-00005F580000}"/>
    <cellStyle name="입력 4 3 3 6 3" xfId="27756" xr:uid="{00000000-0005-0000-0000-000060580000}"/>
    <cellStyle name="입력 4 3 3 6 4" xfId="30870" xr:uid="{00000000-0005-0000-0000-000061580000}"/>
    <cellStyle name="입력 4 3 3 7" xfId="20657" xr:uid="{00000000-0005-0000-0000-000062580000}"/>
    <cellStyle name="입력 4 3 3 8" xfId="18962" xr:uid="{00000000-0005-0000-0000-000063580000}"/>
    <cellStyle name="입력 4 3 3 9" xfId="24905" xr:uid="{00000000-0005-0000-0000-000064580000}"/>
    <cellStyle name="입력 4 3 4" xfId="17620" xr:uid="{00000000-0005-0000-0000-000065580000}"/>
    <cellStyle name="입력 4 3 4 2" xfId="22065" xr:uid="{00000000-0005-0000-0000-000066580000}"/>
    <cellStyle name="입력 4 3 4 2 2" xfId="24088" xr:uid="{00000000-0005-0000-0000-000067580000}"/>
    <cellStyle name="입력 4 3 4 2 3" xfId="26295" xr:uid="{00000000-0005-0000-0000-000068580000}"/>
    <cellStyle name="입력 4 3 4 2 4" xfId="29409" xr:uid="{00000000-0005-0000-0000-000069580000}"/>
    <cellStyle name="입력 4 3 4 3" xfId="22538" xr:uid="{00000000-0005-0000-0000-00006A580000}"/>
    <cellStyle name="입력 4 3 4 3 2" xfId="19793" xr:uid="{00000000-0005-0000-0000-00006B580000}"/>
    <cellStyle name="입력 4 3 4 3 3" xfId="26768" xr:uid="{00000000-0005-0000-0000-00006C580000}"/>
    <cellStyle name="입력 4 3 4 3 4" xfId="29882" xr:uid="{00000000-0005-0000-0000-00006D580000}"/>
    <cellStyle name="입력 4 3 4 4" xfId="22983" xr:uid="{00000000-0005-0000-0000-00006E580000}"/>
    <cellStyle name="입력 4 3 4 4 2" xfId="20202" xr:uid="{00000000-0005-0000-0000-00006F580000}"/>
    <cellStyle name="입력 4 3 4 4 3" xfId="27213" xr:uid="{00000000-0005-0000-0000-000070580000}"/>
    <cellStyle name="입력 4 3 4 4 4" xfId="30327" xr:uid="{00000000-0005-0000-0000-000071580000}"/>
    <cellStyle name="입력 4 3 4 5" xfId="23356" xr:uid="{00000000-0005-0000-0000-000072580000}"/>
    <cellStyle name="입력 4 3 4 5 2" xfId="23828" xr:uid="{00000000-0005-0000-0000-000073580000}"/>
    <cellStyle name="입력 4 3 4 5 3" xfId="27586" xr:uid="{00000000-0005-0000-0000-000074580000}"/>
    <cellStyle name="입력 4 3 4 5 4" xfId="30700" xr:uid="{00000000-0005-0000-0000-000075580000}"/>
    <cellStyle name="입력 4 3 4 6" xfId="19299" xr:uid="{00000000-0005-0000-0000-000076580000}"/>
    <cellStyle name="입력 4 3 4 7" xfId="25744" xr:uid="{00000000-0005-0000-0000-000077580000}"/>
    <cellStyle name="입력 4 3 4 8" xfId="28861" xr:uid="{00000000-0005-0000-0000-000078580000}"/>
    <cellStyle name="입력 4 3 5" xfId="18032" xr:uid="{00000000-0005-0000-0000-000079580000}"/>
    <cellStyle name="입력 4 3 5 2" xfId="20937" xr:uid="{00000000-0005-0000-0000-00007A580000}"/>
    <cellStyle name="입력 4 3 5 3" xfId="23967" xr:uid="{00000000-0005-0000-0000-00007B580000}"/>
    <cellStyle name="입력 4 3 5 4" xfId="25188" xr:uid="{00000000-0005-0000-0000-00007C580000}"/>
    <cellStyle name="입력 4 3 5 5" xfId="28312" xr:uid="{00000000-0005-0000-0000-00007D580000}"/>
    <cellStyle name="입력 4 3 6" xfId="18090" xr:uid="{00000000-0005-0000-0000-00007E580000}"/>
    <cellStyle name="입력 4 3 7" xfId="18525" xr:uid="{00000000-0005-0000-0000-00007F580000}"/>
    <cellStyle name="입력 4 3 8" xfId="18698" xr:uid="{00000000-0005-0000-0000-000080580000}"/>
    <cellStyle name="입력 4 3 9" xfId="17289" xr:uid="{00000000-0005-0000-0000-000081580000}"/>
    <cellStyle name="입력 4 4" xfId="12155" xr:uid="{00000000-0005-0000-0000-000082580000}"/>
    <cellStyle name="입력 4 4 2" xfId="14800" xr:uid="{00000000-0005-0000-0000-000083580000}"/>
    <cellStyle name="입력 4 4 2 10" xfId="25016" xr:uid="{00000000-0005-0000-0000-000084580000}"/>
    <cellStyle name="입력 4 4 2 11" xfId="28140" xr:uid="{00000000-0005-0000-0000-000085580000}"/>
    <cellStyle name="입력 4 4 2 12" xfId="31116" xr:uid="{00000000-0005-0000-0000-000086580000}"/>
    <cellStyle name="입력 4 4 2 13" xfId="17452" xr:uid="{00000000-0005-0000-0000-000087580000}"/>
    <cellStyle name="입력 4 4 2 2" xfId="18033" xr:uid="{00000000-0005-0000-0000-000088580000}"/>
    <cellStyle name="입력 4 4 2 2 2" xfId="22351" xr:uid="{00000000-0005-0000-0000-000089580000}"/>
    <cellStyle name="입력 4 4 2 2 2 2" xfId="19618" xr:uid="{00000000-0005-0000-0000-00008A580000}"/>
    <cellStyle name="입력 4 4 2 2 2 3" xfId="26581" xr:uid="{00000000-0005-0000-0000-00008B580000}"/>
    <cellStyle name="입력 4 4 2 2 2 4" xfId="29695" xr:uid="{00000000-0005-0000-0000-00008C580000}"/>
    <cellStyle name="입력 4 4 2 2 3" xfId="22827" xr:uid="{00000000-0005-0000-0000-00008D580000}"/>
    <cellStyle name="입력 4 4 2 2 3 2" xfId="23846" xr:uid="{00000000-0005-0000-0000-00008E580000}"/>
    <cellStyle name="입력 4 4 2 2 3 3" xfId="27057" xr:uid="{00000000-0005-0000-0000-00008F580000}"/>
    <cellStyle name="입력 4 4 2 2 3 4" xfId="30171" xr:uid="{00000000-0005-0000-0000-000090580000}"/>
    <cellStyle name="입력 4 4 2 2 4" xfId="23210" xr:uid="{00000000-0005-0000-0000-000091580000}"/>
    <cellStyle name="입력 4 4 2 2 4 2" xfId="20283" xr:uid="{00000000-0005-0000-0000-000092580000}"/>
    <cellStyle name="입력 4 4 2 2 4 3" xfId="27440" xr:uid="{00000000-0005-0000-0000-000093580000}"/>
    <cellStyle name="입력 4 4 2 2 4 4" xfId="30554" xr:uid="{00000000-0005-0000-0000-000094580000}"/>
    <cellStyle name="입력 4 4 2 2 5" xfId="23637" xr:uid="{00000000-0005-0000-0000-000095580000}"/>
    <cellStyle name="입력 4 4 2 2 5 2" xfId="18292" xr:uid="{00000000-0005-0000-0000-000096580000}"/>
    <cellStyle name="입력 4 4 2 2 5 3" xfId="27867" xr:uid="{00000000-0005-0000-0000-000097580000}"/>
    <cellStyle name="입력 4 4 2 2 5 4" xfId="30981" xr:uid="{00000000-0005-0000-0000-000098580000}"/>
    <cellStyle name="입력 4 4 2 2 6" xfId="21798" xr:uid="{00000000-0005-0000-0000-000099580000}"/>
    <cellStyle name="입력 4 4 2 2 7" xfId="24707" xr:uid="{00000000-0005-0000-0000-00009A580000}"/>
    <cellStyle name="입력 4 4 2 2 8" xfId="26028" xr:uid="{00000000-0005-0000-0000-00009B580000}"/>
    <cellStyle name="입력 4 4 2 2 9" xfId="29142" xr:uid="{00000000-0005-0000-0000-00009C580000}"/>
    <cellStyle name="입력 4 4 2 3" xfId="18034" xr:uid="{00000000-0005-0000-0000-00009D580000}"/>
    <cellStyle name="입력 4 4 2 3 2" xfId="21396" xr:uid="{00000000-0005-0000-0000-00009E580000}"/>
    <cellStyle name="입력 4 4 2 3 3" xfId="19461" xr:uid="{00000000-0005-0000-0000-00009F580000}"/>
    <cellStyle name="입력 4 4 2 3 4" xfId="25583" xr:uid="{00000000-0005-0000-0000-0000A0580000}"/>
    <cellStyle name="입력 4 4 2 3 5" xfId="28700" xr:uid="{00000000-0005-0000-0000-0000A1580000}"/>
    <cellStyle name="입력 4 4 2 4" xfId="21904" xr:uid="{00000000-0005-0000-0000-0000A2580000}"/>
    <cellStyle name="입력 4 4 2 4 2" xfId="24742" xr:uid="{00000000-0005-0000-0000-0000A3580000}"/>
    <cellStyle name="입력 4 4 2 4 3" xfId="26134" xr:uid="{00000000-0005-0000-0000-0000A4580000}"/>
    <cellStyle name="입력 4 4 2 4 4" xfId="29248" xr:uid="{00000000-0005-0000-0000-0000A5580000}"/>
    <cellStyle name="입력 4 4 2 5" xfId="20843" xr:uid="{00000000-0005-0000-0000-0000A6580000}"/>
    <cellStyle name="입력 4 4 2 5 2" xfId="19148" xr:uid="{00000000-0005-0000-0000-0000A7580000}"/>
    <cellStyle name="입력 4 4 2 5 3" xfId="25094" xr:uid="{00000000-0005-0000-0000-0000A8580000}"/>
    <cellStyle name="입력 4 4 2 5 4" xfId="28218" xr:uid="{00000000-0005-0000-0000-0000A9580000}"/>
    <cellStyle name="입력 4 4 2 6" xfId="21019" xr:uid="{00000000-0005-0000-0000-0000AA580000}"/>
    <cellStyle name="입력 4 4 2 6 2" xfId="24410" xr:uid="{00000000-0005-0000-0000-0000AB580000}"/>
    <cellStyle name="입력 4 4 2 6 3" xfId="25264" xr:uid="{00000000-0005-0000-0000-0000AC580000}"/>
    <cellStyle name="입력 4 4 2 6 4" xfId="28388" xr:uid="{00000000-0005-0000-0000-0000AD580000}"/>
    <cellStyle name="입력 4 4 2 7" xfId="21017" xr:uid="{00000000-0005-0000-0000-0000AE580000}"/>
    <cellStyle name="입력 4 4 2 7 2" xfId="23751" xr:uid="{00000000-0005-0000-0000-0000AF580000}"/>
    <cellStyle name="입력 4 4 2 7 3" xfId="25262" xr:uid="{00000000-0005-0000-0000-0000B0580000}"/>
    <cellStyle name="입력 4 4 2 7 4" xfId="28386" xr:uid="{00000000-0005-0000-0000-0000B1580000}"/>
    <cellStyle name="입력 4 4 2 8" xfId="20768" xr:uid="{00000000-0005-0000-0000-0000B2580000}"/>
    <cellStyle name="입력 4 4 2 9" xfId="19071" xr:uid="{00000000-0005-0000-0000-0000B3580000}"/>
    <cellStyle name="입력 4 4 3" xfId="15426" xr:uid="{00000000-0005-0000-0000-0000B4580000}"/>
    <cellStyle name="입력 4 4 3 10" xfId="28030" xr:uid="{00000000-0005-0000-0000-0000B5580000}"/>
    <cellStyle name="입력 4 4 3 11" xfId="17538" xr:uid="{00000000-0005-0000-0000-0000B6580000}"/>
    <cellStyle name="입력 4 4 3 2" xfId="15264" xr:uid="{00000000-0005-0000-0000-0000B7580000}"/>
    <cellStyle name="입력 4 4 3 2 2" xfId="24751" xr:uid="{00000000-0005-0000-0000-0000B8580000}"/>
    <cellStyle name="입력 4 4 3 2 3" xfId="25918" xr:uid="{00000000-0005-0000-0000-0000B9580000}"/>
    <cellStyle name="입력 4 4 3 2 4" xfId="29032" xr:uid="{00000000-0005-0000-0000-0000BA580000}"/>
    <cellStyle name="입력 4 4 3 2 5" xfId="21688" xr:uid="{00000000-0005-0000-0000-0000BB580000}"/>
    <cellStyle name="입력 4 4 3 3" xfId="17000" xr:uid="{00000000-0005-0000-0000-0000BC580000}"/>
    <cellStyle name="입력 4 4 3 3 2" xfId="18392" xr:uid="{00000000-0005-0000-0000-0000BD580000}"/>
    <cellStyle name="입력 4 4 3 3 3" xfId="26471" xr:uid="{00000000-0005-0000-0000-0000BE580000}"/>
    <cellStyle name="입력 4 4 3 3 4" xfId="29585" xr:uid="{00000000-0005-0000-0000-0000BF580000}"/>
    <cellStyle name="입력 4 4 3 3 5" xfId="22241" xr:uid="{00000000-0005-0000-0000-0000C0580000}"/>
    <cellStyle name="입력 4 4 3 4" xfId="17001" xr:uid="{00000000-0005-0000-0000-0000C1580000}"/>
    <cellStyle name="입력 4 4 3 4 2" xfId="19954" xr:uid="{00000000-0005-0000-0000-0000C2580000}"/>
    <cellStyle name="입력 4 4 3 4 3" xfId="26947" xr:uid="{00000000-0005-0000-0000-0000C3580000}"/>
    <cellStyle name="입력 4 4 3 4 4" xfId="30061" xr:uid="{00000000-0005-0000-0000-0000C4580000}"/>
    <cellStyle name="입력 4 4 3 4 5" xfId="22717" xr:uid="{00000000-0005-0000-0000-0000C5580000}"/>
    <cellStyle name="입력 4 4 3 5" xfId="23126" xr:uid="{00000000-0005-0000-0000-0000C6580000}"/>
    <cellStyle name="입력 4 4 3 5 2" xfId="19219" xr:uid="{00000000-0005-0000-0000-0000C7580000}"/>
    <cellStyle name="입력 4 4 3 5 3" xfId="27356" xr:uid="{00000000-0005-0000-0000-0000C8580000}"/>
    <cellStyle name="입력 4 4 3 5 4" xfId="30470" xr:uid="{00000000-0005-0000-0000-0000C9580000}"/>
    <cellStyle name="입력 4 4 3 6" xfId="23527" xr:uid="{00000000-0005-0000-0000-0000CA580000}"/>
    <cellStyle name="입력 4 4 3 6 2" xfId="18189" xr:uid="{00000000-0005-0000-0000-0000CB580000}"/>
    <cellStyle name="입력 4 4 3 6 3" xfId="27757" xr:uid="{00000000-0005-0000-0000-0000CC580000}"/>
    <cellStyle name="입력 4 4 3 6 4" xfId="30871" xr:uid="{00000000-0005-0000-0000-0000CD580000}"/>
    <cellStyle name="입력 4 4 3 7" xfId="20658" xr:uid="{00000000-0005-0000-0000-0000CE580000}"/>
    <cellStyle name="입력 4 4 3 8" xfId="18963" xr:uid="{00000000-0005-0000-0000-0000CF580000}"/>
    <cellStyle name="입력 4 4 3 9" xfId="24906" xr:uid="{00000000-0005-0000-0000-0000D0580000}"/>
    <cellStyle name="입력 4 4 4" xfId="17619" xr:uid="{00000000-0005-0000-0000-0000D1580000}"/>
    <cellStyle name="입력 4 4 4 2" xfId="22066" xr:uid="{00000000-0005-0000-0000-0000D2580000}"/>
    <cellStyle name="입력 4 4 4 2 2" xfId="19347" xr:uid="{00000000-0005-0000-0000-0000D3580000}"/>
    <cellStyle name="입력 4 4 4 2 3" xfId="26296" xr:uid="{00000000-0005-0000-0000-0000D4580000}"/>
    <cellStyle name="입력 4 4 4 2 4" xfId="29410" xr:uid="{00000000-0005-0000-0000-0000D5580000}"/>
    <cellStyle name="입력 4 4 4 3" xfId="22539" xr:uid="{00000000-0005-0000-0000-0000D6580000}"/>
    <cellStyle name="입력 4 4 4 3 2" xfId="21180" xr:uid="{00000000-0005-0000-0000-0000D7580000}"/>
    <cellStyle name="입력 4 4 4 3 3" xfId="26769" xr:uid="{00000000-0005-0000-0000-0000D8580000}"/>
    <cellStyle name="입력 4 4 4 3 4" xfId="29883" xr:uid="{00000000-0005-0000-0000-0000D9580000}"/>
    <cellStyle name="입력 4 4 4 4" xfId="22984" xr:uid="{00000000-0005-0000-0000-0000DA580000}"/>
    <cellStyle name="입력 4 4 4 4 2" xfId="20203" xr:uid="{00000000-0005-0000-0000-0000DB580000}"/>
    <cellStyle name="입력 4 4 4 4 3" xfId="27214" xr:uid="{00000000-0005-0000-0000-0000DC580000}"/>
    <cellStyle name="입력 4 4 4 4 4" xfId="30328" xr:uid="{00000000-0005-0000-0000-0000DD580000}"/>
    <cellStyle name="입력 4 4 4 5" xfId="23357" xr:uid="{00000000-0005-0000-0000-0000DE580000}"/>
    <cellStyle name="입력 4 4 4 5 2" xfId="20394" xr:uid="{00000000-0005-0000-0000-0000DF580000}"/>
    <cellStyle name="입력 4 4 4 5 3" xfId="27587" xr:uid="{00000000-0005-0000-0000-0000E0580000}"/>
    <cellStyle name="입력 4 4 4 5 4" xfId="30701" xr:uid="{00000000-0005-0000-0000-0000E1580000}"/>
    <cellStyle name="입력 4 4 4 6" xfId="23735" xr:uid="{00000000-0005-0000-0000-0000E2580000}"/>
    <cellStyle name="입력 4 4 4 7" xfId="25745" xr:uid="{00000000-0005-0000-0000-0000E3580000}"/>
    <cellStyle name="입력 4 4 4 8" xfId="28862" xr:uid="{00000000-0005-0000-0000-0000E4580000}"/>
    <cellStyle name="입력 4 4 5" xfId="18035" xr:uid="{00000000-0005-0000-0000-0000E5580000}"/>
    <cellStyle name="입력 4 4 5 2" xfId="20938" xr:uid="{00000000-0005-0000-0000-0000E6580000}"/>
    <cellStyle name="입력 4 4 5 3" xfId="24779" xr:uid="{00000000-0005-0000-0000-0000E7580000}"/>
    <cellStyle name="입력 4 4 5 4" xfId="25189" xr:uid="{00000000-0005-0000-0000-0000E8580000}"/>
    <cellStyle name="입력 4 4 5 5" xfId="28313" xr:uid="{00000000-0005-0000-0000-0000E9580000}"/>
    <cellStyle name="입력 4 4 6" xfId="18788" xr:uid="{00000000-0005-0000-0000-0000EA580000}"/>
    <cellStyle name="입력 4 4 7" xfId="18524" xr:uid="{00000000-0005-0000-0000-0000EB580000}"/>
    <cellStyle name="입력 4 4 8" xfId="18699" xr:uid="{00000000-0005-0000-0000-0000EC580000}"/>
    <cellStyle name="입력 4 4 9" xfId="17290" xr:uid="{00000000-0005-0000-0000-0000ED580000}"/>
    <cellStyle name="입력 4 5" xfId="12156" xr:uid="{00000000-0005-0000-0000-0000EE580000}"/>
    <cellStyle name="입력 4 5 2" xfId="14801" xr:uid="{00000000-0005-0000-0000-0000EF580000}"/>
    <cellStyle name="입력 4 5 2 10" xfId="25017" xr:uid="{00000000-0005-0000-0000-0000F0580000}"/>
    <cellStyle name="입력 4 5 2 11" xfId="28141" xr:uid="{00000000-0005-0000-0000-0000F1580000}"/>
    <cellStyle name="입력 4 5 2 12" xfId="31117" xr:uid="{00000000-0005-0000-0000-0000F2580000}"/>
    <cellStyle name="입력 4 5 2 13" xfId="17451" xr:uid="{00000000-0005-0000-0000-0000F3580000}"/>
    <cellStyle name="입력 4 5 2 2" xfId="18036" xr:uid="{00000000-0005-0000-0000-0000F4580000}"/>
    <cellStyle name="입력 4 5 2 2 2" xfId="22352" xr:uid="{00000000-0005-0000-0000-0000F5580000}"/>
    <cellStyle name="입력 4 5 2 2 2 2" xfId="19619" xr:uid="{00000000-0005-0000-0000-0000F6580000}"/>
    <cellStyle name="입력 4 5 2 2 2 3" xfId="26582" xr:uid="{00000000-0005-0000-0000-0000F7580000}"/>
    <cellStyle name="입력 4 5 2 2 2 4" xfId="29696" xr:uid="{00000000-0005-0000-0000-0000F8580000}"/>
    <cellStyle name="입력 4 5 2 2 3" xfId="22828" xr:uid="{00000000-0005-0000-0000-0000F9580000}"/>
    <cellStyle name="입력 4 5 2 2 3 2" xfId="20056" xr:uid="{00000000-0005-0000-0000-0000FA580000}"/>
    <cellStyle name="입력 4 5 2 2 3 3" xfId="27058" xr:uid="{00000000-0005-0000-0000-0000FB580000}"/>
    <cellStyle name="입력 4 5 2 2 3 4" xfId="30172" xr:uid="{00000000-0005-0000-0000-0000FC580000}"/>
    <cellStyle name="입력 4 5 2 2 4" xfId="23211" xr:uid="{00000000-0005-0000-0000-0000FD580000}"/>
    <cellStyle name="입력 4 5 2 2 4 2" xfId="20284" xr:uid="{00000000-0005-0000-0000-0000FE580000}"/>
    <cellStyle name="입력 4 5 2 2 4 3" xfId="27441" xr:uid="{00000000-0005-0000-0000-0000FF580000}"/>
    <cellStyle name="입력 4 5 2 2 4 4" xfId="30555" xr:uid="{00000000-0005-0000-0000-000000590000}"/>
    <cellStyle name="입력 4 5 2 2 5" xfId="23638" xr:uid="{00000000-0005-0000-0000-000001590000}"/>
    <cellStyle name="입력 4 5 2 2 5 2" xfId="18293" xr:uid="{00000000-0005-0000-0000-000002590000}"/>
    <cellStyle name="입력 4 5 2 2 5 3" xfId="27868" xr:uid="{00000000-0005-0000-0000-000003590000}"/>
    <cellStyle name="입력 4 5 2 2 5 4" xfId="30982" xr:uid="{00000000-0005-0000-0000-000004590000}"/>
    <cellStyle name="입력 4 5 2 2 6" xfId="21799" xr:uid="{00000000-0005-0000-0000-000005590000}"/>
    <cellStyle name="입력 4 5 2 2 7" xfId="24577" xr:uid="{00000000-0005-0000-0000-000006590000}"/>
    <cellStyle name="입력 4 5 2 2 8" xfId="26029" xr:uid="{00000000-0005-0000-0000-000007590000}"/>
    <cellStyle name="입력 4 5 2 2 9" xfId="29143" xr:uid="{00000000-0005-0000-0000-000008590000}"/>
    <cellStyle name="입력 4 5 2 3" xfId="18037" xr:uid="{00000000-0005-0000-0000-000009590000}"/>
    <cellStyle name="입력 4 5 2 3 2" xfId="21397" xr:uid="{00000000-0005-0000-0000-00000A590000}"/>
    <cellStyle name="입력 4 5 2 3 3" xfId="19462" xr:uid="{00000000-0005-0000-0000-00000B590000}"/>
    <cellStyle name="입력 4 5 2 3 4" xfId="25584" xr:uid="{00000000-0005-0000-0000-00000C590000}"/>
    <cellStyle name="입력 4 5 2 3 5" xfId="28701" xr:uid="{00000000-0005-0000-0000-00000D590000}"/>
    <cellStyle name="입력 4 5 2 4" xfId="21905" xr:uid="{00000000-0005-0000-0000-00000E590000}"/>
    <cellStyle name="입력 4 5 2 4 2" xfId="24608" xr:uid="{00000000-0005-0000-0000-00000F590000}"/>
    <cellStyle name="입력 4 5 2 4 3" xfId="26135" xr:uid="{00000000-0005-0000-0000-000010590000}"/>
    <cellStyle name="입력 4 5 2 4 4" xfId="29249" xr:uid="{00000000-0005-0000-0000-000011590000}"/>
    <cellStyle name="입력 4 5 2 5" xfId="20810" xr:uid="{00000000-0005-0000-0000-000012590000}"/>
    <cellStyle name="입력 4 5 2 5 2" xfId="19113" xr:uid="{00000000-0005-0000-0000-000013590000}"/>
    <cellStyle name="입력 4 5 2 5 3" xfId="25058" xr:uid="{00000000-0005-0000-0000-000014590000}"/>
    <cellStyle name="입력 4 5 2 5 4" xfId="28182" xr:uid="{00000000-0005-0000-0000-000015590000}"/>
    <cellStyle name="입력 4 5 2 6" xfId="22105" xr:uid="{00000000-0005-0000-0000-000016590000}"/>
    <cellStyle name="입력 4 5 2 6 2" xfId="24545" xr:uid="{00000000-0005-0000-0000-000017590000}"/>
    <cellStyle name="입력 4 5 2 6 3" xfId="26335" xr:uid="{00000000-0005-0000-0000-000018590000}"/>
    <cellStyle name="입력 4 5 2 6 4" xfId="29449" xr:uid="{00000000-0005-0000-0000-000019590000}"/>
    <cellStyle name="입력 4 5 2 7" xfId="20992" xr:uid="{00000000-0005-0000-0000-00001A590000}"/>
    <cellStyle name="입력 4 5 2 7 2" xfId="24770" xr:uid="{00000000-0005-0000-0000-00001B590000}"/>
    <cellStyle name="입력 4 5 2 7 3" xfId="25240" xr:uid="{00000000-0005-0000-0000-00001C590000}"/>
    <cellStyle name="입력 4 5 2 7 4" xfId="28364" xr:uid="{00000000-0005-0000-0000-00001D590000}"/>
    <cellStyle name="입력 4 5 2 8" xfId="20769" xr:uid="{00000000-0005-0000-0000-00001E590000}"/>
    <cellStyle name="입력 4 5 2 9" xfId="19072" xr:uid="{00000000-0005-0000-0000-00001F590000}"/>
    <cellStyle name="입력 4 5 3" xfId="15427" xr:uid="{00000000-0005-0000-0000-000020590000}"/>
    <cellStyle name="입력 4 5 3 10" xfId="28031" xr:uid="{00000000-0005-0000-0000-000021590000}"/>
    <cellStyle name="입력 4 5 3 11" xfId="17537" xr:uid="{00000000-0005-0000-0000-000022590000}"/>
    <cellStyle name="입력 4 5 3 2" xfId="15263" xr:uid="{00000000-0005-0000-0000-000023590000}"/>
    <cellStyle name="입력 4 5 3 2 2" xfId="24617" xr:uid="{00000000-0005-0000-0000-000024590000}"/>
    <cellStyle name="입력 4 5 3 2 3" xfId="25919" xr:uid="{00000000-0005-0000-0000-000025590000}"/>
    <cellStyle name="입력 4 5 3 2 4" xfId="29033" xr:uid="{00000000-0005-0000-0000-000026590000}"/>
    <cellStyle name="입력 4 5 3 2 5" xfId="21689" xr:uid="{00000000-0005-0000-0000-000027590000}"/>
    <cellStyle name="입력 4 5 3 3" xfId="17002" xr:uid="{00000000-0005-0000-0000-000028590000}"/>
    <cellStyle name="입력 4 5 3 3 2" xfId="18393" xr:uid="{00000000-0005-0000-0000-000029590000}"/>
    <cellStyle name="입력 4 5 3 3 3" xfId="26472" xr:uid="{00000000-0005-0000-0000-00002A590000}"/>
    <cellStyle name="입력 4 5 3 3 4" xfId="29586" xr:uid="{00000000-0005-0000-0000-00002B590000}"/>
    <cellStyle name="입력 4 5 3 3 5" xfId="22242" xr:uid="{00000000-0005-0000-0000-00002C590000}"/>
    <cellStyle name="입력 4 5 3 4" xfId="17003" xr:uid="{00000000-0005-0000-0000-00002D590000}"/>
    <cellStyle name="입력 4 5 3 4 2" xfId="19955" xr:uid="{00000000-0005-0000-0000-00002E590000}"/>
    <cellStyle name="입력 4 5 3 4 3" xfId="26948" xr:uid="{00000000-0005-0000-0000-00002F590000}"/>
    <cellStyle name="입력 4 5 3 4 4" xfId="30062" xr:uid="{00000000-0005-0000-0000-000030590000}"/>
    <cellStyle name="입력 4 5 3 4 5" xfId="22718" xr:uid="{00000000-0005-0000-0000-000031590000}"/>
    <cellStyle name="입력 4 5 3 5" xfId="23127" xr:uid="{00000000-0005-0000-0000-000032590000}"/>
    <cellStyle name="입력 4 5 3 5 2" xfId="19220" xr:uid="{00000000-0005-0000-0000-000033590000}"/>
    <cellStyle name="입력 4 5 3 5 3" xfId="27357" xr:uid="{00000000-0005-0000-0000-000034590000}"/>
    <cellStyle name="입력 4 5 3 5 4" xfId="30471" xr:uid="{00000000-0005-0000-0000-000035590000}"/>
    <cellStyle name="입력 4 5 3 6" xfId="23528" xr:uid="{00000000-0005-0000-0000-000036590000}"/>
    <cellStyle name="입력 4 5 3 6 2" xfId="18190" xr:uid="{00000000-0005-0000-0000-000037590000}"/>
    <cellStyle name="입력 4 5 3 6 3" xfId="27758" xr:uid="{00000000-0005-0000-0000-000038590000}"/>
    <cellStyle name="입력 4 5 3 6 4" xfId="30872" xr:uid="{00000000-0005-0000-0000-000039590000}"/>
    <cellStyle name="입력 4 5 3 7" xfId="20659" xr:uid="{00000000-0005-0000-0000-00003A590000}"/>
    <cellStyle name="입력 4 5 3 8" xfId="18964" xr:uid="{00000000-0005-0000-0000-00003B590000}"/>
    <cellStyle name="입력 4 5 3 9" xfId="24907" xr:uid="{00000000-0005-0000-0000-00003C590000}"/>
    <cellStyle name="입력 4 5 4" xfId="17413" xr:uid="{00000000-0005-0000-0000-00003D590000}"/>
    <cellStyle name="입력 4 5 4 2" xfId="22067" xr:uid="{00000000-0005-0000-0000-00003E590000}"/>
    <cellStyle name="입력 4 5 4 2 2" xfId="23765" xr:uid="{00000000-0005-0000-0000-00003F590000}"/>
    <cellStyle name="입력 4 5 4 2 3" xfId="26297" xr:uid="{00000000-0005-0000-0000-000040590000}"/>
    <cellStyle name="입력 4 5 4 2 4" xfId="29411" xr:uid="{00000000-0005-0000-0000-000041590000}"/>
    <cellStyle name="입력 4 5 4 3" xfId="22540" xr:uid="{00000000-0005-0000-0000-000042590000}"/>
    <cellStyle name="입력 4 5 4 3 2" xfId="19794" xr:uid="{00000000-0005-0000-0000-000043590000}"/>
    <cellStyle name="입력 4 5 4 3 3" xfId="26770" xr:uid="{00000000-0005-0000-0000-000044590000}"/>
    <cellStyle name="입력 4 5 4 3 4" xfId="29884" xr:uid="{00000000-0005-0000-0000-000045590000}"/>
    <cellStyle name="입력 4 5 4 4" xfId="22985" xr:uid="{00000000-0005-0000-0000-000046590000}"/>
    <cellStyle name="입력 4 5 4 4 2" xfId="20204" xr:uid="{00000000-0005-0000-0000-000047590000}"/>
    <cellStyle name="입력 4 5 4 4 3" xfId="27215" xr:uid="{00000000-0005-0000-0000-000048590000}"/>
    <cellStyle name="입력 4 5 4 4 4" xfId="30329" xr:uid="{00000000-0005-0000-0000-000049590000}"/>
    <cellStyle name="입력 4 5 4 5" xfId="23358" xr:uid="{00000000-0005-0000-0000-00004A590000}"/>
    <cellStyle name="입력 4 5 4 5 2" xfId="20395" xr:uid="{00000000-0005-0000-0000-00004B590000}"/>
    <cellStyle name="입력 4 5 4 5 3" xfId="27588" xr:uid="{00000000-0005-0000-0000-00004C590000}"/>
    <cellStyle name="입력 4 5 4 5 4" xfId="30702" xr:uid="{00000000-0005-0000-0000-00004D590000}"/>
    <cellStyle name="입력 4 5 4 6" xfId="24655" xr:uid="{00000000-0005-0000-0000-00004E590000}"/>
    <cellStyle name="입력 4 5 4 7" xfId="25746" xr:uid="{00000000-0005-0000-0000-00004F590000}"/>
    <cellStyle name="입력 4 5 4 8" xfId="28863" xr:uid="{00000000-0005-0000-0000-000050590000}"/>
    <cellStyle name="입력 4 5 5" xfId="18038" xr:uid="{00000000-0005-0000-0000-000051590000}"/>
    <cellStyle name="입력 4 5 5 2" xfId="20939" xr:uid="{00000000-0005-0000-0000-000052590000}"/>
    <cellStyle name="입력 4 5 5 3" xfId="24521" xr:uid="{00000000-0005-0000-0000-000053590000}"/>
    <cellStyle name="입력 4 5 5 4" xfId="25190" xr:uid="{00000000-0005-0000-0000-000054590000}"/>
    <cellStyle name="입력 4 5 5 5" xfId="28314" xr:uid="{00000000-0005-0000-0000-000055590000}"/>
    <cellStyle name="입력 4 5 6" xfId="18789" xr:uid="{00000000-0005-0000-0000-000056590000}"/>
    <cellStyle name="입력 4 5 7" xfId="18523" xr:uid="{00000000-0005-0000-0000-000057590000}"/>
    <cellStyle name="입력 4 5 8" xfId="18700" xr:uid="{00000000-0005-0000-0000-000058590000}"/>
    <cellStyle name="입력 4 5 9" xfId="17291" xr:uid="{00000000-0005-0000-0000-000059590000}"/>
    <cellStyle name="입력 4 6" xfId="12157" xr:uid="{00000000-0005-0000-0000-00005A590000}"/>
    <cellStyle name="입력 4 6 2" xfId="14802" xr:uid="{00000000-0005-0000-0000-00005B590000}"/>
    <cellStyle name="입력 4 6 2 10" xfId="25018" xr:uid="{00000000-0005-0000-0000-00005C590000}"/>
    <cellStyle name="입력 4 6 2 11" xfId="28142" xr:uid="{00000000-0005-0000-0000-00005D590000}"/>
    <cellStyle name="입력 4 6 2 12" xfId="31118" xr:uid="{00000000-0005-0000-0000-00005E590000}"/>
    <cellStyle name="입력 4 6 2 13" xfId="17450" xr:uid="{00000000-0005-0000-0000-00005F590000}"/>
    <cellStyle name="입력 4 6 2 2" xfId="18039" xr:uid="{00000000-0005-0000-0000-000060590000}"/>
    <cellStyle name="입력 4 6 2 2 2" xfId="22353" xr:uid="{00000000-0005-0000-0000-000061590000}"/>
    <cellStyle name="입력 4 6 2 2 2 2" xfId="19620" xr:uid="{00000000-0005-0000-0000-000062590000}"/>
    <cellStyle name="입력 4 6 2 2 2 3" xfId="26583" xr:uid="{00000000-0005-0000-0000-000063590000}"/>
    <cellStyle name="입력 4 6 2 2 2 4" xfId="29697" xr:uid="{00000000-0005-0000-0000-000064590000}"/>
    <cellStyle name="입력 4 6 2 2 3" xfId="22829" xr:uid="{00000000-0005-0000-0000-000065590000}"/>
    <cellStyle name="입력 4 6 2 2 3 2" xfId="20057" xr:uid="{00000000-0005-0000-0000-000066590000}"/>
    <cellStyle name="입력 4 6 2 2 3 3" xfId="27059" xr:uid="{00000000-0005-0000-0000-000067590000}"/>
    <cellStyle name="입력 4 6 2 2 3 4" xfId="30173" xr:uid="{00000000-0005-0000-0000-000068590000}"/>
    <cellStyle name="입력 4 6 2 2 4" xfId="23212" xr:uid="{00000000-0005-0000-0000-000069590000}"/>
    <cellStyle name="입력 4 6 2 2 4 2" xfId="20285" xr:uid="{00000000-0005-0000-0000-00006A590000}"/>
    <cellStyle name="입력 4 6 2 2 4 3" xfId="27442" xr:uid="{00000000-0005-0000-0000-00006B590000}"/>
    <cellStyle name="입력 4 6 2 2 4 4" xfId="30556" xr:uid="{00000000-0005-0000-0000-00006C590000}"/>
    <cellStyle name="입력 4 6 2 2 5" xfId="23639" xr:uid="{00000000-0005-0000-0000-00006D590000}"/>
    <cellStyle name="입력 4 6 2 2 5 2" xfId="18294" xr:uid="{00000000-0005-0000-0000-00006E590000}"/>
    <cellStyle name="입력 4 6 2 2 5 3" xfId="27869" xr:uid="{00000000-0005-0000-0000-00006F590000}"/>
    <cellStyle name="입력 4 6 2 2 5 4" xfId="30983" xr:uid="{00000000-0005-0000-0000-000070590000}"/>
    <cellStyle name="입력 4 6 2 2 6" xfId="21800" xr:uid="{00000000-0005-0000-0000-000071590000}"/>
    <cellStyle name="입력 4 6 2 2 7" xfId="24447" xr:uid="{00000000-0005-0000-0000-000072590000}"/>
    <cellStyle name="입력 4 6 2 2 8" xfId="26030" xr:uid="{00000000-0005-0000-0000-000073590000}"/>
    <cellStyle name="입력 4 6 2 2 9" xfId="29144" xr:uid="{00000000-0005-0000-0000-000074590000}"/>
    <cellStyle name="입력 4 6 2 3" xfId="18040" xr:uid="{00000000-0005-0000-0000-000075590000}"/>
    <cellStyle name="입력 4 6 2 3 2" xfId="21398" xr:uid="{00000000-0005-0000-0000-000076590000}"/>
    <cellStyle name="입력 4 6 2 3 3" xfId="19463" xr:uid="{00000000-0005-0000-0000-000077590000}"/>
    <cellStyle name="입력 4 6 2 3 4" xfId="25585" xr:uid="{00000000-0005-0000-0000-000078590000}"/>
    <cellStyle name="입력 4 6 2 3 5" xfId="28702" xr:uid="{00000000-0005-0000-0000-000079590000}"/>
    <cellStyle name="입력 4 6 2 4" xfId="21906" xr:uid="{00000000-0005-0000-0000-00007A590000}"/>
    <cellStyle name="입력 4 6 2 4 2" xfId="24481" xr:uid="{00000000-0005-0000-0000-00007B590000}"/>
    <cellStyle name="입력 4 6 2 4 3" xfId="26136" xr:uid="{00000000-0005-0000-0000-00007C590000}"/>
    <cellStyle name="입력 4 6 2 4 4" xfId="29250" xr:uid="{00000000-0005-0000-0000-00007D590000}"/>
    <cellStyle name="입력 4 6 2 5" xfId="20820" xr:uid="{00000000-0005-0000-0000-00007E590000}"/>
    <cellStyle name="입력 4 6 2 5 2" xfId="19126" xr:uid="{00000000-0005-0000-0000-00007F590000}"/>
    <cellStyle name="입력 4 6 2 5 3" xfId="25071" xr:uid="{00000000-0005-0000-0000-000080590000}"/>
    <cellStyle name="입력 4 6 2 5 4" xfId="28195" xr:uid="{00000000-0005-0000-0000-000081590000}"/>
    <cellStyle name="입력 4 6 2 6" xfId="21846" xr:uid="{00000000-0005-0000-0000-000082590000}"/>
    <cellStyle name="입력 4 6 2 6 2" xfId="24582" xr:uid="{00000000-0005-0000-0000-000083590000}"/>
    <cellStyle name="입력 4 6 2 6 3" xfId="26076" xr:uid="{00000000-0005-0000-0000-000084590000}"/>
    <cellStyle name="입력 4 6 2 6 4" xfId="29190" xr:uid="{00000000-0005-0000-0000-000085590000}"/>
    <cellStyle name="입력 4 6 2 7" xfId="21038" xr:uid="{00000000-0005-0000-0000-000086590000}"/>
    <cellStyle name="입력 4 6 2 7 2" xfId="23750" xr:uid="{00000000-0005-0000-0000-000087590000}"/>
    <cellStyle name="입력 4 6 2 7 3" xfId="25283" xr:uid="{00000000-0005-0000-0000-000088590000}"/>
    <cellStyle name="입력 4 6 2 7 4" xfId="28407" xr:uid="{00000000-0005-0000-0000-000089590000}"/>
    <cellStyle name="입력 4 6 2 8" xfId="20770" xr:uid="{00000000-0005-0000-0000-00008A590000}"/>
    <cellStyle name="입력 4 6 2 9" xfId="19073" xr:uid="{00000000-0005-0000-0000-00008B590000}"/>
    <cellStyle name="입력 4 6 3" xfId="15428" xr:uid="{00000000-0005-0000-0000-00008C590000}"/>
    <cellStyle name="입력 4 6 3 10" xfId="28032" xr:uid="{00000000-0005-0000-0000-00008D590000}"/>
    <cellStyle name="입력 4 6 3 11" xfId="17536" xr:uid="{00000000-0005-0000-0000-00008E590000}"/>
    <cellStyle name="입력 4 6 3 2" xfId="15262" xr:uid="{00000000-0005-0000-0000-00008F590000}"/>
    <cellStyle name="입력 4 6 3 2 2" xfId="24490" xr:uid="{00000000-0005-0000-0000-000090590000}"/>
    <cellStyle name="입력 4 6 3 2 3" xfId="25920" xr:uid="{00000000-0005-0000-0000-000091590000}"/>
    <cellStyle name="입력 4 6 3 2 4" xfId="29034" xr:uid="{00000000-0005-0000-0000-000092590000}"/>
    <cellStyle name="입력 4 6 3 2 5" xfId="21690" xr:uid="{00000000-0005-0000-0000-000093590000}"/>
    <cellStyle name="입력 4 6 3 3" xfId="17004" xr:uid="{00000000-0005-0000-0000-000094590000}"/>
    <cellStyle name="입력 4 6 3 3 2" xfId="18394" xr:uid="{00000000-0005-0000-0000-000095590000}"/>
    <cellStyle name="입력 4 6 3 3 3" xfId="26473" xr:uid="{00000000-0005-0000-0000-000096590000}"/>
    <cellStyle name="입력 4 6 3 3 4" xfId="29587" xr:uid="{00000000-0005-0000-0000-000097590000}"/>
    <cellStyle name="입력 4 6 3 3 5" xfId="22243" xr:uid="{00000000-0005-0000-0000-000098590000}"/>
    <cellStyle name="입력 4 6 3 4" xfId="17005" xr:uid="{00000000-0005-0000-0000-000099590000}"/>
    <cellStyle name="입력 4 6 3 4 2" xfId="19956" xr:uid="{00000000-0005-0000-0000-00009A590000}"/>
    <cellStyle name="입력 4 6 3 4 3" xfId="26949" xr:uid="{00000000-0005-0000-0000-00009B590000}"/>
    <cellStyle name="입력 4 6 3 4 4" xfId="30063" xr:uid="{00000000-0005-0000-0000-00009C590000}"/>
    <cellStyle name="입력 4 6 3 4 5" xfId="22719" xr:uid="{00000000-0005-0000-0000-00009D590000}"/>
    <cellStyle name="입력 4 6 3 5" xfId="23128" xr:uid="{00000000-0005-0000-0000-00009E590000}"/>
    <cellStyle name="입력 4 6 3 5 2" xfId="19221" xr:uid="{00000000-0005-0000-0000-00009F590000}"/>
    <cellStyle name="입력 4 6 3 5 3" xfId="27358" xr:uid="{00000000-0005-0000-0000-0000A0590000}"/>
    <cellStyle name="입력 4 6 3 5 4" xfId="30472" xr:uid="{00000000-0005-0000-0000-0000A1590000}"/>
    <cellStyle name="입력 4 6 3 6" xfId="23529" xr:uid="{00000000-0005-0000-0000-0000A2590000}"/>
    <cellStyle name="입력 4 6 3 6 2" xfId="18191" xr:uid="{00000000-0005-0000-0000-0000A3590000}"/>
    <cellStyle name="입력 4 6 3 6 3" xfId="27759" xr:uid="{00000000-0005-0000-0000-0000A4590000}"/>
    <cellStyle name="입력 4 6 3 6 4" xfId="30873" xr:uid="{00000000-0005-0000-0000-0000A5590000}"/>
    <cellStyle name="입력 4 6 3 7" xfId="20660" xr:uid="{00000000-0005-0000-0000-0000A6590000}"/>
    <cellStyle name="입력 4 6 3 8" xfId="18965" xr:uid="{00000000-0005-0000-0000-0000A7590000}"/>
    <cellStyle name="입력 4 6 3 9" xfId="24908" xr:uid="{00000000-0005-0000-0000-0000A8590000}"/>
    <cellStyle name="입력 4 6 4" xfId="17618" xr:uid="{00000000-0005-0000-0000-0000A9590000}"/>
    <cellStyle name="입력 4 6 4 2" xfId="22068" xr:uid="{00000000-0005-0000-0000-0000AA590000}"/>
    <cellStyle name="입력 4 6 4 2 2" xfId="23772" xr:uid="{00000000-0005-0000-0000-0000AB590000}"/>
    <cellStyle name="입력 4 6 4 2 3" xfId="26298" xr:uid="{00000000-0005-0000-0000-0000AC590000}"/>
    <cellStyle name="입력 4 6 4 2 4" xfId="29412" xr:uid="{00000000-0005-0000-0000-0000AD590000}"/>
    <cellStyle name="입력 4 6 4 3" xfId="22541" xr:uid="{00000000-0005-0000-0000-0000AE590000}"/>
    <cellStyle name="입력 4 6 4 3 2" xfId="19795" xr:uid="{00000000-0005-0000-0000-0000AF590000}"/>
    <cellStyle name="입력 4 6 4 3 3" xfId="26771" xr:uid="{00000000-0005-0000-0000-0000B0590000}"/>
    <cellStyle name="입력 4 6 4 3 4" xfId="29885" xr:uid="{00000000-0005-0000-0000-0000B1590000}"/>
    <cellStyle name="입력 4 6 4 4" xfId="22986" xr:uid="{00000000-0005-0000-0000-0000B2590000}"/>
    <cellStyle name="입력 4 6 4 4 2" xfId="20205" xr:uid="{00000000-0005-0000-0000-0000B3590000}"/>
    <cellStyle name="입력 4 6 4 4 3" xfId="27216" xr:uid="{00000000-0005-0000-0000-0000B4590000}"/>
    <cellStyle name="입력 4 6 4 4 4" xfId="30330" xr:uid="{00000000-0005-0000-0000-0000B5590000}"/>
    <cellStyle name="입력 4 6 4 5" xfId="23359" xr:uid="{00000000-0005-0000-0000-0000B6590000}"/>
    <cellStyle name="입력 4 6 4 5 2" xfId="20396" xr:uid="{00000000-0005-0000-0000-0000B7590000}"/>
    <cellStyle name="입력 4 6 4 5 3" xfId="27589" xr:uid="{00000000-0005-0000-0000-0000B8590000}"/>
    <cellStyle name="입력 4 6 4 5 4" xfId="30703" xr:uid="{00000000-0005-0000-0000-0000B9590000}"/>
    <cellStyle name="입력 4 6 4 6" xfId="24569" xr:uid="{00000000-0005-0000-0000-0000BA590000}"/>
    <cellStyle name="입력 4 6 4 7" xfId="25747" xr:uid="{00000000-0005-0000-0000-0000BB590000}"/>
    <cellStyle name="입력 4 6 4 8" xfId="28864" xr:uid="{00000000-0005-0000-0000-0000BC590000}"/>
    <cellStyle name="입력 4 6 5" xfId="18041" xr:uid="{00000000-0005-0000-0000-0000BD590000}"/>
    <cellStyle name="입력 4 6 5 2" xfId="20940" xr:uid="{00000000-0005-0000-0000-0000BE590000}"/>
    <cellStyle name="입력 4 6 5 3" xfId="24346" xr:uid="{00000000-0005-0000-0000-0000BF590000}"/>
    <cellStyle name="입력 4 6 5 4" xfId="25191" xr:uid="{00000000-0005-0000-0000-0000C0590000}"/>
    <cellStyle name="입력 4 6 5 5" xfId="28315" xr:uid="{00000000-0005-0000-0000-0000C1590000}"/>
    <cellStyle name="입력 4 6 6" xfId="18790" xr:uid="{00000000-0005-0000-0000-0000C2590000}"/>
    <cellStyle name="입력 4 6 7" xfId="18522" xr:uid="{00000000-0005-0000-0000-0000C3590000}"/>
    <cellStyle name="입력 4 6 8" xfId="18701" xr:uid="{00000000-0005-0000-0000-0000C4590000}"/>
    <cellStyle name="입력 4 6 9" xfId="17292" xr:uid="{00000000-0005-0000-0000-0000C5590000}"/>
    <cellStyle name="입력 4 7" xfId="12158" xr:uid="{00000000-0005-0000-0000-0000C6590000}"/>
    <cellStyle name="입력 4 7 2" xfId="14803" xr:uid="{00000000-0005-0000-0000-0000C7590000}"/>
    <cellStyle name="입력 4 7 2 10" xfId="25019" xr:uid="{00000000-0005-0000-0000-0000C8590000}"/>
    <cellStyle name="입력 4 7 2 11" xfId="28143" xr:uid="{00000000-0005-0000-0000-0000C9590000}"/>
    <cellStyle name="입력 4 7 2 12" xfId="31119" xr:uid="{00000000-0005-0000-0000-0000CA590000}"/>
    <cellStyle name="입력 4 7 2 13" xfId="17449" xr:uid="{00000000-0005-0000-0000-0000CB590000}"/>
    <cellStyle name="입력 4 7 2 2" xfId="18042" xr:uid="{00000000-0005-0000-0000-0000CC590000}"/>
    <cellStyle name="입력 4 7 2 2 2" xfId="22354" xr:uid="{00000000-0005-0000-0000-0000CD590000}"/>
    <cellStyle name="입력 4 7 2 2 2 2" xfId="19621" xr:uid="{00000000-0005-0000-0000-0000CE590000}"/>
    <cellStyle name="입력 4 7 2 2 2 3" xfId="26584" xr:uid="{00000000-0005-0000-0000-0000CF590000}"/>
    <cellStyle name="입력 4 7 2 2 2 4" xfId="29698" xr:uid="{00000000-0005-0000-0000-0000D0590000}"/>
    <cellStyle name="입력 4 7 2 2 3" xfId="22830" xr:uid="{00000000-0005-0000-0000-0000D1590000}"/>
    <cellStyle name="입력 4 7 2 2 3 2" xfId="20058" xr:uid="{00000000-0005-0000-0000-0000D2590000}"/>
    <cellStyle name="입력 4 7 2 2 3 3" xfId="27060" xr:uid="{00000000-0005-0000-0000-0000D3590000}"/>
    <cellStyle name="입력 4 7 2 2 3 4" xfId="30174" xr:uid="{00000000-0005-0000-0000-0000D4590000}"/>
    <cellStyle name="입력 4 7 2 2 4" xfId="23213" xr:uid="{00000000-0005-0000-0000-0000D5590000}"/>
    <cellStyle name="입력 4 7 2 2 4 2" xfId="20286" xr:uid="{00000000-0005-0000-0000-0000D6590000}"/>
    <cellStyle name="입력 4 7 2 2 4 3" xfId="27443" xr:uid="{00000000-0005-0000-0000-0000D7590000}"/>
    <cellStyle name="입력 4 7 2 2 4 4" xfId="30557" xr:uid="{00000000-0005-0000-0000-0000D8590000}"/>
    <cellStyle name="입력 4 7 2 2 5" xfId="23640" xr:uid="{00000000-0005-0000-0000-0000D9590000}"/>
    <cellStyle name="입력 4 7 2 2 5 2" xfId="18295" xr:uid="{00000000-0005-0000-0000-0000DA590000}"/>
    <cellStyle name="입력 4 7 2 2 5 3" xfId="27870" xr:uid="{00000000-0005-0000-0000-0000DB590000}"/>
    <cellStyle name="입력 4 7 2 2 5 4" xfId="30984" xr:uid="{00000000-0005-0000-0000-0000DC590000}"/>
    <cellStyle name="입력 4 7 2 2 6" xfId="21801" xr:uid="{00000000-0005-0000-0000-0000DD590000}"/>
    <cellStyle name="입력 4 7 2 2 7" xfId="24274" xr:uid="{00000000-0005-0000-0000-0000DE590000}"/>
    <cellStyle name="입력 4 7 2 2 8" xfId="26031" xr:uid="{00000000-0005-0000-0000-0000DF590000}"/>
    <cellStyle name="입력 4 7 2 2 9" xfId="29145" xr:uid="{00000000-0005-0000-0000-0000E0590000}"/>
    <cellStyle name="입력 4 7 2 3" xfId="18043" xr:uid="{00000000-0005-0000-0000-0000E1590000}"/>
    <cellStyle name="입력 4 7 2 3 2" xfId="21399" xr:uid="{00000000-0005-0000-0000-0000E2590000}"/>
    <cellStyle name="입력 4 7 2 3 3" xfId="19464" xr:uid="{00000000-0005-0000-0000-0000E3590000}"/>
    <cellStyle name="입력 4 7 2 3 4" xfId="25586" xr:uid="{00000000-0005-0000-0000-0000E4590000}"/>
    <cellStyle name="입력 4 7 2 3 5" xfId="28703" xr:uid="{00000000-0005-0000-0000-0000E5590000}"/>
    <cellStyle name="입력 4 7 2 4" xfId="21907" xr:uid="{00000000-0005-0000-0000-0000E6590000}"/>
    <cellStyle name="입력 4 7 2 4 2" xfId="24308" xr:uid="{00000000-0005-0000-0000-0000E7590000}"/>
    <cellStyle name="입력 4 7 2 4 3" xfId="26137" xr:uid="{00000000-0005-0000-0000-0000E8590000}"/>
    <cellStyle name="입력 4 7 2 4 4" xfId="29251" xr:uid="{00000000-0005-0000-0000-0000E9590000}"/>
    <cellStyle name="입력 4 7 2 5" xfId="20831" xr:uid="{00000000-0005-0000-0000-0000EA590000}"/>
    <cellStyle name="입력 4 7 2 5 2" xfId="19137" xr:uid="{00000000-0005-0000-0000-0000EB590000}"/>
    <cellStyle name="입력 4 7 2 5 3" xfId="25082" xr:uid="{00000000-0005-0000-0000-0000EC590000}"/>
    <cellStyle name="입력 4 7 2 5 4" xfId="28206" xr:uid="{00000000-0005-0000-0000-0000ED590000}"/>
    <cellStyle name="입력 4 7 2 6" xfId="21116" xr:uid="{00000000-0005-0000-0000-0000EE590000}"/>
    <cellStyle name="입력 4 7 2 6 2" xfId="23980" xr:uid="{00000000-0005-0000-0000-0000EF590000}"/>
    <cellStyle name="입력 4 7 2 6 3" xfId="25361" xr:uid="{00000000-0005-0000-0000-0000F0590000}"/>
    <cellStyle name="입력 4 7 2 6 4" xfId="28485" xr:uid="{00000000-0005-0000-0000-0000F1590000}"/>
    <cellStyle name="입력 4 7 2 7" xfId="21026" xr:uid="{00000000-0005-0000-0000-0000F2590000}"/>
    <cellStyle name="입력 4 7 2 7 2" xfId="24692" xr:uid="{00000000-0005-0000-0000-0000F3590000}"/>
    <cellStyle name="입력 4 7 2 7 3" xfId="25271" xr:uid="{00000000-0005-0000-0000-0000F4590000}"/>
    <cellStyle name="입력 4 7 2 7 4" xfId="28395" xr:uid="{00000000-0005-0000-0000-0000F5590000}"/>
    <cellStyle name="입력 4 7 2 8" xfId="20771" xr:uid="{00000000-0005-0000-0000-0000F6590000}"/>
    <cellStyle name="입력 4 7 2 9" xfId="19074" xr:uid="{00000000-0005-0000-0000-0000F7590000}"/>
    <cellStyle name="입력 4 7 3" xfId="15429" xr:uid="{00000000-0005-0000-0000-0000F8590000}"/>
    <cellStyle name="입력 4 7 3 10" xfId="28033" xr:uid="{00000000-0005-0000-0000-0000F9590000}"/>
    <cellStyle name="입력 4 7 3 11" xfId="17535" xr:uid="{00000000-0005-0000-0000-0000FA590000}"/>
    <cellStyle name="입력 4 7 3 2" xfId="15261" xr:uid="{00000000-0005-0000-0000-0000FB590000}"/>
    <cellStyle name="입력 4 7 3 2 2" xfId="24317" xr:uid="{00000000-0005-0000-0000-0000FC590000}"/>
    <cellStyle name="입력 4 7 3 2 3" xfId="25921" xr:uid="{00000000-0005-0000-0000-0000FD590000}"/>
    <cellStyle name="입력 4 7 3 2 4" xfId="29035" xr:uid="{00000000-0005-0000-0000-0000FE590000}"/>
    <cellStyle name="입력 4 7 3 2 5" xfId="21691" xr:uid="{00000000-0005-0000-0000-0000FF590000}"/>
    <cellStyle name="입력 4 7 3 3" xfId="17006" xr:uid="{00000000-0005-0000-0000-0000005A0000}"/>
    <cellStyle name="입력 4 7 3 3 2" xfId="18395" xr:uid="{00000000-0005-0000-0000-0000015A0000}"/>
    <cellStyle name="입력 4 7 3 3 3" xfId="26474" xr:uid="{00000000-0005-0000-0000-0000025A0000}"/>
    <cellStyle name="입력 4 7 3 3 4" xfId="29588" xr:uid="{00000000-0005-0000-0000-0000035A0000}"/>
    <cellStyle name="입력 4 7 3 3 5" xfId="22244" xr:uid="{00000000-0005-0000-0000-0000045A0000}"/>
    <cellStyle name="입력 4 7 3 4" xfId="17007" xr:uid="{00000000-0005-0000-0000-0000055A0000}"/>
    <cellStyle name="입력 4 7 3 4 2" xfId="19957" xr:uid="{00000000-0005-0000-0000-0000065A0000}"/>
    <cellStyle name="입력 4 7 3 4 3" xfId="26950" xr:uid="{00000000-0005-0000-0000-0000075A0000}"/>
    <cellStyle name="입력 4 7 3 4 4" xfId="30064" xr:uid="{00000000-0005-0000-0000-0000085A0000}"/>
    <cellStyle name="입력 4 7 3 4 5" xfId="22720" xr:uid="{00000000-0005-0000-0000-0000095A0000}"/>
    <cellStyle name="입력 4 7 3 5" xfId="23129" xr:uid="{00000000-0005-0000-0000-00000A5A0000}"/>
    <cellStyle name="입력 4 7 3 5 2" xfId="19222" xr:uid="{00000000-0005-0000-0000-00000B5A0000}"/>
    <cellStyle name="입력 4 7 3 5 3" xfId="27359" xr:uid="{00000000-0005-0000-0000-00000C5A0000}"/>
    <cellStyle name="입력 4 7 3 5 4" xfId="30473" xr:uid="{00000000-0005-0000-0000-00000D5A0000}"/>
    <cellStyle name="입력 4 7 3 6" xfId="23530" xr:uid="{00000000-0005-0000-0000-00000E5A0000}"/>
    <cellStyle name="입력 4 7 3 6 2" xfId="18192" xr:uid="{00000000-0005-0000-0000-00000F5A0000}"/>
    <cellStyle name="입력 4 7 3 6 3" xfId="27760" xr:uid="{00000000-0005-0000-0000-0000105A0000}"/>
    <cellStyle name="입력 4 7 3 6 4" xfId="30874" xr:uid="{00000000-0005-0000-0000-0000115A0000}"/>
    <cellStyle name="입력 4 7 3 7" xfId="20661" xr:uid="{00000000-0005-0000-0000-0000125A0000}"/>
    <cellStyle name="입력 4 7 3 8" xfId="18966" xr:uid="{00000000-0005-0000-0000-0000135A0000}"/>
    <cellStyle name="입력 4 7 3 9" xfId="24909" xr:uid="{00000000-0005-0000-0000-0000145A0000}"/>
    <cellStyle name="입력 4 7 4" xfId="17617" xr:uid="{00000000-0005-0000-0000-0000155A0000}"/>
    <cellStyle name="입력 4 7 4 2" xfId="22069" xr:uid="{00000000-0005-0000-0000-0000165A0000}"/>
    <cellStyle name="입력 4 7 4 2 2" xfId="23876" xr:uid="{00000000-0005-0000-0000-0000175A0000}"/>
    <cellStyle name="입력 4 7 4 2 3" xfId="26299" xr:uid="{00000000-0005-0000-0000-0000185A0000}"/>
    <cellStyle name="입력 4 7 4 2 4" xfId="29413" xr:uid="{00000000-0005-0000-0000-0000195A0000}"/>
    <cellStyle name="입력 4 7 4 3" xfId="22542" xr:uid="{00000000-0005-0000-0000-00001A5A0000}"/>
    <cellStyle name="입력 4 7 4 3 2" xfId="19796" xr:uid="{00000000-0005-0000-0000-00001B5A0000}"/>
    <cellStyle name="입력 4 7 4 3 3" xfId="26772" xr:uid="{00000000-0005-0000-0000-00001C5A0000}"/>
    <cellStyle name="입력 4 7 4 3 4" xfId="29886" xr:uid="{00000000-0005-0000-0000-00001D5A0000}"/>
    <cellStyle name="입력 4 7 4 4" xfId="22987" xr:uid="{00000000-0005-0000-0000-00001E5A0000}"/>
    <cellStyle name="입력 4 7 4 4 2" xfId="20206" xr:uid="{00000000-0005-0000-0000-00001F5A0000}"/>
    <cellStyle name="입력 4 7 4 4 3" xfId="27217" xr:uid="{00000000-0005-0000-0000-0000205A0000}"/>
    <cellStyle name="입력 4 7 4 4 4" xfId="30331" xr:uid="{00000000-0005-0000-0000-0000215A0000}"/>
    <cellStyle name="입력 4 7 4 5" xfId="23360" xr:uid="{00000000-0005-0000-0000-0000225A0000}"/>
    <cellStyle name="입력 4 7 4 5 2" xfId="20397" xr:uid="{00000000-0005-0000-0000-0000235A0000}"/>
    <cellStyle name="입력 4 7 4 5 3" xfId="27590" xr:uid="{00000000-0005-0000-0000-0000245A0000}"/>
    <cellStyle name="입력 4 7 4 5 4" xfId="30704" xr:uid="{00000000-0005-0000-0000-0000255A0000}"/>
    <cellStyle name="입력 4 7 4 6" xfId="24393" xr:uid="{00000000-0005-0000-0000-0000265A0000}"/>
    <cellStyle name="입력 4 7 4 7" xfId="25748" xr:uid="{00000000-0005-0000-0000-0000275A0000}"/>
    <cellStyle name="입력 4 7 4 8" xfId="28865" xr:uid="{00000000-0005-0000-0000-0000285A0000}"/>
    <cellStyle name="입력 4 7 5" xfId="18044" xr:uid="{00000000-0005-0000-0000-0000295A0000}"/>
    <cellStyle name="입력 4 7 5 2" xfId="20941" xr:uid="{00000000-0005-0000-0000-00002A5A0000}"/>
    <cellStyle name="입력 4 7 5 3" xfId="24166" xr:uid="{00000000-0005-0000-0000-00002B5A0000}"/>
    <cellStyle name="입력 4 7 5 4" xfId="25192" xr:uid="{00000000-0005-0000-0000-00002C5A0000}"/>
    <cellStyle name="입력 4 7 5 5" xfId="28316" xr:uid="{00000000-0005-0000-0000-00002D5A0000}"/>
    <cellStyle name="입력 4 7 6" xfId="18791" xr:uid="{00000000-0005-0000-0000-00002E5A0000}"/>
    <cellStyle name="입력 4 7 7" xfId="18521" xr:uid="{00000000-0005-0000-0000-00002F5A0000}"/>
    <cellStyle name="입력 4 7 8" xfId="24247" xr:uid="{00000000-0005-0000-0000-0000305A0000}"/>
    <cellStyle name="입력 4 7 9" xfId="17293" xr:uid="{00000000-0005-0000-0000-0000315A0000}"/>
    <cellStyle name="입력 4 8" xfId="14797" xr:uid="{00000000-0005-0000-0000-0000325A0000}"/>
    <cellStyle name="입력 4 8 10" xfId="25013" xr:uid="{00000000-0005-0000-0000-0000335A0000}"/>
    <cellStyle name="입력 4 8 11" xfId="28137" xr:uid="{00000000-0005-0000-0000-0000345A0000}"/>
    <cellStyle name="입력 4 8 12" xfId="31113" xr:uid="{00000000-0005-0000-0000-0000355A0000}"/>
    <cellStyle name="입력 4 8 13" xfId="17455" xr:uid="{00000000-0005-0000-0000-0000365A0000}"/>
    <cellStyle name="입력 4 8 2" xfId="18045" xr:uid="{00000000-0005-0000-0000-0000375A0000}"/>
    <cellStyle name="입력 4 8 2 2" xfId="22348" xr:uid="{00000000-0005-0000-0000-0000385A0000}"/>
    <cellStyle name="입력 4 8 2 2 2" xfId="19615" xr:uid="{00000000-0005-0000-0000-0000395A0000}"/>
    <cellStyle name="입력 4 8 2 2 3" xfId="26578" xr:uid="{00000000-0005-0000-0000-00003A5A0000}"/>
    <cellStyle name="입력 4 8 2 2 4" xfId="29692" xr:uid="{00000000-0005-0000-0000-00003B5A0000}"/>
    <cellStyle name="입력 4 8 2 3" xfId="22824" xr:uid="{00000000-0005-0000-0000-00003C5A0000}"/>
    <cellStyle name="입력 4 8 2 3 2" xfId="20053" xr:uid="{00000000-0005-0000-0000-00003D5A0000}"/>
    <cellStyle name="입력 4 8 2 3 3" xfId="27054" xr:uid="{00000000-0005-0000-0000-00003E5A0000}"/>
    <cellStyle name="입력 4 8 2 3 4" xfId="30168" xr:uid="{00000000-0005-0000-0000-00003F5A0000}"/>
    <cellStyle name="입력 4 8 2 4" xfId="23207" xr:uid="{00000000-0005-0000-0000-0000405A0000}"/>
    <cellStyle name="입력 4 8 2 4 2" xfId="20280" xr:uid="{00000000-0005-0000-0000-0000415A0000}"/>
    <cellStyle name="입력 4 8 2 4 3" xfId="27437" xr:uid="{00000000-0005-0000-0000-0000425A0000}"/>
    <cellStyle name="입력 4 8 2 4 4" xfId="30551" xr:uid="{00000000-0005-0000-0000-0000435A0000}"/>
    <cellStyle name="입력 4 8 2 5" xfId="23634" xr:uid="{00000000-0005-0000-0000-0000445A0000}"/>
    <cellStyle name="입력 4 8 2 5 2" xfId="18289" xr:uid="{00000000-0005-0000-0000-0000455A0000}"/>
    <cellStyle name="입력 4 8 2 5 3" xfId="27864" xr:uid="{00000000-0005-0000-0000-0000465A0000}"/>
    <cellStyle name="입력 4 8 2 5 4" xfId="30978" xr:uid="{00000000-0005-0000-0000-0000475A0000}"/>
    <cellStyle name="입력 4 8 2 6" xfId="21795" xr:uid="{00000000-0005-0000-0000-0000485A0000}"/>
    <cellStyle name="입력 4 8 2 7" xfId="24211" xr:uid="{00000000-0005-0000-0000-0000495A0000}"/>
    <cellStyle name="입력 4 8 2 8" xfId="26025" xr:uid="{00000000-0005-0000-0000-00004A5A0000}"/>
    <cellStyle name="입력 4 8 2 9" xfId="29139" xr:uid="{00000000-0005-0000-0000-00004B5A0000}"/>
    <cellStyle name="입력 4 8 3" xfId="18046" xr:uid="{00000000-0005-0000-0000-00004C5A0000}"/>
    <cellStyle name="입력 4 8 3 2" xfId="21393" xr:uid="{00000000-0005-0000-0000-00004D5A0000}"/>
    <cellStyle name="입력 4 8 3 3" xfId="19458" xr:uid="{00000000-0005-0000-0000-00004E5A0000}"/>
    <cellStyle name="입력 4 8 3 4" xfId="25580" xr:uid="{00000000-0005-0000-0000-00004F5A0000}"/>
    <cellStyle name="입력 4 8 3 5" xfId="28697" xr:uid="{00000000-0005-0000-0000-0000505A0000}"/>
    <cellStyle name="입력 4 8 4" xfId="21901" xr:uid="{00000000-0005-0000-0000-0000515A0000}"/>
    <cellStyle name="입력 4 8 4 2" xfId="23883" xr:uid="{00000000-0005-0000-0000-0000525A0000}"/>
    <cellStyle name="입력 4 8 4 3" xfId="26131" xr:uid="{00000000-0005-0000-0000-0000535A0000}"/>
    <cellStyle name="입력 4 8 4 4" xfId="29245" xr:uid="{00000000-0005-0000-0000-0000545A0000}"/>
    <cellStyle name="입력 4 8 5" xfId="20809" xr:uid="{00000000-0005-0000-0000-0000555A0000}"/>
    <cellStyle name="입력 4 8 5 2" xfId="19112" xr:uid="{00000000-0005-0000-0000-0000565A0000}"/>
    <cellStyle name="입력 4 8 5 3" xfId="25057" xr:uid="{00000000-0005-0000-0000-0000575A0000}"/>
    <cellStyle name="입력 4 8 5 4" xfId="28181" xr:uid="{00000000-0005-0000-0000-0000585A0000}"/>
    <cellStyle name="입력 4 8 6" xfId="21845" xr:uid="{00000000-0005-0000-0000-0000595A0000}"/>
    <cellStyle name="입력 4 8 6 2" xfId="24712" xr:uid="{00000000-0005-0000-0000-00005A5A0000}"/>
    <cellStyle name="입력 4 8 6 3" xfId="26075" xr:uid="{00000000-0005-0000-0000-00005B5A0000}"/>
    <cellStyle name="입력 4 8 6 4" xfId="29189" xr:uid="{00000000-0005-0000-0000-00005C5A0000}"/>
    <cellStyle name="입력 4 8 7" xfId="20982" xr:uid="{00000000-0005-0000-0000-00005D5A0000}"/>
    <cellStyle name="입력 4 8 7 2" xfId="21166" xr:uid="{00000000-0005-0000-0000-00005E5A0000}"/>
    <cellStyle name="입력 4 8 7 3" xfId="25230" xr:uid="{00000000-0005-0000-0000-00005F5A0000}"/>
    <cellStyle name="입력 4 8 7 4" xfId="28354" xr:uid="{00000000-0005-0000-0000-0000605A0000}"/>
    <cellStyle name="입력 4 8 8" xfId="20765" xr:uid="{00000000-0005-0000-0000-0000615A0000}"/>
    <cellStyle name="입력 4 8 9" xfId="19068" xr:uid="{00000000-0005-0000-0000-0000625A0000}"/>
    <cellStyle name="입력 4 9" xfId="15423" xr:uid="{00000000-0005-0000-0000-0000635A0000}"/>
    <cellStyle name="입력 4 9 10" xfId="28027" xr:uid="{00000000-0005-0000-0000-0000645A0000}"/>
    <cellStyle name="입력 4 9 11" xfId="17541" xr:uid="{00000000-0005-0000-0000-0000655A0000}"/>
    <cellStyle name="입력 4 9 2" xfId="15265" xr:uid="{00000000-0005-0000-0000-0000665A0000}"/>
    <cellStyle name="입력 4 9 2 2" xfId="23891" xr:uid="{00000000-0005-0000-0000-0000675A0000}"/>
    <cellStyle name="입력 4 9 2 3" xfId="25915" xr:uid="{00000000-0005-0000-0000-0000685A0000}"/>
    <cellStyle name="입력 4 9 2 4" xfId="29029" xr:uid="{00000000-0005-0000-0000-0000695A0000}"/>
    <cellStyle name="입력 4 9 2 5" xfId="21685" xr:uid="{00000000-0005-0000-0000-00006A5A0000}"/>
    <cellStyle name="입력 4 9 3" xfId="17008" xr:uid="{00000000-0005-0000-0000-00006B5A0000}"/>
    <cellStyle name="입력 4 9 3 2" xfId="18389" xr:uid="{00000000-0005-0000-0000-00006C5A0000}"/>
    <cellStyle name="입력 4 9 3 3" xfId="26468" xr:uid="{00000000-0005-0000-0000-00006D5A0000}"/>
    <cellStyle name="입력 4 9 3 4" xfId="29582" xr:uid="{00000000-0005-0000-0000-00006E5A0000}"/>
    <cellStyle name="입력 4 9 3 5" xfId="22238" xr:uid="{00000000-0005-0000-0000-00006F5A0000}"/>
    <cellStyle name="입력 4 9 4" xfId="17009" xr:uid="{00000000-0005-0000-0000-0000705A0000}"/>
    <cellStyle name="입력 4 9 4 2" xfId="19952" xr:uid="{00000000-0005-0000-0000-0000715A0000}"/>
    <cellStyle name="입력 4 9 4 3" xfId="26944" xr:uid="{00000000-0005-0000-0000-0000725A0000}"/>
    <cellStyle name="입력 4 9 4 4" xfId="30058" xr:uid="{00000000-0005-0000-0000-0000735A0000}"/>
    <cellStyle name="입력 4 9 4 5" xfId="22714" xr:uid="{00000000-0005-0000-0000-0000745A0000}"/>
    <cellStyle name="입력 4 9 5" xfId="23123" xr:uid="{00000000-0005-0000-0000-0000755A0000}"/>
    <cellStyle name="입력 4 9 5 2" xfId="19216" xr:uid="{00000000-0005-0000-0000-0000765A0000}"/>
    <cellStyle name="입력 4 9 5 3" xfId="27353" xr:uid="{00000000-0005-0000-0000-0000775A0000}"/>
    <cellStyle name="입력 4 9 5 4" xfId="30467" xr:uid="{00000000-0005-0000-0000-0000785A0000}"/>
    <cellStyle name="입력 4 9 6" xfId="23524" xr:uid="{00000000-0005-0000-0000-0000795A0000}"/>
    <cellStyle name="입력 4 9 6 2" xfId="18186" xr:uid="{00000000-0005-0000-0000-00007A5A0000}"/>
    <cellStyle name="입력 4 9 6 3" xfId="27754" xr:uid="{00000000-0005-0000-0000-00007B5A0000}"/>
    <cellStyle name="입력 4 9 6 4" xfId="30868" xr:uid="{00000000-0005-0000-0000-00007C5A0000}"/>
    <cellStyle name="입력 4 9 7" xfId="20655" xr:uid="{00000000-0005-0000-0000-00007D5A0000}"/>
    <cellStyle name="입력 4 9 8" xfId="18960" xr:uid="{00000000-0005-0000-0000-00007E5A0000}"/>
    <cellStyle name="입력 4 9 9" xfId="24903" xr:uid="{00000000-0005-0000-0000-00007F5A0000}"/>
    <cellStyle name="입력 5" xfId="12159" xr:uid="{00000000-0005-0000-0000-0000805A0000}"/>
    <cellStyle name="입력 5 10" xfId="17616" xr:uid="{00000000-0005-0000-0000-0000815A0000}"/>
    <cellStyle name="입력 5 10 2" xfId="22070" xr:uid="{00000000-0005-0000-0000-0000825A0000}"/>
    <cellStyle name="입력 5 10 2 2" xfId="23792" xr:uid="{00000000-0005-0000-0000-0000835A0000}"/>
    <cellStyle name="입력 5 10 2 3" xfId="26300" xr:uid="{00000000-0005-0000-0000-0000845A0000}"/>
    <cellStyle name="입력 5 10 2 4" xfId="29414" xr:uid="{00000000-0005-0000-0000-0000855A0000}"/>
    <cellStyle name="입력 5 10 3" xfId="22543" xr:uid="{00000000-0005-0000-0000-0000865A0000}"/>
    <cellStyle name="입력 5 10 3 2" xfId="19797" xr:uid="{00000000-0005-0000-0000-0000875A0000}"/>
    <cellStyle name="입력 5 10 3 3" xfId="26773" xr:uid="{00000000-0005-0000-0000-0000885A0000}"/>
    <cellStyle name="입력 5 10 3 4" xfId="29887" xr:uid="{00000000-0005-0000-0000-0000895A0000}"/>
    <cellStyle name="입력 5 10 4" xfId="22988" xr:uid="{00000000-0005-0000-0000-00008A5A0000}"/>
    <cellStyle name="입력 5 10 4 2" xfId="20207" xr:uid="{00000000-0005-0000-0000-00008B5A0000}"/>
    <cellStyle name="입력 5 10 4 3" xfId="27218" xr:uid="{00000000-0005-0000-0000-00008C5A0000}"/>
    <cellStyle name="입력 5 10 4 4" xfId="30332" xr:uid="{00000000-0005-0000-0000-00008D5A0000}"/>
    <cellStyle name="입력 5 10 5" xfId="23361" xr:uid="{00000000-0005-0000-0000-00008E5A0000}"/>
    <cellStyle name="입력 5 10 5 2" xfId="20398" xr:uid="{00000000-0005-0000-0000-00008F5A0000}"/>
    <cellStyle name="입력 5 10 5 3" xfId="27591" xr:uid="{00000000-0005-0000-0000-0000905A0000}"/>
    <cellStyle name="입력 5 10 5 4" xfId="30705" xr:uid="{00000000-0005-0000-0000-0000915A0000}"/>
    <cellStyle name="입력 5 10 6" xfId="24222" xr:uid="{00000000-0005-0000-0000-0000925A0000}"/>
    <cellStyle name="입력 5 10 7" xfId="25749" xr:uid="{00000000-0005-0000-0000-0000935A0000}"/>
    <cellStyle name="입력 5 10 8" xfId="28866" xr:uid="{00000000-0005-0000-0000-0000945A0000}"/>
    <cellStyle name="입력 5 11" xfId="18047" xr:uid="{00000000-0005-0000-0000-0000955A0000}"/>
    <cellStyle name="입력 5 11 2" xfId="20850" xr:uid="{00000000-0005-0000-0000-0000965A0000}"/>
    <cellStyle name="입력 5 11 3" xfId="19162" xr:uid="{00000000-0005-0000-0000-0000975A0000}"/>
    <cellStyle name="입력 5 11 4" xfId="25101" xr:uid="{00000000-0005-0000-0000-0000985A0000}"/>
    <cellStyle name="입력 5 11 5" xfId="28225" xr:uid="{00000000-0005-0000-0000-0000995A0000}"/>
    <cellStyle name="입력 5 12" xfId="18792" xr:uid="{00000000-0005-0000-0000-00009A5A0000}"/>
    <cellStyle name="입력 5 13" xfId="18520" xr:uid="{00000000-0005-0000-0000-00009B5A0000}"/>
    <cellStyle name="입력 5 14" xfId="18703" xr:uid="{00000000-0005-0000-0000-00009C5A0000}"/>
    <cellStyle name="입력 5 15" xfId="17294" xr:uid="{00000000-0005-0000-0000-00009D5A0000}"/>
    <cellStyle name="입력 5 2" xfId="12160" xr:uid="{00000000-0005-0000-0000-00009E5A0000}"/>
    <cellStyle name="입력 5 2 2" xfId="14805" xr:uid="{00000000-0005-0000-0000-00009F5A0000}"/>
    <cellStyle name="입력 5 2 2 10" xfId="25021" xr:uid="{00000000-0005-0000-0000-0000A05A0000}"/>
    <cellStyle name="입력 5 2 2 11" xfId="28145" xr:uid="{00000000-0005-0000-0000-0000A15A0000}"/>
    <cellStyle name="입력 5 2 2 12" xfId="31121" xr:uid="{00000000-0005-0000-0000-0000A25A0000}"/>
    <cellStyle name="입력 5 2 2 13" xfId="17447" xr:uid="{00000000-0005-0000-0000-0000A35A0000}"/>
    <cellStyle name="입력 5 2 2 2" xfId="18048" xr:uid="{00000000-0005-0000-0000-0000A45A0000}"/>
    <cellStyle name="입력 5 2 2 2 2" xfId="22356" xr:uid="{00000000-0005-0000-0000-0000A55A0000}"/>
    <cellStyle name="입력 5 2 2 2 2 2" xfId="19623" xr:uid="{00000000-0005-0000-0000-0000A65A0000}"/>
    <cellStyle name="입력 5 2 2 2 2 3" xfId="26586" xr:uid="{00000000-0005-0000-0000-0000A75A0000}"/>
    <cellStyle name="입력 5 2 2 2 2 4" xfId="29700" xr:uid="{00000000-0005-0000-0000-0000A85A0000}"/>
    <cellStyle name="입력 5 2 2 2 3" xfId="22832" xr:uid="{00000000-0005-0000-0000-0000A95A0000}"/>
    <cellStyle name="입력 5 2 2 2 3 2" xfId="20060" xr:uid="{00000000-0005-0000-0000-0000AA5A0000}"/>
    <cellStyle name="입력 5 2 2 2 3 3" xfId="27062" xr:uid="{00000000-0005-0000-0000-0000AB5A0000}"/>
    <cellStyle name="입력 5 2 2 2 3 4" xfId="30176" xr:uid="{00000000-0005-0000-0000-0000AC5A0000}"/>
    <cellStyle name="입력 5 2 2 2 4" xfId="23215" xr:uid="{00000000-0005-0000-0000-0000AD5A0000}"/>
    <cellStyle name="입력 5 2 2 2 4 2" xfId="20288" xr:uid="{00000000-0005-0000-0000-0000AE5A0000}"/>
    <cellStyle name="입력 5 2 2 2 4 3" xfId="27445" xr:uid="{00000000-0005-0000-0000-0000AF5A0000}"/>
    <cellStyle name="입력 5 2 2 2 4 4" xfId="30559" xr:uid="{00000000-0005-0000-0000-0000B05A0000}"/>
    <cellStyle name="입력 5 2 2 2 5" xfId="23642" xr:uid="{00000000-0005-0000-0000-0000B15A0000}"/>
    <cellStyle name="입력 5 2 2 2 5 2" xfId="18297" xr:uid="{00000000-0005-0000-0000-0000B25A0000}"/>
    <cellStyle name="입력 5 2 2 2 5 3" xfId="27872" xr:uid="{00000000-0005-0000-0000-0000B35A0000}"/>
    <cellStyle name="입력 5 2 2 2 5 4" xfId="30986" xr:uid="{00000000-0005-0000-0000-0000B45A0000}"/>
    <cellStyle name="입력 5 2 2 2 6" xfId="21803" xr:uid="{00000000-0005-0000-0000-0000B55A0000}"/>
    <cellStyle name="입력 5 2 2 2 7" xfId="19343" xr:uid="{00000000-0005-0000-0000-0000B65A0000}"/>
    <cellStyle name="입력 5 2 2 2 8" xfId="26033" xr:uid="{00000000-0005-0000-0000-0000B75A0000}"/>
    <cellStyle name="입력 5 2 2 2 9" xfId="29147" xr:uid="{00000000-0005-0000-0000-0000B85A0000}"/>
    <cellStyle name="입력 5 2 2 3" xfId="18049" xr:uid="{00000000-0005-0000-0000-0000B95A0000}"/>
    <cellStyle name="입력 5 2 2 3 2" xfId="21401" xr:uid="{00000000-0005-0000-0000-0000BA5A0000}"/>
    <cellStyle name="입력 5 2 2 3 3" xfId="23738" xr:uid="{00000000-0005-0000-0000-0000BB5A0000}"/>
    <cellStyle name="입력 5 2 2 3 4" xfId="25588" xr:uid="{00000000-0005-0000-0000-0000BC5A0000}"/>
    <cellStyle name="입력 5 2 2 3 5" xfId="28705" xr:uid="{00000000-0005-0000-0000-0000BD5A0000}"/>
    <cellStyle name="입력 5 2 2 4" xfId="21909" xr:uid="{00000000-0005-0000-0000-0000BE5A0000}"/>
    <cellStyle name="입력 5 2 2 4 2" xfId="19310" xr:uid="{00000000-0005-0000-0000-0000BF5A0000}"/>
    <cellStyle name="입력 5 2 2 4 3" xfId="26139" xr:uid="{00000000-0005-0000-0000-0000C05A0000}"/>
    <cellStyle name="입력 5 2 2 4 4" xfId="29253" xr:uid="{00000000-0005-0000-0000-0000C15A0000}"/>
    <cellStyle name="입력 5 2 2 5" xfId="20811" xr:uid="{00000000-0005-0000-0000-0000C25A0000}"/>
    <cellStyle name="입력 5 2 2 5 2" xfId="19114" xr:uid="{00000000-0005-0000-0000-0000C35A0000}"/>
    <cellStyle name="입력 5 2 2 5 3" xfId="25059" xr:uid="{00000000-0005-0000-0000-0000C45A0000}"/>
    <cellStyle name="입력 5 2 2 5 4" xfId="28183" xr:uid="{00000000-0005-0000-0000-0000C55A0000}"/>
    <cellStyle name="입력 5 2 2 6" xfId="21849" xr:uid="{00000000-0005-0000-0000-0000C65A0000}"/>
    <cellStyle name="입력 5 2 2 6 2" xfId="24097" xr:uid="{00000000-0005-0000-0000-0000C75A0000}"/>
    <cellStyle name="입력 5 2 2 6 3" xfId="26079" xr:uid="{00000000-0005-0000-0000-0000C85A0000}"/>
    <cellStyle name="입력 5 2 2 6 4" xfId="29193" xr:uid="{00000000-0005-0000-0000-0000C95A0000}"/>
    <cellStyle name="입력 5 2 2 7" xfId="21071" xr:uid="{00000000-0005-0000-0000-0000CA5A0000}"/>
    <cellStyle name="입력 5 2 2 7 2" xfId="24425" xr:uid="{00000000-0005-0000-0000-0000CB5A0000}"/>
    <cellStyle name="입력 5 2 2 7 3" xfId="25316" xr:uid="{00000000-0005-0000-0000-0000CC5A0000}"/>
    <cellStyle name="입력 5 2 2 7 4" xfId="28440" xr:uid="{00000000-0005-0000-0000-0000CD5A0000}"/>
    <cellStyle name="입력 5 2 2 8" xfId="20773" xr:uid="{00000000-0005-0000-0000-0000CE5A0000}"/>
    <cellStyle name="입력 5 2 2 9" xfId="19076" xr:uid="{00000000-0005-0000-0000-0000CF5A0000}"/>
    <cellStyle name="입력 5 2 3" xfId="15431" xr:uid="{00000000-0005-0000-0000-0000D05A0000}"/>
    <cellStyle name="입력 5 2 3 10" xfId="28035" xr:uid="{00000000-0005-0000-0000-0000D15A0000}"/>
    <cellStyle name="입력 5 2 3 11" xfId="17533" xr:uid="{00000000-0005-0000-0000-0000D25A0000}"/>
    <cellStyle name="입력 5 2 3 2" xfId="15259" xr:uid="{00000000-0005-0000-0000-0000D35A0000}"/>
    <cellStyle name="입력 5 2 3 2 2" xfId="19301" xr:uid="{00000000-0005-0000-0000-0000D45A0000}"/>
    <cellStyle name="입력 5 2 3 2 3" xfId="25923" xr:uid="{00000000-0005-0000-0000-0000D55A0000}"/>
    <cellStyle name="입력 5 2 3 2 4" xfId="29037" xr:uid="{00000000-0005-0000-0000-0000D65A0000}"/>
    <cellStyle name="입력 5 2 3 2 5" xfId="21693" xr:uid="{00000000-0005-0000-0000-0000D75A0000}"/>
    <cellStyle name="입력 5 2 3 3" xfId="17010" xr:uid="{00000000-0005-0000-0000-0000D85A0000}"/>
    <cellStyle name="입력 5 2 3 3 2" xfId="18397" xr:uid="{00000000-0005-0000-0000-0000D95A0000}"/>
    <cellStyle name="입력 5 2 3 3 3" xfId="26476" xr:uid="{00000000-0005-0000-0000-0000DA5A0000}"/>
    <cellStyle name="입력 5 2 3 3 4" xfId="29590" xr:uid="{00000000-0005-0000-0000-0000DB5A0000}"/>
    <cellStyle name="입력 5 2 3 3 5" xfId="22246" xr:uid="{00000000-0005-0000-0000-0000DC5A0000}"/>
    <cellStyle name="입력 5 2 3 4" xfId="17011" xr:uid="{00000000-0005-0000-0000-0000DD5A0000}"/>
    <cellStyle name="입력 5 2 3 4 2" xfId="19959" xr:uid="{00000000-0005-0000-0000-0000DE5A0000}"/>
    <cellStyle name="입력 5 2 3 4 3" xfId="26952" xr:uid="{00000000-0005-0000-0000-0000DF5A0000}"/>
    <cellStyle name="입력 5 2 3 4 4" xfId="30066" xr:uid="{00000000-0005-0000-0000-0000E05A0000}"/>
    <cellStyle name="입력 5 2 3 4 5" xfId="22722" xr:uid="{00000000-0005-0000-0000-0000E15A0000}"/>
    <cellStyle name="입력 5 2 3 5" xfId="23131" xr:uid="{00000000-0005-0000-0000-0000E25A0000}"/>
    <cellStyle name="입력 5 2 3 5 2" xfId="19224" xr:uid="{00000000-0005-0000-0000-0000E35A0000}"/>
    <cellStyle name="입력 5 2 3 5 3" xfId="27361" xr:uid="{00000000-0005-0000-0000-0000E45A0000}"/>
    <cellStyle name="입력 5 2 3 5 4" xfId="30475" xr:uid="{00000000-0005-0000-0000-0000E55A0000}"/>
    <cellStyle name="입력 5 2 3 6" xfId="23532" xr:uid="{00000000-0005-0000-0000-0000E65A0000}"/>
    <cellStyle name="입력 5 2 3 6 2" xfId="18194" xr:uid="{00000000-0005-0000-0000-0000E75A0000}"/>
    <cellStyle name="입력 5 2 3 6 3" xfId="27762" xr:uid="{00000000-0005-0000-0000-0000E85A0000}"/>
    <cellStyle name="입력 5 2 3 6 4" xfId="30876" xr:uid="{00000000-0005-0000-0000-0000E95A0000}"/>
    <cellStyle name="입력 5 2 3 7" xfId="20663" xr:uid="{00000000-0005-0000-0000-0000EA5A0000}"/>
    <cellStyle name="입력 5 2 3 8" xfId="18968" xr:uid="{00000000-0005-0000-0000-0000EB5A0000}"/>
    <cellStyle name="입력 5 2 3 9" xfId="24911" xr:uid="{00000000-0005-0000-0000-0000EC5A0000}"/>
    <cellStyle name="입력 5 2 4" xfId="17615" xr:uid="{00000000-0005-0000-0000-0000ED5A0000}"/>
    <cellStyle name="입력 5 2 4 2" xfId="22071" xr:uid="{00000000-0005-0000-0000-0000EE5A0000}"/>
    <cellStyle name="입력 5 2 4 2 2" xfId="23924" xr:uid="{00000000-0005-0000-0000-0000EF5A0000}"/>
    <cellStyle name="입력 5 2 4 2 3" xfId="26301" xr:uid="{00000000-0005-0000-0000-0000F05A0000}"/>
    <cellStyle name="입력 5 2 4 2 4" xfId="29415" xr:uid="{00000000-0005-0000-0000-0000F15A0000}"/>
    <cellStyle name="입력 5 2 4 3" xfId="22544" xr:uid="{00000000-0005-0000-0000-0000F25A0000}"/>
    <cellStyle name="입력 5 2 4 3 2" xfId="19798" xr:uid="{00000000-0005-0000-0000-0000F35A0000}"/>
    <cellStyle name="입력 5 2 4 3 3" xfId="26774" xr:uid="{00000000-0005-0000-0000-0000F45A0000}"/>
    <cellStyle name="입력 5 2 4 3 4" xfId="29888" xr:uid="{00000000-0005-0000-0000-0000F55A0000}"/>
    <cellStyle name="입력 5 2 4 4" xfId="22989" xr:uid="{00000000-0005-0000-0000-0000F65A0000}"/>
    <cellStyle name="입력 5 2 4 4 2" xfId="20208" xr:uid="{00000000-0005-0000-0000-0000F75A0000}"/>
    <cellStyle name="입력 5 2 4 4 3" xfId="27219" xr:uid="{00000000-0005-0000-0000-0000F85A0000}"/>
    <cellStyle name="입력 5 2 4 4 4" xfId="30333" xr:uid="{00000000-0005-0000-0000-0000F95A0000}"/>
    <cellStyle name="입력 5 2 4 5" xfId="23362" xr:uid="{00000000-0005-0000-0000-0000FA5A0000}"/>
    <cellStyle name="입력 5 2 4 5 2" xfId="20399" xr:uid="{00000000-0005-0000-0000-0000FB5A0000}"/>
    <cellStyle name="입력 5 2 4 5 3" xfId="27592" xr:uid="{00000000-0005-0000-0000-0000FC5A0000}"/>
    <cellStyle name="입력 5 2 4 5 4" xfId="30706" xr:uid="{00000000-0005-0000-0000-0000FD5A0000}"/>
    <cellStyle name="입력 5 2 4 6" xfId="24014" xr:uid="{00000000-0005-0000-0000-0000FE5A0000}"/>
    <cellStyle name="입력 5 2 4 7" xfId="25750" xr:uid="{00000000-0005-0000-0000-0000FF5A0000}"/>
    <cellStyle name="입력 5 2 4 8" xfId="28867" xr:uid="{00000000-0005-0000-0000-0000005B0000}"/>
    <cellStyle name="입력 5 2 5" xfId="18050" xr:uid="{00000000-0005-0000-0000-0000015B0000}"/>
    <cellStyle name="입력 5 2 5 2" xfId="20942" xr:uid="{00000000-0005-0000-0000-0000025B0000}"/>
    <cellStyle name="입력 5 2 5 3" xfId="23695" xr:uid="{00000000-0005-0000-0000-0000035B0000}"/>
    <cellStyle name="입력 5 2 5 4" xfId="25193" xr:uid="{00000000-0005-0000-0000-0000045B0000}"/>
    <cellStyle name="입력 5 2 5 5" xfId="28317" xr:uid="{00000000-0005-0000-0000-0000055B0000}"/>
    <cellStyle name="입력 5 2 6" xfId="18793" xr:uid="{00000000-0005-0000-0000-0000065B0000}"/>
    <cellStyle name="입력 5 2 7" xfId="18519" xr:uid="{00000000-0005-0000-0000-0000075B0000}"/>
    <cellStyle name="입력 5 2 8" xfId="18704" xr:uid="{00000000-0005-0000-0000-0000085B0000}"/>
    <cellStyle name="입력 5 2 9" xfId="17295" xr:uid="{00000000-0005-0000-0000-0000095B0000}"/>
    <cellStyle name="입력 5 3" xfId="12161" xr:uid="{00000000-0005-0000-0000-00000A5B0000}"/>
    <cellStyle name="입력 5 3 2" xfId="14806" xr:uid="{00000000-0005-0000-0000-00000B5B0000}"/>
    <cellStyle name="입력 5 3 2 10" xfId="25022" xr:uid="{00000000-0005-0000-0000-00000C5B0000}"/>
    <cellStyle name="입력 5 3 2 11" xfId="28146" xr:uid="{00000000-0005-0000-0000-00000D5B0000}"/>
    <cellStyle name="입력 5 3 2 12" xfId="31122" xr:uid="{00000000-0005-0000-0000-00000E5B0000}"/>
    <cellStyle name="입력 5 3 2 13" xfId="17446" xr:uid="{00000000-0005-0000-0000-00000F5B0000}"/>
    <cellStyle name="입력 5 3 2 2" xfId="18051" xr:uid="{00000000-0005-0000-0000-0000105B0000}"/>
    <cellStyle name="입력 5 3 2 2 2" xfId="22357" xr:uid="{00000000-0005-0000-0000-0000115B0000}"/>
    <cellStyle name="입력 5 3 2 2 2 2" xfId="23920" xr:uid="{00000000-0005-0000-0000-0000125B0000}"/>
    <cellStyle name="입력 5 3 2 2 2 3" xfId="26587" xr:uid="{00000000-0005-0000-0000-0000135B0000}"/>
    <cellStyle name="입력 5 3 2 2 2 4" xfId="29701" xr:uid="{00000000-0005-0000-0000-0000145B0000}"/>
    <cellStyle name="입력 5 3 2 2 3" xfId="22833" xr:uid="{00000000-0005-0000-0000-0000155B0000}"/>
    <cellStyle name="입력 5 3 2 2 3 2" xfId="20061" xr:uid="{00000000-0005-0000-0000-0000165B0000}"/>
    <cellStyle name="입력 5 3 2 2 3 3" xfId="27063" xr:uid="{00000000-0005-0000-0000-0000175B0000}"/>
    <cellStyle name="입력 5 3 2 2 3 4" xfId="30177" xr:uid="{00000000-0005-0000-0000-0000185B0000}"/>
    <cellStyle name="입력 5 3 2 2 4" xfId="23216" xr:uid="{00000000-0005-0000-0000-0000195B0000}"/>
    <cellStyle name="입력 5 3 2 2 4 2" xfId="20289" xr:uid="{00000000-0005-0000-0000-00001A5B0000}"/>
    <cellStyle name="입력 5 3 2 2 4 3" xfId="27446" xr:uid="{00000000-0005-0000-0000-00001B5B0000}"/>
    <cellStyle name="입력 5 3 2 2 4 4" xfId="30560" xr:uid="{00000000-0005-0000-0000-00001C5B0000}"/>
    <cellStyle name="입력 5 3 2 2 5" xfId="23643" xr:uid="{00000000-0005-0000-0000-00001D5B0000}"/>
    <cellStyle name="입력 5 3 2 2 5 2" xfId="18298" xr:uid="{00000000-0005-0000-0000-00001E5B0000}"/>
    <cellStyle name="입력 5 3 2 2 5 3" xfId="27873" xr:uid="{00000000-0005-0000-0000-00001F5B0000}"/>
    <cellStyle name="입력 5 3 2 2 5 4" xfId="30987" xr:uid="{00000000-0005-0000-0000-0000205B0000}"/>
    <cellStyle name="입력 5 3 2 2 6" xfId="21804" xr:uid="{00000000-0005-0000-0000-0000215B0000}"/>
    <cellStyle name="입력 5 3 2 2 7" xfId="23856" xr:uid="{00000000-0005-0000-0000-0000225B0000}"/>
    <cellStyle name="입력 5 3 2 2 8" xfId="26034" xr:uid="{00000000-0005-0000-0000-0000235B0000}"/>
    <cellStyle name="입력 5 3 2 2 9" xfId="29148" xr:uid="{00000000-0005-0000-0000-0000245B0000}"/>
    <cellStyle name="입력 5 3 2 3" xfId="18052" xr:uid="{00000000-0005-0000-0000-0000255B0000}"/>
    <cellStyle name="입력 5 3 2 3 2" xfId="21402" xr:uid="{00000000-0005-0000-0000-0000265B0000}"/>
    <cellStyle name="입력 5 3 2 3 3" xfId="19466" xr:uid="{00000000-0005-0000-0000-0000275B0000}"/>
    <cellStyle name="입력 5 3 2 3 4" xfId="25589" xr:uid="{00000000-0005-0000-0000-0000285B0000}"/>
    <cellStyle name="입력 5 3 2 3 5" xfId="28706" xr:uid="{00000000-0005-0000-0000-0000295B0000}"/>
    <cellStyle name="입력 5 3 2 4" xfId="21910" xr:uid="{00000000-0005-0000-0000-00002A5B0000}"/>
    <cellStyle name="입력 5 3 2 4 2" xfId="19551" xr:uid="{00000000-0005-0000-0000-00002B5B0000}"/>
    <cellStyle name="입력 5 3 2 4 3" xfId="26140" xr:uid="{00000000-0005-0000-0000-00002C5B0000}"/>
    <cellStyle name="입력 5 3 2 4 4" xfId="29254" xr:uid="{00000000-0005-0000-0000-00002D5B0000}"/>
    <cellStyle name="입력 5 3 2 5" xfId="20821" xr:uid="{00000000-0005-0000-0000-00002E5B0000}"/>
    <cellStyle name="입력 5 3 2 5 2" xfId="19127" xr:uid="{00000000-0005-0000-0000-00002F5B0000}"/>
    <cellStyle name="입력 5 3 2 5 3" xfId="25072" xr:uid="{00000000-0005-0000-0000-0000305B0000}"/>
    <cellStyle name="입력 5 3 2 5 4" xfId="28196" xr:uid="{00000000-0005-0000-0000-0000315B0000}"/>
    <cellStyle name="입력 5 3 2 6" xfId="21850" xr:uid="{00000000-0005-0000-0000-0000325B0000}"/>
    <cellStyle name="입력 5 3 2 6 2" xfId="19339" xr:uid="{00000000-0005-0000-0000-0000335B0000}"/>
    <cellStyle name="입력 5 3 2 6 3" xfId="26080" xr:uid="{00000000-0005-0000-0000-0000345B0000}"/>
    <cellStyle name="입력 5 3 2 6 4" xfId="29194" xr:uid="{00000000-0005-0000-0000-0000355B0000}"/>
    <cellStyle name="입력 5 3 2 7" xfId="21043" xr:uid="{00000000-0005-0000-0000-0000365B0000}"/>
    <cellStyle name="입력 5 3 2 7 2" xfId="24624" xr:uid="{00000000-0005-0000-0000-0000375B0000}"/>
    <cellStyle name="입력 5 3 2 7 3" xfId="25288" xr:uid="{00000000-0005-0000-0000-0000385B0000}"/>
    <cellStyle name="입력 5 3 2 7 4" xfId="28412" xr:uid="{00000000-0005-0000-0000-0000395B0000}"/>
    <cellStyle name="입력 5 3 2 8" xfId="20774" xr:uid="{00000000-0005-0000-0000-00003A5B0000}"/>
    <cellStyle name="입력 5 3 2 9" xfId="19077" xr:uid="{00000000-0005-0000-0000-00003B5B0000}"/>
    <cellStyle name="입력 5 3 3" xfId="15432" xr:uid="{00000000-0005-0000-0000-00003C5B0000}"/>
    <cellStyle name="입력 5 3 3 10" xfId="28036" xr:uid="{00000000-0005-0000-0000-00003D5B0000}"/>
    <cellStyle name="입력 5 3 3 11" xfId="17532" xr:uid="{00000000-0005-0000-0000-00003E5B0000}"/>
    <cellStyle name="입력 5 3 3 2" xfId="15258" xr:uid="{00000000-0005-0000-0000-00003F5B0000}"/>
    <cellStyle name="입력 5 3 3 2 2" xfId="19542" xr:uid="{00000000-0005-0000-0000-0000405B0000}"/>
    <cellStyle name="입력 5 3 3 2 3" xfId="25924" xr:uid="{00000000-0005-0000-0000-0000415B0000}"/>
    <cellStyle name="입력 5 3 3 2 4" xfId="29038" xr:uid="{00000000-0005-0000-0000-0000425B0000}"/>
    <cellStyle name="입력 5 3 3 2 5" xfId="21694" xr:uid="{00000000-0005-0000-0000-0000435B0000}"/>
    <cellStyle name="입력 5 3 3 3" xfId="17012" xr:uid="{00000000-0005-0000-0000-0000445B0000}"/>
    <cellStyle name="입력 5 3 3 3 2" xfId="18398" xr:uid="{00000000-0005-0000-0000-0000455B0000}"/>
    <cellStyle name="입력 5 3 3 3 3" xfId="26477" xr:uid="{00000000-0005-0000-0000-0000465B0000}"/>
    <cellStyle name="입력 5 3 3 3 4" xfId="29591" xr:uid="{00000000-0005-0000-0000-0000475B0000}"/>
    <cellStyle name="입력 5 3 3 3 5" xfId="22247" xr:uid="{00000000-0005-0000-0000-0000485B0000}"/>
    <cellStyle name="입력 5 3 3 4" xfId="17013" xr:uid="{00000000-0005-0000-0000-0000495B0000}"/>
    <cellStyle name="입력 5 3 3 4 2" xfId="19960" xr:uid="{00000000-0005-0000-0000-00004A5B0000}"/>
    <cellStyle name="입력 5 3 3 4 3" xfId="26953" xr:uid="{00000000-0005-0000-0000-00004B5B0000}"/>
    <cellStyle name="입력 5 3 3 4 4" xfId="30067" xr:uid="{00000000-0005-0000-0000-00004C5B0000}"/>
    <cellStyle name="입력 5 3 3 4 5" xfId="22723" xr:uid="{00000000-0005-0000-0000-00004D5B0000}"/>
    <cellStyle name="입력 5 3 3 5" xfId="23132" xr:uid="{00000000-0005-0000-0000-00004E5B0000}"/>
    <cellStyle name="입력 5 3 3 5 2" xfId="19225" xr:uid="{00000000-0005-0000-0000-00004F5B0000}"/>
    <cellStyle name="입력 5 3 3 5 3" xfId="27362" xr:uid="{00000000-0005-0000-0000-0000505B0000}"/>
    <cellStyle name="입력 5 3 3 5 4" xfId="30476" xr:uid="{00000000-0005-0000-0000-0000515B0000}"/>
    <cellStyle name="입력 5 3 3 6" xfId="23533" xr:uid="{00000000-0005-0000-0000-0000525B0000}"/>
    <cellStyle name="입력 5 3 3 6 2" xfId="18195" xr:uid="{00000000-0005-0000-0000-0000535B0000}"/>
    <cellStyle name="입력 5 3 3 6 3" xfId="27763" xr:uid="{00000000-0005-0000-0000-0000545B0000}"/>
    <cellStyle name="입력 5 3 3 6 4" xfId="30877" xr:uid="{00000000-0005-0000-0000-0000555B0000}"/>
    <cellStyle name="입력 5 3 3 7" xfId="20664" xr:uid="{00000000-0005-0000-0000-0000565B0000}"/>
    <cellStyle name="입력 5 3 3 8" xfId="18969" xr:uid="{00000000-0005-0000-0000-0000575B0000}"/>
    <cellStyle name="입력 5 3 3 9" xfId="24912" xr:uid="{00000000-0005-0000-0000-0000585B0000}"/>
    <cellStyle name="입력 5 3 4" xfId="17412" xr:uid="{00000000-0005-0000-0000-0000595B0000}"/>
    <cellStyle name="입력 5 3 4 2" xfId="22072" xr:uid="{00000000-0005-0000-0000-00005A5B0000}"/>
    <cellStyle name="입력 5 3 4 2 2" xfId="24735" xr:uid="{00000000-0005-0000-0000-00005B5B0000}"/>
    <cellStyle name="입력 5 3 4 2 3" xfId="26302" xr:uid="{00000000-0005-0000-0000-00005C5B0000}"/>
    <cellStyle name="입력 5 3 4 2 4" xfId="29416" xr:uid="{00000000-0005-0000-0000-00005D5B0000}"/>
    <cellStyle name="입력 5 3 4 3" xfId="22545" xr:uid="{00000000-0005-0000-0000-00005E5B0000}"/>
    <cellStyle name="입력 5 3 4 3 2" xfId="19799" xr:uid="{00000000-0005-0000-0000-00005F5B0000}"/>
    <cellStyle name="입력 5 3 4 3 3" xfId="26775" xr:uid="{00000000-0005-0000-0000-0000605B0000}"/>
    <cellStyle name="입력 5 3 4 3 4" xfId="29889" xr:uid="{00000000-0005-0000-0000-0000615B0000}"/>
    <cellStyle name="입력 5 3 4 4" xfId="22990" xr:uid="{00000000-0005-0000-0000-0000625B0000}"/>
    <cellStyle name="입력 5 3 4 4 2" xfId="20209" xr:uid="{00000000-0005-0000-0000-0000635B0000}"/>
    <cellStyle name="입력 5 3 4 4 3" xfId="27220" xr:uid="{00000000-0005-0000-0000-0000645B0000}"/>
    <cellStyle name="입력 5 3 4 4 4" xfId="30334" xr:uid="{00000000-0005-0000-0000-0000655B0000}"/>
    <cellStyle name="입력 5 3 4 5" xfId="23363" xr:uid="{00000000-0005-0000-0000-0000665B0000}"/>
    <cellStyle name="입력 5 3 4 5 2" xfId="20400" xr:uid="{00000000-0005-0000-0000-0000675B0000}"/>
    <cellStyle name="입력 5 3 4 5 3" xfId="27593" xr:uid="{00000000-0005-0000-0000-0000685B0000}"/>
    <cellStyle name="입력 5 3 4 5 4" xfId="30707" xr:uid="{00000000-0005-0000-0000-0000695B0000}"/>
    <cellStyle name="입력 5 3 4 6" xfId="24727" xr:uid="{00000000-0005-0000-0000-00006A5B0000}"/>
    <cellStyle name="입력 5 3 4 7" xfId="25751" xr:uid="{00000000-0005-0000-0000-00006B5B0000}"/>
    <cellStyle name="입력 5 3 4 8" xfId="28868" xr:uid="{00000000-0005-0000-0000-00006C5B0000}"/>
    <cellStyle name="입력 5 3 5" xfId="18053" xr:uid="{00000000-0005-0000-0000-00006D5B0000}"/>
    <cellStyle name="입력 5 3 5 2" xfId="20943" xr:uid="{00000000-0005-0000-0000-00006E5B0000}"/>
    <cellStyle name="입력 5 3 5 3" xfId="19401" xr:uid="{00000000-0005-0000-0000-00006F5B0000}"/>
    <cellStyle name="입력 5 3 5 4" xfId="25194" xr:uid="{00000000-0005-0000-0000-0000705B0000}"/>
    <cellStyle name="입력 5 3 5 5" xfId="28318" xr:uid="{00000000-0005-0000-0000-0000715B0000}"/>
    <cellStyle name="입력 5 3 6" xfId="18794" xr:uid="{00000000-0005-0000-0000-0000725B0000}"/>
    <cellStyle name="입력 5 3 7" xfId="18518" xr:uid="{00000000-0005-0000-0000-0000735B0000}"/>
    <cellStyle name="입력 5 3 8" xfId="18705" xr:uid="{00000000-0005-0000-0000-0000745B0000}"/>
    <cellStyle name="입력 5 3 9" xfId="17296" xr:uid="{00000000-0005-0000-0000-0000755B0000}"/>
    <cellStyle name="입력 5 4" xfId="12162" xr:uid="{00000000-0005-0000-0000-0000765B0000}"/>
    <cellStyle name="입력 5 4 2" xfId="14807" xr:uid="{00000000-0005-0000-0000-0000775B0000}"/>
    <cellStyle name="입력 5 4 2 10" xfId="25023" xr:uid="{00000000-0005-0000-0000-0000785B0000}"/>
    <cellStyle name="입력 5 4 2 11" xfId="28147" xr:uid="{00000000-0005-0000-0000-0000795B0000}"/>
    <cellStyle name="입력 5 4 2 12" xfId="31123" xr:uid="{00000000-0005-0000-0000-00007A5B0000}"/>
    <cellStyle name="입력 5 4 2 13" xfId="17445" xr:uid="{00000000-0005-0000-0000-00007B5B0000}"/>
    <cellStyle name="입력 5 4 2 2" xfId="18054" xr:uid="{00000000-0005-0000-0000-00007C5B0000}"/>
    <cellStyle name="입력 5 4 2 2 2" xfId="22358" xr:uid="{00000000-0005-0000-0000-00007D5B0000}"/>
    <cellStyle name="입력 5 4 2 2 2 2" xfId="19624" xr:uid="{00000000-0005-0000-0000-00007E5B0000}"/>
    <cellStyle name="입력 5 4 2 2 2 3" xfId="26588" xr:uid="{00000000-0005-0000-0000-00007F5B0000}"/>
    <cellStyle name="입력 5 4 2 2 2 4" xfId="29702" xr:uid="{00000000-0005-0000-0000-0000805B0000}"/>
    <cellStyle name="입력 5 4 2 2 3" xfId="22834" xr:uid="{00000000-0005-0000-0000-0000815B0000}"/>
    <cellStyle name="입력 5 4 2 2 3 2" xfId="20062" xr:uid="{00000000-0005-0000-0000-0000825B0000}"/>
    <cellStyle name="입력 5 4 2 2 3 3" xfId="27064" xr:uid="{00000000-0005-0000-0000-0000835B0000}"/>
    <cellStyle name="입력 5 4 2 2 3 4" xfId="30178" xr:uid="{00000000-0005-0000-0000-0000845B0000}"/>
    <cellStyle name="입력 5 4 2 2 4" xfId="23217" xr:uid="{00000000-0005-0000-0000-0000855B0000}"/>
    <cellStyle name="입력 5 4 2 2 4 2" xfId="20290" xr:uid="{00000000-0005-0000-0000-0000865B0000}"/>
    <cellStyle name="입력 5 4 2 2 4 3" xfId="27447" xr:uid="{00000000-0005-0000-0000-0000875B0000}"/>
    <cellStyle name="입력 5 4 2 2 4 4" xfId="30561" xr:uid="{00000000-0005-0000-0000-0000885B0000}"/>
    <cellStyle name="입력 5 4 2 2 5" xfId="23644" xr:uid="{00000000-0005-0000-0000-0000895B0000}"/>
    <cellStyle name="입력 5 4 2 2 5 2" xfId="18299" xr:uid="{00000000-0005-0000-0000-00008A5B0000}"/>
    <cellStyle name="입력 5 4 2 2 5 3" xfId="27874" xr:uid="{00000000-0005-0000-0000-00008B5B0000}"/>
    <cellStyle name="입력 5 4 2 2 5 4" xfId="30988" xr:uid="{00000000-0005-0000-0000-00008C5B0000}"/>
    <cellStyle name="입력 5 4 2 2 6" xfId="21805" xr:uid="{00000000-0005-0000-0000-00008D5B0000}"/>
    <cellStyle name="입력 5 4 2 2 7" xfId="23813" xr:uid="{00000000-0005-0000-0000-00008E5B0000}"/>
    <cellStyle name="입력 5 4 2 2 8" xfId="26035" xr:uid="{00000000-0005-0000-0000-00008F5B0000}"/>
    <cellStyle name="입력 5 4 2 2 9" xfId="29149" xr:uid="{00000000-0005-0000-0000-0000905B0000}"/>
    <cellStyle name="입력 5 4 2 3" xfId="18055" xr:uid="{00000000-0005-0000-0000-0000915B0000}"/>
    <cellStyle name="입력 5 4 2 3 2" xfId="21403" xr:uid="{00000000-0005-0000-0000-0000925B0000}"/>
    <cellStyle name="입력 5 4 2 3 3" xfId="24658" xr:uid="{00000000-0005-0000-0000-0000935B0000}"/>
    <cellStyle name="입력 5 4 2 3 4" xfId="25590" xr:uid="{00000000-0005-0000-0000-0000945B0000}"/>
    <cellStyle name="입력 5 4 2 3 5" xfId="28707" xr:uid="{00000000-0005-0000-0000-0000955B0000}"/>
    <cellStyle name="입력 5 4 2 4" xfId="21911" xr:uid="{00000000-0005-0000-0000-0000965B0000}"/>
    <cellStyle name="입력 5 4 2 4 2" xfId="23721" xr:uid="{00000000-0005-0000-0000-0000975B0000}"/>
    <cellStyle name="입력 5 4 2 4 3" xfId="26141" xr:uid="{00000000-0005-0000-0000-0000985B0000}"/>
    <cellStyle name="입력 5 4 2 4 4" xfId="29255" xr:uid="{00000000-0005-0000-0000-0000995B0000}"/>
    <cellStyle name="입력 5 4 2 5" xfId="20812" xr:uid="{00000000-0005-0000-0000-00009A5B0000}"/>
    <cellStyle name="입력 5 4 2 5 2" xfId="19115" xr:uid="{00000000-0005-0000-0000-00009B5B0000}"/>
    <cellStyle name="입력 5 4 2 5 3" xfId="25060" xr:uid="{00000000-0005-0000-0000-00009C5B0000}"/>
    <cellStyle name="입력 5 4 2 5 4" xfId="28184" xr:uid="{00000000-0005-0000-0000-00009D5B0000}"/>
    <cellStyle name="입력 5 4 2 6" xfId="21847" xr:uid="{00000000-0005-0000-0000-00009E5B0000}"/>
    <cellStyle name="입력 5 4 2 6 2" xfId="24452" xr:uid="{00000000-0005-0000-0000-00009F5B0000}"/>
    <cellStyle name="입력 5 4 2 6 3" xfId="26077" xr:uid="{00000000-0005-0000-0000-0000A05B0000}"/>
    <cellStyle name="입력 5 4 2 6 4" xfId="29191" xr:uid="{00000000-0005-0000-0000-0000A15B0000}"/>
    <cellStyle name="입력 5 4 2 7" xfId="20988" xr:uid="{00000000-0005-0000-0000-0000A25B0000}"/>
    <cellStyle name="입력 5 4 2 7 2" xfId="24031" xr:uid="{00000000-0005-0000-0000-0000A35B0000}"/>
    <cellStyle name="입력 5 4 2 7 3" xfId="25236" xr:uid="{00000000-0005-0000-0000-0000A45B0000}"/>
    <cellStyle name="입력 5 4 2 7 4" xfId="28360" xr:uid="{00000000-0005-0000-0000-0000A55B0000}"/>
    <cellStyle name="입력 5 4 2 8" xfId="20775" xr:uid="{00000000-0005-0000-0000-0000A65B0000}"/>
    <cellStyle name="입력 5 4 2 9" xfId="19078" xr:uid="{00000000-0005-0000-0000-0000A75B0000}"/>
    <cellStyle name="입력 5 4 3" xfId="15433" xr:uid="{00000000-0005-0000-0000-0000A85B0000}"/>
    <cellStyle name="입력 5 4 3 10" xfId="28037" xr:uid="{00000000-0005-0000-0000-0000A95B0000}"/>
    <cellStyle name="입력 5 4 3 11" xfId="17531" xr:uid="{00000000-0005-0000-0000-0000AA5B0000}"/>
    <cellStyle name="입력 5 4 3 2" xfId="15257" xr:uid="{00000000-0005-0000-0000-0000AB5B0000}"/>
    <cellStyle name="입력 5 4 3 2 2" xfId="23729" xr:uid="{00000000-0005-0000-0000-0000AC5B0000}"/>
    <cellStyle name="입력 5 4 3 2 3" xfId="25925" xr:uid="{00000000-0005-0000-0000-0000AD5B0000}"/>
    <cellStyle name="입력 5 4 3 2 4" xfId="29039" xr:uid="{00000000-0005-0000-0000-0000AE5B0000}"/>
    <cellStyle name="입력 5 4 3 2 5" xfId="21695" xr:uid="{00000000-0005-0000-0000-0000AF5B0000}"/>
    <cellStyle name="입력 5 4 3 3" xfId="17014" xr:uid="{00000000-0005-0000-0000-0000B05B0000}"/>
    <cellStyle name="입력 5 4 3 3 2" xfId="18399" xr:uid="{00000000-0005-0000-0000-0000B15B0000}"/>
    <cellStyle name="입력 5 4 3 3 3" xfId="26478" xr:uid="{00000000-0005-0000-0000-0000B25B0000}"/>
    <cellStyle name="입력 5 4 3 3 4" xfId="29592" xr:uid="{00000000-0005-0000-0000-0000B35B0000}"/>
    <cellStyle name="입력 5 4 3 3 5" xfId="22248" xr:uid="{00000000-0005-0000-0000-0000B45B0000}"/>
    <cellStyle name="입력 5 4 3 4" xfId="17015" xr:uid="{00000000-0005-0000-0000-0000B55B0000}"/>
    <cellStyle name="입력 5 4 3 4 2" xfId="19961" xr:uid="{00000000-0005-0000-0000-0000B65B0000}"/>
    <cellStyle name="입력 5 4 3 4 3" xfId="26954" xr:uid="{00000000-0005-0000-0000-0000B75B0000}"/>
    <cellStyle name="입력 5 4 3 4 4" xfId="30068" xr:uid="{00000000-0005-0000-0000-0000B85B0000}"/>
    <cellStyle name="입력 5 4 3 4 5" xfId="22724" xr:uid="{00000000-0005-0000-0000-0000B95B0000}"/>
    <cellStyle name="입력 5 4 3 5" xfId="23133" xr:uid="{00000000-0005-0000-0000-0000BA5B0000}"/>
    <cellStyle name="입력 5 4 3 5 2" xfId="19226" xr:uid="{00000000-0005-0000-0000-0000BB5B0000}"/>
    <cellStyle name="입력 5 4 3 5 3" xfId="27363" xr:uid="{00000000-0005-0000-0000-0000BC5B0000}"/>
    <cellStyle name="입력 5 4 3 5 4" xfId="30477" xr:uid="{00000000-0005-0000-0000-0000BD5B0000}"/>
    <cellStyle name="입력 5 4 3 6" xfId="23534" xr:uid="{00000000-0005-0000-0000-0000BE5B0000}"/>
    <cellStyle name="입력 5 4 3 6 2" xfId="18196" xr:uid="{00000000-0005-0000-0000-0000BF5B0000}"/>
    <cellStyle name="입력 5 4 3 6 3" xfId="27764" xr:uid="{00000000-0005-0000-0000-0000C05B0000}"/>
    <cellStyle name="입력 5 4 3 6 4" xfId="30878" xr:uid="{00000000-0005-0000-0000-0000C15B0000}"/>
    <cellStyle name="입력 5 4 3 7" xfId="20665" xr:uid="{00000000-0005-0000-0000-0000C25B0000}"/>
    <cellStyle name="입력 5 4 3 8" xfId="18970" xr:uid="{00000000-0005-0000-0000-0000C35B0000}"/>
    <cellStyle name="입력 5 4 3 9" xfId="24913" xr:uid="{00000000-0005-0000-0000-0000C45B0000}"/>
    <cellStyle name="입력 5 4 4" xfId="17614" xr:uid="{00000000-0005-0000-0000-0000C55B0000}"/>
    <cellStyle name="입력 5 4 4 2" xfId="22073" xr:uid="{00000000-0005-0000-0000-0000C65B0000}"/>
    <cellStyle name="입력 5 4 4 2 2" xfId="24601" xr:uid="{00000000-0005-0000-0000-0000C75B0000}"/>
    <cellStyle name="입력 5 4 4 2 3" xfId="26303" xr:uid="{00000000-0005-0000-0000-0000C85B0000}"/>
    <cellStyle name="입력 5 4 4 2 4" xfId="29417" xr:uid="{00000000-0005-0000-0000-0000C95B0000}"/>
    <cellStyle name="입력 5 4 4 3" xfId="22546" xr:uid="{00000000-0005-0000-0000-0000CA5B0000}"/>
    <cellStyle name="입력 5 4 4 3 2" xfId="19800" xr:uid="{00000000-0005-0000-0000-0000CB5B0000}"/>
    <cellStyle name="입력 5 4 4 3 3" xfId="26776" xr:uid="{00000000-0005-0000-0000-0000CC5B0000}"/>
    <cellStyle name="입력 5 4 4 3 4" xfId="29890" xr:uid="{00000000-0005-0000-0000-0000CD5B0000}"/>
    <cellStyle name="입력 5 4 4 4" xfId="22991" xr:uid="{00000000-0005-0000-0000-0000CE5B0000}"/>
    <cellStyle name="입력 5 4 4 4 2" xfId="20210" xr:uid="{00000000-0005-0000-0000-0000CF5B0000}"/>
    <cellStyle name="입력 5 4 4 4 3" xfId="27221" xr:uid="{00000000-0005-0000-0000-0000D05B0000}"/>
    <cellStyle name="입력 5 4 4 4 4" xfId="30335" xr:uid="{00000000-0005-0000-0000-0000D15B0000}"/>
    <cellStyle name="입력 5 4 4 5" xfId="23364" xr:uid="{00000000-0005-0000-0000-0000D25B0000}"/>
    <cellStyle name="입력 5 4 4 5 2" xfId="20401" xr:uid="{00000000-0005-0000-0000-0000D35B0000}"/>
    <cellStyle name="입력 5 4 4 5 3" xfId="27594" xr:uid="{00000000-0005-0000-0000-0000D45B0000}"/>
    <cellStyle name="입력 5 4 4 5 4" xfId="30708" xr:uid="{00000000-0005-0000-0000-0000D55B0000}"/>
    <cellStyle name="입력 5 4 4 6" xfId="24597" xr:uid="{00000000-0005-0000-0000-0000D65B0000}"/>
    <cellStyle name="입력 5 4 4 7" xfId="25752" xr:uid="{00000000-0005-0000-0000-0000D75B0000}"/>
    <cellStyle name="입력 5 4 4 8" xfId="28869" xr:uid="{00000000-0005-0000-0000-0000D85B0000}"/>
    <cellStyle name="입력 5 4 5" xfId="18056" xr:uid="{00000000-0005-0000-0000-0000D95B0000}"/>
    <cellStyle name="입력 5 4 5 2" xfId="20944" xr:uid="{00000000-0005-0000-0000-0000DA5B0000}"/>
    <cellStyle name="입력 5 4 5 3" xfId="23754" xr:uid="{00000000-0005-0000-0000-0000DB5B0000}"/>
    <cellStyle name="입력 5 4 5 4" xfId="25195" xr:uid="{00000000-0005-0000-0000-0000DC5B0000}"/>
    <cellStyle name="입력 5 4 5 5" xfId="28319" xr:uid="{00000000-0005-0000-0000-0000DD5B0000}"/>
    <cellStyle name="입력 5 4 6" xfId="18795" xr:uid="{00000000-0005-0000-0000-0000DE5B0000}"/>
    <cellStyle name="입력 5 4 7" xfId="18517" xr:uid="{00000000-0005-0000-0000-0000DF5B0000}"/>
    <cellStyle name="입력 5 4 8" xfId="18706" xr:uid="{00000000-0005-0000-0000-0000E05B0000}"/>
    <cellStyle name="입력 5 4 9" xfId="17297" xr:uid="{00000000-0005-0000-0000-0000E15B0000}"/>
    <cellStyle name="입력 5 5" xfId="12163" xr:uid="{00000000-0005-0000-0000-0000E25B0000}"/>
    <cellStyle name="입력 5 5 2" xfId="14808" xr:uid="{00000000-0005-0000-0000-0000E35B0000}"/>
    <cellStyle name="입력 5 5 2 10" xfId="25024" xr:uid="{00000000-0005-0000-0000-0000E45B0000}"/>
    <cellStyle name="입력 5 5 2 11" xfId="28148" xr:uid="{00000000-0005-0000-0000-0000E55B0000}"/>
    <cellStyle name="입력 5 5 2 12" xfId="31124" xr:uid="{00000000-0005-0000-0000-0000E65B0000}"/>
    <cellStyle name="입력 5 5 2 13" xfId="17444" xr:uid="{00000000-0005-0000-0000-0000E75B0000}"/>
    <cellStyle name="입력 5 5 2 2" xfId="18057" xr:uid="{00000000-0005-0000-0000-0000E85B0000}"/>
    <cellStyle name="입력 5 5 2 2 2" xfId="22359" xr:uid="{00000000-0005-0000-0000-0000E95B0000}"/>
    <cellStyle name="입력 5 5 2 2 2 2" xfId="19625" xr:uid="{00000000-0005-0000-0000-0000EA5B0000}"/>
    <cellStyle name="입력 5 5 2 2 2 3" xfId="26589" xr:uid="{00000000-0005-0000-0000-0000EB5B0000}"/>
    <cellStyle name="입력 5 5 2 2 2 4" xfId="29703" xr:uid="{00000000-0005-0000-0000-0000EC5B0000}"/>
    <cellStyle name="입력 5 5 2 2 3" xfId="22835" xr:uid="{00000000-0005-0000-0000-0000ED5B0000}"/>
    <cellStyle name="입력 5 5 2 2 3 2" xfId="20063" xr:uid="{00000000-0005-0000-0000-0000EE5B0000}"/>
    <cellStyle name="입력 5 5 2 2 3 3" xfId="27065" xr:uid="{00000000-0005-0000-0000-0000EF5B0000}"/>
    <cellStyle name="입력 5 5 2 2 3 4" xfId="30179" xr:uid="{00000000-0005-0000-0000-0000F05B0000}"/>
    <cellStyle name="입력 5 5 2 2 4" xfId="23218" xr:uid="{00000000-0005-0000-0000-0000F15B0000}"/>
    <cellStyle name="입력 5 5 2 2 4 2" xfId="20291" xr:uid="{00000000-0005-0000-0000-0000F25B0000}"/>
    <cellStyle name="입력 5 5 2 2 4 3" xfId="27448" xr:uid="{00000000-0005-0000-0000-0000F35B0000}"/>
    <cellStyle name="입력 5 5 2 2 4 4" xfId="30562" xr:uid="{00000000-0005-0000-0000-0000F45B0000}"/>
    <cellStyle name="입력 5 5 2 2 5" xfId="23645" xr:uid="{00000000-0005-0000-0000-0000F55B0000}"/>
    <cellStyle name="입력 5 5 2 2 5 2" xfId="18300" xr:uid="{00000000-0005-0000-0000-0000F65B0000}"/>
    <cellStyle name="입력 5 5 2 2 5 3" xfId="27875" xr:uid="{00000000-0005-0000-0000-0000F75B0000}"/>
    <cellStyle name="입력 5 5 2 2 5 4" xfId="30989" xr:uid="{00000000-0005-0000-0000-0000F85B0000}"/>
    <cellStyle name="입력 5 5 2 2 6" xfId="21806" xr:uid="{00000000-0005-0000-0000-0000F95B0000}"/>
    <cellStyle name="입력 5 5 2 2 7" xfId="23880" xr:uid="{00000000-0005-0000-0000-0000FA5B0000}"/>
    <cellStyle name="입력 5 5 2 2 8" xfId="26036" xr:uid="{00000000-0005-0000-0000-0000FB5B0000}"/>
    <cellStyle name="입력 5 5 2 2 9" xfId="29150" xr:uid="{00000000-0005-0000-0000-0000FC5B0000}"/>
    <cellStyle name="입력 5 5 2 3" xfId="18058" xr:uid="{00000000-0005-0000-0000-0000FD5B0000}"/>
    <cellStyle name="입력 5 5 2 3 2" xfId="21404" xr:uid="{00000000-0005-0000-0000-0000FE5B0000}"/>
    <cellStyle name="입력 5 5 2 3 3" xfId="24396" xr:uid="{00000000-0005-0000-0000-0000FF5B0000}"/>
    <cellStyle name="입력 5 5 2 3 4" xfId="25591" xr:uid="{00000000-0005-0000-0000-0000005C0000}"/>
    <cellStyle name="입력 5 5 2 3 5" xfId="28708" xr:uid="{00000000-0005-0000-0000-0000015C0000}"/>
    <cellStyle name="입력 5 5 2 4" xfId="21912" xr:uid="{00000000-0005-0000-0000-0000025C0000}"/>
    <cellStyle name="입력 5 5 2 4 2" xfId="24638" xr:uid="{00000000-0005-0000-0000-0000035C0000}"/>
    <cellStyle name="입력 5 5 2 4 3" xfId="26142" xr:uid="{00000000-0005-0000-0000-0000045C0000}"/>
    <cellStyle name="입력 5 5 2 4 4" xfId="29256" xr:uid="{00000000-0005-0000-0000-0000055C0000}"/>
    <cellStyle name="입력 5 5 2 5" xfId="20832" xr:uid="{00000000-0005-0000-0000-0000065C0000}"/>
    <cellStyle name="입력 5 5 2 5 2" xfId="19138" xr:uid="{00000000-0005-0000-0000-0000075C0000}"/>
    <cellStyle name="입력 5 5 2 5 3" xfId="25083" xr:uid="{00000000-0005-0000-0000-0000085C0000}"/>
    <cellStyle name="입력 5 5 2 5 4" xfId="28207" xr:uid="{00000000-0005-0000-0000-0000095C0000}"/>
    <cellStyle name="입력 5 5 2 6" xfId="21006" xr:uid="{00000000-0005-0000-0000-00000A5C0000}"/>
    <cellStyle name="입력 5 5 2 6 2" xfId="24419" xr:uid="{00000000-0005-0000-0000-00000B5C0000}"/>
    <cellStyle name="입력 5 5 2 6 3" xfId="25251" xr:uid="{00000000-0005-0000-0000-00000C5C0000}"/>
    <cellStyle name="입력 5 5 2 6 4" xfId="28375" xr:uid="{00000000-0005-0000-0000-00000D5C0000}"/>
    <cellStyle name="입력 5 5 2 7" xfId="21037" xr:uid="{00000000-0005-0000-0000-00000E5C0000}"/>
    <cellStyle name="입력 5 5 2 7 2" xfId="19410" xr:uid="{00000000-0005-0000-0000-00000F5C0000}"/>
    <cellStyle name="입력 5 5 2 7 3" xfId="25282" xr:uid="{00000000-0005-0000-0000-0000105C0000}"/>
    <cellStyle name="입력 5 5 2 7 4" xfId="28406" xr:uid="{00000000-0005-0000-0000-0000115C0000}"/>
    <cellStyle name="입력 5 5 2 8" xfId="20776" xr:uid="{00000000-0005-0000-0000-0000125C0000}"/>
    <cellStyle name="입력 5 5 2 9" xfId="19079" xr:uid="{00000000-0005-0000-0000-0000135C0000}"/>
    <cellStyle name="입력 5 5 3" xfId="15434" xr:uid="{00000000-0005-0000-0000-0000145C0000}"/>
    <cellStyle name="입력 5 5 3 10" xfId="28038" xr:uid="{00000000-0005-0000-0000-0000155C0000}"/>
    <cellStyle name="입력 5 5 3 11" xfId="17530" xr:uid="{00000000-0005-0000-0000-0000165C0000}"/>
    <cellStyle name="입력 5 5 3 2" xfId="15256" xr:uid="{00000000-0005-0000-0000-0000175C0000}"/>
    <cellStyle name="입력 5 5 3 2 2" xfId="24647" xr:uid="{00000000-0005-0000-0000-0000185C0000}"/>
    <cellStyle name="입력 5 5 3 2 3" xfId="25926" xr:uid="{00000000-0005-0000-0000-0000195C0000}"/>
    <cellStyle name="입력 5 5 3 2 4" xfId="29040" xr:uid="{00000000-0005-0000-0000-00001A5C0000}"/>
    <cellStyle name="입력 5 5 3 2 5" xfId="21696" xr:uid="{00000000-0005-0000-0000-00001B5C0000}"/>
    <cellStyle name="입력 5 5 3 3" xfId="17016" xr:uid="{00000000-0005-0000-0000-00001C5C0000}"/>
    <cellStyle name="입력 5 5 3 3 2" xfId="18400" xr:uid="{00000000-0005-0000-0000-00001D5C0000}"/>
    <cellStyle name="입력 5 5 3 3 3" xfId="26479" xr:uid="{00000000-0005-0000-0000-00001E5C0000}"/>
    <cellStyle name="입력 5 5 3 3 4" xfId="29593" xr:uid="{00000000-0005-0000-0000-00001F5C0000}"/>
    <cellStyle name="입력 5 5 3 3 5" xfId="22249" xr:uid="{00000000-0005-0000-0000-0000205C0000}"/>
    <cellStyle name="입력 5 5 3 4" xfId="17017" xr:uid="{00000000-0005-0000-0000-0000215C0000}"/>
    <cellStyle name="입력 5 5 3 4 2" xfId="19962" xr:uid="{00000000-0005-0000-0000-0000225C0000}"/>
    <cellStyle name="입력 5 5 3 4 3" xfId="26955" xr:uid="{00000000-0005-0000-0000-0000235C0000}"/>
    <cellStyle name="입력 5 5 3 4 4" xfId="30069" xr:uid="{00000000-0005-0000-0000-0000245C0000}"/>
    <cellStyle name="입력 5 5 3 4 5" xfId="22725" xr:uid="{00000000-0005-0000-0000-0000255C0000}"/>
    <cellStyle name="입력 5 5 3 5" xfId="23134" xr:uid="{00000000-0005-0000-0000-0000265C0000}"/>
    <cellStyle name="입력 5 5 3 5 2" xfId="23836" xr:uid="{00000000-0005-0000-0000-0000275C0000}"/>
    <cellStyle name="입력 5 5 3 5 3" xfId="27364" xr:uid="{00000000-0005-0000-0000-0000285C0000}"/>
    <cellStyle name="입력 5 5 3 5 4" xfId="30478" xr:uid="{00000000-0005-0000-0000-0000295C0000}"/>
    <cellStyle name="입력 5 5 3 6" xfId="23535" xr:uid="{00000000-0005-0000-0000-00002A5C0000}"/>
    <cellStyle name="입력 5 5 3 6 2" xfId="18197" xr:uid="{00000000-0005-0000-0000-00002B5C0000}"/>
    <cellStyle name="입력 5 5 3 6 3" xfId="27765" xr:uid="{00000000-0005-0000-0000-00002C5C0000}"/>
    <cellStyle name="입력 5 5 3 6 4" xfId="30879" xr:uid="{00000000-0005-0000-0000-00002D5C0000}"/>
    <cellStyle name="입력 5 5 3 7" xfId="20666" xr:uid="{00000000-0005-0000-0000-00002E5C0000}"/>
    <cellStyle name="입력 5 5 3 8" xfId="18971" xr:uid="{00000000-0005-0000-0000-00002F5C0000}"/>
    <cellStyle name="입력 5 5 3 9" xfId="24914" xr:uid="{00000000-0005-0000-0000-0000305C0000}"/>
    <cellStyle name="입력 5 5 4" xfId="17613" xr:uid="{00000000-0005-0000-0000-0000315C0000}"/>
    <cellStyle name="입력 5 5 4 2" xfId="22074" xr:uid="{00000000-0005-0000-0000-0000325C0000}"/>
    <cellStyle name="입력 5 5 4 2 2" xfId="24474" xr:uid="{00000000-0005-0000-0000-0000335C0000}"/>
    <cellStyle name="입력 5 5 4 2 3" xfId="26304" xr:uid="{00000000-0005-0000-0000-0000345C0000}"/>
    <cellStyle name="입력 5 5 4 2 4" xfId="29418" xr:uid="{00000000-0005-0000-0000-0000355C0000}"/>
    <cellStyle name="입력 5 5 4 3" xfId="22547" xr:uid="{00000000-0005-0000-0000-0000365C0000}"/>
    <cellStyle name="입력 5 5 4 3 2" xfId="19801" xr:uid="{00000000-0005-0000-0000-0000375C0000}"/>
    <cellStyle name="입력 5 5 4 3 3" xfId="26777" xr:uid="{00000000-0005-0000-0000-0000385C0000}"/>
    <cellStyle name="입력 5 5 4 3 4" xfId="29891" xr:uid="{00000000-0005-0000-0000-0000395C0000}"/>
    <cellStyle name="입력 5 5 4 4" xfId="22992" xr:uid="{00000000-0005-0000-0000-00003A5C0000}"/>
    <cellStyle name="입력 5 5 4 4 2" xfId="20211" xr:uid="{00000000-0005-0000-0000-00003B5C0000}"/>
    <cellStyle name="입력 5 5 4 4 3" xfId="27222" xr:uid="{00000000-0005-0000-0000-00003C5C0000}"/>
    <cellStyle name="입력 5 5 4 4 4" xfId="30336" xr:uid="{00000000-0005-0000-0000-00003D5C0000}"/>
    <cellStyle name="입력 5 5 4 5" xfId="23365" xr:uid="{00000000-0005-0000-0000-00003E5C0000}"/>
    <cellStyle name="입력 5 5 4 5 2" xfId="20402" xr:uid="{00000000-0005-0000-0000-00003F5C0000}"/>
    <cellStyle name="입력 5 5 4 5 3" xfId="27595" xr:uid="{00000000-0005-0000-0000-0000405C0000}"/>
    <cellStyle name="입력 5 5 4 5 4" xfId="30709" xr:uid="{00000000-0005-0000-0000-0000415C0000}"/>
    <cellStyle name="입력 5 5 4 6" xfId="24466" xr:uid="{00000000-0005-0000-0000-0000425C0000}"/>
    <cellStyle name="입력 5 5 4 7" xfId="25753" xr:uid="{00000000-0005-0000-0000-0000435C0000}"/>
    <cellStyle name="입력 5 5 4 8" xfId="28870" xr:uid="{00000000-0005-0000-0000-0000445C0000}"/>
    <cellStyle name="입력 5 5 5" xfId="18059" xr:uid="{00000000-0005-0000-0000-0000455C0000}"/>
    <cellStyle name="입력 5 5 5 2" xfId="20945" xr:uid="{00000000-0005-0000-0000-0000465C0000}"/>
    <cellStyle name="입력 5 5 5 3" xfId="24676" xr:uid="{00000000-0005-0000-0000-0000475C0000}"/>
    <cellStyle name="입력 5 5 5 4" xfId="25196" xr:uid="{00000000-0005-0000-0000-0000485C0000}"/>
    <cellStyle name="입력 5 5 5 5" xfId="28320" xr:uid="{00000000-0005-0000-0000-0000495C0000}"/>
    <cellStyle name="입력 5 5 6" xfId="18796" xr:uid="{00000000-0005-0000-0000-00004A5C0000}"/>
    <cellStyle name="입력 5 5 7" xfId="18516" xr:uid="{00000000-0005-0000-0000-00004B5C0000}"/>
    <cellStyle name="입력 5 5 8" xfId="18707" xr:uid="{00000000-0005-0000-0000-00004C5C0000}"/>
    <cellStyle name="입력 5 5 9" xfId="17298" xr:uid="{00000000-0005-0000-0000-00004D5C0000}"/>
    <cellStyle name="입력 5 6" xfId="12164" xr:uid="{00000000-0005-0000-0000-00004E5C0000}"/>
    <cellStyle name="입력 5 6 2" xfId="14809" xr:uid="{00000000-0005-0000-0000-00004F5C0000}"/>
    <cellStyle name="입력 5 6 2 10" xfId="25025" xr:uid="{00000000-0005-0000-0000-0000505C0000}"/>
    <cellStyle name="입력 5 6 2 11" xfId="28149" xr:uid="{00000000-0005-0000-0000-0000515C0000}"/>
    <cellStyle name="입력 5 6 2 12" xfId="31125" xr:uid="{00000000-0005-0000-0000-0000525C0000}"/>
    <cellStyle name="입력 5 6 2 13" xfId="17443" xr:uid="{00000000-0005-0000-0000-0000535C0000}"/>
    <cellStyle name="입력 5 6 2 2" xfId="18060" xr:uid="{00000000-0005-0000-0000-0000545C0000}"/>
    <cellStyle name="입력 5 6 2 2 2" xfId="22360" xr:uid="{00000000-0005-0000-0000-0000555C0000}"/>
    <cellStyle name="입력 5 6 2 2 2 2" xfId="19626" xr:uid="{00000000-0005-0000-0000-0000565C0000}"/>
    <cellStyle name="입력 5 6 2 2 2 3" xfId="26590" xr:uid="{00000000-0005-0000-0000-0000575C0000}"/>
    <cellStyle name="입력 5 6 2 2 2 4" xfId="29704" xr:uid="{00000000-0005-0000-0000-0000585C0000}"/>
    <cellStyle name="입력 5 6 2 2 3" xfId="22836" xr:uid="{00000000-0005-0000-0000-0000595C0000}"/>
    <cellStyle name="입력 5 6 2 2 3 2" xfId="20064" xr:uid="{00000000-0005-0000-0000-00005A5C0000}"/>
    <cellStyle name="입력 5 6 2 2 3 3" xfId="27066" xr:uid="{00000000-0005-0000-0000-00005B5C0000}"/>
    <cellStyle name="입력 5 6 2 2 3 4" xfId="30180" xr:uid="{00000000-0005-0000-0000-00005C5C0000}"/>
    <cellStyle name="입력 5 6 2 2 4" xfId="23219" xr:uid="{00000000-0005-0000-0000-00005D5C0000}"/>
    <cellStyle name="입력 5 6 2 2 4 2" xfId="20292" xr:uid="{00000000-0005-0000-0000-00005E5C0000}"/>
    <cellStyle name="입력 5 6 2 2 4 3" xfId="27449" xr:uid="{00000000-0005-0000-0000-00005F5C0000}"/>
    <cellStyle name="입력 5 6 2 2 4 4" xfId="30563" xr:uid="{00000000-0005-0000-0000-0000605C0000}"/>
    <cellStyle name="입력 5 6 2 2 5" xfId="23646" xr:uid="{00000000-0005-0000-0000-0000615C0000}"/>
    <cellStyle name="입력 5 6 2 2 5 2" xfId="18301" xr:uid="{00000000-0005-0000-0000-0000625C0000}"/>
    <cellStyle name="입력 5 6 2 2 5 3" xfId="27876" xr:uid="{00000000-0005-0000-0000-0000635C0000}"/>
    <cellStyle name="입력 5 6 2 2 5 4" xfId="30990" xr:uid="{00000000-0005-0000-0000-0000645C0000}"/>
    <cellStyle name="입력 5 6 2 2 6" xfId="21807" xr:uid="{00000000-0005-0000-0000-0000655C0000}"/>
    <cellStyle name="입력 5 6 2 2 7" xfId="23788" xr:uid="{00000000-0005-0000-0000-0000665C0000}"/>
    <cellStyle name="입력 5 6 2 2 8" xfId="26037" xr:uid="{00000000-0005-0000-0000-0000675C0000}"/>
    <cellStyle name="입력 5 6 2 2 9" xfId="29151" xr:uid="{00000000-0005-0000-0000-0000685C0000}"/>
    <cellStyle name="입력 5 6 2 3" xfId="18061" xr:uid="{00000000-0005-0000-0000-0000695C0000}"/>
    <cellStyle name="입력 5 6 2 3 2" xfId="21405" xr:uid="{00000000-0005-0000-0000-00006A5C0000}"/>
    <cellStyle name="입력 5 6 2 3 3" xfId="24225" xr:uid="{00000000-0005-0000-0000-00006B5C0000}"/>
    <cellStyle name="입력 5 6 2 3 4" xfId="25592" xr:uid="{00000000-0005-0000-0000-00006C5C0000}"/>
    <cellStyle name="입력 5 6 2 3 5" xfId="28709" xr:uid="{00000000-0005-0000-0000-00006D5C0000}"/>
    <cellStyle name="입력 5 6 2 4" xfId="21913" xr:uid="{00000000-0005-0000-0000-00006E5C0000}"/>
    <cellStyle name="입력 5 6 2 4 2" xfId="24553" xr:uid="{00000000-0005-0000-0000-00006F5C0000}"/>
    <cellStyle name="입력 5 6 2 4 3" xfId="26143" xr:uid="{00000000-0005-0000-0000-0000705C0000}"/>
    <cellStyle name="입력 5 6 2 4 4" xfId="29257" xr:uid="{00000000-0005-0000-0000-0000715C0000}"/>
    <cellStyle name="입력 5 6 2 5" xfId="20845" xr:uid="{00000000-0005-0000-0000-0000725C0000}"/>
    <cellStyle name="입력 5 6 2 5 2" xfId="19150" xr:uid="{00000000-0005-0000-0000-0000735C0000}"/>
    <cellStyle name="입력 5 6 2 5 3" xfId="25096" xr:uid="{00000000-0005-0000-0000-0000745C0000}"/>
    <cellStyle name="입력 5 6 2 5 4" xfId="28220" xr:uid="{00000000-0005-0000-0000-0000755C0000}"/>
    <cellStyle name="입력 5 6 2 6" xfId="21851" xr:uid="{00000000-0005-0000-0000-0000765C0000}"/>
    <cellStyle name="입력 5 6 2 6 2" xfId="23767" xr:uid="{00000000-0005-0000-0000-0000775C0000}"/>
    <cellStyle name="입력 5 6 2 6 3" xfId="26081" xr:uid="{00000000-0005-0000-0000-0000785C0000}"/>
    <cellStyle name="입력 5 6 2 6 4" xfId="29195" xr:uid="{00000000-0005-0000-0000-0000795C0000}"/>
    <cellStyle name="입력 5 6 2 7" xfId="21092" xr:uid="{00000000-0005-0000-0000-00007A5C0000}"/>
    <cellStyle name="입력 5 6 2 7 2" xfId="24690" xr:uid="{00000000-0005-0000-0000-00007B5C0000}"/>
    <cellStyle name="입력 5 6 2 7 3" xfId="25337" xr:uid="{00000000-0005-0000-0000-00007C5C0000}"/>
    <cellStyle name="입력 5 6 2 7 4" xfId="28461" xr:uid="{00000000-0005-0000-0000-00007D5C0000}"/>
    <cellStyle name="입력 5 6 2 8" xfId="20777" xr:uid="{00000000-0005-0000-0000-00007E5C0000}"/>
    <cellStyle name="입력 5 6 2 9" xfId="19080" xr:uid="{00000000-0005-0000-0000-00007F5C0000}"/>
    <cellStyle name="입력 5 6 3" xfId="15435" xr:uid="{00000000-0005-0000-0000-0000805C0000}"/>
    <cellStyle name="입력 5 6 3 10" xfId="28039" xr:uid="{00000000-0005-0000-0000-0000815C0000}"/>
    <cellStyle name="입력 5 6 3 11" xfId="17529" xr:uid="{00000000-0005-0000-0000-0000825C0000}"/>
    <cellStyle name="입력 5 6 3 2" xfId="15255" xr:uid="{00000000-0005-0000-0000-0000835C0000}"/>
    <cellStyle name="입력 5 6 3 2 2" xfId="24562" xr:uid="{00000000-0005-0000-0000-0000845C0000}"/>
    <cellStyle name="입력 5 6 3 2 3" xfId="25927" xr:uid="{00000000-0005-0000-0000-0000855C0000}"/>
    <cellStyle name="입력 5 6 3 2 4" xfId="29041" xr:uid="{00000000-0005-0000-0000-0000865C0000}"/>
    <cellStyle name="입력 5 6 3 2 5" xfId="21697" xr:uid="{00000000-0005-0000-0000-0000875C0000}"/>
    <cellStyle name="입력 5 6 3 3" xfId="17018" xr:uid="{00000000-0005-0000-0000-0000885C0000}"/>
    <cellStyle name="입력 5 6 3 3 2" xfId="18401" xr:uid="{00000000-0005-0000-0000-0000895C0000}"/>
    <cellStyle name="입력 5 6 3 3 3" xfId="26480" xr:uid="{00000000-0005-0000-0000-00008A5C0000}"/>
    <cellStyle name="입력 5 6 3 3 4" xfId="29594" xr:uid="{00000000-0005-0000-0000-00008B5C0000}"/>
    <cellStyle name="입력 5 6 3 3 5" xfId="22250" xr:uid="{00000000-0005-0000-0000-00008C5C0000}"/>
    <cellStyle name="입력 5 6 3 4" xfId="17019" xr:uid="{00000000-0005-0000-0000-00008D5C0000}"/>
    <cellStyle name="입력 5 6 3 4 2" xfId="19963" xr:uid="{00000000-0005-0000-0000-00008E5C0000}"/>
    <cellStyle name="입력 5 6 3 4 3" xfId="26956" xr:uid="{00000000-0005-0000-0000-00008F5C0000}"/>
    <cellStyle name="입력 5 6 3 4 4" xfId="30070" xr:uid="{00000000-0005-0000-0000-0000905C0000}"/>
    <cellStyle name="입력 5 6 3 4 5" xfId="22726" xr:uid="{00000000-0005-0000-0000-0000915C0000}"/>
    <cellStyle name="입력 5 6 3 5" xfId="23135" xr:uid="{00000000-0005-0000-0000-0000925C0000}"/>
    <cellStyle name="입력 5 6 3 5 2" xfId="19227" xr:uid="{00000000-0005-0000-0000-0000935C0000}"/>
    <cellStyle name="입력 5 6 3 5 3" xfId="27365" xr:uid="{00000000-0005-0000-0000-0000945C0000}"/>
    <cellStyle name="입력 5 6 3 5 4" xfId="30479" xr:uid="{00000000-0005-0000-0000-0000955C0000}"/>
    <cellStyle name="입력 5 6 3 6" xfId="23536" xr:uid="{00000000-0005-0000-0000-0000965C0000}"/>
    <cellStyle name="입력 5 6 3 6 2" xfId="18198" xr:uid="{00000000-0005-0000-0000-0000975C0000}"/>
    <cellStyle name="입력 5 6 3 6 3" xfId="27766" xr:uid="{00000000-0005-0000-0000-0000985C0000}"/>
    <cellStyle name="입력 5 6 3 6 4" xfId="30880" xr:uid="{00000000-0005-0000-0000-0000995C0000}"/>
    <cellStyle name="입력 5 6 3 7" xfId="20667" xr:uid="{00000000-0005-0000-0000-00009A5C0000}"/>
    <cellStyle name="입력 5 6 3 8" xfId="18972" xr:uid="{00000000-0005-0000-0000-00009B5C0000}"/>
    <cellStyle name="입력 5 6 3 9" xfId="24915" xr:uid="{00000000-0005-0000-0000-00009C5C0000}"/>
    <cellStyle name="입력 5 6 4" xfId="17612" xr:uid="{00000000-0005-0000-0000-00009D5C0000}"/>
    <cellStyle name="입력 5 6 4 2" xfId="22075" xr:uid="{00000000-0005-0000-0000-00009E5C0000}"/>
    <cellStyle name="입력 5 6 4 2 2" xfId="24301" xr:uid="{00000000-0005-0000-0000-00009F5C0000}"/>
    <cellStyle name="입력 5 6 4 2 3" xfId="26305" xr:uid="{00000000-0005-0000-0000-0000A05C0000}"/>
    <cellStyle name="입력 5 6 4 2 4" xfId="29419" xr:uid="{00000000-0005-0000-0000-0000A15C0000}"/>
    <cellStyle name="입력 5 6 4 3" xfId="22548" xr:uid="{00000000-0005-0000-0000-0000A25C0000}"/>
    <cellStyle name="입력 5 6 4 3 2" xfId="19802" xr:uid="{00000000-0005-0000-0000-0000A35C0000}"/>
    <cellStyle name="입력 5 6 4 3 3" xfId="26778" xr:uid="{00000000-0005-0000-0000-0000A45C0000}"/>
    <cellStyle name="입력 5 6 4 3 4" xfId="29892" xr:uid="{00000000-0005-0000-0000-0000A55C0000}"/>
    <cellStyle name="입력 5 6 4 4" xfId="22993" xr:uid="{00000000-0005-0000-0000-0000A65C0000}"/>
    <cellStyle name="입력 5 6 4 4 2" xfId="20212" xr:uid="{00000000-0005-0000-0000-0000A75C0000}"/>
    <cellStyle name="입력 5 6 4 4 3" xfId="27223" xr:uid="{00000000-0005-0000-0000-0000A85C0000}"/>
    <cellStyle name="입력 5 6 4 4 4" xfId="30337" xr:uid="{00000000-0005-0000-0000-0000A95C0000}"/>
    <cellStyle name="입력 5 6 4 5" xfId="23366" xr:uid="{00000000-0005-0000-0000-0000AA5C0000}"/>
    <cellStyle name="입력 5 6 4 5 2" xfId="20403" xr:uid="{00000000-0005-0000-0000-0000AB5C0000}"/>
    <cellStyle name="입력 5 6 4 5 3" xfId="27596" xr:uid="{00000000-0005-0000-0000-0000AC5C0000}"/>
    <cellStyle name="입력 5 6 4 5 4" xfId="30710" xr:uid="{00000000-0005-0000-0000-0000AD5C0000}"/>
    <cellStyle name="입력 5 6 4 6" xfId="24293" xr:uid="{00000000-0005-0000-0000-0000AE5C0000}"/>
    <cellStyle name="입력 5 6 4 7" xfId="25754" xr:uid="{00000000-0005-0000-0000-0000AF5C0000}"/>
    <cellStyle name="입력 5 6 4 8" xfId="28871" xr:uid="{00000000-0005-0000-0000-0000B05C0000}"/>
    <cellStyle name="입력 5 6 5" xfId="18062" xr:uid="{00000000-0005-0000-0000-0000B15C0000}"/>
    <cellStyle name="입력 5 6 5 2" xfId="20946" xr:uid="{00000000-0005-0000-0000-0000B25C0000}"/>
    <cellStyle name="입력 5 6 5 3" xfId="24413" xr:uid="{00000000-0005-0000-0000-0000B35C0000}"/>
    <cellStyle name="입력 5 6 5 4" xfId="25197" xr:uid="{00000000-0005-0000-0000-0000B45C0000}"/>
    <cellStyle name="입력 5 6 5 5" xfId="28321" xr:uid="{00000000-0005-0000-0000-0000B55C0000}"/>
    <cellStyle name="입력 5 6 6" xfId="18797" xr:uid="{00000000-0005-0000-0000-0000B65C0000}"/>
    <cellStyle name="입력 5 6 7" xfId="18515" xr:uid="{00000000-0005-0000-0000-0000B75C0000}"/>
    <cellStyle name="입력 5 6 8" xfId="18708" xr:uid="{00000000-0005-0000-0000-0000B85C0000}"/>
    <cellStyle name="입력 5 6 9" xfId="17299" xr:uid="{00000000-0005-0000-0000-0000B95C0000}"/>
    <cellStyle name="입력 5 7" xfId="12165" xr:uid="{00000000-0005-0000-0000-0000BA5C0000}"/>
    <cellStyle name="입력 5 7 2" xfId="14810" xr:uid="{00000000-0005-0000-0000-0000BB5C0000}"/>
    <cellStyle name="입력 5 7 2 10" xfId="25026" xr:uid="{00000000-0005-0000-0000-0000BC5C0000}"/>
    <cellStyle name="입력 5 7 2 11" xfId="28150" xr:uid="{00000000-0005-0000-0000-0000BD5C0000}"/>
    <cellStyle name="입력 5 7 2 12" xfId="31126" xr:uid="{00000000-0005-0000-0000-0000BE5C0000}"/>
    <cellStyle name="입력 5 7 2 13" xfId="17442" xr:uid="{00000000-0005-0000-0000-0000BF5C0000}"/>
    <cellStyle name="입력 5 7 2 2" xfId="18063" xr:uid="{00000000-0005-0000-0000-0000C05C0000}"/>
    <cellStyle name="입력 5 7 2 2 2" xfId="22361" xr:uid="{00000000-0005-0000-0000-0000C15C0000}"/>
    <cellStyle name="입력 5 7 2 2 2 2" xfId="19627" xr:uid="{00000000-0005-0000-0000-0000C25C0000}"/>
    <cellStyle name="입력 5 7 2 2 2 3" xfId="26591" xr:uid="{00000000-0005-0000-0000-0000C35C0000}"/>
    <cellStyle name="입력 5 7 2 2 2 4" xfId="29705" xr:uid="{00000000-0005-0000-0000-0000C45C0000}"/>
    <cellStyle name="입력 5 7 2 2 3" xfId="22837" xr:uid="{00000000-0005-0000-0000-0000C55C0000}"/>
    <cellStyle name="입력 5 7 2 2 3 2" xfId="20065" xr:uid="{00000000-0005-0000-0000-0000C65C0000}"/>
    <cellStyle name="입력 5 7 2 2 3 3" xfId="27067" xr:uid="{00000000-0005-0000-0000-0000C75C0000}"/>
    <cellStyle name="입력 5 7 2 2 3 4" xfId="30181" xr:uid="{00000000-0005-0000-0000-0000C85C0000}"/>
    <cellStyle name="입력 5 7 2 2 4" xfId="23220" xr:uid="{00000000-0005-0000-0000-0000C95C0000}"/>
    <cellStyle name="입력 5 7 2 2 4 2" xfId="20293" xr:uid="{00000000-0005-0000-0000-0000CA5C0000}"/>
    <cellStyle name="입력 5 7 2 2 4 3" xfId="27450" xr:uid="{00000000-0005-0000-0000-0000CB5C0000}"/>
    <cellStyle name="입력 5 7 2 2 4 4" xfId="30564" xr:uid="{00000000-0005-0000-0000-0000CC5C0000}"/>
    <cellStyle name="입력 5 7 2 2 5" xfId="23647" xr:uid="{00000000-0005-0000-0000-0000CD5C0000}"/>
    <cellStyle name="입력 5 7 2 2 5 2" xfId="18302" xr:uid="{00000000-0005-0000-0000-0000CE5C0000}"/>
    <cellStyle name="입력 5 7 2 2 5 3" xfId="27877" xr:uid="{00000000-0005-0000-0000-0000CF5C0000}"/>
    <cellStyle name="입력 5 7 2 2 5 4" xfId="30991" xr:uid="{00000000-0005-0000-0000-0000D05C0000}"/>
    <cellStyle name="입력 5 7 2 2 6" xfId="21808" xr:uid="{00000000-0005-0000-0000-0000D15C0000}"/>
    <cellStyle name="입력 5 7 2 2 7" xfId="23928" xr:uid="{00000000-0005-0000-0000-0000D25C0000}"/>
    <cellStyle name="입력 5 7 2 2 8" xfId="26038" xr:uid="{00000000-0005-0000-0000-0000D35C0000}"/>
    <cellStyle name="입력 5 7 2 2 9" xfId="29152" xr:uid="{00000000-0005-0000-0000-0000D45C0000}"/>
    <cellStyle name="입력 5 7 2 3" xfId="18064" xr:uid="{00000000-0005-0000-0000-0000D55C0000}"/>
    <cellStyle name="입력 5 7 2 3 2" xfId="21406" xr:uid="{00000000-0005-0000-0000-0000D65C0000}"/>
    <cellStyle name="입력 5 7 2 3 3" xfId="24017" xr:uid="{00000000-0005-0000-0000-0000D75C0000}"/>
    <cellStyle name="입력 5 7 2 3 4" xfId="25593" xr:uid="{00000000-0005-0000-0000-0000D85C0000}"/>
    <cellStyle name="입력 5 7 2 3 5" xfId="28710" xr:uid="{00000000-0005-0000-0000-0000D95C0000}"/>
    <cellStyle name="입력 5 7 2 4" xfId="21914" xr:uid="{00000000-0005-0000-0000-0000DA5C0000}"/>
    <cellStyle name="입력 5 7 2 4 2" xfId="24377" xr:uid="{00000000-0005-0000-0000-0000DB5C0000}"/>
    <cellStyle name="입력 5 7 2 4 3" xfId="26144" xr:uid="{00000000-0005-0000-0000-0000DC5C0000}"/>
    <cellStyle name="입력 5 7 2 4 4" xfId="29258" xr:uid="{00000000-0005-0000-0000-0000DD5C0000}"/>
    <cellStyle name="입력 5 7 2 5" xfId="21016" xr:uid="{00000000-0005-0000-0000-0000DE5C0000}"/>
    <cellStyle name="입력 5 7 2 5 2" xfId="19409" xr:uid="{00000000-0005-0000-0000-0000DF5C0000}"/>
    <cellStyle name="입력 5 7 2 5 3" xfId="25261" xr:uid="{00000000-0005-0000-0000-0000E05C0000}"/>
    <cellStyle name="입력 5 7 2 5 4" xfId="28385" xr:uid="{00000000-0005-0000-0000-0000E15C0000}"/>
    <cellStyle name="입력 5 7 2 6" xfId="21852" xr:uid="{00000000-0005-0000-0000-0000E25C0000}"/>
    <cellStyle name="입력 5 7 2 6 2" xfId="23809" xr:uid="{00000000-0005-0000-0000-0000E35C0000}"/>
    <cellStyle name="입력 5 7 2 6 3" xfId="26082" xr:uid="{00000000-0005-0000-0000-0000E45C0000}"/>
    <cellStyle name="입력 5 7 2 6 4" xfId="29196" xr:uid="{00000000-0005-0000-0000-0000E55C0000}"/>
    <cellStyle name="입력 5 7 2 7" xfId="21023" xr:uid="{00000000-0005-0000-0000-0000E65C0000}"/>
    <cellStyle name="입력 5 7 2 7 2" xfId="24363" xr:uid="{00000000-0005-0000-0000-0000E75C0000}"/>
    <cellStyle name="입력 5 7 2 7 3" xfId="25268" xr:uid="{00000000-0005-0000-0000-0000E85C0000}"/>
    <cellStyle name="입력 5 7 2 7 4" xfId="28392" xr:uid="{00000000-0005-0000-0000-0000E95C0000}"/>
    <cellStyle name="입력 5 7 2 8" xfId="20778" xr:uid="{00000000-0005-0000-0000-0000EA5C0000}"/>
    <cellStyle name="입력 5 7 2 9" xfId="19081" xr:uid="{00000000-0005-0000-0000-0000EB5C0000}"/>
    <cellStyle name="입력 5 7 3" xfId="15436" xr:uid="{00000000-0005-0000-0000-0000EC5C0000}"/>
    <cellStyle name="입력 5 7 3 10" xfId="28040" xr:uid="{00000000-0005-0000-0000-0000ED5C0000}"/>
    <cellStyle name="입력 5 7 3 11" xfId="17528" xr:uid="{00000000-0005-0000-0000-0000EE5C0000}"/>
    <cellStyle name="입력 5 7 3 2" xfId="15254" xr:uid="{00000000-0005-0000-0000-0000EF5C0000}"/>
    <cellStyle name="입력 5 7 3 2 2" xfId="24386" xr:uid="{00000000-0005-0000-0000-0000F05C0000}"/>
    <cellStyle name="입력 5 7 3 2 3" xfId="25928" xr:uid="{00000000-0005-0000-0000-0000F15C0000}"/>
    <cellStyle name="입력 5 7 3 2 4" xfId="29042" xr:uid="{00000000-0005-0000-0000-0000F25C0000}"/>
    <cellStyle name="입력 5 7 3 2 5" xfId="21698" xr:uid="{00000000-0005-0000-0000-0000F35C0000}"/>
    <cellStyle name="입력 5 7 3 3" xfId="17020" xr:uid="{00000000-0005-0000-0000-0000F45C0000}"/>
    <cellStyle name="입력 5 7 3 3 2" xfId="18402" xr:uid="{00000000-0005-0000-0000-0000F55C0000}"/>
    <cellStyle name="입력 5 7 3 3 3" xfId="26481" xr:uid="{00000000-0005-0000-0000-0000F65C0000}"/>
    <cellStyle name="입력 5 7 3 3 4" xfId="29595" xr:uid="{00000000-0005-0000-0000-0000F75C0000}"/>
    <cellStyle name="입력 5 7 3 3 5" xfId="22251" xr:uid="{00000000-0005-0000-0000-0000F85C0000}"/>
    <cellStyle name="입력 5 7 3 4" xfId="17021" xr:uid="{00000000-0005-0000-0000-0000F95C0000}"/>
    <cellStyle name="입력 5 7 3 4 2" xfId="19964" xr:uid="{00000000-0005-0000-0000-0000FA5C0000}"/>
    <cellStyle name="입력 5 7 3 4 3" xfId="26957" xr:uid="{00000000-0005-0000-0000-0000FB5C0000}"/>
    <cellStyle name="입력 5 7 3 4 4" xfId="30071" xr:uid="{00000000-0005-0000-0000-0000FC5C0000}"/>
    <cellStyle name="입력 5 7 3 4 5" xfId="22727" xr:uid="{00000000-0005-0000-0000-0000FD5C0000}"/>
    <cellStyle name="입력 5 7 3 5" xfId="23136" xr:uid="{00000000-0005-0000-0000-0000FE5C0000}"/>
    <cellStyle name="입력 5 7 3 5 2" xfId="19228" xr:uid="{00000000-0005-0000-0000-0000FF5C0000}"/>
    <cellStyle name="입력 5 7 3 5 3" xfId="27366" xr:uid="{00000000-0005-0000-0000-0000005D0000}"/>
    <cellStyle name="입력 5 7 3 5 4" xfId="30480" xr:uid="{00000000-0005-0000-0000-0000015D0000}"/>
    <cellStyle name="입력 5 7 3 6" xfId="23537" xr:uid="{00000000-0005-0000-0000-0000025D0000}"/>
    <cellStyle name="입력 5 7 3 6 2" xfId="18199" xr:uid="{00000000-0005-0000-0000-0000035D0000}"/>
    <cellStyle name="입력 5 7 3 6 3" xfId="27767" xr:uid="{00000000-0005-0000-0000-0000045D0000}"/>
    <cellStyle name="입력 5 7 3 6 4" xfId="30881" xr:uid="{00000000-0005-0000-0000-0000055D0000}"/>
    <cellStyle name="입력 5 7 3 7" xfId="20668" xr:uid="{00000000-0005-0000-0000-0000065D0000}"/>
    <cellStyle name="입력 5 7 3 8" xfId="18973" xr:uid="{00000000-0005-0000-0000-0000075D0000}"/>
    <cellStyle name="입력 5 7 3 9" xfId="24916" xr:uid="{00000000-0005-0000-0000-0000085D0000}"/>
    <cellStyle name="입력 5 7 4" xfId="17611" xr:uid="{00000000-0005-0000-0000-0000095D0000}"/>
    <cellStyle name="입력 5 7 4 2" xfId="22076" xr:uid="{00000000-0005-0000-0000-00000A5D0000}"/>
    <cellStyle name="입력 5 7 4 2 2" xfId="24119" xr:uid="{00000000-0005-0000-0000-00000B5D0000}"/>
    <cellStyle name="입력 5 7 4 2 3" xfId="26306" xr:uid="{00000000-0005-0000-0000-00000C5D0000}"/>
    <cellStyle name="입력 5 7 4 2 4" xfId="29420" xr:uid="{00000000-0005-0000-0000-00000D5D0000}"/>
    <cellStyle name="입력 5 7 4 3" xfId="22549" xr:uid="{00000000-0005-0000-0000-00000E5D0000}"/>
    <cellStyle name="입력 5 7 4 3 2" xfId="19803" xr:uid="{00000000-0005-0000-0000-00000F5D0000}"/>
    <cellStyle name="입력 5 7 4 3 3" xfId="26779" xr:uid="{00000000-0005-0000-0000-0000105D0000}"/>
    <cellStyle name="입력 5 7 4 3 4" xfId="29893" xr:uid="{00000000-0005-0000-0000-0000115D0000}"/>
    <cellStyle name="입력 5 7 4 4" xfId="22994" xr:uid="{00000000-0005-0000-0000-0000125D0000}"/>
    <cellStyle name="입력 5 7 4 4 2" xfId="20213" xr:uid="{00000000-0005-0000-0000-0000135D0000}"/>
    <cellStyle name="입력 5 7 4 4 3" xfId="27224" xr:uid="{00000000-0005-0000-0000-0000145D0000}"/>
    <cellStyle name="입력 5 7 4 4 4" xfId="30338" xr:uid="{00000000-0005-0000-0000-0000155D0000}"/>
    <cellStyle name="입력 5 7 4 5" xfId="23367" xr:uid="{00000000-0005-0000-0000-0000165D0000}"/>
    <cellStyle name="입력 5 7 4 5 2" xfId="20404" xr:uid="{00000000-0005-0000-0000-0000175D0000}"/>
    <cellStyle name="입력 5 7 4 5 3" xfId="27597" xr:uid="{00000000-0005-0000-0000-0000185D0000}"/>
    <cellStyle name="입력 5 7 4 5 4" xfId="30711" xr:uid="{00000000-0005-0000-0000-0000195D0000}"/>
    <cellStyle name="입력 5 7 4 6" xfId="24111" xr:uid="{00000000-0005-0000-0000-00001A5D0000}"/>
    <cellStyle name="입력 5 7 4 7" xfId="25755" xr:uid="{00000000-0005-0000-0000-00001B5D0000}"/>
    <cellStyle name="입력 5 7 4 8" xfId="28872" xr:uid="{00000000-0005-0000-0000-00001C5D0000}"/>
    <cellStyle name="입력 5 7 5" xfId="18065" xr:uid="{00000000-0005-0000-0000-00001D5D0000}"/>
    <cellStyle name="입력 5 7 5 2" xfId="20947" xr:uid="{00000000-0005-0000-0000-00001E5D0000}"/>
    <cellStyle name="입력 5 7 5 3" xfId="24242" xr:uid="{00000000-0005-0000-0000-00001F5D0000}"/>
    <cellStyle name="입력 5 7 5 4" xfId="25198" xr:uid="{00000000-0005-0000-0000-0000205D0000}"/>
    <cellStyle name="입력 5 7 5 5" xfId="28322" xr:uid="{00000000-0005-0000-0000-0000215D0000}"/>
    <cellStyle name="입력 5 7 6" xfId="18798" xr:uid="{00000000-0005-0000-0000-0000225D0000}"/>
    <cellStyle name="입력 5 7 7" xfId="18514" xr:uid="{00000000-0005-0000-0000-0000235D0000}"/>
    <cellStyle name="입력 5 7 8" xfId="18709" xr:uid="{00000000-0005-0000-0000-0000245D0000}"/>
    <cellStyle name="입력 5 7 9" xfId="17300" xr:uid="{00000000-0005-0000-0000-0000255D0000}"/>
    <cellStyle name="입력 5 8" xfId="14804" xr:uid="{00000000-0005-0000-0000-0000265D0000}"/>
    <cellStyle name="입력 5 8 10" xfId="25020" xr:uid="{00000000-0005-0000-0000-0000275D0000}"/>
    <cellStyle name="입력 5 8 11" xfId="28144" xr:uid="{00000000-0005-0000-0000-0000285D0000}"/>
    <cellStyle name="입력 5 8 12" xfId="31120" xr:uid="{00000000-0005-0000-0000-0000295D0000}"/>
    <cellStyle name="입력 5 8 13" xfId="17448" xr:uid="{00000000-0005-0000-0000-00002A5D0000}"/>
    <cellStyle name="입력 5 8 2" xfId="18066" xr:uid="{00000000-0005-0000-0000-00002B5D0000}"/>
    <cellStyle name="입력 5 8 2 2" xfId="22355" xr:uid="{00000000-0005-0000-0000-00002C5D0000}"/>
    <cellStyle name="입력 5 8 2 2 2" xfId="19622" xr:uid="{00000000-0005-0000-0000-00002D5D0000}"/>
    <cellStyle name="입력 5 8 2 2 3" xfId="26585" xr:uid="{00000000-0005-0000-0000-00002E5D0000}"/>
    <cellStyle name="입력 5 8 2 2 4" xfId="29699" xr:uid="{00000000-0005-0000-0000-00002F5D0000}"/>
    <cellStyle name="입력 5 8 2 3" xfId="22831" xr:uid="{00000000-0005-0000-0000-0000305D0000}"/>
    <cellStyle name="입력 5 8 2 3 2" xfId="20059" xr:uid="{00000000-0005-0000-0000-0000315D0000}"/>
    <cellStyle name="입력 5 8 2 3 3" xfId="27061" xr:uid="{00000000-0005-0000-0000-0000325D0000}"/>
    <cellStyle name="입력 5 8 2 3 4" xfId="30175" xr:uid="{00000000-0005-0000-0000-0000335D0000}"/>
    <cellStyle name="입력 5 8 2 4" xfId="23214" xr:uid="{00000000-0005-0000-0000-0000345D0000}"/>
    <cellStyle name="입력 5 8 2 4 2" xfId="20287" xr:uid="{00000000-0005-0000-0000-0000355D0000}"/>
    <cellStyle name="입력 5 8 2 4 3" xfId="27444" xr:uid="{00000000-0005-0000-0000-0000365D0000}"/>
    <cellStyle name="입력 5 8 2 4 4" xfId="30558" xr:uid="{00000000-0005-0000-0000-0000375D0000}"/>
    <cellStyle name="입력 5 8 2 5" xfId="23641" xr:uid="{00000000-0005-0000-0000-0000385D0000}"/>
    <cellStyle name="입력 5 8 2 5 2" xfId="18296" xr:uid="{00000000-0005-0000-0000-0000395D0000}"/>
    <cellStyle name="입력 5 8 2 5 3" xfId="27871" xr:uid="{00000000-0005-0000-0000-00003A5D0000}"/>
    <cellStyle name="입력 5 8 2 5 4" xfId="30985" xr:uid="{00000000-0005-0000-0000-00003B5D0000}"/>
    <cellStyle name="입력 5 8 2 6" xfId="21802" xr:uid="{00000000-0005-0000-0000-00003C5D0000}"/>
    <cellStyle name="입력 5 8 2 7" xfId="24092" xr:uid="{00000000-0005-0000-0000-00003D5D0000}"/>
    <cellStyle name="입력 5 8 2 8" xfId="26032" xr:uid="{00000000-0005-0000-0000-00003E5D0000}"/>
    <cellStyle name="입력 5 8 2 9" xfId="29146" xr:uid="{00000000-0005-0000-0000-00003F5D0000}"/>
    <cellStyle name="입력 5 8 3" xfId="18067" xr:uid="{00000000-0005-0000-0000-0000405D0000}"/>
    <cellStyle name="입력 5 8 3 2" xfId="21400" xr:uid="{00000000-0005-0000-0000-0000415D0000}"/>
    <cellStyle name="입력 5 8 3 3" xfId="19465" xr:uid="{00000000-0005-0000-0000-0000425D0000}"/>
    <cellStyle name="입력 5 8 3 4" xfId="25587" xr:uid="{00000000-0005-0000-0000-0000435D0000}"/>
    <cellStyle name="입력 5 8 3 5" xfId="28704" xr:uid="{00000000-0005-0000-0000-0000445D0000}"/>
    <cellStyle name="입력 5 8 4" xfId="21908" xr:uid="{00000000-0005-0000-0000-0000455D0000}"/>
    <cellStyle name="입력 5 8 4 2" xfId="24126" xr:uid="{00000000-0005-0000-0000-0000465D0000}"/>
    <cellStyle name="입력 5 8 4 3" xfId="26138" xr:uid="{00000000-0005-0000-0000-0000475D0000}"/>
    <cellStyle name="입력 5 8 4 4" xfId="29252" xr:uid="{00000000-0005-0000-0000-0000485D0000}"/>
    <cellStyle name="입력 5 8 5" xfId="20844" xr:uid="{00000000-0005-0000-0000-0000495D0000}"/>
    <cellStyle name="입력 5 8 5 2" xfId="19149" xr:uid="{00000000-0005-0000-0000-00004A5D0000}"/>
    <cellStyle name="입력 5 8 5 3" xfId="25095" xr:uid="{00000000-0005-0000-0000-00004B5D0000}"/>
    <cellStyle name="입력 5 8 5 4" xfId="28219" xr:uid="{00000000-0005-0000-0000-00004C5D0000}"/>
    <cellStyle name="입력 5 8 6" xfId="21848" xr:uid="{00000000-0005-0000-0000-00004D5D0000}"/>
    <cellStyle name="입력 5 8 6 2" xfId="24279" xr:uid="{00000000-0005-0000-0000-00004E5D0000}"/>
    <cellStyle name="입력 5 8 6 3" xfId="26078" xr:uid="{00000000-0005-0000-0000-00004F5D0000}"/>
    <cellStyle name="입력 5 8 6 4" xfId="29192" xr:uid="{00000000-0005-0000-0000-0000505D0000}"/>
    <cellStyle name="입력 5 8 7" xfId="21111" xr:uid="{00000000-0005-0000-0000-0000515D0000}"/>
    <cellStyle name="입력 5 8 7 2" xfId="24026" xr:uid="{00000000-0005-0000-0000-0000525D0000}"/>
    <cellStyle name="입력 5 8 7 3" xfId="25356" xr:uid="{00000000-0005-0000-0000-0000535D0000}"/>
    <cellStyle name="입력 5 8 7 4" xfId="28480" xr:uid="{00000000-0005-0000-0000-0000545D0000}"/>
    <cellStyle name="입력 5 8 8" xfId="20772" xr:uid="{00000000-0005-0000-0000-0000555D0000}"/>
    <cellStyle name="입력 5 8 9" xfId="19075" xr:uid="{00000000-0005-0000-0000-0000565D0000}"/>
    <cellStyle name="입력 5 9" xfId="15430" xr:uid="{00000000-0005-0000-0000-0000575D0000}"/>
    <cellStyle name="입력 5 9 10" xfId="28034" xr:uid="{00000000-0005-0000-0000-0000585D0000}"/>
    <cellStyle name="입력 5 9 11" xfId="17534" xr:uid="{00000000-0005-0000-0000-0000595D0000}"/>
    <cellStyle name="입력 5 9 2" xfId="15260" xr:uid="{00000000-0005-0000-0000-00005A5D0000}"/>
    <cellStyle name="입력 5 9 2 2" xfId="24135" xr:uid="{00000000-0005-0000-0000-00005B5D0000}"/>
    <cellStyle name="입력 5 9 2 3" xfId="25922" xr:uid="{00000000-0005-0000-0000-00005C5D0000}"/>
    <cellStyle name="입력 5 9 2 4" xfId="29036" xr:uid="{00000000-0005-0000-0000-00005D5D0000}"/>
    <cellStyle name="입력 5 9 2 5" xfId="21692" xr:uid="{00000000-0005-0000-0000-00005E5D0000}"/>
    <cellStyle name="입력 5 9 3" xfId="17022" xr:uid="{00000000-0005-0000-0000-00005F5D0000}"/>
    <cellStyle name="입력 5 9 3 2" xfId="18396" xr:uid="{00000000-0005-0000-0000-0000605D0000}"/>
    <cellStyle name="입력 5 9 3 3" xfId="26475" xr:uid="{00000000-0005-0000-0000-0000615D0000}"/>
    <cellStyle name="입력 5 9 3 4" xfId="29589" xr:uid="{00000000-0005-0000-0000-0000625D0000}"/>
    <cellStyle name="입력 5 9 3 5" xfId="22245" xr:uid="{00000000-0005-0000-0000-0000635D0000}"/>
    <cellStyle name="입력 5 9 4" xfId="17023" xr:uid="{00000000-0005-0000-0000-0000645D0000}"/>
    <cellStyle name="입력 5 9 4 2" xfId="19958" xr:uid="{00000000-0005-0000-0000-0000655D0000}"/>
    <cellStyle name="입력 5 9 4 3" xfId="26951" xr:uid="{00000000-0005-0000-0000-0000665D0000}"/>
    <cellStyle name="입력 5 9 4 4" xfId="30065" xr:uid="{00000000-0005-0000-0000-0000675D0000}"/>
    <cellStyle name="입력 5 9 4 5" xfId="22721" xr:uid="{00000000-0005-0000-0000-0000685D0000}"/>
    <cellStyle name="입력 5 9 5" xfId="23130" xr:uid="{00000000-0005-0000-0000-0000695D0000}"/>
    <cellStyle name="입력 5 9 5 2" xfId="19223" xr:uid="{00000000-0005-0000-0000-00006A5D0000}"/>
    <cellStyle name="입력 5 9 5 3" xfId="27360" xr:uid="{00000000-0005-0000-0000-00006B5D0000}"/>
    <cellStyle name="입력 5 9 5 4" xfId="30474" xr:uid="{00000000-0005-0000-0000-00006C5D0000}"/>
    <cellStyle name="입력 5 9 6" xfId="23531" xr:uid="{00000000-0005-0000-0000-00006D5D0000}"/>
    <cellStyle name="입력 5 9 6 2" xfId="18193" xr:uid="{00000000-0005-0000-0000-00006E5D0000}"/>
    <cellStyle name="입력 5 9 6 3" xfId="27761" xr:uid="{00000000-0005-0000-0000-00006F5D0000}"/>
    <cellStyle name="입력 5 9 6 4" xfId="30875" xr:uid="{00000000-0005-0000-0000-0000705D0000}"/>
    <cellStyle name="입력 5 9 7" xfId="20662" xr:uid="{00000000-0005-0000-0000-0000715D0000}"/>
    <cellStyle name="입력 5 9 8" xfId="18967" xr:uid="{00000000-0005-0000-0000-0000725D0000}"/>
    <cellStyle name="입력 5 9 9" xfId="24910" xr:uid="{00000000-0005-0000-0000-0000735D0000}"/>
    <cellStyle name="입력 6" xfId="17140" xr:uid="{00000000-0005-0000-0000-0000745D0000}"/>
    <cellStyle name="입력 6 2" xfId="21525" xr:uid="{00000000-0005-0000-0000-0000755D0000}"/>
    <cellStyle name="입력 6 3" xfId="32364" xr:uid="{00000000-0005-0000-0000-0000765D0000}"/>
    <cellStyle name="입력 7" xfId="17141" xr:uid="{00000000-0005-0000-0000-0000775D0000}"/>
    <cellStyle name="입력 7 2" xfId="32365" xr:uid="{00000000-0005-0000-0000-0000785D0000}"/>
    <cellStyle name="입력 8" xfId="20491" xr:uid="{00000000-0005-0000-0000-0000795D0000}"/>
    <cellStyle name="제목" xfId="17173" builtinId="15" customBuiltin="1"/>
    <cellStyle name="제목 1" xfId="17174" builtinId="16" customBuiltin="1"/>
    <cellStyle name="제목 1 2" xfId="12166" xr:uid="{00000000-0005-0000-0000-00007C5D0000}"/>
    <cellStyle name="제목 1 2 2" xfId="14811" xr:uid="{00000000-0005-0000-0000-00007D5D0000}"/>
    <cellStyle name="제목 1 2 2 2" xfId="31127" xr:uid="{00000000-0005-0000-0000-00007E5D0000}"/>
    <cellStyle name="제목 1 2 2 3" xfId="17366" xr:uid="{00000000-0005-0000-0000-00007F5D0000}"/>
    <cellStyle name="제목 1 2 3" xfId="15437" xr:uid="{00000000-0005-0000-0000-0000805D0000}"/>
    <cellStyle name="제목 1 3" xfId="12167" xr:uid="{00000000-0005-0000-0000-0000815D0000}"/>
    <cellStyle name="제목 1 3 2" xfId="14812" xr:uid="{00000000-0005-0000-0000-0000825D0000}"/>
    <cellStyle name="제목 1 3 3" xfId="15438" xr:uid="{00000000-0005-0000-0000-0000835D0000}"/>
    <cellStyle name="제목 1 4" xfId="12168" xr:uid="{00000000-0005-0000-0000-0000845D0000}"/>
    <cellStyle name="제목 1 4 2" xfId="14813" xr:uid="{00000000-0005-0000-0000-0000855D0000}"/>
    <cellStyle name="제목 1 4 3" xfId="15439" xr:uid="{00000000-0005-0000-0000-0000865D0000}"/>
    <cellStyle name="제목 1 5" xfId="12169" xr:uid="{00000000-0005-0000-0000-0000875D0000}"/>
    <cellStyle name="제목 1 5 2" xfId="14814" xr:uid="{00000000-0005-0000-0000-0000885D0000}"/>
    <cellStyle name="제목 1 5 3" xfId="15440" xr:uid="{00000000-0005-0000-0000-0000895D0000}"/>
    <cellStyle name="제목 1 6" xfId="21518" xr:uid="{00000000-0005-0000-0000-00008A5D0000}"/>
    <cellStyle name="제목 1 7" xfId="20484" xr:uid="{00000000-0005-0000-0000-00008B5D0000}"/>
    <cellStyle name="제목 2" xfId="17175" builtinId="17" customBuiltin="1"/>
    <cellStyle name="제목 2 2" xfId="12170" xr:uid="{00000000-0005-0000-0000-00008D5D0000}"/>
    <cellStyle name="제목 2 2 2" xfId="14815" xr:uid="{00000000-0005-0000-0000-00008E5D0000}"/>
    <cellStyle name="제목 2 2 2 2" xfId="31128" xr:uid="{00000000-0005-0000-0000-00008F5D0000}"/>
    <cellStyle name="제목 2 2 2 3" xfId="17367" xr:uid="{00000000-0005-0000-0000-0000905D0000}"/>
    <cellStyle name="제목 2 2 3" xfId="15441" xr:uid="{00000000-0005-0000-0000-0000915D0000}"/>
    <cellStyle name="제목 2 3" xfId="12171" xr:uid="{00000000-0005-0000-0000-0000925D0000}"/>
    <cellStyle name="제목 2 3 2" xfId="14816" xr:uid="{00000000-0005-0000-0000-0000935D0000}"/>
    <cellStyle name="제목 2 3 3" xfId="15442" xr:uid="{00000000-0005-0000-0000-0000945D0000}"/>
    <cellStyle name="제목 2 4" xfId="12172" xr:uid="{00000000-0005-0000-0000-0000955D0000}"/>
    <cellStyle name="제목 2 4 2" xfId="14817" xr:uid="{00000000-0005-0000-0000-0000965D0000}"/>
    <cellStyle name="제목 2 4 3" xfId="15443" xr:uid="{00000000-0005-0000-0000-0000975D0000}"/>
    <cellStyle name="제목 2 5" xfId="12173" xr:uid="{00000000-0005-0000-0000-0000985D0000}"/>
    <cellStyle name="제목 2 5 2" xfId="14818" xr:uid="{00000000-0005-0000-0000-0000995D0000}"/>
    <cellStyle name="제목 2 5 3" xfId="15444" xr:uid="{00000000-0005-0000-0000-00009A5D0000}"/>
    <cellStyle name="제목 2 6" xfId="21519" xr:uid="{00000000-0005-0000-0000-00009B5D0000}"/>
    <cellStyle name="제목 2 7" xfId="20485" xr:uid="{00000000-0005-0000-0000-00009C5D0000}"/>
    <cellStyle name="제목 3" xfId="17176" builtinId="18" customBuiltin="1"/>
    <cellStyle name="제목 3 2" xfId="12174" xr:uid="{00000000-0005-0000-0000-00009E5D0000}"/>
    <cellStyle name="제목 3 2 2" xfId="14819" xr:uid="{00000000-0005-0000-0000-00009F5D0000}"/>
    <cellStyle name="제목 3 2 2 2" xfId="31129" xr:uid="{00000000-0005-0000-0000-0000A05D0000}"/>
    <cellStyle name="제목 3 2 2 3" xfId="17368" xr:uid="{00000000-0005-0000-0000-0000A15D0000}"/>
    <cellStyle name="제목 3 2 3" xfId="15445" xr:uid="{00000000-0005-0000-0000-0000A25D0000}"/>
    <cellStyle name="제목 3 2 3 2" xfId="15253" xr:uid="{00000000-0005-0000-0000-0000A35D0000}"/>
    <cellStyle name="제목 3 3" xfId="12175" xr:uid="{00000000-0005-0000-0000-0000A45D0000}"/>
    <cellStyle name="제목 3 3 2" xfId="14820" xr:uid="{00000000-0005-0000-0000-0000A55D0000}"/>
    <cellStyle name="제목 3 3 3" xfId="15446" xr:uid="{00000000-0005-0000-0000-0000A65D0000}"/>
    <cellStyle name="제목 3 3 3 2" xfId="15252" xr:uid="{00000000-0005-0000-0000-0000A75D0000}"/>
    <cellStyle name="제목 3 4" xfId="12176" xr:uid="{00000000-0005-0000-0000-0000A85D0000}"/>
    <cellStyle name="제목 3 4 2" xfId="14821" xr:uid="{00000000-0005-0000-0000-0000A95D0000}"/>
    <cellStyle name="제목 3 4 3" xfId="15447" xr:uid="{00000000-0005-0000-0000-0000AA5D0000}"/>
    <cellStyle name="제목 3 4 3 2" xfId="15251" xr:uid="{00000000-0005-0000-0000-0000AB5D0000}"/>
    <cellStyle name="제목 3 5" xfId="12177" xr:uid="{00000000-0005-0000-0000-0000AC5D0000}"/>
    <cellStyle name="제목 3 5 2" xfId="14822" xr:uid="{00000000-0005-0000-0000-0000AD5D0000}"/>
    <cellStyle name="제목 3 5 3" xfId="15448" xr:uid="{00000000-0005-0000-0000-0000AE5D0000}"/>
    <cellStyle name="제목 3 5 3 2" xfId="15250" xr:uid="{00000000-0005-0000-0000-0000AF5D0000}"/>
    <cellStyle name="제목 3 6" xfId="21520" xr:uid="{00000000-0005-0000-0000-0000B05D0000}"/>
    <cellStyle name="제목 3 7" xfId="20486" xr:uid="{00000000-0005-0000-0000-0000B15D0000}"/>
    <cellStyle name="제목 4" xfId="17177" builtinId="19" customBuiltin="1"/>
    <cellStyle name="제목 4 2" xfId="12178" xr:uid="{00000000-0005-0000-0000-0000B35D0000}"/>
    <cellStyle name="제목 4 2 2" xfId="14823" xr:uid="{00000000-0005-0000-0000-0000B45D0000}"/>
    <cellStyle name="제목 4 2 2 2" xfId="31130" xr:uid="{00000000-0005-0000-0000-0000B55D0000}"/>
    <cellStyle name="제목 4 2 2 3" xfId="17369" xr:uid="{00000000-0005-0000-0000-0000B65D0000}"/>
    <cellStyle name="제목 4 2 3" xfId="15449" xr:uid="{00000000-0005-0000-0000-0000B75D0000}"/>
    <cellStyle name="제목 4 3" xfId="12179" xr:uid="{00000000-0005-0000-0000-0000B85D0000}"/>
    <cellStyle name="제목 4 3 2" xfId="14824" xr:uid="{00000000-0005-0000-0000-0000B95D0000}"/>
    <cellStyle name="제목 4 3 3" xfId="15450" xr:uid="{00000000-0005-0000-0000-0000BA5D0000}"/>
    <cellStyle name="제목 4 4" xfId="12180" xr:uid="{00000000-0005-0000-0000-0000BB5D0000}"/>
    <cellStyle name="제목 4 4 2" xfId="14825" xr:uid="{00000000-0005-0000-0000-0000BC5D0000}"/>
    <cellStyle name="제목 4 4 3" xfId="15451" xr:uid="{00000000-0005-0000-0000-0000BD5D0000}"/>
    <cellStyle name="제목 4 5" xfId="12181" xr:uid="{00000000-0005-0000-0000-0000BE5D0000}"/>
    <cellStyle name="제목 4 5 2" xfId="14826" xr:uid="{00000000-0005-0000-0000-0000BF5D0000}"/>
    <cellStyle name="제목 4 5 3" xfId="15452" xr:uid="{00000000-0005-0000-0000-0000C05D0000}"/>
    <cellStyle name="제목 4 6" xfId="21521" xr:uid="{00000000-0005-0000-0000-0000C15D0000}"/>
    <cellStyle name="제목 4 7" xfId="20487" xr:uid="{00000000-0005-0000-0000-0000C25D0000}"/>
    <cellStyle name="제목 5" xfId="12182" xr:uid="{00000000-0005-0000-0000-0000C35D0000}"/>
    <cellStyle name="제목 5 2" xfId="14827" xr:uid="{00000000-0005-0000-0000-0000C45D0000}"/>
    <cellStyle name="제목 5 2 2" xfId="31131" xr:uid="{00000000-0005-0000-0000-0000C55D0000}"/>
    <cellStyle name="제목 5 2 3" xfId="17370" xr:uid="{00000000-0005-0000-0000-0000C65D0000}"/>
    <cellStyle name="제목 5 3" xfId="15453" xr:uid="{00000000-0005-0000-0000-0000C75D0000}"/>
    <cellStyle name="제목 6" xfId="12183" xr:uid="{00000000-0005-0000-0000-0000C85D0000}"/>
    <cellStyle name="제목 6 2" xfId="14828" xr:uid="{00000000-0005-0000-0000-0000C95D0000}"/>
    <cellStyle name="제목 6 3" xfId="15454" xr:uid="{00000000-0005-0000-0000-0000CA5D0000}"/>
    <cellStyle name="제목 7" xfId="12184" xr:uid="{00000000-0005-0000-0000-0000CB5D0000}"/>
    <cellStyle name="제목 7 2" xfId="14829" xr:uid="{00000000-0005-0000-0000-0000CC5D0000}"/>
    <cellStyle name="제목 7 3" xfId="15455" xr:uid="{00000000-0005-0000-0000-0000CD5D0000}"/>
    <cellStyle name="제목 8" xfId="12185" xr:uid="{00000000-0005-0000-0000-0000CE5D0000}"/>
    <cellStyle name="제목 8 2" xfId="14830" xr:uid="{00000000-0005-0000-0000-0000CF5D0000}"/>
    <cellStyle name="제목 8 3" xfId="15456" xr:uid="{00000000-0005-0000-0000-0000D05D0000}"/>
    <cellStyle name="좋음" xfId="17178" builtinId="26" customBuiltin="1"/>
    <cellStyle name="좋음 2" xfId="12186" xr:uid="{00000000-0005-0000-0000-0000D25D0000}"/>
    <cellStyle name="좋음 2 2" xfId="14831" xr:uid="{00000000-0005-0000-0000-0000D35D0000}"/>
    <cellStyle name="좋음 2 2 2" xfId="31132" xr:uid="{00000000-0005-0000-0000-0000D45D0000}"/>
    <cellStyle name="좋음 2 2 3" xfId="18068" xr:uid="{00000000-0005-0000-0000-0000D55D0000}"/>
    <cellStyle name="좋음 2 3" xfId="15457" xr:uid="{00000000-0005-0000-0000-0000D65D0000}"/>
    <cellStyle name="좋음 2 3 2" xfId="31415" xr:uid="{00000000-0005-0000-0000-0000D75D0000}"/>
    <cellStyle name="좋음 2 3 3" xfId="18069" xr:uid="{00000000-0005-0000-0000-0000D85D0000}"/>
    <cellStyle name="좋음 3" xfId="12187" xr:uid="{00000000-0005-0000-0000-0000D95D0000}"/>
    <cellStyle name="좋음 3 2" xfId="14832" xr:uid="{00000000-0005-0000-0000-0000DA5D0000}"/>
    <cellStyle name="좋음 3 3" xfId="15458" xr:uid="{00000000-0005-0000-0000-0000DB5D0000}"/>
    <cellStyle name="좋음 4" xfId="12188" xr:uid="{00000000-0005-0000-0000-0000DC5D0000}"/>
    <cellStyle name="좋음 4 2" xfId="14833" xr:uid="{00000000-0005-0000-0000-0000DD5D0000}"/>
    <cellStyle name="좋음 4 3" xfId="15459" xr:uid="{00000000-0005-0000-0000-0000DE5D0000}"/>
    <cellStyle name="좋음 5" xfId="12189" xr:uid="{00000000-0005-0000-0000-0000DF5D0000}"/>
    <cellStyle name="좋음 5 2" xfId="14834" xr:uid="{00000000-0005-0000-0000-0000E05D0000}"/>
    <cellStyle name="좋음 5 3" xfId="15460" xr:uid="{00000000-0005-0000-0000-0000E15D0000}"/>
    <cellStyle name="좋음 6" xfId="21522" xr:uid="{00000000-0005-0000-0000-0000E25D0000}"/>
    <cellStyle name="좋음 7" xfId="20488" xr:uid="{00000000-0005-0000-0000-0000E35D0000}"/>
    <cellStyle name="지정되지 않음" xfId="12190" xr:uid="{00000000-0005-0000-0000-0000E45D0000}"/>
    <cellStyle name="지정되지 않음 2" xfId="17142" xr:uid="{00000000-0005-0000-0000-0000E55D0000}"/>
    <cellStyle name="지정되지 않음 3" xfId="17143" xr:uid="{00000000-0005-0000-0000-0000E65D0000}"/>
    <cellStyle name="지정되지 않음 4" xfId="17144" xr:uid="{00000000-0005-0000-0000-0000E75D0000}"/>
    <cellStyle name="쪽번호" xfId="12191" xr:uid="{00000000-0005-0000-0000-0000E85D0000}"/>
    <cellStyle name="출력" xfId="17182" builtinId="21" customBuiltin="1"/>
    <cellStyle name="출력 2" xfId="12192" xr:uid="{00000000-0005-0000-0000-0000EA5D0000}"/>
    <cellStyle name="출력 2 10" xfId="17527" xr:uid="{00000000-0005-0000-0000-0000EB5D0000}"/>
    <cellStyle name="출력 2 10 2" xfId="22077" xr:uid="{00000000-0005-0000-0000-0000EC5D0000}"/>
    <cellStyle name="출력 2 10 2 2" xfId="19317" xr:uid="{00000000-0005-0000-0000-0000ED5D0000}"/>
    <cellStyle name="출력 2 10 2 3" xfId="26307" xr:uid="{00000000-0005-0000-0000-0000EE5D0000}"/>
    <cellStyle name="출력 2 10 2 4" xfId="29421" xr:uid="{00000000-0005-0000-0000-0000EF5D0000}"/>
    <cellStyle name="출력 2 10 3" xfId="22550" xr:uid="{00000000-0005-0000-0000-0000F05D0000}"/>
    <cellStyle name="출력 2 10 3 2" xfId="19804" xr:uid="{00000000-0005-0000-0000-0000F15D0000}"/>
    <cellStyle name="출력 2 10 3 3" xfId="26780" xr:uid="{00000000-0005-0000-0000-0000F25D0000}"/>
    <cellStyle name="출력 2 10 3 4" xfId="29894" xr:uid="{00000000-0005-0000-0000-0000F35D0000}"/>
    <cellStyle name="출력 2 10 4" xfId="22995" xr:uid="{00000000-0005-0000-0000-0000F45D0000}"/>
    <cellStyle name="출력 2 10 4 2" xfId="21254" xr:uid="{00000000-0005-0000-0000-0000F55D0000}"/>
    <cellStyle name="출력 2 10 4 3" xfId="27225" xr:uid="{00000000-0005-0000-0000-0000F65D0000}"/>
    <cellStyle name="출력 2 10 4 4" xfId="30339" xr:uid="{00000000-0005-0000-0000-0000F75D0000}"/>
    <cellStyle name="출력 2 10 5" xfId="23368" xr:uid="{00000000-0005-0000-0000-0000F85D0000}"/>
    <cellStyle name="출력 2 10 5 2" xfId="20406" xr:uid="{00000000-0005-0000-0000-0000F95D0000}"/>
    <cellStyle name="출력 2 10 5 3" xfId="27598" xr:uid="{00000000-0005-0000-0000-0000FA5D0000}"/>
    <cellStyle name="출력 2 10 5 4" xfId="30712" xr:uid="{00000000-0005-0000-0000-0000FB5D0000}"/>
    <cellStyle name="출력 2 10 6" xfId="21517" xr:uid="{00000000-0005-0000-0000-0000FC5D0000}"/>
    <cellStyle name="출력 2 10 7" xfId="19325" xr:uid="{00000000-0005-0000-0000-0000FD5D0000}"/>
    <cellStyle name="출력 2 10 8" xfId="25756" xr:uid="{00000000-0005-0000-0000-0000FE5D0000}"/>
    <cellStyle name="출력 2 10 9" xfId="28873" xr:uid="{00000000-0005-0000-0000-0000FF5D0000}"/>
    <cellStyle name="출력 2 11" xfId="17410" xr:uid="{00000000-0005-0000-0000-0000005E0000}"/>
    <cellStyle name="출력 2 11 2" xfId="19120" xr:uid="{00000000-0005-0000-0000-0000015E0000}"/>
    <cellStyle name="출력 2 11 3" xfId="25065" xr:uid="{00000000-0005-0000-0000-0000025E0000}"/>
    <cellStyle name="출력 2 11 4" xfId="28189" xr:uid="{00000000-0005-0000-0000-0000035E0000}"/>
    <cellStyle name="출력 2 12" xfId="18799" xr:uid="{00000000-0005-0000-0000-0000045E0000}"/>
    <cellStyle name="출력 2 13" xfId="18513" xr:uid="{00000000-0005-0000-0000-0000055E0000}"/>
    <cellStyle name="출력 2 14" xfId="24148" xr:uid="{00000000-0005-0000-0000-0000065E0000}"/>
    <cellStyle name="출력 2 15" xfId="17301" xr:uid="{00000000-0005-0000-0000-0000075E0000}"/>
    <cellStyle name="출력 2 2" xfId="12193" xr:uid="{00000000-0005-0000-0000-0000085E0000}"/>
    <cellStyle name="출력 2 2 2" xfId="14836" xr:uid="{00000000-0005-0000-0000-0000095E0000}"/>
    <cellStyle name="출력 2 2 2 10" xfId="25028" xr:uid="{00000000-0005-0000-0000-00000A5E0000}"/>
    <cellStyle name="출력 2 2 2 11" xfId="28152" xr:uid="{00000000-0005-0000-0000-00000B5E0000}"/>
    <cellStyle name="출력 2 2 2 12" xfId="31134" xr:uid="{00000000-0005-0000-0000-00000C5E0000}"/>
    <cellStyle name="출력 2 2 2 13" xfId="17440" xr:uid="{00000000-0005-0000-0000-00000D5E0000}"/>
    <cellStyle name="출력 2 2 2 2" xfId="21810" xr:uid="{00000000-0005-0000-0000-00000E5E0000}"/>
    <cellStyle name="출력 2 2 2 2 2" xfId="22363" xr:uid="{00000000-0005-0000-0000-00000F5E0000}"/>
    <cellStyle name="출력 2 2 2 2 2 2" xfId="19629" xr:uid="{00000000-0005-0000-0000-0000105E0000}"/>
    <cellStyle name="출력 2 2 2 2 2 3" xfId="26593" xr:uid="{00000000-0005-0000-0000-0000115E0000}"/>
    <cellStyle name="출력 2 2 2 2 2 4" xfId="29707" xr:uid="{00000000-0005-0000-0000-0000125E0000}"/>
    <cellStyle name="출력 2 2 2 2 3" xfId="22839" xr:uid="{00000000-0005-0000-0000-0000135E0000}"/>
    <cellStyle name="출력 2 2 2 2 3 2" xfId="20067" xr:uid="{00000000-0005-0000-0000-0000145E0000}"/>
    <cellStyle name="출력 2 2 2 2 3 3" xfId="27069" xr:uid="{00000000-0005-0000-0000-0000155E0000}"/>
    <cellStyle name="출력 2 2 2 2 3 4" xfId="30183" xr:uid="{00000000-0005-0000-0000-0000165E0000}"/>
    <cellStyle name="출력 2 2 2 2 4" xfId="23222" xr:uid="{00000000-0005-0000-0000-0000175E0000}"/>
    <cellStyle name="출력 2 2 2 2 4 2" xfId="20295" xr:uid="{00000000-0005-0000-0000-0000185E0000}"/>
    <cellStyle name="출력 2 2 2 2 4 3" xfId="27452" xr:uid="{00000000-0005-0000-0000-0000195E0000}"/>
    <cellStyle name="출력 2 2 2 2 4 4" xfId="30566" xr:uid="{00000000-0005-0000-0000-00001A5E0000}"/>
    <cellStyle name="출력 2 2 2 2 5" xfId="23649" xr:uid="{00000000-0005-0000-0000-00001B5E0000}"/>
    <cellStyle name="출력 2 2 2 2 5 2" xfId="18304" xr:uid="{00000000-0005-0000-0000-00001C5E0000}"/>
    <cellStyle name="출력 2 2 2 2 5 3" xfId="27879" xr:uid="{00000000-0005-0000-0000-00001D5E0000}"/>
    <cellStyle name="출력 2 2 2 2 5 4" xfId="30993" xr:uid="{00000000-0005-0000-0000-00001E5E0000}"/>
    <cellStyle name="출력 2 2 2 2 6" xfId="24605" xr:uid="{00000000-0005-0000-0000-00001F5E0000}"/>
    <cellStyle name="출력 2 2 2 2 7" xfId="26040" xr:uid="{00000000-0005-0000-0000-0000205E0000}"/>
    <cellStyle name="출력 2 2 2 2 8" xfId="29154" xr:uid="{00000000-0005-0000-0000-0000215E0000}"/>
    <cellStyle name="출력 2 2 2 3" xfId="21408" xr:uid="{00000000-0005-0000-0000-0000225E0000}"/>
    <cellStyle name="출력 2 2 2 3 2" xfId="24351" xr:uid="{00000000-0005-0000-0000-0000235E0000}"/>
    <cellStyle name="출력 2 2 2 3 3" xfId="25595" xr:uid="{00000000-0005-0000-0000-0000245E0000}"/>
    <cellStyle name="출력 2 2 2 3 4" xfId="28712" xr:uid="{00000000-0005-0000-0000-0000255E0000}"/>
    <cellStyle name="출력 2 2 2 4" xfId="21916" xr:uid="{00000000-0005-0000-0000-0000265E0000}"/>
    <cellStyle name="출력 2 2 2 4 2" xfId="23998" xr:uid="{00000000-0005-0000-0000-0000275E0000}"/>
    <cellStyle name="출력 2 2 2 4 3" xfId="26146" xr:uid="{00000000-0005-0000-0000-0000285E0000}"/>
    <cellStyle name="출력 2 2 2 4 4" xfId="29260" xr:uid="{00000000-0005-0000-0000-0000295E0000}"/>
    <cellStyle name="출력 2 2 2 5" xfId="20846" xr:uid="{00000000-0005-0000-0000-00002A5E0000}"/>
    <cellStyle name="출력 2 2 2 5 2" xfId="19151" xr:uid="{00000000-0005-0000-0000-00002B5E0000}"/>
    <cellStyle name="출력 2 2 2 5 3" xfId="25097" xr:uid="{00000000-0005-0000-0000-00002C5E0000}"/>
    <cellStyle name="출력 2 2 2 5 4" xfId="28221" xr:uid="{00000000-0005-0000-0000-00002D5E0000}"/>
    <cellStyle name="출력 2 2 2 6" xfId="22579" xr:uid="{00000000-0005-0000-0000-00002E5E0000}"/>
    <cellStyle name="출력 2 2 2 6 2" xfId="23905" xr:uid="{00000000-0005-0000-0000-00002F5E0000}"/>
    <cellStyle name="출력 2 2 2 6 3" xfId="26809" xr:uid="{00000000-0005-0000-0000-0000305E0000}"/>
    <cellStyle name="출력 2 2 2 6 4" xfId="29923" xr:uid="{00000000-0005-0000-0000-0000315E0000}"/>
    <cellStyle name="출력 2 2 2 7" xfId="21032" xr:uid="{00000000-0005-0000-0000-0000325E0000}"/>
    <cellStyle name="출력 2 2 2 7 2" xfId="24775" xr:uid="{00000000-0005-0000-0000-0000335E0000}"/>
    <cellStyle name="출력 2 2 2 7 3" xfId="25277" xr:uid="{00000000-0005-0000-0000-0000345E0000}"/>
    <cellStyle name="출력 2 2 2 7 4" xfId="28401" xr:uid="{00000000-0005-0000-0000-0000355E0000}"/>
    <cellStyle name="출력 2 2 2 8" xfId="20780" xr:uid="{00000000-0005-0000-0000-0000365E0000}"/>
    <cellStyle name="출력 2 2 2 9" xfId="19083" xr:uid="{00000000-0005-0000-0000-0000375E0000}"/>
    <cellStyle name="출력 2 2 3" xfId="15462" xr:uid="{00000000-0005-0000-0000-0000385E0000}"/>
    <cellStyle name="출력 2 2 3 10" xfId="28045" xr:uid="{00000000-0005-0000-0000-0000395E0000}"/>
    <cellStyle name="출력 2 2 3 11" xfId="17716" xr:uid="{00000000-0005-0000-0000-00003A5E0000}"/>
    <cellStyle name="출력 2 2 3 2" xfId="15248" xr:uid="{00000000-0005-0000-0000-00003B5E0000}"/>
    <cellStyle name="출력 2 2 3 2 2" xfId="24458" xr:uid="{00000000-0005-0000-0000-00003C5E0000}"/>
    <cellStyle name="출력 2 2 3 2 3" xfId="25933" xr:uid="{00000000-0005-0000-0000-00003D5E0000}"/>
    <cellStyle name="출력 2 2 3 2 4" xfId="29047" xr:uid="{00000000-0005-0000-0000-00003E5E0000}"/>
    <cellStyle name="출력 2 2 3 2 5" xfId="21703" xr:uid="{00000000-0005-0000-0000-00003F5E0000}"/>
    <cellStyle name="출력 2 2 3 3" xfId="17024" xr:uid="{00000000-0005-0000-0000-0000405E0000}"/>
    <cellStyle name="출력 2 2 3 3 2" xfId="18407" xr:uid="{00000000-0005-0000-0000-0000415E0000}"/>
    <cellStyle name="출력 2 2 3 3 3" xfId="26486" xr:uid="{00000000-0005-0000-0000-0000425E0000}"/>
    <cellStyle name="출력 2 2 3 3 4" xfId="29600" xr:uid="{00000000-0005-0000-0000-0000435E0000}"/>
    <cellStyle name="출력 2 2 3 3 5" xfId="22256" xr:uid="{00000000-0005-0000-0000-0000445E0000}"/>
    <cellStyle name="출력 2 2 3 4" xfId="17025" xr:uid="{00000000-0005-0000-0000-0000455E0000}"/>
    <cellStyle name="출력 2 2 3 4 2" xfId="19969" xr:uid="{00000000-0005-0000-0000-0000465E0000}"/>
    <cellStyle name="출력 2 2 3 4 3" xfId="26962" xr:uid="{00000000-0005-0000-0000-0000475E0000}"/>
    <cellStyle name="출력 2 2 3 4 4" xfId="30076" xr:uid="{00000000-0005-0000-0000-0000485E0000}"/>
    <cellStyle name="출력 2 2 3 4 5" xfId="22732" xr:uid="{00000000-0005-0000-0000-0000495E0000}"/>
    <cellStyle name="출력 2 2 3 5" xfId="23138" xr:uid="{00000000-0005-0000-0000-00004A5E0000}"/>
    <cellStyle name="출력 2 2 3 5 2" xfId="19230" xr:uid="{00000000-0005-0000-0000-00004B5E0000}"/>
    <cellStyle name="출력 2 2 3 5 3" xfId="27368" xr:uid="{00000000-0005-0000-0000-00004C5E0000}"/>
    <cellStyle name="출력 2 2 3 5 4" xfId="30482" xr:uid="{00000000-0005-0000-0000-00004D5E0000}"/>
    <cellStyle name="출력 2 2 3 6" xfId="23542" xr:uid="{00000000-0005-0000-0000-00004E5E0000}"/>
    <cellStyle name="출력 2 2 3 6 2" xfId="18204" xr:uid="{00000000-0005-0000-0000-00004F5E0000}"/>
    <cellStyle name="출력 2 2 3 6 3" xfId="27772" xr:uid="{00000000-0005-0000-0000-0000505E0000}"/>
    <cellStyle name="출력 2 2 3 6 4" xfId="30886" xr:uid="{00000000-0005-0000-0000-0000515E0000}"/>
    <cellStyle name="출력 2 2 3 7" xfId="20673" xr:uid="{00000000-0005-0000-0000-0000525E0000}"/>
    <cellStyle name="출력 2 2 3 8" xfId="18978" xr:uid="{00000000-0005-0000-0000-0000535E0000}"/>
    <cellStyle name="출력 2 2 3 9" xfId="24921" xr:uid="{00000000-0005-0000-0000-0000545E0000}"/>
    <cellStyle name="출력 2 2 4" xfId="17396" xr:uid="{00000000-0005-0000-0000-0000555E0000}"/>
    <cellStyle name="출력 2 2 4 2" xfId="22078" xr:uid="{00000000-0005-0000-0000-0000565E0000}"/>
    <cellStyle name="출력 2 2 4 2 2" xfId="19558" xr:uid="{00000000-0005-0000-0000-0000575E0000}"/>
    <cellStyle name="출력 2 2 4 2 3" xfId="26308" xr:uid="{00000000-0005-0000-0000-0000585E0000}"/>
    <cellStyle name="출력 2 2 4 2 4" xfId="29422" xr:uid="{00000000-0005-0000-0000-0000595E0000}"/>
    <cellStyle name="출력 2 2 4 3" xfId="22551" xr:uid="{00000000-0005-0000-0000-00005A5E0000}"/>
    <cellStyle name="출력 2 2 4 3 2" xfId="19805" xr:uid="{00000000-0005-0000-0000-00005B5E0000}"/>
    <cellStyle name="출력 2 2 4 3 3" xfId="26781" xr:uid="{00000000-0005-0000-0000-00005C5E0000}"/>
    <cellStyle name="출력 2 2 4 3 4" xfId="29895" xr:uid="{00000000-0005-0000-0000-00005D5E0000}"/>
    <cellStyle name="출력 2 2 4 4" xfId="22996" xr:uid="{00000000-0005-0000-0000-00005E5E0000}"/>
    <cellStyle name="출력 2 2 4 4 2" xfId="20214" xr:uid="{00000000-0005-0000-0000-00005F5E0000}"/>
    <cellStyle name="출력 2 2 4 4 3" xfId="27226" xr:uid="{00000000-0005-0000-0000-0000605E0000}"/>
    <cellStyle name="출력 2 2 4 4 4" xfId="30340" xr:uid="{00000000-0005-0000-0000-0000615E0000}"/>
    <cellStyle name="출력 2 2 4 5" xfId="23369" xr:uid="{00000000-0005-0000-0000-0000625E0000}"/>
    <cellStyle name="출력 2 2 4 5 2" xfId="23827" xr:uid="{00000000-0005-0000-0000-0000635E0000}"/>
    <cellStyle name="출력 2 2 4 5 3" xfId="27599" xr:uid="{00000000-0005-0000-0000-0000645E0000}"/>
    <cellStyle name="출력 2 2 4 5 4" xfId="30713" xr:uid="{00000000-0005-0000-0000-0000655E0000}"/>
    <cellStyle name="출력 2 2 4 6" xfId="23769" xr:uid="{00000000-0005-0000-0000-0000665E0000}"/>
    <cellStyle name="출력 2 2 4 7" xfId="25757" xr:uid="{00000000-0005-0000-0000-0000675E0000}"/>
    <cellStyle name="출력 2 2 4 8" xfId="28874" xr:uid="{00000000-0005-0000-0000-0000685E0000}"/>
    <cellStyle name="출력 2 2 5" xfId="20948" xr:uid="{00000000-0005-0000-0000-0000695E0000}"/>
    <cellStyle name="출력 2 2 5 2" xfId="24032" xr:uid="{00000000-0005-0000-0000-00006A5E0000}"/>
    <cellStyle name="출력 2 2 5 3" xfId="25199" xr:uid="{00000000-0005-0000-0000-00006B5E0000}"/>
    <cellStyle name="출력 2 2 5 4" xfId="28323" xr:uid="{00000000-0005-0000-0000-00006C5E0000}"/>
    <cellStyle name="출력 2 2 6" xfId="18800" xr:uid="{00000000-0005-0000-0000-00006D5E0000}"/>
    <cellStyle name="출력 2 2 7" xfId="18512" xr:uid="{00000000-0005-0000-0000-00006E5E0000}"/>
    <cellStyle name="출력 2 2 8" xfId="23679" xr:uid="{00000000-0005-0000-0000-00006F5E0000}"/>
    <cellStyle name="출력 2 2 9" xfId="17302" xr:uid="{00000000-0005-0000-0000-0000705E0000}"/>
    <cellStyle name="출력 2 3" xfId="12194" xr:uid="{00000000-0005-0000-0000-0000715E0000}"/>
    <cellStyle name="출력 2 3 2" xfId="14837" xr:uid="{00000000-0005-0000-0000-0000725E0000}"/>
    <cellStyle name="출력 2 3 2 10" xfId="25029" xr:uid="{00000000-0005-0000-0000-0000735E0000}"/>
    <cellStyle name="출력 2 3 2 11" xfId="28153" xr:uid="{00000000-0005-0000-0000-0000745E0000}"/>
    <cellStyle name="출력 2 3 2 12" xfId="31135" xr:uid="{00000000-0005-0000-0000-0000755E0000}"/>
    <cellStyle name="출력 2 3 2 13" xfId="17439" xr:uid="{00000000-0005-0000-0000-0000765E0000}"/>
    <cellStyle name="출력 2 3 2 2" xfId="21811" xr:uid="{00000000-0005-0000-0000-0000775E0000}"/>
    <cellStyle name="출력 2 3 2 2 2" xfId="22364" xr:uid="{00000000-0005-0000-0000-0000785E0000}"/>
    <cellStyle name="출력 2 3 2 2 2 2" xfId="19630" xr:uid="{00000000-0005-0000-0000-0000795E0000}"/>
    <cellStyle name="출력 2 3 2 2 2 3" xfId="26594" xr:uid="{00000000-0005-0000-0000-00007A5E0000}"/>
    <cellStyle name="출력 2 3 2 2 2 4" xfId="29708" xr:uid="{00000000-0005-0000-0000-00007B5E0000}"/>
    <cellStyle name="출력 2 3 2 2 3" xfId="22840" xr:uid="{00000000-0005-0000-0000-00007C5E0000}"/>
    <cellStyle name="출력 2 3 2 2 3 2" xfId="20068" xr:uid="{00000000-0005-0000-0000-00007D5E0000}"/>
    <cellStyle name="출력 2 3 2 2 3 3" xfId="27070" xr:uid="{00000000-0005-0000-0000-00007E5E0000}"/>
    <cellStyle name="출력 2 3 2 2 3 4" xfId="30184" xr:uid="{00000000-0005-0000-0000-00007F5E0000}"/>
    <cellStyle name="출력 2 3 2 2 4" xfId="23223" xr:uid="{00000000-0005-0000-0000-0000805E0000}"/>
    <cellStyle name="출력 2 3 2 2 4 2" xfId="23833" xr:uid="{00000000-0005-0000-0000-0000815E0000}"/>
    <cellStyle name="출력 2 3 2 2 4 3" xfId="27453" xr:uid="{00000000-0005-0000-0000-0000825E0000}"/>
    <cellStyle name="출력 2 3 2 2 4 4" xfId="30567" xr:uid="{00000000-0005-0000-0000-0000835E0000}"/>
    <cellStyle name="출력 2 3 2 2 5" xfId="23650" xr:uid="{00000000-0005-0000-0000-0000845E0000}"/>
    <cellStyle name="출력 2 3 2 2 5 2" xfId="18305" xr:uid="{00000000-0005-0000-0000-0000855E0000}"/>
    <cellStyle name="출력 2 3 2 2 5 3" xfId="27880" xr:uid="{00000000-0005-0000-0000-0000865E0000}"/>
    <cellStyle name="출력 2 3 2 2 5 4" xfId="30994" xr:uid="{00000000-0005-0000-0000-0000875E0000}"/>
    <cellStyle name="출력 2 3 2 2 6" xfId="24478" xr:uid="{00000000-0005-0000-0000-0000885E0000}"/>
    <cellStyle name="출력 2 3 2 2 7" xfId="26041" xr:uid="{00000000-0005-0000-0000-0000895E0000}"/>
    <cellStyle name="출력 2 3 2 2 8" xfId="29155" xr:uid="{00000000-0005-0000-0000-00008A5E0000}"/>
    <cellStyle name="출력 2 3 2 3" xfId="21409" xr:uid="{00000000-0005-0000-0000-00008B5E0000}"/>
    <cellStyle name="출력 2 3 2 3 2" xfId="24179" xr:uid="{00000000-0005-0000-0000-00008C5E0000}"/>
    <cellStyle name="출력 2 3 2 3 3" xfId="25596" xr:uid="{00000000-0005-0000-0000-00008D5E0000}"/>
    <cellStyle name="출력 2 3 2 3 4" xfId="28713" xr:uid="{00000000-0005-0000-0000-00008E5E0000}"/>
    <cellStyle name="출력 2 3 2 4" xfId="21917" xr:uid="{00000000-0005-0000-0000-00008F5E0000}"/>
    <cellStyle name="출력 2 3 2 4 2" xfId="24709" xr:uid="{00000000-0005-0000-0000-0000905E0000}"/>
    <cellStyle name="출력 2 3 2 4 3" xfId="26147" xr:uid="{00000000-0005-0000-0000-0000915E0000}"/>
    <cellStyle name="출력 2 3 2 4 4" xfId="29261" xr:uid="{00000000-0005-0000-0000-0000925E0000}"/>
    <cellStyle name="출력 2 3 2 5" xfId="22390" xr:uid="{00000000-0005-0000-0000-0000935E0000}"/>
    <cellStyle name="출력 2 3 2 5 2" xfId="19654" xr:uid="{00000000-0005-0000-0000-0000945E0000}"/>
    <cellStyle name="출력 2 3 2 5 3" xfId="26620" xr:uid="{00000000-0005-0000-0000-0000955E0000}"/>
    <cellStyle name="출력 2 3 2 5 4" xfId="29734" xr:uid="{00000000-0005-0000-0000-0000965E0000}"/>
    <cellStyle name="출력 2 3 2 6" xfId="21853" xr:uid="{00000000-0005-0000-0000-0000975E0000}"/>
    <cellStyle name="출력 2 3 2 6 2" xfId="23885" xr:uid="{00000000-0005-0000-0000-0000985E0000}"/>
    <cellStyle name="출력 2 3 2 6 3" xfId="26083" xr:uid="{00000000-0005-0000-0000-0000995E0000}"/>
    <cellStyle name="출력 2 3 2 6 4" xfId="29197" xr:uid="{00000000-0005-0000-0000-00009A5E0000}"/>
    <cellStyle name="출력 2 3 2 7" xfId="22578" xr:uid="{00000000-0005-0000-0000-00009B5E0000}"/>
    <cellStyle name="출력 2 3 2 7 2" xfId="19827" xr:uid="{00000000-0005-0000-0000-00009C5E0000}"/>
    <cellStyle name="출력 2 3 2 7 3" xfId="26808" xr:uid="{00000000-0005-0000-0000-00009D5E0000}"/>
    <cellStyle name="출력 2 3 2 7 4" xfId="29922" xr:uid="{00000000-0005-0000-0000-00009E5E0000}"/>
    <cellStyle name="출력 2 3 2 8" xfId="20781" xr:uid="{00000000-0005-0000-0000-00009F5E0000}"/>
    <cellStyle name="출력 2 3 2 9" xfId="19084" xr:uid="{00000000-0005-0000-0000-0000A05E0000}"/>
    <cellStyle name="출력 2 3 3" xfId="15463" xr:uid="{00000000-0005-0000-0000-0000A15E0000}"/>
    <cellStyle name="출력 2 3 3 10" xfId="28046" xr:uid="{00000000-0005-0000-0000-0000A25E0000}"/>
    <cellStyle name="출력 2 3 3 11" xfId="17526" xr:uid="{00000000-0005-0000-0000-0000A35E0000}"/>
    <cellStyle name="출력 2 3 3 2" xfId="15247" xr:uid="{00000000-0005-0000-0000-0000A45E0000}"/>
    <cellStyle name="출력 2 3 3 2 2" xfId="24285" xr:uid="{00000000-0005-0000-0000-0000A55E0000}"/>
    <cellStyle name="출력 2 3 3 2 3" xfId="25934" xr:uid="{00000000-0005-0000-0000-0000A65E0000}"/>
    <cellStyle name="출력 2 3 3 2 4" xfId="29048" xr:uid="{00000000-0005-0000-0000-0000A75E0000}"/>
    <cellStyle name="출력 2 3 3 2 5" xfId="21704" xr:uid="{00000000-0005-0000-0000-0000A85E0000}"/>
    <cellStyle name="출력 2 3 3 3" xfId="17026" xr:uid="{00000000-0005-0000-0000-0000A95E0000}"/>
    <cellStyle name="출력 2 3 3 3 2" xfId="18408" xr:uid="{00000000-0005-0000-0000-0000AA5E0000}"/>
    <cellStyle name="출력 2 3 3 3 3" xfId="26487" xr:uid="{00000000-0005-0000-0000-0000AB5E0000}"/>
    <cellStyle name="출력 2 3 3 3 4" xfId="29601" xr:uid="{00000000-0005-0000-0000-0000AC5E0000}"/>
    <cellStyle name="출력 2 3 3 3 5" xfId="22257" xr:uid="{00000000-0005-0000-0000-0000AD5E0000}"/>
    <cellStyle name="출력 2 3 3 4" xfId="17027" xr:uid="{00000000-0005-0000-0000-0000AE5E0000}"/>
    <cellStyle name="출력 2 3 3 4 2" xfId="19970" xr:uid="{00000000-0005-0000-0000-0000AF5E0000}"/>
    <cellStyle name="출력 2 3 3 4 3" xfId="26963" xr:uid="{00000000-0005-0000-0000-0000B05E0000}"/>
    <cellStyle name="출력 2 3 3 4 4" xfId="30077" xr:uid="{00000000-0005-0000-0000-0000B15E0000}"/>
    <cellStyle name="출력 2 3 3 4 5" xfId="22733" xr:uid="{00000000-0005-0000-0000-0000B25E0000}"/>
    <cellStyle name="출력 2 3 3 5" xfId="23139" xr:uid="{00000000-0005-0000-0000-0000B35E0000}"/>
    <cellStyle name="출력 2 3 3 5 2" xfId="19231" xr:uid="{00000000-0005-0000-0000-0000B45E0000}"/>
    <cellStyle name="출력 2 3 3 5 3" xfId="27369" xr:uid="{00000000-0005-0000-0000-0000B55E0000}"/>
    <cellStyle name="출력 2 3 3 5 4" xfId="30483" xr:uid="{00000000-0005-0000-0000-0000B65E0000}"/>
    <cellStyle name="출력 2 3 3 6" xfId="23543" xr:uid="{00000000-0005-0000-0000-0000B75E0000}"/>
    <cellStyle name="출력 2 3 3 6 2" xfId="18205" xr:uid="{00000000-0005-0000-0000-0000B85E0000}"/>
    <cellStyle name="출력 2 3 3 6 3" xfId="27773" xr:uid="{00000000-0005-0000-0000-0000B95E0000}"/>
    <cellStyle name="출력 2 3 3 6 4" xfId="30887" xr:uid="{00000000-0005-0000-0000-0000BA5E0000}"/>
    <cellStyle name="출력 2 3 3 7" xfId="20674" xr:uid="{00000000-0005-0000-0000-0000BB5E0000}"/>
    <cellStyle name="출력 2 3 3 8" xfId="18979" xr:uid="{00000000-0005-0000-0000-0000BC5E0000}"/>
    <cellStyle name="출력 2 3 3 9" xfId="24922" xr:uid="{00000000-0005-0000-0000-0000BD5E0000}"/>
    <cellStyle name="출력 2 3 4" xfId="17397" xr:uid="{00000000-0005-0000-0000-0000BE5E0000}"/>
    <cellStyle name="출력 2 3 4 2" xfId="22079" xr:uid="{00000000-0005-0000-0000-0000BF5E0000}"/>
    <cellStyle name="출력 2 3 4 2 2" xfId="23715" xr:uid="{00000000-0005-0000-0000-0000C05E0000}"/>
    <cellStyle name="출력 2 3 4 2 3" xfId="26309" xr:uid="{00000000-0005-0000-0000-0000C15E0000}"/>
    <cellStyle name="출력 2 3 4 2 4" xfId="29423" xr:uid="{00000000-0005-0000-0000-0000C25E0000}"/>
    <cellStyle name="출력 2 3 4 3" xfId="22552" xr:uid="{00000000-0005-0000-0000-0000C35E0000}"/>
    <cellStyle name="출력 2 3 4 3 2" xfId="21181" xr:uid="{00000000-0005-0000-0000-0000C45E0000}"/>
    <cellStyle name="출력 2 3 4 3 3" xfId="26782" xr:uid="{00000000-0005-0000-0000-0000C55E0000}"/>
    <cellStyle name="출력 2 3 4 3 4" xfId="29896" xr:uid="{00000000-0005-0000-0000-0000C65E0000}"/>
    <cellStyle name="출력 2 3 4 4" xfId="22997" xr:uid="{00000000-0005-0000-0000-0000C75E0000}"/>
    <cellStyle name="출력 2 3 4 4 2" xfId="20215" xr:uid="{00000000-0005-0000-0000-0000C85E0000}"/>
    <cellStyle name="출력 2 3 4 4 3" xfId="27227" xr:uid="{00000000-0005-0000-0000-0000C95E0000}"/>
    <cellStyle name="출력 2 3 4 4 4" xfId="30341" xr:uid="{00000000-0005-0000-0000-0000CA5E0000}"/>
    <cellStyle name="출력 2 3 4 5" xfId="23370" xr:uid="{00000000-0005-0000-0000-0000CB5E0000}"/>
    <cellStyle name="출력 2 3 4 5 2" xfId="20407" xr:uid="{00000000-0005-0000-0000-0000CC5E0000}"/>
    <cellStyle name="출력 2 3 4 5 3" xfId="27600" xr:uid="{00000000-0005-0000-0000-0000CD5E0000}"/>
    <cellStyle name="출력 2 3 4 5 4" xfId="30714" xr:uid="{00000000-0005-0000-0000-0000CE5E0000}"/>
    <cellStyle name="출력 2 3 4 6" xfId="23797" xr:uid="{00000000-0005-0000-0000-0000CF5E0000}"/>
    <cellStyle name="출력 2 3 4 7" xfId="25758" xr:uid="{00000000-0005-0000-0000-0000D05E0000}"/>
    <cellStyle name="출력 2 3 4 8" xfId="28875" xr:uid="{00000000-0005-0000-0000-0000D15E0000}"/>
    <cellStyle name="출력 2 3 5" xfId="20949" xr:uid="{00000000-0005-0000-0000-0000D25E0000}"/>
    <cellStyle name="출력 2 3 5 2" xfId="24625" xr:uid="{00000000-0005-0000-0000-0000D35E0000}"/>
    <cellStyle name="출력 2 3 5 3" xfId="25200" xr:uid="{00000000-0005-0000-0000-0000D45E0000}"/>
    <cellStyle name="출력 2 3 5 4" xfId="28324" xr:uid="{00000000-0005-0000-0000-0000D55E0000}"/>
    <cellStyle name="출력 2 3 6" xfId="18801" xr:uid="{00000000-0005-0000-0000-0000D65E0000}"/>
    <cellStyle name="출력 2 3 7" xfId="18511" xr:uid="{00000000-0005-0000-0000-0000D75E0000}"/>
    <cellStyle name="출력 2 3 8" xfId="19439" xr:uid="{00000000-0005-0000-0000-0000D85E0000}"/>
    <cellStyle name="출력 2 3 9" xfId="17303" xr:uid="{00000000-0005-0000-0000-0000D95E0000}"/>
    <cellStyle name="출력 2 4" xfId="12195" xr:uid="{00000000-0005-0000-0000-0000DA5E0000}"/>
    <cellStyle name="출력 2 4 2" xfId="14838" xr:uid="{00000000-0005-0000-0000-0000DB5E0000}"/>
    <cellStyle name="출력 2 4 2 10" xfId="25030" xr:uid="{00000000-0005-0000-0000-0000DC5E0000}"/>
    <cellStyle name="출력 2 4 2 11" xfId="28154" xr:uid="{00000000-0005-0000-0000-0000DD5E0000}"/>
    <cellStyle name="출력 2 4 2 12" xfId="31136" xr:uid="{00000000-0005-0000-0000-0000DE5E0000}"/>
    <cellStyle name="출력 2 4 2 13" xfId="17438" xr:uid="{00000000-0005-0000-0000-0000DF5E0000}"/>
    <cellStyle name="출력 2 4 2 2" xfId="21812" xr:uid="{00000000-0005-0000-0000-0000E05E0000}"/>
    <cellStyle name="출력 2 4 2 2 2" xfId="22365" xr:uid="{00000000-0005-0000-0000-0000E15E0000}"/>
    <cellStyle name="출력 2 4 2 2 2 2" xfId="19631" xr:uid="{00000000-0005-0000-0000-0000E25E0000}"/>
    <cellStyle name="출력 2 4 2 2 2 3" xfId="26595" xr:uid="{00000000-0005-0000-0000-0000E35E0000}"/>
    <cellStyle name="출력 2 4 2 2 2 4" xfId="29709" xr:uid="{00000000-0005-0000-0000-0000E45E0000}"/>
    <cellStyle name="출력 2 4 2 2 3" xfId="22841" xr:uid="{00000000-0005-0000-0000-0000E55E0000}"/>
    <cellStyle name="출력 2 4 2 2 3 2" xfId="20069" xr:uid="{00000000-0005-0000-0000-0000E65E0000}"/>
    <cellStyle name="출력 2 4 2 2 3 3" xfId="27071" xr:uid="{00000000-0005-0000-0000-0000E75E0000}"/>
    <cellStyle name="출력 2 4 2 2 3 4" xfId="30185" xr:uid="{00000000-0005-0000-0000-0000E85E0000}"/>
    <cellStyle name="출력 2 4 2 2 4" xfId="23224" xr:uid="{00000000-0005-0000-0000-0000E95E0000}"/>
    <cellStyle name="출력 2 4 2 2 4 2" xfId="20296" xr:uid="{00000000-0005-0000-0000-0000EA5E0000}"/>
    <cellStyle name="출력 2 4 2 2 4 3" xfId="27454" xr:uid="{00000000-0005-0000-0000-0000EB5E0000}"/>
    <cellStyle name="출력 2 4 2 2 4 4" xfId="30568" xr:uid="{00000000-0005-0000-0000-0000EC5E0000}"/>
    <cellStyle name="출력 2 4 2 2 5" xfId="23651" xr:uid="{00000000-0005-0000-0000-0000ED5E0000}"/>
    <cellStyle name="출력 2 4 2 2 5 2" xfId="18306" xr:uid="{00000000-0005-0000-0000-0000EE5E0000}"/>
    <cellStyle name="출력 2 4 2 2 5 3" xfId="27881" xr:uid="{00000000-0005-0000-0000-0000EF5E0000}"/>
    <cellStyle name="출력 2 4 2 2 5 4" xfId="30995" xr:uid="{00000000-0005-0000-0000-0000F05E0000}"/>
    <cellStyle name="출력 2 4 2 2 6" xfId="24305" xr:uid="{00000000-0005-0000-0000-0000F15E0000}"/>
    <cellStyle name="출력 2 4 2 2 7" xfId="26042" xr:uid="{00000000-0005-0000-0000-0000F25E0000}"/>
    <cellStyle name="출력 2 4 2 2 8" xfId="29156" xr:uid="{00000000-0005-0000-0000-0000F35E0000}"/>
    <cellStyle name="출력 2 4 2 3" xfId="21410" xr:uid="{00000000-0005-0000-0000-0000F45E0000}"/>
    <cellStyle name="출력 2 4 2 3 2" xfId="23972" xr:uid="{00000000-0005-0000-0000-0000F55E0000}"/>
    <cellStyle name="출력 2 4 2 3 3" xfId="25597" xr:uid="{00000000-0005-0000-0000-0000F65E0000}"/>
    <cellStyle name="출력 2 4 2 3 4" xfId="28714" xr:uid="{00000000-0005-0000-0000-0000F75E0000}"/>
    <cellStyle name="출력 2 4 2 4" xfId="21918" xr:uid="{00000000-0005-0000-0000-0000F85E0000}"/>
    <cellStyle name="출력 2 4 2 4 2" xfId="24579" xr:uid="{00000000-0005-0000-0000-0000F95E0000}"/>
    <cellStyle name="출력 2 4 2 4 3" xfId="26148" xr:uid="{00000000-0005-0000-0000-0000FA5E0000}"/>
    <cellStyle name="출력 2 4 2 4 4" xfId="29262" xr:uid="{00000000-0005-0000-0000-0000FB5E0000}"/>
    <cellStyle name="출력 2 4 2 5" xfId="22391" xr:uid="{00000000-0005-0000-0000-0000FC5E0000}"/>
    <cellStyle name="출력 2 4 2 5 2" xfId="19655" xr:uid="{00000000-0005-0000-0000-0000FD5E0000}"/>
    <cellStyle name="출력 2 4 2 5 3" xfId="26621" xr:uid="{00000000-0005-0000-0000-0000FE5E0000}"/>
    <cellStyle name="출력 2 4 2 5 4" xfId="29735" xr:uid="{00000000-0005-0000-0000-0000FF5E0000}"/>
    <cellStyle name="출력 2 4 2 6" xfId="21854" xr:uid="{00000000-0005-0000-0000-0000005F0000}"/>
    <cellStyle name="출력 2 4 2 6 2" xfId="23783" xr:uid="{00000000-0005-0000-0000-0000015F0000}"/>
    <cellStyle name="출력 2 4 2 6 3" xfId="26084" xr:uid="{00000000-0005-0000-0000-0000025F0000}"/>
    <cellStyle name="출력 2 4 2 6 4" xfId="29198" xr:uid="{00000000-0005-0000-0000-0000035F0000}"/>
    <cellStyle name="출력 2 4 2 7" xfId="21046" xr:uid="{00000000-0005-0000-0000-0000045F0000}"/>
    <cellStyle name="출력 2 4 2 7 2" xfId="24190" xr:uid="{00000000-0005-0000-0000-0000055F0000}"/>
    <cellStyle name="출력 2 4 2 7 3" xfId="25291" xr:uid="{00000000-0005-0000-0000-0000065F0000}"/>
    <cellStyle name="출력 2 4 2 7 4" xfId="28415" xr:uid="{00000000-0005-0000-0000-0000075F0000}"/>
    <cellStyle name="출력 2 4 2 8" xfId="20782" xr:uid="{00000000-0005-0000-0000-0000085F0000}"/>
    <cellStyle name="출력 2 4 2 9" xfId="19085" xr:uid="{00000000-0005-0000-0000-0000095F0000}"/>
    <cellStyle name="출력 2 4 3" xfId="15464" xr:uid="{00000000-0005-0000-0000-00000A5F0000}"/>
    <cellStyle name="출력 2 4 3 10" xfId="28047" xr:uid="{00000000-0005-0000-0000-00000B5F0000}"/>
    <cellStyle name="출력 2 4 3 11" xfId="17525" xr:uid="{00000000-0005-0000-0000-00000C5F0000}"/>
    <cellStyle name="출력 2 4 3 2" xfId="15246" xr:uid="{00000000-0005-0000-0000-00000D5F0000}"/>
    <cellStyle name="출력 2 4 3 2 2" xfId="24103" xr:uid="{00000000-0005-0000-0000-00000E5F0000}"/>
    <cellStyle name="출력 2 4 3 2 3" xfId="25935" xr:uid="{00000000-0005-0000-0000-00000F5F0000}"/>
    <cellStyle name="출력 2 4 3 2 4" xfId="29049" xr:uid="{00000000-0005-0000-0000-0000105F0000}"/>
    <cellStyle name="출력 2 4 3 2 5" xfId="21705" xr:uid="{00000000-0005-0000-0000-0000115F0000}"/>
    <cellStyle name="출력 2 4 3 3" xfId="17028" xr:uid="{00000000-0005-0000-0000-0000125F0000}"/>
    <cellStyle name="출력 2 4 3 3 2" xfId="18409" xr:uid="{00000000-0005-0000-0000-0000135F0000}"/>
    <cellStyle name="출력 2 4 3 3 3" xfId="26488" xr:uid="{00000000-0005-0000-0000-0000145F0000}"/>
    <cellStyle name="출력 2 4 3 3 4" xfId="29602" xr:uid="{00000000-0005-0000-0000-0000155F0000}"/>
    <cellStyle name="출력 2 4 3 3 5" xfId="22258" xr:uid="{00000000-0005-0000-0000-0000165F0000}"/>
    <cellStyle name="출력 2 4 3 4" xfId="17029" xr:uid="{00000000-0005-0000-0000-0000175F0000}"/>
    <cellStyle name="출력 2 4 3 4 2" xfId="19971" xr:uid="{00000000-0005-0000-0000-0000185F0000}"/>
    <cellStyle name="출력 2 4 3 4 3" xfId="26964" xr:uid="{00000000-0005-0000-0000-0000195F0000}"/>
    <cellStyle name="출력 2 4 3 4 4" xfId="30078" xr:uid="{00000000-0005-0000-0000-00001A5F0000}"/>
    <cellStyle name="출력 2 4 3 4 5" xfId="22734" xr:uid="{00000000-0005-0000-0000-00001B5F0000}"/>
    <cellStyle name="출력 2 4 3 5" xfId="23140" xr:uid="{00000000-0005-0000-0000-00001C5F0000}"/>
    <cellStyle name="출력 2 4 3 5 2" xfId="19232" xr:uid="{00000000-0005-0000-0000-00001D5F0000}"/>
    <cellStyle name="출력 2 4 3 5 3" xfId="27370" xr:uid="{00000000-0005-0000-0000-00001E5F0000}"/>
    <cellStyle name="출력 2 4 3 5 4" xfId="30484" xr:uid="{00000000-0005-0000-0000-00001F5F0000}"/>
    <cellStyle name="출력 2 4 3 6" xfId="23544" xr:uid="{00000000-0005-0000-0000-0000205F0000}"/>
    <cellStyle name="출력 2 4 3 6 2" xfId="18206" xr:uid="{00000000-0005-0000-0000-0000215F0000}"/>
    <cellStyle name="출력 2 4 3 6 3" xfId="27774" xr:uid="{00000000-0005-0000-0000-0000225F0000}"/>
    <cellStyle name="출력 2 4 3 6 4" xfId="30888" xr:uid="{00000000-0005-0000-0000-0000235F0000}"/>
    <cellStyle name="출력 2 4 3 7" xfId="20675" xr:uid="{00000000-0005-0000-0000-0000245F0000}"/>
    <cellStyle name="출력 2 4 3 8" xfId="18980" xr:uid="{00000000-0005-0000-0000-0000255F0000}"/>
    <cellStyle name="출력 2 4 3 9" xfId="24923" xr:uid="{00000000-0005-0000-0000-0000265F0000}"/>
    <cellStyle name="출력 2 4 4" xfId="17411" xr:uid="{00000000-0005-0000-0000-0000275F0000}"/>
    <cellStyle name="출력 2 4 4 2" xfId="22080" xr:uid="{00000000-0005-0000-0000-0000285F0000}"/>
    <cellStyle name="출력 2 4 4 2 2" xfId="24631" xr:uid="{00000000-0005-0000-0000-0000295F0000}"/>
    <cellStyle name="출력 2 4 4 2 3" xfId="26310" xr:uid="{00000000-0005-0000-0000-00002A5F0000}"/>
    <cellStyle name="출력 2 4 4 2 4" xfId="29424" xr:uid="{00000000-0005-0000-0000-00002B5F0000}"/>
    <cellStyle name="출력 2 4 4 3" xfId="22553" xr:uid="{00000000-0005-0000-0000-00002C5F0000}"/>
    <cellStyle name="출력 2 4 4 3 2" xfId="19806" xr:uid="{00000000-0005-0000-0000-00002D5F0000}"/>
    <cellStyle name="출력 2 4 4 3 3" xfId="26783" xr:uid="{00000000-0005-0000-0000-00002E5F0000}"/>
    <cellStyle name="출력 2 4 4 3 4" xfId="29897" xr:uid="{00000000-0005-0000-0000-00002F5F0000}"/>
    <cellStyle name="출력 2 4 4 4" xfId="22998" xr:uid="{00000000-0005-0000-0000-0000305F0000}"/>
    <cellStyle name="출력 2 4 4 4 2" xfId="20216" xr:uid="{00000000-0005-0000-0000-0000315F0000}"/>
    <cellStyle name="출력 2 4 4 4 3" xfId="27228" xr:uid="{00000000-0005-0000-0000-0000325F0000}"/>
    <cellStyle name="출력 2 4 4 4 4" xfId="30342" xr:uid="{00000000-0005-0000-0000-0000335F0000}"/>
    <cellStyle name="출력 2 4 4 5" xfId="23371" xr:uid="{00000000-0005-0000-0000-0000345F0000}"/>
    <cellStyle name="출력 2 4 4 5 2" xfId="20408" xr:uid="{00000000-0005-0000-0000-0000355F0000}"/>
    <cellStyle name="출력 2 4 4 5 3" xfId="27601" xr:uid="{00000000-0005-0000-0000-0000365F0000}"/>
    <cellStyle name="출력 2 4 4 5 4" xfId="30715" xr:uid="{00000000-0005-0000-0000-0000375F0000}"/>
    <cellStyle name="출력 2 4 4 6" xfId="23898" xr:uid="{00000000-0005-0000-0000-0000385F0000}"/>
    <cellStyle name="출력 2 4 4 7" xfId="25759" xr:uid="{00000000-0005-0000-0000-0000395F0000}"/>
    <cellStyle name="출력 2 4 4 8" xfId="28876" xr:uid="{00000000-0005-0000-0000-00003A5F0000}"/>
    <cellStyle name="출력 2 4 5" xfId="20950" xr:uid="{00000000-0005-0000-0000-00003B5F0000}"/>
    <cellStyle name="출력 2 4 5 2" xfId="24540" xr:uid="{00000000-0005-0000-0000-00003C5F0000}"/>
    <cellStyle name="출력 2 4 5 3" xfId="25201" xr:uid="{00000000-0005-0000-0000-00003D5F0000}"/>
    <cellStyle name="출력 2 4 5 4" xfId="28325" xr:uid="{00000000-0005-0000-0000-00003E5F0000}"/>
    <cellStyle name="출력 2 4 6" xfId="18802" xr:uid="{00000000-0005-0000-0000-00003F5F0000}"/>
    <cellStyle name="출력 2 4 7" xfId="18510" xr:uid="{00000000-0005-0000-0000-0000405F0000}"/>
    <cellStyle name="출력 2 4 8" xfId="19440" xr:uid="{00000000-0005-0000-0000-0000415F0000}"/>
    <cellStyle name="출력 2 4 9" xfId="17304" xr:uid="{00000000-0005-0000-0000-0000425F0000}"/>
    <cellStyle name="출력 2 5" xfId="12196" xr:uid="{00000000-0005-0000-0000-0000435F0000}"/>
    <cellStyle name="출력 2 5 2" xfId="14839" xr:uid="{00000000-0005-0000-0000-0000445F0000}"/>
    <cellStyle name="출력 2 5 2 10" xfId="25031" xr:uid="{00000000-0005-0000-0000-0000455F0000}"/>
    <cellStyle name="출력 2 5 2 11" xfId="28155" xr:uid="{00000000-0005-0000-0000-0000465F0000}"/>
    <cellStyle name="출력 2 5 2 12" xfId="31137" xr:uid="{00000000-0005-0000-0000-0000475F0000}"/>
    <cellStyle name="출력 2 5 2 13" xfId="17437" xr:uid="{00000000-0005-0000-0000-0000485F0000}"/>
    <cellStyle name="출력 2 5 2 2" xfId="21813" xr:uid="{00000000-0005-0000-0000-0000495F0000}"/>
    <cellStyle name="출력 2 5 2 2 2" xfId="22366" xr:uid="{00000000-0005-0000-0000-00004A5F0000}"/>
    <cellStyle name="출력 2 5 2 2 2 2" xfId="19632" xr:uid="{00000000-0005-0000-0000-00004B5F0000}"/>
    <cellStyle name="출력 2 5 2 2 2 3" xfId="26596" xr:uid="{00000000-0005-0000-0000-00004C5F0000}"/>
    <cellStyle name="출력 2 5 2 2 2 4" xfId="29710" xr:uid="{00000000-0005-0000-0000-00004D5F0000}"/>
    <cellStyle name="출력 2 5 2 2 3" xfId="22842" xr:uid="{00000000-0005-0000-0000-00004E5F0000}"/>
    <cellStyle name="출력 2 5 2 2 3 2" xfId="20070" xr:uid="{00000000-0005-0000-0000-00004F5F0000}"/>
    <cellStyle name="출력 2 5 2 2 3 3" xfId="27072" xr:uid="{00000000-0005-0000-0000-0000505F0000}"/>
    <cellStyle name="출력 2 5 2 2 3 4" xfId="30186" xr:uid="{00000000-0005-0000-0000-0000515F0000}"/>
    <cellStyle name="출력 2 5 2 2 4" xfId="23225" xr:uid="{00000000-0005-0000-0000-0000525F0000}"/>
    <cellStyle name="출력 2 5 2 2 4 2" xfId="20297" xr:uid="{00000000-0005-0000-0000-0000535F0000}"/>
    <cellStyle name="출력 2 5 2 2 4 3" xfId="27455" xr:uid="{00000000-0005-0000-0000-0000545F0000}"/>
    <cellStyle name="출력 2 5 2 2 4 4" xfId="30569" xr:uid="{00000000-0005-0000-0000-0000555F0000}"/>
    <cellStyle name="출력 2 5 2 2 5" xfId="23652" xr:uid="{00000000-0005-0000-0000-0000565F0000}"/>
    <cellStyle name="출력 2 5 2 2 5 2" xfId="18307" xr:uid="{00000000-0005-0000-0000-0000575F0000}"/>
    <cellStyle name="출력 2 5 2 2 5 3" xfId="27882" xr:uid="{00000000-0005-0000-0000-0000585F0000}"/>
    <cellStyle name="출력 2 5 2 2 5 4" xfId="30996" xr:uid="{00000000-0005-0000-0000-0000595F0000}"/>
    <cellStyle name="출력 2 5 2 2 6" xfId="24123" xr:uid="{00000000-0005-0000-0000-00005A5F0000}"/>
    <cellStyle name="출력 2 5 2 2 7" xfId="26043" xr:uid="{00000000-0005-0000-0000-00005B5F0000}"/>
    <cellStyle name="출력 2 5 2 2 8" xfId="29157" xr:uid="{00000000-0005-0000-0000-00005C5F0000}"/>
    <cellStyle name="출력 2 5 2 3" xfId="21411" xr:uid="{00000000-0005-0000-0000-00005D5F0000}"/>
    <cellStyle name="출력 2 5 2 3 2" xfId="24730" xr:uid="{00000000-0005-0000-0000-00005E5F0000}"/>
    <cellStyle name="출력 2 5 2 3 3" xfId="25598" xr:uid="{00000000-0005-0000-0000-00005F5F0000}"/>
    <cellStyle name="출력 2 5 2 3 4" xfId="28715" xr:uid="{00000000-0005-0000-0000-0000605F0000}"/>
    <cellStyle name="출력 2 5 2 4" xfId="21919" xr:uid="{00000000-0005-0000-0000-0000615F0000}"/>
    <cellStyle name="출력 2 5 2 4 2" xfId="24449" xr:uid="{00000000-0005-0000-0000-0000625F0000}"/>
    <cellStyle name="출력 2 5 2 4 3" xfId="26149" xr:uid="{00000000-0005-0000-0000-0000635F0000}"/>
    <cellStyle name="출력 2 5 2 4 4" xfId="29263" xr:uid="{00000000-0005-0000-0000-0000645F0000}"/>
    <cellStyle name="출력 2 5 2 5" xfId="22392" xr:uid="{00000000-0005-0000-0000-0000655F0000}"/>
    <cellStyle name="출력 2 5 2 5 2" xfId="19656" xr:uid="{00000000-0005-0000-0000-0000665F0000}"/>
    <cellStyle name="출력 2 5 2 5 3" xfId="26622" xr:uid="{00000000-0005-0000-0000-0000675F0000}"/>
    <cellStyle name="출력 2 5 2 5 4" xfId="29736" xr:uid="{00000000-0005-0000-0000-0000685F0000}"/>
    <cellStyle name="출력 2 5 2 6" xfId="21855" xr:uid="{00000000-0005-0000-0000-0000695F0000}"/>
    <cellStyle name="출력 2 5 2 6 2" xfId="23933" xr:uid="{00000000-0005-0000-0000-00006A5F0000}"/>
    <cellStyle name="출력 2 5 2 6 3" xfId="26085" xr:uid="{00000000-0005-0000-0000-00006B5F0000}"/>
    <cellStyle name="출력 2 5 2 6 4" xfId="29199" xr:uid="{00000000-0005-0000-0000-00006C5F0000}"/>
    <cellStyle name="출력 2 5 2 7" xfId="20980" xr:uid="{00000000-0005-0000-0000-00006D5F0000}"/>
    <cellStyle name="출력 2 5 2 7 2" xfId="19406" xr:uid="{00000000-0005-0000-0000-00006E5F0000}"/>
    <cellStyle name="출력 2 5 2 7 3" xfId="25228" xr:uid="{00000000-0005-0000-0000-00006F5F0000}"/>
    <cellStyle name="출력 2 5 2 7 4" xfId="28352" xr:uid="{00000000-0005-0000-0000-0000705F0000}"/>
    <cellStyle name="출력 2 5 2 8" xfId="20783" xr:uid="{00000000-0005-0000-0000-0000715F0000}"/>
    <cellStyle name="출력 2 5 2 9" xfId="19086" xr:uid="{00000000-0005-0000-0000-0000725F0000}"/>
    <cellStyle name="출력 2 5 3" xfId="15465" xr:uid="{00000000-0005-0000-0000-0000735F0000}"/>
    <cellStyle name="출력 2 5 3 10" xfId="28048" xr:uid="{00000000-0005-0000-0000-0000745F0000}"/>
    <cellStyle name="출력 2 5 3 11" xfId="17524" xr:uid="{00000000-0005-0000-0000-0000755F0000}"/>
    <cellStyle name="출력 2 5 3 2" xfId="15245" xr:uid="{00000000-0005-0000-0000-0000765F0000}"/>
    <cellStyle name="출력 2 5 3 2 2" xfId="19333" xr:uid="{00000000-0005-0000-0000-0000775F0000}"/>
    <cellStyle name="출력 2 5 3 2 3" xfId="25936" xr:uid="{00000000-0005-0000-0000-0000785F0000}"/>
    <cellStyle name="출력 2 5 3 2 4" xfId="29050" xr:uid="{00000000-0005-0000-0000-0000795F0000}"/>
    <cellStyle name="출력 2 5 3 2 5" xfId="21706" xr:uid="{00000000-0005-0000-0000-00007A5F0000}"/>
    <cellStyle name="출력 2 5 3 3" xfId="17030" xr:uid="{00000000-0005-0000-0000-00007B5F0000}"/>
    <cellStyle name="출력 2 5 3 3 2" xfId="18410" xr:uid="{00000000-0005-0000-0000-00007C5F0000}"/>
    <cellStyle name="출력 2 5 3 3 3" xfId="26489" xr:uid="{00000000-0005-0000-0000-00007D5F0000}"/>
    <cellStyle name="출력 2 5 3 3 4" xfId="29603" xr:uid="{00000000-0005-0000-0000-00007E5F0000}"/>
    <cellStyle name="출력 2 5 3 3 5" xfId="22259" xr:uid="{00000000-0005-0000-0000-00007F5F0000}"/>
    <cellStyle name="출력 2 5 3 4" xfId="17031" xr:uid="{00000000-0005-0000-0000-0000805F0000}"/>
    <cellStyle name="출력 2 5 3 4 2" xfId="19972" xr:uid="{00000000-0005-0000-0000-0000815F0000}"/>
    <cellStyle name="출력 2 5 3 4 3" xfId="26965" xr:uid="{00000000-0005-0000-0000-0000825F0000}"/>
    <cellStyle name="출력 2 5 3 4 4" xfId="30079" xr:uid="{00000000-0005-0000-0000-0000835F0000}"/>
    <cellStyle name="출력 2 5 3 4 5" xfId="22735" xr:uid="{00000000-0005-0000-0000-0000845F0000}"/>
    <cellStyle name="출력 2 5 3 5" xfId="23141" xr:uid="{00000000-0005-0000-0000-0000855F0000}"/>
    <cellStyle name="출력 2 5 3 5 2" xfId="19233" xr:uid="{00000000-0005-0000-0000-0000865F0000}"/>
    <cellStyle name="출력 2 5 3 5 3" xfId="27371" xr:uid="{00000000-0005-0000-0000-0000875F0000}"/>
    <cellStyle name="출력 2 5 3 5 4" xfId="30485" xr:uid="{00000000-0005-0000-0000-0000885F0000}"/>
    <cellStyle name="출력 2 5 3 6" xfId="23545" xr:uid="{00000000-0005-0000-0000-0000895F0000}"/>
    <cellStyle name="출력 2 5 3 6 2" xfId="18207" xr:uid="{00000000-0005-0000-0000-00008A5F0000}"/>
    <cellStyle name="출력 2 5 3 6 3" xfId="27775" xr:uid="{00000000-0005-0000-0000-00008B5F0000}"/>
    <cellStyle name="출력 2 5 3 6 4" xfId="30889" xr:uid="{00000000-0005-0000-0000-00008C5F0000}"/>
    <cellStyle name="출력 2 5 3 7" xfId="20676" xr:uid="{00000000-0005-0000-0000-00008D5F0000}"/>
    <cellStyle name="출력 2 5 3 8" xfId="18981" xr:uid="{00000000-0005-0000-0000-00008E5F0000}"/>
    <cellStyle name="출력 2 5 3 9" xfId="24924" xr:uid="{00000000-0005-0000-0000-00008F5F0000}"/>
    <cellStyle name="출력 2 5 4" xfId="17386" xr:uid="{00000000-0005-0000-0000-0000905F0000}"/>
    <cellStyle name="출력 2 5 4 2" xfId="22081" xr:uid="{00000000-0005-0000-0000-0000915F0000}"/>
    <cellStyle name="출력 2 5 4 2 2" xfId="24546" xr:uid="{00000000-0005-0000-0000-0000925F0000}"/>
    <cellStyle name="출력 2 5 4 2 3" xfId="26311" xr:uid="{00000000-0005-0000-0000-0000935F0000}"/>
    <cellStyle name="출력 2 5 4 2 4" xfId="29425" xr:uid="{00000000-0005-0000-0000-0000945F0000}"/>
    <cellStyle name="출력 2 5 4 3" xfId="22554" xr:uid="{00000000-0005-0000-0000-0000955F0000}"/>
    <cellStyle name="출력 2 5 4 3 2" xfId="19807" xr:uid="{00000000-0005-0000-0000-0000965F0000}"/>
    <cellStyle name="출력 2 5 4 3 3" xfId="26784" xr:uid="{00000000-0005-0000-0000-0000975F0000}"/>
    <cellStyle name="출력 2 5 4 3 4" xfId="29898" xr:uid="{00000000-0005-0000-0000-0000985F0000}"/>
    <cellStyle name="출력 2 5 4 4" xfId="22999" xr:uid="{00000000-0005-0000-0000-0000995F0000}"/>
    <cellStyle name="출력 2 5 4 4 2" xfId="20217" xr:uid="{00000000-0005-0000-0000-00009A5F0000}"/>
    <cellStyle name="출력 2 5 4 4 3" xfId="27229" xr:uid="{00000000-0005-0000-0000-00009B5F0000}"/>
    <cellStyle name="출력 2 5 4 4 4" xfId="30343" xr:uid="{00000000-0005-0000-0000-00009C5F0000}"/>
    <cellStyle name="출력 2 5 4 5" xfId="23372" xr:uid="{00000000-0005-0000-0000-00009D5F0000}"/>
    <cellStyle name="출력 2 5 4 5 2" xfId="20409" xr:uid="{00000000-0005-0000-0000-00009E5F0000}"/>
    <cellStyle name="출력 2 5 4 5 3" xfId="27602" xr:uid="{00000000-0005-0000-0000-00009F5F0000}"/>
    <cellStyle name="출력 2 5 4 5 4" xfId="30716" xr:uid="{00000000-0005-0000-0000-0000A05F0000}"/>
    <cellStyle name="출력 2 5 4 6" xfId="24174" xr:uid="{00000000-0005-0000-0000-0000A15F0000}"/>
    <cellStyle name="출력 2 5 4 7" xfId="25760" xr:uid="{00000000-0005-0000-0000-0000A25F0000}"/>
    <cellStyle name="출력 2 5 4 8" xfId="28877" xr:uid="{00000000-0005-0000-0000-0000A35F0000}"/>
    <cellStyle name="출력 2 5 5" xfId="20951" xr:uid="{00000000-0005-0000-0000-0000A45F0000}"/>
    <cellStyle name="출력 2 5 5 2" xfId="24364" xr:uid="{00000000-0005-0000-0000-0000A55F0000}"/>
    <cellStyle name="출력 2 5 5 3" xfId="25202" xr:uid="{00000000-0005-0000-0000-0000A65F0000}"/>
    <cellStyle name="출력 2 5 5 4" xfId="28326" xr:uid="{00000000-0005-0000-0000-0000A75F0000}"/>
    <cellStyle name="출력 2 5 6" xfId="18803" xr:uid="{00000000-0005-0000-0000-0000A85F0000}"/>
    <cellStyle name="출력 2 5 7" xfId="18509" xr:uid="{00000000-0005-0000-0000-0000A95F0000}"/>
    <cellStyle name="출력 2 5 8" xfId="24503" xr:uid="{00000000-0005-0000-0000-0000AA5F0000}"/>
    <cellStyle name="출력 2 5 9" xfId="17305" xr:uid="{00000000-0005-0000-0000-0000AB5F0000}"/>
    <cellStyle name="출력 2 6" xfId="12197" xr:uid="{00000000-0005-0000-0000-0000AC5F0000}"/>
    <cellStyle name="출력 2 6 2" xfId="14840" xr:uid="{00000000-0005-0000-0000-0000AD5F0000}"/>
    <cellStyle name="출력 2 6 2 10" xfId="25032" xr:uid="{00000000-0005-0000-0000-0000AE5F0000}"/>
    <cellStyle name="출력 2 6 2 11" xfId="28156" xr:uid="{00000000-0005-0000-0000-0000AF5F0000}"/>
    <cellStyle name="출력 2 6 2 12" xfId="31138" xr:uid="{00000000-0005-0000-0000-0000B05F0000}"/>
    <cellStyle name="출력 2 6 2 13" xfId="17436" xr:uid="{00000000-0005-0000-0000-0000B15F0000}"/>
    <cellStyle name="출력 2 6 2 2" xfId="21814" xr:uid="{00000000-0005-0000-0000-0000B25F0000}"/>
    <cellStyle name="출력 2 6 2 2 2" xfId="22367" xr:uid="{00000000-0005-0000-0000-0000B35F0000}"/>
    <cellStyle name="출력 2 6 2 2 2 2" xfId="19633" xr:uid="{00000000-0005-0000-0000-0000B45F0000}"/>
    <cellStyle name="출력 2 6 2 2 2 3" xfId="26597" xr:uid="{00000000-0005-0000-0000-0000B55F0000}"/>
    <cellStyle name="출력 2 6 2 2 2 4" xfId="29711" xr:uid="{00000000-0005-0000-0000-0000B65F0000}"/>
    <cellStyle name="출력 2 6 2 2 3" xfId="22843" xr:uid="{00000000-0005-0000-0000-0000B75F0000}"/>
    <cellStyle name="출력 2 6 2 2 3 2" xfId="20071" xr:uid="{00000000-0005-0000-0000-0000B85F0000}"/>
    <cellStyle name="출력 2 6 2 2 3 3" xfId="27073" xr:uid="{00000000-0005-0000-0000-0000B95F0000}"/>
    <cellStyle name="출력 2 6 2 2 3 4" xfId="30187" xr:uid="{00000000-0005-0000-0000-0000BA5F0000}"/>
    <cellStyle name="출력 2 6 2 2 4" xfId="23226" xr:uid="{00000000-0005-0000-0000-0000BB5F0000}"/>
    <cellStyle name="출력 2 6 2 2 4 2" xfId="20298" xr:uid="{00000000-0005-0000-0000-0000BC5F0000}"/>
    <cellStyle name="출력 2 6 2 2 4 3" xfId="27456" xr:uid="{00000000-0005-0000-0000-0000BD5F0000}"/>
    <cellStyle name="출력 2 6 2 2 4 4" xfId="30570" xr:uid="{00000000-0005-0000-0000-0000BE5F0000}"/>
    <cellStyle name="출력 2 6 2 2 5" xfId="23653" xr:uid="{00000000-0005-0000-0000-0000BF5F0000}"/>
    <cellStyle name="출력 2 6 2 2 5 2" xfId="18308" xr:uid="{00000000-0005-0000-0000-0000C05F0000}"/>
    <cellStyle name="출력 2 6 2 2 5 3" xfId="27883" xr:uid="{00000000-0005-0000-0000-0000C15F0000}"/>
    <cellStyle name="출력 2 6 2 2 5 4" xfId="30997" xr:uid="{00000000-0005-0000-0000-0000C25F0000}"/>
    <cellStyle name="출력 2 6 2 2 6" xfId="19313" xr:uid="{00000000-0005-0000-0000-0000C35F0000}"/>
    <cellStyle name="출력 2 6 2 2 7" xfId="26044" xr:uid="{00000000-0005-0000-0000-0000C45F0000}"/>
    <cellStyle name="출력 2 6 2 2 8" xfId="29158" xr:uid="{00000000-0005-0000-0000-0000C55F0000}"/>
    <cellStyle name="출력 2 6 2 3" xfId="21412" xr:uid="{00000000-0005-0000-0000-0000C65F0000}"/>
    <cellStyle name="출력 2 6 2 3 2" xfId="24469" xr:uid="{00000000-0005-0000-0000-0000C75F0000}"/>
    <cellStyle name="출력 2 6 2 3 3" xfId="25599" xr:uid="{00000000-0005-0000-0000-0000C85F0000}"/>
    <cellStyle name="출력 2 6 2 3 4" xfId="28716" xr:uid="{00000000-0005-0000-0000-0000C95F0000}"/>
    <cellStyle name="출력 2 6 2 4" xfId="21920" xr:uid="{00000000-0005-0000-0000-0000CA5F0000}"/>
    <cellStyle name="출력 2 6 2 4 2" xfId="24276" xr:uid="{00000000-0005-0000-0000-0000CB5F0000}"/>
    <cellStyle name="출력 2 6 2 4 3" xfId="26150" xr:uid="{00000000-0005-0000-0000-0000CC5F0000}"/>
    <cellStyle name="출력 2 6 2 4 4" xfId="29264" xr:uid="{00000000-0005-0000-0000-0000CD5F0000}"/>
    <cellStyle name="출력 2 6 2 5" xfId="22393" xr:uid="{00000000-0005-0000-0000-0000CE5F0000}"/>
    <cellStyle name="출력 2 6 2 5 2" xfId="19657" xr:uid="{00000000-0005-0000-0000-0000CF5F0000}"/>
    <cellStyle name="출력 2 6 2 5 3" xfId="26623" xr:uid="{00000000-0005-0000-0000-0000D05F0000}"/>
    <cellStyle name="출력 2 6 2 5 4" xfId="29737" xr:uid="{00000000-0005-0000-0000-0000D15F0000}"/>
    <cellStyle name="출력 2 6 2 6" xfId="22866" xr:uid="{00000000-0005-0000-0000-0000D25F0000}"/>
    <cellStyle name="출력 2 6 2 6 2" xfId="20094" xr:uid="{00000000-0005-0000-0000-0000D35F0000}"/>
    <cellStyle name="출력 2 6 2 6 3" xfId="27096" xr:uid="{00000000-0005-0000-0000-0000D45F0000}"/>
    <cellStyle name="출력 2 6 2 6 4" xfId="30210" xr:uid="{00000000-0005-0000-0000-0000D55F0000}"/>
    <cellStyle name="출력 2 6 2 7" xfId="20976" xr:uid="{00000000-0005-0000-0000-0000D65F0000}"/>
    <cellStyle name="출력 2 6 2 7 2" xfId="24519" xr:uid="{00000000-0005-0000-0000-0000D75F0000}"/>
    <cellStyle name="출력 2 6 2 7 3" xfId="25224" xr:uid="{00000000-0005-0000-0000-0000D85F0000}"/>
    <cellStyle name="출력 2 6 2 7 4" xfId="28348" xr:uid="{00000000-0005-0000-0000-0000D95F0000}"/>
    <cellStyle name="출력 2 6 2 8" xfId="20784" xr:uid="{00000000-0005-0000-0000-0000DA5F0000}"/>
    <cellStyle name="출력 2 6 2 9" xfId="19087" xr:uid="{00000000-0005-0000-0000-0000DB5F0000}"/>
    <cellStyle name="출력 2 6 3" xfId="15466" xr:uid="{00000000-0005-0000-0000-0000DC5F0000}"/>
    <cellStyle name="출력 2 6 3 10" xfId="28049" xr:uid="{00000000-0005-0000-0000-0000DD5F0000}"/>
    <cellStyle name="출력 2 6 3 11" xfId="17523" xr:uid="{00000000-0005-0000-0000-0000DE5F0000}"/>
    <cellStyle name="출력 2 6 3 2" xfId="15244" xr:uid="{00000000-0005-0000-0000-0000DF5F0000}"/>
    <cellStyle name="출력 2 6 3 2 2" xfId="23865" xr:uid="{00000000-0005-0000-0000-0000E05F0000}"/>
    <cellStyle name="출력 2 6 3 2 3" xfId="25937" xr:uid="{00000000-0005-0000-0000-0000E15F0000}"/>
    <cellStyle name="출력 2 6 3 2 4" xfId="29051" xr:uid="{00000000-0005-0000-0000-0000E25F0000}"/>
    <cellStyle name="출력 2 6 3 2 5" xfId="21707" xr:uid="{00000000-0005-0000-0000-0000E35F0000}"/>
    <cellStyle name="출력 2 6 3 3" xfId="17032" xr:uid="{00000000-0005-0000-0000-0000E45F0000}"/>
    <cellStyle name="출력 2 6 3 3 2" xfId="18411" xr:uid="{00000000-0005-0000-0000-0000E55F0000}"/>
    <cellStyle name="출력 2 6 3 3 3" xfId="26490" xr:uid="{00000000-0005-0000-0000-0000E65F0000}"/>
    <cellStyle name="출력 2 6 3 3 4" xfId="29604" xr:uid="{00000000-0005-0000-0000-0000E75F0000}"/>
    <cellStyle name="출력 2 6 3 3 5" xfId="22260" xr:uid="{00000000-0005-0000-0000-0000E85F0000}"/>
    <cellStyle name="출력 2 6 3 4" xfId="17033" xr:uid="{00000000-0005-0000-0000-0000E95F0000}"/>
    <cellStyle name="출력 2 6 3 4 2" xfId="19973" xr:uid="{00000000-0005-0000-0000-0000EA5F0000}"/>
    <cellStyle name="출력 2 6 3 4 3" xfId="26966" xr:uid="{00000000-0005-0000-0000-0000EB5F0000}"/>
    <cellStyle name="출력 2 6 3 4 4" xfId="30080" xr:uid="{00000000-0005-0000-0000-0000EC5F0000}"/>
    <cellStyle name="출력 2 6 3 4 5" xfId="22736" xr:uid="{00000000-0005-0000-0000-0000ED5F0000}"/>
    <cellStyle name="출력 2 6 3 5" xfId="23142" xr:uid="{00000000-0005-0000-0000-0000EE5F0000}"/>
    <cellStyle name="출력 2 6 3 5 2" xfId="19234" xr:uid="{00000000-0005-0000-0000-0000EF5F0000}"/>
    <cellStyle name="출력 2 6 3 5 3" xfId="27372" xr:uid="{00000000-0005-0000-0000-0000F05F0000}"/>
    <cellStyle name="출력 2 6 3 5 4" xfId="30486" xr:uid="{00000000-0005-0000-0000-0000F15F0000}"/>
    <cellStyle name="출력 2 6 3 6" xfId="23546" xr:uid="{00000000-0005-0000-0000-0000F25F0000}"/>
    <cellStyle name="출력 2 6 3 6 2" xfId="18208" xr:uid="{00000000-0005-0000-0000-0000F35F0000}"/>
    <cellStyle name="출력 2 6 3 6 3" xfId="27776" xr:uid="{00000000-0005-0000-0000-0000F45F0000}"/>
    <cellStyle name="출력 2 6 3 6 4" xfId="30890" xr:uid="{00000000-0005-0000-0000-0000F55F0000}"/>
    <cellStyle name="출력 2 6 3 7" xfId="20677" xr:uid="{00000000-0005-0000-0000-0000F65F0000}"/>
    <cellStyle name="출력 2 6 3 8" xfId="18982" xr:uid="{00000000-0005-0000-0000-0000F75F0000}"/>
    <cellStyle name="출력 2 6 3 9" xfId="24925" xr:uid="{00000000-0005-0000-0000-0000F85F0000}"/>
    <cellStyle name="출력 2 6 4" xfId="17394" xr:uid="{00000000-0005-0000-0000-0000F95F0000}"/>
    <cellStyle name="출력 2 6 4 2" xfId="22082" xr:uid="{00000000-0005-0000-0000-0000FA5F0000}"/>
    <cellStyle name="출력 2 6 4 2 2" xfId="24370" xr:uid="{00000000-0005-0000-0000-0000FB5F0000}"/>
    <cellStyle name="출력 2 6 4 2 3" xfId="26312" xr:uid="{00000000-0005-0000-0000-0000FC5F0000}"/>
    <cellStyle name="출력 2 6 4 2 4" xfId="29426" xr:uid="{00000000-0005-0000-0000-0000FD5F0000}"/>
    <cellStyle name="출력 2 6 4 3" xfId="22555" xr:uid="{00000000-0005-0000-0000-0000FE5F0000}"/>
    <cellStyle name="출력 2 6 4 3 2" xfId="19808" xr:uid="{00000000-0005-0000-0000-0000FF5F0000}"/>
    <cellStyle name="출력 2 6 4 3 3" xfId="26785" xr:uid="{00000000-0005-0000-0000-000000600000}"/>
    <cellStyle name="출력 2 6 4 3 4" xfId="29899" xr:uid="{00000000-0005-0000-0000-000001600000}"/>
    <cellStyle name="출력 2 6 4 4" xfId="23000" xr:uid="{00000000-0005-0000-0000-000002600000}"/>
    <cellStyle name="출력 2 6 4 4 2" xfId="20218" xr:uid="{00000000-0005-0000-0000-000003600000}"/>
    <cellStyle name="출력 2 6 4 4 3" xfId="27230" xr:uid="{00000000-0005-0000-0000-000004600000}"/>
    <cellStyle name="출력 2 6 4 4 4" xfId="30344" xr:uid="{00000000-0005-0000-0000-000005600000}"/>
    <cellStyle name="출력 2 6 4 5" xfId="23373" xr:uid="{00000000-0005-0000-0000-000006600000}"/>
    <cellStyle name="출력 2 6 4 5 2" xfId="20410" xr:uid="{00000000-0005-0000-0000-000007600000}"/>
    <cellStyle name="출력 2 6 4 5 3" xfId="27603" xr:uid="{00000000-0005-0000-0000-000008600000}"/>
    <cellStyle name="출력 2 6 4 5 4" xfId="30717" xr:uid="{00000000-0005-0000-0000-000009600000}"/>
    <cellStyle name="출력 2 6 4 6" xfId="23946" xr:uid="{00000000-0005-0000-0000-00000A600000}"/>
    <cellStyle name="출력 2 6 4 7" xfId="25761" xr:uid="{00000000-0005-0000-0000-00000B600000}"/>
    <cellStyle name="출력 2 6 4 8" xfId="28878" xr:uid="{00000000-0005-0000-0000-00000C600000}"/>
    <cellStyle name="출력 2 6 5" xfId="20952" xr:uid="{00000000-0005-0000-0000-00000D600000}"/>
    <cellStyle name="출력 2 6 5 2" xfId="24193" xr:uid="{00000000-0005-0000-0000-00000E600000}"/>
    <cellStyle name="출력 2 6 5 3" xfId="25203" xr:uid="{00000000-0005-0000-0000-00000F600000}"/>
    <cellStyle name="출력 2 6 5 4" xfId="28327" xr:uid="{00000000-0005-0000-0000-000010600000}"/>
    <cellStyle name="출력 2 6 6" xfId="18804" xr:uid="{00000000-0005-0000-0000-000011600000}"/>
    <cellStyle name="출력 2 6 7" xfId="18508" xr:uid="{00000000-0005-0000-0000-000012600000}"/>
    <cellStyle name="출력 2 6 8" xfId="18721" xr:uid="{00000000-0005-0000-0000-000013600000}"/>
    <cellStyle name="출력 2 6 9" xfId="17306" xr:uid="{00000000-0005-0000-0000-000014600000}"/>
    <cellStyle name="출력 2 7" xfId="12198" xr:uid="{00000000-0005-0000-0000-000015600000}"/>
    <cellStyle name="출력 2 7 2" xfId="14841" xr:uid="{00000000-0005-0000-0000-000016600000}"/>
    <cellStyle name="출력 2 7 2 10" xfId="25033" xr:uid="{00000000-0005-0000-0000-000017600000}"/>
    <cellStyle name="출력 2 7 2 11" xfId="28157" xr:uid="{00000000-0005-0000-0000-000018600000}"/>
    <cellStyle name="출력 2 7 2 12" xfId="31139" xr:uid="{00000000-0005-0000-0000-000019600000}"/>
    <cellStyle name="출력 2 7 2 13" xfId="17435" xr:uid="{00000000-0005-0000-0000-00001A600000}"/>
    <cellStyle name="출력 2 7 2 2" xfId="21815" xr:uid="{00000000-0005-0000-0000-00001B600000}"/>
    <cellStyle name="출력 2 7 2 2 2" xfId="22368" xr:uid="{00000000-0005-0000-0000-00001C600000}"/>
    <cellStyle name="출력 2 7 2 2 2 2" xfId="19634" xr:uid="{00000000-0005-0000-0000-00001D600000}"/>
    <cellStyle name="출력 2 7 2 2 2 3" xfId="26598" xr:uid="{00000000-0005-0000-0000-00001E600000}"/>
    <cellStyle name="출력 2 7 2 2 2 4" xfId="29712" xr:uid="{00000000-0005-0000-0000-00001F600000}"/>
    <cellStyle name="출력 2 7 2 2 3" xfId="22844" xr:uid="{00000000-0005-0000-0000-000020600000}"/>
    <cellStyle name="출력 2 7 2 2 3 2" xfId="20072" xr:uid="{00000000-0005-0000-0000-000021600000}"/>
    <cellStyle name="출력 2 7 2 2 3 3" xfId="27074" xr:uid="{00000000-0005-0000-0000-000022600000}"/>
    <cellStyle name="출력 2 7 2 2 3 4" xfId="30188" xr:uid="{00000000-0005-0000-0000-000023600000}"/>
    <cellStyle name="출력 2 7 2 2 4" xfId="23227" xr:uid="{00000000-0005-0000-0000-000024600000}"/>
    <cellStyle name="출력 2 7 2 2 4 2" xfId="24057" xr:uid="{00000000-0005-0000-0000-000025600000}"/>
    <cellStyle name="출력 2 7 2 2 4 3" xfId="27457" xr:uid="{00000000-0005-0000-0000-000026600000}"/>
    <cellStyle name="출력 2 7 2 2 4 4" xfId="30571" xr:uid="{00000000-0005-0000-0000-000027600000}"/>
    <cellStyle name="출력 2 7 2 2 5" xfId="23654" xr:uid="{00000000-0005-0000-0000-000028600000}"/>
    <cellStyle name="출력 2 7 2 2 5 2" xfId="18309" xr:uid="{00000000-0005-0000-0000-000029600000}"/>
    <cellStyle name="출력 2 7 2 2 5 3" xfId="27884" xr:uid="{00000000-0005-0000-0000-00002A600000}"/>
    <cellStyle name="출력 2 7 2 2 5 4" xfId="30998" xr:uid="{00000000-0005-0000-0000-00002B600000}"/>
    <cellStyle name="출력 2 7 2 2 6" xfId="23725" xr:uid="{00000000-0005-0000-0000-00002C600000}"/>
    <cellStyle name="출력 2 7 2 2 7" xfId="26045" xr:uid="{00000000-0005-0000-0000-00002D600000}"/>
    <cellStyle name="출력 2 7 2 2 8" xfId="29159" xr:uid="{00000000-0005-0000-0000-00002E600000}"/>
    <cellStyle name="출력 2 7 2 3" xfId="21413" xr:uid="{00000000-0005-0000-0000-00002F600000}"/>
    <cellStyle name="출력 2 7 2 3 2" xfId="24296" xr:uid="{00000000-0005-0000-0000-000030600000}"/>
    <cellStyle name="출력 2 7 2 3 3" xfId="25600" xr:uid="{00000000-0005-0000-0000-000031600000}"/>
    <cellStyle name="출력 2 7 2 3 4" xfId="28717" xr:uid="{00000000-0005-0000-0000-000032600000}"/>
    <cellStyle name="출력 2 7 2 4" xfId="21921" xr:uid="{00000000-0005-0000-0000-000033600000}"/>
    <cellStyle name="출력 2 7 2 4 2" xfId="24094" xr:uid="{00000000-0005-0000-0000-000034600000}"/>
    <cellStyle name="출력 2 7 2 4 3" xfId="26151" xr:uid="{00000000-0005-0000-0000-000035600000}"/>
    <cellStyle name="출력 2 7 2 4 4" xfId="29265" xr:uid="{00000000-0005-0000-0000-000036600000}"/>
    <cellStyle name="출력 2 7 2 5" xfId="22394" xr:uid="{00000000-0005-0000-0000-000037600000}"/>
    <cellStyle name="출력 2 7 2 5 2" xfId="19658" xr:uid="{00000000-0005-0000-0000-000038600000}"/>
    <cellStyle name="출력 2 7 2 5 3" xfId="26624" xr:uid="{00000000-0005-0000-0000-000039600000}"/>
    <cellStyle name="출력 2 7 2 5 4" xfId="29738" xr:uid="{00000000-0005-0000-0000-00003A600000}"/>
    <cellStyle name="출력 2 7 2 6" xfId="22867" xr:uid="{00000000-0005-0000-0000-00003B600000}"/>
    <cellStyle name="출력 2 7 2 6 2" xfId="20095" xr:uid="{00000000-0005-0000-0000-00003C600000}"/>
    <cellStyle name="출력 2 7 2 6 3" xfId="27097" xr:uid="{00000000-0005-0000-0000-00003D600000}"/>
    <cellStyle name="출력 2 7 2 6 4" xfId="30211" xr:uid="{00000000-0005-0000-0000-00003E600000}"/>
    <cellStyle name="출력 2 7 2 7" xfId="21089" xr:uid="{00000000-0005-0000-0000-00003F600000}"/>
    <cellStyle name="출력 2 7 2 7 2" xfId="24360" xr:uid="{00000000-0005-0000-0000-000040600000}"/>
    <cellStyle name="출력 2 7 2 7 3" xfId="25334" xr:uid="{00000000-0005-0000-0000-000041600000}"/>
    <cellStyle name="출력 2 7 2 7 4" xfId="28458" xr:uid="{00000000-0005-0000-0000-000042600000}"/>
    <cellStyle name="출력 2 7 2 8" xfId="20785" xr:uid="{00000000-0005-0000-0000-000043600000}"/>
    <cellStyle name="출력 2 7 2 9" xfId="19088" xr:uid="{00000000-0005-0000-0000-000044600000}"/>
    <cellStyle name="출력 2 7 3" xfId="15467" xr:uid="{00000000-0005-0000-0000-000045600000}"/>
    <cellStyle name="출력 2 7 3 10" xfId="28050" xr:uid="{00000000-0005-0000-0000-000046600000}"/>
    <cellStyle name="출력 2 7 3 11" xfId="17522" xr:uid="{00000000-0005-0000-0000-000047600000}"/>
    <cellStyle name="출력 2 7 3 2" xfId="15243" xr:uid="{00000000-0005-0000-0000-000048600000}"/>
    <cellStyle name="출력 2 7 3 2 2" xfId="23804" xr:uid="{00000000-0005-0000-0000-000049600000}"/>
    <cellStyle name="출력 2 7 3 2 3" xfId="25938" xr:uid="{00000000-0005-0000-0000-00004A600000}"/>
    <cellStyle name="출력 2 7 3 2 4" xfId="29052" xr:uid="{00000000-0005-0000-0000-00004B600000}"/>
    <cellStyle name="출력 2 7 3 2 5" xfId="21708" xr:uid="{00000000-0005-0000-0000-00004C600000}"/>
    <cellStyle name="출력 2 7 3 3" xfId="17034" xr:uid="{00000000-0005-0000-0000-00004D600000}"/>
    <cellStyle name="출력 2 7 3 3 2" xfId="18412" xr:uid="{00000000-0005-0000-0000-00004E600000}"/>
    <cellStyle name="출력 2 7 3 3 3" xfId="26491" xr:uid="{00000000-0005-0000-0000-00004F600000}"/>
    <cellStyle name="출력 2 7 3 3 4" xfId="29605" xr:uid="{00000000-0005-0000-0000-000050600000}"/>
    <cellStyle name="출력 2 7 3 3 5" xfId="22261" xr:uid="{00000000-0005-0000-0000-000051600000}"/>
    <cellStyle name="출력 2 7 3 4" xfId="17035" xr:uid="{00000000-0005-0000-0000-000052600000}"/>
    <cellStyle name="출력 2 7 3 4 2" xfId="19974" xr:uid="{00000000-0005-0000-0000-000053600000}"/>
    <cellStyle name="출력 2 7 3 4 3" xfId="26967" xr:uid="{00000000-0005-0000-0000-000054600000}"/>
    <cellStyle name="출력 2 7 3 4 4" xfId="30081" xr:uid="{00000000-0005-0000-0000-000055600000}"/>
    <cellStyle name="출력 2 7 3 4 5" xfId="22737" xr:uid="{00000000-0005-0000-0000-000056600000}"/>
    <cellStyle name="출력 2 7 3 5" xfId="23143" xr:uid="{00000000-0005-0000-0000-000057600000}"/>
    <cellStyle name="출력 2 7 3 5 2" xfId="19235" xr:uid="{00000000-0005-0000-0000-000058600000}"/>
    <cellStyle name="출력 2 7 3 5 3" xfId="27373" xr:uid="{00000000-0005-0000-0000-000059600000}"/>
    <cellStyle name="출력 2 7 3 5 4" xfId="30487" xr:uid="{00000000-0005-0000-0000-00005A600000}"/>
    <cellStyle name="출력 2 7 3 6" xfId="23547" xr:uid="{00000000-0005-0000-0000-00005B600000}"/>
    <cellStyle name="출력 2 7 3 6 2" xfId="18209" xr:uid="{00000000-0005-0000-0000-00005C600000}"/>
    <cellStyle name="출력 2 7 3 6 3" xfId="27777" xr:uid="{00000000-0005-0000-0000-00005D600000}"/>
    <cellStyle name="출력 2 7 3 6 4" xfId="30891" xr:uid="{00000000-0005-0000-0000-00005E600000}"/>
    <cellStyle name="출력 2 7 3 7" xfId="20678" xr:uid="{00000000-0005-0000-0000-00005F600000}"/>
    <cellStyle name="출력 2 7 3 8" xfId="18983" xr:uid="{00000000-0005-0000-0000-000060600000}"/>
    <cellStyle name="출력 2 7 3 9" xfId="24926" xr:uid="{00000000-0005-0000-0000-000061600000}"/>
    <cellStyle name="출력 2 7 4" xfId="17402" xr:uid="{00000000-0005-0000-0000-000062600000}"/>
    <cellStyle name="출력 2 7 4 2" xfId="22083" xr:uid="{00000000-0005-0000-0000-000063600000}"/>
    <cellStyle name="출력 2 7 4 2 2" xfId="24199" xr:uid="{00000000-0005-0000-0000-000064600000}"/>
    <cellStyle name="출력 2 7 4 2 3" xfId="26313" xr:uid="{00000000-0005-0000-0000-000065600000}"/>
    <cellStyle name="출력 2 7 4 2 4" xfId="29427" xr:uid="{00000000-0005-0000-0000-000066600000}"/>
    <cellStyle name="출력 2 7 4 3" xfId="22556" xr:uid="{00000000-0005-0000-0000-000067600000}"/>
    <cellStyle name="출력 2 7 4 3 2" xfId="19809" xr:uid="{00000000-0005-0000-0000-000068600000}"/>
    <cellStyle name="출력 2 7 4 3 3" xfId="26786" xr:uid="{00000000-0005-0000-0000-000069600000}"/>
    <cellStyle name="출력 2 7 4 3 4" xfId="29900" xr:uid="{00000000-0005-0000-0000-00006A600000}"/>
    <cellStyle name="출력 2 7 4 4" xfId="23001" xr:uid="{00000000-0005-0000-0000-00006B600000}"/>
    <cellStyle name="출력 2 7 4 4 2" xfId="23841" xr:uid="{00000000-0005-0000-0000-00006C600000}"/>
    <cellStyle name="출력 2 7 4 4 3" xfId="27231" xr:uid="{00000000-0005-0000-0000-00006D600000}"/>
    <cellStyle name="출력 2 7 4 4 4" xfId="30345" xr:uid="{00000000-0005-0000-0000-00006E600000}"/>
    <cellStyle name="출력 2 7 4 5" xfId="23374" xr:uid="{00000000-0005-0000-0000-00006F600000}"/>
    <cellStyle name="출력 2 7 4 5 2" xfId="20411" xr:uid="{00000000-0005-0000-0000-000070600000}"/>
    <cellStyle name="출력 2 7 4 5 3" xfId="27604" xr:uid="{00000000-0005-0000-0000-000071600000}"/>
    <cellStyle name="출력 2 7 4 5 4" xfId="30718" xr:uid="{00000000-0005-0000-0000-000072600000}"/>
    <cellStyle name="출력 2 7 4 6" xfId="24758" xr:uid="{00000000-0005-0000-0000-000073600000}"/>
    <cellStyle name="출력 2 7 4 7" xfId="25762" xr:uid="{00000000-0005-0000-0000-000074600000}"/>
    <cellStyle name="출력 2 7 4 8" xfId="28879" xr:uid="{00000000-0005-0000-0000-000075600000}"/>
    <cellStyle name="출력 2 7 5" xfId="20953" xr:uid="{00000000-0005-0000-0000-000076600000}"/>
    <cellStyle name="출력 2 7 5 2" xfId="23985" xr:uid="{00000000-0005-0000-0000-000077600000}"/>
    <cellStyle name="출력 2 7 5 3" xfId="25204" xr:uid="{00000000-0005-0000-0000-000078600000}"/>
    <cellStyle name="출력 2 7 5 4" xfId="28328" xr:uid="{00000000-0005-0000-0000-000079600000}"/>
    <cellStyle name="출력 2 7 6" xfId="18805" xr:uid="{00000000-0005-0000-0000-00007A600000}"/>
    <cellStyle name="출력 2 7 7" xfId="18507" xr:uid="{00000000-0005-0000-0000-00007B600000}"/>
    <cellStyle name="출력 2 7 8" xfId="18722" xr:uid="{00000000-0005-0000-0000-00007C600000}"/>
    <cellStyle name="출력 2 7 9" xfId="17307" xr:uid="{00000000-0005-0000-0000-00007D600000}"/>
    <cellStyle name="출력 2 8" xfId="14835" xr:uid="{00000000-0005-0000-0000-00007E600000}"/>
    <cellStyle name="출력 2 8 10" xfId="25027" xr:uid="{00000000-0005-0000-0000-00007F600000}"/>
    <cellStyle name="출력 2 8 11" xfId="28151" xr:uid="{00000000-0005-0000-0000-000080600000}"/>
    <cellStyle name="출력 2 8 12" xfId="31133" xr:uid="{00000000-0005-0000-0000-000081600000}"/>
    <cellStyle name="출력 2 8 13" xfId="17371" xr:uid="{00000000-0005-0000-0000-000082600000}"/>
    <cellStyle name="출력 2 8 2" xfId="21809" xr:uid="{00000000-0005-0000-0000-000083600000}"/>
    <cellStyle name="출력 2 8 2 2" xfId="22362" xr:uid="{00000000-0005-0000-0000-000084600000}"/>
    <cellStyle name="출력 2 8 2 2 2" xfId="19628" xr:uid="{00000000-0005-0000-0000-000085600000}"/>
    <cellStyle name="출력 2 8 2 2 3" xfId="26592" xr:uid="{00000000-0005-0000-0000-000086600000}"/>
    <cellStyle name="출력 2 8 2 2 4" xfId="29706" xr:uid="{00000000-0005-0000-0000-000087600000}"/>
    <cellStyle name="출력 2 8 2 3" xfId="22838" xr:uid="{00000000-0005-0000-0000-000088600000}"/>
    <cellStyle name="출력 2 8 2 3 2" xfId="20066" xr:uid="{00000000-0005-0000-0000-000089600000}"/>
    <cellStyle name="출력 2 8 2 3 3" xfId="27068" xr:uid="{00000000-0005-0000-0000-00008A600000}"/>
    <cellStyle name="출력 2 8 2 3 4" xfId="30182" xr:uid="{00000000-0005-0000-0000-00008B600000}"/>
    <cellStyle name="출력 2 8 2 4" xfId="23221" xr:uid="{00000000-0005-0000-0000-00008C600000}"/>
    <cellStyle name="출력 2 8 2 4 2" xfId="20294" xr:uid="{00000000-0005-0000-0000-00008D600000}"/>
    <cellStyle name="출력 2 8 2 4 3" xfId="27451" xr:uid="{00000000-0005-0000-0000-00008E600000}"/>
    <cellStyle name="출력 2 8 2 4 4" xfId="30565" xr:uid="{00000000-0005-0000-0000-00008F600000}"/>
    <cellStyle name="출력 2 8 2 5" xfId="23648" xr:uid="{00000000-0005-0000-0000-000090600000}"/>
    <cellStyle name="출력 2 8 2 5 2" xfId="18303" xr:uid="{00000000-0005-0000-0000-000091600000}"/>
    <cellStyle name="출력 2 8 2 5 3" xfId="27878" xr:uid="{00000000-0005-0000-0000-000092600000}"/>
    <cellStyle name="출력 2 8 2 5 4" xfId="30992" xr:uid="{00000000-0005-0000-0000-000093600000}"/>
    <cellStyle name="출력 2 8 2 6" xfId="24739" xr:uid="{00000000-0005-0000-0000-000094600000}"/>
    <cellStyle name="출력 2 8 2 7" xfId="26039" xr:uid="{00000000-0005-0000-0000-000095600000}"/>
    <cellStyle name="출력 2 8 2 8" xfId="29153" xr:uid="{00000000-0005-0000-0000-000096600000}"/>
    <cellStyle name="출력 2 8 3" xfId="21407" xr:uid="{00000000-0005-0000-0000-000097600000}"/>
    <cellStyle name="출력 2 8 3 2" xfId="24526" xr:uid="{00000000-0005-0000-0000-000098600000}"/>
    <cellStyle name="출력 2 8 3 3" xfId="25594" xr:uid="{00000000-0005-0000-0000-000099600000}"/>
    <cellStyle name="출력 2 8 3 4" xfId="28711" xr:uid="{00000000-0005-0000-0000-00009A600000}"/>
    <cellStyle name="출력 2 8 4" xfId="21915" xr:uid="{00000000-0005-0000-0000-00009B600000}"/>
    <cellStyle name="출력 2 8 4 2" xfId="24206" xr:uid="{00000000-0005-0000-0000-00009C600000}"/>
    <cellStyle name="출력 2 8 4 3" xfId="26145" xr:uid="{00000000-0005-0000-0000-00009D600000}"/>
    <cellStyle name="출력 2 8 4 4" xfId="29259" xr:uid="{00000000-0005-0000-0000-00009E600000}"/>
    <cellStyle name="출력 2 8 5" xfId="20833" xr:uid="{00000000-0005-0000-0000-00009F600000}"/>
    <cellStyle name="출력 2 8 5 2" xfId="19139" xr:uid="{00000000-0005-0000-0000-0000A0600000}"/>
    <cellStyle name="출력 2 8 5 3" xfId="25084" xr:uid="{00000000-0005-0000-0000-0000A1600000}"/>
    <cellStyle name="출력 2 8 5 4" xfId="28208" xr:uid="{00000000-0005-0000-0000-0000A2600000}"/>
    <cellStyle name="출력 2 8 6" xfId="21075" xr:uid="{00000000-0005-0000-0000-0000A3600000}"/>
    <cellStyle name="출력 2 8 6 2" xfId="23961" xr:uid="{00000000-0005-0000-0000-0000A4600000}"/>
    <cellStyle name="출력 2 8 6 3" xfId="25320" xr:uid="{00000000-0005-0000-0000-0000A5600000}"/>
    <cellStyle name="출력 2 8 6 4" xfId="28444" xr:uid="{00000000-0005-0000-0000-0000A6600000}"/>
    <cellStyle name="출력 2 8 7" xfId="20986" xr:uid="{00000000-0005-0000-0000-0000A7600000}"/>
    <cellStyle name="출력 2 8 7 2" xfId="24411" xr:uid="{00000000-0005-0000-0000-0000A8600000}"/>
    <cellStyle name="출력 2 8 7 3" xfId="25234" xr:uid="{00000000-0005-0000-0000-0000A9600000}"/>
    <cellStyle name="출력 2 8 7 4" xfId="28358" xr:uid="{00000000-0005-0000-0000-0000AA600000}"/>
    <cellStyle name="출력 2 8 8" xfId="20779" xr:uid="{00000000-0005-0000-0000-0000AB600000}"/>
    <cellStyle name="출력 2 8 9" xfId="19082" xr:uid="{00000000-0005-0000-0000-0000AC600000}"/>
    <cellStyle name="출력 2 9" xfId="15461" xr:uid="{00000000-0005-0000-0000-0000AD600000}"/>
    <cellStyle name="출력 2 9 10" xfId="28044" xr:uid="{00000000-0005-0000-0000-0000AE600000}"/>
    <cellStyle name="출력 2 9 11" xfId="17441" xr:uid="{00000000-0005-0000-0000-0000AF600000}"/>
    <cellStyle name="출력 2 9 2" xfId="15249" xr:uid="{00000000-0005-0000-0000-0000B0600000}"/>
    <cellStyle name="출력 2 9 2 2" xfId="24588" xr:uid="{00000000-0005-0000-0000-0000B1600000}"/>
    <cellStyle name="출력 2 9 2 3" xfId="25932" xr:uid="{00000000-0005-0000-0000-0000B2600000}"/>
    <cellStyle name="출력 2 9 2 4" xfId="29046" xr:uid="{00000000-0005-0000-0000-0000B3600000}"/>
    <cellStyle name="출력 2 9 2 5" xfId="21702" xr:uid="{00000000-0005-0000-0000-0000B4600000}"/>
    <cellStyle name="출력 2 9 3" xfId="17036" xr:uid="{00000000-0005-0000-0000-0000B5600000}"/>
    <cellStyle name="출력 2 9 3 2" xfId="18406" xr:uid="{00000000-0005-0000-0000-0000B6600000}"/>
    <cellStyle name="출력 2 9 3 3" xfId="26485" xr:uid="{00000000-0005-0000-0000-0000B7600000}"/>
    <cellStyle name="출력 2 9 3 4" xfId="29599" xr:uid="{00000000-0005-0000-0000-0000B8600000}"/>
    <cellStyle name="출력 2 9 3 5" xfId="22255" xr:uid="{00000000-0005-0000-0000-0000B9600000}"/>
    <cellStyle name="출력 2 9 4" xfId="17037" xr:uid="{00000000-0005-0000-0000-0000BA600000}"/>
    <cellStyle name="출력 2 9 4 2" xfId="19968" xr:uid="{00000000-0005-0000-0000-0000BB600000}"/>
    <cellStyle name="출력 2 9 4 3" xfId="26961" xr:uid="{00000000-0005-0000-0000-0000BC600000}"/>
    <cellStyle name="출력 2 9 4 4" xfId="30075" xr:uid="{00000000-0005-0000-0000-0000BD600000}"/>
    <cellStyle name="출력 2 9 4 5" xfId="22731" xr:uid="{00000000-0005-0000-0000-0000BE600000}"/>
    <cellStyle name="출력 2 9 5" xfId="23137" xr:uid="{00000000-0005-0000-0000-0000BF600000}"/>
    <cellStyle name="출력 2 9 5 2" xfId="19229" xr:uid="{00000000-0005-0000-0000-0000C0600000}"/>
    <cellStyle name="출력 2 9 5 3" xfId="27367" xr:uid="{00000000-0005-0000-0000-0000C1600000}"/>
    <cellStyle name="출력 2 9 5 4" xfId="30481" xr:uid="{00000000-0005-0000-0000-0000C2600000}"/>
    <cellStyle name="출력 2 9 6" xfId="23541" xr:uid="{00000000-0005-0000-0000-0000C3600000}"/>
    <cellStyle name="출력 2 9 6 2" xfId="18203" xr:uid="{00000000-0005-0000-0000-0000C4600000}"/>
    <cellStyle name="출력 2 9 6 3" xfId="27771" xr:uid="{00000000-0005-0000-0000-0000C5600000}"/>
    <cellStyle name="출력 2 9 6 4" xfId="30885" xr:uid="{00000000-0005-0000-0000-0000C6600000}"/>
    <cellStyle name="출력 2 9 7" xfId="20672" xr:uid="{00000000-0005-0000-0000-0000C7600000}"/>
    <cellStyle name="출력 2 9 8" xfId="18977" xr:uid="{00000000-0005-0000-0000-0000C8600000}"/>
    <cellStyle name="출력 2 9 9" xfId="24920" xr:uid="{00000000-0005-0000-0000-0000C9600000}"/>
    <cellStyle name="출력 3" xfId="12199" xr:uid="{00000000-0005-0000-0000-0000CA600000}"/>
    <cellStyle name="출력 3 10" xfId="17405" xr:uid="{00000000-0005-0000-0000-0000CB600000}"/>
    <cellStyle name="출력 3 10 2" xfId="22084" xr:uid="{00000000-0005-0000-0000-0000CC600000}"/>
    <cellStyle name="출력 3 10 2 2" xfId="23991" xr:uid="{00000000-0005-0000-0000-0000CD600000}"/>
    <cellStyle name="출력 3 10 2 3" xfId="26314" xr:uid="{00000000-0005-0000-0000-0000CE600000}"/>
    <cellStyle name="출력 3 10 2 4" xfId="29428" xr:uid="{00000000-0005-0000-0000-0000CF600000}"/>
    <cellStyle name="출력 3 10 3" xfId="22557" xr:uid="{00000000-0005-0000-0000-0000D0600000}"/>
    <cellStyle name="출력 3 10 3 2" xfId="23911" xr:uid="{00000000-0005-0000-0000-0000D1600000}"/>
    <cellStyle name="출력 3 10 3 3" xfId="26787" xr:uid="{00000000-0005-0000-0000-0000D2600000}"/>
    <cellStyle name="출력 3 10 3 4" xfId="29901" xr:uid="{00000000-0005-0000-0000-0000D3600000}"/>
    <cellStyle name="출력 3 10 4" xfId="23002" xr:uid="{00000000-0005-0000-0000-0000D4600000}"/>
    <cellStyle name="출력 3 10 4 2" xfId="20219" xr:uid="{00000000-0005-0000-0000-0000D5600000}"/>
    <cellStyle name="출력 3 10 4 3" xfId="27232" xr:uid="{00000000-0005-0000-0000-0000D6600000}"/>
    <cellStyle name="출력 3 10 4 4" xfId="30346" xr:uid="{00000000-0005-0000-0000-0000D7600000}"/>
    <cellStyle name="출력 3 10 5" xfId="23375" xr:uid="{00000000-0005-0000-0000-0000D8600000}"/>
    <cellStyle name="출력 3 10 5 2" xfId="20412" xr:uid="{00000000-0005-0000-0000-0000D9600000}"/>
    <cellStyle name="출력 3 10 5 3" xfId="27605" xr:uid="{00000000-0005-0000-0000-0000DA600000}"/>
    <cellStyle name="출력 3 10 5 4" xfId="30719" xr:uid="{00000000-0005-0000-0000-0000DB600000}"/>
    <cellStyle name="출력 3 10 6" xfId="24623" xr:uid="{00000000-0005-0000-0000-0000DC600000}"/>
    <cellStyle name="출력 3 10 7" xfId="25763" xr:uid="{00000000-0005-0000-0000-0000DD600000}"/>
    <cellStyle name="출력 3 10 8" xfId="28880" xr:uid="{00000000-0005-0000-0000-0000DE600000}"/>
    <cellStyle name="출력 3 11" xfId="20826" xr:uid="{00000000-0005-0000-0000-0000DF600000}"/>
    <cellStyle name="출력 3 11 2" xfId="19132" xr:uid="{00000000-0005-0000-0000-0000E0600000}"/>
    <cellStyle name="출력 3 11 3" xfId="25077" xr:uid="{00000000-0005-0000-0000-0000E1600000}"/>
    <cellStyle name="출력 3 11 4" xfId="28201" xr:uid="{00000000-0005-0000-0000-0000E2600000}"/>
    <cellStyle name="출력 3 12" xfId="18806" xr:uid="{00000000-0005-0000-0000-0000E3600000}"/>
    <cellStyle name="출력 3 13" xfId="18506" xr:uid="{00000000-0005-0000-0000-0000E4600000}"/>
    <cellStyle name="출력 3 14" xfId="18723" xr:uid="{00000000-0005-0000-0000-0000E5600000}"/>
    <cellStyle name="출력 3 15" xfId="17308" xr:uid="{00000000-0005-0000-0000-0000E6600000}"/>
    <cellStyle name="출력 3 2" xfId="12200" xr:uid="{00000000-0005-0000-0000-0000E7600000}"/>
    <cellStyle name="출력 3 2 2" xfId="14843" xr:uid="{00000000-0005-0000-0000-0000E8600000}"/>
    <cellStyle name="출력 3 2 2 10" xfId="25035" xr:uid="{00000000-0005-0000-0000-0000E9600000}"/>
    <cellStyle name="출력 3 2 2 11" xfId="28159" xr:uid="{00000000-0005-0000-0000-0000EA600000}"/>
    <cellStyle name="출력 3 2 2 12" xfId="31141" xr:uid="{00000000-0005-0000-0000-0000EB600000}"/>
    <cellStyle name="출력 3 2 2 13" xfId="17433" xr:uid="{00000000-0005-0000-0000-0000EC600000}"/>
    <cellStyle name="출력 3 2 2 2" xfId="21817" xr:uid="{00000000-0005-0000-0000-0000ED600000}"/>
    <cellStyle name="출력 3 2 2 2 2" xfId="22370" xr:uid="{00000000-0005-0000-0000-0000EE600000}"/>
    <cellStyle name="출력 3 2 2 2 2 2" xfId="23919" xr:uid="{00000000-0005-0000-0000-0000EF600000}"/>
    <cellStyle name="출력 3 2 2 2 2 3" xfId="26600" xr:uid="{00000000-0005-0000-0000-0000F0600000}"/>
    <cellStyle name="출력 3 2 2 2 2 4" xfId="29714" xr:uid="{00000000-0005-0000-0000-0000F1600000}"/>
    <cellStyle name="출력 3 2 2 2 3" xfId="22846" xr:uid="{00000000-0005-0000-0000-0000F2600000}"/>
    <cellStyle name="출력 3 2 2 2 3 2" xfId="20074" xr:uid="{00000000-0005-0000-0000-0000F3600000}"/>
    <cellStyle name="출력 3 2 2 2 3 3" xfId="27076" xr:uid="{00000000-0005-0000-0000-0000F4600000}"/>
    <cellStyle name="출력 3 2 2 2 3 4" xfId="30190" xr:uid="{00000000-0005-0000-0000-0000F5600000}"/>
    <cellStyle name="출력 3 2 2 2 4" xfId="23229" xr:uid="{00000000-0005-0000-0000-0000F6600000}"/>
    <cellStyle name="출력 3 2 2 2 4 2" xfId="20300" xr:uid="{00000000-0005-0000-0000-0000F7600000}"/>
    <cellStyle name="출력 3 2 2 2 4 3" xfId="27459" xr:uid="{00000000-0005-0000-0000-0000F8600000}"/>
    <cellStyle name="출력 3 2 2 2 4 4" xfId="30573" xr:uid="{00000000-0005-0000-0000-0000F9600000}"/>
    <cellStyle name="출력 3 2 2 2 5" xfId="23656" xr:uid="{00000000-0005-0000-0000-0000FA600000}"/>
    <cellStyle name="출력 3 2 2 2 5 2" xfId="18311" xr:uid="{00000000-0005-0000-0000-0000FB600000}"/>
    <cellStyle name="출력 3 2 2 2 5 3" xfId="27886" xr:uid="{00000000-0005-0000-0000-0000FC600000}"/>
    <cellStyle name="출력 3 2 2 2 5 4" xfId="31000" xr:uid="{00000000-0005-0000-0000-0000FD600000}"/>
    <cellStyle name="출력 3 2 2 2 6" xfId="24557" xr:uid="{00000000-0005-0000-0000-0000FE600000}"/>
    <cellStyle name="출력 3 2 2 2 7" xfId="26047" xr:uid="{00000000-0005-0000-0000-0000FF600000}"/>
    <cellStyle name="출력 3 2 2 2 8" xfId="29161" xr:uid="{00000000-0005-0000-0000-000000610000}"/>
    <cellStyle name="출력 3 2 2 3" xfId="21415" xr:uid="{00000000-0005-0000-0000-000001610000}"/>
    <cellStyle name="출력 3 2 2 3 2" xfId="19322" xr:uid="{00000000-0005-0000-0000-000002610000}"/>
    <cellStyle name="출력 3 2 2 3 3" xfId="25602" xr:uid="{00000000-0005-0000-0000-000003610000}"/>
    <cellStyle name="출력 3 2 2 3 4" xfId="28719" xr:uid="{00000000-0005-0000-0000-000004610000}"/>
    <cellStyle name="출력 3 2 2 4" xfId="21923" xr:uid="{00000000-0005-0000-0000-000005610000}"/>
    <cellStyle name="출력 3 2 2 4 2" xfId="23858" xr:uid="{00000000-0005-0000-0000-000006610000}"/>
    <cellStyle name="출력 3 2 2 4 3" xfId="26153" xr:uid="{00000000-0005-0000-0000-000007610000}"/>
    <cellStyle name="출력 3 2 2 4 4" xfId="29267" xr:uid="{00000000-0005-0000-0000-000008610000}"/>
    <cellStyle name="출력 3 2 2 5" xfId="22396" xr:uid="{00000000-0005-0000-0000-000009610000}"/>
    <cellStyle name="출력 3 2 2 5 2" xfId="19660" xr:uid="{00000000-0005-0000-0000-00000A610000}"/>
    <cellStyle name="출력 3 2 2 5 3" xfId="26626" xr:uid="{00000000-0005-0000-0000-00000B610000}"/>
    <cellStyle name="출력 3 2 2 5 4" xfId="29740" xr:uid="{00000000-0005-0000-0000-00000C610000}"/>
    <cellStyle name="출력 3 2 2 6" xfId="22869" xr:uid="{00000000-0005-0000-0000-00000D610000}"/>
    <cellStyle name="출력 3 2 2 6 2" xfId="20097" xr:uid="{00000000-0005-0000-0000-00000E610000}"/>
    <cellStyle name="출력 3 2 2 6 3" xfId="27099" xr:uid="{00000000-0005-0000-0000-00000F610000}"/>
    <cellStyle name="출력 3 2 2 6 4" xfId="30213" xr:uid="{00000000-0005-0000-0000-000010610000}"/>
    <cellStyle name="출력 3 2 2 7" xfId="22580" xr:uid="{00000000-0005-0000-0000-000011610000}"/>
    <cellStyle name="출력 3 2 2 7 2" xfId="19828" xr:uid="{00000000-0005-0000-0000-000012610000}"/>
    <cellStyle name="출력 3 2 2 7 3" xfId="26810" xr:uid="{00000000-0005-0000-0000-000013610000}"/>
    <cellStyle name="출력 3 2 2 7 4" xfId="29924" xr:uid="{00000000-0005-0000-0000-000014610000}"/>
    <cellStyle name="출력 3 2 2 8" xfId="20787" xr:uid="{00000000-0005-0000-0000-000015610000}"/>
    <cellStyle name="출력 3 2 2 9" xfId="19090" xr:uid="{00000000-0005-0000-0000-000016610000}"/>
    <cellStyle name="출력 3 2 3" xfId="15469" xr:uid="{00000000-0005-0000-0000-000017610000}"/>
    <cellStyle name="출력 3 2 3 10" xfId="28052" xr:uid="{00000000-0005-0000-0000-000018610000}"/>
    <cellStyle name="출력 3 2 3 11" xfId="17520" xr:uid="{00000000-0005-0000-0000-000019610000}"/>
    <cellStyle name="출력 3 2 3 2" xfId="15241" xr:uid="{00000000-0005-0000-0000-00001A610000}"/>
    <cellStyle name="출력 3 2 3 2 2" xfId="23777" xr:uid="{00000000-0005-0000-0000-00001B610000}"/>
    <cellStyle name="출력 3 2 3 2 3" xfId="25940" xr:uid="{00000000-0005-0000-0000-00001C610000}"/>
    <cellStyle name="출력 3 2 3 2 4" xfId="29054" xr:uid="{00000000-0005-0000-0000-00001D610000}"/>
    <cellStyle name="출력 3 2 3 2 5" xfId="21710" xr:uid="{00000000-0005-0000-0000-00001E610000}"/>
    <cellStyle name="출력 3 2 3 3" xfId="17038" xr:uid="{00000000-0005-0000-0000-00001F610000}"/>
    <cellStyle name="출력 3 2 3 3 2" xfId="18414" xr:uid="{00000000-0005-0000-0000-000020610000}"/>
    <cellStyle name="출력 3 2 3 3 3" xfId="26493" xr:uid="{00000000-0005-0000-0000-000021610000}"/>
    <cellStyle name="출력 3 2 3 3 4" xfId="29607" xr:uid="{00000000-0005-0000-0000-000022610000}"/>
    <cellStyle name="출력 3 2 3 3 5" xfId="22263" xr:uid="{00000000-0005-0000-0000-000023610000}"/>
    <cellStyle name="출력 3 2 3 4" xfId="17039" xr:uid="{00000000-0005-0000-0000-000024610000}"/>
    <cellStyle name="출력 3 2 3 4 2" xfId="19976" xr:uid="{00000000-0005-0000-0000-000025610000}"/>
    <cellStyle name="출력 3 2 3 4 3" xfId="26969" xr:uid="{00000000-0005-0000-0000-000026610000}"/>
    <cellStyle name="출력 3 2 3 4 4" xfId="30083" xr:uid="{00000000-0005-0000-0000-000027610000}"/>
    <cellStyle name="출력 3 2 3 4 5" xfId="22739" xr:uid="{00000000-0005-0000-0000-000028610000}"/>
    <cellStyle name="출력 3 2 3 5" xfId="23145" xr:uid="{00000000-0005-0000-0000-000029610000}"/>
    <cellStyle name="출력 3 2 3 5 2" xfId="19237" xr:uid="{00000000-0005-0000-0000-00002A610000}"/>
    <cellStyle name="출력 3 2 3 5 3" xfId="27375" xr:uid="{00000000-0005-0000-0000-00002B610000}"/>
    <cellStyle name="출력 3 2 3 5 4" xfId="30489" xr:uid="{00000000-0005-0000-0000-00002C610000}"/>
    <cellStyle name="출력 3 2 3 6" xfId="23549" xr:uid="{00000000-0005-0000-0000-00002D610000}"/>
    <cellStyle name="출력 3 2 3 6 2" xfId="18211" xr:uid="{00000000-0005-0000-0000-00002E610000}"/>
    <cellStyle name="출력 3 2 3 6 3" xfId="27779" xr:uid="{00000000-0005-0000-0000-00002F610000}"/>
    <cellStyle name="출력 3 2 3 6 4" xfId="30893" xr:uid="{00000000-0005-0000-0000-000030610000}"/>
    <cellStyle name="출력 3 2 3 7" xfId="20680" xr:uid="{00000000-0005-0000-0000-000031610000}"/>
    <cellStyle name="출력 3 2 3 8" xfId="18985" xr:uid="{00000000-0005-0000-0000-000032610000}"/>
    <cellStyle name="출력 3 2 3 9" xfId="24928" xr:uid="{00000000-0005-0000-0000-000033610000}"/>
    <cellStyle name="출력 3 2 4" xfId="17398" xr:uid="{00000000-0005-0000-0000-000034610000}"/>
    <cellStyle name="출력 3 2 4 2" xfId="22085" xr:uid="{00000000-0005-0000-0000-000035610000}"/>
    <cellStyle name="출력 3 2 4 2 2" xfId="24702" xr:uid="{00000000-0005-0000-0000-000036610000}"/>
    <cellStyle name="출력 3 2 4 2 3" xfId="26315" xr:uid="{00000000-0005-0000-0000-000037610000}"/>
    <cellStyle name="출력 3 2 4 2 4" xfId="29429" xr:uid="{00000000-0005-0000-0000-000038610000}"/>
    <cellStyle name="출력 3 2 4 3" xfId="22558" xr:uid="{00000000-0005-0000-0000-000039610000}"/>
    <cellStyle name="출력 3 2 4 3 2" xfId="19810" xr:uid="{00000000-0005-0000-0000-00003A610000}"/>
    <cellStyle name="출력 3 2 4 3 3" xfId="26788" xr:uid="{00000000-0005-0000-0000-00003B610000}"/>
    <cellStyle name="출력 3 2 4 3 4" xfId="29902" xr:uid="{00000000-0005-0000-0000-00003C610000}"/>
    <cellStyle name="출력 3 2 4 4" xfId="23003" xr:uid="{00000000-0005-0000-0000-00003D610000}"/>
    <cellStyle name="출력 3 2 4 4 2" xfId="20220" xr:uid="{00000000-0005-0000-0000-00003E610000}"/>
    <cellStyle name="출력 3 2 4 4 3" xfId="27233" xr:uid="{00000000-0005-0000-0000-00003F610000}"/>
    <cellStyle name="출력 3 2 4 4 4" xfId="30347" xr:uid="{00000000-0005-0000-0000-000040610000}"/>
    <cellStyle name="출력 3 2 4 5" xfId="23376" xr:uid="{00000000-0005-0000-0000-000041610000}"/>
    <cellStyle name="출력 3 2 4 5 2" xfId="20413" xr:uid="{00000000-0005-0000-0000-000042610000}"/>
    <cellStyle name="출력 3 2 4 5 3" xfId="27606" xr:uid="{00000000-0005-0000-0000-000043610000}"/>
    <cellStyle name="출력 3 2 4 5 4" xfId="30720" xr:uid="{00000000-0005-0000-0000-000044610000}"/>
    <cellStyle name="출력 3 2 4 6" xfId="24497" xr:uid="{00000000-0005-0000-0000-000045610000}"/>
    <cellStyle name="출력 3 2 4 7" xfId="25764" xr:uid="{00000000-0005-0000-0000-000046610000}"/>
    <cellStyle name="출력 3 2 4 8" xfId="28881" xr:uid="{00000000-0005-0000-0000-000047610000}"/>
    <cellStyle name="출력 3 2 5" xfId="20954" xr:uid="{00000000-0005-0000-0000-000048610000}"/>
    <cellStyle name="출력 3 2 5 2" xfId="24698" xr:uid="{00000000-0005-0000-0000-000049610000}"/>
    <cellStyle name="출력 3 2 5 3" xfId="25205" xr:uid="{00000000-0005-0000-0000-00004A610000}"/>
    <cellStyle name="출력 3 2 5 4" xfId="28329" xr:uid="{00000000-0005-0000-0000-00004B610000}"/>
    <cellStyle name="출력 3 2 6" xfId="18807" xr:uid="{00000000-0005-0000-0000-00004C610000}"/>
    <cellStyle name="출력 3 2 7" xfId="18505" xr:uid="{00000000-0005-0000-0000-00004D610000}"/>
    <cellStyle name="출력 3 2 8" xfId="24660" xr:uid="{00000000-0005-0000-0000-00004E610000}"/>
    <cellStyle name="출력 3 2 9" xfId="17309" xr:uid="{00000000-0005-0000-0000-00004F610000}"/>
    <cellStyle name="출력 3 3" xfId="12201" xr:uid="{00000000-0005-0000-0000-000050610000}"/>
    <cellStyle name="출력 3 3 2" xfId="14844" xr:uid="{00000000-0005-0000-0000-000051610000}"/>
    <cellStyle name="출력 3 3 2 10" xfId="25036" xr:uid="{00000000-0005-0000-0000-000052610000}"/>
    <cellStyle name="출력 3 3 2 11" xfId="28160" xr:uid="{00000000-0005-0000-0000-000053610000}"/>
    <cellStyle name="출력 3 3 2 12" xfId="31142" xr:uid="{00000000-0005-0000-0000-000054610000}"/>
    <cellStyle name="출력 3 3 2 13" xfId="17432" xr:uid="{00000000-0005-0000-0000-000055610000}"/>
    <cellStyle name="출력 3 3 2 2" xfId="21818" xr:uid="{00000000-0005-0000-0000-000056610000}"/>
    <cellStyle name="출력 3 3 2 2 2" xfId="22371" xr:uid="{00000000-0005-0000-0000-000057610000}"/>
    <cellStyle name="출력 3 3 2 2 2 2" xfId="19636" xr:uid="{00000000-0005-0000-0000-000058610000}"/>
    <cellStyle name="출력 3 3 2 2 2 3" xfId="26601" xr:uid="{00000000-0005-0000-0000-000059610000}"/>
    <cellStyle name="출력 3 3 2 2 2 4" xfId="29715" xr:uid="{00000000-0005-0000-0000-00005A610000}"/>
    <cellStyle name="출력 3 3 2 2 3" xfId="22847" xr:uid="{00000000-0005-0000-0000-00005B610000}"/>
    <cellStyle name="출력 3 3 2 2 3 2" xfId="20075" xr:uid="{00000000-0005-0000-0000-00005C610000}"/>
    <cellStyle name="출력 3 3 2 2 3 3" xfId="27077" xr:uid="{00000000-0005-0000-0000-00005D610000}"/>
    <cellStyle name="출력 3 3 2 2 3 4" xfId="30191" xr:uid="{00000000-0005-0000-0000-00005E610000}"/>
    <cellStyle name="출력 3 3 2 2 4" xfId="23230" xr:uid="{00000000-0005-0000-0000-00005F610000}"/>
    <cellStyle name="출력 3 3 2 2 4 2" xfId="20301" xr:uid="{00000000-0005-0000-0000-000060610000}"/>
    <cellStyle name="출력 3 3 2 2 4 3" xfId="27460" xr:uid="{00000000-0005-0000-0000-000061610000}"/>
    <cellStyle name="출력 3 3 2 2 4 4" xfId="30574" xr:uid="{00000000-0005-0000-0000-000062610000}"/>
    <cellStyle name="출력 3 3 2 2 5" xfId="23657" xr:uid="{00000000-0005-0000-0000-000063610000}"/>
    <cellStyle name="출력 3 3 2 2 5 2" xfId="18312" xr:uid="{00000000-0005-0000-0000-000064610000}"/>
    <cellStyle name="출력 3 3 2 2 5 3" xfId="27887" xr:uid="{00000000-0005-0000-0000-000065610000}"/>
    <cellStyle name="출력 3 3 2 2 5 4" xfId="31001" xr:uid="{00000000-0005-0000-0000-000066610000}"/>
    <cellStyle name="출력 3 3 2 2 6" xfId="24381" xr:uid="{00000000-0005-0000-0000-000067610000}"/>
    <cellStyle name="출력 3 3 2 2 7" xfId="26048" xr:uid="{00000000-0005-0000-0000-000068610000}"/>
    <cellStyle name="출력 3 3 2 2 8" xfId="29162" xr:uid="{00000000-0005-0000-0000-000069610000}"/>
    <cellStyle name="출력 3 3 2 3" xfId="21416" xr:uid="{00000000-0005-0000-0000-00006A610000}"/>
    <cellStyle name="출력 3 3 2 3 2" xfId="23950" xr:uid="{00000000-0005-0000-0000-00006B610000}"/>
    <cellStyle name="출력 3 3 2 3 3" xfId="25603" xr:uid="{00000000-0005-0000-0000-00006C610000}"/>
    <cellStyle name="출력 3 3 2 3 4" xfId="28720" xr:uid="{00000000-0005-0000-0000-00006D610000}"/>
    <cellStyle name="출력 3 3 2 4" xfId="21924" xr:uid="{00000000-0005-0000-0000-00006E610000}"/>
    <cellStyle name="출력 3 3 2 4 2" xfId="23811" xr:uid="{00000000-0005-0000-0000-00006F610000}"/>
    <cellStyle name="출력 3 3 2 4 3" xfId="26154" xr:uid="{00000000-0005-0000-0000-000070610000}"/>
    <cellStyle name="출력 3 3 2 4 4" xfId="29268" xr:uid="{00000000-0005-0000-0000-000071610000}"/>
    <cellStyle name="출력 3 3 2 5" xfId="22397" xr:uid="{00000000-0005-0000-0000-000072610000}"/>
    <cellStyle name="출력 3 3 2 5 2" xfId="19661" xr:uid="{00000000-0005-0000-0000-000073610000}"/>
    <cellStyle name="출력 3 3 2 5 3" xfId="26627" xr:uid="{00000000-0005-0000-0000-000074610000}"/>
    <cellStyle name="출력 3 3 2 5 4" xfId="29741" xr:uid="{00000000-0005-0000-0000-000075610000}"/>
    <cellStyle name="출력 3 3 2 6" xfId="22870" xr:uid="{00000000-0005-0000-0000-000076610000}"/>
    <cellStyle name="출력 3 3 2 6 2" xfId="20098" xr:uid="{00000000-0005-0000-0000-000077610000}"/>
    <cellStyle name="출력 3 3 2 6 3" xfId="27100" xr:uid="{00000000-0005-0000-0000-000078610000}"/>
    <cellStyle name="출력 3 3 2 6 4" xfId="30214" xr:uid="{00000000-0005-0000-0000-000079610000}"/>
    <cellStyle name="출력 3 3 2 7" xfId="21031" xr:uid="{00000000-0005-0000-0000-00007A610000}"/>
    <cellStyle name="출력 3 3 2 7 2" xfId="23963" xr:uid="{00000000-0005-0000-0000-00007B610000}"/>
    <cellStyle name="출력 3 3 2 7 3" xfId="25276" xr:uid="{00000000-0005-0000-0000-00007C610000}"/>
    <cellStyle name="출력 3 3 2 7 4" xfId="28400" xr:uid="{00000000-0005-0000-0000-00007D610000}"/>
    <cellStyle name="출력 3 3 2 8" xfId="20788" xr:uid="{00000000-0005-0000-0000-00007E610000}"/>
    <cellStyle name="출력 3 3 2 9" xfId="19091" xr:uid="{00000000-0005-0000-0000-00007F610000}"/>
    <cellStyle name="출력 3 3 3" xfId="15470" xr:uid="{00000000-0005-0000-0000-000080610000}"/>
    <cellStyle name="출력 3 3 3 10" xfId="28053" xr:uid="{00000000-0005-0000-0000-000081610000}"/>
    <cellStyle name="출력 3 3 3 11" xfId="17519" xr:uid="{00000000-0005-0000-0000-000082610000}"/>
    <cellStyle name="출력 3 3 3 2" xfId="15240" xr:uid="{00000000-0005-0000-0000-000083610000}"/>
    <cellStyle name="출력 3 3 3 2 2" xfId="23939" xr:uid="{00000000-0005-0000-0000-000084610000}"/>
    <cellStyle name="출력 3 3 3 2 3" xfId="25941" xr:uid="{00000000-0005-0000-0000-000085610000}"/>
    <cellStyle name="출력 3 3 3 2 4" xfId="29055" xr:uid="{00000000-0005-0000-0000-000086610000}"/>
    <cellStyle name="출력 3 3 3 2 5" xfId="21711" xr:uid="{00000000-0005-0000-0000-000087610000}"/>
    <cellStyle name="출력 3 3 3 3" xfId="17040" xr:uid="{00000000-0005-0000-0000-000088610000}"/>
    <cellStyle name="출력 3 3 3 3 2" xfId="18415" xr:uid="{00000000-0005-0000-0000-000089610000}"/>
    <cellStyle name="출력 3 3 3 3 3" xfId="26494" xr:uid="{00000000-0005-0000-0000-00008A610000}"/>
    <cellStyle name="출력 3 3 3 3 4" xfId="29608" xr:uid="{00000000-0005-0000-0000-00008B610000}"/>
    <cellStyle name="출력 3 3 3 3 5" xfId="22264" xr:uid="{00000000-0005-0000-0000-00008C610000}"/>
    <cellStyle name="출력 3 3 3 4" xfId="17041" xr:uid="{00000000-0005-0000-0000-00008D610000}"/>
    <cellStyle name="출력 3 3 3 4 2" xfId="19977" xr:uid="{00000000-0005-0000-0000-00008E610000}"/>
    <cellStyle name="출력 3 3 3 4 3" xfId="26970" xr:uid="{00000000-0005-0000-0000-00008F610000}"/>
    <cellStyle name="출력 3 3 3 4 4" xfId="30084" xr:uid="{00000000-0005-0000-0000-000090610000}"/>
    <cellStyle name="출력 3 3 3 4 5" xfId="22740" xr:uid="{00000000-0005-0000-0000-000091610000}"/>
    <cellStyle name="출력 3 3 3 5" xfId="23146" xr:uid="{00000000-0005-0000-0000-000092610000}"/>
    <cellStyle name="출력 3 3 3 5 2" xfId="19238" xr:uid="{00000000-0005-0000-0000-000093610000}"/>
    <cellStyle name="출력 3 3 3 5 3" xfId="27376" xr:uid="{00000000-0005-0000-0000-000094610000}"/>
    <cellStyle name="출력 3 3 3 5 4" xfId="30490" xr:uid="{00000000-0005-0000-0000-000095610000}"/>
    <cellStyle name="출력 3 3 3 6" xfId="23550" xr:uid="{00000000-0005-0000-0000-000096610000}"/>
    <cellStyle name="출력 3 3 3 6 2" xfId="18212" xr:uid="{00000000-0005-0000-0000-000097610000}"/>
    <cellStyle name="출력 3 3 3 6 3" xfId="27780" xr:uid="{00000000-0005-0000-0000-000098610000}"/>
    <cellStyle name="출력 3 3 3 6 4" xfId="30894" xr:uid="{00000000-0005-0000-0000-000099610000}"/>
    <cellStyle name="출력 3 3 3 7" xfId="20681" xr:uid="{00000000-0005-0000-0000-00009A610000}"/>
    <cellStyle name="출력 3 3 3 8" xfId="18986" xr:uid="{00000000-0005-0000-0000-00009B610000}"/>
    <cellStyle name="출력 3 3 3 9" xfId="24929" xr:uid="{00000000-0005-0000-0000-00009C610000}"/>
    <cellStyle name="출력 3 3 4" xfId="17404" xr:uid="{00000000-0005-0000-0000-00009D610000}"/>
    <cellStyle name="출력 3 3 4 2" xfId="22086" xr:uid="{00000000-0005-0000-0000-00009E610000}"/>
    <cellStyle name="출력 3 3 4 2 2" xfId="24572" xr:uid="{00000000-0005-0000-0000-00009F610000}"/>
    <cellStyle name="출력 3 3 4 2 3" xfId="26316" xr:uid="{00000000-0005-0000-0000-0000A0610000}"/>
    <cellStyle name="출력 3 3 4 2 4" xfId="29430" xr:uid="{00000000-0005-0000-0000-0000A1610000}"/>
    <cellStyle name="출력 3 3 4 3" xfId="22559" xr:uid="{00000000-0005-0000-0000-0000A2610000}"/>
    <cellStyle name="출력 3 3 4 3 2" xfId="19811" xr:uid="{00000000-0005-0000-0000-0000A3610000}"/>
    <cellStyle name="출력 3 3 4 3 3" xfId="26789" xr:uid="{00000000-0005-0000-0000-0000A4610000}"/>
    <cellStyle name="출력 3 3 4 3 4" xfId="29903" xr:uid="{00000000-0005-0000-0000-0000A5610000}"/>
    <cellStyle name="출력 3 3 4 4" xfId="23004" xr:uid="{00000000-0005-0000-0000-0000A6610000}"/>
    <cellStyle name="출력 3 3 4 4 2" xfId="20221" xr:uid="{00000000-0005-0000-0000-0000A7610000}"/>
    <cellStyle name="출력 3 3 4 4 3" xfId="27234" xr:uid="{00000000-0005-0000-0000-0000A8610000}"/>
    <cellStyle name="출력 3 3 4 4 4" xfId="30348" xr:uid="{00000000-0005-0000-0000-0000A9610000}"/>
    <cellStyle name="출력 3 3 4 5" xfId="23377" xr:uid="{00000000-0005-0000-0000-0000AA610000}"/>
    <cellStyle name="출력 3 3 4 5 2" xfId="20414" xr:uid="{00000000-0005-0000-0000-0000AB610000}"/>
    <cellStyle name="출력 3 3 4 5 3" xfId="27607" xr:uid="{00000000-0005-0000-0000-0000AC610000}"/>
    <cellStyle name="출력 3 3 4 5 4" xfId="30721" xr:uid="{00000000-0005-0000-0000-0000AD610000}"/>
    <cellStyle name="출력 3 3 4 6" xfId="24323" xr:uid="{00000000-0005-0000-0000-0000AE610000}"/>
    <cellStyle name="출력 3 3 4 7" xfId="25765" xr:uid="{00000000-0005-0000-0000-0000AF610000}"/>
    <cellStyle name="출력 3 3 4 8" xfId="28882" xr:uid="{00000000-0005-0000-0000-0000B0610000}"/>
    <cellStyle name="출력 3 3 5" xfId="20955" xr:uid="{00000000-0005-0000-0000-0000B1610000}"/>
    <cellStyle name="출력 3 3 5 2" xfId="24438" xr:uid="{00000000-0005-0000-0000-0000B2610000}"/>
    <cellStyle name="출력 3 3 5 3" xfId="25206" xr:uid="{00000000-0005-0000-0000-0000B3610000}"/>
    <cellStyle name="출력 3 3 5 4" xfId="28330" xr:uid="{00000000-0005-0000-0000-0000B4610000}"/>
    <cellStyle name="출력 3 3 6" xfId="18808" xr:uid="{00000000-0005-0000-0000-0000B5610000}"/>
    <cellStyle name="출력 3 3 7" xfId="18504" xr:uid="{00000000-0005-0000-0000-0000B6610000}"/>
    <cellStyle name="출력 3 3 8" xfId="18725" xr:uid="{00000000-0005-0000-0000-0000B7610000}"/>
    <cellStyle name="출력 3 3 9" xfId="17310" xr:uid="{00000000-0005-0000-0000-0000B8610000}"/>
    <cellStyle name="출력 3 4" xfId="12202" xr:uid="{00000000-0005-0000-0000-0000B9610000}"/>
    <cellStyle name="출력 3 4 2" xfId="14845" xr:uid="{00000000-0005-0000-0000-0000BA610000}"/>
    <cellStyle name="출력 3 4 2 10" xfId="25037" xr:uid="{00000000-0005-0000-0000-0000BB610000}"/>
    <cellStyle name="출력 3 4 2 11" xfId="28161" xr:uid="{00000000-0005-0000-0000-0000BC610000}"/>
    <cellStyle name="출력 3 4 2 12" xfId="31143" xr:uid="{00000000-0005-0000-0000-0000BD610000}"/>
    <cellStyle name="출력 3 4 2 13" xfId="17431" xr:uid="{00000000-0005-0000-0000-0000BE610000}"/>
    <cellStyle name="출력 3 4 2 2" xfId="21819" xr:uid="{00000000-0005-0000-0000-0000BF610000}"/>
    <cellStyle name="출력 3 4 2 2 2" xfId="22372" xr:uid="{00000000-0005-0000-0000-0000C0610000}"/>
    <cellStyle name="출력 3 4 2 2 2 2" xfId="19637" xr:uid="{00000000-0005-0000-0000-0000C1610000}"/>
    <cellStyle name="출력 3 4 2 2 2 3" xfId="26602" xr:uid="{00000000-0005-0000-0000-0000C2610000}"/>
    <cellStyle name="출력 3 4 2 2 2 4" xfId="29716" xr:uid="{00000000-0005-0000-0000-0000C3610000}"/>
    <cellStyle name="출력 3 4 2 2 3" xfId="22848" xr:uid="{00000000-0005-0000-0000-0000C4610000}"/>
    <cellStyle name="출력 3 4 2 2 3 2" xfId="20076" xr:uid="{00000000-0005-0000-0000-0000C5610000}"/>
    <cellStyle name="출력 3 4 2 2 3 3" xfId="27078" xr:uid="{00000000-0005-0000-0000-0000C6610000}"/>
    <cellStyle name="출력 3 4 2 2 3 4" xfId="30192" xr:uid="{00000000-0005-0000-0000-0000C7610000}"/>
    <cellStyle name="출력 3 4 2 2 4" xfId="23231" xr:uid="{00000000-0005-0000-0000-0000C8610000}"/>
    <cellStyle name="출력 3 4 2 2 4 2" xfId="19377" xr:uid="{00000000-0005-0000-0000-0000C9610000}"/>
    <cellStyle name="출력 3 4 2 2 4 3" xfId="27461" xr:uid="{00000000-0005-0000-0000-0000CA610000}"/>
    <cellStyle name="출력 3 4 2 2 4 4" xfId="30575" xr:uid="{00000000-0005-0000-0000-0000CB610000}"/>
    <cellStyle name="출력 3 4 2 2 5" xfId="23658" xr:uid="{00000000-0005-0000-0000-0000CC610000}"/>
    <cellStyle name="출력 3 4 2 2 5 2" xfId="18313" xr:uid="{00000000-0005-0000-0000-0000CD610000}"/>
    <cellStyle name="출력 3 4 2 2 5 3" xfId="27888" xr:uid="{00000000-0005-0000-0000-0000CE610000}"/>
    <cellStyle name="출력 3 4 2 2 5 4" xfId="31002" xr:uid="{00000000-0005-0000-0000-0000CF610000}"/>
    <cellStyle name="출력 3 4 2 2 6" xfId="24210" xr:uid="{00000000-0005-0000-0000-0000D0610000}"/>
    <cellStyle name="출력 3 4 2 2 7" xfId="26049" xr:uid="{00000000-0005-0000-0000-0000D1610000}"/>
    <cellStyle name="출력 3 4 2 2 8" xfId="29163" xr:uid="{00000000-0005-0000-0000-0000D2610000}"/>
    <cellStyle name="출력 3 4 2 3" xfId="21417" xr:uid="{00000000-0005-0000-0000-0000D3610000}"/>
    <cellStyle name="출력 3 4 2 3 2" xfId="24761" xr:uid="{00000000-0005-0000-0000-0000D4610000}"/>
    <cellStyle name="출력 3 4 2 3 3" xfId="25604" xr:uid="{00000000-0005-0000-0000-0000D5610000}"/>
    <cellStyle name="출력 3 4 2 3 4" xfId="28721" xr:uid="{00000000-0005-0000-0000-0000D6610000}"/>
    <cellStyle name="출력 3 4 2 4" xfId="21925" xr:uid="{00000000-0005-0000-0000-0000D7610000}"/>
    <cellStyle name="출력 3 4 2 4 2" xfId="23882" xr:uid="{00000000-0005-0000-0000-0000D8610000}"/>
    <cellStyle name="출력 3 4 2 4 3" xfId="26155" xr:uid="{00000000-0005-0000-0000-0000D9610000}"/>
    <cellStyle name="출력 3 4 2 4 4" xfId="29269" xr:uid="{00000000-0005-0000-0000-0000DA610000}"/>
    <cellStyle name="출력 3 4 2 5" xfId="22398" xr:uid="{00000000-0005-0000-0000-0000DB610000}"/>
    <cellStyle name="출력 3 4 2 5 2" xfId="19662" xr:uid="{00000000-0005-0000-0000-0000DC610000}"/>
    <cellStyle name="출력 3 4 2 5 3" xfId="26628" xr:uid="{00000000-0005-0000-0000-0000DD610000}"/>
    <cellStyle name="출력 3 4 2 5 4" xfId="29742" xr:uid="{00000000-0005-0000-0000-0000DE610000}"/>
    <cellStyle name="출력 3 4 2 6" xfId="22871" xr:uid="{00000000-0005-0000-0000-0000DF610000}"/>
    <cellStyle name="출력 3 4 2 6 2" xfId="20099" xr:uid="{00000000-0005-0000-0000-0000E0610000}"/>
    <cellStyle name="출력 3 4 2 6 3" xfId="27101" xr:uid="{00000000-0005-0000-0000-0000E1610000}"/>
    <cellStyle name="출력 3 4 2 6 4" xfId="30215" xr:uid="{00000000-0005-0000-0000-0000E2610000}"/>
    <cellStyle name="출력 3 4 2 7" xfId="21074" xr:uid="{00000000-0005-0000-0000-0000E3610000}"/>
    <cellStyle name="출력 3 4 2 7 2" xfId="19366" xr:uid="{00000000-0005-0000-0000-0000E4610000}"/>
    <cellStyle name="출력 3 4 2 7 3" xfId="25319" xr:uid="{00000000-0005-0000-0000-0000E5610000}"/>
    <cellStyle name="출력 3 4 2 7 4" xfId="28443" xr:uid="{00000000-0005-0000-0000-0000E6610000}"/>
    <cellStyle name="출력 3 4 2 8" xfId="20789" xr:uid="{00000000-0005-0000-0000-0000E7610000}"/>
    <cellStyle name="출력 3 4 2 9" xfId="19092" xr:uid="{00000000-0005-0000-0000-0000E8610000}"/>
    <cellStyle name="출력 3 4 3" xfId="15471" xr:uid="{00000000-0005-0000-0000-0000E9610000}"/>
    <cellStyle name="출력 3 4 3 10" xfId="28054" xr:uid="{00000000-0005-0000-0000-0000EA610000}"/>
    <cellStyle name="출력 3 4 3 11" xfId="17518" xr:uid="{00000000-0005-0000-0000-0000EB610000}"/>
    <cellStyle name="출력 3 4 3 2" xfId="15239" xr:uid="{00000000-0005-0000-0000-0000EC610000}"/>
    <cellStyle name="출력 3 4 3 2 2" xfId="24750" xr:uid="{00000000-0005-0000-0000-0000ED610000}"/>
    <cellStyle name="출력 3 4 3 2 3" xfId="25942" xr:uid="{00000000-0005-0000-0000-0000EE610000}"/>
    <cellStyle name="출력 3 4 3 2 4" xfId="29056" xr:uid="{00000000-0005-0000-0000-0000EF610000}"/>
    <cellStyle name="출력 3 4 3 2 5" xfId="21712" xr:uid="{00000000-0005-0000-0000-0000F0610000}"/>
    <cellStyle name="출력 3 4 3 3" xfId="17042" xr:uid="{00000000-0005-0000-0000-0000F1610000}"/>
    <cellStyle name="출력 3 4 3 3 2" xfId="18416" xr:uid="{00000000-0005-0000-0000-0000F2610000}"/>
    <cellStyle name="출력 3 4 3 3 3" xfId="26495" xr:uid="{00000000-0005-0000-0000-0000F3610000}"/>
    <cellStyle name="출력 3 4 3 3 4" xfId="29609" xr:uid="{00000000-0005-0000-0000-0000F4610000}"/>
    <cellStyle name="출력 3 4 3 3 5" xfId="22265" xr:uid="{00000000-0005-0000-0000-0000F5610000}"/>
    <cellStyle name="출력 3 4 3 4" xfId="17043" xr:uid="{00000000-0005-0000-0000-0000F6610000}"/>
    <cellStyle name="출력 3 4 3 4 2" xfId="19978" xr:uid="{00000000-0005-0000-0000-0000F7610000}"/>
    <cellStyle name="출력 3 4 3 4 3" xfId="26971" xr:uid="{00000000-0005-0000-0000-0000F8610000}"/>
    <cellStyle name="출력 3 4 3 4 4" xfId="30085" xr:uid="{00000000-0005-0000-0000-0000F9610000}"/>
    <cellStyle name="출력 3 4 3 4 5" xfId="22741" xr:uid="{00000000-0005-0000-0000-0000FA610000}"/>
    <cellStyle name="출력 3 4 3 5" xfId="23147" xr:uid="{00000000-0005-0000-0000-0000FB610000}"/>
    <cellStyle name="출력 3 4 3 5 2" xfId="23835" xr:uid="{00000000-0005-0000-0000-0000FC610000}"/>
    <cellStyle name="출력 3 4 3 5 3" xfId="27377" xr:uid="{00000000-0005-0000-0000-0000FD610000}"/>
    <cellStyle name="출력 3 4 3 5 4" xfId="30491" xr:uid="{00000000-0005-0000-0000-0000FE610000}"/>
    <cellStyle name="출력 3 4 3 6" xfId="23551" xr:uid="{00000000-0005-0000-0000-0000FF610000}"/>
    <cellStyle name="출력 3 4 3 6 2" xfId="18213" xr:uid="{00000000-0005-0000-0000-000000620000}"/>
    <cellStyle name="출력 3 4 3 6 3" xfId="27781" xr:uid="{00000000-0005-0000-0000-000001620000}"/>
    <cellStyle name="출력 3 4 3 6 4" xfId="30895" xr:uid="{00000000-0005-0000-0000-000002620000}"/>
    <cellStyle name="출력 3 4 3 7" xfId="20682" xr:uid="{00000000-0005-0000-0000-000003620000}"/>
    <cellStyle name="출력 3 4 3 8" xfId="18987" xr:uid="{00000000-0005-0000-0000-000004620000}"/>
    <cellStyle name="출력 3 4 3 9" xfId="24930" xr:uid="{00000000-0005-0000-0000-000005620000}"/>
    <cellStyle name="출력 3 4 4" xfId="17380" xr:uid="{00000000-0005-0000-0000-000006620000}"/>
    <cellStyle name="출력 3 4 4 2" xfId="22087" xr:uid="{00000000-0005-0000-0000-000007620000}"/>
    <cellStyle name="출력 3 4 4 2 2" xfId="24442" xr:uid="{00000000-0005-0000-0000-000008620000}"/>
    <cellStyle name="출력 3 4 4 2 3" xfId="26317" xr:uid="{00000000-0005-0000-0000-000009620000}"/>
    <cellStyle name="출력 3 4 4 2 4" xfId="29431" xr:uid="{00000000-0005-0000-0000-00000A620000}"/>
    <cellStyle name="출력 3 4 4 3" xfId="22560" xr:uid="{00000000-0005-0000-0000-00000B620000}"/>
    <cellStyle name="출력 3 4 4 3 2" xfId="19812" xr:uid="{00000000-0005-0000-0000-00000C620000}"/>
    <cellStyle name="출력 3 4 4 3 3" xfId="26790" xr:uid="{00000000-0005-0000-0000-00000D620000}"/>
    <cellStyle name="출력 3 4 4 3 4" xfId="29904" xr:uid="{00000000-0005-0000-0000-00000E620000}"/>
    <cellStyle name="출력 3 4 4 4" xfId="23005" xr:uid="{00000000-0005-0000-0000-00000F620000}"/>
    <cellStyle name="출력 3 4 4 4 2" xfId="24042" xr:uid="{00000000-0005-0000-0000-000010620000}"/>
    <cellStyle name="출력 3 4 4 4 3" xfId="27235" xr:uid="{00000000-0005-0000-0000-000011620000}"/>
    <cellStyle name="출력 3 4 4 4 4" xfId="30349" xr:uid="{00000000-0005-0000-0000-000012620000}"/>
    <cellStyle name="출력 3 4 4 5" xfId="23378" xr:uid="{00000000-0005-0000-0000-000013620000}"/>
    <cellStyle name="출력 3 4 4 5 2" xfId="20415" xr:uid="{00000000-0005-0000-0000-000014620000}"/>
    <cellStyle name="출력 3 4 4 5 3" xfId="27608" xr:uid="{00000000-0005-0000-0000-000015620000}"/>
    <cellStyle name="출력 3 4 4 5 4" xfId="30722" xr:uid="{00000000-0005-0000-0000-000016620000}"/>
    <cellStyle name="출력 3 4 4 6" xfId="24142" xr:uid="{00000000-0005-0000-0000-000017620000}"/>
    <cellStyle name="출력 3 4 4 7" xfId="25766" xr:uid="{00000000-0005-0000-0000-000018620000}"/>
    <cellStyle name="출력 3 4 4 8" xfId="28883" xr:uid="{00000000-0005-0000-0000-000019620000}"/>
    <cellStyle name="출력 3 4 5" xfId="20956" xr:uid="{00000000-0005-0000-0000-00001A620000}"/>
    <cellStyle name="출력 3 4 5 2" xfId="24265" xr:uid="{00000000-0005-0000-0000-00001B620000}"/>
    <cellStyle name="출력 3 4 5 3" xfId="25207" xr:uid="{00000000-0005-0000-0000-00001C620000}"/>
    <cellStyle name="출력 3 4 5 4" xfId="28331" xr:uid="{00000000-0005-0000-0000-00001D620000}"/>
    <cellStyle name="출력 3 4 6" xfId="18809" xr:uid="{00000000-0005-0000-0000-00001E620000}"/>
    <cellStyle name="출력 3 4 7" xfId="18503" xr:uid="{00000000-0005-0000-0000-00001F620000}"/>
    <cellStyle name="출력 3 4 8" xfId="18726" xr:uid="{00000000-0005-0000-0000-000020620000}"/>
    <cellStyle name="출력 3 4 9" xfId="17311" xr:uid="{00000000-0005-0000-0000-000021620000}"/>
    <cellStyle name="출력 3 5" xfId="12203" xr:uid="{00000000-0005-0000-0000-000022620000}"/>
    <cellStyle name="출력 3 5 2" xfId="14846" xr:uid="{00000000-0005-0000-0000-000023620000}"/>
    <cellStyle name="출력 3 5 2 10" xfId="25038" xr:uid="{00000000-0005-0000-0000-000024620000}"/>
    <cellStyle name="출력 3 5 2 11" xfId="28162" xr:uid="{00000000-0005-0000-0000-000025620000}"/>
    <cellStyle name="출력 3 5 2 12" xfId="31144" xr:uid="{00000000-0005-0000-0000-000026620000}"/>
    <cellStyle name="출력 3 5 2 13" xfId="17430" xr:uid="{00000000-0005-0000-0000-000027620000}"/>
    <cellStyle name="출력 3 5 2 2" xfId="21820" xr:uid="{00000000-0005-0000-0000-000028620000}"/>
    <cellStyle name="출력 3 5 2 2 2" xfId="22373" xr:uid="{00000000-0005-0000-0000-000029620000}"/>
    <cellStyle name="출력 3 5 2 2 2 2" xfId="19638" xr:uid="{00000000-0005-0000-0000-00002A620000}"/>
    <cellStyle name="출력 3 5 2 2 2 3" xfId="26603" xr:uid="{00000000-0005-0000-0000-00002B620000}"/>
    <cellStyle name="출력 3 5 2 2 2 4" xfId="29717" xr:uid="{00000000-0005-0000-0000-00002C620000}"/>
    <cellStyle name="출력 3 5 2 2 3" xfId="22849" xr:uid="{00000000-0005-0000-0000-00002D620000}"/>
    <cellStyle name="출력 3 5 2 2 3 2" xfId="20077" xr:uid="{00000000-0005-0000-0000-00002E620000}"/>
    <cellStyle name="출력 3 5 2 2 3 3" xfId="27079" xr:uid="{00000000-0005-0000-0000-00002F620000}"/>
    <cellStyle name="출력 3 5 2 2 3 4" xfId="30193" xr:uid="{00000000-0005-0000-0000-000030620000}"/>
    <cellStyle name="출력 3 5 2 2 4" xfId="23232" xr:uid="{00000000-0005-0000-0000-000031620000}"/>
    <cellStyle name="출력 3 5 2 2 4 2" xfId="20302" xr:uid="{00000000-0005-0000-0000-000032620000}"/>
    <cellStyle name="출력 3 5 2 2 4 3" xfId="27462" xr:uid="{00000000-0005-0000-0000-000033620000}"/>
    <cellStyle name="출력 3 5 2 2 4 4" xfId="30576" xr:uid="{00000000-0005-0000-0000-000034620000}"/>
    <cellStyle name="출력 3 5 2 2 5" xfId="23659" xr:uid="{00000000-0005-0000-0000-000035620000}"/>
    <cellStyle name="출력 3 5 2 2 5 2" xfId="18314" xr:uid="{00000000-0005-0000-0000-000036620000}"/>
    <cellStyle name="출력 3 5 2 2 5 3" xfId="27889" xr:uid="{00000000-0005-0000-0000-000037620000}"/>
    <cellStyle name="출력 3 5 2 2 5 4" xfId="31003" xr:uid="{00000000-0005-0000-0000-000038620000}"/>
    <cellStyle name="출력 3 5 2 2 6" xfId="24002" xr:uid="{00000000-0005-0000-0000-000039620000}"/>
    <cellStyle name="출력 3 5 2 2 7" xfId="26050" xr:uid="{00000000-0005-0000-0000-00003A620000}"/>
    <cellStyle name="출력 3 5 2 2 8" xfId="29164" xr:uid="{00000000-0005-0000-0000-00003B620000}"/>
    <cellStyle name="출력 3 5 2 3" xfId="21418" xr:uid="{00000000-0005-0000-0000-00003C620000}"/>
    <cellStyle name="출력 3 5 2 3 2" xfId="24500" xr:uid="{00000000-0005-0000-0000-00003D620000}"/>
    <cellStyle name="출력 3 5 2 3 3" xfId="25605" xr:uid="{00000000-0005-0000-0000-00003E620000}"/>
    <cellStyle name="출력 3 5 2 3 4" xfId="28722" xr:uid="{00000000-0005-0000-0000-00003F620000}"/>
    <cellStyle name="출력 3 5 2 4" xfId="21926" xr:uid="{00000000-0005-0000-0000-000040620000}"/>
    <cellStyle name="출력 3 5 2 4 2" xfId="23786" xr:uid="{00000000-0005-0000-0000-000041620000}"/>
    <cellStyle name="출력 3 5 2 4 3" xfId="26156" xr:uid="{00000000-0005-0000-0000-000042620000}"/>
    <cellStyle name="출력 3 5 2 4 4" xfId="29270" xr:uid="{00000000-0005-0000-0000-000043620000}"/>
    <cellStyle name="출력 3 5 2 5" xfId="22399" xr:uid="{00000000-0005-0000-0000-000044620000}"/>
    <cellStyle name="출력 3 5 2 5 2" xfId="19663" xr:uid="{00000000-0005-0000-0000-000045620000}"/>
    <cellStyle name="출력 3 5 2 5 3" xfId="26629" xr:uid="{00000000-0005-0000-0000-000046620000}"/>
    <cellStyle name="출력 3 5 2 5 4" xfId="29743" xr:uid="{00000000-0005-0000-0000-000047620000}"/>
    <cellStyle name="출력 3 5 2 6" xfId="22872" xr:uid="{00000000-0005-0000-0000-000048620000}"/>
    <cellStyle name="출력 3 5 2 6 2" xfId="20100" xr:uid="{00000000-0005-0000-0000-000049620000}"/>
    <cellStyle name="출력 3 5 2 6 3" xfId="27102" xr:uid="{00000000-0005-0000-0000-00004A620000}"/>
    <cellStyle name="출력 3 5 2 6 4" xfId="30216" xr:uid="{00000000-0005-0000-0000-00004B620000}"/>
    <cellStyle name="출력 3 5 2 7" xfId="21022" xr:uid="{00000000-0005-0000-0000-00004C620000}"/>
    <cellStyle name="출력 3 5 2 7 2" xfId="24539" xr:uid="{00000000-0005-0000-0000-00004D620000}"/>
    <cellStyle name="출력 3 5 2 7 3" xfId="25267" xr:uid="{00000000-0005-0000-0000-00004E620000}"/>
    <cellStyle name="출력 3 5 2 7 4" xfId="28391" xr:uid="{00000000-0005-0000-0000-00004F620000}"/>
    <cellStyle name="출력 3 5 2 8" xfId="20790" xr:uid="{00000000-0005-0000-0000-000050620000}"/>
    <cellStyle name="출력 3 5 2 9" xfId="19093" xr:uid="{00000000-0005-0000-0000-000051620000}"/>
    <cellStyle name="출력 3 5 3" xfId="15472" xr:uid="{00000000-0005-0000-0000-000052620000}"/>
    <cellStyle name="출력 3 5 3 10" xfId="28056" xr:uid="{00000000-0005-0000-0000-000053620000}"/>
    <cellStyle name="출력 3 5 3 11" xfId="17517" xr:uid="{00000000-0005-0000-0000-000054620000}"/>
    <cellStyle name="출력 3 5 3 2" xfId="15238" xr:uid="{00000000-0005-0000-0000-000055620000}"/>
    <cellStyle name="출력 3 5 3 2 2" xfId="24489" xr:uid="{00000000-0005-0000-0000-000056620000}"/>
    <cellStyle name="출력 3 5 3 2 3" xfId="25944" xr:uid="{00000000-0005-0000-0000-000057620000}"/>
    <cellStyle name="출력 3 5 3 2 4" xfId="29058" xr:uid="{00000000-0005-0000-0000-000058620000}"/>
    <cellStyle name="출력 3 5 3 2 5" xfId="21714" xr:uid="{00000000-0005-0000-0000-000059620000}"/>
    <cellStyle name="출력 3 5 3 3" xfId="17044" xr:uid="{00000000-0005-0000-0000-00005A620000}"/>
    <cellStyle name="출력 3 5 3 3 2" xfId="18418" xr:uid="{00000000-0005-0000-0000-00005B620000}"/>
    <cellStyle name="출력 3 5 3 3 3" xfId="26497" xr:uid="{00000000-0005-0000-0000-00005C620000}"/>
    <cellStyle name="출력 3 5 3 3 4" xfId="29611" xr:uid="{00000000-0005-0000-0000-00005D620000}"/>
    <cellStyle name="출력 3 5 3 3 5" xfId="22267" xr:uid="{00000000-0005-0000-0000-00005E620000}"/>
    <cellStyle name="출력 3 5 3 4" xfId="17045" xr:uid="{00000000-0005-0000-0000-00005F620000}"/>
    <cellStyle name="출력 3 5 3 4 2" xfId="19980" xr:uid="{00000000-0005-0000-0000-000060620000}"/>
    <cellStyle name="출력 3 5 3 4 3" xfId="26973" xr:uid="{00000000-0005-0000-0000-000061620000}"/>
    <cellStyle name="출력 3 5 3 4 4" xfId="30087" xr:uid="{00000000-0005-0000-0000-000062620000}"/>
    <cellStyle name="출력 3 5 3 4 5" xfId="22743" xr:uid="{00000000-0005-0000-0000-000063620000}"/>
    <cellStyle name="출력 3 5 3 5" xfId="23148" xr:uid="{00000000-0005-0000-0000-000064620000}"/>
    <cellStyle name="출력 3 5 3 5 2" xfId="19239" xr:uid="{00000000-0005-0000-0000-000065620000}"/>
    <cellStyle name="출력 3 5 3 5 3" xfId="27378" xr:uid="{00000000-0005-0000-0000-000066620000}"/>
    <cellStyle name="출력 3 5 3 5 4" xfId="30492" xr:uid="{00000000-0005-0000-0000-000067620000}"/>
    <cellStyle name="출력 3 5 3 6" xfId="23553" xr:uid="{00000000-0005-0000-0000-000068620000}"/>
    <cellStyle name="출력 3 5 3 6 2" xfId="18215" xr:uid="{00000000-0005-0000-0000-000069620000}"/>
    <cellStyle name="출력 3 5 3 6 3" xfId="27783" xr:uid="{00000000-0005-0000-0000-00006A620000}"/>
    <cellStyle name="출력 3 5 3 6 4" xfId="30897" xr:uid="{00000000-0005-0000-0000-00006B620000}"/>
    <cellStyle name="출력 3 5 3 7" xfId="20684" xr:uid="{00000000-0005-0000-0000-00006C620000}"/>
    <cellStyle name="출력 3 5 3 8" xfId="18989" xr:uid="{00000000-0005-0000-0000-00006D620000}"/>
    <cellStyle name="출력 3 5 3 9" xfId="24932" xr:uid="{00000000-0005-0000-0000-00006E620000}"/>
    <cellStyle name="출력 3 5 4" xfId="17407" xr:uid="{00000000-0005-0000-0000-00006F620000}"/>
    <cellStyle name="출력 3 5 4 2" xfId="22088" xr:uid="{00000000-0005-0000-0000-000070620000}"/>
    <cellStyle name="출력 3 5 4 2 2" xfId="24269" xr:uid="{00000000-0005-0000-0000-000071620000}"/>
    <cellStyle name="출력 3 5 4 2 3" xfId="26318" xr:uid="{00000000-0005-0000-0000-000072620000}"/>
    <cellStyle name="출력 3 5 4 2 4" xfId="29432" xr:uid="{00000000-0005-0000-0000-000073620000}"/>
    <cellStyle name="출력 3 5 4 3" xfId="22561" xr:uid="{00000000-0005-0000-0000-000074620000}"/>
    <cellStyle name="출력 3 5 4 3 2" xfId="24058" xr:uid="{00000000-0005-0000-0000-000075620000}"/>
    <cellStyle name="출력 3 5 4 3 3" xfId="26791" xr:uid="{00000000-0005-0000-0000-000076620000}"/>
    <cellStyle name="출력 3 5 4 3 4" xfId="29905" xr:uid="{00000000-0005-0000-0000-000077620000}"/>
    <cellStyle name="출력 3 5 4 4" xfId="23006" xr:uid="{00000000-0005-0000-0000-000078620000}"/>
    <cellStyle name="출력 3 5 4 4 2" xfId="20222" xr:uid="{00000000-0005-0000-0000-000079620000}"/>
    <cellStyle name="출력 3 5 4 4 3" xfId="27236" xr:uid="{00000000-0005-0000-0000-00007A620000}"/>
    <cellStyle name="출력 3 5 4 4 4" xfId="30350" xr:uid="{00000000-0005-0000-0000-00007B620000}"/>
    <cellStyle name="출력 3 5 4 5" xfId="23379" xr:uid="{00000000-0005-0000-0000-00007C620000}"/>
    <cellStyle name="출력 3 5 4 5 2" xfId="20416" xr:uid="{00000000-0005-0000-0000-00007D620000}"/>
    <cellStyle name="출력 3 5 4 5 3" xfId="27609" xr:uid="{00000000-0005-0000-0000-00007E620000}"/>
    <cellStyle name="출력 3 5 4 5 4" xfId="30723" xr:uid="{00000000-0005-0000-0000-00007F620000}"/>
    <cellStyle name="출력 3 5 4 6" xfId="19295" xr:uid="{00000000-0005-0000-0000-000080620000}"/>
    <cellStyle name="출력 3 5 4 7" xfId="25767" xr:uid="{00000000-0005-0000-0000-000081620000}"/>
    <cellStyle name="출력 3 5 4 8" xfId="28884" xr:uid="{00000000-0005-0000-0000-000082620000}"/>
    <cellStyle name="출력 3 5 5" xfId="20957" xr:uid="{00000000-0005-0000-0000-000083620000}"/>
    <cellStyle name="출력 3 5 5 2" xfId="24083" xr:uid="{00000000-0005-0000-0000-000084620000}"/>
    <cellStyle name="출력 3 5 5 3" xfId="25208" xr:uid="{00000000-0005-0000-0000-000085620000}"/>
    <cellStyle name="출력 3 5 5 4" xfId="28332" xr:uid="{00000000-0005-0000-0000-000086620000}"/>
    <cellStyle name="출력 3 5 6" xfId="18810" xr:uid="{00000000-0005-0000-0000-000087620000}"/>
    <cellStyle name="출력 3 5 7" xfId="18502" xr:uid="{00000000-0005-0000-0000-000088620000}"/>
    <cellStyle name="출력 3 5 8" xfId="18727" xr:uid="{00000000-0005-0000-0000-000089620000}"/>
    <cellStyle name="출력 3 5 9" xfId="17312" xr:uid="{00000000-0005-0000-0000-00008A620000}"/>
    <cellStyle name="출력 3 6" xfId="12204" xr:uid="{00000000-0005-0000-0000-00008B620000}"/>
    <cellStyle name="출력 3 6 2" xfId="14847" xr:uid="{00000000-0005-0000-0000-00008C620000}"/>
    <cellStyle name="출력 3 6 2 10" xfId="25039" xr:uid="{00000000-0005-0000-0000-00008D620000}"/>
    <cellStyle name="출력 3 6 2 11" xfId="28163" xr:uid="{00000000-0005-0000-0000-00008E620000}"/>
    <cellStyle name="출력 3 6 2 12" xfId="31145" xr:uid="{00000000-0005-0000-0000-00008F620000}"/>
    <cellStyle name="출력 3 6 2 13" xfId="17429" xr:uid="{00000000-0005-0000-0000-000090620000}"/>
    <cellStyle name="출력 3 6 2 2" xfId="21821" xr:uid="{00000000-0005-0000-0000-000091620000}"/>
    <cellStyle name="출력 3 6 2 2 2" xfId="22374" xr:uid="{00000000-0005-0000-0000-000092620000}"/>
    <cellStyle name="출력 3 6 2 2 2 2" xfId="19639" xr:uid="{00000000-0005-0000-0000-000093620000}"/>
    <cellStyle name="출력 3 6 2 2 2 3" xfId="26604" xr:uid="{00000000-0005-0000-0000-000094620000}"/>
    <cellStyle name="출력 3 6 2 2 2 4" xfId="29718" xr:uid="{00000000-0005-0000-0000-000095620000}"/>
    <cellStyle name="출력 3 6 2 2 3" xfId="22850" xr:uid="{00000000-0005-0000-0000-000096620000}"/>
    <cellStyle name="출력 3 6 2 2 3 2" xfId="20078" xr:uid="{00000000-0005-0000-0000-000097620000}"/>
    <cellStyle name="출력 3 6 2 2 3 3" xfId="27080" xr:uid="{00000000-0005-0000-0000-000098620000}"/>
    <cellStyle name="출력 3 6 2 2 3 4" xfId="30194" xr:uid="{00000000-0005-0000-0000-000099620000}"/>
    <cellStyle name="출력 3 6 2 2 4" xfId="23233" xr:uid="{00000000-0005-0000-0000-00009A620000}"/>
    <cellStyle name="출력 3 6 2 2 4 2" xfId="20303" xr:uid="{00000000-0005-0000-0000-00009B620000}"/>
    <cellStyle name="출력 3 6 2 2 4 3" xfId="27463" xr:uid="{00000000-0005-0000-0000-00009C620000}"/>
    <cellStyle name="출력 3 6 2 2 4 4" xfId="30577" xr:uid="{00000000-0005-0000-0000-00009D620000}"/>
    <cellStyle name="출력 3 6 2 2 5" xfId="23660" xr:uid="{00000000-0005-0000-0000-00009E620000}"/>
    <cellStyle name="출력 3 6 2 2 5 2" xfId="18315" xr:uid="{00000000-0005-0000-0000-00009F620000}"/>
    <cellStyle name="출력 3 6 2 2 5 3" xfId="27890" xr:uid="{00000000-0005-0000-0000-0000A0620000}"/>
    <cellStyle name="출력 3 6 2 2 5 4" xfId="31004" xr:uid="{00000000-0005-0000-0000-0000A1620000}"/>
    <cellStyle name="출력 3 6 2 2 6" xfId="24713" xr:uid="{00000000-0005-0000-0000-0000A2620000}"/>
    <cellStyle name="출력 3 6 2 2 7" xfId="26051" xr:uid="{00000000-0005-0000-0000-0000A3620000}"/>
    <cellStyle name="출력 3 6 2 2 8" xfId="29165" xr:uid="{00000000-0005-0000-0000-0000A4620000}"/>
    <cellStyle name="출력 3 6 2 3" xfId="21419" xr:uid="{00000000-0005-0000-0000-0000A5620000}"/>
    <cellStyle name="출력 3 6 2 3 2" xfId="24326" xr:uid="{00000000-0005-0000-0000-0000A6620000}"/>
    <cellStyle name="출력 3 6 2 3 3" xfId="25606" xr:uid="{00000000-0005-0000-0000-0000A7620000}"/>
    <cellStyle name="출력 3 6 2 3 4" xfId="28723" xr:uid="{00000000-0005-0000-0000-0000A8620000}"/>
    <cellStyle name="출력 3 6 2 4" xfId="21927" xr:uid="{00000000-0005-0000-0000-0000A9620000}"/>
    <cellStyle name="출력 3 6 2 4 2" xfId="23930" xr:uid="{00000000-0005-0000-0000-0000AA620000}"/>
    <cellStyle name="출력 3 6 2 4 3" xfId="26157" xr:uid="{00000000-0005-0000-0000-0000AB620000}"/>
    <cellStyle name="출력 3 6 2 4 4" xfId="29271" xr:uid="{00000000-0005-0000-0000-0000AC620000}"/>
    <cellStyle name="출력 3 6 2 5" xfId="22400" xr:uid="{00000000-0005-0000-0000-0000AD620000}"/>
    <cellStyle name="출력 3 6 2 5 2" xfId="19664" xr:uid="{00000000-0005-0000-0000-0000AE620000}"/>
    <cellStyle name="출력 3 6 2 5 3" xfId="26630" xr:uid="{00000000-0005-0000-0000-0000AF620000}"/>
    <cellStyle name="출력 3 6 2 5 4" xfId="29744" xr:uid="{00000000-0005-0000-0000-0000B0620000}"/>
    <cellStyle name="출력 3 6 2 6" xfId="22873" xr:uid="{00000000-0005-0000-0000-0000B1620000}"/>
    <cellStyle name="출력 3 6 2 6 2" xfId="20101" xr:uid="{00000000-0005-0000-0000-0000B2620000}"/>
    <cellStyle name="출력 3 6 2 6 3" xfId="27103" xr:uid="{00000000-0005-0000-0000-0000B3620000}"/>
    <cellStyle name="출력 3 6 2 6 4" xfId="30217" xr:uid="{00000000-0005-0000-0000-0000B4620000}"/>
    <cellStyle name="출력 3 6 2 7" xfId="21033" xr:uid="{00000000-0005-0000-0000-0000B5620000}"/>
    <cellStyle name="출력 3 6 2 7 2" xfId="24516" xr:uid="{00000000-0005-0000-0000-0000B6620000}"/>
    <cellStyle name="출력 3 6 2 7 3" xfId="25278" xr:uid="{00000000-0005-0000-0000-0000B7620000}"/>
    <cellStyle name="출력 3 6 2 7 4" xfId="28402" xr:uid="{00000000-0005-0000-0000-0000B8620000}"/>
    <cellStyle name="출력 3 6 2 8" xfId="20791" xr:uid="{00000000-0005-0000-0000-0000B9620000}"/>
    <cellStyle name="출력 3 6 2 9" xfId="19094" xr:uid="{00000000-0005-0000-0000-0000BA620000}"/>
    <cellStyle name="출력 3 6 3" xfId="15473" xr:uid="{00000000-0005-0000-0000-0000BB620000}"/>
    <cellStyle name="출력 3 6 3 10" xfId="28057" xr:uid="{00000000-0005-0000-0000-0000BC620000}"/>
    <cellStyle name="출력 3 6 3 11" xfId="17516" xr:uid="{00000000-0005-0000-0000-0000BD620000}"/>
    <cellStyle name="출력 3 6 3 2" xfId="15237" xr:uid="{00000000-0005-0000-0000-0000BE620000}"/>
    <cellStyle name="출력 3 6 3 2 2" xfId="24316" xr:uid="{00000000-0005-0000-0000-0000BF620000}"/>
    <cellStyle name="출력 3 6 3 2 3" xfId="25945" xr:uid="{00000000-0005-0000-0000-0000C0620000}"/>
    <cellStyle name="출력 3 6 3 2 4" xfId="29059" xr:uid="{00000000-0005-0000-0000-0000C1620000}"/>
    <cellStyle name="출력 3 6 3 2 5" xfId="21715" xr:uid="{00000000-0005-0000-0000-0000C2620000}"/>
    <cellStyle name="출력 3 6 3 3" xfId="17046" xr:uid="{00000000-0005-0000-0000-0000C3620000}"/>
    <cellStyle name="출력 3 6 3 3 2" xfId="18419" xr:uid="{00000000-0005-0000-0000-0000C4620000}"/>
    <cellStyle name="출력 3 6 3 3 3" xfId="26498" xr:uid="{00000000-0005-0000-0000-0000C5620000}"/>
    <cellStyle name="출력 3 6 3 3 4" xfId="29612" xr:uid="{00000000-0005-0000-0000-0000C6620000}"/>
    <cellStyle name="출력 3 6 3 3 5" xfId="22268" xr:uid="{00000000-0005-0000-0000-0000C7620000}"/>
    <cellStyle name="출력 3 6 3 4" xfId="17047" xr:uid="{00000000-0005-0000-0000-0000C8620000}"/>
    <cellStyle name="출력 3 6 3 4 2" xfId="19981" xr:uid="{00000000-0005-0000-0000-0000C9620000}"/>
    <cellStyle name="출력 3 6 3 4 3" xfId="26974" xr:uid="{00000000-0005-0000-0000-0000CA620000}"/>
    <cellStyle name="출력 3 6 3 4 4" xfId="30088" xr:uid="{00000000-0005-0000-0000-0000CB620000}"/>
    <cellStyle name="출력 3 6 3 4 5" xfId="22744" xr:uid="{00000000-0005-0000-0000-0000CC620000}"/>
    <cellStyle name="출력 3 6 3 5" xfId="23149" xr:uid="{00000000-0005-0000-0000-0000CD620000}"/>
    <cellStyle name="출력 3 6 3 5 2" xfId="19240" xr:uid="{00000000-0005-0000-0000-0000CE620000}"/>
    <cellStyle name="출력 3 6 3 5 3" xfId="27379" xr:uid="{00000000-0005-0000-0000-0000CF620000}"/>
    <cellStyle name="출력 3 6 3 5 4" xfId="30493" xr:uid="{00000000-0005-0000-0000-0000D0620000}"/>
    <cellStyle name="출력 3 6 3 6" xfId="23554" xr:uid="{00000000-0005-0000-0000-0000D1620000}"/>
    <cellStyle name="출력 3 6 3 6 2" xfId="18216" xr:uid="{00000000-0005-0000-0000-0000D2620000}"/>
    <cellStyle name="출력 3 6 3 6 3" xfId="27784" xr:uid="{00000000-0005-0000-0000-0000D3620000}"/>
    <cellStyle name="출력 3 6 3 6 4" xfId="30898" xr:uid="{00000000-0005-0000-0000-0000D4620000}"/>
    <cellStyle name="출력 3 6 3 7" xfId="20685" xr:uid="{00000000-0005-0000-0000-0000D5620000}"/>
    <cellStyle name="출력 3 6 3 8" xfId="18990" xr:uid="{00000000-0005-0000-0000-0000D6620000}"/>
    <cellStyle name="출력 3 6 3 9" xfId="24933" xr:uid="{00000000-0005-0000-0000-0000D7620000}"/>
    <cellStyle name="출력 3 6 4" xfId="17379" xr:uid="{00000000-0005-0000-0000-0000D8620000}"/>
    <cellStyle name="출력 3 6 4 2" xfId="22089" xr:uid="{00000000-0005-0000-0000-0000D9620000}"/>
    <cellStyle name="출력 3 6 4 2 2" xfId="24087" xr:uid="{00000000-0005-0000-0000-0000DA620000}"/>
    <cellStyle name="출력 3 6 4 2 3" xfId="26319" xr:uid="{00000000-0005-0000-0000-0000DB620000}"/>
    <cellStyle name="출력 3 6 4 2 4" xfId="29433" xr:uid="{00000000-0005-0000-0000-0000DC620000}"/>
    <cellStyle name="출력 3 6 4 3" xfId="22562" xr:uid="{00000000-0005-0000-0000-0000DD620000}"/>
    <cellStyle name="출력 3 6 4 3 2" xfId="19813" xr:uid="{00000000-0005-0000-0000-0000DE620000}"/>
    <cellStyle name="출력 3 6 4 3 3" xfId="26792" xr:uid="{00000000-0005-0000-0000-0000DF620000}"/>
    <cellStyle name="출력 3 6 4 3 4" xfId="29906" xr:uid="{00000000-0005-0000-0000-0000E0620000}"/>
    <cellStyle name="출력 3 6 4 4" xfId="23007" xr:uid="{00000000-0005-0000-0000-0000E1620000}"/>
    <cellStyle name="출력 3 6 4 4 2" xfId="20223" xr:uid="{00000000-0005-0000-0000-0000E2620000}"/>
    <cellStyle name="출력 3 6 4 4 3" xfId="27237" xr:uid="{00000000-0005-0000-0000-0000E3620000}"/>
    <cellStyle name="출력 3 6 4 4 4" xfId="30351" xr:uid="{00000000-0005-0000-0000-0000E4620000}"/>
    <cellStyle name="출력 3 6 4 5" xfId="23380" xr:uid="{00000000-0005-0000-0000-0000E5620000}"/>
    <cellStyle name="출력 3 6 4 5 2" xfId="20418" xr:uid="{00000000-0005-0000-0000-0000E6620000}"/>
    <cellStyle name="출력 3 6 4 5 3" xfId="27610" xr:uid="{00000000-0005-0000-0000-0000E7620000}"/>
    <cellStyle name="출력 3 6 4 5 4" xfId="30724" xr:uid="{00000000-0005-0000-0000-0000E8620000}"/>
    <cellStyle name="출력 3 6 4 6" xfId="19536" xr:uid="{00000000-0005-0000-0000-0000E9620000}"/>
    <cellStyle name="출력 3 6 4 7" xfId="25768" xr:uid="{00000000-0005-0000-0000-0000EA620000}"/>
    <cellStyle name="출력 3 6 4 8" xfId="28885" xr:uid="{00000000-0005-0000-0000-0000EB620000}"/>
    <cellStyle name="출력 3 6 5" xfId="20958" xr:uid="{00000000-0005-0000-0000-0000EC620000}"/>
    <cellStyle name="출력 3 6 5 2" xfId="19352" xr:uid="{00000000-0005-0000-0000-0000ED620000}"/>
    <cellStyle name="출력 3 6 5 3" xfId="25209" xr:uid="{00000000-0005-0000-0000-0000EE620000}"/>
    <cellStyle name="출력 3 6 5 4" xfId="28333" xr:uid="{00000000-0005-0000-0000-0000EF620000}"/>
    <cellStyle name="출력 3 6 6" xfId="18811" xr:uid="{00000000-0005-0000-0000-0000F0620000}"/>
    <cellStyle name="출력 3 6 7" xfId="18501" xr:uid="{00000000-0005-0000-0000-0000F1620000}"/>
    <cellStyle name="출력 3 6 8" xfId="24398" xr:uid="{00000000-0005-0000-0000-0000F2620000}"/>
    <cellStyle name="출력 3 6 9" xfId="17313" xr:uid="{00000000-0005-0000-0000-0000F3620000}"/>
    <cellStyle name="출력 3 7" xfId="12205" xr:uid="{00000000-0005-0000-0000-0000F4620000}"/>
    <cellStyle name="출력 3 7 2" xfId="14848" xr:uid="{00000000-0005-0000-0000-0000F5620000}"/>
    <cellStyle name="출력 3 7 2 10" xfId="25040" xr:uid="{00000000-0005-0000-0000-0000F6620000}"/>
    <cellStyle name="출력 3 7 2 11" xfId="28164" xr:uid="{00000000-0005-0000-0000-0000F7620000}"/>
    <cellStyle name="출력 3 7 2 12" xfId="31146" xr:uid="{00000000-0005-0000-0000-0000F8620000}"/>
    <cellStyle name="출력 3 7 2 13" xfId="17428" xr:uid="{00000000-0005-0000-0000-0000F9620000}"/>
    <cellStyle name="출력 3 7 2 2" xfId="21822" xr:uid="{00000000-0005-0000-0000-0000FA620000}"/>
    <cellStyle name="출력 3 7 2 2 2" xfId="22375" xr:uid="{00000000-0005-0000-0000-0000FB620000}"/>
    <cellStyle name="출력 3 7 2 2 2 2" xfId="19640" xr:uid="{00000000-0005-0000-0000-0000FC620000}"/>
    <cellStyle name="출력 3 7 2 2 2 3" xfId="26605" xr:uid="{00000000-0005-0000-0000-0000FD620000}"/>
    <cellStyle name="출력 3 7 2 2 2 4" xfId="29719" xr:uid="{00000000-0005-0000-0000-0000FE620000}"/>
    <cellStyle name="출력 3 7 2 2 3" xfId="22851" xr:uid="{00000000-0005-0000-0000-0000FF620000}"/>
    <cellStyle name="출력 3 7 2 2 3 2" xfId="20079" xr:uid="{00000000-0005-0000-0000-000000630000}"/>
    <cellStyle name="출력 3 7 2 2 3 3" xfId="27081" xr:uid="{00000000-0005-0000-0000-000001630000}"/>
    <cellStyle name="출력 3 7 2 2 3 4" xfId="30195" xr:uid="{00000000-0005-0000-0000-000002630000}"/>
    <cellStyle name="출력 3 7 2 2 4" xfId="23234" xr:uid="{00000000-0005-0000-0000-000003630000}"/>
    <cellStyle name="출력 3 7 2 2 4 2" xfId="20813" xr:uid="{00000000-0005-0000-0000-000004630000}"/>
    <cellStyle name="출력 3 7 2 2 4 3" xfId="27464" xr:uid="{00000000-0005-0000-0000-000005630000}"/>
    <cellStyle name="출력 3 7 2 2 4 4" xfId="30578" xr:uid="{00000000-0005-0000-0000-000006630000}"/>
    <cellStyle name="출력 3 7 2 2 5" xfId="23661" xr:uid="{00000000-0005-0000-0000-000007630000}"/>
    <cellStyle name="출력 3 7 2 2 5 2" xfId="18316" xr:uid="{00000000-0005-0000-0000-000008630000}"/>
    <cellStyle name="출력 3 7 2 2 5 3" xfId="27891" xr:uid="{00000000-0005-0000-0000-000009630000}"/>
    <cellStyle name="출력 3 7 2 2 5 4" xfId="31005" xr:uid="{00000000-0005-0000-0000-00000A630000}"/>
    <cellStyle name="출력 3 7 2 2 6" xfId="24583" xr:uid="{00000000-0005-0000-0000-00000B630000}"/>
    <cellStyle name="출력 3 7 2 2 7" xfId="26052" xr:uid="{00000000-0005-0000-0000-00000C630000}"/>
    <cellStyle name="출력 3 7 2 2 8" xfId="29166" xr:uid="{00000000-0005-0000-0000-00000D630000}"/>
    <cellStyle name="출력 3 7 2 3" xfId="21420" xr:uid="{00000000-0005-0000-0000-00000E630000}"/>
    <cellStyle name="출력 3 7 2 3 2" xfId="24145" xr:uid="{00000000-0005-0000-0000-00000F630000}"/>
    <cellStyle name="출력 3 7 2 3 3" xfId="25607" xr:uid="{00000000-0005-0000-0000-000010630000}"/>
    <cellStyle name="출력 3 7 2 3 4" xfId="28724" xr:uid="{00000000-0005-0000-0000-000011630000}"/>
    <cellStyle name="출력 3 7 2 4" xfId="21928" xr:uid="{00000000-0005-0000-0000-000012630000}"/>
    <cellStyle name="출력 3 7 2 4 2" xfId="24741" xr:uid="{00000000-0005-0000-0000-000013630000}"/>
    <cellStyle name="출력 3 7 2 4 3" xfId="26158" xr:uid="{00000000-0005-0000-0000-000014630000}"/>
    <cellStyle name="출력 3 7 2 4 4" xfId="29272" xr:uid="{00000000-0005-0000-0000-000015630000}"/>
    <cellStyle name="출력 3 7 2 5" xfId="22401" xr:uid="{00000000-0005-0000-0000-000016630000}"/>
    <cellStyle name="출력 3 7 2 5 2" xfId="19665" xr:uid="{00000000-0005-0000-0000-000017630000}"/>
    <cellStyle name="출력 3 7 2 5 3" xfId="26631" xr:uid="{00000000-0005-0000-0000-000018630000}"/>
    <cellStyle name="출력 3 7 2 5 4" xfId="29745" xr:uid="{00000000-0005-0000-0000-000019630000}"/>
    <cellStyle name="출력 3 7 2 6" xfId="22874" xr:uid="{00000000-0005-0000-0000-00001A630000}"/>
    <cellStyle name="출력 3 7 2 6 2" xfId="20102" xr:uid="{00000000-0005-0000-0000-00001B630000}"/>
    <cellStyle name="출력 3 7 2 6 3" xfId="27104" xr:uid="{00000000-0005-0000-0000-00001C630000}"/>
    <cellStyle name="출력 3 7 2 6 4" xfId="30218" xr:uid="{00000000-0005-0000-0000-00001D630000}"/>
    <cellStyle name="출력 3 7 2 7" xfId="22581" xr:uid="{00000000-0005-0000-0000-00001E630000}"/>
    <cellStyle name="출력 3 7 2 7 2" xfId="19829" xr:uid="{00000000-0005-0000-0000-00001F630000}"/>
    <cellStyle name="출력 3 7 2 7 3" xfId="26811" xr:uid="{00000000-0005-0000-0000-000020630000}"/>
    <cellStyle name="출력 3 7 2 7 4" xfId="29925" xr:uid="{00000000-0005-0000-0000-000021630000}"/>
    <cellStyle name="출력 3 7 2 8" xfId="20792" xr:uid="{00000000-0005-0000-0000-000022630000}"/>
    <cellStyle name="출력 3 7 2 9" xfId="19095" xr:uid="{00000000-0005-0000-0000-000023630000}"/>
    <cellStyle name="출력 3 7 3" xfId="15474" xr:uid="{00000000-0005-0000-0000-000024630000}"/>
    <cellStyle name="출력 3 7 3 10" xfId="28058" xr:uid="{00000000-0005-0000-0000-000025630000}"/>
    <cellStyle name="출력 3 7 3 11" xfId="17515" xr:uid="{00000000-0005-0000-0000-000026630000}"/>
    <cellStyle name="출력 3 7 3 2" xfId="15236" xr:uid="{00000000-0005-0000-0000-000027630000}"/>
    <cellStyle name="출력 3 7 3 2 2" xfId="24134" xr:uid="{00000000-0005-0000-0000-000028630000}"/>
    <cellStyle name="출력 3 7 3 2 3" xfId="25946" xr:uid="{00000000-0005-0000-0000-000029630000}"/>
    <cellStyle name="출력 3 7 3 2 4" xfId="29060" xr:uid="{00000000-0005-0000-0000-00002A630000}"/>
    <cellStyle name="출력 3 7 3 2 5" xfId="21716" xr:uid="{00000000-0005-0000-0000-00002B630000}"/>
    <cellStyle name="출력 3 7 3 3" xfId="17048" xr:uid="{00000000-0005-0000-0000-00002C630000}"/>
    <cellStyle name="출력 3 7 3 3 2" xfId="18420" xr:uid="{00000000-0005-0000-0000-00002D630000}"/>
    <cellStyle name="출력 3 7 3 3 3" xfId="26499" xr:uid="{00000000-0005-0000-0000-00002E630000}"/>
    <cellStyle name="출력 3 7 3 3 4" xfId="29613" xr:uid="{00000000-0005-0000-0000-00002F630000}"/>
    <cellStyle name="출력 3 7 3 3 5" xfId="22269" xr:uid="{00000000-0005-0000-0000-000030630000}"/>
    <cellStyle name="출력 3 7 3 4" xfId="17049" xr:uid="{00000000-0005-0000-0000-000031630000}"/>
    <cellStyle name="출력 3 7 3 4 2" xfId="19982" xr:uid="{00000000-0005-0000-0000-000032630000}"/>
    <cellStyle name="출력 3 7 3 4 3" xfId="26975" xr:uid="{00000000-0005-0000-0000-000033630000}"/>
    <cellStyle name="출력 3 7 3 4 4" xfId="30089" xr:uid="{00000000-0005-0000-0000-000034630000}"/>
    <cellStyle name="출력 3 7 3 4 5" xfId="22745" xr:uid="{00000000-0005-0000-0000-000035630000}"/>
    <cellStyle name="출력 3 7 3 5" xfId="23150" xr:uid="{00000000-0005-0000-0000-000036630000}"/>
    <cellStyle name="출력 3 7 3 5 2" xfId="19241" xr:uid="{00000000-0005-0000-0000-000037630000}"/>
    <cellStyle name="출력 3 7 3 5 3" xfId="27380" xr:uid="{00000000-0005-0000-0000-000038630000}"/>
    <cellStyle name="출력 3 7 3 5 4" xfId="30494" xr:uid="{00000000-0005-0000-0000-000039630000}"/>
    <cellStyle name="출력 3 7 3 6" xfId="23555" xr:uid="{00000000-0005-0000-0000-00003A630000}"/>
    <cellStyle name="출력 3 7 3 6 2" xfId="18217" xr:uid="{00000000-0005-0000-0000-00003B630000}"/>
    <cellStyle name="출력 3 7 3 6 3" xfId="27785" xr:uid="{00000000-0005-0000-0000-00003C630000}"/>
    <cellStyle name="출력 3 7 3 6 4" xfId="30899" xr:uid="{00000000-0005-0000-0000-00003D630000}"/>
    <cellStyle name="출력 3 7 3 7" xfId="20686" xr:uid="{00000000-0005-0000-0000-00003E630000}"/>
    <cellStyle name="출력 3 7 3 8" xfId="18991" xr:uid="{00000000-0005-0000-0000-00003F630000}"/>
    <cellStyle name="출력 3 7 3 9" xfId="24934" xr:uid="{00000000-0005-0000-0000-000040630000}"/>
    <cellStyle name="출력 3 7 4" xfId="17382" xr:uid="{00000000-0005-0000-0000-000041630000}"/>
    <cellStyle name="출력 3 7 4 2" xfId="22090" xr:uid="{00000000-0005-0000-0000-000042630000}"/>
    <cellStyle name="출력 3 7 4 2 2" xfId="19348" xr:uid="{00000000-0005-0000-0000-000043630000}"/>
    <cellStyle name="출력 3 7 4 2 3" xfId="26320" xr:uid="{00000000-0005-0000-0000-000044630000}"/>
    <cellStyle name="출력 3 7 4 2 4" xfId="29434" xr:uid="{00000000-0005-0000-0000-000045630000}"/>
    <cellStyle name="출력 3 7 4 3" xfId="22563" xr:uid="{00000000-0005-0000-0000-000046630000}"/>
    <cellStyle name="출력 3 7 4 3 2" xfId="19814" xr:uid="{00000000-0005-0000-0000-000047630000}"/>
    <cellStyle name="출력 3 7 4 3 3" xfId="26793" xr:uid="{00000000-0005-0000-0000-000048630000}"/>
    <cellStyle name="출력 3 7 4 3 4" xfId="29907" xr:uid="{00000000-0005-0000-0000-000049630000}"/>
    <cellStyle name="출력 3 7 4 4" xfId="23008" xr:uid="{00000000-0005-0000-0000-00004A630000}"/>
    <cellStyle name="출력 3 7 4 4 2" xfId="20224" xr:uid="{00000000-0005-0000-0000-00004B630000}"/>
    <cellStyle name="출력 3 7 4 4 3" xfId="27238" xr:uid="{00000000-0005-0000-0000-00004C630000}"/>
    <cellStyle name="출력 3 7 4 4 4" xfId="30352" xr:uid="{00000000-0005-0000-0000-00004D630000}"/>
    <cellStyle name="출력 3 7 4 5" xfId="23381" xr:uid="{00000000-0005-0000-0000-00004E630000}"/>
    <cellStyle name="출력 3 7 4 5 2" xfId="20419" xr:uid="{00000000-0005-0000-0000-00004F630000}"/>
    <cellStyle name="출력 3 7 4 5 3" xfId="27611" xr:uid="{00000000-0005-0000-0000-000050630000}"/>
    <cellStyle name="출력 3 7 4 5 4" xfId="30725" xr:uid="{00000000-0005-0000-0000-000051630000}"/>
    <cellStyle name="출력 3 7 4 6" xfId="23734" xr:uid="{00000000-0005-0000-0000-000052630000}"/>
    <cellStyle name="출력 3 7 4 7" xfId="25769" xr:uid="{00000000-0005-0000-0000-000053630000}"/>
    <cellStyle name="출력 3 7 4 8" xfId="28886" xr:uid="{00000000-0005-0000-0000-000054630000}"/>
    <cellStyle name="출력 3 7 5" xfId="20959" xr:uid="{00000000-0005-0000-0000-000055630000}"/>
    <cellStyle name="출력 3 7 5 2" xfId="23966" xr:uid="{00000000-0005-0000-0000-000056630000}"/>
    <cellStyle name="출력 3 7 5 3" xfId="25210" xr:uid="{00000000-0005-0000-0000-000057630000}"/>
    <cellStyle name="출력 3 7 5 4" xfId="28334" xr:uid="{00000000-0005-0000-0000-000058630000}"/>
    <cellStyle name="출력 3 7 6" xfId="18812" xr:uid="{00000000-0005-0000-0000-000059630000}"/>
    <cellStyle name="출력 3 7 7" xfId="18500" xr:uid="{00000000-0005-0000-0000-00005A630000}"/>
    <cellStyle name="출력 3 7 8" xfId="24227" xr:uid="{00000000-0005-0000-0000-00005B630000}"/>
    <cellStyle name="출력 3 7 9" xfId="17314" xr:uid="{00000000-0005-0000-0000-00005C630000}"/>
    <cellStyle name="출력 3 8" xfId="14842" xr:uid="{00000000-0005-0000-0000-00005D630000}"/>
    <cellStyle name="출력 3 8 10" xfId="25034" xr:uid="{00000000-0005-0000-0000-00005E630000}"/>
    <cellStyle name="출력 3 8 11" xfId="28158" xr:uid="{00000000-0005-0000-0000-00005F630000}"/>
    <cellStyle name="출력 3 8 12" xfId="31140" xr:uid="{00000000-0005-0000-0000-000060630000}"/>
    <cellStyle name="출력 3 8 13" xfId="17434" xr:uid="{00000000-0005-0000-0000-000061630000}"/>
    <cellStyle name="출력 3 8 2" xfId="21816" xr:uid="{00000000-0005-0000-0000-000062630000}"/>
    <cellStyle name="출력 3 8 2 2" xfId="22369" xr:uid="{00000000-0005-0000-0000-000063630000}"/>
    <cellStyle name="출력 3 8 2 2 2" xfId="19635" xr:uid="{00000000-0005-0000-0000-000064630000}"/>
    <cellStyle name="출력 3 8 2 2 3" xfId="26599" xr:uid="{00000000-0005-0000-0000-000065630000}"/>
    <cellStyle name="출력 3 8 2 2 4" xfId="29713" xr:uid="{00000000-0005-0000-0000-000066630000}"/>
    <cellStyle name="출력 3 8 2 3" xfId="22845" xr:uid="{00000000-0005-0000-0000-000067630000}"/>
    <cellStyle name="출력 3 8 2 3 2" xfId="20073" xr:uid="{00000000-0005-0000-0000-000068630000}"/>
    <cellStyle name="출력 3 8 2 3 3" xfId="27075" xr:uid="{00000000-0005-0000-0000-000069630000}"/>
    <cellStyle name="출력 3 8 2 3 4" xfId="30189" xr:uid="{00000000-0005-0000-0000-00006A630000}"/>
    <cellStyle name="출력 3 8 2 4" xfId="23228" xr:uid="{00000000-0005-0000-0000-00006B630000}"/>
    <cellStyle name="출력 3 8 2 4 2" xfId="20299" xr:uid="{00000000-0005-0000-0000-00006C630000}"/>
    <cellStyle name="출력 3 8 2 4 3" xfId="27458" xr:uid="{00000000-0005-0000-0000-00006D630000}"/>
    <cellStyle name="출력 3 8 2 4 4" xfId="30572" xr:uid="{00000000-0005-0000-0000-00006E630000}"/>
    <cellStyle name="출력 3 8 2 5" xfId="23655" xr:uid="{00000000-0005-0000-0000-00006F630000}"/>
    <cellStyle name="출력 3 8 2 5 2" xfId="18310" xr:uid="{00000000-0005-0000-0000-000070630000}"/>
    <cellStyle name="출력 3 8 2 5 3" xfId="27885" xr:uid="{00000000-0005-0000-0000-000071630000}"/>
    <cellStyle name="출력 3 8 2 5 4" xfId="30999" xr:uid="{00000000-0005-0000-0000-000072630000}"/>
    <cellStyle name="출력 3 8 2 6" xfId="24642" xr:uid="{00000000-0005-0000-0000-000073630000}"/>
    <cellStyle name="출력 3 8 2 7" xfId="26046" xr:uid="{00000000-0005-0000-0000-000074630000}"/>
    <cellStyle name="출력 3 8 2 8" xfId="29160" xr:uid="{00000000-0005-0000-0000-000075630000}"/>
    <cellStyle name="출력 3 8 3" xfId="21414" xr:uid="{00000000-0005-0000-0000-000076630000}"/>
    <cellStyle name="출력 3 8 3 2" xfId="24114" xr:uid="{00000000-0005-0000-0000-000077630000}"/>
    <cellStyle name="출력 3 8 3 3" xfId="25601" xr:uid="{00000000-0005-0000-0000-000078630000}"/>
    <cellStyle name="출력 3 8 3 4" xfId="28718" xr:uid="{00000000-0005-0000-0000-000079630000}"/>
    <cellStyle name="출력 3 8 4" xfId="21922" xr:uid="{00000000-0005-0000-0000-00007A630000}"/>
    <cellStyle name="출력 3 8 4 2" xfId="21162" xr:uid="{00000000-0005-0000-0000-00007B630000}"/>
    <cellStyle name="출력 3 8 4 3" xfId="26152" xr:uid="{00000000-0005-0000-0000-00007C630000}"/>
    <cellStyle name="출력 3 8 4 4" xfId="29266" xr:uid="{00000000-0005-0000-0000-00007D630000}"/>
    <cellStyle name="출력 3 8 5" xfId="22395" xr:uid="{00000000-0005-0000-0000-00007E630000}"/>
    <cellStyle name="출력 3 8 5 2" xfId="19659" xr:uid="{00000000-0005-0000-0000-00007F630000}"/>
    <cellStyle name="출력 3 8 5 3" xfId="26625" xr:uid="{00000000-0005-0000-0000-000080630000}"/>
    <cellStyle name="출력 3 8 5 4" xfId="29739" xr:uid="{00000000-0005-0000-0000-000081630000}"/>
    <cellStyle name="출력 3 8 6" xfId="22868" xr:uid="{00000000-0005-0000-0000-000082630000}"/>
    <cellStyle name="출력 3 8 6 2" xfId="20096" xr:uid="{00000000-0005-0000-0000-000083630000}"/>
    <cellStyle name="출력 3 8 6 3" xfId="27098" xr:uid="{00000000-0005-0000-0000-000084630000}"/>
    <cellStyle name="출력 3 8 6 4" xfId="30212" xr:uid="{00000000-0005-0000-0000-000085630000}"/>
    <cellStyle name="출력 3 8 7" xfId="21329" xr:uid="{00000000-0005-0000-0000-000086630000}"/>
    <cellStyle name="출력 3 8 7 2" xfId="24764" xr:uid="{00000000-0005-0000-0000-000087630000}"/>
    <cellStyle name="출력 3 8 7 3" xfId="25534" xr:uid="{00000000-0005-0000-0000-000088630000}"/>
    <cellStyle name="출력 3 8 7 4" xfId="28651" xr:uid="{00000000-0005-0000-0000-000089630000}"/>
    <cellStyle name="출력 3 8 8" xfId="20786" xr:uid="{00000000-0005-0000-0000-00008A630000}"/>
    <cellStyle name="출력 3 8 9" xfId="19089" xr:uid="{00000000-0005-0000-0000-00008B630000}"/>
    <cellStyle name="출력 3 9" xfId="15468" xr:uid="{00000000-0005-0000-0000-00008C630000}"/>
    <cellStyle name="출력 3 9 10" xfId="28051" xr:uid="{00000000-0005-0000-0000-00008D630000}"/>
    <cellStyle name="출력 3 9 11" xfId="17521" xr:uid="{00000000-0005-0000-0000-00008E630000}"/>
    <cellStyle name="출력 3 9 2" xfId="15242" xr:uid="{00000000-0005-0000-0000-00008F630000}"/>
    <cellStyle name="출력 3 9 2 2" xfId="23890" xr:uid="{00000000-0005-0000-0000-000090630000}"/>
    <cellStyle name="출력 3 9 2 3" xfId="25939" xr:uid="{00000000-0005-0000-0000-000091630000}"/>
    <cellStyle name="출력 3 9 2 4" xfId="29053" xr:uid="{00000000-0005-0000-0000-000092630000}"/>
    <cellStyle name="출력 3 9 2 5" xfId="21709" xr:uid="{00000000-0005-0000-0000-000093630000}"/>
    <cellStyle name="출력 3 9 3" xfId="17050" xr:uid="{00000000-0005-0000-0000-000094630000}"/>
    <cellStyle name="출력 3 9 3 2" xfId="18413" xr:uid="{00000000-0005-0000-0000-000095630000}"/>
    <cellStyle name="출력 3 9 3 3" xfId="26492" xr:uid="{00000000-0005-0000-0000-000096630000}"/>
    <cellStyle name="출력 3 9 3 4" xfId="29606" xr:uid="{00000000-0005-0000-0000-000097630000}"/>
    <cellStyle name="출력 3 9 3 5" xfId="22262" xr:uid="{00000000-0005-0000-0000-000098630000}"/>
    <cellStyle name="출력 3 9 4" xfId="17051" xr:uid="{00000000-0005-0000-0000-000099630000}"/>
    <cellStyle name="출력 3 9 4 2" xfId="19975" xr:uid="{00000000-0005-0000-0000-00009A630000}"/>
    <cellStyle name="출력 3 9 4 3" xfId="26968" xr:uid="{00000000-0005-0000-0000-00009B630000}"/>
    <cellStyle name="출력 3 9 4 4" xfId="30082" xr:uid="{00000000-0005-0000-0000-00009C630000}"/>
    <cellStyle name="출력 3 9 4 5" xfId="22738" xr:uid="{00000000-0005-0000-0000-00009D630000}"/>
    <cellStyle name="출력 3 9 5" xfId="23144" xr:uid="{00000000-0005-0000-0000-00009E630000}"/>
    <cellStyle name="출력 3 9 5 2" xfId="19236" xr:uid="{00000000-0005-0000-0000-00009F630000}"/>
    <cellStyle name="출력 3 9 5 3" xfId="27374" xr:uid="{00000000-0005-0000-0000-0000A0630000}"/>
    <cellStyle name="출력 3 9 5 4" xfId="30488" xr:uid="{00000000-0005-0000-0000-0000A1630000}"/>
    <cellStyle name="출력 3 9 6" xfId="23548" xr:uid="{00000000-0005-0000-0000-0000A2630000}"/>
    <cellStyle name="출력 3 9 6 2" xfId="18210" xr:uid="{00000000-0005-0000-0000-0000A3630000}"/>
    <cellStyle name="출력 3 9 6 3" xfId="27778" xr:uid="{00000000-0005-0000-0000-0000A4630000}"/>
    <cellStyle name="출력 3 9 6 4" xfId="30892" xr:uid="{00000000-0005-0000-0000-0000A5630000}"/>
    <cellStyle name="출력 3 9 7" xfId="20679" xr:uid="{00000000-0005-0000-0000-0000A6630000}"/>
    <cellStyle name="출력 3 9 8" xfId="18984" xr:uid="{00000000-0005-0000-0000-0000A7630000}"/>
    <cellStyle name="출력 3 9 9" xfId="24927" xr:uid="{00000000-0005-0000-0000-0000A8630000}"/>
    <cellStyle name="출력 4" xfId="12206" xr:uid="{00000000-0005-0000-0000-0000A9630000}"/>
    <cellStyle name="출력 4 10" xfId="17391" xr:uid="{00000000-0005-0000-0000-0000AA630000}"/>
    <cellStyle name="출력 4 10 2" xfId="22091" xr:uid="{00000000-0005-0000-0000-0000AB630000}"/>
    <cellStyle name="출력 4 10 2 2" xfId="23852" xr:uid="{00000000-0005-0000-0000-0000AC630000}"/>
    <cellStyle name="출력 4 10 2 3" xfId="26321" xr:uid="{00000000-0005-0000-0000-0000AD630000}"/>
    <cellStyle name="출력 4 10 2 4" xfId="29435" xr:uid="{00000000-0005-0000-0000-0000AE630000}"/>
    <cellStyle name="출력 4 10 3" xfId="22564" xr:uid="{00000000-0005-0000-0000-0000AF630000}"/>
    <cellStyle name="출력 4 10 3 2" xfId="19815" xr:uid="{00000000-0005-0000-0000-0000B0630000}"/>
    <cellStyle name="출력 4 10 3 3" xfId="26794" xr:uid="{00000000-0005-0000-0000-0000B1630000}"/>
    <cellStyle name="출력 4 10 3 4" xfId="29908" xr:uid="{00000000-0005-0000-0000-0000B2630000}"/>
    <cellStyle name="출력 4 10 4" xfId="23009" xr:uid="{00000000-0005-0000-0000-0000B3630000}"/>
    <cellStyle name="출력 4 10 4 2" xfId="19392" xr:uid="{00000000-0005-0000-0000-0000B4630000}"/>
    <cellStyle name="출력 4 10 4 3" xfId="27239" xr:uid="{00000000-0005-0000-0000-0000B5630000}"/>
    <cellStyle name="출력 4 10 4 4" xfId="30353" xr:uid="{00000000-0005-0000-0000-0000B6630000}"/>
    <cellStyle name="출력 4 10 5" xfId="23382" xr:uid="{00000000-0005-0000-0000-0000B7630000}"/>
    <cellStyle name="출력 4 10 5 2" xfId="23826" xr:uid="{00000000-0005-0000-0000-0000B8630000}"/>
    <cellStyle name="출력 4 10 5 3" xfId="27612" xr:uid="{00000000-0005-0000-0000-0000B9630000}"/>
    <cellStyle name="출력 4 10 5 4" xfId="30726" xr:uid="{00000000-0005-0000-0000-0000BA630000}"/>
    <cellStyle name="출력 4 10 6" xfId="24654" xr:uid="{00000000-0005-0000-0000-0000BB630000}"/>
    <cellStyle name="출력 4 10 7" xfId="25770" xr:uid="{00000000-0005-0000-0000-0000BC630000}"/>
    <cellStyle name="출력 4 10 8" xfId="28887" xr:uid="{00000000-0005-0000-0000-0000BD630000}"/>
    <cellStyle name="출력 4 11" xfId="20838" xr:uid="{00000000-0005-0000-0000-0000BE630000}"/>
    <cellStyle name="출력 4 11 2" xfId="19144" xr:uid="{00000000-0005-0000-0000-0000BF630000}"/>
    <cellStyle name="출력 4 11 3" xfId="25089" xr:uid="{00000000-0005-0000-0000-0000C0630000}"/>
    <cellStyle name="출력 4 11 4" xfId="28213" xr:uid="{00000000-0005-0000-0000-0000C1630000}"/>
    <cellStyle name="출력 4 12" xfId="18813" xr:uid="{00000000-0005-0000-0000-0000C2630000}"/>
    <cellStyle name="출력 4 13" xfId="24769" xr:uid="{00000000-0005-0000-0000-0000C3630000}"/>
    <cellStyle name="출력 4 14" xfId="25405" xr:uid="{00000000-0005-0000-0000-0000C4630000}"/>
    <cellStyle name="출력 4 15" xfId="17315" xr:uid="{00000000-0005-0000-0000-0000C5630000}"/>
    <cellStyle name="출력 4 2" xfId="12207" xr:uid="{00000000-0005-0000-0000-0000C6630000}"/>
    <cellStyle name="출력 4 2 2" xfId="14850" xr:uid="{00000000-0005-0000-0000-0000C7630000}"/>
    <cellStyle name="출력 4 2 2 10" xfId="25042" xr:uid="{00000000-0005-0000-0000-0000C8630000}"/>
    <cellStyle name="출력 4 2 2 11" xfId="28166" xr:uid="{00000000-0005-0000-0000-0000C9630000}"/>
    <cellStyle name="출력 4 2 2 12" xfId="31148" xr:uid="{00000000-0005-0000-0000-0000CA630000}"/>
    <cellStyle name="출력 4 2 2 13" xfId="17426" xr:uid="{00000000-0005-0000-0000-0000CB630000}"/>
    <cellStyle name="출력 4 2 2 2" xfId="21824" xr:uid="{00000000-0005-0000-0000-0000CC630000}"/>
    <cellStyle name="출력 4 2 2 2 2" xfId="22377" xr:uid="{00000000-0005-0000-0000-0000CD630000}"/>
    <cellStyle name="출력 4 2 2 2 2 2" xfId="19642" xr:uid="{00000000-0005-0000-0000-0000CE630000}"/>
    <cellStyle name="출력 4 2 2 2 2 3" xfId="26607" xr:uid="{00000000-0005-0000-0000-0000CF630000}"/>
    <cellStyle name="출력 4 2 2 2 2 4" xfId="29721" xr:uid="{00000000-0005-0000-0000-0000D0630000}"/>
    <cellStyle name="출력 4 2 2 2 3" xfId="22853" xr:uid="{00000000-0005-0000-0000-0000D1630000}"/>
    <cellStyle name="출력 4 2 2 2 3 2" xfId="20081" xr:uid="{00000000-0005-0000-0000-0000D2630000}"/>
    <cellStyle name="출력 4 2 2 2 3 3" xfId="27083" xr:uid="{00000000-0005-0000-0000-0000D3630000}"/>
    <cellStyle name="출력 4 2 2 2 3 4" xfId="30197" xr:uid="{00000000-0005-0000-0000-0000D4630000}"/>
    <cellStyle name="출력 4 2 2 2 4" xfId="23236" xr:uid="{00000000-0005-0000-0000-0000D5630000}"/>
    <cellStyle name="출력 4 2 2 2 4 2" xfId="21460" xr:uid="{00000000-0005-0000-0000-0000D6630000}"/>
    <cellStyle name="출력 4 2 2 2 4 3" xfId="27466" xr:uid="{00000000-0005-0000-0000-0000D7630000}"/>
    <cellStyle name="출력 4 2 2 2 4 4" xfId="30580" xr:uid="{00000000-0005-0000-0000-0000D8630000}"/>
    <cellStyle name="출력 4 2 2 2 5" xfId="23663" xr:uid="{00000000-0005-0000-0000-0000D9630000}"/>
    <cellStyle name="출력 4 2 2 2 5 2" xfId="18318" xr:uid="{00000000-0005-0000-0000-0000DA630000}"/>
    <cellStyle name="출력 4 2 2 2 5 3" xfId="27893" xr:uid="{00000000-0005-0000-0000-0000DB630000}"/>
    <cellStyle name="출력 4 2 2 2 5 4" xfId="31007" xr:uid="{00000000-0005-0000-0000-0000DC630000}"/>
    <cellStyle name="출력 4 2 2 2 6" xfId="24280" xr:uid="{00000000-0005-0000-0000-0000DD630000}"/>
    <cellStyle name="출력 4 2 2 2 7" xfId="26054" xr:uid="{00000000-0005-0000-0000-0000DE630000}"/>
    <cellStyle name="출력 4 2 2 2 8" xfId="29168" xr:uid="{00000000-0005-0000-0000-0000DF630000}"/>
    <cellStyle name="출력 4 2 2 3" xfId="21422" xr:uid="{00000000-0005-0000-0000-0000E0630000}"/>
    <cellStyle name="출력 4 2 2 3 2" xfId="19467" xr:uid="{00000000-0005-0000-0000-0000E1630000}"/>
    <cellStyle name="출력 4 2 2 3 3" xfId="25609" xr:uid="{00000000-0005-0000-0000-0000E2630000}"/>
    <cellStyle name="출력 4 2 2 3 4" xfId="28726" xr:uid="{00000000-0005-0000-0000-0000E3630000}"/>
    <cellStyle name="출력 4 2 2 4" xfId="21930" xr:uid="{00000000-0005-0000-0000-0000E4630000}"/>
    <cellStyle name="출력 4 2 2 4 2" xfId="24480" xr:uid="{00000000-0005-0000-0000-0000E5630000}"/>
    <cellStyle name="출력 4 2 2 4 3" xfId="26160" xr:uid="{00000000-0005-0000-0000-0000E6630000}"/>
    <cellStyle name="출력 4 2 2 4 4" xfId="29274" xr:uid="{00000000-0005-0000-0000-0000E7630000}"/>
    <cellStyle name="출력 4 2 2 5" xfId="22403" xr:uid="{00000000-0005-0000-0000-0000E8630000}"/>
    <cellStyle name="출력 4 2 2 5 2" xfId="19667" xr:uid="{00000000-0005-0000-0000-0000E9630000}"/>
    <cellStyle name="출력 4 2 2 5 3" xfId="26633" xr:uid="{00000000-0005-0000-0000-0000EA630000}"/>
    <cellStyle name="출력 4 2 2 5 4" xfId="29747" xr:uid="{00000000-0005-0000-0000-0000EB630000}"/>
    <cellStyle name="출력 4 2 2 6" xfId="22876" xr:uid="{00000000-0005-0000-0000-0000EC630000}"/>
    <cellStyle name="출력 4 2 2 6 2" xfId="20104" xr:uid="{00000000-0005-0000-0000-0000ED630000}"/>
    <cellStyle name="출력 4 2 2 6 3" xfId="27106" xr:uid="{00000000-0005-0000-0000-0000EE630000}"/>
    <cellStyle name="출력 4 2 2 6 4" xfId="30220" xr:uid="{00000000-0005-0000-0000-0000EF630000}"/>
    <cellStyle name="출력 4 2 2 7" xfId="21070" xr:uid="{00000000-0005-0000-0000-0000F0630000}"/>
    <cellStyle name="출력 4 2 2 7 2" xfId="24685" xr:uid="{00000000-0005-0000-0000-0000F1630000}"/>
    <cellStyle name="출력 4 2 2 7 3" xfId="25315" xr:uid="{00000000-0005-0000-0000-0000F2630000}"/>
    <cellStyle name="출력 4 2 2 7 4" xfId="28439" xr:uid="{00000000-0005-0000-0000-0000F3630000}"/>
    <cellStyle name="출력 4 2 2 8" xfId="20794" xr:uid="{00000000-0005-0000-0000-0000F4630000}"/>
    <cellStyle name="출력 4 2 2 9" xfId="19097" xr:uid="{00000000-0005-0000-0000-0000F5630000}"/>
    <cellStyle name="출력 4 2 3" xfId="15476" xr:uid="{00000000-0005-0000-0000-0000F6630000}"/>
    <cellStyle name="출력 4 2 3 10" xfId="28061" xr:uid="{00000000-0005-0000-0000-0000F7630000}"/>
    <cellStyle name="출력 4 2 3 11" xfId="17513" xr:uid="{00000000-0005-0000-0000-0000F8630000}"/>
    <cellStyle name="출력 4 2 3 2" xfId="15234" xr:uid="{00000000-0005-0000-0000-0000F9630000}"/>
    <cellStyle name="출력 4 2 3 2 2" xfId="23728" xr:uid="{00000000-0005-0000-0000-0000FA630000}"/>
    <cellStyle name="출력 4 2 3 2 3" xfId="25949" xr:uid="{00000000-0005-0000-0000-0000FB630000}"/>
    <cellStyle name="출력 4 2 3 2 4" xfId="29063" xr:uid="{00000000-0005-0000-0000-0000FC630000}"/>
    <cellStyle name="출력 4 2 3 2 5" xfId="21719" xr:uid="{00000000-0005-0000-0000-0000FD630000}"/>
    <cellStyle name="출력 4 2 3 3" xfId="17052" xr:uid="{00000000-0005-0000-0000-0000FE630000}"/>
    <cellStyle name="출력 4 2 3 3 2" xfId="18423" xr:uid="{00000000-0005-0000-0000-0000FF630000}"/>
    <cellStyle name="출력 4 2 3 3 3" xfId="26502" xr:uid="{00000000-0005-0000-0000-000000640000}"/>
    <cellStyle name="출력 4 2 3 3 4" xfId="29616" xr:uid="{00000000-0005-0000-0000-000001640000}"/>
    <cellStyle name="출력 4 2 3 3 5" xfId="22272" xr:uid="{00000000-0005-0000-0000-000002640000}"/>
    <cellStyle name="출력 4 2 3 4" xfId="17053" xr:uid="{00000000-0005-0000-0000-000003640000}"/>
    <cellStyle name="출력 4 2 3 4 2" xfId="19985" xr:uid="{00000000-0005-0000-0000-000004640000}"/>
    <cellStyle name="출력 4 2 3 4 3" xfId="26978" xr:uid="{00000000-0005-0000-0000-000005640000}"/>
    <cellStyle name="출력 4 2 3 4 4" xfId="30092" xr:uid="{00000000-0005-0000-0000-000006640000}"/>
    <cellStyle name="출력 4 2 3 4 5" xfId="22748" xr:uid="{00000000-0005-0000-0000-000007640000}"/>
    <cellStyle name="출력 4 2 3 5" xfId="23152" xr:uid="{00000000-0005-0000-0000-000008640000}"/>
    <cellStyle name="출력 4 2 3 5 2" xfId="19243" xr:uid="{00000000-0005-0000-0000-000009640000}"/>
    <cellStyle name="출력 4 2 3 5 3" xfId="27382" xr:uid="{00000000-0005-0000-0000-00000A640000}"/>
    <cellStyle name="출력 4 2 3 5 4" xfId="30496" xr:uid="{00000000-0005-0000-0000-00000B640000}"/>
    <cellStyle name="출력 4 2 3 6" xfId="23558" xr:uid="{00000000-0005-0000-0000-00000C640000}"/>
    <cellStyle name="출력 4 2 3 6 2" xfId="18088" xr:uid="{00000000-0005-0000-0000-00000D640000}"/>
    <cellStyle name="출력 4 2 3 6 3" xfId="27788" xr:uid="{00000000-0005-0000-0000-00000E640000}"/>
    <cellStyle name="출력 4 2 3 6 4" xfId="30902" xr:uid="{00000000-0005-0000-0000-00000F640000}"/>
    <cellStyle name="출력 4 2 3 7" xfId="20689" xr:uid="{00000000-0005-0000-0000-000010640000}"/>
    <cellStyle name="출력 4 2 3 8" xfId="18994" xr:uid="{00000000-0005-0000-0000-000011640000}"/>
    <cellStyle name="출력 4 2 3 9" xfId="24937" xr:uid="{00000000-0005-0000-0000-000012640000}"/>
    <cellStyle name="출력 4 2 4" xfId="17395" xr:uid="{00000000-0005-0000-0000-000013640000}"/>
    <cellStyle name="출력 4 2 4 2" xfId="22092" xr:uid="{00000000-0005-0000-0000-000014640000}"/>
    <cellStyle name="출력 4 2 4 2 2" xfId="23816" xr:uid="{00000000-0005-0000-0000-000015640000}"/>
    <cellStyle name="출력 4 2 4 2 3" xfId="26322" xr:uid="{00000000-0005-0000-0000-000016640000}"/>
    <cellStyle name="출력 4 2 4 2 4" xfId="29436" xr:uid="{00000000-0005-0000-0000-000017640000}"/>
    <cellStyle name="출력 4 2 4 3" xfId="22565" xr:uid="{00000000-0005-0000-0000-000018640000}"/>
    <cellStyle name="출력 4 2 4 3 2" xfId="19376" xr:uid="{00000000-0005-0000-0000-000019640000}"/>
    <cellStyle name="출력 4 2 4 3 3" xfId="26795" xr:uid="{00000000-0005-0000-0000-00001A640000}"/>
    <cellStyle name="출력 4 2 4 3 4" xfId="29909" xr:uid="{00000000-0005-0000-0000-00001B640000}"/>
    <cellStyle name="출력 4 2 4 4" xfId="23010" xr:uid="{00000000-0005-0000-0000-00001C640000}"/>
    <cellStyle name="출력 4 2 4 4 2" xfId="20225" xr:uid="{00000000-0005-0000-0000-00001D640000}"/>
    <cellStyle name="출력 4 2 4 4 3" xfId="27240" xr:uid="{00000000-0005-0000-0000-00001E640000}"/>
    <cellStyle name="출력 4 2 4 4 4" xfId="30354" xr:uid="{00000000-0005-0000-0000-00001F640000}"/>
    <cellStyle name="출력 4 2 4 5" xfId="23383" xr:uid="{00000000-0005-0000-0000-000020640000}"/>
    <cellStyle name="출력 4 2 4 5 2" xfId="20420" xr:uid="{00000000-0005-0000-0000-000021640000}"/>
    <cellStyle name="출력 4 2 4 5 3" xfId="27613" xr:uid="{00000000-0005-0000-0000-000022640000}"/>
    <cellStyle name="출력 4 2 4 5 4" xfId="30727" xr:uid="{00000000-0005-0000-0000-000023640000}"/>
    <cellStyle name="출력 4 2 4 6" xfId="24568" xr:uid="{00000000-0005-0000-0000-000024640000}"/>
    <cellStyle name="출력 4 2 4 7" xfId="25771" xr:uid="{00000000-0005-0000-0000-000025640000}"/>
    <cellStyle name="출력 4 2 4 8" xfId="28888" xr:uid="{00000000-0005-0000-0000-000026640000}"/>
    <cellStyle name="출력 4 2 5" xfId="20960" xr:uid="{00000000-0005-0000-0000-000027640000}"/>
    <cellStyle name="출력 4 2 5 2" xfId="24778" xr:uid="{00000000-0005-0000-0000-000028640000}"/>
    <cellStyle name="출력 4 2 5 3" xfId="25211" xr:uid="{00000000-0005-0000-0000-000029640000}"/>
    <cellStyle name="출력 4 2 5 4" xfId="28335" xr:uid="{00000000-0005-0000-0000-00002A640000}"/>
    <cellStyle name="출력 4 2 6" xfId="18814" xr:uid="{00000000-0005-0000-0000-00002B640000}"/>
    <cellStyle name="출력 4 2 7" xfId="18499" xr:uid="{00000000-0005-0000-0000-00002C640000}"/>
    <cellStyle name="출력 4 2 8" xfId="24019" xr:uid="{00000000-0005-0000-0000-00002D640000}"/>
    <cellStyle name="출력 4 2 9" xfId="17316" xr:uid="{00000000-0005-0000-0000-00002E640000}"/>
    <cellStyle name="출력 4 3" xfId="12208" xr:uid="{00000000-0005-0000-0000-00002F640000}"/>
    <cellStyle name="출력 4 3 2" xfId="14851" xr:uid="{00000000-0005-0000-0000-000030640000}"/>
    <cellStyle name="출력 4 3 2 10" xfId="25043" xr:uid="{00000000-0005-0000-0000-000031640000}"/>
    <cellStyle name="출력 4 3 2 11" xfId="28167" xr:uid="{00000000-0005-0000-0000-000032640000}"/>
    <cellStyle name="출력 4 3 2 12" xfId="31149" xr:uid="{00000000-0005-0000-0000-000033640000}"/>
    <cellStyle name="출력 4 3 2 13" xfId="17425" xr:uid="{00000000-0005-0000-0000-000034640000}"/>
    <cellStyle name="출력 4 3 2 2" xfId="21825" xr:uid="{00000000-0005-0000-0000-000035640000}"/>
    <cellStyle name="출력 4 3 2 2 2" xfId="22378" xr:uid="{00000000-0005-0000-0000-000036640000}"/>
    <cellStyle name="출력 4 3 2 2 2 2" xfId="19643" xr:uid="{00000000-0005-0000-0000-000037640000}"/>
    <cellStyle name="출력 4 3 2 2 2 3" xfId="26608" xr:uid="{00000000-0005-0000-0000-000038640000}"/>
    <cellStyle name="출력 4 3 2 2 2 4" xfId="29722" xr:uid="{00000000-0005-0000-0000-000039640000}"/>
    <cellStyle name="출력 4 3 2 2 3" xfId="22854" xr:uid="{00000000-0005-0000-0000-00003A640000}"/>
    <cellStyle name="출력 4 3 2 2 3 2" xfId="20082" xr:uid="{00000000-0005-0000-0000-00003B640000}"/>
    <cellStyle name="출력 4 3 2 2 3 3" xfId="27084" xr:uid="{00000000-0005-0000-0000-00003C640000}"/>
    <cellStyle name="출력 4 3 2 2 3 4" xfId="30198" xr:uid="{00000000-0005-0000-0000-00003D640000}"/>
    <cellStyle name="출력 4 3 2 2 4" xfId="23237" xr:uid="{00000000-0005-0000-0000-00003E640000}"/>
    <cellStyle name="출력 4 3 2 2 4 2" xfId="20305" xr:uid="{00000000-0005-0000-0000-00003F640000}"/>
    <cellStyle name="출력 4 3 2 2 4 3" xfId="27467" xr:uid="{00000000-0005-0000-0000-000040640000}"/>
    <cellStyle name="출력 4 3 2 2 4 4" xfId="30581" xr:uid="{00000000-0005-0000-0000-000041640000}"/>
    <cellStyle name="출력 4 3 2 2 5" xfId="23664" xr:uid="{00000000-0005-0000-0000-000042640000}"/>
    <cellStyle name="출력 4 3 2 2 5 2" xfId="18319" xr:uid="{00000000-0005-0000-0000-000043640000}"/>
    <cellStyle name="출력 4 3 2 2 5 3" xfId="27894" xr:uid="{00000000-0005-0000-0000-000044640000}"/>
    <cellStyle name="출력 4 3 2 2 5 4" xfId="31008" xr:uid="{00000000-0005-0000-0000-000045640000}"/>
    <cellStyle name="출력 4 3 2 2 6" xfId="24098" xr:uid="{00000000-0005-0000-0000-000046640000}"/>
    <cellStyle name="출력 4 3 2 2 7" xfId="26055" xr:uid="{00000000-0005-0000-0000-000047640000}"/>
    <cellStyle name="출력 4 3 2 2 8" xfId="29169" xr:uid="{00000000-0005-0000-0000-000048640000}"/>
    <cellStyle name="출력 4 3 2 3" xfId="21423" xr:uid="{00000000-0005-0000-0000-000049640000}"/>
    <cellStyle name="출력 4 3 2 3 2" xfId="19468" xr:uid="{00000000-0005-0000-0000-00004A640000}"/>
    <cellStyle name="출력 4 3 2 3 3" xfId="25610" xr:uid="{00000000-0005-0000-0000-00004B640000}"/>
    <cellStyle name="출력 4 3 2 3 4" xfId="28727" xr:uid="{00000000-0005-0000-0000-00004C640000}"/>
    <cellStyle name="출력 4 3 2 4" xfId="21931" xr:uid="{00000000-0005-0000-0000-00004D640000}"/>
    <cellStyle name="출력 4 3 2 4 2" xfId="24307" xr:uid="{00000000-0005-0000-0000-00004E640000}"/>
    <cellStyle name="출력 4 3 2 4 3" xfId="26161" xr:uid="{00000000-0005-0000-0000-00004F640000}"/>
    <cellStyle name="출력 4 3 2 4 4" xfId="29275" xr:uid="{00000000-0005-0000-0000-000050640000}"/>
    <cellStyle name="출력 4 3 2 5" xfId="22404" xr:uid="{00000000-0005-0000-0000-000051640000}"/>
    <cellStyle name="출력 4 3 2 5 2" xfId="19668" xr:uid="{00000000-0005-0000-0000-000052640000}"/>
    <cellStyle name="출력 4 3 2 5 3" xfId="26634" xr:uid="{00000000-0005-0000-0000-000053640000}"/>
    <cellStyle name="출력 4 3 2 5 4" xfId="29748" xr:uid="{00000000-0005-0000-0000-000054640000}"/>
    <cellStyle name="출력 4 3 2 6" xfId="22877" xr:uid="{00000000-0005-0000-0000-000055640000}"/>
    <cellStyle name="출력 4 3 2 6 2" xfId="20105" xr:uid="{00000000-0005-0000-0000-000056640000}"/>
    <cellStyle name="출력 4 3 2 6 3" xfId="27107" xr:uid="{00000000-0005-0000-0000-000057640000}"/>
    <cellStyle name="출력 4 3 2 6 4" xfId="30221" xr:uid="{00000000-0005-0000-0000-000058640000}"/>
    <cellStyle name="출력 4 3 2 7" xfId="21083" xr:uid="{00000000-0005-0000-0000-000059640000}"/>
    <cellStyle name="출력 4 3 2 7 2" xfId="24670" xr:uid="{00000000-0005-0000-0000-00005A640000}"/>
    <cellStyle name="출력 4 3 2 7 3" xfId="25328" xr:uid="{00000000-0005-0000-0000-00005B640000}"/>
    <cellStyle name="출력 4 3 2 7 4" xfId="28452" xr:uid="{00000000-0005-0000-0000-00005C640000}"/>
    <cellStyle name="출력 4 3 2 8" xfId="20795" xr:uid="{00000000-0005-0000-0000-00005D640000}"/>
    <cellStyle name="출력 4 3 2 9" xfId="19098" xr:uid="{00000000-0005-0000-0000-00005E640000}"/>
    <cellStyle name="출력 4 3 3" xfId="15477" xr:uid="{00000000-0005-0000-0000-00005F640000}"/>
    <cellStyle name="출력 4 3 3 10" xfId="28062" xr:uid="{00000000-0005-0000-0000-000060640000}"/>
    <cellStyle name="출력 4 3 3 11" xfId="17512" xr:uid="{00000000-0005-0000-0000-000061640000}"/>
    <cellStyle name="출력 4 3 3 2" xfId="15233" xr:uid="{00000000-0005-0000-0000-000062640000}"/>
    <cellStyle name="출력 4 3 3 2 2" xfId="24646" xr:uid="{00000000-0005-0000-0000-000063640000}"/>
    <cellStyle name="출력 4 3 3 2 3" xfId="25950" xr:uid="{00000000-0005-0000-0000-000064640000}"/>
    <cellStyle name="출력 4 3 3 2 4" xfId="29064" xr:uid="{00000000-0005-0000-0000-000065640000}"/>
    <cellStyle name="출력 4 3 3 2 5" xfId="21720" xr:uid="{00000000-0005-0000-0000-000066640000}"/>
    <cellStyle name="출력 4 3 3 3" xfId="17054" xr:uid="{00000000-0005-0000-0000-000067640000}"/>
    <cellStyle name="출력 4 3 3 3 2" xfId="18424" xr:uid="{00000000-0005-0000-0000-000068640000}"/>
    <cellStyle name="출력 4 3 3 3 3" xfId="26503" xr:uid="{00000000-0005-0000-0000-000069640000}"/>
    <cellStyle name="출력 4 3 3 3 4" xfId="29617" xr:uid="{00000000-0005-0000-0000-00006A640000}"/>
    <cellStyle name="출력 4 3 3 3 5" xfId="22273" xr:uid="{00000000-0005-0000-0000-00006B640000}"/>
    <cellStyle name="출력 4 3 3 4" xfId="17055" xr:uid="{00000000-0005-0000-0000-00006C640000}"/>
    <cellStyle name="출력 4 3 3 4 2" xfId="19986" xr:uid="{00000000-0005-0000-0000-00006D640000}"/>
    <cellStyle name="출력 4 3 3 4 3" xfId="26979" xr:uid="{00000000-0005-0000-0000-00006E640000}"/>
    <cellStyle name="출력 4 3 3 4 4" xfId="30093" xr:uid="{00000000-0005-0000-0000-00006F640000}"/>
    <cellStyle name="출력 4 3 3 4 5" xfId="22749" xr:uid="{00000000-0005-0000-0000-000070640000}"/>
    <cellStyle name="출력 4 3 3 5" xfId="23153" xr:uid="{00000000-0005-0000-0000-000071640000}"/>
    <cellStyle name="출력 4 3 3 5 2" xfId="19244" xr:uid="{00000000-0005-0000-0000-000072640000}"/>
    <cellStyle name="출력 4 3 3 5 3" xfId="27383" xr:uid="{00000000-0005-0000-0000-000073640000}"/>
    <cellStyle name="출력 4 3 3 5 4" xfId="30497" xr:uid="{00000000-0005-0000-0000-000074640000}"/>
    <cellStyle name="출력 4 3 3 6" xfId="23559" xr:uid="{00000000-0005-0000-0000-000075640000}"/>
    <cellStyle name="출력 4 3 3 6 2" xfId="18219" xr:uid="{00000000-0005-0000-0000-000076640000}"/>
    <cellStyle name="출력 4 3 3 6 3" xfId="27789" xr:uid="{00000000-0005-0000-0000-000077640000}"/>
    <cellStyle name="출력 4 3 3 6 4" xfId="30903" xr:uid="{00000000-0005-0000-0000-000078640000}"/>
    <cellStyle name="출력 4 3 3 7" xfId="20690" xr:uid="{00000000-0005-0000-0000-000079640000}"/>
    <cellStyle name="출력 4 3 3 8" xfId="18995" xr:uid="{00000000-0005-0000-0000-00007A640000}"/>
    <cellStyle name="출력 4 3 3 9" xfId="24938" xr:uid="{00000000-0005-0000-0000-00007B640000}"/>
    <cellStyle name="출력 4 3 4" xfId="17409" xr:uid="{00000000-0005-0000-0000-00007C640000}"/>
    <cellStyle name="출력 4 3 4 2" xfId="22093" xr:uid="{00000000-0005-0000-0000-00007D640000}"/>
    <cellStyle name="출력 4 3 4 2 2" xfId="23875" xr:uid="{00000000-0005-0000-0000-00007E640000}"/>
    <cellStyle name="출력 4 3 4 2 3" xfId="26323" xr:uid="{00000000-0005-0000-0000-00007F640000}"/>
    <cellStyle name="출력 4 3 4 2 4" xfId="29437" xr:uid="{00000000-0005-0000-0000-000080640000}"/>
    <cellStyle name="출력 4 3 4 3" xfId="22566" xr:uid="{00000000-0005-0000-0000-000081640000}"/>
    <cellStyle name="출력 4 3 4 3 2" xfId="19816" xr:uid="{00000000-0005-0000-0000-000082640000}"/>
    <cellStyle name="출력 4 3 4 3 3" xfId="26796" xr:uid="{00000000-0005-0000-0000-000083640000}"/>
    <cellStyle name="출력 4 3 4 3 4" xfId="29910" xr:uid="{00000000-0005-0000-0000-000084640000}"/>
    <cellStyle name="출력 4 3 4 4" xfId="23011" xr:uid="{00000000-0005-0000-0000-000085640000}"/>
    <cellStyle name="출력 4 3 4 4 2" xfId="21256" xr:uid="{00000000-0005-0000-0000-000086640000}"/>
    <cellStyle name="출력 4 3 4 4 3" xfId="27241" xr:uid="{00000000-0005-0000-0000-000087640000}"/>
    <cellStyle name="출력 4 3 4 4 4" xfId="30355" xr:uid="{00000000-0005-0000-0000-000088640000}"/>
    <cellStyle name="출력 4 3 4 5" xfId="23384" xr:uid="{00000000-0005-0000-0000-000089640000}"/>
    <cellStyle name="출력 4 3 4 5 2" xfId="20421" xr:uid="{00000000-0005-0000-0000-00008A640000}"/>
    <cellStyle name="출력 4 3 4 5 3" xfId="27614" xr:uid="{00000000-0005-0000-0000-00008B640000}"/>
    <cellStyle name="출력 4 3 4 5 4" xfId="30728" xr:uid="{00000000-0005-0000-0000-00008C640000}"/>
    <cellStyle name="출력 4 3 4 6" xfId="24392" xr:uid="{00000000-0005-0000-0000-00008D640000}"/>
    <cellStyle name="출력 4 3 4 7" xfId="25772" xr:uid="{00000000-0005-0000-0000-00008E640000}"/>
    <cellStyle name="출력 4 3 4 8" xfId="28889" xr:uid="{00000000-0005-0000-0000-00008F640000}"/>
    <cellStyle name="출력 4 3 5" xfId="20961" xr:uid="{00000000-0005-0000-0000-000090640000}"/>
    <cellStyle name="출력 4 3 5 2" xfId="24520" xr:uid="{00000000-0005-0000-0000-000091640000}"/>
    <cellStyle name="출력 4 3 5 3" xfId="25212" xr:uid="{00000000-0005-0000-0000-000092640000}"/>
    <cellStyle name="출력 4 3 5 4" xfId="28336" xr:uid="{00000000-0005-0000-0000-000093640000}"/>
    <cellStyle name="출력 4 3 6" xfId="18815" xr:uid="{00000000-0005-0000-0000-000094640000}"/>
    <cellStyle name="출력 4 3 7" xfId="18498" xr:uid="{00000000-0005-0000-0000-000095640000}"/>
    <cellStyle name="출력 4 3 8" xfId="23903" xr:uid="{00000000-0005-0000-0000-000096640000}"/>
    <cellStyle name="출력 4 3 9" xfId="17317" xr:uid="{00000000-0005-0000-0000-000097640000}"/>
    <cellStyle name="출력 4 4" xfId="12209" xr:uid="{00000000-0005-0000-0000-000098640000}"/>
    <cellStyle name="출력 4 4 2" xfId="14852" xr:uid="{00000000-0005-0000-0000-000099640000}"/>
    <cellStyle name="출력 4 4 2 10" xfId="25044" xr:uid="{00000000-0005-0000-0000-00009A640000}"/>
    <cellStyle name="출력 4 4 2 11" xfId="28168" xr:uid="{00000000-0005-0000-0000-00009B640000}"/>
    <cellStyle name="출력 4 4 2 12" xfId="31150" xr:uid="{00000000-0005-0000-0000-00009C640000}"/>
    <cellStyle name="출력 4 4 2 13" xfId="17424" xr:uid="{00000000-0005-0000-0000-00009D640000}"/>
    <cellStyle name="출력 4 4 2 2" xfId="21826" xr:uid="{00000000-0005-0000-0000-00009E640000}"/>
    <cellStyle name="출력 4 4 2 2 2" xfId="22379" xr:uid="{00000000-0005-0000-0000-00009F640000}"/>
    <cellStyle name="출력 4 4 2 2 2 2" xfId="19644" xr:uid="{00000000-0005-0000-0000-0000A0640000}"/>
    <cellStyle name="출력 4 4 2 2 2 3" xfId="26609" xr:uid="{00000000-0005-0000-0000-0000A1640000}"/>
    <cellStyle name="출력 4 4 2 2 2 4" xfId="29723" xr:uid="{00000000-0005-0000-0000-0000A2640000}"/>
    <cellStyle name="출력 4 4 2 2 3" xfId="22855" xr:uid="{00000000-0005-0000-0000-0000A3640000}"/>
    <cellStyle name="출력 4 4 2 2 3 2" xfId="20083" xr:uid="{00000000-0005-0000-0000-0000A4640000}"/>
    <cellStyle name="출력 4 4 2 2 3 3" xfId="27085" xr:uid="{00000000-0005-0000-0000-0000A5640000}"/>
    <cellStyle name="출력 4 4 2 2 3 4" xfId="30199" xr:uid="{00000000-0005-0000-0000-0000A6640000}"/>
    <cellStyle name="출력 4 4 2 2 4" xfId="23238" xr:uid="{00000000-0005-0000-0000-0000A7640000}"/>
    <cellStyle name="출력 4 4 2 2 4 2" xfId="21461" xr:uid="{00000000-0005-0000-0000-0000A8640000}"/>
    <cellStyle name="출력 4 4 2 2 4 3" xfId="27468" xr:uid="{00000000-0005-0000-0000-0000A9640000}"/>
    <cellStyle name="출력 4 4 2 2 4 4" xfId="30582" xr:uid="{00000000-0005-0000-0000-0000AA640000}"/>
    <cellStyle name="출력 4 4 2 2 5" xfId="23665" xr:uid="{00000000-0005-0000-0000-0000AB640000}"/>
    <cellStyle name="출력 4 4 2 2 5 2" xfId="18320" xr:uid="{00000000-0005-0000-0000-0000AC640000}"/>
    <cellStyle name="출력 4 4 2 2 5 3" xfId="27895" xr:uid="{00000000-0005-0000-0000-0000AD640000}"/>
    <cellStyle name="출력 4 4 2 2 5 4" xfId="31009" xr:uid="{00000000-0005-0000-0000-0000AE640000}"/>
    <cellStyle name="출력 4 4 2 2 6" xfId="19338" xr:uid="{00000000-0005-0000-0000-0000AF640000}"/>
    <cellStyle name="출력 4 4 2 2 7" xfId="26056" xr:uid="{00000000-0005-0000-0000-0000B0640000}"/>
    <cellStyle name="출력 4 4 2 2 8" xfId="29170" xr:uid="{00000000-0005-0000-0000-0000B1640000}"/>
    <cellStyle name="출력 4 4 2 3" xfId="21424" xr:uid="{00000000-0005-0000-0000-0000B2640000}"/>
    <cellStyle name="출력 4 4 2 3 2" xfId="19469" xr:uid="{00000000-0005-0000-0000-0000B3640000}"/>
    <cellStyle name="출력 4 4 2 3 3" xfId="25611" xr:uid="{00000000-0005-0000-0000-0000B4640000}"/>
    <cellStyle name="출력 4 4 2 3 4" xfId="28728" xr:uid="{00000000-0005-0000-0000-0000B5640000}"/>
    <cellStyle name="출력 4 4 2 4" xfId="21932" xr:uid="{00000000-0005-0000-0000-0000B6640000}"/>
    <cellStyle name="출력 4 4 2 4 2" xfId="24125" xr:uid="{00000000-0005-0000-0000-0000B7640000}"/>
    <cellStyle name="출력 4 4 2 4 3" xfId="26162" xr:uid="{00000000-0005-0000-0000-0000B8640000}"/>
    <cellStyle name="출력 4 4 2 4 4" xfId="29276" xr:uid="{00000000-0005-0000-0000-0000B9640000}"/>
    <cellStyle name="출력 4 4 2 5" xfId="22405" xr:uid="{00000000-0005-0000-0000-0000BA640000}"/>
    <cellStyle name="출력 4 4 2 5 2" xfId="19669" xr:uid="{00000000-0005-0000-0000-0000BB640000}"/>
    <cellStyle name="출력 4 4 2 5 3" xfId="26635" xr:uid="{00000000-0005-0000-0000-0000BC640000}"/>
    <cellStyle name="출력 4 4 2 5 4" xfId="29749" xr:uid="{00000000-0005-0000-0000-0000BD640000}"/>
    <cellStyle name="출력 4 4 2 6" xfId="22878" xr:uid="{00000000-0005-0000-0000-0000BE640000}"/>
    <cellStyle name="출력 4 4 2 6 2" xfId="20106" xr:uid="{00000000-0005-0000-0000-0000BF640000}"/>
    <cellStyle name="출력 4 4 2 6 3" xfId="27108" xr:uid="{00000000-0005-0000-0000-0000C0640000}"/>
    <cellStyle name="출력 4 4 2 6 4" xfId="30222" xr:uid="{00000000-0005-0000-0000-0000C1640000}"/>
    <cellStyle name="출력 4 4 2 7" xfId="21069" xr:uid="{00000000-0005-0000-0000-0000C2640000}"/>
    <cellStyle name="출력 4 4 2 7 2" xfId="23982" xr:uid="{00000000-0005-0000-0000-0000C3640000}"/>
    <cellStyle name="출력 4 4 2 7 3" xfId="25314" xr:uid="{00000000-0005-0000-0000-0000C4640000}"/>
    <cellStyle name="출력 4 4 2 7 4" xfId="28438" xr:uid="{00000000-0005-0000-0000-0000C5640000}"/>
    <cellStyle name="출력 4 4 2 8" xfId="20796" xr:uid="{00000000-0005-0000-0000-0000C6640000}"/>
    <cellStyle name="출력 4 4 2 9" xfId="19099" xr:uid="{00000000-0005-0000-0000-0000C7640000}"/>
    <cellStyle name="출력 4 4 3" xfId="15478" xr:uid="{00000000-0005-0000-0000-0000C8640000}"/>
    <cellStyle name="출력 4 4 3 10" xfId="28063" xr:uid="{00000000-0005-0000-0000-0000C9640000}"/>
    <cellStyle name="출력 4 4 3 11" xfId="17511" xr:uid="{00000000-0005-0000-0000-0000CA640000}"/>
    <cellStyle name="출력 4 4 3 2" xfId="15232" xr:uid="{00000000-0005-0000-0000-0000CB640000}"/>
    <cellStyle name="출력 4 4 3 2 2" xfId="24561" xr:uid="{00000000-0005-0000-0000-0000CC640000}"/>
    <cellStyle name="출력 4 4 3 2 3" xfId="25951" xr:uid="{00000000-0005-0000-0000-0000CD640000}"/>
    <cellStyle name="출력 4 4 3 2 4" xfId="29065" xr:uid="{00000000-0005-0000-0000-0000CE640000}"/>
    <cellStyle name="출력 4 4 3 2 5" xfId="21721" xr:uid="{00000000-0005-0000-0000-0000CF640000}"/>
    <cellStyle name="출력 4 4 3 3" xfId="17056" xr:uid="{00000000-0005-0000-0000-0000D0640000}"/>
    <cellStyle name="출력 4 4 3 3 2" xfId="18425" xr:uid="{00000000-0005-0000-0000-0000D1640000}"/>
    <cellStyle name="출력 4 4 3 3 3" xfId="26504" xr:uid="{00000000-0005-0000-0000-0000D2640000}"/>
    <cellStyle name="출력 4 4 3 3 4" xfId="29618" xr:uid="{00000000-0005-0000-0000-0000D3640000}"/>
    <cellStyle name="출력 4 4 3 3 5" xfId="22274" xr:uid="{00000000-0005-0000-0000-0000D4640000}"/>
    <cellStyle name="출력 4 4 3 4" xfId="17057" xr:uid="{00000000-0005-0000-0000-0000D5640000}"/>
    <cellStyle name="출력 4 4 3 4 2" xfId="19987" xr:uid="{00000000-0005-0000-0000-0000D6640000}"/>
    <cellStyle name="출력 4 4 3 4 3" xfId="26980" xr:uid="{00000000-0005-0000-0000-0000D7640000}"/>
    <cellStyle name="출력 4 4 3 4 4" xfId="30094" xr:uid="{00000000-0005-0000-0000-0000D8640000}"/>
    <cellStyle name="출력 4 4 3 4 5" xfId="22750" xr:uid="{00000000-0005-0000-0000-0000D9640000}"/>
    <cellStyle name="출력 4 4 3 5" xfId="23154" xr:uid="{00000000-0005-0000-0000-0000DA640000}"/>
    <cellStyle name="출력 4 4 3 5 2" xfId="19245" xr:uid="{00000000-0005-0000-0000-0000DB640000}"/>
    <cellStyle name="출력 4 4 3 5 3" xfId="27384" xr:uid="{00000000-0005-0000-0000-0000DC640000}"/>
    <cellStyle name="출력 4 4 3 5 4" xfId="30498" xr:uid="{00000000-0005-0000-0000-0000DD640000}"/>
    <cellStyle name="출력 4 4 3 6" xfId="23560" xr:uid="{00000000-0005-0000-0000-0000DE640000}"/>
    <cellStyle name="출력 4 4 3 6 2" xfId="24045" xr:uid="{00000000-0005-0000-0000-0000DF640000}"/>
    <cellStyle name="출력 4 4 3 6 3" xfId="27790" xr:uid="{00000000-0005-0000-0000-0000E0640000}"/>
    <cellStyle name="출력 4 4 3 6 4" xfId="30904" xr:uid="{00000000-0005-0000-0000-0000E1640000}"/>
    <cellStyle name="출력 4 4 3 7" xfId="20691" xr:uid="{00000000-0005-0000-0000-0000E2640000}"/>
    <cellStyle name="출력 4 4 3 8" xfId="18996" xr:uid="{00000000-0005-0000-0000-0000E3640000}"/>
    <cellStyle name="출력 4 4 3 9" xfId="24939" xr:uid="{00000000-0005-0000-0000-0000E4640000}"/>
    <cellStyle name="출력 4 4 4" xfId="17388" xr:uid="{00000000-0005-0000-0000-0000E5640000}"/>
    <cellStyle name="출력 4 4 4 2" xfId="22094" xr:uid="{00000000-0005-0000-0000-0000E6640000}"/>
    <cellStyle name="출력 4 4 4 2 2" xfId="23793" xr:uid="{00000000-0005-0000-0000-0000E7640000}"/>
    <cellStyle name="출력 4 4 4 2 3" xfId="26324" xr:uid="{00000000-0005-0000-0000-0000E8640000}"/>
    <cellStyle name="출력 4 4 4 2 4" xfId="29438" xr:uid="{00000000-0005-0000-0000-0000E9640000}"/>
    <cellStyle name="출력 4 4 4 3" xfId="22567" xr:uid="{00000000-0005-0000-0000-0000EA640000}"/>
    <cellStyle name="출력 4 4 4 3 2" xfId="19817" xr:uid="{00000000-0005-0000-0000-0000EB640000}"/>
    <cellStyle name="출력 4 4 4 3 3" xfId="26797" xr:uid="{00000000-0005-0000-0000-0000EC640000}"/>
    <cellStyle name="출력 4 4 4 3 4" xfId="29911" xr:uid="{00000000-0005-0000-0000-0000ED640000}"/>
    <cellStyle name="출력 4 4 4 4" xfId="23012" xr:uid="{00000000-0005-0000-0000-0000EE640000}"/>
    <cellStyle name="출력 4 4 4 4 2" xfId="20226" xr:uid="{00000000-0005-0000-0000-0000EF640000}"/>
    <cellStyle name="출력 4 4 4 4 3" xfId="27242" xr:uid="{00000000-0005-0000-0000-0000F0640000}"/>
    <cellStyle name="출력 4 4 4 4 4" xfId="30356" xr:uid="{00000000-0005-0000-0000-0000F1640000}"/>
    <cellStyle name="출력 4 4 4 5" xfId="23385" xr:uid="{00000000-0005-0000-0000-0000F2640000}"/>
    <cellStyle name="출력 4 4 4 5 2" xfId="20422" xr:uid="{00000000-0005-0000-0000-0000F3640000}"/>
    <cellStyle name="출력 4 4 4 5 3" xfId="27615" xr:uid="{00000000-0005-0000-0000-0000F4640000}"/>
    <cellStyle name="출력 4 4 4 5 4" xfId="30729" xr:uid="{00000000-0005-0000-0000-0000F5640000}"/>
    <cellStyle name="출력 4 4 4 6" xfId="24221" xr:uid="{00000000-0005-0000-0000-0000F6640000}"/>
    <cellStyle name="출력 4 4 4 7" xfId="25773" xr:uid="{00000000-0005-0000-0000-0000F7640000}"/>
    <cellStyle name="출력 4 4 4 8" xfId="28890" xr:uid="{00000000-0005-0000-0000-0000F8640000}"/>
    <cellStyle name="출력 4 4 5" xfId="20962" xr:uid="{00000000-0005-0000-0000-0000F9640000}"/>
    <cellStyle name="출력 4 4 5 2" xfId="24345" xr:uid="{00000000-0005-0000-0000-0000FA640000}"/>
    <cellStyle name="출력 4 4 5 3" xfId="25213" xr:uid="{00000000-0005-0000-0000-0000FB640000}"/>
    <cellStyle name="출력 4 4 5 4" xfId="28337" xr:uid="{00000000-0005-0000-0000-0000FC640000}"/>
    <cellStyle name="출력 4 4 6" xfId="18816" xr:uid="{00000000-0005-0000-0000-0000FD640000}"/>
    <cellStyle name="출력 4 4 7" xfId="18497" xr:uid="{00000000-0005-0000-0000-0000FE640000}"/>
    <cellStyle name="출력 4 4 8" xfId="19442" xr:uid="{00000000-0005-0000-0000-0000FF640000}"/>
    <cellStyle name="출력 4 4 9" xfId="17318" xr:uid="{00000000-0005-0000-0000-000000650000}"/>
    <cellStyle name="출력 4 5" xfId="12210" xr:uid="{00000000-0005-0000-0000-000001650000}"/>
    <cellStyle name="출력 4 5 2" xfId="14853" xr:uid="{00000000-0005-0000-0000-000002650000}"/>
    <cellStyle name="출력 4 5 2 10" xfId="25045" xr:uid="{00000000-0005-0000-0000-000003650000}"/>
    <cellStyle name="출력 4 5 2 11" xfId="28169" xr:uid="{00000000-0005-0000-0000-000004650000}"/>
    <cellStyle name="출력 4 5 2 12" xfId="31151" xr:uid="{00000000-0005-0000-0000-000005650000}"/>
    <cellStyle name="출력 4 5 2 13" xfId="17713" xr:uid="{00000000-0005-0000-0000-000006650000}"/>
    <cellStyle name="출력 4 5 2 2" xfId="21827" xr:uid="{00000000-0005-0000-0000-000007650000}"/>
    <cellStyle name="출력 4 5 2 2 2" xfId="22380" xr:uid="{00000000-0005-0000-0000-000008650000}"/>
    <cellStyle name="출력 4 5 2 2 2 2" xfId="19645" xr:uid="{00000000-0005-0000-0000-000009650000}"/>
    <cellStyle name="출력 4 5 2 2 2 3" xfId="26610" xr:uid="{00000000-0005-0000-0000-00000A650000}"/>
    <cellStyle name="출력 4 5 2 2 2 4" xfId="29724" xr:uid="{00000000-0005-0000-0000-00000B650000}"/>
    <cellStyle name="출력 4 5 2 2 3" xfId="22856" xr:uid="{00000000-0005-0000-0000-00000C650000}"/>
    <cellStyle name="출력 4 5 2 2 3 2" xfId="20084" xr:uid="{00000000-0005-0000-0000-00000D650000}"/>
    <cellStyle name="출력 4 5 2 2 3 3" xfId="27086" xr:uid="{00000000-0005-0000-0000-00000E650000}"/>
    <cellStyle name="출력 4 5 2 2 3 4" xfId="30200" xr:uid="{00000000-0005-0000-0000-00000F650000}"/>
    <cellStyle name="출력 4 5 2 2 4" xfId="23239" xr:uid="{00000000-0005-0000-0000-000010650000}"/>
    <cellStyle name="출력 4 5 2 2 4 2" xfId="20306" xr:uid="{00000000-0005-0000-0000-000011650000}"/>
    <cellStyle name="출력 4 5 2 2 4 3" xfId="27469" xr:uid="{00000000-0005-0000-0000-000012650000}"/>
    <cellStyle name="출력 4 5 2 2 4 4" xfId="30583" xr:uid="{00000000-0005-0000-0000-000013650000}"/>
    <cellStyle name="출력 4 5 2 2 5" xfId="23666" xr:uid="{00000000-0005-0000-0000-000014650000}"/>
    <cellStyle name="출력 4 5 2 2 5 2" xfId="18321" xr:uid="{00000000-0005-0000-0000-000015650000}"/>
    <cellStyle name="출력 4 5 2 2 5 3" xfId="27896" xr:uid="{00000000-0005-0000-0000-000016650000}"/>
    <cellStyle name="출력 4 5 2 2 5 4" xfId="31010" xr:uid="{00000000-0005-0000-0000-000017650000}"/>
    <cellStyle name="출력 4 5 2 2 6" xfId="23702" xr:uid="{00000000-0005-0000-0000-000018650000}"/>
    <cellStyle name="출력 4 5 2 2 7" xfId="26057" xr:uid="{00000000-0005-0000-0000-000019650000}"/>
    <cellStyle name="출력 4 5 2 2 8" xfId="29171" xr:uid="{00000000-0005-0000-0000-00001A650000}"/>
    <cellStyle name="출력 4 5 2 3" xfId="21425" xr:uid="{00000000-0005-0000-0000-00001B650000}"/>
    <cellStyle name="출력 4 5 2 3 2" xfId="19470" xr:uid="{00000000-0005-0000-0000-00001C650000}"/>
    <cellStyle name="출력 4 5 2 3 3" xfId="25612" xr:uid="{00000000-0005-0000-0000-00001D650000}"/>
    <cellStyle name="출력 4 5 2 3 4" xfId="28729" xr:uid="{00000000-0005-0000-0000-00001E650000}"/>
    <cellStyle name="출력 4 5 2 4" xfId="21933" xr:uid="{00000000-0005-0000-0000-00001F650000}"/>
    <cellStyle name="출력 4 5 2 4 2" xfId="19311" xr:uid="{00000000-0005-0000-0000-000020650000}"/>
    <cellStyle name="출력 4 5 2 4 3" xfId="26163" xr:uid="{00000000-0005-0000-0000-000021650000}"/>
    <cellStyle name="출력 4 5 2 4 4" xfId="29277" xr:uid="{00000000-0005-0000-0000-000022650000}"/>
    <cellStyle name="출력 4 5 2 5" xfId="22406" xr:uid="{00000000-0005-0000-0000-000023650000}"/>
    <cellStyle name="출력 4 5 2 5 2" xfId="19670" xr:uid="{00000000-0005-0000-0000-000024650000}"/>
    <cellStyle name="출력 4 5 2 5 3" xfId="26636" xr:uid="{00000000-0005-0000-0000-000025650000}"/>
    <cellStyle name="출력 4 5 2 5 4" xfId="29750" xr:uid="{00000000-0005-0000-0000-000026650000}"/>
    <cellStyle name="출력 4 5 2 6" xfId="22879" xr:uid="{00000000-0005-0000-0000-000027650000}"/>
    <cellStyle name="출력 4 5 2 6 2" xfId="20107" xr:uid="{00000000-0005-0000-0000-000028650000}"/>
    <cellStyle name="출력 4 5 2 6 3" xfId="27109" xr:uid="{00000000-0005-0000-0000-000029650000}"/>
    <cellStyle name="출력 4 5 2 6 4" xfId="30223" xr:uid="{00000000-0005-0000-0000-00002A650000}"/>
    <cellStyle name="출력 4 5 2 7" xfId="21110" xr:uid="{00000000-0005-0000-0000-00002B650000}"/>
    <cellStyle name="출력 4 5 2 7 2" xfId="24236" xr:uid="{00000000-0005-0000-0000-00002C650000}"/>
    <cellStyle name="출력 4 5 2 7 3" xfId="25355" xr:uid="{00000000-0005-0000-0000-00002D650000}"/>
    <cellStyle name="출력 4 5 2 7 4" xfId="28479" xr:uid="{00000000-0005-0000-0000-00002E650000}"/>
    <cellStyle name="출력 4 5 2 8" xfId="20797" xr:uid="{00000000-0005-0000-0000-00002F650000}"/>
    <cellStyle name="출력 4 5 2 9" xfId="19100" xr:uid="{00000000-0005-0000-0000-000030650000}"/>
    <cellStyle name="출력 4 5 3" xfId="15479" xr:uid="{00000000-0005-0000-0000-000031650000}"/>
    <cellStyle name="출력 4 5 3 10" xfId="28064" xr:uid="{00000000-0005-0000-0000-000032650000}"/>
    <cellStyle name="출력 4 5 3 11" xfId="17510" xr:uid="{00000000-0005-0000-0000-000033650000}"/>
    <cellStyle name="출력 4 5 3 2" xfId="15231" xr:uid="{00000000-0005-0000-0000-000034650000}"/>
    <cellStyle name="출력 4 5 3 2 2" xfId="24385" xr:uid="{00000000-0005-0000-0000-000035650000}"/>
    <cellStyle name="출력 4 5 3 2 3" xfId="25952" xr:uid="{00000000-0005-0000-0000-000036650000}"/>
    <cellStyle name="출력 4 5 3 2 4" xfId="29066" xr:uid="{00000000-0005-0000-0000-000037650000}"/>
    <cellStyle name="출력 4 5 3 2 5" xfId="21722" xr:uid="{00000000-0005-0000-0000-000038650000}"/>
    <cellStyle name="출력 4 5 3 3" xfId="17058" xr:uid="{00000000-0005-0000-0000-000039650000}"/>
    <cellStyle name="출력 4 5 3 3 2" xfId="18426" xr:uid="{00000000-0005-0000-0000-00003A650000}"/>
    <cellStyle name="출력 4 5 3 3 3" xfId="26505" xr:uid="{00000000-0005-0000-0000-00003B650000}"/>
    <cellStyle name="출력 4 5 3 3 4" xfId="29619" xr:uid="{00000000-0005-0000-0000-00003C650000}"/>
    <cellStyle name="출력 4 5 3 3 5" xfId="22275" xr:uid="{00000000-0005-0000-0000-00003D650000}"/>
    <cellStyle name="출력 4 5 3 4" xfId="17059" xr:uid="{00000000-0005-0000-0000-00003E650000}"/>
    <cellStyle name="출력 4 5 3 4 2" xfId="19988" xr:uid="{00000000-0005-0000-0000-00003F650000}"/>
    <cellStyle name="출력 4 5 3 4 3" xfId="26981" xr:uid="{00000000-0005-0000-0000-000040650000}"/>
    <cellStyle name="출력 4 5 3 4 4" xfId="30095" xr:uid="{00000000-0005-0000-0000-000041650000}"/>
    <cellStyle name="출력 4 5 3 4 5" xfId="22751" xr:uid="{00000000-0005-0000-0000-000042650000}"/>
    <cellStyle name="출력 4 5 3 5" xfId="23155" xr:uid="{00000000-0005-0000-0000-000043650000}"/>
    <cellStyle name="출력 4 5 3 5 2" xfId="19246" xr:uid="{00000000-0005-0000-0000-000044650000}"/>
    <cellStyle name="출력 4 5 3 5 3" xfId="27385" xr:uid="{00000000-0005-0000-0000-000045650000}"/>
    <cellStyle name="출력 4 5 3 5 4" xfId="30499" xr:uid="{00000000-0005-0000-0000-000046650000}"/>
    <cellStyle name="출력 4 5 3 6" xfId="23561" xr:uid="{00000000-0005-0000-0000-000047650000}"/>
    <cellStyle name="출력 4 5 3 6 2" xfId="18220" xr:uid="{00000000-0005-0000-0000-000048650000}"/>
    <cellStyle name="출력 4 5 3 6 3" xfId="27791" xr:uid="{00000000-0005-0000-0000-000049650000}"/>
    <cellStyle name="출력 4 5 3 6 4" xfId="30905" xr:uid="{00000000-0005-0000-0000-00004A650000}"/>
    <cellStyle name="출력 4 5 3 7" xfId="20692" xr:uid="{00000000-0005-0000-0000-00004B650000}"/>
    <cellStyle name="출력 4 5 3 8" xfId="18997" xr:uid="{00000000-0005-0000-0000-00004C650000}"/>
    <cellStyle name="출력 4 5 3 9" xfId="24940" xr:uid="{00000000-0005-0000-0000-00004D650000}"/>
    <cellStyle name="출력 4 5 4" xfId="17719" xr:uid="{00000000-0005-0000-0000-00004E650000}"/>
    <cellStyle name="출력 4 5 4 2" xfId="22095" xr:uid="{00000000-0005-0000-0000-00004F650000}"/>
    <cellStyle name="출력 4 5 4 2 2" xfId="23923" xr:uid="{00000000-0005-0000-0000-000050650000}"/>
    <cellStyle name="출력 4 5 4 2 3" xfId="26325" xr:uid="{00000000-0005-0000-0000-000051650000}"/>
    <cellStyle name="출력 4 5 4 2 4" xfId="29439" xr:uid="{00000000-0005-0000-0000-000052650000}"/>
    <cellStyle name="출력 4 5 4 3" xfId="22568" xr:uid="{00000000-0005-0000-0000-000053650000}"/>
    <cellStyle name="출력 4 5 4 3 2" xfId="21182" xr:uid="{00000000-0005-0000-0000-000054650000}"/>
    <cellStyle name="출력 4 5 4 3 3" xfId="26798" xr:uid="{00000000-0005-0000-0000-000055650000}"/>
    <cellStyle name="출력 4 5 4 3 4" xfId="29912" xr:uid="{00000000-0005-0000-0000-000056650000}"/>
    <cellStyle name="출력 4 5 4 4" xfId="23013" xr:uid="{00000000-0005-0000-0000-000057650000}"/>
    <cellStyle name="출력 4 5 4 4 2" xfId="20227" xr:uid="{00000000-0005-0000-0000-000058650000}"/>
    <cellStyle name="출력 4 5 4 4 3" xfId="27243" xr:uid="{00000000-0005-0000-0000-000059650000}"/>
    <cellStyle name="출력 4 5 4 4 4" xfId="30357" xr:uid="{00000000-0005-0000-0000-00005A650000}"/>
    <cellStyle name="출력 4 5 4 5" xfId="23386" xr:uid="{00000000-0005-0000-0000-00005B650000}"/>
    <cellStyle name="출력 4 5 4 5 2" xfId="20423" xr:uid="{00000000-0005-0000-0000-00005C650000}"/>
    <cellStyle name="출력 4 5 4 5 3" xfId="27616" xr:uid="{00000000-0005-0000-0000-00005D650000}"/>
    <cellStyle name="출력 4 5 4 5 4" xfId="30730" xr:uid="{00000000-0005-0000-0000-00005E650000}"/>
    <cellStyle name="출력 4 5 4 6" xfId="24013" xr:uid="{00000000-0005-0000-0000-00005F650000}"/>
    <cellStyle name="출력 4 5 4 7" xfId="25774" xr:uid="{00000000-0005-0000-0000-000060650000}"/>
    <cellStyle name="출력 4 5 4 8" xfId="28891" xr:uid="{00000000-0005-0000-0000-000061650000}"/>
    <cellStyle name="출력 4 5 5" xfId="20963" xr:uid="{00000000-0005-0000-0000-000062650000}"/>
    <cellStyle name="출력 4 5 5 2" xfId="24165" xr:uid="{00000000-0005-0000-0000-000063650000}"/>
    <cellStyle name="출력 4 5 5 3" xfId="25214" xr:uid="{00000000-0005-0000-0000-000064650000}"/>
    <cellStyle name="출력 4 5 5 4" xfId="28338" xr:uid="{00000000-0005-0000-0000-000065650000}"/>
    <cellStyle name="출력 4 5 6" xfId="18817" xr:uid="{00000000-0005-0000-0000-000066650000}"/>
    <cellStyle name="출력 4 5 7" xfId="19327" xr:uid="{00000000-0005-0000-0000-000067650000}"/>
    <cellStyle name="출력 4 5 8" xfId="25785" xr:uid="{00000000-0005-0000-0000-000068650000}"/>
    <cellStyle name="출력 4 5 9" xfId="17319" xr:uid="{00000000-0005-0000-0000-000069650000}"/>
    <cellStyle name="출력 4 6" xfId="12211" xr:uid="{00000000-0005-0000-0000-00006A650000}"/>
    <cellStyle name="출력 4 6 2" xfId="14854" xr:uid="{00000000-0005-0000-0000-00006B650000}"/>
    <cellStyle name="출력 4 6 2 10" xfId="25046" xr:uid="{00000000-0005-0000-0000-00006C650000}"/>
    <cellStyle name="출력 4 6 2 11" xfId="28170" xr:uid="{00000000-0005-0000-0000-00006D650000}"/>
    <cellStyle name="출력 4 6 2 12" xfId="31152" xr:uid="{00000000-0005-0000-0000-00006E650000}"/>
    <cellStyle name="출력 4 6 2 13" xfId="17423" xr:uid="{00000000-0005-0000-0000-00006F650000}"/>
    <cellStyle name="출력 4 6 2 2" xfId="21828" xr:uid="{00000000-0005-0000-0000-000070650000}"/>
    <cellStyle name="출력 4 6 2 2 2" xfId="22381" xr:uid="{00000000-0005-0000-0000-000071650000}"/>
    <cellStyle name="출력 4 6 2 2 2 2" xfId="19646" xr:uid="{00000000-0005-0000-0000-000072650000}"/>
    <cellStyle name="출력 4 6 2 2 2 3" xfId="26611" xr:uid="{00000000-0005-0000-0000-000073650000}"/>
    <cellStyle name="출력 4 6 2 2 2 4" xfId="29725" xr:uid="{00000000-0005-0000-0000-000074650000}"/>
    <cellStyle name="출력 4 6 2 2 3" xfId="22857" xr:uid="{00000000-0005-0000-0000-000075650000}"/>
    <cellStyle name="출력 4 6 2 2 3 2" xfId="20085" xr:uid="{00000000-0005-0000-0000-000076650000}"/>
    <cellStyle name="출력 4 6 2 2 3 3" xfId="27087" xr:uid="{00000000-0005-0000-0000-000077650000}"/>
    <cellStyle name="출력 4 6 2 2 3 4" xfId="30201" xr:uid="{00000000-0005-0000-0000-000078650000}"/>
    <cellStyle name="출력 4 6 2 2 4" xfId="23240" xr:uid="{00000000-0005-0000-0000-000079650000}"/>
    <cellStyle name="출력 4 6 2 2 4 2" xfId="21462" xr:uid="{00000000-0005-0000-0000-00007A650000}"/>
    <cellStyle name="출력 4 6 2 2 4 3" xfId="27470" xr:uid="{00000000-0005-0000-0000-00007B650000}"/>
    <cellStyle name="출력 4 6 2 2 4 4" xfId="30584" xr:uid="{00000000-0005-0000-0000-00007C650000}"/>
    <cellStyle name="출력 4 6 2 2 5" xfId="23667" xr:uid="{00000000-0005-0000-0000-00007D650000}"/>
    <cellStyle name="출력 4 6 2 2 5 2" xfId="23779" xr:uid="{00000000-0005-0000-0000-00007E650000}"/>
    <cellStyle name="출력 4 6 2 2 5 3" xfId="27897" xr:uid="{00000000-0005-0000-0000-00007F650000}"/>
    <cellStyle name="출력 4 6 2 2 5 4" xfId="31011" xr:uid="{00000000-0005-0000-0000-000080650000}"/>
    <cellStyle name="출력 4 6 2 2 6" xfId="23808" xr:uid="{00000000-0005-0000-0000-000081650000}"/>
    <cellStyle name="출력 4 6 2 2 7" xfId="26058" xr:uid="{00000000-0005-0000-0000-000082650000}"/>
    <cellStyle name="출력 4 6 2 2 8" xfId="29172" xr:uid="{00000000-0005-0000-0000-000083650000}"/>
    <cellStyle name="출력 4 6 2 3" xfId="21426" xr:uid="{00000000-0005-0000-0000-000084650000}"/>
    <cellStyle name="출력 4 6 2 3 2" xfId="19471" xr:uid="{00000000-0005-0000-0000-000085650000}"/>
    <cellStyle name="출력 4 6 2 3 3" xfId="25613" xr:uid="{00000000-0005-0000-0000-000086650000}"/>
    <cellStyle name="출력 4 6 2 3 4" xfId="28730" xr:uid="{00000000-0005-0000-0000-000087650000}"/>
    <cellStyle name="출력 4 6 2 4" xfId="21934" xr:uid="{00000000-0005-0000-0000-000088650000}"/>
    <cellStyle name="출력 4 6 2 4 2" xfId="19552" xr:uid="{00000000-0005-0000-0000-000089650000}"/>
    <cellStyle name="출력 4 6 2 4 3" xfId="26164" xr:uid="{00000000-0005-0000-0000-00008A650000}"/>
    <cellStyle name="출력 4 6 2 4 4" xfId="29278" xr:uid="{00000000-0005-0000-0000-00008B650000}"/>
    <cellStyle name="출력 4 6 2 5" xfId="22407" xr:uid="{00000000-0005-0000-0000-00008C650000}"/>
    <cellStyle name="출력 4 6 2 5 2" xfId="19671" xr:uid="{00000000-0005-0000-0000-00008D650000}"/>
    <cellStyle name="출력 4 6 2 5 3" xfId="26637" xr:uid="{00000000-0005-0000-0000-00008E650000}"/>
    <cellStyle name="출력 4 6 2 5 4" xfId="29751" xr:uid="{00000000-0005-0000-0000-00008F650000}"/>
    <cellStyle name="출력 4 6 2 6" xfId="22880" xr:uid="{00000000-0005-0000-0000-000090650000}"/>
    <cellStyle name="출력 4 6 2 6 2" xfId="20108" xr:uid="{00000000-0005-0000-0000-000091650000}"/>
    <cellStyle name="출력 4 6 2 6 3" xfId="27110" xr:uid="{00000000-0005-0000-0000-000092650000}"/>
    <cellStyle name="출력 4 6 2 6 4" xfId="30224" xr:uid="{00000000-0005-0000-0000-000093650000}"/>
    <cellStyle name="출력 4 6 2 7" xfId="22582" xr:uid="{00000000-0005-0000-0000-000094650000}"/>
    <cellStyle name="출력 4 6 2 7 2" xfId="19830" xr:uid="{00000000-0005-0000-0000-000095650000}"/>
    <cellStyle name="출력 4 6 2 7 3" xfId="26812" xr:uid="{00000000-0005-0000-0000-000096650000}"/>
    <cellStyle name="출력 4 6 2 7 4" xfId="29926" xr:uid="{00000000-0005-0000-0000-000097650000}"/>
    <cellStyle name="출력 4 6 2 8" xfId="20798" xr:uid="{00000000-0005-0000-0000-000098650000}"/>
    <cellStyle name="출력 4 6 2 9" xfId="19101" xr:uid="{00000000-0005-0000-0000-000099650000}"/>
    <cellStyle name="출력 4 6 3" xfId="15480" xr:uid="{00000000-0005-0000-0000-00009A650000}"/>
    <cellStyle name="출력 4 6 3 10" xfId="28065" xr:uid="{00000000-0005-0000-0000-00009B650000}"/>
    <cellStyle name="출력 4 6 3 11" xfId="17509" xr:uid="{00000000-0005-0000-0000-00009C650000}"/>
    <cellStyle name="출력 4 6 3 2" xfId="15230" xr:uid="{00000000-0005-0000-0000-00009D650000}"/>
    <cellStyle name="출력 4 6 3 2 2" xfId="24214" xr:uid="{00000000-0005-0000-0000-00009E650000}"/>
    <cellStyle name="출력 4 6 3 2 3" xfId="25953" xr:uid="{00000000-0005-0000-0000-00009F650000}"/>
    <cellStyle name="출력 4 6 3 2 4" xfId="29067" xr:uid="{00000000-0005-0000-0000-0000A0650000}"/>
    <cellStyle name="출력 4 6 3 2 5" xfId="21723" xr:uid="{00000000-0005-0000-0000-0000A1650000}"/>
    <cellStyle name="출력 4 6 3 3" xfId="17060" xr:uid="{00000000-0005-0000-0000-0000A2650000}"/>
    <cellStyle name="출력 4 6 3 3 2" xfId="18427" xr:uid="{00000000-0005-0000-0000-0000A3650000}"/>
    <cellStyle name="출력 4 6 3 3 3" xfId="26506" xr:uid="{00000000-0005-0000-0000-0000A4650000}"/>
    <cellStyle name="출력 4 6 3 3 4" xfId="29620" xr:uid="{00000000-0005-0000-0000-0000A5650000}"/>
    <cellStyle name="출력 4 6 3 3 5" xfId="22276" xr:uid="{00000000-0005-0000-0000-0000A6650000}"/>
    <cellStyle name="출력 4 6 3 4" xfId="17061" xr:uid="{00000000-0005-0000-0000-0000A7650000}"/>
    <cellStyle name="출력 4 6 3 4 2" xfId="19989" xr:uid="{00000000-0005-0000-0000-0000A8650000}"/>
    <cellStyle name="출력 4 6 3 4 3" xfId="26982" xr:uid="{00000000-0005-0000-0000-0000A9650000}"/>
    <cellStyle name="출력 4 6 3 4 4" xfId="30096" xr:uid="{00000000-0005-0000-0000-0000AA650000}"/>
    <cellStyle name="출력 4 6 3 4 5" xfId="22752" xr:uid="{00000000-0005-0000-0000-0000AB650000}"/>
    <cellStyle name="출력 4 6 3 5" xfId="23156" xr:uid="{00000000-0005-0000-0000-0000AC650000}"/>
    <cellStyle name="출력 4 6 3 5 2" xfId="19247" xr:uid="{00000000-0005-0000-0000-0000AD650000}"/>
    <cellStyle name="출력 4 6 3 5 3" xfId="27386" xr:uid="{00000000-0005-0000-0000-0000AE650000}"/>
    <cellStyle name="출력 4 6 3 5 4" xfId="30500" xr:uid="{00000000-0005-0000-0000-0000AF650000}"/>
    <cellStyle name="출력 4 6 3 6" xfId="23562" xr:uid="{00000000-0005-0000-0000-0000B0650000}"/>
    <cellStyle name="출력 4 6 3 6 2" xfId="18221" xr:uid="{00000000-0005-0000-0000-0000B1650000}"/>
    <cellStyle name="출력 4 6 3 6 3" xfId="27792" xr:uid="{00000000-0005-0000-0000-0000B2650000}"/>
    <cellStyle name="출력 4 6 3 6 4" xfId="30906" xr:uid="{00000000-0005-0000-0000-0000B3650000}"/>
    <cellStyle name="출력 4 6 3 7" xfId="20693" xr:uid="{00000000-0005-0000-0000-0000B4650000}"/>
    <cellStyle name="출력 4 6 3 8" xfId="18998" xr:uid="{00000000-0005-0000-0000-0000B5650000}"/>
    <cellStyle name="출력 4 6 3 9" xfId="24941" xr:uid="{00000000-0005-0000-0000-0000B6650000}"/>
    <cellStyle name="출력 4 6 4" xfId="17387" xr:uid="{00000000-0005-0000-0000-0000B7650000}"/>
    <cellStyle name="출력 4 6 4 2" xfId="22096" xr:uid="{00000000-0005-0000-0000-0000B8650000}"/>
    <cellStyle name="출력 4 6 4 2 2" xfId="24734" xr:uid="{00000000-0005-0000-0000-0000B9650000}"/>
    <cellStyle name="출력 4 6 4 2 3" xfId="26326" xr:uid="{00000000-0005-0000-0000-0000BA650000}"/>
    <cellStyle name="출력 4 6 4 2 4" xfId="29440" xr:uid="{00000000-0005-0000-0000-0000BB650000}"/>
    <cellStyle name="출력 4 6 4 3" xfId="22569" xr:uid="{00000000-0005-0000-0000-0000BC650000}"/>
    <cellStyle name="출력 4 6 4 3 2" xfId="19818" xr:uid="{00000000-0005-0000-0000-0000BD650000}"/>
    <cellStyle name="출력 4 6 4 3 3" xfId="26799" xr:uid="{00000000-0005-0000-0000-0000BE650000}"/>
    <cellStyle name="출력 4 6 4 3 4" xfId="29913" xr:uid="{00000000-0005-0000-0000-0000BF650000}"/>
    <cellStyle name="출력 4 6 4 4" xfId="23014" xr:uid="{00000000-0005-0000-0000-0000C0650000}"/>
    <cellStyle name="출력 4 6 4 4 2" xfId="20228" xr:uid="{00000000-0005-0000-0000-0000C1650000}"/>
    <cellStyle name="출력 4 6 4 4 3" xfId="27244" xr:uid="{00000000-0005-0000-0000-0000C2650000}"/>
    <cellStyle name="출력 4 6 4 4 4" xfId="30358" xr:uid="{00000000-0005-0000-0000-0000C3650000}"/>
    <cellStyle name="출력 4 6 4 5" xfId="23387" xr:uid="{00000000-0005-0000-0000-0000C4650000}"/>
    <cellStyle name="출력 4 6 4 5 2" xfId="20424" xr:uid="{00000000-0005-0000-0000-0000C5650000}"/>
    <cellStyle name="출력 4 6 4 5 3" xfId="27617" xr:uid="{00000000-0005-0000-0000-0000C6650000}"/>
    <cellStyle name="출력 4 6 4 5 4" xfId="30731" xr:uid="{00000000-0005-0000-0000-0000C7650000}"/>
    <cellStyle name="출력 4 6 4 6" xfId="24726" xr:uid="{00000000-0005-0000-0000-0000C8650000}"/>
    <cellStyle name="출력 4 6 4 7" xfId="25775" xr:uid="{00000000-0005-0000-0000-0000C9650000}"/>
    <cellStyle name="출력 4 6 4 8" xfId="28892" xr:uid="{00000000-0005-0000-0000-0000CA650000}"/>
    <cellStyle name="출력 4 6 5" xfId="20964" xr:uid="{00000000-0005-0000-0000-0000CB650000}"/>
    <cellStyle name="출력 4 6 5 2" xfId="23694" xr:uid="{00000000-0005-0000-0000-0000CC650000}"/>
    <cellStyle name="출력 4 6 5 3" xfId="25215" xr:uid="{00000000-0005-0000-0000-0000CD650000}"/>
    <cellStyle name="출력 4 6 5 4" xfId="28339" xr:uid="{00000000-0005-0000-0000-0000CE650000}"/>
    <cellStyle name="출력 4 6 6" xfId="18818" xr:uid="{00000000-0005-0000-0000-0000CF650000}"/>
    <cellStyle name="출력 4 6 7" xfId="18496" xr:uid="{00000000-0005-0000-0000-0000D0650000}"/>
    <cellStyle name="출력 4 6 8" xfId="18734" xr:uid="{00000000-0005-0000-0000-0000D1650000}"/>
    <cellStyle name="출력 4 6 9" xfId="17320" xr:uid="{00000000-0005-0000-0000-0000D2650000}"/>
    <cellStyle name="출력 4 7" xfId="12212" xr:uid="{00000000-0005-0000-0000-0000D3650000}"/>
    <cellStyle name="출력 4 7 2" xfId="14855" xr:uid="{00000000-0005-0000-0000-0000D4650000}"/>
    <cellStyle name="출력 4 7 2 10" xfId="25047" xr:uid="{00000000-0005-0000-0000-0000D5650000}"/>
    <cellStyle name="출력 4 7 2 11" xfId="28171" xr:uid="{00000000-0005-0000-0000-0000D6650000}"/>
    <cellStyle name="출력 4 7 2 12" xfId="31153" xr:uid="{00000000-0005-0000-0000-0000D7650000}"/>
    <cellStyle name="출력 4 7 2 13" xfId="17422" xr:uid="{00000000-0005-0000-0000-0000D8650000}"/>
    <cellStyle name="출력 4 7 2 2" xfId="21829" xr:uid="{00000000-0005-0000-0000-0000D9650000}"/>
    <cellStyle name="출력 4 7 2 2 2" xfId="22382" xr:uid="{00000000-0005-0000-0000-0000DA650000}"/>
    <cellStyle name="출력 4 7 2 2 2 2" xfId="19647" xr:uid="{00000000-0005-0000-0000-0000DB650000}"/>
    <cellStyle name="출력 4 7 2 2 2 3" xfId="26612" xr:uid="{00000000-0005-0000-0000-0000DC650000}"/>
    <cellStyle name="출력 4 7 2 2 2 4" xfId="29726" xr:uid="{00000000-0005-0000-0000-0000DD650000}"/>
    <cellStyle name="출력 4 7 2 2 3" xfId="22858" xr:uid="{00000000-0005-0000-0000-0000DE650000}"/>
    <cellStyle name="출력 4 7 2 2 3 2" xfId="20086" xr:uid="{00000000-0005-0000-0000-0000DF650000}"/>
    <cellStyle name="출력 4 7 2 2 3 3" xfId="27088" xr:uid="{00000000-0005-0000-0000-0000E0650000}"/>
    <cellStyle name="출력 4 7 2 2 3 4" xfId="30202" xr:uid="{00000000-0005-0000-0000-0000E1650000}"/>
    <cellStyle name="출력 4 7 2 2 4" xfId="23241" xr:uid="{00000000-0005-0000-0000-0000E2650000}"/>
    <cellStyle name="출력 4 7 2 2 4 2" xfId="20307" xr:uid="{00000000-0005-0000-0000-0000E3650000}"/>
    <cellStyle name="출력 4 7 2 2 4 3" xfId="27471" xr:uid="{00000000-0005-0000-0000-0000E4650000}"/>
    <cellStyle name="출력 4 7 2 2 4 4" xfId="30585" xr:uid="{00000000-0005-0000-0000-0000E5650000}"/>
    <cellStyle name="출력 4 7 2 2 5" xfId="23668" xr:uid="{00000000-0005-0000-0000-0000E6650000}"/>
    <cellStyle name="출력 4 7 2 2 5 2" xfId="18322" xr:uid="{00000000-0005-0000-0000-0000E7650000}"/>
    <cellStyle name="출력 4 7 2 2 5 3" xfId="27898" xr:uid="{00000000-0005-0000-0000-0000E8650000}"/>
    <cellStyle name="출력 4 7 2 2 5 4" xfId="31012" xr:uid="{00000000-0005-0000-0000-0000E9650000}"/>
    <cellStyle name="출력 4 7 2 2 6" xfId="23774" xr:uid="{00000000-0005-0000-0000-0000EA650000}"/>
    <cellStyle name="출력 4 7 2 2 7" xfId="26059" xr:uid="{00000000-0005-0000-0000-0000EB650000}"/>
    <cellStyle name="출력 4 7 2 2 8" xfId="29173" xr:uid="{00000000-0005-0000-0000-0000EC650000}"/>
    <cellStyle name="출력 4 7 2 3" xfId="21427" xr:uid="{00000000-0005-0000-0000-0000ED650000}"/>
    <cellStyle name="출력 4 7 2 3 2" xfId="19472" xr:uid="{00000000-0005-0000-0000-0000EE650000}"/>
    <cellStyle name="출력 4 7 2 3 3" xfId="25614" xr:uid="{00000000-0005-0000-0000-0000EF650000}"/>
    <cellStyle name="출력 4 7 2 3 4" xfId="28731" xr:uid="{00000000-0005-0000-0000-0000F0650000}"/>
    <cellStyle name="출력 4 7 2 4" xfId="21935" xr:uid="{00000000-0005-0000-0000-0000F1650000}"/>
    <cellStyle name="출력 4 7 2 4 2" xfId="23720" xr:uid="{00000000-0005-0000-0000-0000F2650000}"/>
    <cellStyle name="출력 4 7 2 4 3" xfId="26165" xr:uid="{00000000-0005-0000-0000-0000F3650000}"/>
    <cellStyle name="출력 4 7 2 4 4" xfId="29279" xr:uid="{00000000-0005-0000-0000-0000F4650000}"/>
    <cellStyle name="출력 4 7 2 5" xfId="22408" xr:uid="{00000000-0005-0000-0000-0000F5650000}"/>
    <cellStyle name="출력 4 7 2 5 2" xfId="19672" xr:uid="{00000000-0005-0000-0000-0000F6650000}"/>
    <cellStyle name="출력 4 7 2 5 3" xfId="26638" xr:uid="{00000000-0005-0000-0000-0000F7650000}"/>
    <cellStyle name="출력 4 7 2 5 4" xfId="29752" xr:uid="{00000000-0005-0000-0000-0000F8650000}"/>
    <cellStyle name="출력 4 7 2 6" xfId="22881" xr:uid="{00000000-0005-0000-0000-0000F9650000}"/>
    <cellStyle name="출력 4 7 2 6 2" xfId="21248" xr:uid="{00000000-0005-0000-0000-0000FA650000}"/>
    <cellStyle name="출력 4 7 2 6 3" xfId="27111" xr:uid="{00000000-0005-0000-0000-0000FB650000}"/>
    <cellStyle name="출력 4 7 2 6 4" xfId="30225" xr:uid="{00000000-0005-0000-0000-0000FC650000}"/>
    <cellStyle name="출력 4 7 2 7" xfId="21064" xr:uid="{00000000-0005-0000-0000-0000FD650000}"/>
    <cellStyle name="출력 4 7 2 7 2" xfId="24028" xr:uid="{00000000-0005-0000-0000-0000FE650000}"/>
    <cellStyle name="출력 4 7 2 7 3" xfId="25309" xr:uid="{00000000-0005-0000-0000-0000FF650000}"/>
    <cellStyle name="출력 4 7 2 7 4" xfId="28433" xr:uid="{00000000-0005-0000-0000-000000660000}"/>
    <cellStyle name="출력 4 7 2 8" xfId="20799" xr:uid="{00000000-0005-0000-0000-000001660000}"/>
    <cellStyle name="출력 4 7 2 9" xfId="19102" xr:uid="{00000000-0005-0000-0000-000002660000}"/>
    <cellStyle name="출력 4 7 3" xfId="15481" xr:uid="{00000000-0005-0000-0000-000003660000}"/>
    <cellStyle name="출력 4 7 3 10" xfId="28066" xr:uid="{00000000-0005-0000-0000-000004660000}"/>
    <cellStyle name="출력 4 7 3 11" xfId="17508" xr:uid="{00000000-0005-0000-0000-000005660000}"/>
    <cellStyle name="출력 4 7 3 2" xfId="15229" xr:uid="{00000000-0005-0000-0000-000006660000}"/>
    <cellStyle name="출력 4 7 3 2 2" xfId="24006" xr:uid="{00000000-0005-0000-0000-000007660000}"/>
    <cellStyle name="출력 4 7 3 2 3" xfId="25954" xr:uid="{00000000-0005-0000-0000-000008660000}"/>
    <cellStyle name="출력 4 7 3 2 4" xfId="29068" xr:uid="{00000000-0005-0000-0000-000009660000}"/>
    <cellStyle name="출력 4 7 3 2 5" xfId="21724" xr:uid="{00000000-0005-0000-0000-00000A660000}"/>
    <cellStyle name="출력 4 7 3 3" xfId="17062" xr:uid="{00000000-0005-0000-0000-00000B660000}"/>
    <cellStyle name="출력 4 7 3 3 2" xfId="18428" xr:uid="{00000000-0005-0000-0000-00000C660000}"/>
    <cellStyle name="출력 4 7 3 3 3" xfId="26507" xr:uid="{00000000-0005-0000-0000-00000D660000}"/>
    <cellStyle name="출력 4 7 3 3 4" xfId="29621" xr:uid="{00000000-0005-0000-0000-00000E660000}"/>
    <cellStyle name="출력 4 7 3 3 5" xfId="22277" xr:uid="{00000000-0005-0000-0000-00000F660000}"/>
    <cellStyle name="출력 4 7 3 4" xfId="17063" xr:uid="{00000000-0005-0000-0000-000010660000}"/>
    <cellStyle name="출력 4 7 3 4 2" xfId="19990" xr:uid="{00000000-0005-0000-0000-000011660000}"/>
    <cellStyle name="출력 4 7 3 4 3" xfId="26983" xr:uid="{00000000-0005-0000-0000-000012660000}"/>
    <cellStyle name="출력 4 7 3 4 4" xfId="30097" xr:uid="{00000000-0005-0000-0000-000013660000}"/>
    <cellStyle name="출력 4 7 3 4 5" xfId="22753" xr:uid="{00000000-0005-0000-0000-000014660000}"/>
    <cellStyle name="출력 4 7 3 5" xfId="23157" xr:uid="{00000000-0005-0000-0000-000015660000}"/>
    <cellStyle name="출력 4 7 3 5 2" xfId="19248" xr:uid="{00000000-0005-0000-0000-000016660000}"/>
    <cellStyle name="출력 4 7 3 5 3" xfId="27387" xr:uid="{00000000-0005-0000-0000-000017660000}"/>
    <cellStyle name="출력 4 7 3 5 4" xfId="30501" xr:uid="{00000000-0005-0000-0000-000018660000}"/>
    <cellStyle name="출력 4 7 3 6" xfId="23563" xr:uid="{00000000-0005-0000-0000-000019660000}"/>
    <cellStyle name="출력 4 7 3 6 2" xfId="18222" xr:uid="{00000000-0005-0000-0000-00001A660000}"/>
    <cellStyle name="출력 4 7 3 6 3" xfId="27793" xr:uid="{00000000-0005-0000-0000-00001B660000}"/>
    <cellStyle name="출력 4 7 3 6 4" xfId="30907" xr:uid="{00000000-0005-0000-0000-00001C660000}"/>
    <cellStyle name="출력 4 7 3 7" xfId="20694" xr:uid="{00000000-0005-0000-0000-00001D660000}"/>
    <cellStyle name="출력 4 7 3 8" xfId="18999" xr:uid="{00000000-0005-0000-0000-00001E660000}"/>
    <cellStyle name="출력 4 7 3 9" xfId="24942" xr:uid="{00000000-0005-0000-0000-00001F660000}"/>
    <cellStyle name="출력 4 7 4" xfId="17383" xr:uid="{00000000-0005-0000-0000-000020660000}"/>
    <cellStyle name="출력 4 7 4 2" xfId="22097" xr:uid="{00000000-0005-0000-0000-000021660000}"/>
    <cellStyle name="출력 4 7 4 2 2" xfId="24600" xr:uid="{00000000-0005-0000-0000-000022660000}"/>
    <cellStyle name="출력 4 7 4 2 3" xfId="26327" xr:uid="{00000000-0005-0000-0000-000023660000}"/>
    <cellStyle name="출력 4 7 4 2 4" xfId="29441" xr:uid="{00000000-0005-0000-0000-000024660000}"/>
    <cellStyle name="출력 4 7 4 3" xfId="22570" xr:uid="{00000000-0005-0000-0000-000025660000}"/>
    <cellStyle name="출력 4 7 4 3 2" xfId="19819" xr:uid="{00000000-0005-0000-0000-000026660000}"/>
    <cellStyle name="출력 4 7 4 3 3" xfId="26800" xr:uid="{00000000-0005-0000-0000-000027660000}"/>
    <cellStyle name="출력 4 7 4 3 4" xfId="29914" xr:uid="{00000000-0005-0000-0000-000028660000}"/>
    <cellStyle name="출력 4 7 4 4" xfId="23015" xr:uid="{00000000-0005-0000-0000-000029660000}"/>
    <cellStyle name="출력 4 7 4 4 2" xfId="20229" xr:uid="{00000000-0005-0000-0000-00002A660000}"/>
    <cellStyle name="출력 4 7 4 4 3" xfId="27245" xr:uid="{00000000-0005-0000-0000-00002B660000}"/>
    <cellStyle name="출력 4 7 4 4 4" xfId="30359" xr:uid="{00000000-0005-0000-0000-00002C660000}"/>
    <cellStyle name="출력 4 7 4 5" xfId="23388" xr:uid="{00000000-0005-0000-0000-00002D660000}"/>
    <cellStyle name="출력 4 7 4 5 2" xfId="20425" xr:uid="{00000000-0005-0000-0000-00002E660000}"/>
    <cellStyle name="출력 4 7 4 5 3" xfId="27618" xr:uid="{00000000-0005-0000-0000-00002F660000}"/>
    <cellStyle name="출력 4 7 4 5 4" xfId="30732" xr:uid="{00000000-0005-0000-0000-000030660000}"/>
    <cellStyle name="출력 4 7 4 6" xfId="24596" xr:uid="{00000000-0005-0000-0000-000031660000}"/>
    <cellStyle name="출력 4 7 4 7" xfId="25776" xr:uid="{00000000-0005-0000-0000-000032660000}"/>
    <cellStyle name="출력 4 7 4 8" xfId="28893" xr:uid="{00000000-0005-0000-0000-000033660000}"/>
    <cellStyle name="출력 4 7 5" xfId="20965" xr:uid="{00000000-0005-0000-0000-000034660000}"/>
    <cellStyle name="출력 4 7 5 2" xfId="19402" xr:uid="{00000000-0005-0000-0000-000035660000}"/>
    <cellStyle name="출력 4 7 5 3" xfId="25216" xr:uid="{00000000-0005-0000-0000-000036660000}"/>
    <cellStyle name="출력 4 7 5 4" xfId="28340" xr:uid="{00000000-0005-0000-0000-000037660000}"/>
    <cellStyle name="출력 4 7 6" xfId="18819" xr:uid="{00000000-0005-0000-0000-000038660000}"/>
    <cellStyle name="출력 4 7 7" xfId="18495" xr:uid="{00000000-0005-0000-0000-000039660000}"/>
    <cellStyle name="출력 4 7 8" xfId="18735" xr:uid="{00000000-0005-0000-0000-00003A660000}"/>
    <cellStyle name="출력 4 7 9" xfId="17321" xr:uid="{00000000-0005-0000-0000-00003B660000}"/>
    <cellStyle name="출력 4 8" xfId="14849" xr:uid="{00000000-0005-0000-0000-00003C660000}"/>
    <cellStyle name="출력 4 8 10" xfId="25041" xr:uid="{00000000-0005-0000-0000-00003D660000}"/>
    <cellStyle name="출력 4 8 11" xfId="28165" xr:uid="{00000000-0005-0000-0000-00003E660000}"/>
    <cellStyle name="출력 4 8 12" xfId="31147" xr:uid="{00000000-0005-0000-0000-00003F660000}"/>
    <cellStyle name="출력 4 8 13" xfId="17427" xr:uid="{00000000-0005-0000-0000-000040660000}"/>
    <cellStyle name="출력 4 8 2" xfId="21823" xr:uid="{00000000-0005-0000-0000-000041660000}"/>
    <cellStyle name="출력 4 8 2 2" xfId="22376" xr:uid="{00000000-0005-0000-0000-000042660000}"/>
    <cellStyle name="출력 4 8 2 2 2" xfId="19641" xr:uid="{00000000-0005-0000-0000-000043660000}"/>
    <cellStyle name="출력 4 8 2 2 3" xfId="26606" xr:uid="{00000000-0005-0000-0000-000044660000}"/>
    <cellStyle name="출력 4 8 2 2 4" xfId="29720" xr:uid="{00000000-0005-0000-0000-000045660000}"/>
    <cellStyle name="출력 4 8 2 3" xfId="22852" xr:uid="{00000000-0005-0000-0000-000046660000}"/>
    <cellStyle name="출력 4 8 2 3 2" xfId="20080" xr:uid="{00000000-0005-0000-0000-000047660000}"/>
    <cellStyle name="출력 4 8 2 3 3" xfId="27082" xr:uid="{00000000-0005-0000-0000-000048660000}"/>
    <cellStyle name="출력 4 8 2 3 4" xfId="30196" xr:uid="{00000000-0005-0000-0000-000049660000}"/>
    <cellStyle name="출력 4 8 2 4" xfId="23235" xr:uid="{00000000-0005-0000-0000-00004A660000}"/>
    <cellStyle name="출력 4 8 2 4 2" xfId="20304" xr:uid="{00000000-0005-0000-0000-00004B660000}"/>
    <cellStyle name="출력 4 8 2 4 3" xfId="27465" xr:uid="{00000000-0005-0000-0000-00004C660000}"/>
    <cellStyle name="출력 4 8 2 4 4" xfId="30579" xr:uid="{00000000-0005-0000-0000-00004D660000}"/>
    <cellStyle name="출력 4 8 2 5" xfId="23662" xr:uid="{00000000-0005-0000-0000-00004E660000}"/>
    <cellStyle name="출력 4 8 2 5 2" xfId="18317" xr:uid="{00000000-0005-0000-0000-00004F660000}"/>
    <cellStyle name="출력 4 8 2 5 3" xfId="27892" xr:uid="{00000000-0005-0000-0000-000050660000}"/>
    <cellStyle name="출력 4 8 2 5 4" xfId="31006" xr:uid="{00000000-0005-0000-0000-000051660000}"/>
    <cellStyle name="출력 4 8 2 6" xfId="24453" xr:uid="{00000000-0005-0000-0000-000052660000}"/>
    <cellStyle name="출력 4 8 2 7" xfId="26053" xr:uid="{00000000-0005-0000-0000-000053660000}"/>
    <cellStyle name="출력 4 8 2 8" xfId="29167" xr:uid="{00000000-0005-0000-0000-000054660000}"/>
    <cellStyle name="출력 4 8 3" xfId="21421" xr:uid="{00000000-0005-0000-0000-000055660000}"/>
    <cellStyle name="출력 4 8 3 2" xfId="23676" xr:uid="{00000000-0005-0000-0000-000056660000}"/>
    <cellStyle name="출력 4 8 3 3" xfId="25608" xr:uid="{00000000-0005-0000-0000-000057660000}"/>
    <cellStyle name="출력 4 8 3 4" xfId="28725" xr:uid="{00000000-0005-0000-0000-000058660000}"/>
    <cellStyle name="출력 4 8 4" xfId="21929" xr:uid="{00000000-0005-0000-0000-000059660000}"/>
    <cellStyle name="출력 4 8 4 2" xfId="24607" xr:uid="{00000000-0005-0000-0000-00005A660000}"/>
    <cellStyle name="출력 4 8 4 3" xfId="26159" xr:uid="{00000000-0005-0000-0000-00005B660000}"/>
    <cellStyle name="출력 4 8 4 4" xfId="29273" xr:uid="{00000000-0005-0000-0000-00005C660000}"/>
    <cellStyle name="출력 4 8 5" xfId="22402" xr:uid="{00000000-0005-0000-0000-00005D660000}"/>
    <cellStyle name="출력 4 8 5 2" xfId="19666" xr:uid="{00000000-0005-0000-0000-00005E660000}"/>
    <cellStyle name="출력 4 8 5 3" xfId="26632" xr:uid="{00000000-0005-0000-0000-00005F660000}"/>
    <cellStyle name="출력 4 8 5 4" xfId="29746" xr:uid="{00000000-0005-0000-0000-000060660000}"/>
    <cellStyle name="출력 4 8 6" xfId="22875" xr:uid="{00000000-0005-0000-0000-000061660000}"/>
    <cellStyle name="출력 4 8 6 2" xfId="20103" xr:uid="{00000000-0005-0000-0000-000062660000}"/>
    <cellStyle name="출력 4 8 6 3" xfId="27105" xr:uid="{00000000-0005-0000-0000-000063660000}"/>
    <cellStyle name="출력 4 8 6 4" xfId="30219" xr:uid="{00000000-0005-0000-0000-000064660000}"/>
    <cellStyle name="출력 4 8 7" xfId="20983" xr:uid="{00000000-0005-0000-0000-000065660000}"/>
    <cellStyle name="출력 4 8 7 2" xfId="19408" xr:uid="{00000000-0005-0000-0000-000066660000}"/>
    <cellStyle name="출력 4 8 7 3" xfId="25231" xr:uid="{00000000-0005-0000-0000-000067660000}"/>
    <cellStyle name="출력 4 8 7 4" xfId="28355" xr:uid="{00000000-0005-0000-0000-000068660000}"/>
    <cellStyle name="출력 4 8 8" xfId="20793" xr:uid="{00000000-0005-0000-0000-000069660000}"/>
    <cellStyle name="출력 4 8 9" xfId="19096" xr:uid="{00000000-0005-0000-0000-00006A660000}"/>
    <cellStyle name="출력 4 9" xfId="15475" xr:uid="{00000000-0005-0000-0000-00006B660000}"/>
    <cellStyle name="출력 4 9 10" xfId="28060" xr:uid="{00000000-0005-0000-0000-00006C660000}"/>
    <cellStyle name="출력 4 9 11" xfId="17514" xr:uid="{00000000-0005-0000-0000-00006D660000}"/>
    <cellStyle name="출력 4 9 2" xfId="15235" xr:uid="{00000000-0005-0000-0000-00006E660000}"/>
    <cellStyle name="출력 4 9 2 2" xfId="19543" xr:uid="{00000000-0005-0000-0000-00006F660000}"/>
    <cellStyle name="출력 4 9 2 3" xfId="25948" xr:uid="{00000000-0005-0000-0000-000070660000}"/>
    <cellStyle name="출력 4 9 2 4" xfId="29062" xr:uid="{00000000-0005-0000-0000-000071660000}"/>
    <cellStyle name="출력 4 9 2 5" xfId="21718" xr:uid="{00000000-0005-0000-0000-000072660000}"/>
    <cellStyle name="출력 4 9 3" xfId="17064" xr:uid="{00000000-0005-0000-0000-000073660000}"/>
    <cellStyle name="출력 4 9 3 2" xfId="18422" xr:uid="{00000000-0005-0000-0000-000074660000}"/>
    <cellStyle name="출력 4 9 3 3" xfId="26501" xr:uid="{00000000-0005-0000-0000-000075660000}"/>
    <cellStyle name="출력 4 9 3 4" xfId="29615" xr:uid="{00000000-0005-0000-0000-000076660000}"/>
    <cellStyle name="출력 4 9 3 5" xfId="22271" xr:uid="{00000000-0005-0000-0000-000077660000}"/>
    <cellStyle name="출력 4 9 4" xfId="17065" xr:uid="{00000000-0005-0000-0000-000078660000}"/>
    <cellStyle name="출력 4 9 4 2" xfId="19984" xr:uid="{00000000-0005-0000-0000-000079660000}"/>
    <cellStyle name="출력 4 9 4 3" xfId="26977" xr:uid="{00000000-0005-0000-0000-00007A660000}"/>
    <cellStyle name="출력 4 9 4 4" xfId="30091" xr:uid="{00000000-0005-0000-0000-00007B660000}"/>
    <cellStyle name="출력 4 9 4 5" xfId="22747" xr:uid="{00000000-0005-0000-0000-00007C660000}"/>
    <cellStyle name="출력 4 9 5" xfId="23151" xr:uid="{00000000-0005-0000-0000-00007D660000}"/>
    <cellStyle name="출력 4 9 5 2" xfId="19242" xr:uid="{00000000-0005-0000-0000-00007E660000}"/>
    <cellStyle name="출력 4 9 5 3" xfId="27381" xr:uid="{00000000-0005-0000-0000-00007F660000}"/>
    <cellStyle name="출력 4 9 5 4" xfId="30495" xr:uid="{00000000-0005-0000-0000-000080660000}"/>
    <cellStyle name="출력 4 9 6" xfId="23557" xr:uid="{00000000-0005-0000-0000-000081660000}"/>
    <cellStyle name="출력 4 9 6 2" xfId="18218" xr:uid="{00000000-0005-0000-0000-000082660000}"/>
    <cellStyle name="출력 4 9 6 3" xfId="27787" xr:uid="{00000000-0005-0000-0000-000083660000}"/>
    <cellStyle name="출력 4 9 6 4" xfId="30901" xr:uid="{00000000-0005-0000-0000-000084660000}"/>
    <cellStyle name="출력 4 9 7" xfId="20688" xr:uid="{00000000-0005-0000-0000-000085660000}"/>
    <cellStyle name="출력 4 9 8" xfId="18993" xr:uid="{00000000-0005-0000-0000-000086660000}"/>
    <cellStyle name="출력 4 9 9" xfId="24936" xr:uid="{00000000-0005-0000-0000-000087660000}"/>
    <cellStyle name="출력 5" xfId="12213" xr:uid="{00000000-0005-0000-0000-000088660000}"/>
    <cellStyle name="출력 5 10" xfId="17392" xr:uid="{00000000-0005-0000-0000-000089660000}"/>
    <cellStyle name="출력 5 10 2" xfId="22098" xr:uid="{00000000-0005-0000-0000-00008A660000}"/>
    <cellStyle name="출력 5 10 2 2" xfId="24473" xr:uid="{00000000-0005-0000-0000-00008B660000}"/>
    <cellStyle name="출력 5 10 2 3" xfId="26328" xr:uid="{00000000-0005-0000-0000-00008C660000}"/>
    <cellStyle name="출력 5 10 2 4" xfId="29442" xr:uid="{00000000-0005-0000-0000-00008D660000}"/>
    <cellStyle name="출력 5 10 3" xfId="22571" xr:uid="{00000000-0005-0000-0000-00008E660000}"/>
    <cellStyle name="출력 5 10 3 2" xfId="19820" xr:uid="{00000000-0005-0000-0000-00008F660000}"/>
    <cellStyle name="출력 5 10 3 3" xfId="26801" xr:uid="{00000000-0005-0000-0000-000090660000}"/>
    <cellStyle name="출력 5 10 3 4" xfId="29915" xr:uid="{00000000-0005-0000-0000-000091660000}"/>
    <cellStyle name="출력 5 10 4" xfId="23016" xr:uid="{00000000-0005-0000-0000-000092660000}"/>
    <cellStyle name="출력 5 10 4 2" xfId="20230" xr:uid="{00000000-0005-0000-0000-000093660000}"/>
    <cellStyle name="출력 5 10 4 3" xfId="27246" xr:uid="{00000000-0005-0000-0000-000094660000}"/>
    <cellStyle name="출력 5 10 4 4" xfId="30360" xr:uid="{00000000-0005-0000-0000-000095660000}"/>
    <cellStyle name="출력 5 10 5" xfId="23389" xr:uid="{00000000-0005-0000-0000-000096660000}"/>
    <cellStyle name="출력 5 10 5 2" xfId="20426" xr:uid="{00000000-0005-0000-0000-000097660000}"/>
    <cellStyle name="출력 5 10 5 3" xfId="27619" xr:uid="{00000000-0005-0000-0000-000098660000}"/>
    <cellStyle name="출력 5 10 5 4" xfId="30733" xr:uid="{00000000-0005-0000-0000-000099660000}"/>
    <cellStyle name="출력 5 10 6" xfId="24465" xr:uid="{00000000-0005-0000-0000-00009A660000}"/>
    <cellStyle name="출력 5 10 7" xfId="25777" xr:uid="{00000000-0005-0000-0000-00009B660000}"/>
    <cellStyle name="출력 5 10 8" xfId="28894" xr:uid="{00000000-0005-0000-0000-00009C660000}"/>
    <cellStyle name="출력 5 11" xfId="20851" xr:uid="{00000000-0005-0000-0000-00009D660000}"/>
    <cellStyle name="출력 5 11 2" xfId="19356" xr:uid="{00000000-0005-0000-0000-00009E660000}"/>
    <cellStyle name="출력 5 11 3" xfId="25102" xr:uid="{00000000-0005-0000-0000-00009F660000}"/>
    <cellStyle name="출력 5 11 4" xfId="28226" xr:uid="{00000000-0005-0000-0000-0000A0660000}"/>
    <cellStyle name="출력 5 12" xfId="18820" xr:uid="{00000000-0005-0000-0000-0000A1660000}"/>
    <cellStyle name="출력 5 13" xfId="18494" xr:uid="{00000000-0005-0000-0000-0000A2660000}"/>
    <cellStyle name="출력 5 14" xfId="18736" xr:uid="{00000000-0005-0000-0000-0000A3660000}"/>
    <cellStyle name="출력 5 15" xfId="17322" xr:uid="{00000000-0005-0000-0000-0000A4660000}"/>
    <cellStyle name="출력 5 2" xfId="12214" xr:uid="{00000000-0005-0000-0000-0000A5660000}"/>
    <cellStyle name="출력 5 2 2" xfId="14857" xr:uid="{00000000-0005-0000-0000-0000A6660000}"/>
    <cellStyle name="출력 5 2 2 10" xfId="25049" xr:uid="{00000000-0005-0000-0000-0000A7660000}"/>
    <cellStyle name="출력 5 2 2 11" xfId="28173" xr:uid="{00000000-0005-0000-0000-0000A8660000}"/>
    <cellStyle name="출력 5 2 2 12" xfId="31155" xr:uid="{00000000-0005-0000-0000-0000A9660000}"/>
    <cellStyle name="출력 5 2 2 13" xfId="17420" xr:uid="{00000000-0005-0000-0000-0000AA660000}"/>
    <cellStyle name="출력 5 2 2 2" xfId="21831" xr:uid="{00000000-0005-0000-0000-0000AB660000}"/>
    <cellStyle name="출력 5 2 2 2 2" xfId="22384" xr:uid="{00000000-0005-0000-0000-0000AC660000}"/>
    <cellStyle name="출력 5 2 2 2 2 2" xfId="19648" xr:uid="{00000000-0005-0000-0000-0000AD660000}"/>
    <cellStyle name="출력 5 2 2 2 2 3" xfId="26614" xr:uid="{00000000-0005-0000-0000-0000AE660000}"/>
    <cellStyle name="출력 5 2 2 2 2 4" xfId="29728" xr:uid="{00000000-0005-0000-0000-0000AF660000}"/>
    <cellStyle name="출력 5 2 2 2 3" xfId="22860" xr:uid="{00000000-0005-0000-0000-0000B0660000}"/>
    <cellStyle name="출력 5 2 2 2 3 2" xfId="20088" xr:uid="{00000000-0005-0000-0000-0000B1660000}"/>
    <cellStyle name="출력 5 2 2 2 3 3" xfId="27090" xr:uid="{00000000-0005-0000-0000-0000B2660000}"/>
    <cellStyle name="출력 5 2 2 2 3 4" xfId="30204" xr:uid="{00000000-0005-0000-0000-0000B3660000}"/>
    <cellStyle name="출력 5 2 2 2 4" xfId="23243" xr:uid="{00000000-0005-0000-0000-0000B4660000}"/>
    <cellStyle name="출력 5 2 2 2 4 2" xfId="20308" xr:uid="{00000000-0005-0000-0000-0000B5660000}"/>
    <cellStyle name="출력 5 2 2 2 4 3" xfId="27473" xr:uid="{00000000-0005-0000-0000-0000B6660000}"/>
    <cellStyle name="출력 5 2 2 2 4 4" xfId="30587" xr:uid="{00000000-0005-0000-0000-0000B7660000}"/>
    <cellStyle name="출력 5 2 2 2 5" xfId="23670" xr:uid="{00000000-0005-0000-0000-0000B8660000}"/>
    <cellStyle name="출력 5 2 2 2 5 2" xfId="18324" xr:uid="{00000000-0005-0000-0000-0000B9660000}"/>
    <cellStyle name="출력 5 2 2 2 5 3" xfId="27900" xr:uid="{00000000-0005-0000-0000-0000BA660000}"/>
    <cellStyle name="출력 5 2 2 2 5 4" xfId="31014" xr:uid="{00000000-0005-0000-0000-0000BB660000}"/>
    <cellStyle name="출력 5 2 2 2 6" xfId="23934" xr:uid="{00000000-0005-0000-0000-0000BC660000}"/>
    <cellStyle name="출력 5 2 2 2 7" xfId="26061" xr:uid="{00000000-0005-0000-0000-0000BD660000}"/>
    <cellStyle name="출력 5 2 2 2 8" xfId="29175" xr:uid="{00000000-0005-0000-0000-0000BE660000}"/>
    <cellStyle name="출력 5 2 2 3" xfId="21429" xr:uid="{00000000-0005-0000-0000-0000BF660000}"/>
    <cellStyle name="출력 5 2 2 3 2" xfId="19474" xr:uid="{00000000-0005-0000-0000-0000C0660000}"/>
    <cellStyle name="출력 5 2 2 3 3" xfId="25616" xr:uid="{00000000-0005-0000-0000-0000C1660000}"/>
    <cellStyle name="출력 5 2 2 3 4" xfId="28733" xr:uid="{00000000-0005-0000-0000-0000C2660000}"/>
    <cellStyle name="출력 5 2 2 4" xfId="21937" xr:uid="{00000000-0005-0000-0000-0000C3660000}"/>
    <cellStyle name="출력 5 2 2 4 2" xfId="24552" xr:uid="{00000000-0005-0000-0000-0000C4660000}"/>
    <cellStyle name="출력 5 2 2 4 3" xfId="26167" xr:uid="{00000000-0005-0000-0000-0000C5660000}"/>
    <cellStyle name="출력 5 2 2 4 4" xfId="29281" xr:uid="{00000000-0005-0000-0000-0000C6660000}"/>
    <cellStyle name="출력 5 2 2 5" xfId="22410" xr:uid="{00000000-0005-0000-0000-0000C7660000}"/>
    <cellStyle name="출력 5 2 2 5 2" xfId="19674" xr:uid="{00000000-0005-0000-0000-0000C8660000}"/>
    <cellStyle name="출력 5 2 2 5 3" xfId="26640" xr:uid="{00000000-0005-0000-0000-0000C9660000}"/>
    <cellStyle name="출력 5 2 2 5 4" xfId="29754" xr:uid="{00000000-0005-0000-0000-0000CA660000}"/>
    <cellStyle name="출력 5 2 2 6" xfId="22883" xr:uid="{00000000-0005-0000-0000-0000CB660000}"/>
    <cellStyle name="출력 5 2 2 6 2" xfId="20110" xr:uid="{00000000-0005-0000-0000-0000CC660000}"/>
    <cellStyle name="출력 5 2 2 6 3" xfId="27113" xr:uid="{00000000-0005-0000-0000-0000CD660000}"/>
    <cellStyle name="출력 5 2 2 6 4" xfId="30227" xr:uid="{00000000-0005-0000-0000-0000CE660000}"/>
    <cellStyle name="출력 5 2 2 7" xfId="21076" xr:uid="{00000000-0005-0000-0000-0000CF660000}"/>
    <cellStyle name="출력 5 2 2 7 2" xfId="24773" xr:uid="{00000000-0005-0000-0000-0000D0660000}"/>
    <cellStyle name="출력 5 2 2 7 3" xfId="25321" xr:uid="{00000000-0005-0000-0000-0000D1660000}"/>
    <cellStyle name="출력 5 2 2 7 4" xfId="28445" xr:uid="{00000000-0005-0000-0000-0000D2660000}"/>
    <cellStyle name="출력 5 2 2 8" xfId="20801" xr:uid="{00000000-0005-0000-0000-0000D3660000}"/>
    <cellStyle name="출력 5 2 2 9" xfId="19104" xr:uid="{00000000-0005-0000-0000-0000D4660000}"/>
    <cellStyle name="출력 5 2 3" xfId="15483" xr:uid="{00000000-0005-0000-0000-0000D5660000}"/>
    <cellStyle name="출력 5 2 3 10" xfId="28070" xr:uid="{00000000-0005-0000-0000-0000D6660000}"/>
    <cellStyle name="출력 5 2 3 11" xfId="17506" xr:uid="{00000000-0005-0000-0000-0000D7660000}"/>
    <cellStyle name="출력 5 2 3 2" xfId="15227" xr:uid="{00000000-0005-0000-0000-0000D8660000}"/>
    <cellStyle name="출력 5 2 3 2 2" xfId="24284" xr:uid="{00000000-0005-0000-0000-0000D9660000}"/>
    <cellStyle name="출력 5 2 3 2 3" xfId="25958" xr:uid="{00000000-0005-0000-0000-0000DA660000}"/>
    <cellStyle name="출력 5 2 3 2 4" xfId="29072" xr:uid="{00000000-0005-0000-0000-0000DB660000}"/>
    <cellStyle name="출력 5 2 3 2 5" xfId="21728" xr:uid="{00000000-0005-0000-0000-0000DC660000}"/>
    <cellStyle name="출력 5 2 3 3" xfId="17066" xr:uid="{00000000-0005-0000-0000-0000DD660000}"/>
    <cellStyle name="출력 5 2 3 3 2" xfId="18432" xr:uid="{00000000-0005-0000-0000-0000DE660000}"/>
    <cellStyle name="출력 5 2 3 3 3" xfId="26511" xr:uid="{00000000-0005-0000-0000-0000DF660000}"/>
    <cellStyle name="출력 5 2 3 3 4" xfId="29625" xr:uid="{00000000-0005-0000-0000-0000E0660000}"/>
    <cellStyle name="출력 5 2 3 3 5" xfId="22281" xr:uid="{00000000-0005-0000-0000-0000E1660000}"/>
    <cellStyle name="출력 5 2 3 4" xfId="17067" xr:uid="{00000000-0005-0000-0000-0000E2660000}"/>
    <cellStyle name="출력 5 2 3 4 2" xfId="19994" xr:uid="{00000000-0005-0000-0000-0000E3660000}"/>
    <cellStyle name="출력 5 2 3 4 3" xfId="26987" xr:uid="{00000000-0005-0000-0000-0000E4660000}"/>
    <cellStyle name="출력 5 2 3 4 4" xfId="30101" xr:uid="{00000000-0005-0000-0000-0000E5660000}"/>
    <cellStyle name="출력 5 2 3 4 5" xfId="22757" xr:uid="{00000000-0005-0000-0000-0000E6660000}"/>
    <cellStyle name="출력 5 2 3 5" xfId="23159" xr:uid="{00000000-0005-0000-0000-0000E7660000}"/>
    <cellStyle name="출력 5 2 3 5 2" xfId="19250" xr:uid="{00000000-0005-0000-0000-0000E8660000}"/>
    <cellStyle name="출력 5 2 3 5 3" xfId="27389" xr:uid="{00000000-0005-0000-0000-0000E9660000}"/>
    <cellStyle name="출력 5 2 3 5 4" xfId="30503" xr:uid="{00000000-0005-0000-0000-0000EA660000}"/>
    <cellStyle name="출력 5 2 3 6" xfId="23567" xr:uid="{00000000-0005-0000-0000-0000EB660000}"/>
    <cellStyle name="출력 5 2 3 6 2" xfId="18225" xr:uid="{00000000-0005-0000-0000-0000EC660000}"/>
    <cellStyle name="출력 5 2 3 6 3" xfId="27797" xr:uid="{00000000-0005-0000-0000-0000ED660000}"/>
    <cellStyle name="출력 5 2 3 6 4" xfId="30911" xr:uid="{00000000-0005-0000-0000-0000EE660000}"/>
    <cellStyle name="출력 5 2 3 7" xfId="20698" xr:uid="{00000000-0005-0000-0000-0000EF660000}"/>
    <cellStyle name="출력 5 2 3 8" xfId="19003" xr:uid="{00000000-0005-0000-0000-0000F0660000}"/>
    <cellStyle name="출력 5 2 3 9" xfId="24946" xr:uid="{00000000-0005-0000-0000-0000F1660000}"/>
    <cellStyle name="출력 5 2 4" xfId="17384" xr:uid="{00000000-0005-0000-0000-0000F2660000}"/>
    <cellStyle name="출력 5 2 4 2" xfId="22099" xr:uid="{00000000-0005-0000-0000-0000F3660000}"/>
    <cellStyle name="출력 5 2 4 2 2" xfId="24300" xr:uid="{00000000-0005-0000-0000-0000F4660000}"/>
    <cellStyle name="출력 5 2 4 2 3" xfId="26329" xr:uid="{00000000-0005-0000-0000-0000F5660000}"/>
    <cellStyle name="출력 5 2 4 2 4" xfId="29443" xr:uid="{00000000-0005-0000-0000-0000F6660000}"/>
    <cellStyle name="출력 5 2 4 3" xfId="22572" xr:uid="{00000000-0005-0000-0000-0000F7660000}"/>
    <cellStyle name="출력 5 2 4 3 2" xfId="19821" xr:uid="{00000000-0005-0000-0000-0000F8660000}"/>
    <cellStyle name="출력 5 2 4 3 3" xfId="26802" xr:uid="{00000000-0005-0000-0000-0000F9660000}"/>
    <cellStyle name="출력 5 2 4 3 4" xfId="29916" xr:uid="{00000000-0005-0000-0000-0000FA660000}"/>
    <cellStyle name="출력 5 2 4 4" xfId="23017" xr:uid="{00000000-0005-0000-0000-0000FB660000}"/>
    <cellStyle name="출력 5 2 4 4 2" xfId="20231" xr:uid="{00000000-0005-0000-0000-0000FC660000}"/>
    <cellStyle name="출력 5 2 4 4 3" xfId="27247" xr:uid="{00000000-0005-0000-0000-0000FD660000}"/>
    <cellStyle name="출력 5 2 4 4 4" xfId="30361" xr:uid="{00000000-0005-0000-0000-0000FE660000}"/>
    <cellStyle name="출력 5 2 4 5" xfId="23390" xr:uid="{00000000-0005-0000-0000-0000FF660000}"/>
    <cellStyle name="출력 5 2 4 5 2" xfId="20427" xr:uid="{00000000-0005-0000-0000-000000670000}"/>
    <cellStyle name="출력 5 2 4 5 3" xfId="27620" xr:uid="{00000000-0005-0000-0000-000001670000}"/>
    <cellStyle name="출력 5 2 4 5 4" xfId="30734" xr:uid="{00000000-0005-0000-0000-000002670000}"/>
    <cellStyle name="출력 5 2 4 6" xfId="24292" xr:uid="{00000000-0005-0000-0000-000003670000}"/>
    <cellStyle name="출력 5 2 4 7" xfId="25778" xr:uid="{00000000-0005-0000-0000-000004670000}"/>
    <cellStyle name="출력 5 2 4 8" xfId="28895" xr:uid="{00000000-0005-0000-0000-000005670000}"/>
    <cellStyle name="출력 5 2 5" xfId="20966" xr:uid="{00000000-0005-0000-0000-000006670000}"/>
    <cellStyle name="출력 5 2 5 2" xfId="19403" xr:uid="{00000000-0005-0000-0000-000007670000}"/>
    <cellStyle name="출력 5 2 5 3" xfId="25217" xr:uid="{00000000-0005-0000-0000-000008670000}"/>
    <cellStyle name="출력 5 2 5 4" xfId="28341" xr:uid="{00000000-0005-0000-0000-000009670000}"/>
    <cellStyle name="출력 5 2 6" xfId="18821" xr:uid="{00000000-0005-0000-0000-00000A670000}"/>
    <cellStyle name="출력 5 2 7" xfId="18829" xr:uid="{00000000-0005-0000-0000-00000B670000}"/>
    <cellStyle name="출력 5 2 8" xfId="18487" xr:uid="{00000000-0005-0000-0000-00000C670000}"/>
    <cellStyle name="출력 5 2 9" xfId="17323" xr:uid="{00000000-0005-0000-0000-00000D670000}"/>
    <cellStyle name="출력 5 3" xfId="12215" xr:uid="{00000000-0005-0000-0000-00000E670000}"/>
    <cellStyle name="출력 5 3 2" xfId="14858" xr:uid="{00000000-0005-0000-0000-00000F670000}"/>
    <cellStyle name="출력 5 3 2 10" xfId="25050" xr:uid="{00000000-0005-0000-0000-000010670000}"/>
    <cellStyle name="출력 5 3 2 11" xfId="28174" xr:uid="{00000000-0005-0000-0000-000011670000}"/>
    <cellStyle name="출력 5 3 2 12" xfId="31156" xr:uid="{00000000-0005-0000-0000-000012670000}"/>
    <cellStyle name="출력 5 3 2 13" xfId="17419" xr:uid="{00000000-0005-0000-0000-000013670000}"/>
    <cellStyle name="출력 5 3 2 2" xfId="21832" xr:uid="{00000000-0005-0000-0000-000014670000}"/>
    <cellStyle name="출력 5 3 2 2 2" xfId="22385" xr:uid="{00000000-0005-0000-0000-000015670000}"/>
    <cellStyle name="출력 5 3 2 2 2 2" xfId="19649" xr:uid="{00000000-0005-0000-0000-000016670000}"/>
    <cellStyle name="출력 5 3 2 2 2 3" xfId="26615" xr:uid="{00000000-0005-0000-0000-000017670000}"/>
    <cellStyle name="출력 5 3 2 2 2 4" xfId="29729" xr:uid="{00000000-0005-0000-0000-000018670000}"/>
    <cellStyle name="출력 5 3 2 2 3" xfId="22861" xr:uid="{00000000-0005-0000-0000-000019670000}"/>
    <cellStyle name="출력 5 3 2 2 3 2" xfId="20089" xr:uid="{00000000-0005-0000-0000-00001A670000}"/>
    <cellStyle name="출력 5 3 2 2 3 3" xfId="27091" xr:uid="{00000000-0005-0000-0000-00001B670000}"/>
    <cellStyle name="출력 5 3 2 2 3 4" xfId="30205" xr:uid="{00000000-0005-0000-0000-00001C670000}"/>
    <cellStyle name="출력 5 3 2 2 4" xfId="23244" xr:uid="{00000000-0005-0000-0000-00001D670000}"/>
    <cellStyle name="출력 5 3 2 2 4 2" xfId="21464" xr:uid="{00000000-0005-0000-0000-00001E670000}"/>
    <cellStyle name="출력 5 3 2 2 4 3" xfId="27474" xr:uid="{00000000-0005-0000-0000-00001F670000}"/>
    <cellStyle name="출력 5 3 2 2 4 4" xfId="30588" xr:uid="{00000000-0005-0000-0000-000020670000}"/>
    <cellStyle name="출력 5 3 2 2 5" xfId="23671" xr:uid="{00000000-0005-0000-0000-000021670000}"/>
    <cellStyle name="출력 5 3 2 2 5 2" xfId="24041" xr:uid="{00000000-0005-0000-0000-000022670000}"/>
    <cellStyle name="출력 5 3 2 2 5 3" xfId="27901" xr:uid="{00000000-0005-0000-0000-000023670000}"/>
    <cellStyle name="출력 5 3 2 2 5 4" xfId="31015" xr:uid="{00000000-0005-0000-0000-000024670000}"/>
    <cellStyle name="출력 5 3 2 2 6" xfId="24745" xr:uid="{00000000-0005-0000-0000-000025670000}"/>
    <cellStyle name="출력 5 3 2 2 7" xfId="26062" xr:uid="{00000000-0005-0000-0000-000026670000}"/>
    <cellStyle name="출력 5 3 2 2 8" xfId="29176" xr:uid="{00000000-0005-0000-0000-000027670000}"/>
    <cellStyle name="출력 5 3 2 3" xfId="21430" xr:uid="{00000000-0005-0000-0000-000028670000}"/>
    <cellStyle name="출력 5 3 2 3 2" xfId="19475" xr:uid="{00000000-0005-0000-0000-000029670000}"/>
    <cellStyle name="출력 5 3 2 3 3" xfId="25617" xr:uid="{00000000-0005-0000-0000-00002A670000}"/>
    <cellStyle name="출력 5 3 2 3 4" xfId="28734" xr:uid="{00000000-0005-0000-0000-00002B670000}"/>
    <cellStyle name="출력 5 3 2 4" xfId="21938" xr:uid="{00000000-0005-0000-0000-00002C670000}"/>
    <cellStyle name="출력 5 3 2 4 2" xfId="24376" xr:uid="{00000000-0005-0000-0000-00002D670000}"/>
    <cellStyle name="출력 5 3 2 4 3" xfId="26168" xr:uid="{00000000-0005-0000-0000-00002E670000}"/>
    <cellStyle name="출력 5 3 2 4 4" xfId="29282" xr:uid="{00000000-0005-0000-0000-00002F670000}"/>
    <cellStyle name="출력 5 3 2 5" xfId="22411" xr:uid="{00000000-0005-0000-0000-000030670000}"/>
    <cellStyle name="출력 5 3 2 5 2" xfId="19675" xr:uid="{00000000-0005-0000-0000-000031670000}"/>
    <cellStyle name="출력 5 3 2 5 3" xfId="26641" xr:uid="{00000000-0005-0000-0000-000032670000}"/>
    <cellStyle name="출력 5 3 2 5 4" xfId="29755" xr:uid="{00000000-0005-0000-0000-000033670000}"/>
    <cellStyle name="출력 5 3 2 6" xfId="22884" xr:uid="{00000000-0005-0000-0000-000034670000}"/>
    <cellStyle name="출력 5 3 2 6 2" xfId="20111" xr:uid="{00000000-0005-0000-0000-000035670000}"/>
    <cellStyle name="출력 5 3 2 6 3" xfId="27114" xr:uid="{00000000-0005-0000-0000-000036670000}"/>
    <cellStyle name="출력 5 3 2 6 4" xfId="30228" xr:uid="{00000000-0005-0000-0000-000037670000}"/>
    <cellStyle name="출력 5 3 2 7" xfId="20987" xr:uid="{00000000-0005-0000-0000-000038670000}"/>
    <cellStyle name="출력 5 3 2 7 2" xfId="24241" xr:uid="{00000000-0005-0000-0000-000039670000}"/>
    <cellStyle name="출력 5 3 2 7 3" xfId="25235" xr:uid="{00000000-0005-0000-0000-00003A670000}"/>
    <cellStyle name="출력 5 3 2 7 4" xfId="28359" xr:uid="{00000000-0005-0000-0000-00003B670000}"/>
    <cellStyle name="출력 5 3 2 8" xfId="20802" xr:uid="{00000000-0005-0000-0000-00003C670000}"/>
    <cellStyle name="출력 5 3 2 9" xfId="19105" xr:uid="{00000000-0005-0000-0000-00003D670000}"/>
    <cellStyle name="출력 5 3 3" xfId="15484" xr:uid="{00000000-0005-0000-0000-00003E670000}"/>
    <cellStyle name="출력 5 3 3 10" xfId="28071" xr:uid="{00000000-0005-0000-0000-00003F670000}"/>
    <cellStyle name="출력 5 3 3 11" xfId="17505" xr:uid="{00000000-0005-0000-0000-000040670000}"/>
    <cellStyle name="출력 5 3 3 2" xfId="15226" xr:uid="{00000000-0005-0000-0000-000041670000}"/>
    <cellStyle name="출력 5 3 3 2 2" xfId="24102" xr:uid="{00000000-0005-0000-0000-000042670000}"/>
    <cellStyle name="출력 5 3 3 2 3" xfId="25959" xr:uid="{00000000-0005-0000-0000-000043670000}"/>
    <cellStyle name="출력 5 3 3 2 4" xfId="29073" xr:uid="{00000000-0005-0000-0000-000044670000}"/>
    <cellStyle name="출력 5 3 3 2 5" xfId="21729" xr:uid="{00000000-0005-0000-0000-000045670000}"/>
    <cellStyle name="출력 5 3 3 3" xfId="17068" xr:uid="{00000000-0005-0000-0000-000046670000}"/>
    <cellStyle name="출력 5 3 3 3 2" xfId="18433" xr:uid="{00000000-0005-0000-0000-000047670000}"/>
    <cellStyle name="출력 5 3 3 3 3" xfId="26512" xr:uid="{00000000-0005-0000-0000-000048670000}"/>
    <cellStyle name="출력 5 3 3 3 4" xfId="29626" xr:uid="{00000000-0005-0000-0000-000049670000}"/>
    <cellStyle name="출력 5 3 3 3 5" xfId="22282" xr:uid="{00000000-0005-0000-0000-00004A670000}"/>
    <cellStyle name="출력 5 3 3 4" xfId="17069" xr:uid="{00000000-0005-0000-0000-00004B670000}"/>
    <cellStyle name="출력 5 3 3 4 2" xfId="19995" xr:uid="{00000000-0005-0000-0000-00004C670000}"/>
    <cellStyle name="출력 5 3 3 4 3" xfId="26988" xr:uid="{00000000-0005-0000-0000-00004D670000}"/>
    <cellStyle name="출력 5 3 3 4 4" xfId="30102" xr:uid="{00000000-0005-0000-0000-00004E670000}"/>
    <cellStyle name="출력 5 3 3 4 5" xfId="22758" xr:uid="{00000000-0005-0000-0000-00004F670000}"/>
    <cellStyle name="출력 5 3 3 5" xfId="23160" xr:uid="{00000000-0005-0000-0000-000050670000}"/>
    <cellStyle name="출력 5 3 3 5 2" xfId="23834" xr:uid="{00000000-0005-0000-0000-000051670000}"/>
    <cellStyle name="출력 5 3 3 5 3" xfId="27390" xr:uid="{00000000-0005-0000-0000-000052670000}"/>
    <cellStyle name="출력 5 3 3 5 4" xfId="30504" xr:uid="{00000000-0005-0000-0000-000053670000}"/>
    <cellStyle name="출력 5 3 3 6" xfId="23568" xr:uid="{00000000-0005-0000-0000-000054670000}"/>
    <cellStyle name="출력 5 3 3 6 2" xfId="18226" xr:uid="{00000000-0005-0000-0000-000055670000}"/>
    <cellStyle name="출력 5 3 3 6 3" xfId="27798" xr:uid="{00000000-0005-0000-0000-000056670000}"/>
    <cellStyle name="출력 5 3 3 6 4" xfId="30912" xr:uid="{00000000-0005-0000-0000-000057670000}"/>
    <cellStyle name="출력 5 3 3 7" xfId="20699" xr:uid="{00000000-0005-0000-0000-000058670000}"/>
    <cellStyle name="출력 5 3 3 8" xfId="19004" xr:uid="{00000000-0005-0000-0000-000059670000}"/>
    <cellStyle name="출력 5 3 3 9" xfId="24947" xr:uid="{00000000-0005-0000-0000-00005A670000}"/>
    <cellStyle name="출력 5 3 4" xfId="17401" xr:uid="{00000000-0005-0000-0000-00005B670000}"/>
    <cellStyle name="출력 5 3 4 2" xfId="22100" xr:uid="{00000000-0005-0000-0000-00005C670000}"/>
    <cellStyle name="출력 5 3 4 2 2" xfId="24118" xr:uid="{00000000-0005-0000-0000-00005D670000}"/>
    <cellStyle name="출력 5 3 4 2 3" xfId="26330" xr:uid="{00000000-0005-0000-0000-00005E670000}"/>
    <cellStyle name="출력 5 3 4 2 4" xfId="29444" xr:uid="{00000000-0005-0000-0000-00005F670000}"/>
    <cellStyle name="출력 5 3 4 3" xfId="22573" xr:uid="{00000000-0005-0000-0000-000060670000}"/>
    <cellStyle name="출력 5 3 4 3 2" xfId="19822" xr:uid="{00000000-0005-0000-0000-000061670000}"/>
    <cellStyle name="출력 5 3 4 3 3" xfId="26803" xr:uid="{00000000-0005-0000-0000-000062670000}"/>
    <cellStyle name="출력 5 3 4 3 4" xfId="29917" xr:uid="{00000000-0005-0000-0000-000063670000}"/>
    <cellStyle name="출력 5 3 4 4" xfId="23018" xr:uid="{00000000-0005-0000-0000-000064670000}"/>
    <cellStyle name="출력 5 3 4 4 2" xfId="20232" xr:uid="{00000000-0005-0000-0000-000065670000}"/>
    <cellStyle name="출력 5 3 4 4 3" xfId="27248" xr:uid="{00000000-0005-0000-0000-000066670000}"/>
    <cellStyle name="출력 5 3 4 4 4" xfId="30362" xr:uid="{00000000-0005-0000-0000-000067670000}"/>
    <cellStyle name="출력 5 3 4 5" xfId="23391" xr:uid="{00000000-0005-0000-0000-000068670000}"/>
    <cellStyle name="출력 5 3 4 5 2" xfId="20428" xr:uid="{00000000-0005-0000-0000-000069670000}"/>
    <cellStyle name="출력 5 3 4 5 3" xfId="27621" xr:uid="{00000000-0005-0000-0000-00006A670000}"/>
    <cellStyle name="출력 5 3 4 5 4" xfId="30735" xr:uid="{00000000-0005-0000-0000-00006B670000}"/>
    <cellStyle name="출력 5 3 4 6" xfId="24110" xr:uid="{00000000-0005-0000-0000-00006C670000}"/>
    <cellStyle name="출력 5 3 4 7" xfId="25779" xr:uid="{00000000-0005-0000-0000-00006D670000}"/>
    <cellStyle name="출력 5 3 4 8" xfId="28896" xr:uid="{00000000-0005-0000-0000-00006E670000}"/>
    <cellStyle name="출력 5 3 5" xfId="20967" xr:uid="{00000000-0005-0000-0000-00006F670000}"/>
    <cellStyle name="출력 5 3 5 2" xfId="19404" xr:uid="{00000000-0005-0000-0000-000070670000}"/>
    <cellStyle name="출력 5 3 5 3" xfId="25218" xr:uid="{00000000-0005-0000-0000-000071670000}"/>
    <cellStyle name="출력 5 3 5 4" xfId="28342" xr:uid="{00000000-0005-0000-0000-000072670000}"/>
    <cellStyle name="출력 5 3 6" xfId="18822" xr:uid="{00000000-0005-0000-0000-000073670000}"/>
    <cellStyle name="출력 5 3 7" xfId="18493" xr:uid="{00000000-0005-0000-0000-000074670000}"/>
    <cellStyle name="출력 5 3 8" xfId="24181" xr:uid="{00000000-0005-0000-0000-000075670000}"/>
    <cellStyle name="출력 5 3 9" xfId="17324" xr:uid="{00000000-0005-0000-0000-000076670000}"/>
    <cellStyle name="출력 5 4" xfId="12216" xr:uid="{00000000-0005-0000-0000-000077670000}"/>
    <cellStyle name="출력 5 4 2" xfId="14859" xr:uid="{00000000-0005-0000-0000-000078670000}"/>
    <cellStyle name="출력 5 4 2 10" xfId="25051" xr:uid="{00000000-0005-0000-0000-000079670000}"/>
    <cellStyle name="출력 5 4 2 11" xfId="28175" xr:uid="{00000000-0005-0000-0000-00007A670000}"/>
    <cellStyle name="출력 5 4 2 12" xfId="31157" xr:uid="{00000000-0005-0000-0000-00007B670000}"/>
    <cellStyle name="출력 5 4 2 13" xfId="17418" xr:uid="{00000000-0005-0000-0000-00007C670000}"/>
    <cellStyle name="출력 5 4 2 2" xfId="21833" xr:uid="{00000000-0005-0000-0000-00007D670000}"/>
    <cellStyle name="출력 5 4 2 2 2" xfId="22386" xr:uid="{00000000-0005-0000-0000-00007E670000}"/>
    <cellStyle name="출력 5 4 2 2 2 2" xfId="19650" xr:uid="{00000000-0005-0000-0000-00007F670000}"/>
    <cellStyle name="출력 5 4 2 2 2 3" xfId="26616" xr:uid="{00000000-0005-0000-0000-000080670000}"/>
    <cellStyle name="출력 5 4 2 2 2 4" xfId="29730" xr:uid="{00000000-0005-0000-0000-000081670000}"/>
    <cellStyle name="출력 5 4 2 2 3" xfId="22862" xr:uid="{00000000-0005-0000-0000-000082670000}"/>
    <cellStyle name="출력 5 4 2 2 3 2" xfId="20090" xr:uid="{00000000-0005-0000-0000-000083670000}"/>
    <cellStyle name="출력 5 4 2 2 3 3" xfId="27092" xr:uid="{00000000-0005-0000-0000-000084670000}"/>
    <cellStyle name="출력 5 4 2 2 3 4" xfId="30206" xr:uid="{00000000-0005-0000-0000-000085670000}"/>
    <cellStyle name="출력 5 4 2 2 4" xfId="23245" xr:uid="{00000000-0005-0000-0000-000086670000}"/>
    <cellStyle name="출력 5 4 2 2 4 2" xfId="23832" xr:uid="{00000000-0005-0000-0000-000087670000}"/>
    <cellStyle name="출력 5 4 2 2 4 3" xfId="27475" xr:uid="{00000000-0005-0000-0000-000088670000}"/>
    <cellStyle name="출력 5 4 2 2 4 4" xfId="30589" xr:uid="{00000000-0005-0000-0000-000089670000}"/>
    <cellStyle name="출력 5 4 2 2 5" xfId="23672" xr:uid="{00000000-0005-0000-0000-00008A670000}"/>
    <cellStyle name="출력 5 4 2 2 5 2" xfId="18325" xr:uid="{00000000-0005-0000-0000-00008B670000}"/>
    <cellStyle name="출력 5 4 2 2 5 3" xfId="27902" xr:uid="{00000000-0005-0000-0000-00008C670000}"/>
    <cellStyle name="출력 5 4 2 2 5 4" xfId="31016" xr:uid="{00000000-0005-0000-0000-00008D670000}"/>
    <cellStyle name="출력 5 4 2 2 6" xfId="24611" xr:uid="{00000000-0005-0000-0000-00008E670000}"/>
    <cellStyle name="출력 5 4 2 2 7" xfId="26063" xr:uid="{00000000-0005-0000-0000-00008F670000}"/>
    <cellStyle name="출력 5 4 2 2 8" xfId="29177" xr:uid="{00000000-0005-0000-0000-000090670000}"/>
    <cellStyle name="출력 5 4 2 3" xfId="21431" xr:uid="{00000000-0005-0000-0000-000091670000}"/>
    <cellStyle name="출력 5 4 2 3 2" xfId="19476" xr:uid="{00000000-0005-0000-0000-000092670000}"/>
    <cellStyle name="출력 5 4 2 3 3" xfId="25618" xr:uid="{00000000-0005-0000-0000-000093670000}"/>
    <cellStyle name="출력 5 4 2 3 4" xfId="28735" xr:uid="{00000000-0005-0000-0000-000094670000}"/>
    <cellStyle name="출력 5 4 2 4" xfId="21939" xr:uid="{00000000-0005-0000-0000-000095670000}"/>
    <cellStyle name="출력 5 4 2 4 2" xfId="24205" xr:uid="{00000000-0005-0000-0000-000096670000}"/>
    <cellStyle name="출력 5 4 2 4 3" xfId="26169" xr:uid="{00000000-0005-0000-0000-000097670000}"/>
    <cellStyle name="출력 5 4 2 4 4" xfId="29283" xr:uid="{00000000-0005-0000-0000-000098670000}"/>
    <cellStyle name="출력 5 4 2 5" xfId="22412" xr:uid="{00000000-0005-0000-0000-000099670000}"/>
    <cellStyle name="출력 5 4 2 5 2" xfId="19676" xr:uid="{00000000-0005-0000-0000-00009A670000}"/>
    <cellStyle name="출력 5 4 2 5 3" xfId="26642" xr:uid="{00000000-0005-0000-0000-00009B670000}"/>
    <cellStyle name="출력 5 4 2 5 4" xfId="29756" xr:uid="{00000000-0005-0000-0000-00009C670000}"/>
    <cellStyle name="출력 5 4 2 6" xfId="22885" xr:uid="{00000000-0005-0000-0000-00009D670000}"/>
    <cellStyle name="출력 5 4 2 6 2" xfId="20112" xr:uid="{00000000-0005-0000-0000-00009E670000}"/>
    <cellStyle name="출력 5 4 2 6 3" xfId="27115" xr:uid="{00000000-0005-0000-0000-00009F670000}"/>
    <cellStyle name="출력 5 4 2 6 4" xfId="30229" xr:uid="{00000000-0005-0000-0000-0000A0670000}"/>
    <cellStyle name="출력 5 4 2 7" xfId="22583" xr:uid="{00000000-0005-0000-0000-0000A1670000}"/>
    <cellStyle name="출력 5 4 2 7 2" xfId="19831" xr:uid="{00000000-0005-0000-0000-0000A2670000}"/>
    <cellStyle name="출력 5 4 2 7 3" xfId="26813" xr:uid="{00000000-0005-0000-0000-0000A3670000}"/>
    <cellStyle name="출력 5 4 2 7 4" xfId="29927" xr:uid="{00000000-0005-0000-0000-0000A4670000}"/>
    <cellStyle name="출력 5 4 2 8" xfId="20803" xr:uid="{00000000-0005-0000-0000-0000A5670000}"/>
    <cellStyle name="출력 5 4 2 9" xfId="19106" xr:uid="{00000000-0005-0000-0000-0000A6670000}"/>
    <cellStyle name="출력 5 4 3" xfId="15485" xr:uid="{00000000-0005-0000-0000-0000A7670000}"/>
    <cellStyle name="출력 5 4 3 10" xfId="28072" xr:uid="{00000000-0005-0000-0000-0000A8670000}"/>
    <cellStyle name="출력 5 4 3 11" xfId="17504" xr:uid="{00000000-0005-0000-0000-0000A9670000}"/>
    <cellStyle name="출력 5 4 3 2" xfId="15225" xr:uid="{00000000-0005-0000-0000-0000AA670000}"/>
    <cellStyle name="출력 5 4 3 2 2" xfId="19334" xr:uid="{00000000-0005-0000-0000-0000AB670000}"/>
    <cellStyle name="출력 5 4 3 2 3" xfId="25960" xr:uid="{00000000-0005-0000-0000-0000AC670000}"/>
    <cellStyle name="출력 5 4 3 2 4" xfId="29074" xr:uid="{00000000-0005-0000-0000-0000AD670000}"/>
    <cellStyle name="출력 5 4 3 2 5" xfId="21730" xr:uid="{00000000-0005-0000-0000-0000AE670000}"/>
    <cellStyle name="출력 5 4 3 3" xfId="17070" xr:uid="{00000000-0005-0000-0000-0000AF670000}"/>
    <cellStyle name="출력 5 4 3 3 2" xfId="18434" xr:uid="{00000000-0005-0000-0000-0000B0670000}"/>
    <cellStyle name="출력 5 4 3 3 3" xfId="26513" xr:uid="{00000000-0005-0000-0000-0000B1670000}"/>
    <cellStyle name="출력 5 4 3 3 4" xfId="29627" xr:uid="{00000000-0005-0000-0000-0000B2670000}"/>
    <cellStyle name="출력 5 4 3 3 5" xfId="22283" xr:uid="{00000000-0005-0000-0000-0000B3670000}"/>
    <cellStyle name="출력 5 4 3 4" xfId="17071" xr:uid="{00000000-0005-0000-0000-0000B4670000}"/>
    <cellStyle name="출력 5 4 3 4 2" xfId="19996" xr:uid="{00000000-0005-0000-0000-0000B5670000}"/>
    <cellStyle name="출력 5 4 3 4 3" xfId="26989" xr:uid="{00000000-0005-0000-0000-0000B6670000}"/>
    <cellStyle name="출력 5 4 3 4 4" xfId="30103" xr:uid="{00000000-0005-0000-0000-0000B7670000}"/>
    <cellStyle name="출력 5 4 3 4 5" xfId="22759" xr:uid="{00000000-0005-0000-0000-0000B8670000}"/>
    <cellStyle name="출력 5 4 3 5" xfId="23161" xr:uid="{00000000-0005-0000-0000-0000B9670000}"/>
    <cellStyle name="출력 5 4 3 5 2" xfId="19251" xr:uid="{00000000-0005-0000-0000-0000BA670000}"/>
    <cellStyle name="출력 5 4 3 5 3" xfId="27391" xr:uid="{00000000-0005-0000-0000-0000BB670000}"/>
    <cellStyle name="출력 5 4 3 5 4" xfId="30505" xr:uid="{00000000-0005-0000-0000-0000BC670000}"/>
    <cellStyle name="출력 5 4 3 6" xfId="23569" xr:uid="{00000000-0005-0000-0000-0000BD670000}"/>
    <cellStyle name="출력 5 4 3 6 2" xfId="18227" xr:uid="{00000000-0005-0000-0000-0000BE670000}"/>
    <cellStyle name="출력 5 4 3 6 3" xfId="27799" xr:uid="{00000000-0005-0000-0000-0000BF670000}"/>
    <cellStyle name="출력 5 4 3 6 4" xfId="30913" xr:uid="{00000000-0005-0000-0000-0000C0670000}"/>
    <cellStyle name="출력 5 4 3 7" xfId="20700" xr:uid="{00000000-0005-0000-0000-0000C1670000}"/>
    <cellStyle name="출력 5 4 3 8" xfId="19005" xr:uid="{00000000-0005-0000-0000-0000C2670000}"/>
    <cellStyle name="출력 5 4 3 9" xfId="24948" xr:uid="{00000000-0005-0000-0000-0000C3670000}"/>
    <cellStyle name="출력 5 4 4" xfId="17378" xr:uid="{00000000-0005-0000-0000-0000C4670000}"/>
    <cellStyle name="출력 5 4 4 2" xfId="22101" xr:uid="{00000000-0005-0000-0000-0000C5670000}"/>
    <cellStyle name="출력 5 4 4 2 2" xfId="19318" xr:uid="{00000000-0005-0000-0000-0000C6670000}"/>
    <cellStyle name="출력 5 4 4 2 3" xfId="26331" xr:uid="{00000000-0005-0000-0000-0000C7670000}"/>
    <cellStyle name="출력 5 4 4 2 4" xfId="29445" xr:uid="{00000000-0005-0000-0000-0000C8670000}"/>
    <cellStyle name="출력 5 4 4 3" xfId="22574" xr:uid="{00000000-0005-0000-0000-0000C9670000}"/>
    <cellStyle name="출력 5 4 4 3 2" xfId="19823" xr:uid="{00000000-0005-0000-0000-0000CA670000}"/>
    <cellStyle name="출력 5 4 4 3 3" xfId="26804" xr:uid="{00000000-0005-0000-0000-0000CB670000}"/>
    <cellStyle name="출력 5 4 4 3 4" xfId="29918" xr:uid="{00000000-0005-0000-0000-0000CC670000}"/>
    <cellStyle name="출력 5 4 4 4" xfId="23019" xr:uid="{00000000-0005-0000-0000-0000CD670000}"/>
    <cellStyle name="출력 5 4 4 4 2" xfId="20233" xr:uid="{00000000-0005-0000-0000-0000CE670000}"/>
    <cellStyle name="출력 5 4 4 4 3" xfId="27249" xr:uid="{00000000-0005-0000-0000-0000CF670000}"/>
    <cellStyle name="출력 5 4 4 4 4" xfId="30363" xr:uid="{00000000-0005-0000-0000-0000D0670000}"/>
    <cellStyle name="출력 5 4 4 5" xfId="23392" xr:uid="{00000000-0005-0000-0000-0000D1670000}"/>
    <cellStyle name="출력 5 4 4 5 2" xfId="20430" xr:uid="{00000000-0005-0000-0000-0000D2670000}"/>
    <cellStyle name="출력 5 4 4 5 3" xfId="27622" xr:uid="{00000000-0005-0000-0000-0000D3670000}"/>
    <cellStyle name="출력 5 4 4 5 4" xfId="30736" xr:uid="{00000000-0005-0000-0000-0000D4670000}"/>
    <cellStyle name="출력 5 4 4 6" xfId="19326" xr:uid="{00000000-0005-0000-0000-0000D5670000}"/>
    <cellStyle name="출력 5 4 4 7" xfId="25780" xr:uid="{00000000-0005-0000-0000-0000D6670000}"/>
    <cellStyle name="출력 5 4 4 8" xfId="28897" xr:uid="{00000000-0005-0000-0000-0000D7670000}"/>
    <cellStyle name="출력 5 4 5" xfId="20968" xr:uid="{00000000-0005-0000-0000-0000D8670000}"/>
    <cellStyle name="출력 5 4 5 2" xfId="19405" xr:uid="{00000000-0005-0000-0000-0000D9670000}"/>
    <cellStyle name="출력 5 4 5 3" xfId="25219" xr:uid="{00000000-0005-0000-0000-0000DA670000}"/>
    <cellStyle name="출력 5 4 5 4" xfId="28343" xr:uid="{00000000-0005-0000-0000-0000DB670000}"/>
    <cellStyle name="출력 5 4 6" xfId="18823" xr:uid="{00000000-0005-0000-0000-0000DC670000}"/>
    <cellStyle name="출력 5 4 7" xfId="18492" xr:uid="{00000000-0005-0000-0000-0000DD670000}"/>
    <cellStyle name="출력 5 4 8" xfId="18738" xr:uid="{00000000-0005-0000-0000-0000DE670000}"/>
    <cellStyle name="출력 5 4 9" xfId="17325" xr:uid="{00000000-0005-0000-0000-0000DF670000}"/>
    <cellStyle name="출력 5 5" xfId="12217" xr:uid="{00000000-0005-0000-0000-0000E0670000}"/>
    <cellStyle name="출력 5 5 2" xfId="14860" xr:uid="{00000000-0005-0000-0000-0000E1670000}"/>
    <cellStyle name="출력 5 5 2 10" xfId="25052" xr:uid="{00000000-0005-0000-0000-0000E2670000}"/>
    <cellStyle name="출력 5 5 2 11" xfId="28176" xr:uid="{00000000-0005-0000-0000-0000E3670000}"/>
    <cellStyle name="출력 5 5 2 12" xfId="31158" xr:uid="{00000000-0005-0000-0000-0000E4670000}"/>
    <cellStyle name="출력 5 5 2 13" xfId="17417" xr:uid="{00000000-0005-0000-0000-0000E5670000}"/>
    <cellStyle name="출력 5 5 2 2" xfId="21834" xr:uid="{00000000-0005-0000-0000-0000E6670000}"/>
    <cellStyle name="출력 5 5 2 2 2" xfId="22387" xr:uid="{00000000-0005-0000-0000-0000E7670000}"/>
    <cellStyle name="출력 5 5 2 2 2 2" xfId="19651" xr:uid="{00000000-0005-0000-0000-0000E8670000}"/>
    <cellStyle name="출력 5 5 2 2 2 3" xfId="26617" xr:uid="{00000000-0005-0000-0000-0000E9670000}"/>
    <cellStyle name="출력 5 5 2 2 2 4" xfId="29731" xr:uid="{00000000-0005-0000-0000-0000EA670000}"/>
    <cellStyle name="출력 5 5 2 2 3" xfId="22863" xr:uid="{00000000-0005-0000-0000-0000EB670000}"/>
    <cellStyle name="출력 5 5 2 2 3 2" xfId="20091" xr:uid="{00000000-0005-0000-0000-0000EC670000}"/>
    <cellStyle name="출력 5 5 2 2 3 3" xfId="27093" xr:uid="{00000000-0005-0000-0000-0000ED670000}"/>
    <cellStyle name="출력 5 5 2 2 3 4" xfId="30207" xr:uid="{00000000-0005-0000-0000-0000EE670000}"/>
    <cellStyle name="출력 5 5 2 2 4" xfId="23246" xr:uid="{00000000-0005-0000-0000-0000EF670000}"/>
    <cellStyle name="출력 5 5 2 2 4 2" xfId="20309" xr:uid="{00000000-0005-0000-0000-0000F0670000}"/>
    <cellStyle name="출력 5 5 2 2 4 3" xfId="27476" xr:uid="{00000000-0005-0000-0000-0000F1670000}"/>
    <cellStyle name="출력 5 5 2 2 4 4" xfId="30590" xr:uid="{00000000-0005-0000-0000-0000F2670000}"/>
    <cellStyle name="출력 5 5 2 2 5" xfId="23673" xr:uid="{00000000-0005-0000-0000-0000F3670000}"/>
    <cellStyle name="출력 5 5 2 2 5 2" xfId="18326" xr:uid="{00000000-0005-0000-0000-0000F4670000}"/>
    <cellStyle name="출력 5 5 2 2 5 3" xfId="27903" xr:uid="{00000000-0005-0000-0000-0000F5670000}"/>
    <cellStyle name="출력 5 5 2 2 5 4" xfId="31017" xr:uid="{00000000-0005-0000-0000-0000F6670000}"/>
    <cellStyle name="출력 5 5 2 2 6" xfId="24484" xr:uid="{00000000-0005-0000-0000-0000F7670000}"/>
    <cellStyle name="출력 5 5 2 2 7" xfId="26064" xr:uid="{00000000-0005-0000-0000-0000F8670000}"/>
    <cellStyle name="출력 5 5 2 2 8" xfId="29178" xr:uid="{00000000-0005-0000-0000-0000F9670000}"/>
    <cellStyle name="출력 5 5 2 3" xfId="21432" xr:uid="{00000000-0005-0000-0000-0000FA670000}"/>
    <cellStyle name="출력 5 5 2 3 2" xfId="19477" xr:uid="{00000000-0005-0000-0000-0000FB670000}"/>
    <cellStyle name="출력 5 5 2 3 3" xfId="25619" xr:uid="{00000000-0005-0000-0000-0000FC670000}"/>
    <cellStyle name="출력 5 5 2 3 4" xfId="28736" xr:uid="{00000000-0005-0000-0000-0000FD670000}"/>
    <cellStyle name="출력 5 5 2 4" xfId="21940" xr:uid="{00000000-0005-0000-0000-0000FE670000}"/>
    <cellStyle name="출력 5 5 2 4 2" xfId="23997" xr:uid="{00000000-0005-0000-0000-0000FF670000}"/>
    <cellStyle name="출력 5 5 2 4 3" xfId="26170" xr:uid="{00000000-0005-0000-0000-000000680000}"/>
    <cellStyle name="출력 5 5 2 4 4" xfId="29284" xr:uid="{00000000-0005-0000-0000-000001680000}"/>
    <cellStyle name="출력 5 5 2 5" xfId="22413" xr:uid="{00000000-0005-0000-0000-000002680000}"/>
    <cellStyle name="출력 5 5 2 5 2" xfId="19677" xr:uid="{00000000-0005-0000-0000-000003680000}"/>
    <cellStyle name="출력 5 5 2 5 3" xfId="26643" xr:uid="{00000000-0005-0000-0000-000004680000}"/>
    <cellStyle name="출력 5 5 2 5 4" xfId="29757" xr:uid="{00000000-0005-0000-0000-000005680000}"/>
    <cellStyle name="출력 5 5 2 6" xfId="22886" xr:uid="{00000000-0005-0000-0000-000006680000}"/>
    <cellStyle name="출력 5 5 2 6 2" xfId="20113" xr:uid="{00000000-0005-0000-0000-000007680000}"/>
    <cellStyle name="출력 5 5 2 6 3" xfId="27116" xr:uid="{00000000-0005-0000-0000-000008680000}"/>
    <cellStyle name="출력 5 5 2 6 4" xfId="30230" xr:uid="{00000000-0005-0000-0000-000009680000}"/>
    <cellStyle name="출력 5 5 2 7" xfId="20993" xr:uid="{00000000-0005-0000-0000-00000A680000}"/>
    <cellStyle name="출력 5 5 2 7 2" xfId="24511" xr:uid="{00000000-0005-0000-0000-00000B680000}"/>
    <cellStyle name="출력 5 5 2 7 3" xfId="25241" xr:uid="{00000000-0005-0000-0000-00000C680000}"/>
    <cellStyle name="출력 5 5 2 7 4" xfId="28365" xr:uid="{00000000-0005-0000-0000-00000D680000}"/>
    <cellStyle name="출력 5 5 2 8" xfId="20804" xr:uid="{00000000-0005-0000-0000-00000E680000}"/>
    <cellStyle name="출력 5 5 2 9" xfId="19107" xr:uid="{00000000-0005-0000-0000-00000F680000}"/>
    <cellStyle name="출력 5 5 3" xfId="15486" xr:uid="{00000000-0005-0000-0000-000010680000}"/>
    <cellStyle name="출력 5 5 3 10" xfId="28074" xr:uid="{00000000-0005-0000-0000-000011680000}"/>
    <cellStyle name="출력 5 5 3 11" xfId="17503" xr:uid="{00000000-0005-0000-0000-000012680000}"/>
    <cellStyle name="출력 5 5 3 2" xfId="15224" xr:uid="{00000000-0005-0000-0000-000013680000}"/>
    <cellStyle name="출력 5 5 3 2 2" xfId="23796" xr:uid="{00000000-0005-0000-0000-000014680000}"/>
    <cellStyle name="출력 5 5 3 2 3" xfId="25962" xr:uid="{00000000-0005-0000-0000-000015680000}"/>
    <cellStyle name="출력 5 5 3 2 4" xfId="29076" xr:uid="{00000000-0005-0000-0000-000016680000}"/>
    <cellStyle name="출력 5 5 3 2 5" xfId="21732" xr:uid="{00000000-0005-0000-0000-000017680000}"/>
    <cellStyle name="출력 5 5 3 3" xfId="17072" xr:uid="{00000000-0005-0000-0000-000018680000}"/>
    <cellStyle name="출력 5 5 3 3 2" xfId="18436" xr:uid="{00000000-0005-0000-0000-000019680000}"/>
    <cellStyle name="출력 5 5 3 3 3" xfId="26515" xr:uid="{00000000-0005-0000-0000-00001A680000}"/>
    <cellStyle name="출력 5 5 3 3 4" xfId="29629" xr:uid="{00000000-0005-0000-0000-00001B680000}"/>
    <cellStyle name="출력 5 5 3 3 5" xfId="22285" xr:uid="{00000000-0005-0000-0000-00001C680000}"/>
    <cellStyle name="출력 5 5 3 4" xfId="17073" xr:uid="{00000000-0005-0000-0000-00001D680000}"/>
    <cellStyle name="출력 5 5 3 4 2" xfId="19998" xr:uid="{00000000-0005-0000-0000-00001E680000}"/>
    <cellStyle name="출력 5 5 3 4 3" xfId="26991" xr:uid="{00000000-0005-0000-0000-00001F680000}"/>
    <cellStyle name="출력 5 5 3 4 4" xfId="30105" xr:uid="{00000000-0005-0000-0000-000020680000}"/>
    <cellStyle name="출력 5 5 3 4 5" xfId="22761" xr:uid="{00000000-0005-0000-0000-000021680000}"/>
    <cellStyle name="출력 5 5 3 5" xfId="23162" xr:uid="{00000000-0005-0000-0000-000022680000}"/>
    <cellStyle name="출력 5 5 3 5 2" xfId="19252" xr:uid="{00000000-0005-0000-0000-000023680000}"/>
    <cellStyle name="출력 5 5 3 5 3" xfId="27392" xr:uid="{00000000-0005-0000-0000-000024680000}"/>
    <cellStyle name="출력 5 5 3 5 4" xfId="30506" xr:uid="{00000000-0005-0000-0000-000025680000}"/>
    <cellStyle name="출력 5 5 3 6" xfId="23571" xr:uid="{00000000-0005-0000-0000-000026680000}"/>
    <cellStyle name="출력 5 5 3 6 2" xfId="18229" xr:uid="{00000000-0005-0000-0000-000027680000}"/>
    <cellStyle name="출력 5 5 3 6 3" xfId="27801" xr:uid="{00000000-0005-0000-0000-000028680000}"/>
    <cellStyle name="출력 5 5 3 6 4" xfId="30915" xr:uid="{00000000-0005-0000-0000-000029680000}"/>
    <cellStyle name="출력 5 5 3 7" xfId="20702" xr:uid="{00000000-0005-0000-0000-00002A680000}"/>
    <cellStyle name="출력 5 5 3 8" xfId="19007" xr:uid="{00000000-0005-0000-0000-00002B680000}"/>
    <cellStyle name="출력 5 5 3 9" xfId="24950" xr:uid="{00000000-0005-0000-0000-00002C680000}"/>
    <cellStyle name="출력 5 5 4" xfId="17375" xr:uid="{00000000-0005-0000-0000-00002D680000}"/>
    <cellStyle name="출력 5 5 4 2" xfId="22102" xr:uid="{00000000-0005-0000-0000-00002E680000}"/>
    <cellStyle name="출력 5 5 4 2 2" xfId="19559" xr:uid="{00000000-0005-0000-0000-00002F680000}"/>
    <cellStyle name="출력 5 5 4 2 3" xfId="26332" xr:uid="{00000000-0005-0000-0000-000030680000}"/>
    <cellStyle name="출력 5 5 4 2 4" xfId="29446" xr:uid="{00000000-0005-0000-0000-000031680000}"/>
    <cellStyle name="출력 5 5 4 3" xfId="22575" xr:uid="{00000000-0005-0000-0000-000032680000}"/>
    <cellStyle name="출력 5 5 4 3 2" xfId="19824" xr:uid="{00000000-0005-0000-0000-000033680000}"/>
    <cellStyle name="출력 5 5 4 3 3" xfId="26805" xr:uid="{00000000-0005-0000-0000-000034680000}"/>
    <cellStyle name="출력 5 5 4 3 4" xfId="29919" xr:uid="{00000000-0005-0000-0000-000035680000}"/>
    <cellStyle name="출력 5 5 4 4" xfId="23020" xr:uid="{00000000-0005-0000-0000-000036680000}"/>
    <cellStyle name="출력 5 5 4 4 2" xfId="20234" xr:uid="{00000000-0005-0000-0000-000037680000}"/>
    <cellStyle name="출력 5 5 4 4 3" xfId="27250" xr:uid="{00000000-0005-0000-0000-000038680000}"/>
    <cellStyle name="출력 5 5 4 4 4" xfId="30364" xr:uid="{00000000-0005-0000-0000-000039680000}"/>
    <cellStyle name="출력 5 5 4 5" xfId="23393" xr:uid="{00000000-0005-0000-0000-00003A680000}"/>
    <cellStyle name="출력 5 5 4 5 2" xfId="20431" xr:uid="{00000000-0005-0000-0000-00003B680000}"/>
    <cellStyle name="출력 5 5 4 5 3" xfId="27623" xr:uid="{00000000-0005-0000-0000-00003C680000}"/>
    <cellStyle name="출력 5 5 4 5 4" xfId="30737" xr:uid="{00000000-0005-0000-0000-00003D680000}"/>
    <cellStyle name="출력 5 5 4 6" xfId="23870" xr:uid="{00000000-0005-0000-0000-00003E680000}"/>
    <cellStyle name="출력 5 5 4 7" xfId="25781" xr:uid="{00000000-0005-0000-0000-00003F680000}"/>
    <cellStyle name="출력 5 5 4 8" xfId="28898" xr:uid="{00000000-0005-0000-0000-000040680000}"/>
    <cellStyle name="출력 5 5 5" xfId="20969" xr:uid="{00000000-0005-0000-0000-000041680000}"/>
    <cellStyle name="출력 5 5 5 2" xfId="23753" xr:uid="{00000000-0005-0000-0000-000042680000}"/>
    <cellStyle name="출력 5 5 5 3" xfId="25220" xr:uid="{00000000-0005-0000-0000-000043680000}"/>
    <cellStyle name="출력 5 5 5 4" xfId="28344" xr:uid="{00000000-0005-0000-0000-000044680000}"/>
    <cellStyle name="출력 5 5 6" xfId="18824" xr:uid="{00000000-0005-0000-0000-000045680000}"/>
    <cellStyle name="출력 5 5 7" xfId="18491" xr:uid="{00000000-0005-0000-0000-000046680000}"/>
    <cellStyle name="출력 5 5 8" xfId="18739" xr:uid="{00000000-0005-0000-0000-000047680000}"/>
    <cellStyle name="출력 5 5 9" xfId="17326" xr:uid="{00000000-0005-0000-0000-000048680000}"/>
    <cellStyle name="출력 5 6" xfId="12218" xr:uid="{00000000-0005-0000-0000-000049680000}"/>
    <cellStyle name="출력 5 6 2" xfId="14861" xr:uid="{00000000-0005-0000-0000-00004A680000}"/>
    <cellStyle name="출력 5 6 2 10" xfId="25053" xr:uid="{00000000-0005-0000-0000-00004B680000}"/>
    <cellStyle name="출력 5 6 2 11" xfId="28177" xr:uid="{00000000-0005-0000-0000-00004C680000}"/>
    <cellStyle name="출력 5 6 2 12" xfId="31159" xr:uid="{00000000-0005-0000-0000-00004D680000}"/>
    <cellStyle name="출력 5 6 2 13" xfId="17416" xr:uid="{00000000-0005-0000-0000-00004E680000}"/>
    <cellStyle name="출력 5 6 2 2" xfId="21835" xr:uid="{00000000-0005-0000-0000-00004F680000}"/>
    <cellStyle name="출력 5 6 2 2 2" xfId="22388" xr:uid="{00000000-0005-0000-0000-000050680000}"/>
    <cellStyle name="출력 5 6 2 2 2 2" xfId="19652" xr:uid="{00000000-0005-0000-0000-000051680000}"/>
    <cellStyle name="출력 5 6 2 2 2 3" xfId="26618" xr:uid="{00000000-0005-0000-0000-000052680000}"/>
    <cellStyle name="출력 5 6 2 2 2 4" xfId="29732" xr:uid="{00000000-0005-0000-0000-000053680000}"/>
    <cellStyle name="출력 5 6 2 2 3" xfId="22864" xr:uid="{00000000-0005-0000-0000-000054680000}"/>
    <cellStyle name="출력 5 6 2 2 3 2" xfId="20092" xr:uid="{00000000-0005-0000-0000-000055680000}"/>
    <cellStyle name="출력 5 6 2 2 3 3" xfId="27094" xr:uid="{00000000-0005-0000-0000-000056680000}"/>
    <cellStyle name="출력 5 6 2 2 3 4" xfId="30208" xr:uid="{00000000-0005-0000-0000-000057680000}"/>
    <cellStyle name="출력 5 6 2 2 4" xfId="23247" xr:uid="{00000000-0005-0000-0000-000058680000}"/>
    <cellStyle name="출력 5 6 2 2 4 2" xfId="21465" xr:uid="{00000000-0005-0000-0000-000059680000}"/>
    <cellStyle name="출력 5 6 2 2 4 3" xfId="27477" xr:uid="{00000000-0005-0000-0000-00005A680000}"/>
    <cellStyle name="출력 5 6 2 2 4 4" xfId="30591" xr:uid="{00000000-0005-0000-0000-00005B680000}"/>
    <cellStyle name="출력 5 6 2 2 5" xfId="23674" xr:uid="{00000000-0005-0000-0000-00005C680000}"/>
    <cellStyle name="출력 5 6 2 2 5 2" xfId="18327" xr:uid="{00000000-0005-0000-0000-00005D680000}"/>
    <cellStyle name="출력 5 6 2 2 5 3" xfId="27904" xr:uid="{00000000-0005-0000-0000-00005E680000}"/>
    <cellStyle name="출력 5 6 2 2 5 4" xfId="31018" xr:uid="{00000000-0005-0000-0000-00005F680000}"/>
    <cellStyle name="출력 5 6 2 2 6" xfId="24311" xr:uid="{00000000-0005-0000-0000-000060680000}"/>
    <cellStyle name="출력 5 6 2 2 7" xfId="26065" xr:uid="{00000000-0005-0000-0000-000061680000}"/>
    <cellStyle name="출력 5 6 2 2 8" xfId="29179" xr:uid="{00000000-0005-0000-0000-000062680000}"/>
    <cellStyle name="출력 5 6 2 3" xfId="21433" xr:uid="{00000000-0005-0000-0000-000063680000}"/>
    <cellStyle name="출력 5 6 2 3 2" xfId="23737" xr:uid="{00000000-0005-0000-0000-000064680000}"/>
    <cellStyle name="출력 5 6 2 3 3" xfId="25620" xr:uid="{00000000-0005-0000-0000-000065680000}"/>
    <cellStyle name="출력 5 6 2 3 4" xfId="28737" xr:uid="{00000000-0005-0000-0000-000066680000}"/>
    <cellStyle name="출력 5 6 2 4" xfId="21941" xr:uid="{00000000-0005-0000-0000-000067680000}"/>
    <cellStyle name="출력 5 6 2 4 2" xfId="24708" xr:uid="{00000000-0005-0000-0000-000068680000}"/>
    <cellStyle name="출력 5 6 2 4 3" xfId="26171" xr:uid="{00000000-0005-0000-0000-000069680000}"/>
    <cellStyle name="출력 5 6 2 4 4" xfId="29285" xr:uid="{00000000-0005-0000-0000-00006A680000}"/>
    <cellStyle name="출력 5 6 2 5" xfId="22414" xr:uid="{00000000-0005-0000-0000-00006B680000}"/>
    <cellStyle name="출력 5 6 2 5 2" xfId="19678" xr:uid="{00000000-0005-0000-0000-00006C680000}"/>
    <cellStyle name="출력 5 6 2 5 3" xfId="26644" xr:uid="{00000000-0005-0000-0000-00006D680000}"/>
    <cellStyle name="출력 5 6 2 5 4" xfId="29758" xr:uid="{00000000-0005-0000-0000-00006E680000}"/>
    <cellStyle name="출력 5 6 2 6" xfId="22887" xr:uid="{00000000-0005-0000-0000-00006F680000}"/>
    <cellStyle name="출력 5 6 2 6 2" xfId="20114" xr:uid="{00000000-0005-0000-0000-000070680000}"/>
    <cellStyle name="출력 5 6 2 6 3" xfId="27117" xr:uid="{00000000-0005-0000-0000-000071680000}"/>
    <cellStyle name="출력 5 6 2 6 4" xfId="30231" xr:uid="{00000000-0005-0000-0000-000072680000}"/>
    <cellStyle name="출력 5 6 2 7" xfId="21117" xr:uid="{00000000-0005-0000-0000-000073680000}"/>
    <cellStyle name="출력 5 6 2 7 2" xfId="24684" xr:uid="{00000000-0005-0000-0000-000074680000}"/>
    <cellStyle name="출력 5 6 2 7 3" xfId="25362" xr:uid="{00000000-0005-0000-0000-000075680000}"/>
    <cellStyle name="출력 5 6 2 7 4" xfId="28486" xr:uid="{00000000-0005-0000-0000-000076680000}"/>
    <cellStyle name="출력 5 6 2 8" xfId="20805" xr:uid="{00000000-0005-0000-0000-000077680000}"/>
    <cellStyle name="출력 5 6 2 9" xfId="19108" xr:uid="{00000000-0005-0000-0000-000078680000}"/>
    <cellStyle name="출력 5 6 3" xfId="15487" xr:uid="{00000000-0005-0000-0000-000079680000}"/>
    <cellStyle name="출력 5 6 3 10" xfId="28075" xr:uid="{00000000-0005-0000-0000-00007A680000}"/>
    <cellStyle name="출력 5 6 3 11" xfId="17502" xr:uid="{00000000-0005-0000-0000-00007B680000}"/>
    <cellStyle name="출력 5 6 3 2" xfId="15223" xr:uid="{00000000-0005-0000-0000-00007C680000}"/>
    <cellStyle name="출력 5 6 3 2 2" xfId="23889" xr:uid="{00000000-0005-0000-0000-00007D680000}"/>
    <cellStyle name="출력 5 6 3 2 3" xfId="25963" xr:uid="{00000000-0005-0000-0000-00007E680000}"/>
    <cellStyle name="출력 5 6 3 2 4" xfId="29077" xr:uid="{00000000-0005-0000-0000-00007F680000}"/>
    <cellStyle name="출력 5 6 3 2 5" xfId="21733" xr:uid="{00000000-0005-0000-0000-000080680000}"/>
    <cellStyle name="출력 5 6 3 3" xfId="17074" xr:uid="{00000000-0005-0000-0000-000081680000}"/>
    <cellStyle name="출력 5 6 3 3 2" xfId="18089" xr:uid="{00000000-0005-0000-0000-000082680000}"/>
    <cellStyle name="출력 5 6 3 3 3" xfId="26516" xr:uid="{00000000-0005-0000-0000-000083680000}"/>
    <cellStyle name="출력 5 6 3 3 4" xfId="29630" xr:uid="{00000000-0005-0000-0000-000084680000}"/>
    <cellStyle name="출력 5 6 3 3 5" xfId="22286" xr:uid="{00000000-0005-0000-0000-000085680000}"/>
    <cellStyle name="출력 5 6 3 4" xfId="17075" xr:uid="{00000000-0005-0000-0000-000086680000}"/>
    <cellStyle name="출력 5 6 3 4 2" xfId="19999" xr:uid="{00000000-0005-0000-0000-000087680000}"/>
    <cellStyle name="출력 5 6 3 4 3" xfId="26992" xr:uid="{00000000-0005-0000-0000-000088680000}"/>
    <cellStyle name="출력 5 6 3 4 4" xfId="30106" xr:uid="{00000000-0005-0000-0000-000089680000}"/>
    <cellStyle name="출력 5 6 3 4 5" xfId="22762" xr:uid="{00000000-0005-0000-0000-00008A680000}"/>
    <cellStyle name="출력 5 6 3 5" xfId="23163" xr:uid="{00000000-0005-0000-0000-00008B680000}"/>
    <cellStyle name="출력 5 6 3 5 2" xfId="19253" xr:uid="{00000000-0005-0000-0000-00008C680000}"/>
    <cellStyle name="출력 5 6 3 5 3" xfId="27393" xr:uid="{00000000-0005-0000-0000-00008D680000}"/>
    <cellStyle name="출력 5 6 3 5 4" xfId="30507" xr:uid="{00000000-0005-0000-0000-00008E680000}"/>
    <cellStyle name="출력 5 6 3 6" xfId="23572" xr:uid="{00000000-0005-0000-0000-00008F680000}"/>
    <cellStyle name="출력 5 6 3 6 2" xfId="18230" xr:uid="{00000000-0005-0000-0000-000090680000}"/>
    <cellStyle name="출력 5 6 3 6 3" xfId="27802" xr:uid="{00000000-0005-0000-0000-000091680000}"/>
    <cellStyle name="출력 5 6 3 6 4" xfId="30916" xr:uid="{00000000-0005-0000-0000-000092680000}"/>
    <cellStyle name="출력 5 6 3 7" xfId="20703" xr:uid="{00000000-0005-0000-0000-000093680000}"/>
    <cellStyle name="출력 5 6 3 8" xfId="19008" xr:uid="{00000000-0005-0000-0000-000094680000}"/>
    <cellStyle name="출력 5 6 3 9" xfId="24951" xr:uid="{00000000-0005-0000-0000-000095680000}"/>
    <cellStyle name="출력 5 6 4" xfId="17406" xr:uid="{00000000-0005-0000-0000-000096680000}"/>
    <cellStyle name="출력 5 6 4 2" xfId="22103" xr:uid="{00000000-0005-0000-0000-000097680000}"/>
    <cellStyle name="출력 5 6 4 2 2" xfId="23714" xr:uid="{00000000-0005-0000-0000-000098680000}"/>
    <cellStyle name="출력 5 6 4 2 3" xfId="26333" xr:uid="{00000000-0005-0000-0000-000099680000}"/>
    <cellStyle name="출력 5 6 4 2 4" xfId="29447" xr:uid="{00000000-0005-0000-0000-00009A680000}"/>
    <cellStyle name="출력 5 6 4 3" xfId="22576" xr:uid="{00000000-0005-0000-0000-00009B680000}"/>
    <cellStyle name="출력 5 6 4 3 2" xfId="19825" xr:uid="{00000000-0005-0000-0000-00009C680000}"/>
    <cellStyle name="출력 5 6 4 3 3" xfId="26806" xr:uid="{00000000-0005-0000-0000-00009D680000}"/>
    <cellStyle name="출력 5 6 4 3 4" xfId="29920" xr:uid="{00000000-0005-0000-0000-00009E680000}"/>
    <cellStyle name="출력 5 6 4 4" xfId="23021" xr:uid="{00000000-0005-0000-0000-00009F680000}"/>
    <cellStyle name="출력 5 6 4 4 2" xfId="20235" xr:uid="{00000000-0005-0000-0000-0000A0680000}"/>
    <cellStyle name="출력 5 6 4 4 3" xfId="27251" xr:uid="{00000000-0005-0000-0000-0000A1680000}"/>
    <cellStyle name="출력 5 6 4 4 4" xfId="30365" xr:uid="{00000000-0005-0000-0000-0000A2680000}"/>
    <cellStyle name="출력 5 6 4 5" xfId="23394" xr:uid="{00000000-0005-0000-0000-0000A3680000}"/>
    <cellStyle name="출력 5 6 4 5 2" xfId="20432" xr:uid="{00000000-0005-0000-0000-0000A4680000}"/>
    <cellStyle name="출력 5 6 4 5 3" xfId="27624" xr:uid="{00000000-0005-0000-0000-0000A5680000}"/>
    <cellStyle name="출력 5 6 4 5 4" xfId="30738" xr:uid="{00000000-0005-0000-0000-0000A6680000}"/>
    <cellStyle name="출력 5 6 4 6" xfId="23798" xr:uid="{00000000-0005-0000-0000-0000A7680000}"/>
    <cellStyle name="출력 5 6 4 7" xfId="25782" xr:uid="{00000000-0005-0000-0000-0000A8680000}"/>
    <cellStyle name="출력 5 6 4 8" xfId="28899" xr:uid="{00000000-0005-0000-0000-0000A9680000}"/>
    <cellStyle name="출력 5 6 5" xfId="20970" xr:uid="{00000000-0005-0000-0000-0000AA680000}"/>
    <cellStyle name="출력 5 6 5 2" xfId="24675" xr:uid="{00000000-0005-0000-0000-0000AB680000}"/>
    <cellStyle name="출력 5 6 5 3" xfId="25221" xr:uid="{00000000-0005-0000-0000-0000AC680000}"/>
    <cellStyle name="출력 5 6 5 4" xfId="28345" xr:uid="{00000000-0005-0000-0000-0000AD680000}"/>
    <cellStyle name="출력 5 6 6" xfId="18825" xr:uid="{00000000-0005-0000-0000-0000AE680000}"/>
    <cellStyle name="출력 5 6 7" xfId="18490" xr:uid="{00000000-0005-0000-0000-0000AF680000}"/>
    <cellStyle name="출력 5 6 8" xfId="18740" xr:uid="{00000000-0005-0000-0000-0000B0680000}"/>
    <cellStyle name="출력 5 6 9" xfId="17327" xr:uid="{00000000-0005-0000-0000-0000B1680000}"/>
    <cellStyle name="출력 5 7" xfId="12219" xr:uid="{00000000-0005-0000-0000-0000B2680000}"/>
    <cellStyle name="출력 5 7 2" xfId="14862" xr:uid="{00000000-0005-0000-0000-0000B3680000}"/>
    <cellStyle name="출력 5 7 2 10" xfId="25054" xr:uid="{00000000-0005-0000-0000-0000B4680000}"/>
    <cellStyle name="출력 5 7 2 11" xfId="28178" xr:uid="{00000000-0005-0000-0000-0000B5680000}"/>
    <cellStyle name="출력 5 7 2 12" xfId="31160" xr:uid="{00000000-0005-0000-0000-0000B6680000}"/>
    <cellStyle name="출력 5 7 2 13" xfId="17415" xr:uid="{00000000-0005-0000-0000-0000B7680000}"/>
    <cellStyle name="출력 5 7 2 2" xfId="21836" xr:uid="{00000000-0005-0000-0000-0000B8680000}"/>
    <cellStyle name="출력 5 7 2 2 2" xfId="22389" xr:uid="{00000000-0005-0000-0000-0000B9680000}"/>
    <cellStyle name="출력 5 7 2 2 2 2" xfId="19653" xr:uid="{00000000-0005-0000-0000-0000BA680000}"/>
    <cellStyle name="출력 5 7 2 2 2 3" xfId="26619" xr:uid="{00000000-0005-0000-0000-0000BB680000}"/>
    <cellStyle name="출력 5 7 2 2 2 4" xfId="29733" xr:uid="{00000000-0005-0000-0000-0000BC680000}"/>
    <cellStyle name="출력 5 7 2 2 3" xfId="22865" xr:uid="{00000000-0005-0000-0000-0000BD680000}"/>
    <cellStyle name="출력 5 7 2 2 3 2" xfId="20093" xr:uid="{00000000-0005-0000-0000-0000BE680000}"/>
    <cellStyle name="출력 5 7 2 2 3 3" xfId="27095" xr:uid="{00000000-0005-0000-0000-0000BF680000}"/>
    <cellStyle name="출력 5 7 2 2 3 4" xfId="30209" xr:uid="{00000000-0005-0000-0000-0000C0680000}"/>
    <cellStyle name="출력 5 7 2 2 4" xfId="23248" xr:uid="{00000000-0005-0000-0000-0000C1680000}"/>
    <cellStyle name="출력 5 7 2 2 4 2" xfId="20310" xr:uid="{00000000-0005-0000-0000-0000C2680000}"/>
    <cellStyle name="출력 5 7 2 2 4 3" xfId="27478" xr:uid="{00000000-0005-0000-0000-0000C3680000}"/>
    <cellStyle name="출력 5 7 2 2 4 4" xfId="30592" xr:uid="{00000000-0005-0000-0000-0000C4680000}"/>
    <cellStyle name="출력 5 7 2 2 5" xfId="23675" xr:uid="{00000000-0005-0000-0000-0000C5680000}"/>
    <cellStyle name="출력 5 7 2 2 5 2" xfId="19393" xr:uid="{00000000-0005-0000-0000-0000C6680000}"/>
    <cellStyle name="출력 5 7 2 2 5 3" xfId="27905" xr:uid="{00000000-0005-0000-0000-0000C7680000}"/>
    <cellStyle name="출력 5 7 2 2 5 4" xfId="31019" xr:uid="{00000000-0005-0000-0000-0000C8680000}"/>
    <cellStyle name="출력 5 7 2 2 6" xfId="24129" xr:uid="{00000000-0005-0000-0000-0000C9680000}"/>
    <cellStyle name="출력 5 7 2 2 7" xfId="26066" xr:uid="{00000000-0005-0000-0000-0000CA680000}"/>
    <cellStyle name="출력 5 7 2 2 8" xfId="29180" xr:uid="{00000000-0005-0000-0000-0000CB680000}"/>
    <cellStyle name="출력 5 7 2 3" xfId="21434" xr:uid="{00000000-0005-0000-0000-0000CC680000}"/>
    <cellStyle name="출력 5 7 2 3 2" xfId="19478" xr:uid="{00000000-0005-0000-0000-0000CD680000}"/>
    <cellStyle name="출력 5 7 2 3 3" xfId="25621" xr:uid="{00000000-0005-0000-0000-0000CE680000}"/>
    <cellStyle name="출력 5 7 2 3 4" xfId="28738" xr:uid="{00000000-0005-0000-0000-0000CF680000}"/>
    <cellStyle name="출력 5 7 2 4" xfId="21942" xr:uid="{00000000-0005-0000-0000-0000D0680000}"/>
    <cellStyle name="출력 5 7 2 4 2" xfId="24578" xr:uid="{00000000-0005-0000-0000-0000D1680000}"/>
    <cellStyle name="출력 5 7 2 4 3" xfId="26172" xr:uid="{00000000-0005-0000-0000-0000D2680000}"/>
    <cellStyle name="출력 5 7 2 4 4" xfId="29286" xr:uid="{00000000-0005-0000-0000-0000D3680000}"/>
    <cellStyle name="출력 5 7 2 5" xfId="22415" xr:uid="{00000000-0005-0000-0000-0000D4680000}"/>
    <cellStyle name="출력 5 7 2 5 2" xfId="19679" xr:uid="{00000000-0005-0000-0000-0000D5680000}"/>
    <cellStyle name="출력 5 7 2 5 3" xfId="26645" xr:uid="{00000000-0005-0000-0000-0000D6680000}"/>
    <cellStyle name="출력 5 7 2 5 4" xfId="29759" xr:uid="{00000000-0005-0000-0000-0000D7680000}"/>
    <cellStyle name="출력 5 7 2 6" xfId="22888" xr:uid="{00000000-0005-0000-0000-0000D8680000}"/>
    <cellStyle name="출력 5 7 2 6 2" xfId="20115" xr:uid="{00000000-0005-0000-0000-0000D9680000}"/>
    <cellStyle name="출력 5 7 2 6 3" xfId="27118" xr:uid="{00000000-0005-0000-0000-0000DA680000}"/>
    <cellStyle name="출력 5 7 2 6 4" xfId="30232" xr:uid="{00000000-0005-0000-0000-0000DB680000}"/>
    <cellStyle name="출력 5 7 2 7" xfId="21034" xr:uid="{00000000-0005-0000-0000-0000DC680000}"/>
    <cellStyle name="출력 5 7 2 7 2" xfId="24341" xr:uid="{00000000-0005-0000-0000-0000DD680000}"/>
    <cellStyle name="출력 5 7 2 7 3" xfId="25279" xr:uid="{00000000-0005-0000-0000-0000DE680000}"/>
    <cellStyle name="출력 5 7 2 7 4" xfId="28403" xr:uid="{00000000-0005-0000-0000-0000DF680000}"/>
    <cellStyle name="출력 5 7 2 8" xfId="20806" xr:uid="{00000000-0005-0000-0000-0000E0680000}"/>
    <cellStyle name="출력 5 7 2 9" xfId="19109" xr:uid="{00000000-0005-0000-0000-0000E1680000}"/>
    <cellStyle name="출력 5 7 3" xfId="15488" xr:uid="{00000000-0005-0000-0000-0000E2680000}"/>
    <cellStyle name="출력 5 7 3 10" xfId="28076" xr:uid="{00000000-0005-0000-0000-0000E3680000}"/>
    <cellStyle name="출력 5 7 3 11" xfId="17501" xr:uid="{00000000-0005-0000-0000-0000E4680000}"/>
    <cellStyle name="출력 5 7 3 2" xfId="15222" xr:uid="{00000000-0005-0000-0000-0000E5680000}"/>
    <cellStyle name="출력 5 7 3 2 2" xfId="23778" xr:uid="{00000000-0005-0000-0000-0000E6680000}"/>
    <cellStyle name="출력 5 7 3 2 3" xfId="25964" xr:uid="{00000000-0005-0000-0000-0000E7680000}"/>
    <cellStyle name="출력 5 7 3 2 4" xfId="29078" xr:uid="{00000000-0005-0000-0000-0000E8680000}"/>
    <cellStyle name="출력 5 7 3 2 5" xfId="21734" xr:uid="{00000000-0005-0000-0000-0000E9680000}"/>
    <cellStyle name="출력 5 7 3 3" xfId="17076" xr:uid="{00000000-0005-0000-0000-0000EA680000}"/>
    <cellStyle name="출력 5 7 3 3 2" xfId="18437" xr:uid="{00000000-0005-0000-0000-0000EB680000}"/>
    <cellStyle name="출력 5 7 3 3 3" xfId="26517" xr:uid="{00000000-0005-0000-0000-0000EC680000}"/>
    <cellStyle name="출력 5 7 3 3 4" xfId="29631" xr:uid="{00000000-0005-0000-0000-0000ED680000}"/>
    <cellStyle name="출력 5 7 3 3 5" xfId="22287" xr:uid="{00000000-0005-0000-0000-0000EE680000}"/>
    <cellStyle name="출력 5 7 3 4" xfId="17077" xr:uid="{00000000-0005-0000-0000-0000EF680000}"/>
    <cellStyle name="출력 5 7 3 4 2" xfId="20000" xr:uid="{00000000-0005-0000-0000-0000F0680000}"/>
    <cellStyle name="출력 5 7 3 4 3" xfId="26993" xr:uid="{00000000-0005-0000-0000-0000F1680000}"/>
    <cellStyle name="출력 5 7 3 4 4" xfId="30107" xr:uid="{00000000-0005-0000-0000-0000F2680000}"/>
    <cellStyle name="출력 5 7 3 4 5" xfId="22763" xr:uid="{00000000-0005-0000-0000-0000F3680000}"/>
    <cellStyle name="출력 5 7 3 5" xfId="23164" xr:uid="{00000000-0005-0000-0000-0000F4680000}"/>
    <cellStyle name="출력 5 7 3 5 2" xfId="19254" xr:uid="{00000000-0005-0000-0000-0000F5680000}"/>
    <cellStyle name="출력 5 7 3 5 3" xfId="27394" xr:uid="{00000000-0005-0000-0000-0000F6680000}"/>
    <cellStyle name="출력 5 7 3 5 4" xfId="30508" xr:uid="{00000000-0005-0000-0000-0000F7680000}"/>
    <cellStyle name="출력 5 7 3 6" xfId="23573" xr:uid="{00000000-0005-0000-0000-0000F8680000}"/>
    <cellStyle name="출력 5 7 3 6 2" xfId="18231" xr:uid="{00000000-0005-0000-0000-0000F9680000}"/>
    <cellStyle name="출력 5 7 3 6 3" xfId="27803" xr:uid="{00000000-0005-0000-0000-0000FA680000}"/>
    <cellStyle name="출력 5 7 3 6 4" xfId="30917" xr:uid="{00000000-0005-0000-0000-0000FB680000}"/>
    <cellStyle name="출력 5 7 3 7" xfId="20704" xr:uid="{00000000-0005-0000-0000-0000FC680000}"/>
    <cellStyle name="출력 5 7 3 8" xfId="19009" xr:uid="{00000000-0005-0000-0000-0000FD680000}"/>
    <cellStyle name="출력 5 7 3 9" xfId="24952" xr:uid="{00000000-0005-0000-0000-0000FE680000}"/>
    <cellStyle name="출력 5 7 4" xfId="17400" xr:uid="{00000000-0005-0000-0000-0000FF680000}"/>
    <cellStyle name="출력 5 7 4 2" xfId="22104" xr:uid="{00000000-0005-0000-0000-000000690000}"/>
    <cellStyle name="출력 5 7 4 2 2" xfId="24630" xr:uid="{00000000-0005-0000-0000-000001690000}"/>
    <cellStyle name="출력 5 7 4 2 3" xfId="26334" xr:uid="{00000000-0005-0000-0000-000002690000}"/>
    <cellStyle name="출력 5 7 4 2 4" xfId="29448" xr:uid="{00000000-0005-0000-0000-000003690000}"/>
    <cellStyle name="출력 5 7 4 3" xfId="22577" xr:uid="{00000000-0005-0000-0000-000004690000}"/>
    <cellStyle name="출력 5 7 4 3 2" xfId="19826" xr:uid="{00000000-0005-0000-0000-000005690000}"/>
    <cellStyle name="출력 5 7 4 3 3" xfId="26807" xr:uid="{00000000-0005-0000-0000-000006690000}"/>
    <cellStyle name="출력 5 7 4 3 4" xfId="29921" xr:uid="{00000000-0005-0000-0000-000007690000}"/>
    <cellStyle name="출력 5 7 4 4" xfId="23022" xr:uid="{00000000-0005-0000-0000-000008690000}"/>
    <cellStyle name="출력 5 7 4 4 2" xfId="20236" xr:uid="{00000000-0005-0000-0000-000009690000}"/>
    <cellStyle name="출력 5 7 4 4 3" xfId="27252" xr:uid="{00000000-0005-0000-0000-00000A690000}"/>
    <cellStyle name="출력 5 7 4 4 4" xfId="30366" xr:uid="{00000000-0005-0000-0000-00000B690000}"/>
    <cellStyle name="출력 5 7 4 5" xfId="23395" xr:uid="{00000000-0005-0000-0000-00000C690000}"/>
    <cellStyle name="출력 5 7 4 5 2" xfId="20434" xr:uid="{00000000-0005-0000-0000-00000D690000}"/>
    <cellStyle name="출력 5 7 4 5 3" xfId="27625" xr:uid="{00000000-0005-0000-0000-00000E690000}"/>
    <cellStyle name="출력 5 7 4 5 4" xfId="30739" xr:uid="{00000000-0005-0000-0000-00000F690000}"/>
    <cellStyle name="출력 5 7 4 6" xfId="23770" xr:uid="{00000000-0005-0000-0000-000010690000}"/>
    <cellStyle name="출력 5 7 4 7" xfId="25783" xr:uid="{00000000-0005-0000-0000-000011690000}"/>
    <cellStyle name="출력 5 7 4 8" xfId="28900" xr:uid="{00000000-0005-0000-0000-000012690000}"/>
    <cellStyle name="출력 5 7 5" xfId="20971" xr:uid="{00000000-0005-0000-0000-000013690000}"/>
    <cellStyle name="출력 5 7 5 2" xfId="24412" xr:uid="{00000000-0005-0000-0000-000014690000}"/>
    <cellStyle name="출력 5 7 5 3" xfId="25222" xr:uid="{00000000-0005-0000-0000-000015690000}"/>
    <cellStyle name="출력 5 7 5 4" xfId="28346" xr:uid="{00000000-0005-0000-0000-000016690000}"/>
    <cellStyle name="출력 5 7 6" xfId="18826" xr:uid="{00000000-0005-0000-0000-000017690000}"/>
    <cellStyle name="출력 5 7 7" xfId="18489" xr:uid="{00000000-0005-0000-0000-000018690000}"/>
    <cellStyle name="출력 5 7 8" xfId="23974" xr:uid="{00000000-0005-0000-0000-000019690000}"/>
    <cellStyle name="출력 5 7 9" xfId="17328" xr:uid="{00000000-0005-0000-0000-00001A690000}"/>
    <cellStyle name="출력 5 8" xfId="14856" xr:uid="{00000000-0005-0000-0000-00001B690000}"/>
    <cellStyle name="출력 5 8 10" xfId="25048" xr:uid="{00000000-0005-0000-0000-00001C690000}"/>
    <cellStyle name="출력 5 8 11" xfId="28172" xr:uid="{00000000-0005-0000-0000-00001D690000}"/>
    <cellStyle name="출력 5 8 12" xfId="31154" xr:uid="{00000000-0005-0000-0000-00001E690000}"/>
    <cellStyle name="출력 5 8 13" xfId="17421" xr:uid="{00000000-0005-0000-0000-00001F690000}"/>
    <cellStyle name="출력 5 8 2" xfId="21830" xr:uid="{00000000-0005-0000-0000-000020690000}"/>
    <cellStyle name="출력 5 8 2 2" xfId="22383" xr:uid="{00000000-0005-0000-0000-000021690000}"/>
    <cellStyle name="출력 5 8 2 2 2" xfId="23918" xr:uid="{00000000-0005-0000-0000-000022690000}"/>
    <cellStyle name="출력 5 8 2 2 3" xfId="26613" xr:uid="{00000000-0005-0000-0000-000023690000}"/>
    <cellStyle name="출력 5 8 2 2 4" xfId="29727" xr:uid="{00000000-0005-0000-0000-000024690000}"/>
    <cellStyle name="출력 5 8 2 3" xfId="22859" xr:uid="{00000000-0005-0000-0000-000025690000}"/>
    <cellStyle name="출력 5 8 2 3 2" xfId="20087" xr:uid="{00000000-0005-0000-0000-000026690000}"/>
    <cellStyle name="출력 5 8 2 3 3" xfId="27089" xr:uid="{00000000-0005-0000-0000-000027690000}"/>
    <cellStyle name="출력 5 8 2 3 4" xfId="30203" xr:uid="{00000000-0005-0000-0000-000028690000}"/>
    <cellStyle name="출력 5 8 2 4" xfId="23242" xr:uid="{00000000-0005-0000-0000-000029690000}"/>
    <cellStyle name="출력 5 8 2 4 2" xfId="21463" xr:uid="{00000000-0005-0000-0000-00002A690000}"/>
    <cellStyle name="출력 5 8 2 4 3" xfId="27472" xr:uid="{00000000-0005-0000-0000-00002B690000}"/>
    <cellStyle name="출력 5 8 2 4 4" xfId="30586" xr:uid="{00000000-0005-0000-0000-00002C690000}"/>
    <cellStyle name="출력 5 8 2 5" xfId="23669" xr:uid="{00000000-0005-0000-0000-00002D690000}"/>
    <cellStyle name="출력 5 8 2 5 2" xfId="18323" xr:uid="{00000000-0005-0000-0000-00002E690000}"/>
    <cellStyle name="출력 5 8 2 5 3" xfId="27899" xr:uid="{00000000-0005-0000-0000-00002F690000}"/>
    <cellStyle name="출력 5 8 2 5 4" xfId="31013" xr:uid="{00000000-0005-0000-0000-000030690000}"/>
    <cellStyle name="출력 5 8 2 6" xfId="23782" xr:uid="{00000000-0005-0000-0000-000031690000}"/>
    <cellStyle name="출력 5 8 2 7" xfId="26060" xr:uid="{00000000-0005-0000-0000-000032690000}"/>
    <cellStyle name="출력 5 8 2 8" xfId="29174" xr:uid="{00000000-0005-0000-0000-000033690000}"/>
    <cellStyle name="출력 5 8 3" xfId="21428" xr:uid="{00000000-0005-0000-0000-000034690000}"/>
    <cellStyle name="출력 5 8 3 2" xfId="19473" xr:uid="{00000000-0005-0000-0000-000035690000}"/>
    <cellStyle name="출력 5 8 3 3" xfId="25615" xr:uid="{00000000-0005-0000-0000-000036690000}"/>
    <cellStyle name="출력 5 8 3 4" xfId="28732" xr:uid="{00000000-0005-0000-0000-000037690000}"/>
    <cellStyle name="출력 5 8 4" xfId="21936" xr:uid="{00000000-0005-0000-0000-000038690000}"/>
    <cellStyle name="출력 5 8 4 2" xfId="24637" xr:uid="{00000000-0005-0000-0000-000039690000}"/>
    <cellStyle name="출력 5 8 4 3" xfId="26166" xr:uid="{00000000-0005-0000-0000-00003A690000}"/>
    <cellStyle name="출력 5 8 4 4" xfId="29280" xr:uid="{00000000-0005-0000-0000-00003B690000}"/>
    <cellStyle name="출력 5 8 5" xfId="22409" xr:uid="{00000000-0005-0000-0000-00003C690000}"/>
    <cellStyle name="출력 5 8 5 2" xfId="19673" xr:uid="{00000000-0005-0000-0000-00003D690000}"/>
    <cellStyle name="출력 5 8 5 3" xfId="26639" xr:uid="{00000000-0005-0000-0000-00003E690000}"/>
    <cellStyle name="출력 5 8 5 4" xfId="29753" xr:uid="{00000000-0005-0000-0000-00003F690000}"/>
    <cellStyle name="출력 5 8 6" xfId="22882" xr:uid="{00000000-0005-0000-0000-000040690000}"/>
    <cellStyle name="출력 5 8 6 2" xfId="20109" xr:uid="{00000000-0005-0000-0000-000041690000}"/>
    <cellStyle name="출력 5 8 6 3" xfId="27112" xr:uid="{00000000-0005-0000-0000-000042690000}"/>
    <cellStyle name="출력 5 8 6 4" xfId="30226" xr:uid="{00000000-0005-0000-0000-000043690000}"/>
    <cellStyle name="출력 5 8 7" xfId="20975" xr:uid="{00000000-0005-0000-0000-000044690000}"/>
    <cellStyle name="출력 5 8 7 2" xfId="24192" xr:uid="{00000000-0005-0000-0000-000045690000}"/>
    <cellStyle name="출력 5 8 7 3" xfId="25223" xr:uid="{00000000-0005-0000-0000-000046690000}"/>
    <cellStyle name="출력 5 8 7 4" xfId="28347" xr:uid="{00000000-0005-0000-0000-000047690000}"/>
    <cellStyle name="출력 5 8 8" xfId="20800" xr:uid="{00000000-0005-0000-0000-000048690000}"/>
    <cellStyle name="출력 5 8 9" xfId="19103" xr:uid="{00000000-0005-0000-0000-000049690000}"/>
    <cellStyle name="출력 5 9" xfId="15482" xr:uid="{00000000-0005-0000-0000-00004A690000}"/>
    <cellStyle name="출력 5 9 10" xfId="28067" xr:uid="{00000000-0005-0000-0000-00004B690000}"/>
    <cellStyle name="출력 5 9 11" xfId="17507" xr:uid="{00000000-0005-0000-0000-00004C690000}"/>
    <cellStyle name="출력 5 9 2" xfId="15228" xr:uid="{00000000-0005-0000-0000-00004D690000}"/>
    <cellStyle name="출력 5 9 2 2" xfId="24717" xr:uid="{00000000-0005-0000-0000-00004E690000}"/>
    <cellStyle name="출력 5 9 2 3" xfId="25955" xr:uid="{00000000-0005-0000-0000-00004F690000}"/>
    <cellStyle name="출력 5 9 2 4" xfId="29069" xr:uid="{00000000-0005-0000-0000-000050690000}"/>
    <cellStyle name="출력 5 9 2 5" xfId="21725" xr:uid="{00000000-0005-0000-0000-000051690000}"/>
    <cellStyle name="출력 5 9 3" xfId="17078" xr:uid="{00000000-0005-0000-0000-000052690000}"/>
    <cellStyle name="출력 5 9 3 2" xfId="18429" xr:uid="{00000000-0005-0000-0000-000053690000}"/>
    <cellStyle name="출력 5 9 3 3" xfId="26508" xr:uid="{00000000-0005-0000-0000-000054690000}"/>
    <cellStyle name="출력 5 9 3 4" xfId="29622" xr:uid="{00000000-0005-0000-0000-000055690000}"/>
    <cellStyle name="출력 5 9 3 5" xfId="22278" xr:uid="{00000000-0005-0000-0000-000056690000}"/>
    <cellStyle name="출력 5 9 4" xfId="17079" xr:uid="{00000000-0005-0000-0000-000057690000}"/>
    <cellStyle name="출력 5 9 4 2" xfId="19991" xr:uid="{00000000-0005-0000-0000-000058690000}"/>
    <cellStyle name="출력 5 9 4 3" xfId="26984" xr:uid="{00000000-0005-0000-0000-000059690000}"/>
    <cellStyle name="출력 5 9 4 4" xfId="30098" xr:uid="{00000000-0005-0000-0000-00005A690000}"/>
    <cellStyle name="출력 5 9 4 5" xfId="22754" xr:uid="{00000000-0005-0000-0000-00005B690000}"/>
    <cellStyle name="출력 5 9 5" xfId="23158" xr:uid="{00000000-0005-0000-0000-00005C690000}"/>
    <cellStyle name="출력 5 9 5 2" xfId="19249" xr:uid="{00000000-0005-0000-0000-00005D690000}"/>
    <cellStyle name="출력 5 9 5 3" xfId="27388" xr:uid="{00000000-0005-0000-0000-00005E690000}"/>
    <cellStyle name="출력 5 9 5 4" xfId="30502" xr:uid="{00000000-0005-0000-0000-00005F690000}"/>
    <cellStyle name="출력 5 9 6" xfId="23564" xr:uid="{00000000-0005-0000-0000-000060690000}"/>
    <cellStyle name="출력 5 9 6 2" xfId="19389" xr:uid="{00000000-0005-0000-0000-000061690000}"/>
    <cellStyle name="출력 5 9 6 3" xfId="27794" xr:uid="{00000000-0005-0000-0000-000062690000}"/>
    <cellStyle name="출력 5 9 6 4" xfId="30908" xr:uid="{00000000-0005-0000-0000-000063690000}"/>
    <cellStyle name="출력 5 9 7" xfId="20695" xr:uid="{00000000-0005-0000-0000-000064690000}"/>
    <cellStyle name="출력 5 9 8" xfId="19000" xr:uid="{00000000-0005-0000-0000-000065690000}"/>
    <cellStyle name="출력 5 9 9" xfId="24943" xr:uid="{00000000-0005-0000-0000-000066690000}"/>
    <cellStyle name="출력 6" xfId="17145" xr:uid="{00000000-0005-0000-0000-000067690000}"/>
    <cellStyle name="출력 6 2" xfId="21526" xr:uid="{00000000-0005-0000-0000-000068690000}"/>
    <cellStyle name="출력 6 3" xfId="32366" xr:uid="{00000000-0005-0000-0000-000069690000}"/>
    <cellStyle name="출력 7" xfId="17146" xr:uid="{00000000-0005-0000-0000-00006A690000}"/>
    <cellStyle name="출력 7 2" xfId="32367" xr:uid="{00000000-0005-0000-0000-00006B690000}"/>
    <cellStyle name="출력 8" xfId="20492" xr:uid="{00000000-0005-0000-0000-00006C690000}"/>
    <cellStyle name="콤마 [0]_월보공문" xfId="17147" xr:uid="{00000000-0005-0000-0000-00006D690000}"/>
    <cellStyle name="콤마_월보공문" xfId="17148" xr:uid="{00000000-0005-0000-0000-00006E690000}"/>
    <cellStyle name="통화 [0] 2" xfId="12220" xr:uid="{00000000-0005-0000-0000-00006F690000}"/>
    <cellStyle name="표준" xfId="0" builtinId="0"/>
    <cellStyle name="표준 10" xfId="33" xr:uid="{00000000-0005-0000-0000-000071690000}"/>
    <cellStyle name="표준 10 10" xfId="6511" xr:uid="{00000000-0005-0000-0000-000072690000}"/>
    <cellStyle name="표준 10 10 2" xfId="6512" xr:uid="{00000000-0005-0000-0000-000073690000}"/>
    <cellStyle name="표준 10 10 3" xfId="6513" xr:uid="{00000000-0005-0000-0000-000074690000}"/>
    <cellStyle name="표준 10 10_뇌출혈특약(갱신형)" xfId="13232" xr:uid="{00000000-0005-0000-0000-000075690000}"/>
    <cellStyle name="표준 10 11" xfId="6514" xr:uid="{00000000-0005-0000-0000-000076690000}"/>
    <cellStyle name="표준 10 11 2" xfId="6515" xr:uid="{00000000-0005-0000-0000-000077690000}"/>
    <cellStyle name="표준 10 11_뇌출혈특약(갱신형)" xfId="13233" xr:uid="{00000000-0005-0000-0000-000078690000}"/>
    <cellStyle name="표준 10 12" xfId="6516" xr:uid="{00000000-0005-0000-0000-000079690000}"/>
    <cellStyle name="표준 10 12 2" xfId="6517" xr:uid="{00000000-0005-0000-0000-00007A690000}"/>
    <cellStyle name="표준 10 12_뇌출혈특약(갱신형)" xfId="13234" xr:uid="{00000000-0005-0000-0000-00007B690000}"/>
    <cellStyle name="표준 10 13" xfId="6518" xr:uid="{00000000-0005-0000-0000-00007C690000}"/>
    <cellStyle name="표준 10 13 2" xfId="6519" xr:uid="{00000000-0005-0000-0000-00007D690000}"/>
    <cellStyle name="표준 10 13_뇌출혈특약(갱신형)" xfId="13235" xr:uid="{00000000-0005-0000-0000-00007E690000}"/>
    <cellStyle name="표준 10 14" xfId="6520" xr:uid="{00000000-0005-0000-0000-00007F690000}"/>
    <cellStyle name="표준 10 14 2" xfId="6521" xr:uid="{00000000-0005-0000-0000-000080690000}"/>
    <cellStyle name="표준 10 14_뇌출혈특약(갱신형)" xfId="13236" xr:uid="{00000000-0005-0000-0000-000081690000}"/>
    <cellStyle name="표준 10 15" xfId="6522" xr:uid="{00000000-0005-0000-0000-000082690000}"/>
    <cellStyle name="표준 10 16" xfId="6523" xr:uid="{00000000-0005-0000-0000-000083690000}"/>
    <cellStyle name="표준 10 17" xfId="17149" xr:uid="{00000000-0005-0000-0000-000084690000}"/>
    <cellStyle name="표준 10 2" xfId="6524" xr:uid="{00000000-0005-0000-0000-000085690000}"/>
    <cellStyle name="표준 10 2 2" xfId="6525" xr:uid="{00000000-0005-0000-0000-000086690000}"/>
    <cellStyle name="표준 10 2 2 2" xfId="6526" xr:uid="{00000000-0005-0000-0000-000087690000}"/>
    <cellStyle name="표준 10 2 2 2 2" xfId="6527" xr:uid="{00000000-0005-0000-0000-000088690000}"/>
    <cellStyle name="표준 10 2 2 2 2 2" xfId="6528" xr:uid="{00000000-0005-0000-0000-000089690000}"/>
    <cellStyle name="표준 10 2 2 2 2 3" xfId="6529" xr:uid="{00000000-0005-0000-0000-00008A690000}"/>
    <cellStyle name="표준 10 2 2 2 2_뇌출혈특약(갱신형)" xfId="13237" xr:uid="{00000000-0005-0000-0000-00008B690000}"/>
    <cellStyle name="표준 10 2 2 2 3" xfId="6530" xr:uid="{00000000-0005-0000-0000-00008C690000}"/>
    <cellStyle name="표준 10 2 2 2 4" xfId="6531" xr:uid="{00000000-0005-0000-0000-00008D690000}"/>
    <cellStyle name="표준 10 2 2 2_뇌출혈특약(갱신형)" xfId="13238" xr:uid="{00000000-0005-0000-0000-00008E690000}"/>
    <cellStyle name="표준 10 2 2 3" xfId="6532" xr:uid="{00000000-0005-0000-0000-00008F690000}"/>
    <cellStyle name="표준 10 2 2 3 2" xfId="6533" xr:uid="{00000000-0005-0000-0000-000090690000}"/>
    <cellStyle name="표준 10 2 2 3 2 2" xfId="6534" xr:uid="{00000000-0005-0000-0000-000091690000}"/>
    <cellStyle name="표준 10 2 2 3 2 3" xfId="6535" xr:uid="{00000000-0005-0000-0000-000092690000}"/>
    <cellStyle name="표준 10 2 2 3 2_뇌출혈특약(갱신형)" xfId="13239" xr:uid="{00000000-0005-0000-0000-000093690000}"/>
    <cellStyle name="표준 10 2 2 3 3" xfId="6536" xr:uid="{00000000-0005-0000-0000-000094690000}"/>
    <cellStyle name="표준 10 2 2 3 4" xfId="6537" xr:uid="{00000000-0005-0000-0000-000095690000}"/>
    <cellStyle name="표준 10 2 2 3_뇌출혈특약(갱신형)" xfId="13240" xr:uid="{00000000-0005-0000-0000-000096690000}"/>
    <cellStyle name="표준 10 2 2 4" xfId="6538" xr:uid="{00000000-0005-0000-0000-000097690000}"/>
    <cellStyle name="표준 10 2 2 4 2" xfId="6539" xr:uid="{00000000-0005-0000-0000-000098690000}"/>
    <cellStyle name="표준 10 2 2 4 3" xfId="6540" xr:uid="{00000000-0005-0000-0000-000099690000}"/>
    <cellStyle name="표준 10 2 2 4_뇌출혈특약(갱신형)" xfId="13241" xr:uid="{00000000-0005-0000-0000-00009A690000}"/>
    <cellStyle name="표준 10 2 2 5" xfId="6541" xr:uid="{00000000-0005-0000-0000-00009B690000}"/>
    <cellStyle name="표준 10 2 2 5 2" xfId="6542" xr:uid="{00000000-0005-0000-0000-00009C690000}"/>
    <cellStyle name="표준 10 2 2 5 3" xfId="6543" xr:uid="{00000000-0005-0000-0000-00009D690000}"/>
    <cellStyle name="표준 10 2 2 5_뇌출혈특약(갱신형)" xfId="13242" xr:uid="{00000000-0005-0000-0000-00009E690000}"/>
    <cellStyle name="표준 10 2 2 6" xfId="6544" xr:uid="{00000000-0005-0000-0000-00009F690000}"/>
    <cellStyle name="표준 10 2 2 7" xfId="6545" xr:uid="{00000000-0005-0000-0000-0000A0690000}"/>
    <cellStyle name="표준 10 2 2_뇌출혈특약(갱신형)" xfId="13243" xr:uid="{00000000-0005-0000-0000-0000A1690000}"/>
    <cellStyle name="표준 10 2 3" xfId="6546" xr:uid="{00000000-0005-0000-0000-0000A2690000}"/>
    <cellStyle name="표준 10 2 3 2" xfId="6547" xr:uid="{00000000-0005-0000-0000-0000A3690000}"/>
    <cellStyle name="표준 10 2 3 2 2" xfId="6548" xr:uid="{00000000-0005-0000-0000-0000A4690000}"/>
    <cellStyle name="표준 10 2 3 2 3" xfId="6549" xr:uid="{00000000-0005-0000-0000-0000A5690000}"/>
    <cellStyle name="표준 10 2 3 2_뇌출혈특약(갱신형)" xfId="13244" xr:uid="{00000000-0005-0000-0000-0000A6690000}"/>
    <cellStyle name="표준 10 2 3 3" xfId="6550" xr:uid="{00000000-0005-0000-0000-0000A7690000}"/>
    <cellStyle name="표준 10 2 3 4" xfId="6551" xr:uid="{00000000-0005-0000-0000-0000A8690000}"/>
    <cellStyle name="표준 10 2 3_뇌출혈특약(갱신형)" xfId="13245" xr:uid="{00000000-0005-0000-0000-0000A9690000}"/>
    <cellStyle name="표준 10 2 4" xfId="6552" xr:uid="{00000000-0005-0000-0000-0000AA690000}"/>
    <cellStyle name="표준 10 2 4 2" xfId="6553" xr:uid="{00000000-0005-0000-0000-0000AB690000}"/>
    <cellStyle name="표준 10 2 4 2 2" xfId="6554" xr:uid="{00000000-0005-0000-0000-0000AC690000}"/>
    <cellStyle name="표준 10 2 4 2 3" xfId="6555" xr:uid="{00000000-0005-0000-0000-0000AD690000}"/>
    <cellStyle name="표준 10 2 4 2_뇌출혈특약(갱신형)" xfId="13246" xr:uid="{00000000-0005-0000-0000-0000AE690000}"/>
    <cellStyle name="표준 10 2 4 3" xfId="6556" xr:uid="{00000000-0005-0000-0000-0000AF690000}"/>
    <cellStyle name="표준 10 2 4 4" xfId="6557" xr:uid="{00000000-0005-0000-0000-0000B0690000}"/>
    <cellStyle name="표준 10 2 4_뇌출혈특약(갱신형)" xfId="13247" xr:uid="{00000000-0005-0000-0000-0000B1690000}"/>
    <cellStyle name="표준 10 2 5" xfId="6558" xr:uid="{00000000-0005-0000-0000-0000B2690000}"/>
    <cellStyle name="표준 10 2 5 2" xfId="6559" xr:uid="{00000000-0005-0000-0000-0000B3690000}"/>
    <cellStyle name="표준 10 2 5 3" xfId="6560" xr:uid="{00000000-0005-0000-0000-0000B4690000}"/>
    <cellStyle name="표준 10 2 5_뇌출혈특약(갱신형)" xfId="13248" xr:uid="{00000000-0005-0000-0000-0000B5690000}"/>
    <cellStyle name="표준 10 2 6" xfId="6561" xr:uid="{00000000-0005-0000-0000-0000B6690000}"/>
    <cellStyle name="표준 10 2 6 2" xfId="6562" xr:uid="{00000000-0005-0000-0000-0000B7690000}"/>
    <cellStyle name="표준 10 2 6 3" xfId="6563" xr:uid="{00000000-0005-0000-0000-0000B8690000}"/>
    <cellStyle name="표준 10 2 6_뇌출혈특약(갱신형)" xfId="13249" xr:uid="{00000000-0005-0000-0000-0000B9690000}"/>
    <cellStyle name="표준 10 2 7" xfId="6564" xr:uid="{00000000-0005-0000-0000-0000BA690000}"/>
    <cellStyle name="표준 10 2 8" xfId="6565" xr:uid="{00000000-0005-0000-0000-0000BB690000}"/>
    <cellStyle name="표준 10 2 9" xfId="12221" xr:uid="{00000000-0005-0000-0000-0000BC690000}"/>
    <cellStyle name="표준 10 2_뇌출혈특약(갱신형)" xfId="13250" xr:uid="{00000000-0005-0000-0000-0000BD690000}"/>
    <cellStyle name="표준 10 3" xfId="6566" xr:uid="{00000000-0005-0000-0000-0000BE690000}"/>
    <cellStyle name="표준 10 3 2" xfId="6567" xr:uid="{00000000-0005-0000-0000-0000BF690000}"/>
    <cellStyle name="표준 10 3 2 2" xfId="6568" xr:uid="{00000000-0005-0000-0000-0000C0690000}"/>
    <cellStyle name="표준 10 3 2 2 2" xfId="6569" xr:uid="{00000000-0005-0000-0000-0000C1690000}"/>
    <cellStyle name="표준 10 3 2 2 3" xfId="6570" xr:uid="{00000000-0005-0000-0000-0000C2690000}"/>
    <cellStyle name="표준 10 3 2 2_뇌출혈특약(갱신형)" xfId="13251" xr:uid="{00000000-0005-0000-0000-0000C3690000}"/>
    <cellStyle name="표준 10 3 2 3" xfId="6571" xr:uid="{00000000-0005-0000-0000-0000C4690000}"/>
    <cellStyle name="표준 10 3 2 4" xfId="6572" xr:uid="{00000000-0005-0000-0000-0000C5690000}"/>
    <cellStyle name="표준 10 3 2_뇌출혈특약(갱신형)" xfId="13252" xr:uid="{00000000-0005-0000-0000-0000C6690000}"/>
    <cellStyle name="표준 10 3 3" xfId="6573" xr:uid="{00000000-0005-0000-0000-0000C7690000}"/>
    <cellStyle name="표준 10 3 3 2" xfId="6574" xr:uid="{00000000-0005-0000-0000-0000C8690000}"/>
    <cellStyle name="표준 10 3 3 2 2" xfId="6575" xr:uid="{00000000-0005-0000-0000-0000C9690000}"/>
    <cellStyle name="표준 10 3 3 2 3" xfId="6576" xr:uid="{00000000-0005-0000-0000-0000CA690000}"/>
    <cellStyle name="표준 10 3 3 2_뇌출혈특약(갱신형)" xfId="13253" xr:uid="{00000000-0005-0000-0000-0000CB690000}"/>
    <cellStyle name="표준 10 3 3 3" xfId="6577" xr:uid="{00000000-0005-0000-0000-0000CC690000}"/>
    <cellStyle name="표준 10 3 3 4" xfId="6578" xr:uid="{00000000-0005-0000-0000-0000CD690000}"/>
    <cellStyle name="표준 10 3 3_뇌출혈특약(갱신형)" xfId="13254" xr:uid="{00000000-0005-0000-0000-0000CE690000}"/>
    <cellStyle name="표준 10 3 4" xfId="6579" xr:uid="{00000000-0005-0000-0000-0000CF690000}"/>
    <cellStyle name="표준 10 3 4 2" xfId="6580" xr:uid="{00000000-0005-0000-0000-0000D0690000}"/>
    <cellStyle name="표준 10 3 4 3" xfId="6581" xr:uid="{00000000-0005-0000-0000-0000D1690000}"/>
    <cellStyle name="표준 10 3 4_뇌출혈특약(갱신형)" xfId="13255" xr:uid="{00000000-0005-0000-0000-0000D2690000}"/>
    <cellStyle name="표준 10 3 5" xfId="6582" xr:uid="{00000000-0005-0000-0000-0000D3690000}"/>
    <cellStyle name="표준 10 3 5 2" xfId="6583" xr:uid="{00000000-0005-0000-0000-0000D4690000}"/>
    <cellStyle name="표준 10 3 5 3" xfId="6584" xr:uid="{00000000-0005-0000-0000-0000D5690000}"/>
    <cellStyle name="표준 10 3 5_뇌출혈특약(갱신형)" xfId="13256" xr:uid="{00000000-0005-0000-0000-0000D6690000}"/>
    <cellStyle name="표준 10 3 6" xfId="6585" xr:uid="{00000000-0005-0000-0000-0000D7690000}"/>
    <cellStyle name="표준 10 3 7" xfId="6586" xr:uid="{00000000-0005-0000-0000-0000D8690000}"/>
    <cellStyle name="표준 10 3_뇌출혈특약(갱신형)" xfId="13257" xr:uid="{00000000-0005-0000-0000-0000D9690000}"/>
    <cellStyle name="표준 10 4" xfId="6587" xr:uid="{00000000-0005-0000-0000-0000DA690000}"/>
    <cellStyle name="표준 10 4 2" xfId="6588" xr:uid="{00000000-0005-0000-0000-0000DB690000}"/>
    <cellStyle name="표준 10 4 2 2" xfId="6589" xr:uid="{00000000-0005-0000-0000-0000DC690000}"/>
    <cellStyle name="표준 10 4 2 2 2" xfId="6590" xr:uid="{00000000-0005-0000-0000-0000DD690000}"/>
    <cellStyle name="표준 10 4 2 2 3" xfId="6591" xr:uid="{00000000-0005-0000-0000-0000DE690000}"/>
    <cellStyle name="표준 10 4 2 2_뇌출혈특약(갱신형)" xfId="13258" xr:uid="{00000000-0005-0000-0000-0000DF690000}"/>
    <cellStyle name="표준 10 4 2 3" xfId="6592" xr:uid="{00000000-0005-0000-0000-0000E0690000}"/>
    <cellStyle name="표준 10 4 2 4" xfId="6593" xr:uid="{00000000-0005-0000-0000-0000E1690000}"/>
    <cellStyle name="표준 10 4 2_뇌출혈특약(갱신형)" xfId="13259" xr:uid="{00000000-0005-0000-0000-0000E2690000}"/>
    <cellStyle name="표준 10 4 3" xfId="6594" xr:uid="{00000000-0005-0000-0000-0000E3690000}"/>
    <cellStyle name="표준 10 4 3 2" xfId="6595" xr:uid="{00000000-0005-0000-0000-0000E4690000}"/>
    <cellStyle name="표준 10 4 3 2 2" xfId="6596" xr:uid="{00000000-0005-0000-0000-0000E5690000}"/>
    <cellStyle name="표준 10 4 3 2 3" xfId="6597" xr:uid="{00000000-0005-0000-0000-0000E6690000}"/>
    <cellStyle name="표준 10 4 3 2_뇌출혈특약(갱신형)" xfId="13260" xr:uid="{00000000-0005-0000-0000-0000E7690000}"/>
    <cellStyle name="표준 10 4 3 3" xfId="6598" xr:uid="{00000000-0005-0000-0000-0000E8690000}"/>
    <cellStyle name="표준 10 4 3 4" xfId="6599" xr:uid="{00000000-0005-0000-0000-0000E9690000}"/>
    <cellStyle name="표준 10 4 3_뇌출혈특약(갱신형)" xfId="13261" xr:uid="{00000000-0005-0000-0000-0000EA690000}"/>
    <cellStyle name="표준 10 4 4" xfId="6600" xr:uid="{00000000-0005-0000-0000-0000EB690000}"/>
    <cellStyle name="표준 10 4 4 2" xfId="6601" xr:uid="{00000000-0005-0000-0000-0000EC690000}"/>
    <cellStyle name="표준 10 4 4 3" xfId="6602" xr:uid="{00000000-0005-0000-0000-0000ED690000}"/>
    <cellStyle name="표준 10 4 4_뇌출혈특약(갱신형)" xfId="13262" xr:uid="{00000000-0005-0000-0000-0000EE690000}"/>
    <cellStyle name="표준 10 4 5" xfId="6603" xr:uid="{00000000-0005-0000-0000-0000EF690000}"/>
    <cellStyle name="표준 10 4 5 2" xfId="6604" xr:uid="{00000000-0005-0000-0000-0000F0690000}"/>
    <cellStyle name="표준 10 4 5 3" xfId="6605" xr:uid="{00000000-0005-0000-0000-0000F1690000}"/>
    <cellStyle name="표준 10 4 5_뇌출혈특약(갱신형)" xfId="13263" xr:uid="{00000000-0005-0000-0000-0000F2690000}"/>
    <cellStyle name="표준 10 4 6" xfId="6606" xr:uid="{00000000-0005-0000-0000-0000F3690000}"/>
    <cellStyle name="표준 10 4 7" xfId="6607" xr:uid="{00000000-0005-0000-0000-0000F4690000}"/>
    <cellStyle name="표준 10 4_뇌출혈특약(갱신형)" xfId="13264" xr:uid="{00000000-0005-0000-0000-0000F5690000}"/>
    <cellStyle name="표준 10 5" xfId="6608" xr:uid="{00000000-0005-0000-0000-0000F6690000}"/>
    <cellStyle name="표준 10 5 2" xfId="6609" xr:uid="{00000000-0005-0000-0000-0000F7690000}"/>
    <cellStyle name="표준 10 5 2 2" xfId="6610" xr:uid="{00000000-0005-0000-0000-0000F8690000}"/>
    <cellStyle name="표준 10 5 2 3" xfId="6611" xr:uid="{00000000-0005-0000-0000-0000F9690000}"/>
    <cellStyle name="표준 10 5 2_뇌출혈특약(갱신형)" xfId="13265" xr:uid="{00000000-0005-0000-0000-0000FA690000}"/>
    <cellStyle name="표준 10 5 3" xfId="6612" xr:uid="{00000000-0005-0000-0000-0000FB690000}"/>
    <cellStyle name="표준 10 5 4" xfId="6613" xr:uid="{00000000-0005-0000-0000-0000FC690000}"/>
    <cellStyle name="표준 10 5_뇌출혈특약(갱신형)" xfId="13266" xr:uid="{00000000-0005-0000-0000-0000FD690000}"/>
    <cellStyle name="표준 10 6" xfId="6614" xr:uid="{00000000-0005-0000-0000-0000FE690000}"/>
    <cellStyle name="표준 10 6 2" xfId="6615" xr:uid="{00000000-0005-0000-0000-0000FF690000}"/>
    <cellStyle name="표준 10 6 2 2" xfId="6616" xr:uid="{00000000-0005-0000-0000-0000006A0000}"/>
    <cellStyle name="표준 10 6 2 3" xfId="6617" xr:uid="{00000000-0005-0000-0000-0000016A0000}"/>
    <cellStyle name="표준 10 6 2_뇌출혈특약(갱신형)" xfId="13267" xr:uid="{00000000-0005-0000-0000-0000026A0000}"/>
    <cellStyle name="표준 10 6 3" xfId="6618" xr:uid="{00000000-0005-0000-0000-0000036A0000}"/>
    <cellStyle name="표준 10 6 4" xfId="6619" xr:uid="{00000000-0005-0000-0000-0000046A0000}"/>
    <cellStyle name="표준 10 6_뇌출혈특약(갱신형)" xfId="13268" xr:uid="{00000000-0005-0000-0000-0000056A0000}"/>
    <cellStyle name="표준 10 7" xfId="6620" xr:uid="{00000000-0005-0000-0000-0000066A0000}"/>
    <cellStyle name="표준 10 7 2" xfId="6621" xr:uid="{00000000-0005-0000-0000-0000076A0000}"/>
    <cellStyle name="표준 10 7 3" xfId="6622" xr:uid="{00000000-0005-0000-0000-0000086A0000}"/>
    <cellStyle name="표준 10 7_뇌출혈특약(갱신형)" xfId="13269" xr:uid="{00000000-0005-0000-0000-0000096A0000}"/>
    <cellStyle name="표준 10 8" xfId="6623" xr:uid="{00000000-0005-0000-0000-00000A6A0000}"/>
    <cellStyle name="표준 10 8 2" xfId="6624" xr:uid="{00000000-0005-0000-0000-00000B6A0000}"/>
    <cellStyle name="표준 10 8 3" xfId="6625" xr:uid="{00000000-0005-0000-0000-00000C6A0000}"/>
    <cellStyle name="표준 10 8_뇌출혈특약(갱신형)" xfId="13270" xr:uid="{00000000-0005-0000-0000-00000D6A0000}"/>
    <cellStyle name="표준 10 9" xfId="6626" xr:uid="{00000000-0005-0000-0000-00000E6A0000}"/>
    <cellStyle name="표준 10 9 2" xfId="6627" xr:uid="{00000000-0005-0000-0000-00000F6A0000}"/>
    <cellStyle name="표준 10 9 3" xfId="6628" xr:uid="{00000000-0005-0000-0000-0000106A0000}"/>
    <cellStyle name="표준 10 9_뇌출혈특약(갱신형)" xfId="13271" xr:uid="{00000000-0005-0000-0000-0000116A0000}"/>
    <cellStyle name="표준 10_뇌출혈특약(갱신형)" xfId="13272" xr:uid="{00000000-0005-0000-0000-0000126A0000}"/>
    <cellStyle name="표준 11" xfId="34" xr:uid="{00000000-0005-0000-0000-0000136A0000}"/>
    <cellStyle name="표준 11 10" xfId="6629" xr:uid="{00000000-0005-0000-0000-0000146A0000}"/>
    <cellStyle name="표준 11 10 2" xfId="6630" xr:uid="{00000000-0005-0000-0000-0000156A0000}"/>
    <cellStyle name="표준 11 10 3" xfId="6631" xr:uid="{00000000-0005-0000-0000-0000166A0000}"/>
    <cellStyle name="표준 11 10_뇌출혈특약(갱신형)" xfId="13273" xr:uid="{00000000-0005-0000-0000-0000176A0000}"/>
    <cellStyle name="표준 11 11" xfId="6632" xr:uid="{00000000-0005-0000-0000-0000186A0000}"/>
    <cellStyle name="표준 11 11 2" xfId="6633" xr:uid="{00000000-0005-0000-0000-0000196A0000}"/>
    <cellStyle name="표준 11 11_뇌출혈특약(갱신형)" xfId="13274" xr:uid="{00000000-0005-0000-0000-00001A6A0000}"/>
    <cellStyle name="표준 11 12" xfId="6634" xr:uid="{00000000-0005-0000-0000-00001B6A0000}"/>
    <cellStyle name="표준 11 12 2" xfId="6635" xr:uid="{00000000-0005-0000-0000-00001C6A0000}"/>
    <cellStyle name="표준 11 12_뇌출혈특약(갱신형)" xfId="13275" xr:uid="{00000000-0005-0000-0000-00001D6A0000}"/>
    <cellStyle name="표준 11 13" xfId="6636" xr:uid="{00000000-0005-0000-0000-00001E6A0000}"/>
    <cellStyle name="표준 11 13 2" xfId="6637" xr:uid="{00000000-0005-0000-0000-00001F6A0000}"/>
    <cellStyle name="표준 11 13_뇌출혈특약(갱신형)" xfId="13276" xr:uid="{00000000-0005-0000-0000-0000206A0000}"/>
    <cellStyle name="표준 11 14" xfId="6638" xr:uid="{00000000-0005-0000-0000-0000216A0000}"/>
    <cellStyle name="표준 11 14 2" xfId="6639" xr:uid="{00000000-0005-0000-0000-0000226A0000}"/>
    <cellStyle name="표준 11 14_뇌출혈특약(갱신형)" xfId="13277" xr:uid="{00000000-0005-0000-0000-0000236A0000}"/>
    <cellStyle name="표준 11 15" xfId="6640" xr:uid="{00000000-0005-0000-0000-0000246A0000}"/>
    <cellStyle name="표준 11 16" xfId="6641" xr:uid="{00000000-0005-0000-0000-0000256A0000}"/>
    <cellStyle name="표준 11 17" xfId="17150" xr:uid="{00000000-0005-0000-0000-0000266A0000}"/>
    <cellStyle name="표준 11 2" xfId="6642" xr:uid="{00000000-0005-0000-0000-0000276A0000}"/>
    <cellStyle name="표준 11 2 2" xfId="6643" xr:uid="{00000000-0005-0000-0000-0000286A0000}"/>
    <cellStyle name="표준 11 2 2 2" xfId="6644" xr:uid="{00000000-0005-0000-0000-0000296A0000}"/>
    <cellStyle name="표준 11 2 2 2 2" xfId="6645" xr:uid="{00000000-0005-0000-0000-00002A6A0000}"/>
    <cellStyle name="표준 11 2 2 2 2 2" xfId="6646" xr:uid="{00000000-0005-0000-0000-00002B6A0000}"/>
    <cellStyle name="표준 11 2 2 2 2 3" xfId="6647" xr:uid="{00000000-0005-0000-0000-00002C6A0000}"/>
    <cellStyle name="표준 11 2 2 2 2_뇌출혈특약(갱신형)" xfId="13278" xr:uid="{00000000-0005-0000-0000-00002D6A0000}"/>
    <cellStyle name="표준 11 2 2 2 3" xfId="6648" xr:uid="{00000000-0005-0000-0000-00002E6A0000}"/>
    <cellStyle name="표준 11 2 2 2 4" xfId="6649" xr:uid="{00000000-0005-0000-0000-00002F6A0000}"/>
    <cellStyle name="표준 11 2 2 2_뇌출혈특약(갱신형)" xfId="13279" xr:uid="{00000000-0005-0000-0000-0000306A0000}"/>
    <cellStyle name="표준 11 2 2 3" xfId="6650" xr:uid="{00000000-0005-0000-0000-0000316A0000}"/>
    <cellStyle name="표준 11 2 2 3 2" xfId="6651" xr:uid="{00000000-0005-0000-0000-0000326A0000}"/>
    <cellStyle name="표준 11 2 2 3 2 2" xfId="6652" xr:uid="{00000000-0005-0000-0000-0000336A0000}"/>
    <cellStyle name="표준 11 2 2 3 2 3" xfId="6653" xr:uid="{00000000-0005-0000-0000-0000346A0000}"/>
    <cellStyle name="표준 11 2 2 3 2_뇌출혈특약(갱신형)" xfId="13280" xr:uid="{00000000-0005-0000-0000-0000356A0000}"/>
    <cellStyle name="표준 11 2 2 3 3" xfId="6654" xr:uid="{00000000-0005-0000-0000-0000366A0000}"/>
    <cellStyle name="표준 11 2 2 3 4" xfId="6655" xr:uid="{00000000-0005-0000-0000-0000376A0000}"/>
    <cellStyle name="표준 11 2 2 3_뇌출혈특약(갱신형)" xfId="13281" xr:uid="{00000000-0005-0000-0000-0000386A0000}"/>
    <cellStyle name="표준 11 2 2 4" xfId="6656" xr:uid="{00000000-0005-0000-0000-0000396A0000}"/>
    <cellStyle name="표준 11 2 2 4 2" xfId="6657" xr:uid="{00000000-0005-0000-0000-00003A6A0000}"/>
    <cellStyle name="표준 11 2 2 4 3" xfId="6658" xr:uid="{00000000-0005-0000-0000-00003B6A0000}"/>
    <cellStyle name="표준 11 2 2 4_뇌출혈특약(갱신형)" xfId="13282" xr:uid="{00000000-0005-0000-0000-00003C6A0000}"/>
    <cellStyle name="표준 11 2 2 5" xfId="6659" xr:uid="{00000000-0005-0000-0000-00003D6A0000}"/>
    <cellStyle name="표준 11 2 2 5 2" xfId="6660" xr:uid="{00000000-0005-0000-0000-00003E6A0000}"/>
    <cellStyle name="표준 11 2 2 5 3" xfId="6661" xr:uid="{00000000-0005-0000-0000-00003F6A0000}"/>
    <cellStyle name="표준 11 2 2 5_뇌출혈특약(갱신형)" xfId="13283" xr:uid="{00000000-0005-0000-0000-0000406A0000}"/>
    <cellStyle name="표준 11 2 2 6" xfId="6662" xr:uid="{00000000-0005-0000-0000-0000416A0000}"/>
    <cellStyle name="표준 11 2 2 7" xfId="6663" xr:uid="{00000000-0005-0000-0000-0000426A0000}"/>
    <cellStyle name="표준 11 2 2_뇌출혈특약(갱신형)" xfId="13284" xr:uid="{00000000-0005-0000-0000-0000436A0000}"/>
    <cellStyle name="표준 11 2 3" xfId="6664" xr:uid="{00000000-0005-0000-0000-0000446A0000}"/>
    <cellStyle name="표준 11 2 3 2" xfId="6665" xr:uid="{00000000-0005-0000-0000-0000456A0000}"/>
    <cellStyle name="표준 11 2 3 2 2" xfId="6666" xr:uid="{00000000-0005-0000-0000-0000466A0000}"/>
    <cellStyle name="표준 11 2 3 2 3" xfId="6667" xr:uid="{00000000-0005-0000-0000-0000476A0000}"/>
    <cellStyle name="표준 11 2 3 2_뇌출혈특약(갱신형)" xfId="13285" xr:uid="{00000000-0005-0000-0000-0000486A0000}"/>
    <cellStyle name="표준 11 2 3 3" xfId="6668" xr:uid="{00000000-0005-0000-0000-0000496A0000}"/>
    <cellStyle name="표준 11 2 3 4" xfId="6669" xr:uid="{00000000-0005-0000-0000-00004A6A0000}"/>
    <cellStyle name="표준 11 2 3_뇌출혈특약(갱신형)" xfId="13286" xr:uid="{00000000-0005-0000-0000-00004B6A0000}"/>
    <cellStyle name="표준 11 2 4" xfId="6670" xr:uid="{00000000-0005-0000-0000-00004C6A0000}"/>
    <cellStyle name="표준 11 2 4 2" xfId="6671" xr:uid="{00000000-0005-0000-0000-00004D6A0000}"/>
    <cellStyle name="표준 11 2 4 2 2" xfId="6672" xr:uid="{00000000-0005-0000-0000-00004E6A0000}"/>
    <cellStyle name="표준 11 2 4 2 3" xfId="6673" xr:uid="{00000000-0005-0000-0000-00004F6A0000}"/>
    <cellStyle name="표준 11 2 4 2_뇌출혈특약(갱신형)" xfId="13287" xr:uid="{00000000-0005-0000-0000-0000506A0000}"/>
    <cellStyle name="표준 11 2 4 3" xfId="6674" xr:uid="{00000000-0005-0000-0000-0000516A0000}"/>
    <cellStyle name="표준 11 2 4 4" xfId="6675" xr:uid="{00000000-0005-0000-0000-0000526A0000}"/>
    <cellStyle name="표준 11 2 4_뇌출혈특약(갱신형)" xfId="13288" xr:uid="{00000000-0005-0000-0000-0000536A0000}"/>
    <cellStyle name="표준 11 2 5" xfId="6676" xr:uid="{00000000-0005-0000-0000-0000546A0000}"/>
    <cellStyle name="표준 11 2 5 2" xfId="6677" xr:uid="{00000000-0005-0000-0000-0000556A0000}"/>
    <cellStyle name="표준 11 2 5 3" xfId="6678" xr:uid="{00000000-0005-0000-0000-0000566A0000}"/>
    <cellStyle name="표준 11 2 5_뇌출혈특약(갱신형)" xfId="13289" xr:uid="{00000000-0005-0000-0000-0000576A0000}"/>
    <cellStyle name="표준 11 2 6" xfId="6679" xr:uid="{00000000-0005-0000-0000-0000586A0000}"/>
    <cellStyle name="표준 11 2 6 2" xfId="6680" xr:uid="{00000000-0005-0000-0000-0000596A0000}"/>
    <cellStyle name="표준 11 2 6 3" xfId="6681" xr:uid="{00000000-0005-0000-0000-00005A6A0000}"/>
    <cellStyle name="표준 11 2 6_뇌출혈특약(갱신형)" xfId="13290" xr:uid="{00000000-0005-0000-0000-00005B6A0000}"/>
    <cellStyle name="표준 11 2 7" xfId="6682" xr:uid="{00000000-0005-0000-0000-00005C6A0000}"/>
    <cellStyle name="표준 11 2 8" xfId="6683" xr:uid="{00000000-0005-0000-0000-00005D6A0000}"/>
    <cellStyle name="표준 11 2_뇌출혈특약(갱신형)" xfId="13291" xr:uid="{00000000-0005-0000-0000-00005E6A0000}"/>
    <cellStyle name="표준 11 3" xfId="6684" xr:uid="{00000000-0005-0000-0000-00005F6A0000}"/>
    <cellStyle name="표준 11 3 2" xfId="6685" xr:uid="{00000000-0005-0000-0000-0000606A0000}"/>
    <cellStyle name="표준 11 3 2 2" xfId="6686" xr:uid="{00000000-0005-0000-0000-0000616A0000}"/>
    <cellStyle name="표준 11 3 2 2 2" xfId="6687" xr:uid="{00000000-0005-0000-0000-0000626A0000}"/>
    <cellStyle name="표준 11 3 2 2 3" xfId="6688" xr:uid="{00000000-0005-0000-0000-0000636A0000}"/>
    <cellStyle name="표준 11 3 2 2_뇌출혈특약(갱신형)" xfId="13292" xr:uid="{00000000-0005-0000-0000-0000646A0000}"/>
    <cellStyle name="표준 11 3 2 3" xfId="6689" xr:uid="{00000000-0005-0000-0000-0000656A0000}"/>
    <cellStyle name="표준 11 3 2 4" xfId="6690" xr:uid="{00000000-0005-0000-0000-0000666A0000}"/>
    <cellStyle name="표준 11 3 2_뇌출혈특약(갱신형)" xfId="13293" xr:uid="{00000000-0005-0000-0000-0000676A0000}"/>
    <cellStyle name="표준 11 3 3" xfId="6691" xr:uid="{00000000-0005-0000-0000-0000686A0000}"/>
    <cellStyle name="표준 11 3 3 2" xfId="6692" xr:uid="{00000000-0005-0000-0000-0000696A0000}"/>
    <cellStyle name="표준 11 3 3 2 2" xfId="6693" xr:uid="{00000000-0005-0000-0000-00006A6A0000}"/>
    <cellStyle name="표준 11 3 3 2 3" xfId="6694" xr:uid="{00000000-0005-0000-0000-00006B6A0000}"/>
    <cellStyle name="표준 11 3 3 2_뇌출혈특약(갱신형)" xfId="13294" xr:uid="{00000000-0005-0000-0000-00006C6A0000}"/>
    <cellStyle name="표준 11 3 3 3" xfId="6695" xr:uid="{00000000-0005-0000-0000-00006D6A0000}"/>
    <cellStyle name="표준 11 3 3 4" xfId="6696" xr:uid="{00000000-0005-0000-0000-00006E6A0000}"/>
    <cellStyle name="표준 11 3 3_뇌출혈특약(갱신형)" xfId="13295" xr:uid="{00000000-0005-0000-0000-00006F6A0000}"/>
    <cellStyle name="표준 11 3 4" xfId="6697" xr:uid="{00000000-0005-0000-0000-0000706A0000}"/>
    <cellStyle name="표준 11 3 4 2" xfId="6698" xr:uid="{00000000-0005-0000-0000-0000716A0000}"/>
    <cellStyle name="표준 11 3 4 3" xfId="6699" xr:uid="{00000000-0005-0000-0000-0000726A0000}"/>
    <cellStyle name="표준 11 3 4_뇌출혈특약(갱신형)" xfId="13296" xr:uid="{00000000-0005-0000-0000-0000736A0000}"/>
    <cellStyle name="표준 11 3 5" xfId="6700" xr:uid="{00000000-0005-0000-0000-0000746A0000}"/>
    <cellStyle name="표준 11 3 5 2" xfId="6701" xr:uid="{00000000-0005-0000-0000-0000756A0000}"/>
    <cellStyle name="표준 11 3 5 3" xfId="6702" xr:uid="{00000000-0005-0000-0000-0000766A0000}"/>
    <cellStyle name="표준 11 3 5_뇌출혈특약(갱신형)" xfId="13297" xr:uid="{00000000-0005-0000-0000-0000776A0000}"/>
    <cellStyle name="표준 11 3 6" xfId="6703" xr:uid="{00000000-0005-0000-0000-0000786A0000}"/>
    <cellStyle name="표준 11 3 7" xfId="6704" xr:uid="{00000000-0005-0000-0000-0000796A0000}"/>
    <cellStyle name="표준 11 3_뇌출혈특약(갱신형)" xfId="13298" xr:uid="{00000000-0005-0000-0000-00007A6A0000}"/>
    <cellStyle name="표준 11 4" xfId="6705" xr:uid="{00000000-0005-0000-0000-00007B6A0000}"/>
    <cellStyle name="표준 11 4 2" xfId="6706" xr:uid="{00000000-0005-0000-0000-00007C6A0000}"/>
    <cellStyle name="표준 11 4 2 2" xfId="6707" xr:uid="{00000000-0005-0000-0000-00007D6A0000}"/>
    <cellStyle name="표준 11 4 2 2 2" xfId="6708" xr:uid="{00000000-0005-0000-0000-00007E6A0000}"/>
    <cellStyle name="표준 11 4 2 2 3" xfId="6709" xr:uid="{00000000-0005-0000-0000-00007F6A0000}"/>
    <cellStyle name="표준 11 4 2 2_뇌출혈특약(갱신형)" xfId="13299" xr:uid="{00000000-0005-0000-0000-0000806A0000}"/>
    <cellStyle name="표준 11 4 2 3" xfId="6710" xr:uid="{00000000-0005-0000-0000-0000816A0000}"/>
    <cellStyle name="표준 11 4 2 4" xfId="6711" xr:uid="{00000000-0005-0000-0000-0000826A0000}"/>
    <cellStyle name="표준 11 4 2_뇌출혈특약(갱신형)" xfId="13300" xr:uid="{00000000-0005-0000-0000-0000836A0000}"/>
    <cellStyle name="표준 11 4 3" xfId="6712" xr:uid="{00000000-0005-0000-0000-0000846A0000}"/>
    <cellStyle name="표준 11 4 3 2" xfId="6713" xr:uid="{00000000-0005-0000-0000-0000856A0000}"/>
    <cellStyle name="표준 11 4 3 2 2" xfId="6714" xr:uid="{00000000-0005-0000-0000-0000866A0000}"/>
    <cellStyle name="표준 11 4 3 2 3" xfId="6715" xr:uid="{00000000-0005-0000-0000-0000876A0000}"/>
    <cellStyle name="표준 11 4 3 2_뇌출혈특약(갱신형)" xfId="13301" xr:uid="{00000000-0005-0000-0000-0000886A0000}"/>
    <cellStyle name="표준 11 4 3 3" xfId="6716" xr:uid="{00000000-0005-0000-0000-0000896A0000}"/>
    <cellStyle name="표준 11 4 3 4" xfId="6717" xr:uid="{00000000-0005-0000-0000-00008A6A0000}"/>
    <cellStyle name="표준 11 4 3_뇌출혈특약(갱신형)" xfId="13302" xr:uid="{00000000-0005-0000-0000-00008B6A0000}"/>
    <cellStyle name="표준 11 4 4" xfId="6718" xr:uid="{00000000-0005-0000-0000-00008C6A0000}"/>
    <cellStyle name="표준 11 4 4 2" xfId="6719" xr:uid="{00000000-0005-0000-0000-00008D6A0000}"/>
    <cellStyle name="표준 11 4 4 3" xfId="6720" xr:uid="{00000000-0005-0000-0000-00008E6A0000}"/>
    <cellStyle name="표준 11 4 4_뇌출혈특약(갱신형)" xfId="13303" xr:uid="{00000000-0005-0000-0000-00008F6A0000}"/>
    <cellStyle name="표준 11 4 5" xfId="6721" xr:uid="{00000000-0005-0000-0000-0000906A0000}"/>
    <cellStyle name="표준 11 4 5 2" xfId="6722" xr:uid="{00000000-0005-0000-0000-0000916A0000}"/>
    <cellStyle name="표준 11 4 5 3" xfId="6723" xr:uid="{00000000-0005-0000-0000-0000926A0000}"/>
    <cellStyle name="표준 11 4 5_뇌출혈특약(갱신형)" xfId="13304" xr:uid="{00000000-0005-0000-0000-0000936A0000}"/>
    <cellStyle name="표준 11 4 6" xfId="6724" xr:uid="{00000000-0005-0000-0000-0000946A0000}"/>
    <cellStyle name="표준 11 4 7" xfId="6725" xr:uid="{00000000-0005-0000-0000-0000956A0000}"/>
    <cellStyle name="표준 11 4_뇌출혈특약(갱신형)" xfId="13305" xr:uid="{00000000-0005-0000-0000-0000966A0000}"/>
    <cellStyle name="표준 11 5" xfId="6726" xr:uid="{00000000-0005-0000-0000-0000976A0000}"/>
    <cellStyle name="표준 11 5 2" xfId="6727" xr:uid="{00000000-0005-0000-0000-0000986A0000}"/>
    <cellStyle name="표준 11 5 2 2" xfId="6728" xr:uid="{00000000-0005-0000-0000-0000996A0000}"/>
    <cellStyle name="표준 11 5 2 3" xfId="6729" xr:uid="{00000000-0005-0000-0000-00009A6A0000}"/>
    <cellStyle name="표준 11 5 2_뇌출혈특약(갱신형)" xfId="13306" xr:uid="{00000000-0005-0000-0000-00009B6A0000}"/>
    <cellStyle name="표준 11 5 3" xfId="6730" xr:uid="{00000000-0005-0000-0000-00009C6A0000}"/>
    <cellStyle name="표준 11 5 4" xfId="6731" xr:uid="{00000000-0005-0000-0000-00009D6A0000}"/>
    <cellStyle name="표준 11 5_뇌출혈특약(갱신형)" xfId="13307" xr:uid="{00000000-0005-0000-0000-00009E6A0000}"/>
    <cellStyle name="표준 11 6" xfId="6732" xr:uid="{00000000-0005-0000-0000-00009F6A0000}"/>
    <cellStyle name="표준 11 6 2" xfId="6733" xr:uid="{00000000-0005-0000-0000-0000A06A0000}"/>
    <cellStyle name="표준 11 6 2 2" xfId="6734" xr:uid="{00000000-0005-0000-0000-0000A16A0000}"/>
    <cellStyle name="표준 11 6 2 3" xfId="6735" xr:uid="{00000000-0005-0000-0000-0000A26A0000}"/>
    <cellStyle name="표준 11 6 2_뇌출혈특약(갱신형)" xfId="13308" xr:uid="{00000000-0005-0000-0000-0000A36A0000}"/>
    <cellStyle name="표준 11 6 3" xfId="6736" xr:uid="{00000000-0005-0000-0000-0000A46A0000}"/>
    <cellStyle name="표준 11 6 4" xfId="6737" xr:uid="{00000000-0005-0000-0000-0000A56A0000}"/>
    <cellStyle name="표준 11 6_뇌출혈특약(갱신형)" xfId="13309" xr:uid="{00000000-0005-0000-0000-0000A66A0000}"/>
    <cellStyle name="표준 11 7" xfId="6738" xr:uid="{00000000-0005-0000-0000-0000A76A0000}"/>
    <cellStyle name="표준 11 7 2" xfId="6739" xr:uid="{00000000-0005-0000-0000-0000A86A0000}"/>
    <cellStyle name="표준 11 7 3" xfId="6740" xr:uid="{00000000-0005-0000-0000-0000A96A0000}"/>
    <cellStyle name="표준 11 7_뇌출혈특약(갱신형)" xfId="13310" xr:uid="{00000000-0005-0000-0000-0000AA6A0000}"/>
    <cellStyle name="표준 11 8" xfId="6741" xr:uid="{00000000-0005-0000-0000-0000AB6A0000}"/>
    <cellStyle name="표준 11 8 2" xfId="6742" xr:uid="{00000000-0005-0000-0000-0000AC6A0000}"/>
    <cellStyle name="표준 11 8 3" xfId="6743" xr:uid="{00000000-0005-0000-0000-0000AD6A0000}"/>
    <cellStyle name="표준 11 8_뇌출혈특약(갱신형)" xfId="13311" xr:uid="{00000000-0005-0000-0000-0000AE6A0000}"/>
    <cellStyle name="표준 11 9" xfId="6744" xr:uid="{00000000-0005-0000-0000-0000AF6A0000}"/>
    <cellStyle name="표준 11 9 2" xfId="6745" xr:uid="{00000000-0005-0000-0000-0000B06A0000}"/>
    <cellStyle name="표준 11 9 3" xfId="6746" xr:uid="{00000000-0005-0000-0000-0000B16A0000}"/>
    <cellStyle name="표준 11 9_뇌출혈특약(갱신형)" xfId="13312" xr:uid="{00000000-0005-0000-0000-0000B26A0000}"/>
    <cellStyle name="표준 11_뇌출혈특약(갱신형)" xfId="13313" xr:uid="{00000000-0005-0000-0000-0000B36A0000}"/>
    <cellStyle name="표준 12" xfId="35" xr:uid="{00000000-0005-0000-0000-0000B46A0000}"/>
    <cellStyle name="표준 12 10" xfId="6747" xr:uid="{00000000-0005-0000-0000-0000B56A0000}"/>
    <cellStyle name="표준 12 10 2" xfId="6748" xr:uid="{00000000-0005-0000-0000-0000B66A0000}"/>
    <cellStyle name="표준 12 10 3" xfId="6749" xr:uid="{00000000-0005-0000-0000-0000B76A0000}"/>
    <cellStyle name="표준 12 10_뇌출혈특약(갱신형)" xfId="13314" xr:uid="{00000000-0005-0000-0000-0000B86A0000}"/>
    <cellStyle name="표준 12 11" xfId="6750" xr:uid="{00000000-0005-0000-0000-0000B96A0000}"/>
    <cellStyle name="표준 12 11 2" xfId="6751" xr:uid="{00000000-0005-0000-0000-0000BA6A0000}"/>
    <cellStyle name="표준 12 11 3" xfId="6752" xr:uid="{00000000-0005-0000-0000-0000BB6A0000}"/>
    <cellStyle name="표준 12 11_뇌출혈특약(갱신형)" xfId="13315" xr:uid="{00000000-0005-0000-0000-0000BC6A0000}"/>
    <cellStyle name="표준 12 12" xfId="6753" xr:uid="{00000000-0005-0000-0000-0000BD6A0000}"/>
    <cellStyle name="표준 12 12 2" xfId="6754" xr:uid="{00000000-0005-0000-0000-0000BE6A0000}"/>
    <cellStyle name="표준 12 12_뇌출혈특약(갱신형)" xfId="13316" xr:uid="{00000000-0005-0000-0000-0000BF6A0000}"/>
    <cellStyle name="표준 12 13" xfId="6755" xr:uid="{00000000-0005-0000-0000-0000C06A0000}"/>
    <cellStyle name="표준 12 13 2" xfId="6756" xr:uid="{00000000-0005-0000-0000-0000C16A0000}"/>
    <cellStyle name="표준 12 13_뇌출혈특약(갱신형)" xfId="13317" xr:uid="{00000000-0005-0000-0000-0000C26A0000}"/>
    <cellStyle name="표준 12 14" xfId="6757" xr:uid="{00000000-0005-0000-0000-0000C36A0000}"/>
    <cellStyle name="표준 12 14 2" xfId="6758" xr:uid="{00000000-0005-0000-0000-0000C46A0000}"/>
    <cellStyle name="표준 12 14_뇌출혈특약(갱신형)" xfId="13318" xr:uid="{00000000-0005-0000-0000-0000C56A0000}"/>
    <cellStyle name="표준 12 15" xfId="6759" xr:uid="{00000000-0005-0000-0000-0000C66A0000}"/>
    <cellStyle name="표준 12 15 2" xfId="6760" xr:uid="{00000000-0005-0000-0000-0000C76A0000}"/>
    <cellStyle name="표준 12 15_뇌출혈특약(갱신형)" xfId="13319" xr:uid="{00000000-0005-0000-0000-0000C86A0000}"/>
    <cellStyle name="표준 12 16" xfId="6761" xr:uid="{00000000-0005-0000-0000-0000C96A0000}"/>
    <cellStyle name="표준 12 17" xfId="6762" xr:uid="{00000000-0005-0000-0000-0000CA6A0000}"/>
    <cellStyle name="표준 12 18" xfId="17151" xr:uid="{00000000-0005-0000-0000-0000CB6A0000}"/>
    <cellStyle name="표준 12 2" xfId="6763" xr:uid="{00000000-0005-0000-0000-0000CC6A0000}"/>
    <cellStyle name="표준 12 2 10" xfId="6764" xr:uid="{00000000-0005-0000-0000-0000CD6A0000}"/>
    <cellStyle name="표준 12 2 11" xfId="6765" xr:uid="{00000000-0005-0000-0000-0000CE6A0000}"/>
    <cellStyle name="표준 12 2 2" xfId="6766" xr:uid="{00000000-0005-0000-0000-0000CF6A0000}"/>
    <cellStyle name="표준 12 2 2 2" xfId="6767" xr:uid="{00000000-0005-0000-0000-0000D06A0000}"/>
    <cellStyle name="표준 12 2 2 2 2" xfId="6768" xr:uid="{00000000-0005-0000-0000-0000D16A0000}"/>
    <cellStyle name="표준 12 2 2 2 2 2" xfId="6769" xr:uid="{00000000-0005-0000-0000-0000D26A0000}"/>
    <cellStyle name="표준 12 2 2 2 2 3" xfId="6770" xr:uid="{00000000-0005-0000-0000-0000D36A0000}"/>
    <cellStyle name="표준 12 2 2 2 2_뇌출혈특약(갱신형)" xfId="13320" xr:uid="{00000000-0005-0000-0000-0000D46A0000}"/>
    <cellStyle name="표준 12 2 2 2 3" xfId="6771" xr:uid="{00000000-0005-0000-0000-0000D56A0000}"/>
    <cellStyle name="표준 12 2 2 2 4" xfId="6772" xr:uid="{00000000-0005-0000-0000-0000D66A0000}"/>
    <cellStyle name="표준 12 2 2 2_뇌출혈특약(갱신형)" xfId="13321" xr:uid="{00000000-0005-0000-0000-0000D76A0000}"/>
    <cellStyle name="표준 12 2 2 3" xfId="6773" xr:uid="{00000000-0005-0000-0000-0000D86A0000}"/>
    <cellStyle name="표준 12 2 2 3 2" xfId="6774" xr:uid="{00000000-0005-0000-0000-0000D96A0000}"/>
    <cellStyle name="표준 12 2 2 3 2 2" xfId="6775" xr:uid="{00000000-0005-0000-0000-0000DA6A0000}"/>
    <cellStyle name="표준 12 2 2 3 2 3" xfId="6776" xr:uid="{00000000-0005-0000-0000-0000DB6A0000}"/>
    <cellStyle name="표준 12 2 2 3 2_뇌출혈특약(갱신형)" xfId="13322" xr:uid="{00000000-0005-0000-0000-0000DC6A0000}"/>
    <cellStyle name="표준 12 2 2 3 3" xfId="6777" xr:uid="{00000000-0005-0000-0000-0000DD6A0000}"/>
    <cellStyle name="표준 12 2 2 3 4" xfId="6778" xr:uid="{00000000-0005-0000-0000-0000DE6A0000}"/>
    <cellStyle name="표준 12 2 2 3_뇌출혈특약(갱신형)" xfId="13323" xr:uid="{00000000-0005-0000-0000-0000DF6A0000}"/>
    <cellStyle name="표준 12 2 2 4" xfId="6779" xr:uid="{00000000-0005-0000-0000-0000E06A0000}"/>
    <cellStyle name="표준 12 2 2 4 2" xfId="6780" xr:uid="{00000000-0005-0000-0000-0000E16A0000}"/>
    <cellStyle name="표준 12 2 2 4 3" xfId="6781" xr:uid="{00000000-0005-0000-0000-0000E26A0000}"/>
    <cellStyle name="표준 12 2 2 4_뇌출혈특약(갱신형)" xfId="13324" xr:uid="{00000000-0005-0000-0000-0000E36A0000}"/>
    <cellStyle name="표준 12 2 2 5" xfId="6782" xr:uid="{00000000-0005-0000-0000-0000E46A0000}"/>
    <cellStyle name="표준 12 2 2 5 2" xfId="6783" xr:uid="{00000000-0005-0000-0000-0000E56A0000}"/>
    <cellStyle name="표준 12 2 2 5 3" xfId="6784" xr:uid="{00000000-0005-0000-0000-0000E66A0000}"/>
    <cellStyle name="표준 12 2 2 5_뇌출혈특약(갱신형)" xfId="13325" xr:uid="{00000000-0005-0000-0000-0000E76A0000}"/>
    <cellStyle name="표준 12 2 2 6" xfId="6785" xr:uid="{00000000-0005-0000-0000-0000E86A0000}"/>
    <cellStyle name="표준 12 2 2 7" xfId="6786" xr:uid="{00000000-0005-0000-0000-0000E96A0000}"/>
    <cellStyle name="표준 12 2 2_뇌출혈특약(갱신형)" xfId="13326" xr:uid="{00000000-0005-0000-0000-0000EA6A0000}"/>
    <cellStyle name="표준 12 2 3" xfId="6787" xr:uid="{00000000-0005-0000-0000-0000EB6A0000}"/>
    <cellStyle name="표준 12 2 3 2" xfId="6788" xr:uid="{00000000-0005-0000-0000-0000EC6A0000}"/>
    <cellStyle name="표준 12 2 3 2 2" xfId="6789" xr:uid="{00000000-0005-0000-0000-0000ED6A0000}"/>
    <cellStyle name="표준 12 2 3 2 3" xfId="6790" xr:uid="{00000000-0005-0000-0000-0000EE6A0000}"/>
    <cellStyle name="표준 12 2 3 2_뇌출혈특약(갱신형)" xfId="13327" xr:uid="{00000000-0005-0000-0000-0000EF6A0000}"/>
    <cellStyle name="표준 12 2 3 3" xfId="6791" xr:uid="{00000000-0005-0000-0000-0000F06A0000}"/>
    <cellStyle name="표준 12 2 3 4" xfId="6792" xr:uid="{00000000-0005-0000-0000-0000F16A0000}"/>
    <cellStyle name="표준 12 2 3_뇌출혈특약(갱신형)" xfId="13328" xr:uid="{00000000-0005-0000-0000-0000F26A0000}"/>
    <cellStyle name="표준 12 2 4" xfId="6793" xr:uid="{00000000-0005-0000-0000-0000F36A0000}"/>
    <cellStyle name="표준 12 2 4 2" xfId="6794" xr:uid="{00000000-0005-0000-0000-0000F46A0000}"/>
    <cellStyle name="표준 12 2 4 2 2" xfId="6795" xr:uid="{00000000-0005-0000-0000-0000F56A0000}"/>
    <cellStyle name="표준 12 2 4 2 3" xfId="6796" xr:uid="{00000000-0005-0000-0000-0000F66A0000}"/>
    <cellStyle name="표준 12 2 4 2_뇌출혈특약(갱신형)" xfId="13329" xr:uid="{00000000-0005-0000-0000-0000F76A0000}"/>
    <cellStyle name="표준 12 2 4 3" xfId="6797" xr:uid="{00000000-0005-0000-0000-0000F86A0000}"/>
    <cellStyle name="표준 12 2 4 4" xfId="6798" xr:uid="{00000000-0005-0000-0000-0000F96A0000}"/>
    <cellStyle name="표준 12 2 4_뇌출혈특약(갱신형)" xfId="13330" xr:uid="{00000000-0005-0000-0000-0000FA6A0000}"/>
    <cellStyle name="표준 12 2 5" xfId="6799" xr:uid="{00000000-0005-0000-0000-0000FB6A0000}"/>
    <cellStyle name="표준 12 2 5 2" xfId="6800" xr:uid="{00000000-0005-0000-0000-0000FC6A0000}"/>
    <cellStyle name="표준 12 2 5 3" xfId="6801" xr:uid="{00000000-0005-0000-0000-0000FD6A0000}"/>
    <cellStyle name="표준 12 2 5_뇌출혈특약(갱신형)" xfId="13331" xr:uid="{00000000-0005-0000-0000-0000FE6A0000}"/>
    <cellStyle name="표준 12 2 6" xfId="6802" xr:uid="{00000000-0005-0000-0000-0000FF6A0000}"/>
    <cellStyle name="표준 12 2 6 2" xfId="6803" xr:uid="{00000000-0005-0000-0000-0000006B0000}"/>
    <cellStyle name="표준 12 2 6 3" xfId="6804" xr:uid="{00000000-0005-0000-0000-0000016B0000}"/>
    <cellStyle name="표준 12 2 6_뇌출혈특약(갱신형)" xfId="13332" xr:uid="{00000000-0005-0000-0000-0000026B0000}"/>
    <cellStyle name="표준 12 2 7" xfId="6805" xr:uid="{00000000-0005-0000-0000-0000036B0000}"/>
    <cellStyle name="표준 12 2 7 2" xfId="6806" xr:uid="{00000000-0005-0000-0000-0000046B0000}"/>
    <cellStyle name="표준 12 2 7_뇌출혈특약(갱신형)" xfId="13333" xr:uid="{00000000-0005-0000-0000-0000056B0000}"/>
    <cellStyle name="표준 12 2 8" xfId="6807" xr:uid="{00000000-0005-0000-0000-0000066B0000}"/>
    <cellStyle name="표준 12 2 8 2" xfId="6808" xr:uid="{00000000-0005-0000-0000-0000076B0000}"/>
    <cellStyle name="표준 12 2 8_뇌출혈특약(갱신형)" xfId="13334" xr:uid="{00000000-0005-0000-0000-0000086B0000}"/>
    <cellStyle name="표준 12 2 9" xfId="6809" xr:uid="{00000000-0005-0000-0000-0000096B0000}"/>
    <cellStyle name="표준 12 2 9 2" xfId="6810" xr:uid="{00000000-0005-0000-0000-00000A6B0000}"/>
    <cellStyle name="표준 12 2 9_뇌출혈특약(갱신형)" xfId="13335" xr:uid="{00000000-0005-0000-0000-00000B6B0000}"/>
    <cellStyle name="표준 12 2_뇌출혈특약(갱신형)" xfId="13336" xr:uid="{00000000-0005-0000-0000-00000C6B0000}"/>
    <cellStyle name="표준 12 3" xfId="6811" xr:uid="{00000000-0005-0000-0000-00000D6B0000}"/>
    <cellStyle name="표준 12 3 2" xfId="6812" xr:uid="{00000000-0005-0000-0000-00000E6B0000}"/>
    <cellStyle name="표준 12 3 2 2" xfId="6813" xr:uid="{00000000-0005-0000-0000-00000F6B0000}"/>
    <cellStyle name="표준 12 3 2 2 2" xfId="6814" xr:uid="{00000000-0005-0000-0000-0000106B0000}"/>
    <cellStyle name="표준 12 3 2 2 2 2" xfId="6815" xr:uid="{00000000-0005-0000-0000-0000116B0000}"/>
    <cellStyle name="표준 12 3 2 2 2 3" xfId="6816" xr:uid="{00000000-0005-0000-0000-0000126B0000}"/>
    <cellStyle name="표준 12 3 2 2 2_뇌출혈특약(갱신형)" xfId="13337" xr:uid="{00000000-0005-0000-0000-0000136B0000}"/>
    <cellStyle name="표준 12 3 2 2 3" xfId="6817" xr:uid="{00000000-0005-0000-0000-0000146B0000}"/>
    <cellStyle name="표준 12 3 2 2 4" xfId="6818" xr:uid="{00000000-0005-0000-0000-0000156B0000}"/>
    <cellStyle name="표준 12 3 2 2_뇌출혈특약(갱신형)" xfId="13338" xr:uid="{00000000-0005-0000-0000-0000166B0000}"/>
    <cellStyle name="표준 12 3 2 3" xfId="6819" xr:uid="{00000000-0005-0000-0000-0000176B0000}"/>
    <cellStyle name="표준 12 3 2 3 2" xfId="6820" xr:uid="{00000000-0005-0000-0000-0000186B0000}"/>
    <cellStyle name="표준 12 3 2 3 2 2" xfId="6821" xr:uid="{00000000-0005-0000-0000-0000196B0000}"/>
    <cellStyle name="표준 12 3 2 3 2 3" xfId="6822" xr:uid="{00000000-0005-0000-0000-00001A6B0000}"/>
    <cellStyle name="표준 12 3 2 3 2_뇌출혈특약(갱신형)" xfId="13339" xr:uid="{00000000-0005-0000-0000-00001B6B0000}"/>
    <cellStyle name="표준 12 3 2 3 3" xfId="6823" xr:uid="{00000000-0005-0000-0000-00001C6B0000}"/>
    <cellStyle name="표준 12 3 2 3 4" xfId="6824" xr:uid="{00000000-0005-0000-0000-00001D6B0000}"/>
    <cellStyle name="표준 12 3 2 3_뇌출혈특약(갱신형)" xfId="13340" xr:uid="{00000000-0005-0000-0000-00001E6B0000}"/>
    <cellStyle name="표준 12 3 2 4" xfId="6825" xr:uid="{00000000-0005-0000-0000-00001F6B0000}"/>
    <cellStyle name="표준 12 3 2 4 2" xfId="6826" xr:uid="{00000000-0005-0000-0000-0000206B0000}"/>
    <cellStyle name="표준 12 3 2 4 3" xfId="6827" xr:uid="{00000000-0005-0000-0000-0000216B0000}"/>
    <cellStyle name="표준 12 3 2 4_뇌출혈특약(갱신형)" xfId="13341" xr:uid="{00000000-0005-0000-0000-0000226B0000}"/>
    <cellStyle name="표준 12 3 2 5" xfId="6828" xr:uid="{00000000-0005-0000-0000-0000236B0000}"/>
    <cellStyle name="표준 12 3 2 5 2" xfId="6829" xr:uid="{00000000-0005-0000-0000-0000246B0000}"/>
    <cellStyle name="표준 12 3 2 5 3" xfId="6830" xr:uid="{00000000-0005-0000-0000-0000256B0000}"/>
    <cellStyle name="표준 12 3 2 5_뇌출혈특약(갱신형)" xfId="13342" xr:uid="{00000000-0005-0000-0000-0000266B0000}"/>
    <cellStyle name="표준 12 3 2 6" xfId="6831" xr:uid="{00000000-0005-0000-0000-0000276B0000}"/>
    <cellStyle name="표준 12 3 2 7" xfId="6832" xr:uid="{00000000-0005-0000-0000-0000286B0000}"/>
    <cellStyle name="표준 12 3 2_뇌출혈특약(갱신형)" xfId="13343" xr:uid="{00000000-0005-0000-0000-0000296B0000}"/>
    <cellStyle name="표준 12 3 3" xfId="6833" xr:uid="{00000000-0005-0000-0000-00002A6B0000}"/>
    <cellStyle name="표준 12 3 3 2" xfId="6834" xr:uid="{00000000-0005-0000-0000-00002B6B0000}"/>
    <cellStyle name="표준 12 3 3 2 2" xfId="6835" xr:uid="{00000000-0005-0000-0000-00002C6B0000}"/>
    <cellStyle name="표준 12 3 3 2 3" xfId="6836" xr:uid="{00000000-0005-0000-0000-00002D6B0000}"/>
    <cellStyle name="표준 12 3 3 2_뇌출혈특약(갱신형)" xfId="13344" xr:uid="{00000000-0005-0000-0000-00002E6B0000}"/>
    <cellStyle name="표준 12 3 3 3" xfId="6837" xr:uid="{00000000-0005-0000-0000-00002F6B0000}"/>
    <cellStyle name="표준 12 3 3 4" xfId="6838" xr:uid="{00000000-0005-0000-0000-0000306B0000}"/>
    <cellStyle name="표준 12 3 3_뇌출혈특약(갱신형)" xfId="13345" xr:uid="{00000000-0005-0000-0000-0000316B0000}"/>
    <cellStyle name="표준 12 3 4" xfId="6839" xr:uid="{00000000-0005-0000-0000-0000326B0000}"/>
    <cellStyle name="표준 12 3 4 2" xfId="6840" xr:uid="{00000000-0005-0000-0000-0000336B0000}"/>
    <cellStyle name="표준 12 3 4 2 2" xfId="6841" xr:uid="{00000000-0005-0000-0000-0000346B0000}"/>
    <cellStyle name="표준 12 3 4 2 3" xfId="6842" xr:uid="{00000000-0005-0000-0000-0000356B0000}"/>
    <cellStyle name="표준 12 3 4 2_뇌출혈특약(갱신형)" xfId="13346" xr:uid="{00000000-0005-0000-0000-0000366B0000}"/>
    <cellStyle name="표준 12 3 4 3" xfId="6843" xr:uid="{00000000-0005-0000-0000-0000376B0000}"/>
    <cellStyle name="표준 12 3 4 4" xfId="6844" xr:uid="{00000000-0005-0000-0000-0000386B0000}"/>
    <cellStyle name="표준 12 3 4_뇌출혈특약(갱신형)" xfId="13347" xr:uid="{00000000-0005-0000-0000-0000396B0000}"/>
    <cellStyle name="표준 12 3 5" xfId="6845" xr:uid="{00000000-0005-0000-0000-00003A6B0000}"/>
    <cellStyle name="표준 12 3 5 2" xfId="6846" xr:uid="{00000000-0005-0000-0000-00003B6B0000}"/>
    <cellStyle name="표준 12 3 5 3" xfId="6847" xr:uid="{00000000-0005-0000-0000-00003C6B0000}"/>
    <cellStyle name="표준 12 3 5_뇌출혈특약(갱신형)" xfId="13348" xr:uid="{00000000-0005-0000-0000-00003D6B0000}"/>
    <cellStyle name="표준 12 3 6" xfId="6848" xr:uid="{00000000-0005-0000-0000-00003E6B0000}"/>
    <cellStyle name="표준 12 3 6 2" xfId="6849" xr:uid="{00000000-0005-0000-0000-00003F6B0000}"/>
    <cellStyle name="표준 12 3 6 3" xfId="6850" xr:uid="{00000000-0005-0000-0000-0000406B0000}"/>
    <cellStyle name="표준 12 3 6_뇌출혈특약(갱신형)" xfId="13349" xr:uid="{00000000-0005-0000-0000-0000416B0000}"/>
    <cellStyle name="표준 12 3 7" xfId="6851" xr:uid="{00000000-0005-0000-0000-0000426B0000}"/>
    <cellStyle name="표준 12 3 8" xfId="6852" xr:uid="{00000000-0005-0000-0000-0000436B0000}"/>
    <cellStyle name="표준 12 3_뇌출혈특약(갱신형)" xfId="13350" xr:uid="{00000000-0005-0000-0000-0000446B0000}"/>
    <cellStyle name="표준 12 4" xfId="6853" xr:uid="{00000000-0005-0000-0000-0000456B0000}"/>
    <cellStyle name="표준 12 4 2" xfId="6854" xr:uid="{00000000-0005-0000-0000-0000466B0000}"/>
    <cellStyle name="표준 12 4 2 2" xfId="6855" xr:uid="{00000000-0005-0000-0000-0000476B0000}"/>
    <cellStyle name="표준 12 4 2 2 2" xfId="6856" xr:uid="{00000000-0005-0000-0000-0000486B0000}"/>
    <cellStyle name="표준 12 4 2 2 3" xfId="6857" xr:uid="{00000000-0005-0000-0000-0000496B0000}"/>
    <cellStyle name="표준 12 4 2 2_뇌출혈특약(갱신형)" xfId="13351" xr:uid="{00000000-0005-0000-0000-00004A6B0000}"/>
    <cellStyle name="표준 12 4 2 3" xfId="6858" xr:uid="{00000000-0005-0000-0000-00004B6B0000}"/>
    <cellStyle name="표준 12 4 2 4" xfId="6859" xr:uid="{00000000-0005-0000-0000-00004C6B0000}"/>
    <cellStyle name="표준 12 4 2_뇌출혈특약(갱신형)" xfId="13352" xr:uid="{00000000-0005-0000-0000-00004D6B0000}"/>
    <cellStyle name="표준 12 4 3" xfId="6860" xr:uid="{00000000-0005-0000-0000-00004E6B0000}"/>
    <cellStyle name="표준 12 4 3 2" xfId="6861" xr:uid="{00000000-0005-0000-0000-00004F6B0000}"/>
    <cellStyle name="표준 12 4 3 2 2" xfId="6862" xr:uid="{00000000-0005-0000-0000-0000506B0000}"/>
    <cellStyle name="표준 12 4 3 2 3" xfId="6863" xr:uid="{00000000-0005-0000-0000-0000516B0000}"/>
    <cellStyle name="표준 12 4 3 2_뇌출혈특약(갱신형)" xfId="13353" xr:uid="{00000000-0005-0000-0000-0000526B0000}"/>
    <cellStyle name="표준 12 4 3 3" xfId="6864" xr:uid="{00000000-0005-0000-0000-0000536B0000}"/>
    <cellStyle name="표준 12 4 3 4" xfId="6865" xr:uid="{00000000-0005-0000-0000-0000546B0000}"/>
    <cellStyle name="표준 12 4 3_뇌출혈특약(갱신형)" xfId="13354" xr:uid="{00000000-0005-0000-0000-0000556B0000}"/>
    <cellStyle name="표준 12 4 4" xfId="6866" xr:uid="{00000000-0005-0000-0000-0000566B0000}"/>
    <cellStyle name="표준 12 4 4 2" xfId="6867" xr:uid="{00000000-0005-0000-0000-0000576B0000}"/>
    <cellStyle name="표준 12 4 4 3" xfId="6868" xr:uid="{00000000-0005-0000-0000-0000586B0000}"/>
    <cellStyle name="표준 12 4 4_뇌출혈특약(갱신형)" xfId="13355" xr:uid="{00000000-0005-0000-0000-0000596B0000}"/>
    <cellStyle name="표준 12 4 5" xfId="6869" xr:uid="{00000000-0005-0000-0000-00005A6B0000}"/>
    <cellStyle name="표준 12 4 5 2" xfId="6870" xr:uid="{00000000-0005-0000-0000-00005B6B0000}"/>
    <cellStyle name="표준 12 4 5 3" xfId="6871" xr:uid="{00000000-0005-0000-0000-00005C6B0000}"/>
    <cellStyle name="표준 12 4 5_뇌출혈특약(갱신형)" xfId="13356" xr:uid="{00000000-0005-0000-0000-00005D6B0000}"/>
    <cellStyle name="표준 12 4 6" xfId="6872" xr:uid="{00000000-0005-0000-0000-00005E6B0000}"/>
    <cellStyle name="표준 12 4 7" xfId="6873" xr:uid="{00000000-0005-0000-0000-00005F6B0000}"/>
    <cellStyle name="표준 12 4_뇌출혈특약(갱신형)" xfId="13357" xr:uid="{00000000-0005-0000-0000-0000606B0000}"/>
    <cellStyle name="표준 12 5" xfId="6874" xr:uid="{00000000-0005-0000-0000-0000616B0000}"/>
    <cellStyle name="표준 12 5 2" xfId="6875" xr:uid="{00000000-0005-0000-0000-0000626B0000}"/>
    <cellStyle name="표준 12 5 2 2" xfId="6876" xr:uid="{00000000-0005-0000-0000-0000636B0000}"/>
    <cellStyle name="표준 12 5 2 2 2" xfId="6877" xr:uid="{00000000-0005-0000-0000-0000646B0000}"/>
    <cellStyle name="표준 12 5 2 2 3" xfId="6878" xr:uid="{00000000-0005-0000-0000-0000656B0000}"/>
    <cellStyle name="표준 12 5 2 2_뇌출혈특약(갱신형)" xfId="13358" xr:uid="{00000000-0005-0000-0000-0000666B0000}"/>
    <cellStyle name="표준 12 5 2 3" xfId="6879" xr:uid="{00000000-0005-0000-0000-0000676B0000}"/>
    <cellStyle name="표준 12 5 2 4" xfId="6880" xr:uid="{00000000-0005-0000-0000-0000686B0000}"/>
    <cellStyle name="표준 12 5 2_뇌출혈특약(갱신형)" xfId="13359" xr:uid="{00000000-0005-0000-0000-0000696B0000}"/>
    <cellStyle name="표준 12 5 3" xfId="6881" xr:uid="{00000000-0005-0000-0000-00006A6B0000}"/>
    <cellStyle name="표준 12 5 3 2" xfId="6882" xr:uid="{00000000-0005-0000-0000-00006B6B0000}"/>
    <cellStyle name="표준 12 5 3 2 2" xfId="6883" xr:uid="{00000000-0005-0000-0000-00006C6B0000}"/>
    <cellStyle name="표준 12 5 3 2 3" xfId="6884" xr:uid="{00000000-0005-0000-0000-00006D6B0000}"/>
    <cellStyle name="표준 12 5 3 2_뇌출혈특약(갱신형)" xfId="13360" xr:uid="{00000000-0005-0000-0000-00006E6B0000}"/>
    <cellStyle name="표준 12 5 3 3" xfId="6885" xr:uid="{00000000-0005-0000-0000-00006F6B0000}"/>
    <cellStyle name="표준 12 5 3 4" xfId="6886" xr:uid="{00000000-0005-0000-0000-0000706B0000}"/>
    <cellStyle name="표준 12 5 3_뇌출혈특약(갱신형)" xfId="13361" xr:uid="{00000000-0005-0000-0000-0000716B0000}"/>
    <cellStyle name="표준 12 5 4" xfId="6887" xr:uid="{00000000-0005-0000-0000-0000726B0000}"/>
    <cellStyle name="표준 12 5 4 2" xfId="6888" xr:uid="{00000000-0005-0000-0000-0000736B0000}"/>
    <cellStyle name="표준 12 5 4 3" xfId="6889" xr:uid="{00000000-0005-0000-0000-0000746B0000}"/>
    <cellStyle name="표준 12 5 4_뇌출혈특약(갱신형)" xfId="13362" xr:uid="{00000000-0005-0000-0000-0000756B0000}"/>
    <cellStyle name="표준 12 5 5" xfId="6890" xr:uid="{00000000-0005-0000-0000-0000766B0000}"/>
    <cellStyle name="표준 12 5 5 2" xfId="6891" xr:uid="{00000000-0005-0000-0000-0000776B0000}"/>
    <cellStyle name="표준 12 5 5 3" xfId="6892" xr:uid="{00000000-0005-0000-0000-0000786B0000}"/>
    <cellStyle name="표준 12 5 5_뇌출혈특약(갱신형)" xfId="13363" xr:uid="{00000000-0005-0000-0000-0000796B0000}"/>
    <cellStyle name="표준 12 5 6" xfId="6893" xr:uid="{00000000-0005-0000-0000-00007A6B0000}"/>
    <cellStyle name="표준 12 5 7" xfId="6894" xr:uid="{00000000-0005-0000-0000-00007B6B0000}"/>
    <cellStyle name="표준 12 5_뇌출혈특약(갱신형)" xfId="13364" xr:uid="{00000000-0005-0000-0000-00007C6B0000}"/>
    <cellStyle name="표준 12 6" xfId="6895" xr:uid="{00000000-0005-0000-0000-00007D6B0000}"/>
    <cellStyle name="표준 12 6 2" xfId="6896" xr:uid="{00000000-0005-0000-0000-00007E6B0000}"/>
    <cellStyle name="표준 12 6 2 2" xfId="6897" xr:uid="{00000000-0005-0000-0000-00007F6B0000}"/>
    <cellStyle name="표준 12 6 2 3" xfId="6898" xr:uid="{00000000-0005-0000-0000-0000806B0000}"/>
    <cellStyle name="표준 12 6 2_뇌출혈특약(갱신형)" xfId="13365" xr:uid="{00000000-0005-0000-0000-0000816B0000}"/>
    <cellStyle name="표준 12 6 3" xfId="6899" xr:uid="{00000000-0005-0000-0000-0000826B0000}"/>
    <cellStyle name="표준 12 6 4" xfId="6900" xr:uid="{00000000-0005-0000-0000-0000836B0000}"/>
    <cellStyle name="표준 12 6_뇌출혈특약(갱신형)" xfId="13366" xr:uid="{00000000-0005-0000-0000-0000846B0000}"/>
    <cellStyle name="표준 12 7" xfId="6901" xr:uid="{00000000-0005-0000-0000-0000856B0000}"/>
    <cellStyle name="표준 12 7 2" xfId="6902" xr:uid="{00000000-0005-0000-0000-0000866B0000}"/>
    <cellStyle name="표준 12 7 2 2" xfId="6903" xr:uid="{00000000-0005-0000-0000-0000876B0000}"/>
    <cellStyle name="표준 12 7 2 3" xfId="6904" xr:uid="{00000000-0005-0000-0000-0000886B0000}"/>
    <cellStyle name="표준 12 7 2_뇌출혈특약(갱신형)" xfId="13367" xr:uid="{00000000-0005-0000-0000-0000896B0000}"/>
    <cellStyle name="표준 12 7 3" xfId="6905" xr:uid="{00000000-0005-0000-0000-00008A6B0000}"/>
    <cellStyle name="표준 12 7 4" xfId="6906" xr:uid="{00000000-0005-0000-0000-00008B6B0000}"/>
    <cellStyle name="표준 12 7_뇌출혈특약(갱신형)" xfId="13368" xr:uid="{00000000-0005-0000-0000-00008C6B0000}"/>
    <cellStyle name="표준 12 8" xfId="6907" xr:uid="{00000000-0005-0000-0000-00008D6B0000}"/>
    <cellStyle name="표준 12 8 2" xfId="6908" xr:uid="{00000000-0005-0000-0000-00008E6B0000}"/>
    <cellStyle name="표준 12 8 3" xfId="6909" xr:uid="{00000000-0005-0000-0000-00008F6B0000}"/>
    <cellStyle name="표준 12 8_뇌출혈특약(갱신형)" xfId="13369" xr:uid="{00000000-0005-0000-0000-0000906B0000}"/>
    <cellStyle name="표준 12 9" xfId="6910" xr:uid="{00000000-0005-0000-0000-0000916B0000}"/>
    <cellStyle name="표준 12 9 2" xfId="6911" xr:uid="{00000000-0005-0000-0000-0000926B0000}"/>
    <cellStyle name="표준 12 9 3" xfId="6912" xr:uid="{00000000-0005-0000-0000-0000936B0000}"/>
    <cellStyle name="표준 12 9_뇌출혈특약(갱신형)" xfId="13370" xr:uid="{00000000-0005-0000-0000-0000946B0000}"/>
    <cellStyle name="표준 12_뇌출혈특약(갱신형)" xfId="13371" xr:uid="{00000000-0005-0000-0000-0000956B0000}"/>
    <cellStyle name="표준 13" xfId="36" xr:uid="{00000000-0005-0000-0000-0000966B0000}"/>
    <cellStyle name="표준 13 10" xfId="6913" xr:uid="{00000000-0005-0000-0000-0000976B0000}"/>
    <cellStyle name="표준 13 10 2" xfId="6914" xr:uid="{00000000-0005-0000-0000-0000986B0000}"/>
    <cellStyle name="표준 13 10 2 2" xfId="6915" xr:uid="{00000000-0005-0000-0000-0000996B0000}"/>
    <cellStyle name="표준 13 10 2 3" xfId="6916" xr:uid="{00000000-0005-0000-0000-00009A6B0000}"/>
    <cellStyle name="표준 13 10 2_뇌출혈특약(갱신형)" xfId="13372" xr:uid="{00000000-0005-0000-0000-00009B6B0000}"/>
    <cellStyle name="표준 13 10 3" xfId="6917" xr:uid="{00000000-0005-0000-0000-00009C6B0000}"/>
    <cellStyle name="표준 13 10 4" xfId="6918" xr:uid="{00000000-0005-0000-0000-00009D6B0000}"/>
    <cellStyle name="표준 13 10_뇌출혈특약(갱신형)" xfId="13373" xr:uid="{00000000-0005-0000-0000-00009E6B0000}"/>
    <cellStyle name="표준 13 11" xfId="6919" xr:uid="{00000000-0005-0000-0000-00009F6B0000}"/>
    <cellStyle name="표준 13 11 2" xfId="6920" xr:uid="{00000000-0005-0000-0000-0000A06B0000}"/>
    <cellStyle name="표준 13 11 2 2" xfId="6921" xr:uid="{00000000-0005-0000-0000-0000A16B0000}"/>
    <cellStyle name="표준 13 11 2 3" xfId="6922" xr:uid="{00000000-0005-0000-0000-0000A26B0000}"/>
    <cellStyle name="표준 13 11 2_뇌출혈특약(갱신형)" xfId="13374" xr:uid="{00000000-0005-0000-0000-0000A36B0000}"/>
    <cellStyle name="표준 13 11 3" xfId="6923" xr:uid="{00000000-0005-0000-0000-0000A46B0000}"/>
    <cellStyle name="표준 13 11 4" xfId="6924" xr:uid="{00000000-0005-0000-0000-0000A56B0000}"/>
    <cellStyle name="표준 13 11_뇌출혈특약(갱신형)" xfId="13375" xr:uid="{00000000-0005-0000-0000-0000A66B0000}"/>
    <cellStyle name="표준 13 12" xfId="6925" xr:uid="{00000000-0005-0000-0000-0000A76B0000}"/>
    <cellStyle name="표준 13 12 2" xfId="6926" xr:uid="{00000000-0005-0000-0000-0000A86B0000}"/>
    <cellStyle name="표준 13 12 3" xfId="6927" xr:uid="{00000000-0005-0000-0000-0000A96B0000}"/>
    <cellStyle name="표준 13 12_뇌출혈특약(갱신형)" xfId="13376" xr:uid="{00000000-0005-0000-0000-0000AA6B0000}"/>
    <cellStyle name="표준 13 13" xfId="6928" xr:uid="{00000000-0005-0000-0000-0000AB6B0000}"/>
    <cellStyle name="표준 13 13 2" xfId="6929" xr:uid="{00000000-0005-0000-0000-0000AC6B0000}"/>
    <cellStyle name="표준 13 13 3" xfId="6930" xr:uid="{00000000-0005-0000-0000-0000AD6B0000}"/>
    <cellStyle name="표준 13 13_뇌출혈특약(갱신형)" xfId="13377" xr:uid="{00000000-0005-0000-0000-0000AE6B0000}"/>
    <cellStyle name="표준 13 14" xfId="6931" xr:uid="{00000000-0005-0000-0000-0000AF6B0000}"/>
    <cellStyle name="표준 13 14 2" xfId="6932" xr:uid="{00000000-0005-0000-0000-0000B06B0000}"/>
    <cellStyle name="표준 13 14 3" xfId="6933" xr:uid="{00000000-0005-0000-0000-0000B16B0000}"/>
    <cellStyle name="표준 13 14_뇌출혈특약(갱신형)" xfId="13378" xr:uid="{00000000-0005-0000-0000-0000B26B0000}"/>
    <cellStyle name="표준 13 15" xfId="6934" xr:uid="{00000000-0005-0000-0000-0000B36B0000}"/>
    <cellStyle name="표준 13 15 2" xfId="6935" xr:uid="{00000000-0005-0000-0000-0000B46B0000}"/>
    <cellStyle name="표준 13 15 3" xfId="6936" xr:uid="{00000000-0005-0000-0000-0000B56B0000}"/>
    <cellStyle name="표준 13 15_뇌출혈특약(갱신형)" xfId="13379" xr:uid="{00000000-0005-0000-0000-0000B66B0000}"/>
    <cellStyle name="표준 13 16" xfId="6937" xr:uid="{00000000-0005-0000-0000-0000B76B0000}"/>
    <cellStyle name="표준 13 16 2" xfId="6938" xr:uid="{00000000-0005-0000-0000-0000B86B0000}"/>
    <cellStyle name="표준 13 16_뇌출혈특약(갱신형)" xfId="13380" xr:uid="{00000000-0005-0000-0000-0000B96B0000}"/>
    <cellStyle name="표준 13 17" xfId="6939" xr:uid="{00000000-0005-0000-0000-0000BA6B0000}"/>
    <cellStyle name="표준 13 17 2" xfId="6940" xr:uid="{00000000-0005-0000-0000-0000BB6B0000}"/>
    <cellStyle name="표준 13 17_뇌출혈특약(갱신형)" xfId="13381" xr:uid="{00000000-0005-0000-0000-0000BC6B0000}"/>
    <cellStyle name="표준 13 18" xfId="6941" xr:uid="{00000000-0005-0000-0000-0000BD6B0000}"/>
    <cellStyle name="표준 13 18 2" xfId="6942" xr:uid="{00000000-0005-0000-0000-0000BE6B0000}"/>
    <cellStyle name="표준 13 18_뇌출혈특약(갱신형)" xfId="13382" xr:uid="{00000000-0005-0000-0000-0000BF6B0000}"/>
    <cellStyle name="표준 13 19" xfId="6943" xr:uid="{00000000-0005-0000-0000-0000C06B0000}"/>
    <cellStyle name="표준 13 19 2" xfId="6944" xr:uid="{00000000-0005-0000-0000-0000C16B0000}"/>
    <cellStyle name="표준 13 19_뇌출혈특약(갱신형)" xfId="13383" xr:uid="{00000000-0005-0000-0000-0000C26B0000}"/>
    <cellStyle name="표준 13 2" xfId="69" xr:uid="{00000000-0005-0000-0000-0000C36B0000}"/>
    <cellStyle name="표준 13 2 10" xfId="6945" xr:uid="{00000000-0005-0000-0000-0000C46B0000}"/>
    <cellStyle name="표준 13 2 10 2" xfId="6946" xr:uid="{00000000-0005-0000-0000-0000C56B0000}"/>
    <cellStyle name="표준 13 2 10 3" xfId="6947" xr:uid="{00000000-0005-0000-0000-0000C66B0000}"/>
    <cellStyle name="표준 13 2 10_뇌출혈특약(갱신형)" xfId="13384" xr:uid="{00000000-0005-0000-0000-0000C76B0000}"/>
    <cellStyle name="표준 13 2 11" xfId="6948" xr:uid="{00000000-0005-0000-0000-0000C86B0000}"/>
    <cellStyle name="표준 13 2 11 2" xfId="6949" xr:uid="{00000000-0005-0000-0000-0000C96B0000}"/>
    <cellStyle name="표준 13 2 11 3" xfId="6950" xr:uid="{00000000-0005-0000-0000-0000CA6B0000}"/>
    <cellStyle name="표준 13 2 11_뇌출혈특약(갱신형)" xfId="13385" xr:uid="{00000000-0005-0000-0000-0000CB6B0000}"/>
    <cellStyle name="표준 13 2 12" xfId="6951" xr:uid="{00000000-0005-0000-0000-0000CC6B0000}"/>
    <cellStyle name="표준 13 2 12 2" xfId="6952" xr:uid="{00000000-0005-0000-0000-0000CD6B0000}"/>
    <cellStyle name="표준 13 2 12_뇌출혈특약(갱신형)" xfId="13386" xr:uid="{00000000-0005-0000-0000-0000CE6B0000}"/>
    <cellStyle name="표준 13 2 13" xfId="6953" xr:uid="{00000000-0005-0000-0000-0000CF6B0000}"/>
    <cellStyle name="표준 13 2 13 2" xfId="6954" xr:uid="{00000000-0005-0000-0000-0000D06B0000}"/>
    <cellStyle name="표준 13 2 13_뇌출혈특약(갱신형)" xfId="13387" xr:uid="{00000000-0005-0000-0000-0000D16B0000}"/>
    <cellStyle name="표준 13 2 14" xfId="6955" xr:uid="{00000000-0005-0000-0000-0000D26B0000}"/>
    <cellStyle name="표준 13 2 14 2" xfId="6956" xr:uid="{00000000-0005-0000-0000-0000D36B0000}"/>
    <cellStyle name="표준 13 2 14_뇌출혈특약(갱신형)" xfId="13388" xr:uid="{00000000-0005-0000-0000-0000D46B0000}"/>
    <cellStyle name="표준 13 2 15" xfId="6957" xr:uid="{00000000-0005-0000-0000-0000D56B0000}"/>
    <cellStyle name="표준 13 2 15 2" xfId="6958" xr:uid="{00000000-0005-0000-0000-0000D66B0000}"/>
    <cellStyle name="표준 13 2 15_뇌출혈특약(갱신형)" xfId="13389" xr:uid="{00000000-0005-0000-0000-0000D76B0000}"/>
    <cellStyle name="표준 13 2 16" xfId="6959" xr:uid="{00000000-0005-0000-0000-0000D86B0000}"/>
    <cellStyle name="표준 13 2 17" xfId="6960" xr:uid="{00000000-0005-0000-0000-0000D96B0000}"/>
    <cellStyle name="표준 13 2 2" xfId="6961" xr:uid="{00000000-0005-0000-0000-0000DA6B0000}"/>
    <cellStyle name="표준 13 2 2 2" xfId="6962" xr:uid="{00000000-0005-0000-0000-0000DB6B0000}"/>
    <cellStyle name="표준 13 2 2 2 2" xfId="12222" xr:uid="{00000000-0005-0000-0000-0000DC6B0000}"/>
    <cellStyle name="표준 13 2 2 3" xfId="6963" xr:uid="{00000000-0005-0000-0000-0000DD6B0000}"/>
    <cellStyle name="표준 13 2 2 3 2" xfId="6964" xr:uid="{00000000-0005-0000-0000-0000DE6B0000}"/>
    <cellStyle name="표준 13 2 2 3 3" xfId="6965" xr:uid="{00000000-0005-0000-0000-0000DF6B0000}"/>
    <cellStyle name="표준 13 2 2 3_뇌출혈특약(갱신형)" xfId="13390" xr:uid="{00000000-0005-0000-0000-0000E06B0000}"/>
    <cellStyle name="표준 13 2 2 4" xfId="6966" xr:uid="{00000000-0005-0000-0000-0000E16B0000}"/>
    <cellStyle name="표준 13 2 2 5" xfId="6967" xr:uid="{00000000-0005-0000-0000-0000E26B0000}"/>
    <cellStyle name="표준 13 2 2_뇌출혈특약(갱신형)" xfId="13391" xr:uid="{00000000-0005-0000-0000-0000E36B0000}"/>
    <cellStyle name="표준 13 2 3" xfId="6968" xr:uid="{00000000-0005-0000-0000-0000E46B0000}"/>
    <cellStyle name="표준 13 2 3 2" xfId="6969" xr:uid="{00000000-0005-0000-0000-0000E56B0000}"/>
    <cellStyle name="표준 13 2 3 2 2" xfId="6970" xr:uid="{00000000-0005-0000-0000-0000E66B0000}"/>
    <cellStyle name="표준 13 2 3 2 2 2" xfId="6971" xr:uid="{00000000-0005-0000-0000-0000E76B0000}"/>
    <cellStyle name="표준 13 2 3 2 2 2 2" xfId="6972" xr:uid="{00000000-0005-0000-0000-0000E86B0000}"/>
    <cellStyle name="표준 13 2 3 2 2 2 3" xfId="6973" xr:uid="{00000000-0005-0000-0000-0000E96B0000}"/>
    <cellStyle name="표준 13 2 3 2 2 2_뇌출혈특약(갱신형)" xfId="13392" xr:uid="{00000000-0005-0000-0000-0000EA6B0000}"/>
    <cellStyle name="표준 13 2 3 2 2 3" xfId="6974" xr:uid="{00000000-0005-0000-0000-0000EB6B0000}"/>
    <cellStyle name="표준 13 2 3 2 2 4" xfId="6975" xr:uid="{00000000-0005-0000-0000-0000EC6B0000}"/>
    <cellStyle name="표준 13 2 3 2 2_뇌출혈특약(갱신형)" xfId="13393" xr:uid="{00000000-0005-0000-0000-0000ED6B0000}"/>
    <cellStyle name="표준 13 2 3 2 3" xfId="6976" xr:uid="{00000000-0005-0000-0000-0000EE6B0000}"/>
    <cellStyle name="표준 13 2 3 2 3 2" xfId="6977" xr:uid="{00000000-0005-0000-0000-0000EF6B0000}"/>
    <cellStyle name="표준 13 2 3 2 3 2 2" xfId="6978" xr:uid="{00000000-0005-0000-0000-0000F06B0000}"/>
    <cellStyle name="표준 13 2 3 2 3 2 3" xfId="6979" xr:uid="{00000000-0005-0000-0000-0000F16B0000}"/>
    <cellStyle name="표준 13 2 3 2 3 2_뇌출혈특약(갱신형)" xfId="13394" xr:uid="{00000000-0005-0000-0000-0000F26B0000}"/>
    <cellStyle name="표준 13 2 3 2 3 3" xfId="6980" xr:uid="{00000000-0005-0000-0000-0000F36B0000}"/>
    <cellStyle name="표준 13 2 3 2 3 4" xfId="6981" xr:uid="{00000000-0005-0000-0000-0000F46B0000}"/>
    <cellStyle name="표준 13 2 3 2 3_뇌출혈특약(갱신형)" xfId="13395" xr:uid="{00000000-0005-0000-0000-0000F56B0000}"/>
    <cellStyle name="표준 13 2 3 2 4" xfId="6982" xr:uid="{00000000-0005-0000-0000-0000F66B0000}"/>
    <cellStyle name="표준 13 2 3 2 4 2" xfId="6983" xr:uid="{00000000-0005-0000-0000-0000F76B0000}"/>
    <cellStyle name="표준 13 2 3 2 4 3" xfId="6984" xr:uid="{00000000-0005-0000-0000-0000F86B0000}"/>
    <cellStyle name="표준 13 2 3 2 4_뇌출혈특약(갱신형)" xfId="13396" xr:uid="{00000000-0005-0000-0000-0000F96B0000}"/>
    <cellStyle name="표준 13 2 3 2 5" xfId="6985" xr:uid="{00000000-0005-0000-0000-0000FA6B0000}"/>
    <cellStyle name="표준 13 2 3 2 5 2" xfId="6986" xr:uid="{00000000-0005-0000-0000-0000FB6B0000}"/>
    <cellStyle name="표준 13 2 3 2 5 3" xfId="6987" xr:uid="{00000000-0005-0000-0000-0000FC6B0000}"/>
    <cellStyle name="표준 13 2 3 2 5_뇌출혈특약(갱신형)" xfId="13397" xr:uid="{00000000-0005-0000-0000-0000FD6B0000}"/>
    <cellStyle name="표준 13 2 3 2 6" xfId="6988" xr:uid="{00000000-0005-0000-0000-0000FE6B0000}"/>
    <cellStyle name="표준 13 2 3 2 7" xfId="6989" xr:uid="{00000000-0005-0000-0000-0000FF6B0000}"/>
    <cellStyle name="표준 13 2 3 2_뇌출혈특약(갱신형)" xfId="13398" xr:uid="{00000000-0005-0000-0000-0000006C0000}"/>
    <cellStyle name="표준 13 2 3 3" xfId="6990" xr:uid="{00000000-0005-0000-0000-0000016C0000}"/>
    <cellStyle name="표준 13 2 3 3 2" xfId="6991" xr:uid="{00000000-0005-0000-0000-0000026C0000}"/>
    <cellStyle name="표준 13 2 3 3 2 2" xfId="6992" xr:uid="{00000000-0005-0000-0000-0000036C0000}"/>
    <cellStyle name="표준 13 2 3 3 2 3" xfId="6993" xr:uid="{00000000-0005-0000-0000-0000046C0000}"/>
    <cellStyle name="표준 13 2 3 3 2_뇌출혈특약(갱신형)" xfId="13399" xr:uid="{00000000-0005-0000-0000-0000056C0000}"/>
    <cellStyle name="표준 13 2 3 3 3" xfId="6994" xr:uid="{00000000-0005-0000-0000-0000066C0000}"/>
    <cellStyle name="표준 13 2 3 3 4" xfId="6995" xr:uid="{00000000-0005-0000-0000-0000076C0000}"/>
    <cellStyle name="표준 13 2 3 3_뇌출혈특약(갱신형)" xfId="13400" xr:uid="{00000000-0005-0000-0000-0000086C0000}"/>
    <cellStyle name="표준 13 2 3 4" xfId="6996" xr:uid="{00000000-0005-0000-0000-0000096C0000}"/>
    <cellStyle name="표준 13 2 3 4 2" xfId="6997" xr:uid="{00000000-0005-0000-0000-00000A6C0000}"/>
    <cellStyle name="표준 13 2 3 4 2 2" xfId="6998" xr:uid="{00000000-0005-0000-0000-00000B6C0000}"/>
    <cellStyle name="표준 13 2 3 4 2 3" xfId="6999" xr:uid="{00000000-0005-0000-0000-00000C6C0000}"/>
    <cellStyle name="표준 13 2 3 4 2_뇌출혈특약(갱신형)" xfId="13401" xr:uid="{00000000-0005-0000-0000-00000D6C0000}"/>
    <cellStyle name="표준 13 2 3 4 3" xfId="7000" xr:uid="{00000000-0005-0000-0000-00000E6C0000}"/>
    <cellStyle name="표준 13 2 3 4 4" xfId="7001" xr:uid="{00000000-0005-0000-0000-00000F6C0000}"/>
    <cellStyle name="표준 13 2 3 4_뇌출혈특약(갱신형)" xfId="13402" xr:uid="{00000000-0005-0000-0000-0000106C0000}"/>
    <cellStyle name="표준 13 2 3 5" xfId="7002" xr:uid="{00000000-0005-0000-0000-0000116C0000}"/>
    <cellStyle name="표준 13 2 3 5 2" xfId="7003" xr:uid="{00000000-0005-0000-0000-0000126C0000}"/>
    <cellStyle name="표준 13 2 3 5 3" xfId="7004" xr:uid="{00000000-0005-0000-0000-0000136C0000}"/>
    <cellStyle name="표준 13 2 3 5_뇌출혈특약(갱신형)" xfId="13403" xr:uid="{00000000-0005-0000-0000-0000146C0000}"/>
    <cellStyle name="표준 13 2 3 6" xfId="7005" xr:uid="{00000000-0005-0000-0000-0000156C0000}"/>
    <cellStyle name="표준 13 2 3 6 2" xfId="7006" xr:uid="{00000000-0005-0000-0000-0000166C0000}"/>
    <cellStyle name="표준 13 2 3 6 3" xfId="7007" xr:uid="{00000000-0005-0000-0000-0000176C0000}"/>
    <cellStyle name="표준 13 2 3 6_뇌출혈특약(갱신형)" xfId="13404" xr:uid="{00000000-0005-0000-0000-0000186C0000}"/>
    <cellStyle name="표준 13 2 3 7" xfId="7008" xr:uid="{00000000-0005-0000-0000-0000196C0000}"/>
    <cellStyle name="표준 13 2 3 8" xfId="7009" xr:uid="{00000000-0005-0000-0000-00001A6C0000}"/>
    <cellStyle name="표준 13 2 3_뇌출혈특약(갱신형)" xfId="13405" xr:uid="{00000000-0005-0000-0000-00001B6C0000}"/>
    <cellStyle name="표준 13 2 4" xfId="7010" xr:uid="{00000000-0005-0000-0000-00001C6C0000}"/>
    <cellStyle name="표준 13 2 4 2" xfId="7011" xr:uid="{00000000-0005-0000-0000-00001D6C0000}"/>
    <cellStyle name="표준 13 2 4 2 2" xfId="7012" xr:uid="{00000000-0005-0000-0000-00001E6C0000}"/>
    <cellStyle name="표준 13 2 4 2 2 2" xfId="7013" xr:uid="{00000000-0005-0000-0000-00001F6C0000}"/>
    <cellStyle name="표준 13 2 4 2 2 3" xfId="7014" xr:uid="{00000000-0005-0000-0000-0000206C0000}"/>
    <cellStyle name="표준 13 2 4 2 2_뇌출혈특약(갱신형)" xfId="13406" xr:uid="{00000000-0005-0000-0000-0000216C0000}"/>
    <cellStyle name="표준 13 2 4 2 3" xfId="7015" xr:uid="{00000000-0005-0000-0000-0000226C0000}"/>
    <cellStyle name="표준 13 2 4 2 4" xfId="7016" xr:uid="{00000000-0005-0000-0000-0000236C0000}"/>
    <cellStyle name="표준 13 2 4 2_뇌출혈특약(갱신형)" xfId="13407" xr:uid="{00000000-0005-0000-0000-0000246C0000}"/>
    <cellStyle name="표준 13 2 4 3" xfId="7017" xr:uid="{00000000-0005-0000-0000-0000256C0000}"/>
    <cellStyle name="표준 13 2 4 3 2" xfId="7018" xr:uid="{00000000-0005-0000-0000-0000266C0000}"/>
    <cellStyle name="표준 13 2 4 3 2 2" xfId="7019" xr:uid="{00000000-0005-0000-0000-0000276C0000}"/>
    <cellStyle name="표준 13 2 4 3 2 3" xfId="7020" xr:uid="{00000000-0005-0000-0000-0000286C0000}"/>
    <cellStyle name="표준 13 2 4 3 2_뇌출혈특약(갱신형)" xfId="13408" xr:uid="{00000000-0005-0000-0000-0000296C0000}"/>
    <cellStyle name="표준 13 2 4 3 3" xfId="7021" xr:uid="{00000000-0005-0000-0000-00002A6C0000}"/>
    <cellStyle name="표준 13 2 4 3 4" xfId="7022" xr:uid="{00000000-0005-0000-0000-00002B6C0000}"/>
    <cellStyle name="표준 13 2 4 3_뇌출혈특약(갱신형)" xfId="13409" xr:uid="{00000000-0005-0000-0000-00002C6C0000}"/>
    <cellStyle name="표준 13 2 4 4" xfId="7023" xr:uid="{00000000-0005-0000-0000-00002D6C0000}"/>
    <cellStyle name="표준 13 2 4 4 2" xfId="7024" xr:uid="{00000000-0005-0000-0000-00002E6C0000}"/>
    <cellStyle name="표준 13 2 4 4 3" xfId="7025" xr:uid="{00000000-0005-0000-0000-00002F6C0000}"/>
    <cellStyle name="표준 13 2 4 4_뇌출혈특약(갱신형)" xfId="13410" xr:uid="{00000000-0005-0000-0000-0000306C0000}"/>
    <cellStyle name="표준 13 2 4 5" xfId="7026" xr:uid="{00000000-0005-0000-0000-0000316C0000}"/>
    <cellStyle name="표준 13 2 4 5 2" xfId="7027" xr:uid="{00000000-0005-0000-0000-0000326C0000}"/>
    <cellStyle name="표준 13 2 4 5 3" xfId="7028" xr:uid="{00000000-0005-0000-0000-0000336C0000}"/>
    <cellStyle name="표준 13 2 4 5_뇌출혈특약(갱신형)" xfId="13411" xr:uid="{00000000-0005-0000-0000-0000346C0000}"/>
    <cellStyle name="표준 13 2 4 6" xfId="7029" xr:uid="{00000000-0005-0000-0000-0000356C0000}"/>
    <cellStyle name="표준 13 2 4 7" xfId="7030" xr:uid="{00000000-0005-0000-0000-0000366C0000}"/>
    <cellStyle name="표준 13 2 4_뇌출혈특약(갱신형)" xfId="13412" xr:uid="{00000000-0005-0000-0000-0000376C0000}"/>
    <cellStyle name="표준 13 2 5" xfId="7031" xr:uid="{00000000-0005-0000-0000-0000386C0000}"/>
    <cellStyle name="표준 13 2 5 2" xfId="7032" xr:uid="{00000000-0005-0000-0000-0000396C0000}"/>
    <cellStyle name="표준 13 2 5 2 2" xfId="7033" xr:uid="{00000000-0005-0000-0000-00003A6C0000}"/>
    <cellStyle name="표준 13 2 5 2 2 2" xfId="7034" xr:uid="{00000000-0005-0000-0000-00003B6C0000}"/>
    <cellStyle name="표준 13 2 5 2 2 3" xfId="7035" xr:uid="{00000000-0005-0000-0000-00003C6C0000}"/>
    <cellStyle name="표준 13 2 5 2 2_뇌출혈특약(갱신형)" xfId="13413" xr:uid="{00000000-0005-0000-0000-00003D6C0000}"/>
    <cellStyle name="표준 13 2 5 2 3" xfId="7036" xr:uid="{00000000-0005-0000-0000-00003E6C0000}"/>
    <cellStyle name="표준 13 2 5 2 4" xfId="7037" xr:uid="{00000000-0005-0000-0000-00003F6C0000}"/>
    <cellStyle name="표준 13 2 5 2_뇌출혈특약(갱신형)" xfId="13414" xr:uid="{00000000-0005-0000-0000-0000406C0000}"/>
    <cellStyle name="표준 13 2 5 3" xfId="7038" xr:uid="{00000000-0005-0000-0000-0000416C0000}"/>
    <cellStyle name="표준 13 2 5 3 2" xfId="7039" xr:uid="{00000000-0005-0000-0000-0000426C0000}"/>
    <cellStyle name="표준 13 2 5 3 2 2" xfId="7040" xr:uid="{00000000-0005-0000-0000-0000436C0000}"/>
    <cellStyle name="표준 13 2 5 3 2 3" xfId="7041" xr:uid="{00000000-0005-0000-0000-0000446C0000}"/>
    <cellStyle name="표준 13 2 5 3 2_뇌출혈특약(갱신형)" xfId="13415" xr:uid="{00000000-0005-0000-0000-0000456C0000}"/>
    <cellStyle name="표준 13 2 5 3 3" xfId="7042" xr:uid="{00000000-0005-0000-0000-0000466C0000}"/>
    <cellStyle name="표준 13 2 5 3 4" xfId="7043" xr:uid="{00000000-0005-0000-0000-0000476C0000}"/>
    <cellStyle name="표준 13 2 5 3_뇌출혈특약(갱신형)" xfId="13416" xr:uid="{00000000-0005-0000-0000-0000486C0000}"/>
    <cellStyle name="표준 13 2 5 4" xfId="7044" xr:uid="{00000000-0005-0000-0000-0000496C0000}"/>
    <cellStyle name="표준 13 2 5 4 2" xfId="7045" xr:uid="{00000000-0005-0000-0000-00004A6C0000}"/>
    <cellStyle name="표준 13 2 5 4 3" xfId="7046" xr:uid="{00000000-0005-0000-0000-00004B6C0000}"/>
    <cellStyle name="표준 13 2 5 4_뇌출혈특약(갱신형)" xfId="13417" xr:uid="{00000000-0005-0000-0000-00004C6C0000}"/>
    <cellStyle name="표준 13 2 5 5" xfId="7047" xr:uid="{00000000-0005-0000-0000-00004D6C0000}"/>
    <cellStyle name="표준 13 2 5 5 2" xfId="7048" xr:uid="{00000000-0005-0000-0000-00004E6C0000}"/>
    <cellStyle name="표준 13 2 5 5 3" xfId="7049" xr:uid="{00000000-0005-0000-0000-00004F6C0000}"/>
    <cellStyle name="표준 13 2 5 5_뇌출혈특약(갱신형)" xfId="13418" xr:uid="{00000000-0005-0000-0000-0000506C0000}"/>
    <cellStyle name="표준 13 2 5 6" xfId="7050" xr:uid="{00000000-0005-0000-0000-0000516C0000}"/>
    <cellStyle name="표준 13 2 5 7" xfId="7051" xr:uid="{00000000-0005-0000-0000-0000526C0000}"/>
    <cellStyle name="표준 13 2 5_뇌출혈특약(갱신형)" xfId="13419" xr:uid="{00000000-0005-0000-0000-0000536C0000}"/>
    <cellStyle name="표준 13 2 6" xfId="7052" xr:uid="{00000000-0005-0000-0000-0000546C0000}"/>
    <cellStyle name="표준 13 2 6 2" xfId="7053" xr:uid="{00000000-0005-0000-0000-0000556C0000}"/>
    <cellStyle name="표준 13 2 6 2 2" xfId="7054" xr:uid="{00000000-0005-0000-0000-0000566C0000}"/>
    <cellStyle name="표준 13 2 6 2 3" xfId="7055" xr:uid="{00000000-0005-0000-0000-0000576C0000}"/>
    <cellStyle name="표준 13 2 6 2_뇌출혈특약(갱신형)" xfId="13420" xr:uid="{00000000-0005-0000-0000-0000586C0000}"/>
    <cellStyle name="표준 13 2 6 3" xfId="7056" xr:uid="{00000000-0005-0000-0000-0000596C0000}"/>
    <cellStyle name="표준 13 2 6 4" xfId="7057" xr:uid="{00000000-0005-0000-0000-00005A6C0000}"/>
    <cellStyle name="표준 13 2 6_뇌출혈특약(갱신형)" xfId="13421" xr:uid="{00000000-0005-0000-0000-00005B6C0000}"/>
    <cellStyle name="표준 13 2 7" xfId="7058" xr:uid="{00000000-0005-0000-0000-00005C6C0000}"/>
    <cellStyle name="표준 13 2 7 2" xfId="7059" xr:uid="{00000000-0005-0000-0000-00005D6C0000}"/>
    <cellStyle name="표준 13 2 7 2 2" xfId="7060" xr:uid="{00000000-0005-0000-0000-00005E6C0000}"/>
    <cellStyle name="표준 13 2 7 2 3" xfId="7061" xr:uid="{00000000-0005-0000-0000-00005F6C0000}"/>
    <cellStyle name="표준 13 2 7 2_뇌출혈특약(갱신형)" xfId="13422" xr:uid="{00000000-0005-0000-0000-0000606C0000}"/>
    <cellStyle name="표준 13 2 7 3" xfId="7062" xr:uid="{00000000-0005-0000-0000-0000616C0000}"/>
    <cellStyle name="표준 13 2 7 4" xfId="7063" xr:uid="{00000000-0005-0000-0000-0000626C0000}"/>
    <cellStyle name="표준 13 2 7_뇌출혈특약(갱신형)" xfId="13423" xr:uid="{00000000-0005-0000-0000-0000636C0000}"/>
    <cellStyle name="표준 13 2 8" xfId="7064" xr:uid="{00000000-0005-0000-0000-0000646C0000}"/>
    <cellStyle name="표준 13 2 8 2" xfId="7065" xr:uid="{00000000-0005-0000-0000-0000656C0000}"/>
    <cellStyle name="표준 13 2 8 3" xfId="7066" xr:uid="{00000000-0005-0000-0000-0000666C0000}"/>
    <cellStyle name="표준 13 2 8_뇌출혈특약(갱신형)" xfId="13424" xr:uid="{00000000-0005-0000-0000-0000676C0000}"/>
    <cellStyle name="표준 13 2 9" xfId="7067" xr:uid="{00000000-0005-0000-0000-0000686C0000}"/>
    <cellStyle name="표준 13 2 9 2" xfId="7068" xr:uid="{00000000-0005-0000-0000-0000696C0000}"/>
    <cellStyle name="표준 13 2 9 3" xfId="7069" xr:uid="{00000000-0005-0000-0000-00006A6C0000}"/>
    <cellStyle name="표준 13 2 9_뇌출혈특약(갱신형)" xfId="13425" xr:uid="{00000000-0005-0000-0000-00006B6C0000}"/>
    <cellStyle name="표준 13 2_뇌출혈특약(갱신형)" xfId="13426" xr:uid="{00000000-0005-0000-0000-00006C6C0000}"/>
    <cellStyle name="표준 13 20" xfId="7070" xr:uid="{00000000-0005-0000-0000-00006D6C0000}"/>
    <cellStyle name="표준 13 21" xfId="7071" xr:uid="{00000000-0005-0000-0000-00006E6C0000}"/>
    <cellStyle name="표준 13 3" xfId="7072" xr:uid="{00000000-0005-0000-0000-00006F6C0000}"/>
    <cellStyle name="표준 13 3 10" xfId="7073" xr:uid="{00000000-0005-0000-0000-0000706C0000}"/>
    <cellStyle name="표준 13 3 2" xfId="7074" xr:uid="{00000000-0005-0000-0000-0000716C0000}"/>
    <cellStyle name="표준 13 3 2 2" xfId="12223" xr:uid="{00000000-0005-0000-0000-0000726C0000}"/>
    <cellStyle name="표준 13 3 3" xfId="7075" xr:uid="{00000000-0005-0000-0000-0000736C0000}"/>
    <cellStyle name="표준 13 3 3 2" xfId="7076" xr:uid="{00000000-0005-0000-0000-0000746C0000}"/>
    <cellStyle name="표준 13 3 3 2 2" xfId="7077" xr:uid="{00000000-0005-0000-0000-0000756C0000}"/>
    <cellStyle name="표준 13 3 3 2 2 2" xfId="7078" xr:uid="{00000000-0005-0000-0000-0000766C0000}"/>
    <cellStyle name="표준 13 3 3 2 2 3" xfId="7079" xr:uid="{00000000-0005-0000-0000-0000776C0000}"/>
    <cellStyle name="표준 13 3 3 2 2_뇌출혈특약(갱신형)" xfId="13427" xr:uid="{00000000-0005-0000-0000-0000786C0000}"/>
    <cellStyle name="표준 13 3 3 2 3" xfId="7080" xr:uid="{00000000-0005-0000-0000-0000796C0000}"/>
    <cellStyle name="표준 13 3 3 2 4" xfId="7081" xr:uid="{00000000-0005-0000-0000-00007A6C0000}"/>
    <cellStyle name="표준 13 3 3 2_뇌출혈특약(갱신형)" xfId="13428" xr:uid="{00000000-0005-0000-0000-00007B6C0000}"/>
    <cellStyle name="표준 13 3 3 3" xfId="7082" xr:uid="{00000000-0005-0000-0000-00007C6C0000}"/>
    <cellStyle name="표준 13 3 3 3 2" xfId="7083" xr:uid="{00000000-0005-0000-0000-00007D6C0000}"/>
    <cellStyle name="표준 13 3 3 3 2 2" xfId="7084" xr:uid="{00000000-0005-0000-0000-00007E6C0000}"/>
    <cellStyle name="표준 13 3 3 3 2 3" xfId="7085" xr:uid="{00000000-0005-0000-0000-00007F6C0000}"/>
    <cellStyle name="표준 13 3 3 3 2_뇌출혈특약(갱신형)" xfId="13429" xr:uid="{00000000-0005-0000-0000-0000806C0000}"/>
    <cellStyle name="표준 13 3 3 3 3" xfId="7086" xr:uid="{00000000-0005-0000-0000-0000816C0000}"/>
    <cellStyle name="표준 13 3 3 3 4" xfId="7087" xr:uid="{00000000-0005-0000-0000-0000826C0000}"/>
    <cellStyle name="표준 13 3 3 3_뇌출혈특약(갱신형)" xfId="13430" xr:uid="{00000000-0005-0000-0000-0000836C0000}"/>
    <cellStyle name="표준 13 3 3 4" xfId="7088" xr:uid="{00000000-0005-0000-0000-0000846C0000}"/>
    <cellStyle name="표준 13 3 3 4 2" xfId="7089" xr:uid="{00000000-0005-0000-0000-0000856C0000}"/>
    <cellStyle name="표준 13 3 3 4 3" xfId="7090" xr:uid="{00000000-0005-0000-0000-0000866C0000}"/>
    <cellStyle name="표준 13 3 3 4_뇌출혈특약(갱신형)" xfId="13431" xr:uid="{00000000-0005-0000-0000-0000876C0000}"/>
    <cellStyle name="표준 13 3 3 5" xfId="7091" xr:uid="{00000000-0005-0000-0000-0000886C0000}"/>
    <cellStyle name="표준 13 3 3 5 2" xfId="7092" xr:uid="{00000000-0005-0000-0000-0000896C0000}"/>
    <cellStyle name="표준 13 3 3 5 3" xfId="7093" xr:uid="{00000000-0005-0000-0000-00008A6C0000}"/>
    <cellStyle name="표준 13 3 3 5_뇌출혈특약(갱신형)" xfId="13432" xr:uid="{00000000-0005-0000-0000-00008B6C0000}"/>
    <cellStyle name="표준 13 3 3 6" xfId="7094" xr:uid="{00000000-0005-0000-0000-00008C6C0000}"/>
    <cellStyle name="표준 13 3 3 7" xfId="7095" xr:uid="{00000000-0005-0000-0000-00008D6C0000}"/>
    <cellStyle name="표준 13 3 3_뇌출혈특약(갱신형)" xfId="13433" xr:uid="{00000000-0005-0000-0000-00008E6C0000}"/>
    <cellStyle name="표준 13 3 4" xfId="7096" xr:uid="{00000000-0005-0000-0000-00008F6C0000}"/>
    <cellStyle name="표준 13 3 4 2" xfId="7097" xr:uid="{00000000-0005-0000-0000-0000906C0000}"/>
    <cellStyle name="표준 13 3 4 2 2" xfId="7098" xr:uid="{00000000-0005-0000-0000-0000916C0000}"/>
    <cellStyle name="표준 13 3 4 2 3" xfId="7099" xr:uid="{00000000-0005-0000-0000-0000926C0000}"/>
    <cellStyle name="표준 13 3 4 2_뇌출혈특약(갱신형)" xfId="13434" xr:uid="{00000000-0005-0000-0000-0000936C0000}"/>
    <cellStyle name="표준 13 3 4 3" xfId="7100" xr:uid="{00000000-0005-0000-0000-0000946C0000}"/>
    <cellStyle name="표준 13 3 4 4" xfId="7101" xr:uid="{00000000-0005-0000-0000-0000956C0000}"/>
    <cellStyle name="표준 13 3 4_뇌출혈특약(갱신형)" xfId="13435" xr:uid="{00000000-0005-0000-0000-0000966C0000}"/>
    <cellStyle name="표준 13 3 5" xfId="7102" xr:uid="{00000000-0005-0000-0000-0000976C0000}"/>
    <cellStyle name="표준 13 3 5 2" xfId="7103" xr:uid="{00000000-0005-0000-0000-0000986C0000}"/>
    <cellStyle name="표준 13 3 5 2 2" xfId="7104" xr:uid="{00000000-0005-0000-0000-0000996C0000}"/>
    <cellStyle name="표준 13 3 5 2 3" xfId="7105" xr:uid="{00000000-0005-0000-0000-00009A6C0000}"/>
    <cellStyle name="표준 13 3 5 2_뇌출혈특약(갱신형)" xfId="13436" xr:uid="{00000000-0005-0000-0000-00009B6C0000}"/>
    <cellStyle name="표준 13 3 5 3" xfId="7106" xr:uid="{00000000-0005-0000-0000-00009C6C0000}"/>
    <cellStyle name="표준 13 3 5 4" xfId="7107" xr:uid="{00000000-0005-0000-0000-00009D6C0000}"/>
    <cellStyle name="표준 13 3 5_뇌출혈특약(갱신형)" xfId="13437" xr:uid="{00000000-0005-0000-0000-00009E6C0000}"/>
    <cellStyle name="표준 13 3 6" xfId="7108" xr:uid="{00000000-0005-0000-0000-00009F6C0000}"/>
    <cellStyle name="표준 13 3 6 2" xfId="7109" xr:uid="{00000000-0005-0000-0000-0000A06C0000}"/>
    <cellStyle name="표준 13 3 6 3" xfId="7110" xr:uid="{00000000-0005-0000-0000-0000A16C0000}"/>
    <cellStyle name="표준 13 3 6_뇌출혈특약(갱신형)" xfId="13438" xr:uid="{00000000-0005-0000-0000-0000A26C0000}"/>
    <cellStyle name="표준 13 3 7" xfId="7111" xr:uid="{00000000-0005-0000-0000-0000A36C0000}"/>
    <cellStyle name="표준 13 3 7 2" xfId="7112" xr:uid="{00000000-0005-0000-0000-0000A46C0000}"/>
    <cellStyle name="표준 13 3 7 3" xfId="7113" xr:uid="{00000000-0005-0000-0000-0000A56C0000}"/>
    <cellStyle name="표준 13 3 7_뇌출혈특약(갱신형)" xfId="13439" xr:uid="{00000000-0005-0000-0000-0000A66C0000}"/>
    <cellStyle name="표준 13 3 8" xfId="7114" xr:uid="{00000000-0005-0000-0000-0000A76C0000}"/>
    <cellStyle name="표준 13 3 9" xfId="7115" xr:uid="{00000000-0005-0000-0000-0000A86C0000}"/>
    <cellStyle name="표준 13 3_뇌출혈특약(갱신형)" xfId="13440" xr:uid="{00000000-0005-0000-0000-0000A96C0000}"/>
    <cellStyle name="표준 13 4" xfId="7116" xr:uid="{00000000-0005-0000-0000-0000AA6C0000}"/>
    <cellStyle name="표준 13 4 2" xfId="7117" xr:uid="{00000000-0005-0000-0000-0000AB6C0000}"/>
    <cellStyle name="표준 13 4 2 2" xfId="7118" xr:uid="{00000000-0005-0000-0000-0000AC6C0000}"/>
    <cellStyle name="표준 13 4 2 2 2" xfId="7119" xr:uid="{00000000-0005-0000-0000-0000AD6C0000}"/>
    <cellStyle name="표준 13 4 2 2 2 2" xfId="7120" xr:uid="{00000000-0005-0000-0000-0000AE6C0000}"/>
    <cellStyle name="표준 13 4 2 2 2 3" xfId="7121" xr:uid="{00000000-0005-0000-0000-0000AF6C0000}"/>
    <cellStyle name="표준 13 4 2 2 2_뇌출혈특약(갱신형)" xfId="13441" xr:uid="{00000000-0005-0000-0000-0000B06C0000}"/>
    <cellStyle name="표준 13 4 2 2 3" xfId="7122" xr:uid="{00000000-0005-0000-0000-0000B16C0000}"/>
    <cellStyle name="표준 13 4 2 2 4" xfId="7123" xr:uid="{00000000-0005-0000-0000-0000B26C0000}"/>
    <cellStyle name="표준 13 4 2 2_뇌출혈특약(갱신형)" xfId="13442" xr:uid="{00000000-0005-0000-0000-0000B36C0000}"/>
    <cellStyle name="표준 13 4 2 3" xfId="7124" xr:uid="{00000000-0005-0000-0000-0000B46C0000}"/>
    <cellStyle name="표준 13 4 2 3 2" xfId="7125" xr:uid="{00000000-0005-0000-0000-0000B56C0000}"/>
    <cellStyle name="표준 13 4 2 3 2 2" xfId="7126" xr:uid="{00000000-0005-0000-0000-0000B66C0000}"/>
    <cellStyle name="표준 13 4 2 3 2 3" xfId="7127" xr:uid="{00000000-0005-0000-0000-0000B76C0000}"/>
    <cellStyle name="표준 13 4 2 3 2_뇌출혈특약(갱신형)" xfId="13443" xr:uid="{00000000-0005-0000-0000-0000B86C0000}"/>
    <cellStyle name="표준 13 4 2 3 3" xfId="7128" xr:uid="{00000000-0005-0000-0000-0000B96C0000}"/>
    <cellStyle name="표준 13 4 2 3 4" xfId="7129" xr:uid="{00000000-0005-0000-0000-0000BA6C0000}"/>
    <cellStyle name="표준 13 4 2 3_뇌출혈특약(갱신형)" xfId="13444" xr:uid="{00000000-0005-0000-0000-0000BB6C0000}"/>
    <cellStyle name="표준 13 4 2 4" xfId="7130" xr:uid="{00000000-0005-0000-0000-0000BC6C0000}"/>
    <cellStyle name="표준 13 4 2 4 2" xfId="7131" xr:uid="{00000000-0005-0000-0000-0000BD6C0000}"/>
    <cellStyle name="표준 13 4 2 4 3" xfId="7132" xr:uid="{00000000-0005-0000-0000-0000BE6C0000}"/>
    <cellStyle name="표준 13 4 2 4_뇌출혈특약(갱신형)" xfId="13445" xr:uid="{00000000-0005-0000-0000-0000BF6C0000}"/>
    <cellStyle name="표준 13 4 2 5" xfId="7133" xr:uid="{00000000-0005-0000-0000-0000C06C0000}"/>
    <cellStyle name="표준 13 4 2 5 2" xfId="7134" xr:uid="{00000000-0005-0000-0000-0000C16C0000}"/>
    <cellStyle name="표준 13 4 2 5 3" xfId="7135" xr:uid="{00000000-0005-0000-0000-0000C26C0000}"/>
    <cellStyle name="표준 13 4 2 5_뇌출혈특약(갱신형)" xfId="13446" xr:uid="{00000000-0005-0000-0000-0000C36C0000}"/>
    <cellStyle name="표준 13 4 2 6" xfId="7136" xr:uid="{00000000-0005-0000-0000-0000C46C0000}"/>
    <cellStyle name="표준 13 4 2 7" xfId="7137" xr:uid="{00000000-0005-0000-0000-0000C56C0000}"/>
    <cellStyle name="표준 13 4 2_뇌출혈특약(갱신형)" xfId="13447" xr:uid="{00000000-0005-0000-0000-0000C66C0000}"/>
    <cellStyle name="표준 13 4 3" xfId="7138" xr:uid="{00000000-0005-0000-0000-0000C76C0000}"/>
    <cellStyle name="표준 13 4 3 2" xfId="7139" xr:uid="{00000000-0005-0000-0000-0000C86C0000}"/>
    <cellStyle name="표준 13 4 3 2 2" xfId="7140" xr:uid="{00000000-0005-0000-0000-0000C96C0000}"/>
    <cellStyle name="표준 13 4 3 2 2 2" xfId="7141" xr:uid="{00000000-0005-0000-0000-0000CA6C0000}"/>
    <cellStyle name="표준 13 4 3 2 2 3" xfId="7142" xr:uid="{00000000-0005-0000-0000-0000CB6C0000}"/>
    <cellStyle name="표준 13 4 3 2 2_뇌출혈특약(갱신형)" xfId="13448" xr:uid="{00000000-0005-0000-0000-0000CC6C0000}"/>
    <cellStyle name="표준 13 4 3 2 3" xfId="7143" xr:uid="{00000000-0005-0000-0000-0000CD6C0000}"/>
    <cellStyle name="표준 13 4 3 2 4" xfId="7144" xr:uid="{00000000-0005-0000-0000-0000CE6C0000}"/>
    <cellStyle name="표준 13 4 3 2_뇌출혈특약(갱신형)" xfId="13449" xr:uid="{00000000-0005-0000-0000-0000CF6C0000}"/>
    <cellStyle name="표준 13 4 3 3" xfId="7145" xr:uid="{00000000-0005-0000-0000-0000D06C0000}"/>
    <cellStyle name="표준 13 4 3 3 2" xfId="7146" xr:uid="{00000000-0005-0000-0000-0000D16C0000}"/>
    <cellStyle name="표준 13 4 3 3 2 2" xfId="7147" xr:uid="{00000000-0005-0000-0000-0000D26C0000}"/>
    <cellStyle name="표준 13 4 3 3 2 3" xfId="7148" xr:uid="{00000000-0005-0000-0000-0000D36C0000}"/>
    <cellStyle name="표준 13 4 3 3 2_뇌출혈특약(갱신형)" xfId="13450" xr:uid="{00000000-0005-0000-0000-0000D46C0000}"/>
    <cellStyle name="표준 13 4 3 3 3" xfId="7149" xr:uid="{00000000-0005-0000-0000-0000D56C0000}"/>
    <cellStyle name="표준 13 4 3 3 4" xfId="7150" xr:uid="{00000000-0005-0000-0000-0000D66C0000}"/>
    <cellStyle name="표준 13 4 3 3_뇌출혈특약(갱신형)" xfId="13451" xr:uid="{00000000-0005-0000-0000-0000D76C0000}"/>
    <cellStyle name="표준 13 4 3 4" xfId="7151" xr:uid="{00000000-0005-0000-0000-0000D86C0000}"/>
    <cellStyle name="표준 13 4 3 4 2" xfId="7152" xr:uid="{00000000-0005-0000-0000-0000D96C0000}"/>
    <cellStyle name="표준 13 4 3 4 3" xfId="7153" xr:uid="{00000000-0005-0000-0000-0000DA6C0000}"/>
    <cellStyle name="표준 13 4 3 4_뇌출혈특약(갱신형)" xfId="13452" xr:uid="{00000000-0005-0000-0000-0000DB6C0000}"/>
    <cellStyle name="표준 13 4 3 5" xfId="7154" xr:uid="{00000000-0005-0000-0000-0000DC6C0000}"/>
    <cellStyle name="표준 13 4 3 5 2" xfId="7155" xr:uid="{00000000-0005-0000-0000-0000DD6C0000}"/>
    <cellStyle name="표준 13 4 3 5 3" xfId="7156" xr:uid="{00000000-0005-0000-0000-0000DE6C0000}"/>
    <cellStyle name="표준 13 4 3 5_뇌출혈특약(갱신형)" xfId="13453" xr:uid="{00000000-0005-0000-0000-0000DF6C0000}"/>
    <cellStyle name="표준 13 4 3 6" xfId="7157" xr:uid="{00000000-0005-0000-0000-0000E06C0000}"/>
    <cellStyle name="표준 13 4 3 7" xfId="7158" xr:uid="{00000000-0005-0000-0000-0000E16C0000}"/>
    <cellStyle name="표준 13 4 3_뇌출혈특약(갱신형)" xfId="13454" xr:uid="{00000000-0005-0000-0000-0000E26C0000}"/>
    <cellStyle name="표준 13 4 4" xfId="7159" xr:uid="{00000000-0005-0000-0000-0000E36C0000}"/>
    <cellStyle name="표준 13 4 4 2" xfId="7160" xr:uid="{00000000-0005-0000-0000-0000E46C0000}"/>
    <cellStyle name="표준 13 4 4 2 2" xfId="7161" xr:uid="{00000000-0005-0000-0000-0000E56C0000}"/>
    <cellStyle name="표준 13 4 4 2 3" xfId="7162" xr:uid="{00000000-0005-0000-0000-0000E66C0000}"/>
    <cellStyle name="표준 13 4 4 2_뇌출혈특약(갱신형)" xfId="13455" xr:uid="{00000000-0005-0000-0000-0000E76C0000}"/>
    <cellStyle name="표준 13 4 4 3" xfId="7163" xr:uid="{00000000-0005-0000-0000-0000E86C0000}"/>
    <cellStyle name="표준 13 4 4 4" xfId="7164" xr:uid="{00000000-0005-0000-0000-0000E96C0000}"/>
    <cellStyle name="표준 13 4 4_뇌출혈특약(갱신형)" xfId="13456" xr:uid="{00000000-0005-0000-0000-0000EA6C0000}"/>
    <cellStyle name="표준 13 4 5" xfId="7165" xr:uid="{00000000-0005-0000-0000-0000EB6C0000}"/>
    <cellStyle name="표준 13 4 5 2" xfId="7166" xr:uid="{00000000-0005-0000-0000-0000EC6C0000}"/>
    <cellStyle name="표준 13 4 5 2 2" xfId="7167" xr:uid="{00000000-0005-0000-0000-0000ED6C0000}"/>
    <cellStyle name="표준 13 4 5 2 3" xfId="7168" xr:uid="{00000000-0005-0000-0000-0000EE6C0000}"/>
    <cellStyle name="표준 13 4 5 2_뇌출혈특약(갱신형)" xfId="13457" xr:uid="{00000000-0005-0000-0000-0000EF6C0000}"/>
    <cellStyle name="표준 13 4 5 3" xfId="7169" xr:uid="{00000000-0005-0000-0000-0000F06C0000}"/>
    <cellStyle name="표준 13 4 5 4" xfId="7170" xr:uid="{00000000-0005-0000-0000-0000F16C0000}"/>
    <cellStyle name="표준 13 4 5_뇌출혈특약(갱신형)" xfId="13458" xr:uid="{00000000-0005-0000-0000-0000F26C0000}"/>
    <cellStyle name="표준 13 4 6" xfId="7171" xr:uid="{00000000-0005-0000-0000-0000F36C0000}"/>
    <cellStyle name="표준 13 4 6 2" xfId="7172" xr:uid="{00000000-0005-0000-0000-0000F46C0000}"/>
    <cellStyle name="표준 13 4 6 3" xfId="7173" xr:uid="{00000000-0005-0000-0000-0000F56C0000}"/>
    <cellStyle name="표준 13 4 6_뇌출혈특약(갱신형)" xfId="13459" xr:uid="{00000000-0005-0000-0000-0000F66C0000}"/>
    <cellStyle name="표준 13 4 7" xfId="7174" xr:uid="{00000000-0005-0000-0000-0000F76C0000}"/>
    <cellStyle name="표준 13 4 7 2" xfId="7175" xr:uid="{00000000-0005-0000-0000-0000F86C0000}"/>
    <cellStyle name="표준 13 4 7 3" xfId="7176" xr:uid="{00000000-0005-0000-0000-0000F96C0000}"/>
    <cellStyle name="표준 13 4 7_뇌출혈특약(갱신형)" xfId="13460" xr:uid="{00000000-0005-0000-0000-0000FA6C0000}"/>
    <cellStyle name="표준 13 4 8" xfId="7177" xr:uid="{00000000-0005-0000-0000-0000FB6C0000}"/>
    <cellStyle name="표준 13 4 9" xfId="7178" xr:uid="{00000000-0005-0000-0000-0000FC6C0000}"/>
    <cellStyle name="표준 13 4_뇌출혈특약(갱신형)" xfId="13461" xr:uid="{00000000-0005-0000-0000-0000FD6C0000}"/>
    <cellStyle name="표준 13 5" xfId="7179" xr:uid="{00000000-0005-0000-0000-0000FE6C0000}"/>
    <cellStyle name="표준 13 5 2" xfId="7180" xr:uid="{00000000-0005-0000-0000-0000FF6C0000}"/>
    <cellStyle name="표준 13 5 2 2" xfId="7181" xr:uid="{00000000-0005-0000-0000-0000006D0000}"/>
    <cellStyle name="표준 13 5 2 2 2" xfId="7182" xr:uid="{00000000-0005-0000-0000-0000016D0000}"/>
    <cellStyle name="표준 13 5 2 2 2 2" xfId="7183" xr:uid="{00000000-0005-0000-0000-0000026D0000}"/>
    <cellStyle name="표준 13 5 2 2 2 3" xfId="7184" xr:uid="{00000000-0005-0000-0000-0000036D0000}"/>
    <cellStyle name="표준 13 5 2 2 2_뇌출혈특약(갱신형)" xfId="13462" xr:uid="{00000000-0005-0000-0000-0000046D0000}"/>
    <cellStyle name="표준 13 5 2 2 3" xfId="7185" xr:uid="{00000000-0005-0000-0000-0000056D0000}"/>
    <cellStyle name="표준 13 5 2 2 4" xfId="7186" xr:uid="{00000000-0005-0000-0000-0000066D0000}"/>
    <cellStyle name="표준 13 5 2 2_뇌출혈특약(갱신형)" xfId="13463" xr:uid="{00000000-0005-0000-0000-0000076D0000}"/>
    <cellStyle name="표준 13 5 2 3" xfId="7187" xr:uid="{00000000-0005-0000-0000-0000086D0000}"/>
    <cellStyle name="표준 13 5 2 3 2" xfId="7188" xr:uid="{00000000-0005-0000-0000-0000096D0000}"/>
    <cellStyle name="표준 13 5 2 3 2 2" xfId="7189" xr:uid="{00000000-0005-0000-0000-00000A6D0000}"/>
    <cellStyle name="표준 13 5 2 3 2 3" xfId="7190" xr:uid="{00000000-0005-0000-0000-00000B6D0000}"/>
    <cellStyle name="표준 13 5 2 3 2_뇌출혈특약(갱신형)" xfId="13464" xr:uid="{00000000-0005-0000-0000-00000C6D0000}"/>
    <cellStyle name="표준 13 5 2 3 3" xfId="7191" xr:uid="{00000000-0005-0000-0000-00000D6D0000}"/>
    <cellStyle name="표준 13 5 2 3 4" xfId="7192" xr:uid="{00000000-0005-0000-0000-00000E6D0000}"/>
    <cellStyle name="표준 13 5 2 3_뇌출혈특약(갱신형)" xfId="13465" xr:uid="{00000000-0005-0000-0000-00000F6D0000}"/>
    <cellStyle name="표준 13 5 2 4" xfId="7193" xr:uid="{00000000-0005-0000-0000-0000106D0000}"/>
    <cellStyle name="표준 13 5 2 4 2" xfId="7194" xr:uid="{00000000-0005-0000-0000-0000116D0000}"/>
    <cellStyle name="표준 13 5 2 4 3" xfId="7195" xr:uid="{00000000-0005-0000-0000-0000126D0000}"/>
    <cellStyle name="표준 13 5 2 4_뇌출혈특약(갱신형)" xfId="13466" xr:uid="{00000000-0005-0000-0000-0000136D0000}"/>
    <cellStyle name="표준 13 5 2 5" xfId="7196" xr:uid="{00000000-0005-0000-0000-0000146D0000}"/>
    <cellStyle name="표준 13 5 2 5 2" xfId="7197" xr:uid="{00000000-0005-0000-0000-0000156D0000}"/>
    <cellStyle name="표준 13 5 2 5 3" xfId="7198" xr:uid="{00000000-0005-0000-0000-0000166D0000}"/>
    <cellStyle name="표준 13 5 2 5_뇌출혈특약(갱신형)" xfId="13467" xr:uid="{00000000-0005-0000-0000-0000176D0000}"/>
    <cellStyle name="표준 13 5 2 6" xfId="7199" xr:uid="{00000000-0005-0000-0000-0000186D0000}"/>
    <cellStyle name="표준 13 5 2 7" xfId="7200" xr:uid="{00000000-0005-0000-0000-0000196D0000}"/>
    <cellStyle name="표준 13 5 2_뇌출혈특약(갱신형)" xfId="13468" xr:uid="{00000000-0005-0000-0000-00001A6D0000}"/>
    <cellStyle name="표준 13 5 3" xfId="7201" xr:uid="{00000000-0005-0000-0000-00001B6D0000}"/>
    <cellStyle name="표준 13 5 3 2" xfId="7202" xr:uid="{00000000-0005-0000-0000-00001C6D0000}"/>
    <cellStyle name="표준 13 5 3 2 2" xfId="7203" xr:uid="{00000000-0005-0000-0000-00001D6D0000}"/>
    <cellStyle name="표준 13 5 3 2 2 2" xfId="7204" xr:uid="{00000000-0005-0000-0000-00001E6D0000}"/>
    <cellStyle name="표준 13 5 3 2 2 3" xfId="7205" xr:uid="{00000000-0005-0000-0000-00001F6D0000}"/>
    <cellStyle name="표준 13 5 3 2 2_뇌출혈특약(갱신형)" xfId="13469" xr:uid="{00000000-0005-0000-0000-0000206D0000}"/>
    <cellStyle name="표준 13 5 3 2 3" xfId="7206" xr:uid="{00000000-0005-0000-0000-0000216D0000}"/>
    <cellStyle name="표준 13 5 3 2 4" xfId="7207" xr:uid="{00000000-0005-0000-0000-0000226D0000}"/>
    <cellStyle name="표준 13 5 3 2_뇌출혈특약(갱신형)" xfId="13470" xr:uid="{00000000-0005-0000-0000-0000236D0000}"/>
    <cellStyle name="표준 13 5 3 3" xfId="7208" xr:uid="{00000000-0005-0000-0000-0000246D0000}"/>
    <cellStyle name="표준 13 5 3 3 2" xfId="7209" xr:uid="{00000000-0005-0000-0000-0000256D0000}"/>
    <cellStyle name="표준 13 5 3 3 2 2" xfId="7210" xr:uid="{00000000-0005-0000-0000-0000266D0000}"/>
    <cellStyle name="표준 13 5 3 3 2 3" xfId="7211" xr:uid="{00000000-0005-0000-0000-0000276D0000}"/>
    <cellStyle name="표준 13 5 3 3 2_뇌출혈특약(갱신형)" xfId="13471" xr:uid="{00000000-0005-0000-0000-0000286D0000}"/>
    <cellStyle name="표준 13 5 3 3 3" xfId="7212" xr:uid="{00000000-0005-0000-0000-0000296D0000}"/>
    <cellStyle name="표준 13 5 3 3 4" xfId="7213" xr:uid="{00000000-0005-0000-0000-00002A6D0000}"/>
    <cellStyle name="표준 13 5 3 3_뇌출혈특약(갱신형)" xfId="13472" xr:uid="{00000000-0005-0000-0000-00002B6D0000}"/>
    <cellStyle name="표준 13 5 3 4" xfId="7214" xr:uid="{00000000-0005-0000-0000-00002C6D0000}"/>
    <cellStyle name="표준 13 5 3 4 2" xfId="7215" xr:uid="{00000000-0005-0000-0000-00002D6D0000}"/>
    <cellStyle name="표준 13 5 3 4 3" xfId="7216" xr:uid="{00000000-0005-0000-0000-00002E6D0000}"/>
    <cellStyle name="표준 13 5 3 4_뇌출혈특약(갱신형)" xfId="13473" xr:uid="{00000000-0005-0000-0000-00002F6D0000}"/>
    <cellStyle name="표준 13 5 3 5" xfId="7217" xr:uid="{00000000-0005-0000-0000-0000306D0000}"/>
    <cellStyle name="표준 13 5 3 5 2" xfId="7218" xr:uid="{00000000-0005-0000-0000-0000316D0000}"/>
    <cellStyle name="표준 13 5 3 5 3" xfId="7219" xr:uid="{00000000-0005-0000-0000-0000326D0000}"/>
    <cellStyle name="표준 13 5 3 5_뇌출혈특약(갱신형)" xfId="13474" xr:uid="{00000000-0005-0000-0000-0000336D0000}"/>
    <cellStyle name="표준 13 5 3 6" xfId="7220" xr:uid="{00000000-0005-0000-0000-0000346D0000}"/>
    <cellStyle name="표준 13 5 3 7" xfId="7221" xr:uid="{00000000-0005-0000-0000-0000356D0000}"/>
    <cellStyle name="표준 13 5 3_뇌출혈특약(갱신형)" xfId="13475" xr:uid="{00000000-0005-0000-0000-0000366D0000}"/>
    <cellStyle name="표준 13 5 4" xfId="7222" xr:uid="{00000000-0005-0000-0000-0000376D0000}"/>
    <cellStyle name="표준 13 5 4 2" xfId="7223" xr:uid="{00000000-0005-0000-0000-0000386D0000}"/>
    <cellStyle name="표준 13 5 4 2 2" xfId="7224" xr:uid="{00000000-0005-0000-0000-0000396D0000}"/>
    <cellStyle name="표준 13 5 4 2 3" xfId="7225" xr:uid="{00000000-0005-0000-0000-00003A6D0000}"/>
    <cellStyle name="표준 13 5 4 2_뇌출혈특약(갱신형)" xfId="13476" xr:uid="{00000000-0005-0000-0000-00003B6D0000}"/>
    <cellStyle name="표준 13 5 4 3" xfId="7226" xr:uid="{00000000-0005-0000-0000-00003C6D0000}"/>
    <cellStyle name="표준 13 5 4 4" xfId="7227" xr:uid="{00000000-0005-0000-0000-00003D6D0000}"/>
    <cellStyle name="표준 13 5 4_뇌출혈특약(갱신형)" xfId="13477" xr:uid="{00000000-0005-0000-0000-00003E6D0000}"/>
    <cellStyle name="표준 13 5 5" xfId="7228" xr:uid="{00000000-0005-0000-0000-00003F6D0000}"/>
    <cellStyle name="표준 13 5 5 2" xfId="7229" xr:uid="{00000000-0005-0000-0000-0000406D0000}"/>
    <cellStyle name="표준 13 5 5 2 2" xfId="7230" xr:uid="{00000000-0005-0000-0000-0000416D0000}"/>
    <cellStyle name="표준 13 5 5 2 3" xfId="7231" xr:uid="{00000000-0005-0000-0000-0000426D0000}"/>
    <cellStyle name="표준 13 5 5 2_뇌출혈특약(갱신형)" xfId="13478" xr:uid="{00000000-0005-0000-0000-0000436D0000}"/>
    <cellStyle name="표준 13 5 5 3" xfId="7232" xr:uid="{00000000-0005-0000-0000-0000446D0000}"/>
    <cellStyle name="표준 13 5 5 4" xfId="7233" xr:uid="{00000000-0005-0000-0000-0000456D0000}"/>
    <cellStyle name="표준 13 5 5_뇌출혈특약(갱신형)" xfId="13479" xr:uid="{00000000-0005-0000-0000-0000466D0000}"/>
    <cellStyle name="표준 13 5 6" xfId="7234" xr:uid="{00000000-0005-0000-0000-0000476D0000}"/>
    <cellStyle name="표준 13 5 6 2" xfId="7235" xr:uid="{00000000-0005-0000-0000-0000486D0000}"/>
    <cellStyle name="표준 13 5 6 3" xfId="7236" xr:uid="{00000000-0005-0000-0000-0000496D0000}"/>
    <cellStyle name="표준 13 5 6_뇌출혈특약(갱신형)" xfId="13480" xr:uid="{00000000-0005-0000-0000-00004A6D0000}"/>
    <cellStyle name="표준 13 5 7" xfId="7237" xr:uid="{00000000-0005-0000-0000-00004B6D0000}"/>
    <cellStyle name="표준 13 5 7 2" xfId="7238" xr:uid="{00000000-0005-0000-0000-00004C6D0000}"/>
    <cellStyle name="표준 13 5 7 3" xfId="7239" xr:uid="{00000000-0005-0000-0000-00004D6D0000}"/>
    <cellStyle name="표준 13 5 7_뇌출혈특약(갱신형)" xfId="13481" xr:uid="{00000000-0005-0000-0000-00004E6D0000}"/>
    <cellStyle name="표준 13 5 8" xfId="7240" xr:uid="{00000000-0005-0000-0000-00004F6D0000}"/>
    <cellStyle name="표준 13 5 9" xfId="7241" xr:uid="{00000000-0005-0000-0000-0000506D0000}"/>
    <cellStyle name="표준 13 5_뇌출혈특약(갱신형)" xfId="13482" xr:uid="{00000000-0005-0000-0000-0000516D0000}"/>
    <cellStyle name="표준 13 6" xfId="7242" xr:uid="{00000000-0005-0000-0000-0000526D0000}"/>
    <cellStyle name="표준 13 6 2" xfId="7243" xr:uid="{00000000-0005-0000-0000-0000536D0000}"/>
    <cellStyle name="표준 13 6 2 2" xfId="7244" xr:uid="{00000000-0005-0000-0000-0000546D0000}"/>
    <cellStyle name="표준 13 6 2 2 2" xfId="7245" xr:uid="{00000000-0005-0000-0000-0000556D0000}"/>
    <cellStyle name="표준 13 6 2 2 2 2" xfId="7246" xr:uid="{00000000-0005-0000-0000-0000566D0000}"/>
    <cellStyle name="표준 13 6 2 2 2 3" xfId="7247" xr:uid="{00000000-0005-0000-0000-0000576D0000}"/>
    <cellStyle name="표준 13 6 2 2 2_뇌출혈특약(갱신형)" xfId="13483" xr:uid="{00000000-0005-0000-0000-0000586D0000}"/>
    <cellStyle name="표준 13 6 2 2 3" xfId="7248" xr:uid="{00000000-0005-0000-0000-0000596D0000}"/>
    <cellStyle name="표준 13 6 2 2 4" xfId="7249" xr:uid="{00000000-0005-0000-0000-00005A6D0000}"/>
    <cellStyle name="표준 13 6 2 2_뇌출혈특약(갱신형)" xfId="13484" xr:uid="{00000000-0005-0000-0000-00005B6D0000}"/>
    <cellStyle name="표준 13 6 2 3" xfId="7250" xr:uid="{00000000-0005-0000-0000-00005C6D0000}"/>
    <cellStyle name="표준 13 6 2 3 2" xfId="7251" xr:uid="{00000000-0005-0000-0000-00005D6D0000}"/>
    <cellStyle name="표준 13 6 2 3 2 2" xfId="7252" xr:uid="{00000000-0005-0000-0000-00005E6D0000}"/>
    <cellStyle name="표준 13 6 2 3 2 3" xfId="7253" xr:uid="{00000000-0005-0000-0000-00005F6D0000}"/>
    <cellStyle name="표준 13 6 2 3 2_뇌출혈특약(갱신형)" xfId="13485" xr:uid="{00000000-0005-0000-0000-0000606D0000}"/>
    <cellStyle name="표준 13 6 2 3 3" xfId="7254" xr:uid="{00000000-0005-0000-0000-0000616D0000}"/>
    <cellStyle name="표준 13 6 2 3 4" xfId="7255" xr:uid="{00000000-0005-0000-0000-0000626D0000}"/>
    <cellStyle name="표준 13 6 2 3_뇌출혈특약(갱신형)" xfId="13486" xr:uid="{00000000-0005-0000-0000-0000636D0000}"/>
    <cellStyle name="표준 13 6 2 4" xfId="7256" xr:uid="{00000000-0005-0000-0000-0000646D0000}"/>
    <cellStyle name="표준 13 6 2 4 2" xfId="7257" xr:uid="{00000000-0005-0000-0000-0000656D0000}"/>
    <cellStyle name="표준 13 6 2 4 3" xfId="7258" xr:uid="{00000000-0005-0000-0000-0000666D0000}"/>
    <cellStyle name="표준 13 6 2 4_뇌출혈특약(갱신형)" xfId="13487" xr:uid="{00000000-0005-0000-0000-0000676D0000}"/>
    <cellStyle name="표준 13 6 2 5" xfId="7259" xr:uid="{00000000-0005-0000-0000-0000686D0000}"/>
    <cellStyle name="표준 13 6 2 5 2" xfId="7260" xr:uid="{00000000-0005-0000-0000-0000696D0000}"/>
    <cellStyle name="표준 13 6 2 5 3" xfId="7261" xr:uid="{00000000-0005-0000-0000-00006A6D0000}"/>
    <cellStyle name="표준 13 6 2 5_뇌출혈특약(갱신형)" xfId="13488" xr:uid="{00000000-0005-0000-0000-00006B6D0000}"/>
    <cellStyle name="표준 13 6 2 6" xfId="7262" xr:uid="{00000000-0005-0000-0000-00006C6D0000}"/>
    <cellStyle name="표준 13 6 2 7" xfId="7263" xr:uid="{00000000-0005-0000-0000-00006D6D0000}"/>
    <cellStyle name="표준 13 6 2_뇌출혈특약(갱신형)" xfId="13489" xr:uid="{00000000-0005-0000-0000-00006E6D0000}"/>
    <cellStyle name="표준 13 6 3" xfId="7264" xr:uid="{00000000-0005-0000-0000-00006F6D0000}"/>
    <cellStyle name="표준 13 6 3 2" xfId="7265" xr:uid="{00000000-0005-0000-0000-0000706D0000}"/>
    <cellStyle name="표준 13 6 3 2 2" xfId="7266" xr:uid="{00000000-0005-0000-0000-0000716D0000}"/>
    <cellStyle name="표준 13 6 3 2 2 2" xfId="7267" xr:uid="{00000000-0005-0000-0000-0000726D0000}"/>
    <cellStyle name="표준 13 6 3 2 2 3" xfId="7268" xr:uid="{00000000-0005-0000-0000-0000736D0000}"/>
    <cellStyle name="표준 13 6 3 2 2_뇌출혈특약(갱신형)" xfId="13490" xr:uid="{00000000-0005-0000-0000-0000746D0000}"/>
    <cellStyle name="표준 13 6 3 2 3" xfId="7269" xr:uid="{00000000-0005-0000-0000-0000756D0000}"/>
    <cellStyle name="표준 13 6 3 2 4" xfId="7270" xr:uid="{00000000-0005-0000-0000-0000766D0000}"/>
    <cellStyle name="표준 13 6 3 2_뇌출혈특약(갱신형)" xfId="13491" xr:uid="{00000000-0005-0000-0000-0000776D0000}"/>
    <cellStyle name="표준 13 6 3 3" xfId="7271" xr:uid="{00000000-0005-0000-0000-0000786D0000}"/>
    <cellStyle name="표준 13 6 3 3 2" xfId="7272" xr:uid="{00000000-0005-0000-0000-0000796D0000}"/>
    <cellStyle name="표준 13 6 3 3 2 2" xfId="7273" xr:uid="{00000000-0005-0000-0000-00007A6D0000}"/>
    <cellStyle name="표준 13 6 3 3 2 3" xfId="7274" xr:uid="{00000000-0005-0000-0000-00007B6D0000}"/>
    <cellStyle name="표준 13 6 3 3 2_뇌출혈특약(갱신형)" xfId="13492" xr:uid="{00000000-0005-0000-0000-00007C6D0000}"/>
    <cellStyle name="표준 13 6 3 3 3" xfId="7275" xr:uid="{00000000-0005-0000-0000-00007D6D0000}"/>
    <cellStyle name="표준 13 6 3 3 4" xfId="7276" xr:uid="{00000000-0005-0000-0000-00007E6D0000}"/>
    <cellStyle name="표준 13 6 3 3_뇌출혈특약(갱신형)" xfId="13493" xr:uid="{00000000-0005-0000-0000-00007F6D0000}"/>
    <cellStyle name="표준 13 6 3 4" xfId="7277" xr:uid="{00000000-0005-0000-0000-0000806D0000}"/>
    <cellStyle name="표준 13 6 3 4 2" xfId="7278" xr:uid="{00000000-0005-0000-0000-0000816D0000}"/>
    <cellStyle name="표준 13 6 3 4 3" xfId="7279" xr:uid="{00000000-0005-0000-0000-0000826D0000}"/>
    <cellStyle name="표준 13 6 3 4_뇌출혈특약(갱신형)" xfId="13494" xr:uid="{00000000-0005-0000-0000-0000836D0000}"/>
    <cellStyle name="표준 13 6 3 5" xfId="7280" xr:uid="{00000000-0005-0000-0000-0000846D0000}"/>
    <cellStyle name="표준 13 6 3 5 2" xfId="7281" xr:uid="{00000000-0005-0000-0000-0000856D0000}"/>
    <cellStyle name="표준 13 6 3 5 3" xfId="7282" xr:uid="{00000000-0005-0000-0000-0000866D0000}"/>
    <cellStyle name="표준 13 6 3 5_뇌출혈특약(갱신형)" xfId="13495" xr:uid="{00000000-0005-0000-0000-0000876D0000}"/>
    <cellStyle name="표준 13 6 3 6" xfId="7283" xr:uid="{00000000-0005-0000-0000-0000886D0000}"/>
    <cellStyle name="표준 13 6 3 7" xfId="7284" xr:uid="{00000000-0005-0000-0000-0000896D0000}"/>
    <cellStyle name="표준 13 6 3_뇌출혈특약(갱신형)" xfId="13496" xr:uid="{00000000-0005-0000-0000-00008A6D0000}"/>
    <cellStyle name="표준 13 6 4" xfId="7285" xr:uid="{00000000-0005-0000-0000-00008B6D0000}"/>
    <cellStyle name="표준 13 6 4 2" xfId="7286" xr:uid="{00000000-0005-0000-0000-00008C6D0000}"/>
    <cellStyle name="표준 13 6 4 2 2" xfId="7287" xr:uid="{00000000-0005-0000-0000-00008D6D0000}"/>
    <cellStyle name="표준 13 6 4 2 3" xfId="7288" xr:uid="{00000000-0005-0000-0000-00008E6D0000}"/>
    <cellStyle name="표준 13 6 4 2_뇌출혈특약(갱신형)" xfId="13497" xr:uid="{00000000-0005-0000-0000-00008F6D0000}"/>
    <cellStyle name="표준 13 6 4 3" xfId="7289" xr:uid="{00000000-0005-0000-0000-0000906D0000}"/>
    <cellStyle name="표준 13 6 4 4" xfId="7290" xr:uid="{00000000-0005-0000-0000-0000916D0000}"/>
    <cellStyle name="표준 13 6 4_뇌출혈특약(갱신형)" xfId="13498" xr:uid="{00000000-0005-0000-0000-0000926D0000}"/>
    <cellStyle name="표준 13 6 5" xfId="7291" xr:uid="{00000000-0005-0000-0000-0000936D0000}"/>
    <cellStyle name="표준 13 6 5 2" xfId="7292" xr:uid="{00000000-0005-0000-0000-0000946D0000}"/>
    <cellStyle name="표준 13 6 5 2 2" xfId="7293" xr:uid="{00000000-0005-0000-0000-0000956D0000}"/>
    <cellStyle name="표준 13 6 5 2 3" xfId="7294" xr:uid="{00000000-0005-0000-0000-0000966D0000}"/>
    <cellStyle name="표준 13 6 5 2_뇌출혈특약(갱신형)" xfId="13499" xr:uid="{00000000-0005-0000-0000-0000976D0000}"/>
    <cellStyle name="표준 13 6 5 3" xfId="7295" xr:uid="{00000000-0005-0000-0000-0000986D0000}"/>
    <cellStyle name="표준 13 6 5 4" xfId="7296" xr:uid="{00000000-0005-0000-0000-0000996D0000}"/>
    <cellStyle name="표준 13 6 5_뇌출혈특약(갱신형)" xfId="13500" xr:uid="{00000000-0005-0000-0000-00009A6D0000}"/>
    <cellStyle name="표준 13 6 6" xfId="7297" xr:uid="{00000000-0005-0000-0000-00009B6D0000}"/>
    <cellStyle name="표준 13 6 6 2" xfId="7298" xr:uid="{00000000-0005-0000-0000-00009C6D0000}"/>
    <cellStyle name="표준 13 6 6 3" xfId="7299" xr:uid="{00000000-0005-0000-0000-00009D6D0000}"/>
    <cellStyle name="표준 13 6 6_뇌출혈특약(갱신형)" xfId="13501" xr:uid="{00000000-0005-0000-0000-00009E6D0000}"/>
    <cellStyle name="표준 13 6 7" xfId="7300" xr:uid="{00000000-0005-0000-0000-00009F6D0000}"/>
    <cellStyle name="표준 13 6 7 2" xfId="7301" xr:uid="{00000000-0005-0000-0000-0000A06D0000}"/>
    <cellStyle name="표준 13 6 7 3" xfId="7302" xr:uid="{00000000-0005-0000-0000-0000A16D0000}"/>
    <cellStyle name="표준 13 6 7_뇌출혈특약(갱신형)" xfId="13502" xr:uid="{00000000-0005-0000-0000-0000A26D0000}"/>
    <cellStyle name="표준 13 6 8" xfId="7303" xr:uid="{00000000-0005-0000-0000-0000A36D0000}"/>
    <cellStyle name="표준 13 6 9" xfId="7304" xr:uid="{00000000-0005-0000-0000-0000A46D0000}"/>
    <cellStyle name="표준 13 6_뇌출혈특약(갱신형)" xfId="13503" xr:uid="{00000000-0005-0000-0000-0000A56D0000}"/>
    <cellStyle name="표준 13 7" xfId="7305" xr:uid="{00000000-0005-0000-0000-0000A66D0000}"/>
    <cellStyle name="표준 13 7 2" xfId="7306" xr:uid="{00000000-0005-0000-0000-0000A76D0000}"/>
    <cellStyle name="표준 13 7 2 2" xfId="7307" xr:uid="{00000000-0005-0000-0000-0000A86D0000}"/>
    <cellStyle name="표준 13 7 2 2 2" xfId="7308" xr:uid="{00000000-0005-0000-0000-0000A96D0000}"/>
    <cellStyle name="표준 13 7 2 2 2 2" xfId="7309" xr:uid="{00000000-0005-0000-0000-0000AA6D0000}"/>
    <cellStyle name="표준 13 7 2 2 2 3" xfId="7310" xr:uid="{00000000-0005-0000-0000-0000AB6D0000}"/>
    <cellStyle name="표준 13 7 2 2 2_뇌출혈특약(갱신형)" xfId="13504" xr:uid="{00000000-0005-0000-0000-0000AC6D0000}"/>
    <cellStyle name="표준 13 7 2 2 3" xfId="7311" xr:uid="{00000000-0005-0000-0000-0000AD6D0000}"/>
    <cellStyle name="표준 13 7 2 2 4" xfId="7312" xr:uid="{00000000-0005-0000-0000-0000AE6D0000}"/>
    <cellStyle name="표준 13 7 2 2_뇌출혈특약(갱신형)" xfId="13505" xr:uid="{00000000-0005-0000-0000-0000AF6D0000}"/>
    <cellStyle name="표준 13 7 2 3" xfId="7313" xr:uid="{00000000-0005-0000-0000-0000B06D0000}"/>
    <cellStyle name="표준 13 7 2 3 2" xfId="7314" xr:uid="{00000000-0005-0000-0000-0000B16D0000}"/>
    <cellStyle name="표준 13 7 2 3 2 2" xfId="7315" xr:uid="{00000000-0005-0000-0000-0000B26D0000}"/>
    <cellStyle name="표준 13 7 2 3 2 3" xfId="7316" xr:uid="{00000000-0005-0000-0000-0000B36D0000}"/>
    <cellStyle name="표준 13 7 2 3 2_뇌출혈특약(갱신형)" xfId="13506" xr:uid="{00000000-0005-0000-0000-0000B46D0000}"/>
    <cellStyle name="표준 13 7 2 3 3" xfId="7317" xr:uid="{00000000-0005-0000-0000-0000B56D0000}"/>
    <cellStyle name="표준 13 7 2 3 4" xfId="7318" xr:uid="{00000000-0005-0000-0000-0000B66D0000}"/>
    <cellStyle name="표준 13 7 2 3_뇌출혈특약(갱신형)" xfId="13507" xr:uid="{00000000-0005-0000-0000-0000B76D0000}"/>
    <cellStyle name="표준 13 7 2 4" xfId="7319" xr:uid="{00000000-0005-0000-0000-0000B86D0000}"/>
    <cellStyle name="표준 13 7 2 4 2" xfId="7320" xr:uid="{00000000-0005-0000-0000-0000B96D0000}"/>
    <cellStyle name="표준 13 7 2 4 3" xfId="7321" xr:uid="{00000000-0005-0000-0000-0000BA6D0000}"/>
    <cellStyle name="표준 13 7 2 4_뇌출혈특약(갱신형)" xfId="13508" xr:uid="{00000000-0005-0000-0000-0000BB6D0000}"/>
    <cellStyle name="표준 13 7 2 5" xfId="7322" xr:uid="{00000000-0005-0000-0000-0000BC6D0000}"/>
    <cellStyle name="표준 13 7 2 5 2" xfId="7323" xr:uid="{00000000-0005-0000-0000-0000BD6D0000}"/>
    <cellStyle name="표준 13 7 2 5 3" xfId="7324" xr:uid="{00000000-0005-0000-0000-0000BE6D0000}"/>
    <cellStyle name="표준 13 7 2 5_뇌출혈특약(갱신형)" xfId="13509" xr:uid="{00000000-0005-0000-0000-0000BF6D0000}"/>
    <cellStyle name="표준 13 7 2 6" xfId="7325" xr:uid="{00000000-0005-0000-0000-0000C06D0000}"/>
    <cellStyle name="표준 13 7 2 7" xfId="7326" xr:uid="{00000000-0005-0000-0000-0000C16D0000}"/>
    <cellStyle name="표준 13 7 2_뇌출혈특약(갱신형)" xfId="13510" xr:uid="{00000000-0005-0000-0000-0000C26D0000}"/>
    <cellStyle name="표준 13 7 3" xfId="7327" xr:uid="{00000000-0005-0000-0000-0000C36D0000}"/>
    <cellStyle name="표준 13 7 3 2" xfId="7328" xr:uid="{00000000-0005-0000-0000-0000C46D0000}"/>
    <cellStyle name="표준 13 7 3 2 2" xfId="7329" xr:uid="{00000000-0005-0000-0000-0000C56D0000}"/>
    <cellStyle name="표준 13 7 3 2 3" xfId="7330" xr:uid="{00000000-0005-0000-0000-0000C66D0000}"/>
    <cellStyle name="표준 13 7 3 2_뇌출혈특약(갱신형)" xfId="13511" xr:uid="{00000000-0005-0000-0000-0000C76D0000}"/>
    <cellStyle name="표준 13 7 3 3" xfId="7331" xr:uid="{00000000-0005-0000-0000-0000C86D0000}"/>
    <cellStyle name="표준 13 7 3 4" xfId="7332" xr:uid="{00000000-0005-0000-0000-0000C96D0000}"/>
    <cellStyle name="표준 13 7 3_뇌출혈특약(갱신형)" xfId="13512" xr:uid="{00000000-0005-0000-0000-0000CA6D0000}"/>
    <cellStyle name="표준 13 7 4" xfId="7333" xr:uid="{00000000-0005-0000-0000-0000CB6D0000}"/>
    <cellStyle name="표준 13 7 4 2" xfId="7334" xr:uid="{00000000-0005-0000-0000-0000CC6D0000}"/>
    <cellStyle name="표준 13 7 4 2 2" xfId="7335" xr:uid="{00000000-0005-0000-0000-0000CD6D0000}"/>
    <cellStyle name="표준 13 7 4 2 3" xfId="7336" xr:uid="{00000000-0005-0000-0000-0000CE6D0000}"/>
    <cellStyle name="표준 13 7 4 2_뇌출혈특약(갱신형)" xfId="13513" xr:uid="{00000000-0005-0000-0000-0000CF6D0000}"/>
    <cellStyle name="표준 13 7 4 3" xfId="7337" xr:uid="{00000000-0005-0000-0000-0000D06D0000}"/>
    <cellStyle name="표준 13 7 4 4" xfId="7338" xr:uid="{00000000-0005-0000-0000-0000D16D0000}"/>
    <cellStyle name="표준 13 7 4_뇌출혈특약(갱신형)" xfId="13514" xr:uid="{00000000-0005-0000-0000-0000D26D0000}"/>
    <cellStyle name="표준 13 7 5" xfId="7339" xr:uid="{00000000-0005-0000-0000-0000D36D0000}"/>
    <cellStyle name="표준 13 7 5 2" xfId="7340" xr:uid="{00000000-0005-0000-0000-0000D46D0000}"/>
    <cellStyle name="표준 13 7 5 3" xfId="7341" xr:uid="{00000000-0005-0000-0000-0000D56D0000}"/>
    <cellStyle name="표준 13 7 5_뇌출혈특약(갱신형)" xfId="13515" xr:uid="{00000000-0005-0000-0000-0000D66D0000}"/>
    <cellStyle name="표준 13 7 6" xfId="7342" xr:uid="{00000000-0005-0000-0000-0000D76D0000}"/>
    <cellStyle name="표준 13 7 6 2" xfId="7343" xr:uid="{00000000-0005-0000-0000-0000D86D0000}"/>
    <cellStyle name="표준 13 7 6 3" xfId="7344" xr:uid="{00000000-0005-0000-0000-0000D96D0000}"/>
    <cellStyle name="표준 13 7 6_뇌출혈특약(갱신형)" xfId="13516" xr:uid="{00000000-0005-0000-0000-0000DA6D0000}"/>
    <cellStyle name="표준 13 7 7" xfId="7345" xr:uid="{00000000-0005-0000-0000-0000DB6D0000}"/>
    <cellStyle name="표준 13 7 8" xfId="7346" xr:uid="{00000000-0005-0000-0000-0000DC6D0000}"/>
    <cellStyle name="표준 13 7_뇌출혈특약(갱신형)" xfId="13517" xr:uid="{00000000-0005-0000-0000-0000DD6D0000}"/>
    <cellStyle name="표준 13 8" xfId="7347" xr:uid="{00000000-0005-0000-0000-0000DE6D0000}"/>
    <cellStyle name="표준 13 8 2" xfId="7348" xr:uid="{00000000-0005-0000-0000-0000DF6D0000}"/>
    <cellStyle name="표준 13 8 2 2" xfId="7349" xr:uid="{00000000-0005-0000-0000-0000E06D0000}"/>
    <cellStyle name="표준 13 8 2 2 2" xfId="7350" xr:uid="{00000000-0005-0000-0000-0000E16D0000}"/>
    <cellStyle name="표준 13 8 2 2 3" xfId="7351" xr:uid="{00000000-0005-0000-0000-0000E26D0000}"/>
    <cellStyle name="표준 13 8 2 2_뇌출혈특약(갱신형)" xfId="13518" xr:uid="{00000000-0005-0000-0000-0000E36D0000}"/>
    <cellStyle name="표준 13 8 2 3" xfId="7352" xr:uid="{00000000-0005-0000-0000-0000E46D0000}"/>
    <cellStyle name="표준 13 8 2 4" xfId="7353" xr:uid="{00000000-0005-0000-0000-0000E56D0000}"/>
    <cellStyle name="표준 13 8 2_뇌출혈특약(갱신형)" xfId="13519" xr:uid="{00000000-0005-0000-0000-0000E66D0000}"/>
    <cellStyle name="표준 13 8 3" xfId="7354" xr:uid="{00000000-0005-0000-0000-0000E76D0000}"/>
    <cellStyle name="표준 13 8 3 2" xfId="7355" xr:uid="{00000000-0005-0000-0000-0000E86D0000}"/>
    <cellStyle name="표준 13 8 3 2 2" xfId="7356" xr:uid="{00000000-0005-0000-0000-0000E96D0000}"/>
    <cellStyle name="표준 13 8 3 2 3" xfId="7357" xr:uid="{00000000-0005-0000-0000-0000EA6D0000}"/>
    <cellStyle name="표준 13 8 3 2_뇌출혈특약(갱신형)" xfId="13520" xr:uid="{00000000-0005-0000-0000-0000EB6D0000}"/>
    <cellStyle name="표준 13 8 3 3" xfId="7358" xr:uid="{00000000-0005-0000-0000-0000EC6D0000}"/>
    <cellStyle name="표준 13 8 3 4" xfId="7359" xr:uid="{00000000-0005-0000-0000-0000ED6D0000}"/>
    <cellStyle name="표준 13 8 3_뇌출혈특약(갱신형)" xfId="13521" xr:uid="{00000000-0005-0000-0000-0000EE6D0000}"/>
    <cellStyle name="표준 13 8 4" xfId="7360" xr:uid="{00000000-0005-0000-0000-0000EF6D0000}"/>
    <cellStyle name="표준 13 8 4 2" xfId="7361" xr:uid="{00000000-0005-0000-0000-0000F06D0000}"/>
    <cellStyle name="표준 13 8 4 3" xfId="7362" xr:uid="{00000000-0005-0000-0000-0000F16D0000}"/>
    <cellStyle name="표준 13 8 4_뇌출혈특약(갱신형)" xfId="13522" xr:uid="{00000000-0005-0000-0000-0000F26D0000}"/>
    <cellStyle name="표준 13 8 5" xfId="7363" xr:uid="{00000000-0005-0000-0000-0000F36D0000}"/>
    <cellStyle name="표준 13 8 5 2" xfId="7364" xr:uid="{00000000-0005-0000-0000-0000F46D0000}"/>
    <cellStyle name="표준 13 8 5 3" xfId="7365" xr:uid="{00000000-0005-0000-0000-0000F56D0000}"/>
    <cellStyle name="표준 13 8 5_뇌출혈특약(갱신형)" xfId="13523" xr:uid="{00000000-0005-0000-0000-0000F66D0000}"/>
    <cellStyle name="표준 13 8 6" xfId="7366" xr:uid="{00000000-0005-0000-0000-0000F76D0000}"/>
    <cellStyle name="표준 13 8 7" xfId="7367" xr:uid="{00000000-0005-0000-0000-0000F86D0000}"/>
    <cellStyle name="표준 13 8_뇌출혈특약(갱신형)" xfId="13524" xr:uid="{00000000-0005-0000-0000-0000F96D0000}"/>
    <cellStyle name="표준 13 9" xfId="7368" xr:uid="{00000000-0005-0000-0000-0000FA6D0000}"/>
    <cellStyle name="표준 13 9 2" xfId="7369" xr:uid="{00000000-0005-0000-0000-0000FB6D0000}"/>
    <cellStyle name="표준 13 9 2 2" xfId="7370" xr:uid="{00000000-0005-0000-0000-0000FC6D0000}"/>
    <cellStyle name="표준 13 9 2 2 2" xfId="7371" xr:uid="{00000000-0005-0000-0000-0000FD6D0000}"/>
    <cellStyle name="표준 13 9 2 2 3" xfId="7372" xr:uid="{00000000-0005-0000-0000-0000FE6D0000}"/>
    <cellStyle name="표준 13 9 2 2_뇌출혈특약(갱신형)" xfId="13525" xr:uid="{00000000-0005-0000-0000-0000FF6D0000}"/>
    <cellStyle name="표준 13 9 2 3" xfId="7373" xr:uid="{00000000-0005-0000-0000-0000006E0000}"/>
    <cellStyle name="표준 13 9 2 4" xfId="7374" xr:uid="{00000000-0005-0000-0000-0000016E0000}"/>
    <cellStyle name="표준 13 9 2_뇌출혈특약(갱신형)" xfId="13526" xr:uid="{00000000-0005-0000-0000-0000026E0000}"/>
    <cellStyle name="표준 13 9 3" xfId="7375" xr:uid="{00000000-0005-0000-0000-0000036E0000}"/>
    <cellStyle name="표준 13 9 3 2" xfId="7376" xr:uid="{00000000-0005-0000-0000-0000046E0000}"/>
    <cellStyle name="표준 13 9 3 2 2" xfId="7377" xr:uid="{00000000-0005-0000-0000-0000056E0000}"/>
    <cellStyle name="표준 13 9 3 2 3" xfId="7378" xr:uid="{00000000-0005-0000-0000-0000066E0000}"/>
    <cellStyle name="표준 13 9 3 2_뇌출혈특약(갱신형)" xfId="13527" xr:uid="{00000000-0005-0000-0000-0000076E0000}"/>
    <cellStyle name="표준 13 9 3 3" xfId="7379" xr:uid="{00000000-0005-0000-0000-0000086E0000}"/>
    <cellStyle name="표준 13 9 3 4" xfId="7380" xr:uid="{00000000-0005-0000-0000-0000096E0000}"/>
    <cellStyle name="표준 13 9 3_뇌출혈특약(갱신형)" xfId="13528" xr:uid="{00000000-0005-0000-0000-00000A6E0000}"/>
    <cellStyle name="표준 13 9 4" xfId="7381" xr:uid="{00000000-0005-0000-0000-00000B6E0000}"/>
    <cellStyle name="표준 13 9 4 2" xfId="7382" xr:uid="{00000000-0005-0000-0000-00000C6E0000}"/>
    <cellStyle name="표준 13 9 4 3" xfId="7383" xr:uid="{00000000-0005-0000-0000-00000D6E0000}"/>
    <cellStyle name="표준 13 9 4_뇌출혈특약(갱신형)" xfId="13529" xr:uid="{00000000-0005-0000-0000-00000E6E0000}"/>
    <cellStyle name="표준 13 9 5" xfId="7384" xr:uid="{00000000-0005-0000-0000-00000F6E0000}"/>
    <cellStyle name="표준 13 9 5 2" xfId="7385" xr:uid="{00000000-0005-0000-0000-0000106E0000}"/>
    <cellStyle name="표준 13 9 5 3" xfId="7386" xr:uid="{00000000-0005-0000-0000-0000116E0000}"/>
    <cellStyle name="표준 13 9 5_뇌출혈특약(갱신형)" xfId="13530" xr:uid="{00000000-0005-0000-0000-0000126E0000}"/>
    <cellStyle name="표준 13 9 6" xfId="7387" xr:uid="{00000000-0005-0000-0000-0000136E0000}"/>
    <cellStyle name="표준 13 9 7" xfId="7388" xr:uid="{00000000-0005-0000-0000-0000146E0000}"/>
    <cellStyle name="표준 13 9_뇌출혈특약(갱신형)" xfId="13531" xr:uid="{00000000-0005-0000-0000-0000156E0000}"/>
    <cellStyle name="표준 13_뇌출혈특약(갱신형)" xfId="13532" xr:uid="{00000000-0005-0000-0000-0000166E0000}"/>
    <cellStyle name="표준 14" xfId="70" xr:uid="{00000000-0005-0000-0000-0000176E0000}"/>
    <cellStyle name="표준 14 10" xfId="7389" xr:uid="{00000000-0005-0000-0000-0000186E0000}"/>
    <cellStyle name="표준 14 10 2" xfId="7390" xr:uid="{00000000-0005-0000-0000-0000196E0000}"/>
    <cellStyle name="표준 14 10_뇌출혈특약(갱신형)" xfId="13533" xr:uid="{00000000-0005-0000-0000-00001A6E0000}"/>
    <cellStyle name="표준 14 11" xfId="7391" xr:uid="{00000000-0005-0000-0000-00001B6E0000}"/>
    <cellStyle name="표준 14 12" xfId="7392" xr:uid="{00000000-0005-0000-0000-00001C6E0000}"/>
    <cellStyle name="표준 14 13" xfId="7393" xr:uid="{00000000-0005-0000-0000-00001D6E0000}"/>
    <cellStyle name="표준 14 14" xfId="12224" xr:uid="{00000000-0005-0000-0000-00001E6E0000}"/>
    <cellStyle name="표준 14 2" xfId="7394" xr:uid="{00000000-0005-0000-0000-00001F6E0000}"/>
    <cellStyle name="표준 14 2 10" xfId="18098" xr:uid="{00000000-0005-0000-0000-0000206E0000}"/>
    <cellStyle name="표준 14 2 2" xfId="7395" xr:uid="{00000000-0005-0000-0000-0000216E0000}"/>
    <cellStyle name="표준 14 2 2 2" xfId="7396" xr:uid="{00000000-0005-0000-0000-0000226E0000}"/>
    <cellStyle name="표준 14 2 2 2 2" xfId="7397" xr:uid="{00000000-0005-0000-0000-0000236E0000}"/>
    <cellStyle name="표준 14 2 2 2 2 2" xfId="7398" xr:uid="{00000000-0005-0000-0000-0000246E0000}"/>
    <cellStyle name="표준 14 2 2 2 2 3" xfId="7399" xr:uid="{00000000-0005-0000-0000-0000256E0000}"/>
    <cellStyle name="표준 14 2 2 2 2_뇌출혈특약(갱신형)" xfId="13534" xr:uid="{00000000-0005-0000-0000-0000266E0000}"/>
    <cellStyle name="표준 14 2 2 2 3" xfId="7400" xr:uid="{00000000-0005-0000-0000-0000276E0000}"/>
    <cellStyle name="표준 14 2 2 2 4" xfId="7401" xr:uid="{00000000-0005-0000-0000-0000286E0000}"/>
    <cellStyle name="표준 14 2 2 2_뇌출혈특약(갱신형)" xfId="13535" xr:uid="{00000000-0005-0000-0000-0000296E0000}"/>
    <cellStyle name="표준 14 2 2 3" xfId="7402" xr:uid="{00000000-0005-0000-0000-00002A6E0000}"/>
    <cellStyle name="표준 14 2 2 3 2" xfId="7403" xr:uid="{00000000-0005-0000-0000-00002B6E0000}"/>
    <cellStyle name="표준 14 2 2 3 2 2" xfId="7404" xr:uid="{00000000-0005-0000-0000-00002C6E0000}"/>
    <cellStyle name="표준 14 2 2 3 2 3" xfId="7405" xr:uid="{00000000-0005-0000-0000-00002D6E0000}"/>
    <cellStyle name="표준 14 2 2 3 2_뇌출혈특약(갱신형)" xfId="13536" xr:uid="{00000000-0005-0000-0000-00002E6E0000}"/>
    <cellStyle name="표준 14 2 2 3 3" xfId="7406" xr:uid="{00000000-0005-0000-0000-00002F6E0000}"/>
    <cellStyle name="표준 14 2 2 3 4" xfId="7407" xr:uid="{00000000-0005-0000-0000-0000306E0000}"/>
    <cellStyle name="표준 14 2 2 3_뇌출혈특약(갱신형)" xfId="13537" xr:uid="{00000000-0005-0000-0000-0000316E0000}"/>
    <cellStyle name="표준 14 2 2 4" xfId="7408" xr:uid="{00000000-0005-0000-0000-0000326E0000}"/>
    <cellStyle name="표준 14 2 2 4 2" xfId="7409" xr:uid="{00000000-0005-0000-0000-0000336E0000}"/>
    <cellStyle name="표준 14 2 2 4 3" xfId="7410" xr:uid="{00000000-0005-0000-0000-0000346E0000}"/>
    <cellStyle name="표준 14 2 2 4_뇌출혈특약(갱신형)" xfId="13538" xr:uid="{00000000-0005-0000-0000-0000356E0000}"/>
    <cellStyle name="표준 14 2 2 5" xfId="7411" xr:uid="{00000000-0005-0000-0000-0000366E0000}"/>
    <cellStyle name="표준 14 2 2 5 2" xfId="7412" xr:uid="{00000000-0005-0000-0000-0000376E0000}"/>
    <cellStyle name="표준 14 2 2 5 3" xfId="7413" xr:uid="{00000000-0005-0000-0000-0000386E0000}"/>
    <cellStyle name="표준 14 2 2 5_뇌출혈특약(갱신형)" xfId="13539" xr:uid="{00000000-0005-0000-0000-0000396E0000}"/>
    <cellStyle name="표준 14 2 2 6" xfId="7414" xr:uid="{00000000-0005-0000-0000-00003A6E0000}"/>
    <cellStyle name="표준 14 2 2 7" xfId="7415" xr:uid="{00000000-0005-0000-0000-00003B6E0000}"/>
    <cellStyle name="표준 14 2 2_뇌출혈특약(갱신형)" xfId="13540" xr:uid="{00000000-0005-0000-0000-00003C6E0000}"/>
    <cellStyle name="표준 14 2 3" xfId="7416" xr:uid="{00000000-0005-0000-0000-00003D6E0000}"/>
    <cellStyle name="표준 14 2 3 2" xfId="7417" xr:uid="{00000000-0005-0000-0000-00003E6E0000}"/>
    <cellStyle name="표준 14 2 3 2 2" xfId="7418" xr:uid="{00000000-0005-0000-0000-00003F6E0000}"/>
    <cellStyle name="표준 14 2 3 2 3" xfId="7419" xr:uid="{00000000-0005-0000-0000-0000406E0000}"/>
    <cellStyle name="표준 14 2 3 2_뇌출혈특약(갱신형)" xfId="13541" xr:uid="{00000000-0005-0000-0000-0000416E0000}"/>
    <cellStyle name="표준 14 2 3 3" xfId="7420" xr:uid="{00000000-0005-0000-0000-0000426E0000}"/>
    <cellStyle name="표준 14 2 3 4" xfId="7421" xr:uid="{00000000-0005-0000-0000-0000436E0000}"/>
    <cellStyle name="표준 14 2 3_뇌출혈특약(갱신형)" xfId="13542" xr:uid="{00000000-0005-0000-0000-0000446E0000}"/>
    <cellStyle name="표준 14 2 4" xfId="7422" xr:uid="{00000000-0005-0000-0000-0000456E0000}"/>
    <cellStyle name="표준 14 2 4 2" xfId="7423" xr:uid="{00000000-0005-0000-0000-0000466E0000}"/>
    <cellStyle name="표준 14 2 4 2 2" xfId="7424" xr:uid="{00000000-0005-0000-0000-0000476E0000}"/>
    <cellStyle name="표준 14 2 4 2 3" xfId="7425" xr:uid="{00000000-0005-0000-0000-0000486E0000}"/>
    <cellStyle name="표준 14 2 4 2_뇌출혈특약(갱신형)" xfId="13543" xr:uid="{00000000-0005-0000-0000-0000496E0000}"/>
    <cellStyle name="표준 14 2 4 3" xfId="7426" xr:uid="{00000000-0005-0000-0000-00004A6E0000}"/>
    <cellStyle name="표준 14 2 4 4" xfId="7427" xr:uid="{00000000-0005-0000-0000-00004B6E0000}"/>
    <cellStyle name="표준 14 2 4_뇌출혈특약(갱신형)" xfId="13544" xr:uid="{00000000-0005-0000-0000-00004C6E0000}"/>
    <cellStyle name="표준 14 2 5" xfId="7428" xr:uid="{00000000-0005-0000-0000-00004D6E0000}"/>
    <cellStyle name="표준 14 2 5 2" xfId="7429" xr:uid="{00000000-0005-0000-0000-00004E6E0000}"/>
    <cellStyle name="표준 14 2 5 3" xfId="7430" xr:uid="{00000000-0005-0000-0000-00004F6E0000}"/>
    <cellStyle name="표준 14 2 5_뇌출혈특약(갱신형)" xfId="13545" xr:uid="{00000000-0005-0000-0000-0000506E0000}"/>
    <cellStyle name="표준 14 2 6" xfId="7431" xr:uid="{00000000-0005-0000-0000-0000516E0000}"/>
    <cellStyle name="표준 14 2 6 2" xfId="7432" xr:uid="{00000000-0005-0000-0000-0000526E0000}"/>
    <cellStyle name="표준 14 2 6 3" xfId="7433" xr:uid="{00000000-0005-0000-0000-0000536E0000}"/>
    <cellStyle name="표준 14 2 6_뇌출혈특약(갱신형)" xfId="13546" xr:uid="{00000000-0005-0000-0000-0000546E0000}"/>
    <cellStyle name="표준 14 2 7" xfId="7434" xr:uid="{00000000-0005-0000-0000-0000556E0000}"/>
    <cellStyle name="표준 14 2 8" xfId="7435" xr:uid="{00000000-0005-0000-0000-0000566E0000}"/>
    <cellStyle name="표준 14 2 9" xfId="21458" xr:uid="{00000000-0005-0000-0000-0000576E0000}"/>
    <cellStyle name="표준 14 2_뇌출혈특약(갱신형)" xfId="13547" xr:uid="{00000000-0005-0000-0000-0000586E0000}"/>
    <cellStyle name="표준 14 3" xfId="7436" xr:uid="{00000000-0005-0000-0000-0000596E0000}"/>
    <cellStyle name="표준 14 3 2" xfId="7437" xr:uid="{00000000-0005-0000-0000-00005A6E0000}"/>
    <cellStyle name="표준 14 3 2 2" xfId="7438" xr:uid="{00000000-0005-0000-0000-00005B6E0000}"/>
    <cellStyle name="표준 14 3 2 2 2" xfId="7439" xr:uid="{00000000-0005-0000-0000-00005C6E0000}"/>
    <cellStyle name="표준 14 3 2 2 3" xfId="7440" xr:uid="{00000000-0005-0000-0000-00005D6E0000}"/>
    <cellStyle name="표준 14 3 2 2_뇌출혈특약(갱신형)" xfId="13548" xr:uid="{00000000-0005-0000-0000-00005E6E0000}"/>
    <cellStyle name="표준 14 3 2 3" xfId="7441" xr:uid="{00000000-0005-0000-0000-00005F6E0000}"/>
    <cellStyle name="표준 14 3 2 4" xfId="7442" xr:uid="{00000000-0005-0000-0000-0000606E0000}"/>
    <cellStyle name="표준 14 3 2_뇌출혈특약(갱신형)" xfId="13549" xr:uid="{00000000-0005-0000-0000-0000616E0000}"/>
    <cellStyle name="표준 14 3 3" xfId="7443" xr:uid="{00000000-0005-0000-0000-0000626E0000}"/>
    <cellStyle name="표준 14 3 3 2" xfId="7444" xr:uid="{00000000-0005-0000-0000-0000636E0000}"/>
    <cellStyle name="표준 14 3 3 2 2" xfId="7445" xr:uid="{00000000-0005-0000-0000-0000646E0000}"/>
    <cellStyle name="표준 14 3 3 2 3" xfId="7446" xr:uid="{00000000-0005-0000-0000-0000656E0000}"/>
    <cellStyle name="표준 14 3 3 2_뇌출혈특약(갱신형)" xfId="13550" xr:uid="{00000000-0005-0000-0000-0000666E0000}"/>
    <cellStyle name="표준 14 3 3 3" xfId="7447" xr:uid="{00000000-0005-0000-0000-0000676E0000}"/>
    <cellStyle name="표준 14 3 3 4" xfId="7448" xr:uid="{00000000-0005-0000-0000-0000686E0000}"/>
    <cellStyle name="표준 14 3 3_뇌출혈특약(갱신형)" xfId="13551" xr:uid="{00000000-0005-0000-0000-0000696E0000}"/>
    <cellStyle name="표준 14 3 4" xfId="7449" xr:uid="{00000000-0005-0000-0000-00006A6E0000}"/>
    <cellStyle name="표준 14 3 4 2" xfId="7450" xr:uid="{00000000-0005-0000-0000-00006B6E0000}"/>
    <cellStyle name="표준 14 3 4 3" xfId="7451" xr:uid="{00000000-0005-0000-0000-00006C6E0000}"/>
    <cellStyle name="표준 14 3 4_뇌출혈특약(갱신형)" xfId="13552" xr:uid="{00000000-0005-0000-0000-00006D6E0000}"/>
    <cellStyle name="표준 14 3 5" xfId="7452" xr:uid="{00000000-0005-0000-0000-00006E6E0000}"/>
    <cellStyle name="표준 14 3 5 2" xfId="7453" xr:uid="{00000000-0005-0000-0000-00006F6E0000}"/>
    <cellStyle name="표준 14 3 5 3" xfId="7454" xr:uid="{00000000-0005-0000-0000-0000706E0000}"/>
    <cellStyle name="표준 14 3 5_뇌출혈특약(갱신형)" xfId="13553" xr:uid="{00000000-0005-0000-0000-0000716E0000}"/>
    <cellStyle name="표준 14 3 6" xfId="7455" xr:uid="{00000000-0005-0000-0000-0000726E0000}"/>
    <cellStyle name="표준 14 3 7" xfId="7456" xr:uid="{00000000-0005-0000-0000-0000736E0000}"/>
    <cellStyle name="표준 14 3_뇌출혈특약(갱신형)" xfId="13554" xr:uid="{00000000-0005-0000-0000-0000746E0000}"/>
    <cellStyle name="표준 14 4" xfId="7457" xr:uid="{00000000-0005-0000-0000-0000756E0000}"/>
    <cellStyle name="표준 14 4 2" xfId="7458" xr:uid="{00000000-0005-0000-0000-0000766E0000}"/>
    <cellStyle name="표준 14 4 3" xfId="7459" xr:uid="{00000000-0005-0000-0000-0000776E0000}"/>
    <cellStyle name="표준 14 4_뇌출혈특약(갱신형)" xfId="13555" xr:uid="{00000000-0005-0000-0000-0000786E0000}"/>
    <cellStyle name="표준 14 5" xfId="7460" xr:uid="{00000000-0005-0000-0000-0000796E0000}"/>
    <cellStyle name="표준 14 5 2" xfId="7461" xr:uid="{00000000-0005-0000-0000-00007A6E0000}"/>
    <cellStyle name="표준 14 5 3" xfId="7462" xr:uid="{00000000-0005-0000-0000-00007B6E0000}"/>
    <cellStyle name="표준 14 5_뇌출혈특약(갱신형)" xfId="13556" xr:uid="{00000000-0005-0000-0000-00007C6E0000}"/>
    <cellStyle name="표준 14 6" xfId="7463" xr:uid="{00000000-0005-0000-0000-00007D6E0000}"/>
    <cellStyle name="표준 14 7" xfId="7464" xr:uid="{00000000-0005-0000-0000-00007E6E0000}"/>
    <cellStyle name="표준 14 7 2" xfId="7465" xr:uid="{00000000-0005-0000-0000-00007F6E0000}"/>
    <cellStyle name="표준 14 7_뇌출혈특약(갱신형)" xfId="13557" xr:uid="{00000000-0005-0000-0000-0000806E0000}"/>
    <cellStyle name="표준 14 8" xfId="7466" xr:uid="{00000000-0005-0000-0000-0000816E0000}"/>
    <cellStyle name="표준 14 8 2" xfId="7467" xr:uid="{00000000-0005-0000-0000-0000826E0000}"/>
    <cellStyle name="표준 14 8_뇌출혈특약(갱신형)" xfId="13558" xr:uid="{00000000-0005-0000-0000-0000836E0000}"/>
    <cellStyle name="표준 14 9" xfId="7468" xr:uid="{00000000-0005-0000-0000-0000846E0000}"/>
    <cellStyle name="표준 14 9 2" xfId="7469" xr:uid="{00000000-0005-0000-0000-0000856E0000}"/>
    <cellStyle name="표준 14 9_뇌출혈특약(갱신형)" xfId="13559" xr:uid="{00000000-0005-0000-0000-0000866E0000}"/>
    <cellStyle name="표준 14_뇌출혈특약(갱신형)" xfId="13560" xr:uid="{00000000-0005-0000-0000-0000876E0000}"/>
    <cellStyle name="표준 15" xfId="71" xr:uid="{00000000-0005-0000-0000-0000886E0000}"/>
    <cellStyle name="표준 15 10" xfId="7470" xr:uid="{00000000-0005-0000-0000-0000896E0000}"/>
    <cellStyle name="표준 15 10 2" xfId="7471" xr:uid="{00000000-0005-0000-0000-00008A6E0000}"/>
    <cellStyle name="표준 15 10 3" xfId="7472" xr:uid="{00000000-0005-0000-0000-00008B6E0000}"/>
    <cellStyle name="표준 15 10_뇌출혈특약(갱신형)" xfId="13561" xr:uid="{00000000-0005-0000-0000-00008C6E0000}"/>
    <cellStyle name="표준 15 11" xfId="7473" xr:uid="{00000000-0005-0000-0000-00008D6E0000}"/>
    <cellStyle name="표준 15 11 2" xfId="7474" xr:uid="{00000000-0005-0000-0000-00008E6E0000}"/>
    <cellStyle name="표준 15 11_뇌출혈특약(갱신형)" xfId="13562" xr:uid="{00000000-0005-0000-0000-00008F6E0000}"/>
    <cellStyle name="표준 15 12" xfId="7475" xr:uid="{00000000-0005-0000-0000-0000906E0000}"/>
    <cellStyle name="표준 15 12 2" xfId="7476" xr:uid="{00000000-0005-0000-0000-0000916E0000}"/>
    <cellStyle name="표준 15 12_뇌출혈특약(갱신형)" xfId="13563" xr:uid="{00000000-0005-0000-0000-0000926E0000}"/>
    <cellStyle name="표준 15 13" xfId="7477" xr:uid="{00000000-0005-0000-0000-0000936E0000}"/>
    <cellStyle name="표준 15 13 2" xfId="7478" xr:uid="{00000000-0005-0000-0000-0000946E0000}"/>
    <cellStyle name="표준 15 13_뇌출혈특약(갱신형)" xfId="13564" xr:uid="{00000000-0005-0000-0000-0000956E0000}"/>
    <cellStyle name="표준 15 14" xfId="7479" xr:uid="{00000000-0005-0000-0000-0000966E0000}"/>
    <cellStyle name="표준 15 14 2" xfId="7480" xr:uid="{00000000-0005-0000-0000-0000976E0000}"/>
    <cellStyle name="표준 15 14_뇌출혈특약(갱신형)" xfId="13565" xr:uid="{00000000-0005-0000-0000-0000986E0000}"/>
    <cellStyle name="표준 15 15" xfId="7481" xr:uid="{00000000-0005-0000-0000-0000996E0000}"/>
    <cellStyle name="표준 15 16" xfId="7482" xr:uid="{00000000-0005-0000-0000-00009A6E0000}"/>
    <cellStyle name="표준 15 2" xfId="7483" xr:uid="{00000000-0005-0000-0000-00009B6E0000}"/>
    <cellStyle name="표준 15 2 2" xfId="7484" xr:uid="{00000000-0005-0000-0000-00009C6E0000}"/>
    <cellStyle name="표준 15 2 2 2" xfId="7485" xr:uid="{00000000-0005-0000-0000-00009D6E0000}"/>
    <cellStyle name="표준 15 2 2 2 2" xfId="7486" xr:uid="{00000000-0005-0000-0000-00009E6E0000}"/>
    <cellStyle name="표준 15 2 2 2 2 2" xfId="7487" xr:uid="{00000000-0005-0000-0000-00009F6E0000}"/>
    <cellStyle name="표준 15 2 2 2 2 3" xfId="7488" xr:uid="{00000000-0005-0000-0000-0000A06E0000}"/>
    <cellStyle name="표준 15 2 2 2 2_뇌출혈특약(갱신형)" xfId="13566" xr:uid="{00000000-0005-0000-0000-0000A16E0000}"/>
    <cellStyle name="표준 15 2 2 2 3" xfId="7489" xr:uid="{00000000-0005-0000-0000-0000A26E0000}"/>
    <cellStyle name="표준 15 2 2 2 4" xfId="7490" xr:uid="{00000000-0005-0000-0000-0000A36E0000}"/>
    <cellStyle name="표준 15 2 2 2_뇌출혈특약(갱신형)" xfId="13567" xr:uid="{00000000-0005-0000-0000-0000A46E0000}"/>
    <cellStyle name="표준 15 2 2 3" xfId="7491" xr:uid="{00000000-0005-0000-0000-0000A56E0000}"/>
    <cellStyle name="표준 15 2 2 3 2" xfId="7492" xr:uid="{00000000-0005-0000-0000-0000A66E0000}"/>
    <cellStyle name="표준 15 2 2 3 2 2" xfId="7493" xr:uid="{00000000-0005-0000-0000-0000A76E0000}"/>
    <cellStyle name="표준 15 2 2 3 2 3" xfId="7494" xr:uid="{00000000-0005-0000-0000-0000A86E0000}"/>
    <cellStyle name="표준 15 2 2 3 2_뇌출혈특약(갱신형)" xfId="13568" xr:uid="{00000000-0005-0000-0000-0000A96E0000}"/>
    <cellStyle name="표준 15 2 2 3 3" xfId="7495" xr:uid="{00000000-0005-0000-0000-0000AA6E0000}"/>
    <cellStyle name="표준 15 2 2 3 4" xfId="7496" xr:uid="{00000000-0005-0000-0000-0000AB6E0000}"/>
    <cellStyle name="표준 15 2 2 3_뇌출혈특약(갱신형)" xfId="13569" xr:uid="{00000000-0005-0000-0000-0000AC6E0000}"/>
    <cellStyle name="표준 15 2 2 4" xfId="7497" xr:uid="{00000000-0005-0000-0000-0000AD6E0000}"/>
    <cellStyle name="표준 15 2 2 4 2" xfId="7498" xr:uid="{00000000-0005-0000-0000-0000AE6E0000}"/>
    <cellStyle name="표준 15 2 2 4 3" xfId="7499" xr:uid="{00000000-0005-0000-0000-0000AF6E0000}"/>
    <cellStyle name="표준 15 2 2 4_뇌출혈특약(갱신형)" xfId="13570" xr:uid="{00000000-0005-0000-0000-0000B06E0000}"/>
    <cellStyle name="표준 15 2 2 5" xfId="7500" xr:uid="{00000000-0005-0000-0000-0000B16E0000}"/>
    <cellStyle name="표준 15 2 2 5 2" xfId="7501" xr:uid="{00000000-0005-0000-0000-0000B26E0000}"/>
    <cellStyle name="표준 15 2 2 5 3" xfId="7502" xr:uid="{00000000-0005-0000-0000-0000B36E0000}"/>
    <cellStyle name="표준 15 2 2 5_뇌출혈특약(갱신형)" xfId="13571" xr:uid="{00000000-0005-0000-0000-0000B46E0000}"/>
    <cellStyle name="표준 15 2 2 6" xfId="7503" xr:uid="{00000000-0005-0000-0000-0000B56E0000}"/>
    <cellStyle name="표준 15 2 2 7" xfId="7504" xr:uid="{00000000-0005-0000-0000-0000B66E0000}"/>
    <cellStyle name="표준 15 2 2_뇌출혈특약(갱신형)" xfId="13572" xr:uid="{00000000-0005-0000-0000-0000B76E0000}"/>
    <cellStyle name="표준 15 2 3" xfId="7505" xr:uid="{00000000-0005-0000-0000-0000B86E0000}"/>
    <cellStyle name="표준 15 2 3 2" xfId="7506" xr:uid="{00000000-0005-0000-0000-0000B96E0000}"/>
    <cellStyle name="표준 15 2 3 2 2" xfId="7507" xr:uid="{00000000-0005-0000-0000-0000BA6E0000}"/>
    <cellStyle name="표준 15 2 3 2 3" xfId="7508" xr:uid="{00000000-0005-0000-0000-0000BB6E0000}"/>
    <cellStyle name="표준 15 2 3 2_뇌출혈특약(갱신형)" xfId="13573" xr:uid="{00000000-0005-0000-0000-0000BC6E0000}"/>
    <cellStyle name="표준 15 2 3 3" xfId="7509" xr:uid="{00000000-0005-0000-0000-0000BD6E0000}"/>
    <cellStyle name="표준 15 2 3 4" xfId="7510" xr:uid="{00000000-0005-0000-0000-0000BE6E0000}"/>
    <cellStyle name="표준 15 2 3_뇌출혈특약(갱신형)" xfId="13574" xr:uid="{00000000-0005-0000-0000-0000BF6E0000}"/>
    <cellStyle name="표준 15 2 4" xfId="7511" xr:uid="{00000000-0005-0000-0000-0000C06E0000}"/>
    <cellStyle name="표준 15 2 4 2" xfId="7512" xr:uid="{00000000-0005-0000-0000-0000C16E0000}"/>
    <cellStyle name="표준 15 2 4 2 2" xfId="7513" xr:uid="{00000000-0005-0000-0000-0000C26E0000}"/>
    <cellStyle name="표준 15 2 4 2 3" xfId="7514" xr:uid="{00000000-0005-0000-0000-0000C36E0000}"/>
    <cellStyle name="표준 15 2 4 2_뇌출혈특약(갱신형)" xfId="13575" xr:uid="{00000000-0005-0000-0000-0000C46E0000}"/>
    <cellStyle name="표준 15 2 4 3" xfId="7515" xr:uid="{00000000-0005-0000-0000-0000C56E0000}"/>
    <cellStyle name="표준 15 2 4 4" xfId="7516" xr:uid="{00000000-0005-0000-0000-0000C66E0000}"/>
    <cellStyle name="표준 15 2 4_뇌출혈특약(갱신형)" xfId="13576" xr:uid="{00000000-0005-0000-0000-0000C76E0000}"/>
    <cellStyle name="표준 15 2 5" xfId="7517" xr:uid="{00000000-0005-0000-0000-0000C86E0000}"/>
    <cellStyle name="표준 15 2 5 2" xfId="7518" xr:uid="{00000000-0005-0000-0000-0000C96E0000}"/>
    <cellStyle name="표준 15 2 5 3" xfId="7519" xr:uid="{00000000-0005-0000-0000-0000CA6E0000}"/>
    <cellStyle name="표준 15 2 5_뇌출혈특약(갱신형)" xfId="13577" xr:uid="{00000000-0005-0000-0000-0000CB6E0000}"/>
    <cellStyle name="표준 15 2 6" xfId="7520" xr:uid="{00000000-0005-0000-0000-0000CC6E0000}"/>
    <cellStyle name="표준 15 2 6 2" xfId="7521" xr:uid="{00000000-0005-0000-0000-0000CD6E0000}"/>
    <cellStyle name="표준 15 2 6 3" xfId="7522" xr:uid="{00000000-0005-0000-0000-0000CE6E0000}"/>
    <cellStyle name="표준 15 2 6_뇌출혈특약(갱신형)" xfId="13578" xr:uid="{00000000-0005-0000-0000-0000CF6E0000}"/>
    <cellStyle name="표준 15 2 7" xfId="7523" xr:uid="{00000000-0005-0000-0000-0000D06E0000}"/>
    <cellStyle name="표준 15 2 8" xfId="7524" xr:uid="{00000000-0005-0000-0000-0000D16E0000}"/>
    <cellStyle name="표준 15 2_뇌출혈특약(갱신형)" xfId="13579" xr:uid="{00000000-0005-0000-0000-0000D26E0000}"/>
    <cellStyle name="표준 15 3" xfId="7525" xr:uid="{00000000-0005-0000-0000-0000D36E0000}"/>
    <cellStyle name="표준 15 3 2" xfId="7526" xr:uid="{00000000-0005-0000-0000-0000D46E0000}"/>
    <cellStyle name="표준 15 3 2 2" xfId="7527" xr:uid="{00000000-0005-0000-0000-0000D56E0000}"/>
    <cellStyle name="표준 15 3 2 2 2" xfId="7528" xr:uid="{00000000-0005-0000-0000-0000D66E0000}"/>
    <cellStyle name="표준 15 3 2 2 3" xfId="7529" xr:uid="{00000000-0005-0000-0000-0000D76E0000}"/>
    <cellStyle name="표준 15 3 2 2_뇌출혈특약(갱신형)" xfId="13580" xr:uid="{00000000-0005-0000-0000-0000D86E0000}"/>
    <cellStyle name="표준 15 3 2 3" xfId="7530" xr:uid="{00000000-0005-0000-0000-0000D96E0000}"/>
    <cellStyle name="표준 15 3 2 4" xfId="7531" xr:uid="{00000000-0005-0000-0000-0000DA6E0000}"/>
    <cellStyle name="표준 15 3 2_뇌출혈특약(갱신형)" xfId="13581" xr:uid="{00000000-0005-0000-0000-0000DB6E0000}"/>
    <cellStyle name="표준 15 3 3" xfId="7532" xr:uid="{00000000-0005-0000-0000-0000DC6E0000}"/>
    <cellStyle name="표준 15 3 3 2" xfId="7533" xr:uid="{00000000-0005-0000-0000-0000DD6E0000}"/>
    <cellStyle name="표준 15 3 3 2 2" xfId="7534" xr:uid="{00000000-0005-0000-0000-0000DE6E0000}"/>
    <cellStyle name="표준 15 3 3 2 3" xfId="7535" xr:uid="{00000000-0005-0000-0000-0000DF6E0000}"/>
    <cellStyle name="표준 15 3 3 2_뇌출혈특약(갱신형)" xfId="13582" xr:uid="{00000000-0005-0000-0000-0000E06E0000}"/>
    <cellStyle name="표준 15 3 3 3" xfId="7536" xr:uid="{00000000-0005-0000-0000-0000E16E0000}"/>
    <cellStyle name="표준 15 3 3 4" xfId="7537" xr:uid="{00000000-0005-0000-0000-0000E26E0000}"/>
    <cellStyle name="표준 15 3 3_뇌출혈특약(갱신형)" xfId="13583" xr:uid="{00000000-0005-0000-0000-0000E36E0000}"/>
    <cellStyle name="표준 15 3 4" xfId="7538" xr:uid="{00000000-0005-0000-0000-0000E46E0000}"/>
    <cellStyle name="표준 15 3 4 2" xfId="7539" xr:uid="{00000000-0005-0000-0000-0000E56E0000}"/>
    <cellStyle name="표준 15 3 4 3" xfId="7540" xr:uid="{00000000-0005-0000-0000-0000E66E0000}"/>
    <cellStyle name="표준 15 3 4_뇌출혈특약(갱신형)" xfId="13584" xr:uid="{00000000-0005-0000-0000-0000E76E0000}"/>
    <cellStyle name="표준 15 3 5" xfId="7541" xr:uid="{00000000-0005-0000-0000-0000E86E0000}"/>
    <cellStyle name="표준 15 3 5 2" xfId="7542" xr:uid="{00000000-0005-0000-0000-0000E96E0000}"/>
    <cellStyle name="표준 15 3 5 3" xfId="7543" xr:uid="{00000000-0005-0000-0000-0000EA6E0000}"/>
    <cellStyle name="표준 15 3 5_뇌출혈특약(갱신형)" xfId="13585" xr:uid="{00000000-0005-0000-0000-0000EB6E0000}"/>
    <cellStyle name="표준 15 3 6" xfId="7544" xr:uid="{00000000-0005-0000-0000-0000EC6E0000}"/>
    <cellStyle name="표준 15 3 7" xfId="7545" xr:uid="{00000000-0005-0000-0000-0000ED6E0000}"/>
    <cellStyle name="표준 15 3_뇌출혈특약(갱신형)" xfId="13586" xr:uid="{00000000-0005-0000-0000-0000EE6E0000}"/>
    <cellStyle name="표준 15 4" xfId="7546" xr:uid="{00000000-0005-0000-0000-0000EF6E0000}"/>
    <cellStyle name="표준 15 4 2" xfId="7547" xr:uid="{00000000-0005-0000-0000-0000F06E0000}"/>
    <cellStyle name="표준 15 4 2 2" xfId="7548" xr:uid="{00000000-0005-0000-0000-0000F16E0000}"/>
    <cellStyle name="표준 15 4 2 2 2" xfId="7549" xr:uid="{00000000-0005-0000-0000-0000F26E0000}"/>
    <cellStyle name="표준 15 4 2 2 3" xfId="7550" xr:uid="{00000000-0005-0000-0000-0000F36E0000}"/>
    <cellStyle name="표준 15 4 2 2_뇌출혈특약(갱신형)" xfId="13587" xr:uid="{00000000-0005-0000-0000-0000F46E0000}"/>
    <cellStyle name="표준 15 4 2 3" xfId="7551" xr:uid="{00000000-0005-0000-0000-0000F56E0000}"/>
    <cellStyle name="표준 15 4 2 4" xfId="7552" xr:uid="{00000000-0005-0000-0000-0000F66E0000}"/>
    <cellStyle name="표준 15 4 2_뇌출혈특약(갱신형)" xfId="13588" xr:uid="{00000000-0005-0000-0000-0000F76E0000}"/>
    <cellStyle name="표준 15 4 3" xfId="7553" xr:uid="{00000000-0005-0000-0000-0000F86E0000}"/>
    <cellStyle name="표준 15 4 3 2" xfId="7554" xr:uid="{00000000-0005-0000-0000-0000F96E0000}"/>
    <cellStyle name="표준 15 4 3 2 2" xfId="7555" xr:uid="{00000000-0005-0000-0000-0000FA6E0000}"/>
    <cellStyle name="표준 15 4 3 2 3" xfId="7556" xr:uid="{00000000-0005-0000-0000-0000FB6E0000}"/>
    <cellStyle name="표준 15 4 3 2_뇌출혈특약(갱신형)" xfId="13589" xr:uid="{00000000-0005-0000-0000-0000FC6E0000}"/>
    <cellStyle name="표준 15 4 3 3" xfId="7557" xr:uid="{00000000-0005-0000-0000-0000FD6E0000}"/>
    <cellStyle name="표준 15 4 3 4" xfId="7558" xr:uid="{00000000-0005-0000-0000-0000FE6E0000}"/>
    <cellStyle name="표준 15 4 3_뇌출혈특약(갱신형)" xfId="13590" xr:uid="{00000000-0005-0000-0000-0000FF6E0000}"/>
    <cellStyle name="표준 15 4 4" xfId="7559" xr:uid="{00000000-0005-0000-0000-0000006F0000}"/>
    <cellStyle name="표준 15 4 4 2" xfId="7560" xr:uid="{00000000-0005-0000-0000-0000016F0000}"/>
    <cellStyle name="표준 15 4 4 3" xfId="7561" xr:uid="{00000000-0005-0000-0000-0000026F0000}"/>
    <cellStyle name="표준 15 4 4_뇌출혈특약(갱신형)" xfId="13591" xr:uid="{00000000-0005-0000-0000-0000036F0000}"/>
    <cellStyle name="표준 15 4 5" xfId="7562" xr:uid="{00000000-0005-0000-0000-0000046F0000}"/>
    <cellStyle name="표준 15 4 5 2" xfId="7563" xr:uid="{00000000-0005-0000-0000-0000056F0000}"/>
    <cellStyle name="표준 15 4 5 3" xfId="7564" xr:uid="{00000000-0005-0000-0000-0000066F0000}"/>
    <cellStyle name="표준 15 4 5_뇌출혈특약(갱신형)" xfId="13592" xr:uid="{00000000-0005-0000-0000-0000076F0000}"/>
    <cellStyle name="표준 15 4 6" xfId="7565" xr:uid="{00000000-0005-0000-0000-0000086F0000}"/>
    <cellStyle name="표준 15 4 7" xfId="7566" xr:uid="{00000000-0005-0000-0000-0000096F0000}"/>
    <cellStyle name="표준 15 4_뇌출혈특약(갱신형)" xfId="13593" xr:uid="{00000000-0005-0000-0000-00000A6F0000}"/>
    <cellStyle name="표준 15 5" xfId="7567" xr:uid="{00000000-0005-0000-0000-00000B6F0000}"/>
    <cellStyle name="표준 15 5 2" xfId="7568" xr:uid="{00000000-0005-0000-0000-00000C6F0000}"/>
    <cellStyle name="표준 15 5 2 2" xfId="7569" xr:uid="{00000000-0005-0000-0000-00000D6F0000}"/>
    <cellStyle name="표준 15 5 2 3" xfId="7570" xr:uid="{00000000-0005-0000-0000-00000E6F0000}"/>
    <cellStyle name="표준 15 5 2_뇌출혈특약(갱신형)" xfId="13594" xr:uid="{00000000-0005-0000-0000-00000F6F0000}"/>
    <cellStyle name="표준 15 5 3" xfId="7571" xr:uid="{00000000-0005-0000-0000-0000106F0000}"/>
    <cellStyle name="표준 15 5 4" xfId="7572" xr:uid="{00000000-0005-0000-0000-0000116F0000}"/>
    <cellStyle name="표준 15 5_뇌출혈특약(갱신형)" xfId="13595" xr:uid="{00000000-0005-0000-0000-0000126F0000}"/>
    <cellStyle name="표준 15 6" xfId="7573" xr:uid="{00000000-0005-0000-0000-0000136F0000}"/>
    <cellStyle name="표준 15 6 2" xfId="7574" xr:uid="{00000000-0005-0000-0000-0000146F0000}"/>
    <cellStyle name="표준 15 6 2 2" xfId="7575" xr:uid="{00000000-0005-0000-0000-0000156F0000}"/>
    <cellStyle name="표준 15 6 2 3" xfId="7576" xr:uid="{00000000-0005-0000-0000-0000166F0000}"/>
    <cellStyle name="표준 15 6 2_뇌출혈특약(갱신형)" xfId="13596" xr:uid="{00000000-0005-0000-0000-0000176F0000}"/>
    <cellStyle name="표준 15 6 3" xfId="7577" xr:uid="{00000000-0005-0000-0000-0000186F0000}"/>
    <cellStyle name="표준 15 6 4" xfId="7578" xr:uid="{00000000-0005-0000-0000-0000196F0000}"/>
    <cellStyle name="표준 15 6_뇌출혈특약(갱신형)" xfId="13597" xr:uid="{00000000-0005-0000-0000-00001A6F0000}"/>
    <cellStyle name="표준 15 7" xfId="7579" xr:uid="{00000000-0005-0000-0000-00001B6F0000}"/>
    <cellStyle name="표준 15 7 2" xfId="7580" xr:uid="{00000000-0005-0000-0000-00001C6F0000}"/>
    <cellStyle name="표준 15 7 3" xfId="7581" xr:uid="{00000000-0005-0000-0000-00001D6F0000}"/>
    <cellStyle name="표준 15 7_뇌출혈특약(갱신형)" xfId="13598" xr:uid="{00000000-0005-0000-0000-00001E6F0000}"/>
    <cellStyle name="표준 15 8" xfId="7582" xr:uid="{00000000-0005-0000-0000-00001F6F0000}"/>
    <cellStyle name="표준 15 8 2" xfId="7583" xr:uid="{00000000-0005-0000-0000-0000206F0000}"/>
    <cellStyle name="표준 15 8 3" xfId="7584" xr:uid="{00000000-0005-0000-0000-0000216F0000}"/>
    <cellStyle name="표준 15 8_뇌출혈특약(갱신형)" xfId="13599" xr:uid="{00000000-0005-0000-0000-0000226F0000}"/>
    <cellStyle name="표준 15 9" xfId="7585" xr:uid="{00000000-0005-0000-0000-0000236F0000}"/>
    <cellStyle name="표준 15 9 2" xfId="7586" xr:uid="{00000000-0005-0000-0000-0000246F0000}"/>
    <cellStyle name="표준 15 9 3" xfId="7587" xr:uid="{00000000-0005-0000-0000-0000256F0000}"/>
    <cellStyle name="표준 15 9_뇌출혈특약(갱신형)" xfId="13600" xr:uid="{00000000-0005-0000-0000-0000266F0000}"/>
    <cellStyle name="표준 15_뇌출혈특약(갱신형)" xfId="13601" xr:uid="{00000000-0005-0000-0000-0000276F0000}"/>
    <cellStyle name="표준 16" xfId="72" xr:uid="{00000000-0005-0000-0000-0000286F0000}"/>
    <cellStyle name="표준 16 10" xfId="7588" xr:uid="{00000000-0005-0000-0000-0000296F0000}"/>
    <cellStyle name="표준 16 10 2" xfId="7589" xr:uid="{00000000-0005-0000-0000-00002A6F0000}"/>
    <cellStyle name="표준 16 10 3" xfId="7590" xr:uid="{00000000-0005-0000-0000-00002B6F0000}"/>
    <cellStyle name="표준 16 10_뇌출혈특약(갱신형)" xfId="13602" xr:uid="{00000000-0005-0000-0000-00002C6F0000}"/>
    <cellStyle name="표준 16 11" xfId="7591" xr:uid="{00000000-0005-0000-0000-00002D6F0000}"/>
    <cellStyle name="표준 16 11 2" xfId="7592" xr:uid="{00000000-0005-0000-0000-00002E6F0000}"/>
    <cellStyle name="표준 16 11_뇌출혈특약(갱신형)" xfId="13603" xr:uid="{00000000-0005-0000-0000-00002F6F0000}"/>
    <cellStyle name="표준 16 12" xfId="7593" xr:uid="{00000000-0005-0000-0000-0000306F0000}"/>
    <cellStyle name="표준 16 12 2" xfId="7594" xr:uid="{00000000-0005-0000-0000-0000316F0000}"/>
    <cellStyle name="표준 16 12_뇌출혈특약(갱신형)" xfId="13604" xr:uid="{00000000-0005-0000-0000-0000326F0000}"/>
    <cellStyle name="표준 16 13" xfId="7595" xr:uid="{00000000-0005-0000-0000-0000336F0000}"/>
    <cellStyle name="표준 16 13 2" xfId="7596" xr:uid="{00000000-0005-0000-0000-0000346F0000}"/>
    <cellStyle name="표준 16 13_뇌출혈특약(갱신형)" xfId="13605" xr:uid="{00000000-0005-0000-0000-0000356F0000}"/>
    <cellStyle name="표준 16 14" xfId="7597" xr:uid="{00000000-0005-0000-0000-0000366F0000}"/>
    <cellStyle name="표준 16 14 2" xfId="7598" xr:uid="{00000000-0005-0000-0000-0000376F0000}"/>
    <cellStyle name="표준 16 14_뇌출혈특약(갱신형)" xfId="13606" xr:uid="{00000000-0005-0000-0000-0000386F0000}"/>
    <cellStyle name="표준 16 15" xfId="7599" xr:uid="{00000000-0005-0000-0000-0000396F0000}"/>
    <cellStyle name="표준 16 16" xfId="7600" xr:uid="{00000000-0005-0000-0000-00003A6F0000}"/>
    <cellStyle name="표준 16 2" xfId="7601" xr:uid="{00000000-0005-0000-0000-00003B6F0000}"/>
    <cellStyle name="표준 16 2 2" xfId="7602" xr:uid="{00000000-0005-0000-0000-00003C6F0000}"/>
    <cellStyle name="표준 16 2 2 2" xfId="7603" xr:uid="{00000000-0005-0000-0000-00003D6F0000}"/>
    <cellStyle name="표준 16 2 2 2 2" xfId="7604" xr:uid="{00000000-0005-0000-0000-00003E6F0000}"/>
    <cellStyle name="표준 16 2 2 2 2 2" xfId="7605" xr:uid="{00000000-0005-0000-0000-00003F6F0000}"/>
    <cellStyle name="표준 16 2 2 2 2 3" xfId="7606" xr:uid="{00000000-0005-0000-0000-0000406F0000}"/>
    <cellStyle name="표준 16 2 2 2 2_뇌출혈특약(갱신형)" xfId="13607" xr:uid="{00000000-0005-0000-0000-0000416F0000}"/>
    <cellStyle name="표준 16 2 2 2 3" xfId="7607" xr:uid="{00000000-0005-0000-0000-0000426F0000}"/>
    <cellStyle name="표준 16 2 2 2 4" xfId="7608" xr:uid="{00000000-0005-0000-0000-0000436F0000}"/>
    <cellStyle name="표준 16 2 2 2_뇌출혈특약(갱신형)" xfId="13608" xr:uid="{00000000-0005-0000-0000-0000446F0000}"/>
    <cellStyle name="표준 16 2 2 3" xfId="7609" xr:uid="{00000000-0005-0000-0000-0000456F0000}"/>
    <cellStyle name="표준 16 2 2 3 2" xfId="7610" xr:uid="{00000000-0005-0000-0000-0000466F0000}"/>
    <cellStyle name="표준 16 2 2 3 2 2" xfId="7611" xr:uid="{00000000-0005-0000-0000-0000476F0000}"/>
    <cellStyle name="표준 16 2 2 3 2 3" xfId="7612" xr:uid="{00000000-0005-0000-0000-0000486F0000}"/>
    <cellStyle name="표준 16 2 2 3 2_뇌출혈특약(갱신형)" xfId="13609" xr:uid="{00000000-0005-0000-0000-0000496F0000}"/>
    <cellStyle name="표준 16 2 2 3 3" xfId="7613" xr:uid="{00000000-0005-0000-0000-00004A6F0000}"/>
    <cellStyle name="표준 16 2 2 3 4" xfId="7614" xr:uid="{00000000-0005-0000-0000-00004B6F0000}"/>
    <cellStyle name="표준 16 2 2 3_뇌출혈특약(갱신형)" xfId="13610" xr:uid="{00000000-0005-0000-0000-00004C6F0000}"/>
    <cellStyle name="표준 16 2 2 4" xfId="7615" xr:uid="{00000000-0005-0000-0000-00004D6F0000}"/>
    <cellStyle name="표준 16 2 2 4 2" xfId="7616" xr:uid="{00000000-0005-0000-0000-00004E6F0000}"/>
    <cellStyle name="표준 16 2 2 4 3" xfId="7617" xr:uid="{00000000-0005-0000-0000-00004F6F0000}"/>
    <cellStyle name="표준 16 2 2 4_뇌출혈특약(갱신형)" xfId="13611" xr:uid="{00000000-0005-0000-0000-0000506F0000}"/>
    <cellStyle name="표준 16 2 2 5" xfId="7618" xr:uid="{00000000-0005-0000-0000-0000516F0000}"/>
    <cellStyle name="표준 16 2 2 5 2" xfId="7619" xr:uid="{00000000-0005-0000-0000-0000526F0000}"/>
    <cellStyle name="표준 16 2 2 5 3" xfId="7620" xr:uid="{00000000-0005-0000-0000-0000536F0000}"/>
    <cellStyle name="표준 16 2 2 5_뇌출혈특약(갱신형)" xfId="13612" xr:uid="{00000000-0005-0000-0000-0000546F0000}"/>
    <cellStyle name="표준 16 2 2 6" xfId="7621" xr:uid="{00000000-0005-0000-0000-0000556F0000}"/>
    <cellStyle name="표준 16 2 2 7" xfId="7622" xr:uid="{00000000-0005-0000-0000-0000566F0000}"/>
    <cellStyle name="표준 16 2 2_뇌출혈특약(갱신형)" xfId="13613" xr:uid="{00000000-0005-0000-0000-0000576F0000}"/>
    <cellStyle name="표준 16 2 3" xfId="7623" xr:uid="{00000000-0005-0000-0000-0000586F0000}"/>
    <cellStyle name="표준 16 2 3 2" xfId="7624" xr:uid="{00000000-0005-0000-0000-0000596F0000}"/>
    <cellStyle name="표준 16 2 3 2 2" xfId="7625" xr:uid="{00000000-0005-0000-0000-00005A6F0000}"/>
    <cellStyle name="표준 16 2 3 2 3" xfId="7626" xr:uid="{00000000-0005-0000-0000-00005B6F0000}"/>
    <cellStyle name="표준 16 2 3 2_뇌출혈특약(갱신형)" xfId="13614" xr:uid="{00000000-0005-0000-0000-00005C6F0000}"/>
    <cellStyle name="표준 16 2 3 3" xfId="7627" xr:uid="{00000000-0005-0000-0000-00005D6F0000}"/>
    <cellStyle name="표준 16 2 3 4" xfId="7628" xr:uid="{00000000-0005-0000-0000-00005E6F0000}"/>
    <cellStyle name="표준 16 2 3_뇌출혈특약(갱신형)" xfId="13615" xr:uid="{00000000-0005-0000-0000-00005F6F0000}"/>
    <cellStyle name="표준 16 2 4" xfId="7629" xr:uid="{00000000-0005-0000-0000-0000606F0000}"/>
    <cellStyle name="표준 16 2 4 2" xfId="7630" xr:uid="{00000000-0005-0000-0000-0000616F0000}"/>
    <cellStyle name="표준 16 2 4 2 2" xfId="7631" xr:uid="{00000000-0005-0000-0000-0000626F0000}"/>
    <cellStyle name="표준 16 2 4 2 3" xfId="7632" xr:uid="{00000000-0005-0000-0000-0000636F0000}"/>
    <cellStyle name="표준 16 2 4 2_뇌출혈특약(갱신형)" xfId="13616" xr:uid="{00000000-0005-0000-0000-0000646F0000}"/>
    <cellStyle name="표준 16 2 4 3" xfId="7633" xr:uid="{00000000-0005-0000-0000-0000656F0000}"/>
    <cellStyle name="표준 16 2 4 4" xfId="7634" xr:uid="{00000000-0005-0000-0000-0000666F0000}"/>
    <cellStyle name="표준 16 2 4_뇌출혈특약(갱신형)" xfId="13617" xr:uid="{00000000-0005-0000-0000-0000676F0000}"/>
    <cellStyle name="표준 16 2 5" xfId="7635" xr:uid="{00000000-0005-0000-0000-0000686F0000}"/>
    <cellStyle name="표준 16 2 5 2" xfId="7636" xr:uid="{00000000-0005-0000-0000-0000696F0000}"/>
    <cellStyle name="표준 16 2 5 3" xfId="7637" xr:uid="{00000000-0005-0000-0000-00006A6F0000}"/>
    <cellStyle name="표준 16 2 5_뇌출혈특약(갱신형)" xfId="13618" xr:uid="{00000000-0005-0000-0000-00006B6F0000}"/>
    <cellStyle name="표준 16 2 6" xfId="7638" xr:uid="{00000000-0005-0000-0000-00006C6F0000}"/>
    <cellStyle name="표준 16 2 6 2" xfId="7639" xr:uid="{00000000-0005-0000-0000-00006D6F0000}"/>
    <cellStyle name="표준 16 2 6 3" xfId="7640" xr:uid="{00000000-0005-0000-0000-00006E6F0000}"/>
    <cellStyle name="표준 16 2 6_뇌출혈특약(갱신형)" xfId="13619" xr:uid="{00000000-0005-0000-0000-00006F6F0000}"/>
    <cellStyle name="표준 16 2 7" xfId="7641" xr:uid="{00000000-0005-0000-0000-0000706F0000}"/>
    <cellStyle name="표준 16 2 8" xfId="7642" xr:uid="{00000000-0005-0000-0000-0000716F0000}"/>
    <cellStyle name="표준 16 2_뇌출혈특약(갱신형)" xfId="13620" xr:uid="{00000000-0005-0000-0000-0000726F0000}"/>
    <cellStyle name="표준 16 3" xfId="7643" xr:uid="{00000000-0005-0000-0000-0000736F0000}"/>
    <cellStyle name="표준 16 3 2" xfId="7644" xr:uid="{00000000-0005-0000-0000-0000746F0000}"/>
    <cellStyle name="표준 16 3 2 2" xfId="7645" xr:uid="{00000000-0005-0000-0000-0000756F0000}"/>
    <cellStyle name="표준 16 3 2 2 2" xfId="7646" xr:uid="{00000000-0005-0000-0000-0000766F0000}"/>
    <cellStyle name="표준 16 3 2 2 3" xfId="7647" xr:uid="{00000000-0005-0000-0000-0000776F0000}"/>
    <cellStyle name="표준 16 3 2 2_뇌출혈특약(갱신형)" xfId="13621" xr:uid="{00000000-0005-0000-0000-0000786F0000}"/>
    <cellStyle name="표준 16 3 2 3" xfId="7648" xr:uid="{00000000-0005-0000-0000-0000796F0000}"/>
    <cellStyle name="표준 16 3 2 4" xfId="7649" xr:uid="{00000000-0005-0000-0000-00007A6F0000}"/>
    <cellStyle name="표준 16 3 2_뇌출혈특약(갱신형)" xfId="13622" xr:uid="{00000000-0005-0000-0000-00007B6F0000}"/>
    <cellStyle name="표준 16 3 3" xfId="7650" xr:uid="{00000000-0005-0000-0000-00007C6F0000}"/>
    <cellStyle name="표준 16 3 3 2" xfId="7651" xr:uid="{00000000-0005-0000-0000-00007D6F0000}"/>
    <cellStyle name="표준 16 3 3 2 2" xfId="7652" xr:uid="{00000000-0005-0000-0000-00007E6F0000}"/>
    <cellStyle name="표준 16 3 3 2 3" xfId="7653" xr:uid="{00000000-0005-0000-0000-00007F6F0000}"/>
    <cellStyle name="표준 16 3 3 2_뇌출혈특약(갱신형)" xfId="13623" xr:uid="{00000000-0005-0000-0000-0000806F0000}"/>
    <cellStyle name="표준 16 3 3 3" xfId="7654" xr:uid="{00000000-0005-0000-0000-0000816F0000}"/>
    <cellStyle name="표준 16 3 3 4" xfId="7655" xr:uid="{00000000-0005-0000-0000-0000826F0000}"/>
    <cellStyle name="표준 16 3 3_뇌출혈특약(갱신형)" xfId="13624" xr:uid="{00000000-0005-0000-0000-0000836F0000}"/>
    <cellStyle name="표준 16 3 4" xfId="7656" xr:uid="{00000000-0005-0000-0000-0000846F0000}"/>
    <cellStyle name="표준 16 3 4 2" xfId="7657" xr:uid="{00000000-0005-0000-0000-0000856F0000}"/>
    <cellStyle name="표준 16 3 4 3" xfId="7658" xr:uid="{00000000-0005-0000-0000-0000866F0000}"/>
    <cellStyle name="표준 16 3 4_뇌출혈특약(갱신형)" xfId="13625" xr:uid="{00000000-0005-0000-0000-0000876F0000}"/>
    <cellStyle name="표준 16 3 5" xfId="7659" xr:uid="{00000000-0005-0000-0000-0000886F0000}"/>
    <cellStyle name="표준 16 3 5 2" xfId="7660" xr:uid="{00000000-0005-0000-0000-0000896F0000}"/>
    <cellStyle name="표준 16 3 5 3" xfId="7661" xr:uid="{00000000-0005-0000-0000-00008A6F0000}"/>
    <cellStyle name="표준 16 3 5_뇌출혈특약(갱신형)" xfId="13626" xr:uid="{00000000-0005-0000-0000-00008B6F0000}"/>
    <cellStyle name="표준 16 3 6" xfId="7662" xr:uid="{00000000-0005-0000-0000-00008C6F0000}"/>
    <cellStyle name="표준 16 3 7" xfId="7663" xr:uid="{00000000-0005-0000-0000-00008D6F0000}"/>
    <cellStyle name="표준 16 3_뇌출혈특약(갱신형)" xfId="13627" xr:uid="{00000000-0005-0000-0000-00008E6F0000}"/>
    <cellStyle name="표준 16 4" xfId="7664" xr:uid="{00000000-0005-0000-0000-00008F6F0000}"/>
    <cellStyle name="표준 16 4 2" xfId="7665" xr:uid="{00000000-0005-0000-0000-0000906F0000}"/>
    <cellStyle name="표준 16 4 2 2" xfId="7666" xr:uid="{00000000-0005-0000-0000-0000916F0000}"/>
    <cellStyle name="표준 16 4 2 2 2" xfId="7667" xr:uid="{00000000-0005-0000-0000-0000926F0000}"/>
    <cellStyle name="표준 16 4 2 2 3" xfId="7668" xr:uid="{00000000-0005-0000-0000-0000936F0000}"/>
    <cellStyle name="표준 16 4 2 2_뇌출혈특약(갱신형)" xfId="13628" xr:uid="{00000000-0005-0000-0000-0000946F0000}"/>
    <cellStyle name="표준 16 4 2 3" xfId="7669" xr:uid="{00000000-0005-0000-0000-0000956F0000}"/>
    <cellStyle name="표준 16 4 2 4" xfId="7670" xr:uid="{00000000-0005-0000-0000-0000966F0000}"/>
    <cellStyle name="표준 16 4 2_뇌출혈특약(갱신형)" xfId="13629" xr:uid="{00000000-0005-0000-0000-0000976F0000}"/>
    <cellStyle name="표준 16 4 3" xfId="7671" xr:uid="{00000000-0005-0000-0000-0000986F0000}"/>
    <cellStyle name="표준 16 4 3 2" xfId="7672" xr:uid="{00000000-0005-0000-0000-0000996F0000}"/>
    <cellStyle name="표준 16 4 3 2 2" xfId="7673" xr:uid="{00000000-0005-0000-0000-00009A6F0000}"/>
    <cellStyle name="표준 16 4 3 2 3" xfId="7674" xr:uid="{00000000-0005-0000-0000-00009B6F0000}"/>
    <cellStyle name="표준 16 4 3 2_뇌출혈특약(갱신형)" xfId="13630" xr:uid="{00000000-0005-0000-0000-00009C6F0000}"/>
    <cellStyle name="표준 16 4 3 3" xfId="7675" xr:uid="{00000000-0005-0000-0000-00009D6F0000}"/>
    <cellStyle name="표준 16 4 3 4" xfId="7676" xr:uid="{00000000-0005-0000-0000-00009E6F0000}"/>
    <cellStyle name="표준 16 4 3_뇌출혈특약(갱신형)" xfId="13631" xr:uid="{00000000-0005-0000-0000-00009F6F0000}"/>
    <cellStyle name="표준 16 4 4" xfId="7677" xr:uid="{00000000-0005-0000-0000-0000A06F0000}"/>
    <cellStyle name="표준 16 4 4 2" xfId="7678" xr:uid="{00000000-0005-0000-0000-0000A16F0000}"/>
    <cellStyle name="표준 16 4 4 3" xfId="7679" xr:uid="{00000000-0005-0000-0000-0000A26F0000}"/>
    <cellStyle name="표준 16 4 4_뇌출혈특약(갱신형)" xfId="13632" xr:uid="{00000000-0005-0000-0000-0000A36F0000}"/>
    <cellStyle name="표준 16 4 5" xfId="7680" xr:uid="{00000000-0005-0000-0000-0000A46F0000}"/>
    <cellStyle name="표준 16 4 5 2" xfId="7681" xr:uid="{00000000-0005-0000-0000-0000A56F0000}"/>
    <cellStyle name="표준 16 4 5 3" xfId="7682" xr:uid="{00000000-0005-0000-0000-0000A66F0000}"/>
    <cellStyle name="표준 16 4 5_뇌출혈특약(갱신형)" xfId="13633" xr:uid="{00000000-0005-0000-0000-0000A76F0000}"/>
    <cellStyle name="표준 16 4 6" xfId="7683" xr:uid="{00000000-0005-0000-0000-0000A86F0000}"/>
    <cellStyle name="표준 16 4 7" xfId="7684" xr:uid="{00000000-0005-0000-0000-0000A96F0000}"/>
    <cellStyle name="표준 16 4_뇌출혈특약(갱신형)" xfId="13634" xr:uid="{00000000-0005-0000-0000-0000AA6F0000}"/>
    <cellStyle name="표준 16 5" xfId="7685" xr:uid="{00000000-0005-0000-0000-0000AB6F0000}"/>
    <cellStyle name="표준 16 5 2" xfId="7686" xr:uid="{00000000-0005-0000-0000-0000AC6F0000}"/>
    <cellStyle name="표준 16 5 2 2" xfId="7687" xr:uid="{00000000-0005-0000-0000-0000AD6F0000}"/>
    <cellStyle name="표준 16 5 2 3" xfId="7688" xr:uid="{00000000-0005-0000-0000-0000AE6F0000}"/>
    <cellStyle name="표준 16 5 2_뇌출혈특약(갱신형)" xfId="13635" xr:uid="{00000000-0005-0000-0000-0000AF6F0000}"/>
    <cellStyle name="표준 16 5 3" xfId="7689" xr:uid="{00000000-0005-0000-0000-0000B06F0000}"/>
    <cellStyle name="표준 16 5 4" xfId="7690" xr:uid="{00000000-0005-0000-0000-0000B16F0000}"/>
    <cellStyle name="표준 16 5_뇌출혈특약(갱신형)" xfId="13636" xr:uid="{00000000-0005-0000-0000-0000B26F0000}"/>
    <cellStyle name="표준 16 6" xfId="7691" xr:uid="{00000000-0005-0000-0000-0000B36F0000}"/>
    <cellStyle name="표준 16 6 2" xfId="7692" xr:uid="{00000000-0005-0000-0000-0000B46F0000}"/>
    <cellStyle name="표준 16 6 2 2" xfId="7693" xr:uid="{00000000-0005-0000-0000-0000B56F0000}"/>
    <cellStyle name="표준 16 6 2 3" xfId="7694" xr:uid="{00000000-0005-0000-0000-0000B66F0000}"/>
    <cellStyle name="표준 16 6 2_뇌출혈특약(갱신형)" xfId="13637" xr:uid="{00000000-0005-0000-0000-0000B76F0000}"/>
    <cellStyle name="표준 16 6 3" xfId="7695" xr:uid="{00000000-0005-0000-0000-0000B86F0000}"/>
    <cellStyle name="표준 16 6 4" xfId="7696" xr:uid="{00000000-0005-0000-0000-0000B96F0000}"/>
    <cellStyle name="표준 16 6_뇌출혈특약(갱신형)" xfId="13638" xr:uid="{00000000-0005-0000-0000-0000BA6F0000}"/>
    <cellStyle name="표준 16 7" xfId="7697" xr:uid="{00000000-0005-0000-0000-0000BB6F0000}"/>
    <cellStyle name="표준 16 7 2" xfId="7698" xr:uid="{00000000-0005-0000-0000-0000BC6F0000}"/>
    <cellStyle name="표준 16 7 3" xfId="7699" xr:uid="{00000000-0005-0000-0000-0000BD6F0000}"/>
    <cellStyle name="표준 16 7_뇌출혈특약(갱신형)" xfId="13639" xr:uid="{00000000-0005-0000-0000-0000BE6F0000}"/>
    <cellStyle name="표준 16 8" xfId="7700" xr:uid="{00000000-0005-0000-0000-0000BF6F0000}"/>
    <cellStyle name="표준 16 8 2" xfId="7701" xr:uid="{00000000-0005-0000-0000-0000C06F0000}"/>
    <cellStyle name="표준 16 8 3" xfId="7702" xr:uid="{00000000-0005-0000-0000-0000C16F0000}"/>
    <cellStyle name="표준 16 8_뇌출혈특약(갱신형)" xfId="13640" xr:uid="{00000000-0005-0000-0000-0000C26F0000}"/>
    <cellStyle name="표준 16 9" xfId="7703" xr:uid="{00000000-0005-0000-0000-0000C36F0000}"/>
    <cellStyle name="표준 16 9 2" xfId="7704" xr:uid="{00000000-0005-0000-0000-0000C46F0000}"/>
    <cellStyle name="표준 16 9 3" xfId="7705" xr:uid="{00000000-0005-0000-0000-0000C56F0000}"/>
    <cellStyle name="표준 16 9_뇌출혈특약(갱신형)" xfId="13641" xr:uid="{00000000-0005-0000-0000-0000C66F0000}"/>
    <cellStyle name="표준 16_뇌출혈특약(갱신형)" xfId="13642" xr:uid="{00000000-0005-0000-0000-0000C76F0000}"/>
    <cellStyle name="표준 17" xfId="73" xr:uid="{00000000-0005-0000-0000-0000C86F0000}"/>
    <cellStyle name="표준 17 10" xfId="7706" xr:uid="{00000000-0005-0000-0000-0000C96F0000}"/>
    <cellStyle name="표준 17 10 2" xfId="7707" xr:uid="{00000000-0005-0000-0000-0000CA6F0000}"/>
    <cellStyle name="표준 17 10 3" xfId="7708" xr:uid="{00000000-0005-0000-0000-0000CB6F0000}"/>
    <cellStyle name="표준 17 10_뇌출혈특약(갱신형)" xfId="13643" xr:uid="{00000000-0005-0000-0000-0000CC6F0000}"/>
    <cellStyle name="표준 17 11" xfId="7709" xr:uid="{00000000-0005-0000-0000-0000CD6F0000}"/>
    <cellStyle name="표준 17 11 2" xfId="7710" xr:uid="{00000000-0005-0000-0000-0000CE6F0000}"/>
    <cellStyle name="표준 17 11_뇌출혈특약(갱신형)" xfId="13644" xr:uid="{00000000-0005-0000-0000-0000CF6F0000}"/>
    <cellStyle name="표준 17 12" xfId="7711" xr:uid="{00000000-0005-0000-0000-0000D06F0000}"/>
    <cellStyle name="표준 17 12 2" xfId="7712" xr:uid="{00000000-0005-0000-0000-0000D16F0000}"/>
    <cellStyle name="표준 17 12_뇌출혈특약(갱신형)" xfId="13645" xr:uid="{00000000-0005-0000-0000-0000D26F0000}"/>
    <cellStyle name="표준 17 13" xfId="7713" xr:uid="{00000000-0005-0000-0000-0000D36F0000}"/>
    <cellStyle name="표준 17 13 2" xfId="7714" xr:uid="{00000000-0005-0000-0000-0000D46F0000}"/>
    <cellStyle name="표준 17 13_뇌출혈특약(갱신형)" xfId="13646" xr:uid="{00000000-0005-0000-0000-0000D56F0000}"/>
    <cellStyle name="표준 17 14" xfId="7715" xr:uid="{00000000-0005-0000-0000-0000D66F0000}"/>
    <cellStyle name="표준 17 14 2" xfId="7716" xr:uid="{00000000-0005-0000-0000-0000D76F0000}"/>
    <cellStyle name="표준 17 14_뇌출혈특약(갱신형)" xfId="13647" xr:uid="{00000000-0005-0000-0000-0000D86F0000}"/>
    <cellStyle name="표준 17 15" xfId="7717" xr:uid="{00000000-0005-0000-0000-0000D96F0000}"/>
    <cellStyle name="표준 17 16" xfId="7718" xr:uid="{00000000-0005-0000-0000-0000DA6F0000}"/>
    <cellStyle name="표준 17 2" xfId="7719" xr:uid="{00000000-0005-0000-0000-0000DB6F0000}"/>
    <cellStyle name="표준 17 2 2" xfId="7720" xr:uid="{00000000-0005-0000-0000-0000DC6F0000}"/>
    <cellStyle name="표준 17 2 2 2" xfId="7721" xr:uid="{00000000-0005-0000-0000-0000DD6F0000}"/>
    <cellStyle name="표준 17 2 2 2 2" xfId="7722" xr:uid="{00000000-0005-0000-0000-0000DE6F0000}"/>
    <cellStyle name="표준 17 2 2 2 2 2" xfId="7723" xr:uid="{00000000-0005-0000-0000-0000DF6F0000}"/>
    <cellStyle name="표준 17 2 2 2 2 3" xfId="7724" xr:uid="{00000000-0005-0000-0000-0000E06F0000}"/>
    <cellStyle name="표준 17 2 2 2 2_뇌출혈특약(갱신형)" xfId="13648" xr:uid="{00000000-0005-0000-0000-0000E16F0000}"/>
    <cellStyle name="표준 17 2 2 2 3" xfId="7725" xr:uid="{00000000-0005-0000-0000-0000E26F0000}"/>
    <cellStyle name="표준 17 2 2 2 4" xfId="7726" xr:uid="{00000000-0005-0000-0000-0000E36F0000}"/>
    <cellStyle name="표준 17 2 2 2_뇌출혈특약(갱신형)" xfId="13649" xr:uid="{00000000-0005-0000-0000-0000E46F0000}"/>
    <cellStyle name="표준 17 2 2 3" xfId="7727" xr:uid="{00000000-0005-0000-0000-0000E56F0000}"/>
    <cellStyle name="표준 17 2 2 3 2" xfId="7728" xr:uid="{00000000-0005-0000-0000-0000E66F0000}"/>
    <cellStyle name="표준 17 2 2 3 2 2" xfId="7729" xr:uid="{00000000-0005-0000-0000-0000E76F0000}"/>
    <cellStyle name="표준 17 2 2 3 2 3" xfId="7730" xr:uid="{00000000-0005-0000-0000-0000E86F0000}"/>
    <cellStyle name="표준 17 2 2 3 2_뇌출혈특약(갱신형)" xfId="13650" xr:uid="{00000000-0005-0000-0000-0000E96F0000}"/>
    <cellStyle name="표준 17 2 2 3 3" xfId="7731" xr:uid="{00000000-0005-0000-0000-0000EA6F0000}"/>
    <cellStyle name="표준 17 2 2 3 4" xfId="7732" xr:uid="{00000000-0005-0000-0000-0000EB6F0000}"/>
    <cellStyle name="표준 17 2 2 3_뇌출혈특약(갱신형)" xfId="13651" xr:uid="{00000000-0005-0000-0000-0000EC6F0000}"/>
    <cellStyle name="표준 17 2 2 4" xfId="7733" xr:uid="{00000000-0005-0000-0000-0000ED6F0000}"/>
    <cellStyle name="표준 17 2 2 4 2" xfId="7734" xr:uid="{00000000-0005-0000-0000-0000EE6F0000}"/>
    <cellStyle name="표준 17 2 2 4 3" xfId="7735" xr:uid="{00000000-0005-0000-0000-0000EF6F0000}"/>
    <cellStyle name="표준 17 2 2 4_뇌출혈특약(갱신형)" xfId="13652" xr:uid="{00000000-0005-0000-0000-0000F06F0000}"/>
    <cellStyle name="표준 17 2 2 5" xfId="7736" xr:uid="{00000000-0005-0000-0000-0000F16F0000}"/>
    <cellStyle name="표준 17 2 2 5 2" xfId="7737" xr:uid="{00000000-0005-0000-0000-0000F26F0000}"/>
    <cellStyle name="표준 17 2 2 5 3" xfId="7738" xr:uid="{00000000-0005-0000-0000-0000F36F0000}"/>
    <cellStyle name="표준 17 2 2 5_뇌출혈특약(갱신형)" xfId="13653" xr:uid="{00000000-0005-0000-0000-0000F46F0000}"/>
    <cellStyle name="표준 17 2 2 6" xfId="7739" xr:uid="{00000000-0005-0000-0000-0000F56F0000}"/>
    <cellStyle name="표준 17 2 2 7" xfId="7740" xr:uid="{00000000-0005-0000-0000-0000F66F0000}"/>
    <cellStyle name="표준 17 2 2_뇌출혈특약(갱신형)" xfId="13654" xr:uid="{00000000-0005-0000-0000-0000F76F0000}"/>
    <cellStyle name="표준 17 2 3" xfId="7741" xr:uid="{00000000-0005-0000-0000-0000F86F0000}"/>
    <cellStyle name="표준 17 2 3 2" xfId="7742" xr:uid="{00000000-0005-0000-0000-0000F96F0000}"/>
    <cellStyle name="표준 17 2 3 2 2" xfId="7743" xr:uid="{00000000-0005-0000-0000-0000FA6F0000}"/>
    <cellStyle name="표준 17 2 3 2 3" xfId="7744" xr:uid="{00000000-0005-0000-0000-0000FB6F0000}"/>
    <cellStyle name="표준 17 2 3 2_뇌출혈특약(갱신형)" xfId="13655" xr:uid="{00000000-0005-0000-0000-0000FC6F0000}"/>
    <cellStyle name="표준 17 2 3 3" xfId="7745" xr:uid="{00000000-0005-0000-0000-0000FD6F0000}"/>
    <cellStyle name="표준 17 2 3 4" xfId="7746" xr:uid="{00000000-0005-0000-0000-0000FE6F0000}"/>
    <cellStyle name="표준 17 2 3_뇌출혈특약(갱신형)" xfId="13656" xr:uid="{00000000-0005-0000-0000-0000FF6F0000}"/>
    <cellStyle name="표준 17 2 4" xfId="7747" xr:uid="{00000000-0005-0000-0000-000000700000}"/>
    <cellStyle name="표준 17 2 4 2" xfId="7748" xr:uid="{00000000-0005-0000-0000-000001700000}"/>
    <cellStyle name="표준 17 2 4 2 2" xfId="7749" xr:uid="{00000000-0005-0000-0000-000002700000}"/>
    <cellStyle name="표준 17 2 4 2 3" xfId="7750" xr:uid="{00000000-0005-0000-0000-000003700000}"/>
    <cellStyle name="표준 17 2 4 2_뇌출혈특약(갱신형)" xfId="13657" xr:uid="{00000000-0005-0000-0000-000004700000}"/>
    <cellStyle name="표준 17 2 4 3" xfId="7751" xr:uid="{00000000-0005-0000-0000-000005700000}"/>
    <cellStyle name="표준 17 2 4 4" xfId="7752" xr:uid="{00000000-0005-0000-0000-000006700000}"/>
    <cellStyle name="표준 17 2 4_뇌출혈특약(갱신형)" xfId="13658" xr:uid="{00000000-0005-0000-0000-000007700000}"/>
    <cellStyle name="표준 17 2 5" xfId="7753" xr:uid="{00000000-0005-0000-0000-000008700000}"/>
    <cellStyle name="표준 17 2 5 2" xfId="7754" xr:uid="{00000000-0005-0000-0000-000009700000}"/>
    <cellStyle name="표준 17 2 5 3" xfId="7755" xr:uid="{00000000-0005-0000-0000-00000A700000}"/>
    <cellStyle name="표준 17 2 5_뇌출혈특약(갱신형)" xfId="13659" xr:uid="{00000000-0005-0000-0000-00000B700000}"/>
    <cellStyle name="표준 17 2 6" xfId="7756" xr:uid="{00000000-0005-0000-0000-00000C700000}"/>
    <cellStyle name="표준 17 2 6 2" xfId="7757" xr:uid="{00000000-0005-0000-0000-00000D700000}"/>
    <cellStyle name="표준 17 2 6 3" xfId="7758" xr:uid="{00000000-0005-0000-0000-00000E700000}"/>
    <cellStyle name="표준 17 2 6_뇌출혈특약(갱신형)" xfId="13660" xr:uid="{00000000-0005-0000-0000-00000F700000}"/>
    <cellStyle name="표준 17 2 7" xfId="7759" xr:uid="{00000000-0005-0000-0000-000010700000}"/>
    <cellStyle name="표준 17 2 8" xfId="7760" xr:uid="{00000000-0005-0000-0000-000011700000}"/>
    <cellStyle name="표준 17 2_뇌출혈특약(갱신형)" xfId="13661" xr:uid="{00000000-0005-0000-0000-000012700000}"/>
    <cellStyle name="표준 17 3" xfId="7761" xr:uid="{00000000-0005-0000-0000-000013700000}"/>
    <cellStyle name="표준 17 3 2" xfId="7762" xr:uid="{00000000-0005-0000-0000-000014700000}"/>
    <cellStyle name="표준 17 3 2 2" xfId="7763" xr:uid="{00000000-0005-0000-0000-000015700000}"/>
    <cellStyle name="표준 17 3 2 2 2" xfId="7764" xr:uid="{00000000-0005-0000-0000-000016700000}"/>
    <cellStyle name="표준 17 3 2 2 3" xfId="7765" xr:uid="{00000000-0005-0000-0000-000017700000}"/>
    <cellStyle name="표준 17 3 2 2_뇌출혈특약(갱신형)" xfId="13662" xr:uid="{00000000-0005-0000-0000-000018700000}"/>
    <cellStyle name="표준 17 3 2 3" xfId="7766" xr:uid="{00000000-0005-0000-0000-000019700000}"/>
    <cellStyle name="표준 17 3 2 4" xfId="7767" xr:uid="{00000000-0005-0000-0000-00001A700000}"/>
    <cellStyle name="표준 17 3 2_뇌출혈특약(갱신형)" xfId="13663" xr:uid="{00000000-0005-0000-0000-00001B700000}"/>
    <cellStyle name="표준 17 3 3" xfId="7768" xr:uid="{00000000-0005-0000-0000-00001C700000}"/>
    <cellStyle name="표준 17 3 3 2" xfId="7769" xr:uid="{00000000-0005-0000-0000-00001D700000}"/>
    <cellStyle name="표준 17 3 3 2 2" xfId="7770" xr:uid="{00000000-0005-0000-0000-00001E700000}"/>
    <cellStyle name="표준 17 3 3 2 3" xfId="7771" xr:uid="{00000000-0005-0000-0000-00001F700000}"/>
    <cellStyle name="표준 17 3 3 2_뇌출혈특약(갱신형)" xfId="13664" xr:uid="{00000000-0005-0000-0000-000020700000}"/>
    <cellStyle name="표준 17 3 3 3" xfId="7772" xr:uid="{00000000-0005-0000-0000-000021700000}"/>
    <cellStyle name="표준 17 3 3 4" xfId="7773" xr:uid="{00000000-0005-0000-0000-000022700000}"/>
    <cellStyle name="표준 17 3 3_뇌출혈특약(갱신형)" xfId="13665" xr:uid="{00000000-0005-0000-0000-000023700000}"/>
    <cellStyle name="표준 17 3 4" xfId="7774" xr:uid="{00000000-0005-0000-0000-000024700000}"/>
    <cellStyle name="표준 17 3 4 2" xfId="7775" xr:uid="{00000000-0005-0000-0000-000025700000}"/>
    <cellStyle name="표준 17 3 4 3" xfId="7776" xr:uid="{00000000-0005-0000-0000-000026700000}"/>
    <cellStyle name="표준 17 3 4_뇌출혈특약(갱신형)" xfId="13666" xr:uid="{00000000-0005-0000-0000-000027700000}"/>
    <cellStyle name="표준 17 3 5" xfId="7777" xr:uid="{00000000-0005-0000-0000-000028700000}"/>
    <cellStyle name="표준 17 3 5 2" xfId="7778" xr:uid="{00000000-0005-0000-0000-000029700000}"/>
    <cellStyle name="표준 17 3 5 3" xfId="7779" xr:uid="{00000000-0005-0000-0000-00002A700000}"/>
    <cellStyle name="표준 17 3 5_뇌출혈특약(갱신형)" xfId="13667" xr:uid="{00000000-0005-0000-0000-00002B700000}"/>
    <cellStyle name="표준 17 3 6" xfId="7780" xr:uid="{00000000-0005-0000-0000-00002C700000}"/>
    <cellStyle name="표준 17 3 7" xfId="7781" xr:uid="{00000000-0005-0000-0000-00002D700000}"/>
    <cellStyle name="표준 17 3_뇌출혈특약(갱신형)" xfId="13668" xr:uid="{00000000-0005-0000-0000-00002E700000}"/>
    <cellStyle name="표준 17 4" xfId="7782" xr:uid="{00000000-0005-0000-0000-00002F700000}"/>
    <cellStyle name="표준 17 4 2" xfId="7783" xr:uid="{00000000-0005-0000-0000-000030700000}"/>
    <cellStyle name="표준 17 4 2 2" xfId="7784" xr:uid="{00000000-0005-0000-0000-000031700000}"/>
    <cellStyle name="표준 17 4 2 2 2" xfId="7785" xr:uid="{00000000-0005-0000-0000-000032700000}"/>
    <cellStyle name="표준 17 4 2 2 3" xfId="7786" xr:uid="{00000000-0005-0000-0000-000033700000}"/>
    <cellStyle name="표준 17 4 2 2_뇌출혈특약(갱신형)" xfId="13669" xr:uid="{00000000-0005-0000-0000-000034700000}"/>
    <cellStyle name="표준 17 4 2 3" xfId="7787" xr:uid="{00000000-0005-0000-0000-000035700000}"/>
    <cellStyle name="표준 17 4 2 4" xfId="7788" xr:uid="{00000000-0005-0000-0000-000036700000}"/>
    <cellStyle name="표준 17 4 2_뇌출혈특약(갱신형)" xfId="13670" xr:uid="{00000000-0005-0000-0000-000037700000}"/>
    <cellStyle name="표준 17 4 3" xfId="7789" xr:uid="{00000000-0005-0000-0000-000038700000}"/>
    <cellStyle name="표준 17 4 3 2" xfId="7790" xr:uid="{00000000-0005-0000-0000-000039700000}"/>
    <cellStyle name="표준 17 4 3 2 2" xfId="7791" xr:uid="{00000000-0005-0000-0000-00003A700000}"/>
    <cellStyle name="표준 17 4 3 2 3" xfId="7792" xr:uid="{00000000-0005-0000-0000-00003B700000}"/>
    <cellStyle name="표준 17 4 3 2_뇌출혈특약(갱신형)" xfId="13671" xr:uid="{00000000-0005-0000-0000-00003C700000}"/>
    <cellStyle name="표준 17 4 3 3" xfId="7793" xr:uid="{00000000-0005-0000-0000-00003D700000}"/>
    <cellStyle name="표준 17 4 3 4" xfId="7794" xr:uid="{00000000-0005-0000-0000-00003E700000}"/>
    <cellStyle name="표준 17 4 3_뇌출혈특약(갱신형)" xfId="13672" xr:uid="{00000000-0005-0000-0000-00003F700000}"/>
    <cellStyle name="표준 17 4 4" xfId="7795" xr:uid="{00000000-0005-0000-0000-000040700000}"/>
    <cellStyle name="표준 17 4 4 2" xfId="7796" xr:uid="{00000000-0005-0000-0000-000041700000}"/>
    <cellStyle name="표준 17 4 4 3" xfId="7797" xr:uid="{00000000-0005-0000-0000-000042700000}"/>
    <cellStyle name="표준 17 4 4_뇌출혈특약(갱신형)" xfId="13673" xr:uid="{00000000-0005-0000-0000-000043700000}"/>
    <cellStyle name="표준 17 4 5" xfId="7798" xr:uid="{00000000-0005-0000-0000-000044700000}"/>
    <cellStyle name="표준 17 4 5 2" xfId="7799" xr:uid="{00000000-0005-0000-0000-000045700000}"/>
    <cellStyle name="표준 17 4 5 3" xfId="7800" xr:uid="{00000000-0005-0000-0000-000046700000}"/>
    <cellStyle name="표준 17 4 5_뇌출혈특약(갱신형)" xfId="13674" xr:uid="{00000000-0005-0000-0000-000047700000}"/>
    <cellStyle name="표준 17 4 6" xfId="7801" xr:uid="{00000000-0005-0000-0000-000048700000}"/>
    <cellStyle name="표준 17 4 7" xfId="7802" xr:uid="{00000000-0005-0000-0000-000049700000}"/>
    <cellStyle name="표준 17 4_뇌출혈특약(갱신형)" xfId="13675" xr:uid="{00000000-0005-0000-0000-00004A700000}"/>
    <cellStyle name="표준 17 5" xfId="7803" xr:uid="{00000000-0005-0000-0000-00004B700000}"/>
    <cellStyle name="표준 17 5 2" xfId="7804" xr:uid="{00000000-0005-0000-0000-00004C700000}"/>
    <cellStyle name="표준 17 5 2 2" xfId="7805" xr:uid="{00000000-0005-0000-0000-00004D700000}"/>
    <cellStyle name="표준 17 5 2 3" xfId="7806" xr:uid="{00000000-0005-0000-0000-00004E700000}"/>
    <cellStyle name="표준 17 5 2_뇌출혈특약(갱신형)" xfId="13676" xr:uid="{00000000-0005-0000-0000-00004F700000}"/>
    <cellStyle name="표준 17 5 3" xfId="7807" xr:uid="{00000000-0005-0000-0000-000050700000}"/>
    <cellStyle name="표준 17 5 4" xfId="7808" xr:uid="{00000000-0005-0000-0000-000051700000}"/>
    <cellStyle name="표준 17 5_뇌출혈특약(갱신형)" xfId="13677" xr:uid="{00000000-0005-0000-0000-000052700000}"/>
    <cellStyle name="표준 17 6" xfId="7809" xr:uid="{00000000-0005-0000-0000-000053700000}"/>
    <cellStyle name="표준 17 6 2" xfId="7810" xr:uid="{00000000-0005-0000-0000-000054700000}"/>
    <cellStyle name="표준 17 6 2 2" xfId="7811" xr:uid="{00000000-0005-0000-0000-000055700000}"/>
    <cellStyle name="표준 17 6 2 3" xfId="7812" xr:uid="{00000000-0005-0000-0000-000056700000}"/>
    <cellStyle name="표준 17 6 2_뇌출혈특약(갱신형)" xfId="13678" xr:uid="{00000000-0005-0000-0000-000057700000}"/>
    <cellStyle name="표준 17 6 3" xfId="7813" xr:uid="{00000000-0005-0000-0000-000058700000}"/>
    <cellStyle name="표준 17 6 4" xfId="7814" xr:uid="{00000000-0005-0000-0000-000059700000}"/>
    <cellStyle name="표준 17 6_뇌출혈특약(갱신형)" xfId="13679" xr:uid="{00000000-0005-0000-0000-00005A700000}"/>
    <cellStyle name="표준 17 7" xfId="7815" xr:uid="{00000000-0005-0000-0000-00005B700000}"/>
    <cellStyle name="표준 17 7 2" xfId="7816" xr:uid="{00000000-0005-0000-0000-00005C700000}"/>
    <cellStyle name="표준 17 7 3" xfId="7817" xr:uid="{00000000-0005-0000-0000-00005D700000}"/>
    <cellStyle name="표준 17 7_뇌출혈특약(갱신형)" xfId="13680" xr:uid="{00000000-0005-0000-0000-00005E700000}"/>
    <cellStyle name="표준 17 8" xfId="7818" xr:uid="{00000000-0005-0000-0000-00005F700000}"/>
    <cellStyle name="표준 17 8 2" xfId="7819" xr:uid="{00000000-0005-0000-0000-000060700000}"/>
    <cellStyle name="표준 17 8 3" xfId="7820" xr:uid="{00000000-0005-0000-0000-000061700000}"/>
    <cellStyle name="표준 17 8_뇌출혈특약(갱신형)" xfId="13681" xr:uid="{00000000-0005-0000-0000-000062700000}"/>
    <cellStyle name="표준 17 9" xfId="7821" xr:uid="{00000000-0005-0000-0000-000063700000}"/>
    <cellStyle name="표준 17 9 2" xfId="7822" xr:uid="{00000000-0005-0000-0000-000064700000}"/>
    <cellStyle name="표준 17 9 3" xfId="7823" xr:uid="{00000000-0005-0000-0000-000065700000}"/>
    <cellStyle name="표준 17 9_뇌출혈특약(갱신형)" xfId="13682" xr:uid="{00000000-0005-0000-0000-000066700000}"/>
    <cellStyle name="표준 17_뇌출혈특약(갱신형)" xfId="13683" xr:uid="{00000000-0005-0000-0000-000067700000}"/>
    <cellStyle name="표준 18" xfId="74" xr:uid="{00000000-0005-0000-0000-000068700000}"/>
    <cellStyle name="표준 18 10" xfId="7824" xr:uid="{00000000-0005-0000-0000-000069700000}"/>
    <cellStyle name="표준 18 10 2" xfId="7825" xr:uid="{00000000-0005-0000-0000-00006A700000}"/>
    <cellStyle name="표준 18 10 3" xfId="7826" xr:uid="{00000000-0005-0000-0000-00006B700000}"/>
    <cellStyle name="표준 18 10_뇌출혈특약(갱신형)" xfId="13684" xr:uid="{00000000-0005-0000-0000-00006C700000}"/>
    <cellStyle name="표준 18 11" xfId="7827" xr:uid="{00000000-0005-0000-0000-00006D700000}"/>
    <cellStyle name="표준 18 11 2" xfId="7828" xr:uid="{00000000-0005-0000-0000-00006E700000}"/>
    <cellStyle name="표준 18 11 3" xfId="7829" xr:uid="{00000000-0005-0000-0000-00006F700000}"/>
    <cellStyle name="표준 18 11_뇌출혈특약(갱신형)" xfId="13685" xr:uid="{00000000-0005-0000-0000-000070700000}"/>
    <cellStyle name="표준 18 12" xfId="7830" xr:uid="{00000000-0005-0000-0000-000071700000}"/>
    <cellStyle name="표준 18 12 2" xfId="7831" xr:uid="{00000000-0005-0000-0000-000072700000}"/>
    <cellStyle name="표준 18 12 3" xfId="7832" xr:uid="{00000000-0005-0000-0000-000073700000}"/>
    <cellStyle name="표준 18 12_뇌출혈특약(갱신형)" xfId="13686" xr:uid="{00000000-0005-0000-0000-000074700000}"/>
    <cellStyle name="표준 18 13" xfId="7833" xr:uid="{00000000-0005-0000-0000-000075700000}"/>
    <cellStyle name="표준 18 13 2" xfId="7834" xr:uid="{00000000-0005-0000-0000-000076700000}"/>
    <cellStyle name="표준 18 13 3" xfId="7835" xr:uid="{00000000-0005-0000-0000-000077700000}"/>
    <cellStyle name="표준 18 13_뇌출혈특약(갱신형)" xfId="13687" xr:uid="{00000000-0005-0000-0000-000078700000}"/>
    <cellStyle name="표준 18 14" xfId="7836" xr:uid="{00000000-0005-0000-0000-000079700000}"/>
    <cellStyle name="표준 18 14 2" xfId="7837" xr:uid="{00000000-0005-0000-0000-00007A700000}"/>
    <cellStyle name="표준 18 14_뇌출혈특약(갱신형)" xfId="13688" xr:uid="{00000000-0005-0000-0000-00007B700000}"/>
    <cellStyle name="표준 18 15" xfId="7838" xr:uid="{00000000-0005-0000-0000-00007C700000}"/>
    <cellStyle name="표준 18 15 2" xfId="7839" xr:uid="{00000000-0005-0000-0000-00007D700000}"/>
    <cellStyle name="표준 18 15_뇌출혈특약(갱신형)" xfId="13689" xr:uid="{00000000-0005-0000-0000-00007E700000}"/>
    <cellStyle name="표준 18 16" xfId="7840" xr:uid="{00000000-0005-0000-0000-00007F700000}"/>
    <cellStyle name="표준 18 16 2" xfId="7841" xr:uid="{00000000-0005-0000-0000-000080700000}"/>
    <cellStyle name="표준 18 16_뇌출혈특약(갱신형)" xfId="13690" xr:uid="{00000000-0005-0000-0000-000081700000}"/>
    <cellStyle name="표준 18 17" xfId="7842" xr:uid="{00000000-0005-0000-0000-000082700000}"/>
    <cellStyle name="표준 18 17 2" xfId="7843" xr:uid="{00000000-0005-0000-0000-000083700000}"/>
    <cellStyle name="표준 18 17_뇌출혈특약(갱신형)" xfId="13691" xr:uid="{00000000-0005-0000-0000-000084700000}"/>
    <cellStyle name="표준 18 18" xfId="7844" xr:uid="{00000000-0005-0000-0000-000085700000}"/>
    <cellStyle name="표준 18 19" xfId="7845" xr:uid="{00000000-0005-0000-0000-000086700000}"/>
    <cellStyle name="표준 18 2" xfId="75" xr:uid="{00000000-0005-0000-0000-000087700000}"/>
    <cellStyle name="표준 18 2 10" xfId="7846" xr:uid="{00000000-0005-0000-0000-000088700000}"/>
    <cellStyle name="표준 18 2 10 2" xfId="7847" xr:uid="{00000000-0005-0000-0000-000089700000}"/>
    <cellStyle name="표준 18 2 10 3" xfId="7848" xr:uid="{00000000-0005-0000-0000-00008A700000}"/>
    <cellStyle name="표준 18 2 10_뇌출혈특약(갱신형)" xfId="13692" xr:uid="{00000000-0005-0000-0000-00008B700000}"/>
    <cellStyle name="표준 18 2 11" xfId="7849" xr:uid="{00000000-0005-0000-0000-00008C700000}"/>
    <cellStyle name="표준 18 2 11 2" xfId="7850" xr:uid="{00000000-0005-0000-0000-00008D700000}"/>
    <cellStyle name="표준 18 2 11_뇌출혈특약(갱신형)" xfId="13693" xr:uid="{00000000-0005-0000-0000-00008E700000}"/>
    <cellStyle name="표준 18 2 12" xfId="7851" xr:uid="{00000000-0005-0000-0000-00008F700000}"/>
    <cellStyle name="표준 18 2 12 2" xfId="7852" xr:uid="{00000000-0005-0000-0000-000090700000}"/>
    <cellStyle name="표준 18 2 12_뇌출혈특약(갱신형)" xfId="13694" xr:uid="{00000000-0005-0000-0000-000091700000}"/>
    <cellStyle name="표준 18 2 13" xfId="7853" xr:uid="{00000000-0005-0000-0000-000092700000}"/>
    <cellStyle name="표준 18 2 13 2" xfId="7854" xr:uid="{00000000-0005-0000-0000-000093700000}"/>
    <cellStyle name="표준 18 2 13_뇌출혈특약(갱신형)" xfId="13695" xr:uid="{00000000-0005-0000-0000-000094700000}"/>
    <cellStyle name="표준 18 2 14" xfId="7855" xr:uid="{00000000-0005-0000-0000-000095700000}"/>
    <cellStyle name="표준 18 2 14 2" xfId="7856" xr:uid="{00000000-0005-0000-0000-000096700000}"/>
    <cellStyle name="표준 18 2 14_뇌출혈특약(갱신형)" xfId="13696" xr:uid="{00000000-0005-0000-0000-000097700000}"/>
    <cellStyle name="표준 18 2 15" xfId="7857" xr:uid="{00000000-0005-0000-0000-000098700000}"/>
    <cellStyle name="표준 18 2 16" xfId="7858" xr:uid="{00000000-0005-0000-0000-000099700000}"/>
    <cellStyle name="표준 18 2 17" xfId="17152" xr:uid="{00000000-0005-0000-0000-00009A700000}"/>
    <cellStyle name="표준 18 2 2" xfId="7859" xr:uid="{00000000-0005-0000-0000-00009B700000}"/>
    <cellStyle name="표준 18 2 2 2" xfId="7860" xr:uid="{00000000-0005-0000-0000-00009C700000}"/>
    <cellStyle name="표준 18 2 2 2 2" xfId="7861" xr:uid="{00000000-0005-0000-0000-00009D700000}"/>
    <cellStyle name="표준 18 2 2 2 2 2" xfId="7862" xr:uid="{00000000-0005-0000-0000-00009E700000}"/>
    <cellStyle name="표준 18 2 2 2 2 2 2" xfId="7863" xr:uid="{00000000-0005-0000-0000-00009F700000}"/>
    <cellStyle name="표준 18 2 2 2 2 2 3" xfId="7864" xr:uid="{00000000-0005-0000-0000-0000A0700000}"/>
    <cellStyle name="표준 18 2 2 2 2 2_뇌출혈특약(갱신형)" xfId="13697" xr:uid="{00000000-0005-0000-0000-0000A1700000}"/>
    <cellStyle name="표준 18 2 2 2 2 3" xfId="7865" xr:uid="{00000000-0005-0000-0000-0000A2700000}"/>
    <cellStyle name="표준 18 2 2 2 2 4" xfId="7866" xr:uid="{00000000-0005-0000-0000-0000A3700000}"/>
    <cellStyle name="표준 18 2 2 2 2_뇌출혈특약(갱신형)" xfId="13698" xr:uid="{00000000-0005-0000-0000-0000A4700000}"/>
    <cellStyle name="표준 18 2 2 2 3" xfId="7867" xr:uid="{00000000-0005-0000-0000-0000A5700000}"/>
    <cellStyle name="표준 18 2 2 2 3 2" xfId="7868" xr:uid="{00000000-0005-0000-0000-0000A6700000}"/>
    <cellStyle name="표준 18 2 2 2 3 2 2" xfId="7869" xr:uid="{00000000-0005-0000-0000-0000A7700000}"/>
    <cellStyle name="표준 18 2 2 2 3 2 3" xfId="7870" xr:uid="{00000000-0005-0000-0000-0000A8700000}"/>
    <cellStyle name="표준 18 2 2 2 3 2_뇌출혈특약(갱신형)" xfId="13699" xr:uid="{00000000-0005-0000-0000-0000A9700000}"/>
    <cellStyle name="표준 18 2 2 2 3 3" xfId="7871" xr:uid="{00000000-0005-0000-0000-0000AA700000}"/>
    <cellStyle name="표준 18 2 2 2 3 4" xfId="7872" xr:uid="{00000000-0005-0000-0000-0000AB700000}"/>
    <cellStyle name="표준 18 2 2 2 3_뇌출혈특약(갱신형)" xfId="13700" xr:uid="{00000000-0005-0000-0000-0000AC700000}"/>
    <cellStyle name="표준 18 2 2 2 4" xfId="7873" xr:uid="{00000000-0005-0000-0000-0000AD700000}"/>
    <cellStyle name="표준 18 2 2 2 4 2" xfId="7874" xr:uid="{00000000-0005-0000-0000-0000AE700000}"/>
    <cellStyle name="표준 18 2 2 2 4 3" xfId="7875" xr:uid="{00000000-0005-0000-0000-0000AF700000}"/>
    <cellStyle name="표준 18 2 2 2 4_뇌출혈특약(갱신형)" xfId="13701" xr:uid="{00000000-0005-0000-0000-0000B0700000}"/>
    <cellStyle name="표준 18 2 2 2 5" xfId="7876" xr:uid="{00000000-0005-0000-0000-0000B1700000}"/>
    <cellStyle name="표준 18 2 2 2 5 2" xfId="7877" xr:uid="{00000000-0005-0000-0000-0000B2700000}"/>
    <cellStyle name="표준 18 2 2 2 5 3" xfId="7878" xr:uid="{00000000-0005-0000-0000-0000B3700000}"/>
    <cellStyle name="표준 18 2 2 2 5_뇌출혈특약(갱신형)" xfId="13702" xr:uid="{00000000-0005-0000-0000-0000B4700000}"/>
    <cellStyle name="표준 18 2 2 2 6" xfId="7879" xr:uid="{00000000-0005-0000-0000-0000B5700000}"/>
    <cellStyle name="표준 18 2 2 2 7" xfId="7880" xr:uid="{00000000-0005-0000-0000-0000B6700000}"/>
    <cellStyle name="표준 18 2 2 2_뇌출혈특약(갱신형)" xfId="13703" xr:uid="{00000000-0005-0000-0000-0000B7700000}"/>
    <cellStyle name="표준 18 2 2 3" xfId="7881" xr:uid="{00000000-0005-0000-0000-0000B8700000}"/>
    <cellStyle name="표준 18 2 2 3 2" xfId="7882" xr:uid="{00000000-0005-0000-0000-0000B9700000}"/>
    <cellStyle name="표준 18 2 2 3 2 2" xfId="7883" xr:uid="{00000000-0005-0000-0000-0000BA700000}"/>
    <cellStyle name="표준 18 2 2 3 2 3" xfId="7884" xr:uid="{00000000-0005-0000-0000-0000BB700000}"/>
    <cellStyle name="표준 18 2 2 3 2_뇌출혈특약(갱신형)" xfId="13704" xr:uid="{00000000-0005-0000-0000-0000BC700000}"/>
    <cellStyle name="표준 18 2 2 3 3" xfId="7885" xr:uid="{00000000-0005-0000-0000-0000BD700000}"/>
    <cellStyle name="표준 18 2 2 3 4" xfId="7886" xr:uid="{00000000-0005-0000-0000-0000BE700000}"/>
    <cellStyle name="표준 18 2 2 3_뇌출혈특약(갱신형)" xfId="13705" xr:uid="{00000000-0005-0000-0000-0000BF700000}"/>
    <cellStyle name="표준 18 2 2 4" xfId="7887" xr:uid="{00000000-0005-0000-0000-0000C0700000}"/>
    <cellStyle name="표준 18 2 2 4 2" xfId="7888" xr:uid="{00000000-0005-0000-0000-0000C1700000}"/>
    <cellStyle name="표준 18 2 2 4 2 2" xfId="7889" xr:uid="{00000000-0005-0000-0000-0000C2700000}"/>
    <cellStyle name="표준 18 2 2 4 2 3" xfId="7890" xr:uid="{00000000-0005-0000-0000-0000C3700000}"/>
    <cellStyle name="표준 18 2 2 4 2_뇌출혈특약(갱신형)" xfId="13706" xr:uid="{00000000-0005-0000-0000-0000C4700000}"/>
    <cellStyle name="표준 18 2 2 4 3" xfId="7891" xr:uid="{00000000-0005-0000-0000-0000C5700000}"/>
    <cellStyle name="표준 18 2 2 4 4" xfId="7892" xr:uid="{00000000-0005-0000-0000-0000C6700000}"/>
    <cellStyle name="표준 18 2 2 4_뇌출혈특약(갱신형)" xfId="13707" xr:uid="{00000000-0005-0000-0000-0000C7700000}"/>
    <cellStyle name="표준 18 2 2 5" xfId="7893" xr:uid="{00000000-0005-0000-0000-0000C8700000}"/>
    <cellStyle name="표준 18 2 2 5 2" xfId="7894" xr:uid="{00000000-0005-0000-0000-0000C9700000}"/>
    <cellStyle name="표준 18 2 2 5 3" xfId="7895" xr:uid="{00000000-0005-0000-0000-0000CA700000}"/>
    <cellStyle name="표준 18 2 2 5_뇌출혈특약(갱신형)" xfId="13708" xr:uid="{00000000-0005-0000-0000-0000CB700000}"/>
    <cellStyle name="표준 18 2 2 6" xfId="7896" xr:uid="{00000000-0005-0000-0000-0000CC700000}"/>
    <cellStyle name="표준 18 2 2 6 2" xfId="7897" xr:uid="{00000000-0005-0000-0000-0000CD700000}"/>
    <cellStyle name="표준 18 2 2 6 3" xfId="7898" xr:uid="{00000000-0005-0000-0000-0000CE700000}"/>
    <cellStyle name="표준 18 2 2 6_뇌출혈특약(갱신형)" xfId="13709" xr:uid="{00000000-0005-0000-0000-0000CF700000}"/>
    <cellStyle name="표준 18 2 2 7" xfId="7899" xr:uid="{00000000-0005-0000-0000-0000D0700000}"/>
    <cellStyle name="표준 18 2 2 8" xfId="7900" xr:uid="{00000000-0005-0000-0000-0000D1700000}"/>
    <cellStyle name="표준 18 2 2_뇌출혈특약(갱신형)" xfId="13710" xr:uid="{00000000-0005-0000-0000-0000D2700000}"/>
    <cellStyle name="표준 18 2 3" xfId="7901" xr:uid="{00000000-0005-0000-0000-0000D3700000}"/>
    <cellStyle name="표준 18 2 3 2" xfId="7902" xr:uid="{00000000-0005-0000-0000-0000D4700000}"/>
    <cellStyle name="표준 18 2 3 2 2" xfId="7903" xr:uid="{00000000-0005-0000-0000-0000D5700000}"/>
    <cellStyle name="표준 18 2 3 2 2 2" xfId="7904" xr:uid="{00000000-0005-0000-0000-0000D6700000}"/>
    <cellStyle name="표준 18 2 3 2 2 3" xfId="7905" xr:uid="{00000000-0005-0000-0000-0000D7700000}"/>
    <cellStyle name="표준 18 2 3 2 2_뇌출혈특약(갱신형)" xfId="13711" xr:uid="{00000000-0005-0000-0000-0000D8700000}"/>
    <cellStyle name="표준 18 2 3 2 3" xfId="7906" xr:uid="{00000000-0005-0000-0000-0000D9700000}"/>
    <cellStyle name="표준 18 2 3 2 4" xfId="7907" xr:uid="{00000000-0005-0000-0000-0000DA700000}"/>
    <cellStyle name="표준 18 2 3 2_뇌출혈특약(갱신형)" xfId="13712" xr:uid="{00000000-0005-0000-0000-0000DB700000}"/>
    <cellStyle name="표준 18 2 3 3" xfId="7908" xr:uid="{00000000-0005-0000-0000-0000DC700000}"/>
    <cellStyle name="표준 18 2 3 3 2" xfId="7909" xr:uid="{00000000-0005-0000-0000-0000DD700000}"/>
    <cellStyle name="표준 18 2 3 3 2 2" xfId="7910" xr:uid="{00000000-0005-0000-0000-0000DE700000}"/>
    <cellStyle name="표준 18 2 3 3 2 3" xfId="7911" xr:uid="{00000000-0005-0000-0000-0000DF700000}"/>
    <cellStyle name="표준 18 2 3 3 2_뇌출혈특약(갱신형)" xfId="13713" xr:uid="{00000000-0005-0000-0000-0000E0700000}"/>
    <cellStyle name="표준 18 2 3 3 3" xfId="7912" xr:uid="{00000000-0005-0000-0000-0000E1700000}"/>
    <cellStyle name="표준 18 2 3 3 4" xfId="7913" xr:uid="{00000000-0005-0000-0000-0000E2700000}"/>
    <cellStyle name="표준 18 2 3 3_뇌출혈특약(갱신형)" xfId="13714" xr:uid="{00000000-0005-0000-0000-0000E3700000}"/>
    <cellStyle name="표준 18 2 3 4" xfId="7914" xr:uid="{00000000-0005-0000-0000-0000E4700000}"/>
    <cellStyle name="표준 18 2 3 4 2" xfId="7915" xr:uid="{00000000-0005-0000-0000-0000E5700000}"/>
    <cellStyle name="표준 18 2 3 4 3" xfId="7916" xr:uid="{00000000-0005-0000-0000-0000E6700000}"/>
    <cellStyle name="표준 18 2 3 4_뇌출혈특약(갱신형)" xfId="13715" xr:uid="{00000000-0005-0000-0000-0000E7700000}"/>
    <cellStyle name="표준 18 2 3 5" xfId="7917" xr:uid="{00000000-0005-0000-0000-0000E8700000}"/>
    <cellStyle name="표준 18 2 3 5 2" xfId="7918" xr:uid="{00000000-0005-0000-0000-0000E9700000}"/>
    <cellStyle name="표준 18 2 3 5 3" xfId="7919" xr:uid="{00000000-0005-0000-0000-0000EA700000}"/>
    <cellStyle name="표준 18 2 3 5_뇌출혈특약(갱신형)" xfId="13716" xr:uid="{00000000-0005-0000-0000-0000EB700000}"/>
    <cellStyle name="표준 18 2 3 6" xfId="7920" xr:uid="{00000000-0005-0000-0000-0000EC700000}"/>
    <cellStyle name="표준 18 2 3 7" xfId="7921" xr:uid="{00000000-0005-0000-0000-0000ED700000}"/>
    <cellStyle name="표준 18 2 3_뇌출혈특약(갱신형)" xfId="13717" xr:uid="{00000000-0005-0000-0000-0000EE700000}"/>
    <cellStyle name="표준 18 2 4" xfId="7922" xr:uid="{00000000-0005-0000-0000-0000EF700000}"/>
    <cellStyle name="표준 18 2 4 2" xfId="7923" xr:uid="{00000000-0005-0000-0000-0000F0700000}"/>
    <cellStyle name="표준 18 2 4 2 2" xfId="7924" xr:uid="{00000000-0005-0000-0000-0000F1700000}"/>
    <cellStyle name="표준 18 2 4 2 2 2" xfId="7925" xr:uid="{00000000-0005-0000-0000-0000F2700000}"/>
    <cellStyle name="표준 18 2 4 2 2 3" xfId="7926" xr:uid="{00000000-0005-0000-0000-0000F3700000}"/>
    <cellStyle name="표준 18 2 4 2 2_뇌출혈특약(갱신형)" xfId="13718" xr:uid="{00000000-0005-0000-0000-0000F4700000}"/>
    <cellStyle name="표준 18 2 4 2 3" xfId="7927" xr:uid="{00000000-0005-0000-0000-0000F5700000}"/>
    <cellStyle name="표준 18 2 4 2 4" xfId="7928" xr:uid="{00000000-0005-0000-0000-0000F6700000}"/>
    <cellStyle name="표준 18 2 4 2_뇌출혈특약(갱신형)" xfId="13719" xr:uid="{00000000-0005-0000-0000-0000F7700000}"/>
    <cellStyle name="표준 18 2 4 3" xfId="7929" xr:uid="{00000000-0005-0000-0000-0000F8700000}"/>
    <cellStyle name="표준 18 2 4 3 2" xfId="7930" xr:uid="{00000000-0005-0000-0000-0000F9700000}"/>
    <cellStyle name="표준 18 2 4 3 2 2" xfId="7931" xr:uid="{00000000-0005-0000-0000-0000FA700000}"/>
    <cellStyle name="표준 18 2 4 3 2 3" xfId="7932" xr:uid="{00000000-0005-0000-0000-0000FB700000}"/>
    <cellStyle name="표준 18 2 4 3 2_뇌출혈특약(갱신형)" xfId="13720" xr:uid="{00000000-0005-0000-0000-0000FC700000}"/>
    <cellStyle name="표준 18 2 4 3 3" xfId="7933" xr:uid="{00000000-0005-0000-0000-0000FD700000}"/>
    <cellStyle name="표준 18 2 4 3 4" xfId="7934" xr:uid="{00000000-0005-0000-0000-0000FE700000}"/>
    <cellStyle name="표준 18 2 4 3_뇌출혈특약(갱신형)" xfId="13721" xr:uid="{00000000-0005-0000-0000-0000FF700000}"/>
    <cellStyle name="표준 18 2 4 4" xfId="7935" xr:uid="{00000000-0005-0000-0000-000000710000}"/>
    <cellStyle name="표준 18 2 4 4 2" xfId="7936" xr:uid="{00000000-0005-0000-0000-000001710000}"/>
    <cellStyle name="표준 18 2 4 4 3" xfId="7937" xr:uid="{00000000-0005-0000-0000-000002710000}"/>
    <cellStyle name="표준 18 2 4 4_뇌출혈특약(갱신형)" xfId="13722" xr:uid="{00000000-0005-0000-0000-000003710000}"/>
    <cellStyle name="표준 18 2 4 5" xfId="7938" xr:uid="{00000000-0005-0000-0000-000004710000}"/>
    <cellStyle name="표준 18 2 4 5 2" xfId="7939" xr:uid="{00000000-0005-0000-0000-000005710000}"/>
    <cellStyle name="표준 18 2 4 5 3" xfId="7940" xr:uid="{00000000-0005-0000-0000-000006710000}"/>
    <cellStyle name="표준 18 2 4 5_뇌출혈특약(갱신형)" xfId="13723" xr:uid="{00000000-0005-0000-0000-000007710000}"/>
    <cellStyle name="표준 18 2 4 6" xfId="7941" xr:uid="{00000000-0005-0000-0000-000008710000}"/>
    <cellStyle name="표준 18 2 4 7" xfId="7942" xr:uid="{00000000-0005-0000-0000-000009710000}"/>
    <cellStyle name="표준 18 2 4_뇌출혈특약(갱신형)" xfId="13724" xr:uid="{00000000-0005-0000-0000-00000A710000}"/>
    <cellStyle name="표준 18 2 5" xfId="7943" xr:uid="{00000000-0005-0000-0000-00000B710000}"/>
    <cellStyle name="표준 18 2 5 2" xfId="7944" xr:uid="{00000000-0005-0000-0000-00000C710000}"/>
    <cellStyle name="표준 18 2 5 2 2" xfId="7945" xr:uid="{00000000-0005-0000-0000-00000D710000}"/>
    <cellStyle name="표준 18 2 5 2 3" xfId="7946" xr:uid="{00000000-0005-0000-0000-00000E710000}"/>
    <cellStyle name="표준 18 2 5 2_뇌출혈특약(갱신형)" xfId="13725" xr:uid="{00000000-0005-0000-0000-00000F710000}"/>
    <cellStyle name="표준 18 2 5 3" xfId="7947" xr:uid="{00000000-0005-0000-0000-000010710000}"/>
    <cellStyle name="표준 18 2 5 4" xfId="7948" xr:uid="{00000000-0005-0000-0000-000011710000}"/>
    <cellStyle name="표준 18 2 5_뇌출혈특약(갱신형)" xfId="13726" xr:uid="{00000000-0005-0000-0000-000012710000}"/>
    <cellStyle name="표준 18 2 6" xfId="7949" xr:uid="{00000000-0005-0000-0000-000013710000}"/>
    <cellStyle name="표준 18 2 6 2" xfId="7950" xr:uid="{00000000-0005-0000-0000-000014710000}"/>
    <cellStyle name="표준 18 2 6 2 2" xfId="7951" xr:uid="{00000000-0005-0000-0000-000015710000}"/>
    <cellStyle name="표준 18 2 6 2 3" xfId="7952" xr:uid="{00000000-0005-0000-0000-000016710000}"/>
    <cellStyle name="표준 18 2 6 2_뇌출혈특약(갱신형)" xfId="13727" xr:uid="{00000000-0005-0000-0000-000017710000}"/>
    <cellStyle name="표준 18 2 6 3" xfId="7953" xr:uid="{00000000-0005-0000-0000-000018710000}"/>
    <cellStyle name="표준 18 2 6 4" xfId="7954" xr:uid="{00000000-0005-0000-0000-000019710000}"/>
    <cellStyle name="표준 18 2 6_뇌출혈특약(갱신형)" xfId="13728" xr:uid="{00000000-0005-0000-0000-00001A710000}"/>
    <cellStyle name="표준 18 2 7" xfId="7955" xr:uid="{00000000-0005-0000-0000-00001B710000}"/>
    <cellStyle name="표준 18 2 7 2" xfId="7956" xr:uid="{00000000-0005-0000-0000-00001C710000}"/>
    <cellStyle name="표준 18 2 7 3" xfId="7957" xr:uid="{00000000-0005-0000-0000-00001D710000}"/>
    <cellStyle name="표준 18 2 7_뇌출혈특약(갱신형)" xfId="13729" xr:uid="{00000000-0005-0000-0000-00001E710000}"/>
    <cellStyle name="표준 18 2 8" xfId="7958" xr:uid="{00000000-0005-0000-0000-00001F710000}"/>
    <cellStyle name="표준 18 2 8 2" xfId="7959" xr:uid="{00000000-0005-0000-0000-000020710000}"/>
    <cellStyle name="표준 18 2 8 3" xfId="7960" xr:uid="{00000000-0005-0000-0000-000021710000}"/>
    <cellStyle name="표준 18 2 8_뇌출혈특약(갱신형)" xfId="13730" xr:uid="{00000000-0005-0000-0000-000022710000}"/>
    <cellStyle name="표준 18 2 9" xfId="7961" xr:uid="{00000000-0005-0000-0000-000023710000}"/>
    <cellStyle name="표준 18 2 9 2" xfId="7962" xr:uid="{00000000-0005-0000-0000-000024710000}"/>
    <cellStyle name="표준 18 2 9 3" xfId="7963" xr:uid="{00000000-0005-0000-0000-000025710000}"/>
    <cellStyle name="표준 18 2 9_뇌출혈특약(갱신형)" xfId="13731" xr:uid="{00000000-0005-0000-0000-000026710000}"/>
    <cellStyle name="표준 18 2_뇌출혈특약(갱신형)" xfId="13732" xr:uid="{00000000-0005-0000-0000-000027710000}"/>
    <cellStyle name="표준 18 20" xfId="17153" xr:uid="{00000000-0005-0000-0000-000028710000}"/>
    <cellStyle name="표준 18 3" xfId="76" xr:uid="{00000000-0005-0000-0000-000029710000}"/>
    <cellStyle name="표준 18 3 10" xfId="7964" xr:uid="{00000000-0005-0000-0000-00002A710000}"/>
    <cellStyle name="표준 18 3 10 2" xfId="7965" xr:uid="{00000000-0005-0000-0000-00002B710000}"/>
    <cellStyle name="표준 18 3 10 3" xfId="7966" xr:uid="{00000000-0005-0000-0000-00002C710000}"/>
    <cellStyle name="표준 18 3 10_뇌출혈특약(갱신형)" xfId="13733" xr:uid="{00000000-0005-0000-0000-00002D710000}"/>
    <cellStyle name="표준 18 3 11" xfId="7967" xr:uid="{00000000-0005-0000-0000-00002E710000}"/>
    <cellStyle name="표준 18 3 11 2" xfId="7968" xr:uid="{00000000-0005-0000-0000-00002F710000}"/>
    <cellStyle name="표준 18 3 11_뇌출혈특약(갱신형)" xfId="13734" xr:uid="{00000000-0005-0000-0000-000030710000}"/>
    <cellStyle name="표준 18 3 12" xfId="7969" xr:uid="{00000000-0005-0000-0000-000031710000}"/>
    <cellStyle name="표준 18 3 12 2" xfId="7970" xr:uid="{00000000-0005-0000-0000-000032710000}"/>
    <cellStyle name="표준 18 3 12_뇌출혈특약(갱신형)" xfId="13735" xr:uid="{00000000-0005-0000-0000-000033710000}"/>
    <cellStyle name="표준 18 3 13" xfId="7971" xr:uid="{00000000-0005-0000-0000-000034710000}"/>
    <cellStyle name="표준 18 3 13 2" xfId="7972" xr:uid="{00000000-0005-0000-0000-000035710000}"/>
    <cellStyle name="표준 18 3 13_뇌출혈특약(갱신형)" xfId="13736" xr:uid="{00000000-0005-0000-0000-000036710000}"/>
    <cellStyle name="표준 18 3 14" xfId="7973" xr:uid="{00000000-0005-0000-0000-000037710000}"/>
    <cellStyle name="표준 18 3 14 2" xfId="7974" xr:uid="{00000000-0005-0000-0000-000038710000}"/>
    <cellStyle name="표준 18 3 14_뇌출혈특약(갱신형)" xfId="13737" xr:uid="{00000000-0005-0000-0000-000039710000}"/>
    <cellStyle name="표준 18 3 15" xfId="7975" xr:uid="{00000000-0005-0000-0000-00003A710000}"/>
    <cellStyle name="표준 18 3 16" xfId="7976" xr:uid="{00000000-0005-0000-0000-00003B710000}"/>
    <cellStyle name="표준 18 3 2" xfId="7977" xr:uid="{00000000-0005-0000-0000-00003C710000}"/>
    <cellStyle name="표준 18 3 2 2" xfId="7978" xr:uid="{00000000-0005-0000-0000-00003D710000}"/>
    <cellStyle name="표준 18 3 2 2 2" xfId="7979" xr:uid="{00000000-0005-0000-0000-00003E710000}"/>
    <cellStyle name="표준 18 3 2 2 2 2" xfId="7980" xr:uid="{00000000-0005-0000-0000-00003F710000}"/>
    <cellStyle name="표준 18 3 2 2 2 2 2" xfId="7981" xr:uid="{00000000-0005-0000-0000-000040710000}"/>
    <cellStyle name="표준 18 3 2 2 2 2 3" xfId="7982" xr:uid="{00000000-0005-0000-0000-000041710000}"/>
    <cellStyle name="표준 18 3 2 2 2 2_뇌출혈특약(갱신형)" xfId="13738" xr:uid="{00000000-0005-0000-0000-000042710000}"/>
    <cellStyle name="표준 18 3 2 2 2 3" xfId="7983" xr:uid="{00000000-0005-0000-0000-000043710000}"/>
    <cellStyle name="표준 18 3 2 2 2 4" xfId="7984" xr:uid="{00000000-0005-0000-0000-000044710000}"/>
    <cellStyle name="표준 18 3 2 2 2_뇌출혈특약(갱신형)" xfId="13739" xr:uid="{00000000-0005-0000-0000-000045710000}"/>
    <cellStyle name="표준 18 3 2 2 3" xfId="7985" xr:uid="{00000000-0005-0000-0000-000046710000}"/>
    <cellStyle name="표준 18 3 2 2 3 2" xfId="7986" xr:uid="{00000000-0005-0000-0000-000047710000}"/>
    <cellStyle name="표준 18 3 2 2 3 2 2" xfId="7987" xr:uid="{00000000-0005-0000-0000-000048710000}"/>
    <cellStyle name="표준 18 3 2 2 3 2 3" xfId="7988" xr:uid="{00000000-0005-0000-0000-000049710000}"/>
    <cellStyle name="표준 18 3 2 2 3 2_뇌출혈특약(갱신형)" xfId="13740" xr:uid="{00000000-0005-0000-0000-00004A710000}"/>
    <cellStyle name="표준 18 3 2 2 3 3" xfId="7989" xr:uid="{00000000-0005-0000-0000-00004B710000}"/>
    <cellStyle name="표준 18 3 2 2 3 4" xfId="7990" xr:uid="{00000000-0005-0000-0000-00004C710000}"/>
    <cellStyle name="표준 18 3 2 2 3_뇌출혈특약(갱신형)" xfId="13741" xr:uid="{00000000-0005-0000-0000-00004D710000}"/>
    <cellStyle name="표준 18 3 2 2 4" xfId="7991" xr:uid="{00000000-0005-0000-0000-00004E710000}"/>
    <cellStyle name="표준 18 3 2 2 4 2" xfId="7992" xr:uid="{00000000-0005-0000-0000-00004F710000}"/>
    <cellStyle name="표준 18 3 2 2 4 3" xfId="7993" xr:uid="{00000000-0005-0000-0000-000050710000}"/>
    <cellStyle name="표준 18 3 2 2 4_뇌출혈특약(갱신형)" xfId="13742" xr:uid="{00000000-0005-0000-0000-000051710000}"/>
    <cellStyle name="표준 18 3 2 2 5" xfId="7994" xr:uid="{00000000-0005-0000-0000-000052710000}"/>
    <cellStyle name="표준 18 3 2 2 5 2" xfId="7995" xr:uid="{00000000-0005-0000-0000-000053710000}"/>
    <cellStyle name="표준 18 3 2 2 5 3" xfId="7996" xr:uid="{00000000-0005-0000-0000-000054710000}"/>
    <cellStyle name="표준 18 3 2 2 5_뇌출혈특약(갱신형)" xfId="13743" xr:uid="{00000000-0005-0000-0000-000055710000}"/>
    <cellStyle name="표준 18 3 2 2 6" xfId="7997" xr:uid="{00000000-0005-0000-0000-000056710000}"/>
    <cellStyle name="표준 18 3 2 2 7" xfId="7998" xr:uid="{00000000-0005-0000-0000-000057710000}"/>
    <cellStyle name="표준 18 3 2 2_뇌출혈특약(갱신형)" xfId="13744" xr:uid="{00000000-0005-0000-0000-000058710000}"/>
    <cellStyle name="표준 18 3 2 3" xfId="7999" xr:uid="{00000000-0005-0000-0000-000059710000}"/>
    <cellStyle name="표준 18 3 2 3 2" xfId="8000" xr:uid="{00000000-0005-0000-0000-00005A710000}"/>
    <cellStyle name="표준 18 3 2 3 2 2" xfId="8001" xr:uid="{00000000-0005-0000-0000-00005B710000}"/>
    <cellStyle name="표준 18 3 2 3 2 3" xfId="8002" xr:uid="{00000000-0005-0000-0000-00005C710000}"/>
    <cellStyle name="표준 18 3 2 3 2_뇌출혈특약(갱신형)" xfId="13745" xr:uid="{00000000-0005-0000-0000-00005D710000}"/>
    <cellStyle name="표준 18 3 2 3 3" xfId="8003" xr:uid="{00000000-0005-0000-0000-00005E710000}"/>
    <cellStyle name="표준 18 3 2 3 4" xfId="8004" xr:uid="{00000000-0005-0000-0000-00005F710000}"/>
    <cellStyle name="표준 18 3 2 3_뇌출혈특약(갱신형)" xfId="13746" xr:uid="{00000000-0005-0000-0000-000060710000}"/>
    <cellStyle name="표준 18 3 2 4" xfId="8005" xr:uid="{00000000-0005-0000-0000-000061710000}"/>
    <cellStyle name="표준 18 3 2 4 2" xfId="8006" xr:uid="{00000000-0005-0000-0000-000062710000}"/>
    <cellStyle name="표준 18 3 2 4 2 2" xfId="8007" xr:uid="{00000000-0005-0000-0000-000063710000}"/>
    <cellStyle name="표준 18 3 2 4 2 3" xfId="8008" xr:uid="{00000000-0005-0000-0000-000064710000}"/>
    <cellStyle name="표준 18 3 2 4 2_뇌출혈특약(갱신형)" xfId="13747" xr:uid="{00000000-0005-0000-0000-000065710000}"/>
    <cellStyle name="표준 18 3 2 4 3" xfId="8009" xr:uid="{00000000-0005-0000-0000-000066710000}"/>
    <cellStyle name="표준 18 3 2 4 4" xfId="8010" xr:uid="{00000000-0005-0000-0000-000067710000}"/>
    <cellStyle name="표준 18 3 2 4_뇌출혈특약(갱신형)" xfId="13748" xr:uid="{00000000-0005-0000-0000-000068710000}"/>
    <cellStyle name="표준 18 3 2 5" xfId="8011" xr:uid="{00000000-0005-0000-0000-000069710000}"/>
    <cellStyle name="표준 18 3 2 5 2" xfId="8012" xr:uid="{00000000-0005-0000-0000-00006A710000}"/>
    <cellStyle name="표준 18 3 2 5 3" xfId="8013" xr:uid="{00000000-0005-0000-0000-00006B710000}"/>
    <cellStyle name="표준 18 3 2 5_뇌출혈특약(갱신형)" xfId="13749" xr:uid="{00000000-0005-0000-0000-00006C710000}"/>
    <cellStyle name="표준 18 3 2 6" xfId="8014" xr:uid="{00000000-0005-0000-0000-00006D710000}"/>
    <cellStyle name="표준 18 3 2 6 2" xfId="8015" xr:uid="{00000000-0005-0000-0000-00006E710000}"/>
    <cellStyle name="표준 18 3 2 6 3" xfId="8016" xr:uid="{00000000-0005-0000-0000-00006F710000}"/>
    <cellStyle name="표준 18 3 2 6_뇌출혈특약(갱신형)" xfId="13750" xr:uid="{00000000-0005-0000-0000-000070710000}"/>
    <cellStyle name="표준 18 3 2 7" xfId="8017" xr:uid="{00000000-0005-0000-0000-000071710000}"/>
    <cellStyle name="표준 18 3 2 8" xfId="8018" xr:uid="{00000000-0005-0000-0000-000072710000}"/>
    <cellStyle name="표준 18 3 2_뇌출혈특약(갱신형)" xfId="13751" xr:uid="{00000000-0005-0000-0000-000073710000}"/>
    <cellStyle name="표준 18 3 3" xfId="8019" xr:uid="{00000000-0005-0000-0000-000074710000}"/>
    <cellStyle name="표준 18 3 3 2" xfId="8020" xr:uid="{00000000-0005-0000-0000-000075710000}"/>
    <cellStyle name="표준 18 3 3 2 2" xfId="8021" xr:uid="{00000000-0005-0000-0000-000076710000}"/>
    <cellStyle name="표준 18 3 3 2 2 2" xfId="8022" xr:uid="{00000000-0005-0000-0000-000077710000}"/>
    <cellStyle name="표준 18 3 3 2 2 3" xfId="8023" xr:uid="{00000000-0005-0000-0000-000078710000}"/>
    <cellStyle name="표준 18 3 3 2 2_뇌출혈특약(갱신형)" xfId="13752" xr:uid="{00000000-0005-0000-0000-000079710000}"/>
    <cellStyle name="표준 18 3 3 2 3" xfId="8024" xr:uid="{00000000-0005-0000-0000-00007A710000}"/>
    <cellStyle name="표준 18 3 3 2 4" xfId="8025" xr:uid="{00000000-0005-0000-0000-00007B710000}"/>
    <cellStyle name="표준 18 3 3 2_뇌출혈특약(갱신형)" xfId="13753" xr:uid="{00000000-0005-0000-0000-00007C710000}"/>
    <cellStyle name="표준 18 3 3 3" xfId="8026" xr:uid="{00000000-0005-0000-0000-00007D710000}"/>
    <cellStyle name="표준 18 3 3 3 2" xfId="8027" xr:uid="{00000000-0005-0000-0000-00007E710000}"/>
    <cellStyle name="표준 18 3 3 3 2 2" xfId="8028" xr:uid="{00000000-0005-0000-0000-00007F710000}"/>
    <cellStyle name="표준 18 3 3 3 2 3" xfId="8029" xr:uid="{00000000-0005-0000-0000-000080710000}"/>
    <cellStyle name="표준 18 3 3 3 2_뇌출혈특약(갱신형)" xfId="13754" xr:uid="{00000000-0005-0000-0000-000081710000}"/>
    <cellStyle name="표준 18 3 3 3 3" xfId="8030" xr:uid="{00000000-0005-0000-0000-000082710000}"/>
    <cellStyle name="표준 18 3 3 3 4" xfId="8031" xr:uid="{00000000-0005-0000-0000-000083710000}"/>
    <cellStyle name="표준 18 3 3 3_뇌출혈특약(갱신형)" xfId="13755" xr:uid="{00000000-0005-0000-0000-000084710000}"/>
    <cellStyle name="표준 18 3 3 4" xfId="8032" xr:uid="{00000000-0005-0000-0000-000085710000}"/>
    <cellStyle name="표준 18 3 3 4 2" xfId="8033" xr:uid="{00000000-0005-0000-0000-000086710000}"/>
    <cellStyle name="표준 18 3 3 4 3" xfId="8034" xr:uid="{00000000-0005-0000-0000-000087710000}"/>
    <cellStyle name="표준 18 3 3 4_뇌출혈특약(갱신형)" xfId="13756" xr:uid="{00000000-0005-0000-0000-000088710000}"/>
    <cellStyle name="표준 18 3 3 5" xfId="8035" xr:uid="{00000000-0005-0000-0000-000089710000}"/>
    <cellStyle name="표준 18 3 3 5 2" xfId="8036" xr:uid="{00000000-0005-0000-0000-00008A710000}"/>
    <cellStyle name="표준 18 3 3 5 3" xfId="8037" xr:uid="{00000000-0005-0000-0000-00008B710000}"/>
    <cellStyle name="표준 18 3 3 5_뇌출혈특약(갱신형)" xfId="13757" xr:uid="{00000000-0005-0000-0000-00008C710000}"/>
    <cellStyle name="표준 18 3 3 6" xfId="8038" xr:uid="{00000000-0005-0000-0000-00008D710000}"/>
    <cellStyle name="표준 18 3 3 7" xfId="8039" xr:uid="{00000000-0005-0000-0000-00008E710000}"/>
    <cellStyle name="표준 18 3 3_뇌출혈특약(갱신형)" xfId="13758" xr:uid="{00000000-0005-0000-0000-00008F710000}"/>
    <cellStyle name="표준 18 3 4" xfId="8040" xr:uid="{00000000-0005-0000-0000-000090710000}"/>
    <cellStyle name="표준 18 3 4 2" xfId="8041" xr:uid="{00000000-0005-0000-0000-000091710000}"/>
    <cellStyle name="표준 18 3 4 2 2" xfId="8042" xr:uid="{00000000-0005-0000-0000-000092710000}"/>
    <cellStyle name="표준 18 3 4 2 2 2" xfId="8043" xr:uid="{00000000-0005-0000-0000-000093710000}"/>
    <cellStyle name="표준 18 3 4 2 2 3" xfId="8044" xr:uid="{00000000-0005-0000-0000-000094710000}"/>
    <cellStyle name="표준 18 3 4 2 2_뇌출혈특약(갱신형)" xfId="13759" xr:uid="{00000000-0005-0000-0000-000095710000}"/>
    <cellStyle name="표준 18 3 4 2 3" xfId="8045" xr:uid="{00000000-0005-0000-0000-000096710000}"/>
    <cellStyle name="표준 18 3 4 2 4" xfId="8046" xr:uid="{00000000-0005-0000-0000-000097710000}"/>
    <cellStyle name="표준 18 3 4 2_뇌출혈특약(갱신형)" xfId="13760" xr:uid="{00000000-0005-0000-0000-000098710000}"/>
    <cellStyle name="표준 18 3 4 3" xfId="8047" xr:uid="{00000000-0005-0000-0000-000099710000}"/>
    <cellStyle name="표준 18 3 4 3 2" xfId="8048" xr:uid="{00000000-0005-0000-0000-00009A710000}"/>
    <cellStyle name="표준 18 3 4 3 2 2" xfId="8049" xr:uid="{00000000-0005-0000-0000-00009B710000}"/>
    <cellStyle name="표준 18 3 4 3 2 3" xfId="8050" xr:uid="{00000000-0005-0000-0000-00009C710000}"/>
    <cellStyle name="표준 18 3 4 3 2_뇌출혈특약(갱신형)" xfId="13761" xr:uid="{00000000-0005-0000-0000-00009D710000}"/>
    <cellStyle name="표준 18 3 4 3 3" xfId="8051" xr:uid="{00000000-0005-0000-0000-00009E710000}"/>
    <cellStyle name="표준 18 3 4 3 4" xfId="8052" xr:uid="{00000000-0005-0000-0000-00009F710000}"/>
    <cellStyle name="표준 18 3 4 3_뇌출혈특약(갱신형)" xfId="13762" xr:uid="{00000000-0005-0000-0000-0000A0710000}"/>
    <cellStyle name="표준 18 3 4 4" xfId="8053" xr:uid="{00000000-0005-0000-0000-0000A1710000}"/>
    <cellStyle name="표준 18 3 4 4 2" xfId="8054" xr:uid="{00000000-0005-0000-0000-0000A2710000}"/>
    <cellStyle name="표준 18 3 4 4 3" xfId="8055" xr:uid="{00000000-0005-0000-0000-0000A3710000}"/>
    <cellStyle name="표준 18 3 4 4_뇌출혈특약(갱신형)" xfId="13763" xr:uid="{00000000-0005-0000-0000-0000A4710000}"/>
    <cellStyle name="표준 18 3 4 5" xfId="8056" xr:uid="{00000000-0005-0000-0000-0000A5710000}"/>
    <cellStyle name="표준 18 3 4 5 2" xfId="8057" xr:uid="{00000000-0005-0000-0000-0000A6710000}"/>
    <cellStyle name="표준 18 3 4 5 3" xfId="8058" xr:uid="{00000000-0005-0000-0000-0000A7710000}"/>
    <cellStyle name="표준 18 3 4 5_뇌출혈특약(갱신형)" xfId="13764" xr:uid="{00000000-0005-0000-0000-0000A8710000}"/>
    <cellStyle name="표준 18 3 4 6" xfId="8059" xr:uid="{00000000-0005-0000-0000-0000A9710000}"/>
    <cellStyle name="표준 18 3 4 7" xfId="8060" xr:uid="{00000000-0005-0000-0000-0000AA710000}"/>
    <cellStyle name="표준 18 3 4_뇌출혈특약(갱신형)" xfId="13765" xr:uid="{00000000-0005-0000-0000-0000AB710000}"/>
    <cellStyle name="표준 18 3 5" xfId="8061" xr:uid="{00000000-0005-0000-0000-0000AC710000}"/>
    <cellStyle name="표준 18 3 5 2" xfId="8062" xr:uid="{00000000-0005-0000-0000-0000AD710000}"/>
    <cellStyle name="표준 18 3 5 2 2" xfId="8063" xr:uid="{00000000-0005-0000-0000-0000AE710000}"/>
    <cellStyle name="표준 18 3 5 2 3" xfId="8064" xr:uid="{00000000-0005-0000-0000-0000AF710000}"/>
    <cellStyle name="표준 18 3 5 2_뇌출혈특약(갱신형)" xfId="13766" xr:uid="{00000000-0005-0000-0000-0000B0710000}"/>
    <cellStyle name="표준 18 3 5 3" xfId="8065" xr:uid="{00000000-0005-0000-0000-0000B1710000}"/>
    <cellStyle name="표준 18 3 5 4" xfId="8066" xr:uid="{00000000-0005-0000-0000-0000B2710000}"/>
    <cellStyle name="표준 18 3 5_뇌출혈특약(갱신형)" xfId="13767" xr:uid="{00000000-0005-0000-0000-0000B3710000}"/>
    <cellStyle name="표준 18 3 6" xfId="8067" xr:uid="{00000000-0005-0000-0000-0000B4710000}"/>
    <cellStyle name="표준 18 3 6 2" xfId="8068" xr:uid="{00000000-0005-0000-0000-0000B5710000}"/>
    <cellStyle name="표준 18 3 6 2 2" xfId="8069" xr:uid="{00000000-0005-0000-0000-0000B6710000}"/>
    <cellStyle name="표준 18 3 6 2 3" xfId="8070" xr:uid="{00000000-0005-0000-0000-0000B7710000}"/>
    <cellStyle name="표준 18 3 6 2_뇌출혈특약(갱신형)" xfId="13768" xr:uid="{00000000-0005-0000-0000-0000B8710000}"/>
    <cellStyle name="표준 18 3 6 3" xfId="8071" xr:uid="{00000000-0005-0000-0000-0000B9710000}"/>
    <cellStyle name="표준 18 3 6 4" xfId="8072" xr:uid="{00000000-0005-0000-0000-0000BA710000}"/>
    <cellStyle name="표준 18 3 6_뇌출혈특약(갱신형)" xfId="13769" xr:uid="{00000000-0005-0000-0000-0000BB710000}"/>
    <cellStyle name="표준 18 3 7" xfId="8073" xr:uid="{00000000-0005-0000-0000-0000BC710000}"/>
    <cellStyle name="표준 18 3 7 2" xfId="8074" xr:uid="{00000000-0005-0000-0000-0000BD710000}"/>
    <cellStyle name="표준 18 3 7 3" xfId="8075" xr:uid="{00000000-0005-0000-0000-0000BE710000}"/>
    <cellStyle name="표준 18 3 7_뇌출혈특약(갱신형)" xfId="13770" xr:uid="{00000000-0005-0000-0000-0000BF710000}"/>
    <cellStyle name="표준 18 3 8" xfId="8076" xr:uid="{00000000-0005-0000-0000-0000C0710000}"/>
    <cellStyle name="표준 18 3 8 2" xfId="8077" xr:uid="{00000000-0005-0000-0000-0000C1710000}"/>
    <cellStyle name="표준 18 3 8 3" xfId="8078" xr:uid="{00000000-0005-0000-0000-0000C2710000}"/>
    <cellStyle name="표준 18 3 8_뇌출혈특약(갱신형)" xfId="13771" xr:uid="{00000000-0005-0000-0000-0000C3710000}"/>
    <cellStyle name="표준 18 3 9" xfId="8079" xr:uid="{00000000-0005-0000-0000-0000C4710000}"/>
    <cellStyle name="표준 18 3 9 2" xfId="8080" xr:uid="{00000000-0005-0000-0000-0000C5710000}"/>
    <cellStyle name="표준 18 3 9 3" xfId="8081" xr:uid="{00000000-0005-0000-0000-0000C6710000}"/>
    <cellStyle name="표준 18 3 9_뇌출혈특약(갱신형)" xfId="13772" xr:uid="{00000000-0005-0000-0000-0000C7710000}"/>
    <cellStyle name="표준 18 3_뇌출혈특약(갱신형)" xfId="13773" xr:uid="{00000000-0005-0000-0000-0000C8710000}"/>
    <cellStyle name="표준 18 4" xfId="77" xr:uid="{00000000-0005-0000-0000-0000C9710000}"/>
    <cellStyle name="표준 18 4 10" xfId="8082" xr:uid="{00000000-0005-0000-0000-0000CA710000}"/>
    <cellStyle name="표준 18 4 10 2" xfId="8083" xr:uid="{00000000-0005-0000-0000-0000CB710000}"/>
    <cellStyle name="표준 18 4 10 3" xfId="8084" xr:uid="{00000000-0005-0000-0000-0000CC710000}"/>
    <cellStyle name="표준 18 4 10_뇌출혈특약(갱신형)" xfId="13774" xr:uid="{00000000-0005-0000-0000-0000CD710000}"/>
    <cellStyle name="표준 18 4 11" xfId="8085" xr:uid="{00000000-0005-0000-0000-0000CE710000}"/>
    <cellStyle name="표준 18 4 11 2" xfId="8086" xr:uid="{00000000-0005-0000-0000-0000CF710000}"/>
    <cellStyle name="표준 18 4 11_뇌출혈특약(갱신형)" xfId="13775" xr:uid="{00000000-0005-0000-0000-0000D0710000}"/>
    <cellStyle name="표준 18 4 12" xfId="8087" xr:uid="{00000000-0005-0000-0000-0000D1710000}"/>
    <cellStyle name="표준 18 4 12 2" xfId="8088" xr:uid="{00000000-0005-0000-0000-0000D2710000}"/>
    <cellStyle name="표준 18 4 12_뇌출혈특약(갱신형)" xfId="13776" xr:uid="{00000000-0005-0000-0000-0000D3710000}"/>
    <cellStyle name="표준 18 4 13" xfId="8089" xr:uid="{00000000-0005-0000-0000-0000D4710000}"/>
    <cellStyle name="표준 18 4 13 2" xfId="8090" xr:uid="{00000000-0005-0000-0000-0000D5710000}"/>
    <cellStyle name="표준 18 4 13_뇌출혈특약(갱신형)" xfId="13777" xr:uid="{00000000-0005-0000-0000-0000D6710000}"/>
    <cellStyle name="표준 18 4 14" xfId="8091" xr:uid="{00000000-0005-0000-0000-0000D7710000}"/>
    <cellStyle name="표준 18 4 14 2" xfId="8092" xr:uid="{00000000-0005-0000-0000-0000D8710000}"/>
    <cellStyle name="표준 18 4 14_뇌출혈특약(갱신형)" xfId="13778" xr:uid="{00000000-0005-0000-0000-0000D9710000}"/>
    <cellStyle name="표준 18 4 15" xfId="8093" xr:uid="{00000000-0005-0000-0000-0000DA710000}"/>
    <cellStyle name="표준 18 4 16" xfId="8094" xr:uid="{00000000-0005-0000-0000-0000DB710000}"/>
    <cellStyle name="표준 18 4 2" xfId="8095" xr:uid="{00000000-0005-0000-0000-0000DC710000}"/>
    <cellStyle name="표준 18 4 2 2" xfId="8096" xr:uid="{00000000-0005-0000-0000-0000DD710000}"/>
    <cellStyle name="표준 18 4 2 2 2" xfId="8097" xr:uid="{00000000-0005-0000-0000-0000DE710000}"/>
    <cellStyle name="표준 18 4 2 2 2 2" xfId="8098" xr:uid="{00000000-0005-0000-0000-0000DF710000}"/>
    <cellStyle name="표준 18 4 2 2 2 2 2" xfId="8099" xr:uid="{00000000-0005-0000-0000-0000E0710000}"/>
    <cellStyle name="표준 18 4 2 2 2 2 3" xfId="8100" xr:uid="{00000000-0005-0000-0000-0000E1710000}"/>
    <cellStyle name="표준 18 4 2 2 2 2_뇌출혈특약(갱신형)" xfId="13779" xr:uid="{00000000-0005-0000-0000-0000E2710000}"/>
    <cellStyle name="표준 18 4 2 2 2 3" xfId="8101" xr:uid="{00000000-0005-0000-0000-0000E3710000}"/>
    <cellStyle name="표준 18 4 2 2 2 4" xfId="8102" xr:uid="{00000000-0005-0000-0000-0000E4710000}"/>
    <cellStyle name="표준 18 4 2 2 2_뇌출혈특약(갱신형)" xfId="13780" xr:uid="{00000000-0005-0000-0000-0000E5710000}"/>
    <cellStyle name="표준 18 4 2 2 3" xfId="8103" xr:uid="{00000000-0005-0000-0000-0000E6710000}"/>
    <cellStyle name="표준 18 4 2 2 3 2" xfId="8104" xr:uid="{00000000-0005-0000-0000-0000E7710000}"/>
    <cellStyle name="표준 18 4 2 2 3 2 2" xfId="8105" xr:uid="{00000000-0005-0000-0000-0000E8710000}"/>
    <cellStyle name="표준 18 4 2 2 3 2 3" xfId="8106" xr:uid="{00000000-0005-0000-0000-0000E9710000}"/>
    <cellStyle name="표준 18 4 2 2 3 2_뇌출혈특약(갱신형)" xfId="13781" xr:uid="{00000000-0005-0000-0000-0000EA710000}"/>
    <cellStyle name="표준 18 4 2 2 3 3" xfId="8107" xr:uid="{00000000-0005-0000-0000-0000EB710000}"/>
    <cellStyle name="표준 18 4 2 2 3 4" xfId="8108" xr:uid="{00000000-0005-0000-0000-0000EC710000}"/>
    <cellStyle name="표준 18 4 2 2 3_뇌출혈특약(갱신형)" xfId="13782" xr:uid="{00000000-0005-0000-0000-0000ED710000}"/>
    <cellStyle name="표준 18 4 2 2 4" xfId="8109" xr:uid="{00000000-0005-0000-0000-0000EE710000}"/>
    <cellStyle name="표준 18 4 2 2 4 2" xfId="8110" xr:uid="{00000000-0005-0000-0000-0000EF710000}"/>
    <cellStyle name="표준 18 4 2 2 4 3" xfId="8111" xr:uid="{00000000-0005-0000-0000-0000F0710000}"/>
    <cellStyle name="표준 18 4 2 2 4_뇌출혈특약(갱신형)" xfId="13783" xr:uid="{00000000-0005-0000-0000-0000F1710000}"/>
    <cellStyle name="표준 18 4 2 2 5" xfId="8112" xr:uid="{00000000-0005-0000-0000-0000F2710000}"/>
    <cellStyle name="표준 18 4 2 2 5 2" xfId="8113" xr:uid="{00000000-0005-0000-0000-0000F3710000}"/>
    <cellStyle name="표준 18 4 2 2 5 3" xfId="8114" xr:uid="{00000000-0005-0000-0000-0000F4710000}"/>
    <cellStyle name="표준 18 4 2 2 5_뇌출혈특약(갱신형)" xfId="13784" xr:uid="{00000000-0005-0000-0000-0000F5710000}"/>
    <cellStyle name="표준 18 4 2 2 6" xfId="8115" xr:uid="{00000000-0005-0000-0000-0000F6710000}"/>
    <cellStyle name="표준 18 4 2 2 7" xfId="8116" xr:uid="{00000000-0005-0000-0000-0000F7710000}"/>
    <cellStyle name="표준 18 4 2 2_뇌출혈특약(갱신형)" xfId="13785" xr:uid="{00000000-0005-0000-0000-0000F8710000}"/>
    <cellStyle name="표준 18 4 2 3" xfId="8117" xr:uid="{00000000-0005-0000-0000-0000F9710000}"/>
    <cellStyle name="표준 18 4 2 3 2" xfId="8118" xr:uid="{00000000-0005-0000-0000-0000FA710000}"/>
    <cellStyle name="표준 18 4 2 3 2 2" xfId="8119" xr:uid="{00000000-0005-0000-0000-0000FB710000}"/>
    <cellStyle name="표준 18 4 2 3 2 3" xfId="8120" xr:uid="{00000000-0005-0000-0000-0000FC710000}"/>
    <cellStyle name="표준 18 4 2 3 2_뇌출혈특약(갱신형)" xfId="13786" xr:uid="{00000000-0005-0000-0000-0000FD710000}"/>
    <cellStyle name="표준 18 4 2 3 3" xfId="8121" xr:uid="{00000000-0005-0000-0000-0000FE710000}"/>
    <cellStyle name="표준 18 4 2 3 4" xfId="8122" xr:uid="{00000000-0005-0000-0000-0000FF710000}"/>
    <cellStyle name="표준 18 4 2 3_뇌출혈특약(갱신형)" xfId="13787" xr:uid="{00000000-0005-0000-0000-000000720000}"/>
    <cellStyle name="표준 18 4 2 4" xfId="8123" xr:uid="{00000000-0005-0000-0000-000001720000}"/>
    <cellStyle name="표준 18 4 2 4 2" xfId="8124" xr:uid="{00000000-0005-0000-0000-000002720000}"/>
    <cellStyle name="표준 18 4 2 4 2 2" xfId="8125" xr:uid="{00000000-0005-0000-0000-000003720000}"/>
    <cellStyle name="표준 18 4 2 4 2 3" xfId="8126" xr:uid="{00000000-0005-0000-0000-000004720000}"/>
    <cellStyle name="표준 18 4 2 4 2_뇌출혈특약(갱신형)" xfId="13788" xr:uid="{00000000-0005-0000-0000-000005720000}"/>
    <cellStyle name="표준 18 4 2 4 3" xfId="8127" xr:uid="{00000000-0005-0000-0000-000006720000}"/>
    <cellStyle name="표준 18 4 2 4 4" xfId="8128" xr:uid="{00000000-0005-0000-0000-000007720000}"/>
    <cellStyle name="표준 18 4 2 4_뇌출혈특약(갱신형)" xfId="13789" xr:uid="{00000000-0005-0000-0000-000008720000}"/>
    <cellStyle name="표준 18 4 2 5" xfId="8129" xr:uid="{00000000-0005-0000-0000-000009720000}"/>
    <cellStyle name="표준 18 4 2 5 2" xfId="8130" xr:uid="{00000000-0005-0000-0000-00000A720000}"/>
    <cellStyle name="표준 18 4 2 5 3" xfId="8131" xr:uid="{00000000-0005-0000-0000-00000B720000}"/>
    <cellStyle name="표준 18 4 2 5_뇌출혈특약(갱신형)" xfId="13790" xr:uid="{00000000-0005-0000-0000-00000C720000}"/>
    <cellStyle name="표준 18 4 2 6" xfId="8132" xr:uid="{00000000-0005-0000-0000-00000D720000}"/>
    <cellStyle name="표준 18 4 2 6 2" xfId="8133" xr:uid="{00000000-0005-0000-0000-00000E720000}"/>
    <cellStyle name="표준 18 4 2 6 3" xfId="8134" xr:uid="{00000000-0005-0000-0000-00000F720000}"/>
    <cellStyle name="표준 18 4 2 6_뇌출혈특약(갱신형)" xfId="13791" xr:uid="{00000000-0005-0000-0000-000010720000}"/>
    <cellStyle name="표준 18 4 2 7" xfId="8135" xr:uid="{00000000-0005-0000-0000-000011720000}"/>
    <cellStyle name="표준 18 4 2 8" xfId="8136" xr:uid="{00000000-0005-0000-0000-000012720000}"/>
    <cellStyle name="표준 18 4 2_뇌출혈특약(갱신형)" xfId="13792" xr:uid="{00000000-0005-0000-0000-000013720000}"/>
    <cellStyle name="표준 18 4 3" xfId="8137" xr:uid="{00000000-0005-0000-0000-000014720000}"/>
    <cellStyle name="표준 18 4 3 2" xfId="8138" xr:uid="{00000000-0005-0000-0000-000015720000}"/>
    <cellStyle name="표준 18 4 3 2 2" xfId="8139" xr:uid="{00000000-0005-0000-0000-000016720000}"/>
    <cellStyle name="표준 18 4 3 2 2 2" xfId="8140" xr:uid="{00000000-0005-0000-0000-000017720000}"/>
    <cellStyle name="표준 18 4 3 2 2 3" xfId="8141" xr:uid="{00000000-0005-0000-0000-000018720000}"/>
    <cellStyle name="표준 18 4 3 2 2_뇌출혈특약(갱신형)" xfId="13793" xr:uid="{00000000-0005-0000-0000-000019720000}"/>
    <cellStyle name="표준 18 4 3 2 3" xfId="8142" xr:uid="{00000000-0005-0000-0000-00001A720000}"/>
    <cellStyle name="표준 18 4 3 2 4" xfId="8143" xr:uid="{00000000-0005-0000-0000-00001B720000}"/>
    <cellStyle name="표준 18 4 3 2_뇌출혈특약(갱신형)" xfId="13794" xr:uid="{00000000-0005-0000-0000-00001C720000}"/>
    <cellStyle name="표준 18 4 3 3" xfId="8144" xr:uid="{00000000-0005-0000-0000-00001D720000}"/>
    <cellStyle name="표준 18 4 3 3 2" xfId="8145" xr:uid="{00000000-0005-0000-0000-00001E720000}"/>
    <cellStyle name="표준 18 4 3 3 2 2" xfId="8146" xr:uid="{00000000-0005-0000-0000-00001F720000}"/>
    <cellStyle name="표준 18 4 3 3 2 3" xfId="8147" xr:uid="{00000000-0005-0000-0000-000020720000}"/>
    <cellStyle name="표준 18 4 3 3 2_뇌출혈특약(갱신형)" xfId="13795" xr:uid="{00000000-0005-0000-0000-000021720000}"/>
    <cellStyle name="표준 18 4 3 3 3" xfId="8148" xr:uid="{00000000-0005-0000-0000-000022720000}"/>
    <cellStyle name="표준 18 4 3 3 4" xfId="8149" xr:uid="{00000000-0005-0000-0000-000023720000}"/>
    <cellStyle name="표준 18 4 3 3_뇌출혈특약(갱신형)" xfId="13796" xr:uid="{00000000-0005-0000-0000-000024720000}"/>
    <cellStyle name="표준 18 4 3 4" xfId="8150" xr:uid="{00000000-0005-0000-0000-000025720000}"/>
    <cellStyle name="표준 18 4 3 4 2" xfId="8151" xr:uid="{00000000-0005-0000-0000-000026720000}"/>
    <cellStyle name="표준 18 4 3 4 3" xfId="8152" xr:uid="{00000000-0005-0000-0000-000027720000}"/>
    <cellStyle name="표준 18 4 3 4_뇌출혈특약(갱신형)" xfId="13797" xr:uid="{00000000-0005-0000-0000-000028720000}"/>
    <cellStyle name="표준 18 4 3 5" xfId="8153" xr:uid="{00000000-0005-0000-0000-000029720000}"/>
    <cellStyle name="표준 18 4 3 5 2" xfId="8154" xr:uid="{00000000-0005-0000-0000-00002A720000}"/>
    <cellStyle name="표준 18 4 3 5 3" xfId="8155" xr:uid="{00000000-0005-0000-0000-00002B720000}"/>
    <cellStyle name="표준 18 4 3 5_뇌출혈특약(갱신형)" xfId="13798" xr:uid="{00000000-0005-0000-0000-00002C720000}"/>
    <cellStyle name="표준 18 4 3 6" xfId="8156" xr:uid="{00000000-0005-0000-0000-00002D720000}"/>
    <cellStyle name="표준 18 4 3 7" xfId="8157" xr:uid="{00000000-0005-0000-0000-00002E720000}"/>
    <cellStyle name="표준 18 4 3_뇌출혈특약(갱신형)" xfId="13799" xr:uid="{00000000-0005-0000-0000-00002F720000}"/>
    <cellStyle name="표준 18 4 4" xfId="8158" xr:uid="{00000000-0005-0000-0000-000030720000}"/>
    <cellStyle name="표준 18 4 4 2" xfId="8159" xr:uid="{00000000-0005-0000-0000-000031720000}"/>
    <cellStyle name="표준 18 4 4 2 2" xfId="8160" xr:uid="{00000000-0005-0000-0000-000032720000}"/>
    <cellStyle name="표준 18 4 4 2 2 2" xfId="8161" xr:uid="{00000000-0005-0000-0000-000033720000}"/>
    <cellStyle name="표준 18 4 4 2 2 3" xfId="8162" xr:uid="{00000000-0005-0000-0000-000034720000}"/>
    <cellStyle name="표준 18 4 4 2 2_뇌출혈특약(갱신형)" xfId="13800" xr:uid="{00000000-0005-0000-0000-000035720000}"/>
    <cellStyle name="표준 18 4 4 2 3" xfId="8163" xr:uid="{00000000-0005-0000-0000-000036720000}"/>
    <cellStyle name="표준 18 4 4 2 4" xfId="8164" xr:uid="{00000000-0005-0000-0000-000037720000}"/>
    <cellStyle name="표준 18 4 4 2_뇌출혈특약(갱신형)" xfId="13801" xr:uid="{00000000-0005-0000-0000-000038720000}"/>
    <cellStyle name="표준 18 4 4 3" xfId="8165" xr:uid="{00000000-0005-0000-0000-000039720000}"/>
    <cellStyle name="표준 18 4 4 3 2" xfId="8166" xr:uid="{00000000-0005-0000-0000-00003A720000}"/>
    <cellStyle name="표준 18 4 4 3 2 2" xfId="8167" xr:uid="{00000000-0005-0000-0000-00003B720000}"/>
    <cellStyle name="표준 18 4 4 3 2 3" xfId="8168" xr:uid="{00000000-0005-0000-0000-00003C720000}"/>
    <cellStyle name="표준 18 4 4 3 2_뇌출혈특약(갱신형)" xfId="13802" xr:uid="{00000000-0005-0000-0000-00003D720000}"/>
    <cellStyle name="표준 18 4 4 3 3" xfId="8169" xr:uid="{00000000-0005-0000-0000-00003E720000}"/>
    <cellStyle name="표준 18 4 4 3 4" xfId="8170" xr:uid="{00000000-0005-0000-0000-00003F720000}"/>
    <cellStyle name="표준 18 4 4 3_뇌출혈특약(갱신형)" xfId="13803" xr:uid="{00000000-0005-0000-0000-000040720000}"/>
    <cellStyle name="표준 18 4 4 4" xfId="8171" xr:uid="{00000000-0005-0000-0000-000041720000}"/>
    <cellStyle name="표준 18 4 4 4 2" xfId="8172" xr:uid="{00000000-0005-0000-0000-000042720000}"/>
    <cellStyle name="표준 18 4 4 4 3" xfId="8173" xr:uid="{00000000-0005-0000-0000-000043720000}"/>
    <cellStyle name="표준 18 4 4 4_뇌출혈특약(갱신형)" xfId="13804" xr:uid="{00000000-0005-0000-0000-000044720000}"/>
    <cellStyle name="표준 18 4 4 5" xfId="8174" xr:uid="{00000000-0005-0000-0000-000045720000}"/>
    <cellStyle name="표준 18 4 4 5 2" xfId="8175" xr:uid="{00000000-0005-0000-0000-000046720000}"/>
    <cellStyle name="표준 18 4 4 5 3" xfId="8176" xr:uid="{00000000-0005-0000-0000-000047720000}"/>
    <cellStyle name="표준 18 4 4 5_뇌출혈특약(갱신형)" xfId="13805" xr:uid="{00000000-0005-0000-0000-000048720000}"/>
    <cellStyle name="표준 18 4 4 6" xfId="8177" xr:uid="{00000000-0005-0000-0000-000049720000}"/>
    <cellStyle name="표준 18 4 4 7" xfId="8178" xr:uid="{00000000-0005-0000-0000-00004A720000}"/>
    <cellStyle name="표준 18 4 4_뇌출혈특약(갱신형)" xfId="13806" xr:uid="{00000000-0005-0000-0000-00004B720000}"/>
    <cellStyle name="표준 18 4 5" xfId="8179" xr:uid="{00000000-0005-0000-0000-00004C720000}"/>
    <cellStyle name="표준 18 4 5 2" xfId="8180" xr:uid="{00000000-0005-0000-0000-00004D720000}"/>
    <cellStyle name="표준 18 4 5 2 2" xfId="8181" xr:uid="{00000000-0005-0000-0000-00004E720000}"/>
    <cellStyle name="표준 18 4 5 2 3" xfId="8182" xr:uid="{00000000-0005-0000-0000-00004F720000}"/>
    <cellStyle name="표준 18 4 5 2_뇌출혈특약(갱신형)" xfId="13807" xr:uid="{00000000-0005-0000-0000-000050720000}"/>
    <cellStyle name="표준 18 4 5 3" xfId="8183" xr:uid="{00000000-0005-0000-0000-000051720000}"/>
    <cellStyle name="표준 18 4 5 4" xfId="8184" xr:uid="{00000000-0005-0000-0000-000052720000}"/>
    <cellStyle name="표준 18 4 5_뇌출혈특약(갱신형)" xfId="13808" xr:uid="{00000000-0005-0000-0000-000053720000}"/>
    <cellStyle name="표준 18 4 6" xfId="8185" xr:uid="{00000000-0005-0000-0000-000054720000}"/>
    <cellStyle name="표준 18 4 6 2" xfId="8186" xr:uid="{00000000-0005-0000-0000-000055720000}"/>
    <cellStyle name="표준 18 4 6 2 2" xfId="8187" xr:uid="{00000000-0005-0000-0000-000056720000}"/>
    <cellStyle name="표준 18 4 6 2 3" xfId="8188" xr:uid="{00000000-0005-0000-0000-000057720000}"/>
    <cellStyle name="표준 18 4 6 2_뇌출혈특약(갱신형)" xfId="13809" xr:uid="{00000000-0005-0000-0000-000058720000}"/>
    <cellStyle name="표준 18 4 6 3" xfId="8189" xr:uid="{00000000-0005-0000-0000-000059720000}"/>
    <cellStyle name="표준 18 4 6 4" xfId="8190" xr:uid="{00000000-0005-0000-0000-00005A720000}"/>
    <cellStyle name="표준 18 4 6_뇌출혈특약(갱신형)" xfId="13810" xr:uid="{00000000-0005-0000-0000-00005B720000}"/>
    <cellStyle name="표준 18 4 7" xfId="8191" xr:uid="{00000000-0005-0000-0000-00005C720000}"/>
    <cellStyle name="표준 18 4 7 2" xfId="8192" xr:uid="{00000000-0005-0000-0000-00005D720000}"/>
    <cellStyle name="표준 18 4 7 3" xfId="8193" xr:uid="{00000000-0005-0000-0000-00005E720000}"/>
    <cellStyle name="표준 18 4 7_뇌출혈특약(갱신형)" xfId="13811" xr:uid="{00000000-0005-0000-0000-00005F720000}"/>
    <cellStyle name="표준 18 4 8" xfId="8194" xr:uid="{00000000-0005-0000-0000-000060720000}"/>
    <cellStyle name="표준 18 4 8 2" xfId="8195" xr:uid="{00000000-0005-0000-0000-000061720000}"/>
    <cellStyle name="표준 18 4 8 3" xfId="8196" xr:uid="{00000000-0005-0000-0000-000062720000}"/>
    <cellStyle name="표준 18 4 8_뇌출혈특약(갱신형)" xfId="13812" xr:uid="{00000000-0005-0000-0000-000063720000}"/>
    <cellStyle name="표준 18 4 9" xfId="8197" xr:uid="{00000000-0005-0000-0000-000064720000}"/>
    <cellStyle name="표준 18 4 9 2" xfId="8198" xr:uid="{00000000-0005-0000-0000-000065720000}"/>
    <cellStyle name="표준 18 4 9 3" xfId="8199" xr:uid="{00000000-0005-0000-0000-000066720000}"/>
    <cellStyle name="표준 18 4 9_뇌출혈특약(갱신형)" xfId="13813" xr:uid="{00000000-0005-0000-0000-000067720000}"/>
    <cellStyle name="표준 18 4_뇌출혈특약(갱신형)" xfId="13814" xr:uid="{00000000-0005-0000-0000-000068720000}"/>
    <cellStyle name="표준 18 5" xfId="8200" xr:uid="{00000000-0005-0000-0000-000069720000}"/>
    <cellStyle name="표준 18 5 2" xfId="8201" xr:uid="{00000000-0005-0000-0000-00006A720000}"/>
    <cellStyle name="표준 18 5 2 2" xfId="8202" xr:uid="{00000000-0005-0000-0000-00006B720000}"/>
    <cellStyle name="표준 18 5 2 2 2" xfId="8203" xr:uid="{00000000-0005-0000-0000-00006C720000}"/>
    <cellStyle name="표준 18 5 2 2 2 2" xfId="8204" xr:uid="{00000000-0005-0000-0000-00006D720000}"/>
    <cellStyle name="표준 18 5 2 2 2 3" xfId="8205" xr:uid="{00000000-0005-0000-0000-00006E720000}"/>
    <cellStyle name="표준 18 5 2 2 2_뇌출혈특약(갱신형)" xfId="13815" xr:uid="{00000000-0005-0000-0000-00006F720000}"/>
    <cellStyle name="표준 18 5 2 2 3" xfId="8206" xr:uid="{00000000-0005-0000-0000-000070720000}"/>
    <cellStyle name="표준 18 5 2 2 4" xfId="8207" xr:uid="{00000000-0005-0000-0000-000071720000}"/>
    <cellStyle name="표준 18 5 2 2_뇌출혈특약(갱신형)" xfId="13816" xr:uid="{00000000-0005-0000-0000-000072720000}"/>
    <cellStyle name="표준 18 5 2 3" xfId="8208" xr:uid="{00000000-0005-0000-0000-000073720000}"/>
    <cellStyle name="표준 18 5 2 3 2" xfId="8209" xr:uid="{00000000-0005-0000-0000-000074720000}"/>
    <cellStyle name="표준 18 5 2 3 2 2" xfId="8210" xr:uid="{00000000-0005-0000-0000-000075720000}"/>
    <cellStyle name="표준 18 5 2 3 2 3" xfId="8211" xr:uid="{00000000-0005-0000-0000-000076720000}"/>
    <cellStyle name="표준 18 5 2 3 2_뇌출혈특약(갱신형)" xfId="13817" xr:uid="{00000000-0005-0000-0000-000077720000}"/>
    <cellStyle name="표준 18 5 2 3 3" xfId="8212" xr:uid="{00000000-0005-0000-0000-000078720000}"/>
    <cellStyle name="표준 18 5 2 3 4" xfId="8213" xr:uid="{00000000-0005-0000-0000-000079720000}"/>
    <cellStyle name="표준 18 5 2 3_뇌출혈특약(갱신형)" xfId="13818" xr:uid="{00000000-0005-0000-0000-00007A720000}"/>
    <cellStyle name="표준 18 5 2 4" xfId="8214" xr:uid="{00000000-0005-0000-0000-00007B720000}"/>
    <cellStyle name="표준 18 5 2 4 2" xfId="8215" xr:uid="{00000000-0005-0000-0000-00007C720000}"/>
    <cellStyle name="표준 18 5 2 4 3" xfId="8216" xr:uid="{00000000-0005-0000-0000-00007D720000}"/>
    <cellStyle name="표준 18 5 2 4_뇌출혈특약(갱신형)" xfId="13819" xr:uid="{00000000-0005-0000-0000-00007E720000}"/>
    <cellStyle name="표준 18 5 2 5" xfId="8217" xr:uid="{00000000-0005-0000-0000-00007F720000}"/>
    <cellStyle name="표준 18 5 2 5 2" xfId="8218" xr:uid="{00000000-0005-0000-0000-000080720000}"/>
    <cellStyle name="표준 18 5 2 5 3" xfId="8219" xr:uid="{00000000-0005-0000-0000-000081720000}"/>
    <cellStyle name="표준 18 5 2 5_뇌출혈특약(갱신형)" xfId="13820" xr:uid="{00000000-0005-0000-0000-000082720000}"/>
    <cellStyle name="표준 18 5 2 6" xfId="8220" xr:uid="{00000000-0005-0000-0000-000083720000}"/>
    <cellStyle name="표준 18 5 2 7" xfId="8221" xr:uid="{00000000-0005-0000-0000-000084720000}"/>
    <cellStyle name="표준 18 5 2_뇌출혈특약(갱신형)" xfId="13821" xr:uid="{00000000-0005-0000-0000-000085720000}"/>
    <cellStyle name="표준 18 5 3" xfId="8222" xr:uid="{00000000-0005-0000-0000-000086720000}"/>
    <cellStyle name="표준 18 5 3 2" xfId="8223" xr:uid="{00000000-0005-0000-0000-000087720000}"/>
    <cellStyle name="표준 18 5 3 2 2" xfId="8224" xr:uid="{00000000-0005-0000-0000-000088720000}"/>
    <cellStyle name="표준 18 5 3 2 3" xfId="8225" xr:uid="{00000000-0005-0000-0000-000089720000}"/>
    <cellStyle name="표준 18 5 3 2_뇌출혈특약(갱신형)" xfId="13822" xr:uid="{00000000-0005-0000-0000-00008A720000}"/>
    <cellStyle name="표준 18 5 3 3" xfId="8226" xr:uid="{00000000-0005-0000-0000-00008B720000}"/>
    <cellStyle name="표준 18 5 3 4" xfId="8227" xr:uid="{00000000-0005-0000-0000-00008C720000}"/>
    <cellStyle name="표준 18 5 3_뇌출혈특약(갱신형)" xfId="13823" xr:uid="{00000000-0005-0000-0000-00008D720000}"/>
    <cellStyle name="표준 18 5 4" xfId="8228" xr:uid="{00000000-0005-0000-0000-00008E720000}"/>
    <cellStyle name="표준 18 5 4 2" xfId="8229" xr:uid="{00000000-0005-0000-0000-00008F720000}"/>
    <cellStyle name="표준 18 5 4 2 2" xfId="8230" xr:uid="{00000000-0005-0000-0000-000090720000}"/>
    <cellStyle name="표준 18 5 4 2 3" xfId="8231" xr:uid="{00000000-0005-0000-0000-000091720000}"/>
    <cellStyle name="표준 18 5 4 2_뇌출혈특약(갱신형)" xfId="13824" xr:uid="{00000000-0005-0000-0000-000092720000}"/>
    <cellStyle name="표준 18 5 4 3" xfId="8232" xr:uid="{00000000-0005-0000-0000-000093720000}"/>
    <cellStyle name="표준 18 5 4 4" xfId="8233" xr:uid="{00000000-0005-0000-0000-000094720000}"/>
    <cellStyle name="표준 18 5 4_뇌출혈특약(갱신형)" xfId="13825" xr:uid="{00000000-0005-0000-0000-000095720000}"/>
    <cellStyle name="표준 18 5 5" xfId="8234" xr:uid="{00000000-0005-0000-0000-000096720000}"/>
    <cellStyle name="표준 18 5 5 2" xfId="8235" xr:uid="{00000000-0005-0000-0000-000097720000}"/>
    <cellStyle name="표준 18 5 5 3" xfId="8236" xr:uid="{00000000-0005-0000-0000-000098720000}"/>
    <cellStyle name="표준 18 5 5_뇌출혈특약(갱신형)" xfId="13826" xr:uid="{00000000-0005-0000-0000-000099720000}"/>
    <cellStyle name="표준 18 5 6" xfId="8237" xr:uid="{00000000-0005-0000-0000-00009A720000}"/>
    <cellStyle name="표준 18 5 6 2" xfId="8238" xr:uid="{00000000-0005-0000-0000-00009B720000}"/>
    <cellStyle name="표준 18 5 6 3" xfId="8239" xr:uid="{00000000-0005-0000-0000-00009C720000}"/>
    <cellStyle name="표준 18 5 6_뇌출혈특약(갱신형)" xfId="13827" xr:uid="{00000000-0005-0000-0000-00009D720000}"/>
    <cellStyle name="표준 18 5 7" xfId="8240" xr:uid="{00000000-0005-0000-0000-00009E720000}"/>
    <cellStyle name="표준 18 5 8" xfId="8241" xr:uid="{00000000-0005-0000-0000-00009F720000}"/>
    <cellStyle name="표준 18 5_뇌출혈특약(갱신형)" xfId="13828" xr:uid="{00000000-0005-0000-0000-0000A0720000}"/>
    <cellStyle name="표준 18 6" xfId="8242" xr:uid="{00000000-0005-0000-0000-0000A1720000}"/>
    <cellStyle name="표준 18 6 2" xfId="8243" xr:uid="{00000000-0005-0000-0000-0000A2720000}"/>
    <cellStyle name="표준 18 6 2 2" xfId="8244" xr:uid="{00000000-0005-0000-0000-0000A3720000}"/>
    <cellStyle name="표준 18 6 2 2 2" xfId="8245" xr:uid="{00000000-0005-0000-0000-0000A4720000}"/>
    <cellStyle name="표준 18 6 2 2 3" xfId="8246" xr:uid="{00000000-0005-0000-0000-0000A5720000}"/>
    <cellStyle name="표준 18 6 2 2_뇌출혈특약(갱신형)" xfId="13829" xr:uid="{00000000-0005-0000-0000-0000A6720000}"/>
    <cellStyle name="표준 18 6 2 3" xfId="8247" xr:uid="{00000000-0005-0000-0000-0000A7720000}"/>
    <cellStyle name="표준 18 6 2 4" xfId="8248" xr:uid="{00000000-0005-0000-0000-0000A8720000}"/>
    <cellStyle name="표준 18 6 2_뇌출혈특약(갱신형)" xfId="13830" xr:uid="{00000000-0005-0000-0000-0000A9720000}"/>
    <cellStyle name="표준 18 6 3" xfId="8249" xr:uid="{00000000-0005-0000-0000-0000AA720000}"/>
    <cellStyle name="표준 18 6 3 2" xfId="8250" xr:uid="{00000000-0005-0000-0000-0000AB720000}"/>
    <cellStyle name="표준 18 6 3 2 2" xfId="8251" xr:uid="{00000000-0005-0000-0000-0000AC720000}"/>
    <cellStyle name="표준 18 6 3 2 3" xfId="8252" xr:uid="{00000000-0005-0000-0000-0000AD720000}"/>
    <cellStyle name="표준 18 6 3 2_뇌출혈특약(갱신형)" xfId="13831" xr:uid="{00000000-0005-0000-0000-0000AE720000}"/>
    <cellStyle name="표준 18 6 3 3" xfId="8253" xr:uid="{00000000-0005-0000-0000-0000AF720000}"/>
    <cellStyle name="표준 18 6 3 4" xfId="8254" xr:uid="{00000000-0005-0000-0000-0000B0720000}"/>
    <cellStyle name="표준 18 6 3_뇌출혈특약(갱신형)" xfId="13832" xr:uid="{00000000-0005-0000-0000-0000B1720000}"/>
    <cellStyle name="표준 18 6 4" xfId="8255" xr:uid="{00000000-0005-0000-0000-0000B2720000}"/>
    <cellStyle name="표준 18 6 4 2" xfId="8256" xr:uid="{00000000-0005-0000-0000-0000B3720000}"/>
    <cellStyle name="표준 18 6 4 3" xfId="8257" xr:uid="{00000000-0005-0000-0000-0000B4720000}"/>
    <cellStyle name="표준 18 6 4_뇌출혈특약(갱신형)" xfId="13833" xr:uid="{00000000-0005-0000-0000-0000B5720000}"/>
    <cellStyle name="표준 18 6 5" xfId="8258" xr:uid="{00000000-0005-0000-0000-0000B6720000}"/>
    <cellStyle name="표준 18 6 5 2" xfId="8259" xr:uid="{00000000-0005-0000-0000-0000B7720000}"/>
    <cellStyle name="표준 18 6 5 3" xfId="8260" xr:uid="{00000000-0005-0000-0000-0000B8720000}"/>
    <cellStyle name="표준 18 6 5_뇌출혈특약(갱신형)" xfId="13834" xr:uid="{00000000-0005-0000-0000-0000B9720000}"/>
    <cellStyle name="표준 18 6 6" xfId="8261" xr:uid="{00000000-0005-0000-0000-0000BA720000}"/>
    <cellStyle name="표준 18 6 7" xfId="8262" xr:uid="{00000000-0005-0000-0000-0000BB720000}"/>
    <cellStyle name="표준 18 6_뇌출혈특약(갱신형)" xfId="13835" xr:uid="{00000000-0005-0000-0000-0000BC720000}"/>
    <cellStyle name="표준 18 7" xfId="8263" xr:uid="{00000000-0005-0000-0000-0000BD720000}"/>
    <cellStyle name="표준 18 7 2" xfId="8264" xr:uid="{00000000-0005-0000-0000-0000BE720000}"/>
    <cellStyle name="표준 18 7 2 2" xfId="8265" xr:uid="{00000000-0005-0000-0000-0000BF720000}"/>
    <cellStyle name="표준 18 7 2 2 2" xfId="8266" xr:uid="{00000000-0005-0000-0000-0000C0720000}"/>
    <cellStyle name="표준 18 7 2 2 3" xfId="8267" xr:uid="{00000000-0005-0000-0000-0000C1720000}"/>
    <cellStyle name="표준 18 7 2 2_뇌출혈특약(갱신형)" xfId="13836" xr:uid="{00000000-0005-0000-0000-0000C2720000}"/>
    <cellStyle name="표준 18 7 2 3" xfId="8268" xr:uid="{00000000-0005-0000-0000-0000C3720000}"/>
    <cellStyle name="표준 18 7 2 4" xfId="8269" xr:uid="{00000000-0005-0000-0000-0000C4720000}"/>
    <cellStyle name="표준 18 7 2_뇌출혈특약(갱신형)" xfId="13837" xr:uid="{00000000-0005-0000-0000-0000C5720000}"/>
    <cellStyle name="표준 18 7 3" xfId="8270" xr:uid="{00000000-0005-0000-0000-0000C6720000}"/>
    <cellStyle name="표준 18 7 3 2" xfId="8271" xr:uid="{00000000-0005-0000-0000-0000C7720000}"/>
    <cellStyle name="표준 18 7 3 2 2" xfId="8272" xr:uid="{00000000-0005-0000-0000-0000C8720000}"/>
    <cellStyle name="표준 18 7 3 2 3" xfId="8273" xr:uid="{00000000-0005-0000-0000-0000C9720000}"/>
    <cellStyle name="표준 18 7 3 2_뇌출혈특약(갱신형)" xfId="13838" xr:uid="{00000000-0005-0000-0000-0000CA720000}"/>
    <cellStyle name="표준 18 7 3 3" xfId="8274" xr:uid="{00000000-0005-0000-0000-0000CB720000}"/>
    <cellStyle name="표준 18 7 3 4" xfId="8275" xr:uid="{00000000-0005-0000-0000-0000CC720000}"/>
    <cellStyle name="표준 18 7 3_뇌출혈특약(갱신형)" xfId="13839" xr:uid="{00000000-0005-0000-0000-0000CD720000}"/>
    <cellStyle name="표준 18 7 4" xfId="8276" xr:uid="{00000000-0005-0000-0000-0000CE720000}"/>
    <cellStyle name="표준 18 7 4 2" xfId="8277" xr:uid="{00000000-0005-0000-0000-0000CF720000}"/>
    <cellStyle name="표준 18 7 4 3" xfId="8278" xr:uid="{00000000-0005-0000-0000-0000D0720000}"/>
    <cellStyle name="표준 18 7 4_뇌출혈특약(갱신형)" xfId="13840" xr:uid="{00000000-0005-0000-0000-0000D1720000}"/>
    <cellStyle name="표준 18 7 5" xfId="8279" xr:uid="{00000000-0005-0000-0000-0000D2720000}"/>
    <cellStyle name="표준 18 7 5 2" xfId="8280" xr:uid="{00000000-0005-0000-0000-0000D3720000}"/>
    <cellStyle name="표준 18 7 5 3" xfId="8281" xr:uid="{00000000-0005-0000-0000-0000D4720000}"/>
    <cellStyle name="표준 18 7 5_뇌출혈특약(갱신형)" xfId="13841" xr:uid="{00000000-0005-0000-0000-0000D5720000}"/>
    <cellStyle name="표준 18 7 6" xfId="8282" xr:uid="{00000000-0005-0000-0000-0000D6720000}"/>
    <cellStyle name="표준 18 7 7" xfId="8283" xr:uid="{00000000-0005-0000-0000-0000D7720000}"/>
    <cellStyle name="표준 18 7_뇌출혈특약(갱신형)" xfId="13842" xr:uid="{00000000-0005-0000-0000-0000D8720000}"/>
    <cellStyle name="표준 18 8" xfId="8284" xr:uid="{00000000-0005-0000-0000-0000D9720000}"/>
    <cellStyle name="표준 18 8 2" xfId="8285" xr:uid="{00000000-0005-0000-0000-0000DA720000}"/>
    <cellStyle name="표준 18 8 2 2" xfId="8286" xr:uid="{00000000-0005-0000-0000-0000DB720000}"/>
    <cellStyle name="표준 18 8 2 3" xfId="8287" xr:uid="{00000000-0005-0000-0000-0000DC720000}"/>
    <cellStyle name="표준 18 8 2_뇌출혈특약(갱신형)" xfId="13843" xr:uid="{00000000-0005-0000-0000-0000DD720000}"/>
    <cellStyle name="표준 18 8 3" xfId="8288" xr:uid="{00000000-0005-0000-0000-0000DE720000}"/>
    <cellStyle name="표준 18 8 4" xfId="8289" xr:uid="{00000000-0005-0000-0000-0000DF720000}"/>
    <cellStyle name="표준 18 8_뇌출혈특약(갱신형)" xfId="13844" xr:uid="{00000000-0005-0000-0000-0000E0720000}"/>
    <cellStyle name="표준 18 9" xfId="8290" xr:uid="{00000000-0005-0000-0000-0000E1720000}"/>
    <cellStyle name="표준 18 9 2" xfId="8291" xr:uid="{00000000-0005-0000-0000-0000E2720000}"/>
    <cellStyle name="표준 18 9 2 2" xfId="8292" xr:uid="{00000000-0005-0000-0000-0000E3720000}"/>
    <cellStyle name="표준 18 9 2 3" xfId="8293" xr:uid="{00000000-0005-0000-0000-0000E4720000}"/>
    <cellStyle name="표준 18 9 2_뇌출혈특약(갱신형)" xfId="13845" xr:uid="{00000000-0005-0000-0000-0000E5720000}"/>
    <cellStyle name="표준 18 9 3" xfId="8294" xr:uid="{00000000-0005-0000-0000-0000E6720000}"/>
    <cellStyle name="표준 18 9 4" xfId="8295" xr:uid="{00000000-0005-0000-0000-0000E7720000}"/>
    <cellStyle name="표준 18 9_뇌출혈특약(갱신형)" xfId="13846" xr:uid="{00000000-0005-0000-0000-0000E8720000}"/>
    <cellStyle name="표준 18_뇌출혈특약(갱신형)" xfId="13847" xr:uid="{00000000-0005-0000-0000-0000E9720000}"/>
    <cellStyle name="표준 19" xfId="78" xr:uid="{00000000-0005-0000-0000-0000EA720000}"/>
    <cellStyle name="표준 19 10" xfId="8296" xr:uid="{00000000-0005-0000-0000-0000EB720000}"/>
    <cellStyle name="표준 19 10 2" xfId="8297" xr:uid="{00000000-0005-0000-0000-0000EC720000}"/>
    <cellStyle name="표준 19 10 3" xfId="8298" xr:uid="{00000000-0005-0000-0000-0000ED720000}"/>
    <cellStyle name="표준 19 10_뇌출혈특약(갱신형)" xfId="13848" xr:uid="{00000000-0005-0000-0000-0000EE720000}"/>
    <cellStyle name="표준 19 11" xfId="8299" xr:uid="{00000000-0005-0000-0000-0000EF720000}"/>
    <cellStyle name="표준 19 11 2" xfId="8300" xr:uid="{00000000-0005-0000-0000-0000F0720000}"/>
    <cellStyle name="표준 19 11_뇌출혈특약(갱신형)" xfId="13849" xr:uid="{00000000-0005-0000-0000-0000F1720000}"/>
    <cellStyle name="표준 19 12" xfId="8301" xr:uid="{00000000-0005-0000-0000-0000F2720000}"/>
    <cellStyle name="표준 19 12 2" xfId="8302" xr:uid="{00000000-0005-0000-0000-0000F3720000}"/>
    <cellStyle name="표준 19 12_뇌출혈특약(갱신형)" xfId="13850" xr:uid="{00000000-0005-0000-0000-0000F4720000}"/>
    <cellStyle name="표준 19 13" xfId="8303" xr:uid="{00000000-0005-0000-0000-0000F5720000}"/>
    <cellStyle name="표준 19 13 2" xfId="8304" xr:uid="{00000000-0005-0000-0000-0000F6720000}"/>
    <cellStyle name="표준 19 13_뇌출혈특약(갱신형)" xfId="13851" xr:uid="{00000000-0005-0000-0000-0000F7720000}"/>
    <cellStyle name="표준 19 14" xfId="8305" xr:uid="{00000000-0005-0000-0000-0000F8720000}"/>
    <cellStyle name="표준 19 14 2" xfId="8306" xr:uid="{00000000-0005-0000-0000-0000F9720000}"/>
    <cellStyle name="표준 19 14_뇌출혈특약(갱신형)" xfId="13852" xr:uid="{00000000-0005-0000-0000-0000FA720000}"/>
    <cellStyle name="표준 19 15" xfId="8307" xr:uid="{00000000-0005-0000-0000-0000FB720000}"/>
    <cellStyle name="표준 19 16" xfId="8308" xr:uid="{00000000-0005-0000-0000-0000FC720000}"/>
    <cellStyle name="표준 19 2" xfId="8309" xr:uid="{00000000-0005-0000-0000-0000FD720000}"/>
    <cellStyle name="표준 19 2 2" xfId="8310" xr:uid="{00000000-0005-0000-0000-0000FE720000}"/>
    <cellStyle name="표준 19 2 2 2" xfId="8311" xr:uid="{00000000-0005-0000-0000-0000FF720000}"/>
    <cellStyle name="표준 19 2 2 2 2" xfId="8312" xr:uid="{00000000-0005-0000-0000-000000730000}"/>
    <cellStyle name="표준 19 2 2 2 2 2" xfId="8313" xr:uid="{00000000-0005-0000-0000-000001730000}"/>
    <cellStyle name="표준 19 2 2 2 2 3" xfId="8314" xr:uid="{00000000-0005-0000-0000-000002730000}"/>
    <cellStyle name="표준 19 2 2 2 2_뇌출혈특약(갱신형)" xfId="13853" xr:uid="{00000000-0005-0000-0000-000003730000}"/>
    <cellStyle name="표준 19 2 2 2 3" xfId="8315" xr:uid="{00000000-0005-0000-0000-000004730000}"/>
    <cellStyle name="표준 19 2 2 2 4" xfId="8316" xr:uid="{00000000-0005-0000-0000-000005730000}"/>
    <cellStyle name="표준 19 2 2 2_뇌출혈특약(갱신형)" xfId="13854" xr:uid="{00000000-0005-0000-0000-000006730000}"/>
    <cellStyle name="표준 19 2 2 3" xfId="8317" xr:uid="{00000000-0005-0000-0000-000007730000}"/>
    <cellStyle name="표준 19 2 2 3 2" xfId="8318" xr:uid="{00000000-0005-0000-0000-000008730000}"/>
    <cellStyle name="표준 19 2 2 3 2 2" xfId="8319" xr:uid="{00000000-0005-0000-0000-000009730000}"/>
    <cellStyle name="표준 19 2 2 3 2 3" xfId="8320" xr:uid="{00000000-0005-0000-0000-00000A730000}"/>
    <cellStyle name="표준 19 2 2 3 2_뇌출혈특약(갱신형)" xfId="13855" xr:uid="{00000000-0005-0000-0000-00000B730000}"/>
    <cellStyle name="표준 19 2 2 3 3" xfId="8321" xr:uid="{00000000-0005-0000-0000-00000C730000}"/>
    <cellStyle name="표준 19 2 2 3 4" xfId="8322" xr:uid="{00000000-0005-0000-0000-00000D730000}"/>
    <cellStyle name="표준 19 2 2 3_뇌출혈특약(갱신형)" xfId="13856" xr:uid="{00000000-0005-0000-0000-00000E730000}"/>
    <cellStyle name="표준 19 2 2 4" xfId="8323" xr:uid="{00000000-0005-0000-0000-00000F730000}"/>
    <cellStyle name="표준 19 2 2 4 2" xfId="8324" xr:uid="{00000000-0005-0000-0000-000010730000}"/>
    <cellStyle name="표준 19 2 2 4 3" xfId="8325" xr:uid="{00000000-0005-0000-0000-000011730000}"/>
    <cellStyle name="표준 19 2 2 4_뇌출혈특약(갱신형)" xfId="13857" xr:uid="{00000000-0005-0000-0000-000012730000}"/>
    <cellStyle name="표준 19 2 2 5" xfId="8326" xr:uid="{00000000-0005-0000-0000-000013730000}"/>
    <cellStyle name="표준 19 2 2 5 2" xfId="8327" xr:uid="{00000000-0005-0000-0000-000014730000}"/>
    <cellStyle name="표준 19 2 2 5 3" xfId="8328" xr:uid="{00000000-0005-0000-0000-000015730000}"/>
    <cellStyle name="표준 19 2 2 5_뇌출혈특약(갱신형)" xfId="13858" xr:uid="{00000000-0005-0000-0000-000016730000}"/>
    <cellStyle name="표준 19 2 2 6" xfId="8329" xr:uid="{00000000-0005-0000-0000-000017730000}"/>
    <cellStyle name="표준 19 2 2 7" xfId="8330" xr:uid="{00000000-0005-0000-0000-000018730000}"/>
    <cellStyle name="표준 19 2 2_뇌출혈특약(갱신형)" xfId="13859" xr:uid="{00000000-0005-0000-0000-000019730000}"/>
    <cellStyle name="표준 19 2 3" xfId="8331" xr:uid="{00000000-0005-0000-0000-00001A730000}"/>
    <cellStyle name="표준 19 2 3 2" xfId="8332" xr:uid="{00000000-0005-0000-0000-00001B730000}"/>
    <cellStyle name="표준 19 2 3 2 2" xfId="8333" xr:uid="{00000000-0005-0000-0000-00001C730000}"/>
    <cellStyle name="표준 19 2 3 2 3" xfId="8334" xr:uid="{00000000-0005-0000-0000-00001D730000}"/>
    <cellStyle name="표준 19 2 3 2_뇌출혈특약(갱신형)" xfId="13860" xr:uid="{00000000-0005-0000-0000-00001E730000}"/>
    <cellStyle name="표준 19 2 3 3" xfId="8335" xr:uid="{00000000-0005-0000-0000-00001F730000}"/>
    <cellStyle name="표준 19 2 3 4" xfId="8336" xr:uid="{00000000-0005-0000-0000-000020730000}"/>
    <cellStyle name="표준 19 2 3_뇌출혈특약(갱신형)" xfId="13861" xr:uid="{00000000-0005-0000-0000-000021730000}"/>
    <cellStyle name="표준 19 2 4" xfId="8337" xr:uid="{00000000-0005-0000-0000-000022730000}"/>
    <cellStyle name="표준 19 2 4 2" xfId="8338" xr:uid="{00000000-0005-0000-0000-000023730000}"/>
    <cellStyle name="표준 19 2 4 2 2" xfId="8339" xr:uid="{00000000-0005-0000-0000-000024730000}"/>
    <cellStyle name="표준 19 2 4 2 3" xfId="8340" xr:uid="{00000000-0005-0000-0000-000025730000}"/>
    <cellStyle name="표준 19 2 4 2_뇌출혈특약(갱신형)" xfId="13862" xr:uid="{00000000-0005-0000-0000-000026730000}"/>
    <cellStyle name="표준 19 2 4 3" xfId="8341" xr:uid="{00000000-0005-0000-0000-000027730000}"/>
    <cellStyle name="표준 19 2 4 4" xfId="8342" xr:uid="{00000000-0005-0000-0000-000028730000}"/>
    <cellStyle name="표준 19 2 4_뇌출혈특약(갱신형)" xfId="13863" xr:uid="{00000000-0005-0000-0000-000029730000}"/>
    <cellStyle name="표준 19 2 5" xfId="8343" xr:uid="{00000000-0005-0000-0000-00002A730000}"/>
    <cellStyle name="표준 19 2 5 2" xfId="8344" xr:uid="{00000000-0005-0000-0000-00002B730000}"/>
    <cellStyle name="표준 19 2 5 3" xfId="8345" xr:uid="{00000000-0005-0000-0000-00002C730000}"/>
    <cellStyle name="표준 19 2 5_뇌출혈특약(갱신형)" xfId="13864" xr:uid="{00000000-0005-0000-0000-00002D730000}"/>
    <cellStyle name="표준 19 2 6" xfId="8346" xr:uid="{00000000-0005-0000-0000-00002E730000}"/>
    <cellStyle name="표준 19 2 6 2" xfId="8347" xr:uid="{00000000-0005-0000-0000-00002F730000}"/>
    <cellStyle name="표준 19 2 6 3" xfId="8348" xr:uid="{00000000-0005-0000-0000-000030730000}"/>
    <cellStyle name="표준 19 2 6_뇌출혈특약(갱신형)" xfId="13865" xr:uid="{00000000-0005-0000-0000-000031730000}"/>
    <cellStyle name="표준 19 2 7" xfId="8349" xr:uid="{00000000-0005-0000-0000-000032730000}"/>
    <cellStyle name="표준 19 2 8" xfId="8350" xr:uid="{00000000-0005-0000-0000-000033730000}"/>
    <cellStyle name="표준 19 2_뇌출혈특약(갱신형)" xfId="13866" xr:uid="{00000000-0005-0000-0000-000034730000}"/>
    <cellStyle name="표준 19 3" xfId="8351" xr:uid="{00000000-0005-0000-0000-000035730000}"/>
    <cellStyle name="표준 19 3 2" xfId="8352" xr:uid="{00000000-0005-0000-0000-000036730000}"/>
    <cellStyle name="표준 19 3 2 2" xfId="8353" xr:uid="{00000000-0005-0000-0000-000037730000}"/>
    <cellStyle name="표준 19 3 2 2 2" xfId="8354" xr:uid="{00000000-0005-0000-0000-000038730000}"/>
    <cellStyle name="표준 19 3 2 2 3" xfId="8355" xr:uid="{00000000-0005-0000-0000-000039730000}"/>
    <cellStyle name="표준 19 3 2 2_뇌출혈특약(갱신형)" xfId="13867" xr:uid="{00000000-0005-0000-0000-00003A730000}"/>
    <cellStyle name="표준 19 3 2 3" xfId="8356" xr:uid="{00000000-0005-0000-0000-00003B730000}"/>
    <cellStyle name="표준 19 3 2 4" xfId="8357" xr:uid="{00000000-0005-0000-0000-00003C730000}"/>
    <cellStyle name="표준 19 3 2_뇌출혈특약(갱신형)" xfId="13868" xr:uid="{00000000-0005-0000-0000-00003D730000}"/>
    <cellStyle name="표준 19 3 3" xfId="8358" xr:uid="{00000000-0005-0000-0000-00003E730000}"/>
    <cellStyle name="표준 19 3 3 2" xfId="8359" xr:uid="{00000000-0005-0000-0000-00003F730000}"/>
    <cellStyle name="표준 19 3 3 2 2" xfId="8360" xr:uid="{00000000-0005-0000-0000-000040730000}"/>
    <cellStyle name="표준 19 3 3 2 3" xfId="8361" xr:uid="{00000000-0005-0000-0000-000041730000}"/>
    <cellStyle name="표준 19 3 3 2_뇌출혈특약(갱신형)" xfId="13869" xr:uid="{00000000-0005-0000-0000-000042730000}"/>
    <cellStyle name="표준 19 3 3 3" xfId="8362" xr:uid="{00000000-0005-0000-0000-000043730000}"/>
    <cellStyle name="표준 19 3 3 4" xfId="8363" xr:uid="{00000000-0005-0000-0000-000044730000}"/>
    <cellStyle name="표준 19 3 3_뇌출혈특약(갱신형)" xfId="13870" xr:uid="{00000000-0005-0000-0000-000045730000}"/>
    <cellStyle name="표준 19 3 4" xfId="8364" xr:uid="{00000000-0005-0000-0000-000046730000}"/>
    <cellStyle name="표준 19 3 4 2" xfId="8365" xr:uid="{00000000-0005-0000-0000-000047730000}"/>
    <cellStyle name="표준 19 3 4 3" xfId="8366" xr:uid="{00000000-0005-0000-0000-000048730000}"/>
    <cellStyle name="표준 19 3 4_뇌출혈특약(갱신형)" xfId="13871" xr:uid="{00000000-0005-0000-0000-000049730000}"/>
    <cellStyle name="표준 19 3 5" xfId="8367" xr:uid="{00000000-0005-0000-0000-00004A730000}"/>
    <cellStyle name="표준 19 3 5 2" xfId="8368" xr:uid="{00000000-0005-0000-0000-00004B730000}"/>
    <cellStyle name="표준 19 3 5 3" xfId="8369" xr:uid="{00000000-0005-0000-0000-00004C730000}"/>
    <cellStyle name="표준 19 3 5_뇌출혈특약(갱신형)" xfId="13872" xr:uid="{00000000-0005-0000-0000-00004D730000}"/>
    <cellStyle name="표준 19 3 6" xfId="8370" xr:uid="{00000000-0005-0000-0000-00004E730000}"/>
    <cellStyle name="표준 19 3 7" xfId="8371" xr:uid="{00000000-0005-0000-0000-00004F730000}"/>
    <cellStyle name="표준 19 3_뇌출혈특약(갱신형)" xfId="13873" xr:uid="{00000000-0005-0000-0000-000050730000}"/>
    <cellStyle name="표준 19 4" xfId="8372" xr:uid="{00000000-0005-0000-0000-000051730000}"/>
    <cellStyle name="표준 19 4 2" xfId="8373" xr:uid="{00000000-0005-0000-0000-000052730000}"/>
    <cellStyle name="표준 19 4 2 2" xfId="8374" xr:uid="{00000000-0005-0000-0000-000053730000}"/>
    <cellStyle name="표준 19 4 2 2 2" xfId="8375" xr:uid="{00000000-0005-0000-0000-000054730000}"/>
    <cellStyle name="표준 19 4 2 2 3" xfId="8376" xr:uid="{00000000-0005-0000-0000-000055730000}"/>
    <cellStyle name="표준 19 4 2 2_뇌출혈특약(갱신형)" xfId="13874" xr:uid="{00000000-0005-0000-0000-000056730000}"/>
    <cellStyle name="표준 19 4 2 3" xfId="8377" xr:uid="{00000000-0005-0000-0000-000057730000}"/>
    <cellStyle name="표준 19 4 2 4" xfId="8378" xr:uid="{00000000-0005-0000-0000-000058730000}"/>
    <cellStyle name="표준 19 4 2_뇌출혈특약(갱신형)" xfId="13875" xr:uid="{00000000-0005-0000-0000-000059730000}"/>
    <cellStyle name="표준 19 4 3" xfId="8379" xr:uid="{00000000-0005-0000-0000-00005A730000}"/>
    <cellStyle name="표준 19 4 3 2" xfId="8380" xr:uid="{00000000-0005-0000-0000-00005B730000}"/>
    <cellStyle name="표준 19 4 3 2 2" xfId="8381" xr:uid="{00000000-0005-0000-0000-00005C730000}"/>
    <cellStyle name="표준 19 4 3 2 3" xfId="8382" xr:uid="{00000000-0005-0000-0000-00005D730000}"/>
    <cellStyle name="표준 19 4 3 2_뇌출혈특약(갱신형)" xfId="13876" xr:uid="{00000000-0005-0000-0000-00005E730000}"/>
    <cellStyle name="표준 19 4 3 3" xfId="8383" xr:uid="{00000000-0005-0000-0000-00005F730000}"/>
    <cellStyle name="표준 19 4 3 4" xfId="8384" xr:uid="{00000000-0005-0000-0000-000060730000}"/>
    <cellStyle name="표준 19 4 3_뇌출혈특약(갱신형)" xfId="13877" xr:uid="{00000000-0005-0000-0000-000061730000}"/>
    <cellStyle name="표준 19 4 4" xfId="8385" xr:uid="{00000000-0005-0000-0000-000062730000}"/>
    <cellStyle name="표준 19 4 4 2" xfId="8386" xr:uid="{00000000-0005-0000-0000-000063730000}"/>
    <cellStyle name="표준 19 4 4 3" xfId="8387" xr:uid="{00000000-0005-0000-0000-000064730000}"/>
    <cellStyle name="표준 19 4 4_뇌출혈특약(갱신형)" xfId="13878" xr:uid="{00000000-0005-0000-0000-000065730000}"/>
    <cellStyle name="표준 19 4 5" xfId="8388" xr:uid="{00000000-0005-0000-0000-000066730000}"/>
    <cellStyle name="표준 19 4 5 2" xfId="8389" xr:uid="{00000000-0005-0000-0000-000067730000}"/>
    <cellStyle name="표준 19 4 5 3" xfId="8390" xr:uid="{00000000-0005-0000-0000-000068730000}"/>
    <cellStyle name="표준 19 4 5_뇌출혈특약(갱신형)" xfId="13879" xr:uid="{00000000-0005-0000-0000-000069730000}"/>
    <cellStyle name="표준 19 4 6" xfId="8391" xr:uid="{00000000-0005-0000-0000-00006A730000}"/>
    <cellStyle name="표준 19 4 7" xfId="8392" xr:uid="{00000000-0005-0000-0000-00006B730000}"/>
    <cellStyle name="표준 19 4_뇌출혈특약(갱신형)" xfId="13880" xr:uid="{00000000-0005-0000-0000-00006C730000}"/>
    <cellStyle name="표준 19 5" xfId="8393" xr:uid="{00000000-0005-0000-0000-00006D730000}"/>
    <cellStyle name="표준 19 5 2" xfId="8394" xr:uid="{00000000-0005-0000-0000-00006E730000}"/>
    <cellStyle name="표준 19 5 2 2" xfId="8395" xr:uid="{00000000-0005-0000-0000-00006F730000}"/>
    <cellStyle name="표준 19 5 2 3" xfId="8396" xr:uid="{00000000-0005-0000-0000-000070730000}"/>
    <cellStyle name="표준 19 5 2_뇌출혈특약(갱신형)" xfId="13881" xr:uid="{00000000-0005-0000-0000-000071730000}"/>
    <cellStyle name="표준 19 5 3" xfId="8397" xr:uid="{00000000-0005-0000-0000-000072730000}"/>
    <cellStyle name="표준 19 5 4" xfId="8398" xr:uid="{00000000-0005-0000-0000-000073730000}"/>
    <cellStyle name="표준 19 5_뇌출혈특약(갱신형)" xfId="13882" xr:uid="{00000000-0005-0000-0000-000074730000}"/>
    <cellStyle name="표준 19 6" xfId="8399" xr:uid="{00000000-0005-0000-0000-000075730000}"/>
    <cellStyle name="표준 19 6 2" xfId="8400" xr:uid="{00000000-0005-0000-0000-000076730000}"/>
    <cellStyle name="표준 19 6 2 2" xfId="8401" xr:uid="{00000000-0005-0000-0000-000077730000}"/>
    <cellStyle name="표준 19 6 2 3" xfId="8402" xr:uid="{00000000-0005-0000-0000-000078730000}"/>
    <cellStyle name="표준 19 6 2_뇌출혈특약(갱신형)" xfId="13883" xr:uid="{00000000-0005-0000-0000-000079730000}"/>
    <cellStyle name="표준 19 6 3" xfId="8403" xr:uid="{00000000-0005-0000-0000-00007A730000}"/>
    <cellStyle name="표준 19 6 4" xfId="8404" xr:uid="{00000000-0005-0000-0000-00007B730000}"/>
    <cellStyle name="표준 19 6_뇌출혈특약(갱신형)" xfId="13884" xr:uid="{00000000-0005-0000-0000-00007C730000}"/>
    <cellStyle name="표준 19 7" xfId="8405" xr:uid="{00000000-0005-0000-0000-00007D730000}"/>
    <cellStyle name="표준 19 7 2" xfId="8406" xr:uid="{00000000-0005-0000-0000-00007E730000}"/>
    <cellStyle name="표준 19 7 3" xfId="8407" xr:uid="{00000000-0005-0000-0000-00007F730000}"/>
    <cellStyle name="표준 19 7_뇌출혈특약(갱신형)" xfId="13885" xr:uid="{00000000-0005-0000-0000-000080730000}"/>
    <cellStyle name="표준 19 8" xfId="8408" xr:uid="{00000000-0005-0000-0000-000081730000}"/>
    <cellStyle name="표준 19 8 2" xfId="8409" xr:uid="{00000000-0005-0000-0000-000082730000}"/>
    <cellStyle name="표준 19 8 3" xfId="8410" xr:uid="{00000000-0005-0000-0000-000083730000}"/>
    <cellStyle name="표준 19 8_뇌출혈특약(갱신형)" xfId="13886" xr:uid="{00000000-0005-0000-0000-000084730000}"/>
    <cellStyle name="표준 19 9" xfId="8411" xr:uid="{00000000-0005-0000-0000-000085730000}"/>
    <cellStyle name="표준 19 9 2" xfId="8412" xr:uid="{00000000-0005-0000-0000-000086730000}"/>
    <cellStyle name="표준 19 9 3" xfId="8413" xr:uid="{00000000-0005-0000-0000-000087730000}"/>
    <cellStyle name="표준 19 9_뇌출혈특약(갱신형)" xfId="13887" xr:uid="{00000000-0005-0000-0000-000088730000}"/>
    <cellStyle name="표준 19_뇌출혈특약(갱신형)" xfId="13888" xr:uid="{00000000-0005-0000-0000-000089730000}"/>
    <cellStyle name="표준 2" xfId="6" xr:uid="{00000000-0005-0000-0000-00008A730000}"/>
    <cellStyle name="표준 2 10" xfId="8414" xr:uid="{00000000-0005-0000-0000-00008B730000}"/>
    <cellStyle name="표준 2 11" xfId="8415" xr:uid="{00000000-0005-0000-0000-00008C730000}"/>
    <cellStyle name="표준 2 12" xfId="17154" xr:uid="{00000000-0005-0000-0000-00008D730000}"/>
    <cellStyle name="표준 2 2" xfId="37" xr:uid="{00000000-0005-0000-0000-00008E730000}"/>
    <cellStyle name="표준 2 2 10" xfId="32370" xr:uid="{00000000-0005-0000-0000-00008F730000}"/>
    <cellStyle name="표준 2 2 2" xfId="79" xr:uid="{00000000-0005-0000-0000-000090730000}"/>
    <cellStyle name="표준 2 2 2 2" xfId="12225" xr:uid="{00000000-0005-0000-0000-000091730000}"/>
    <cellStyle name="표준 2 2 2 2 2" xfId="14863" xr:uid="{00000000-0005-0000-0000-000092730000}"/>
    <cellStyle name="표준 2 2 2 2 3" xfId="15489" xr:uid="{00000000-0005-0000-0000-000093730000}"/>
    <cellStyle name="표준 2 2 2 3" xfId="12226" xr:uid="{00000000-0005-0000-0000-000094730000}"/>
    <cellStyle name="표준 2 2 2 3 2" xfId="14864" xr:uid="{00000000-0005-0000-0000-000095730000}"/>
    <cellStyle name="표준 2 2 2 3 3" xfId="15490" xr:uid="{00000000-0005-0000-0000-000096730000}"/>
    <cellStyle name="표준 2 2 2 4" xfId="12227" xr:uid="{00000000-0005-0000-0000-000097730000}"/>
    <cellStyle name="표준 2 2 2 4 2" xfId="14865" xr:uid="{00000000-0005-0000-0000-000098730000}"/>
    <cellStyle name="표준 2 2 2 4 3" xfId="15491" xr:uid="{00000000-0005-0000-0000-000099730000}"/>
    <cellStyle name="표준 2 2 2 5" xfId="12228" xr:uid="{00000000-0005-0000-0000-00009A730000}"/>
    <cellStyle name="표준 2 2 2 5 2" xfId="14866" xr:uid="{00000000-0005-0000-0000-00009B730000}"/>
    <cellStyle name="표준 2 2 2 5 3" xfId="15492" xr:uid="{00000000-0005-0000-0000-00009C730000}"/>
    <cellStyle name="표준 2 2 2 6" xfId="12229" xr:uid="{00000000-0005-0000-0000-00009D730000}"/>
    <cellStyle name="표준 2 2 2 6 2" xfId="14867" xr:uid="{00000000-0005-0000-0000-00009E730000}"/>
    <cellStyle name="표준 2 2 2 6 3" xfId="15493" xr:uid="{00000000-0005-0000-0000-00009F730000}"/>
    <cellStyle name="표준 2 2 2 7" xfId="12230" xr:uid="{00000000-0005-0000-0000-0000A0730000}"/>
    <cellStyle name="표준 2 2 2 7 2" xfId="14868" xr:uid="{00000000-0005-0000-0000-0000A1730000}"/>
    <cellStyle name="표준 2 2 2 7 3" xfId="15494" xr:uid="{00000000-0005-0000-0000-0000A2730000}"/>
    <cellStyle name="표준 2 2 2 8" xfId="12231" xr:uid="{00000000-0005-0000-0000-0000A3730000}"/>
    <cellStyle name="표준 2 2 2 8 2" xfId="14869" xr:uid="{00000000-0005-0000-0000-0000A4730000}"/>
    <cellStyle name="표준 2 2 2 8 3" xfId="15495" xr:uid="{00000000-0005-0000-0000-0000A5730000}"/>
    <cellStyle name="표준 2 2 2_뇌출혈특약(갱신형)" xfId="13889" xr:uid="{00000000-0005-0000-0000-0000A6730000}"/>
    <cellStyle name="표준 2 2 3" xfId="8416" xr:uid="{00000000-0005-0000-0000-0000A7730000}"/>
    <cellStyle name="표준 2 2 3 2" xfId="12232" xr:uid="{00000000-0005-0000-0000-0000A8730000}"/>
    <cellStyle name="표준 2 2 3 3" xfId="18070" xr:uid="{00000000-0005-0000-0000-0000A9730000}"/>
    <cellStyle name="표준 2 2 4" xfId="8417" xr:uid="{00000000-0005-0000-0000-0000AA730000}"/>
    <cellStyle name="표준 2 2 4 2" xfId="12233" xr:uid="{00000000-0005-0000-0000-0000AB730000}"/>
    <cellStyle name="표준 2 2 5" xfId="12234" xr:uid="{00000000-0005-0000-0000-0000AC730000}"/>
    <cellStyle name="표준 2 2 5 2" xfId="14870" xr:uid="{00000000-0005-0000-0000-0000AD730000}"/>
    <cellStyle name="표준 2 2 5 3" xfId="15496" xr:uid="{00000000-0005-0000-0000-0000AE730000}"/>
    <cellStyle name="표준 2 2 6" xfId="12235" xr:uid="{00000000-0005-0000-0000-0000AF730000}"/>
    <cellStyle name="표준 2 2 6 2" xfId="14871" xr:uid="{00000000-0005-0000-0000-0000B0730000}"/>
    <cellStyle name="표준 2 2 6 3" xfId="15497" xr:uid="{00000000-0005-0000-0000-0000B1730000}"/>
    <cellStyle name="표준 2 2 7" xfId="12236" xr:uid="{00000000-0005-0000-0000-0000B2730000}"/>
    <cellStyle name="표준 2 2 7 2" xfId="14872" xr:uid="{00000000-0005-0000-0000-0000B3730000}"/>
    <cellStyle name="표준 2 2 7 3" xfId="15498" xr:uid="{00000000-0005-0000-0000-0000B4730000}"/>
    <cellStyle name="표준 2 2 8" xfId="12237" xr:uid="{00000000-0005-0000-0000-0000B5730000}"/>
    <cellStyle name="표준 2 2 8 2" xfId="14873" xr:uid="{00000000-0005-0000-0000-0000B6730000}"/>
    <cellStyle name="표준 2 2 8 3" xfId="15499" xr:uid="{00000000-0005-0000-0000-0000B7730000}"/>
    <cellStyle name="표준 2 2 9" xfId="17155" xr:uid="{00000000-0005-0000-0000-0000B8730000}"/>
    <cellStyle name="표준 2 2_뇌출혈특약(갱신형)" xfId="13890" xr:uid="{00000000-0005-0000-0000-0000B9730000}"/>
    <cellStyle name="표준 2 3" xfId="38" xr:uid="{00000000-0005-0000-0000-0000BA730000}"/>
    <cellStyle name="표준 2 3 10" xfId="8418" xr:uid="{00000000-0005-0000-0000-0000BB730000}"/>
    <cellStyle name="표준 2 3 10 2" xfId="8419" xr:uid="{00000000-0005-0000-0000-0000BC730000}"/>
    <cellStyle name="표준 2 3 10 3" xfId="8420" xr:uid="{00000000-0005-0000-0000-0000BD730000}"/>
    <cellStyle name="표준 2 3 10_뇌출혈특약(갱신형)" xfId="13891" xr:uid="{00000000-0005-0000-0000-0000BE730000}"/>
    <cellStyle name="표준 2 3 11" xfId="8421" xr:uid="{00000000-0005-0000-0000-0000BF730000}"/>
    <cellStyle name="표준 2 3 11 2" xfId="8422" xr:uid="{00000000-0005-0000-0000-0000C0730000}"/>
    <cellStyle name="표준 2 3 11_뇌출혈특약(갱신형)" xfId="13892" xr:uid="{00000000-0005-0000-0000-0000C1730000}"/>
    <cellStyle name="표준 2 3 12" xfId="8423" xr:uid="{00000000-0005-0000-0000-0000C2730000}"/>
    <cellStyle name="표준 2 3 12 2" xfId="8424" xr:uid="{00000000-0005-0000-0000-0000C3730000}"/>
    <cellStyle name="표준 2 3 12_뇌출혈특약(갱신형)" xfId="13893" xr:uid="{00000000-0005-0000-0000-0000C4730000}"/>
    <cellStyle name="표준 2 3 13" xfId="8425" xr:uid="{00000000-0005-0000-0000-0000C5730000}"/>
    <cellStyle name="표준 2 3 13 2" xfId="8426" xr:uid="{00000000-0005-0000-0000-0000C6730000}"/>
    <cellStyle name="표준 2 3 13_뇌출혈특약(갱신형)" xfId="13894" xr:uid="{00000000-0005-0000-0000-0000C7730000}"/>
    <cellStyle name="표준 2 3 14" xfId="8427" xr:uid="{00000000-0005-0000-0000-0000C8730000}"/>
    <cellStyle name="표준 2 3 14 2" xfId="8428" xr:uid="{00000000-0005-0000-0000-0000C9730000}"/>
    <cellStyle name="표준 2 3 14_뇌출혈특약(갱신형)" xfId="13895" xr:uid="{00000000-0005-0000-0000-0000CA730000}"/>
    <cellStyle name="표준 2 3 15" xfId="8429" xr:uid="{00000000-0005-0000-0000-0000CB730000}"/>
    <cellStyle name="표준 2 3 16" xfId="8430" xr:uid="{00000000-0005-0000-0000-0000CC730000}"/>
    <cellStyle name="표준 2 3 17" xfId="17156" xr:uid="{00000000-0005-0000-0000-0000CD730000}"/>
    <cellStyle name="표준 2 3 2" xfId="8431" xr:uid="{00000000-0005-0000-0000-0000CE730000}"/>
    <cellStyle name="표준 2 3 2 2" xfId="8432" xr:uid="{00000000-0005-0000-0000-0000CF730000}"/>
    <cellStyle name="표준 2 3 2 2 2" xfId="8433" xr:uid="{00000000-0005-0000-0000-0000D0730000}"/>
    <cellStyle name="표준 2 3 2 2 2 2" xfId="8434" xr:uid="{00000000-0005-0000-0000-0000D1730000}"/>
    <cellStyle name="표준 2 3 2 2 2 2 2" xfId="8435" xr:uid="{00000000-0005-0000-0000-0000D2730000}"/>
    <cellStyle name="표준 2 3 2 2 2 2 3" xfId="8436" xr:uid="{00000000-0005-0000-0000-0000D3730000}"/>
    <cellStyle name="표준 2 3 2 2 2 2_뇌출혈특약(갱신형)" xfId="13896" xr:uid="{00000000-0005-0000-0000-0000D4730000}"/>
    <cellStyle name="표준 2 3 2 2 2 3" xfId="8437" xr:uid="{00000000-0005-0000-0000-0000D5730000}"/>
    <cellStyle name="표준 2 3 2 2 2 4" xfId="8438" xr:uid="{00000000-0005-0000-0000-0000D6730000}"/>
    <cellStyle name="표준 2 3 2 2 2_뇌출혈특약(갱신형)" xfId="13897" xr:uid="{00000000-0005-0000-0000-0000D7730000}"/>
    <cellStyle name="표준 2 3 2 2 3" xfId="8439" xr:uid="{00000000-0005-0000-0000-0000D8730000}"/>
    <cellStyle name="표준 2 3 2 2 3 2" xfId="8440" xr:uid="{00000000-0005-0000-0000-0000D9730000}"/>
    <cellStyle name="표준 2 3 2 2 3 2 2" xfId="8441" xr:uid="{00000000-0005-0000-0000-0000DA730000}"/>
    <cellStyle name="표준 2 3 2 2 3 2 3" xfId="8442" xr:uid="{00000000-0005-0000-0000-0000DB730000}"/>
    <cellStyle name="표준 2 3 2 2 3 2_뇌출혈특약(갱신형)" xfId="13898" xr:uid="{00000000-0005-0000-0000-0000DC730000}"/>
    <cellStyle name="표준 2 3 2 2 3 3" xfId="8443" xr:uid="{00000000-0005-0000-0000-0000DD730000}"/>
    <cellStyle name="표준 2 3 2 2 3 4" xfId="8444" xr:uid="{00000000-0005-0000-0000-0000DE730000}"/>
    <cellStyle name="표준 2 3 2 2 3_뇌출혈특약(갱신형)" xfId="13899" xr:uid="{00000000-0005-0000-0000-0000DF730000}"/>
    <cellStyle name="표준 2 3 2 2 4" xfId="8445" xr:uid="{00000000-0005-0000-0000-0000E0730000}"/>
    <cellStyle name="표준 2 3 2 2 4 2" xfId="8446" xr:uid="{00000000-0005-0000-0000-0000E1730000}"/>
    <cellStyle name="표준 2 3 2 2 4 3" xfId="8447" xr:uid="{00000000-0005-0000-0000-0000E2730000}"/>
    <cellStyle name="표준 2 3 2 2 4_뇌출혈특약(갱신형)" xfId="13900" xr:uid="{00000000-0005-0000-0000-0000E3730000}"/>
    <cellStyle name="표준 2 3 2 2 5" xfId="8448" xr:uid="{00000000-0005-0000-0000-0000E4730000}"/>
    <cellStyle name="표준 2 3 2 2 5 2" xfId="8449" xr:uid="{00000000-0005-0000-0000-0000E5730000}"/>
    <cellStyle name="표준 2 3 2 2 5 3" xfId="8450" xr:uid="{00000000-0005-0000-0000-0000E6730000}"/>
    <cellStyle name="표준 2 3 2 2 5_뇌출혈특약(갱신형)" xfId="13901" xr:uid="{00000000-0005-0000-0000-0000E7730000}"/>
    <cellStyle name="표준 2 3 2 2 6" xfId="8451" xr:uid="{00000000-0005-0000-0000-0000E8730000}"/>
    <cellStyle name="표준 2 3 2 2 7" xfId="8452" xr:uid="{00000000-0005-0000-0000-0000E9730000}"/>
    <cellStyle name="표준 2 3 2 2_뇌출혈특약(갱신형)" xfId="13902" xr:uid="{00000000-0005-0000-0000-0000EA730000}"/>
    <cellStyle name="표준 2 3 2 3" xfId="8453" xr:uid="{00000000-0005-0000-0000-0000EB730000}"/>
    <cellStyle name="표준 2 3 2 3 2" xfId="8454" xr:uid="{00000000-0005-0000-0000-0000EC730000}"/>
    <cellStyle name="표준 2 3 2 3 2 2" xfId="8455" xr:uid="{00000000-0005-0000-0000-0000ED730000}"/>
    <cellStyle name="표준 2 3 2 3 2 3" xfId="8456" xr:uid="{00000000-0005-0000-0000-0000EE730000}"/>
    <cellStyle name="표준 2 3 2 3 2_뇌출혈특약(갱신형)" xfId="13903" xr:uid="{00000000-0005-0000-0000-0000EF730000}"/>
    <cellStyle name="표준 2 3 2 3 3" xfId="8457" xr:uid="{00000000-0005-0000-0000-0000F0730000}"/>
    <cellStyle name="표준 2 3 2 3 4" xfId="8458" xr:uid="{00000000-0005-0000-0000-0000F1730000}"/>
    <cellStyle name="표준 2 3 2 3_뇌출혈특약(갱신형)" xfId="13904" xr:uid="{00000000-0005-0000-0000-0000F2730000}"/>
    <cellStyle name="표준 2 3 2 4" xfId="8459" xr:uid="{00000000-0005-0000-0000-0000F3730000}"/>
    <cellStyle name="표준 2 3 2 4 2" xfId="8460" xr:uid="{00000000-0005-0000-0000-0000F4730000}"/>
    <cellStyle name="표준 2 3 2 4 2 2" xfId="8461" xr:uid="{00000000-0005-0000-0000-0000F5730000}"/>
    <cellStyle name="표준 2 3 2 4 2 3" xfId="8462" xr:uid="{00000000-0005-0000-0000-0000F6730000}"/>
    <cellStyle name="표준 2 3 2 4 2_뇌출혈특약(갱신형)" xfId="13905" xr:uid="{00000000-0005-0000-0000-0000F7730000}"/>
    <cellStyle name="표준 2 3 2 4 3" xfId="8463" xr:uid="{00000000-0005-0000-0000-0000F8730000}"/>
    <cellStyle name="표준 2 3 2 4 4" xfId="8464" xr:uid="{00000000-0005-0000-0000-0000F9730000}"/>
    <cellStyle name="표준 2 3 2 4_뇌출혈특약(갱신형)" xfId="13906" xr:uid="{00000000-0005-0000-0000-0000FA730000}"/>
    <cellStyle name="표준 2 3 2 5" xfId="8465" xr:uid="{00000000-0005-0000-0000-0000FB730000}"/>
    <cellStyle name="표준 2 3 2 5 2" xfId="8466" xr:uid="{00000000-0005-0000-0000-0000FC730000}"/>
    <cellStyle name="표준 2 3 2 5 3" xfId="8467" xr:uid="{00000000-0005-0000-0000-0000FD730000}"/>
    <cellStyle name="표준 2 3 2 5_뇌출혈특약(갱신형)" xfId="13907" xr:uid="{00000000-0005-0000-0000-0000FE730000}"/>
    <cellStyle name="표준 2 3 2 6" xfId="8468" xr:uid="{00000000-0005-0000-0000-0000FF730000}"/>
    <cellStyle name="표준 2 3 2 6 2" xfId="8469" xr:uid="{00000000-0005-0000-0000-000000740000}"/>
    <cellStyle name="표준 2 3 2 6 3" xfId="8470" xr:uid="{00000000-0005-0000-0000-000001740000}"/>
    <cellStyle name="표준 2 3 2 6_뇌출혈특약(갱신형)" xfId="13908" xr:uid="{00000000-0005-0000-0000-000002740000}"/>
    <cellStyle name="표준 2 3 2 7" xfId="8471" xr:uid="{00000000-0005-0000-0000-000003740000}"/>
    <cellStyle name="표준 2 3 2 8" xfId="8472" xr:uid="{00000000-0005-0000-0000-000004740000}"/>
    <cellStyle name="표준 2 3 2_뇌출혈특약(갱신형)" xfId="13909" xr:uid="{00000000-0005-0000-0000-000005740000}"/>
    <cellStyle name="표준 2 3 3" xfId="8473" xr:uid="{00000000-0005-0000-0000-000006740000}"/>
    <cellStyle name="표준 2 3 3 2" xfId="8474" xr:uid="{00000000-0005-0000-0000-000007740000}"/>
    <cellStyle name="표준 2 3 3 2 2" xfId="8475" xr:uid="{00000000-0005-0000-0000-000008740000}"/>
    <cellStyle name="표준 2 3 3 2 2 2" xfId="8476" xr:uid="{00000000-0005-0000-0000-000009740000}"/>
    <cellStyle name="표준 2 3 3 2 2 3" xfId="8477" xr:uid="{00000000-0005-0000-0000-00000A740000}"/>
    <cellStyle name="표준 2 3 3 2 2_뇌출혈특약(갱신형)" xfId="13910" xr:uid="{00000000-0005-0000-0000-00000B740000}"/>
    <cellStyle name="표준 2 3 3 2 3" xfId="8478" xr:uid="{00000000-0005-0000-0000-00000C740000}"/>
    <cellStyle name="표준 2 3 3 2 4" xfId="8479" xr:uid="{00000000-0005-0000-0000-00000D740000}"/>
    <cellStyle name="표준 2 3 3 2_뇌출혈특약(갱신형)" xfId="13911" xr:uid="{00000000-0005-0000-0000-00000E740000}"/>
    <cellStyle name="표준 2 3 3 3" xfId="8480" xr:uid="{00000000-0005-0000-0000-00000F740000}"/>
    <cellStyle name="표준 2 3 3 3 2" xfId="8481" xr:uid="{00000000-0005-0000-0000-000010740000}"/>
    <cellStyle name="표준 2 3 3 3 2 2" xfId="8482" xr:uid="{00000000-0005-0000-0000-000011740000}"/>
    <cellStyle name="표준 2 3 3 3 2 3" xfId="8483" xr:uid="{00000000-0005-0000-0000-000012740000}"/>
    <cellStyle name="표준 2 3 3 3 2_뇌출혈특약(갱신형)" xfId="13912" xr:uid="{00000000-0005-0000-0000-000013740000}"/>
    <cellStyle name="표준 2 3 3 3 3" xfId="8484" xr:uid="{00000000-0005-0000-0000-000014740000}"/>
    <cellStyle name="표준 2 3 3 3 4" xfId="8485" xr:uid="{00000000-0005-0000-0000-000015740000}"/>
    <cellStyle name="표준 2 3 3 3_뇌출혈특약(갱신형)" xfId="13913" xr:uid="{00000000-0005-0000-0000-000016740000}"/>
    <cellStyle name="표준 2 3 3 4" xfId="8486" xr:uid="{00000000-0005-0000-0000-000017740000}"/>
    <cellStyle name="표준 2 3 3 4 2" xfId="8487" xr:uid="{00000000-0005-0000-0000-000018740000}"/>
    <cellStyle name="표준 2 3 3 4 3" xfId="8488" xr:uid="{00000000-0005-0000-0000-000019740000}"/>
    <cellStyle name="표준 2 3 3 4_뇌출혈특약(갱신형)" xfId="13914" xr:uid="{00000000-0005-0000-0000-00001A740000}"/>
    <cellStyle name="표준 2 3 3 5" xfId="8489" xr:uid="{00000000-0005-0000-0000-00001B740000}"/>
    <cellStyle name="표준 2 3 3 5 2" xfId="8490" xr:uid="{00000000-0005-0000-0000-00001C740000}"/>
    <cellStyle name="표준 2 3 3 5 3" xfId="8491" xr:uid="{00000000-0005-0000-0000-00001D740000}"/>
    <cellStyle name="표준 2 3 3 5_뇌출혈특약(갱신형)" xfId="13915" xr:uid="{00000000-0005-0000-0000-00001E740000}"/>
    <cellStyle name="표준 2 3 3 6" xfId="8492" xr:uid="{00000000-0005-0000-0000-00001F740000}"/>
    <cellStyle name="표준 2 3 3 7" xfId="8493" xr:uid="{00000000-0005-0000-0000-000020740000}"/>
    <cellStyle name="표준 2 3 3_뇌출혈특약(갱신형)" xfId="13916" xr:uid="{00000000-0005-0000-0000-000021740000}"/>
    <cellStyle name="표준 2 3 4" xfId="8494" xr:uid="{00000000-0005-0000-0000-000022740000}"/>
    <cellStyle name="표준 2 3 4 2" xfId="8495" xr:uid="{00000000-0005-0000-0000-000023740000}"/>
    <cellStyle name="표준 2 3 4 2 2" xfId="8496" xr:uid="{00000000-0005-0000-0000-000024740000}"/>
    <cellStyle name="표준 2 3 4 2 2 2" xfId="8497" xr:uid="{00000000-0005-0000-0000-000025740000}"/>
    <cellStyle name="표준 2 3 4 2 2 3" xfId="8498" xr:uid="{00000000-0005-0000-0000-000026740000}"/>
    <cellStyle name="표준 2 3 4 2 2_뇌출혈특약(갱신형)" xfId="13917" xr:uid="{00000000-0005-0000-0000-000027740000}"/>
    <cellStyle name="표준 2 3 4 2 3" xfId="8499" xr:uid="{00000000-0005-0000-0000-000028740000}"/>
    <cellStyle name="표준 2 3 4 2 4" xfId="8500" xr:uid="{00000000-0005-0000-0000-000029740000}"/>
    <cellStyle name="표준 2 3 4 2_뇌출혈특약(갱신형)" xfId="13918" xr:uid="{00000000-0005-0000-0000-00002A740000}"/>
    <cellStyle name="표준 2 3 4 3" xfId="8501" xr:uid="{00000000-0005-0000-0000-00002B740000}"/>
    <cellStyle name="표준 2 3 4 3 2" xfId="8502" xr:uid="{00000000-0005-0000-0000-00002C740000}"/>
    <cellStyle name="표준 2 3 4 3 2 2" xfId="8503" xr:uid="{00000000-0005-0000-0000-00002D740000}"/>
    <cellStyle name="표준 2 3 4 3 2 3" xfId="8504" xr:uid="{00000000-0005-0000-0000-00002E740000}"/>
    <cellStyle name="표준 2 3 4 3 2_뇌출혈특약(갱신형)" xfId="13919" xr:uid="{00000000-0005-0000-0000-00002F740000}"/>
    <cellStyle name="표준 2 3 4 3 3" xfId="8505" xr:uid="{00000000-0005-0000-0000-000030740000}"/>
    <cellStyle name="표준 2 3 4 3 4" xfId="8506" xr:uid="{00000000-0005-0000-0000-000031740000}"/>
    <cellStyle name="표준 2 3 4 3_뇌출혈특약(갱신형)" xfId="13920" xr:uid="{00000000-0005-0000-0000-000032740000}"/>
    <cellStyle name="표준 2 3 4 4" xfId="8507" xr:uid="{00000000-0005-0000-0000-000033740000}"/>
    <cellStyle name="표준 2 3 4 4 2" xfId="8508" xr:uid="{00000000-0005-0000-0000-000034740000}"/>
    <cellStyle name="표준 2 3 4 4 3" xfId="8509" xr:uid="{00000000-0005-0000-0000-000035740000}"/>
    <cellStyle name="표준 2 3 4 4_뇌출혈특약(갱신형)" xfId="13921" xr:uid="{00000000-0005-0000-0000-000036740000}"/>
    <cellStyle name="표준 2 3 4 5" xfId="8510" xr:uid="{00000000-0005-0000-0000-000037740000}"/>
    <cellStyle name="표준 2 3 4 5 2" xfId="8511" xr:uid="{00000000-0005-0000-0000-000038740000}"/>
    <cellStyle name="표준 2 3 4 5 3" xfId="8512" xr:uid="{00000000-0005-0000-0000-000039740000}"/>
    <cellStyle name="표준 2 3 4 5_뇌출혈특약(갱신형)" xfId="13922" xr:uid="{00000000-0005-0000-0000-00003A740000}"/>
    <cellStyle name="표준 2 3 4 6" xfId="8513" xr:uid="{00000000-0005-0000-0000-00003B740000}"/>
    <cellStyle name="표준 2 3 4 7" xfId="8514" xr:uid="{00000000-0005-0000-0000-00003C740000}"/>
    <cellStyle name="표준 2 3 4_뇌출혈특약(갱신형)" xfId="13923" xr:uid="{00000000-0005-0000-0000-00003D740000}"/>
    <cellStyle name="표준 2 3 5" xfId="8515" xr:uid="{00000000-0005-0000-0000-00003E740000}"/>
    <cellStyle name="표준 2 3 5 2" xfId="8516" xr:uid="{00000000-0005-0000-0000-00003F740000}"/>
    <cellStyle name="표준 2 3 5 2 2" xfId="8517" xr:uid="{00000000-0005-0000-0000-000040740000}"/>
    <cellStyle name="표준 2 3 5 2 3" xfId="8518" xr:uid="{00000000-0005-0000-0000-000041740000}"/>
    <cellStyle name="표준 2 3 5 2_뇌출혈특약(갱신형)" xfId="13924" xr:uid="{00000000-0005-0000-0000-000042740000}"/>
    <cellStyle name="표준 2 3 5 3" xfId="8519" xr:uid="{00000000-0005-0000-0000-000043740000}"/>
    <cellStyle name="표준 2 3 5 4" xfId="8520" xr:uid="{00000000-0005-0000-0000-000044740000}"/>
    <cellStyle name="표준 2 3 5_뇌출혈특약(갱신형)" xfId="13925" xr:uid="{00000000-0005-0000-0000-000045740000}"/>
    <cellStyle name="표준 2 3 6" xfId="8521" xr:uid="{00000000-0005-0000-0000-000046740000}"/>
    <cellStyle name="표준 2 3 6 2" xfId="8522" xr:uid="{00000000-0005-0000-0000-000047740000}"/>
    <cellStyle name="표준 2 3 6 2 2" xfId="8523" xr:uid="{00000000-0005-0000-0000-000048740000}"/>
    <cellStyle name="표준 2 3 6 2 3" xfId="8524" xr:uid="{00000000-0005-0000-0000-000049740000}"/>
    <cellStyle name="표준 2 3 6 2_뇌출혈특약(갱신형)" xfId="13926" xr:uid="{00000000-0005-0000-0000-00004A740000}"/>
    <cellStyle name="표준 2 3 6 3" xfId="8525" xr:uid="{00000000-0005-0000-0000-00004B740000}"/>
    <cellStyle name="표준 2 3 6 4" xfId="8526" xr:uid="{00000000-0005-0000-0000-00004C740000}"/>
    <cellStyle name="표준 2 3 6_뇌출혈특약(갱신형)" xfId="13927" xr:uid="{00000000-0005-0000-0000-00004D740000}"/>
    <cellStyle name="표준 2 3 7" xfId="8527" xr:uid="{00000000-0005-0000-0000-00004E740000}"/>
    <cellStyle name="표준 2 3 7 2" xfId="8528" xr:uid="{00000000-0005-0000-0000-00004F740000}"/>
    <cellStyle name="표준 2 3 7 3" xfId="8529" xr:uid="{00000000-0005-0000-0000-000050740000}"/>
    <cellStyle name="표준 2 3 7_뇌출혈특약(갱신형)" xfId="13928" xr:uid="{00000000-0005-0000-0000-000051740000}"/>
    <cellStyle name="표준 2 3 8" xfId="8530" xr:uid="{00000000-0005-0000-0000-000052740000}"/>
    <cellStyle name="표준 2 3 8 2" xfId="8531" xr:uid="{00000000-0005-0000-0000-000053740000}"/>
    <cellStyle name="표준 2 3 8 3" xfId="8532" xr:uid="{00000000-0005-0000-0000-000054740000}"/>
    <cellStyle name="표준 2 3 8_뇌출혈특약(갱신형)" xfId="13929" xr:uid="{00000000-0005-0000-0000-000055740000}"/>
    <cellStyle name="표준 2 3 9" xfId="8533" xr:uid="{00000000-0005-0000-0000-000056740000}"/>
    <cellStyle name="표준 2 3 9 2" xfId="8534" xr:uid="{00000000-0005-0000-0000-000057740000}"/>
    <cellStyle name="표준 2 3 9 3" xfId="8535" xr:uid="{00000000-0005-0000-0000-000058740000}"/>
    <cellStyle name="표준 2 3 9_뇌출혈특약(갱신형)" xfId="13930" xr:uid="{00000000-0005-0000-0000-000059740000}"/>
    <cellStyle name="표준 2 3_뇌출혈특약(갱신형)" xfId="13931" xr:uid="{00000000-0005-0000-0000-00005A740000}"/>
    <cellStyle name="표준 2 4" xfId="8536" xr:uid="{00000000-0005-0000-0000-00005B740000}"/>
    <cellStyle name="표준 2 4 2" xfId="17157" xr:uid="{00000000-0005-0000-0000-00005C740000}"/>
    <cellStyle name="표준 2 5" xfId="8537" xr:uid="{00000000-0005-0000-0000-00005D740000}"/>
    <cellStyle name="표준 2 5 2" xfId="8538" xr:uid="{00000000-0005-0000-0000-00005E740000}"/>
    <cellStyle name="표준 2 5 2 2" xfId="8539" xr:uid="{00000000-0005-0000-0000-00005F740000}"/>
    <cellStyle name="표준 2 5 2 2 2" xfId="8540" xr:uid="{00000000-0005-0000-0000-000060740000}"/>
    <cellStyle name="표준 2 5 2 2 3" xfId="8541" xr:uid="{00000000-0005-0000-0000-000061740000}"/>
    <cellStyle name="표준 2 5 2 2_뇌출혈특약(갱신형)" xfId="13932" xr:uid="{00000000-0005-0000-0000-000062740000}"/>
    <cellStyle name="표준 2 5 2 3" xfId="8542" xr:uid="{00000000-0005-0000-0000-000063740000}"/>
    <cellStyle name="표준 2 5 2 4" xfId="8543" xr:uid="{00000000-0005-0000-0000-000064740000}"/>
    <cellStyle name="표준 2 5 2_뇌출혈특약(갱신형)" xfId="13933" xr:uid="{00000000-0005-0000-0000-000065740000}"/>
    <cellStyle name="표준 2 5 3" xfId="8544" xr:uid="{00000000-0005-0000-0000-000066740000}"/>
    <cellStyle name="표준 2 5 3 2" xfId="8545" xr:uid="{00000000-0005-0000-0000-000067740000}"/>
    <cellStyle name="표준 2 5 3 2 2" xfId="8546" xr:uid="{00000000-0005-0000-0000-000068740000}"/>
    <cellStyle name="표준 2 5 3 2 3" xfId="8547" xr:uid="{00000000-0005-0000-0000-000069740000}"/>
    <cellStyle name="표준 2 5 3 2_뇌출혈특약(갱신형)" xfId="13934" xr:uid="{00000000-0005-0000-0000-00006A740000}"/>
    <cellStyle name="표준 2 5 3 3" xfId="8548" xr:uid="{00000000-0005-0000-0000-00006B740000}"/>
    <cellStyle name="표준 2 5 3 4" xfId="8549" xr:uid="{00000000-0005-0000-0000-00006C740000}"/>
    <cellStyle name="표준 2 5 3_뇌출혈특약(갱신형)" xfId="13935" xr:uid="{00000000-0005-0000-0000-00006D740000}"/>
    <cellStyle name="표준 2 5 4" xfId="8550" xr:uid="{00000000-0005-0000-0000-00006E740000}"/>
    <cellStyle name="표준 2 5 4 2" xfId="8551" xr:uid="{00000000-0005-0000-0000-00006F740000}"/>
    <cellStyle name="표준 2 5 4 3" xfId="8552" xr:uid="{00000000-0005-0000-0000-000070740000}"/>
    <cellStyle name="표준 2 5 4_뇌출혈특약(갱신형)" xfId="13936" xr:uid="{00000000-0005-0000-0000-000071740000}"/>
    <cellStyle name="표준 2 5 5" xfId="8553" xr:uid="{00000000-0005-0000-0000-000072740000}"/>
    <cellStyle name="표준 2 5 5 2" xfId="8554" xr:uid="{00000000-0005-0000-0000-000073740000}"/>
    <cellStyle name="표준 2 5 5 3" xfId="8555" xr:uid="{00000000-0005-0000-0000-000074740000}"/>
    <cellStyle name="표준 2 5 5_뇌출혈특약(갱신형)" xfId="13937" xr:uid="{00000000-0005-0000-0000-000075740000}"/>
    <cellStyle name="표준 2 5 6" xfId="8556" xr:uid="{00000000-0005-0000-0000-000076740000}"/>
    <cellStyle name="표준 2 5 7" xfId="8557" xr:uid="{00000000-0005-0000-0000-000077740000}"/>
    <cellStyle name="표준 2 5 8" xfId="18071" xr:uid="{00000000-0005-0000-0000-000078740000}"/>
    <cellStyle name="표준 2 5 9" xfId="18072" xr:uid="{00000000-0005-0000-0000-000079740000}"/>
    <cellStyle name="표준 2 5_뇌출혈특약(갱신형)" xfId="13938" xr:uid="{00000000-0005-0000-0000-00007A740000}"/>
    <cellStyle name="표준 2 6" xfId="8558" xr:uid="{00000000-0005-0000-0000-00007B740000}"/>
    <cellStyle name="표준 2 6 2" xfId="8559" xr:uid="{00000000-0005-0000-0000-00007C740000}"/>
    <cellStyle name="표준 2 6 2 2" xfId="8560" xr:uid="{00000000-0005-0000-0000-00007D740000}"/>
    <cellStyle name="표준 2 6 2 3" xfId="8561" xr:uid="{00000000-0005-0000-0000-00007E740000}"/>
    <cellStyle name="표준 2 6 2_뇌출혈특약(갱신형)" xfId="13939" xr:uid="{00000000-0005-0000-0000-00007F740000}"/>
    <cellStyle name="표준 2 6 3" xfId="8562" xr:uid="{00000000-0005-0000-0000-000080740000}"/>
    <cellStyle name="표준 2 6 4" xfId="8563" xr:uid="{00000000-0005-0000-0000-000081740000}"/>
    <cellStyle name="표준 2 6 5" xfId="18073" xr:uid="{00000000-0005-0000-0000-000082740000}"/>
    <cellStyle name="표준 2 6 6" xfId="18074" xr:uid="{00000000-0005-0000-0000-000083740000}"/>
    <cellStyle name="표준 2 6_뇌출혈특약(갱신형)" xfId="13940" xr:uid="{00000000-0005-0000-0000-000084740000}"/>
    <cellStyle name="표준 2 7" xfId="8564" xr:uid="{00000000-0005-0000-0000-000085740000}"/>
    <cellStyle name="표준 2 7 2" xfId="8565" xr:uid="{00000000-0005-0000-0000-000086740000}"/>
    <cellStyle name="표준 2 7 2 2" xfId="8566" xr:uid="{00000000-0005-0000-0000-000087740000}"/>
    <cellStyle name="표준 2 7 2 3" xfId="8567" xr:uid="{00000000-0005-0000-0000-000088740000}"/>
    <cellStyle name="표준 2 7 2_뇌출혈특약(갱신형)" xfId="13941" xr:uid="{00000000-0005-0000-0000-000089740000}"/>
    <cellStyle name="표준 2 7 3" xfId="8568" xr:uid="{00000000-0005-0000-0000-00008A740000}"/>
    <cellStyle name="표준 2 7 4" xfId="8569" xr:uid="{00000000-0005-0000-0000-00008B740000}"/>
    <cellStyle name="표준 2 7 5" xfId="18075" xr:uid="{00000000-0005-0000-0000-00008C740000}"/>
    <cellStyle name="표준 2 7 6" xfId="18076" xr:uid="{00000000-0005-0000-0000-00008D740000}"/>
    <cellStyle name="표준 2 7_뇌출혈특약(갱신형)" xfId="13942" xr:uid="{00000000-0005-0000-0000-00008E740000}"/>
    <cellStyle name="표준 2 8" xfId="8570" xr:uid="{00000000-0005-0000-0000-00008F740000}"/>
    <cellStyle name="표준 2 8 2" xfId="8571" xr:uid="{00000000-0005-0000-0000-000090740000}"/>
    <cellStyle name="표준 2 8 3" xfId="8572" xr:uid="{00000000-0005-0000-0000-000091740000}"/>
    <cellStyle name="표준 2 8 4" xfId="18077" xr:uid="{00000000-0005-0000-0000-000092740000}"/>
    <cellStyle name="표준 2 8 5" xfId="18078" xr:uid="{00000000-0005-0000-0000-000093740000}"/>
    <cellStyle name="표준 2 8_뇌출혈특약(갱신형)" xfId="13943" xr:uid="{00000000-0005-0000-0000-000094740000}"/>
    <cellStyle name="표준 2 9" xfId="8573" xr:uid="{00000000-0005-0000-0000-000095740000}"/>
    <cellStyle name="표준 2 9 2" xfId="8574" xr:uid="{00000000-0005-0000-0000-000096740000}"/>
    <cellStyle name="표준 2 9 3" xfId="8575" xr:uid="{00000000-0005-0000-0000-000097740000}"/>
    <cellStyle name="표준 2 9 4" xfId="18079" xr:uid="{00000000-0005-0000-0000-000098740000}"/>
    <cellStyle name="표준 2 9 5" xfId="18080" xr:uid="{00000000-0005-0000-0000-000099740000}"/>
    <cellStyle name="표준 2 9_뇌출혈특약(갱신형)" xfId="13944" xr:uid="{00000000-0005-0000-0000-00009A740000}"/>
    <cellStyle name="표준 2_뇌출혈특약(갱신형)" xfId="13945" xr:uid="{00000000-0005-0000-0000-00009B740000}"/>
    <cellStyle name="표준 20" xfId="80" xr:uid="{00000000-0005-0000-0000-00009C740000}"/>
    <cellStyle name="표준 20 10" xfId="8576" xr:uid="{00000000-0005-0000-0000-00009D740000}"/>
    <cellStyle name="표준 20 10 2" xfId="8577" xr:uid="{00000000-0005-0000-0000-00009E740000}"/>
    <cellStyle name="표준 20 10 3" xfId="8578" xr:uid="{00000000-0005-0000-0000-00009F740000}"/>
    <cellStyle name="표준 20 10_뇌출혈특약(갱신형)" xfId="13946" xr:uid="{00000000-0005-0000-0000-0000A0740000}"/>
    <cellStyle name="표준 20 11" xfId="8579" xr:uid="{00000000-0005-0000-0000-0000A1740000}"/>
    <cellStyle name="표준 20 11 2" xfId="8580" xr:uid="{00000000-0005-0000-0000-0000A2740000}"/>
    <cellStyle name="표준 20 11_뇌출혈특약(갱신형)" xfId="13947" xr:uid="{00000000-0005-0000-0000-0000A3740000}"/>
    <cellStyle name="표준 20 12" xfId="8581" xr:uid="{00000000-0005-0000-0000-0000A4740000}"/>
    <cellStyle name="표준 20 12 2" xfId="8582" xr:uid="{00000000-0005-0000-0000-0000A5740000}"/>
    <cellStyle name="표준 20 12_뇌출혈특약(갱신형)" xfId="13948" xr:uid="{00000000-0005-0000-0000-0000A6740000}"/>
    <cellStyle name="표준 20 13" xfId="8583" xr:uid="{00000000-0005-0000-0000-0000A7740000}"/>
    <cellStyle name="표준 20 13 2" xfId="8584" xr:uid="{00000000-0005-0000-0000-0000A8740000}"/>
    <cellStyle name="표준 20 13_뇌출혈특약(갱신형)" xfId="13949" xr:uid="{00000000-0005-0000-0000-0000A9740000}"/>
    <cellStyle name="표준 20 14" xfId="8585" xr:uid="{00000000-0005-0000-0000-0000AA740000}"/>
    <cellStyle name="표준 20 14 2" xfId="8586" xr:uid="{00000000-0005-0000-0000-0000AB740000}"/>
    <cellStyle name="표준 20 14_뇌출혈특약(갱신형)" xfId="13950" xr:uid="{00000000-0005-0000-0000-0000AC740000}"/>
    <cellStyle name="표준 20 15" xfId="8587" xr:uid="{00000000-0005-0000-0000-0000AD740000}"/>
    <cellStyle name="표준 20 16" xfId="8588" xr:uid="{00000000-0005-0000-0000-0000AE740000}"/>
    <cellStyle name="표준 20 2" xfId="8589" xr:uid="{00000000-0005-0000-0000-0000AF740000}"/>
    <cellStyle name="표준 20 2 2" xfId="8590" xr:uid="{00000000-0005-0000-0000-0000B0740000}"/>
    <cellStyle name="표준 20 2 2 2" xfId="8591" xr:uid="{00000000-0005-0000-0000-0000B1740000}"/>
    <cellStyle name="표준 20 2 2 2 2" xfId="8592" xr:uid="{00000000-0005-0000-0000-0000B2740000}"/>
    <cellStyle name="표준 20 2 2 2 2 2" xfId="8593" xr:uid="{00000000-0005-0000-0000-0000B3740000}"/>
    <cellStyle name="표준 20 2 2 2 2 3" xfId="8594" xr:uid="{00000000-0005-0000-0000-0000B4740000}"/>
    <cellStyle name="표준 20 2 2 2 2_뇌출혈특약(갱신형)" xfId="13951" xr:uid="{00000000-0005-0000-0000-0000B5740000}"/>
    <cellStyle name="표준 20 2 2 2 3" xfId="8595" xr:uid="{00000000-0005-0000-0000-0000B6740000}"/>
    <cellStyle name="표준 20 2 2 2 4" xfId="8596" xr:uid="{00000000-0005-0000-0000-0000B7740000}"/>
    <cellStyle name="표준 20 2 2 2_뇌출혈특약(갱신형)" xfId="13952" xr:uid="{00000000-0005-0000-0000-0000B8740000}"/>
    <cellStyle name="표준 20 2 2 3" xfId="8597" xr:uid="{00000000-0005-0000-0000-0000B9740000}"/>
    <cellStyle name="표준 20 2 2 3 2" xfId="8598" xr:uid="{00000000-0005-0000-0000-0000BA740000}"/>
    <cellStyle name="표준 20 2 2 3 2 2" xfId="8599" xr:uid="{00000000-0005-0000-0000-0000BB740000}"/>
    <cellStyle name="표준 20 2 2 3 2 3" xfId="8600" xr:uid="{00000000-0005-0000-0000-0000BC740000}"/>
    <cellStyle name="표준 20 2 2 3 2_뇌출혈특약(갱신형)" xfId="13953" xr:uid="{00000000-0005-0000-0000-0000BD740000}"/>
    <cellStyle name="표준 20 2 2 3 3" xfId="8601" xr:uid="{00000000-0005-0000-0000-0000BE740000}"/>
    <cellStyle name="표준 20 2 2 3 4" xfId="8602" xr:uid="{00000000-0005-0000-0000-0000BF740000}"/>
    <cellStyle name="표준 20 2 2 3_뇌출혈특약(갱신형)" xfId="13954" xr:uid="{00000000-0005-0000-0000-0000C0740000}"/>
    <cellStyle name="표준 20 2 2 4" xfId="8603" xr:uid="{00000000-0005-0000-0000-0000C1740000}"/>
    <cellStyle name="표준 20 2 2 4 2" xfId="8604" xr:uid="{00000000-0005-0000-0000-0000C2740000}"/>
    <cellStyle name="표준 20 2 2 4 3" xfId="8605" xr:uid="{00000000-0005-0000-0000-0000C3740000}"/>
    <cellStyle name="표준 20 2 2 4_뇌출혈특약(갱신형)" xfId="13955" xr:uid="{00000000-0005-0000-0000-0000C4740000}"/>
    <cellStyle name="표준 20 2 2 5" xfId="8606" xr:uid="{00000000-0005-0000-0000-0000C5740000}"/>
    <cellStyle name="표준 20 2 2 5 2" xfId="8607" xr:uid="{00000000-0005-0000-0000-0000C6740000}"/>
    <cellStyle name="표준 20 2 2 5 3" xfId="8608" xr:uid="{00000000-0005-0000-0000-0000C7740000}"/>
    <cellStyle name="표준 20 2 2 5_뇌출혈특약(갱신형)" xfId="13956" xr:uid="{00000000-0005-0000-0000-0000C8740000}"/>
    <cellStyle name="표준 20 2 2 6" xfId="8609" xr:uid="{00000000-0005-0000-0000-0000C9740000}"/>
    <cellStyle name="표준 20 2 2 7" xfId="8610" xr:uid="{00000000-0005-0000-0000-0000CA740000}"/>
    <cellStyle name="표준 20 2 2_뇌출혈특약(갱신형)" xfId="13957" xr:uid="{00000000-0005-0000-0000-0000CB740000}"/>
    <cellStyle name="표준 20 2 3" xfId="8611" xr:uid="{00000000-0005-0000-0000-0000CC740000}"/>
    <cellStyle name="표준 20 2 3 2" xfId="8612" xr:uid="{00000000-0005-0000-0000-0000CD740000}"/>
    <cellStyle name="표준 20 2 3 2 2" xfId="8613" xr:uid="{00000000-0005-0000-0000-0000CE740000}"/>
    <cellStyle name="표준 20 2 3 2 3" xfId="8614" xr:uid="{00000000-0005-0000-0000-0000CF740000}"/>
    <cellStyle name="표준 20 2 3 2_뇌출혈특약(갱신형)" xfId="13958" xr:uid="{00000000-0005-0000-0000-0000D0740000}"/>
    <cellStyle name="표준 20 2 3 3" xfId="8615" xr:uid="{00000000-0005-0000-0000-0000D1740000}"/>
    <cellStyle name="표준 20 2 3 4" xfId="8616" xr:uid="{00000000-0005-0000-0000-0000D2740000}"/>
    <cellStyle name="표준 20 2 3_뇌출혈특약(갱신형)" xfId="13959" xr:uid="{00000000-0005-0000-0000-0000D3740000}"/>
    <cellStyle name="표준 20 2 4" xfId="8617" xr:uid="{00000000-0005-0000-0000-0000D4740000}"/>
    <cellStyle name="표준 20 2 4 2" xfId="8618" xr:uid="{00000000-0005-0000-0000-0000D5740000}"/>
    <cellStyle name="표준 20 2 4 2 2" xfId="8619" xr:uid="{00000000-0005-0000-0000-0000D6740000}"/>
    <cellStyle name="표준 20 2 4 2 3" xfId="8620" xr:uid="{00000000-0005-0000-0000-0000D7740000}"/>
    <cellStyle name="표준 20 2 4 2_뇌출혈특약(갱신형)" xfId="13960" xr:uid="{00000000-0005-0000-0000-0000D8740000}"/>
    <cellStyle name="표준 20 2 4 3" xfId="8621" xr:uid="{00000000-0005-0000-0000-0000D9740000}"/>
    <cellStyle name="표준 20 2 4 4" xfId="8622" xr:uid="{00000000-0005-0000-0000-0000DA740000}"/>
    <cellStyle name="표준 20 2 4_뇌출혈특약(갱신형)" xfId="13961" xr:uid="{00000000-0005-0000-0000-0000DB740000}"/>
    <cellStyle name="표준 20 2 5" xfId="8623" xr:uid="{00000000-0005-0000-0000-0000DC740000}"/>
    <cellStyle name="표준 20 2 5 2" xfId="8624" xr:uid="{00000000-0005-0000-0000-0000DD740000}"/>
    <cellStyle name="표준 20 2 5 3" xfId="8625" xr:uid="{00000000-0005-0000-0000-0000DE740000}"/>
    <cellStyle name="표준 20 2 5_뇌출혈특약(갱신형)" xfId="13962" xr:uid="{00000000-0005-0000-0000-0000DF740000}"/>
    <cellStyle name="표준 20 2 6" xfId="8626" xr:uid="{00000000-0005-0000-0000-0000E0740000}"/>
    <cellStyle name="표준 20 2 6 2" xfId="8627" xr:uid="{00000000-0005-0000-0000-0000E1740000}"/>
    <cellStyle name="표준 20 2 6 3" xfId="8628" xr:uid="{00000000-0005-0000-0000-0000E2740000}"/>
    <cellStyle name="표준 20 2 6_뇌출혈특약(갱신형)" xfId="13963" xr:uid="{00000000-0005-0000-0000-0000E3740000}"/>
    <cellStyle name="표준 20 2 7" xfId="8629" xr:uid="{00000000-0005-0000-0000-0000E4740000}"/>
    <cellStyle name="표준 20 2 8" xfId="8630" xr:uid="{00000000-0005-0000-0000-0000E5740000}"/>
    <cellStyle name="표준 20 2_뇌출혈특약(갱신형)" xfId="13964" xr:uid="{00000000-0005-0000-0000-0000E6740000}"/>
    <cellStyle name="표준 20 3" xfId="8631" xr:uid="{00000000-0005-0000-0000-0000E7740000}"/>
    <cellStyle name="표준 20 3 2" xfId="8632" xr:uid="{00000000-0005-0000-0000-0000E8740000}"/>
    <cellStyle name="표준 20 3 2 2" xfId="8633" xr:uid="{00000000-0005-0000-0000-0000E9740000}"/>
    <cellStyle name="표준 20 3 2 2 2" xfId="8634" xr:uid="{00000000-0005-0000-0000-0000EA740000}"/>
    <cellStyle name="표준 20 3 2 2 3" xfId="8635" xr:uid="{00000000-0005-0000-0000-0000EB740000}"/>
    <cellStyle name="표준 20 3 2 2_뇌출혈특약(갱신형)" xfId="13965" xr:uid="{00000000-0005-0000-0000-0000EC740000}"/>
    <cellStyle name="표준 20 3 2 3" xfId="8636" xr:uid="{00000000-0005-0000-0000-0000ED740000}"/>
    <cellStyle name="표준 20 3 2 4" xfId="8637" xr:uid="{00000000-0005-0000-0000-0000EE740000}"/>
    <cellStyle name="표준 20 3 2_뇌출혈특약(갱신형)" xfId="13966" xr:uid="{00000000-0005-0000-0000-0000EF740000}"/>
    <cellStyle name="표준 20 3 3" xfId="8638" xr:uid="{00000000-0005-0000-0000-0000F0740000}"/>
    <cellStyle name="표준 20 3 3 2" xfId="8639" xr:uid="{00000000-0005-0000-0000-0000F1740000}"/>
    <cellStyle name="표준 20 3 3 2 2" xfId="8640" xr:uid="{00000000-0005-0000-0000-0000F2740000}"/>
    <cellStyle name="표준 20 3 3 2 3" xfId="8641" xr:uid="{00000000-0005-0000-0000-0000F3740000}"/>
    <cellStyle name="표준 20 3 3 2_뇌출혈특약(갱신형)" xfId="13967" xr:uid="{00000000-0005-0000-0000-0000F4740000}"/>
    <cellStyle name="표준 20 3 3 3" xfId="8642" xr:uid="{00000000-0005-0000-0000-0000F5740000}"/>
    <cellStyle name="표준 20 3 3 4" xfId="8643" xr:uid="{00000000-0005-0000-0000-0000F6740000}"/>
    <cellStyle name="표준 20 3 3_뇌출혈특약(갱신형)" xfId="13968" xr:uid="{00000000-0005-0000-0000-0000F7740000}"/>
    <cellStyle name="표준 20 3 4" xfId="8644" xr:uid="{00000000-0005-0000-0000-0000F8740000}"/>
    <cellStyle name="표준 20 3 4 2" xfId="8645" xr:uid="{00000000-0005-0000-0000-0000F9740000}"/>
    <cellStyle name="표준 20 3 4 3" xfId="8646" xr:uid="{00000000-0005-0000-0000-0000FA740000}"/>
    <cellStyle name="표준 20 3 4_뇌출혈특약(갱신형)" xfId="13969" xr:uid="{00000000-0005-0000-0000-0000FB740000}"/>
    <cellStyle name="표준 20 3 5" xfId="8647" xr:uid="{00000000-0005-0000-0000-0000FC740000}"/>
    <cellStyle name="표준 20 3 5 2" xfId="8648" xr:uid="{00000000-0005-0000-0000-0000FD740000}"/>
    <cellStyle name="표준 20 3 5 3" xfId="8649" xr:uid="{00000000-0005-0000-0000-0000FE740000}"/>
    <cellStyle name="표준 20 3 5_뇌출혈특약(갱신형)" xfId="13970" xr:uid="{00000000-0005-0000-0000-0000FF740000}"/>
    <cellStyle name="표준 20 3 6" xfId="8650" xr:uid="{00000000-0005-0000-0000-000000750000}"/>
    <cellStyle name="표준 20 3 7" xfId="8651" xr:uid="{00000000-0005-0000-0000-000001750000}"/>
    <cellStyle name="표준 20 3_뇌출혈특약(갱신형)" xfId="13971" xr:uid="{00000000-0005-0000-0000-000002750000}"/>
    <cellStyle name="표준 20 4" xfId="8652" xr:uid="{00000000-0005-0000-0000-000003750000}"/>
    <cellStyle name="표준 20 4 2" xfId="8653" xr:uid="{00000000-0005-0000-0000-000004750000}"/>
    <cellStyle name="표준 20 4 2 2" xfId="8654" xr:uid="{00000000-0005-0000-0000-000005750000}"/>
    <cellStyle name="표준 20 4 2 2 2" xfId="8655" xr:uid="{00000000-0005-0000-0000-000006750000}"/>
    <cellStyle name="표준 20 4 2 2 3" xfId="8656" xr:uid="{00000000-0005-0000-0000-000007750000}"/>
    <cellStyle name="표준 20 4 2 2_뇌출혈특약(갱신형)" xfId="13972" xr:uid="{00000000-0005-0000-0000-000008750000}"/>
    <cellStyle name="표준 20 4 2 3" xfId="8657" xr:uid="{00000000-0005-0000-0000-000009750000}"/>
    <cellStyle name="표준 20 4 2 4" xfId="8658" xr:uid="{00000000-0005-0000-0000-00000A750000}"/>
    <cellStyle name="표준 20 4 2_뇌출혈특약(갱신형)" xfId="13973" xr:uid="{00000000-0005-0000-0000-00000B750000}"/>
    <cellStyle name="표준 20 4 3" xfId="8659" xr:uid="{00000000-0005-0000-0000-00000C750000}"/>
    <cellStyle name="표준 20 4 3 2" xfId="8660" xr:uid="{00000000-0005-0000-0000-00000D750000}"/>
    <cellStyle name="표준 20 4 3 2 2" xfId="8661" xr:uid="{00000000-0005-0000-0000-00000E750000}"/>
    <cellStyle name="표준 20 4 3 2 3" xfId="8662" xr:uid="{00000000-0005-0000-0000-00000F750000}"/>
    <cellStyle name="표준 20 4 3 2_뇌출혈특약(갱신형)" xfId="13974" xr:uid="{00000000-0005-0000-0000-000010750000}"/>
    <cellStyle name="표준 20 4 3 3" xfId="8663" xr:uid="{00000000-0005-0000-0000-000011750000}"/>
    <cellStyle name="표준 20 4 3 4" xfId="8664" xr:uid="{00000000-0005-0000-0000-000012750000}"/>
    <cellStyle name="표준 20 4 3_뇌출혈특약(갱신형)" xfId="13975" xr:uid="{00000000-0005-0000-0000-000013750000}"/>
    <cellStyle name="표준 20 4 4" xfId="8665" xr:uid="{00000000-0005-0000-0000-000014750000}"/>
    <cellStyle name="표준 20 4 4 2" xfId="8666" xr:uid="{00000000-0005-0000-0000-000015750000}"/>
    <cellStyle name="표준 20 4 4 3" xfId="8667" xr:uid="{00000000-0005-0000-0000-000016750000}"/>
    <cellStyle name="표준 20 4 4_뇌출혈특약(갱신형)" xfId="13976" xr:uid="{00000000-0005-0000-0000-000017750000}"/>
    <cellStyle name="표준 20 4 5" xfId="8668" xr:uid="{00000000-0005-0000-0000-000018750000}"/>
    <cellStyle name="표준 20 4 5 2" xfId="8669" xr:uid="{00000000-0005-0000-0000-000019750000}"/>
    <cellStyle name="표준 20 4 5 3" xfId="8670" xr:uid="{00000000-0005-0000-0000-00001A750000}"/>
    <cellStyle name="표준 20 4 5_뇌출혈특약(갱신형)" xfId="13977" xr:uid="{00000000-0005-0000-0000-00001B750000}"/>
    <cellStyle name="표준 20 4 6" xfId="8671" xr:uid="{00000000-0005-0000-0000-00001C750000}"/>
    <cellStyle name="표준 20 4 7" xfId="8672" xr:uid="{00000000-0005-0000-0000-00001D750000}"/>
    <cellStyle name="표준 20 4_뇌출혈특약(갱신형)" xfId="13978" xr:uid="{00000000-0005-0000-0000-00001E750000}"/>
    <cellStyle name="표준 20 5" xfId="8673" xr:uid="{00000000-0005-0000-0000-00001F750000}"/>
    <cellStyle name="표준 20 5 2" xfId="8674" xr:uid="{00000000-0005-0000-0000-000020750000}"/>
    <cellStyle name="표준 20 5 2 2" xfId="8675" xr:uid="{00000000-0005-0000-0000-000021750000}"/>
    <cellStyle name="표준 20 5 2 3" xfId="8676" xr:uid="{00000000-0005-0000-0000-000022750000}"/>
    <cellStyle name="표준 20 5 2_뇌출혈특약(갱신형)" xfId="13979" xr:uid="{00000000-0005-0000-0000-000023750000}"/>
    <cellStyle name="표준 20 5 3" xfId="8677" xr:uid="{00000000-0005-0000-0000-000024750000}"/>
    <cellStyle name="표준 20 5 4" xfId="8678" xr:uid="{00000000-0005-0000-0000-000025750000}"/>
    <cellStyle name="표준 20 5_뇌출혈특약(갱신형)" xfId="13980" xr:uid="{00000000-0005-0000-0000-000026750000}"/>
    <cellStyle name="표준 20 6" xfId="8679" xr:uid="{00000000-0005-0000-0000-000027750000}"/>
    <cellStyle name="표준 20 6 2" xfId="8680" xr:uid="{00000000-0005-0000-0000-000028750000}"/>
    <cellStyle name="표준 20 6 2 2" xfId="8681" xr:uid="{00000000-0005-0000-0000-000029750000}"/>
    <cellStyle name="표준 20 6 2 3" xfId="8682" xr:uid="{00000000-0005-0000-0000-00002A750000}"/>
    <cellStyle name="표준 20 6 2_뇌출혈특약(갱신형)" xfId="13981" xr:uid="{00000000-0005-0000-0000-00002B750000}"/>
    <cellStyle name="표준 20 6 3" xfId="8683" xr:uid="{00000000-0005-0000-0000-00002C750000}"/>
    <cellStyle name="표준 20 6 4" xfId="8684" xr:uid="{00000000-0005-0000-0000-00002D750000}"/>
    <cellStyle name="표준 20 6_뇌출혈특약(갱신형)" xfId="13982" xr:uid="{00000000-0005-0000-0000-00002E750000}"/>
    <cellStyle name="표준 20 7" xfId="8685" xr:uid="{00000000-0005-0000-0000-00002F750000}"/>
    <cellStyle name="표준 20 7 2" xfId="8686" xr:uid="{00000000-0005-0000-0000-000030750000}"/>
    <cellStyle name="표준 20 7 3" xfId="8687" xr:uid="{00000000-0005-0000-0000-000031750000}"/>
    <cellStyle name="표준 20 7_뇌출혈특약(갱신형)" xfId="13983" xr:uid="{00000000-0005-0000-0000-000032750000}"/>
    <cellStyle name="표준 20 8" xfId="8688" xr:uid="{00000000-0005-0000-0000-000033750000}"/>
    <cellStyle name="표준 20 8 2" xfId="8689" xr:uid="{00000000-0005-0000-0000-000034750000}"/>
    <cellStyle name="표준 20 8 3" xfId="8690" xr:uid="{00000000-0005-0000-0000-000035750000}"/>
    <cellStyle name="표준 20 8_뇌출혈특약(갱신형)" xfId="13984" xr:uid="{00000000-0005-0000-0000-000036750000}"/>
    <cellStyle name="표준 20 9" xfId="8691" xr:uid="{00000000-0005-0000-0000-000037750000}"/>
    <cellStyle name="표준 20 9 2" xfId="8692" xr:uid="{00000000-0005-0000-0000-000038750000}"/>
    <cellStyle name="표준 20 9 3" xfId="8693" xr:uid="{00000000-0005-0000-0000-000039750000}"/>
    <cellStyle name="표준 20 9_뇌출혈특약(갱신형)" xfId="13985" xr:uid="{00000000-0005-0000-0000-00003A750000}"/>
    <cellStyle name="표준 20_뇌출혈특약(갱신형)" xfId="13986" xr:uid="{00000000-0005-0000-0000-00003B750000}"/>
    <cellStyle name="표준 21" xfId="81" xr:uid="{00000000-0005-0000-0000-00003C750000}"/>
    <cellStyle name="표준 21 10" xfId="8694" xr:uid="{00000000-0005-0000-0000-00003D750000}"/>
    <cellStyle name="표준 21 10 2" xfId="8695" xr:uid="{00000000-0005-0000-0000-00003E750000}"/>
    <cellStyle name="표준 21 10 3" xfId="8696" xr:uid="{00000000-0005-0000-0000-00003F750000}"/>
    <cellStyle name="표준 21 10_뇌출혈특약(갱신형)" xfId="13987" xr:uid="{00000000-0005-0000-0000-000040750000}"/>
    <cellStyle name="표준 21 11" xfId="8697" xr:uid="{00000000-0005-0000-0000-000041750000}"/>
    <cellStyle name="표준 21 11 2" xfId="8698" xr:uid="{00000000-0005-0000-0000-000042750000}"/>
    <cellStyle name="표준 21 11_뇌출혈특약(갱신형)" xfId="13988" xr:uid="{00000000-0005-0000-0000-000043750000}"/>
    <cellStyle name="표준 21 12" xfId="8699" xr:uid="{00000000-0005-0000-0000-000044750000}"/>
    <cellStyle name="표준 21 12 2" xfId="8700" xr:uid="{00000000-0005-0000-0000-000045750000}"/>
    <cellStyle name="표준 21 12_뇌출혈특약(갱신형)" xfId="13989" xr:uid="{00000000-0005-0000-0000-000046750000}"/>
    <cellStyle name="표준 21 13" xfId="8701" xr:uid="{00000000-0005-0000-0000-000047750000}"/>
    <cellStyle name="표준 21 13 2" xfId="8702" xr:uid="{00000000-0005-0000-0000-000048750000}"/>
    <cellStyle name="표준 21 13_뇌출혈특약(갱신형)" xfId="13990" xr:uid="{00000000-0005-0000-0000-000049750000}"/>
    <cellStyle name="표준 21 14" xfId="8703" xr:uid="{00000000-0005-0000-0000-00004A750000}"/>
    <cellStyle name="표준 21 14 2" xfId="8704" xr:uid="{00000000-0005-0000-0000-00004B750000}"/>
    <cellStyle name="표준 21 14_뇌출혈특약(갱신형)" xfId="13991" xr:uid="{00000000-0005-0000-0000-00004C750000}"/>
    <cellStyle name="표준 21 15" xfId="8705" xr:uid="{00000000-0005-0000-0000-00004D750000}"/>
    <cellStyle name="표준 21 16" xfId="8706" xr:uid="{00000000-0005-0000-0000-00004E750000}"/>
    <cellStyle name="표준 21 2" xfId="8707" xr:uid="{00000000-0005-0000-0000-00004F750000}"/>
    <cellStyle name="표준 21 2 2" xfId="8708" xr:uid="{00000000-0005-0000-0000-000050750000}"/>
    <cellStyle name="표준 21 2 2 2" xfId="8709" xr:uid="{00000000-0005-0000-0000-000051750000}"/>
    <cellStyle name="표준 21 2 2 2 2" xfId="8710" xr:uid="{00000000-0005-0000-0000-000052750000}"/>
    <cellStyle name="표준 21 2 2 2 2 2" xfId="8711" xr:uid="{00000000-0005-0000-0000-000053750000}"/>
    <cellStyle name="표준 21 2 2 2 2 3" xfId="8712" xr:uid="{00000000-0005-0000-0000-000054750000}"/>
    <cellStyle name="표준 21 2 2 2 2_뇌출혈특약(갱신형)" xfId="13992" xr:uid="{00000000-0005-0000-0000-000055750000}"/>
    <cellStyle name="표준 21 2 2 2 3" xfId="8713" xr:uid="{00000000-0005-0000-0000-000056750000}"/>
    <cellStyle name="표준 21 2 2 2 4" xfId="8714" xr:uid="{00000000-0005-0000-0000-000057750000}"/>
    <cellStyle name="표준 21 2 2 2_뇌출혈특약(갱신형)" xfId="13993" xr:uid="{00000000-0005-0000-0000-000058750000}"/>
    <cellStyle name="표준 21 2 2 3" xfId="8715" xr:uid="{00000000-0005-0000-0000-000059750000}"/>
    <cellStyle name="표준 21 2 2 3 2" xfId="8716" xr:uid="{00000000-0005-0000-0000-00005A750000}"/>
    <cellStyle name="표준 21 2 2 3 2 2" xfId="8717" xr:uid="{00000000-0005-0000-0000-00005B750000}"/>
    <cellStyle name="표준 21 2 2 3 2 3" xfId="8718" xr:uid="{00000000-0005-0000-0000-00005C750000}"/>
    <cellStyle name="표준 21 2 2 3 2_뇌출혈특약(갱신형)" xfId="13994" xr:uid="{00000000-0005-0000-0000-00005D750000}"/>
    <cellStyle name="표준 21 2 2 3 3" xfId="8719" xr:uid="{00000000-0005-0000-0000-00005E750000}"/>
    <cellStyle name="표준 21 2 2 3 4" xfId="8720" xr:uid="{00000000-0005-0000-0000-00005F750000}"/>
    <cellStyle name="표준 21 2 2 3_뇌출혈특약(갱신형)" xfId="13995" xr:uid="{00000000-0005-0000-0000-000060750000}"/>
    <cellStyle name="표준 21 2 2 4" xfId="8721" xr:uid="{00000000-0005-0000-0000-000061750000}"/>
    <cellStyle name="표준 21 2 2 4 2" xfId="8722" xr:uid="{00000000-0005-0000-0000-000062750000}"/>
    <cellStyle name="표준 21 2 2 4 3" xfId="8723" xr:uid="{00000000-0005-0000-0000-000063750000}"/>
    <cellStyle name="표준 21 2 2 4_뇌출혈특약(갱신형)" xfId="13996" xr:uid="{00000000-0005-0000-0000-000064750000}"/>
    <cellStyle name="표준 21 2 2 5" xfId="8724" xr:uid="{00000000-0005-0000-0000-000065750000}"/>
    <cellStyle name="표준 21 2 2 5 2" xfId="8725" xr:uid="{00000000-0005-0000-0000-000066750000}"/>
    <cellStyle name="표준 21 2 2 5 3" xfId="8726" xr:uid="{00000000-0005-0000-0000-000067750000}"/>
    <cellStyle name="표준 21 2 2 5_뇌출혈특약(갱신형)" xfId="13997" xr:uid="{00000000-0005-0000-0000-000068750000}"/>
    <cellStyle name="표준 21 2 2 6" xfId="8727" xr:uid="{00000000-0005-0000-0000-000069750000}"/>
    <cellStyle name="표준 21 2 2 7" xfId="8728" xr:uid="{00000000-0005-0000-0000-00006A750000}"/>
    <cellStyle name="표준 21 2 2_뇌출혈특약(갱신형)" xfId="13998" xr:uid="{00000000-0005-0000-0000-00006B750000}"/>
    <cellStyle name="표준 21 2 3" xfId="8729" xr:uid="{00000000-0005-0000-0000-00006C750000}"/>
    <cellStyle name="표준 21 2 3 2" xfId="8730" xr:uid="{00000000-0005-0000-0000-00006D750000}"/>
    <cellStyle name="표준 21 2 3 2 2" xfId="8731" xr:uid="{00000000-0005-0000-0000-00006E750000}"/>
    <cellStyle name="표준 21 2 3 2 3" xfId="8732" xr:uid="{00000000-0005-0000-0000-00006F750000}"/>
    <cellStyle name="표준 21 2 3 2_뇌출혈특약(갱신형)" xfId="13999" xr:uid="{00000000-0005-0000-0000-000070750000}"/>
    <cellStyle name="표준 21 2 3 3" xfId="8733" xr:uid="{00000000-0005-0000-0000-000071750000}"/>
    <cellStyle name="표준 21 2 3 4" xfId="8734" xr:uid="{00000000-0005-0000-0000-000072750000}"/>
    <cellStyle name="표준 21 2 3_뇌출혈특약(갱신형)" xfId="14000" xr:uid="{00000000-0005-0000-0000-000073750000}"/>
    <cellStyle name="표준 21 2 4" xfId="8735" xr:uid="{00000000-0005-0000-0000-000074750000}"/>
    <cellStyle name="표준 21 2 4 2" xfId="8736" xr:uid="{00000000-0005-0000-0000-000075750000}"/>
    <cellStyle name="표준 21 2 4 2 2" xfId="8737" xr:uid="{00000000-0005-0000-0000-000076750000}"/>
    <cellStyle name="표준 21 2 4 2 3" xfId="8738" xr:uid="{00000000-0005-0000-0000-000077750000}"/>
    <cellStyle name="표준 21 2 4 2_뇌출혈특약(갱신형)" xfId="14001" xr:uid="{00000000-0005-0000-0000-000078750000}"/>
    <cellStyle name="표준 21 2 4 3" xfId="8739" xr:uid="{00000000-0005-0000-0000-000079750000}"/>
    <cellStyle name="표준 21 2 4 4" xfId="8740" xr:uid="{00000000-0005-0000-0000-00007A750000}"/>
    <cellStyle name="표준 21 2 4_뇌출혈특약(갱신형)" xfId="14002" xr:uid="{00000000-0005-0000-0000-00007B750000}"/>
    <cellStyle name="표준 21 2 5" xfId="8741" xr:uid="{00000000-0005-0000-0000-00007C750000}"/>
    <cellStyle name="표준 21 2 5 2" xfId="8742" xr:uid="{00000000-0005-0000-0000-00007D750000}"/>
    <cellStyle name="표준 21 2 5 3" xfId="8743" xr:uid="{00000000-0005-0000-0000-00007E750000}"/>
    <cellStyle name="표준 21 2 5_뇌출혈특약(갱신형)" xfId="14003" xr:uid="{00000000-0005-0000-0000-00007F750000}"/>
    <cellStyle name="표준 21 2 6" xfId="8744" xr:uid="{00000000-0005-0000-0000-000080750000}"/>
    <cellStyle name="표준 21 2 6 2" xfId="8745" xr:uid="{00000000-0005-0000-0000-000081750000}"/>
    <cellStyle name="표준 21 2 6 3" xfId="8746" xr:uid="{00000000-0005-0000-0000-000082750000}"/>
    <cellStyle name="표준 21 2 6_뇌출혈특약(갱신형)" xfId="14004" xr:uid="{00000000-0005-0000-0000-000083750000}"/>
    <cellStyle name="표준 21 2 7" xfId="8747" xr:uid="{00000000-0005-0000-0000-000084750000}"/>
    <cellStyle name="표준 21 2 8" xfId="8748" xr:uid="{00000000-0005-0000-0000-000085750000}"/>
    <cellStyle name="표준 21 2_뇌출혈특약(갱신형)" xfId="14005" xr:uid="{00000000-0005-0000-0000-000086750000}"/>
    <cellStyle name="표준 21 3" xfId="8749" xr:uid="{00000000-0005-0000-0000-000087750000}"/>
    <cellStyle name="표준 21 3 2" xfId="8750" xr:uid="{00000000-0005-0000-0000-000088750000}"/>
    <cellStyle name="표준 21 3 2 2" xfId="8751" xr:uid="{00000000-0005-0000-0000-000089750000}"/>
    <cellStyle name="표준 21 3 2 2 2" xfId="8752" xr:uid="{00000000-0005-0000-0000-00008A750000}"/>
    <cellStyle name="표준 21 3 2 2 3" xfId="8753" xr:uid="{00000000-0005-0000-0000-00008B750000}"/>
    <cellStyle name="표준 21 3 2 2_뇌출혈특약(갱신형)" xfId="14006" xr:uid="{00000000-0005-0000-0000-00008C750000}"/>
    <cellStyle name="표준 21 3 2 3" xfId="8754" xr:uid="{00000000-0005-0000-0000-00008D750000}"/>
    <cellStyle name="표준 21 3 2 4" xfId="8755" xr:uid="{00000000-0005-0000-0000-00008E750000}"/>
    <cellStyle name="표준 21 3 2_뇌출혈특약(갱신형)" xfId="14007" xr:uid="{00000000-0005-0000-0000-00008F750000}"/>
    <cellStyle name="표준 21 3 3" xfId="8756" xr:uid="{00000000-0005-0000-0000-000090750000}"/>
    <cellStyle name="표준 21 3 3 2" xfId="8757" xr:uid="{00000000-0005-0000-0000-000091750000}"/>
    <cellStyle name="표준 21 3 3 2 2" xfId="8758" xr:uid="{00000000-0005-0000-0000-000092750000}"/>
    <cellStyle name="표준 21 3 3 2 3" xfId="8759" xr:uid="{00000000-0005-0000-0000-000093750000}"/>
    <cellStyle name="표준 21 3 3 2_뇌출혈특약(갱신형)" xfId="14008" xr:uid="{00000000-0005-0000-0000-000094750000}"/>
    <cellStyle name="표준 21 3 3 3" xfId="8760" xr:uid="{00000000-0005-0000-0000-000095750000}"/>
    <cellStyle name="표준 21 3 3 4" xfId="8761" xr:uid="{00000000-0005-0000-0000-000096750000}"/>
    <cellStyle name="표준 21 3 3_뇌출혈특약(갱신형)" xfId="14009" xr:uid="{00000000-0005-0000-0000-000097750000}"/>
    <cellStyle name="표준 21 3 4" xfId="8762" xr:uid="{00000000-0005-0000-0000-000098750000}"/>
    <cellStyle name="표준 21 3 4 2" xfId="8763" xr:uid="{00000000-0005-0000-0000-000099750000}"/>
    <cellStyle name="표준 21 3 4 3" xfId="8764" xr:uid="{00000000-0005-0000-0000-00009A750000}"/>
    <cellStyle name="표준 21 3 4_뇌출혈특약(갱신형)" xfId="14010" xr:uid="{00000000-0005-0000-0000-00009B750000}"/>
    <cellStyle name="표준 21 3 5" xfId="8765" xr:uid="{00000000-0005-0000-0000-00009C750000}"/>
    <cellStyle name="표준 21 3 5 2" xfId="8766" xr:uid="{00000000-0005-0000-0000-00009D750000}"/>
    <cellStyle name="표준 21 3 5 3" xfId="8767" xr:uid="{00000000-0005-0000-0000-00009E750000}"/>
    <cellStyle name="표준 21 3 5_뇌출혈특약(갱신형)" xfId="14011" xr:uid="{00000000-0005-0000-0000-00009F750000}"/>
    <cellStyle name="표준 21 3 6" xfId="8768" xr:uid="{00000000-0005-0000-0000-0000A0750000}"/>
    <cellStyle name="표준 21 3 7" xfId="8769" xr:uid="{00000000-0005-0000-0000-0000A1750000}"/>
    <cellStyle name="표준 21 3_뇌출혈특약(갱신형)" xfId="14012" xr:uid="{00000000-0005-0000-0000-0000A2750000}"/>
    <cellStyle name="표준 21 4" xfId="8770" xr:uid="{00000000-0005-0000-0000-0000A3750000}"/>
    <cellStyle name="표준 21 4 2" xfId="8771" xr:uid="{00000000-0005-0000-0000-0000A4750000}"/>
    <cellStyle name="표준 21 4 2 2" xfId="8772" xr:uid="{00000000-0005-0000-0000-0000A5750000}"/>
    <cellStyle name="표준 21 4 2 2 2" xfId="8773" xr:uid="{00000000-0005-0000-0000-0000A6750000}"/>
    <cellStyle name="표준 21 4 2 2 3" xfId="8774" xr:uid="{00000000-0005-0000-0000-0000A7750000}"/>
    <cellStyle name="표준 21 4 2 2_뇌출혈특약(갱신형)" xfId="14013" xr:uid="{00000000-0005-0000-0000-0000A8750000}"/>
    <cellStyle name="표준 21 4 2 3" xfId="8775" xr:uid="{00000000-0005-0000-0000-0000A9750000}"/>
    <cellStyle name="표준 21 4 2 4" xfId="8776" xr:uid="{00000000-0005-0000-0000-0000AA750000}"/>
    <cellStyle name="표준 21 4 2_뇌출혈특약(갱신형)" xfId="14014" xr:uid="{00000000-0005-0000-0000-0000AB750000}"/>
    <cellStyle name="표준 21 4 3" xfId="8777" xr:uid="{00000000-0005-0000-0000-0000AC750000}"/>
    <cellStyle name="표준 21 4 3 2" xfId="8778" xr:uid="{00000000-0005-0000-0000-0000AD750000}"/>
    <cellStyle name="표준 21 4 3 2 2" xfId="8779" xr:uid="{00000000-0005-0000-0000-0000AE750000}"/>
    <cellStyle name="표준 21 4 3 2 3" xfId="8780" xr:uid="{00000000-0005-0000-0000-0000AF750000}"/>
    <cellStyle name="표준 21 4 3 2_뇌출혈특약(갱신형)" xfId="14015" xr:uid="{00000000-0005-0000-0000-0000B0750000}"/>
    <cellStyle name="표준 21 4 3 3" xfId="8781" xr:uid="{00000000-0005-0000-0000-0000B1750000}"/>
    <cellStyle name="표준 21 4 3 4" xfId="8782" xr:uid="{00000000-0005-0000-0000-0000B2750000}"/>
    <cellStyle name="표준 21 4 3_뇌출혈특약(갱신형)" xfId="14016" xr:uid="{00000000-0005-0000-0000-0000B3750000}"/>
    <cellStyle name="표준 21 4 4" xfId="8783" xr:uid="{00000000-0005-0000-0000-0000B4750000}"/>
    <cellStyle name="표준 21 4 4 2" xfId="8784" xr:uid="{00000000-0005-0000-0000-0000B5750000}"/>
    <cellStyle name="표준 21 4 4 3" xfId="8785" xr:uid="{00000000-0005-0000-0000-0000B6750000}"/>
    <cellStyle name="표준 21 4 4_뇌출혈특약(갱신형)" xfId="14017" xr:uid="{00000000-0005-0000-0000-0000B7750000}"/>
    <cellStyle name="표준 21 4 5" xfId="8786" xr:uid="{00000000-0005-0000-0000-0000B8750000}"/>
    <cellStyle name="표준 21 4 5 2" xfId="8787" xr:uid="{00000000-0005-0000-0000-0000B9750000}"/>
    <cellStyle name="표준 21 4 5 3" xfId="8788" xr:uid="{00000000-0005-0000-0000-0000BA750000}"/>
    <cellStyle name="표준 21 4 5_뇌출혈특약(갱신형)" xfId="14018" xr:uid="{00000000-0005-0000-0000-0000BB750000}"/>
    <cellStyle name="표준 21 4 6" xfId="8789" xr:uid="{00000000-0005-0000-0000-0000BC750000}"/>
    <cellStyle name="표준 21 4 7" xfId="8790" xr:uid="{00000000-0005-0000-0000-0000BD750000}"/>
    <cellStyle name="표준 21 4_뇌출혈특약(갱신형)" xfId="14019" xr:uid="{00000000-0005-0000-0000-0000BE750000}"/>
    <cellStyle name="표준 21 5" xfId="8791" xr:uid="{00000000-0005-0000-0000-0000BF750000}"/>
    <cellStyle name="표준 21 5 2" xfId="8792" xr:uid="{00000000-0005-0000-0000-0000C0750000}"/>
    <cellStyle name="표준 21 5 2 2" xfId="8793" xr:uid="{00000000-0005-0000-0000-0000C1750000}"/>
    <cellStyle name="표준 21 5 2 3" xfId="8794" xr:uid="{00000000-0005-0000-0000-0000C2750000}"/>
    <cellStyle name="표준 21 5 2_뇌출혈특약(갱신형)" xfId="14020" xr:uid="{00000000-0005-0000-0000-0000C3750000}"/>
    <cellStyle name="표준 21 5 3" xfId="8795" xr:uid="{00000000-0005-0000-0000-0000C4750000}"/>
    <cellStyle name="표준 21 5 4" xfId="8796" xr:uid="{00000000-0005-0000-0000-0000C5750000}"/>
    <cellStyle name="표준 21 5_뇌출혈특약(갱신형)" xfId="14021" xr:uid="{00000000-0005-0000-0000-0000C6750000}"/>
    <cellStyle name="표준 21 6" xfId="8797" xr:uid="{00000000-0005-0000-0000-0000C7750000}"/>
    <cellStyle name="표준 21 6 2" xfId="8798" xr:uid="{00000000-0005-0000-0000-0000C8750000}"/>
    <cellStyle name="표준 21 6 2 2" xfId="8799" xr:uid="{00000000-0005-0000-0000-0000C9750000}"/>
    <cellStyle name="표준 21 6 2 3" xfId="8800" xr:uid="{00000000-0005-0000-0000-0000CA750000}"/>
    <cellStyle name="표준 21 6 2_뇌출혈특약(갱신형)" xfId="14022" xr:uid="{00000000-0005-0000-0000-0000CB750000}"/>
    <cellStyle name="표준 21 6 3" xfId="8801" xr:uid="{00000000-0005-0000-0000-0000CC750000}"/>
    <cellStyle name="표준 21 6 4" xfId="8802" xr:uid="{00000000-0005-0000-0000-0000CD750000}"/>
    <cellStyle name="표준 21 6_뇌출혈특약(갱신형)" xfId="14023" xr:uid="{00000000-0005-0000-0000-0000CE750000}"/>
    <cellStyle name="표준 21 7" xfId="8803" xr:uid="{00000000-0005-0000-0000-0000CF750000}"/>
    <cellStyle name="표준 21 7 2" xfId="8804" xr:uid="{00000000-0005-0000-0000-0000D0750000}"/>
    <cellStyle name="표준 21 7 3" xfId="8805" xr:uid="{00000000-0005-0000-0000-0000D1750000}"/>
    <cellStyle name="표준 21 7_뇌출혈특약(갱신형)" xfId="14024" xr:uid="{00000000-0005-0000-0000-0000D2750000}"/>
    <cellStyle name="표준 21 8" xfId="8806" xr:uid="{00000000-0005-0000-0000-0000D3750000}"/>
    <cellStyle name="표준 21 8 2" xfId="8807" xr:uid="{00000000-0005-0000-0000-0000D4750000}"/>
    <cellStyle name="표준 21 8 3" xfId="8808" xr:uid="{00000000-0005-0000-0000-0000D5750000}"/>
    <cellStyle name="표준 21 8_뇌출혈특약(갱신형)" xfId="14025" xr:uid="{00000000-0005-0000-0000-0000D6750000}"/>
    <cellStyle name="표준 21 9" xfId="8809" xr:uid="{00000000-0005-0000-0000-0000D7750000}"/>
    <cellStyle name="표준 21 9 2" xfId="8810" xr:uid="{00000000-0005-0000-0000-0000D8750000}"/>
    <cellStyle name="표준 21 9 3" xfId="8811" xr:uid="{00000000-0005-0000-0000-0000D9750000}"/>
    <cellStyle name="표준 21 9_뇌출혈특약(갱신형)" xfId="14026" xr:uid="{00000000-0005-0000-0000-0000DA750000}"/>
    <cellStyle name="표준 21_뇌출혈특약(갱신형)" xfId="14027" xr:uid="{00000000-0005-0000-0000-0000DB750000}"/>
    <cellStyle name="표준 22" xfId="8812" xr:uid="{00000000-0005-0000-0000-0000DC750000}"/>
    <cellStyle name="표준 22 10" xfId="18081" xr:uid="{00000000-0005-0000-0000-0000DD750000}"/>
    <cellStyle name="표준 22 2" xfId="8813" xr:uid="{00000000-0005-0000-0000-0000DE750000}"/>
    <cellStyle name="표준 22 2 2" xfId="12238" xr:uid="{00000000-0005-0000-0000-0000DF750000}"/>
    <cellStyle name="표준 22 2 3" xfId="12239" xr:uid="{00000000-0005-0000-0000-0000E0750000}"/>
    <cellStyle name="표준 22 3" xfId="8814" xr:uid="{00000000-0005-0000-0000-0000E1750000}"/>
    <cellStyle name="표준 22 3 2" xfId="8815" xr:uid="{00000000-0005-0000-0000-0000E2750000}"/>
    <cellStyle name="표준 22 3 2 2" xfId="8816" xr:uid="{00000000-0005-0000-0000-0000E3750000}"/>
    <cellStyle name="표준 22 3 2 2 2" xfId="8817" xr:uid="{00000000-0005-0000-0000-0000E4750000}"/>
    <cellStyle name="표준 22 3 2 2 3" xfId="8818" xr:uid="{00000000-0005-0000-0000-0000E5750000}"/>
    <cellStyle name="표준 22 3 2 2_뇌출혈특약(갱신형)" xfId="14028" xr:uid="{00000000-0005-0000-0000-0000E6750000}"/>
    <cellStyle name="표준 22 3 2 3" xfId="8819" xr:uid="{00000000-0005-0000-0000-0000E7750000}"/>
    <cellStyle name="표준 22 3 2 4" xfId="8820" xr:uid="{00000000-0005-0000-0000-0000E8750000}"/>
    <cellStyle name="표준 22 3 2_뇌출혈특약(갱신형)" xfId="14029" xr:uid="{00000000-0005-0000-0000-0000E9750000}"/>
    <cellStyle name="표준 22 3 3" xfId="8821" xr:uid="{00000000-0005-0000-0000-0000EA750000}"/>
    <cellStyle name="표준 22 3 3 2" xfId="8822" xr:uid="{00000000-0005-0000-0000-0000EB750000}"/>
    <cellStyle name="표준 22 3 3 2 2" xfId="8823" xr:uid="{00000000-0005-0000-0000-0000EC750000}"/>
    <cellStyle name="표준 22 3 3 2 3" xfId="8824" xr:uid="{00000000-0005-0000-0000-0000ED750000}"/>
    <cellStyle name="표준 22 3 3 2_뇌출혈특약(갱신형)" xfId="14030" xr:uid="{00000000-0005-0000-0000-0000EE750000}"/>
    <cellStyle name="표준 22 3 3 3" xfId="8825" xr:uid="{00000000-0005-0000-0000-0000EF750000}"/>
    <cellStyle name="표준 22 3 3 4" xfId="8826" xr:uid="{00000000-0005-0000-0000-0000F0750000}"/>
    <cellStyle name="표준 22 3 3_뇌출혈특약(갱신형)" xfId="14031" xr:uid="{00000000-0005-0000-0000-0000F1750000}"/>
    <cellStyle name="표준 22 3 4" xfId="8827" xr:uid="{00000000-0005-0000-0000-0000F2750000}"/>
    <cellStyle name="표준 22 3 4 2" xfId="8828" xr:uid="{00000000-0005-0000-0000-0000F3750000}"/>
    <cellStyle name="표준 22 3 4 3" xfId="8829" xr:uid="{00000000-0005-0000-0000-0000F4750000}"/>
    <cellStyle name="표준 22 3 4_뇌출혈특약(갱신형)" xfId="14032" xr:uid="{00000000-0005-0000-0000-0000F5750000}"/>
    <cellStyle name="표준 22 3 5" xfId="8830" xr:uid="{00000000-0005-0000-0000-0000F6750000}"/>
    <cellStyle name="표준 22 3 5 2" xfId="8831" xr:uid="{00000000-0005-0000-0000-0000F7750000}"/>
    <cellStyle name="표준 22 3 5 3" xfId="8832" xr:uid="{00000000-0005-0000-0000-0000F8750000}"/>
    <cellStyle name="표준 22 3 5_뇌출혈특약(갱신형)" xfId="14033" xr:uid="{00000000-0005-0000-0000-0000F9750000}"/>
    <cellStyle name="표준 22 3 6" xfId="8833" xr:uid="{00000000-0005-0000-0000-0000FA750000}"/>
    <cellStyle name="표준 22 3 7" xfId="8834" xr:uid="{00000000-0005-0000-0000-0000FB750000}"/>
    <cellStyle name="표준 22 3 8" xfId="12240" xr:uid="{00000000-0005-0000-0000-0000FC750000}"/>
    <cellStyle name="표준 22 3_뇌출혈특약(갱신형)" xfId="14034" xr:uid="{00000000-0005-0000-0000-0000FD750000}"/>
    <cellStyle name="표준 22 4" xfId="8835" xr:uid="{00000000-0005-0000-0000-0000FE750000}"/>
    <cellStyle name="표준 22 4 2" xfId="8836" xr:uid="{00000000-0005-0000-0000-0000FF750000}"/>
    <cellStyle name="표준 22 4 2 2" xfId="8837" xr:uid="{00000000-0005-0000-0000-000000760000}"/>
    <cellStyle name="표준 22 4 2 3" xfId="8838" xr:uid="{00000000-0005-0000-0000-000001760000}"/>
    <cellStyle name="표준 22 4 2_뇌출혈특약(갱신형)" xfId="14035" xr:uid="{00000000-0005-0000-0000-000002760000}"/>
    <cellStyle name="표준 22 4 3" xfId="8839" xr:uid="{00000000-0005-0000-0000-000003760000}"/>
    <cellStyle name="표준 22 4 4" xfId="8840" xr:uid="{00000000-0005-0000-0000-000004760000}"/>
    <cellStyle name="표준 22 4_뇌출혈특약(갱신형)" xfId="14036" xr:uid="{00000000-0005-0000-0000-000005760000}"/>
    <cellStyle name="표준 22 5" xfId="8841" xr:uid="{00000000-0005-0000-0000-000006760000}"/>
    <cellStyle name="표준 22 5 2" xfId="8842" xr:uid="{00000000-0005-0000-0000-000007760000}"/>
    <cellStyle name="표준 22 5 2 2" xfId="8843" xr:uid="{00000000-0005-0000-0000-000008760000}"/>
    <cellStyle name="표준 22 5 2 3" xfId="8844" xr:uid="{00000000-0005-0000-0000-000009760000}"/>
    <cellStyle name="표준 22 5 2_뇌출혈특약(갱신형)" xfId="14037" xr:uid="{00000000-0005-0000-0000-00000A760000}"/>
    <cellStyle name="표준 22 5 3" xfId="8845" xr:uid="{00000000-0005-0000-0000-00000B760000}"/>
    <cellStyle name="표준 22 5 4" xfId="8846" xr:uid="{00000000-0005-0000-0000-00000C760000}"/>
    <cellStyle name="표준 22 5_뇌출혈특약(갱신형)" xfId="14038" xr:uid="{00000000-0005-0000-0000-00000D760000}"/>
    <cellStyle name="표준 22 6" xfId="8847" xr:uid="{00000000-0005-0000-0000-00000E760000}"/>
    <cellStyle name="표준 22 6 2" xfId="8848" xr:uid="{00000000-0005-0000-0000-00000F760000}"/>
    <cellStyle name="표준 22 6 3" xfId="8849" xr:uid="{00000000-0005-0000-0000-000010760000}"/>
    <cellStyle name="표준 22 6_뇌출혈특약(갱신형)" xfId="14039" xr:uid="{00000000-0005-0000-0000-000011760000}"/>
    <cellStyle name="표준 22 7" xfId="8850" xr:uid="{00000000-0005-0000-0000-000012760000}"/>
    <cellStyle name="표준 22 8" xfId="8851" xr:uid="{00000000-0005-0000-0000-000013760000}"/>
    <cellStyle name="표준 22 9" xfId="8852" xr:uid="{00000000-0005-0000-0000-000014760000}"/>
    <cellStyle name="표준 22_뇌출혈특약(갱신형)" xfId="14040" xr:uid="{00000000-0005-0000-0000-000015760000}"/>
    <cellStyle name="표준 23" xfId="8853" xr:uid="{00000000-0005-0000-0000-000016760000}"/>
    <cellStyle name="표준 23 2" xfId="8854" xr:uid="{00000000-0005-0000-0000-000017760000}"/>
    <cellStyle name="표준 23 3" xfId="18082" xr:uid="{00000000-0005-0000-0000-000018760000}"/>
    <cellStyle name="표준 23 4" xfId="18083" xr:uid="{00000000-0005-0000-0000-000019760000}"/>
    <cellStyle name="표준 23_뇌출혈특약(갱신형)" xfId="14041" xr:uid="{00000000-0005-0000-0000-00001A760000}"/>
    <cellStyle name="표준 24" xfId="8855" xr:uid="{00000000-0005-0000-0000-00001B760000}"/>
    <cellStyle name="표준 24 10" xfId="8856" xr:uid="{00000000-0005-0000-0000-00001C760000}"/>
    <cellStyle name="표준 24 11" xfId="8857" xr:uid="{00000000-0005-0000-0000-00001D760000}"/>
    <cellStyle name="표준 24 12" xfId="18084" xr:uid="{00000000-0005-0000-0000-00001E760000}"/>
    <cellStyle name="표준 24 2" xfId="8858" xr:uid="{00000000-0005-0000-0000-00001F760000}"/>
    <cellStyle name="표준 24 3" xfId="8859" xr:uid="{00000000-0005-0000-0000-000020760000}"/>
    <cellStyle name="표준 24 3 2" xfId="8860" xr:uid="{00000000-0005-0000-0000-000021760000}"/>
    <cellStyle name="표준 24 3 2 2" xfId="8861" xr:uid="{00000000-0005-0000-0000-000022760000}"/>
    <cellStyle name="표준 24 3 2 2 2" xfId="8862" xr:uid="{00000000-0005-0000-0000-000023760000}"/>
    <cellStyle name="표준 24 3 2 2 3" xfId="8863" xr:uid="{00000000-0005-0000-0000-000024760000}"/>
    <cellStyle name="표준 24 3 2 2_뇌출혈특약(갱신형)" xfId="14042" xr:uid="{00000000-0005-0000-0000-000025760000}"/>
    <cellStyle name="표준 24 3 2 3" xfId="8864" xr:uid="{00000000-0005-0000-0000-000026760000}"/>
    <cellStyle name="표준 24 3 2 4" xfId="8865" xr:uid="{00000000-0005-0000-0000-000027760000}"/>
    <cellStyle name="표준 24 3 2_뇌출혈특약(갱신형)" xfId="14043" xr:uid="{00000000-0005-0000-0000-000028760000}"/>
    <cellStyle name="표준 24 3 3" xfId="8866" xr:uid="{00000000-0005-0000-0000-000029760000}"/>
    <cellStyle name="표준 24 3 3 2" xfId="8867" xr:uid="{00000000-0005-0000-0000-00002A760000}"/>
    <cellStyle name="표준 24 3 3 2 2" xfId="8868" xr:uid="{00000000-0005-0000-0000-00002B760000}"/>
    <cellStyle name="표준 24 3 3 2 3" xfId="8869" xr:uid="{00000000-0005-0000-0000-00002C760000}"/>
    <cellStyle name="표준 24 3 3 2_뇌출혈특약(갱신형)" xfId="14044" xr:uid="{00000000-0005-0000-0000-00002D760000}"/>
    <cellStyle name="표준 24 3 3 3" xfId="8870" xr:uid="{00000000-0005-0000-0000-00002E760000}"/>
    <cellStyle name="표준 24 3 3 4" xfId="8871" xr:uid="{00000000-0005-0000-0000-00002F760000}"/>
    <cellStyle name="표준 24 3 3_뇌출혈특약(갱신형)" xfId="14045" xr:uid="{00000000-0005-0000-0000-000030760000}"/>
    <cellStyle name="표준 24 3 4" xfId="8872" xr:uid="{00000000-0005-0000-0000-000031760000}"/>
    <cellStyle name="표준 24 3 4 2" xfId="8873" xr:uid="{00000000-0005-0000-0000-000032760000}"/>
    <cellStyle name="표준 24 3 4 3" xfId="8874" xr:uid="{00000000-0005-0000-0000-000033760000}"/>
    <cellStyle name="표준 24 3 4_뇌출혈특약(갱신형)" xfId="14046" xr:uid="{00000000-0005-0000-0000-000034760000}"/>
    <cellStyle name="표준 24 3 5" xfId="8875" xr:uid="{00000000-0005-0000-0000-000035760000}"/>
    <cellStyle name="표준 24 3 5 2" xfId="8876" xr:uid="{00000000-0005-0000-0000-000036760000}"/>
    <cellStyle name="표준 24 3 5 3" xfId="8877" xr:uid="{00000000-0005-0000-0000-000037760000}"/>
    <cellStyle name="표준 24 3 5_뇌출혈특약(갱신형)" xfId="14047" xr:uid="{00000000-0005-0000-0000-000038760000}"/>
    <cellStyle name="표준 24 3 6" xfId="8878" xr:uid="{00000000-0005-0000-0000-000039760000}"/>
    <cellStyle name="표준 24 3 7" xfId="8879" xr:uid="{00000000-0005-0000-0000-00003A760000}"/>
    <cellStyle name="표준 24 3_뇌출혈특약(갱신형)" xfId="14048" xr:uid="{00000000-0005-0000-0000-00003B760000}"/>
    <cellStyle name="표준 24 4" xfId="8880" xr:uid="{00000000-0005-0000-0000-00003C760000}"/>
    <cellStyle name="표준 24 4 2" xfId="8881" xr:uid="{00000000-0005-0000-0000-00003D760000}"/>
    <cellStyle name="표준 24 4 2 2" xfId="8882" xr:uid="{00000000-0005-0000-0000-00003E760000}"/>
    <cellStyle name="표준 24 4 2 2 2" xfId="8883" xr:uid="{00000000-0005-0000-0000-00003F760000}"/>
    <cellStyle name="표준 24 4 2 2 3" xfId="8884" xr:uid="{00000000-0005-0000-0000-000040760000}"/>
    <cellStyle name="표준 24 4 2 2_뇌출혈특약(갱신형)" xfId="14049" xr:uid="{00000000-0005-0000-0000-000041760000}"/>
    <cellStyle name="표준 24 4 2 3" xfId="8885" xr:uid="{00000000-0005-0000-0000-000042760000}"/>
    <cellStyle name="표준 24 4 2 4" xfId="8886" xr:uid="{00000000-0005-0000-0000-000043760000}"/>
    <cellStyle name="표준 24 4 2_뇌출혈특약(갱신형)" xfId="14050" xr:uid="{00000000-0005-0000-0000-000044760000}"/>
    <cellStyle name="표준 24 4 3" xfId="8887" xr:uid="{00000000-0005-0000-0000-000045760000}"/>
    <cellStyle name="표준 24 4 3 2" xfId="8888" xr:uid="{00000000-0005-0000-0000-000046760000}"/>
    <cellStyle name="표준 24 4 3 2 2" xfId="8889" xr:uid="{00000000-0005-0000-0000-000047760000}"/>
    <cellStyle name="표준 24 4 3 2 3" xfId="8890" xr:uid="{00000000-0005-0000-0000-000048760000}"/>
    <cellStyle name="표준 24 4 3 2_뇌출혈특약(갱신형)" xfId="14051" xr:uid="{00000000-0005-0000-0000-000049760000}"/>
    <cellStyle name="표준 24 4 3 3" xfId="8891" xr:uid="{00000000-0005-0000-0000-00004A760000}"/>
    <cellStyle name="표준 24 4 3 4" xfId="8892" xr:uid="{00000000-0005-0000-0000-00004B760000}"/>
    <cellStyle name="표준 24 4 3_뇌출혈특약(갱신형)" xfId="14052" xr:uid="{00000000-0005-0000-0000-00004C760000}"/>
    <cellStyle name="표준 24 4 4" xfId="8893" xr:uid="{00000000-0005-0000-0000-00004D760000}"/>
    <cellStyle name="표준 24 4 4 2" xfId="8894" xr:uid="{00000000-0005-0000-0000-00004E760000}"/>
    <cellStyle name="표준 24 4 4 3" xfId="8895" xr:uid="{00000000-0005-0000-0000-00004F760000}"/>
    <cellStyle name="표준 24 4 4_뇌출혈특약(갱신형)" xfId="14053" xr:uid="{00000000-0005-0000-0000-000050760000}"/>
    <cellStyle name="표준 24 4 5" xfId="8896" xr:uid="{00000000-0005-0000-0000-000051760000}"/>
    <cellStyle name="표준 24 4 5 2" xfId="8897" xr:uid="{00000000-0005-0000-0000-000052760000}"/>
    <cellStyle name="표준 24 4 5 3" xfId="8898" xr:uid="{00000000-0005-0000-0000-000053760000}"/>
    <cellStyle name="표준 24 4 5_뇌출혈특약(갱신형)" xfId="14054" xr:uid="{00000000-0005-0000-0000-000054760000}"/>
    <cellStyle name="표준 24 4 6" xfId="8899" xr:uid="{00000000-0005-0000-0000-000055760000}"/>
    <cellStyle name="표준 24 4 7" xfId="8900" xr:uid="{00000000-0005-0000-0000-000056760000}"/>
    <cellStyle name="표준 24 4_뇌출혈특약(갱신형)" xfId="14055" xr:uid="{00000000-0005-0000-0000-000057760000}"/>
    <cellStyle name="표준 24 5" xfId="8901" xr:uid="{00000000-0005-0000-0000-000058760000}"/>
    <cellStyle name="표준 24 5 2" xfId="8902" xr:uid="{00000000-0005-0000-0000-000059760000}"/>
    <cellStyle name="표준 24 5 2 2" xfId="8903" xr:uid="{00000000-0005-0000-0000-00005A760000}"/>
    <cellStyle name="표준 24 5 2 3" xfId="8904" xr:uid="{00000000-0005-0000-0000-00005B760000}"/>
    <cellStyle name="표준 24 5 2_뇌출혈특약(갱신형)" xfId="14056" xr:uid="{00000000-0005-0000-0000-00005C760000}"/>
    <cellStyle name="표준 24 5 3" xfId="8905" xr:uid="{00000000-0005-0000-0000-00005D760000}"/>
    <cellStyle name="표준 24 5 4" xfId="8906" xr:uid="{00000000-0005-0000-0000-00005E760000}"/>
    <cellStyle name="표준 24 5_뇌출혈특약(갱신형)" xfId="14057" xr:uid="{00000000-0005-0000-0000-00005F760000}"/>
    <cellStyle name="표준 24 6" xfId="8907" xr:uid="{00000000-0005-0000-0000-000060760000}"/>
    <cellStyle name="표준 24 6 2" xfId="8908" xr:uid="{00000000-0005-0000-0000-000061760000}"/>
    <cellStyle name="표준 24 6 2 2" xfId="8909" xr:uid="{00000000-0005-0000-0000-000062760000}"/>
    <cellStyle name="표준 24 6 2 3" xfId="8910" xr:uid="{00000000-0005-0000-0000-000063760000}"/>
    <cellStyle name="표준 24 6 2_뇌출혈특약(갱신형)" xfId="14058" xr:uid="{00000000-0005-0000-0000-000064760000}"/>
    <cellStyle name="표준 24 6 3" xfId="8911" xr:uid="{00000000-0005-0000-0000-000065760000}"/>
    <cellStyle name="표준 24 6 4" xfId="8912" xr:uid="{00000000-0005-0000-0000-000066760000}"/>
    <cellStyle name="표준 24 6_뇌출혈특약(갱신형)" xfId="14059" xr:uid="{00000000-0005-0000-0000-000067760000}"/>
    <cellStyle name="표준 24 7" xfId="8913" xr:uid="{00000000-0005-0000-0000-000068760000}"/>
    <cellStyle name="표준 24 7 2" xfId="8914" xr:uid="{00000000-0005-0000-0000-000069760000}"/>
    <cellStyle name="표준 24 7 3" xfId="8915" xr:uid="{00000000-0005-0000-0000-00006A760000}"/>
    <cellStyle name="표준 24 7_뇌출혈특약(갱신형)" xfId="14060" xr:uid="{00000000-0005-0000-0000-00006B760000}"/>
    <cellStyle name="표준 24 8" xfId="8916" xr:uid="{00000000-0005-0000-0000-00006C760000}"/>
    <cellStyle name="표준 24 9" xfId="8917" xr:uid="{00000000-0005-0000-0000-00006D760000}"/>
    <cellStyle name="표준 24_뇌출혈특약(갱신형)" xfId="14061" xr:uid="{00000000-0005-0000-0000-00006E760000}"/>
    <cellStyle name="표준 25" xfId="8918" xr:uid="{00000000-0005-0000-0000-00006F760000}"/>
    <cellStyle name="표준 25 2" xfId="8919" xr:uid="{00000000-0005-0000-0000-000070760000}"/>
    <cellStyle name="표준 25 2 2" xfId="8920" xr:uid="{00000000-0005-0000-0000-000071760000}"/>
    <cellStyle name="표준 25 2 2 2" xfId="8921" xr:uid="{00000000-0005-0000-0000-000072760000}"/>
    <cellStyle name="표준 25 2 2 2 2" xfId="8922" xr:uid="{00000000-0005-0000-0000-000073760000}"/>
    <cellStyle name="표준 25 2 2 2 3" xfId="8923" xr:uid="{00000000-0005-0000-0000-000074760000}"/>
    <cellStyle name="표준 25 2 2 2_뇌출혈특약(갱신형)" xfId="14062" xr:uid="{00000000-0005-0000-0000-000075760000}"/>
    <cellStyle name="표준 25 2 2 3" xfId="8924" xr:uid="{00000000-0005-0000-0000-000076760000}"/>
    <cellStyle name="표준 25 2 2 4" xfId="8925" xr:uid="{00000000-0005-0000-0000-000077760000}"/>
    <cellStyle name="표준 25 2 2_뇌출혈특약(갱신형)" xfId="14063" xr:uid="{00000000-0005-0000-0000-000078760000}"/>
    <cellStyle name="표준 25 2 3" xfId="8926" xr:uid="{00000000-0005-0000-0000-000079760000}"/>
    <cellStyle name="표준 25 2 3 2" xfId="8927" xr:uid="{00000000-0005-0000-0000-00007A760000}"/>
    <cellStyle name="표준 25 2 3 2 2" xfId="8928" xr:uid="{00000000-0005-0000-0000-00007B760000}"/>
    <cellStyle name="표준 25 2 3 2 3" xfId="8929" xr:uid="{00000000-0005-0000-0000-00007C760000}"/>
    <cellStyle name="표준 25 2 3 2_뇌출혈특약(갱신형)" xfId="14064" xr:uid="{00000000-0005-0000-0000-00007D760000}"/>
    <cellStyle name="표준 25 2 3 3" xfId="8930" xr:uid="{00000000-0005-0000-0000-00007E760000}"/>
    <cellStyle name="표준 25 2 3 4" xfId="8931" xr:uid="{00000000-0005-0000-0000-00007F760000}"/>
    <cellStyle name="표준 25 2 3_뇌출혈특약(갱신형)" xfId="14065" xr:uid="{00000000-0005-0000-0000-000080760000}"/>
    <cellStyle name="표준 25 2 4" xfId="8932" xr:uid="{00000000-0005-0000-0000-000081760000}"/>
    <cellStyle name="표준 25 2 4 2" xfId="8933" xr:uid="{00000000-0005-0000-0000-000082760000}"/>
    <cellStyle name="표준 25 2 4 3" xfId="8934" xr:uid="{00000000-0005-0000-0000-000083760000}"/>
    <cellStyle name="표준 25 2 4_뇌출혈특약(갱신형)" xfId="14066" xr:uid="{00000000-0005-0000-0000-000084760000}"/>
    <cellStyle name="표준 25 2 5" xfId="8935" xr:uid="{00000000-0005-0000-0000-000085760000}"/>
    <cellStyle name="표준 25 2 5 2" xfId="8936" xr:uid="{00000000-0005-0000-0000-000086760000}"/>
    <cellStyle name="표준 25 2 5 3" xfId="8937" xr:uid="{00000000-0005-0000-0000-000087760000}"/>
    <cellStyle name="표준 25 2 5_뇌출혈특약(갱신형)" xfId="14067" xr:uid="{00000000-0005-0000-0000-000088760000}"/>
    <cellStyle name="표준 25 2 6" xfId="8938" xr:uid="{00000000-0005-0000-0000-000089760000}"/>
    <cellStyle name="표준 25 2 7" xfId="8939" xr:uid="{00000000-0005-0000-0000-00008A760000}"/>
    <cellStyle name="표준 25 2_뇌출혈특약(갱신형)" xfId="14068" xr:uid="{00000000-0005-0000-0000-00008B760000}"/>
    <cellStyle name="표준 25 3" xfId="8940" xr:uid="{00000000-0005-0000-0000-00008C760000}"/>
    <cellStyle name="표준 25 3 2" xfId="8941" xr:uid="{00000000-0005-0000-0000-00008D760000}"/>
    <cellStyle name="표준 25 3 2 2" xfId="8942" xr:uid="{00000000-0005-0000-0000-00008E760000}"/>
    <cellStyle name="표준 25 3 2 3" xfId="8943" xr:uid="{00000000-0005-0000-0000-00008F760000}"/>
    <cellStyle name="표준 25 3 2_뇌출혈특약(갱신형)" xfId="14069" xr:uid="{00000000-0005-0000-0000-000090760000}"/>
    <cellStyle name="표준 25 3 3" xfId="8944" xr:uid="{00000000-0005-0000-0000-000091760000}"/>
    <cellStyle name="표준 25 3 4" xfId="8945" xr:uid="{00000000-0005-0000-0000-000092760000}"/>
    <cellStyle name="표준 25 3_뇌출혈특약(갱신형)" xfId="14070" xr:uid="{00000000-0005-0000-0000-000093760000}"/>
    <cellStyle name="표준 25 4" xfId="8946" xr:uid="{00000000-0005-0000-0000-000094760000}"/>
    <cellStyle name="표준 25 4 2" xfId="8947" xr:uid="{00000000-0005-0000-0000-000095760000}"/>
    <cellStyle name="표준 25 4 2 2" xfId="8948" xr:uid="{00000000-0005-0000-0000-000096760000}"/>
    <cellStyle name="표준 25 4 2 3" xfId="8949" xr:uid="{00000000-0005-0000-0000-000097760000}"/>
    <cellStyle name="표준 25 4 2_뇌출혈특약(갱신형)" xfId="14071" xr:uid="{00000000-0005-0000-0000-000098760000}"/>
    <cellStyle name="표준 25 4 3" xfId="8950" xr:uid="{00000000-0005-0000-0000-000099760000}"/>
    <cellStyle name="표준 25 4 4" xfId="8951" xr:uid="{00000000-0005-0000-0000-00009A760000}"/>
    <cellStyle name="표준 25 4_뇌출혈특약(갱신형)" xfId="14072" xr:uid="{00000000-0005-0000-0000-00009B760000}"/>
    <cellStyle name="표준 25 5" xfId="8952" xr:uid="{00000000-0005-0000-0000-00009C760000}"/>
    <cellStyle name="표준 25 5 2" xfId="8953" xr:uid="{00000000-0005-0000-0000-00009D760000}"/>
    <cellStyle name="표준 25 5 3" xfId="8954" xr:uid="{00000000-0005-0000-0000-00009E760000}"/>
    <cellStyle name="표준 25 5_뇌출혈특약(갱신형)" xfId="14073" xr:uid="{00000000-0005-0000-0000-00009F760000}"/>
    <cellStyle name="표준 25 6" xfId="8955" xr:uid="{00000000-0005-0000-0000-0000A0760000}"/>
    <cellStyle name="표준 25 6 2" xfId="8956" xr:uid="{00000000-0005-0000-0000-0000A1760000}"/>
    <cellStyle name="표준 25 6 3" xfId="8957" xr:uid="{00000000-0005-0000-0000-0000A2760000}"/>
    <cellStyle name="표준 25 6_뇌출혈특약(갱신형)" xfId="14074" xr:uid="{00000000-0005-0000-0000-0000A3760000}"/>
    <cellStyle name="표준 25 7" xfId="8958" xr:uid="{00000000-0005-0000-0000-0000A4760000}"/>
    <cellStyle name="표준 25 8" xfId="8959" xr:uid="{00000000-0005-0000-0000-0000A5760000}"/>
    <cellStyle name="표준 25_뇌출혈특약(갱신형)" xfId="14075" xr:uid="{00000000-0005-0000-0000-0000A6760000}"/>
    <cellStyle name="표준 26" xfId="8960" xr:uid="{00000000-0005-0000-0000-0000A7760000}"/>
    <cellStyle name="표준 26 2" xfId="8961" xr:uid="{00000000-0005-0000-0000-0000A8760000}"/>
    <cellStyle name="표준 26 2 2" xfId="8962" xr:uid="{00000000-0005-0000-0000-0000A9760000}"/>
    <cellStyle name="표준 26 2 2 2" xfId="8963" xr:uid="{00000000-0005-0000-0000-0000AA760000}"/>
    <cellStyle name="표준 26 2 2 3" xfId="8964" xr:uid="{00000000-0005-0000-0000-0000AB760000}"/>
    <cellStyle name="표준 26 2 2_뇌출혈특약(갱신형)" xfId="14076" xr:uid="{00000000-0005-0000-0000-0000AC760000}"/>
    <cellStyle name="표준 26 2 3" xfId="8965" xr:uid="{00000000-0005-0000-0000-0000AD760000}"/>
    <cellStyle name="표준 26 2 4" xfId="8966" xr:uid="{00000000-0005-0000-0000-0000AE760000}"/>
    <cellStyle name="표준 26 2_뇌출혈특약(갱신형)" xfId="14077" xr:uid="{00000000-0005-0000-0000-0000AF760000}"/>
    <cellStyle name="표준 26 3" xfId="8967" xr:uid="{00000000-0005-0000-0000-0000B0760000}"/>
    <cellStyle name="표준 26 3 2" xfId="8968" xr:uid="{00000000-0005-0000-0000-0000B1760000}"/>
    <cellStyle name="표준 26 3 2 2" xfId="8969" xr:uid="{00000000-0005-0000-0000-0000B2760000}"/>
    <cellStyle name="표준 26 3 2 3" xfId="8970" xr:uid="{00000000-0005-0000-0000-0000B3760000}"/>
    <cellStyle name="표준 26 3 2_뇌출혈특약(갱신형)" xfId="14078" xr:uid="{00000000-0005-0000-0000-0000B4760000}"/>
    <cellStyle name="표준 26 3 3" xfId="8971" xr:uid="{00000000-0005-0000-0000-0000B5760000}"/>
    <cellStyle name="표준 26 3 4" xfId="8972" xr:uid="{00000000-0005-0000-0000-0000B6760000}"/>
    <cellStyle name="표준 26 3_뇌출혈특약(갱신형)" xfId="14079" xr:uid="{00000000-0005-0000-0000-0000B7760000}"/>
    <cellStyle name="표준 26 4" xfId="8973" xr:uid="{00000000-0005-0000-0000-0000B8760000}"/>
    <cellStyle name="표준 26 4 2" xfId="8974" xr:uid="{00000000-0005-0000-0000-0000B9760000}"/>
    <cellStyle name="표준 26 4 3" xfId="8975" xr:uid="{00000000-0005-0000-0000-0000BA760000}"/>
    <cellStyle name="표준 26 4_뇌출혈특약(갱신형)" xfId="14080" xr:uid="{00000000-0005-0000-0000-0000BB760000}"/>
    <cellStyle name="표준 26 5" xfId="8976" xr:uid="{00000000-0005-0000-0000-0000BC760000}"/>
    <cellStyle name="표준 26 5 2" xfId="8977" xr:uid="{00000000-0005-0000-0000-0000BD760000}"/>
    <cellStyle name="표준 26 5 3" xfId="8978" xr:uid="{00000000-0005-0000-0000-0000BE760000}"/>
    <cellStyle name="표준 26 5_뇌출혈특약(갱신형)" xfId="14081" xr:uid="{00000000-0005-0000-0000-0000BF760000}"/>
    <cellStyle name="표준 26 6" xfId="8979" xr:uid="{00000000-0005-0000-0000-0000C0760000}"/>
    <cellStyle name="표준 26 7" xfId="8980" xr:uid="{00000000-0005-0000-0000-0000C1760000}"/>
    <cellStyle name="표준 26_뇌출혈특약(갱신형)" xfId="14082" xr:uid="{00000000-0005-0000-0000-0000C2760000}"/>
    <cellStyle name="표준 27" xfId="8981" xr:uid="{00000000-0005-0000-0000-0000C3760000}"/>
    <cellStyle name="표준 27 2" xfId="8982" xr:uid="{00000000-0005-0000-0000-0000C4760000}"/>
    <cellStyle name="표준 27 2 2" xfId="8983" xr:uid="{00000000-0005-0000-0000-0000C5760000}"/>
    <cellStyle name="표준 27 2_뇌출혈특약(갱신형)" xfId="14083" xr:uid="{00000000-0005-0000-0000-0000C6760000}"/>
    <cellStyle name="표준 27 3" xfId="8984" xr:uid="{00000000-0005-0000-0000-0000C7760000}"/>
    <cellStyle name="표준 27 4" xfId="8985" xr:uid="{00000000-0005-0000-0000-0000C8760000}"/>
    <cellStyle name="표준 27_뇌출혈특약(갱신형)" xfId="14084" xr:uid="{00000000-0005-0000-0000-0000C9760000}"/>
    <cellStyle name="표준 28" xfId="8986" xr:uid="{00000000-0005-0000-0000-0000CA760000}"/>
    <cellStyle name="표준 28 2" xfId="8987" xr:uid="{00000000-0005-0000-0000-0000CB760000}"/>
    <cellStyle name="표준 28 3" xfId="8988" xr:uid="{00000000-0005-0000-0000-0000CC760000}"/>
    <cellStyle name="표준 28_뇌출혈특약(갱신형)" xfId="14085" xr:uid="{00000000-0005-0000-0000-0000CD760000}"/>
    <cellStyle name="표준 29" xfId="8989" xr:uid="{00000000-0005-0000-0000-0000CE760000}"/>
    <cellStyle name="표준 29 2" xfId="8990" xr:uid="{00000000-0005-0000-0000-0000CF760000}"/>
    <cellStyle name="표준 29_뇌출혈특약(갱신형)" xfId="14086" xr:uid="{00000000-0005-0000-0000-0000D0760000}"/>
    <cellStyle name="표준 3" xfId="39" xr:uid="{00000000-0005-0000-0000-0000D1760000}"/>
    <cellStyle name="표준 3 10" xfId="8991" xr:uid="{00000000-0005-0000-0000-0000D2760000}"/>
    <cellStyle name="표준 3 10 2" xfId="8992" xr:uid="{00000000-0005-0000-0000-0000D3760000}"/>
    <cellStyle name="표준 3 10 3" xfId="8993" xr:uid="{00000000-0005-0000-0000-0000D4760000}"/>
    <cellStyle name="표준 3 10_뇌출혈특약(갱신형)" xfId="14087" xr:uid="{00000000-0005-0000-0000-0000D5760000}"/>
    <cellStyle name="표준 3 11" xfId="8994" xr:uid="{00000000-0005-0000-0000-0000D6760000}"/>
    <cellStyle name="표준 3 11 2" xfId="8995" xr:uid="{00000000-0005-0000-0000-0000D7760000}"/>
    <cellStyle name="표준 3 11_뇌출혈특약(갱신형)" xfId="14088" xr:uid="{00000000-0005-0000-0000-0000D8760000}"/>
    <cellStyle name="표준 3 12" xfId="8996" xr:uid="{00000000-0005-0000-0000-0000D9760000}"/>
    <cellStyle name="표준 3 12 2" xfId="8997" xr:uid="{00000000-0005-0000-0000-0000DA760000}"/>
    <cellStyle name="표준 3 12_뇌출혈특약(갱신형)" xfId="14089" xr:uid="{00000000-0005-0000-0000-0000DB760000}"/>
    <cellStyle name="표준 3 13" xfId="8998" xr:uid="{00000000-0005-0000-0000-0000DC760000}"/>
    <cellStyle name="표준 3 13 2" xfId="8999" xr:uid="{00000000-0005-0000-0000-0000DD760000}"/>
    <cellStyle name="표준 3 13_뇌출혈특약(갱신형)" xfId="14090" xr:uid="{00000000-0005-0000-0000-0000DE760000}"/>
    <cellStyle name="표준 3 14" xfId="9000" xr:uid="{00000000-0005-0000-0000-0000DF760000}"/>
    <cellStyle name="표준 3 14 2" xfId="9001" xr:uid="{00000000-0005-0000-0000-0000E0760000}"/>
    <cellStyle name="표준 3 14_뇌출혈특약(갱신형)" xfId="14091" xr:uid="{00000000-0005-0000-0000-0000E1760000}"/>
    <cellStyle name="표준 3 15" xfId="9002" xr:uid="{00000000-0005-0000-0000-0000E2760000}"/>
    <cellStyle name="표준 3 16" xfId="9003" xr:uid="{00000000-0005-0000-0000-0000E3760000}"/>
    <cellStyle name="표준 3 17" xfId="17158" xr:uid="{00000000-0005-0000-0000-0000E4760000}"/>
    <cellStyle name="표준 3 17 2" xfId="32368" xr:uid="{00000000-0005-0000-0000-0000E5760000}"/>
    <cellStyle name="표준 3 17 3" xfId="17332" xr:uid="{00000000-0005-0000-0000-0000E6760000}"/>
    <cellStyle name="표준 3 18" xfId="17159" xr:uid="{00000000-0005-0000-0000-0000E7760000}"/>
    <cellStyle name="표준 3 19" xfId="17160" xr:uid="{00000000-0005-0000-0000-0000E8760000}"/>
    <cellStyle name="표준 3 2" xfId="9004" xr:uid="{00000000-0005-0000-0000-0000E9760000}"/>
    <cellStyle name="표준 3 2 10" xfId="12241" xr:uid="{00000000-0005-0000-0000-0000EA760000}"/>
    <cellStyle name="표준 3 2 11" xfId="12242" xr:uid="{00000000-0005-0000-0000-0000EB760000}"/>
    <cellStyle name="표준 3 2 12" xfId="17161" xr:uid="{00000000-0005-0000-0000-0000EC760000}"/>
    <cellStyle name="표준 3 2 2" xfId="9005" xr:uid="{00000000-0005-0000-0000-0000ED760000}"/>
    <cellStyle name="표준 3 2 2 2" xfId="9006" xr:uid="{00000000-0005-0000-0000-0000EE760000}"/>
    <cellStyle name="표준 3 2 2 2 2" xfId="9007" xr:uid="{00000000-0005-0000-0000-0000EF760000}"/>
    <cellStyle name="표준 3 2 2 2 2 2" xfId="9008" xr:uid="{00000000-0005-0000-0000-0000F0760000}"/>
    <cellStyle name="표준 3 2 2 2 2 3" xfId="9009" xr:uid="{00000000-0005-0000-0000-0000F1760000}"/>
    <cellStyle name="표준 3 2 2 2 2_뇌출혈특약(갱신형)" xfId="14092" xr:uid="{00000000-0005-0000-0000-0000F2760000}"/>
    <cellStyle name="표준 3 2 2 2 3" xfId="9010" xr:uid="{00000000-0005-0000-0000-0000F3760000}"/>
    <cellStyle name="표준 3 2 2 2 4" xfId="9011" xr:uid="{00000000-0005-0000-0000-0000F4760000}"/>
    <cellStyle name="표준 3 2 2 2_뇌출혈특약(갱신형)" xfId="14093" xr:uid="{00000000-0005-0000-0000-0000F5760000}"/>
    <cellStyle name="표준 3 2 2 3" xfId="9012" xr:uid="{00000000-0005-0000-0000-0000F6760000}"/>
    <cellStyle name="표준 3 2 2 3 2" xfId="9013" xr:uid="{00000000-0005-0000-0000-0000F7760000}"/>
    <cellStyle name="표준 3 2 2 3 2 2" xfId="9014" xr:uid="{00000000-0005-0000-0000-0000F8760000}"/>
    <cellStyle name="표준 3 2 2 3 2 3" xfId="9015" xr:uid="{00000000-0005-0000-0000-0000F9760000}"/>
    <cellStyle name="표준 3 2 2 3 2_뇌출혈특약(갱신형)" xfId="14094" xr:uid="{00000000-0005-0000-0000-0000FA760000}"/>
    <cellStyle name="표준 3 2 2 3 3" xfId="9016" xr:uid="{00000000-0005-0000-0000-0000FB760000}"/>
    <cellStyle name="표준 3 2 2 3 4" xfId="9017" xr:uid="{00000000-0005-0000-0000-0000FC760000}"/>
    <cellStyle name="표준 3 2 2 3_뇌출혈특약(갱신형)" xfId="14095" xr:uid="{00000000-0005-0000-0000-0000FD760000}"/>
    <cellStyle name="표준 3 2 2 4" xfId="9018" xr:uid="{00000000-0005-0000-0000-0000FE760000}"/>
    <cellStyle name="표준 3 2 2 4 2" xfId="9019" xr:uid="{00000000-0005-0000-0000-0000FF760000}"/>
    <cellStyle name="표준 3 2 2 4 3" xfId="9020" xr:uid="{00000000-0005-0000-0000-000000770000}"/>
    <cellStyle name="표준 3 2 2 4_뇌출혈특약(갱신형)" xfId="14096" xr:uid="{00000000-0005-0000-0000-000001770000}"/>
    <cellStyle name="표준 3 2 2 5" xfId="9021" xr:uid="{00000000-0005-0000-0000-000002770000}"/>
    <cellStyle name="표준 3 2 2 5 2" xfId="9022" xr:uid="{00000000-0005-0000-0000-000003770000}"/>
    <cellStyle name="표준 3 2 2 5 3" xfId="9023" xr:uid="{00000000-0005-0000-0000-000004770000}"/>
    <cellStyle name="표준 3 2 2 5_뇌출혈특약(갱신형)" xfId="14097" xr:uid="{00000000-0005-0000-0000-000005770000}"/>
    <cellStyle name="표준 3 2 2 6" xfId="9024" xr:uid="{00000000-0005-0000-0000-000006770000}"/>
    <cellStyle name="표준 3 2 2 7" xfId="9025" xr:uid="{00000000-0005-0000-0000-000007770000}"/>
    <cellStyle name="표준 3 2 2 8" xfId="17162" xr:uid="{00000000-0005-0000-0000-000008770000}"/>
    <cellStyle name="표준 3 2 2_뇌출혈특약(갱신형)" xfId="14098" xr:uid="{00000000-0005-0000-0000-000009770000}"/>
    <cellStyle name="표준 3 2 3" xfId="9026" xr:uid="{00000000-0005-0000-0000-00000A770000}"/>
    <cellStyle name="표준 3 2 3 2" xfId="9027" xr:uid="{00000000-0005-0000-0000-00000B770000}"/>
    <cellStyle name="표준 3 2 3 2 2" xfId="9028" xr:uid="{00000000-0005-0000-0000-00000C770000}"/>
    <cellStyle name="표준 3 2 3 2 3" xfId="9029" xr:uid="{00000000-0005-0000-0000-00000D770000}"/>
    <cellStyle name="표준 3 2 3 2 4" xfId="12243" xr:uid="{00000000-0005-0000-0000-00000E770000}"/>
    <cellStyle name="표준 3 2 3 2_뇌출혈특약(갱신형)" xfId="14099" xr:uid="{00000000-0005-0000-0000-00000F770000}"/>
    <cellStyle name="표준 3 2 3 3" xfId="9030" xr:uid="{00000000-0005-0000-0000-000010770000}"/>
    <cellStyle name="표준 3 2 3 3 2" xfId="12244" xr:uid="{00000000-0005-0000-0000-000011770000}"/>
    <cellStyle name="표준 3 2 3 3 3" xfId="12245" xr:uid="{00000000-0005-0000-0000-000012770000}"/>
    <cellStyle name="표준 3 2 3 3 4" xfId="12246" xr:uid="{00000000-0005-0000-0000-000013770000}"/>
    <cellStyle name="표준 3 2 3 4" xfId="9031" xr:uid="{00000000-0005-0000-0000-000014770000}"/>
    <cellStyle name="표준 3 2 3 5" xfId="12247" xr:uid="{00000000-0005-0000-0000-000015770000}"/>
    <cellStyle name="표준 3 2 3 6" xfId="12248" xr:uid="{00000000-0005-0000-0000-000016770000}"/>
    <cellStyle name="표준 3 2 3_뇌출혈특약(갱신형)" xfId="14100" xr:uid="{00000000-0005-0000-0000-000017770000}"/>
    <cellStyle name="표준 3 2 4" xfId="9032" xr:uid="{00000000-0005-0000-0000-000018770000}"/>
    <cellStyle name="표준 3 2 4 2" xfId="9033" xr:uid="{00000000-0005-0000-0000-000019770000}"/>
    <cellStyle name="표준 3 2 4 2 2" xfId="9034" xr:uid="{00000000-0005-0000-0000-00001A770000}"/>
    <cellStyle name="표준 3 2 4 2 3" xfId="9035" xr:uid="{00000000-0005-0000-0000-00001B770000}"/>
    <cellStyle name="표준 3 2 4 2 4" xfId="12249" xr:uid="{00000000-0005-0000-0000-00001C770000}"/>
    <cellStyle name="표준 3 2 4 2_뇌출혈특약(갱신형)" xfId="14101" xr:uid="{00000000-0005-0000-0000-00001D770000}"/>
    <cellStyle name="표준 3 2 4 3" xfId="9036" xr:uid="{00000000-0005-0000-0000-00001E770000}"/>
    <cellStyle name="표준 3 2 4 3 2" xfId="12250" xr:uid="{00000000-0005-0000-0000-00001F770000}"/>
    <cellStyle name="표준 3 2 4 3 3" xfId="12251" xr:uid="{00000000-0005-0000-0000-000020770000}"/>
    <cellStyle name="표준 3 2 4 3 4" xfId="12252" xr:uid="{00000000-0005-0000-0000-000021770000}"/>
    <cellStyle name="표준 3 2 4 4" xfId="9037" xr:uid="{00000000-0005-0000-0000-000022770000}"/>
    <cellStyle name="표준 3 2 4 5" xfId="12253" xr:uid="{00000000-0005-0000-0000-000023770000}"/>
    <cellStyle name="표준 3 2 4 6" xfId="12254" xr:uid="{00000000-0005-0000-0000-000024770000}"/>
    <cellStyle name="표준 3 2 4_뇌출혈특약(갱신형)" xfId="14102" xr:uid="{00000000-0005-0000-0000-000025770000}"/>
    <cellStyle name="표준 3 2 5" xfId="9038" xr:uid="{00000000-0005-0000-0000-000026770000}"/>
    <cellStyle name="표준 3 2 5 2" xfId="9039" xr:uid="{00000000-0005-0000-0000-000027770000}"/>
    <cellStyle name="표준 3 2 5 3" xfId="9040" xr:uid="{00000000-0005-0000-0000-000028770000}"/>
    <cellStyle name="표준 3 2 5 4" xfId="12255" xr:uid="{00000000-0005-0000-0000-000029770000}"/>
    <cellStyle name="표준 3 2 5_뇌출혈특약(갱신형)" xfId="14103" xr:uid="{00000000-0005-0000-0000-00002A770000}"/>
    <cellStyle name="표준 3 2 6" xfId="9041" xr:uid="{00000000-0005-0000-0000-00002B770000}"/>
    <cellStyle name="표준 3 2 6 2" xfId="9042" xr:uid="{00000000-0005-0000-0000-00002C770000}"/>
    <cellStyle name="표준 3 2 6 3" xfId="9043" xr:uid="{00000000-0005-0000-0000-00002D770000}"/>
    <cellStyle name="표준 3 2 6 4" xfId="12256" xr:uid="{00000000-0005-0000-0000-00002E770000}"/>
    <cellStyle name="표준 3 2 6_뇌출혈특약(갱신형)" xfId="14104" xr:uid="{00000000-0005-0000-0000-00002F770000}"/>
    <cellStyle name="표준 3 2 7" xfId="9044" xr:uid="{00000000-0005-0000-0000-000030770000}"/>
    <cellStyle name="표준 3 2 7 2" xfId="12257" xr:uid="{00000000-0005-0000-0000-000031770000}"/>
    <cellStyle name="표준 3 2 7 3" xfId="12258" xr:uid="{00000000-0005-0000-0000-000032770000}"/>
    <cellStyle name="표준 3 2 7 4" xfId="12259" xr:uid="{00000000-0005-0000-0000-000033770000}"/>
    <cellStyle name="표준 3 2 8" xfId="9045" xr:uid="{00000000-0005-0000-0000-000034770000}"/>
    <cellStyle name="표준 3 2 9" xfId="12260" xr:uid="{00000000-0005-0000-0000-000035770000}"/>
    <cellStyle name="표준 3 2_뇌출혈특약(갱신형)" xfId="14105" xr:uid="{00000000-0005-0000-0000-000036770000}"/>
    <cellStyle name="표준 3 3" xfId="9046" xr:uid="{00000000-0005-0000-0000-000037770000}"/>
    <cellStyle name="표준 3 3 2" xfId="9047" xr:uid="{00000000-0005-0000-0000-000038770000}"/>
    <cellStyle name="표준 3 3 2 2" xfId="9048" xr:uid="{00000000-0005-0000-0000-000039770000}"/>
    <cellStyle name="표준 3 3 2 2 2" xfId="9049" xr:uid="{00000000-0005-0000-0000-00003A770000}"/>
    <cellStyle name="표준 3 3 2 2 3" xfId="9050" xr:uid="{00000000-0005-0000-0000-00003B770000}"/>
    <cellStyle name="표준 3 3 2 2_뇌출혈특약(갱신형)" xfId="14106" xr:uid="{00000000-0005-0000-0000-00003C770000}"/>
    <cellStyle name="표준 3 3 2 3" xfId="9051" xr:uid="{00000000-0005-0000-0000-00003D770000}"/>
    <cellStyle name="표준 3 3 2 4" xfId="9052" xr:uid="{00000000-0005-0000-0000-00003E770000}"/>
    <cellStyle name="표준 3 3 2_뇌출혈특약(갱신형)" xfId="14107" xr:uid="{00000000-0005-0000-0000-00003F770000}"/>
    <cellStyle name="표준 3 3 3" xfId="9053" xr:uid="{00000000-0005-0000-0000-000040770000}"/>
    <cellStyle name="표준 3 3 3 2" xfId="9054" xr:uid="{00000000-0005-0000-0000-000041770000}"/>
    <cellStyle name="표준 3 3 3 2 2" xfId="9055" xr:uid="{00000000-0005-0000-0000-000042770000}"/>
    <cellStyle name="표준 3 3 3 2 3" xfId="9056" xr:uid="{00000000-0005-0000-0000-000043770000}"/>
    <cellStyle name="표준 3 3 3 2_뇌출혈특약(갱신형)" xfId="14108" xr:uid="{00000000-0005-0000-0000-000044770000}"/>
    <cellStyle name="표준 3 3 3 3" xfId="9057" xr:uid="{00000000-0005-0000-0000-000045770000}"/>
    <cellStyle name="표준 3 3 3 4" xfId="9058" xr:uid="{00000000-0005-0000-0000-000046770000}"/>
    <cellStyle name="표준 3 3 3_뇌출혈특약(갱신형)" xfId="14109" xr:uid="{00000000-0005-0000-0000-000047770000}"/>
    <cellStyle name="표준 3 3 4" xfId="9059" xr:uid="{00000000-0005-0000-0000-000048770000}"/>
    <cellStyle name="표준 3 3 4 2" xfId="9060" xr:uid="{00000000-0005-0000-0000-000049770000}"/>
    <cellStyle name="표준 3 3 4 3" xfId="9061" xr:uid="{00000000-0005-0000-0000-00004A770000}"/>
    <cellStyle name="표준 3 3 4_뇌출혈특약(갱신형)" xfId="14110" xr:uid="{00000000-0005-0000-0000-00004B770000}"/>
    <cellStyle name="표준 3 3 5" xfId="9062" xr:uid="{00000000-0005-0000-0000-00004C770000}"/>
    <cellStyle name="표준 3 3 5 2" xfId="9063" xr:uid="{00000000-0005-0000-0000-00004D770000}"/>
    <cellStyle name="표준 3 3 5 3" xfId="9064" xr:uid="{00000000-0005-0000-0000-00004E770000}"/>
    <cellStyle name="표준 3 3 5_뇌출혈특약(갱신형)" xfId="14111" xr:uid="{00000000-0005-0000-0000-00004F770000}"/>
    <cellStyle name="표준 3 3 6" xfId="9065" xr:uid="{00000000-0005-0000-0000-000050770000}"/>
    <cellStyle name="표준 3 3 7" xfId="9066" xr:uid="{00000000-0005-0000-0000-000051770000}"/>
    <cellStyle name="표준 3 3 8" xfId="17163" xr:uid="{00000000-0005-0000-0000-000052770000}"/>
    <cellStyle name="표준 3 3_뇌출혈특약(갱신형)" xfId="14112" xr:uid="{00000000-0005-0000-0000-000053770000}"/>
    <cellStyle name="표준 3 4" xfId="9067" xr:uid="{00000000-0005-0000-0000-000054770000}"/>
    <cellStyle name="표준 3 4 2" xfId="9068" xr:uid="{00000000-0005-0000-0000-000055770000}"/>
    <cellStyle name="표준 3 4 2 2" xfId="9069" xr:uid="{00000000-0005-0000-0000-000056770000}"/>
    <cellStyle name="표준 3 4 2 2 2" xfId="9070" xr:uid="{00000000-0005-0000-0000-000057770000}"/>
    <cellStyle name="표준 3 4 2 2 3" xfId="9071" xr:uid="{00000000-0005-0000-0000-000058770000}"/>
    <cellStyle name="표준 3 4 2 2_뇌출혈특약(갱신형)" xfId="14113" xr:uid="{00000000-0005-0000-0000-000059770000}"/>
    <cellStyle name="표준 3 4 2 3" xfId="9072" xr:uid="{00000000-0005-0000-0000-00005A770000}"/>
    <cellStyle name="표준 3 4 2 4" xfId="9073" xr:uid="{00000000-0005-0000-0000-00005B770000}"/>
    <cellStyle name="표준 3 4 2_뇌출혈특약(갱신형)" xfId="14114" xr:uid="{00000000-0005-0000-0000-00005C770000}"/>
    <cellStyle name="표준 3 4 3" xfId="9074" xr:uid="{00000000-0005-0000-0000-00005D770000}"/>
    <cellStyle name="표준 3 4 3 2" xfId="9075" xr:uid="{00000000-0005-0000-0000-00005E770000}"/>
    <cellStyle name="표준 3 4 3 2 2" xfId="9076" xr:uid="{00000000-0005-0000-0000-00005F770000}"/>
    <cellStyle name="표준 3 4 3 2 3" xfId="9077" xr:uid="{00000000-0005-0000-0000-000060770000}"/>
    <cellStyle name="표준 3 4 3 2_뇌출혈특약(갱신형)" xfId="14115" xr:uid="{00000000-0005-0000-0000-000061770000}"/>
    <cellStyle name="표준 3 4 3 3" xfId="9078" xr:uid="{00000000-0005-0000-0000-000062770000}"/>
    <cellStyle name="표준 3 4 3 4" xfId="9079" xr:uid="{00000000-0005-0000-0000-000063770000}"/>
    <cellStyle name="표준 3 4 3_뇌출혈특약(갱신형)" xfId="14116" xr:uid="{00000000-0005-0000-0000-000064770000}"/>
    <cellStyle name="표준 3 4 4" xfId="9080" xr:uid="{00000000-0005-0000-0000-000065770000}"/>
    <cellStyle name="표준 3 4 4 2" xfId="9081" xr:uid="{00000000-0005-0000-0000-000066770000}"/>
    <cellStyle name="표준 3 4 4 3" xfId="9082" xr:uid="{00000000-0005-0000-0000-000067770000}"/>
    <cellStyle name="표준 3 4 4_뇌출혈특약(갱신형)" xfId="14117" xr:uid="{00000000-0005-0000-0000-000068770000}"/>
    <cellStyle name="표준 3 4 5" xfId="9083" xr:uid="{00000000-0005-0000-0000-000069770000}"/>
    <cellStyle name="표준 3 4 5 2" xfId="9084" xr:uid="{00000000-0005-0000-0000-00006A770000}"/>
    <cellStyle name="표준 3 4 5 3" xfId="9085" xr:uid="{00000000-0005-0000-0000-00006B770000}"/>
    <cellStyle name="표준 3 4 5_뇌출혈특약(갱신형)" xfId="14118" xr:uid="{00000000-0005-0000-0000-00006C770000}"/>
    <cellStyle name="표준 3 4 6" xfId="9086" xr:uid="{00000000-0005-0000-0000-00006D770000}"/>
    <cellStyle name="표준 3 4 7" xfId="9087" xr:uid="{00000000-0005-0000-0000-00006E770000}"/>
    <cellStyle name="표준 3 4_뇌출혈특약(갱신형)" xfId="14119" xr:uid="{00000000-0005-0000-0000-00006F770000}"/>
    <cellStyle name="표준 3 5" xfId="9088" xr:uid="{00000000-0005-0000-0000-000070770000}"/>
    <cellStyle name="표준 3 5 2" xfId="9089" xr:uid="{00000000-0005-0000-0000-000071770000}"/>
    <cellStyle name="표준 3 5 2 2" xfId="9090" xr:uid="{00000000-0005-0000-0000-000072770000}"/>
    <cellStyle name="표준 3 5 2 3" xfId="9091" xr:uid="{00000000-0005-0000-0000-000073770000}"/>
    <cellStyle name="표준 3 5 2 4" xfId="12261" xr:uid="{00000000-0005-0000-0000-000074770000}"/>
    <cellStyle name="표준 3 5 2_뇌출혈특약(갱신형)" xfId="14120" xr:uid="{00000000-0005-0000-0000-000075770000}"/>
    <cellStyle name="표준 3 5 3" xfId="9092" xr:uid="{00000000-0005-0000-0000-000076770000}"/>
    <cellStyle name="표준 3 5 3 2" xfId="12262" xr:uid="{00000000-0005-0000-0000-000077770000}"/>
    <cellStyle name="표준 3 5 3 3" xfId="12263" xr:uid="{00000000-0005-0000-0000-000078770000}"/>
    <cellStyle name="표준 3 5 3 4" xfId="12264" xr:uid="{00000000-0005-0000-0000-000079770000}"/>
    <cellStyle name="표준 3 5 4" xfId="9093" xr:uid="{00000000-0005-0000-0000-00007A770000}"/>
    <cellStyle name="표준 3 5 5" xfId="12265" xr:uid="{00000000-0005-0000-0000-00007B770000}"/>
    <cellStyle name="표준 3 5 6" xfId="12266" xr:uid="{00000000-0005-0000-0000-00007C770000}"/>
    <cellStyle name="표준 3 5_뇌출혈특약(갱신형)" xfId="14121" xr:uid="{00000000-0005-0000-0000-00007D770000}"/>
    <cellStyle name="표준 3 6" xfId="9094" xr:uid="{00000000-0005-0000-0000-00007E770000}"/>
    <cellStyle name="표준 3 6 2" xfId="9095" xr:uid="{00000000-0005-0000-0000-00007F770000}"/>
    <cellStyle name="표준 3 6 2 2" xfId="9096" xr:uid="{00000000-0005-0000-0000-000080770000}"/>
    <cellStyle name="표준 3 6 2 3" xfId="9097" xr:uid="{00000000-0005-0000-0000-000081770000}"/>
    <cellStyle name="표준 3 6 2 4" xfId="12267" xr:uid="{00000000-0005-0000-0000-000082770000}"/>
    <cellStyle name="표준 3 6 2_뇌출혈특약(갱신형)" xfId="14122" xr:uid="{00000000-0005-0000-0000-000083770000}"/>
    <cellStyle name="표준 3 6 3" xfId="9098" xr:uid="{00000000-0005-0000-0000-000084770000}"/>
    <cellStyle name="표준 3 6 3 2" xfId="12268" xr:uid="{00000000-0005-0000-0000-000085770000}"/>
    <cellStyle name="표준 3 6 3 3" xfId="12269" xr:uid="{00000000-0005-0000-0000-000086770000}"/>
    <cellStyle name="표준 3 6 3 4" xfId="12270" xr:uid="{00000000-0005-0000-0000-000087770000}"/>
    <cellStyle name="표준 3 6 4" xfId="9099" xr:uid="{00000000-0005-0000-0000-000088770000}"/>
    <cellStyle name="표준 3 6 5" xfId="12271" xr:uid="{00000000-0005-0000-0000-000089770000}"/>
    <cellStyle name="표준 3 6 6" xfId="12272" xr:uid="{00000000-0005-0000-0000-00008A770000}"/>
    <cellStyle name="표준 3 6_뇌출혈특약(갱신형)" xfId="14123" xr:uid="{00000000-0005-0000-0000-00008B770000}"/>
    <cellStyle name="표준 3 7" xfId="9100" xr:uid="{00000000-0005-0000-0000-00008C770000}"/>
    <cellStyle name="표준 3 7 2" xfId="9101" xr:uid="{00000000-0005-0000-0000-00008D770000}"/>
    <cellStyle name="표준 3 7 3" xfId="9102" xr:uid="{00000000-0005-0000-0000-00008E770000}"/>
    <cellStyle name="표준 3 7 4" xfId="12273" xr:uid="{00000000-0005-0000-0000-00008F770000}"/>
    <cellStyle name="표준 3 7_뇌출혈특약(갱신형)" xfId="14124" xr:uid="{00000000-0005-0000-0000-000090770000}"/>
    <cellStyle name="표준 3 8" xfId="9103" xr:uid="{00000000-0005-0000-0000-000091770000}"/>
    <cellStyle name="표준 3 8 2" xfId="9104" xr:uid="{00000000-0005-0000-0000-000092770000}"/>
    <cellStyle name="표준 3 8 3" xfId="9105" xr:uid="{00000000-0005-0000-0000-000093770000}"/>
    <cellStyle name="표준 3 8 4" xfId="12274" xr:uid="{00000000-0005-0000-0000-000094770000}"/>
    <cellStyle name="표준 3 8_뇌출혈특약(갱신형)" xfId="14125" xr:uid="{00000000-0005-0000-0000-000095770000}"/>
    <cellStyle name="표준 3 9" xfId="9106" xr:uid="{00000000-0005-0000-0000-000096770000}"/>
    <cellStyle name="표준 3 9 2" xfId="9107" xr:uid="{00000000-0005-0000-0000-000097770000}"/>
    <cellStyle name="표준 3 9 3" xfId="9108" xr:uid="{00000000-0005-0000-0000-000098770000}"/>
    <cellStyle name="표준 3 9 4" xfId="12275" xr:uid="{00000000-0005-0000-0000-000099770000}"/>
    <cellStyle name="표준 3 9_뇌출혈특약(갱신형)" xfId="14126" xr:uid="{00000000-0005-0000-0000-00009A770000}"/>
    <cellStyle name="표준 3_뇌출혈특약(갱신형)" xfId="14127" xr:uid="{00000000-0005-0000-0000-00009B770000}"/>
    <cellStyle name="표준 30" xfId="9109" xr:uid="{00000000-0005-0000-0000-00009C770000}"/>
    <cellStyle name="표준 30 2" xfId="9110" xr:uid="{00000000-0005-0000-0000-00009D770000}"/>
    <cellStyle name="표준 30_뇌출혈특약(갱신형)" xfId="14128" xr:uid="{00000000-0005-0000-0000-00009E770000}"/>
    <cellStyle name="표준 31" xfId="9111" xr:uid="{00000000-0005-0000-0000-00009F770000}"/>
    <cellStyle name="표준 31 2" xfId="9112" xr:uid="{00000000-0005-0000-0000-0000A0770000}"/>
    <cellStyle name="표준 31_뇌출혈특약(갱신형)" xfId="14129" xr:uid="{00000000-0005-0000-0000-0000A1770000}"/>
    <cellStyle name="표준 32" xfId="9113" xr:uid="{00000000-0005-0000-0000-0000A2770000}"/>
    <cellStyle name="표준 32 2" xfId="9114" xr:uid="{00000000-0005-0000-0000-0000A3770000}"/>
    <cellStyle name="표준 32_뇌출혈특약(갱신형)" xfId="14130" xr:uid="{00000000-0005-0000-0000-0000A4770000}"/>
    <cellStyle name="표준 33" xfId="12276" xr:uid="{00000000-0005-0000-0000-0000A5770000}"/>
    <cellStyle name="표준 34" xfId="12277" xr:uid="{00000000-0005-0000-0000-0000A6770000}"/>
    <cellStyle name="표준 35" xfId="18085" xr:uid="{00000000-0005-0000-0000-0000A7770000}"/>
    <cellStyle name="표준 35 2" xfId="20529" xr:uid="{00000000-0005-0000-0000-0000A8770000}"/>
    <cellStyle name="표준 39 2" xfId="32373" xr:uid="{00000000-0005-0000-0000-0000A9770000}"/>
    <cellStyle name="표준 4" xfId="40" xr:uid="{00000000-0005-0000-0000-0000AA770000}"/>
    <cellStyle name="표준 4 10" xfId="9115" xr:uid="{00000000-0005-0000-0000-0000AB770000}"/>
    <cellStyle name="표준 4 10 2" xfId="9116" xr:uid="{00000000-0005-0000-0000-0000AC770000}"/>
    <cellStyle name="표준 4 10 2 2" xfId="9117" xr:uid="{00000000-0005-0000-0000-0000AD770000}"/>
    <cellStyle name="표준 4 10 2 3" xfId="9118" xr:uid="{00000000-0005-0000-0000-0000AE770000}"/>
    <cellStyle name="표준 4 10 2_뇌출혈특약(갱신형)" xfId="14131" xr:uid="{00000000-0005-0000-0000-0000AF770000}"/>
    <cellStyle name="표준 4 10 3" xfId="9119" xr:uid="{00000000-0005-0000-0000-0000B0770000}"/>
    <cellStyle name="표준 4 10 4" xfId="9120" xr:uid="{00000000-0005-0000-0000-0000B1770000}"/>
    <cellStyle name="표준 4 10_뇌출혈특약(갱신형)" xfId="14132" xr:uid="{00000000-0005-0000-0000-0000B2770000}"/>
    <cellStyle name="표준 4 11" xfId="9121" xr:uid="{00000000-0005-0000-0000-0000B3770000}"/>
    <cellStyle name="표준 4 11 2" xfId="9122" xr:uid="{00000000-0005-0000-0000-0000B4770000}"/>
    <cellStyle name="표준 4 11 2 2" xfId="9123" xr:uid="{00000000-0005-0000-0000-0000B5770000}"/>
    <cellStyle name="표준 4 11 2 3" xfId="9124" xr:uid="{00000000-0005-0000-0000-0000B6770000}"/>
    <cellStyle name="표준 4 11 2_뇌출혈특약(갱신형)" xfId="14133" xr:uid="{00000000-0005-0000-0000-0000B7770000}"/>
    <cellStyle name="표준 4 11 3" xfId="9125" xr:uid="{00000000-0005-0000-0000-0000B8770000}"/>
    <cellStyle name="표준 4 11 4" xfId="9126" xr:uid="{00000000-0005-0000-0000-0000B9770000}"/>
    <cellStyle name="표준 4 11_뇌출혈특약(갱신형)" xfId="14134" xr:uid="{00000000-0005-0000-0000-0000BA770000}"/>
    <cellStyle name="표준 4 12" xfId="9127" xr:uid="{00000000-0005-0000-0000-0000BB770000}"/>
    <cellStyle name="표준 4 12 2" xfId="9128" xr:uid="{00000000-0005-0000-0000-0000BC770000}"/>
    <cellStyle name="표준 4 12 3" xfId="9129" xr:uid="{00000000-0005-0000-0000-0000BD770000}"/>
    <cellStyle name="표준 4 12_뇌출혈특약(갱신형)" xfId="14135" xr:uid="{00000000-0005-0000-0000-0000BE770000}"/>
    <cellStyle name="표준 4 13" xfId="9130" xr:uid="{00000000-0005-0000-0000-0000BF770000}"/>
    <cellStyle name="표준 4 13 2" xfId="9131" xr:uid="{00000000-0005-0000-0000-0000C0770000}"/>
    <cellStyle name="표준 4 13 3" xfId="9132" xr:uid="{00000000-0005-0000-0000-0000C1770000}"/>
    <cellStyle name="표준 4 13_뇌출혈특약(갱신형)" xfId="14136" xr:uid="{00000000-0005-0000-0000-0000C2770000}"/>
    <cellStyle name="표준 4 14" xfId="9133" xr:uid="{00000000-0005-0000-0000-0000C3770000}"/>
    <cellStyle name="표준 4 14 2" xfId="9134" xr:uid="{00000000-0005-0000-0000-0000C4770000}"/>
    <cellStyle name="표준 4 14 3" xfId="9135" xr:uid="{00000000-0005-0000-0000-0000C5770000}"/>
    <cellStyle name="표준 4 14_뇌출혈특약(갱신형)" xfId="14137" xr:uid="{00000000-0005-0000-0000-0000C6770000}"/>
    <cellStyle name="표준 4 15" xfId="9136" xr:uid="{00000000-0005-0000-0000-0000C7770000}"/>
    <cellStyle name="표준 4 15 2" xfId="9137" xr:uid="{00000000-0005-0000-0000-0000C8770000}"/>
    <cellStyle name="표준 4 15 3" xfId="9138" xr:uid="{00000000-0005-0000-0000-0000C9770000}"/>
    <cellStyle name="표준 4 15_뇌출혈특약(갱신형)" xfId="14138" xr:uid="{00000000-0005-0000-0000-0000CA770000}"/>
    <cellStyle name="표준 4 16" xfId="9139" xr:uid="{00000000-0005-0000-0000-0000CB770000}"/>
    <cellStyle name="표준 4 16 2" xfId="9140" xr:uid="{00000000-0005-0000-0000-0000CC770000}"/>
    <cellStyle name="표준 4 16_뇌출혈특약(갱신형)" xfId="14139" xr:uid="{00000000-0005-0000-0000-0000CD770000}"/>
    <cellStyle name="표준 4 17" xfId="9141" xr:uid="{00000000-0005-0000-0000-0000CE770000}"/>
    <cellStyle name="표준 4 17 2" xfId="9142" xr:uid="{00000000-0005-0000-0000-0000CF770000}"/>
    <cellStyle name="표준 4 17_뇌출혈특약(갱신형)" xfId="14140" xr:uid="{00000000-0005-0000-0000-0000D0770000}"/>
    <cellStyle name="표준 4 18" xfId="9143" xr:uid="{00000000-0005-0000-0000-0000D1770000}"/>
    <cellStyle name="표준 4 18 2" xfId="9144" xr:uid="{00000000-0005-0000-0000-0000D2770000}"/>
    <cellStyle name="표준 4 18_뇌출혈특약(갱신형)" xfId="14141" xr:uid="{00000000-0005-0000-0000-0000D3770000}"/>
    <cellStyle name="표준 4 19" xfId="9145" xr:uid="{00000000-0005-0000-0000-0000D4770000}"/>
    <cellStyle name="표준 4 19 2" xfId="9146" xr:uid="{00000000-0005-0000-0000-0000D5770000}"/>
    <cellStyle name="표준 4 19_뇌출혈특약(갱신형)" xfId="14142" xr:uid="{00000000-0005-0000-0000-0000D6770000}"/>
    <cellStyle name="표준 4 2" xfId="82" xr:uid="{00000000-0005-0000-0000-0000D7770000}"/>
    <cellStyle name="표준 4 2 10" xfId="9147" xr:uid="{00000000-0005-0000-0000-0000D8770000}"/>
    <cellStyle name="표준 4 2 10 2" xfId="9148" xr:uid="{00000000-0005-0000-0000-0000D9770000}"/>
    <cellStyle name="표준 4 2 10 3" xfId="9149" xr:uid="{00000000-0005-0000-0000-0000DA770000}"/>
    <cellStyle name="표준 4 2 10_뇌출혈특약(갱신형)" xfId="14143" xr:uid="{00000000-0005-0000-0000-0000DB770000}"/>
    <cellStyle name="표준 4 2 11" xfId="9150" xr:uid="{00000000-0005-0000-0000-0000DC770000}"/>
    <cellStyle name="표준 4 2 11 2" xfId="9151" xr:uid="{00000000-0005-0000-0000-0000DD770000}"/>
    <cellStyle name="표준 4 2 11 3" xfId="9152" xr:uid="{00000000-0005-0000-0000-0000DE770000}"/>
    <cellStyle name="표준 4 2 11_뇌출혈특약(갱신형)" xfId="14144" xr:uid="{00000000-0005-0000-0000-0000DF770000}"/>
    <cellStyle name="표준 4 2 12" xfId="9153" xr:uid="{00000000-0005-0000-0000-0000E0770000}"/>
    <cellStyle name="표준 4 2 12 2" xfId="9154" xr:uid="{00000000-0005-0000-0000-0000E1770000}"/>
    <cellStyle name="표준 4 2 12 3" xfId="9155" xr:uid="{00000000-0005-0000-0000-0000E2770000}"/>
    <cellStyle name="표준 4 2 12_뇌출혈특약(갱신형)" xfId="14145" xr:uid="{00000000-0005-0000-0000-0000E3770000}"/>
    <cellStyle name="표준 4 2 13" xfId="9156" xr:uid="{00000000-0005-0000-0000-0000E4770000}"/>
    <cellStyle name="표준 4 2 13 2" xfId="9157" xr:uid="{00000000-0005-0000-0000-0000E5770000}"/>
    <cellStyle name="표준 4 2 13_뇌출혈특약(갱신형)" xfId="14146" xr:uid="{00000000-0005-0000-0000-0000E6770000}"/>
    <cellStyle name="표준 4 2 14" xfId="9158" xr:uid="{00000000-0005-0000-0000-0000E7770000}"/>
    <cellStyle name="표준 4 2 14 2" xfId="9159" xr:uid="{00000000-0005-0000-0000-0000E8770000}"/>
    <cellStyle name="표준 4 2 14_뇌출혈특약(갱신형)" xfId="14147" xr:uid="{00000000-0005-0000-0000-0000E9770000}"/>
    <cellStyle name="표준 4 2 15" xfId="9160" xr:uid="{00000000-0005-0000-0000-0000EA770000}"/>
    <cellStyle name="표준 4 2 15 2" xfId="9161" xr:uid="{00000000-0005-0000-0000-0000EB770000}"/>
    <cellStyle name="표준 4 2 15_뇌출혈특약(갱신형)" xfId="14148" xr:uid="{00000000-0005-0000-0000-0000EC770000}"/>
    <cellStyle name="표준 4 2 16" xfId="9162" xr:uid="{00000000-0005-0000-0000-0000ED770000}"/>
    <cellStyle name="표준 4 2 16 2" xfId="9163" xr:uid="{00000000-0005-0000-0000-0000EE770000}"/>
    <cellStyle name="표준 4 2 16_뇌출혈특약(갱신형)" xfId="14149" xr:uid="{00000000-0005-0000-0000-0000EF770000}"/>
    <cellStyle name="표준 4 2 17" xfId="9164" xr:uid="{00000000-0005-0000-0000-0000F0770000}"/>
    <cellStyle name="표준 4 2 18" xfId="9165" xr:uid="{00000000-0005-0000-0000-0000F1770000}"/>
    <cellStyle name="표준 4 2 19" xfId="17164" xr:uid="{00000000-0005-0000-0000-0000F2770000}"/>
    <cellStyle name="표준 4 2 2" xfId="9166" xr:uid="{00000000-0005-0000-0000-0000F3770000}"/>
    <cellStyle name="표준 4 2 2 2" xfId="9167" xr:uid="{00000000-0005-0000-0000-0000F4770000}"/>
    <cellStyle name="표준 4 2 2 2 2" xfId="9168" xr:uid="{00000000-0005-0000-0000-0000F5770000}"/>
    <cellStyle name="표준 4 2 2 2 2 2" xfId="9169" xr:uid="{00000000-0005-0000-0000-0000F6770000}"/>
    <cellStyle name="표준 4 2 2 2 2 2 2" xfId="9170" xr:uid="{00000000-0005-0000-0000-0000F7770000}"/>
    <cellStyle name="표준 4 2 2 2 2 2 3" xfId="9171" xr:uid="{00000000-0005-0000-0000-0000F8770000}"/>
    <cellStyle name="표준 4 2 2 2 2 2_뇌출혈특약(갱신형)" xfId="14150" xr:uid="{00000000-0005-0000-0000-0000F9770000}"/>
    <cellStyle name="표준 4 2 2 2 2 3" xfId="9172" xr:uid="{00000000-0005-0000-0000-0000FA770000}"/>
    <cellStyle name="표준 4 2 2 2 2 4" xfId="9173" xr:uid="{00000000-0005-0000-0000-0000FB770000}"/>
    <cellStyle name="표준 4 2 2 2 2_뇌출혈특약(갱신형)" xfId="14151" xr:uid="{00000000-0005-0000-0000-0000FC770000}"/>
    <cellStyle name="표준 4 2 2 2 3" xfId="9174" xr:uid="{00000000-0005-0000-0000-0000FD770000}"/>
    <cellStyle name="표준 4 2 2 2 3 2" xfId="9175" xr:uid="{00000000-0005-0000-0000-0000FE770000}"/>
    <cellStyle name="표준 4 2 2 2 3 2 2" xfId="9176" xr:uid="{00000000-0005-0000-0000-0000FF770000}"/>
    <cellStyle name="표준 4 2 2 2 3 2 3" xfId="9177" xr:uid="{00000000-0005-0000-0000-000000780000}"/>
    <cellStyle name="표준 4 2 2 2 3 2_뇌출혈특약(갱신형)" xfId="14152" xr:uid="{00000000-0005-0000-0000-000001780000}"/>
    <cellStyle name="표준 4 2 2 2 3 3" xfId="9178" xr:uid="{00000000-0005-0000-0000-000002780000}"/>
    <cellStyle name="표준 4 2 2 2 3 4" xfId="9179" xr:uid="{00000000-0005-0000-0000-000003780000}"/>
    <cellStyle name="표준 4 2 2 2 3_뇌출혈특약(갱신형)" xfId="14153" xr:uid="{00000000-0005-0000-0000-000004780000}"/>
    <cellStyle name="표준 4 2 2 2 4" xfId="9180" xr:uid="{00000000-0005-0000-0000-000005780000}"/>
    <cellStyle name="표준 4 2 2 2 4 2" xfId="9181" xr:uid="{00000000-0005-0000-0000-000006780000}"/>
    <cellStyle name="표준 4 2 2 2 4 3" xfId="9182" xr:uid="{00000000-0005-0000-0000-000007780000}"/>
    <cellStyle name="표준 4 2 2 2 4_뇌출혈특약(갱신형)" xfId="14154" xr:uid="{00000000-0005-0000-0000-000008780000}"/>
    <cellStyle name="표준 4 2 2 2 5" xfId="9183" xr:uid="{00000000-0005-0000-0000-000009780000}"/>
    <cellStyle name="표준 4 2 2 2 5 2" xfId="9184" xr:uid="{00000000-0005-0000-0000-00000A780000}"/>
    <cellStyle name="표준 4 2 2 2 5 3" xfId="9185" xr:uid="{00000000-0005-0000-0000-00000B780000}"/>
    <cellStyle name="표준 4 2 2 2 5_뇌출혈특약(갱신형)" xfId="14155" xr:uid="{00000000-0005-0000-0000-00000C780000}"/>
    <cellStyle name="표준 4 2 2 2 6" xfId="9186" xr:uid="{00000000-0005-0000-0000-00000D780000}"/>
    <cellStyle name="표준 4 2 2 2 7" xfId="9187" xr:uid="{00000000-0005-0000-0000-00000E780000}"/>
    <cellStyle name="표준 4 2 2 2_뇌출혈특약(갱신형)" xfId="14156" xr:uid="{00000000-0005-0000-0000-00000F780000}"/>
    <cellStyle name="표준 4 2 2 3" xfId="9188" xr:uid="{00000000-0005-0000-0000-000010780000}"/>
    <cellStyle name="표준 4 2 2 3 2" xfId="9189" xr:uid="{00000000-0005-0000-0000-000011780000}"/>
    <cellStyle name="표준 4 2 2 3 2 2" xfId="9190" xr:uid="{00000000-0005-0000-0000-000012780000}"/>
    <cellStyle name="표준 4 2 2 3 2 2 2" xfId="9191" xr:uid="{00000000-0005-0000-0000-000013780000}"/>
    <cellStyle name="표준 4 2 2 3 2 2 3" xfId="9192" xr:uid="{00000000-0005-0000-0000-000014780000}"/>
    <cellStyle name="표준 4 2 2 3 2 2_뇌출혈특약(갱신형)" xfId="14157" xr:uid="{00000000-0005-0000-0000-000015780000}"/>
    <cellStyle name="표준 4 2 2 3 2 3" xfId="9193" xr:uid="{00000000-0005-0000-0000-000016780000}"/>
    <cellStyle name="표준 4 2 2 3 2 4" xfId="9194" xr:uid="{00000000-0005-0000-0000-000017780000}"/>
    <cellStyle name="표준 4 2 2 3 2_뇌출혈특약(갱신형)" xfId="14158" xr:uid="{00000000-0005-0000-0000-000018780000}"/>
    <cellStyle name="표준 4 2 2 3 3" xfId="9195" xr:uid="{00000000-0005-0000-0000-000019780000}"/>
    <cellStyle name="표준 4 2 2 3 3 2" xfId="9196" xr:uid="{00000000-0005-0000-0000-00001A780000}"/>
    <cellStyle name="표준 4 2 2 3 3 2 2" xfId="9197" xr:uid="{00000000-0005-0000-0000-00001B780000}"/>
    <cellStyle name="표준 4 2 2 3 3 2 3" xfId="9198" xr:uid="{00000000-0005-0000-0000-00001C780000}"/>
    <cellStyle name="표준 4 2 2 3 3 2_뇌출혈특약(갱신형)" xfId="14159" xr:uid="{00000000-0005-0000-0000-00001D780000}"/>
    <cellStyle name="표준 4 2 2 3 3 3" xfId="9199" xr:uid="{00000000-0005-0000-0000-00001E780000}"/>
    <cellStyle name="표준 4 2 2 3 3 4" xfId="9200" xr:uid="{00000000-0005-0000-0000-00001F780000}"/>
    <cellStyle name="표준 4 2 2 3 3_뇌출혈특약(갱신형)" xfId="14160" xr:uid="{00000000-0005-0000-0000-000020780000}"/>
    <cellStyle name="표준 4 2 2 3 4" xfId="9201" xr:uid="{00000000-0005-0000-0000-000021780000}"/>
    <cellStyle name="표준 4 2 2 3 4 2" xfId="9202" xr:uid="{00000000-0005-0000-0000-000022780000}"/>
    <cellStyle name="표준 4 2 2 3 4 3" xfId="9203" xr:uid="{00000000-0005-0000-0000-000023780000}"/>
    <cellStyle name="표준 4 2 2 3 4_뇌출혈특약(갱신형)" xfId="14161" xr:uid="{00000000-0005-0000-0000-000024780000}"/>
    <cellStyle name="표준 4 2 2 3 5" xfId="9204" xr:uid="{00000000-0005-0000-0000-000025780000}"/>
    <cellStyle name="표준 4 2 2 3 5 2" xfId="9205" xr:uid="{00000000-0005-0000-0000-000026780000}"/>
    <cellStyle name="표준 4 2 2 3 5 3" xfId="9206" xr:uid="{00000000-0005-0000-0000-000027780000}"/>
    <cellStyle name="표준 4 2 2 3 5_뇌출혈특약(갱신형)" xfId="14162" xr:uid="{00000000-0005-0000-0000-000028780000}"/>
    <cellStyle name="표준 4 2 2 3 6" xfId="9207" xr:uid="{00000000-0005-0000-0000-000029780000}"/>
    <cellStyle name="표준 4 2 2 3 7" xfId="9208" xr:uid="{00000000-0005-0000-0000-00002A780000}"/>
    <cellStyle name="표준 4 2 2 3_뇌출혈특약(갱신형)" xfId="14163" xr:uid="{00000000-0005-0000-0000-00002B780000}"/>
    <cellStyle name="표준 4 2 2 4" xfId="9209" xr:uid="{00000000-0005-0000-0000-00002C780000}"/>
    <cellStyle name="표준 4 2 2 4 2" xfId="9210" xr:uid="{00000000-0005-0000-0000-00002D780000}"/>
    <cellStyle name="표준 4 2 2 4 2 2" xfId="9211" xr:uid="{00000000-0005-0000-0000-00002E780000}"/>
    <cellStyle name="표준 4 2 2 4 2 3" xfId="9212" xr:uid="{00000000-0005-0000-0000-00002F780000}"/>
    <cellStyle name="표준 4 2 2 4 2_뇌출혈특약(갱신형)" xfId="14164" xr:uid="{00000000-0005-0000-0000-000030780000}"/>
    <cellStyle name="표준 4 2 2 4 3" xfId="9213" xr:uid="{00000000-0005-0000-0000-000031780000}"/>
    <cellStyle name="표준 4 2 2 4 4" xfId="9214" xr:uid="{00000000-0005-0000-0000-000032780000}"/>
    <cellStyle name="표준 4 2 2 4_뇌출혈특약(갱신형)" xfId="14165" xr:uid="{00000000-0005-0000-0000-000033780000}"/>
    <cellStyle name="표준 4 2 2 5" xfId="9215" xr:uid="{00000000-0005-0000-0000-000034780000}"/>
    <cellStyle name="표준 4 2 2 5 2" xfId="9216" xr:uid="{00000000-0005-0000-0000-000035780000}"/>
    <cellStyle name="표준 4 2 2 5 2 2" xfId="9217" xr:uid="{00000000-0005-0000-0000-000036780000}"/>
    <cellStyle name="표준 4 2 2 5 2 3" xfId="9218" xr:uid="{00000000-0005-0000-0000-000037780000}"/>
    <cellStyle name="표준 4 2 2 5 2_뇌출혈특약(갱신형)" xfId="14166" xr:uid="{00000000-0005-0000-0000-000038780000}"/>
    <cellStyle name="표준 4 2 2 5 3" xfId="9219" xr:uid="{00000000-0005-0000-0000-000039780000}"/>
    <cellStyle name="표준 4 2 2 5 4" xfId="9220" xr:uid="{00000000-0005-0000-0000-00003A780000}"/>
    <cellStyle name="표준 4 2 2 5_뇌출혈특약(갱신형)" xfId="14167" xr:uid="{00000000-0005-0000-0000-00003B780000}"/>
    <cellStyle name="표준 4 2 2 6" xfId="9221" xr:uid="{00000000-0005-0000-0000-00003C780000}"/>
    <cellStyle name="표준 4 2 2 6 2" xfId="9222" xr:uid="{00000000-0005-0000-0000-00003D780000}"/>
    <cellStyle name="표준 4 2 2 6 3" xfId="9223" xr:uid="{00000000-0005-0000-0000-00003E780000}"/>
    <cellStyle name="표준 4 2 2 6_뇌출혈특약(갱신형)" xfId="14168" xr:uid="{00000000-0005-0000-0000-00003F780000}"/>
    <cellStyle name="표준 4 2 2 7" xfId="9224" xr:uid="{00000000-0005-0000-0000-000040780000}"/>
    <cellStyle name="표준 4 2 2 7 2" xfId="9225" xr:uid="{00000000-0005-0000-0000-000041780000}"/>
    <cellStyle name="표준 4 2 2 7 3" xfId="9226" xr:uid="{00000000-0005-0000-0000-000042780000}"/>
    <cellStyle name="표준 4 2 2 7_뇌출혈특약(갱신형)" xfId="14169" xr:uid="{00000000-0005-0000-0000-000043780000}"/>
    <cellStyle name="표준 4 2 2 8" xfId="9227" xr:uid="{00000000-0005-0000-0000-000044780000}"/>
    <cellStyle name="표준 4 2 2 9" xfId="9228" xr:uid="{00000000-0005-0000-0000-000045780000}"/>
    <cellStyle name="표준 4 2 2_뇌출혈특약(갱신형)" xfId="14170" xr:uid="{00000000-0005-0000-0000-000046780000}"/>
    <cellStyle name="표준 4 2 3" xfId="9229" xr:uid="{00000000-0005-0000-0000-000047780000}"/>
    <cellStyle name="표준 4 2 3 2" xfId="9230" xr:uid="{00000000-0005-0000-0000-000048780000}"/>
    <cellStyle name="표준 4 2 3 2 2" xfId="9231" xr:uid="{00000000-0005-0000-0000-000049780000}"/>
    <cellStyle name="표준 4 2 3 2 2 2" xfId="9232" xr:uid="{00000000-0005-0000-0000-00004A780000}"/>
    <cellStyle name="표준 4 2 3 2 2 2 2" xfId="9233" xr:uid="{00000000-0005-0000-0000-00004B780000}"/>
    <cellStyle name="표준 4 2 3 2 2 2 3" xfId="9234" xr:uid="{00000000-0005-0000-0000-00004C780000}"/>
    <cellStyle name="표준 4 2 3 2 2 2_뇌출혈특약(갱신형)" xfId="14171" xr:uid="{00000000-0005-0000-0000-00004D780000}"/>
    <cellStyle name="표준 4 2 3 2 2 3" xfId="9235" xr:uid="{00000000-0005-0000-0000-00004E780000}"/>
    <cellStyle name="표준 4 2 3 2 2 4" xfId="9236" xr:uid="{00000000-0005-0000-0000-00004F780000}"/>
    <cellStyle name="표준 4 2 3 2 2_뇌출혈특약(갱신형)" xfId="14172" xr:uid="{00000000-0005-0000-0000-000050780000}"/>
    <cellStyle name="표준 4 2 3 2 3" xfId="9237" xr:uid="{00000000-0005-0000-0000-000051780000}"/>
    <cellStyle name="표준 4 2 3 2 3 2" xfId="9238" xr:uid="{00000000-0005-0000-0000-000052780000}"/>
    <cellStyle name="표준 4 2 3 2 3 2 2" xfId="9239" xr:uid="{00000000-0005-0000-0000-000053780000}"/>
    <cellStyle name="표준 4 2 3 2 3 2 3" xfId="9240" xr:uid="{00000000-0005-0000-0000-000054780000}"/>
    <cellStyle name="표준 4 2 3 2 3 2_뇌출혈특약(갱신형)" xfId="14173" xr:uid="{00000000-0005-0000-0000-000055780000}"/>
    <cellStyle name="표준 4 2 3 2 3 3" xfId="9241" xr:uid="{00000000-0005-0000-0000-000056780000}"/>
    <cellStyle name="표준 4 2 3 2 3 4" xfId="9242" xr:uid="{00000000-0005-0000-0000-000057780000}"/>
    <cellStyle name="표준 4 2 3 2 3_뇌출혈특약(갱신형)" xfId="14174" xr:uid="{00000000-0005-0000-0000-000058780000}"/>
    <cellStyle name="표준 4 2 3 2 4" xfId="9243" xr:uid="{00000000-0005-0000-0000-000059780000}"/>
    <cellStyle name="표준 4 2 3 2 4 2" xfId="9244" xr:uid="{00000000-0005-0000-0000-00005A780000}"/>
    <cellStyle name="표준 4 2 3 2 4 3" xfId="9245" xr:uid="{00000000-0005-0000-0000-00005B780000}"/>
    <cellStyle name="표준 4 2 3 2 4_뇌출혈특약(갱신형)" xfId="14175" xr:uid="{00000000-0005-0000-0000-00005C780000}"/>
    <cellStyle name="표준 4 2 3 2 5" xfId="9246" xr:uid="{00000000-0005-0000-0000-00005D780000}"/>
    <cellStyle name="표준 4 2 3 2 5 2" xfId="9247" xr:uid="{00000000-0005-0000-0000-00005E780000}"/>
    <cellStyle name="표준 4 2 3 2 5 3" xfId="9248" xr:uid="{00000000-0005-0000-0000-00005F780000}"/>
    <cellStyle name="표준 4 2 3 2 5_뇌출혈특약(갱신형)" xfId="14176" xr:uid="{00000000-0005-0000-0000-000060780000}"/>
    <cellStyle name="표준 4 2 3 2 6" xfId="9249" xr:uid="{00000000-0005-0000-0000-000061780000}"/>
    <cellStyle name="표준 4 2 3 2 7" xfId="9250" xr:uid="{00000000-0005-0000-0000-000062780000}"/>
    <cellStyle name="표준 4 2 3 2_뇌출혈특약(갱신형)" xfId="14177" xr:uid="{00000000-0005-0000-0000-000063780000}"/>
    <cellStyle name="표준 4 2 3 3" xfId="9251" xr:uid="{00000000-0005-0000-0000-000064780000}"/>
    <cellStyle name="표준 4 2 3 3 2" xfId="9252" xr:uid="{00000000-0005-0000-0000-000065780000}"/>
    <cellStyle name="표준 4 2 3 3 2 2" xfId="9253" xr:uid="{00000000-0005-0000-0000-000066780000}"/>
    <cellStyle name="표준 4 2 3 3 2 2 2" xfId="9254" xr:uid="{00000000-0005-0000-0000-000067780000}"/>
    <cellStyle name="표준 4 2 3 3 2 2 3" xfId="9255" xr:uid="{00000000-0005-0000-0000-000068780000}"/>
    <cellStyle name="표준 4 2 3 3 2 2_뇌출혈특약(갱신형)" xfId="14178" xr:uid="{00000000-0005-0000-0000-000069780000}"/>
    <cellStyle name="표준 4 2 3 3 2 3" xfId="9256" xr:uid="{00000000-0005-0000-0000-00006A780000}"/>
    <cellStyle name="표준 4 2 3 3 2 4" xfId="9257" xr:uid="{00000000-0005-0000-0000-00006B780000}"/>
    <cellStyle name="표준 4 2 3 3 2_뇌출혈특약(갱신형)" xfId="14179" xr:uid="{00000000-0005-0000-0000-00006C780000}"/>
    <cellStyle name="표준 4 2 3 3 3" xfId="9258" xr:uid="{00000000-0005-0000-0000-00006D780000}"/>
    <cellStyle name="표준 4 2 3 3 3 2" xfId="9259" xr:uid="{00000000-0005-0000-0000-00006E780000}"/>
    <cellStyle name="표준 4 2 3 3 3 2 2" xfId="9260" xr:uid="{00000000-0005-0000-0000-00006F780000}"/>
    <cellStyle name="표준 4 2 3 3 3 2 3" xfId="9261" xr:uid="{00000000-0005-0000-0000-000070780000}"/>
    <cellStyle name="표준 4 2 3 3 3 2_뇌출혈특약(갱신형)" xfId="14180" xr:uid="{00000000-0005-0000-0000-000071780000}"/>
    <cellStyle name="표준 4 2 3 3 3 3" xfId="9262" xr:uid="{00000000-0005-0000-0000-000072780000}"/>
    <cellStyle name="표준 4 2 3 3 3 4" xfId="9263" xr:uid="{00000000-0005-0000-0000-000073780000}"/>
    <cellStyle name="표준 4 2 3 3 3_뇌출혈특약(갱신형)" xfId="14181" xr:uid="{00000000-0005-0000-0000-000074780000}"/>
    <cellStyle name="표준 4 2 3 3 4" xfId="9264" xr:uid="{00000000-0005-0000-0000-000075780000}"/>
    <cellStyle name="표준 4 2 3 3 4 2" xfId="9265" xr:uid="{00000000-0005-0000-0000-000076780000}"/>
    <cellStyle name="표준 4 2 3 3 4 3" xfId="9266" xr:uid="{00000000-0005-0000-0000-000077780000}"/>
    <cellStyle name="표준 4 2 3 3 4_뇌출혈특약(갱신형)" xfId="14182" xr:uid="{00000000-0005-0000-0000-000078780000}"/>
    <cellStyle name="표준 4 2 3 3 5" xfId="9267" xr:uid="{00000000-0005-0000-0000-000079780000}"/>
    <cellStyle name="표준 4 2 3 3 5 2" xfId="9268" xr:uid="{00000000-0005-0000-0000-00007A780000}"/>
    <cellStyle name="표준 4 2 3 3 5 3" xfId="9269" xr:uid="{00000000-0005-0000-0000-00007B780000}"/>
    <cellStyle name="표준 4 2 3 3 5_뇌출혈특약(갱신형)" xfId="14183" xr:uid="{00000000-0005-0000-0000-00007C780000}"/>
    <cellStyle name="표준 4 2 3 3 6" xfId="9270" xr:uid="{00000000-0005-0000-0000-00007D780000}"/>
    <cellStyle name="표준 4 2 3 3 7" xfId="9271" xr:uid="{00000000-0005-0000-0000-00007E780000}"/>
    <cellStyle name="표준 4 2 3 3_뇌출혈특약(갱신형)" xfId="14184" xr:uid="{00000000-0005-0000-0000-00007F780000}"/>
    <cellStyle name="표준 4 2 3 4" xfId="9272" xr:uid="{00000000-0005-0000-0000-000080780000}"/>
    <cellStyle name="표준 4 2 3 4 2" xfId="9273" xr:uid="{00000000-0005-0000-0000-000081780000}"/>
    <cellStyle name="표준 4 2 3 4 2 2" xfId="9274" xr:uid="{00000000-0005-0000-0000-000082780000}"/>
    <cellStyle name="표준 4 2 3 4 2 3" xfId="9275" xr:uid="{00000000-0005-0000-0000-000083780000}"/>
    <cellStyle name="표준 4 2 3 4 2_뇌출혈특약(갱신형)" xfId="14185" xr:uid="{00000000-0005-0000-0000-000084780000}"/>
    <cellStyle name="표준 4 2 3 4 3" xfId="9276" xr:uid="{00000000-0005-0000-0000-000085780000}"/>
    <cellStyle name="표준 4 2 3 4 4" xfId="9277" xr:uid="{00000000-0005-0000-0000-000086780000}"/>
    <cellStyle name="표준 4 2 3 4_뇌출혈특약(갱신형)" xfId="14186" xr:uid="{00000000-0005-0000-0000-000087780000}"/>
    <cellStyle name="표준 4 2 3 5" xfId="9278" xr:uid="{00000000-0005-0000-0000-000088780000}"/>
    <cellStyle name="표준 4 2 3 5 2" xfId="9279" xr:uid="{00000000-0005-0000-0000-000089780000}"/>
    <cellStyle name="표준 4 2 3 5 2 2" xfId="9280" xr:uid="{00000000-0005-0000-0000-00008A780000}"/>
    <cellStyle name="표준 4 2 3 5 2 3" xfId="9281" xr:uid="{00000000-0005-0000-0000-00008B780000}"/>
    <cellStyle name="표준 4 2 3 5 2_뇌출혈특약(갱신형)" xfId="14187" xr:uid="{00000000-0005-0000-0000-00008C780000}"/>
    <cellStyle name="표준 4 2 3 5 3" xfId="9282" xr:uid="{00000000-0005-0000-0000-00008D780000}"/>
    <cellStyle name="표준 4 2 3 5 4" xfId="9283" xr:uid="{00000000-0005-0000-0000-00008E780000}"/>
    <cellStyle name="표준 4 2 3 5_뇌출혈특약(갱신형)" xfId="14188" xr:uid="{00000000-0005-0000-0000-00008F780000}"/>
    <cellStyle name="표준 4 2 3 6" xfId="9284" xr:uid="{00000000-0005-0000-0000-000090780000}"/>
    <cellStyle name="표준 4 2 3 6 2" xfId="9285" xr:uid="{00000000-0005-0000-0000-000091780000}"/>
    <cellStyle name="표준 4 2 3 6 3" xfId="9286" xr:uid="{00000000-0005-0000-0000-000092780000}"/>
    <cellStyle name="표준 4 2 3 6_뇌출혈특약(갱신형)" xfId="14189" xr:uid="{00000000-0005-0000-0000-000093780000}"/>
    <cellStyle name="표준 4 2 3 7" xfId="9287" xr:uid="{00000000-0005-0000-0000-000094780000}"/>
    <cellStyle name="표준 4 2 3 7 2" xfId="9288" xr:uid="{00000000-0005-0000-0000-000095780000}"/>
    <cellStyle name="표준 4 2 3 7 3" xfId="9289" xr:uid="{00000000-0005-0000-0000-000096780000}"/>
    <cellStyle name="표준 4 2 3 7_뇌출혈특약(갱신형)" xfId="14190" xr:uid="{00000000-0005-0000-0000-000097780000}"/>
    <cellStyle name="표준 4 2 3 8" xfId="9290" xr:uid="{00000000-0005-0000-0000-000098780000}"/>
    <cellStyle name="표준 4 2 3 9" xfId="9291" xr:uid="{00000000-0005-0000-0000-000099780000}"/>
    <cellStyle name="표준 4 2 3_뇌출혈특약(갱신형)" xfId="14191" xr:uid="{00000000-0005-0000-0000-00009A780000}"/>
    <cellStyle name="표준 4 2 4" xfId="9292" xr:uid="{00000000-0005-0000-0000-00009B780000}"/>
    <cellStyle name="표준 4 2 4 2" xfId="9293" xr:uid="{00000000-0005-0000-0000-00009C780000}"/>
    <cellStyle name="표준 4 2 4 2 2" xfId="9294" xr:uid="{00000000-0005-0000-0000-00009D780000}"/>
    <cellStyle name="표준 4 2 4 2 2 2" xfId="9295" xr:uid="{00000000-0005-0000-0000-00009E780000}"/>
    <cellStyle name="표준 4 2 4 2 2 2 2" xfId="9296" xr:uid="{00000000-0005-0000-0000-00009F780000}"/>
    <cellStyle name="표준 4 2 4 2 2 2 3" xfId="9297" xr:uid="{00000000-0005-0000-0000-0000A0780000}"/>
    <cellStyle name="표준 4 2 4 2 2 2_뇌출혈특약(갱신형)" xfId="14192" xr:uid="{00000000-0005-0000-0000-0000A1780000}"/>
    <cellStyle name="표준 4 2 4 2 2 3" xfId="9298" xr:uid="{00000000-0005-0000-0000-0000A2780000}"/>
    <cellStyle name="표준 4 2 4 2 2 4" xfId="9299" xr:uid="{00000000-0005-0000-0000-0000A3780000}"/>
    <cellStyle name="표준 4 2 4 2 2_뇌출혈특약(갱신형)" xfId="14193" xr:uid="{00000000-0005-0000-0000-0000A4780000}"/>
    <cellStyle name="표준 4 2 4 2 3" xfId="9300" xr:uid="{00000000-0005-0000-0000-0000A5780000}"/>
    <cellStyle name="표준 4 2 4 2 3 2" xfId="9301" xr:uid="{00000000-0005-0000-0000-0000A6780000}"/>
    <cellStyle name="표준 4 2 4 2 3 2 2" xfId="9302" xr:uid="{00000000-0005-0000-0000-0000A7780000}"/>
    <cellStyle name="표준 4 2 4 2 3 2 3" xfId="9303" xr:uid="{00000000-0005-0000-0000-0000A8780000}"/>
    <cellStyle name="표준 4 2 4 2 3 2_뇌출혈특약(갱신형)" xfId="14194" xr:uid="{00000000-0005-0000-0000-0000A9780000}"/>
    <cellStyle name="표준 4 2 4 2 3 3" xfId="9304" xr:uid="{00000000-0005-0000-0000-0000AA780000}"/>
    <cellStyle name="표준 4 2 4 2 3 4" xfId="9305" xr:uid="{00000000-0005-0000-0000-0000AB780000}"/>
    <cellStyle name="표준 4 2 4 2 3_뇌출혈특약(갱신형)" xfId="14195" xr:uid="{00000000-0005-0000-0000-0000AC780000}"/>
    <cellStyle name="표준 4 2 4 2 4" xfId="9306" xr:uid="{00000000-0005-0000-0000-0000AD780000}"/>
    <cellStyle name="표준 4 2 4 2 4 2" xfId="9307" xr:uid="{00000000-0005-0000-0000-0000AE780000}"/>
    <cellStyle name="표준 4 2 4 2 4 3" xfId="9308" xr:uid="{00000000-0005-0000-0000-0000AF780000}"/>
    <cellStyle name="표준 4 2 4 2 4_뇌출혈특약(갱신형)" xfId="14196" xr:uid="{00000000-0005-0000-0000-0000B0780000}"/>
    <cellStyle name="표준 4 2 4 2 5" xfId="9309" xr:uid="{00000000-0005-0000-0000-0000B1780000}"/>
    <cellStyle name="표준 4 2 4 2 5 2" xfId="9310" xr:uid="{00000000-0005-0000-0000-0000B2780000}"/>
    <cellStyle name="표준 4 2 4 2 5 3" xfId="9311" xr:uid="{00000000-0005-0000-0000-0000B3780000}"/>
    <cellStyle name="표준 4 2 4 2 5_뇌출혈특약(갱신형)" xfId="14197" xr:uid="{00000000-0005-0000-0000-0000B4780000}"/>
    <cellStyle name="표준 4 2 4 2 6" xfId="9312" xr:uid="{00000000-0005-0000-0000-0000B5780000}"/>
    <cellStyle name="표준 4 2 4 2 7" xfId="9313" xr:uid="{00000000-0005-0000-0000-0000B6780000}"/>
    <cellStyle name="표준 4 2 4 2_뇌출혈특약(갱신형)" xfId="14198" xr:uid="{00000000-0005-0000-0000-0000B7780000}"/>
    <cellStyle name="표준 4 2 4 3" xfId="9314" xr:uid="{00000000-0005-0000-0000-0000B8780000}"/>
    <cellStyle name="표준 4 2 4 3 2" xfId="9315" xr:uid="{00000000-0005-0000-0000-0000B9780000}"/>
    <cellStyle name="표준 4 2 4 3 2 2" xfId="9316" xr:uid="{00000000-0005-0000-0000-0000BA780000}"/>
    <cellStyle name="표준 4 2 4 3 2 3" xfId="9317" xr:uid="{00000000-0005-0000-0000-0000BB780000}"/>
    <cellStyle name="표준 4 2 4 3 2_뇌출혈특약(갱신형)" xfId="14199" xr:uid="{00000000-0005-0000-0000-0000BC780000}"/>
    <cellStyle name="표준 4 2 4 3 3" xfId="9318" xr:uid="{00000000-0005-0000-0000-0000BD780000}"/>
    <cellStyle name="표준 4 2 4 3 4" xfId="9319" xr:uid="{00000000-0005-0000-0000-0000BE780000}"/>
    <cellStyle name="표준 4 2 4 3_뇌출혈특약(갱신형)" xfId="14200" xr:uid="{00000000-0005-0000-0000-0000BF780000}"/>
    <cellStyle name="표준 4 2 4 4" xfId="9320" xr:uid="{00000000-0005-0000-0000-0000C0780000}"/>
    <cellStyle name="표준 4 2 4 4 2" xfId="9321" xr:uid="{00000000-0005-0000-0000-0000C1780000}"/>
    <cellStyle name="표준 4 2 4 4 2 2" xfId="9322" xr:uid="{00000000-0005-0000-0000-0000C2780000}"/>
    <cellStyle name="표준 4 2 4 4 2 3" xfId="9323" xr:uid="{00000000-0005-0000-0000-0000C3780000}"/>
    <cellStyle name="표준 4 2 4 4 2_뇌출혈특약(갱신형)" xfId="14201" xr:uid="{00000000-0005-0000-0000-0000C4780000}"/>
    <cellStyle name="표준 4 2 4 4 3" xfId="9324" xr:uid="{00000000-0005-0000-0000-0000C5780000}"/>
    <cellStyle name="표준 4 2 4 4 4" xfId="9325" xr:uid="{00000000-0005-0000-0000-0000C6780000}"/>
    <cellStyle name="표준 4 2 4 4_뇌출혈특약(갱신형)" xfId="14202" xr:uid="{00000000-0005-0000-0000-0000C7780000}"/>
    <cellStyle name="표준 4 2 4 5" xfId="9326" xr:uid="{00000000-0005-0000-0000-0000C8780000}"/>
    <cellStyle name="표준 4 2 4 5 2" xfId="9327" xr:uid="{00000000-0005-0000-0000-0000C9780000}"/>
    <cellStyle name="표준 4 2 4 5 3" xfId="9328" xr:uid="{00000000-0005-0000-0000-0000CA780000}"/>
    <cellStyle name="표준 4 2 4 5_뇌출혈특약(갱신형)" xfId="14203" xr:uid="{00000000-0005-0000-0000-0000CB780000}"/>
    <cellStyle name="표준 4 2 4 6" xfId="9329" xr:uid="{00000000-0005-0000-0000-0000CC780000}"/>
    <cellStyle name="표준 4 2 4 6 2" xfId="9330" xr:uid="{00000000-0005-0000-0000-0000CD780000}"/>
    <cellStyle name="표준 4 2 4 6 3" xfId="9331" xr:uid="{00000000-0005-0000-0000-0000CE780000}"/>
    <cellStyle name="표준 4 2 4 6_뇌출혈특약(갱신형)" xfId="14204" xr:uid="{00000000-0005-0000-0000-0000CF780000}"/>
    <cellStyle name="표준 4 2 4 7" xfId="9332" xr:uid="{00000000-0005-0000-0000-0000D0780000}"/>
    <cellStyle name="표준 4 2 4 8" xfId="9333" xr:uid="{00000000-0005-0000-0000-0000D1780000}"/>
    <cellStyle name="표준 4 2 4_뇌출혈특약(갱신형)" xfId="14205" xr:uid="{00000000-0005-0000-0000-0000D2780000}"/>
    <cellStyle name="표준 4 2 5" xfId="9334" xr:uid="{00000000-0005-0000-0000-0000D3780000}"/>
    <cellStyle name="표준 4 2 5 2" xfId="9335" xr:uid="{00000000-0005-0000-0000-0000D4780000}"/>
    <cellStyle name="표준 4 2 5 2 2" xfId="9336" xr:uid="{00000000-0005-0000-0000-0000D5780000}"/>
    <cellStyle name="표준 4 2 5 2 2 2" xfId="9337" xr:uid="{00000000-0005-0000-0000-0000D6780000}"/>
    <cellStyle name="표준 4 2 5 2 2 3" xfId="9338" xr:uid="{00000000-0005-0000-0000-0000D7780000}"/>
    <cellStyle name="표준 4 2 5 2 2_뇌출혈특약(갱신형)" xfId="14206" xr:uid="{00000000-0005-0000-0000-0000D8780000}"/>
    <cellStyle name="표준 4 2 5 2 3" xfId="9339" xr:uid="{00000000-0005-0000-0000-0000D9780000}"/>
    <cellStyle name="표준 4 2 5 2 4" xfId="9340" xr:uid="{00000000-0005-0000-0000-0000DA780000}"/>
    <cellStyle name="표준 4 2 5 2_뇌출혈특약(갱신형)" xfId="14207" xr:uid="{00000000-0005-0000-0000-0000DB780000}"/>
    <cellStyle name="표준 4 2 5 3" xfId="9341" xr:uid="{00000000-0005-0000-0000-0000DC780000}"/>
    <cellStyle name="표준 4 2 5 3 2" xfId="9342" xr:uid="{00000000-0005-0000-0000-0000DD780000}"/>
    <cellStyle name="표준 4 2 5 3 2 2" xfId="9343" xr:uid="{00000000-0005-0000-0000-0000DE780000}"/>
    <cellStyle name="표준 4 2 5 3 2 3" xfId="9344" xr:uid="{00000000-0005-0000-0000-0000DF780000}"/>
    <cellStyle name="표준 4 2 5 3 2_뇌출혈특약(갱신형)" xfId="14208" xr:uid="{00000000-0005-0000-0000-0000E0780000}"/>
    <cellStyle name="표준 4 2 5 3 3" xfId="9345" xr:uid="{00000000-0005-0000-0000-0000E1780000}"/>
    <cellStyle name="표준 4 2 5 3 4" xfId="9346" xr:uid="{00000000-0005-0000-0000-0000E2780000}"/>
    <cellStyle name="표준 4 2 5 3_뇌출혈특약(갱신형)" xfId="14209" xr:uid="{00000000-0005-0000-0000-0000E3780000}"/>
    <cellStyle name="표준 4 2 5 4" xfId="9347" xr:uid="{00000000-0005-0000-0000-0000E4780000}"/>
    <cellStyle name="표준 4 2 5 4 2" xfId="9348" xr:uid="{00000000-0005-0000-0000-0000E5780000}"/>
    <cellStyle name="표준 4 2 5 4 3" xfId="9349" xr:uid="{00000000-0005-0000-0000-0000E6780000}"/>
    <cellStyle name="표준 4 2 5 4_뇌출혈특약(갱신형)" xfId="14210" xr:uid="{00000000-0005-0000-0000-0000E7780000}"/>
    <cellStyle name="표준 4 2 5 5" xfId="9350" xr:uid="{00000000-0005-0000-0000-0000E8780000}"/>
    <cellStyle name="표준 4 2 5 5 2" xfId="9351" xr:uid="{00000000-0005-0000-0000-0000E9780000}"/>
    <cellStyle name="표준 4 2 5 5 3" xfId="9352" xr:uid="{00000000-0005-0000-0000-0000EA780000}"/>
    <cellStyle name="표준 4 2 5 5_뇌출혈특약(갱신형)" xfId="14211" xr:uid="{00000000-0005-0000-0000-0000EB780000}"/>
    <cellStyle name="표준 4 2 5 6" xfId="9353" xr:uid="{00000000-0005-0000-0000-0000EC780000}"/>
    <cellStyle name="표준 4 2 5 7" xfId="9354" xr:uid="{00000000-0005-0000-0000-0000ED780000}"/>
    <cellStyle name="표준 4 2 5_뇌출혈특약(갱신형)" xfId="14212" xr:uid="{00000000-0005-0000-0000-0000EE780000}"/>
    <cellStyle name="표준 4 2 6" xfId="9355" xr:uid="{00000000-0005-0000-0000-0000EF780000}"/>
    <cellStyle name="표준 4 2 6 2" xfId="9356" xr:uid="{00000000-0005-0000-0000-0000F0780000}"/>
    <cellStyle name="표준 4 2 6 2 2" xfId="9357" xr:uid="{00000000-0005-0000-0000-0000F1780000}"/>
    <cellStyle name="표준 4 2 6 2 2 2" xfId="9358" xr:uid="{00000000-0005-0000-0000-0000F2780000}"/>
    <cellStyle name="표준 4 2 6 2 2 3" xfId="9359" xr:uid="{00000000-0005-0000-0000-0000F3780000}"/>
    <cellStyle name="표준 4 2 6 2 2_뇌출혈특약(갱신형)" xfId="14213" xr:uid="{00000000-0005-0000-0000-0000F4780000}"/>
    <cellStyle name="표준 4 2 6 2 3" xfId="9360" xr:uid="{00000000-0005-0000-0000-0000F5780000}"/>
    <cellStyle name="표준 4 2 6 2 4" xfId="9361" xr:uid="{00000000-0005-0000-0000-0000F6780000}"/>
    <cellStyle name="표준 4 2 6 2_뇌출혈특약(갱신형)" xfId="14214" xr:uid="{00000000-0005-0000-0000-0000F7780000}"/>
    <cellStyle name="표준 4 2 6 3" xfId="9362" xr:uid="{00000000-0005-0000-0000-0000F8780000}"/>
    <cellStyle name="표준 4 2 6 3 2" xfId="9363" xr:uid="{00000000-0005-0000-0000-0000F9780000}"/>
    <cellStyle name="표준 4 2 6 3 2 2" xfId="9364" xr:uid="{00000000-0005-0000-0000-0000FA780000}"/>
    <cellStyle name="표준 4 2 6 3 2 3" xfId="9365" xr:uid="{00000000-0005-0000-0000-0000FB780000}"/>
    <cellStyle name="표준 4 2 6 3 2_뇌출혈특약(갱신형)" xfId="14215" xr:uid="{00000000-0005-0000-0000-0000FC780000}"/>
    <cellStyle name="표준 4 2 6 3 3" xfId="9366" xr:uid="{00000000-0005-0000-0000-0000FD780000}"/>
    <cellStyle name="표준 4 2 6 3 4" xfId="9367" xr:uid="{00000000-0005-0000-0000-0000FE780000}"/>
    <cellStyle name="표준 4 2 6 3_뇌출혈특약(갱신형)" xfId="14216" xr:uid="{00000000-0005-0000-0000-0000FF780000}"/>
    <cellStyle name="표준 4 2 6 4" xfId="9368" xr:uid="{00000000-0005-0000-0000-000000790000}"/>
    <cellStyle name="표준 4 2 6 4 2" xfId="9369" xr:uid="{00000000-0005-0000-0000-000001790000}"/>
    <cellStyle name="표준 4 2 6 4 3" xfId="9370" xr:uid="{00000000-0005-0000-0000-000002790000}"/>
    <cellStyle name="표준 4 2 6 4_뇌출혈특약(갱신형)" xfId="14217" xr:uid="{00000000-0005-0000-0000-000003790000}"/>
    <cellStyle name="표준 4 2 6 5" xfId="9371" xr:uid="{00000000-0005-0000-0000-000004790000}"/>
    <cellStyle name="표준 4 2 6 5 2" xfId="9372" xr:uid="{00000000-0005-0000-0000-000005790000}"/>
    <cellStyle name="표준 4 2 6 5 3" xfId="9373" xr:uid="{00000000-0005-0000-0000-000006790000}"/>
    <cellStyle name="표준 4 2 6 5_뇌출혈특약(갱신형)" xfId="14218" xr:uid="{00000000-0005-0000-0000-000007790000}"/>
    <cellStyle name="표준 4 2 6 6" xfId="9374" xr:uid="{00000000-0005-0000-0000-000008790000}"/>
    <cellStyle name="표준 4 2 6 7" xfId="9375" xr:uid="{00000000-0005-0000-0000-000009790000}"/>
    <cellStyle name="표준 4 2 6_뇌출혈특약(갱신형)" xfId="14219" xr:uid="{00000000-0005-0000-0000-00000A790000}"/>
    <cellStyle name="표준 4 2 7" xfId="9376" xr:uid="{00000000-0005-0000-0000-00000B790000}"/>
    <cellStyle name="표준 4 2 7 2" xfId="9377" xr:uid="{00000000-0005-0000-0000-00000C790000}"/>
    <cellStyle name="표준 4 2 7 2 2" xfId="9378" xr:uid="{00000000-0005-0000-0000-00000D790000}"/>
    <cellStyle name="표준 4 2 7 2 3" xfId="9379" xr:uid="{00000000-0005-0000-0000-00000E790000}"/>
    <cellStyle name="표준 4 2 7 2_뇌출혈특약(갱신형)" xfId="14220" xr:uid="{00000000-0005-0000-0000-00000F790000}"/>
    <cellStyle name="표준 4 2 7 3" xfId="9380" xr:uid="{00000000-0005-0000-0000-000010790000}"/>
    <cellStyle name="표준 4 2 7 4" xfId="9381" xr:uid="{00000000-0005-0000-0000-000011790000}"/>
    <cellStyle name="표준 4 2 7_뇌출혈특약(갱신형)" xfId="14221" xr:uid="{00000000-0005-0000-0000-000012790000}"/>
    <cellStyle name="표준 4 2 8" xfId="9382" xr:uid="{00000000-0005-0000-0000-000013790000}"/>
    <cellStyle name="표준 4 2 8 2" xfId="9383" xr:uid="{00000000-0005-0000-0000-000014790000}"/>
    <cellStyle name="표준 4 2 8 2 2" xfId="9384" xr:uid="{00000000-0005-0000-0000-000015790000}"/>
    <cellStyle name="표준 4 2 8 2 3" xfId="9385" xr:uid="{00000000-0005-0000-0000-000016790000}"/>
    <cellStyle name="표준 4 2 8 2_뇌출혈특약(갱신형)" xfId="14222" xr:uid="{00000000-0005-0000-0000-000017790000}"/>
    <cellStyle name="표준 4 2 8 3" xfId="9386" xr:uid="{00000000-0005-0000-0000-000018790000}"/>
    <cellStyle name="표준 4 2 8 4" xfId="9387" xr:uid="{00000000-0005-0000-0000-000019790000}"/>
    <cellStyle name="표준 4 2 8_뇌출혈특약(갱신형)" xfId="14223" xr:uid="{00000000-0005-0000-0000-00001A790000}"/>
    <cellStyle name="표준 4 2 9" xfId="9388" xr:uid="{00000000-0005-0000-0000-00001B790000}"/>
    <cellStyle name="표준 4 2 9 2" xfId="9389" xr:uid="{00000000-0005-0000-0000-00001C790000}"/>
    <cellStyle name="표준 4 2 9 3" xfId="9390" xr:uid="{00000000-0005-0000-0000-00001D790000}"/>
    <cellStyle name="표준 4 2 9_뇌출혈특약(갱신형)" xfId="14224" xr:uid="{00000000-0005-0000-0000-00001E790000}"/>
    <cellStyle name="표준 4 2_뇌출혈특약(갱신형)" xfId="14225" xr:uid="{00000000-0005-0000-0000-00001F790000}"/>
    <cellStyle name="표준 4 20" xfId="9391" xr:uid="{00000000-0005-0000-0000-000020790000}"/>
    <cellStyle name="표준 4 21" xfId="9392" xr:uid="{00000000-0005-0000-0000-000021790000}"/>
    <cellStyle name="표준 4 3" xfId="83" xr:uid="{00000000-0005-0000-0000-000022790000}"/>
    <cellStyle name="표준 4 3 10" xfId="9393" xr:uid="{00000000-0005-0000-0000-000023790000}"/>
    <cellStyle name="표준 4 3 10 2" xfId="9394" xr:uid="{00000000-0005-0000-0000-000024790000}"/>
    <cellStyle name="표준 4 3 10 3" xfId="9395" xr:uid="{00000000-0005-0000-0000-000025790000}"/>
    <cellStyle name="표준 4 3 10_뇌출혈특약(갱신형)" xfId="14226" xr:uid="{00000000-0005-0000-0000-000026790000}"/>
    <cellStyle name="표준 4 3 11" xfId="9396" xr:uid="{00000000-0005-0000-0000-000027790000}"/>
    <cellStyle name="표준 4 3 11 2" xfId="9397" xr:uid="{00000000-0005-0000-0000-000028790000}"/>
    <cellStyle name="표준 4 3 11_뇌출혈특약(갱신형)" xfId="14227" xr:uid="{00000000-0005-0000-0000-000029790000}"/>
    <cellStyle name="표준 4 3 12" xfId="9398" xr:uid="{00000000-0005-0000-0000-00002A790000}"/>
    <cellStyle name="표준 4 3 12 2" xfId="9399" xr:uid="{00000000-0005-0000-0000-00002B790000}"/>
    <cellStyle name="표준 4 3 12_뇌출혈특약(갱신형)" xfId="14228" xr:uid="{00000000-0005-0000-0000-00002C790000}"/>
    <cellStyle name="표준 4 3 13" xfId="9400" xr:uid="{00000000-0005-0000-0000-00002D790000}"/>
    <cellStyle name="표준 4 3 13 2" xfId="9401" xr:uid="{00000000-0005-0000-0000-00002E790000}"/>
    <cellStyle name="표준 4 3 13_뇌출혈특약(갱신형)" xfId="14229" xr:uid="{00000000-0005-0000-0000-00002F790000}"/>
    <cellStyle name="표준 4 3 14" xfId="9402" xr:uid="{00000000-0005-0000-0000-000030790000}"/>
    <cellStyle name="표준 4 3 14 2" xfId="9403" xr:uid="{00000000-0005-0000-0000-000031790000}"/>
    <cellStyle name="표준 4 3 14_뇌출혈특약(갱신형)" xfId="14230" xr:uid="{00000000-0005-0000-0000-000032790000}"/>
    <cellStyle name="표준 4 3 15" xfId="9404" xr:uid="{00000000-0005-0000-0000-000033790000}"/>
    <cellStyle name="표준 4 3 16" xfId="9405" xr:uid="{00000000-0005-0000-0000-000034790000}"/>
    <cellStyle name="표준 4 3 2" xfId="9406" xr:uid="{00000000-0005-0000-0000-000035790000}"/>
    <cellStyle name="표준 4 3 2 2" xfId="9407" xr:uid="{00000000-0005-0000-0000-000036790000}"/>
    <cellStyle name="표준 4 3 2 2 2" xfId="9408" xr:uid="{00000000-0005-0000-0000-000037790000}"/>
    <cellStyle name="표준 4 3 2 2 2 2" xfId="9409" xr:uid="{00000000-0005-0000-0000-000038790000}"/>
    <cellStyle name="표준 4 3 2 2 2 2 2" xfId="9410" xr:uid="{00000000-0005-0000-0000-000039790000}"/>
    <cellStyle name="표준 4 3 2 2 2 2 3" xfId="9411" xr:uid="{00000000-0005-0000-0000-00003A790000}"/>
    <cellStyle name="표준 4 3 2 2 2 2_뇌출혈특약(갱신형)" xfId="14231" xr:uid="{00000000-0005-0000-0000-00003B790000}"/>
    <cellStyle name="표준 4 3 2 2 2 3" xfId="9412" xr:uid="{00000000-0005-0000-0000-00003C790000}"/>
    <cellStyle name="표준 4 3 2 2 2 4" xfId="9413" xr:uid="{00000000-0005-0000-0000-00003D790000}"/>
    <cellStyle name="표준 4 3 2 2 2_뇌출혈특약(갱신형)" xfId="14232" xr:uid="{00000000-0005-0000-0000-00003E790000}"/>
    <cellStyle name="표준 4 3 2 2 3" xfId="9414" xr:uid="{00000000-0005-0000-0000-00003F790000}"/>
    <cellStyle name="표준 4 3 2 2 3 2" xfId="9415" xr:uid="{00000000-0005-0000-0000-000040790000}"/>
    <cellStyle name="표준 4 3 2 2 3 2 2" xfId="9416" xr:uid="{00000000-0005-0000-0000-000041790000}"/>
    <cellStyle name="표준 4 3 2 2 3 2 3" xfId="9417" xr:uid="{00000000-0005-0000-0000-000042790000}"/>
    <cellStyle name="표준 4 3 2 2 3 2_뇌출혈특약(갱신형)" xfId="14233" xr:uid="{00000000-0005-0000-0000-000043790000}"/>
    <cellStyle name="표준 4 3 2 2 3 3" xfId="9418" xr:uid="{00000000-0005-0000-0000-000044790000}"/>
    <cellStyle name="표준 4 3 2 2 3 4" xfId="9419" xr:uid="{00000000-0005-0000-0000-000045790000}"/>
    <cellStyle name="표준 4 3 2 2 3_뇌출혈특약(갱신형)" xfId="14234" xr:uid="{00000000-0005-0000-0000-000046790000}"/>
    <cellStyle name="표준 4 3 2 2 4" xfId="9420" xr:uid="{00000000-0005-0000-0000-000047790000}"/>
    <cellStyle name="표준 4 3 2 2 4 2" xfId="9421" xr:uid="{00000000-0005-0000-0000-000048790000}"/>
    <cellStyle name="표준 4 3 2 2 4 3" xfId="9422" xr:uid="{00000000-0005-0000-0000-000049790000}"/>
    <cellStyle name="표준 4 3 2 2 4_뇌출혈특약(갱신형)" xfId="14235" xr:uid="{00000000-0005-0000-0000-00004A790000}"/>
    <cellStyle name="표준 4 3 2 2 5" xfId="9423" xr:uid="{00000000-0005-0000-0000-00004B790000}"/>
    <cellStyle name="표준 4 3 2 2 5 2" xfId="9424" xr:uid="{00000000-0005-0000-0000-00004C790000}"/>
    <cellStyle name="표준 4 3 2 2 5 3" xfId="9425" xr:uid="{00000000-0005-0000-0000-00004D790000}"/>
    <cellStyle name="표준 4 3 2 2 5_뇌출혈특약(갱신형)" xfId="14236" xr:uid="{00000000-0005-0000-0000-00004E790000}"/>
    <cellStyle name="표준 4 3 2 2 6" xfId="9426" xr:uid="{00000000-0005-0000-0000-00004F790000}"/>
    <cellStyle name="표준 4 3 2 2 7" xfId="9427" xr:uid="{00000000-0005-0000-0000-000050790000}"/>
    <cellStyle name="표준 4 3 2 2_뇌출혈특약(갱신형)" xfId="14237" xr:uid="{00000000-0005-0000-0000-000051790000}"/>
    <cellStyle name="표준 4 3 2 3" xfId="9428" xr:uid="{00000000-0005-0000-0000-000052790000}"/>
    <cellStyle name="표준 4 3 2 3 2" xfId="9429" xr:uid="{00000000-0005-0000-0000-000053790000}"/>
    <cellStyle name="표준 4 3 2 3 2 2" xfId="9430" xr:uid="{00000000-0005-0000-0000-000054790000}"/>
    <cellStyle name="표준 4 3 2 3 2 3" xfId="9431" xr:uid="{00000000-0005-0000-0000-000055790000}"/>
    <cellStyle name="표준 4 3 2 3 2_뇌출혈특약(갱신형)" xfId="14238" xr:uid="{00000000-0005-0000-0000-000056790000}"/>
    <cellStyle name="표준 4 3 2 3 3" xfId="9432" xr:uid="{00000000-0005-0000-0000-000057790000}"/>
    <cellStyle name="표준 4 3 2 3 4" xfId="9433" xr:uid="{00000000-0005-0000-0000-000058790000}"/>
    <cellStyle name="표준 4 3 2 3_뇌출혈특약(갱신형)" xfId="14239" xr:uid="{00000000-0005-0000-0000-000059790000}"/>
    <cellStyle name="표준 4 3 2 4" xfId="9434" xr:uid="{00000000-0005-0000-0000-00005A790000}"/>
    <cellStyle name="표준 4 3 2 4 2" xfId="9435" xr:uid="{00000000-0005-0000-0000-00005B790000}"/>
    <cellStyle name="표준 4 3 2 4 2 2" xfId="9436" xr:uid="{00000000-0005-0000-0000-00005C790000}"/>
    <cellStyle name="표준 4 3 2 4 2 3" xfId="9437" xr:uid="{00000000-0005-0000-0000-00005D790000}"/>
    <cellStyle name="표준 4 3 2 4 2_뇌출혈특약(갱신형)" xfId="14240" xr:uid="{00000000-0005-0000-0000-00005E790000}"/>
    <cellStyle name="표준 4 3 2 4 3" xfId="9438" xr:uid="{00000000-0005-0000-0000-00005F790000}"/>
    <cellStyle name="표준 4 3 2 4 4" xfId="9439" xr:uid="{00000000-0005-0000-0000-000060790000}"/>
    <cellStyle name="표준 4 3 2 4_뇌출혈특약(갱신형)" xfId="14241" xr:uid="{00000000-0005-0000-0000-000061790000}"/>
    <cellStyle name="표준 4 3 2 5" xfId="9440" xr:uid="{00000000-0005-0000-0000-000062790000}"/>
    <cellStyle name="표준 4 3 2 5 2" xfId="9441" xr:uid="{00000000-0005-0000-0000-000063790000}"/>
    <cellStyle name="표준 4 3 2 5 3" xfId="9442" xr:uid="{00000000-0005-0000-0000-000064790000}"/>
    <cellStyle name="표준 4 3 2 5_뇌출혈특약(갱신형)" xfId="14242" xr:uid="{00000000-0005-0000-0000-000065790000}"/>
    <cellStyle name="표준 4 3 2 6" xfId="9443" xr:uid="{00000000-0005-0000-0000-000066790000}"/>
    <cellStyle name="표준 4 3 2 6 2" xfId="9444" xr:uid="{00000000-0005-0000-0000-000067790000}"/>
    <cellStyle name="표준 4 3 2 6 3" xfId="9445" xr:uid="{00000000-0005-0000-0000-000068790000}"/>
    <cellStyle name="표준 4 3 2 6_뇌출혈특약(갱신형)" xfId="14243" xr:uid="{00000000-0005-0000-0000-000069790000}"/>
    <cellStyle name="표준 4 3 2 7" xfId="9446" xr:uid="{00000000-0005-0000-0000-00006A790000}"/>
    <cellStyle name="표준 4 3 2 8" xfId="9447" xr:uid="{00000000-0005-0000-0000-00006B790000}"/>
    <cellStyle name="표준 4 3 2_뇌출혈특약(갱신형)" xfId="14244" xr:uid="{00000000-0005-0000-0000-00006C790000}"/>
    <cellStyle name="표준 4 3 3" xfId="9448" xr:uid="{00000000-0005-0000-0000-00006D790000}"/>
    <cellStyle name="표준 4 3 3 2" xfId="9449" xr:uid="{00000000-0005-0000-0000-00006E790000}"/>
    <cellStyle name="표준 4 3 3 2 2" xfId="9450" xr:uid="{00000000-0005-0000-0000-00006F790000}"/>
    <cellStyle name="표준 4 3 3 2 2 2" xfId="9451" xr:uid="{00000000-0005-0000-0000-000070790000}"/>
    <cellStyle name="표준 4 3 3 2 2 3" xfId="9452" xr:uid="{00000000-0005-0000-0000-000071790000}"/>
    <cellStyle name="표준 4 3 3 2 2_뇌출혈특약(갱신형)" xfId="14245" xr:uid="{00000000-0005-0000-0000-000072790000}"/>
    <cellStyle name="표준 4 3 3 2 3" xfId="9453" xr:uid="{00000000-0005-0000-0000-000073790000}"/>
    <cellStyle name="표준 4 3 3 2 4" xfId="9454" xr:uid="{00000000-0005-0000-0000-000074790000}"/>
    <cellStyle name="표준 4 3 3 2_뇌출혈특약(갱신형)" xfId="14246" xr:uid="{00000000-0005-0000-0000-000075790000}"/>
    <cellStyle name="표준 4 3 3 3" xfId="9455" xr:uid="{00000000-0005-0000-0000-000076790000}"/>
    <cellStyle name="표준 4 3 3 3 2" xfId="9456" xr:uid="{00000000-0005-0000-0000-000077790000}"/>
    <cellStyle name="표준 4 3 3 3 2 2" xfId="9457" xr:uid="{00000000-0005-0000-0000-000078790000}"/>
    <cellStyle name="표준 4 3 3 3 2 3" xfId="9458" xr:uid="{00000000-0005-0000-0000-000079790000}"/>
    <cellStyle name="표준 4 3 3 3 2_뇌출혈특약(갱신형)" xfId="14247" xr:uid="{00000000-0005-0000-0000-00007A790000}"/>
    <cellStyle name="표준 4 3 3 3 3" xfId="9459" xr:uid="{00000000-0005-0000-0000-00007B790000}"/>
    <cellStyle name="표준 4 3 3 3 4" xfId="9460" xr:uid="{00000000-0005-0000-0000-00007C790000}"/>
    <cellStyle name="표준 4 3 3 3_뇌출혈특약(갱신형)" xfId="14248" xr:uid="{00000000-0005-0000-0000-00007D790000}"/>
    <cellStyle name="표준 4 3 3 4" xfId="9461" xr:uid="{00000000-0005-0000-0000-00007E790000}"/>
    <cellStyle name="표준 4 3 3 4 2" xfId="9462" xr:uid="{00000000-0005-0000-0000-00007F790000}"/>
    <cellStyle name="표준 4 3 3 4 3" xfId="9463" xr:uid="{00000000-0005-0000-0000-000080790000}"/>
    <cellStyle name="표준 4 3 3 4_뇌출혈특약(갱신형)" xfId="14249" xr:uid="{00000000-0005-0000-0000-000081790000}"/>
    <cellStyle name="표준 4 3 3 5" xfId="9464" xr:uid="{00000000-0005-0000-0000-000082790000}"/>
    <cellStyle name="표준 4 3 3 5 2" xfId="9465" xr:uid="{00000000-0005-0000-0000-000083790000}"/>
    <cellStyle name="표준 4 3 3 5 3" xfId="9466" xr:uid="{00000000-0005-0000-0000-000084790000}"/>
    <cellStyle name="표준 4 3 3 5_뇌출혈특약(갱신형)" xfId="14250" xr:uid="{00000000-0005-0000-0000-000085790000}"/>
    <cellStyle name="표준 4 3 3 6" xfId="9467" xr:uid="{00000000-0005-0000-0000-000086790000}"/>
    <cellStyle name="표준 4 3 3 7" xfId="9468" xr:uid="{00000000-0005-0000-0000-000087790000}"/>
    <cellStyle name="표준 4 3 3_뇌출혈특약(갱신형)" xfId="14251" xr:uid="{00000000-0005-0000-0000-000088790000}"/>
    <cellStyle name="표준 4 3 4" xfId="9469" xr:uid="{00000000-0005-0000-0000-000089790000}"/>
    <cellStyle name="표준 4 3 4 2" xfId="9470" xr:uid="{00000000-0005-0000-0000-00008A790000}"/>
    <cellStyle name="표준 4 3 4 2 2" xfId="9471" xr:uid="{00000000-0005-0000-0000-00008B790000}"/>
    <cellStyle name="표준 4 3 4 2 2 2" xfId="9472" xr:uid="{00000000-0005-0000-0000-00008C790000}"/>
    <cellStyle name="표준 4 3 4 2 2 3" xfId="9473" xr:uid="{00000000-0005-0000-0000-00008D790000}"/>
    <cellStyle name="표준 4 3 4 2 2_뇌출혈특약(갱신형)" xfId="14252" xr:uid="{00000000-0005-0000-0000-00008E790000}"/>
    <cellStyle name="표준 4 3 4 2 3" xfId="9474" xr:uid="{00000000-0005-0000-0000-00008F790000}"/>
    <cellStyle name="표준 4 3 4 2 4" xfId="9475" xr:uid="{00000000-0005-0000-0000-000090790000}"/>
    <cellStyle name="표준 4 3 4 2_뇌출혈특약(갱신형)" xfId="14253" xr:uid="{00000000-0005-0000-0000-000091790000}"/>
    <cellStyle name="표준 4 3 4 3" xfId="9476" xr:uid="{00000000-0005-0000-0000-000092790000}"/>
    <cellStyle name="표준 4 3 4 3 2" xfId="9477" xr:uid="{00000000-0005-0000-0000-000093790000}"/>
    <cellStyle name="표준 4 3 4 3 2 2" xfId="9478" xr:uid="{00000000-0005-0000-0000-000094790000}"/>
    <cellStyle name="표준 4 3 4 3 2 3" xfId="9479" xr:uid="{00000000-0005-0000-0000-000095790000}"/>
    <cellStyle name="표준 4 3 4 3 2_뇌출혈특약(갱신형)" xfId="14254" xr:uid="{00000000-0005-0000-0000-000096790000}"/>
    <cellStyle name="표준 4 3 4 3 3" xfId="9480" xr:uid="{00000000-0005-0000-0000-000097790000}"/>
    <cellStyle name="표준 4 3 4 3 4" xfId="9481" xr:uid="{00000000-0005-0000-0000-000098790000}"/>
    <cellStyle name="표준 4 3 4 3_뇌출혈특약(갱신형)" xfId="14255" xr:uid="{00000000-0005-0000-0000-000099790000}"/>
    <cellStyle name="표준 4 3 4 4" xfId="9482" xr:uid="{00000000-0005-0000-0000-00009A790000}"/>
    <cellStyle name="표준 4 3 4 4 2" xfId="9483" xr:uid="{00000000-0005-0000-0000-00009B790000}"/>
    <cellStyle name="표준 4 3 4 4 3" xfId="9484" xr:uid="{00000000-0005-0000-0000-00009C790000}"/>
    <cellStyle name="표준 4 3 4 4_뇌출혈특약(갱신형)" xfId="14256" xr:uid="{00000000-0005-0000-0000-00009D790000}"/>
    <cellStyle name="표준 4 3 4 5" xfId="9485" xr:uid="{00000000-0005-0000-0000-00009E790000}"/>
    <cellStyle name="표준 4 3 4 5 2" xfId="9486" xr:uid="{00000000-0005-0000-0000-00009F790000}"/>
    <cellStyle name="표준 4 3 4 5 3" xfId="9487" xr:uid="{00000000-0005-0000-0000-0000A0790000}"/>
    <cellStyle name="표준 4 3 4 5_뇌출혈특약(갱신형)" xfId="14257" xr:uid="{00000000-0005-0000-0000-0000A1790000}"/>
    <cellStyle name="표준 4 3 4 6" xfId="9488" xr:uid="{00000000-0005-0000-0000-0000A2790000}"/>
    <cellStyle name="표준 4 3 4 7" xfId="9489" xr:uid="{00000000-0005-0000-0000-0000A3790000}"/>
    <cellStyle name="표준 4 3 4_뇌출혈특약(갱신형)" xfId="14258" xr:uid="{00000000-0005-0000-0000-0000A4790000}"/>
    <cellStyle name="표준 4 3 5" xfId="9490" xr:uid="{00000000-0005-0000-0000-0000A5790000}"/>
    <cellStyle name="표준 4 3 5 2" xfId="9491" xr:uid="{00000000-0005-0000-0000-0000A6790000}"/>
    <cellStyle name="표준 4 3 5 2 2" xfId="9492" xr:uid="{00000000-0005-0000-0000-0000A7790000}"/>
    <cellStyle name="표준 4 3 5 2 3" xfId="9493" xr:uid="{00000000-0005-0000-0000-0000A8790000}"/>
    <cellStyle name="표준 4 3 5 2_뇌출혈특약(갱신형)" xfId="14259" xr:uid="{00000000-0005-0000-0000-0000A9790000}"/>
    <cellStyle name="표준 4 3 5 3" xfId="9494" xr:uid="{00000000-0005-0000-0000-0000AA790000}"/>
    <cellStyle name="표준 4 3 5 4" xfId="9495" xr:uid="{00000000-0005-0000-0000-0000AB790000}"/>
    <cellStyle name="표준 4 3 5_뇌출혈특약(갱신형)" xfId="14260" xr:uid="{00000000-0005-0000-0000-0000AC790000}"/>
    <cellStyle name="표준 4 3 6" xfId="9496" xr:uid="{00000000-0005-0000-0000-0000AD790000}"/>
    <cellStyle name="표준 4 3 6 2" xfId="9497" xr:uid="{00000000-0005-0000-0000-0000AE790000}"/>
    <cellStyle name="표준 4 3 6 2 2" xfId="9498" xr:uid="{00000000-0005-0000-0000-0000AF790000}"/>
    <cellStyle name="표준 4 3 6 2 3" xfId="9499" xr:uid="{00000000-0005-0000-0000-0000B0790000}"/>
    <cellStyle name="표준 4 3 6 2_뇌출혈특약(갱신형)" xfId="14261" xr:uid="{00000000-0005-0000-0000-0000B1790000}"/>
    <cellStyle name="표준 4 3 6 3" xfId="9500" xr:uid="{00000000-0005-0000-0000-0000B2790000}"/>
    <cellStyle name="표준 4 3 6 4" xfId="9501" xr:uid="{00000000-0005-0000-0000-0000B3790000}"/>
    <cellStyle name="표준 4 3 6_뇌출혈특약(갱신형)" xfId="14262" xr:uid="{00000000-0005-0000-0000-0000B4790000}"/>
    <cellStyle name="표준 4 3 7" xfId="9502" xr:uid="{00000000-0005-0000-0000-0000B5790000}"/>
    <cellStyle name="표준 4 3 7 2" xfId="9503" xr:uid="{00000000-0005-0000-0000-0000B6790000}"/>
    <cellStyle name="표준 4 3 7 3" xfId="9504" xr:uid="{00000000-0005-0000-0000-0000B7790000}"/>
    <cellStyle name="표준 4 3 7_뇌출혈특약(갱신형)" xfId="14263" xr:uid="{00000000-0005-0000-0000-0000B8790000}"/>
    <cellStyle name="표준 4 3 8" xfId="9505" xr:uid="{00000000-0005-0000-0000-0000B9790000}"/>
    <cellStyle name="표준 4 3 8 2" xfId="9506" xr:uid="{00000000-0005-0000-0000-0000BA790000}"/>
    <cellStyle name="표준 4 3 8 3" xfId="9507" xr:uid="{00000000-0005-0000-0000-0000BB790000}"/>
    <cellStyle name="표준 4 3 8_뇌출혈특약(갱신형)" xfId="14264" xr:uid="{00000000-0005-0000-0000-0000BC790000}"/>
    <cellStyle name="표준 4 3 9" xfId="9508" xr:uid="{00000000-0005-0000-0000-0000BD790000}"/>
    <cellStyle name="표준 4 3 9 2" xfId="9509" xr:uid="{00000000-0005-0000-0000-0000BE790000}"/>
    <cellStyle name="표준 4 3 9 3" xfId="9510" xr:uid="{00000000-0005-0000-0000-0000BF790000}"/>
    <cellStyle name="표준 4 3 9_뇌출혈특약(갱신형)" xfId="14265" xr:uid="{00000000-0005-0000-0000-0000C0790000}"/>
    <cellStyle name="표준 4 3_뇌출혈특약(갱신형)" xfId="14266" xr:uid="{00000000-0005-0000-0000-0000C1790000}"/>
    <cellStyle name="표준 4 4" xfId="9511" xr:uid="{00000000-0005-0000-0000-0000C2790000}"/>
    <cellStyle name="표준 4 4 2" xfId="9512" xr:uid="{00000000-0005-0000-0000-0000C3790000}"/>
    <cellStyle name="표준 4 4 2 2" xfId="12278" xr:uid="{00000000-0005-0000-0000-0000C4790000}"/>
    <cellStyle name="표준 4 4 2 3" xfId="12279" xr:uid="{00000000-0005-0000-0000-0000C5790000}"/>
    <cellStyle name="표준 4 4 2 4" xfId="12280" xr:uid="{00000000-0005-0000-0000-0000C6790000}"/>
    <cellStyle name="표준 4 4 3" xfId="9513" xr:uid="{00000000-0005-0000-0000-0000C7790000}"/>
    <cellStyle name="표준 4 4 3 2" xfId="9514" xr:uid="{00000000-0005-0000-0000-0000C8790000}"/>
    <cellStyle name="표준 4 4 3 2 2" xfId="9515" xr:uid="{00000000-0005-0000-0000-0000C9790000}"/>
    <cellStyle name="표준 4 4 3 2 2 2" xfId="9516" xr:uid="{00000000-0005-0000-0000-0000CA790000}"/>
    <cellStyle name="표준 4 4 3 2 2 3" xfId="9517" xr:uid="{00000000-0005-0000-0000-0000CB790000}"/>
    <cellStyle name="표준 4 4 3 2 2_뇌출혈특약(갱신형)" xfId="14267" xr:uid="{00000000-0005-0000-0000-0000CC790000}"/>
    <cellStyle name="표준 4 4 3 2 3" xfId="9518" xr:uid="{00000000-0005-0000-0000-0000CD790000}"/>
    <cellStyle name="표준 4 4 3 2 4" xfId="9519" xr:uid="{00000000-0005-0000-0000-0000CE790000}"/>
    <cellStyle name="표준 4 4 3 2_뇌출혈특약(갱신형)" xfId="14268" xr:uid="{00000000-0005-0000-0000-0000CF790000}"/>
    <cellStyle name="표준 4 4 3 3" xfId="9520" xr:uid="{00000000-0005-0000-0000-0000D0790000}"/>
    <cellStyle name="표준 4 4 3 3 2" xfId="9521" xr:uid="{00000000-0005-0000-0000-0000D1790000}"/>
    <cellStyle name="표준 4 4 3 3 2 2" xfId="9522" xr:uid="{00000000-0005-0000-0000-0000D2790000}"/>
    <cellStyle name="표준 4 4 3 3 2 3" xfId="9523" xr:uid="{00000000-0005-0000-0000-0000D3790000}"/>
    <cellStyle name="표준 4 4 3 3 2_뇌출혈특약(갱신형)" xfId="14269" xr:uid="{00000000-0005-0000-0000-0000D4790000}"/>
    <cellStyle name="표준 4 4 3 3 3" xfId="9524" xr:uid="{00000000-0005-0000-0000-0000D5790000}"/>
    <cellStyle name="표준 4 4 3 3 4" xfId="9525" xr:uid="{00000000-0005-0000-0000-0000D6790000}"/>
    <cellStyle name="표준 4 4 3 3_뇌출혈특약(갱신형)" xfId="14270" xr:uid="{00000000-0005-0000-0000-0000D7790000}"/>
    <cellStyle name="표준 4 4 3 4" xfId="9526" xr:uid="{00000000-0005-0000-0000-0000D8790000}"/>
    <cellStyle name="표준 4 4 3 4 2" xfId="9527" xr:uid="{00000000-0005-0000-0000-0000D9790000}"/>
    <cellStyle name="표준 4 4 3 4 3" xfId="9528" xr:uid="{00000000-0005-0000-0000-0000DA790000}"/>
    <cellStyle name="표준 4 4 3 4_뇌출혈특약(갱신형)" xfId="14271" xr:uid="{00000000-0005-0000-0000-0000DB790000}"/>
    <cellStyle name="표준 4 4 3 5" xfId="9529" xr:uid="{00000000-0005-0000-0000-0000DC790000}"/>
    <cellStyle name="표준 4 4 3 5 2" xfId="9530" xr:uid="{00000000-0005-0000-0000-0000DD790000}"/>
    <cellStyle name="표준 4 4 3 5 3" xfId="9531" xr:uid="{00000000-0005-0000-0000-0000DE790000}"/>
    <cellStyle name="표준 4 4 3 5_뇌출혈특약(갱신형)" xfId="14272" xr:uid="{00000000-0005-0000-0000-0000DF790000}"/>
    <cellStyle name="표준 4 4 3 6" xfId="9532" xr:uid="{00000000-0005-0000-0000-0000E0790000}"/>
    <cellStyle name="표준 4 4 3 7" xfId="9533" xr:uid="{00000000-0005-0000-0000-0000E1790000}"/>
    <cellStyle name="표준 4 4 3_뇌출혈특약(갱신형)" xfId="14273" xr:uid="{00000000-0005-0000-0000-0000E2790000}"/>
    <cellStyle name="표준 4 4 4" xfId="9534" xr:uid="{00000000-0005-0000-0000-0000E3790000}"/>
    <cellStyle name="표준 4 4 4 2" xfId="9535" xr:uid="{00000000-0005-0000-0000-0000E4790000}"/>
    <cellStyle name="표준 4 4 4 2 2" xfId="9536" xr:uid="{00000000-0005-0000-0000-0000E5790000}"/>
    <cellStyle name="표준 4 4 4 2 3" xfId="9537" xr:uid="{00000000-0005-0000-0000-0000E6790000}"/>
    <cellStyle name="표준 4 4 4 2_뇌출혈특약(갱신형)" xfId="14274" xr:uid="{00000000-0005-0000-0000-0000E7790000}"/>
    <cellStyle name="표준 4 4 4 3" xfId="9538" xr:uid="{00000000-0005-0000-0000-0000E8790000}"/>
    <cellStyle name="표준 4 4 4 4" xfId="9539" xr:uid="{00000000-0005-0000-0000-0000E9790000}"/>
    <cellStyle name="표준 4 4 4_뇌출혈특약(갱신형)" xfId="14275" xr:uid="{00000000-0005-0000-0000-0000EA790000}"/>
    <cellStyle name="표준 4 4 5" xfId="9540" xr:uid="{00000000-0005-0000-0000-0000EB790000}"/>
    <cellStyle name="표준 4 4 5 2" xfId="9541" xr:uid="{00000000-0005-0000-0000-0000EC790000}"/>
    <cellStyle name="표준 4 4 5 2 2" xfId="9542" xr:uid="{00000000-0005-0000-0000-0000ED790000}"/>
    <cellStyle name="표준 4 4 5 2 3" xfId="9543" xr:uid="{00000000-0005-0000-0000-0000EE790000}"/>
    <cellStyle name="표준 4 4 5 2_뇌출혈특약(갱신형)" xfId="14276" xr:uid="{00000000-0005-0000-0000-0000EF790000}"/>
    <cellStyle name="표준 4 4 5 3" xfId="9544" xr:uid="{00000000-0005-0000-0000-0000F0790000}"/>
    <cellStyle name="표준 4 4 5 4" xfId="9545" xr:uid="{00000000-0005-0000-0000-0000F1790000}"/>
    <cellStyle name="표준 4 4 5_뇌출혈특약(갱신형)" xfId="14277" xr:uid="{00000000-0005-0000-0000-0000F2790000}"/>
    <cellStyle name="표준 4 4 6" xfId="9546" xr:uid="{00000000-0005-0000-0000-0000F3790000}"/>
    <cellStyle name="표준 4 4 6 2" xfId="9547" xr:uid="{00000000-0005-0000-0000-0000F4790000}"/>
    <cellStyle name="표준 4 4 6 3" xfId="9548" xr:uid="{00000000-0005-0000-0000-0000F5790000}"/>
    <cellStyle name="표준 4 4 6_뇌출혈특약(갱신형)" xfId="14278" xr:uid="{00000000-0005-0000-0000-0000F6790000}"/>
    <cellStyle name="표준 4 4 7" xfId="9549" xr:uid="{00000000-0005-0000-0000-0000F7790000}"/>
    <cellStyle name="표준 4 4 8" xfId="9550" xr:uid="{00000000-0005-0000-0000-0000F8790000}"/>
    <cellStyle name="표준 4 4 9" xfId="9551" xr:uid="{00000000-0005-0000-0000-0000F9790000}"/>
    <cellStyle name="표준 4 4_뇌출혈특약(갱신형)" xfId="14279" xr:uid="{00000000-0005-0000-0000-0000FA790000}"/>
    <cellStyle name="표준 4 5" xfId="9552" xr:uid="{00000000-0005-0000-0000-0000FB790000}"/>
    <cellStyle name="표준 4 5 2" xfId="9553" xr:uid="{00000000-0005-0000-0000-0000FC790000}"/>
    <cellStyle name="표준 4 5 2 2" xfId="12281" xr:uid="{00000000-0005-0000-0000-0000FD790000}"/>
    <cellStyle name="표준 4 5 2 3" xfId="12282" xr:uid="{00000000-0005-0000-0000-0000FE790000}"/>
    <cellStyle name="표준 4 5 2 4" xfId="12283" xr:uid="{00000000-0005-0000-0000-0000FF790000}"/>
    <cellStyle name="표준 4 5 3" xfId="9554" xr:uid="{00000000-0005-0000-0000-0000007A0000}"/>
    <cellStyle name="표준 4 5 3 2" xfId="9555" xr:uid="{00000000-0005-0000-0000-0000017A0000}"/>
    <cellStyle name="표준 4 5 3 2 2" xfId="9556" xr:uid="{00000000-0005-0000-0000-0000027A0000}"/>
    <cellStyle name="표준 4 5 3 2 2 2" xfId="9557" xr:uid="{00000000-0005-0000-0000-0000037A0000}"/>
    <cellStyle name="표준 4 5 3 2 2 3" xfId="9558" xr:uid="{00000000-0005-0000-0000-0000047A0000}"/>
    <cellStyle name="표준 4 5 3 2 2_뇌출혈특약(갱신형)" xfId="14280" xr:uid="{00000000-0005-0000-0000-0000057A0000}"/>
    <cellStyle name="표준 4 5 3 2 3" xfId="9559" xr:uid="{00000000-0005-0000-0000-0000067A0000}"/>
    <cellStyle name="표준 4 5 3 2 4" xfId="9560" xr:uid="{00000000-0005-0000-0000-0000077A0000}"/>
    <cellStyle name="표준 4 5 3 2_뇌출혈특약(갱신형)" xfId="14281" xr:uid="{00000000-0005-0000-0000-0000087A0000}"/>
    <cellStyle name="표준 4 5 3 3" xfId="9561" xr:uid="{00000000-0005-0000-0000-0000097A0000}"/>
    <cellStyle name="표준 4 5 3 3 2" xfId="9562" xr:uid="{00000000-0005-0000-0000-00000A7A0000}"/>
    <cellStyle name="표준 4 5 3 3 2 2" xfId="9563" xr:uid="{00000000-0005-0000-0000-00000B7A0000}"/>
    <cellStyle name="표준 4 5 3 3 2 3" xfId="9564" xr:uid="{00000000-0005-0000-0000-00000C7A0000}"/>
    <cellStyle name="표준 4 5 3 3 2_뇌출혈특약(갱신형)" xfId="14282" xr:uid="{00000000-0005-0000-0000-00000D7A0000}"/>
    <cellStyle name="표준 4 5 3 3 3" xfId="9565" xr:uid="{00000000-0005-0000-0000-00000E7A0000}"/>
    <cellStyle name="표준 4 5 3 3 4" xfId="9566" xr:uid="{00000000-0005-0000-0000-00000F7A0000}"/>
    <cellStyle name="표준 4 5 3 3_뇌출혈특약(갱신형)" xfId="14283" xr:uid="{00000000-0005-0000-0000-0000107A0000}"/>
    <cellStyle name="표준 4 5 3 4" xfId="9567" xr:uid="{00000000-0005-0000-0000-0000117A0000}"/>
    <cellStyle name="표준 4 5 3 4 2" xfId="9568" xr:uid="{00000000-0005-0000-0000-0000127A0000}"/>
    <cellStyle name="표준 4 5 3 4 3" xfId="9569" xr:uid="{00000000-0005-0000-0000-0000137A0000}"/>
    <cellStyle name="표준 4 5 3 4_뇌출혈특약(갱신형)" xfId="14284" xr:uid="{00000000-0005-0000-0000-0000147A0000}"/>
    <cellStyle name="표준 4 5 3 5" xfId="9570" xr:uid="{00000000-0005-0000-0000-0000157A0000}"/>
    <cellStyle name="표준 4 5 3 5 2" xfId="9571" xr:uid="{00000000-0005-0000-0000-0000167A0000}"/>
    <cellStyle name="표준 4 5 3 5 3" xfId="9572" xr:uid="{00000000-0005-0000-0000-0000177A0000}"/>
    <cellStyle name="표준 4 5 3 5_뇌출혈특약(갱신형)" xfId="14285" xr:uid="{00000000-0005-0000-0000-0000187A0000}"/>
    <cellStyle name="표준 4 5 3 6" xfId="9573" xr:uid="{00000000-0005-0000-0000-0000197A0000}"/>
    <cellStyle name="표준 4 5 3 7" xfId="9574" xr:uid="{00000000-0005-0000-0000-00001A7A0000}"/>
    <cellStyle name="표준 4 5 3_뇌출혈특약(갱신형)" xfId="14286" xr:uid="{00000000-0005-0000-0000-00001B7A0000}"/>
    <cellStyle name="표준 4 5 4" xfId="9575" xr:uid="{00000000-0005-0000-0000-00001C7A0000}"/>
    <cellStyle name="표준 4 5 4 2" xfId="9576" xr:uid="{00000000-0005-0000-0000-00001D7A0000}"/>
    <cellStyle name="표준 4 5 4 2 2" xfId="9577" xr:uid="{00000000-0005-0000-0000-00001E7A0000}"/>
    <cellStyle name="표준 4 5 4 2 3" xfId="9578" xr:uid="{00000000-0005-0000-0000-00001F7A0000}"/>
    <cellStyle name="표준 4 5 4 2_뇌출혈특약(갱신형)" xfId="14287" xr:uid="{00000000-0005-0000-0000-0000207A0000}"/>
    <cellStyle name="표준 4 5 4 3" xfId="9579" xr:uid="{00000000-0005-0000-0000-0000217A0000}"/>
    <cellStyle name="표준 4 5 4 4" xfId="9580" xr:uid="{00000000-0005-0000-0000-0000227A0000}"/>
    <cellStyle name="표준 4 5 4_뇌출혈특약(갱신형)" xfId="14288" xr:uid="{00000000-0005-0000-0000-0000237A0000}"/>
    <cellStyle name="표준 4 5 5" xfId="9581" xr:uid="{00000000-0005-0000-0000-0000247A0000}"/>
    <cellStyle name="표준 4 5 5 2" xfId="9582" xr:uid="{00000000-0005-0000-0000-0000257A0000}"/>
    <cellStyle name="표준 4 5 5 2 2" xfId="9583" xr:uid="{00000000-0005-0000-0000-0000267A0000}"/>
    <cellStyle name="표준 4 5 5 2 3" xfId="9584" xr:uid="{00000000-0005-0000-0000-0000277A0000}"/>
    <cellStyle name="표준 4 5 5 2_뇌출혈특약(갱신형)" xfId="14289" xr:uid="{00000000-0005-0000-0000-0000287A0000}"/>
    <cellStyle name="표준 4 5 5 3" xfId="9585" xr:uid="{00000000-0005-0000-0000-0000297A0000}"/>
    <cellStyle name="표준 4 5 5 4" xfId="9586" xr:uid="{00000000-0005-0000-0000-00002A7A0000}"/>
    <cellStyle name="표준 4 5 5_뇌출혈특약(갱신형)" xfId="14290" xr:uid="{00000000-0005-0000-0000-00002B7A0000}"/>
    <cellStyle name="표준 4 5 6" xfId="9587" xr:uid="{00000000-0005-0000-0000-00002C7A0000}"/>
    <cellStyle name="표준 4 5 6 2" xfId="9588" xr:uid="{00000000-0005-0000-0000-00002D7A0000}"/>
    <cellStyle name="표준 4 5 6 3" xfId="9589" xr:uid="{00000000-0005-0000-0000-00002E7A0000}"/>
    <cellStyle name="표준 4 5 6_뇌출혈특약(갱신형)" xfId="14291" xr:uid="{00000000-0005-0000-0000-00002F7A0000}"/>
    <cellStyle name="표준 4 5 7" xfId="9590" xr:uid="{00000000-0005-0000-0000-0000307A0000}"/>
    <cellStyle name="표준 4 5 8" xfId="9591" xr:uid="{00000000-0005-0000-0000-0000317A0000}"/>
    <cellStyle name="표준 4 5 9" xfId="9592" xr:uid="{00000000-0005-0000-0000-0000327A0000}"/>
    <cellStyle name="표준 4 5_뇌출혈특약(갱신형)" xfId="14292" xr:uid="{00000000-0005-0000-0000-0000337A0000}"/>
    <cellStyle name="표준 4 6" xfId="9593" xr:uid="{00000000-0005-0000-0000-0000347A0000}"/>
    <cellStyle name="표준 4 6 10" xfId="9594" xr:uid="{00000000-0005-0000-0000-0000357A0000}"/>
    <cellStyle name="표준 4 6 11" xfId="9595" xr:uid="{00000000-0005-0000-0000-0000367A0000}"/>
    <cellStyle name="표준 4 6 2" xfId="9596" xr:uid="{00000000-0005-0000-0000-0000377A0000}"/>
    <cellStyle name="표준 4 6 2 2" xfId="9597" xr:uid="{00000000-0005-0000-0000-0000387A0000}"/>
    <cellStyle name="표준 4 6 2 2 2" xfId="9598" xr:uid="{00000000-0005-0000-0000-0000397A0000}"/>
    <cellStyle name="표준 4 6 2 2 2 2" xfId="9599" xr:uid="{00000000-0005-0000-0000-00003A7A0000}"/>
    <cellStyle name="표준 4 6 2 2 2 2 2" xfId="9600" xr:uid="{00000000-0005-0000-0000-00003B7A0000}"/>
    <cellStyle name="표준 4 6 2 2 2 2 3" xfId="9601" xr:uid="{00000000-0005-0000-0000-00003C7A0000}"/>
    <cellStyle name="표준 4 6 2 2 2 2_뇌출혈특약(갱신형)" xfId="14293" xr:uid="{00000000-0005-0000-0000-00003D7A0000}"/>
    <cellStyle name="표준 4 6 2 2 2 3" xfId="9602" xr:uid="{00000000-0005-0000-0000-00003E7A0000}"/>
    <cellStyle name="표준 4 6 2 2 2 4" xfId="9603" xr:uid="{00000000-0005-0000-0000-00003F7A0000}"/>
    <cellStyle name="표준 4 6 2 2 2_뇌출혈특약(갱신형)" xfId="14294" xr:uid="{00000000-0005-0000-0000-0000407A0000}"/>
    <cellStyle name="표준 4 6 2 2 3" xfId="9604" xr:uid="{00000000-0005-0000-0000-0000417A0000}"/>
    <cellStyle name="표준 4 6 2 2 3 2" xfId="9605" xr:uid="{00000000-0005-0000-0000-0000427A0000}"/>
    <cellStyle name="표준 4 6 2 2 3 2 2" xfId="9606" xr:uid="{00000000-0005-0000-0000-0000437A0000}"/>
    <cellStyle name="표준 4 6 2 2 3 2 3" xfId="9607" xr:uid="{00000000-0005-0000-0000-0000447A0000}"/>
    <cellStyle name="표준 4 6 2 2 3 2_뇌출혈특약(갱신형)" xfId="14295" xr:uid="{00000000-0005-0000-0000-0000457A0000}"/>
    <cellStyle name="표준 4 6 2 2 3 3" xfId="9608" xr:uid="{00000000-0005-0000-0000-0000467A0000}"/>
    <cellStyle name="표준 4 6 2 2 3 4" xfId="9609" xr:uid="{00000000-0005-0000-0000-0000477A0000}"/>
    <cellStyle name="표준 4 6 2 2 3_뇌출혈특약(갱신형)" xfId="14296" xr:uid="{00000000-0005-0000-0000-0000487A0000}"/>
    <cellStyle name="표준 4 6 2 2 4" xfId="9610" xr:uid="{00000000-0005-0000-0000-0000497A0000}"/>
    <cellStyle name="표준 4 6 2 2 4 2" xfId="9611" xr:uid="{00000000-0005-0000-0000-00004A7A0000}"/>
    <cellStyle name="표준 4 6 2 2 4 3" xfId="9612" xr:uid="{00000000-0005-0000-0000-00004B7A0000}"/>
    <cellStyle name="표준 4 6 2 2 4_뇌출혈특약(갱신형)" xfId="14297" xr:uid="{00000000-0005-0000-0000-00004C7A0000}"/>
    <cellStyle name="표준 4 6 2 2 5" xfId="9613" xr:uid="{00000000-0005-0000-0000-00004D7A0000}"/>
    <cellStyle name="표준 4 6 2 2 5 2" xfId="9614" xr:uid="{00000000-0005-0000-0000-00004E7A0000}"/>
    <cellStyle name="표준 4 6 2 2 5 3" xfId="9615" xr:uid="{00000000-0005-0000-0000-00004F7A0000}"/>
    <cellStyle name="표준 4 6 2 2 5_뇌출혈특약(갱신형)" xfId="14298" xr:uid="{00000000-0005-0000-0000-0000507A0000}"/>
    <cellStyle name="표준 4 6 2 2 6" xfId="9616" xr:uid="{00000000-0005-0000-0000-0000517A0000}"/>
    <cellStyle name="표준 4 6 2 2 7" xfId="9617" xr:uid="{00000000-0005-0000-0000-0000527A0000}"/>
    <cellStyle name="표준 4 6 2 2_뇌출혈특약(갱신형)" xfId="14299" xr:uid="{00000000-0005-0000-0000-0000537A0000}"/>
    <cellStyle name="표준 4 6 2 3" xfId="9618" xr:uid="{00000000-0005-0000-0000-0000547A0000}"/>
    <cellStyle name="표준 4 6 2 3 2" xfId="9619" xr:uid="{00000000-0005-0000-0000-0000557A0000}"/>
    <cellStyle name="표준 4 6 2 3 2 2" xfId="9620" xr:uid="{00000000-0005-0000-0000-0000567A0000}"/>
    <cellStyle name="표준 4 6 2 3 2 2 2" xfId="9621" xr:uid="{00000000-0005-0000-0000-0000577A0000}"/>
    <cellStyle name="표준 4 6 2 3 2 2 3" xfId="9622" xr:uid="{00000000-0005-0000-0000-0000587A0000}"/>
    <cellStyle name="표준 4 6 2 3 2 2_뇌출혈특약(갱신형)" xfId="14300" xr:uid="{00000000-0005-0000-0000-0000597A0000}"/>
    <cellStyle name="표준 4 6 2 3 2 3" xfId="9623" xr:uid="{00000000-0005-0000-0000-00005A7A0000}"/>
    <cellStyle name="표준 4 6 2 3 2 4" xfId="9624" xr:uid="{00000000-0005-0000-0000-00005B7A0000}"/>
    <cellStyle name="표준 4 6 2 3 2_뇌출혈특약(갱신형)" xfId="14301" xr:uid="{00000000-0005-0000-0000-00005C7A0000}"/>
    <cellStyle name="표준 4 6 2 3 3" xfId="9625" xr:uid="{00000000-0005-0000-0000-00005D7A0000}"/>
    <cellStyle name="표준 4 6 2 3 3 2" xfId="9626" xr:uid="{00000000-0005-0000-0000-00005E7A0000}"/>
    <cellStyle name="표준 4 6 2 3 3 2 2" xfId="9627" xr:uid="{00000000-0005-0000-0000-00005F7A0000}"/>
    <cellStyle name="표준 4 6 2 3 3 2 3" xfId="9628" xr:uid="{00000000-0005-0000-0000-0000607A0000}"/>
    <cellStyle name="표준 4 6 2 3 3 2_뇌출혈특약(갱신형)" xfId="14302" xr:uid="{00000000-0005-0000-0000-0000617A0000}"/>
    <cellStyle name="표준 4 6 2 3 3 3" xfId="9629" xr:uid="{00000000-0005-0000-0000-0000627A0000}"/>
    <cellStyle name="표준 4 6 2 3 3 4" xfId="9630" xr:uid="{00000000-0005-0000-0000-0000637A0000}"/>
    <cellStyle name="표준 4 6 2 3 3_뇌출혈특약(갱신형)" xfId="14303" xr:uid="{00000000-0005-0000-0000-0000647A0000}"/>
    <cellStyle name="표준 4 6 2 3 4" xfId="9631" xr:uid="{00000000-0005-0000-0000-0000657A0000}"/>
    <cellStyle name="표준 4 6 2 3 4 2" xfId="9632" xr:uid="{00000000-0005-0000-0000-0000667A0000}"/>
    <cellStyle name="표준 4 6 2 3 4 3" xfId="9633" xr:uid="{00000000-0005-0000-0000-0000677A0000}"/>
    <cellStyle name="표준 4 6 2 3 4_뇌출혈특약(갱신형)" xfId="14304" xr:uid="{00000000-0005-0000-0000-0000687A0000}"/>
    <cellStyle name="표준 4 6 2 3 5" xfId="9634" xr:uid="{00000000-0005-0000-0000-0000697A0000}"/>
    <cellStyle name="표준 4 6 2 3 5 2" xfId="9635" xr:uid="{00000000-0005-0000-0000-00006A7A0000}"/>
    <cellStyle name="표준 4 6 2 3 5 3" xfId="9636" xr:uid="{00000000-0005-0000-0000-00006B7A0000}"/>
    <cellStyle name="표준 4 6 2 3 5_뇌출혈특약(갱신형)" xfId="14305" xr:uid="{00000000-0005-0000-0000-00006C7A0000}"/>
    <cellStyle name="표준 4 6 2 3 6" xfId="9637" xr:uid="{00000000-0005-0000-0000-00006D7A0000}"/>
    <cellStyle name="표준 4 6 2 3 7" xfId="9638" xr:uid="{00000000-0005-0000-0000-00006E7A0000}"/>
    <cellStyle name="표준 4 6 2 3_뇌출혈특약(갱신형)" xfId="14306" xr:uid="{00000000-0005-0000-0000-00006F7A0000}"/>
    <cellStyle name="표준 4 6 2 4" xfId="9639" xr:uid="{00000000-0005-0000-0000-0000707A0000}"/>
    <cellStyle name="표준 4 6 2 4 2" xfId="9640" xr:uid="{00000000-0005-0000-0000-0000717A0000}"/>
    <cellStyle name="표준 4 6 2 4 2 2" xfId="9641" xr:uid="{00000000-0005-0000-0000-0000727A0000}"/>
    <cellStyle name="표준 4 6 2 4 2 3" xfId="9642" xr:uid="{00000000-0005-0000-0000-0000737A0000}"/>
    <cellStyle name="표준 4 6 2 4 2_뇌출혈특약(갱신형)" xfId="14307" xr:uid="{00000000-0005-0000-0000-0000747A0000}"/>
    <cellStyle name="표준 4 6 2 4 3" xfId="9643" xr:uid="{00000000-0005-0000-0000-0000757A0000}"/>
    <cellStyle name="표준 4 6 2 4 4" xfId="9644" xr:uid="{00000000-0005-0000-0000-0000767A0000}"/>
    <cellStyle name="표준 4 6 2 4_뇌출혈특약(갱신형)" xfId="14308" xr:uid="{00000000-0005-0000-0000-0000777A0000}"/>
    <cellStyle name="표준 4 6 2 5" xfId="9645" xr:uid="{00000000-0005-0000-0000-0000787A0000}"/>
    <cellStyle name="표준 4 6 2 5 2" xfId="9646" xr:uid="{00000000-0005-0000-0000-0000797A0000}"/>
    <cellStyle name="표준 4 6 2 5 2 2" xfId="9647" xr:uid="{00000000-0005-0000-0000-00007A7A0000}"/>
    <cellStyle name="표준 4 6 2 5 2 3" xfId="9648" xr:uid="{00000000-0005-0000-0000-00007B7A0000}"/>
    <cellStyle name="표준 4 6 2 5 2_뇌출혈특약(갱신형)" xfId="14309" xr:uid="{00000000-0005-0000-0000-00007C7A0000}"/>
    <cellStyle name="표준 4 6 2 5 3" xfId="9649" xr:uid="{00000000-0005-0000-0000-00007D7A0000}"/>
    <cellStyle name="표준 4 6 2 5 4" xfId="9650" xr:uid="{00000000-0005-0000-0000-00007E7A0000}"/>
    <cellStyle name="표준 4 6 2 5_뇌출혈특약(갱신형)" xfId="14310" xr:uid="{00000000-0005-0000-0000-00007F7A0000}"/>
    <cellStyle name="표준 4 6 2 6" xfId="9651" xr:uid="{00000000-0005-0000-0000-0000807A0000}"/>
    <cellStyle name="표준 4 6 2 6 2" xfId="9652" xr:uid="{00000000-0005-0000-0000-0000817A0000}"/>
    <cellStyle name="표준 4 6 2 6 3" xfId="9653" xr:uid="{00000000-0005-0000-0000-0000827A0000}"/>
    <cellStyle name="표준 4 6 2 6_뇌출혈특약(갱신형)" xfId="14311" xr:uid="{00000000-0005-0000-0000-0000837A0000}"/>
    <cellStyle name="표준 4 6 2 7" xfId="9654" xr:uid="{00000000-0005-0000-0000-0000847A0000}"/>
    <cellStyle name="표준 4 6 2 7 2" xfId="9655" xr:uid="{00000000-0005-0000-0000-0000857A0000}"/>
    <cellStyle name="표준 4 6 2 7 3" xfId="9656" xr:uid="{00000000-0005-0000-0000-0000867A0000}"/>
    <cellStyle name="표준 4 6 2 7_뇌출혈특약(갱신형)" xfId="14312" xr:uid="{00000000-0005-0000-0000-0000877A0000}"/>
    <cellStyle name="표준 4 6 2 8" xfId="9657" xr:uid="{00000000-0005-0000-0000-0000887A0000}"/>
    <cellStyle name="표준 4 6 2 9" xfId="9658" xr:uid="{00000000-0005-0000-0000-0000897A0000}"/>
    <cellStyle name="표준 4 6 2_뇌출혈특약(갱신형)" xfId="14313" xr:uid="{00000000-0005-0000-0000-00008A7A0000}"/>
    <cellStyle name="표준 4 6 3" xfId="9659" xr:uid="{00000000-0005-0000-0000-00008B7A0000}"/>
    <cellStyle name="표준 4 6 3 2" xfId="9660" xr:uid="{00000000-0005-0000-0000-00008C7A0000}"/>
    <cellStyle name="표준 4 6 3 2 2" xfId="9661" xr:uid="{00000000-0005-0000-0000-00008D7A0000}"/>
    <cellStyle name="표준 4 6 3 2 2 2" xfId="9662" xr:uid="{00000000-0005-0000-0000-00008E7A0000}"/>
    <cellStyle name="표준 4 6 3 2 2 3" xfId="9663" xr:uid="{00000000-0005-0000-0000-00008F7A0000}"/>
    <cellStyle name="표준 4 6 3 2 2_뇌출혈특약(갱신형)" xfId="14314" xr:uid="{00000000-0005-0000-0000-0000907A0000}"/>
    <cellStyle name="표준 4 6 3 2 3" xfId="9664" xr:uid="{00000000-0005-0000-0000-0000917A0000}"/>
    <cellStyle name="표준 4 6 3 2 4" xfId="9665" xr:uid="{00000000-0005-0000-0000-0000927A0000}"/>
    <cellStyle name="표준 4 6 3 2_뇌출혈특약(갱신형)" xfId="14315" xr:uid="{00000000-0005-0000-0000-0000937A0000}"/>
    <cellStyle name="표준 4 6 3 3" xfId="9666" xr:uid="{00000000-0005-0000-0000-0000947A0000}"/>
    <cellStyle name="표준 4 6 3 3 2" xfId="9667" xr:uid="{00000000-0005-0000-0000-0000957A0000}"/>
    <cellStyle name="표준 4 6 3 3 2 2" xfId="9668" xr:uid="{00000000-0005-0000-0000-0000967A0000}"/>
    <cellStyle name="표준 4 6 3 3 2 3" xfId="9669" xr:uid="{00000000-0005-0000-0000-0000977A0000}"/>
    <cellStyle name="표준 4 6 3 3 2_뇌출혈특약(갱신형)" xfId="14316" xr:uid="{00000000-0005-0000-0000-0000987A0000}"/>
    <cellStyle name="표준 4 6 3 3 3" xfId="9670" xr:uid="{00000000-0005-0000-0000-0000997A0000}"/>
    <cellStyle name="표준 4 6 3 3 4" xfId="9671" xr:uid="{00000000-0005-0000-0000-00009A7A0000}"/>
    <cellStyle name="표준 4 6 3 3_뇌출혈특약(갱신형)" xfId="14317" xr:uid="{00000000-0005-0000-0000-00009B7A0000}"/>
    <cellStyle name="표준 4 6 3 4" xfId="9672" xr:uid="{00000000-0005-0000-0000-00009C7A0000}"/>
    <cellStyle name="표준 4 6 3 4 2" xfId="9673" xr:uid="{00000000-0005-0000-0000-00009D7A0000}"/>
    <cellStyle name="표준 4 6 3 4 3" xfId="9674" xr:uid="{00000000-0005-0000-0000-00009E7A0000}"/>
    <cellStyle name="표준 4 6 3 4_뇌출혈특약(갱신형)" xfId="14318" xr:uid="{00000000-0005-0000-0000-00009F7A0000}"/>
    <cellStyle name="표준 4 6 3 5" xfId="9675" xr:uid="{00000000-0005-0000-0000-0000A07A0000}"/>
    <cellStyle name="표준 4 6 3 5 2" xfId="9676" xr:uid="{00000000-0005-0000-0000-0000A17A0000}"/>
    <cellStyle name="표준 4 6 3 5 3" xfId="9677" xr:uid="{00000000-0005-0000-0000-0000A27A0000}"/>
    <cellStyle name="표준 4 6 3 5_뇌출혈특약(갱신형)" xfId="14319" xr:uid="{00000000-0005-0000-0000-0000A37A0000}"/>
    <cellStyle name="표준 4 6 3 6" xfId="9678" xr:uid="{00000000-0005-0000-0000-0000A47A0000}"/>
    <cellStyle name="표준 4 6 3 7" xfId="9679" xr:uid="{00000000-0005-0000-0000-0000A57A0000}"/>
    <cellStyle name="표준 4 6 3_뇌출혈특약(갱신형)" xfId="14320" xr:uid="{00000000-0005-0000-0000-0000A67A0000}"/>
    <cellStyle name="표준 4 6 4" xfId="9680" xr:uid="{00000000-0005-0000-0000-0000A77A0000}"/>
    <cellStyle name="표준 4 6 4 2" xfId="9681" xr:uid="{00000000-0005-0000-0000-0000A87A0000}"/>
    <cellStyle name="표준 4 6 4 2 2" xfId="9682" xr:uid="{00000000-0005-0000-0000-0000A97A0000}"/>
    <cellStyle name="표준 4 6 4 2 2 2" xfId="9683" xr:uid="{00000000-0005-0000-0000-0000AA7A0000}"/>
    <cellStyle name="표준 4 6 4 2 2 3" xfId="9684" xr:uid="{00000000-0005-0000-0000-0000AB7A0000}"/>
    <cellStyle name="표준 4 6 4 2 2_뇌출혈특약(갱신형)" xfId="14321" xr:uid="{00000000-0005-0000-0000-0000AC7A0000}"/>
    <cellStyle name="표준 4 6 4 2 3" xfId="9685" xr:uid="{00000000-0005-0000-0000-0000AD7A0000}"/>
    <cellStyle name="표준 4 6 4 2 4" xfId="9686" xr:uid="{00000000-0005-0000-0000-0000AE7A0000}"/>
    <cellStyle name="표준 4 6 4 2_뇌출혈특약(갱신형)" xfId="14322" xr:uid="{00000000-0005-0000-0000-0000AF7A0000}"/>
    <cellStyle name="표준 4 6 4 3" xfId="9687" xr:uid="{00000000-0005-0000-0000-0000B07A0000}"/>
    <cellStyle name="표준 4 6 4 3 2" xfId="9688" xr:uid="{00000000-0005-0000-0000-0000B17A0000}"/>
    <cellStyle name="표준 4 6 4 3 2 2" xfId="9689" xr:uid="{00000000-0005-0000-0000-0000B27A0000}"/>
    <cellStyle name="표준 4 6 4 3 2 3" xfId="9690" xr:uid="{00000000-0005-0000-0000-0000B37A0000}"/>
    <cellStyle name="표준 4 6 4 3 2_뇌출혈특약(갱신형)" xfId="14323" xr:uid="{00000000-0005-0000-0000-0000B47A0000}"/>
    <cellStyle name="표준 4 6 4 3 3" xfId="9691" xr:uid="{00000000-0005-0000-0000-0000B57A0000}"/>
    <cellStyle name="표준 4 6 4 3 4" xfId="9692" xr:uid="{00000000-0005-0000-0000-0000B67A0000}"/>
    <cellStyle name="표준 4 6 4 3_뇌출혈특약(갱신형)" xfId="14324" xr:uid="{00000000-0005-0000-0000-0000B77A0000}"/>
    <cellStyle name="표준 4 6 4 4" xfId="9693" xr:uid="{00000000-0005-0000-0000-0000B87A0000}"/>
    <cellStyle name="표준 4 6 4 4 2" xfId="9694" xr:uid="{00000000-0005-0000-0000-0000B97A0000}"/>
    <cellStyle name="표준 4 6 4 4 3" xfId="9695" xr:uid="{00000000-0005-0000-0000-0000BA7A0000}"/>
    <cellStyle name="표준 4 6 4 4_뇌출혈특약(갱신형)" xfId="14325" xr:uid="{00000000-0005-0000-0000-0000BB7A0000}"/>
    <cellStyle name="표준 4 6 4 5" xfId="9696" xr:uid="{00000000-0005-0000-0000-0000BC7A0000}"/>
    <cellStyle name="표준 4 6 4 5 2" xfId="9697" xr:uid="{00000000-0005-0000-0000-0000BD7A0000}"/>
    <cellStyle name="표준 4 6 4 5 3" xfId="9698" xr:uid="{00000000-0005-0000-0000-0000BE7A0000}"/>
    <cellStyle name="표준 4 6 4 5_뇌출혈특약(갱신형)" xfId="14326" xr:uid="{00000000-0005-0000-0000-0000BF7A0000}"/>
    <cellStyle name="표준 4 6 4 6" xfId="9699" xr:uid="{00000000-0005-0000-0000-0000C07A0000}"/>
    <cellStyle name="표준 4 6 4 7" xfId="9700" xr:uid="{00000000-0005-0000-0000-0000C17A0000}"/>
    <cellStyle name="표준 4 6 4_뇌출혈특약(갱신형)" xfId="14327" xr:uid="{00000000-0005-0000-0000-0000C27A0000}"/>
    <cellStyle name="표준 4 6 5" xfId="9701" xr:uid="{00000000-0005-0000-0000-0000C37A0000}"/>
    <cellStyle name="표준 4 6 5 2" xfId="9702" xr:uid="{00000000-0005-0000-0000-0000C47A0000}"/>
    <cellStyle name="표준 4 6 5 2 2" xfId="9703" xr:uid="{00000000-0005-0000-0000-0000C57A0000}"/>
    <cellStyle name="표준 4 6 5 2 3" xfId="9704" xr:uid="{00000000-0005-0000-0000-0000C67A0000}"/>
    <cellStyle name="표준 4 6 5 2_뇌출혈특약(갱신형)" xfId="14328" xr:uid="{00000000-0005-0000-0000-0000C77A0000}"/>
    <cellStyle name="표준 4 6 5 3" xfId="9705" xr:uid="{00000000-0005-0000-0000-0000C87A0000}"/>
    <cellStyle name="표준 4 6 5 4" xfId="9706" xr:uid="{00000000-0005-0000-0000-0000C97A0000}"/>
    <cellStyle name="표준 4 6 5_뇌출혈특약(갱신형)" xfId="14329" xr:uid="{00000000-0005-0000-0000-0000CA7A0000}"/>
    <cellStyle name="표준 4 6 6" xfId="9707" xr:uid="{00000000-0005-0000-0000-0000CB7A0000}"/>
    <cellStyle name="표준 4 6 6 2" xfId="9708" xr:uid="{00000000-0005-0000-0000-0000CC7A0000}"/>
    <cellStyle name="표준 4 6 6 2 2" xfId="9709" xr:uid="{00000000-0005-0000-0000-0000CD7A0000}"/>
    <cellStyle name="표준 4 6 6 2 3" xfId="9710" xr:uid="{00000000-0005-0000-0000-0000CE7A0000}"/>
    <cellStyle name="표준 4 6 6 2_뇌출혈특약(갱신형)" xfId="14330" xr:uid="{00000000-0005-0000-0000-0000CF7A0000}"/>
    <cellStyle name="표준 4 6 6 3" xfId="9711" xr:uid="{00000000-0005-0000-0000-0000D07A0000}"/>
    <cellStyle name="표준 4 6 6 4" xfId="9712" xr:uid="{00000000-0005-0000-0000-0000D17A0000}"/>
    <cellStyle name="표준 4 6 6_뇌출혈특약(갱신형)" xfId="14331" xr:uid="{00000000-0005-0000-0000-0000D27A0000}"/>
    <cellStyle name="표준 4 6 7" xfId="9713" xr:uid="{00000000-0005-0000-0000-0000D37A0000}"/>
    <cellStyle name="표준 4 6 7 2" xfId="9714" xr:uid="{00000000-0005-0000-0000-0000D47A0000}"/>
    <cellStyle name="표준 4 6 7 3" xfId="9715" xr:uid="{00000000-0005-0000-0000-0000D57A0000}"/>
    <cellStyle name="표준 4 6 7_뇌출혈특약(갱신형)" xfId="14332" xr:uid="{00000000-0005-0000-0000-0000D67A0000}"/>
    <cellStyle name="표준 4 6 8" xfId="9716" xr:uid="{00000000-0005-0000-0000-0000D77A0000}"/>
    <cellStyle name="표준 4 6 8 2" xfId="9717" xr:uid="{00000000-0005-0000-0000-0000D87A0000}"/>
    <cellStyle name="표준 4 6 8 3" xfId="9718" xr:uid="{00000000-0005-0000-0000-0000D97A0000}"/>
    <cellStyle name="표준 4 6 8_뇌출혈특약(갱신형)" xfId="14333" xr:uid="{00000000-0005-0000-0000-0000DA7A0000}"/>
    <cellStyle name="표준 4 6 9" xfId="9719" xr:uid="{00000000-0005-0000-0000-0000DB7A0000}"/>
    <cellStyle name="표준 4 6_뇌출혈특약(갱신형)" xfId="14334" xr:uid="{00000000-0005-0000-0000-0000DC7A0000}"/>
    <cellStyle name="표준 4 7" xfId="9720" xr:uid="{00000000-0005-0000-0000-0000DD7A0000}"/>
    <cellStyle name="표준 4 7 2" xfId="9721" xr:uid="{00000000-0005-0000-0000-0000DE7A0000}"/>
    <cellStyle name="표준 4 7 2 2" xfId="9722" xr:uid="{00000000-0005-0000-0000-0000DF7A0000}"/>
    <cellStyle name="표준 4 7 2 2 2" xfId="9723" xr:uid="{00000000-0005-0000-0000-0000E07A0000}"/>
    <cellStyle name="표준 4 7 2 2 2 2" xfId="9724" xr:uid="{00000000-0005-0000-0000-0000E17A0000}"/>
    <cellStyle name="표준 4 7 2 2 2 3" xfId="9725" xr:uid="{00000000-0005-0000-0000-0000E27A0000}"/>
    <cellStyle name="표준 4 7 2 2 2_뇌출혈특약(갱신형)" xfId="14335" xr:uid="{00000000-0005-0000-0000-0000E37A0000}"/>
    <cellStyle name="표준 4 7 2 2 3" xfId="9726" xr:uid="{00000000-0005-0000-0000-0000E47A0000}"/>
    <cellStyle name="표준 4 7 2 2 4" xfId="9727" xr:uid="{00000000-0005-0000-0000-0000E57A0000}"/>
    <cellStyle name="표준 4 7 2 2_뇌출혈특약(갱신형)" xfId="14336" xr:uid="{00000000-0005-0000-0000-0000E67A0000}"/>
    <cellStyle name="표준 4 7 2 3" xfId="9728" xr:uid="{00000000-0005-0000-0000-0000E77A0000}"/>
    <cellStyle name="표준 4 7 2 3 2" xfId="9729" xr:uid="{00000000-0005-0000-0000-0000E87A0000}"/>
    <cellStyle name="표준 4 7 2 3 2 2" xfId="9730" xr:uid="{00000000-0005-0000-0000-0000E97A0000}"/>
    <cellStyle name="표준 4 7 2 3 2 3" xfId="9731" xr:uid="{00000000-0005-0000-0000-0000EA7A0000}"/>
    <cellStyle name="표준 4 7 2 3 2_뇌출혈특약(갱신형)" xfId="14337" xr:uid="{00000000-0005-0000-0000-0000EB7A0000}"/>
    <cellStyle name="표준 4 7 2 3 3" xfId="9732" xr:uid="{00000000-0005-0000-0000-0000EC7A0000}"/>
    <cellStyle name="표준 4 7 2 3 4" xfId="9733" xr:uid="{00000000-0005-0000-0000-0000ED7A0000}"/>
    <cellStyle name="표준 4 7 2 3_뇌출혈특약(갱신형)" xfId="14338" xr:uid="{00000000-0005-0000-0000-0000EE7A0000}"/>
    <cellStyle name="표준 4 7 2 4" xfId="9734" xr:uid="{00000000-0005-0000-0000-0000EF7A0000}"/>
    <cellStyle name="표준 4 7 2 4 2" xfId="9735" xr:uid="{00000000-0005-0000-0000-0000F07A0000}"/>
    <cellStyle name="표준 4 7 2 4 3" xfId="9736" xr:uid="{00000000-0005-0000-0000-0000F17A0000}"/>
    <cellStyle name="표준 4 7 2 4_뇌출혈특약(갱신형)" xfId="14339" xr:uid="{00000000-0005-0000-0000-0000F27A0000}"/>
    <cellStyle name="표준 4 7 2 5" xfId="9737" xr:uid="{00000000-0005-0000-0000-0000F37A0000}"/>
    <cellStyle name="표준 4 7 2 5 2" xfId="9738" xr:uid="{00000000-0005-0000-0000-0000F47A0000}"/>
    <cellStyle name="표준 4 7 2 5 3" xfId="9739" xr:uid="{00000000-0005-0000-0000-0000F57A0000}"/>
    <cellStyle name="표준 4 7 2 5_뇌출혈특약(갱신형)" xfId="14340" xr:uid="{00000000-0005-0000-0000-0000F67A0000}"/>
    <cellStyle name="표준 4 7 2 6" xfId="9740" xr:uid="{00000000-0005-0000-0000-0000F77A0000}"/>
    <cellStyle name="표준 4 7 2 7" xfId="9741" xr:uid="{00000000-0005-0000-0000-0000F87A0000}"/>
    <cellStyle name="표준 4 7 2_뇌출혈특약(갱신형)" xfId="14341" xr:uid="{00000000-0005-0000-0000-0000F97A0000}"/>
    <cellStyle name="표준 4 7 3" xfId="9742" xr:uid="{00000000-0005-0000-0000-0000FA7A0000}"/>
    <cellStyle name="표준 4 7 3 2" xfId="9743" xr:uid="{00000000-0005-0000-0000-0000FB7A0000}"/>
    <cellStyle name="표준 4 7 3 2 2" xfId="9744" xr:uid="{00000000-0005-0000-0000-0000FC7A0000}"/>
    <cellStyle name="표준 4 7 3 2 3" xfId="9745" xr:uid="{00000000-0005-0000-0000-0000FD7A0000}"/>
    <cellStyle name="표준 4 7 3 2_뇌출혈특약(갱신형)" xfId="14342" xr:uid="{00000000-0005-0000-0000-0000FE7A0000}"/>
    <cellStyle name="표준 4 7 3 3" xfId="9746" xr:uid="{00000000-0005-0000-0000-0000FF7A0000}"/>
    <cellStyle name="표준 4 7 3 4" xfId="9747" xr:uid="{00000000-0005-0000-0000-0000007B0000}"/>
    <cellStyle name="표준 4 7 3_뇌출혈특약(갱신형)" xfId="14343" xr:uid="{00000000-0005-0000-0000-0000017B0000}"/>
    <cellStyle name="표준 4 7 4" xfId="9748" xr:uid="{00000000-0005-0000-0000-0000027B0000}"/>
    <cellStyle name="표준 4 7 4 2" xfId="9749" xr:uid="{00000000-0005-0000-0000-0000037B0000}"/>
    <cellStyle name="표준 4 7 4 2 2" xfId="9750" xr:uid="{00000000-0005-0000-0000-0000047B0000}"/>
    <cellStyle name="표준 4 7 4 2 3" xfId="9751" xr:uid="{00000000-0005-0000-0000-0000057B0000}"/>
    <cellStyle name="표준 4 7 4 2_뇌출혈특약(갱신형)" xfId="14344" xr:uid="{00000000-0005-0000-0000-0000067B0000}"/>
    <cellStyle name="표준 4 7 4 3" xfId="9752" xr:uid="{00000000-0005-0000-0000-0000077B0000}"/>
    <cellStyle name="표준 4 7 4 4" xfId="9753" xr:uid="{00000000-0005-0000-0000-0000087B0000}"/>
    <cellStyle name="표준 4 7 4_뇌출혈특약(갱신형)" xfId="14345" xr:uid="{00000000-0005-0000-0000-0000097B0000}"/>
    <cellStyle name="표준 4 7 5" xfId="9754" xr:uid="{00000000-0005-0000-0000-00000A7B0000}"/>
    <cellStyle name="표준 4 7 5 2" xfId="9755" xr:uid="{00000000-0005-0000-0000-00000B7B0000}"/>
    <cellStyle name="표준 4 7 5 3" xfId="9756" xr:uid="{00000000-0005-0000-0000-00000C7B0000}"/>
    <cellStyle name="표준 4 7 5_뇌출혈특약(갱신형)" xfId="14346" xr:uid="{00000000-0005-0000-0000-00000D7B0000}"/>
    <cellStyle name="표준 4 7 6" xfId="9757" xr:uid="{00000000-0005-0000-0000-00000E7B0000}"/>
    <cellStyle name="표준 4 7 6 2" xfId="9758" xr:uid="{00000000-0005-0000-0000-00000F7B0000}"/>
    <cellStyle name="표준 4 7 6 3" xfId="9759" xr:uid="{00000000-0005-0000-0000-0000107B0000}"/>
    <cellStyle name="표준 4 7 6_뇌출혈특약(갱신형)" xfId="14347" xr:uid="{00000000-0005-0000-0000-0000117B0000}"/>
    <cellStyle name="표준 4 7 7" xfId="9760" xr:uid="{00000000-0005-0000-0000-0000127B0000}"/>
    <cellStyle name="표준 4 7 8" xfId="9761" xr:uid="{00000000-0005-0000-0000-0000137B0000}"/>
    <cellStyle name="표준 4 7_뇌출혈특약(갱신형)" xfId="14348" xr:uid="{00000000-0005-0000-0000-0000147B0000}"/>
    <cellStyle name="표준 4 8" xfId="9762" xr:uid="{00000000-0005-0000-0000-0000157B0000}"/>
    <cellStyle name="표준 4 8 2" xfId="9763" xr:uid="{00000000-0005-0000-0000-0000167B0000}"/>
    <cellStyle name="표준 4 8 2 2" xfId="9764" xr:uid="{00000000-0005-0000-0000-0000177B0000}"/>
    <cellStyle name="표준 4 8 2 2 2" xfId="9765" xr:uid="{00000000-0005-0000-0000-0000187B0000}"/>
    <cellStyle name="표준 4 8 2 2 3" xfId="9766" xr:uid="{00000000-0005-0000-0000-0000197B0000}"/>
    <cellStyle name="표준 4 8 2 2_뇌출혈특약(갱신형)" xfId="14349" xr:uid="{00000000-0005-0000-0000-00001A7B0000}"/>
    <cellStyle name="표준 4 8 2 3" xfId="9767" xr:uid="{00000000-0005-0000-0000-00001B7B0000}"/>
    <cellStyle name="표준 4 8 2 4" xfId="9768" xr:uid="{00000000-0005-0000-0000-00001C7B0000}"/>
    <cellStyle name="표준 4 8 2_뇌출혈특약(갱신형)" xfId="14350" xr:uid="{00000000-0005-0000-0000-00001D7B0000}"/>
    <cellStyle name="표준 4 8 3" xfId="9769" xr:uid="{00000000-0005-0000-0000-00001E7B0000}"/>
    <cellStyle name="표준 4 8 3 2" xfId="9770" xr:uid="{00000000-0005-0000-0000-00001F7B0000}"/>
    <cellStyle name="표준 4 8 3 2 2" xfId="9771" xr:uid="{00000000-0005-0000-0000-0000207B0000}"/>
    <cellStyle name="표준 4 8 3 2 3" xfId="9772" xr:uid="{00000000-0005-0000-0000-0000217B0000}"/>
    <cellStyle name="표준 4 8 3 2_뇌출혈특약(갱신형)" xfId="14351" xr:uid="{00000000-0005-0000-0000-0000227B0000}"/>
    <cellStyle name="표준 4 8 3 3" xfId="9773" xr:uid="{00000000-0005-0000-0000-0000237B0000}"/>
    <cellStyle name="표준 4 8 3 4" xfId="9774" xr:uid="{00000000-0005-0000-0000-0000247B0000}"/>
    <cellStyle name="표준 4 8 3_뇌출혈특약(갱신형)" xfId="14352" xr:uid="{00000000-0005-0000-0000-0000257B0000}"/>
    <cellStyle name="표준 4 8 4" xfId="9775" xr:uid="{00000000-0005-0000-0000-0000267B0000}"/>
    <cellStyle name="표준 4 8 4 2" xfId="9776" xr:uid="{00000000-0005-0000-0000-0000277B0000}"/>
    <cellStyle name="표준 4 8 4 3" xfId="9777" xr:uid="{00000000-0005-0000-0000-0000287B0000}"/>
    <cellStyle name="표준 4 8 4_뇌출혈특약(갱신형)" xfId="14353" xr:uid="{00000000-0005-0000-0000-0000297B0000}"/>
    <cellStyle name="표준 4 8 5" xfId="9778" xr:uid="{00000000-0005-0000-0000-00002A7B0000}"/>
    <cellStyle name="표준 4 8 5 2" xfId="9779" xr:uid="{00000000-0005-0000-0000-00002B7B0000}"/>
    <cellStyle name="표준 4 8 5 3" xfId="9780" xr:uid="{00000000-0005-0000-0000-00002C7B0000}"/>
    <cellStyle name="표준 4 8 5_뇌출혈특약(갱신형)" xfId="14354" xr:uid="{00000000-0005-0000-0000-00002D7B0000}"/>
    <cellStyle name="표준 4 8 6" xfId="9781" xr:uid="{00000000-0005-0000-0000-00002E7B0000}"/>
    <cellStyle name="표준 4 8 7" xfId="9782" xr:uid="{00000000-0005-0000-0000-00002F7B0000}"/>
    <cellStyle name="표준 4 8_뇌출혈특약(갱신형)" xfId="14355" xr:uid="{00000000-0005-0000-0000-0000307B0000}"/>
    <cellStyle name="표준 4 9" xfId="9783" xr:uid="{00000000-0005-0000-0000-0000317B0000}"/>
    <cellStyle name="표준 4 9 2" xfId="9784" xr:uid="{00000000-0005-0000-0000-0000327B0000}"/>
    <cellStyle name="표준 4 9 2 2" xfId="9785" xr:uid="{00000000-0005-0000-0000-0000337B0000}"/>
    <cellStyle name="표준 4 9 2 2 2" xfId="9786" xr:uid="{00000000-0005-0000-0000-0000347B0000}"/>
    <cellStyle name="표준 4 9 2 2 3" xfId="9787" xr:uid="{00000000-0005-0000-0000-0000357B0000}"/>
    <cellStyle name="표준 4 9 2 2_뇌출혈특약(갱신형)" xfId="14356" xr:uid="{00000000-0005-0000-0000-0000367B0000}"/>
    <cellStyle name="표준 4 9 2 3" xfId="9788" xr:uid="{00000000-0005-0000-0000-0000377B0000}"/>
    <cellStyle name="표준 4 9 2 4" xfId="9789" xr:uid="{00000000-0005-0000-0000-0000387B0000}"/>
    <cellStyle name="표준 4 9 2_뇌출혈특약(갱신형)" xfId="14357" xr:uid="{00000000-0005-0000-0000-0000397B0000}"/>
    <cellStyle name="표준 4 9 3" xfId="9790" xr:uid="{00000000-0005-0000-0000-00003A7B0000}"/>
    <cellStyle name="표준 4 9 3 2" xfId="9791" xr:uid="{00000000-0005-0000-0000-00003B7B0000}"/>
    <cellStyle name="표준 4 9 3 2 2" xfId="9792" xr:uid="{00000000-0005-0000-0000-00003C7B0000}"/>
    <cellStyle name="표준 4 9 3 2 3" xfId="9793" xr:uid="{00000000-0005-0000-0000-00003D7B0000}"/>
    <cellStyle name="표준 4 9 3 2_뇌출혈특약(갱신형)" xfId="14358" xr:uid="{00000000-0005-0000-0000-00003E7B0000}"/>
    <cellStyle name="표준 4 9 3 3" xfId="9794" xr:uid="{00000000-0005-0000-0000-00003F7B0000}"/>
    <cellStyle name="표준 4 9 3 4" xfId="9795" xr:uid="{00000000-0005-0000-0000-0000407B0000}"/>
    <cellStyle name="표준 4 9 3_뇌출혈특약(갱신형)" xfId="14359" xr:uid="{00000000-0005-0000-0000-0000417B0000}"/>
    <cellStyle name="표준 4 9 4" xfId="9796" xr:uid="{00000000-0005-0000-0000-0000427B0000}"/>
    <cellStyle name="표준 4 9 4 2" xfId="9797" xr:uid="{00000000-0005-0000-0000-0000437B0000}"/>
    <cellStyle name="표준 4 9 4 3" xfId="9798" xr:uid="{00000000-0005-0000-0000-0000447B0000}"/>
    <cellStyle name="표준 4 9 4_뇌출혈특약(갱신형)" xfId="14360" xr:uid="{00000000-0005-0000-0000-0000457B0000}"/>
    <cellStyle name="표준 4 9 5" xfId="9799" xr:uid="{00000000-0005-0000-0000-0000467B0000}"/>
    <cellStyle name="표준 4 9 5 2" xfId="9800" xr:uid="{00000000-0005-0000-0000-0000477B0000}"/>
    <cellStyle name="표준 4 9 5 3" xfId="9801" xr:uid="{00000000-0005-0000-0000-0000487B0000}"/>
    <cellStyle name="표준 4 9 5_뇌출혈특약(갱신형)" xfId="14361" xr:uid="{00000000-0005-0000-0000-0000497B0000}"/>
    <cellStyle name="표준 4 9 6" xfId="9802" xr:uid="{00000000-0005-0000-0000-00004A7B0000}"/>
    <cellStyle name="표준 4 9 7" xfId="9803" xr:uid="{00000000-0005-0000-0000-00004B7B0000}"/>
    <cellStyle name="표준 4 9_뇌출혈특약(갱신형)" xfId="14362" xr:uid="{00000000-0005-0000-0000-00004C7B0000}"/>
    <cellStyle name="표준 4_뇌출혈특약(갱신형)" xfId="14363" xr:uid="{00000000-0005-0000-0000-00004D7B0000}"/>
    <cellStyle name="표준 40" xfId="32371" xr:uid="{00000000-0005-0000-0000-00004E7B0000}"/>
    <cellStyle name="표준 5" xfId="41" xr:uid="{00000000-0005-0000-0000-00004F7B0000}"/>
    <cellStyle name="표준 5 10" xfId="9804" xr:uid="{00000000-0005-0000-0000-0000507B0000}"/>
    <cellStyle name="표준 5 10 2" xfId="9805" xr:uid="{00000000-0005-0000-0000-0000517B0000}"/>
    <cellStyle name="표준 5 10 3" xfId="9806" xr:uid="{00000000-0005-0000-0000-0000527B0000}"/>
    <cellStyle name="표준 5 10_뇌출혈특약(갱신형)" xfId="14364" xr:uid="{00000000-0005-0000-0000-0000537B0000}"/>
    <cellStyle name="표준 5 11" xfId="9807" xr:uid="{00000000-0005-0000-0000-0000547B0000}"/>
    <cellStyle name="표준 5 11 2" xfId="9808" xr:uid="{00000000-0005-0000-0000-0000557B0000}"/>
    <cellStyle name="표준 5 11_뇌출혈특약(갱신형)" xfId="14365" xr:uid="{00000000-0005-0000-0000-0000567B0000}"/>
    <cellStyle name="표준 5 12" xfId="9809" xr:uid="{00000000-0005-0000-0000-0000577B0000}"/>
    <cellStyle name="표준 5 12 2" xfId="9810" xr:uid="{00000000-0005-0000-0000-0000587B0000}"/>
    <cellStyle name="표준 5 12_뇌출혈특약(갱신형)" xfId="14366" xr:uid="{00000000-0005-0000-0000-0000597B0000}"/>
    <cellStyle name="표준 5 13" xfId="9811" xr:uid="{00000000-0005-0000-0000-00005A7B0000}"/>
    <cellStyle name="표준 5 13 2" xfId="9812" xr:uid="{00000000-0005-0000-0000-00005B7B0000}"/>
    <cellStyle name="표준 5 13_뇌출혈특약(갱신형)" xfId="14367" xr:uid="{00000000-0005-0000-0000-00005C7B0000}"/>
    <cellStyle name="표준 5 14" xfId="9813" xr:uid="{00000000-0005-0000-0000-00005D7B0000}"/>
    <cellStyle name="표준 5 14 2" xfId="9814" xr:uid="{00000000-0005-0000-0000-00005E7B0000}"/>
    <cellStyle name="표준 5 14_뇌출혈특약(갱신형)" xfId="14368" xr:uid="{00000000-0005-0000-0000-00005F7B0000}"/>
    <cellStyle name="표준 5 15" xfId="9815" xr:uid="{00000000-0005-0000-0000-0000607B0000}"/>
    <cellStyle name="표준 5 16" xfId="9816" xr:uid="{00000000-0005-0000-0000-0000617B0000}"/>
    <cellStyle name="표준 5 17" xfId="17165" xr:uid="{00000000-0005-0000-0000-0000627B0000}"/>
    <cellStyle name="표준 5 18" xfId="17166" xr:uid="{00000000-0005-0000-0000-0000637B0000}"/>
    <cellStyle name="표준 5 2" xfId="9817" xr:uid="{00000000-0005-0000-0000-0000647B0000}"/>
    <cellStyle name="표준 5 2 2" xfId="9818" xr:uid="{00000000-0005-0000-0000-0000657B0000}"/>
    <cellStyle name="표준 5 2 2 2" xfId="9819" xr:uid="{00000000-0005-0000-0000-0000667B0000}"/>
    <cellStyle name="표준 5 2 2 2 2" xfId="9820" xr:uid="{00000000-0005-0000-0000-0000677B0000}"/>
    <cellStyle name="표준 5 2 2 2 2 2" xfId="9821" xr:uid="{00000000-0005-0000-0000-0000687B0000}"/>
    <cellStyle name="표준 5 2 2 2 2 3" xfId="9822" xr:uid="{00000000-0005-0000-0000-0000697B0000}"/>
    <cellStyle name="표준 5 2 2 2 2_뇌출혈특약(갱신형)" xfId="14369" xr:uid="{00000000-0005-0000-0000-00006A7B0000}"/>
    <cellStyle name="표준 5 2 2 2 3" xfId="9823" xr:uid="{00000000-0005-0000-0000-00006B7B0000}"/>
    <cellStyle name="표준 5 2 2 2 4" xfId="9824" xr:uid="{00000000-0005-0000-0000-00006C7B0000}"/>
    <cellStyle name="표준 5 2 2 2_뇌출혈특약(갱신형)" xfId="14370" xr:uid="{00000000-0005-0000-0000-00006D7B0000}"/>
    <cellStyle name="표준 5 2 2 3" xfId="9825" xr:uid="{00000000-0005-0000-0000-00006E7B0000}"/>
    <cellStyle name="표준 5 2 2 3 2" xfId="9826" xr:uid="{00000000-0005-0000-0000-00006F7B0000}"/>
    <cellStyle name="표준 5 2 2 3 2 2" xfId="9827" xr:uid="{00000000-0005-0000-0000-0000707B0000}"/>
    <cellStyle name="표준 5 2 2 3 2 3" xfId="9828" xr:uid="{00000000-0005-0000-0000-0000717B0000}"/>
    <cellStyle name="표준 5 2 2 3 2_뇌출혈특약(갱신형)" xfId="14371" xr:uid="{00000000-0005-0000-0000-0000727B0000}"/>
    <cellStyle name="표준 5 2 2 3 3" xfId="9829" xr:uid="{00000000-0005-0000-0000-0000737B0000}"/>
    <cellStyle name="표준 5 2 2 3 4" xfId="9830" xr:uid="{00000000-0005-0000-0000-0000747B0000}"/>
    <cellStyle name="표준 5 2 2 3_뇌출혈특약(갱신형)" xfId="14372" xr:uid="{00000000-0005-0000-0000-0000757B0000}"/>
    <cellStyle name="표준 5 2 2 4" xfId="9831" xr:uid="{00000000-0005-0000-0000-0000767B0000}"/>
    <cellStyle name="표준 5 2 2 4 2" xfId="9832" xr:uid="{00000000-0005-0000-0000-0000777B0000}"/>
    <cellStyle name="표준 5 2 2 4 3" xfId="9833" xr:uid="{00000000-0005-0000-0000-0000787B0000}"/>
    <cellStyle name="표준 5 2 2 4_뇌출혈특약(갱신형)" xfId="14373" xr:uid="{00000000-0005-0000-0000-0000797B0000}"/>
    <cellStyle name="표준 5 2 2 5" xfId="9834" xr:uid="{00000000-0005-0000-0000-00007A7B0000}"/>
    <cellStyle name="표준 5 2 2 5 2" xfId="9835" xr:uid="{00000000-0005-0000-0000-00007B7B0000}"/>
    <cellStyle name="표준 5 2 2 5 3" xfId="9836" xr:uid="{00000000-0005-0000-0000-00007C7B0000}"/>
    <cellStyle name="표준 5 2 2 5_뇌출혈특약(갱신형)" xfId="14374" xr:uid="{00000000-0005-0000-0000-00007D7B0000}"/>
    <cellStyle name="표준 5 2 2 6" xfId="9837" xr:uid="{00000000-0005-0000-0000-00007E7B0000}"/>
    <cellStyle name="표준 5 2 2 7" xfId="9838" xr:uid="{00000000-0005-0000-0000-00007F7B0000}"/>
    <cellStyle name="표준 5 2 2_뇌출혈특약(갱신형)" xfId="14375" xr:uid="{00000000-0005-0000-0000-0000807B0000}"/>
    <cellStyle name="표준 5 2 3" xfId="9839" xr:uid="{00000000-0005-0000-0000-0000817B0000}"/>
    <cellStyle name="표준 5 2 3 2" xfId="9840" xr:uid="{00000000-0005-0000-0000-0000827B0000}"/>
    <cellStyle name="표준 5 2 3 2 2" xfId="9841" xr:uid="{00000000-0005-0000-0000-0000837B0000}"/>
    <cellStyle name="표준 5 2 3 2 3" xfId="9842" xr:uid="{00000000-0005-0000-0000-0000847B0000}"/>
    <cellStyle name="표준 5 2 3 2_뇌출혈특약(갱신형)" xfId="14376" xr:uid="{00000000-0005-0000-0000-0000857B0000}"/>
    <cellStyle name="표준 5 2 3 3" xfId="9843" xr:uid="{00000000-0005-0000-0000-0000867B0000}"/>
    <cellStyle name="표준 5 2 3 4" xfId="9844" xr:uid="{00000000-0005-0000-0000-0000877B0000}"/>
    <cellStyle name="표준 5 2 3_뇌출혈특약(갱신형)" xfId="14377" xr:uid="{00000000-0005-0000-0000-0000887B0000}"/>
    <cellStyle name="표준 5 2 4" xfId="9845" xr:uid="{00000000-0005-0000-0000-0000897B0000}"/>
    <cellStyle name="표준 5 2 4 2" xfId="9846" xr:uid="{00000000-0005-0000-0000-00008A7B0000}"/>
    <cellStyle name="표준 5 2 4 2 2" xfId="9847" xr:uid="{00000000-0005-0000-0000-00008B7B0000}"/>
    <cellStyle name="표준 5 2 4 2 3" xfId="9848" xr:uid="{00000000-0005-0000-0000-00008C7B0000}"/>
    <cellStyle name="표준 5 2 4 2_뇌출혈특약(갱신형)" xfId="14378" xr:uid="{00000000-0005-0000-0000-00008D7B0000}"/>
    <cellStyle name="표준 5 2 4 3" xfId="9849" xr:uid="{00000000-0005-0000-0000-00008E7B0000}"/>
    <cellStyle name="표준 5 2 4 4" xfId="9850" xr:uid="{00000000-0005-0000-0000-00008F7B0000}"/>
    <cellStyle name="표준 5 2 4_뇌출혈특약(갱신형)" xfId="14379" xr:uid="{00000000-0005-0000-0000-0000907B0000}"/>
    <cellStyle name="표준 5 2 5" xfId="9851" xr:uid="{00000000-0005-0000-0000-0000917B0000}"/>
    <cellStyle name="표준 5 2 5 2" xfId="9852" xr:uid="{00000000-0005-0000-0000-0000927B0000}"/>
    <cellStyle name="표준 5 2 5 3" xfId="9853" xr:uid="{00000000-0005-0000-0000-0000937B0000}"/>
    <cellStyle name="표준 5 2 5_뇌출혈특약(갱신형)" xfId="14380" xr:uid="{00000000-0005-0000-0000-0000947B0000}"/>
    <cellStyle name="표준 5 2 6" xfId="9854" xr:uid="{00000000-0005-0000-0000-0000957B0000}"/>
    <cellStyle name="표준 5 2 6 2" xfId="9855" xr:uid="{00000000-0005-0000-0000-0000967B0000}"/>
    <cellStyle name="표준 5 2 6 3" xfId="9856" xr:uid="{00000000-0005-0000-0000-0000977B0000}"/>
    <cellStyle name="표준 5 2 6_뇌출혈특약(갱신형)" xfId="14381" xr:uid="{00000000-0005-0000-0000-0000987B0000}"/>
    <cellStyle name="표준 5 2 7" xfId="9857" xr:uid="{00000000-0005-0000-0000-0000997B0000}"/>
    <cellStyle name="표준 5 2 8" xfId="9858" xr:uid="{00000000-0005-0000-0000-00009A7B0000}"/>
    <cellStyle name="표준 5 2 9" xfId="17167" xr:uid="{00000000-0005-0000-0000-00009B7B0000}"/>
    <cellStyle name="표준 5 2_뇌출혈특약(갱신형)" xfId="14382" xr:uid="{00000000-0005-0000-0000-00009C7B0000}"/>
    <cellStyle name="표준 5 3" xfId="9859" xr:uid="{00000000-0005-0000-0000-00009D7B0000}"/>
    <cellStyle name="표준 5 3 2" xfId="9860" xr:uid="{00000000-0005-0000-0000-00009E7B0000}"/>
    <cellStyle name="표준 5 3 2 2" xfId="9861" xr:uid="{00000000-0005-0000-0000-00009F7B0000}"/>
    <cellStyle name="표준 5 3 2 2 2" xfId="9862" xr:uid="{00000000-0005-0000-0000-0000A07B0000}"/>
    <cellStyle name="표준 5 3 2 2 3" xfId="9863" xr:uid="{00000000-0005-0000-0000-0000A17B0000}"/>
    <cellStyle name="표준 5 3 2 2_뇌출혈특약(갱신형)" xfId="14383" xr:uid="{00000000-0005-0000-0000-0000A27B0000}"/>
    <cellStyle name="표준 5 3 2 3" xfId="9864" xr:uid="{00000000-0005-0000-0000-0000A37B0000}"/>
    <cellStyle name="표준 5 3 2 4" xfId="9865" xr:uid="{00000000-0005-0000-0000-0000A47B0000}"/>
    <cellStyle name="표준 5 3 2_뇌출혈특약(갱신형)" xfId="14384" xr:uid="{00000000-0005-0000-0000-0000A57B0000}"/>
    <cellStyle name="표준 5 3 3" xfId="9866" xr:uid="{00000000-0005-0000-0000-0000A67B0000}"/>
    <cellStyle name="표준 5 3 3 2" xfId="9867" xr:uid="{00000000-0005-0000-0000-0000A77B0000}"/>
    <cellStyle name="표준 5 3 3 2 2" xfId="9868" xr:uid="{00000000-0005-0000-0000-0000A87B0000}"/>
    <cellStyle name="표준 5 3 3 2 3" xfId="9869" xr:uid="{00000000-0005-0000-0000-0000A97B0000}"/>
    <cellStyle name="표준 5 3 3 2_뇌출혈특약(갱신형)" xfId="14385" xr:uid="{00000000-0005-0000-0000-0000AA7B0000}"/>
    <cellStyle name="표준 5 3 3 3" xfId="9870" xr:uid="{00000000-0005-0000-0000-0000AB7B0000}"/>
    <cellStyle name="표준 5 3 3 4" xfId="9871" xr:uid="{00000000-0005-0000-0000-0000AC7B0000}"/>
    <cellStyle name="표준 5 3 3_뇌출혈특약(갱신형)" xfId="14386" xr:uid="{00000000-0005-0000-0000-0000AD7B0000}"/>
    <cellStyle name="표준 5 3 4" xfId="9872" xr:uid="{00000000-0005-0000-0000-0000AE7B0000}"/>
    <cellStyle name="표준 5 3 4 2" xfId="9873" xr:uid="{00000000-0005-0000-0000-0000AF7B0000}"/>
    <cellStyle name="표준 5 3 4 3" xfId="9874" xr:uid="{00000000-0005-0000-0000-0000B07B0000}"/>
    <cellStyle name="표준 5 3 4_뇌출혈특약(갱신형)" xfId="14387" xr:uid="{00000000-0005-0000-0000-0000B17B0000}"/>
    <cellStyle name="표준 5 3 5" xfId="9875" xr:uid="{00000000-0005-0000-0000-0000B27B0000}"/>
    <cellStyle name="표준 5 3 5 2" xfId="9876" xr:uid="{00000000-0005-0000-0000-0000B37B0000}"/>
    <cellStyle name="표준 5 3 5 3" xfId="9877" xr:uid="{00000000-0005-0000-0000-0000B47B0000}"/>
    <cellStyle name="표준 5 3 5_뇌출혈특약(갱신형)" xfId="14388" xr:uid="{00000000-0005-0000-0000-0000B57B0000}"/>
    <cellStyle name="표준 5 3 6" xfId="9878" xr:uid="{00000000-0005-0000-0000-0000B67B0000}"/>
    <cellStyle name="표준 5 3 7" xfId="9879" xr:uid="{00000000-0005-0000-0000-0000B77B0000}"/>
    <cellStyle name="표준 5 3 8" xfId="12284" xr:uid="{00000000-0005-0000-0000-0000B87B0000}"/>
    <cellStyle name="표준 5 3_뇌출혈특약(갱신형)" xfId="14389" xr:uid="{00000000-0005-0000-0000-0000B97B0000}"/>
    <cellStyle name="표준 5 4" xfId="9880" xr:uid="{00000000-0005-0000-0000-0000BA7B0000}"/>
    <cellStyle name="표준 5 4 2" xfId="9881" xr:uid="{00000000-0005-0000-0000-0000BB7B0000}"/>
    <cellStyle name="표준 5 4 2 2" xfId="9882" xr:uid="{00000000-0005-0000-0000-0000BC7B0000}"/>
    <cellStyle name="표준 5 4 2 2 2" xfId="9883" xr:uid="{00000000-0005-0000-0000-0000BD7B0000}"/>
    <cellStyle name="표준 5 4 2 2 3" xfId="9884" xr:uid="{00000000-0005-0000-0000-0000BE7B0000}"/>
    <cellStyle name="표준 5 4 2 2_뇌출혈특약(갱신형)" xfId="14390" xr:uid="{00000000-0005-0000-0000-0000BF7B0000}"/>
    <cellStyle name="표준 5 4 2 3" xfId="9885" xr:uid="{00000000-0005-0000-0000-0000C07B0000}"/>
    <cellStyle name="표준 5 4 2 4" xfId="9886" xr:uid="{00000000-0005-0000-0000-0000C17B0000}"/>
    <cellStyle name="표준 5 4 2_뇌출혈특약(갱신형)" xfId="14391" xr:uid="{00000000-0005-0000-0000-0000C27B0000}"/>
    <cellStyle name="표준 5 4 3" xfId="9887" xr:uid="{00000000-0005-0000-0000-0000C37B0000}"/>
    <cellStyle name="표준 5 4 3 2" xfId="9888" xr:uid="{00000000-0005-0000-0000-0000C47B0000}"/>
    <cellStyle name="표준 5 4 3 2 2" xfId="9889" xr:uid="{00000000-0005-0000-0000-0000C57B0000}"/>
    <cellStyle name="표준 5 4 3 2 3" xfId="9890" xr:uid="{00000000-0005-0000-0000-0000C67B0000}"/>
    <cellStyle name="표준 5 4 3 2_뇌출혈특약(갱신형)" xfId="14392" xr:uid="{00000000-0005-0000-0000-0000C77B0000}"/>
    <cellStyle name="표준 5 4 3 3" xfId="9891" xr:uid="{00000000-0005-0000-0000-0000C87B0000}"/>
    <cellStyle name="표준 5 4 3 4" xfId="9892" xr:uid="{00000000-0005-0000-0000-0000C97B0000}"/>
    <cellStyle name="표준 5 4 3_뇌출혈특약(갱신형)" xfId="14393" xr:uid="{00000000-0005-0000-0000-0000CA7B0000}"/>
    <cellStyle name="표준 5 4 4" xfId="9893" xr:uid="{00000000-0005-0000-0000-0000CB7B0000}"/>
    <cellStyle name="표준 5 4 4 2" xfId="9894" xr:uid="{00000000-0005-0000-0000-0000CC7B0000}"/>
    <cellStyle name="표준 5 4 4 3" xfId="9895" xr:uid="{00000000-0005-0000-0000-0000CD7B0000}"/>
    <cellStyle name="표준 5 4 4_뇌출혈특약(갱신형)" xfId="14394" xr:uid="{00000000-0005-0000-0000-0000CE7B0000}"/>
    <cellStyle name="표준 5 4 5" xfId="9896" xr:uid="{00000000-0005-0000-0000-0000CF7B0000}"/>
    <cellStyle name="표준 5 4 5 2" xfId="9897" xr:uid="{00000000-0005-0000-0000-0000D07B0000}"/>
    <cellStyle name="표준 5 4 5 3" xfId="9898" xr:uid="{00000000-0005-0000-0000-0000D17B0000}"/>
    <cellStyle name="표준 5 4 5_뇌출혈특약(갱신형)" xfId="14395" xr:uid="{00000000-0005-0000-0000-0000D27B0000}"/>
    <cellStyle name="표준 5 4 6" xfId="9899" xr:uid="{00000000-0005-0000-0000-0000D37B0000}"/>
    <cellStyle name="표준 5 4 7" xfId="9900" xr:uid="{00000000-0005-0000-0000-0000D47B0000}"/>
    <cellStyle name="표준 5 4_뇌출혈특약(갱신형)" xfId="14396" xr:uid="{00000000-0005-0000-0000-0000D57B0000}"/>
    <cellStyle name="표준 5 5" xfId="9901" xr:uid="{00000000-0005-0000-0000-0000D67B0000}"/>
    <cellStyle name="표준 5 5 2" xfId="9902" xr:uid="{00000000-0005-0000-0000-0000D77B0000}"/>
    <cellStyle name="표준 5 5 2 2" xfId="9903" xr:uid="{00000000-0005-0000-0000-0000D87B0000}"/>
    <cellStyle name="표준 5 5 2 3" xfId="9904" xr:uid="{00000000-0005-0000-0000-0000D97B0000}"/>
    <cellStyle name="표준 5 5 2_뇌출혈특약(갱신형)" xfId="14397" xr:uid="{00000000-0005-0000-0000-0000DA7B0000}"/>
    <cellStyle name="표준 5 5 3" xfId="9905" xr:uid="{00000000-0005-0000-0000-0000DB7B0000}"/>
    <cellStyle name="표준 5 5 4" xfId="9906" xr:uid="{00000000-0005-0000-0000-0000DC7B0000}"/>
    <cellStyle name="표준 5 5_뇌출혈특약(갱신형)" xfId="14398" xr:uid="{00000000-0005-0000-0000-0000DD7B0000}"/>
    <cellStyle name="표준 5 6" xfId="9907" xr:uid="{00000000-0005-0000-0000-0000DE7B0000}"/>
    <cellStyle name="표준 5 6 2" xfId="9908" xr:uid="{00000000-0005-0000-0000-0000DF7B0000}"/>
    <cellStyle name="표준 5 6 2 2" xfId="9909" xr:uid="{00000000-0005-0000-0000-0000E07B0000}"/>
    <cellStyle name="표준 5 6 2 3" xfId="9910" xr:uid="{00000000-0005-0000-0000-0000E17B0000}"/>
    <cellStyle name="표준 5 6 2_뇌출혈특약(갱신형)" xfId="14399" xr:uid="{00000000-0005-0000-0000-0000E27B0000}"/>
    <cellStyle name="표준 5 6 3" xfId="9911" xr:uid="{00000000-0005-0000-0000-0000E37B0000}"/>
    <cellStyle name="표준 5 6 4" xfId="9912" xr:uid="{00000000-0005-0000-0000-0000E47B0000}"/>
    <cellStyle name="표준 5 6_뇌출혈특약(갱신형)" xfId="14400" xr:uid="{00000000-0005-0000-0000-0000E57B0000}"/>
    <cellStyle name="표준 5 7" xfId="9913" xr:uid="{00000000-0005-0000-0000-0000E67B0000}"/>
    <cellStyle name="표준 5 7 2" xfId="9914" xr:uid="{00000000-0005-0000-0000-0000E77B0000}"/>
    <cellStyle name="표준 5 7 3" xfId="9915" xr:uid="{00000000-0005-0000-0000-0000E87B0000}"/>
    <cellStyle name="표준 5 7_뇌출혈특약(갱신형)" xfId="14401" xr:uid="{00000000-0005-0000-0000-0000E97B0000}"/>
    <cellStyle name="표준 5 8" xfId="9916" xr:uid="{00000000-0005-0000-0000-0000EA7B0000}"/>
    <cellStyle name="표준 5 8 2" xfId="9917" xr:uid="{00000000-0005-0000-0000-0000EB7B0000}"/>
    <cellStyle name="표준 5 8 3" xfId="9918" xr:uid="{00000000-0005-0000-0000-0000EC7B0000}"/>
    <cellStyle name="표준 5 8_뇌출혈특약(갱신형)" xfId="14402" xr:uid="{00000000-0005-0000-0000-0000ED7B0000}"/>
    <cellStyle name="표준 5 9" xfId="9919" xr:uid="{00000000-0005-0000-0000-0000EE7B0000}"/>
    <cellStyle name="표준 5 9 2" xfId="9920" xr:uid="{00000000-0005-0000-0000-0000EF7B0000}"/>
    <cellStyle name="표준 5 9 3" xfId="9921" xr:uid="{00000000-0005-0000-0000-0000F07B0000}"/>
    <cellStyle name="표준 5 9_뇌출혈특약(갱신형)" xfId="14403" xr:uid="{00000000-0005-0000-0000-0000F17B0000}"/>
    <cellStyle name="표준 5_뇌출혈특약(갱신형)" xfId="14404" xr:uid="{00000000-0005-0000-0000-0000F27B0000}"/>
    <cellStyle name="표준 6" xfId="42" xr:uid="{00000000-0005-0000-0000-0000F37B0000}"/>
    <cellStyle name="표준 6 10" xfId="9922" xr:uid="{00000000-0005-0000-0000-0000F47B0000}"/>
    <cellStyle name="표준 6 10 2" xfId="9923" xr:uid="{00000000-0005-0000-0000-0000F57B0000}"/>
    <cellStyle name="표준 6 10 3" xfId="9924" xr:uid="{00000000-0005-0000-0000-0000F67B0000}"/>
    <cellStyle name="표준 6 10_뇌출혈특약(갱신형)" xfId="14405" xr:uid="{00000000-0005-0000-0000-0000F77B0000}"/>
    <cellStyle name="표준 6 11" xfId="9925" xr:uid="{00000000-0005-0000-0000-0000F87B0000}"/>
    <cellStyle name="표준 6 11 2" xfId="9926" xr:uid="{00000000-0005-0000-0000-0000F97B0000}"/>
    <cellStyle name="표준 6 11_뇌출혈특약(갱신형)" xfId="14406" xr:uid="{00000000-0005-0000-0000-0000FA7B0000}"/>
    <cellStyle name="표준 6 12" xfId="9927" xr:uid="{00000000-0005-0000-0000-0000FB7B0000}"/>
    <cellStyle name="표준 6 12 2" xfId="9928" xr:uid="{00000000-0005-0000-0000-0000FC7B0000}"/>
    <cellStyle name="표준 6 12_뇌출혈특약(갱신형)" xfId="14407" xr:uid="{00000000-0005-0000-0000-0000FD7B0000}"/>
    <cellStyle name="표준 6 13" xfId="9929" xr:uid="{00000000-0005-0000-0000-0000FE7B0000}"/>
    <cellStyle name="표준 6 13 2" xfId="9930" xr:uid="{00000000-0005-0000-0000-0000FF7B0000}"/>
    <cellStyle name="표준 6 13_뇌출혈특약(갱신형)" xfId="14408" xr:uid="{00000000-0005-0000-0000-0000007C0000}"/>
    <cellStyle name="표준 6 14" xfId="9931" xr:uid="{00000000-0005-0000-0000-0000017C0000}"/>
    <cellStyle name="표준 6 14 2" xfId="9932" xr:uid="{00000000-0005-0000-0000-0000027C0000}"/>
    <cellStyle name="표준 6 14_뇌출혈특약(갱신형)" xfId="14409" xr:uid="{00000000-0005-0000-0000-0000037C0000}"/>
    <cellStyle name="표준 6 15" xfId="9933" xr:uid="{00000000-0005-0000-0000-0000047C0000}"/>
    <cellStyle name="표준 6 16" xfId="9934" xr:uid="{00000000-0005-0000-0000-0000057C0000}"/>
    <cellStyle name="표준 6 17" xfId="17168" xr:uid="{00000000-0005-0000-0000-0000067C0000}"/>
    <cellStyle name="표준 6 17 2" xfId="32369" xr:uid="{00000000-0005-0000-0000-0000077C0000}"/>
    <cellStyle name="표준 6 17 3" xfId="17372" xr:uid="{00000000-0005-0000-0000-0000087C0000}"/>
    <cellStyle name="표준 6 18" xfId="17169" xr:uid="{00000000-0005-0000-0000-0000097C0000}"/>
    <cellStyle name="표준 6 2" xfId="9935" xr:uid="{00000000-0005-0000-0000-00000A7C0000}"/>
    <cellStyle name="표준 6 2 2" xfId="9936" xr:uid="{00000000-0005-0000-0000-00000B7C0000}"/>
    <cellStyle name="표준 6 2 2 2" xfId="9937" xr:uid="{00000000-0005-0000-0000-00000C7C0000}"/>
    <cellStyle name="표준 6 2 2 2 2" xfId="9938" xr:uid="{00000000-0005-0000-0000-00000D7C0000}"/>
    <cellStyle name="표준 6 2 2 2 2 2" xfId="9939" xr:uid="{00000000-0005-0000-0000-00000E7C0000}"/>
    <cellStyle name="표준 6 2 2 2 2 3" xfId="9940" xr:uid="{00000000-0005-0000-0000-00000F7C0000}"/>
    <cellStyle name="표준 6 2 2 2 2_뇌출혈특약(갱신형)" xfId="14410" xr:uid="{00000000-0005-0000-0000-0000107C0000}"/>
    <cellStyle name="표준 6 2 2 2 3" xfId="9941" xr:uid="{00000000-0005-0000-0000-0000117C0000}"/>
    <cellStyle name="표준 6 2 2 2 4" xfId="9942" xr:uid="{00000000-0005-0000-0000-0000127C0000}"/>
    <cellStyle name="표준 6 2 2 2_뇌출혈특약(갱신형)" xfId="14411" xr:uid="{00000000-0005-0000-0000-0000137C0000}"/>
    <cellStyle name="표준 6 2 2 3" xfId="9943" xr:uid="{00000000-0005-0000-0000-0000147C0000}"/>
    <cellStyle name="표준 6 2 2 3 2" xfId="9944" xr:uid="{00000000-0005-0000-0000-0000157C0000}"/>
    <cellStyle name="표준 6 2 2 3 2 2" xfId="9945" xr:uid="{00000000-0005-0000-0000-0000167C0000}"/>
    <cellStyle name="표준 6 2 2 3 2 3" xfId="9946" xr:uid="{00000000-0005-0000-0000-0000177C0000}"/>
    <cellStyle name="표준 6 2 2 3 2_뇌출혈특약(갱신형)" xfId="14412" xr:uid="{00000000-0005-0000-0000-0000187C0000}"/>
    <cellStyle name="표준 6 2 2 3 3" xfId="9947" xr:uid="{00000000-0005-0000-0000-0000197C0000}"/>
    <cellStyle name="표준 6 2 2 3 4" xfId="9948" xr:uid="{00000000-0005-0000-0000-00001A7C0000}"/>
    <cellStyle name="표준 6 2 2 3_뇌출혈특약(갱신형)" xfId="14413" xr:uid="{00000000-0005-0000-0000-00001B7C0000}"/>
    <cellStyle name="표준 6 2 2 4" xfId="9949" xr:uid="{00000000-0005-0000-0000-00001C7C0000}"/>
    <cellStyle name="표준 6 2 2 4 2" xfId="9950" xr:uid="{00000000-0005-0000-0000-00001D7C0000}"/>
    <cellStyle name="표준 6 2 2 4 3" xfId="9951" xr:uid="{00000000-0005-0000-0000-00001E7C0000}"/>
    <cellStyle name="표준 6 2 2 4_뇌출혈특약(갱신형)" xfId="14414" xr:uid="{00000000-0005-0000-0000-00001F7C0000}"/>
    <cellStyle name="표준 6 2 2 5" xfId="9952" xr:uid="{00000000-0005-0000-0000-0000207C0000}"/>
    <cellStyle name="표준 6 2 2 5 2" xfId="9953" xr:uid="{00000000-0005-0000-0000-0000217C0000}"/>
    <cellStyle name="표준 6 2 2 5 3" xfId="9954" xr:uid="{00000000-0005-0000-0000-0000227C0000}"/>
    <cellStyle name="표준 6 2 2 5_뇌출혈특약(갱신형)" xfId="14415" xr:uid="{00000000-0005-0000-0000-0000237C0000}"/>
    <cellStyle name="표준 6 2 2 6" xfId="9955" xr:uid="{00000000-0005-0000-0000-0000247C0000}"/>
    <cellStyle name="표준 6 2 2 7" xfId="9956" xr:uid="{00000000-0005-0000-0000-0000257C0000}"/>
    <cellStyle name="표준 6 2 2_뇌출혈특약(갱신형)" xfId="14416" xr:uid="{00000000-0005-0000-0000-0000267C0000}"/>
    <cellStyle name="표준 6 2 3" xfId="9957" xr:uid="{00000000-0005-0000-0000-0000277C0000}"/>
    <cellStyle name="표준 6 2 3 2" xfId="9958" xr:uid="{00000000-0005-0000-0000-0000287C0000}"/>
    <cellStyle name="표준 6 2 3 2 2" xfId="9959" xr:uid="{00000000-0005-0000-0000-0000297C0000}"/>
    <cellStyle name="표준 6 2 3 2 3" xfId="9960" xr:uid="{00000000-0005-0000-0000-00002A7C0000}"/>
    <cellStyle name="표준 6 2 3 2_뇌출혈특약(갱신형)" xfId="14417" xr:uid="{00000000-0005-0000-0000-00002B7C0000}"/>
    <cellStyle name="표준 6 2 3 3" xfId="9961" xr:uid="{00000000-0005-0000-0000-00002C7C0000}"/>
    <cellStyle name="표준 6 2 3 4" xfId="9962" xr:uid="{00000000-0005-0000-0000-00002D7C0000}"/>
    <cellStyle name="표준 6 2 3_뇌출혈특약(갱신형)" xfId="14418" xr:uid="{00000000-0005-0000-0000-00002E7C0000}"/>
    <cellStyle name="표준 6 2 4" xfId="9963" xr:uid="{00000000-0005-0000-0000-00002F7C0000}"/>
    <cellStyle name="표준 6 2 4 2" xfId="9964" xr:uid="{00000000-0005-0000-0000-0000307C0000}"/>
    <cellStyle name="표준 6 2 4 2 2" xfId="9965" xr:uid="{00000000-0005-0000-0000-0000317C0000}"/>
    <cellStyle name="표준 6 2 4 2 3" xfId="9966" xr:uid="{00000000-0005-0000-0000-0000327C0000}"/>
    <cellStyle name="표준 6 2 4 2_뇌출혈특약(갱신형)" xfId="14419" xr:uid="{00000000-0005-0000-0000-0000337C0000}"/>
    <cellStyle name="표준 6 2 4 3" xfId="9967" xr:uid="{00000000-0005-0000-0000-0000347C0000}"/>
    <cellStyle name="표준 6 2 4 4" xfId="9968" xr:uid="{00000000-0005-0000-0000-0000357C0000}"/>
    <cellStyle name="표준 6 2 4_뇌출혈특약(갱신형)" xfId="14420" xr:uid="{00000000-0005-0000-0000-0000367C0000}"/>
    <cellStyle name="표준 6 2 5" xfId="9969" xr:uid="{00000000-0005-0000-0000-0000377C0000}"/>
    <cellStyle name="표준 6 2 5 2" xfId="9970" xr:uid="{00000000-0005-0000-0000-0000387C0000}"/>
    <cellStyle name="표준 6 2 5 3" xfId="9971" xr:uid="{00000000-0005-0000-0000-0000397C0000}"/>
    <cellStyle name="표준 6 2 5_뇌출혈특약(갱신형)" xfId="14421" xr:uid="{00000000-0005-0000-0000-00003A7C0000}"/>
    <cellStyle name="표준 6 2 6" xfId="9972" xr:uid="{00000000-0005-0000-0000-00003B7C0000}"/>
    <cellStyle name="표준 6 2 6 2" xfId="9973" xr:uid="{00000000-0005-0000-0000-00003C7C0000}"/>
    <cellStyle name="표준 6 2 6 3" xfId="9974" xr:uid="{00000000-0005-0000-0000-00003D7C0000}"/>
    <cellStyle name="표준 6 2 6_뇌출혈특약(갱신형)" xfId="14422" xr:uid="{00000000-0005-0000-0000-00003E7C0000}"/>
    <cellStyle name="표준 6 2 7" xfId="9975" xr:uid="{00000000-0005-0000-0000-00003F7C0000}"/>
    <cellStyle name="표준 6 2 8" xfId="9976" xr:uid="{00000000-0005-0000-0000-0000407C0000}"/>
    <cellStyle name="표준 6 2_뇌출혈특약(갱신형)" xfId="14423" xr:uid="{00000000-0005-0000-0000-0000417C0000}"/>
    <cellStyle name="표준 6 3" xfId="9977" xr:uid="{00000000-0005-0000-0000-0000427C0000}"/>
    <cellStyle name="표준 6 3 2" xfId="9978" xr:uid="{00000000-0005-0000-0000-0000437C0000}"/>
    <cellStyle name="표준 6 3 2 2" xfId="9979" xr:uid="{00000000-0005-0000-0000-0000447C0000}"/>
    <cellStyle name="표준 6 3 2 2 2" xfId="9980" xr:uid="{00000000-0005-0000-0000-0000457C0000}"/>
    <cellStyle name="표준 6 3 2 2 3" xfId="9981" xr:uid="{00000000-0005-0000-0000-0000467C0000}"/>
    <cellStyle name="표준 6 3 2 2_뇌출혈특약(갱신형)" xfId="14424" xr:uid="{00000000-0005-0000-0000-0000477C0000}"/>
    <cellStyle name="표준 6 3 2 3" xfId="9982" xr:uid="{00000000-0005-0000-0000-0000487C0000}"/>
    <cellStyle name="표준 6 3 2 4" xfId="9983" xr:uid="{00000000-0005-0000-0000-0000497C0000}"/>
    <cellStyle name="표준 6 3 2_뇌출혈특약(갱신형)" xfId="14425" xr:uid="{00000000-0005-0000-0000-00004A7C0000}"/>
    <cellStyle name="표준 6 3 3" xfId="9984" xr:uid="{00000000-0005-0000-0000-00004B7C0000}"/>
    <cellStyle name="표준 6 3 3 2" xfId="9985" xr:uid="{00000000-0005-0000-0000-00004C7C0000}"/>
    <cellStyle name="표준 6 3 3 2 2" xfId="9986" xr:uid="{00000000-0005-0000-0000-00004D7C0000}"/>
    <cellStyle name="표준 6 3 3 2 3" xfId="9987" xr:uid="{00000000-0005-0000-0000-00004E7C0000}"/>
    <cellStyle name="표준 6 3 3 2_뇌출혈특약(갱신형)" xfId="14426" xr:uid="{00000000-0005-0000-0000-00004F7C0000}"/>
    <cellStyle name="표준 6 3 3 3" xfId="9988" xr:uid="{00000000-0005-0000-0000-0000507C0000}"/>
    <cellStyle name="표준 6 3 3 4" xfId="9989" xr:uid="{00000000-0005-0000-0000-0000517C0000}"/>
    <cellStyle name="표준 6 3 3_뇌출혈특약(갱신형)" xfId="14427" xr:uid="{00000000-0005-0000-0000-0000527C0000}"/>
    <cellStyle name="표준 6 3 4" xfId="9990" xr:uid="{00000000-0005-0000-0000-0000537C0000}"/>
    <cellStyle name="표준 6 3 4 2" xfId="9991" xr:uid="{00000000-0005-0000-0000-0000547C0000}"/>
    <cellStyle name="표준 6 3 4 3" xfId="9992" xr:uid="{00000000-0005-0000-0000-0000557C0000}"/>
    <cellStyle name="표준 6 3 4_뇌출혈특약(갱신형)" xfId="14428" xr:uid="{00000000-0005-0000-0000-0000567C0000}"/>
    <cellStyle name="표준 6 3 5" xfId="9993" xr:uid="{00000000-0005-0000-0000-0000577C0000}"/>
    <cellStyle name="표준 6 3 5 2" xfId="9994" xr:uid="{00000000-0005-0000-0000-0000587C0000}"/>
    <cellStyle name="표준 6 3 5 3" xfId="9995" xr:uid="{00000000-0005-0000-0000-0000597C0000}"/>
    <cellStyle name="표준 6 3 5_뇌출혈특약(갱신형)" xfId="14429" xr:uid="{00000000-0005-0000-0000-00005A7C0000}"/>
    <cellStyle name="표준 6 3 6" xfId="9996" xr:uid="{00000000-0005-0000-0000-00005B7C0000}"/>
    <cellStyle name="표준 6 3 7" xfId="9997" xr:uid="{00000000-0005-0000-0000-00005C7C0000}"/>
    <cellStyle name="표준 6 3_뇌출혈특약(갱신형)" xfId="14430" xr:uid="{00000000-0005-0000-0000-00005D7C0000}"/>
    <cellStyle name="표준 6 4" xfId="9998" xr:uid="{00000000-0005-0000-0000-00005E7C0000}"/>
    <cellStyle name="표준 6 4 2" xfId="9999" xr:uid="{00000000-0005-0000-0000-00005F7C0000}"/>
    <cellStyle name="표준 6 4 2 2" xfId="10000" xr:uid="{00000000-0005-0000-0000-0000607C0000}"/>
    <cellStyle name="표준 6 4 2 2 2" xfId="10001" xr:uid="{00000000-0005-0000-0000-0000617C0000}"/>
    <cellStyle name="표준 6 4 2 2 3" xfId="10002" xr:uid="{00000000-0005-0000-0000-0000627C0000}"/>
    <cellStyle name="표준 6 4 2 2_뇌출혈특약(갱신형)" xfId="14431" xr:uid="{00000000-0005-0000-0000-0000637C0000}"/>
    <cellStyle name="표준 6 4 2 3" xfId="10003" xr:uid="{00000000-0005-0000-0000-0000647C0000}"/>
    <cellStyle name="표준 6 4 2 4" xfId="10004" xr:uid="{00000000-0005-0000-0000-0000657C0000}"/>
    <cellStyle name="표준 6 4 2_뇌출혈특약(갱신형)" xfId="14432" xr:uid="{00000000-0005-0000-0000-0000667C0000}"/>
    <cellStyle name="표준 6 4 3" xfId="10005" xr:uid="{00000000-0005-0000-0000-0000677C0000}"/>
    <cellStyle name="표준 6 4 3 2" xfId="10006" xr:uid="{00000000-0005-0000-0000-0000687C0000}"/>
    <cellStyle name="표준 6 4 3 2 2" xfId="10007" xr:uid="{00000000-0005-0000-0000-0000697C0000}"/>
    <cellStyle name="표준 6 4 3 2 3" xfId="10008" xr:uid="{00000000-0005-0000-0000-00006A7C0000}"/>
    <cellStyle name="표준 6 4 3 2_뇌출혈특약(갱신형)" xfId="14433" xr:uid="{00000000-0005-0000-0000-00006B7C0000}"/>
    <cellStyle name="표준 6 4 3 3" xfId="10009" xr:uid="{00000000-0005-0000-0000-00006C7C0000}"/>
    <cellStyle name="표준 6 4 3 4" xfId="10010" xr:uid="{00000000-0005-0000-0000-00006D7C0000}"/>
    <cellStyle name="표준 6 4 3_뇌출혈특약(갱신형)" xfId="14434" xr:uid="{00000000-0005-0000-0000-00006E7C0000}"/>
    <cellStyle name="표준 6 4 4" xfId="10011" xr:uid="{00000000-0005-0000-0000-00006F7C0000}"/>
    <cellStyle name="표준 6 4 4 2" xfId="10012" xr:uid="{00000000-0005-0000-0000-0000707C0000}"/>
    <cellStyle name="표준 6 4 4 3" xfId="10013" xr:uid="{00000000-0005-0000-0000-0000717C0000}"/>
    <cellStyle name="표준 6 4 4_뇌출혈특약(갱신형)" xfId="14435" xr:uid="{00000000-0005-0000-0000-0000727C0000}"/>
    <cellStyle name="표준 6 4 5" xfId="10014" xr:uid="{00000000-0005-0000-0000-0000737C0000}"/>
    <cellStyle name="표준 6 4 5 2" xfId="10015" xr:uid="{00000000-0005-0000-0000-0000747C0000}"/>
    <cellStyle name="표준 6 4 5 3" xfId="10016" xr:uid="{00000000-0005-0000-0000-0000757C0000}"/>
    <cellStyle name="표준 6 4 5_뇌출혈특약(갱신형)" xfId="14436" xr:uid="{00000000-0005-0000-0000-0000767C0000}"/>
    <cellStyle name="표준 6 4 6" xfId="10017" xr:uid="{00000000-0005-0000-0000-0000777C0000}"/>
    <cellStyle name="표준 6 4 7" xfId="10018" xr:uid="{00000000-0005-0000-0000-0000787C0000}"/>
    <cellStyle name="표준 6 4_뇌출혈특약(갱신형)" xfId="14437" xr:uid="{00000000-0005-0000-0000-0000797C0000}"/>
    <cellStyle name="표준 6 5" xfId="10019" xr:uid="{00000000-0005-0000-0000-00007A7C0000}"/>
    <cellStyle name="표준 6 5 2" xfId="10020" xr:uid="{00000000-0005-0000-0000-00007B7C0000}"/>
    <cellStyle name="표준 6 5 2 2" xfId="10021" xr:uid="{00000000-0005-0000-0000-00007C7C0000}"/>
    <cellStyle name="표준 6 5 2 3" xfId="10022" xr:uid="{00000000-0005-0000-0000-00007D7C0000}"/>
    <cellStyle name="표준 6 5 2_뇌출혈특약(갱신형)" xfId="14438" xr:uid="{00000000-0005-0000-0000-00007E7C0000}"/>
    <cellStyle name="표준 6 5 3" xfId="10023" xr:uid="{00000000-0005-0000-0000-00007F7C0000}"/>
    <cellStyle name="표준 6 5 4" xfId="10024" xr:uid="{00000000-0005-0000-0000-0000807C0000}"/>
    <cellStyle name="표준 6 5_뇌출혈특약(갱신형)" xfId="14439" xr:uid="{00000000-0005-0000-0000-0000817C0000}"/>
    <cellStyle name="표준 6 6" xfId="10025" xr:uid="{00000000-0005-0000-0000-0000827C0000}"/>
    <cellStyle name="표준 6 6 2" xfId="10026" xr:uid="{00000000-0005-0000-0000-0000837C0000}"/>
    <cellStyle name="표준 6 6 2 2" xfId="10027" xr:uid="{00000000-0005-0000-0000-0000847C0000}"/>
    <cellStyle name="표준 6 6 2 3" xfId="10028" xr:uid="{00000000-0005-0000-0000-0000857C0000}"/>
    <cellStyle name="표준 6 6 2_뇌출혈특약(갱신형)" xfId="14440" xr:uid="{00000000-0005-0000-0000-0000867C0000}"/>
    <cellStyle name="표준 6 6 3" xfId="10029" xr:uid="{00000000-0005-0000-0000-0000877C0000}"/>
    <cellStyle name="표준 6 6 4" xfId="10030" xr:uid="{00000000-0005-0000-0000-0000887C0000}"/>
    <cellStyle name="표준 6 6_뇌출혈특약(갱신형)" xfId="14441" xr:uid="{00000000-0005-0000-0000-0000897C0000}"/>
    <cellStyle name="표준 6 7" xfId="10031" xr:uid="{00000000-0005-0000-0000-00008A7C0000}"/>
    <cellStyle name="표준 6 7 2" xfId="10032" xr:uid="{00000000-0005-0000-0000-00008B7C0000}"/>
    <cellStyle name="표준 6 7 3" xfId="10033" xr:uid="{00000000-0005-0000-0000-00008C7C0000}"/>
    <cellStyle name="표준 6 7_뇌출혈특약(갱신형)" xfId="14442" xr:uid="{00000000-0005-0000-0000-00008D7C0000}"/>
    <cellStyle name="표준 6 8" xfId="10034" xr:uid="{00000000-0005-0000-0000-00008E7C0000}"/>
    <cellStyle name="표준 6 8 2" xfId="10035" xr:uid="{00000000-0005-0000-0000-00008F7C0000}"/>
    <cellStyle name="표준 6 8 3" xfId="10036" xr:uid="{00000000-0005-0000-0000-0000907C0000}"/>
    <cellStyle name="표준 6 8_뇌출혈특약(갱신형)" xfId="14443" xr:uid="{00000000-0005-0000-0000-0000917C0000}"/>
    <cellStyle name="표준 6 9" xfId="10037" xr:uid="{00000000-0005-0000-0000-0000927C0000}"/>
    <cellStyle name="표준 6 9 2" xfId="10038" xr:uid="{00000000-0005-0000-0000-0000937C0000}"/>
    <cellStyle name="표준 6 9 3" xfId="10039" xr:uid="{00000000-0005-0000-0000-0000947C0000}"/>
    <cellStyle name="표준 6 9_뇌출혈특약(갱신형)" xfId="14444" xr:uid="{00000000-0005-0000-0000-0000957C0000}"/>
    <cellStyle name="표준 6_뇌출혈특약(갱신형)" xfId="14445" xr:uid="{00000000-0005-0000-0000-0000967C0000}"/>
    <cellStyle name="표준 7" xfId="43" xr:uid="{00000000-0005-0000-0000-0000977C0000}"/>
    <cellStyle name="표준 7 10" xfId="10040" xr:uid="{00000000-0005-0000-0000-0000987C0000}"/>
    <cellStyle name="표준 7 10 2" xfId="10041" xr:uid="{00000000-0005-0000-0000-0000997C0000}"/>
    <cellStyle name="표준 7 10 3" xfId="10042" xr:uid="{00000000-0005-0000-0000-00009A7C0000}"/>
    <cellStyle name="표준 7 10_뇌출혈특약(갱신형)" xfId="14446" xr:uid="{00000000-0005-0000-0000-00009B7C0000}"/>
    <cellStyle name="표준 7 11" xfId="10043" xr:uid="{00000000-0005-0000-0000-00009C7C0000}"/>
    <cellStyle name="표준 7 11 2" xfId="10044" xr:uid="{00000000-0005-0000-0000-00009D7C0000}"/>
    <cellStyle name="표준 7 11_뇌출혈특약(갱신형)" xfId="14447" xr:uid="{00000000-0005-0000-0000-00009E7C0000}"/>
    <cellStyle name="표준 7 12" xfId="10045" xr:uid="{00000000-0005-0000-0000-00009F7C0000}"/>
    <cellStyle name="표준 7 12 2" xfId="10046" xr:uid="{00000000-0005-0000-0000-0000A07C0000}"/>
    <cellStyle name="표준 7 12_뇌출혈특약(갱신형)" xfId="14448" xr:uid="{00000000-0005-0000-0000-0000A17C0000}"/>
    <cellStyle name="표준 7 13" xfId="10047" xr:uid="{00000000-0005-0000-0000-0000A27C0000}"/>
    <cellStyle name="표준 7 13 2" xfId="10048" xr:uid="{00000000-0005-0000-0000-0000A37C0000}"/>
    <cellStyle name="표준 7 13_뇌출혈특약(갱신형)" xfId="14449" xr:uid="{00000000-0005-0000-0000-0000A47C0000}"/>
    <cellStyle name="표준 7 14" xfId="10049" xr:uid="{00000000-0005-0000-0000-0000A57C0000}"/>
    <cellStyle name="표준 7 14 2" xfId="10050" xr:uid="{00000000-0005-0000-0000-0000A67C0000}"/>
    <cellStyle name="표준 7 14_뇌출혈특약(갱신형)" xfId="14450" xr:uid="{00000000-0005-0000-0000-0000A77C0000}"/>
    <cellStyle name="표준 7 15" xfId="10051" xr:uid="{00000000-0005-0000-0000-0000A87C0000}"/>
    <cellStyle name="표준 7 16" xfId="10052" xr:uid="{00000000-0005-0000-0000-0000A97C0000}"/>
    <cellStyle name="표준 7 17" xfId="17170" xr:uid="{00000000-0005-0000-0000-0000AA7C0000}"/>
    <cellStyle name="표준 7 2" xfId="10053" xr:uid="{00000000-0005-0000-0000-0000AB7C0000}"/>
    <cellStyle name="표준 7 2 2" xfId="10054" xr:uid="{00000000-0005-0000-0000-0000AC7C0000}"/>
    <cellStyle name="표준 7 2 2 2" xfId="10055" xr:uid="{00000000-0005-0000-0000-0000AD7C0000}"/>
    <cellStyle name="표준 7 2 2 2 2" xfId="10056" xr:uid="{00000000-0005-0000-0000-0000AE7C0000}"/>
    <cellStyle name="표준 7 2 2 2 2 2" xfId="10057" xr:uid="{00000000-0005-0000-0000-0000AF7C0000}"/>
    <cellStyle name="표준 7 2 2 2 2 3" xfId="10058" xr:uid="{00000000-0005-0000-0000-0000B07C0000}"/>
    <cellStyle name="표준 7 2 2 2 2_뇌출혈특약(갱신형)" xfId="14451" xr:uid="{00000000-0005-0000-0000-0000B17C0000}"/>
    <cellStyle name="표준 7 2 2 2 3" xfId="10059" xr:uid="{00000000-0005-0000-0000-0000B27C0000}"/>
    <cellStyle name="표준 7 2 2 2 4" xfId="10060" xr:uid="{00000000-0005-0000-0000-0000B37C0000}"/>
    <cellStyle name="표준 7 2 2 2_뇌출혈특약(갱신형)" xfId="14452" xr:uid="{00000000-0005-0000-0000-0000B47C0000}"/>
    <cellStyle name="표준 7 2 2 3" xfId="10061" xr:uid="{00000000-0005-0000-0000-0000B57C0000}"/>
    <cellStyle name="표준 7 2 2 3 2" xfId="10062" xr:uid="{00000000-0005-0000-0000-0000B67C0000}"/>
    <cellStyle name="표준 7 2 2 3 2 2" xfId="10063" xr:uid="{00000000-0005-0000-0000-0000B77C0000}"/>
    <cellStyle name="표준 7 2 2 3 2 3" xfId="10064" xr:uid="{00000000-0005-0000-0000-0000B87C0000}"/>
    <cellStyle name="표준 7 2 2 3 2_뇌출혈특약(갱신형)" xfId="14453" xr:uid="{00000000-0005-0000-0000-0000B97C0000}"/>
    <cellStyle name="표준 7 2 2 3 3" xfId="10065" xr:uid="{00000000-0005-0000-0000-0000BA7C0000}"/>
    <cellStyle name="표준 7 2 2 3 4" xfId="10066" xr:uid="{00000000-0005-0000-0000-0000BB7C0000}"/>
    <cellStyle name="표준 7 2 2 3_뇌출혈특약(갱신형)" xfId="14454" xr:uid="{00000000-0005-0000-0000-0000BC7C0000}"/>
    <cellStyle name="표준 7 2 2 4" xfId="10067" xr:uid="{00000000-0005-0000-0000-0000BD7C0000}"/>
    <cellStyle name="표준 7 2 2 4 2" xfId="10068" xr:uid="{00000000-0005-0000-0000-0000BE7C0000}"/>
    <cellStyle name="표준 7 2 2 4 3" xfId="10069" xr:uid="{00000000-0005-0000-0000-0000BF7C0000}"/>
    <cellStyle name="표준 7 2 2 4_뇌출혈특약(갱신형)" xfId="14455" xr:uid="{00000000-0005-0000-0000-0000C07C0000}"/>
    <cellStyle name="표준 7 2 2 5" xfId="10070" xr:uid="{00000000-0005-0000-0000-0000C17C0000}"/>
    <cellStyle name="표준 7 2 2 5 2" xfId="10071" xr:uid="{00000000-0005-0000-0000-0000C27C0000}"/>
    <cellStyle name="표준 7 2 2 5 3" xfId="10072" xr:uid="{00000000-0005-0000-0000-0000C37C0000}"/>
    <cellStyle name="표준 7 2 2 5_뇌출혈특약(갱신형)" xfId="14456" xr:uid="{00000000-0005-0000-0000-0000C47C0000}"/>
    <cellStyle name="표준 7 2 2 6" xfId="10073" xr:uid="{00000000-0005-0000-0000-0000C57C0000}"/>
    <cellStyle name="표준 7 2 2 7" xfId="10074" xr:uid="{00000000-0005-0000-0000-0000C67C0000}"/>
    <cellStyle name="표준 7 2 2_뇌출혈특약(갱신형)" xfId="14457" xr:uid="{00000000-0005-0000-0000-0000C77C0000}"/>
    <cellStyle name="표준 7 2 3" xfId="10075" xr:uid="{00000000-0005-0000-0000-0000C87C0000}"/>
    <cellStyle name="표준 7 2 3 2" xfId="10076" xr:uid="{00000000-0005-0000-0000-0000C97C0000}"/>
    <cellStyle name="표준 7 2 3 2 2" xfId="10077" xr:uid="{00000000-0005-0000-0000-0000CA7C0000}"/>
    <cellStyle name="표준 7 2 3 2 3" xfId="10078" xr:uid="{00000000-0005-0000-0000-0000CB7C0000}"/>
    <cellStyle name="표준 7 2 3 2_뇌출혈특약(갱신형)" xfId="14458" xr:uid="{00000000-0005-0000-0000-0000CC7C0000}"/>
    <cellStyle name="표준 7 2 3 3" xfId="10079" xr:uid="{00000000-0005-0000-0000-0000CD7C0000}"/>
    <cellStyle name="표준 7 2 3 4" xfId="10080" xr:uid="{00000000-0005-0000-0000-0000CE7C0000}"/>
    <cellStyle name="표준 7 2 3_뇌출혈특약(갱신형)" xfId="14459" xr:uid="{00000000-0005-0000-0000-0000CF7C0000}"/>
    <cellStyle name="표준 7 2 4" xfId="10081" xr:uid="{00000000-0005-0000-0000-0000D07C0000}"/>
    <cellStyle name="표준 7 2 4 2" xfId="10082" xr:uid="{00000000-0005-0000-0000-0000D17C0000}"/>
    <cellStyle name="표준 7 2 4 2 2" xfId="10083" xr:uid="{00000000-0005-0000-0000-0000D27C0000}"/>
    <cellStyle name="표준 7 2 4 2 3" xfId="10084" xr:uid="{00000000-0005-0000-0000-0000D37C0000}"/>
    <cellStyle name="표준 7 2 4 2_뇌출혈특약(갱신형)" xfId="14460" xr:uid="{00000000-0005-0000-0000-0000D47C0000}"/>
    <cellStyle name="표준 7 2 4 3" xfId="10085" xr:uid="{00000000-0005-0000-0000-0000D57C0000}"/>
    <cellStyle name="표준 7 2 4 4" xfId="10086" xr:uid="{00000000-0005-0000-0000-0000D67C0000}"/>
    <cellStyle name="표준 7 2 4_뇌출혈특약(갱신형)" xfId="14461" xr:uid="{00000000-0005-0000-0000-0000D77C0000}"/>
    <cellStyle name="표준 7 2 5" xfId="10087" xr:uid="{00000000-0005-0000-0000-0000D87C0000}"/>
    <cellStyle name="표준 7 2 5 2" xfId="10088" xr:uid="{00000000-0005-0000-0000-0000D97C0000}"/>
    <cellStyle name="표준 7 2 5 3" xfId="10089" xr:uid="{00000000-0005-0000-0000-0000DA7C0000}"/>
    <cellStyle name="표준 7 2 5_뇌출혈특약(갱신형)" xfId="14462" xr:uid="{00000000-0005-0000-0000-0000DB7C0000}"/>
    <cellStyle name="표준 7 2 6" xfId="10090" xr:uid="{00000000-0005-0000-0000-0000DC7C0000}"/>
    <cellStyle name="표준 7 2 6 2" xfId="10091" xr:uid="{00000000-0005-0000-0000-0000DD7C0000}"/>
    <cellStyle name="표준 7 2 6 3" xfId="10092" xr:uid="{00000000-0005-0000-0000-0000DE7C0000}"/>
    <cellStyle name="표준 7 2 6_뇌출혈특약(갱신형)" xfId="14463" xr:uid="{00000000-0005-0000-0000-0000DF7C0000}"/>
    <cellStyle name="표준 7 2 7" xfId="10093" xr:uid="{00000000-0005-0000-0000-0000E07C0000}"/>
    <cellStyle name="표준 7 2 8" xfId="10094" xr:uid="{00000000-0005-0000-0000-0000E17C0000}"/>
    <cellStyle name="표준 7 2_뇌출혈특약(갱신형)" xfId="14464" xr:uid="{00000000-0005-0000-0000-0000E27C0000}"/>
    <cellStyle name="표준 7 3" xfId="10095" xr:uid="{00000000-0005-0000-0000-0000E37C0000}"/>
    <cellStyle name="표준 7 3 2" xfId="10096" xr:uid="{00000000-0005-0000-0000-0000E47C0000}"/>
    <cellStyle name="표준 7 3 2 2" xfId="10097" xr:uid="{00000000-0005-0000-0000-0000E57C0000}"/>
    <cellStyle name="표준 7 3 2 2 2" xfId="10098" xr:uid="{00000000-0005-0000-0000-0000E67C0000}"/>
    <cellStyle name="표준 7 3 2 2 3" xfId="10099" xr:uid="{00000000-0005-0000-0000-0000E77C0000}"/>
    <cellStyle name="표준 7 3 2 2_뇌출혈특약(갱신형)" xfId="14465" xr:uid="{00000000-0005-0000-0000-0000E87C0000}"/>
    <cellStyle name="표준 7 3 2 3" xfId="10100" xr:uid="{00000000-0005-0000-0000-0000E97C0000}"/>
    <cellStyle name="표준 7 3 2 4" xfId="10101" xr:uid="{00000000-0005-0000-0000-0000EA7C0000}"/>
    <cellStyle name="표준 7 3 2_뇌출혈특약(갱신형)" xfId="14466" xr:uid="{00000000-0005-0000-0000-0000EB7C0000}"/>
    <cellStyle name="표준 7 3 3" xfId="10102" xr:uid="{00000000-0005-0000-0000-0000EC7C0000}"/>
    <cellStyle name="표준 7 3 3 2" xfId="10103" xr:uid="{00000000-0005-0000-0000-0000ED7C0000}"/>
    <cellStyle name="표준 7 3 3 2 2" xfId="10104" xr:uid="{00000000-0005-0000-0000-0000EE7C0000}"/>
    <cellStyle name="표준 7 3 3 2 3" xfId="10105" xr:uid="{00000000-0005-0000-0000-0000EF7C0000}"/>
    <cellStyle name="표준 7 3 3 2_뇌출혈특약(갱신형)" xfId="14467" xr:uid="{00000000-0005-0000-0000-0000F07C0000}"/>
    <cellStyle name="표준 7 3 3 3" xfId="10106" xr:uid="{00000000-0005-0000-0000-0000F17C0000}"/>
    <cellStyle name="표준 7 3 3 4" xfId="10107" xr:uid="{00000000-0005-0000-0000-0000F27C0000}"/>
    <cellStyle name="표준 7 3 3_뇌출혈특약(갱신형)" xfId="14468" xr:uid="{00000000-0005-0000-0000-0000F37C0000}"/>
    <cellStyle name="표준 7 3 4" xfId="10108" xr:uid="{00000000-0005-0000-0000-0000F47C0000}"/>
    <cellStyle name="표준 7 3 4 2" xfId="10109" xr:uid="{00000000-0005-0000-0000-0000F57C0000}"/>
    <cellStyle name="표준 7 3 4 3" xfId="10110" xr:uid="{00000000-0005-0000-0000-0000F67C0000}"/>
    <cellStyle name="표준 7 3 4_뇌출혈특약(갱신형)" xfId="14469" xr:uid="{00000000-0005-0000-0000-0000F77C0000}"/>
    <cellStyle name="표준 7 3 5" xfId="10111" xr:uid="{00000000-0005-0000-0000-0000F87C0000}"/>
    <cellStyle name="표준 7 3 5 2" xfId="10112" xr:uid="{00000000-0005-0000-0000-0000F97C0000}"/>
    <cellStyle name="표준 7 3 5 3" xfId="10113" xr:uid="{00000000-0005-0000-0000-0000FA7C0000}"/>
    <cellStyle name="표준 7 3 5_뇌출혈특약(갱신형)" xfId="14470" xr:uid="{00000000-0005-0000-0000-0000FB7C0000}"/>
    <cellStyle name="표준 7 3 6" xfId="10114" xr:uid="{00000000-0005-0000-0000-0000FC7C0000}"/>
    <cellStyle name="표준 7 3 7" xfId="10115" xr:uid="{00000000-0005-0000-0000-0000FD7C0000}"/>
    <cellStyle name="표준 7 3_뇌출혈특약(갱신형)" xfId="14471" xr:uid="{00000000-0005-0000-0000-0000FE7C0000}"/>
    <cellStyle name="표준 7 4" xfId="10116" xr:uid="{00000000-0005-0000-0000-0000FF7C0000}"/>
    <cellStyle name="표준 7 4 2" xfId="10117" xr:uid="{00000000-0005-0000-0000-0000007D0000}"/>
    <cellStyle name="표준 7 4 2 2" xfId="10118" xr:uid="{00000000-0005-0000-0000-0000017D0000}"/>
    <cellStyle name="표준 7 4 2 2 2" xfId="10119" xr:uid="{00000000-0005-0000-0000-0000027D0000}"/>
    <cellStyle name="표준 7 4 2 2 3" xfId="10120" xr:uid="{00000000-0005-0000-0000-0000037D0000}"/>
    <cellStyle name="표준 7 4 2 2_뇌출혈특약(갱신형)" xfId="14472" xr:uid="{00000000-0005-0000-0000-0000047D0000}"/>
    <cellStyle name="표준 7 4 2 3" xfId="10121" xr:uid="{00000000-0005-0000-0000-0000057D0000}"/>
    <cellStyle name="표준 7 4 2 4" xfId="10122" xr:uid="{00000000-0005-0000-0000-0000067D0000}"/>
    <cellStyle name="표준 7 4 2_뇌출혈특약(갱신형)" xfId="14473" xr:uid="{00000000-0005-0000-0000-0000077D0000}"/>
    <cellStyle name="표준 7 4 3" xfId="10123" xr:uid="{00000000-0005-0000-0000-0000087D0000}"/>
    <cellStyle name="표준 7 4 3 2" xfId="10124" xr:uid="{00000000-0005-0000-0000-0000097D0000}"/>
    <cellStyle name="표준 7 4 3 2 2" xfId="10125" xr:uid="{00000000-0005-0000-0000-00000A7D0000}"/>
    <cellStyle name="표준 7 4 3 2 3" xfId="10126" xr:uid="{00000000-0005-0000-0000-00000B7D0000}"/>
    <cellStyle name="표준 7 4 3 2_뇌출혈특약(갱신형)" xfId="14474" xr:uid="{00000000-0005-0000-0000-00000C7D0000}"/>
    <cellStyle name="표준 7 4 3 3" xfId="10127" xr:uid="{00000000-0005-0000-0000-00000D7D0000}"/>
    <cellStyle name="표준 7 4 3 4" xfId="10128" xr:uid="{00000000-0005-0000-0000-00000E7D0000}"/>
    <cellStyle name="표준 7 4 3_뇌출혈특약(갱신형)" xfId="14475" xr:uid="{00000000-0005-0000-0000-00000F7D0000}"/>
    <cellStyle name="표준 7 4 4" xfId="10129" xr:uid="{00000000-0005-0000-0000-0000107D0000}"/>
    <cellStyle name="표준 7 4 4 2" xfId="10130" xr:uid="{00000000-0005-0000-0000-0000117D0000}"/>
    <cellStyle name="표준 7 4 4 3" xfId="10131" xr:uid="{00000000-0005-0000-0000-0000127D0000}"/>
    <cellStyle name="표준 7 4 4_뇌출혈특약(갱신형)" xfId="14476" xr:uid="{00000000-0005-0000-0000-0000137D0000}"/>
    <cellStyle name="표준 7 4 5" xfId="10132" xr:uid="{00000000-0005-0000-0000-0000147D0000}"/>
    <cellStyle name="표준 7 4 5 2" xfId="10133" xr:uid="{00000000-0005-0000-0000-0000157D0000}"/>
    <cellStyle name="표준 7 4 5 3" xfId="10134" xr:uid="{00000000-0005-0000-0000-0000167D0000}"/>
    <cellStyle name="표준 7 4 5_뇌출혈특약(갱신형)" xfId="14477" xr:uid="{00000000-0005-0000-0000-0000177D0000}"/>
    <cellStyle name="표준 7 4 6" xfId="10135" xr:uid="{00000000-0005-0000-0000-0000187D0000}"/>
    <cellStyle name="표준 7 4 7" xfId="10136" xr:uid="{00000000-0005-0000-0000-0000197D0000}"/>
    <cellStyle name="표준 7 4_뇌출혈특약(갱신형)" xfId="14478" xr:uid="{00000000-0005-0000-0000-00001A7D0000}"/>
    <cellStyle name="표준 7 5" xfId="10137" xr:uid="{00000000-0005-0000-0000-00001B7D0000}"/>
    <cellStyle name="표준 7 5 2" xfId="10138" xr:uid="{00000000-0005-0000-0000-00001C7D0000}"/>
    <cellStyle name="표준 7 5 2 2" xfId="10139" xr:uid="{00000000-0005-0000-0000-00001D7D0000}"/>
    <cellStyle name="표준 7 5 2 3" xfId="10140" xr:uid="{00000000-0005-0000-0000-00001E7D0000}"/>
    <cellStyle name="표준 7 5 2_뇌출혈특약(갱신형)" xfId="14479" xr:uid="{00000000-0005-0000-0000-00001F7D0000}"/>
    <cellStyle name="표준 7 5 3" xfId="10141" xr:uid="{00000000-0005-0000-0000-0000207D0000}"/>
    <cellStyle name="표준 7 5 4" xfId="10142" xr:uid="{00000000-0005-0000-0000-0000217D0000}"/>
    <cellStyle name="표준 7 5_뇌출혈특약(갱신형)" xfId="14480" xr:uid="{00000000-0005-0000-0000-0000227D0000}"/>
    <cellStyle name="표준 7 6" xfId="10143" xr:uid="{00000000-0005-0000-0000-0000237D0000}"/>
    <cellStyle name="표준 7 6 2" xfId="10144" xr:uid="{00000000-0005-0000-0000-0000247D0000}"/>
    <cellStyle name="표준 7 6 2 2" xfId="10145" xr:uid="{00000000-0005-0000-0000-0000257D0000}"/>
    <cellStyle name="표준 7 6 2 3" xfId="10146" xr:uid="{00000000-0005-0000-0000-0000267D0000}"/>
    <cellStyle name="표준 7 6 2_뇌출혈특약(갱신형)" xfId="14481" xr:uid="{00000000-0005-0000-0000-0000277D0000}"/>
    <cellStyle name="표준 7 6 3" xfId="10147" xr:uid="{00000000-0005-0000-0000-0000287D0000}"/>
    <cellStyle name="표준 7 6 4" xfId="10148" xr:uid="{00000000-0005-0000-0000-0000297D0000}"/>
    <cellStyle name="표준 7 6_뇌출혈특약(갱신형)" xfId="14482" xr:uid="{00000000-0005-0000-0000-00002A7D0000}"/>
    <cellStyle name="표준 7 7" xfId="10149" xr:uid="{00000000-0005-0000-0000-00002B7D0000}"/>
    <cellStyle name="표준 7 7 2" xfId="10150" xr:uid="{00000000-0005-0000-0000-00002C7D0000}"/>
    <cellStyle name="표준 7 7 3" xfId="10151" xr:uid="{00000000-0005-0000-0000-00002D7D0000}"/>
    <cellStyle name="표준 7 7_뇌출혈특약(갱신형)" xfId="14483" xr:uid="{00000000-0005-0000-0000-00002E7D0000}"/>
    <cellStyle name="표준 7 8" xfId="10152" xr:uid="{00000000-0005-0000-0000-00002F7D0000}"/>
    <cellStyle name="표준 7 8 2" xfId="10153" xr:uid="{00000000-0005-0000-0000-0000307D0000}"/>
    <cellStyle name="표준 7 8 3" xfId="10154" xr:uid="{00000000-0005-0000-0000-0000317D0000}"/>
    <cellStyle name="표준 7 8_뇌출혈특약(갱신형)" xfId="14484" xr:uid="{00000000-0005-0000-0000-0000327D0000}"/>
    <cellStyle name="표준 7 9" xfId="10155" xr:uid="{00000000-0005-0000-0000-0000337D0000}"/>
    <cellStyle name="표준 7 9 2" xfId="10156" xr:uid="{00000000-0005-0000-0000-0000347D0000}"/>
    <cellStyle name="표준 7 9 3" xfId="10157" xr:uid="{00000000-0005-0000-0000-0000357D0000}"/>
    <cellStyle name="표준 7 9_뇌출혈특약(갱신형)" xfId="14485" xr:uid="{00000000-0005-0000-0000-0000367D0000}"/>
    <cellStyle name="표준 7_뇌출혈특약(갱신형)" xfId="14486" xr:uid="{00000000-0005-0000-0000-0000377D0000}"/>
    <cellStyle name="표준 8" xfId="44" xr:uid="{00000000-0005-0000-0000-0000387D0000}"/>
    <cellStyle name="표준 8 10" xfId="10158" xr:uid="{00000000-0005-0000-0000-0000397D0000}"/>
    <cellStyle name="표준 8 10 2" xfId="10159" xr:uid="{00000000-0005-0000-0000-00003A7D0000}"/>
    <cellStyle name="표준 8 10 3" xfId="10160" xr:uid="{00000000-0005-0000-0000-00003B7D0000}"/>
    <cellStyle name="표준 8 10_뇌출혈특약(갱신형)" xfId="14487" xr:uid="{00000000-0005-0000-0000-00003C7D0000}"/>
    <cellStyle name="표준 8 11" xfId="10161" xr:uid="{00000000-0005-0000-0000-00003D7D0000}"/>
    <cellStyle name="표준 8 11 2" xfId="10162" xr:uid="{00000000-0005-0000-0000-00003E7D0000}"/>
    <cellStyle name="표준 8 11_뇌출혈특약(갱신형)" xfId="14488" xr:uid="{00000000-0005-0000-0000-00003F7D0000}"/>
    <cellStyle name="표준 8 12" xfId="10163" xr:uid="{00000000-0005-0000-0000-0000407D0000}"/>
    <cellStyle name="표준 8 12 2" xfId="10164" xr:uid="{00000000-0005-0000-0000-0000417D0000}"/>
    <cellStyle name="표준 8 12_뇌출혈특약(갱신형)" xfId="14489" xr:uid="{00000000-0005-0000-0000-0000427D0000}"/>
    <cellStyle name="표준 8 13" xfId="10165" xr:uid="{00000000-0005-0000-0000-0000437D0000}"/>
    <cellStyle name="표준 8 13 2" xfId="10166" xr:uid="{00000000-0005-0000-0000-0000447D0000}"/>
    <cellStyle name="표준 8 13_뇌출혈특약(갱신형)" xfId="14490" xr:uid="{00000000-0005-0000-0000-0000457D0000}"/>
    <cellStyle name="표준 8 14" xfId="10167" xr:uid="{00000000-0005-0000-0000-0000467D0000}"/>
    <cellStyle name="표준 8 14 2" xfId="10168" xr:uid="{00000000-0005-0000-0000-0000477D0000}"/>
    <cellStyle name="표준 8 14_뇌출혈특약(갱신형)" xfId="14491" xr:uid="{00000000-0005-0000-0000-0000487D0000}"/>
    <cellStyle name="표준 8 15" xfId="10169" xr:uid="{00000000-0005-0000-0000-0000497D0000}"/>
    <cellStyle name="표준 8 16" xfId="10170" xr:uid="{00000000-0005-0000-0000-00004A7D0000}"/>
    <cellStyle name="표준 8 17" xfId="17171" xr:uid="{00000000-0005-0000-0000-00004B7D0000}"/>
    <cellStyle name="표준 8 2" xfId="10171" xr:uid="{00000000-0005-0000-0000-00004C7D0000}"/>
    <cellStyle name="표준 8 2 2" xfId="10172" xr:uid="{00000000-0005-0000-0000-00004D7D0000}"/>
    <cellStyle name="표준 8 2 2 2" xfId="10173" xr:uid="{00000000-0005-0000-0000-00004E7D0000}"/>
    <cellStyle name="표준 8 2 2 2 2" xfId="10174" xr:uid="{00000000-0005-0000-0000-00004F7D0000}"/>
    <cellStyle name="표준 8 2 2 2 2 2" xfId="10175" xr:uid="{00000000-0005-0000-0000-0000507D0000}"/>
    <cellStyle name="표준 8 2 2 2 2 3" xfId="10176" xr:uid="{00000000-0005-0000-0000-0000517D0000}"/>
    <cellStyle name="표준 8 2 2 2 2_뇌출혈특약(갱신형)" xfId="14492" xr:uid="{00000000-0005-0000-0000-0000527D0000}"/>
    <cellStyle name="표준 8 2 2 2 3" xfId="10177" xr:uid="{00000000-0005-0000-0000-0000537D0000}"/>
    <cellStyle name="표준 8 2 2 2 4" xfId="10178" xr:uid="{00000000-0005-0000-0000-0000547D0000}"/>
    <cellStyle name="표준 8 2 2 2_뇌출혈특약(갱신형)" xfId="14493" xr:uid="{00000000-0005-0000-0000-0000557D0000}"/>
    <cellStyle name="표준 8 2 2 3" xfId="10179" xr:uid="{00000000-0005-0000-0000-0000567D0000}"/>
    <cellStyle name="표준 8 2 2 3 2" xfId="10180" xr:uid="{00000000-0005-0000-0000-0000577D0000}"/>
    <cellStyle name="표준 8 2 2 3 2 2" xfId="10181" xr:uid="{00000000-0005-0000-0000-0000587D0000}"/>
    <cellStyle name="표준 8 2 2 3 2 3" xfId="10182" xr:uid="{00000000-0005-0000-0000-0000597D0000}"/>
    <cellStyle name="표준 8 2 2 3 2_뇌출혈특약(갱신형)" xfId="14494" xr:uid="{00000000-0005-0000-0000-00005A7D0000}"/>
    <cellStyle name="표준 8 2 2 3 3" xfId="10183" xr:uid="{00000000-0005-0000-0000-00005B7D0000}"/>
    <cellStyle name="표준 8 2 2 3 4" xfId="10184" xr:uid="{00000000-0005-0000-0000-00005C7D0000}"/>
    <cellStyle name="표준 8 2 2 3_뇌출혈특약(갱신형)" xfId="14495" xr:uid="{00000000-0005-0000-0000-00005D7D0000}"/>
    <cellStyle name="표준 8 2 2 4" xfId="10185" xr:uid="{00000000-0005-0000-0000-00005E7D0000}"/>
    <cellStyle name="표준 8 2 2 4 2" xfId="10186" xr:uid="{00000000-0005-0000-0000-00005F7D0000}"/>
    <cellStyle name="표준 8 2 2 4 3" xfId="10187" xr:uid="{00000000-0005-0000-0000-0000607D0000}"/>
    <cellStyle name="표준 8 2 2 4_뇌출혈특약(갱신형)" xfId="14496" xr:uid="{00000000-0005-0000-0000-0000617D0000}"/>
    <cellStyle name="표준 8 2 2 5" xfId="10188" xr:uid="{00000000-0005-0000-0000-0000627D0000}"/>
    <cellStyle name="표준 8 2 2 5 2" xfId="10189" xr:uid="{00000000-0005-0000-0000-0000637D0000}"/>
    <cellStyle name="표준 8 2 2 5 3" xfId="10190" xr:uid="{00000000-0005-0000-0000-0000647D0000}"/>
    <cellStyle name="표준 8 2 2 5_뇌출혈특약(갱신형)" xfId="14497" xr:uid="{00000000-0005-0000-0000-0000657D0000}"/>
    <cellStyle name="표준 8 2 2 6" xfId="10191" xr:uid="{00000000-0005-0000-0000-0000667D0000}"/>
    <cellStyle name="표준 8 2 2 7" xfId="10192" xr:uid="{00000000-0005-0000-0000-0000677D0000}"/>
    <cellStyle name="표준 8 2 2_뇌출혈특약(갱신형)" xfId="14498" xr:uid="{00000000-0005-0000-0000-0000687D0000}"/>
    <cellStyle name="표준 8 2 3" xfId="10193" xr:uid="{00000000-0005-0000-0000-0000697D0000}"/>
    <cellStyle name="표준 8 2 3 2" xfId="10194" xr:uid="{00000000-0005-0000-0000-00006A7D0000}"/>
    <cellStyle name="표준 8 2 3 2 2" xfId="10195" xr:uid="{00000000-0005-0000-0000-00006B7D0000}"/>
    <cellStyle name="표준 8 2 3 2 3" xfId="10196" xr:uid="{00000000-0005-0000-0000-00006C7D0000}"/>
    <cellStyle name="표준 8 2 3 2_뇌출혈특약(갱신형)" xfId="14499" xr:uid="{00000000-0005-0000-0000-00006D7D0000}"/>
    <cellStyle name="표준 8 2 3 3" xfId="10197" xr:uid="{00000000-0005-0000-0000-00006E7D0000}"/>
    <cellStyle name="표준 8 2 3 4" xfId="10198" xr:uid="{00000000-0005-0000-0000-00006F7D0000}"/>
    <cellStyle name="표준 8 2 3_뇌출혈특약(갱신형)" xfId="14500" xr:uid="{00000000-0005-0000-0000-0000707D0000}"/>
    <cellStyle name="표준 8 2 4" xfId="10199" xr:uid="{00000000-0005-0000-0000-0000717D0000}"/>
    <cellStyle name="표준 8 2 4 2" xfId="10200" xr:uid="{00000000-0005-0000-0000-0000727D0000}"/>
    <cellStyle name="표준 8 2 4 2 2" xfId="10201" xr:uid="{00000000-0005-0000-0000-0000737D0000}"/>
    <cellStyle name="표준 8 2 4 2 3" xfId="10202" xr:uid="{00000000-0005-0000-0000-0000747D0000}"/>
    <cellStyle name="표준 8 2 4 2_뇌출혈특약(갱신형)" xfId="14501" xr:uid="{00000000-0005-0000-0000-0000757D0000}"/>
    <cellStyle name="표준 8 2 4 3" xfId="10203" xr:uid="{00000000-0005-0000-0000-0000767D0000}"/>
    <cellStyle name="표준 8 2 4 4" xfId="10204" xr:uid="{00000000-0005-0000-0000-0000777D0000}"/>
    <cellStyle name="표준 8 2 4_뇌출혈특약(갱신형)" xfId="14502" xr:uid="{00000000-0005-0000-0000-0000787D0000}"/>
    <cellStyle name="표준 8 2 5" xfId="10205" xr:uid="{00000000-0005-0000-0000-0000797D0000}"/>
    <cellStyle name="표준 8 2 5 2" xfId="10206" xr:uid="{00000000-0005-0000-0000-00007A7D0000}"/>
    <cellStyle name="표준 8 2 5 3" xfId="10207" xr:uid="{00000000-0005-0000-0000-00007B7D0000}"/>
    <cellStyle name="표준 8 2 5_뇌출혈특약(갱신형)" xfId="14503" xr:uid="{00000000-0005-0000-0000-00007C7D0000}"/>
    <cellStyle name="표준 8 2 6" xfId="10208" xr:uid="{00000000-0005-0000-0000-00007D7D0000}"/>
    <cellStyle name="표준 8 2 6 2" xfId="10209" xr:uid="{00000000-0005-0000-0000-00007E7D0000}"/>
    <cellStyle name="표준 8 2 6 3" xfId="10210" xr:uid="{00000000-0005-0000-0000-00007F7D0000}"/>
    <cellStyle name="표준 8 2 6_뇌출혈특약(갱신형)" xfId="14504" xr:uid="{00000000-0005-0000-0000-0000807D0000}"/>
    <cellStyle name="표준 8 2 7" xfId="10211" xr:uid="{00000000-0005-0000-0000-0000817D0000}"/>
    <cellStyle name="표준 8 2 8" xfId="10212" xr:uid="{00000000-0005-0000-0000-0000827D0000}"/>
    <cellStyle name="표준 8 2_뇌출혈특약(갱신형)" xfId="14505" xr:uid="{00000000-0005-0000-0000-0000837D0000}"/>
    <cellStyle name="표준 8 3" xfId="10213" xr:uid="{00000000-0005-0000-0000-0000847D0000}"/>
    <cellStyle name="표준 8 3 2" xfId="10214" xr:uid="{00000000-0005-0000-0000-0000857D0000}"/>
    <cellStyle name="표준 8 3 2 2" xfId="10215" xr:uid="{00000000-0005-0000-0000-0000867D0000}"/>
    <cellStyle name="표준 8 3 2 2 2" xfId="10216" xr:uid="{00000000-0005-0000-0000-0000877D0000}"/>
    <cellStyle name="표준 8 3 2 2 3" xfId="10217" xr:uid="{00000000-0005-0000-0000-0000887D0000}"/>
    <cellStyle name="표준 8 3 2 2_뇌출혈특약(갱신형)" xfId="14506" xr:uid="{00000000-0005-0000-0000-0000897D0000}"/>
    <cellStyle name="표준 8 3 2 3" xfId="10218" xr:uid="{00000000-0005-0000-0000-00008A7D0000}"/>
    <cellStyle name="표준 8 3 2 4" xfId="10219" xr:uid="{00000000-0005-0000-0000-00008B7D0000}"/>
    <cellStyle name="표준 8 3 2_뇌출혈특약(갱신형)" xfId="14507" xr:uid="{00000000-0005-0000-0000-00008C7D0000}"/>
    <cellStyle name="표준 8 3 3" xfId="10220" xr:uid="{00000000-0005-0000-0000-00008D7D0000}"/>
    <cellStyle name="표준 8 3 3 2" xfId="10221" xr:uid="{00000000-0005-0000-0000-00008E7D0000}"/>
    <cellStyle name="표준 8 3 3 2 2" xfId="10222" xr:uid="{00000000-0005-0000-0000-00008F7D0000}"/>
    <cellStyle name="표준 8 3 3 2 3" xfId="10223" xr:uid="{00000000-0005-0000-0000-0000907D0000}"/>
    <cellStyle name="표준 8 3 3 2_뇌출혈특약(갱신형)" xfId="14508" xr:uid="{00000000-0005-0000-0000-0000917D0000}"/>
    <cellStyle name="표준 8 3 3 3" xfId="10224" xr:uid="{00000000-0005-0000-0000-0000927D0000}"/>
    <cellStyle name="표준 8 3 3 4" xfId="10225" xr:uid="{00000000-0005-0000-0000-0000937D0000}"/>
    <cellStyle name="표준 8 3 3_뇌출혈특약(갱신형)" xfId="14509" xr:uid="{00000000-0005-0000-0000-0000947D0000}"/>
    <cellStyle name="표준 8 3 4" xfId="10226" xr:uid="{00000000-0005-0000-0000-0000957D0000}"/>
    <cellStyle name="표준 8 3 4 2" xfId="10227" xr:uid="{00000000-0005-0000-0000-0000967D0000}"/>
    <cellStyle name="표준 8 3 4 3" xfId="10228" xr:uid="{00000000-0005-0000-0000-0000977D0000}"/>
    <cellStyle name="표준 8 3 4_뇌출혈특약(갱신형)" xfId="14510" xr:uid="{00000000-0005-0000-0000-0000987D0000}"/>
    <cellStyle name="표준 8 3 5" xfId="10229" xr:uid="{00000000-0005-0000-0000-0000997D0000}"/>
    <cellStyle name="표준 8 3 5 2" xfId="10230" xr:uid="{00000000-0005-0000-0000-00009A7D0000}"/>
    <cellStyle name="표준 8 3 5 3" xfId="10231" xr:uid="{00000000-0005-0000-0000-00009B7D0000}"/>
    <cellStyle name="표준 8 3 5_뇌출혈특약(갱신형)" xfId="14511" xr:uid="{00000000-0005-0000-0000-00009C7D0000}"/>
    <cellStyle name="표준 8 3 6" xfId="10232" xr:uid="{00000000-0005-0000-0000-00009D7D0000}"/>
    <cellStyle name="표준 8 3 7" xfId="10233" xr:uid="{00000000-0005-0000-0000-00009E7D0000}"/>
    <cellStyle name="표준 8 3_뇌출혈특약(갱신형)" xfId="14512" xr:uid="{00000000-0005-0000-0000-00009F7D0000}"/>
    <cellStyle name="표준 8 4" xfId="10234" xr:uid="{00000000-0005-0000-0000-0000A07D0000}"/>
    <cellStyle name="표준 8 4 2" xfId="10235" xr:uid="{00000000-0005-0000-0000-0000A17D0000}"/>
    <cellStyle name="표준 8 4 2 2" xfId="10236" xr:uid="{00000000-0005-0000-0000-0000A27D0000}"/>
    <cellStyle name="표준 8 4 2 2 2" xfId="10237" xr:uid="{00000000-0005-0000-0000-0000A37D0000}"/>
    <cellStyle name="표준 8 4 2 2 3" xfId="10238" xr:uid="{00000000-0005-0000-0000-0000A47D0000}"/>
    <cellStyle name="표준 8 4 2 2_뇌출혈특약(갱신형)" xfId="14513" xr:uid="{00000000-0005-0000-0000-0000A57D0000}"/>
    <cellStyle name="표준 8 4 2 3" xfId="10239" xr:uid="{00000000-0005-0000-0000-0000A67D0000}"/>
    <cellStyle name="표준 8 4 2 4" xfId="10240" xr:uid="{00000000-0005-0000-0000-0000A77D0000}"/>
    <cellStyle name="표준 8 4 2_뇌출혈특약(갱신형)" xfId="14514" xr:uid="{00000000-0005-0000-0000-0000A87D0000}"/>
    <cellStyle name="표준 8 4 3" xfId="10241" xr:uid="{00000000-0005-0000-0000-0000A97D0000}"/>
    <cellStyle name="표준 8 4 3 2" xfId="10242" xr:uid="{00000000-0005-0000-0000-0000AA7D0000}"/>
    <cellStyle name="표준 8 4 3 2 2" xfId="10243" xr:uid="{00000000-0005-0000-0000-0000AB7D0000}"/>
    <cellStyle name="표준 8 4 3 2 3" xfId="10244" xr:uid="{00000000-0005-0000-0000-0000AC7D0000}"/>
    <cellStyle name="표준 8 4 3 2_뇌출혈특약(갱신형)" xfId="14515" xr:uid="{00000000-0005-0000-0000-0000AD7D0000}"/>
    <cellStyle name="표준 8 4 3 3" xfId="10245" xr:uid="{00000000-0005-0000-0000-0000AE7D0000}"/>
    <cellStyle name="표준 8 4 3 4" xfId="10246" xr:uid="{00000000-0005-0000-0000-0000AF7D0000}"/>
    <cellStyle name="표준 8 4 3_뇌출혈특약(갱신형)" xfId="14516" xr:uid="{00000000-0005-0000-0000-0000B07D0000}"/>
    <cellStyle name="표준 8 4 4" xfId="10247" xr:uid="{00000000-0005-0000-0000-0000B17D0000}"/>
    <cellStyle name="표준 8 4 4 2" xfId="10248" xr:uid="{00000000-0005-0000-0000-0000B27D0000}"/>
    <cellStyle name="표준 8 4 4 3" xfId="10249" xr:uid="{00000000-0005-0000-0000-0000B37D0000}"/>
    <cellStyle name="표준 8 4 4_뇌출혈특약(갱신형)" xfId="14517" xr:uid="{00000000-0005-0000-0000-0000B47D0000}"/>
    <cellStyle name="표준 8 4 5" xfId="10250" xr:uid="{00000000-0005-0000-0000-0000B57D0000}"/>
    <cellStyle name="표준 8 4 5 2" xfId="10251" xr:uid="{00000000-0005-0000-0000-0000B67D0000}"/>
    <cellStyle name="표준 8 4 5 3" xfId="10252" xr:uid="{00000000-0005-0000-0000-0000B77D0000}"/>
    <cellStyle name="표준 8 4 5_뇌출혈특약(갱신형)" xfId="14518" xr:uid="{00000000-0005-0000-0000-0000B87D0000}"/>
    <cellStyle name="표준 8 4 6" xfId="10253" xr:uid="{00000000-0005-0000-0000-0000B97D0000}"/>
    <cellStyle name="표준 8 4 7" xfId="10254" xr:uid="{00000000-0005-0000-0000-0000BA7D0000}"/>
    <cellStyle name="표준 8 4_뇌출혈특약(갱신형)" xfId="14519" xr:uid="{00000000-0005-0000-0000-0000BB7D0000}"/>
    <cellStyle name="표준 8 5" xfId="10255" xr:uid="{00000000-0005-0000-0000-0000BC7D0000}"/>
    <cellStyle name="표준 8 5 2" xfId="10256" xr:uid="{00000000-0005-0000-0000-0000BD7D0000}"/>
    <cellStyle name="표준 8 5 2 2" xfId="10257" xr:uid="{00000000-0005-0000-0000-0000BE7D0000}"/>
    <cellStyle name="표준 8 5 2 3" xfId="10258" xr:uid="{00000000-0005-0000-0000-0000BF7D0000}"/>
    <cellStyle name="표준 8 5 2_뇌출혈특약(갱신형)" xfId="14520" xr:uid="{00000000-0005-0000-0000-0000C07D0000}"/>
    <cellStyle name="표준 8 5 3" xfId="10259" xr:uid="{00000000-0005-0000-0000-0000C17D0000}"/>
    <cellStyle name="표준 8 5 4" xfId="10260" xr:uid="{00000000-0005-0000-0000-0000C27D0000}"/>
    <cellStyle name="표준 8 5_뇌출혈특약(갱신형)" xfId="14521" xr:uid="{00000000-0005-0000-0000-0000C37D0000}"/>
    <cellStyle name="표준 8 6" xfId="10261" xr:uid="{00000000-0005-0000-0000-0000C47D0000}"/>
    <cellStyle name="표준 8 6 2" xfId="10262" xr:uid="{00000000-0005-0000-0000-0000C57D0000}"/>
    <cellStyle name="표준 8 6 2 2" xfId="10263" xr:uid="{00000000-0005-0000-0000-0000C67D0000}"/>
    <cellStyle name="표준 8 6 2 3" xfId="10264" xr:uid="{00000000-0005-0000-0000-0000C77D0000}"/>
    <cellStyle name="표준 8 6 2_뇌출혈특약(갱신형)" xfId="14522" xr:uid="{00000000-0005-0000-0000-0000C87D0000}"/>
    <cellStyle name="표준 8 6 3" xfId="10265" xr:uid="{00000000-0005-0000-0000-0000C97D0000}"/>
    <cellStyle name="표준 8 6 4" xfId="10266" xr:uid="{00000000-0005-0000-0000-0000CA7D0000}"/>
    <cellStyle name="표준 8 6_뇌출혈특약(갱신형)" xfId="14523" xr:uid="{00000000-0005-0000-0000-0000CB7D0000}"/>
    <cellStyle name="표준 8 7" xfId="10267" xr:uid="{00000000-0005-0000-0000-0000CC7D0000}"/>
    <cellStyle name="표준 8 7 2" xfId="10268" xr:uid="{00000000-0005-0000-0000-0000CD7D0000}"/>
    <cellStyle name="표준 8 7 3" xfId="10269" xr:uid="{00000000-0005-0000-0000-0000CE7D0000}"/>
    <cellStyle name="표준 8 7_뇌출혈특약(갱신형)" xfId="14524" xr:uid="{00000000-0005-0000-0000-0000CF7D0000}"/>
    <cellStyle name="표준 8 8" xfId="10270" xr:uid="{00000000-0005-0000-0000-0000D07D0000}"/>
    <cellStyle name="표준 8 8 2" xfId="10271" xr:uid="{00000000-0005-0000-0000-0000D17D0000}"/>
    <cellStyle name="표준 8 8 3" xfId="10272" xr:uid="{00000000-0005-0000-0000-0000D27D0000}"/>
    <cellStyle name="표준 8 8_뇌출혈특약(갱신형)" xfId="14525" xr:uid="{00000000-0005-0000-0000-0000D37D0000}"/>
    <cellStyle name="표준 8 9" xfId="10273" xr:uid="{00000000-0005-0000-0000-0000D47D0000}"/>
    <cellStyle name="표준 8 9 2" xfId="10274" xr:uid="{00000000-0005-0000-0000-0000D57D0000}"/>
    <cellStyle name="표준 8 9 3" xfId="10275" xr:uid="{00000000-0005-0000-0000-0000D67D0000}"/>
    <cellStyle name="표준 8 9_뇌출혈특약(갱신형)" xfId="14526" xr:uid="{00000000-0005-0000-0000-0000D77D0000}"/>
    <cellStyle name="표준 8_뇌출혈특약(갱신형)" xfId="14527" xr:uid="{00000000-0005-0000-0000-0000D87D0000}"/>
    <cellStyle name="표준 9" xfId="45" xr:uid="{00000000-0005-0000-0000-0000D97D0000}"/>
    <cellStyle name="표준 9 10" xfId="10276" xr:uid="{00000000-0005-0000-0000-0000DA7D0000}"/>
    <cellStyle name="표준 9 10 2" xfId="10277" xr:uid="{00000000-0005-0000-0000-0000DB7D0000}"/>
    <cellStyle name="표준 9 10 3" xfId="10278" xr:uid="{00000000-0005-0000-0000-0000DC7D0000}"/>
    <cellStyle name="표준 9 10_뇌출혈특약(갱신형)" xfId="14528" xr:uid="{00000000-0005-0000-0000-0000DD7D0000}"/>
    <cellStyle name="표준 9 11" xfId="10279" xr:uid="{00000000-0005-0000-0000-0000DE7D0000}"/>
    <cellStyle name="표준 9 11 2" xfId="10280" xr:uid="{00000000-0005-0000-0000-0000DF7D0000}"/>
    <cellStyle name="표준 9 11_뇌출혈특약(갱신형)" xfId="14529" xr:uid="{00000000-0005-0000-0000-0000E07D0000}"/>
    <cellStyle name="표준 9 12" xfId="10281" xr:uid="{00000000-0005-0000-0000-0000E17D0000}"/>
    <cellStyle name="표준 9 12 2" xfId="10282" xr:uid="{00000000-0005-0000-0000-0000E27D0000}"/>
    <cellStyle name="표준 9 12_뇌출혈특약(갱신형)" xfId="14530" xr:uid="{00000000-0005-0000-0000-0000E37D0000}"/>
    <cellStyle name="표준 9 13" xfId="10283" xr:uid="{00000000-0005-0000-0000-0000E47D0000}"/>
    <cellStyle name="표준 9 13 2" xfId="10284" xr:uid="{00000000-0005-0000-0000-0000E57D0000}"/>
    <cellStyle name="표준 9 13_뇌출혈특약(갱신형)" xfId="14531" xr:uid="{00000000-0005-0000-0000-0000E67D0000}"/>
    <cellStyle name="표준 9 14" xfId="10285" xr:uid="{00000000-0005-0000-0000-0000E77D0000}"/>
    <cellStyle name="표준 9 14 2" xfId="10286" xr:uid="{00000000-0005-0000-0000-0000E87D0000}"/>
    <cellStyle name="표준 9 14_뇌출혈특약(갱신형)" xfId="14532" xr:uid="{00000000-0005-0000-0000-0000E97D0000}"/>
    <cellStyle name="표준 9 15" xfId="10287" xr:uid="{00000000-0005-0000-0000-0000EA7D0000}"/>
    <cellStyle name="표준 9 16" xfId="10288" xr:uid="{00000000-0005-0000-0000-0000EB7D0000}"/>
    <cellStyle name="표준 9 17" xfId="17172" xr:uid="{00000000-0005-0000-0000-0000EC7D0000}"/>
    <cellStyle name="표준 9 2" xfId="10289" xr:uid="{00000000-0005-0000-0000-0000ED7D0000}"/>
    <cellStyle name="표준 9 2 2" xfId="10290" xr:uid="{00000000-0005-0000-0000-0000EE7D0000}"/>
    <cellStyle name="표준 9 2 2 2" xfId="10291" xr:uid="{00000000-0005-0000-0000-0000EF7D0000}"/>
    <cellStyle name="표준 9 2 2 2 2" xfId="10292" xr:uid="{00000000-0005-0000-0000-0000F07D0000}"/>
    <cellStyle name="표준 9 2 2 2 2 2" xfId="10293" xr:uid="{00000000-0005-0000-0000-0000F17D0000}"/>
    <cellStyle name="표준 9 2 2 2 2 3" xfId="10294" xr:uid="{00000000-0005-0000-0000-0000F27D0000}"/>
    <cellStyle name="표준 9 2 2 2 2_뇌출혈특약(갱신형)" xfId="14533" xr:uid="{00000000-0005-0000-0000-0000F37D0000}"/>
    <cellStyle name="표준 9 2 2 2 3" xfId="10295" xr:uid="{00000000-0005-0000-0000-0000F47D0000}"/>
    <cellStyle name="표준 9 2 2 2 4" xfId="10296" xr:uid="{00000000-0005-0000-0000-0000F57D0000}"/>
    <cellStyle name="표준 9 2 2 2_뇌출혈특약(갱신형)" xfId="14534" xr:uid="{00000000-0005-0000-0000-0000F67D0000}"/>
    <cellStyle name="표준 9 2 2 3" xfId="10297" xr:uid="{00000000-0005-0000-0000-0000F77D0000}"/>
    <cellStyle name="표준 9 2 2 3 2" xfId="10298" xr:uid="{00000000-0005-0000-0000-0000F87D0000}"/>
    <cellStyle name="표준 9 2 2 3 2 2" xfId="10299" xr:uid="{00000000-0005-0000-0000-0000F97D0000}"/>
    <cellStyle name="표준 9 2 2 3 2 3" xfId="10300" xr:uid="{00000000-0005-0000-0000-0000FA7D0000}"/>
    <cellStyle name="표준 9 2 2 3 2_뇌출혈특약(갱신형)" xfId="14535" xr:uid="{00000000-0005-0000-0000-0000FB7D0000}"/>
    <cellStyle name="표준 9 2 2 3 3" xfId="10301" xr:uid="{00000000-0005-0000-0000-0000FC7D0000}"/>
    <cellStyle name="표준 9 2 2 3 4" xfId="10302" xr:uid="{00000000-0005-0000-0000-0000FD7D0000}"/>
    <cellStyle name="표준 9 2 2 3_뇌출혈특약(갱신형)" xfId="14536" xr:uid="{00000000-0005-0000-0000-0000FE7D0000}"/>
    <cellStyle name="표준 9 2 2 4" xfId="10303" xr:uid="{00000000-0005-0000-0000-0000FF7D0000}"/>
    <cellStyle name="표준 9 2 2 4 2" xfId="10304" xr:uid="{00000000-0005-0000-0000-0000007E0000}"/>
    <cellStyle name="표준 9 2 2 4 3" xfId="10305" xr:uid="{00000000-0005-0000-0000-0000017E0000}"/>
    <cellStyle name="표준 9 2 2 4_뇌출혈특약(갱신형)" xfId="14537" xr:uid="{00000000-0005-0000-0000-0000027E0000}"/>
    <cellStyle name="표준 9 2 2 5" xfId="10306" xr:uid="{00000000-0005-0000-0000-0000037E0000}"/>
    <cellStyle name="표준 9 2 2 5 2" xfId="10307" xr:uid="{00000000-0005-0000-0000-0000047E0000}"/>
    <cellStyle name="표준 9 2 2 5 3" xfId="10308" xr:uid="{00000000-0005-0000-0000-0000057E0000}"/>
    <cellStyle name="표준 9 2 2 5_뇌출혈특약(갱신형)" xfId="14538" xr:uid="{00000000-0005-0000-0000-0000067E0000}"/>
    <cellStyle name="표준 9 2 2 6" xfId="10309" xr:uid="{00000000-0005-0000-0000-0000077E0000}"/>
    <cellStyle name="표준 9 2 2 7" xfId="10310" xr:uid="{00000000-0005-0000-0000-0000087E0000}"/>
    <cellStyle name="표준 9 2 2_뇌출혈특약(갱신형)" xfId="14539" xr:uid="{00000000-0005-0000-0000-0000097E0000}"/>
    <cellStyle name="표준 9 2 3" xfId="10311" xr:uid="{00000000-0005-0000-0000-00000A7E0000}"/>
    <cellStyle name="표준 9 2 3 2" xfId="10312" xr:uid="{00000000-0005-0000-0000-00000B7E0000}"/>
    <cellStyle name="표준 9 2 3 2 2" xfId="10313" xr:uid="{00000000-0005-0000-0000-00000C7E0000}"/>
    <cellStyle name="표준 9 2 3 2 3" xfId="10314" xr:uid="{00000000-0005-0000-0000-00000D7E0000}"/>
    <cellStyle name="표준 9 2 3 2_뇌출혈특약(갱신형)" xfId="14540" xr:uid="{00000000-0005-0000-0000-00000E7E0000}"/>
    <cellStyle name="표준 9 2 3 3" xfId="10315" xr:uid="{00000000-0005-0000-0000-00000F7E0000}"/>
    <cellStyle name="표준 9 2 3 4" xfId="10316" xr:uid="{00000000-0005-0000-0000-0000107E0000}"/>
    <cellStyle name="표준 9 2 3_뇌출혈특약(갱신형)" xfId="14541" xr:uid="{00000000-0005-0000-0000-0000117E0000}"/>
    <cellStyle name="표준 9 2 4" xfId="10317" xr:uid="{00000000-0005-0000-0000-0000127E0000}"/>
    <cellStyle name="표준 9 2 4 2" xfId="10318" xr:uid="{00000000-0005-0000-0000-0000137E0000}"/>
    <cellStyle name="표준 9 2 4 2 2" xfId="10319" xr:uid="{00000000-0005-0000-0000-0000147E0000}"/>
    <cellStyle name="표준 9 2 4 2 3" xfId="10320" xr:uid="{00000000-0005-0000-0000-0000157E0000}"/>
    <cellStyle name="표준 9 2 4 2_뇌출혈특약(갱신형)" xfId="14542" xr:uid="{00000000-0005-0000-0000-0000167E0000}"/>
    <cellStyle name="표준 9 2 4 3" xfId="10321" xr:uid="{00000000-0005-0000-0000-0000177E0000}"/>
    <cellStyle name="표준 9 2 4 4" xfId="10322" xr:uid="{00000000-0005-0000-0000-0000187E0000}"/>
    <cellStyle name="표준 9 2 4_뇌출혈특약(갱신형)" xfId="14543" xr:uid="{00000000-0005-0000-0000-0000197E0000}"/>
    <cellStyle name="표준 9 2 5" xfId="10323" xr:uid="{00000000-0005-0000-0000-00001A7E0000}"/>
    <cellStyle name="표준 9 2 5 2" xfId="10324" xr:uid="{00000000-0005-0000-0000-00001B7E0000}"/>
    <cellStyle name="표준 9 2 5 3" xfId="10325" xr:uid="{00000000-0005-0000-0000-00001C7E0000}"/>
    <cellStyle name="표준 9 2 5_뇌출혈특약(갱신형)" xfId="14544" xr:uid="{00000000-0005-0000-0000-00001D7E0000}"/>
    <cellStyle name="표준 9 2 6" xfId="10326" xr:uid="{00000000-0005-0000-0000-00001E7E0000}"/>
    <cellStyle name="표준 9 2 6 2" xfId="10327" xr:uid="{00000000-0005-0000-0000-00001F7E0000}"/>
    <cellStyle name="표준 9 2 6 3" xfId="10328" xr:uid="{00000000-0005-0000-0000-0000207E0000}"/>
    <cellStyle name="표준 9 2 6_뇌출혈특약(갱신형)" xfId="14545" xr:uid="{00000000-0005-0000-0000-0000217E0000}"/>
    <cellStyle name="표준 9 2 7" xfId="10329" xr:uid="{00000000-0005-0000-0000-0000227E0000}"/>
    <cellStyle name="표준 9 2 8" xfId="10330" xr:uid="{00000000-0005-0000-0000-0000237E0000}"/>
    <cellStyle name="표준 9 2_뇌출혈특약(갱신형)" xfId="14546" xr:uid="{00000000-0005-0000-0000-0000247E0000}"/>
    <cellStyle name="표준 9 3" xfId="10331" xr:uid="{00000000-0005-0000-0000-0000257E0000}"/>
    <cellStyle name="표준 9 3 2" xfId="10332" xr:uid="{00000000-0005-0000-0000-0000267E0000}"/>
    <cellStyle name="표준 9 3 2 2" xfId="10333" xr:uid="{00000000-0005-0000-0000-0000277E0000}"/>
    <cellStyle name="표준 9 3 2 2 2" xfId="10334" xr:uid="{00000000-0005-0000-0000-0000287E0000}"/>
    <cellStyle name="표준 9 3 2 2 3" xfId="10335" xr:uid="{00000000-0005-0000-0000-0000297E0000}"/>
    <cellStyle name="표준 9 3 2 2_뇌출혈특약(갱신형)" xfId="14547" xr:uid="{00000000-0005-0000-0000-00002A7E0000}"/>
    <cellStyle name="표준 9 3 2 3" xfId="10336" xr:uid="{00000000-0005-0000-0000-00002B7E0000}"/>
    <cellStyle name="표준 9 3 2 4" xfId="10337" xr:uid="{00000000-0005-0000-0000-00002C7E0000}"/>
    <cellStyle name="표준 9 3 2_뇌출혈특약(갱신형)" xfId="14548" xr:uid="{00000000-0005-0000-0000-00002D7E0000}"/>
    <cellStyle name="표준 9 3 3" xfId="10338" xr:uid="{00000000-0005-0000-0000-00002E7E0000}"/>
    <cellStyle name="표준 9 3 3 2" xfId="10339" xr:uid="{00000000-0005-0000-0000-00002F7E0000}"/>
    <cellStyle name="표준 9 3 3 2 2" xfId="10340" xr:uid="{00000000-0005-0000-0000-0000307E0000}"/>
    <cellStyle name="표준 9 3 3 2 3" xfId="10341" xr:uid="{00000000-0005-0000-0000-0000317E0000}"/>
    <cellStyle name="표준 9 3 3 2_뇌출혈특약(갱신형)" xfId="14549" xr:uid="{00000000-0005-0000-0000-0000327E0000}"/>
    <cellStyle name="표준 9 3 3 3" xfId="10342" xr:uid="{00000000-0005-0000-0000-0000337E0000}"/>
    <cellStyle name="표준 9 3 3 4" xfId="10343" xr:uid="{00000000-0005-0000-0000-0000347E0000}"/>
    <cellStyle name="표준 9 3 3_뇌출혈특약(갱신형)" xfId="14550" xr:uid="{00000000-0005-0000-0000-0000357E0000}"/>
    <cellStyle name="표준 9 3 4" xfId="10344" xr:uid="{00000000-0005-0000-0000-0000367E0000}"/>
    <cellStyle name="표준 9 3 4 2" xfId="10345" xr:uid="{00000000-0005-0000-0000-0000377E0000}"/>
    <cellStyle name="표준 9 3 4 3" xfId="10346" xr:uid="{00000000-0005-0000-0000-0000387E0000}"/>
    <cellStyle name="표준 9 3 4_뇌출혈특약(갱신형)" xfId="14551" xr:uid="{00000000-0005-0000-0000-0000397E0000}"/>
    <cellStyle name="표준 9 3 5" xfId="10347" xr:uid="{00000000-0005-0000-0000-00003A7E0000}"/>
    <cellStyle name="표준 9 3 5 2" xfId="10348" xr:uid="{00000000-0005-0000-0000-00003B7E0000}"/>
    <cellStyle name="표준 9 3 5 3" xfId="10349" xr:uid="{00000000-0005-0000-0000-00003C7E0000}"/>
    <cellStyle name="표준 9 3 5_뇌출혈특약(갱신형)" xfId="14552" xr:uid="{00000000-0005-0000-0000-00003D7E0000}"/>
    <cellStyle name="표준 9 3 6" xfId="10350" xr:uid="{00000000-0005-0000-0000-00003E7E0000}"/>
    <cellStyle name="표준 9 3 7" xfId="10351" xr:uid="{00000000-0005-0000-0000-00003F7E0000}"/>
    <cellStyle name="표준 9 3_뇌출혈특약(갱신형)" xfId="14553" xr:uid="{00000000-0005-0000-0000-0000407E0000}"/>
    <cellStyle name="표준 9 4" xfId="10352" xr:uid="{00000000-0005-0000-0000-0000417E0000}"/>
    <cellStyle name="표준 9 4 2" xfId="10353" xr:uid="{00000000-0005-0000-0000-0000427E0000}"/>
    <cellStyle name="표준 9 4 2 2" xfId="10354" xr:uid="{00000000-0005-0000-0000-0000437E0000}"/>
    <cellStyle name="표준 9 4 2 2 2" xfId="10355" xr:uid="{00000000-0005-0000-0000-0000447E0000}"/>
    <cellStyle name="표준 9 4 2 2 3" xfId="10356" xr:uid="{00000000-0005-0000-0000-0000457E0000}"/>
    <cellStyle name="표준 9 4 2 2_뇌출혈특약(갱신형)" xfId="14554" xr:uid="{00000000-0005-0000-0000-0000467E0000}"/>
    <cellStyle name="표준 9 4 2 3" xfId="10357" xr:uid="{00000000-0005-0000-0000-0000477E0000}"/>
    <cellStyle name="표준 9 4 2 4" xfId="10358" xr:uid="{00000000-0005-0000-0000-0000487E0000}"/>
    <cellStyle name="표준 9 4 2_뇌출혈특약(갱신형)" xfId="14555" xr:uid="{00000000-0005-0000-0000-0000497E0000}"/>
    <cellStyle name="표준 9 4 3" xfId="10359" xr:uid="{00000000-0005-0000-0000-00004A7E0000}"/>
    <cellStyle name="표준 9 4 3 2" xfId="10360" xr:uid="{00000000-0005-0000-0000-00004B7E0000}"/>
    <cellStyle name="표준 9 4 3 2 2" xfId="10361" xr:uid="{00000000-0005-0000-0000-00004C7E0000}"/>
    <cellStyle name="표준 9 4 3 2 3" xfId="10362" xr:uid="{00000000-0005-0000-0000-00004D7E0000}"/>
    <cellStyle name="표준 9 4 3 2_뇌출혈특약(갱신형)" xfId="14556" xr:uid="{00000000-0005-0000-0000-00004E7E0000}"/>
    <cellStyle name="표준 9 4 3 3" xfId="10363" xr:uid="{00000000-0005-0000-0000-00004F7E0000}"/>
    <cellStyle name="표준 9 4 3 4" xfId="10364" xr:uid="{00000000-0005-0000-0000-0000507E0000}"/>
    <cellStyle name="표준 9 4 3_뇌출혈특약(갱신형)" xfId="14557" xr:uid="{00000000-0005-0000-0000-0000517E0000}"/>
    <cellStyle name="표준 9 4 4" xfId="10365" xr:uid="{00000000-0005-0000-0000-0000527E0000}"/>
    <cellStyle name="표준 9 4 4 2" xfId="10366" xr:uid="{00000000-0005-0000-0000-0000537E0000}"/>
    <cellStyle name="표준 9 4 4 3" xfId="10367" xr:uid="{00000000-0005-0000-0000-0000547E0000}"/>
    <cellStyle name="표준 9 4 4_뇌출혈특약(갱신형)" xfId="14558" xr:uid="{00000000-0005-0000-0000-0000557E0000}"/>
    <cellStyle name="표준 9 4 5" xfId="10368" xr:uid="{00000000-0005-0000-0000-0000567E0000}"/>
    <cellStyle name="표준 9 4 5 2" xfId="10369" xr:uid="{00000000-0005-0000-0000-0000577E0000}"/>
    <cellStyle name="표준 9 4 5 3" xfId="10370" xr:uid="{00000000-0005-0000-0000-0000587E0000}"/>
    <cellStyle name="표준 9 4 5_뇌출혈특약(갱신형)" xfId="14559" xr:uid="{00000000-0005-0000-0000-0000597E0000}"/>
    <cellStyle name="표준 9 4 6" xfId="10371" xr:uid="{00000000-0005-0000-0000-00005A7E0000}"/>
    <cellStyle name="표준 9 4 7" xfId="10372" xr:uid="{00000000-0005-0000-0000-00005B7E0000}"/>
    <cellStyle name="표준 9 4_뇌출혈특약(갱신형)" xfId="14560" xr:uid="{00000000-0005-0000-0000-00005C7E0000}"/>
    <cellStyle name="표준 9 5" xfId="10373" xr:uid="{00000000-0005-0000-0000-00005D7E0000}"/>
    <cellStyle name="표준 9 5 2" xfId="10374" xr:uid="{00000000-0005-0000-0000-00005E7E0000}"/>
    <cellStyle name="표준 9 5 2 2" xfId="10375" xr:uid="{00000000-0005-0000-0000-00005F7E0000}"/>
    <cellStyle name="표준 9 5 2 3" xfId="10376" xr:uid="{00000000-0005-0000-0000-0000607E0000}"/>
    <cellStyle name="표준 9 5 2_뇌출혈특약(갱신형)" xfId="14561" xr:uid="{00000000-0005-0000-0000-0000617E0000}"/>
    <cellStyle name="표준 9 5 3" xfId="10377" xr:uid="{00000000-0005-0000-0000-0000627E0000}"/>
    <cellStyle name="표준 9 5 4" xfId="10378" xr:uid="{00000000-0005-0000-0000-0000637E0000}"/>
    <cellStyle name="표준 9 5_뇌출혈특약(갱신형)" xfId="14562" xr:uid="{00000000-0005-0000-0000-0000647E0000}"/>
    <cellStyle name="표준 9 6" xfId="10379" xr:uid="{00000000-0005-0000-0000-0000657E0000}"/>
    <cellStyle name="표준 9 6 2" xfId="10380" xr:uid="{00000000-0005-0000-0000-0000667E0000}"/>
    <cellStyle name="표준 9 6 2 2" xfId="10381" xr:uid="{00000000-0005-0000-0000-0000677E0000}"/>
    <cellStyle name="표준 9 6 2 3" xfId="10382" xr:uid="{00000000-0005-0000-0000-0000687E0000}"/>
    <cellStyle name="표준 9 6 2_뇌출혈특약(갱신형)" xfId="14563" xr:uid="{00000000-0005-0000-0000-0000697E0000}"/>
    <cellStyle name="표준 9 6 3" xfId="10383" xr:uid="{00000000-0005-0000-0000-00006A7E0000}"/>
    <cellStyle name="표준 9 6 4" xfId="10384" xr:uid="{00000000-0005-0000-0000-00006B7E0000}"/>
    <cellStyle name="표준 9 6_뇌출혈특약(갱신형)" xfId="14564" xr:uid="{00000000-0005-0000-0000-00006C7E0000}"/>
    <cellStyle name="표준 9 7" xfId="10385" xr:uid="{00000000-0005-0000-0000-00006D7E0000}"/>
    <cellStyle name="표준 9 7 2" xfId="10386" xr:uid="{00000000-0005-0000-0000-00006E7E0000}"/>
    <cellStyle name="표준 9 7 3" xfId="10387" xr:uid="{00000000-0005-0000-0000-00006F7E0000}"/>
    <cellStyle name="표준 9 7_뇌출혈특약(갱신형)" xfId="14565" xr:uid="{00000000-0005-0000-0000-0000707E0000}"/>
    <cellStyle name="표준 9 8" xfId="10388" xr:uid="{00000000-0005-0000-0000-0000717E0000}"/>
    <cellStyle name="표준 9 8 2" xfId="10389" xr:uid="{00000000-0005-0000-0000-0000727E0000}"/>
    <cellStyle name="표준 9 8 3" xfId="10390" xr:uid="{00000000-0005-0000-0000-0000737E0000}"/>
    <cellStyle name="표준 9 8_뇌출혈특약(갱신형)" xfId="14566" xr:uid="{00000000-0005-0000-0000-0000747E0000}"/>
    <cellStyle name="표준 9 9" xfId="10391" xr:uid="{00000000-0005-0000-0000-0000757E0000}"/>
    <cellStyle name="표준 9 9 2" xfId="10392" xr:uid="{00000000-0005-0000-0000-0000767E0000}"/>
    <cellStyle name="표준 9 9 3" xfId="10393" xr:uid="{00000000-0005-0000-0000-0000777E0000}"/>
    <cellStyle name="표준 9 9_뇌출혈특약(갱신형)" xfId="14567" xr:uid="{00000000-0005-0000-0000-0000787E0000}"/>
    <cellStyle name="표준 9_뇌출혈특약(갱신형)" xfId="14568" xr:uid="{00000000-0005-0000-0000-0000797E0000}"/>
    <cellStyle name="표준_PT_TR_20060101" xfId="32377" xr:uid="{00000000-0005-0000-0000-00007A7E0000}"/>
    <cellStyle name="標準_Z6MSIBO" xfId="10394" xr:uid="{00000000-0005-0000-0000-00007B7E0000}"/>
    <cellStyle name="표준_유족연금특약" xfId="4" xr:uid="{00000000-0005-0000-0000-00007C7E0000}"/>
    <cellStyle name="표준_정기R20030110CK_Regul" xfId="32376" xr:uid="{00000000-0005-0000-0000-00007D7E0000}"/>
    <cellStyle name="표준_특정질병사망_2004적용(051219)" xfId="3" xr:uid="{00000000-0005-0000-0000-00007E7E0000}"/>
  </cellStyles>
  <dxfs count="372"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0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S_확의!#REF!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S_확의!#REF!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S_확의!#REF!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E9F-49F0-892E-91BE62ED0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9878680"/>
        <c:axId val="659872800"/>
      </c:barChart>
      <c:catAx>
        <c:axId val="6598786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659872800"/>
        <c:crosses val="autoZero"/>
        <c:auto val="1"/>
        <c:lblAlgn val="ctr"/>
        <c:lblOffset val="100"/>
        <c:noMultiLvlLbl val="0"/>
      </c:catAx>
      <c:valAx>
        <c:axId val="659872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98786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차트1"/>
  <sheetViews>
    <sheetView zoomScale="14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333375</xdr:colOff>
          <xdr:row>0</xdr:row>
          <xdr:rowOff>38100</xdr:rowOff>
        </xdr:from>
        <xdr:to>
          <xdr:col>25</xdr:col>
          <xdr:colOff>352425</xdr:colOff>
          <xdr:row>3</xdr:row>
          <xdr:rowOff>180975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14605</xdr:colOff>
      <xdr:row>14</xdr:row>
      <xdr:rowOff>49744</xdr:rowOff>
    </xdr:from>
    <xdr:to>
      <xdr:col>12</xdr:col>
      <xdr:colOff>577215</xdr:colOff>
      <xdr:row>14</xdr:row>
      <xdr:rowOff>198121</xdr:rowOff>
    </xdr:to>
    <xdr:sp macro="" textlink="">
      <xdr:nvSpPr>
        <xdr:cNvPr id="3" name="WordArt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 noChangeShapeType="1"/>
        </xdr:cNvSpPr>
      </xdr:nvSpPr>
      <xdr:spPr bwMode="auto">
        <a:xfrm>
          <a:off x="10654030" y="49744"/>
          <a:ext cx="1429385" cy="148377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해약환급금 예시</a:t>
          </a:r>
        </a:p>
      </xdr:txBody>
    </xdr:sp>
    <xdr:clientData/>
  </xdr:twoCellAnchor>
  <xdr:twoCellAnchor>
    <xdr:from>
      <xdr:col>11</xdr:col>
      <xdr:colOff>0</xdr:colOff>
      <xdr:row>0</xdr:row>
      <xdr:rowOff>212912</xdr:rowOff>
    </xdr:from>
    <xdr:to>
      <xdr:col>12</xdr:col>
      <xdr:colOff>138292</xdr:colOff>
      <xdr:row>1</xdr:row>
      <xdr:rowOff>132794</xdr:rowOff>
    </xdr:to>
    <xdr:sp macro="" textlink="">
      <xdr:nvSpPr>
        <xdr:cNvPr id="4" name="Word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 noChangeShapeType="1"/>
        </xdr:cNvSpPr>
      </xdr:nvSpPr>
      <xdr:spPr bwMode="auto">
        <a:xfrm>
          <a:off x="7160559" y="212912"/>
          <a:ext cx="1337321" cy="1440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보험료 세부사항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34500" cy="6082862"/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123825</xdr:colOff>
      <xdr:row>0</xdr:row>
      <xdr:rowOff>66675</xdr:rowOff>
    </xdr:from>
    <xdr:to>
      <xdr:col>3</xdr:col>
      <xdr:colOff>758100</xdr:colOff>
      <xdr:row>0</xdr:row>
      <xdr:rowOff>210675</xdr:rowOff>
    </xdr:to>
    <xdr:sp macro="" textlink="">
      <xdr:nvSpPr>
        <xdr:cNvPr id="2" name="Word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 noChangeShapeType="1"/>
        </xdr:cNvSpPr>
      </xdr:nvSpPr>
      <xdr:spPr bwMode="auto">
        <a:xfrm>
          <a:off x="1114425" y="66675"/>
          <a:ext cx="815250" cy="1440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가입조건</a:t>
          </a:r>
        </a:p>
      </xdr:txBody>
    </xdr:sp>
    <xdr:clientData/>
  </xdr:twoCellAnchor>
  <xdr:twoCellAnchor>
    <xdr:from>
      <xdr:col>2</xdr:col>
      <xdr:colOff>55245</xdr:colOff>
      <xdr:row>19</xdr:row>
      <xdr:rowOff>154305</xdr:rowOff>
    </xdr:from>
    <xdr:to>
      <xdr:col>3</xdr:col>
      <xdr:colOff>1085715</xdr:colOff>
      <xdr:row>20</xdr:row>
      <xdr:rowOff>86850</xdr:rowOff>
    </xdr:to>
    <xdr:sp macro="" textlink="">
      <xdr:nvSpPr>
        <xdr:cNvPr id="3" name="WordArt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 noChangeShapeType="1"/>
        </xdr:cNvSpPr>
      </xdr:nvSpPr>
      <xdr:spPr bwMode="auto">
        <a:xfrm>
          <a:off x="1045845" y="4278630"/>
          <a:ext cx="1211445" cy="15162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예정사업비율</a:t>
          </a:r>
        </a:p>
      </xdr:txBody>
    </xdr:sp>
    <xdr:clientData/>
  </xdr:twoCellAnchor>
  <xdr:twoCellAnchor>
    <xdr:from>
      <xdr:col>2</xdr:col>
      <xdr:colOff>78105</xdr:colOff>
      <xdr:row>38</xdr:row>
      <xdr:rowOff>198120</xdr:rowOff>
    </xdr:from>
    <xdr:to>
      <xdr:col>3</xdr:col>
      <xdr:colOff>718095</xdr:colOff>
      <xdr:row>39</xdr:row>
      <xdr:rowOff>121140</xdr:rowOff>
    </xdr:to>
    <xdr:sp macro="" textlink="">
      <xdr:nvSpPr>
        <xdr:cNvPr id="4" name="WordArt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 noChangeShapeType="1"/>
        </xdr:cNvSpPr>
      </xdr:nvSpPr>
      <xdr:spPr bwMode="auto">
        <a:xfrm>
          <a:off x="1068705" y="8351520"/>
          <a:ext cx="820965" cy="13257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규정체크</a:t>
          </a:r>
        </a:p>
      </xdr:txBody>
    </xdr:sp>
    <xdr:clientData/>
  </xdr:twoCellAnchor>
  <xdr:twoCellAnchor>
    <xdr:from>
      <xdr:col>8</xdr:col>
      <xdr:colOff>9524</xdr:colOff>
      <xdr:row>0</xdr:row>
      <xdr:rowOff>57150</xdr:rowOff>
    </xdr:from>
    <xdr:to>
      <xdr:col>9</xdr:col>
      <xdr:colOff>69374</xdr:colOff>
      <xdr:row>0</xdr:row>
      <xdr:rowOff>201150</xdr:rowOff>
    </xdr:to>
    <xdr:sp macro="" textlink="">
      <xdr:nvSpPr>
        <xdr:cNvPr id="5" name="WordArt 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rrowheads="1" noChangeShapeType="1"/>
        </xdr:cNvSpPr>
      </xdr:nvSpPr>
      <xdr:spPr bwMode="auto">
        <a:xfrm>
          <a:off x="5572124" y="57150"/>
          <a:ext cx="1336200" cy="1440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보험료 세부사항</a:t>
          </a:r>
        </a:p>
      </xdr:txBody>
    </xdr:sp>
    <xdr:clientData/>
  </xdr:twoCellAnchor>
  <xdr:twoCellAnchor>
    <xdr:from>
      <xdr:col>27</xdr:col>
      <xdr:colOff>57150</xdr:colOff>
      <xdr:row>0</xdr:row>
      <xdr:rowOff>123825</xdr:rowOff>
    </xdr:from>
    <xdr:to>
      <xdr:col>28</xdr:col>
      <xdr:colOff>190500</xdr:colOff>
      <xdr:row>0</xdr:row>
      <xdr:rowOff>248775</xdr:rowOff>
    </xdr:to>
    <xdr:sp macro="" textlink="">
      <xdr:nvSpPr>
        <xdr:cNvPr id="6" name="WordArt 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 noChangeArrowheads="1" noChangeShapeType="1"/>
        </xdr:cNvSpPr>
      </xdr:nvSpPr>
      <xdr:spPr bwMode="auto">
        <a:xfrm>
          <a:off x="23260050" y="123825"/>
          <a:ext cx="895350" cy="1249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기수표</a:t>
          </a:r>
        </a:p>
      </xdr:txBody>
    </xdr:sp>
    <xdr:clientData/>
  </xdr:twoCellAnchor>
  <xdr:twoCellAnchor>
    <xdr:from>
      <xdr:col>13</xdr:col>
      <xdr:colOff>14605</xdr:colOff>
      <xdr:row>0</xdr:row>
      <xdr:rowOff>49744</xdr:rowOff>
    </xdr:from>
    <xdr:to>
      <xdr:col>14</xdr:col>
      <xdr:colOff>577215</xdr:colOff>
      <xdr:row>0</xdr:row>
      <xdr:rowOff>198121</xdr:rowOff>
    </xdr:to>
    <xdr:sp macro="" textlink="">
      <xdr:nvSpPr>
        <xdr:cNvPr id="7" name="WordArt 1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>
          <a:spLocks noChangeArrowheads="1" noChangeShapeType="1"/>
        </xdr:cNvSpPr>
      </xdr:nvSpPr>
      <xdr:spPr bwMode="auto">
        <a:xfrm>
          <a:off x="10654030" y="49744"/>
          <a:ext cx="1429385" cy="148377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해약환급금 예시</a:t>
          </a:r>
        </a:p>
      </xdr:txBody>
    </xdr:sp>
    <xdr:clientData/>
  </xdr:twoCellAnchor>
  <xdr:twoCellAnchor>
    <xdr:from>
      <xdr:col>2</xdr:col>
      <xdr:colOff>15240</xdr:colOff>
      <xdr:row>45</xdr:row>
      <xdr:rowOff>167640</xdr:rowOff>
    </xdr:from>
    <xdr:to>
      <xdr:col>3</xdr:col>
      <xdr:colOff>655230</xdr:colOff>
      <xdr:row>46</xdr:row>
      <xdr:rowOff>90660</xdr:rowOff>
    </xdr:to>
    <xdr:sp macro="" textlink="">
      <xdr:nvSpPr>
        <xdr:cNvPr id="8" name="WordArt 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>
          <a:spLocks noChangeArrowheads="1" noChangeShapeType="1"/>
        </xdr:cNvSpPr>
      </xdr:nvSpPr>
      <xdr:spPr bwMode="auto">
        <a:xfrm>
          <a:off x="1005840" y="9816465"/>
          <a:ext cx="820965" cy="13257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보험속성</a:t>
          </a:r>
        </a:p>
      </xdr:txBody>
    </xdr:sp>
    <xdr:clientData/>
  </xdr:twoCellAnchor>
  <xdr:twoCellAnchor>
    <xdr:from>
      <xdr:col>89</xdr:col>
      <xdr:colOff>123825</xdr:colOff>
      <xdr:row>0</xdr:row>
      <xdr:rowOff>57150</xdr:rowOff>
    </xdr:from>
    <xdr:to>
      <xdr:col>91</xdr:col>
      <xdr:colOff>0</xdr:colOff>
      <xdr:row>0</xdr:row>
      <xdr:rowOff>201150</xdr:rowOff>
    </xdr:to>
    <xdr:sp macro="" textlink="">
      <xdr:nvSpPr>
        <xdr:cNvPr id="9" name="WordArt 1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>
          <a:spLocks noChangeArrowheads="1" noChangeShapeType="1"/>
        </xdr:cNvSpPr>
      </xdr:nvSpPr>
      <xdr:spPr bwMode="auto">
        <a:xfrm>
          <a:off x="64617600" y="57150"/>
          <a:ext cx="1466850" cy="1440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무배당 위험률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123825</xdr:colOff>
      <xdr:row>0</xdr:row>
      <xdr:rowOff>66675</xdr:rowOff>
    </xdr:from>
    <xdr:to>
      <xdr:col>3</xdr:col>
      <xdr:colOff>758100</xdr:colOff>
      <xdr:row>0</xdr:row>
      <xdr:rowOff>210675</xdr:rowOff>
    </xdr:to>
    <xdr:sp macro="" textlink="">
      <xdr:nvSpPr>
        <xdr:cNvPr id="2" name="Word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 noChangeShapeType="1"/>
        </xdr:cNvSpPr>
      </xdr:nvSpPr>
      <xdr:spPr bwMode="auto">
        <a:xfrm>
          <a:off x="1085850" y="66675"/>
          <a:ext cx="777150" cy="1440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가입조건</a:t>
          </a:r>
        </a:p>
      </xdr:txBody>
    </xdr:sp>
    <xdr:clientData/>
  </xdr:twoCellAnchor>
  <xdr:twoCellAnchor>
    <xdr:from>
      <xdr:col>2</xdr:col>
      <xdr:colOff>55245</xdr:colOff>
      <xdr:row>19</xdr:row>
      <xdr:rowOff>169545</xdr:rowOff>
    </xdr:from>
    <xdr:to>
      <xdr:col>3</xdr:col>
      <xdr:colOff>1047615</xdr:colOff>
      <xdr:row>20</xdr:row>
      <xdr:rowOff>102090</xdr:rowOff>
    </xdr:to>
    <xdr:sp macro="" textlink="">
      <xdr:nvSpPr>
        <xdr:cNvPr id="3" name="WordArt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rrowheads="1" noChangeShapeType="1"/>
        </xdr:cNvSpPr>
      </xdr:nvSpPr>
      <xdr:spPr bwMode="auto">
        <a:xfrm>
          <a:off x="1017270" y="4284345"/>
          <a:ext cx="1135245" cy="15162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예정사업비율</a:t>
          </a:r>
        </a:p>
      </xdr:txBody>
    </xdr:sp>
    <xdr:clientData/>
  </xdr:twoCellAnchor>
  <xdr:twoCellAnchor>
    <xdr:from>
      <xdr:col>2</xdr:col>
      <xdr:colOff>85725</xdr:colOff>
      <xdr:row>39</xdr:row>
      <xdr:rowOff>0</xdr:rowOff>
    </xdr:from>
    <xdr:to>
      <xdr:col>3</xdr:col>
      <xdr:colOff>558075</xdr:colOff>
      <xdr:row>39</xdr:row>
      <xdr:rowOff>144000</xdr:rowOff>
    </xdr:to>
    <xdr:sp macro="" textlink="">
      <xdr:nvSpPr>
        <xdr:cNvPr id="4" name="WordArt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rrowheads="1" noChangeShapeType="1"/>
        </xdr:cNvSpPr>
      </xdr:nvSpPr>
      <xdr:spPr bwMode="auto">
        <a:xfrm>
          <a:off x="1047750" y="8353425"/>
          <a:ext cx="615225" cy="1440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규정체크</a:t>
          </a:r>
        </a:p>
      </xdr:txBody>
    </xdr:sp>
    <xdr:clientData/>
  </xdr:twoCellAnchor>
  <xdr:twoCellAnchor>
    <xdr:from>
      <xdr:col>8</xdr:col>
      <xdr:colOff>9524</xdr:colOff>
      <xdr:row>0</xdr:row>
      <xdr:rowOff>57150</xdr:rowOff>
    </xdr:from>
    <xdr:to>
      <xdr:col>9</xdr:col>
      <xdr:colOff>69374</xdr:colOff>
      <xdr:row>0</xdr:row>
      <xdr:rowOff>201150</xdr:rowOff>
    </xdr:to>
    <xdr:sp macro="" textlink="">
      <xdr:nvSpPr>
        <xdr:cNvPr id="5" name="WordArt 1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rrowheads="1" noChangeShapeType="1"/>
        </xdr:cNvSpPr>
      </xdr:nvSpPr>
      <xdr:spPr bwMode="auto">
        <a:xfrm>
          <a:off x="5210174" y="57150"/>
          <a:ext cx="1336200" cy="1440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보험료 세부사항</a:t>
          </a:r>
        </a:p>
      </xdr:txBody>
    </xdr:sp>
    <xdr:clientData/>
  </xdr:twoCellAnchor>
  <xdr:twoCellAnchor>
    <xdr:from>
      <xdr:col>20</xdr:col>
      <xdr:colOff>57150</xdr:colOff>
      <xdr:row>0</xdr:row>
      <xdr:rowOff>123825</xdr:rowOff>
    </xdr:from>
    <xdr:to>
      <xdr:col>21</xdr:col>
      <xdr:colOff>190500</xdr:colOff>
      <xdr:row>0</xdr:row>
      <xdr:rowOff>248775</xdr:rowOff>
    </xdr:to>
    <xdr:sp macro="" textlink="">
      <xdr:nvSpPr>
        <xdr:cNvPr id="6" name="WordArt 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rrowheads="1" noChangeShapeType="1"/>
        </xdr:cNvSpPr>
      </xdr:nvSpPr>
      <xdr:spPr bwMode="auto">
        <a:xfrm>
          <a:off x="15592425" y="123825"/>
          <a:ext cx="895350" cy="96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기수표</a:t>
          </a:r>
        </a:p>
      </xdr:txBody>
    </xdr:sp>
    <xdr:clientData/>
  </xdr:twoCellAnchor>
  <xdr:twoCellAnchor>
    <xdr:from>
      <xdr:col>13</xdr:col>
      <xdr:colOff>3175</xdr:colOff>
      <xdr:row>0</xdr:row>
      <xdr:rowOff>59269</xdr:rowOff>
    </xdr:from>
    <xdr:to>
      <xdr:col>14</xdr:col>
      <xdr:colOff>676275</xdr:colOff>
      <xdr:row>0</xdr:row>
      <xdr:rowOff>190501</xdr:rowOff>
    </xdr:to>
    <xdr:sp macro="" textlink="">
      <xdr:nvSpPr>
        <xdr:cNvPr id="7" name="WordArt 1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Arrowheads="1" noChangeShapeType="1"/>
        </xdr:cNvSpPr>
      </xdr:nvSpPr>
      <xdr:spPr bwMode="auto">
        <a:xfrm>
          <a:off x="9623425" y="59269"/>
          <a:ext cx="1425575" cy="131232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해약환급금 예시</a:t>
          </a:r>
        </a:p>
      </xdr:txBody>
    </xdr:sp>
    <xdr:clientData/>
  </xdr:twoCellAnchor>
  <xdr:twoCellAnchor>
    <xdr:from>
      <xdr:col>2</xdr:col>
      <xdr:colOff>0</xdr:colOff>
      <xdr:row>46</xdr:row>
      <xdr:rowOff>0</xdr:rowOff>
    </xdr:from>
    <xdr:to>
      <xdr:col>3</xdr:col>
      <xdr:colOff>510450</xdr:colOff>
      <xdr:row>46</xdr:row>
      <xdr:rowOff>144000</xdr:rowOff>
    </xdr:to>
    <xdr:sp macro="" textlink="">
      <xdr:nvSpPr>
        <xdr:cNvPr id="8" name="WordArt 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rrowheads="1" noChangeShapeType="1"/>
        </xdr:cNvSpPr>
      </xdr:nvSpPr>
      <xdr:spPr bwMode="auto">
        <a:xfrm>
          <a:off x="962025" y="9848850"/>
          <a:ext cx="653325" cy="1440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보험속성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123825</xdr:colOff>
      <xdr:row>0</xdr:row>
      <xdr:rowOff>66675</xdr:rowOff>
    </xdr:from>
    <xdr:to>
      <xdr:col>3</xdr:col>
      <xdr:colOff>758100</xdr:colOff>
      <xdr:row>0</xdr:row>
      <xdr:rowOff>210675</xdr:rowOff>
    </xdr:to>
    <xdr:sp macro="" textlink="">
      <xdr:nvSpPr>
        <xdr:cNvPr id="2" name="Word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rrowheads="1" noChangeShapeType="1"/>
        </xdr:cNvSpPr>
      </xdr:nvSpPr>
      <xdr:spPr bwMode="auto">
        <a:xfrm>
          <a:off x="1114425" y="66675"/>
          <a:ext cx="872400" cy="1440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가입조건</a:t>
          </a:r>
        </a:p>
      </xdr:txBody>
    </xdr:sp>
    <xdr:clientData/>
  </xdr:twoCellAnchor>
  <xdr:twoCellAnchor>
    <xdr:from>
      <xdr:col>1</xdr:col>
      <xdr:colOff>146685</xdr:colOff>
      <xdr:row>19</xdr:row>
      <xdr:rowOff>177165</xdr:rowOff>
    </xdr:from>
    <xdr:to>
      <xdr:col>3</xdr:col>
      <xdr:colOff>986655</xdr:colOff>
      <xdr:row>20</xdr:row>
      <xdr:rowOff>109710</xdr:rowOff>
    </xdr:to>
    <xdr:sp macro="" textlink="">
      <xdr:nvSpPr>
        <xdr:cNvPr id="3" name="WordArt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 noChangeShapeType="1"/>
        </xdr:cNvSpPr>
      </xdr:nvSpPr>
      <xdr:spPr bwMode="auto">
        <a:xfrm>
          <a:off x="984885" y="4301490"/>
          <a:ext cx="1230495" cy="15162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예정사업비율</a:t>
          </a:r>
        </a:p>
      </xdr:txBody>
    </xdr:sp>
    <xdr:clientData/>
  </xdr:twoCellAnchor>
  <xdr:twoCellAnchor>
    <xdr:from>
      <xdr:col>2</xdr:col>
      <xdr:colOff>108585</xdr:colOff>
      <xdr:row>38</xdr:row>
      <xdr:rowOff>198120</xdr:rowOff>
    </xdr:from>
    <xdr:to>
      <xdr:col>3</xdr:col>
      <xdr:colOff>481875</xdr:colOff>
      <xdr:row>39</xdr:row>
      <xdr:rowOff>121140</xdr:rowOff>
    </xdr:to>
    <xdr:sp macro="" textlink="">
      <xdr:nvSpPr>
        <xdr:cNvPr id="4" name="WordArt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rrowheads="1" noChangeShapeType="1"/>
        </xdr:cNvSpPr>
      </xdr:nvSpPr>
      <xdr:spPr bwMode="auto">
        <a:xfrm>
          <a:off x="1099185" y="8351520"/>
          <a:ext cx="611415" cy="13257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규정체크</a:t>
          </a:r>
        </a:p>
      </xdr:txBody>
    </xdr:sp>
    <xdr:clientData/>
  </xdr:twoCellAnchor>
  <xdr:twoCellAnchor>
    <xdr:from>
      <xdr:col>8</xdr:col>
      <xdr:colOff>9524</xdr:colOff>
      <xdr:row>0</xdr:row>
      <xdr:rowOff>57150</xdr:rowOff>
    </xdr:from>
    <xdr:to>
      <xdr:col>9</xdr:col>
      <xdr:colOff>69374</xdr:colOff>
      <xdr:row>0</xdr:row>
      <xdr:rowOff>201150</xdr:rowOff>
    </xdr:to>
    <xdr:sp macro="" textlink="">
      <xdr:nvSpPr>
        <xdr:cNvPr id="5" name="WordArt 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 noChangeShapeType="1"/>
        </xdr:cNvSpPr>
      </xdr:nvSpPr>
      <xdr:spPr bwMode="auto">
        <a:xfrm>
          <a:off x="5181599" y="57150"/>
          <a:ext cx="1336200" cy="1440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보험료 세부사항</a:t>
          </a:r>
        </a:p>
      </xdr:txBody>
    </xdr:sp>
    <xdr:clientData/>
  </xdr:twoCellAnchor>
  <xdr:twoCellAnchor>
    <xdr:from>
      <xdr:col>18</xdr:col>
      <xdr:colOff>57150</xdr:colOff>
      <xdr:row>0</xdr:row>
      <xdr:rowOff>123825</xdr:rowOff>
    </xdr:from>
    <xdr:to>
      <xdr:col>19</xdr:col>
      <xdr:colOff>190500</xdr:colOff>
      <xdr:row>0</xdr:row>
      <xdr:rowOff>248775</xdr:rowOff>
    </xdr:to>
    <xdr:sp macro="" textlink="">
      <xdr:nvSpPr>
        <xdr:cNvPr id="6" name="WordArt 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 noChangeShapeType="1"/>
        </xdr:cNvSpPr>
      </xdr:nvSpPr>
      <xdr:spPr bwMode="auto">
        <a:xfrm>
          <a:off x="15840075" y="123825"/>
          <a:ext cx="895350" cy="96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기수표</a:t>
          </a:r>
        </a:p>
      </xdr:txBody>
    </xdr:sp>
    <xdr:clientData/>
  </xdr:twoCellAnchor>
  <xdr:twoCellAnchor>
    <xdr:from>
      <xdr:col>2</xdr:col>
      <xdr:colOff>68580</xdr:colOff>
      <xdr:row>46</xdr:row>
      <xdr:rowOff>0</xdr:rowOff>
    </xdr:from>
    <xdr:to>
      <xdr:col>3</xdr:col>
      <xdr:colOff>487590</xdr:colOff>
      <xdr:row>46</xdr:row>
      <xdr:rowOff>144000</xdr:rowOff>
    </xdr:to>
    <xdr:sp macro="" textlink="">
      <xdr:nvSpPr>
        <xdr:cNvPr id="7" name="WordArt 1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rrowheads="1" noChangeShapeType="1"/>
        </xdr:cNvSpPr>
      </xdr:nvSpPr>
      <xdr:spPr bwMode="auto">
        <a:xfrm>
          <a:off x="1059180" y="9858375"/>
          <a:ext cx="657135" cy="1440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보험속성</a:t>
          </a:r>
        </a:p>
      </xdr:txBody>
    </xdr:sp>
    <xdr:clientData/>
  </xdr:twoCellAnchor>
  <xdr:twoCellAnchor>
    <xdr:from>
      <xdr:col>12</xdr:col>
      <xdr:colOff>271780</xdr:colOff>
      <xdr:row>0</xdr:row>
      <xdr:rowOff>36409</xdr:rowOff>
    </xdr:from>
    <xdr:to>
      <xdr:col>14</xdr:col>
      <xdr:colOff>5715</xdr:colOff>
      <xdr:row>0</xdr:row>
      <xdr:rowOff>200026</xdr:rowOff>
    </xdr:to>
    <xdr:sp macro="" textlink="">
      <xdr:nvSpPr>
        <xdr:cNvPr id="8" name="WordArt 1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rrowheads="1" noChangeShapeType="1"/>
        </xdr:cNvSpPr>
      </xdr:nvSpPr>
      <xdr:spPr bwMode="auto">
        <a:xfrm>
          <a:off x="10358755" y="36409"/>
          <a:ext cx="1429385" cy="163617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해약환급금 예시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123825</xdr:colOff>
      <xdr:row>0</xdr:row>
      <xdr:rowOff>66675</xdr:rowOff>
    </xdr:from>
    <xdr:to>
      <xdr:col>3</xdr:col>
      <xdr:colOff>758100</xdr:colOff>
      <xdr:row>0</xdr:row>
      <xdr:rowOff>210675</xdr:rowOff>
    </xdr:to>
    <xdr:sp macro="" textlink="">
      <xdr:nvSpPr>
        <xdr:cNvPr id="2" name="Word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Arrowheads="1" noChangeShapeType="1"/>
        </xdr:cNvSpPr>
      </xdr:nvSpPr>
      <xdr:spPr bwMode="auto">
        <a:xfrm>
          <a:off x="1085850" y="66675"/>
          <a:ext cx="948600" cy="1440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가입조건</a:t>
          </a:r>
        </a:p>
      </xdr:txBody>
    </xdr:sp>
    <xdr:clientData/>
  </xdr:twoCellAnchor>
  <xdr:twoCellAnchor>
    <xdr:from>
      <xdr:col>2</xdr:col>
      <xdr:colOff>14968</xdr:colOff>
      <xdr:row>19</xdr:row>
      <xdr:rowOff>205469</xdr:rowOff>
    </xdr:from>
    <xdr:to>
      <xdr:col>3</xdr:col>
      <xdr:colOff>1005160</xdr:colOff>
      <xdr:row>20</xdr:row>
      <xdr:rowOff>141279</xdr:rowOff>
    </xdr:to>
    <xdr:sp macro="" textlink="">
      <xdr:nvSpPr>
        <xdr:cNvPr id="3" name="WordArt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ChangeArrowheads="1" noChangeShapeType="1"/>
        </xdr:cNvSpPr>
      </xdr:nvSpPr>
      <xdr:spPr bwMode="auto">
        <a:xfrm>
          <a:off x="976993" y="4320269"/>
          <a:ext cx="1304517" cy="15488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예정사업비율</a:t>
          </a:r>
        </a:p>
      </xdr:txBody>
    </xdr:sp>
    <xdr:clientData/>
  </xdr:twoCellAnchor>
  <xdr:twoCellAnchor>
    <xdr:from>
      <xdr:col>2</xdr:col>
      <xdr:colOff>74839</xdr:colOff>
      <xdr:row>38</xdr:row>
      <xdr:rowOff>206828</xdr:rowOff>
    </xdr:from>
    <xdr:to>
      <xdr:col>3</xdr:col>
      <xdr:colOff>541745</xdr:colOff>
      <xdr:row>39</xdr:row>
      <xdr:rowOff>133114</xdr:rowOff>
    </xdr:to>
    <xdr:sp macro="" textlink="">
      <xdr:nvSpPr>
        <xdr:cNvPr id="4" name="WordArt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 noChangeArrowheads="1" noChangeShapeType="1"/>
        </xdr:cNvSpPr>
      </xdr:nvSpPr>
      <xdr:spPr bwMode="auto">
        <a:xfrm>
          <a:off x="1036864" y="8350703"/>
          <a:ext cx="781231" cy="135836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규정체크</a:t>
          </a:r>
        </a:p>
      </xdr:txBody>
    </xdr:sp>
    <xdr:clientData/>
  </xdr:twoCellAnchor>
  <xdr:twoCellAnchor>
    <xdr:from>
      <xdr:col>8</xdr:col>
      <xdr:colOff>9524</xdr:colOff>
      <xdr:row>0</xdr:row>
      <xdr:rowOff>57150</xdr:rowOff>
    </xdr:from>
    <xdr:to>
      <xdr:col>9</xdr:col>
      <xdr:colOff>69374</xdr:colOff>
      <xdr:row>0</xdr:row>
      <xdr:rowOff>201150</xdr:rowOff>
    </xdr:to>
    <xdr:sp macro="" textlink="">
      <xdr:nvSpPr>
        <xdr:cNvPr id="5" name="WordArt 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 noChangeArrowheads="1" noChangeShapeType="1"/>
        </xdr:cNvSpPr>
      </xdr:nvSpPr>
      <xdr:spPr bwMode="auto">
        <a:xfrm>
          <a:off x="5867399" y="57150"/>
          <a:ext cx="1336200" cy="1440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보험료 세부사항</a:t>
          </a:r>
        </a:p>
      </xdr:txBody>
    </xdr:sp>
    <xdr:clientData/>
  </xdr:twoCellAnchor>
  <xdr:twoCellAnchor>
    <xdr:from>
      <xdr:col>20</xdr:col>
      <xdr:colOff>57150</xdr:colOff>
      <xdr:row>0</xdr:row>
      <xdr:rowOff>123825</xdr:rowOff>
    </xdr:from>
    <xdr:to>
      <xdr:col>21</xdr:col>
      <xdr:colOff>190500</xdr:colOff>
      <xdr:row>0</xdr:row>
      <xdr:rowOff>248775</xdr:rowOff>
    </xdr:to>
    <xdr:sp macro="" textlink="">
      <xdr:nvSpPr>
        <xdr:cNvPr id="6" name="WordArt 1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>
          <a:spLocks noChangeArrowheads="1" noChangeShapeType="1"/>
        </xdr:cNvSpPr>
      </xdr:nvSpPr>
      <xdr:spPr bwMode="auto">
        <a:xfrm>
          <a:off x="16106775" y="123825"/>
          <a:ext cx="895350" cy="96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기수표</a:t>
          </a:r>
        </a:p>
      </xdr:txBody>
    </xdr:sp>
    <xdr:clientData/>
  </xdr:twoCellAnchor>
  <xdr:twoCellAnchor>
    <xdr:from>
      <xdr:col>13</xdr:col>
      <xdr:colOff>3175</xdr:colOff>
      <xdr:row>0</xdr:row>
      <xdr:rowOff>59269</xdr:rowOff>
    </xdr:from>
    <xdr:to>
      <xdr:col>14</xdr:col>
      <xdr:colOff>676275</xdr:colOff>
      <xdr:row>0</xdr:row>
      <xdr:rowOff>190501</xdr:rowOff>
    </xdr:to>
    <xdr:sp macro="" textlink="">
      <xdr:nvSpPr>
        <xdr:cNvPr id="7" name="WordArt 1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>
          <a:spLocks noChangeArrowheads="1" noChangeShapeType="1"/>
        </xdr:cNvSpPr>
      </xdr:nvSpPr>
      <xdr:spPr bwMode="auto">
        <a:xfrm>
          <a:off x="9928225" y="59269"/>
          <a:ext cx="1425575" cy="131232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해약환급금 예시</a:t>
          </a:r>
        </a:p>
      </xdr:txBody>
    </xdr:sp>
    <xdr:clientData/>
  </xdr:twoCellAnchor>
  <xdr:twoCellAnchor>
    <xdr:from>
      <xdr:col>2</xdr:col>
      <xdr:colOff>76200</xdr:colOff>
      <xdr:row>45</xdr:row>
      <xdr:rowOff>185057</xdr:rowOff>
    </xdr:from>
    <xdr:to>
      <xdr:col>3</xdr:col>
      <xdr:colOff>555171</xdr:colOff>
      <xdr:row>46</xdr:row>
      <xdr:rowOff>144000</xdr:rowOff>
    </xdr:to>
    <xdr:sp macro="" textlink="">
      <xdr:nvSpPr>
        <xdr:cNvPr id="8" name="WordArt 1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>
          <a:spLocks noChangeArrowheads="1" noChangeShapeType="1"/>
        </xdr:cNvSpPr>
      </xdr:nvSpPr>
      <xdr:spPr bwMode="auto">
        <a:xfrm>
          <a:off x="1038225" y="9824357"/>
          <a:ext cx="793296" cy="168493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 rtl="0"/>
          <a:r>
            <a:rPr lang="ko-KR" altLang="en-US" sz="3600" b="1" cap="none" spc="50">
              <a:ln w="11430"/>
              <a:solidFill>
                <a:srgbClr val="0033CC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HY헤드라인M"/>
              <a:ea typeface="HY헤드라인M"/>
            </a:rPr>
            <a:t>보험속성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5</xdr:row>
          <xdr:rowOff>114300</xdr:rowOff>
        </xdr:from>
        <xdr:to>
          <xdr:col>12</xdr:col>
          <xdr:colOff>371475</xdr:colOff>
          <xdr:row>8</xdr:row>
          <xdr:rowOff>47625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8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5</xdr:row>
          <xdr:rowOff>95250</xdr:rowOff>
        </xdr:from>
        <xdr:to>
          <xdr:col>14</xdr:col>
          <xdr:colOff>152400</xdr:colOff>
          <xdr:row>8</xdr:row>
          <xdr:rowOff>38100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8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S산출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S산출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5</xdr:row>
          <xdr:rowOff>95250</xdr:rowOff>
        </xdr:from>
        <xdr:to>
          <xdr:col>15</xdr:col>
          <xdr:colOff>495300</xdr:colOff>
          <xdr:row>8</xdr:row>
          <xdr:rowOff>28575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8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alpha </a:t>
              </a:r>
            </a:p>
            <a:p>
              <a:pPr algn="ctr" rtl="0">
                <a:defRPr sz="1000"/>
              </a:pPr>
              <a:endParaRPr lang="ko-KR" altLang="en-US" sz="1100" b="1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8.xml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K21"/>
  <sheetViews>
    <sheetView workbookViewId="0">
      <selection activeCell="E30" sqref="E30"/>
    </sheetView>
  </sheetViews>
  <sheetFormatPr defaultRowHeight="16.5"/>
  <cols>
    <col min="2" max="6" width="18.75" customWidth="1"/>
    <col min="8" max="11" width="14.625" customWidth="1"/>
  </cols>
  <sheetData>
    <row r="1" spans="1:11" ht="17.25" thickBot="1">
      <c r="A1" t="s">
        <v>157</v>
      </c>
    </row>
    <row r="2" spans="1:11" ht="18" thickTop="1">
      <c r="B2" s="787" t="s">
        <v>141</v>
      </c>
      <c r="C2" s="788"/>
      <c r="D2" s="788"/>
      <c r="E2" s="788"/>
      <c r="F2" s="789"/>
    </row>
    <row r="3" spans="1:11">
      <c r="B3" s="790" t="s">
        <v>142</v>
      </c>
      <c r="C3" s="791"/>
      <c r="D3" s="791"/>
      <c r="E3" s="791"/>
      <c r="F3" s="792"/>
    </row>
    <row r="4" spans="1:11" ht="17.25">
      <c r="B4" s="793" t="s">
        <v>143</v>
      </c>
      <c r="C4" s="794"/>
      <c r="D4" s="794"/>
      <c r="E4" s="794"/>
      <c r="F4" s="795"/>
    </row>
    <row r="5" spans="1:11">
      <c r="B5" s="805" t="s">
        <v>144</v>
      </c>
      <c r="C5" s="326" t="s">
        <v>145</v>
      </c>
      <c r="D5" s="326" t="s">
        <v>146</v>
      </c>
      <c r="F5" s="329"/>
    </row>
    <row r="6" spans="1:11">
      <c r="B6" s="806"/>
      <c r="C6" s="327" t="s">
        <v>147</v>
      </c>
      <c r="D6" s="327" t="s">
        <v>148</v>
      </c>
      <c r="F6" s="329"/>
    </row>
    <row r="7" spans="1:11">
      <c r="B7" s="330" t="s">
        <v>149</v>
      </c>
      <c r="C7" s="362">
        <v>179000</v>
      </c>
      <c r="D7" s="362">
        <v>207000</v>
      </c>
      <c r="F7" s="329"/>
    </row>
    <row r="8" spans="1:11">
      <c r="B8" s="796" t="s">
        <v>142</v>
      </c>
      <c r="C8" s="797"/>
      <c r="D8" s="797"/>
      <c r="E8" s="797"/>
      <c r="F8" s="798"/>
    </row>
    <row r="9" spans="1:11" ht="17.25">
      <c r="B9" s="799" t="s">
        <v>150</v>
      </c>
      <c r="C9" s="800"/>
      <c r="D9" s="800"/>
      <c r="E9" s="800"/>
      <c r="F9" s="801"/>
    </row>
    <row r="10" spans="1:11">
      <c r="B10" s="805" t="s">
        <v>151</v>
      </c>
      <c r="C10" s="809" t="s">
        <v>145</v>
      </c>
      <c r="D10" s="810"/>
      <c r="E10" s="809" t="s">
        <v>146</v>
      </c>
      <c r="F10" s="811"/>
    </row>
    <row r="11" spans="1:11">
      <c r="B11" s="807"/>
      <c r="C11" s="812" t="s">
        <v>147</v>
      </c>
      <c r="D11" s="813"/>
      <c r="E11" s="812" t="s">
        <v>148</v>
      </c>
      <c r="F11" s="814"/>
    </row>
    <row r="12" spans="1:11" ht="17.25" thickBot="1">
      <c r="B12" s="808"/>
      <c r="C12" s="328" t="s">
        <v>152</v>
      </c>
      <c r="D12" s="328" t="s">
        <v>153</v>
      </c>
      <c r="E12" s="328" t="s">
        <v>152</v>
      </c>
      <c r="F12" s="331" t="s">
        <v>153</v>
      </c>
      <c r="H12" s="370"/>
    </row>
    <row r="13" spans="1:11" ht="17.25" thickTop="1">
      <c r="B13" s="332">
        <v>1</v>
      </c>
      <c r="C13" s="338" t="e">
        <f>ROUNDDOWN(INDEX(#REF!,B13),0)</f>
        <v>#REF!</v>
      </c>
      <c r="D13" s="350" t="e">
        <f>INDEX(#REF!,B13)</f>
        <v>#REF!</v>
      </c>
      <c r="E13" s="344" t="e">
        <f>ROUNDDOWN(INDEX(#REF!,B13),0)</f>
        <v>#REF!</v>
      </c>
      <c r="F13" s="356" t="e">
        <f>INDEX(#REF!,B13)</f>
        <v>#REF!</v>
      </c>
      <c r="H13" s="338">
        <v>0</v>
      </c>
      <c r="I13" s="350">
        <v>0</v>
      </c>
      <c r="J13" s="338">
        <v>0</v>
      </c>
      <c r="K13" s="367">
        <v>0</v>
      </c>
    </row>
    <row r="14" spans="1:11">
      <c r="B14" s="333">
        <v>3</v>
      </c>
      <c r="C14" s="339" t="e">
        <f>ROUNDDOWN(INDEX(#REF!,B14),0)</f>
        <v>#REF!</v>
      </c>
      <c r="D14" s="351" t="e">
        <f>INDEX(#REF!,B14)</f>
        <v>#REF!</v>
      </c>
      <c r="E14" s="345" t="e">
        <f>ROUNDDOWN(INDEX(#REF!,B14),0)</f>
        <v>#REF!</v>
      </c>
      <c r="F14" s="357" t="e">
        <f>INDEX(#REF!,B14)</f>
        <v>#REF!</v>
      </c>
      <c r="H14" s="339">
        <v>2020642</v>
      </c>
      <c r="I14" s="351">
        <v>0.31356965505010198</v>
      </c>
      <c r="J14" s="339">
        <v>4041285</v>
      </c>
      <c r="K14" s="368">
        <v>0.54230887201901701</v>
      </c>
    </row>
    <row r="15" spans="1:11">
      <c r="B15" s="333">
        <v>5</v>
      </c>
      <c r="C15" s="339" t="e">
        <f>ROUNDDOWN(INDEX(#REF!,B15),0)</f>
        <v>#REF!</v>
      </c>
      <c r="D15" s="351" t="e">
        <f>INDEX(#REF!,B15)</f>
        <v>#REF!</v>
      </c>
      <c r="E15" s="345" t="e">
        <f>ROUNDDOWN(INDEX(#REF!,B15),0)</f>
        <v>#REF!</v>
      </c>
      <c r="F15" s="357" t="e">
        <f>INDEX(#REF!,B15)</f>
        <v>#REF!</v>
      </c>
      <c r="H15" s="339">
        <v>4422571</v>
      </c>
      <c r="I15" s="351">
        <v>0.41178504921521686</v>
      </c>
      <c r="J15" s="339">
        <v>8845142</v>
      </c>
      <c r="K15" s="368">
        <v>0.71216931216931223</v>
      </c>
    </row>
    <row r="16" spans="1:11" ht="17.25" thickBot="1">
      <c r="B16" s="334">
        <v>10</v>
      </c>
      <c r="C16" s="340" t="e">
        <f>ROUNDDOWN(INDEX(#REF!,B16),0)</f>
        <v>#REF!</v>
      </c>
      <c r="D16" s="352" t="e">
        <f>INDEX(#REF!,B16)</f>
        <v>#REF!</v>
      </c>
      <c r="E16" s="346" t="e">
        <f>ROUNDDOWN(INDEX(#REF!,B16),0)</f>
        <v>#REF!</v>
      </c>
      <c r="F16" s="358" t="e">
        <f>INDEX(#REF!,B16)</f>
        <v>#REF!</v>
      </c>
      <c r="H16" s="340">
        <v>10213500</v>
      </c>
      <c r="I16" s="352">
        <v>0.47548882681564247</v>
      </c>
      <c r="J16" s="340">
        <v>20427000</v>
      </c>
      <c r="K16" s="369">
        <v>0.82234299516908216</v>
      </c>
    </row>
    <row r="17" spans="2:11" ht="17.25" thickTop="1">
      <c r="B17" s="335">
        <v>20</v>
      </c>
      <c r="C17" s="341" t="e">
        <f>ROUNDDOWN(INDEX(#REF!,B17),0)</f>
        <v>#REF!</v>
      </c>
      <c r="D17" s="353" t="e">
        <f>INDEX(#REF!,B17)</f>
        <v>#REF!</v>
      </c>
      <c r="E17" s="347" t="e">
        <f>ROUNDDOWN(INDEX(#REF!,B17),0)</f>
        <v>#REF!</v>
      </c>
      <c r="F17" s="359" t="e">
        <f>INDEX(#REF!,B17)</f>
        <v>#REF!</v>
      </c>
      <c r="H17" s="341">
        <v>45666000</v>
      </c>
      <c r="I17" s="353">
        <v>1.0629888268156424</v>
      </c>
      <c r="J17" s="341">
        <v>45666000</v>
      </c>
      <c r="K17" s="353">
        <v>0.91920289855072468</v>
      </c>
    </row>
    <row r="18" spans="2:11">
      <c r="B18" s="336">
        <v>30</v>
      </c>
      <c r="C18" s="342" t="e">
        <f>ROUNDDOWN(INDEX(#REF!,B18),0)</f>
        <v>#REF!</v>
      </c>
      <c r="D18" s="354" t="e">
        <f>INDEX(#REF!,B18)</f>
        <v>#REF!</v>
      </c>
      <c r="E18" s="348" t="e">
        <f>ROUNDDOWN(INDEX(#REF!,B18),0)</f>
        <v>#REF!</v>
      </c>
      <c r="F18" s="360" t="e">
        <f>INDEX(#REF!,B18)</f>
        <v>#REF!</v>
      </c>
      <c r="H18" s="342">
        <v>53096000</v>
      </c>
      <c r="I18" s="354">
        <v>1.2359404096834263</v>
      </c>
      <c r="J18" s="342">
        <v>53096000</v>
      </c>
      <c r="K18" s="354">
        <v>1.0687600644122384</v>
      </c>
    </row>
    <row r="19" spans="2:11">
      <c r="B19" s="337">
        <v>50</v>
      </c>
      <c r="C19" s="343" t="e">
        <f>ROUNDDOWN(INDEX(#REF!,B19),0)</f>
        <v>#REF!</v>
      </c>
      <c r="D19" s="355" t="e">
        <f>INDEX(#REF!,B19)</f>
        <v>#REF!</v>
      </c>
      <c r="E19" s="349" t="e">
        <f>ROUNDDOWN(INDEX(#REF!,B19),0)</f>
        <v>#REF!</v>
      </c>
      <c r="F19" s="361" t="e">
        <f>INDEX(#REF!,B19)</f>
        <v>#REF!</v>
      </c>
      <c r="H19" s="343">
        <v>0</v>
      </c>
      <c r="I19" s="355">
        <v>0</v>
      </c>
      <c r="J19" s="343">
        <v>0</v>
      </c>
      <c r="K19" s="355">
        <v>0</v>
      </c>
    </row>
    <row r="20" spans="2:11" ht="18" thickBot="1">
      <c r="B20" s="802" t="s">
        <v>154</v>
      </c>
      <c r="C20" s="803"/>
      <c r="D20" s="803"/>
      <c r="E20" s="803"/>
      <c r="F20" s="804"/>
    </row>
    <row r="21" spans="2:11" ht="17.25" thickTop="1"/>
  </sheetData>
  <mergeCells count="12">
    <mergeCell ref="B20:F20"/>
    <mergeCell ref="B5:B6"/>
    <mergeCell ref="B10:B12"/>
    <mergeCell ref="C10:D10"/>
    <mergeCell ref="E10:F10"/>
    <mergeCell ref="C11:D11"/>
    <mergeCell ref="E11:F11"/>
    <mergeCell ref="B2:F2"/>
    <mergeCell ref="B3:F3"/>
    <mergeCell ref="B4:F4"/>
    <mergeCell ref="B8:F8"/>
    <mergeCell ref="B9:F9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0"/>
  <dimension ref="B1:AL133"/>
  <sheetViews>
    <sheetView showGridLines="0" zoomScale="85" zoomScaleNormal="85" workbookViewId="0">
      <selection activeCell="M13" sqref="M13"/>
    </sheetView>
  </sheetViews>
  <sheetFormatPr defaultColWidth="9" defaultRowHeight="16.5"/>
  <cols>
    <col min="1" max="1" width="4.625" style="560" customWidth="1"/>
    <col min="2" max="2" width="9" style="560"/>
    <col min="3" max="3" width="12.625" style="560" customWidth="1"/>
    <col min="4" max="4" width="11.125" style="560" customWidth="1"/>
    <col min="5" max="5" width="10.875" style="560" customWidth="1"/>
    <col min="6" max="6" width="11.5" style="560" customWidth="1"/>
    <col min="7" max="7" width="9" style="560"/>
    <col min="8" max="8" width="14.875" style="560" customWidth="1"/>
    <col min="9" max="9" width="10.5" style="560" customWidth="1"/>
    <col min="10" max="11" width="9" style="560"/>
    <col min="12" max="12" width="11.5" style="560" customWidth="1"/>
    <col min="13" max="13" width="9" style="560"/>
    <col min="14" max="16" width="2.875" style="560" customWidth="1"/>
    <col min="17" max="17" width="14.125" style="560" customWidth="1"/>
    <col min="18" max="18" width="15.25" style="560" customWidth="1"/>
    <col min="19" max="20" width="2.375" style="560" customWidth="1"/>
    <col min="21" max="21" width="4.75" style="560" customWidth="1"/>
    <col min="22" max="22" width="23.375" style="560" customWidth="1"/>
    <col min="23" max="23" width="17.375" style="560" customWidth="1"/>
    <col min="24" max="24" width="18.5" style="560" customWidth="1"/>
    <col min="25" max="25" width="19.375" style="560" customWidth="1"/>
    <col min="26" max="26" width="9.25" style="560" customWidth="1"/>
    <col min="27" max="27" width="16.25" style="560" customWidth="1"/>
    <col min="28" max="28" width="18.75" style="560" customWidth="1"/>
    <col min="29" max="30" width="17.625" style="560" customWidth="1"/>
    <col min="31" max="16384" width="9" style="560"/>
  </cols>
  <sheetData>
    <row r="1" spans="2:38">
      <c r="B1" s="558" t="s">
        <v>285</v>
      </c>
      <c r="C1" s="559" t="s">
        <v>455</v>
      </c>
      <c r="F1" s="560" t="s">
        <v>286</v>
      </c>
      <c r="G1" s="560" t="s">
        <v>287</v>
      </c>
      <c r="H1" s="561" t="s">
        <v>288</v>
      </c>
      <c r="I1" s="561" t="s">
        <v>289</v>
      </c>
      <c r="Q1" s="560" t="s">
        <v>290</v>
      </c>
      <c r="V1" s="562" t="s">
        <v>291</v>
      </c>
      <c r="W1" s="563">
        <f>IF(COUNTIF($F$5:$F$133,99)&gt;0,1,0)</f>
        <v>0</v>
      </c>
      <c r="AA1" s="562" t="s">
        <v>292</v>
      </c>
      <c r="AB1" s="563">
        <f>IF(COUNTIF($G$5:$G$133,1)&gt;0,1,0)</f>
        <v>0</v>
      </c>
    </row>
    <row r="2" spans="2:38">
      <c r="B2" s="558" t="s">
        <v>293</v>
      </c>
      <c r="C2" s="667">
        <v>1000000</v>
      </c>
      <c r="D2" s="147" t="s">
        <v>294</v>
      </c>
      <c r="E2" s="147" t="s">
        <v>294</v>
      </c>
      <c r="F2" s="560" t="s">
        <v>295</v>
      </c>
      <c r="G2" s="560" t="s">
        <v>296</v>
      </c>
      <c r="H2" s="561" t="s">
        <v>297</v>
      </c>
      <c r="I2" s="561"/>
      <c r="Q2" s="560" t="s">
        <v>298</v>
      </c>
      <c r="W2" s="560">
        <f>COLUMN(W2)</f>
        <v>23</v>
      </c>
      <c r="AB2" s="560">
        <f>COLUMN(AB2)</f>
        <v>28</v>
      </c>
      <c r="AD2" s="560">
        <f>COLUMN(AD2)</f>
        <v>30</v>
      </c>
      <c r="AI2" s="560">
        <f>COLUMN(AI2)</f>
        <v>35</v>
      </c>
      <c r="AL2" s="560">
        <f>COLUMN(AL2)</f>
        <v>38</v>
      </c>
    </row>
    <row r="3" spans="2:38">
      <c r="B3" s="666">
        <f t="shared" ref="B3:M3" si="0">COUNTA(B$5:B$133)</f>
        <v>5</v>
      </c>
      <c r="C3" s="666">
        <f t="shared" si="0"/>
        <v>1</v>
      </c>
      <c r="D3" s="666">
        <f t="shared" si="0"/>
        <v>3</v>
      </c>
      <c r="E3" s="666">
        <f t="shared" si="0"/>
        <v>1</v>
      </c>
      <c r="F3" s="666">
        <f t="shared" si="0"/>
        <v>5</v>
      </c>
      <c r="G3" s="666">
        <f t="shared" si="0"/>
        <v>1</v>
      </c>
      <c r="H3" s="666">
        <f t="shared" si="0"/>
        <v>1</v>
      </c>
      <c r="I3" s="666">
        <f t="shared" si="0"/>
        <v>16</v>
      </c>
      <c r="J3" s="666">
        <f t="shared" si="0"/>
        <v>1</v>
      </c>
      <c r="K3" s="666">
        <f t="shared" si="0"/>
        <v>1</v>
      </c>
      <c r="L3" s="666">
        <f t="shared" si="0"/>
        <v>1</v>
      </c>
      <c r="M3" s="666">
        <f t="shared" si="0"/>
        <v>1</v>
      </c>
      <c r="Q3" s="666">
        <f>COUNTA(Q$5:Q$133)</f>
        <v>2</v>
      </c>
      <c r="R3" s="666">
        <f>COUNTA(R$5:R$133)</f>
        <v>70</v>
      </c>
      <c r="V3" s="815" t="s">
        <v>299</v>
      </c>
      <c r="W3" s="816"/>
      <c r="AA3" s="815" t="s">
        <v>300</v>
      </c>
      <c r="AB3" s="817"/>
      <c r="AC3" s="817"/>
      <c r="AD3" s="816"/>
      <c r="AF3" s="564" t="s">
        <v>301</v>
      </c>
      <c r="AG3" s="564" t="s">
        <v>302</v>
      </c>
      <c r="AH3" s="564" t="s">
        <v>303</v>
      </c>
      <c r="AI3" s="564" t="s">
        <v>304</v>
      </c>
    </row>
    <row r="4" spans="2:38">
      <c r="B4" s="558" t="s">
        <v>305</v>
      </c>
      <c r="C4" s="558" t="s">
        <v>306</v>
      </c>
      <c r="D4" s="558" t="s">
        <v>307</v>
      </c>
      <c r="E4" s="558" t="s">
        <v>308</v>
      </c>
      <c r="F4" s="558" t="s">
        <v>281</v>
      </c>
      <c r="G4" s="558" t="s">
        <v>309</v>
      </c>
      <c r="H4" s="558" t="s">
        <v>310</v>
      </c>
      <c r="I4" s="558" t="s">
        <v>311</v>
      </c>
      <c r="J4" s="558" t="s">
        <v>312</v>
      </c>
      <c r="K4" s="558" t="s">
        <v>313</v>
      </c>
      <c r="L4" s="558" t="s">
        <v>314</v>
      </c>
      <c r="M4" s="558" t="s">
        <v>315</v>
      </c>
      <c r="Q4" s="558" t="s">
        <v>316</v>
      </c>
      <c r="R4" s="558" t="s">
        <v>317</v>
      </c>
      <c r="V4" s="666" t="s">
        <v>318</v>
      </c>
      <c r="W4" s="666">
        <v>2</v>
      </c>
      <c r="AA4" s="666" t="s">
        <v>319</v>
      </c>
      <c r="AB4" s="565">
        <f>IF($W$36=1,Main_무해지!K8,Main_무해지!L8)</f>
        <v>2</v>
      </c>
      <c r="AC4" s="666" t="s">
        <v>461</v>
      </c>
      <c r="AD4" s="574">
        <f>IF($W$36=1,Main_무해지!K9,Main_무해지!L9)</f>
        <v>7</v>
      </c>
      <c r="AE4"/>
      <c r="AF4" s="666">
        <v>0</v>
      </c>
      <c r="AG4" s="566">
        <f>일반형!CJ4</f>
        <v>0</v>
      </c>
      <c r="AH4" s="567">
        <f>+AB9</f>
        <v>70</v>
      </c>
      <c r="AI4" s="567">
        <f>+AB8</f>
        <v>0</v>
      </c>
      <c r="AJ4"/>
      <c r="AK4"/>
      <c r="AL4"/>
    </row>
    <row r="5" spans="2:38">
      <c r="B5" s="668" t="s">
        <v>450</v>
      </c>
      <c r="C5" s="666" t="s">
        <v>283</v>
      </c>
      <c r="D5" s="669">
        <v>30</v>
      </c>
      <c r="E5" s="666">
        <v>0</v>
      </c>
      <c r="F5" s="666">
        <v>5</v>
      </c>
      <c r="G5" s="666">
        <v>12</v>
      </c>
      <c r="H5" s="666">
        <v>0</v>
      </c>
      <c r="I5" s="666">
        <v>0</v>
      </c>
      <c r="J5" s="666">
        <v>0</v>
      </c>
      <c r="K5" s="666">
        <v>0</v>
      </c>
      <c r="L5" s="666">
        <v>13</v>
      </c>
      <c r="M5" s="666">
        <v>0</v>
      </c>
      <c r="Q5" s="666">
        <v>10</v>
      </c>
      <c r="R5" s="666">
        <v>30</v>
      </c>
      <c r="V5" s="568" t="s">
        <v>320</v>
      </c>
      <c r="W5" s="666">
        <v>0</v>
      </c>
      <c r="X5" s="560" t="s">
        <v>321</v>
      </c>
      <c r="AA5" s="560" t="s">
        <v>322</v>
      </c>
      <c r="AB5"/>
      <c r="AC5"/>
      <c r="AD5"/>
      <c r="AE5"/>
      <c r="AF5" s="666">
        <v>1</v>
      </c>
      <c r="AG5" s="566">
        <f>일반형!CJ5</f>
        <v>0</v>
      </c>
      <c r="AH5" s="565"/>
      <c r="AI5" s="565"/>
      <c r="AJ5"/>
      <c r="AK5"/>
      <c r="AL5"/>
    </row>
    <row r="6" spans="2:38">
      <c r="B6" s="666" t="s">
        <v>451</v>
      </c>
      <c r="C6" s="666"/>
      <c r="D6" s="669">
        <v>100</v>
      </c>
      <c r="E6" s="666"/>
      <c r="F6" s="666">
        <v>10</v>
      </c>
      <c r="G6" s="666"/>
      <c r="H6" s="666"/>
      <c r="I6" s="669">
        <v>1</v>
      </c>
      <c r="J6" s="666"/>
      <c r="K6" s="666"/>
      <c r="L6" s="666"/>
      <c r="M6" s="666"/>
      <c r="Q6" s="666">
        <v>100</v>
      </c>
      <c r="R6" s="666">
        <v>31</v>
      </c>
      <c r="V6" s="666" t="s">
        <v>311</v>
      </c>
      <c r="W6" s="666">
        <v>15</v>
      </c>
      <c r="AA6" s="666" t="s">
        <v>279</v>
      </c>
      <c r="AB6" s="666" t="s">
        <v>444</v>
      </c>
      <c r="AC6" s="666" t="s">
        <v>337</v>
      </c>
      <c r="AD6" s="666" t="s">
        <v>338</v>
      </c>
      <c r="AE6"/>
      <c r="AF6" s="666">
        <v>2</v>
      </c>
      <c r="AG6" s="566" t="str">
        <f>일반형!CJ6</f>
        <v/>
      </c>
      <c r="AH6" s="565"/>
      <c r="AI6" s="565"/>
      <c r="AJ6"/>
      <c r="AK6"/>
      <c r="AL6"/>
    </row>
    <row r="7" spans="2:38">
      <c r="B7" s="666" t="s">
        <v>452</v>
      </c>
      <c r="C7" s="666"/>
      <c r="D7" s="666">
        <v>1</v>
      </c>
      <c r="E7" s="666"/>
      <c r="F7" s="666">
        <v>20</v>
      </c>
      <c r="G7" s="666"/>
      <c r="H7" s="666"/>
      <c r="I7" s="669">
        <v>2</v>
      </c>
      <c r="J7" s="666"/>
      <c r="K7" s="666"/>
      <c r="L7" s="666"/>
      <c r="M7" s="666"/>
      <c r="Q7" s="666"/>
      <c r="R7" s="666">
        <v>32</v>
      </c>
      <c r="V7" s="568" t="s">
        <v>312</v>
      </c>
      <c r="W7" s="666">
        <v>0</v>
      </c>
      <c r="X7" s="560" t="s">
        <v>321</v>
      </c>
      <c r="AA7" s="666" t="s">
        <v>323</v>
      </c>
      <c r="AB7" s="569">
        <f>IF($W$36=1,Main_무해지!K9,Main_무해지!L9)</f>
        <v>7</v>
      </c>
      <c r="AC7" s="666"/>
      <c r="AD7" s="666"/>
      <c r="AE7" s="560" t="s">
        <v>324</v>
      </c>
      <c r="AF7" s="666">
        <v>3</v>
      </c>
      <c r="AG7" s="566" t="str">
        <f>일반형!CJ7</f>
        <v/>
      </c>
      <c r="AH7" s="565"/>
      <c r="AI7" s="565"/>
      <c r="AJ7"/>
      <c r="AK7"/>
      <c r="AL7"/>
    </row>
    <row r="8" spans="2:38">
      <c r="B8" s="666" t="s">
        <v>453</v>
      </c>
      <c r="C8" s="666"/>
      <c r="D8" s="666"/>
      <c r="E8" s="666"/>
      <c r="F8" s="666">
        <v>30</v>
      </c>
      <c r="G8" s="666"/>
      <c r="H8" s="666"/>
      <c r="I8" s="669">
        <v>3</v>
      </c>
      <c r="J8" s="666"/>
      <c r="K8" s="666"/>
      <c r="L8" s="666"/>
      <c r="M8" s="666"/>
      <c r="Q8" s="666"/>
      <c r="R8" s="666">
        <v>33</v>
      </c>
      <c r="V8" s="568" t="s">
        <v>313</v>
      </c>
      <c r="W8" s="666">
        <v>0</v>
      </c>
      <c r="X8" s="560" t="s">
        <v>321</v>
      </c>
      <c r="AA8" s="666" t="s">
        <v>325</v>
      </c>
      <c r="AB8" s="666">
        <f>IF($W$36=1,Main_무해지!K10,Main_무해지!L10)</f>
        <v>0</v>
      </c>
      <c r="AC8" s="666"/>
      <c r="AD8" s="666"/>
      <c r="AE8" s="560" t="s">
        <v>326</v>
      </c>
      <c r="AF8" s="666">
        <v>4</v>
      </c>
      <c r="AG8" s="566" t="str">
        <f>일반형!CJ8</f>
        <v/>
      </c>
      <c r="AH8" s="565"/>
      <c r="AI8" s="565"/>
      <c r="AJ8"/>
      <c r="AK8"/>
      <c r="AL8"/>
    </row>
    <row r="9" spans="2:38">
      <c r="B9" s="666" t="s">
        <v>454</v>
      </c>
      <c r="C9" s="666"/>
      <c r="D9" s="666"/>
      <c r="E9" s="666"/>
      <c r="F9" s="666">
        <v>1</v>
      </c>
      <c r="G9" s="666"/>
      <c r="H9" s="666"/>
      <c r="I9" s="669">
        <v>4</v>
      </c>
      <c r="J9" s="666"/>
      <c r="K9" s="666"/>
      <c r="L9" s="666"/>
      <c r="M9" s="666"/>
      <c r="Q9" s="666"/>
      <c r="R9" s="666">
        <v>34</v>
      </c>
      <c r="U9" s="818" t="s">
        <v>327</v>
      </c>
      <c r="V9" s="666" t="s">
        <v>328</v>
      </c>
      <c r="W9" s="666">
        <v>100</v>
      </c>
      <c r="X9" s="570" t="s">
        <v>329</v>
      </c>
      <c r="AA9" s="666" t="s">
        <v>330</v>
      </c>
      <c r="AB9" s="666">
        <f>IF(W36=1,Main_무해지!K11,Main_무해지!L11)</f>
        <v>70</v>
      </c>
      <c r="AC9" s="666"/>
      <c r="AD9" s="666"/>
      <c r="AE9" s="560" t="s">
        <v>331</v>
      </c>
      <c r="AF9"/>
      <c r="AG9"/>
      <c r="AH9"/>
      <c r="AI9"/>
      <c r="AJ9"/>
      <c r="AK9"/>
      <c r="AL9"/>
    </row>
    <row r="10" spans="2:38">
      <c r="B10" s="666"/>
      <c r="C10" s="666"/>
      <c r="D10" s="666"/>
      <c r="E10" s="666"/>
      <c r="F10" s="666"/>
      <c r="G10" s="666"/>
      <c r="H10" s="666"/>
      <c r="I10" s="669">
        <v>5</v>
      </c>
      <c r="J10" s="666"/>
      <c r="K10" s="666"/>
      <c r="L10" s="666"/>
      <c r="M10" s="666"/>
      <c r="Q10" s="666"/>
      <c r="R10" s="666">
        <v>35</v>
      </c>
      <c r="U10" s="818"/>
      <c r="V10" s="666" t="s">
        <v>332</v>
      </c>
      <c r="W10" s="666">
        <v>85</v>
      </c>
      <c r="AB10" s="570" t="s">
        <v>445</v>
      </c>
      <c r="AC10"/>
      <c r="AD10"/>
      <c r="AE10"/>
      <c r="AF10" s="564" t="s">
        <v>333</v>
      </c>
      <c r="AG10" s="564" t="s">
        <v>334</v>
      </c>
      <c r="AH10" s="564"/>
      <c r="AI10" s="564"/>
      <c r="AJ10" s="564"/>
      <c r="AK10" s="564" t="s">
        <v>335</v>
      </c>
      <c r="AL10" s="564"/>
    </row>
    <row r="11" spans="2:38">
      <c r="B11" s="666"/>
      <c r="C11" s="666"/>
      <c r="D11" s="666"/>
      <c r="E11" s="666"/>
      <c r="F11" s="666"/>
      <c r="G11" s="666"/>
      <c r="H11" s="666"/>
      <c r="I11" s="669">
        <v>6</v>
      </c>
      <c r="J11" s="666"/>
      <c r="K11" s="666"/>
      <c r="L11" s="666"/>
      <c r="M11" s="666"/>
      <c r="Q11" s="666"/>
      <c r="R11" s="666">
        <v>36</v>
      </c>
      <c r="V11" s="568" t="s">
        <v>336</v>
      </c>
      <c r="W11" s="666">
        <v>0</v>
      </c>
      <c r="X11" s="560" t="s">
        <v>321</v>
      </c>
      <c r="AA11" s="666" t="s">
        <v>302</v>
      </c>
      <c r="AB11" s="666" t="s">
        <v>444</v>
      </c>
      <c r="AC11" s="666" t="s">
        <v>337</v>
      </c>
      <c r="AD11" s="666" t="s">
        <v>338</v>
      </c>
      <c r="AE11" s="560" t="s">
        <v>339</v>
      </c>
      <c r="AF11" s="564" t="s">
        <v>340</v>
      </c>
      <c r="AG11" s="571" t="s">
        <v>341</v>
      </c>
      <c r="AH11" s="564" t="s">
        <v>342</v>
      </c>
      <c r="AI11" s="571" t="s">
        <v>343</v>
      </c>
      <c r="AJ11" s="564" t="s">
        <v>344</v>
      </c>
      <c r="AK11" s="572" t="s">
        <v>341</v>
      </c>
      <c r="AL11" s="572" t="s">
        <v>343</v>
      </c>
    </row>
    <row r="12" spans="2:38">
      <c r="B12" s="666"/>
      <c r="C12" s="666"/>
      <c r="D12" s="666"/>
      <c r="E12" s="666"/>
      <c r="F12" s="666"/>
      <c r="G12" s="666"/>
      <c r="H12" s="666"/>
      <c r="I12" s="669">
        <v>7</v>
      </c>
      <c r="J12" s="666"/>
      <c r="K12" s="666"/>
      <c r="L12" s="666"/>
      <c r="M12" s="666"/>
      <c r="Q12" s="666"/>
      <c r="R12" s="666">
        <v>37</v>
      </c>
      <c r="V12" s="666" t="s">
        <v>345</v>
      </c>
      <c r="W12" s="666">
        <v>30</v>
      </c>
      <c r="AA12" s="666">
        <v>0</v>
      </c>
      <c r="AB12" s="574">
        <f>IF($L$5=13,IF(Main_무해지!R3="",0,Main_무해지!R3),IF($W$36=1,IF(Main_무해지!CJ4="",0,Main_무해지!CJ4),IF(일반형!CJ4="",0,일반형!CJ4)))</f>
        <v>0</v>
      </c>
      <c r="AC12" s="574"/>
      <c r="AD12" s="574"/>
      <c r="AE12" s="560" t="s">
        <v>387</v>
      </c>
      <c r="AF12" s="575">
        <v>0</v>
      </c>
      <c r="AG12" s="565">
        <f>IF(12*$W$12&gt;=$AF12,AF12*$AB$4,0)</f>
        <v>0</v>
      </c>
      <c r="AH12" s="565">
        <f t="shared" ref="AH12:AH23" si="1">IF(12*$W$10&gt;$AF12,VLOOKUP(ROUNDDOWN($AF12/12,0),$AF$4:$AG$8,2)+(VLOOKUP(ROUNDDOWN($AF12/12,0)+1,$AF$4:$AG$8,2)-VLOOKUP(ROUNDDOWN($AF12/12,0),$AF$4:$AG$8,2))*MOD(AF12,12)/12,0)</f>
        <v>0</v>
      </c>
      <c r="AI12" s="576">
        <f>IF(12*$W$10&gt;=$AF12,MAX(AH12-MIN($AH$4,$AI$4)*(MIN($W$12,7)*12-AF12)/(MIN($W$12,7)*12),0),0)</f>
        <v>0</v>
      </c>
      <c r="AJ12" s="574">
        <v>0</v>
      </c>
      <c r="AK12" s="565">
        <f>IF(12*$W$12&gt;=$AF12,AF12*$AB$4,0)</f>
        <v>0</v>
      </c>
      <c r="AL12" s="577">
        <f>+IF(AF12&lt;$W$12*12,0,AJ12*AK12)</f>
        <v>0</v>
      </c>
    </row>
    <row r="13" spans="2:38">
      <c r="B13" s="666"/>
      <c r="C13" s="666"/>
      <c r="D13" s="666"/>
      <c r="E13" s="666"/>
      <c r="F13" s="666"/>
      <c r="G13" s="666"/>
      <c r="H13" s="666"/>
      <c r="I13" s="669">
        <v>8</v>
      </c>
      <c r="J13" s="666"/>
      <c r="K13" s="666"/>
      <c r="L13" s="666"/>
      <c r="M13" s="666"/>
      <c r="Q13" s="666"/>
      <c r="R13" s="666">
        <v>38</v>
      </c>
      <c r="V13" s="666" t="s">
        <v>309</v>
      </c>
      <c r="W13" s="666">
        <v>12</v>
      </c>
      <c r="AA13" s="666">
        <v>1</v>
      </c>
      <c r="AB13" s="574">
        <f>IF($L$5=13,IF(Main_무해지!R7="",0,Main_무해지!R7),IF($W$36=1,IF(Main_무해지!CJ5="",0,Main_무해지!CJ5),IF(일반형!CJ5="",0,일반형!CJ5)))</f>
        <v>0</v>
      </c>
      <c r="AC13" s="574"/>
      <c r="AD13" s="574"/>
      <c r="AE13"/>
      <c r="AF13" s="575">
        <f>+AF12+1</f>
        <v>1</v>
      </c>
      <c r="AG13" s="565">
        <f t="shared" ref="AG13:AG49" si="2">IF(12*$W$12&gt;=$AF13,AF13*$AB$4,0)</f>
        <v>2</v>
      </c>
      <c r="AH13" s="565">
        <f t="shared" si="1"/>
        <v>0</v>
      </c>
      <c r="AI13" s="576">
        <f t="shared" ref="AI13:AI49" si="3">IF(12*$W$10&gt;=$AF13,MAX(AH13-MIN($AH$4,$AI$4)*(MIN($W$12,7)*12-AF13)/(MIN($W$12,7)*12),0),0)</f>
        <v>0</v>
      </c>
      <c r="AJ13" s="573">
        <f>IF(12*$W$10&gt;=$AF13,ROUNDDOWN(AI13/AG13,3),0)</f>
        <v>0</v>
      </c>
      <c r="AK13" s="565">
        <f t="shared" ref="AK13:AK49" si="4">IF(12*$W$12&gt;=$AF13,AF13*$AB$4,0)</f>
        <v>2</v>
      </c>
      <c r="AL13" s="577">
        <f t="shared" ref="AL13:AL49" si="5">+IF(AF13&lt;$W$12*12,0,AJ13*AK13)</f>
        <v>0</v>
      </c>
    </row>
    <row r="14" spans="2:38">
      <c r="B14" s="666"/>
      <c r="C14" s="666"/>
      <c r="D14" s="666"/>
      <c r="E14" s="666"/>
      <c r="F14" s="666"/>
      <c r="G14" s="666"/>
      <c r="H14" s="666"/>
      <c r="I14" s="669">
        <v>9</v>
      </c>
      <c r="J14" s="666"/>
      <c r="K14" s="666"/>
      <c r="L14" s="666"/>
      <c r="M14" s="666"/>
      <c r="Q14" s="666"/>
      <c r="R14" s="666">
        <v>39</v>
      </c>
      <c r="V14" s="666" t="s">
        <v>346</v>
      </c>
      <c r="W14" s="666">
        <v>100</v>
      </c>
      <c r="X14" s="560" t="s">
        <v>347</v>
      </c>
      <c r="AA14" s="666">
        <v>2</v>
      </c>
      <c r="AB14" s="574">
        <f>IF($L$5=13,IF(Main_무해지!R8="",0,Main_무해지!R8),IF($W$36=1,IF(Main_무해지!CJ6="",0,Main_무해지!CJ6),IF(일반형!CJ6="",0,일반형!CJ6)))</f>
        <v>0</v>
      </c>
      <c r="AC14" s="574"/>
      <c r="AD14" s="574"/>
      <c r="AE14"/>
      <c r="AF14" s="575">
        <f t="shared" ref="AF14:AF49" si="6">+AF13+1</f>
        <v>2</v>
      </c>
      <c r="AG14" s="565">
        <f t="shared" si="2"/>
        <v>4</v>
      </c>
      <c r="AH14" s="565">
        <f t="shared" si="1"/>
        <v>0</v>
      </c>
      <c r="AI14" s="576">
        <f t="shared" si="3"/>
        <v>0</v>
      </c>
      <c r="AJ14" s="573">
        <f t="shared" ref="AJ14:AJ49" si="7">IF(12*$W$10&gt;=$AF14,ROUNDDOWN(AI14/AG14,3),0)</f>
        <v>0</v>
      </c>
      <c r="AK14" s="565">
        <f t="shared" si="4"/>
        <v>4</v>
      </c>
      <c r="AL14" s="577">
        <f t="shared" si="5"/>
        <v>0</v>
      </c>
    </row>
    <row r="15" spans="2:38">
      <c r="B15" s="666"/>
      <c r="C15" s="666"/>
      <c r="D15" s="666"/>
      <c r="E15" s="666"/>
      <c r="F15" s="666"/>
      <c r="G15" s="666"/>
      <c r="H15" s="666"/>
      <c r="I15" s="669">
        <v>10</v>
      </c>
      <c r="J15" s="666"/>
      <c r="K15" s="666"/>
      <c r="L15" s="666"/>
      <c r="M15" s="666"/>
      <c r="Q15" s="666"/>
      <c r="R15" s="666">
        <v>40</v>
      </c>
      <c r="V15" s="666" t="s">
        <v>306</v>
      </c>
      <c r="W15" s="666" t="s">
        <v>283</v>
      </c>
      <c r="X15" s="570" t="s">
        <v>348</v>
      </c>
      <c r="AA15" s="666">
        <v>3</v>
      </c>
      <c r="AB15" s="574">
        <f>IF($L$5=13,IF(Main_무해지!R9="",0,Main_무해지!R9),IF($W$36=1,IF(Main_무해지!CJ7="",0,Main_무해지!CJ7),IF(일반형!CJ7="",0,일반형!CJ7)))</f>
        <v>0</v>
      </c>
      <c r="AC15" s="574"/>
      <c r="AD15" s="574"/>
      <c r="AE15"/>
      <c r="AF15" s="575">
        <f t="shared" si="6"/>
        <v>3</v>
      </c>
      <c r="AG15" s="565">
        <f t="shared" si="2"/>
        <v>6</v>
      </c>
      <c r="AH15" s="565">
        <f t="shared" si="1"/>
        <v>0</v>
      </c>
      <c r="AI15" s="576">
        <f t="shared" si="3"/>
        <v>0</v>
      </c>
      <c r="AJ15" s="573">
        <f t="shared" si="7"/>
        <v>0</v>
      </c>
      <c r="AK15" s="565">
        <f t="shared" si="4"/>
        <v>6</v>
      </c>
      <c r="AL15" s="577">
        <f t="shared" si="5"/>
        <v>0</v>
      </c>
    </row>
    <row r="16" spans="2:38">
      <c r="B16" s="666"/>
      <c r="C16" s="666"/>
      <c r="D16" s="666"/>
      <c r="E16" s="666"/>
      <c r="F16" s="666"/>
      <c r="G16" s="666"/>
      <c r="H16" s="666"/>
      <c r="I16" s="669">
        <v>11</v>
      </c>
      <c r="J16" s="666"/>
      <c r="K16" s="666"/>
      <c r="L16" s="666"/>
      <c r="M16" s="666"/>
      <c r="Q16" s="666"/>
      <c r="R16" s="666">
        <v>41</v>
      </c>
      <c r="V16" s="666" t="s">
        <v>314</v>
      </c>
      <c r="W16" s="666">
        <v>13</v>
      </c>
      <c r="X16" s="570" t="s">
        <v>349</v>
      </c>
      <c r="AA16" s="666">
        <v>4</v>
      </c>
      <c r="AB16" s="574">
        <f>IF($L$5=13,IF(Main_무해지!R10="",0,Main_무해지!R10),IF($W$36=1,IF(Main_무해지!CJ8="",0,Main_무해지!CJ8),IF(일반형!CJ8="",0,일반형!CJ8)))</f>
        <v>0</v>
      </c>
      <c r="AC16" s="574"/>
      <c r="AD16" s="574"/>
      <c r="AE16"/>
      <c r="AF16" s="575">
        <f t="shared" si="6"/>
        <v>4</v>
      </c>
      <c r="AG16" s="565">
        <f t="shared" si="2"/>
        <v>8</v>
      </c>
      <c r="AH16" s="565">
        <f t="shared" si="1"/>
        <v>0</v>
      </c>
      <c r="AI16" s="576">
        <f t="shared" si="3"/>
        <v>0</v>
      </c>
      <c r="AJ16" s="573">
        <f t="shared" si="7"/>
        <v>0</v>
      </c>
      <c r="AK16" s="565">
        <f t="shared" si="4"/>
        <v>8</v>
      </c>
      <c r="AL16" s="577">
        <f t="shared" si="5"/>
        <v>0</v>
      </c>
    </row>
    <row r="17" spans="2:38">
      <c r="B17" s="666"/>
      <c r="C17" s="666"/>
      <c r="D17" s="666"/>
      <c r="E17" s="666"/>
      <c r="F17" s="666"/>
      <c r="G17" s="666"/>
      <c r="H17" s="666"/>
      <c r="I17" s="669">
        <v>12</v>
      </c>
      <c r="J17" s="666"/>
      <c r="K17" s="666"/>
      <c r="L17" s="666"/>
      <c r="M17" s="666"/>
      <c r="Q17" s="666"/>
      <c r="R17" s="666">
        <v>42</v>
      </c>
      <c r="V17" s="666" t="s">
        <v>305</v>
      </c>
      <c r="W17" s="668" t="s">
        <v>462</v>
      </c>
      <c r="AA17" s="666">
        <v>5</v>
      </c>
      <c r="AB17" s="574">
        <f>IF($L$5=13,IF(Main_무해지!R11="",0,Main_무해지!R11),IF($W$36=1,IF(Main_무해지!CJ9="",0,Main_무해지!CJ9),IF(일반형!CJ9="",0,일반형!CJ9)))</f>
        <v>0</v>
      </c>
      <c r="AC17" s="574"/>
      <c r="AD17" s="574"/>
      <c r="AE17"/>
      <c r="AF17" s="575">
        <f t="shared" si="6"/>
        <v>5</v>
      </c>
      <c r="AG17" s="565">
        <f t="shared" si="2"/>
        <v>10</v>
      </c>
      <c r="AH17" s="565">
        <f t="shared" si="1"/>
        <v>0</v>
      </c>
      <c r="AI17" s="576">
        <f t="shared" si="3"/>
        <v>0</v>
      </c>
      <c r="AJ17" s="573">
        <f t="shared" si="7"/>
        <v>0</v>
      </c>
      <c r="AK17" s="565">
        <f t="shared" si="4"/>
        <v>10</v>
      </c>
      <c r="AL17" s="577">
        <f t="shared" si="5"/>
        <v>0</v>
      </c>
    </row>
    <row r="18" spans="2:38">
      <c r="B18" s="666"/>
      <c r="C18" s="666"/>
      <c r="D18" s="666"/>
      <c r="E18" s="666"/>
      <c r="F18" s="666"/>
      <c r="G18" s="666"/>
      <c r="H18" s="666"/>
      <c r="I18" s="669">
        <v>13</v>
      </c>
      <c r="J18" s="666"/>
      <c r="K18" s="666"/>
      <c r="L18" s="666"/>
      <c r="M18" s="666"/>
      <c r="Q18" s="666"/>
      <c r="R18" s="666">
        <v>43</v>
      </c>
      <c r="AA18" s="666">
        <v>6</v>
      </c>
      <c r="AB18" s="574">
        <f>IF($L$5=13,IF(Main_무해지!R12="",0,Main_무해지!R12),IF($W$36=1,IF(Main_무해지!CJ10="",0,Main_무해지!CJ10),IF(일반형!CJ10="",0,일반형!CJ10)))</f>
        <v>0</v>
      </c>
      <c r="AC18" s="574"/>
      <c r="AD18" s="574"/>
      <c r="AE18"/>
      <c r="AF18" s="575">
        <f t="shared" si="6"/>
        <v>6</v>
      </c>
      <c r="AG18" s="565">
        <f t="shared" si="2"/>
        <v>12</v>
      </c>
      <c r="AH18" s="565">
        <f t="shared" si="1"/>
        <v>0</v>
      </c>
      <c r="AI18" s="576">
        <f t="shared" si="3"/>
        <v>0</v>
      </c>
      <c r="AJ18" s="573">
        <f>IF(12*$W$10&gt;=$AF18,ROUNDDOWN(AI18/AG18,3),0)</f>
        <v>0</v>
      </c>
      <c r="AK18" s="565">
        <f t="shared" si="4"/>
        <v>12</v>
      </c>
      <c r="AL18" s="577">
        <f t="shared" si="5"/>
        <v>0</v>
      </c>
    </row>
    <row r="19" spans="2:38">
      <c r="B19" s="666"/>
      <c r="C19" s="666"/>
      <c r="D19" s="666"/>
      <c r="E19" s="666"/>
      <c r="F19" s="666"/>
      <c r="G19" s="666"/>
      <c r="H19" s="666"/>
      <c r="I19" s="669">
        <v>14</v>
      </c>
      <c r="J19" s="666"/>
      <c r="K19" s="666"/>
      <c r="L19" s="666"/>
      <c r="M19" s="666"/>
      <c r="Q19" s="666"/>
      <c r="R19" s="666">
        <v>44</v>
      </c>
      <c r="W19" s="147"/>
      <c r="AA19" s="666">
        <v>7</v>
      </c>
      <c r="AB19" s="574">
        <f>IF($L$5=13,IF(Main_무해지!R13="",0,Main_무해지!R13),IF($W$36=1,IF(Main_무해지!CJ11="",0,Main_무해지!CJ11),IF(일반형!CJ11="",0,일반형!CJ11)))</f>
        <v>0</v>
      </c>
      <c r="AC19" s="574"/>
      <c r="AD19" s="574"/>
      <c r="AE19"/>
      <c r="AF19" s="575">
        <f t="shared" si="6"/>
        <v>7</v>
      </c>
      <c r="AG19" s="565">
        <f t="shared" si="2"/>
        <v>14</v>
      </c>
      <c r="AH19" s="565">
        <f t="shared" si="1"/>
        <v>0</v>
      </c>
      <c r="AI19" s="576">
        <f t="shared" si="3"/>
        <v>0</v>
      </c>
      <c r="AJ19" s="573">
        <f t="shared" si="7"/>
        <v>0</v>
      </c>
      <c r="AK19" s="565">
        <f t="shared" si="4"/>
        <v>14</v>
      </c>
      <c r="AL19" s="577">
        <f t="shared" si="5"/>
        <v>0</v>
      </c>
    </row>
    <row r="20" spans="2:38">
      <c r="B20" s="666"/>
      <c r="C20" s="666"/>
      <c r="D20" s="666"/>
      <c r="E20" s="666"/>
      <c r="F20" s="666"/>
      <c r="G20" s="666"/>
      <c r="H20" s="666"/>
      <c r="I20" s="669">
        <v>15</v>
      </c>
      <c r="J20" s="666"/>
      <c r="K20" s="666"/>
      <c r="L20" s="666"/>
      <c r="M20" s="666"/>
      <c r="Q20" s="666"/>
      <c r="R20" s="666">
        <v>45</v>
      </c>
      <c r="W20" s="147"/>
      <c r="AA20" s="666">
        <v>8</v>
      </c>
      <c r="AB20" s="574">
        <f>IF($L$5=13,IF(Main_무해지!R14="",0,Main_무해지!R14),IF($W$36=1,IF(Main_무해지!CJ12="",0,Main_무해지!CJ12),IF(일반형!CJ12="",0,일반형!CJ12)))</f>
        <v>0</v>
      </c>
      <c r="AC20" s="574"/>
      <c r="AD20" s="574"/>
      <c r="AE20"/>
      <c r="AF20" s="575">
        <f t="shared" si="6"/>
        <v>8</v>
      </c>
      <c r="AG20" s="565">
        <f t="shared" si="2"/>
        <v>16</v>
      </c>
      <c r="AH20" s="565">
        <f t="shared" si="1"/>
        <v>0</v>
      </c>
      <c r="AI20" s="576">
        <f t="shared" si="3"/>
        <v>0</v>
      </c>
      <c r="AJ20" s="573">
        <f t="shared" si="7"/>
        <v>0</v>
      </c>
      <c r="AK20" s="565">
        <f t="shared" si="4"/>
        <v>16</v>
      </c>
      <c r="AL20" s="577">
        <f t="shared" si="5"/>
        <v>0</v>
      </c>
    </row>
    <row r="21" spans="2:38">
      <c r="B21" s="666"/>
      <c r="C21" s="666"/>
      <c r="D21" s="666"/>
      <c r="E21" s="666"/>
      <c r="F21" s="666"/>
      <c r="G21" s="666"/>
      <c r="H21" s="666"/>
      <c r="I21" s="666"/>
      <c r="J21" s="666"/>
      <c r="K21" s="666"/>
      <c r="L21" s="666"/>
      <c r="M21" s="666"/>
      <c r="Q21" s="666"/>
      <c r="R21" s="666">
        <v>46</v>
      </c>
      <c r="AA21" s="666">
        <v>9</v>
      </c>
      <c r="AB21" s="574">
        <f>IF($L$5=13,IF(Main_무해지!R15="",0,Main_무해지!R15),IF($W$36=1,IF(Main_무해지!CJ13="",0,Main_무해지!CJ13),IF(일반형!CJ13="",0,일반형!CJ13)))</f>
        <v>0</v>
      </c>
      <c r="AC21" s="574"/>
      <c r="AD21" s="574"/>
      <c r="AE21"/>
      <c r="AF21" s="575">
        <f t="shared" si="6"/>
        <v>9</v>
      </c>
      <c r="AG21" s="565">
        <f t="shared" si="2"/>
        <v>18</v>
      </c>
      <c r="AH21" s="565">
        <f t="shared" si="1"/>
        <v>0</v>
      </c>
      <c r="AI21" s="576">
        <f t="shared" si="3"/>
        <v>0</v>
      </c>
      <c r="AJ21" s="573">
        <f t="shared" si="7"/>
        <v>0</v>
      </c>
      <c r="AK21" s="565">
        <f t="shared" si="4"/>
        <v>18</v>
      </c>
      <c r="AL21" s="577">
        <f t="shared" si="5"/>
        <v>0</v>
      </c>
    </row>
    <row r="22" spans="2:38">
      <c r="B22" s="666"/>
      <c r="C22" s="666"/>
      <c r="D22" s="666"/>
      <c r="E22" s="666"/>
      <c r="F22" s="666"/>
      <c r="G22" s="666"/>
      <c r="H22" s="666"/>
      <c r="I22" s="666"/>
      <c r="J22" s="666"/>
      <c r="K22" s="666"/>
      <c r="L22" s="666"/>
      <c r="M22" s="666"/>
      <c r="Q22" s="666"/>
      <c r="R22" s="666">
        <v>47</v>
      </c>
      <c r="V22" s="666" t="s">
        <v>350</v>
      </c>
      <c r="W22" s="666" t="s">
        <v>351</v>
      </c>
      <c r="X22" s="666" t="s">
        <v>352</v>
      </c>
      <c r="AA22" s="666">
        <v>10</v>
      </c>
      <c r="AB22" s="574">
        <f>IF($L$5=13,IF(Main_무해지!R16="",0,Main_무해지!R16),IF($W$36=1,IF(Main_무해지!CJ14="",0,Main_무해지!CJ14),IF(일반형!CJ14="",0,일반형!CJ14)))</f>
        <v>0</v>
      </c>
      <c r="AC22" s="574"/>
      <c r="AD22" s="574"/>
      <c r="AE22"/>
      <c r="AF22" s="575">
        <f t="shared" si="6"/>
        <v>10</v>
      </c>
      <c r="AG22" s="565">
        <f t="shared" si="2"/>
        <v>20</v>
      </c>
      <c r="AH22" s="565">
        <f t="shared" si="1"/>
        <v>0</v>
      </c>
      <c r="AI22" s="576">
        <f t="shared" si="3"/>
        <v>0</v>
      </c>
      <c r="AJ22" s="573">
        <f t="shared" si="7"/>
        <v>0</v>
      </c>
      <c r="AK22" s="565">
        <f t="shared" si="4"/>
        <v>20</v>
      </c>
      <c r="AL22" s="577">
        <f t="shared" si="5"/>
        <v>0</v>
      </c>
    </row>
    <row r="23" spans="2:38">
      <c r="B23" s="666"/>
      <c r="C23" s="666"/>
      <c r="D23" s="666"/>
      <c r="E23" s="666"/>
      <c r="F23" s="666"/>
      <c r="G23" s="666"/>
      <c r="H23" s="666"/>
      <c r="I23" s="666"/>
      <c r="J23" s="666"/>
      <c r="K23" s="666"/>
      <c r="L23" s="666"/>
      <c r="M23" s="666"/>
      <c r="Q23" s="666"/>
      <c r="R23" s="666">
        <v>48</v>
      </c>
      <c r="V23" s="666" t="s">
        <v>353</v>
      </c>
      <c r="W23" s="559">
        <v>0</v>
      </c>
      <c r="X23" s="666">
        <v>154</v>
      </c>
      <c r="Y23" s="560">
        <f>X23*2</f>
        <v>308</v>
      </c>
      <c r="AA23" s="666">
        <v>11</v>
      </c>
      <c r="AB23" s="574">
        <f>IF($L$5=13,IF(Main_무해지!R17="",0,Main_무해지!R17),IF($W$36=1,IF(Main_무해지!CJ15="",0,Main_무해지!CJ15),IF(일반형!CJ15="",0,일반형!CJ15)))</f>
        <v>0</v>
      </c>
      <c r="AC23" s="574"/>
      <c r="AD23" s="574"/>
      <c r="AE23"/>
      <c r="AF23" s="575">
        <f t="shared" si="6"/>
        <v>11</v>
      </c>
      <c r="AG23" s="565">
        <f t="shared" si="2"/>
        <v>22</v>
      </c>
      <c r="AH23" s="565">
        <f t="shared" si="1"/>
        <v>0</v>
      </c>
      <c r="AI23" s="576">
        <f t="shared" si="3"/>
        <v>0</v>
      </c>
      <c r="AJ23" s="573">
        <f t="shared" si="7"/>
        <v>0</v>
      </c>
      <c r="AK23" s="565">
        <f t="shared" si="4"/>
        <v>22</v>
      </c>
      <c r="AL23" s="577">
        <f t="shared" si="5"/>
        <v>0</v>
      </c>
    </row>
    <row r="24" spans="2:38">
      <c r="B24" s="666"/>
      <c r="C24" s="666"/>
      <c r="D24" s="666"/>
      <c r="E24" s="666"/>
      <c r="F24" s="666"/>
      <c r="G24" s="666"/>
      <c r="H24" s="666"/>
      <c r="I24" s="666"/>
      <c r="J24" s="666"/>
      <c r="K24" s="666"/>
      <c r="L24" s="666"/>
      <c r="M24" s="666"/>
      <c r="Q24" s="666"/>
      <c r="R24" s="666">
        <v>49</v>
      </c>
      <c r="V24" s="666" t="s">
        <v>354</v>
      </c>
      <c r="W24" s="559">
        <v>1</v>
      </c>
      <c r="X24" s="666">
        <v>10651</v>
      </c>
      <c r="AA24" s="666">
        <v>12</v>
      </c>
      <c r="AB24" s="574">
        <f>IF($L$5=13,IF(Main_무해지!R18="",0,Main_무해지!R18),IF($W$36=1,IF(Main_무해지!CJ16="",0,Main_무해지!CJ16),IF(일반형!CJ16="",0,일반형!CJ16)))</f>
        <v>0</v>
      </c>
      <c r="AC24" s="574"/>
      <c r="AD24" s="574"/>
      <c r="AE24"/>
      <c r="AF24" s="575">
        <f t="shared" si="6"/>
        <v>12</v>
      </c>
      <c r="AG24" s="565">
        <f t="shared" si="2"/>
        <v>24</v>
      </c>
      <c r="AH24" s="565" t="e">
        <f>IF(12*$W$10&gt;$AF24,VLOOKUP(ROUNDDOWN($AF24/12,0),$AF$4:$AG$8,2)+(VLOOKUP(ROUNDDOWN($AF24/12,0)+1,$AF$4:$AG$8,2)-VLOOKUP(ROUNDDOWN($AF24/12,0),$AF$4:$AG$8,2))*MOD(AF24,12)/12,0)</f>
        <v>#VALUE!</v>
      </c>
      <c r="AI24" s="578" t="e">
        <f t="shared" si="3"/>
        <v>#VALUE!</v>
      </c>
      <c r="AJ24" s="573" t="e">
        <f t="shared" si="7"/>
        <v>#VALUE!</v>
      </c>
      <c r="AK24" s="565">
        <f t="shared" si="4"/>
        <v>24</v>
      </c>
      <c r="AL24" s="577">
        <f t="shared" si="5"/>
        <v>0</v>
      </c>
    </row>
    <row r="25" spans="2:38">
      <c r="B25" s="666"/>
      <c r="C25" s="666"/>
      <c r="D25" s="666"/>
      <c r="E25" s="666"/>
      <c r="F25" s="666"/>
      <c r="G25" s="666"/>
      <c r="H25" s="666"/>
      <c r="I25" s="666"/>
      <c r="J25" s="666"/>
      <c r="K25" s="666"/>
      <c r="L25" s="666"/>
      <c r="M25" s="666"/>
      <c r="Q25" s="666"/>
      <c r="R25" s="666">
        <v>50</v>
      </c>
      <c r="V25" s="666" t="s">
        <v>355</v>
      </c>
      <c r="W25" s="559">
        <v>0</v>
      </c>
      <c r="X25" s="666"/>
      <c r="AA25" s="666">
        <v>13</v>
      </c>
      <c r="AB25" s="574">
        <f>IF($L$5=13,IF(Main_무해지!R19="",0,Main_무해지!R19),IF($W$36=1,IF(Main_무해지!CJ17="",0,Main_무해지!CJ17),IF(일반형!CJ17="",0,일반형!CJ17)))</f>
        <v>0</v>
      </c>
      <c r="AC25" s="574"/>
      <c r="AD25" s="574"/>
      <c r="AE25"/>
      <c r="AF25" s="575">
        <f t="shared" si="6"/>
        <v>13</v>
      </c>
      <c r="AG25" s="565">
        <f t="shared" si="2"/>
        <v>26</v>
      </c>
      <c r="AH25" s="565" t="e">
        <f t="shared" ref="AH25:AH49" si="8">IF(12*$W$10&gt;$AF25,VLOOKUP(ROUNDDOWN($AF25/12,0),$AF$4:$AG$8,2)+(VLOOKUP(ROUNDDOWN($AF25/12,0)+1,$AF$4:$AG$8,2)-VLOOKUP(ROUNDDOWN($AF25/12,0),$AF$4:$AG$8,2))*MOD(AF25,12)/12,0)</f>
        <v>#VALUE!</v>
      </c>
      <c r="AI25" s="576" t="e">
        <f t="shared" si="3"/>
        <v>#VALUE!</v>
      </c>
      <c r="AJ25" s="573" t="e">
        <f t="shared" si="7"/>
        <v>#VALUE!</v>
      </c>
      <c r="AK25" s="565">
        <f t="shared" si="4"/>
        <v>26</v>
      </c>
      <c r="AL25" s="577">
        <f t="shared" si="5"/>
        <v>0</v>
      </c>
    </row>
    <row r="26" spans="2:38" ht="17.25" thickBot="1">
      <c r="B26" s="666"/>
      <c r="C26" s="666"/>
      <c r="D26" s="666"/>
      <c r="E26" s="666"/>
      <c r="F26" s="666"/>
      <c r="G26" s="666"/>
      <c r="H26" s="666"/>
      <c r="I26" s="666"/>
      <c r="J26" s="666"/>
      <c r="K26" s="666"/>
      <c r="L26" s="666"/>
      <c r="M26" s="666"/>
      <c r="Q26" s="666"/>
      <c r="R26" s="666">
        <v>51</v>
      </c>
      <c r="AA26" s="666">
        <v>14</v>
      </c>
      <c r="AB26" s="574">
        <f>IF($L$5=13,IF(Main_무해지!R20="",0,Main_무해지!R20),IF($W$36=1,IF(Main_무해지!CJ18="",0,Main_무해지!CJ18),IF(일반형!CJ18="",0,일반형!CJ18)))</f>
        <v>0</v>
      </c>
      <c r="AC26" s="574"/>
      <c r="AD26" s="574"/>
      <c r="AE26"/>
      <c r="AF26" s="575">
        <f t="shared" si="6"/>
        <v>14</v>
      </c>
      <c r="AG26" s="565">
        <f t="shared" si="2"/>
        <v>28</v>
      </c>
      <c r="AH26" s="565" t="e">
        <f t="shared" si="8"/>
        <v>#VALUE!</v>
      </c>
      <c r="AI26" s="576" t="e">
        <f t="shared" si="3"/>
        <v>#VALUE!</v>
      </c>
      <c r="AJ26" s="573" t="e">
        <f t="shared" si="7"/>
        <v>#VALUE!</v>
      </c>
      <c r="AK26" s="565">
        <f t="shared" si="4"/>
        <v>28</v>
      </c>
      <c r="AL26" s="577">
        <f t="shared" si="5"/>
        <v>0</v>
      </c>
    </row>
    <row r="27" spans="2:38">
      <c r="B27" s="666"/>
      <c r="C27" s="666"/>
      <c r="D27" s="666"/>
      <c r="E27" s="666"/>
      <c r="F27" s="666"/>
      <c r="G27" s="666"/>
      <c r="H27" s="666"/>
      <c r="I27" s="666"/>
      <c r="J27" s="666"/>
      <c r="K27" s="666"/>
      <c r="L27" s="666"/>
      <c r="M27" s="666"/>
      <c r="Q27" s="666"/>
      <c r="R27" s="666">
        <v>52</v>
      </c>
      <c r="V27" s="680" t="s">
        <v>279</v>
      </c>
      <c r="W27" s="681" t="s">
        <v>356</v>
      </c>
      <c r="AA27" s="666">
        <v>15</v>
      </c>
      <c r="AB27" s="574">
        <f>IF($L$5=13,IF(Main_무해지!R21="",0,Main_무해지!R21),IF($W$36=1,IF(Main_무해지!CJ19="",0,Main_무해지!CJ19),IF(일반형!CJ19="",0,일반형!CJ19)))</f>
        <v>0</v>
      </c>
      <c r="AC27" s="574"/>
      <c r="AD27" s="574"/>
      <c r="AE27"/>
      <c r="AF27" s="575">
        <f t="shared" si="6"/>
        <v>15</v>
      </c>
      <c r="AG27" s="565">
        <f t="shared" si="2"/>
        <v>30</v>
      </c>
      <c r="AH27" s="565" t="e">
        <f t="shared" si="8"/>
        <v>#VALUE!</v>
      </c>
      <c r="AI27" s="576" t="e">
        <f t="shared" si="3"/>
        <v>#VALUE!</v>
      </c>
      <c r="AJ27" s="573" t="e">
        <f t="shared" si="7"/>
        <v>#VALUE!</v>
      </c>
      <c r="AK27" s="565">
        <f t="shared" si="4"/>
        <v>30</v>
      </c>
      <c r="AL27" s="577">
        <f t="shared" si="5"/>
        <v>0</v>
      </c>
    </row>
    <row r="28" spans="2:38">
      <c r="B28" s="666"/>
      <c r="C28" s="666"/>
      <c r="D28" s="666"/>
      <c r="E28" s="666"/>
      <c r="F28" s="666"/>
      <c r="G28" s="666"/>
      <c r="H28" s="666"/>
      <c r="I28" s="666"/>
      <c r="J28" s="666"/>
      <c r="K28" s="666"/>
      <c r="L28" s="666"/>
      <c r="M28" s="666"/>
      <c r="Q28" s="666"/>
      <c r="R28" s="666">
        <v>53</v>
      </c>
      <c r="V28" s="682" t="s">
        <v>357</v>
      </c>
      <c r="W28" s="683">
        <v>100</v>
      </c>
      <c r="X28" s="560" t="s">
        <v>358</v>
      </c>
      <c r="AA28" s="666">
        <v>16</v>
      </c>
      <c r="AB28" s="574">
        <f>IF($L$5=13,IF(Main_무해지!R22="",0,Main_무해지!R22),IF($W$36=1,IF(Main_무해지!CJ20="",0,Main_무해지!CJ20),IF(일반형!CJ20="",0,일반형!CJ20)))</f>
        <v>0</v>
      </c>
      <c r="AC28" s="574"/>
      <c r="AD28" s="574"/>
      <c r="AE28"/>
      <c r="AF28" s="575">
        <f t="shared" si="6"/>
        <v>16</v>
      </c>
      <c r="AG28" s="565">
        <f t="shared" si="2"/>
        <v>32</v>
      </c>
      <c r="AH28" s="565" t="e">
        <f t="shared" si="8"/>
        <v>#VALUE!</v>
      </c>
      <c r="AI28" s="576" t="e">
        <f t="shared" si="3"/>
        <v>#VALUE!</v>
      </c>
      <c r="AJ28" s="573" t="e">
        <f t="shared" si="7"/>
        <v>#VALUE!</v>
      </c>
      <c r="AK28" s="565">
        <f t="shared" si="4"/>
        <v>32</v>
      </c>
      <c r="AL28" s="577">
        <f t="shared" si="5"/>
        <v>0</v>
      </c>
    </row>
    <row r="29" spans="2:38">
      <c r="B29" s="666"/>
      <c r="C29" s="666"/>
      <c r="D29" s="666"/>
      <c r="E29" s="666"/>
      <c r="F29" s="666"/>
      <c r="G29" s="666"/>
      <c r="H29" s="666"/>
      <c r="I29" s="666"/>
      <c r="J29" s="666"/>
      <c r="K29" s="666"/>
      <c r="L29" s="666"/>
      <c r="M29" s="666"/>
      <c r="Q29" s="666"/>
      <c r="R29" s="666">
        <v>54</v>
      </c>
      <c r="V29" s="682" t="s">
        <v>359</v>
      </c>
      <c r="W29" s="683">
        <f>CHOOSE(MATCH($W$17,$V$39:$V$43,0),115,80,115,80,115)</f>
        <v>115</v>
      </c>
      <c r="X29" s="560" t="s">
        <v>360</v>
      </c>
      <c r="AA29" s="666">
        <v>17</v>
      </c>
      <c r="AB29" s="574">
        <f>IF($L$5=13,IF(Main_무해지!R23="",0,Main_무해지!R23),IF($W$36=1,IF(Main_무해지!CJ21="",0,Main_무해지!CJ21),IF(일반형!CJ21="",0,일반형!CJ21)))</f>
        <v>0</v>
      </c>
      <c r="AC29" s="574"/>
      <c r="AD29" s="574"/>
      <c r="AE29"/>
      <c r="AF29" s="575">
        <f t="shared" si="6"/>
        <v>17</v>
      </c>
      <c r="AG29" s="565">
        <f t="shared" si="2"/>
        <v>34</v>
      </c>
      <c r="AH29" s="565" t="e">
        <f t="shared" si="8"/>
        <v>#VALUE!</v>
      </c>
      <c r="AI29" s="576" t="e">
        <f t="shared" si="3"/>
        <v>#VALUE!</v>
      </c>
      <c r="AJ29" s="573" t="e">
        <f t="shared" si="7"/>
        <v>#VALUE!</v>
      </c>
      <c r="AK29" s="565">
        <f t="shared" si="4"/>
        <v>34</v>
      </c>
      <c r="AL29" s="577">
        <f t="shared" si="5"/>
        <v>0</v>
      </c>
    </row>
    <row r="30" spans="2:38">
      <c r="B30" s="666"/>
      <c r="C30" s="666"/>
      <c r="D30" s="666"/>
      <c r="E30" s="666"/>
      <c r="F30" s="666"/>
      <c r="G30" s="666"/>
      <c r="H30" s="666"/>
      <c r="I30" s="666"/>
      <c r="J30" s="666"/>
      <c r="K30" s="666"/>
      <c r="L30" s="666"/>
      <c r="M30" s="666"/>
      <c r="Q30" s="666"/>
      <c r="R30" s="666">
        <v>55</v>
      </c>
      <c r="V30" s="682" t="s">
        <v>361</v>
      </c>
      <c r="W30" s="683">
        <v>1</v>
      </c>
      <c r="AA30" s="666">
        <v>18</v>
      </c>
      <c r="AB30" s="574">
        <f>IF($L$5=13,IF(Main_무해지!R24="",0,Main_무해지!R24),IF($W$36=1,IF(Main_무해지!CJ22="",0,Main_무해지!CJ22),IF(일반형!CJ22="",0,일반형!CJ22)))</f>
        <v>0</v>
      </c>
      <c r="AC30" s="574"/>
      <c r="AD30" s="574"/>
      <c r="AE30"/>
      <c r="AF30" s="575">
        <f t="shared" si="6"/>
        <v>18</v>
      </c>
      <c r="AG30" s="565">
        <f t="shared" si="2"/>
        <v>36</v>
      </c>
      <c r="AH30" s="565" t="e">
        <f t="shared" si="8"/>
        <v>#VALUE!</v>
      </c>
      <c r="AI30" s="576" t="e">
        <f t="shared" si="3"/>
        <v>#VALUE!</v>
      </c>
      <c r="AJ30" s="573" t="e">
        <f t="shared" si="7"/>
        <v>#VALUE!</v>
      </c>
      <c r="AK30" s="565">
        <f t="shared" si="4"/>
        <v>36</v>
      </c>
      <c r="AL30" s="577">
        <f t="shared" si="5"/>
        <v>0</v>
      </c>
    </row>
    <row r="31" spans="2:38">
      <c r="B31" s="666"/>
      <c r="C31" s="666"/>
      <c r="D31" s="666"/>
      <c r="E31" s="666"/>
      <c r="F31" s="666"/>
      <c r="G31" s="666"/>
      <c r="H31" s="666"/>
      <c r="I31" s="666"/>
      <c r="J31" s="666"/>
      <c r="K31" s="666"/>
      <c r="L31" s="666"/>
      <c r="M31" s="666"/>
      <c r="Q31" s="666"/>
      <c r="R31" s="666">
        <v>56</v>
      </c>
      <c r="V31" s="682" t="s">
        <v>362</v>
      </c>
      <c r="W31" s="683">
        <v>1</v>
      </c>
      <c r="AA31" s="666">
        <v>19</v>
      </c>
      <c r="AB31" s="574">
        <f>IF($L$5=13,IF(Main_무해지!R25="",0,Main_무해지!R25),IF($W$36=1,IF(Main_무해지!CJ23="",0,Main_무해지!CJ23),IF(일반형!CJ23="",0,일반형!CJ23)))</f>
        <v>0</v>
      </c>
      <c r="AC31" s="574"/>
      <c r="AD31" s="574"/>
      <c r="AE31"/>
      <c r="AF31" s="575">
        <f t="shared" si="6"/>
        <v>19</v>
      </c>
      <c r="AG31" s="565">
        <f t="shared" si="2"/>
        <v>38</v>
      </c>
      <c r="AH31" s="565" t="e">
        <f t="shared" si="8"/>
        <v>#VALUE!</v>
      </c>
      <c r="AI31" s="576" t="e">
        <f t="shared" si="3"/>
        <v>#VALUE!</v>
      </c>
      <c r="AJ31" s="573" t="e">
        <f t="shared" si="7"/>
        <v>#VALUE!</v>
      </c>
      <c r="AK31" s="565">
        <f t="shared" si="4"/>
        <v>38</v>
      </c>
      <c r="AL31" s="577">
        <f t="shared" si="5"/>
        <v>0</v>
      </c>
    </row>
    <row r="32" spans="2:38">
      <c r="B32" s="666"/>
      <c r="C32" s="666"/>
      <c r="D32" s="666"/>
      <c r="E32" s="666"/>
      <c r="F32" s="666"/>
      <c r="G32" s="666"/>
      <c r="H32" s="666"/>
      <c r="I32" s="666"/>
      <c r="J32" s="666"/>
      <c r="K32" s="666"/>
      <c r="L32" s="666"/>
      <c r="M32" s="666"/>
      <c r="Q32" s="666"/>
      <c r="R32" s="666">
        <v>57</v>
      </c>
      <c r="V32" s="682" t="s">
        <v>363</v>
      </c>
      <c r="W32" s="686">
        <v>0</v>
      </c>
      <c r="Y32" s="687" t="s">
        <v>404</v>
      </c>
      <c r="AA32" s="666">
        <v>20</v>
      </c>
      <c r="AB32" s="574">
        <f>IF($L$5=13,IF(Main_무해지!R26="",0,Main_무해지!R26),IF($W$36=1,IF(Main_무해지!CJ24="",0,Main_무해지!CJ24),IF(일반형!CJ24="",0,일반형!CJ24)))</f>
        <v>0</v>
      </c>
      <c r="AC32" s="574"/>
      <c r="AD32" s="574"/>
      <c r="AE32"/>
      <c r="AF32" s="575">
        <f t="shared" si="6"/>
        <v>20</v>
      </c>
      <c r="AG32" s="565">
        <f t="shared" si="2"/>
        <v>40</v>
      </c>
      <c r="AH32" s="565" t="e">
        <f t="shared" si="8"/>
        <v>#VALUE!</v>
      </c>
      <c r="AI32" s="576" t="e">
        <f t="shared" si="3"/>
        <v>#VALUE!</v>
      </c>
      <c r="AJ32" s="573" t="e">
        <f t="shared" si="7"/>
        <v>#VALUE!</v>
      </c>
      <c r="AK32" s="565">
        <f t="shared" si="4"/>
        <v>40</v>
      </c>
      <c r="AL32" s="577">
        <f t="shared" si="5"/>
        <v>0</v>
      </c>
    </row>
    <row r="33" spans="2:38">
      <c r="B33" s="666"/>
      <c r="C33" s="666"/>
      <c r="D33" s="666"/>
      <c r="E33" s="666"/>
      <c r="F33" s="666"/>
      <c r="G33" s="666"/>
      <c r="H33" s="666"/>
      <c r="I33" s="666"/>
      <c r="J33" s="666"/>
      <c r="K33" s="666"/>
      <c r="L33" s="666"/>
      <c r="M33" s="666"/>
      <c r="Q33" s="666"/>
      <c r="R33" s="666">
        <v>58</v>
      </c>
      <c r="V33" s="682" t="s">
        <v>411</v>
      </c>
      <c r="W33" s="686">
        <v>0</v>
      </c>
      <c r="X33" s="560" t="s">
        <v>412</v>
      </c>
      <c r="Y33" s="687" t="s">
        <v>407</v>
      </c>
      <c r="AA33" s="666">
        <v>21</v>
      </c>
      <c r="AB33" s="574">
        <f>IF($L$5=13,IF(Main_무해지!R27="",0,Main_무해지!R27),IF($W$36=1,IF(Main_무해지!CJ25="",0,Main_무해지!CJ25),IF(일반형!CJ25="",0,일반형!CJ25)))</f>
        <v>0</v>
      </c>
      <c r="AC33" s="574"/>
      <c r="AD33" s="574"/>
      <c r="AE33"/>
      <c r="AF33" s="575">
        <f t="shared" si="6"/>
        <v>21</v>
      </c>
      <c r="AG33" s="565">
        <f t="shared" si="2"/>
        <v>42</v>
      </c>
      <c r="AH33" s="565" t="e">
        <f t="shared" si="8"/>
        <v>#VALUE!</v>
      </c>
      <c r="AI33" s="576" t="e">
        <f t="shared" si="3"/>
        <v>#VALUE!</v>
      </c>
      <c r="AJ33" s="573" t="e">
        <f t="shared" si="7"/>
        <v>#VALUE!</v>
      </c>
      <c r="AK33" s="565">
        <f t="shared" si="4"/>
        <v>42</v>
      </c>
      <c r="AL33" s="577">
        <f t="shared" si="5"/>
        <v>0</v>
      </c>
    </row>
    <row r="34" spans="2:38" ht="17.25" thickBot="1">
      <c r="B34" s="666"/>
      <c r="C34" s="666"/>
      <c r="D34" s="666"/>
      <c r="E34" s="666"/>
      <c r="F34" s="666"/>
      <c r="G34" s="666"/>
      <c r="H34" s="666"/>
      <c r="I34" s="666"/>
      <c r="J34" s="666"/>
      <c r="K34" s="666"/>
      <c r="L34" s="666"/>
      <c r="M34" s="666"/>
      <c r="Q34" s="666"/>
      <c r="R34" s="666">
        <v>59</v>
      </c>
      <c r="V34" s="684" t="s">
        <v>401</v>
      </c>
      <c r="W34" s="685">
        <v>0</v>
      </c>
      <c r="X34" s="560" t="s">
        <v>402</v>
      </c>
      <c r="Y34" s="690" t="s">
        <v>408</v>
      </c>
      <c r="AA34" s="666">
        <v>22</v>
      </c>
      <c r="AB34" s="574">
        <f>IF($L$5=13,IF(Main_무해지!R28="",0,Main_무해지!R28),IF($W$36=1,IF(Main_무해지!CJ26="",0,Main_무해지!CJ26),IF(일반형!CJ26="",0,일반형!CJ26)))</f>
        <v>0</v>
      </c>
      <c r="AC34" s="574"/>
      <c r="AD34" s="574"/>
      <c r="AE34"/>
      <c r="AF34" s="575">
        <f t="shared" si="6"/>
        <v>22</v>
      </c>
      <c r="AG34" s="565">
        <f t="shared" si="2"/>
        <v>44</v>
      </c>
      <c r="AH34" s="565" t="e">
        <f t="shared" si="8"/>
        <v>#VALUE!</v>
      </c>
      <c r="AI34" s="576" t="e">
        <f t="shared" si="3"/>
        <v>#VALUE!</v>
      </c>
      <c r="AJ34" s="573" t="e">
        <f t="shared" si="7"/>
        <v>#VALUE!</v>
      </c>
      <c r="AK34" s="565">
        <f t="shared" si="4"/>
        <v>44</v>
      </c>
      <c r="AL34" s="577">
        <f t="shared" si="5"/>
        <v>0</v>
      </c>
    </row>
    <row r="35" spans="2:38">
      <c r="B35" s="666"/>
      <c r="C35" s="666"/>
      <c r="D35" s="666"/>
      <c r="E35" s="666"/>
      <c r="F35" s="666"/>
      <c r="G35" s="666"/>
      <c r="H35" s="666"/>
      <c r="I35" s="666"/>
      <c r="J35" s="666"/>
      <c r="K35" s="666"/>
      <c r="L35" s="666"/>
      <c r="M35" s="666"/>
      <c r="Q35" s="666"/>
      <c r="R35" s="666">
        <v>60</v>
      </c>
      <c r="V35" s="680" t="s">
        <v>364</v>
      </c>
      <c r="W35" s="681" t="s">
        <v>365</v>
      </c>
      <c r="AA35" s="666">
        <v>23</v>
      </c>
      <c r="AB35" s="574">
        <f>IF($L$5=13,IF(Main_무해지!R29="",0,Main_무해지!R29),IF($W$36=1,IF(Main_무해지!CJ27="",0,Main_무해지!CJ27),IF(일반형!CJ27="",0,일반형!CJ27)))</f>
        <v>0</v>
      </c>
      <c r="AC35" s="574"/>
      <c r="AD35" s="574"/>
      <c r="AE35"/>
      <c r="AF35" s="575">
        <f t="shared" si="6"/>
        <v>23</v>
      </c>
      <c r="AG35" s="565">
        <f t="shared" si="2"/>
        <v>46</v>
      </c>
      <c r="AH35" s="565" t="e">
        <f t="shared" si="8"/>
        <v>#VALUE!</v>
      </c>
      <c r="AI35" s="576" t="e">
        <f t="shared" si="3"/>
        <v>#VALUE!</v>
      </c>
      <c r="AJ35" s="573" t="e">
        <f t="shared" si="7"/>
        <v>#VALUE!</v>
      </c>
      <c r="AK35" s="565">
        <f t="shared" si="4"/>
        <v>46</v>
      </c>
      <c r="AL35" s="577">
        <f t="shared" si="5"/>
        <v>0</v>
      </c>
    </row>
    <row r="36" spans="2:38" ht="17.25" thickBot="1">
      <c r="B36" s="666"/>
      <c r="C36" s="666"/>
      <c r="D36" s="666"/>
      <c r="E36" s="666"/>
      <c r="F36" s="666"/>
      <c r="G36" s="666"/>
      <c r="H36" s="666"/>
      <c r="I36" s="666"/>
      <c r="J36" s="666"/>
      <c r="K36" s="666"/>
      <c r="L36" s="666"/>
      <c r="M36" s="666"/>
      <c r="Q36" s="666"/>
      <c r="R36" s="666">
        <v>61</v>
      </c>
      <c r="V36" s="684" t="s">
        <v>366</v>
      </c>
      <c r="W36" s="685">
        <v>0</v>
      </c>
      <c r="AA36" s="666">
        <v>24</v>
      </c>
      <c r="AB36" s="574">
        <f>IF($L$5=13,IF(Main_무해지!R30="",0,Main_무해지!R30),IF($W$36=1,IF(Main_무해지!CJ28="",0,Main_무해지!CJ28),IF(일반형!CJ28="",0,일반형!CJ28)))</f>
        <v>0</v>
      </c>
      <c r="AC36" s="574"/>
      <c r="AD36" s="574"/>
      <c r="AE36"/>
      <c r="AF36" s="575">
        <f t="shared" si="6"/>
        <v>24</v>
      </c>
      <c r="AG36" s="565">
        <f t="shared" si="2"/>
        <v>48</v>
      </c>
      <c r="AH36" s="565" t="e">
        <f t="shared" si="8"/>
        <v>#VALUE!</v>
      </c>
      <c r="AI36" s="578" t="e">
        <f t="shared" si="3"/>
        <v>#VALUE!</v>
      </c>
      <c r="AJ36" s="573" t="e">
        <f t="shared" si="7"/>
        <v>#VALUE!</v>
      </c>
      <c r="AK36" s="565">
        <f t="shared" si="4"/>
        <v>48</v>
      </c>
      <c r="AL36" s="577">
        <f t="shared" si="5"/>
        <v>0</v>
      </c>
    </row>
    <row r="37" spans="2:38">
      <c r="B37" s="666"/>
      <c r="C37" s="666"/>
      <c r="D37" s="666"/>
      <c r="E37" s="666"/>
      <c r="F37" s="666"/>
      <c r="G37" s="666"/>
      <c r="H37" s="666"/>
      <c r="I37" s="666"/>
      <c r="J37" s="666"/>
      <c r="K37" s="666"/>
      <c r="L37" s="666"/>
      <c r="M37" s="666"/>
      <c r="Q37" s="666"/>
      <c r="R37" s="666">
        <v>62</v>
      </c>
      <c r="AA37" s="666">
        <v>25</v>
      </c>
      <c r="AB37" s="574">
        <f>IF($L$5=13,IF(Main_무해지!R31="",0,Main_무해지!R31),IF($W$36=1,IF(Main_무해지!CJ29="",0,Main_무해지!CJ29),IF(일반형!CJ29="",0,일반형!CJ29)))</f>
        <v>0</v>
      </c>
      <c r="AC37" s="574"/>
      <c r="AD37" s="574"/>
      <c r="AE37"/>
      <c r="AF37" s="575">
        <f t="shared" si="6"/>
        <v>25</v>
      </c>
      <c r="AG37" s="565">
        <f t="shared" si="2"/>
        <v>50</v>
      </c>
      <c r="AH37" s="565" t="e">
        <f t="shared" si="8"/>
        <v>#VALUE!</v>
      </c>
      <c r="AI37" s="576" t="e">
        <f t="shared" si="3"/>
        <v>#VALUE!</v>
      </c>
      <c r="AJ37" s="573" t="e">
        <f t="shared" si="7"/>
        <v>#VALUE!</v>
      </c>
      <c r="AK37" s="565">
        <f t="shared" si="4"/>
        <v>50</v>
      </c>
      <c r="AL37" s="577">
        <f t="shared" si="5"/>
        <v>0</v>
      </c>
    </row>
    <row r="38" spans="2:38">
      <c r="B38" s="666"/>
      <c r="C38" s="666"/>
      <c r="D38" s="666"/>
      <c r="E38" s="666"/>
      <c r="F38" s="666"/>
      <c r="G38" s="666"/>
      <c r="H38" s="666"/>
      <c r="I38" s="666"/>
      <c r="J38" s="666"/>
      <c r="K38" s="666"/>
      <c r="L38" s="666"/>
      <c r="M38" s="666"/>
      <c r="Q38" s="666"/>
      <c r="R38" s="666">
        <v>63</v>
      </c>
      <c r="U38" s="560" t="s">
        <v>405</v>
      </c>
      <c r="V38" s="688" t="s">
        <v>388</v>
      </c>
      <c r="W38" s="688" t="s">
        <v>389</v>
      </c>
      <c r="X38" s="688" t="s">
        <v>409</v>
      </c>
      <c r="Y38" s="689" t="s">
        <v>401</v>
      </c>
      <c r="Z38" s="688" t="s">
        <v>410</v>
      </c>
      <c r="AA38" s="666">
        <v>26</v>
      </c>
      <c r="AB38" s="574">
        <f>IF($L$5=13,IF(Main_무해지!R32="",0,Main_무해지!R32),IF($W$36=1,IF(Main_무해지!CJ30="",0,Main_무해지!CJ30),IF(일반형!CJ30="",0,일반형!CJ30)))</f>
        <v>0</v>
      </c>
      <c r="AC38" s="574"/>
      <c r="AD38" s="574"/>
      <c r="AE38"/>
      <c r="AF38" s="575">
        <f t="shared" si="6"/>
        <v>26</v>
      </c>
      <c r="AG38" s="565">
        <f t="shared" si="2"/>
        <v>52</v>
      </c>
      <c r="AH38" s="565" t="e">
        <f t="shared" si="8"/>
        <v>#VALUE!</v>
      </c>
      <c r="AI38" s="576" t="e">
        <f t="shared" si="3"/>
        <v>#VALUE!</v>
      </c>
      <c r="AJ38" s="573" t="e">
        <f t="shared" si="7"/>
        <v>#VALUE!</v>
      </c>
      <c r="AK38" s="565">
        <f t="shared" si="4"/>
        <v>52</v>
      </c>
      <c r="AL38" s="577">
        <f t="shared" si="5"/>
        <v>0</v>
      </c>
    </row>
    <row r="39" spans="2:38">
      <c r="B39" s="666"/>
      <c r="C39" s="666"/>
      <c r="D39" s="666"/>
      <c r="E39" s="666"/>
      <c r="F39" s="666"/>
      <c r="G39" s="666"/>
      <c r="H39" s="666"/>
      <c r="I39" s="666"/>
      <c r="J39" s="666"/>
      <c r="K39" s="666"/>
      <c r="L39" s="666"/>
      <c r="M39" s="666"/>
      <c r="Q39" s="666"/>
      <c r="R39" s="666">
        <v>64</v>
      </c>
      <c r="U39" s="560" t="s">
        <v>146</v>
      </c>
      <c r="V39" s="688" t="s">
        <v>450</v>
      </c>
      <c r="W39" s="688">
        <v>0</v>
      </c>
      <c r="X39" s="688">
        <v>1</v>
      </c>
      <c r="Y39" s="689">
        <v>1</v>
      </c>
      <c r="Z39" s="688">
        <v>0</v>
      </c>
      <c r="AA39" s="666">
        <v>27</v>
      </c>
      <c r="AB39" s="574">
        <f>IF($L$5=13,IF(Main_무해지!R33="",0,Main_무해지!R33),IF($W$36=1,IF(Main_무해지!CJ31="",0,Main_무해지!CJ31),IF(일반형!CJ31="",0,일반형!CJ31)))</f>
        <v>0</v>
      </c>
      <c r="AC39" s="574"/>
      <c r="AD39" s="574"/>
      <c r="AE39"/>
      <c r="AF39" s="575">
        <f t="shared" si="6"/>
        <v>27</v>
      </c>
      <c r="AG39" s="565">
        <f t="shared" si="2"/>
        <v>54</v>
      </c>
      <c r="AH39" s="565" t="e">
        <f t="shared" si="8"/>
        <v>#VALUE!</v>
      </c>
      <c r="AI39" s="576" t="e">
        <f t="shared" si="3"/>
        <v>#VALUE!</v>
      </c>
      <c r="AJ39" s="573" t="e">
        <f t="shared" si="7"/>
        <v>#VALUE!</v>
      </c>
      <c r="AK39" s="565">
        <f t="shared" si="4"/>
        <v>54</v>
      </c>
      <c r="AL39" s="577">
        <f t="shared" si="5"/>
        <v>0</v>
      </c>
    </row>
    <row r="40" spans="2:38">
      <c r="B40" s="666"/>
      <c r="C40" s="666"/>
      <c r="D40" s="666"/>
      <c r="E40" s="666"/>
      <c r="F40" s="666"/>
      <c r="G40" s="666"/>
      <c r="H40" s="666"/>
      <c r="I40" s="666"/>
      <c r="J40" s="666"/>
      <c r="K40" s="666"/>
      <c r="L40" s="666"/>
      <c r="M40" s="666"/>
      <c r="Q40" s="666"/>
      <c r="R40" s="666">
        <v>65</v>
      </c>
      <c r="U40" s="560" t="s">
        <v>406</v>
      </c>
      <c r="V40" s="688" t="s">
        <v>451</v>
      </c>
      <c r="W40" s="688">
        <v>1</v>
      </c>
      <c r="X40" s="688">
        <v>1</v>
      </c>
      <c r="Y40" s="689">
        <v>0</v>
      </c>
      <c r="Z40" s="688">
        <v>1</v>
      </c>
      <c r="AA40" s="666">
        <v>28</v>
      </c>
      <c r="AB40" s="574">
        <f>IF($L$5=13,IF(Main_무해지!R34="",0,Main_무해지!R34),IF($W$36=1,IF(Main_무해지!CJ32="",0,Main_무해지!CJ32),IF(일반형!CJ32="",0,일반형!CJ32)))</f>
        <v>0</v>
      </c>
      <c r="AC40" s="574"/>
      <c r="AD40" s="574"/>
      <c r="AE40"/>
      <c r="AF40" s="575">
        <f t="shared" si="6"/>
        <v>28</v>
      </c>
      <c r="AG40" s="565">
        <f t="shared" si="2"/>
        <v>56</v>
      </c>
      <c r="AH40" s="565" t="e">
        <f t="shared" si="8"/>
        <v>#VALUE!</v>
      </c>
      <c r="AI40" s="576" t="e">
        <f t="shared" si="3"/>
        <v>#VALUE!</v>
      </c>
      <c r="AJ40" s="573" t="e">
        <f t="shared" si="7"/>
        <v>#VALUE!</v>
      </c>
      <c r="AK40" s="565">
        <f t="shared" si="4"/>
        <v>56</v>
      </c>
      <c r="AL40" s="577">
        <f t="shared" si="5"/>
        <v>0</v>
      </c>
    </row>
    <row r="41" spans="2:38">
      <c r="B41" s="666"/>
      <c r="C41" s="666"/>
      <c r="D41" s="666"/>
      <c r="E41" s="666"/>
      <c r="F41" s="666"/>
      <c r="G41" s="666"/>
      <c r="H41" s="666"/>
      <c r="I41" s="666"/>
      <c r="J41" s="666"/>
      <c r="K41" s="666"/>
      <c r="L41" s="666"/>
      <c r="M41" s="666"/>
      <c r="Q41" s="666"/>
      <c r="R41" s="666">
        <v>66</v>
      </c>
      <c r="U41" s="560" t="s">
        <v>146</v>
      </c>
      <c r="V41" s="688" t="s">
        <v>452</v>
      </c>
      <c r="W41" s="688">
        <v>0</v>
      </c>
      <c r="X41" s="688">
        <v>1</v>
      </c>
      <c r="Y41" s="689">
        <v>0</v>
      </c>
      <c r="Z41" s="688">
        <v>0</v>
      </c>
      <c r="AA41" s="666">
        <v>29</v>
      </c>
      <c r="AB41" s="574">
        <f>IF($L$5=13,IF(Main_무해지!R35="",0,Main_무해지!R35),IF($W$36=1,IF(Main_무해지!CJ33="",0,Main_무해지!CJ33),IF(일반형!CJ33="",0,일반형!CJ33)))</f>
        <v>0</v>
      </c>
      <c r="AC41" s="574"/>
      <c r="AD41" s="574"/>
      <c r="AE41"/>
      <c r="AF41" s="575">
        <f t="shared" si="6"/>
        <v>29</v>
      </c>
      <c r="AG41" s="565">
        <f t="shared" si="2"/>
        <v>58</v>
      </c>
      <c r="AH41" s="565" t="e">
        <f t="shared" si="8"/>
        <v>#VALUE!</v>
      </c>
      <c r="AI41" s="576" t="e">
        <f t="shared" si="3"/>
        <v>#VALUE!</v>
      </c>
      <c r="AJ41" s="573" t="e">
        <f t="shared" si="7"/>
        <v>#VALUE!</v>
      </c>
      <c r="AK41" s="565">
        <f t="shared" si="4"/>
        <v>58</v>
      </c>
      <c r="AL41" s="577">
        <f t="shared" si="5"/>
        <v>0</v>
      </c>
    </row>
    <row r="42" spans="2:38">
      <c r="B42" s="666"/>
      <c r="C42" s="666"/>
      <c r="D42" s="666"/>
      <c r="E42" s="666"/>
      <c r="F42" s="666"/>
      <c r="G42" s="666"/>
      <c r="H42" s="666"/>
      <c r="I42" s="666"/>
      <c r="J42" s="666"/>
      <c r="K42" s="666"/>
      <c r="L42" s="666"/>
      <c r="M42" s="666"/>
      <c r="Q42" s="666"/>
      <c r="R42" s="666">
        <v>67</v>
      </c>
      <c r="U42" s="560" t="s">
        <v>406</v>
      </c>
      <c r="V42" s="688" t="s">
        <v>453</v>
      </c>
      <c r="W42" s="688">
        <v>1</v>
      </c>
      <c r="X42" s="688">
        <v>0</v>
      </c>
      <c r="Y42" s="689">
        <v>0</v>
      </c>
      <c r="Z42" s="688">
        <v>1</v>
      </c>
      <c r="AA42" s="666">
        <v>30</v>
      </c>
      <c r="AB42" s="574">
        <f>IF($L$5=13,IF(Main_무해지!R36="",0,Main_무해지!R36),IF($W$36=1,IF(Main_무해지!CJ34="",0,Main_무해지!CJ34),IF(일반형!CJ34="",0,일반형!CJ34)))</f>
        <v>0</v>
      </c>
      <c r="AC42" s="574"/>
      <c r="AD42" s="574"/>
      <c r="AE42"/>
      <c r="AF42" s="575">
        <f t="shared" si="6"/>
        <v>30</v>
      </c>
      <c r="AG42" s="565">
        <f t="shared" si="2"/>
        <v>60</v>
      </c>
      <c r="AH42" s="565" t="e">
        <f t="shared" si="8"/>
        <v>#VALUE!</v>
      </c>
      <c r="AI42" s="576" t="e">
        <f t="shared" si="3"/>
        <v>#VALUE!</v>
      </c>
      <c r="AJ42" s="573" t="e">
        <f t="shared" si="7"/>
        <v>#VALUE!</v>
      </c>
      <c r="AK42" s="565">
        <f t="shared" si="4"/>
        <v>60</v>
      </c>
      <c r="AL42" s="577">
        <f t="shared" si="5"/>
        <v>0</v>
      </c>
    </row>
    <row r="43" spans="2:38">
      <c r="B43" s="666"/>
      <c r="C43" s="666"/>
      <c r="D43" s="666"/>
      <c r="E43" s="666"/>
      <c r="F43" s="666"/>
      <c r="G43" s="666"/>
      <c r="H43" s="666"/>
      <c r="I43" s="666"/>
      <c r="J43" s="666"/>
      <c r="K43" s="666"/>
      <c r="L43" s="666"/>
      <c r="M43" s="666"/>
      <c r="Q43" s="666"/>
      <c r="R43" s="666">
        <v>68</v>
      </c>
      <c r="U43" s="560" t="s">
        <v>146</v>
      </c>
      <c r="V43" s="688" t="s">
        <v>454</v>
      </c>
      <c r="W43" s="688">
        <v>0</v>
      </c>
      <c r="X43" s="688">
        <v>0</v>
      </c>
      <c r="Y43" s="689">
        <v>0</v>
      </c>
      <c r="Z43" s="688">
        <v>0</v>
      </c>
      <c r="AA43" s="666">
        <v>31</v>
      </c>
      <c r="AB43" s="574">
        <f>IF($L$5=13,IF(Main_무해지!R37="",0,Main_무해지!R37),IF($W$36=1,IF(Main_무해지!CJ35="",0,Main_무해지!CJ35),IF(일반형!CJ35="",0,일반형!CJ35)))</f>
        <v>0</v>
      </c>
      <c r="AC43" s="574"/>
      <c r="AD43" s="574"/>
      <c r="AE43"/>
      <c r="AF43" s="575">
        <f t="shared" si="6"/>
        <v>31</v>
      </c>
      <c r="AG43" s="565">
        <f t="shared" si="2"/>
        <v>62</v>
      </c>
      <c r="AH43" s="565" t="e">
        <f t="shared" si="8"/>
        <v>#VALUE!</v>
      </c>
      <c r="AI43" s="576" t="e">
        <f t="shared" si="3"/>
        <v>#VALUE!</v>
      </c>
      <c r="AJ43" s="573" t="e">
        <f t="shared" si="7"/>
        <v>#VALUE!</v>
      </c>
      <c r="AK43" s="565">
        <f t="shared" si="4"/>
        <v>62</v>
      </c>
      <c r="AL43" s="577">
        <f t="shared" si="5"/>
        <v>0</v>
      </c>
    </row>
    <row r="44" spans="2:38">
      <c r="B44" s="666"/>
      <c r="C44" s="666"/>
      <c r="D44" s="666"/>
      <c r="E44" s="666"/>
      <c r="F44" s="666"/>
      <c r="G44" s="666"/>
      <c r="H44" s="666"/>
      <c r="I44" s="666"/>
      <c r="J44" s="666"/>
      <c r="K44" s="666"/>
      <c r="L44" s="666"/>
      <c r="M44" s="666"/>
      <c r="Q44" s="666"/>
      <c r="R44" s="666">
        <v>69</v>
      </c>
      <c r="AA44" s="666">
        <v>32</v>
      </c>
      <c r="AB44" s="574">
        <f>IF($L$5=13,IF(Main_무해지!R38="",0,Main_무해지!R38),IF($W$36=1,IF(Main_무해지!CJ36="",0,Main_무해지!CJ36),IF(일반형!CJ36="",0,일반형!CJ36)))</f>
        <v>0</v>
      </c>
      <c r="AC44" s="574"/>
      <c r="AD44" s="574"/>
      <c r="AE44"/>
      <c r="AF44" s="575">
        <f t="shared" si="6"/>
        <v>32</v>
      </c>
      <c r="AG44" s="565">
        <f t="shared" si="2"/>
        <v>64</v>
      </c>
      <c r="AH44" s="565" t="e">
        <f t="shared" si="8"/>
        <v>#VALUE!</v>
      </c>
      <c r="AI44" s="576" t="e">
        <f t="shared" si="3"/>
        <v>#VALUE!</v>
      </c>
      <c r="AJ44" s="573" t="e">
        <f t="shared" si="7"/>
        <v>#VALUE!</v>
      </c>
      <c r="AK44" s="565">
        <f t="shared" si="4"/>
        <v>64</v>
      </c>
      <c r="AL44" s="577">
        <f t="shared" si="5"/>
        <v>0</v>
      </c>
    </row>
    <row r="45" spans="2:38">
      <c r="B45" s="666"/>
      <c r="C45" s="666"/>
      <c r="D45" s="666"/>
      <c r="E45" s="666"/>
      <c r="F45" s="666"/>
      <c r="G45" s="666"/>
      <c r="H45" s="666"/>
      <c r="I45" s="666"/>
      <c r="J45" s="666"/>
      <c r="K45" s="666"/>
      <c r="L45" s="666"/>
      <c r="M45" s="666"/>
      <c r="Q45" s="666"/>
      <c r="R45" s="666">
        <v>70</v>
      </c>
      <c r="V45" s="711" t="s">
        <v>424</v>
      </c>
      <c r="W45"/>
      <c r="X45"/>
      <c r="Y45"/>
      <c r="AA45" s="666">
        <v>33</v>
      </c>
      <c r="AB45" s="574">
        <f>IF($L$5=13,IF(Main_무해지!R39="",0,Main_무해지!R39),IF($W$36=1,IF(Main_무해지!CJ37="",0,Main_무해지!CJ37),IF(일반형!CJ37="",0,일반형!CJ37)))</f>
        <v>0</v>
      </c>
      <c r="AC45" s="574"/>
      <c r="AD45" s="574"/>
      <c r="AE45"/>
      <c r="AF45" s="575">
        <f t="shared" si="6"/>
        <v>33</v>
      </c>
      <c r="AG45" s="565">
        <f t="shared" si="2"/>
        <v>66</v>
      </c>
      <c r="AH45" s="565" t="e">
        <f t="shared" si="8"/>
        <v>#VALUE!</v>
      </c>
      <c r="AI45" s="576" t="e">
        <f t="shared" si="3"/>
        <v>#VALUE!</v>
      </c>
      <c r="AJ45" s="573" t="e">
        <f t="shared" si="7"/>
        <v>#VALUE!</v>
      </c>
      <c r="AK45" s="565">
        <f t="shared" si="4"/>
        <v>66</v>
      </c>
      <c r="AL45" s="577">
        <f t="shared" si="5"/>
        <v>0</v>
      </c>
    </row>
    <row r="46" spans="2:38">
      <c r="B46" s="666"/>
      <c r="C46" s="666"/>
      <c r="D46" s="666"/>
      <c r="E46" s="666"/>
      <c r="F46" s="666"/>
      <c r="G46" s="666"/>
      <c r="H46" s="666"/>
      <c r="I46" s="666"/>
      <c r="J46" s="666"/>
      <c r="K46" s="666"/>
      <c r="L46" s="666"/>
      <c r="M46" s="666"/>
      <c r="Q46" s="666"/>
      <c r="R46" s="666">
        <v>71</v>
      </c>
      <c r="V46" s="560" t="s">
        <v>439</v>
      </c>
      <c r="W46" s="560" t="s">
        <v>456</v>
      </c>
      <c r="X46"/>
      <c r="Y46"/>
      <c r="AA46" s="666">
        <v>34</v>
      </c>
      <c r="AB46" s="574">
        <f>IF($L$5=13,IF(Main_무해지!R40="",0,Main_무해지!R40),IF($W$36=1,IF(Main_무해지!CJ38="",0,Main_무해지!CJ38),IF(일반형!CJ38="",0,일반형!CJ38)))</f>
        <v>0</v>
      </c>
      <c r="AC46" s="574"/>
      <c r="AD46" s="574"/>
      <c r="AE46"/>
      <c r="AF46" s="575">
        <f t="shared" si="6"/>
        <v>34</v>
      </c>
      <c r="AG46" s="565">
        <f t="shared" si="2"/>
        <v>68</v>
      </c>
      <c r="AH46" s="565" t="e">
        <f t="shared" si="8"/>
        <v>#VALUE!</v>
      </c>
      <c r="AI46" s="576" t="e">
        <f t="shared" si="3"/>
        <v>#VALUE!</v>
      </c>
      <c r="AJ46" s="573" t="e">
        <f t="shared" si="7"/>
        <v>#VALUE!</v>
      </c>
      <c r="AK46" s="565">
        <f t="shared" si="4"/>
        <v>68</v>
      </c>
      <c r="AL46" s="577">
        <f t="shared" si="5"/>
        <v>0</v>
      </c>
    </row>
    <row r="47" spans="2:38">
      <c r="B47" s="666"/>
      <c r="C47" s="666"/>
      <c r="D47" s="666"/>
      <c r="E47" s="666"/>
      <c r="F47" s="666"/>
      <c r="G47" s="666"/>
      <c r="H47" s="666"/>
      <c r="I47" s="666"/>
      <c r="J47" s="666"/>
      <c r="K47" s="666"/>
      <c r="L47" s="666"/>
      <c r="M47" s="666"/>
      <c r="Q47" s="666"/>
      <c r="R47" s="666">
        <v>72</v>
      </c>
      <c r="V47" s="560" t="s">
        <v>440</v>
      </c>
      <c r="W47" s="560" t="s">
        <v>457</v>
      </c>
      <c r="X47"/>
      <c r="Y47"/>
      <c r="AA47" s="666">
        <v>35</v>
      </c>
      <c r="AB47" s="574">
        <f>IF($L$5=13,IF(Main_무해지!R41="",0,Main_무해지!R41),IF($W$36=1,IF(Main_무해지!CJ39="",0,Main_무해지!CJ39),IF(일반형!CJ39="",0,일반형!CJ39)))</f>
        <v>0</v>
      </c>
      <c r="AC47" s="574"/>
      <c r="AD47" s="574"/>
      <c r="AE47"/>
      <c r="AF47" s="575">
        <f t="shared" si="6"/>
        <v>35</v>
      </c>
      <c r="AG47" s="565">
        <f t="shared" si="2"/>
        <v>70</v>
      </c>
      <c r="AH47" s="565" t="e">
        <f t="shared" si="8"/>
        <v>#VALUE!</v>
      </c>
      <c r="AI47" s="576" t="e">
        <f t="shared" si="3"/>
        <v>#VALUE!</v>
      </c>
      <c r="AJ47" s="573" t="e">
        <f t="shared" si="7"/>
        <v>#VALUE!</v>
      </c>
      <c r="AK47" s="565">
        <f t="shared" si="4"/>
        <v>70</v>
      </c>
      <c r="AL47" s="577">
        <f t="shared" si="5"/>
        <v>0</v>
      </c>
    </row>
    <row r="48" spans="2:38">
      <c r="B48" s="666"/>
      <c r="C48" s="666"/>
      <c r="D48" s="666"/>
      <c r="E48" s="666"/>
      <c r="F48" s="666"/>
      <c r="G48" s="666"/>
      <c r="H48" s="666"/>
      <c r="I48" s="666"/>
      <c r="J48" s="666"/>
      <c r="K48" s="666"/>
      <c r="L48" s="666"/>
      <c r="M48" s="666"/>
      <c r="Q48" s="666"/>
      <c r="R48" s="666">
        <v>73</v>
      </c>
      <c r="V48" s="560" t="s">
        <v>441</v>
      </c>
      <c r="W48" s="560" t="s">
        <v>458</v>
      </c>
      <c r="X48"/>
      <c r="Y48"/>
      <c r="AA48" s="666">
        <v>36</v>
      </c>
      <c r="AB48" s="574">
        <f>IF($L$5=13,IF(Main_무해지!R42="",0,Main_무해지!R42),IF($W$36=1,IF(Main_무해지!CJ40="",0,Main_무해지!CJ40),IF(일반형!CJ40="",0,일반형!CJ40)))</f>
        <v>0</v>
      </c>
      <c r="AC48" s="574"/>
      <c r="AD48" s="574"/>
      <c r="AE48"/>
      <c r="AF48" s="575">
        <f t="shared" si="6"/>
        <v>36</v>
      </c>
      <c r="AG48" s="565">
        <f t="shared" si="2"/>
        <v>72</v>
      </c>
      <c r="AH48" s="565" t="e">
        <f t="shared" si="8"/>
        <v>#VALUE!</v>
      </c>
      <c r="AI48" s="578" t="e">
        <f t="shared" si="3"/>
        <v>#VALUE!</v>
      </c>
      <c r="AJ48" s="573" t="e">
        <f t="shared" si="7"/>
        <v>#VALUE!</v>
      </c>
      <c r="AK48" s="565">
        <f t="shared" si="4"/>
        <v>72</v>
      </c>
      <c r="AL48" s="577">
        <f t="shared" si="5"/>
        <v>0</v>
      </c>
    </row>
    <row r="49" spans="2:38">
      <c r="B49" s="666"/>
      <c r="C49" s="666"/>
      <c r="D49" s="666"/>
      <c r="E49" s="666"/>
      <c r="F49" s="666"/>
      <c r="G49" s="666"/>
      <c r="H49" s="666"/>
      <c r="I49" s="666"/>
      <c r="J49" s="666"/>
      <c r="K49" s="666"/>
      <c r="L49" s="666"/>
      <c r="M49" s="666"/>
      <c r="Q49" s="666"/>
      <c r="R49" s="666">
        <v>74</v>
      </c>
      <c r="V49" s="560" t="s">
        <v>442</v>
      </c>
      <c r="W49" s="560" t="s">
        <v>459</v>
      </c>
      <c r="X49"/>
      <c r="Y49"/>
      <c r="AA49" s="666">
        <v>37</v>
      </c>
      <c r="AB49" s="574">
        <f>IF($L$5=13,IF(Main_무해지!R43="",0,Main_무해지!R43),IF($W$36=1,IF(Main_무해지!CJ41="",0,Main_무해지!CJ41),IF(일반형!CJ41="",0,일반형!CJ41)))</f>
        <v>0</v>
      </c>
      <c r="AC49" s="574"/>
      <c r="AD49" s="574"/>
      <c r="AE49"/>
      <c r="AF49" s="575">
        <f t="shared" si="6"/>
        <v>37</v>
      </c>
      <c r="AG49" s="565">
        <f t="shared" si="2"/>
        <v>74</v>
      </c>
      <c r="AH49" s="565" t="e">
        <f t="shared" si="8"/>
        <v>#VALUE!</v>
      </c>
      <c r="AI49" s="576" t="e">
        <f t="shared" si="3"/>
        <v>#VALUE!</v>
      </c>
      <c r="AJ49" s="573" t="e">
        <f t="shared" si="7"/>
        <v>#VALUE!</v>
      </c>
      <c r="AK49" s="565">
        <f t="shared" si="4"/>
        <v>74</v>
      </c>
      <c r="AL49" s="577">
        <f t="shared" si="5"/>
        <v>0</v>
      </c>
    </row>
    <row r="50" spans="2:38">
      <c r="B50" s="666"/>
      <c r="C50" s="666"/>
      <c r="D50" s="666"/>
      <c r="E50" s="666"/>
      <c r="F50" s="666"/>
      <c r="G50" s="666"/>
      <c r="H50" s="666"/>
      <c r="I50" s="666"/>
      <c r="J50" s="666"/>
      <c r="K50" s="666"/>
      <c r="L50" s="666"/>
      <c r="M50" s="666"/>
      <c r="Q50" s="666"/>
      <c r="R50" s="666">
        <v>75</v>
      </c>
      <c r="V50" s="560" t="s">
        <v>443</v>
      </c>
      <c r="W50" s="560" t="s">
        <v>460</v>
      </c>
      <c r="X50"/>
      <c r="Y50"/>
      <c r="AA50" s="666">
        <v>38</v>
      </c>
      <c r="AB50" s="574">
        <f>IF($L$5=13,IF(Main_무해지!R44="",0,Main_무해지!R44),IF($W$36=1,IF(Main_무해지!CJ42="",0,Main_무해지!CJ42),IF(일반형!CJ42="",0,일반형!CJ42)))</f>
        <v>0</v>
      </c>
      <c r="AC50" s="574"/>
      <c r="AD50" s="574"/>
      <c r="AE50"/>
      <c r="AF50"/>
      <c r="AG50"/>
      <c r="AH50"/>
      <c r="AI50"/>
      <c r="AJ50"/>
      <c r="AK50"/>
      <c r="AL50"/>
    </row>
    <row r="51" spans="2:38">
      <c r="B51" s="666"/>
      <c r="C51" s="666"/>
      <c r="D51" s="666"/>
      <c r="E51" s="666"/>
      <c r="F51" s="666"/>
      <c r="G51" s="666"/>
      <c r="H51" s="666"/>
      <c r="I51" s="666"/>
      <c r="J51" s="666"/>
      <c r="K51" s="666"/>
      <c r="L51" s="666"/>
      <c r="M51" s="666"/>
      <c r="Q51" s="666"/>
      <c r="R51" s="666">
        <v>76</v>
      </c>
      <c r="V51"/>
      <c r="W51"/>
      <c r="X51"/>
      <c r="Y51"/>
      <c r="AA51" s="666">
        <v>39</v>
      </c>
      <c r="AB51" s="574">
        <f>IF($L$5=13,IF(Main_무해지!R45="",0,Main_무해지!R45),IF($W$36=1,IF(Main_무해지!CJ43="",0,Main_무해지!CJ43),IF(일반형!CJ43="",0,일반형!CJ43)))</f>
        <v>0</v>
      </c>
      <c r="AC51" s="574"/>
      <c r="AD51" s="574"/>
      <c r="AE51"/>
      <c r="AF51"/>
      <c r="AG51"/>
      <c r="AH51"/>
      <c r="AI51"/>
      <c r="AJ51"/>
      <c r="AK51"/>
      <c r="AL51"/>
    </row>
    <row r="52" spans="2:38">
      <c r="B52" s="666"/>
      <c r="C52" s="666"/>
      <c r="D52" s="666"/>
      <c r="E52" s="666"/>
      <c r="F52" s="666"/>
      <c r="G52" s="666"/>
      <c r="H52" s="666"/>
      <c r="I52" s="666"/>
      <c r="J52" s="666"/>
      <c r="K52" s="666"/>
      <c r="L52" s="666"/>
      <c r="M52" s="666"/>
      <c r="Q52" s="666"/>
      <c r="R52" s="666">
        <v>77</v>
      </c>
      <c r="V52" s="670"/>
      <c r="W52" s="670" t="s">
        <v>391</v>
      </c>
      <c r="X52" s="670" t="s">
        <v>392</v>
      </c>
      <c r="Y52"/>
      <c r="AA52" s="666">
        <v>40</v>
      </c>
      <c r="AB52" s="574">
        <f>IF($L$5=13,IF(Main_무해지!R46="",0,Main_무해지!R46),IF($W$36=1,IF(Main_무해지!CJ44="",0,Main_무해지!CJ44),IF(일반형!CJ44="",0,일반형!CJ44)))</f>
        <v>0</v>
      </c>
      <c r="AC52" s="574"/>
      <c r="AD52" s="574"/>
      <c r="AE52"/>
      <c r="AF52"/>
      <c r="AG52"/>
      <c r="AH52"/>
      <c r="AI52"/>
      <c r="AJ52"/>
      <c r="AK52"/>
      <c r="AL52"/>
    </row>
    <row r="53" spans="2:38">
      <c r="B53" s="666"/>
      <c r="C53" s="666"/>
      <c r="D53" s="666"/>
      <c r="E53" s="666"/>
      <c r="F53" s="666"/>
      <c r="G53" s="666"/>
      <c r="H53" s="666"/>
      <c r="I53" s="666"/>
      <c r="J53" s="666"/>
      <c r="K53" s="666"/>
      <c r="L53" s="666"/>
      <c r="M53" s="666"/>
      <c r="Q53" s="666"/>
      <c r="R53" s="666">
        <v>78</v>
      </c>
      <c r="V53" s="671" t="s">
        <v>390</v>
      </c>
      <c r="W53" s="671" t="s">
        <v>393</v>
      </c>
      <c r="X53" s="672" t="s">
        <v>394</v>
      </c>
      <c r="Y53"/>
      <c r="AA53" s="666">
        <v>41</v>
      </c>
      <c r="AB53" s="574">
        <f>IF($L$5=13,IF(Main_무해지!R47="",0,Main_무해지!R47),IF($W$36=1,IF(Main_무해지!CJ45="",0,Main_무해지!CJ45),IF(일반형!CJ45="",0,일반형!CJ45)))</f>
        <v>0</v>
      </c>
      <c r="AC53" s="574"/>
      <c r="AD53" s="574"/>
      <c r="AE53"/>
      <c r="AF53"/>
      <c r="AG53"/>
      <c r="AH53"/>
      <c r="AI53"/>
      <c r="AJ53"/>
      <c r="AK53"/>
      <c r="AL53"/>
    </row>
    <row r="54" spans="2:38">
      <c r="B54" s="666"/>
      <c r="C54" s="666"/>
      <c r="D54" s="666"/>
      <c r="E54" s="666"/>
      <c r="F54" s="666"/>
      <c r="G54" s="666"/>
      <c r="H54" s="666"/>
      <c r="I54" s="666"/>
      <c r="J54" s="666"/>
      <c r="K54" s="666"/>
      <c r="L54" s="666"/>
      <c r="M54" s="666"/>
      <c r="Q54" s="666"/>
      <c r="R54" s="666">
        <v>79</v>
      </c>
      <c r="V54" s="673" t="s">
        <v>146</v>
      </c>
      <c r="W54" s="671" t="s">
        <v>395</v>
      </c>
      <c r="X54" s="672" t="s">
        <v>403</v>
      </c>
      <c r="Y54"/>
      <c r="AA54" s="666">
        <v>42</v>
      </c>
      <c r="AB54" s="574">
        <f>IF($L$5=13,IF(Main_무해지!R48="",0,Main_무해지!R48),IF($W$36=1,IF(Main_무해지!CJ46="",0,Main_무해지!CJ46),IF(일반형!CJ46="",0,일반형!CJ46)))</f>
        <v>0</v>
      </c>
      <c r="AC54" s="574"/>
      <c r="AD54" s="574"/>
      <c r="AE54"/>
      <c r="AF54"/>
      <c r="AG54"/>
      <c r="AH54"/>
      <c r="AI54"/>
      <c r="AJ54"/>
      <c r="AK54"/>
      <c r="AL54"/>
    </row>
    <row r="55" spans="2:38">
      <c r="B55" s="666"/>
      <c r="C55" s="666"/>
      <c r="D55" s="666"/>
      <c r="E55" s="666"/>
      <c r="F55" s="666"/>
      <c r="G55" s="666"/>
      <c r="H55" s="666"/>
      <c r="I55" s="666"/>
      <c r="J55" s="666"/>
      <c r="K55" s="666"/>
      <c r="L55" s="666"/>
      <c r="M55" s="666"/>
      <c r="Q55" s="666"/>
      <c r="R55" s="666">
        <v>80</v>
      </c>
      <c r="V55" s="674"/>
      <c r="W55" s="666" t="s">
        <v>393</v>
      </c>
      <c r="X55" s="675" t="s">
        <v>394</v>
      </c>
      <c r="Y55"/>
      <c r="AA55" s="666">
        <v>43</v>
      </c>
      <c r="AB55" s="574">
        <f>IF($L$5=13,IF(Main_무해지!R49="",0,Main_무해지!R49),IF($W$36=1,IF(Main_무해지!CJ47="",0,Main_무해지!CJ47),IF(일반형!CJ47="",0,일반형!CJ47)))</f>
        <v>0</v>
      </c>
      <c r="AC55" s="574"/>
      <c r="AD55" s="574"/>
      <c r="AE55"/>
      <c r="AF55"/>
      <c r="AG55"/>
      <c r="AH55"/>
      <c r="AI55"/>
      <c r="AJ55"/>
      <c r="AK55"/>
      <c r="AL55"/>
    </row>
    <row r="56" spans="2:38">
      <c r="B56" s="666"/>
      <c r="C56" s="666"/>
      <c r="D56" s="666"/>
      <c r="E56" s="666"/>
      <c r="F56" s="666"/>
      <c r="G56" s="666"/>
      <c r="H56" s="666"/>
      <c r="I56" s="666"/>
      <c r="J56" s="666"/>
      <c r="K56" s="666"/>
      <c r="L56" s="666"/>
      <c r="M56" s="666"/>
      <c r="Q56" s="666"/>
      <c r="R56" s="666">
        <v>81</v>
      </c>
      <c r="AA56" s="666">
        <v>44</v>
      </c>
      <c r="AB56" s="574">
        <f>IF($L$5=13,IF(Main_무해지!R50="",0,Main_무해지!R50),IF($W$36=1,IF(Main_무해지!CJ48="",0,Main_무해지!CJ48),IF(일반형!CJ48="",0,일반형!CJ48)))</f>
        <v>0</v>
      </c>
      <c r="AC56" s="574"/>
      <c r="AD56" s="574"/>
      <c r="AE56"/>
      <c r="AF56"/>
      <c r="AG56"/>
      <c r="AH56"/>
      <c r="AI56"/>
      <c r="AJ56"/>
      <c r="AK56"/>
      <c r="AL56"/>
    </row>
    <row r="57" spans="2:38">
      <c r="B57" s="666"/>
      <c r="C57" s="666"/>
      <c r="D57" s="666"/>
      <c r="E57" s="666"/>
      <c r="F57" s="666"/>
      <c r="G57" s="666"/>
      <c r="H57" s="666"/>
      <c r="I57" s="666"/>
      <c r="J57" s="666"/>
      <c r="K57" s="666"/>
      <c r="L57" s="666"/>
      <c r="M57" s="666"/>
      <c r="Q57" s="666"/>
      <c r="R57" s="666">
        <v>82</v>
      </c>
      <c r="AA57" s="666">
        <v>45</v>
      </c>
      <c r="AB57" s="574">
        <f>IF($L$5=13,IF(Main_무해지!R51="",0,Main_무해지!R51),IF($W$36=1,IF(Main_무해지!CJ49="",0,Main_무해지!CJ49),IF(일반형!CJ49="",0,일반형!CJ49)))</f>
        <v>0</v>
      </c>
      <c r="AC57" s="574"/>
      <c r="AD57" s="574"/>
      <c r="AE57"/>
      <c r="AF57"/>
      <c r="AG57"/>
      <c r="AH57"/>
      <c r="AI57"/>
      <c r="AJ57"/>
      <c r="AK57"/>
      <c r="AL57"/>
    </row>
    <row r="58" spans="2:38">
      <c r="B58" s="666"/>
      <c r="C58" s="666"/>
      <c r="D58" s="666"/>
      <c r="E58" s="666"/>
      <c r="F58" s="666"/>
      <c r="G58" s="666"/>
      <c r="H58" s="666"/>
      <c r="I58" s="666"/>
      <c r="J58" s="666"/>
      <c r="K58" s="666"/>
      <c r="L58" s="666"/>
      <c r="M58" s="666"/>
      <c r="Q58" s="666"/>
      <c r="R58" s="666">
        <v>83</v>
      </c>
      <c r="AA58" s="666">
        <v>46</v>
      </c>
      <c r="AB58" s="574">
        <f>IF($L$5=13,IF(Main_무해지!R52="",0,Main_무해지!R52),IF($W$36=1,IF(Main_무해지!CJ50="",0,Main_무해지!CJ50),IF(일반형!CJ50="",0,일반형!CJ50)))</f>
        <v>0</v>
      </c>
      <c r="AC58" s="574"/>
      <c r="AD58" s="574"/>
      <c r="AE58"/>
      <c r="AF58"/>
      <c r="AG58"/>
      <c r="AH58"/>
      <c r="AI58"/>
      <c r="AJ58"/>
      <c r="AK58"/>
      <c r="AL58"/>
    </row>
    <row r="59" spans="2:38">
      <c r="B59" s="666"/>
      <c r="C59" s="666"/>
      <c r="D59" s="666"/>
      <c r="E59" s="666"/>
      <c r="F59" s="666"/>
      <c r="G59" s="666"/>
      <c r="H59" s="666"/>
      <c r="I59" s="666"/>
      <c r="J59" s="666"/>
      <c r="K59" s="666"/>
      <c r="L59" s="666"/>
      <c r="M59" s="666"/>
      <c r="Q59" s="666"/>
      <c r="R59" s="666">
        <v>84</v>
      </c>
      <c r="AA59" s="666">
        <v>47</v>
      </c>
      <c r="AB59" s="574">
        <f>IF($L$5=13,IF(Main_무해지!R53="",0,Main_무해지!R53),IF($W$36=1,IF(Main_무해지!CJ51="",0,Main_무해지!CJ51),IF(일반형!CJ51="",0,일반형!CJ51)))</f>
        <v>0</v>
      </c>
      <c r="AC59" s="574"/>
      <c r="AD59" s="574"/>
      <c r="AE59"/>
      <c r="AF59"/>
      <c r="AG59"/>
      <c r="AH59"/>
      <c r="AI59"/>
      <c r="AJ59"/>
      <c r="AK59"/>
      <c r="AL59"/>
    </row>
    <row r="60" spans="2:38">
      <c r="B60" s="666"/>
      <c r="C60" s="666"/>
      <c r="D60" s="666"/>
      <c r="E60" s="666"/>
      <c r="F60" s="666"/>
      <c r="G60" s="666"/>
      <c r="H60" s="666"/>
      <c r="I60" s="666"/>
      <c r="J60" s="666"/>
      <c r="K60" s="666"/>
      <c r="L60" s="666"/>
      <c r="M60" s="666"/>
      <c r="Q60" s="666"/>
      <c r="R60" s="666">
        <v>85</v>
      </c>
      <c r="AA60" s="666">
        <v>48</v>
      </c>
      <c r="AB60" s="574">
        <f>IF($L$5=13,IF(Main_무해지!R54="",0,Main_무해지!R54),IF($W$36=1,IF(Main_무해지!CJ52="",0,Main_무해지!CJ52),IF(일반형!CJ52="",0,일반형!CJ52)))</f>
        <v>0</v>
      </c>
      <c r="AC60" s="574"/>
      <c r="AD60" s="574"/>
      <c r="AE60"/>
      <c r="AF60"/>
      <c r="AG60"/>
      <c r="AH60"/>
      <c r="AI60"/>
      <c r="AJ60"/>
      <c r="AK60"/>
      <c r="AL60"/>
    </row>
    <row r="61" spans="2:38">
      <c r="B61" s="666"/>
      <c r="C61" s="666"/>
      <c r="D61" s="666"/>
      <c r="E61" s="666"/>
      <c r="F61" s="666"/>
      <c r="G61" s="666"/>
      <c r="H61" s="666"/>
      <c r="I61" s="666"/>
      <c r="J61" s="666"/>
      <c r="K61" s="666"/>
      <c r="L61" s="666"/>
      <c r="M61" s="666"/>
      <c r="Q61" s="666"/>
      <c r="R61" s="666">
        <v>86</v>
      </c>
      <c r="AA61" s="666">
        <v>49</v>
      </c>
      <c r="AB61" s="574">
        <f>IF($L$5=13,IF(Main_무해지!R55="",0,Main_무해지!R55),IF($W$36=1,IF(Main_무해지!CJ53="",0,Main_무해지!CJ53),IF(일반형!CJ53="",0,일반형!CJ53)))</f>
        <v>0</v>
      </c>
      <c r="AC61" s="574"/>
      <c r="AD61" s="574"/>
      <c r="AE61"/>
      <c r="AF61"/>
      <c r="AG61"/>
      <c r="AH61"/>
      <c r="AI61"/>
      <c r="AJ61"/>
      <c r="AK61"/>
      <c r="AL61"/>
    </row>
    <row r="62" spans="2:38">
      <c r="B62" s="666"/>
      <c r="C62" s="666"/>
      <c r="D62" s="666"/>
      <c r="E62" s="666"/>
      <c r="F62" s="666"/>
      <c r="G62" s="666"/>
      <c r="H62" s="666"/>
      <c r="I62" s="666"/>
      <c r="J62" s="666"/>
      <c r="K62" s="666"/>
      <c r="L62" s="666"/>
      <c r="M62" s="666"/>
      <c r="Q62" s="666"/>
      <c r="R62" s="666">
        <v>87</v>
      </c>
      <c r="AA62" s="666">
        <v>50</v>
      </c>
      <c r="AB62" s="574">
        <f>IF($L$5=13,IF(Main_무해지!R56="",0,Main_무해지!R56),IF($W$36=1,IF(Main_무해지!CJ54="",0,Main_무해지!CJ54),IF(일반형!CJ54="",0,일반형!CJ54)))</f>
        <v>0</v>
      </c>
      <c r="AC62" s="574"/>
      <c r="AD62" s="574"/>
      <c r="AE62"/>
      <c r="AF62"/>
      <c r="AG62"/>
      <c r="AH62"/>
      <c r="AI62"/>
      <c r="AJ62"/>
      <c r="AK62"/>
      <c r="AL62"/>
    </row>
    <row r="63" spans="2:38">
      <c r="B63" s="666"/>
      <c r="C63" s="666"/>
      <c r="D63" s="666"/>
      <c r="E63" s="666"/>
      <c r="F63" s="666"/>
      <c r="G63" s="666"/>
      <c r="H63" s="666"/>
      <c r="I63" s="666"/>
      <c r="J63" s="666"/>
      <c r="K63" s="666"/>
      <c r="L63" s="666"/>
      <c r="M63" s="666"/>
      <c r="Q63" s="666"/>
      <c r="R63" s="666">
        <v>88</v>
      </c>
      <c r="AA63" s="666">
        <v>51</v>
      </c>
      <c r="AB63" s="574">
        <f>IF($L$5=13,IF(Main_무해지!R57="",0,Main_무해지!R57),IF($W$36=1,IF(Main_무해지!CJ55="",0,Main_무해지!CJ55),IF(일반형!CJ55="",0,일반형!CJ55)))</f>
        <v>0</v>
      </c>
      <c r="AC63" s="574"/>
      <c r="AD63" s="574"/>
      <c r="AE63"/>
      <c r="AF63"/>
      <c r="AG63"/>
      <c r="AH63"/>
      <c r="AI63"/>
      <c r="AJ63"/>
      <c r="AK63"/>
      <c r="AL63"/>
    </row>
    <row r="64" spans="2:38">
      <c r="B64" s="666"/>
      <c r="C64" s="666"/>
      <c r="D64" s="666"/>
      <c r="E64" s="666"/>
      <c r="F64" s="666"/>
      <c r="G64" s="666"/>
      <c r="H64" s="666"/>
      <c r="I64" s="666"/>
      <c r="J64" s="666"/>
      <c r="K64" s="666"/>
      <c r="L64" s="666"/>
      <c r="M64" s="666"/>
      <c r="Q64" s="666"/>
      <c r="R64" s="666">
        <v>89</v>
      </c>
      <c r="AA64" s="666">
        <v>52</v>
      </c>
      <c r="AB64" s="574">
        <f>IF($L$5=13,IF(Main_무해지!R58="",0,Main_무해지!R58),IF($W$36=1,IF(Main_무해지!CJ56="",0,Main_무해지!CJ56),IF(일반형!CJ56="",0,일반형!CJ56)))</f>
        <v>0</v>
      </c>
      <c r="AC64" s="574"/>
      <c r="AD64" s="574"/>
      <c r="AE64"/>
      <c r="AF64"/>
      <c r="AG64"/>
      <c r="AH64"/>
      <c r="AI64"/>
      <c r="AJ64"/>
      <c r="AK64"/>
      <c r="AL64"/>
    </row>
    <row r="65" spans="2:38">
      <c r="B65" s="666"/>
      <c r="C65" s="666"/>
      <c r="D65" s="666"/>
      <c r="E65" s="666"/>
      <c r="F65" s="666"/>
      <c r="G65" s="666"/>
      <c r="H65" s="666"/>
      <c r="I65" s="666"/>
      <c r="J65" s="666"/>
      <c r="K65" s="666"/>
      <c r="L65" s="666"/>
      <c r="M65" s="666"/>
      <c r="Q65" s="666"/>
      <c r="R65" s="666">
        <v>90</v>
      </c>
      <c r="AA65" s="666">
        <v>53</v>
      </c>
      <c r="AB65" s="574">
        <f>IF($L$5=13,IF(Main_무해지!R59="",0,Main_무해지!R59),IF($W$36=1,IF(Main_무해지!CJ57="",0,Main_무해지!CJ57),IF(일반형!CJ57="",0,일반형!CJ57)))</f>
        <v>0</v>
      </c>
      <c r="AC65" s="574"/>
      <c r="AD65" s="574"/>
      <c r="AE65"/>
      <c r="AF65"/>
      <c r="AG65"/>
      <c r="AH65"/>
      <c r="AI65"/>
      <c r="AJ65"/>
      <c r="AK65"/>
      <c r="AL65"/>
    </row>
    <row r="66" spans="2:38">
      <c r="B66" s="666"/>
      <c r="C66" s="666"/>
      <c r="D66" s="666"/>
      <c r="E66" s="666"/>
      <c r="F66" s="666"/>
      <c r="G66" s="666"/>
      <c r="H66" s="666"/>
      <c r="I66" s="666"/>
      <c r="J66" s="666"/>
      <c r="K66" s="666"/>
      <c r="L66" s="666"/>
      <c r="M66" s="666"/>
      <c r="Q66" s="666"/>
      <c r="R66" s="666">
        <v>91</v>
      </c>
      <c r="AA66" s="666">
        <v>54</v>
      </c>
      <c r="AB66" s="574">
        <f>IF($L$5=13,IF(Main_무해지!R60="",0,Main_무해지!R60),IF($W$36=1,IF(Main_무해지!CJ58="",0,Main_무해지!CJ58),IF(일반형!CJ58="",0,일반형!CJ58)))</f>
        <v>0</v>
      </c>
      <c r="AC66" s="574"/>
      <c r="AD66" s="574"/>
      <c r="AE66"/>
      <c r="AF66"/>
      <c r="AG66"/>
      <c r="AH66"/>
      <c r="AI66"/>
      <c r="AJ66"/>
      <c r="AK66"/>
      <c r="AL66"/>
    </row>
    <row r="67" spans="2:38">
      <c r="B67" s="666"/>
      <c r="C67" s="666"/>
      <c r="D67" s="666"/>
      <c r="E67" s="666"/>
      <c r="F67" s="666"/>
      <c r="G67" s="666"/>
      <c r="H67" s="666"/>
      <c r="I67" s="666"/>
      <c r="J67" s="666"/>
      <c r="K67" s="666"/>
      <c r="L67" s="666"/>
      <c r="M67" s="666"/>
      <c r="Q67" s="666"/>
      <c r="R67" s="666">
        <v>92</v>
      </c>
      <c r="AA67" s="666">
        <v>55</v>
      </c>
      <c r="AB67" s="574">
        <f>IF($L$5=13,IF(Main_무해지!R61="",0,Main_무해지!R61),IF($W$36=1,IF(Main_무해지!CJ59="",0,Main_무해지!CJ59),IF(일반형!CJ59="",0,일반형!CJ59)))</f>
        <v>0</v>
      </c>
      <c r="AC67" s="574"/>
      <c r="AD67" s="574"/>
      <c r="AE67"/>
      <c r="AF67"/>
      <c r="AG67"/>
      <c r="AH67"/>
      <c r="AI67"/>
      <c r="AJ67"/>
      <c r="AK67"/>
      <c r="AL67"/>
    </row>
    <row r="68" spans="2:38">
      <c r="B68" s="666"/>
      <c r="C68" s="666"/>
      <c r="D68" s="666"/>
      <c r="E68" s="666"/>
      <c r="F68" s="666"/>
      <c r="G68" s="666"/>
      <c r="H68" s="666"/>
      <c r="I68" s="666"/>
      <c r="J68" s="666"/>
      <c r="K68" s="666"/>
      <c r="L68" s="666"/>
      <c r="M68" s="666"/>
      <c r="Q68" s="666"/>
      <c r="R68" s="666">
        <v>93</v>
      </c>
      <c r="AA68" s="666">
        <v>56</v>
      </c>
      <c r="AB68" s="574">
        <f>IF($L$5=13,IF(Main_무해지!R62="",0,Main_무해지!R62),IF($W$36=1,IF(Main_무해지!CJ60="",0,Main_무해지!CJ60),IF(일반형!CJ60="",0,일반형!CJ60)))</f>
        <v>0</v>
      </c>
      <c r="AC68" s="574"/>
      <c r="AD68" s="574"/>
      <c r="AE68"/>
      <c r="AF68"/>
      <c r="AG68"/>
      <c r="AH68"/>
      <c r="AI68"/>
      <c r="AJ68"/>
      <c r="AK68"/>
      <c r="AL68"/>
    </row>
    <row r="69" spans="2:38">
      <c r="B69" s="666"/>
      <c r="C69" s="666"/>
      <c r="D69" s="666"/>
      <c r="E69" s="666"/>
      <c r="F69" s="666"/>
      <c r="G69" s="666"/>
      <c r="H69" s="666"/>
      <c r="I69" s="666"/>
      <c r="J69" s="666"/>
      <c r="K69" s="666"/>
      <c r="L69" s="666"/>
      <c r="M69" s="666"/>
      <c r="Q69" s="666"/>
      <c r="R69" s="666">
        <v>94</v>
      </c>
      <c r="AA69" s="666">
        <v>57</v>
      </c>
      <c r="AB69" s="574">
        <f>IF($L$5=13,IF(Main_무해지!R63="",0,Main_무해지!R63),IF($W$36=1,IF(Main_무해지!CJ61="",0,Main_무해지!CJ61),IF(일반형!CJ61="",0,일반형!CJ61)))</f>
        <v>0</v>
      </c>
      <c r="AC69" s="574"/>
      <c r="AD69" s="574"/>
      <c r="AE69"/>
      <c r="AF69"/>
      <c r="AG69"/>
      <c r="AH69"/>
      <c r="AI69"/>
      <c r="AJ69"/>
      <c r="AK69"/>
      <c r="AL69"/>
    </row>
    <row r="70" spans="2:38">
      <c r="B70" s="666"/>
      <c r="C70" s="666"/>
      <c r="D70" s="666"/>
      <c r="E70" s="666"/>
      <c r="F70" s="666"/>
      <c r="G70" s="666"/>
      <c r="H70" s="666"/>
      <c r="I70" s="666"/>
      <c r="J70" s="666"/>
      <c r="K70" s="666"/>
      <c r="L70" s="666"/>
      <c r="M70" s="666"/>
      <c r="Q70" s="666"/>
      <c r="R70" s="666">
        <v>95</v>
      </c>
      <c r="AA70" s="666">
        <v>58</v>
      </c>
      <c r="AB70" s="574">
        <f>IF($L$5=13,IF(Main_무해지!R64="",0,Main_무해지!R64),IF($W$36=1,IF(Main_무해지!CJ62="",0,Main_무해지!CJ62),IF(일반형!CJ62="",0,일반형!CJ62)))</f>
        <v>0</v>
      </c>
      <c r="AC70" s="574"/>
      <c r="AD70" s="574"/>
      <c r="AE70"/>
      <c r="AF70"/>
      <c r="AG70"/>
      <c r="AH70"/>
      <c r="AI70"/>
      <c r="AJ70"/>
      <c r="AK70"/>
      <c r="AL70"/>
    </row>
    <row r="71" spans="2:38">
      <c r="B71" s="666"/>
      <c r="C71" s="666"/>
      <c r="D71" s="666"/>
      <c r="E71" s="666"/>
      <c r="F71" s="666"/>
      <c r="G71" s="666"/>
      <c r="H71" s="666"/>
      <c r="I71" s="666"/>
      <c r="J71" s="666"/>
      <c r="K71" s="666"/>
      <c r="L71" s="666"/>
      <c r="M71" s="666"/>
      <c r="Q71" s="666"/>
      <c r="R71" s="666">
        <v>96</v>
      </c>
      <c r="AA71" s="666">
        <v>59</v>
      </c>
      <c r="AB71" s="574">
        <f>IF($L$5=13,IF(Main_무해지!R65="",0,Main_무해지!R65),IF($W$36=1,IF(Main_무해지!CJ63="",0,Main_무해지!CJ63),IF(일반형!CJ63="",0,일반형!CJ63)))</f>
        <v>0</v>
      </c>
      <c r="AC71" s="574"/>
      <c r="AD71" s="574"/>
      <c r="AE71"/>
      <c r="AF71"/>
      <c r="AG71"/>
      <c r="AH71"/>
      <c r="AI71"/>
      <c r="AJ71"/>
      <c r="AK71"/>
      <c r="AL71"/>
    </row>
    <row r="72" spans="2:38">
      <c r="B72" s="666"/>
      <c r="C72" s="666"/>
      <c r="D72" s="666"/>
      <c r="E72" s="666"/>
      <c r="F72" s="666"/>
      <c r="G72" s="666"/>
      <c r="H72" s="666"/>
      <c r="I72" s="666"/>
      <c r="J72" s="666"/>
      <c r="K72" s="666"/>
      <c r="L72" s="666"/>
      <c r="M72" s="666"/>
      <c r="Q72" s="666"/>
      <c r="R72" s="666">
        <v>97</v>
      </c>
      <c r="AA72" s="666">
        <v>60</v>
      </c>
      <c r="AB72" s="574">
        <f>IF($L$5=13,IF(Main_무해지!R66="",0,Main_무해지!R66),IF($W$36=1,IF(Main_무해지!CJ64="",0,Main_무해지!CJ64),IF(일반형!CJ64="",0,일반형!CJ64)))</f>
        <v>0</v>
      </c>
      <c r="AC72" s="574"/>
      <c r="AD72" s="574"/>
      <c r="AE72"/>
      <c r="AF72"/>
      <c r="AG72"/>
      <c r="AH72"/>
      <c r="AI72"/>
      <c r="AJ72"/>
      <c r="AK72"/>
      <c r="AL72"/>
    </row>
    <row r="73" spans="2:38">
      <c r="B73" s="666"/>
      <c r="C73" s="666"/>
      <c r="D73" s="666"/>
      <c r="E73" s="666"/>
      <c r="F73" s="666"/>
      <c r="G73" s="666"/>
      <c r="H73" s="666"/>
      <c r="I73" s="666"/>
      <c r="J73" s="666"/>
      <c r="K73" s="666"/>
      <c r="L73" s="666"/>
      <c r="M73" s="666"/>
      <c r="Q73" s="666"/>
      <c r="R73" s="666">
        <v>98</v>
      </c>
      <c r="AA73" s="666">
        <v>61</v>
      </c>
      <c r="AB73" s="574">
        <f>IF($L$5=13,IF(Main_무해지!R67="",0,Main_무해지!R67),IF($W$36=1,IF(Main_무해지!CJ65="",0,Main_무해지!CJ65),IF(일반형!CJ65="",0,일반형!CJ65)))</f>
        <v>0</v>
      </c>
      <c r="AC73" s="574"/>
      <c r="AD73" s="574"/>
      <c r="AE73"/>
      <c r="AF73"/>
      <c r="AG73"/>
      <c r="AH73"/>
      <c r="AI73"/>
      <c r="AJ73"/>
      <c r="AK73"/>
      <c r="AL73"/>
    </row>
    <row r="74" spans="2:38">
      <c r="B74" s="666"/>
      <c r="C74" s="666"/>
      <c r="D74" s="666"/>
      <c r="E74" s="666"/>
      <c r="F74" s="666"/>
      <c r="G74" s="666"/>
      <c r="H74" s="666"/>
      <c r="I74" s="666"/>
      <c r="J74" s="666"/>
      <c r="K74" s="666"/>
      <c r="L74" s="666"/>
      <c r="M74" s="666"/>
      <c r="Q74" s="666"/>
      <c r="R74" s="666">
        <v>99</v>
      </c>
      <c r="AA74" s="666">
        <v>62</v>
      </c>
      <c r="AB74" s="574">
        <f>IF($L$5=13,IF(Main_무해지!R68="",0,Main_무해지!R68),IF($W$36=1,IF(Main_무해지!CJ66="",0,Main_무해지!CJ66),IF(일반형!CJ66="",0,일반형!CJ66)))</f>
        <v>0</v>
      </c>
      <c r="AC74" s="574"/>
      <c r="AD74" s="574"/>
      <c r="AE74"/>
      <c r="AF74"/>
      <c r="AG74"/>
      <c r="AH74"/>
      <c r="AI74"/>
      <c r="AJ74"/>
      <c r="AK74"/>
      <c r="AL74"/>
    </row>
    <row r="75" spans="2:38">
      <c r="B75" s="666"/>
      <c r="C75" s="666"/>
      <c r="D75" s="666"/>
      <c r="E75" s="666"/>
      <c r="F75" s="666"/>
      <c r="G75" s="666"/>
      <c r="H75" s="666"/>
      <c r="I75" s="666"/>
      <c r="J75" s="666"/>
      <c r="K75" s="666"/>
      <c r="L75" s="666"/>
      <c r="M75" s="666"/>
      <c r="Q75" s="666"/>
      <c r="R75" s="666"/>
      <c r="AA75" s="666">
        <v>63</v>
      </c>
      <c r="AB75" s="574">
        <f>IF($L$5=13,IF(Main_무해지!R69="",0,Main_무해지!R69),IF($W$36=1,IF(Main_무해지!CJ67="",0,Main_무해지!CJ67),IF(일반형!CJ67="",0,일반형!CJ67)))</f>
        <v>0</v>
      </c>
      <c r="AC75" s="574"/>
      <c r="AD75" s="574"/>
      <c r="AE75"/>
      <c r="AF75"/>
      <c r="AG75"/>
      <c r="AH75"/>
      <c r="AI75"/>
      <c r="AJ75"/>
      <c r="AK75"/>
      <c r="AL75"/>
    </row>
    <row r="76" spans="2:38">
      <c r="B76" s="666"/>
      <c r="C76" s="666"/>
      <c r="D76" s="666"/>
      <c r="E76" s="666"/>
      <c r="F76" s="666"/>
      <c r="G76" s="666"/>
      <c r="H76" s="666"/>
      <c r="I76" s="666"/>
      <c r="J76" s="666"/>
      <c r="K76" s="666"/>
      <c r="L76" s="666"/>
      <c r="M76" s="666"/>
      <c r="Q76" s="666"/>
      <c r="R76" s="666"/>
      <c r="AA76" s="666">
        <v>64</v>
      </c>
      <c r="AB76" s="574">
        <f>IF($L$5=13,IF(Main_무해지!R70="",0,Main_무해지!R70),IF($W$36=1,IF(Main_무해지!CJ68="",0,Main_무해지!CJ68),IF(일반형!CJ68="",0,일반형!CJ68)))</f>
        <v>0</v>
      </c>
      <c r="AC76" s="574"/>
      <c r="AD76" s="574"/>
      <c r="AE76"/>
      <c r="AF76"/>
      <c r="AG76"/>
      <c r="AH76"/>
      <c r="AI76"/>
      <c r="AJ76"/>
      <c r="AK76"/>
      <c r="AL76"/>
    </row>
    <row r="77" spans="2:38">
      <c r="B77" s="666"/>
      <c r="C77" s="666"/>
      <c r="D77" s="666"/>
      <c r="E77" s="666"/>
      <c r="F77" s="666"/>
      <c r="G77" s="666"/>
      <c r="H77" s="666"/>
      <c r="I77" s="666"/>
      <c r="J77" s="666"/>
      <c r="K77" s="666"/>
      <c r="L77" s="666"/>
      <c r="M77" s="666"/>
      <c r="Q77" s="666"/>
      <c r="R77" s="666"/>
      <c r="AA77" s="666">
        <v>65</v>
      </c>
      <c r="AB77" s="574">
        <f>IF($L$5=13,IF(Main_무해지!R71="",0,Main_무해지!R71),IF($W$36=1,IF(Main_무해지!CJ69="",0,Main_무해지!CJ69),IF(일반형!CJ69="",0,일반형!CJ69)))</f>
        <v>0</v>
      </c>
      <c r="AC77" s="574"/>
      <c r="AD77" s="574"/>
      <c r="AE77"/>
      <c r="AF77"/>
      <c r="AG77"/>
      <c r="AH77"/>
      <c r="AI77"/>
      <c r="AJ77"/>
      <c r="AK77"/>
      <c r="AL77"/>
    </row>
    <row r="78" spans="2:38">
      <c r="B78" s="666"/>
      <c r="C78" s="666"/>
      <c r="D78" s="666"/>
      <c r="E78" s="666"/>
      <c r="F78" s="666"/>
      <c r="G78" s="666"/>
      <c r="H78" s="666"/>
      <c r="I78" s="666"/>
      <c r="J78" s="666"/>
      <c r="K78" s="666"/>
      <c r="L78" s="666"/>
      <c r="M78" s="666"/>
      <c r="Q78" s="666"/>
      <c r="R78" s="666"/>
      <c r="AA78" s="666">
        <v>66</v>
      </c>
      <c r="AB78" s="574">
        <f>IF($L$5=13,IF(Main_무해지!R72="",0,Main_무해지!R72),IF($W$36=1,IF(Main_무해지!CJ70="",0,Main_무해지!CJ70),IF(일반형!CJ70="",0,일반형!CJ70)))</f>
        <v>0</v>
      </c>
      <c r="AC78" s="574"/>
      <c r="AD78" s="574"/>
      <c r="AE78"/>
      <c r="AF78"/>
      <c r="AG78"/>
      <c r="AH78"/>
      <c r="AI78"/>
      <c r="AJ78"/>
      <c r="AK78"/>
      <c r="AL78"/>
    </row>
    <row r="79" spans="2:38">
      <c r="B79" s="666"/>
      <c r="C79" s="666"/>
      <c r="D79" s="666"/>
      <c r="E79" s="666"/>
      <c r="F79" s="666"/>
      <c r="G79" s="666"/>
      <c r="H79" s="666"/>
      <c r="I79" s="666"/>
      <c r="J79" s="666"/>
      <c r="K79" s="666"/>
      <c r="L79" s="666"/>
      <c r="M79" s="666"/>
      <c r="Q79" s="666"/>
      <c r="R79" s="666"/>
      <c r="AA79" s="666">
        <v>67</v>
      </c>
      <c r="AB79" s="574">
        <f>IF($L$5=13,IF(Main_무해지!R73="",0,Main_무해지!R73),IF($W$36=1,IF(Main_무해지!CJ71="",0,Main_무해지!CJ71),IF(일반형!CJ71="",0,일반형!CJ71)))</f>
        <v>0</v>
      </c>
      <c r="AC79" s="574"/>
      <c r="AD79" s="574"/>
      <c r="AE79"/>
      <c r="AF79"/>
      <c r="AG79"/>
      <c r="AH79"/>
      <c r="AI79"/>
      <c r="AJ79"/>
      <c r="AK79"/>
      <c r="AL79"/>
    </row>
    <row r="80" spans="2:38">
      <c r="B80" s="666"/>
      <c r="C80" s="666"/>
      <c r="D80" s="666"/>
      <c r="E80" s="666"/>
      <c r="F80" s="666"/>
      <c r="G80" s="666"/>
      <c r="H80" s="666"/>
      <c r="I80" s="666"/>
      <c r="J80" s="666"/>
      <c r="K80" s="666"/>
      <c r="L80" s="666"/>
      <c r="M80" s="666"/>
      <c r="Q80" s="666"/>
      <c r="R80" s="666"/>
      <c r="AA80" s="666">
        <v>68</v>
      </c>
      <c r="AB80" s="574">
        <f>IF($L$5=13,IF(Main_무해지!R74="",0,Main_무해지!R74),IF($W$36=1,IF(Main_무해지!CJ72="",0,Main_무해지!CJ72),IF(일반형!CJ72="",0,일반형!CJ72)))</f>
        <v>0</v>
      </c>
      <c r="AC80" s="574"/>
      <c r="AD80" s="574"/>
      <c r="AE80"/>
      <c r="AF80"/>
      <c r="AG80"/>
      <c r="AH80"/>
      <c r="AI80"/>
      <c r="AJ80"/>
      <c r="AK80"/>
      <c r="AL80"/>
    </row>
    <row r="81" spans="2:38">
      <c r="B81" s="666"/>
      <c r="C81" s="666"/>
      <c r="D81" s="666"/>
      <c r="E81" s="666"/>
      <c r="F81" s="666"/>
      <c r="G81" s="666"/>
      <c r="H81" s="666"/>
      <c r="I81" s="666"/>
      <c r="J81" s="666"/>
      <c r="K81" s="666"/>
      <c r="L81" s="666"/>
      <c r="M81" s="666"/>
      <c r="Q81" s="666"/>
      <c r="R81" s="666"/>
      <c r="X81" s="560" t="s">
        <v>396</v>
      </c>
      <c r="AA81" s="666">
        <v>69</v>
      </c>
      <c r="AB81" s="574">
        <f>IF($L$5=13,IF(Main_무해지!R75="",0,Main_무해지!R75),IF($W$36=1,IF(Main_무해지!CJ73="",0,Main_무해지!CJ73),IF(일반형!CJ73="",0,일반형!CJ73)))</f>
        <v>0</v>
      </c>
      <c r="AC81" s="574"/>
      <c r="AD81" s="574"/>
      <c r="AE81"/>
      <c r="AF81"/>
      <c r="AG81"/>
      <c r="AH81"/>
      <c r="AI81"/>
      <c r="AJ81"/>
      <c r="AK81"/>
      <c r="AL81"/>
    </row>
    <row r="82" spans="2:38">
      <c r="B82" s="666"/>
      <c r="C82" s="666"/>
      <c r="D82" s="666"/>
      <c r="E82" s="666"/>
      <c r="F82" s="666"/>
      <c r="G82" s="666"/>
      <c r="H82" s="666"/>
      <c r="I82" s="666"/>
      <c r="J82" s="666"/>
      <c r="K82" s="666"/>
      <c r="L82" s="666"/>
      <c r="M82" s="666"/>
      <c r="Q82" s="666"/>
      <c r="R82" s="666"/>
      <c r="X82" s="560" t="s">
        <v>397</v>
      </c>
      <c r="AA82" s="666">
        <v>70</v>
      </c>
      <c r="AB82" s="574">
        <f>IF($L$5=13,IF(Main_무해지!R76="",0,Main_무해지!R76),IF($W$36=1,IF(Main_무해지!CJ74="",0,Main_무해지!CJ74),IF(일반형!CJ74="",0,일반형!CJ74)))</f>
        <v>0</v>
      </c>
      <c r="AC82" s="574"/>
      <c r="AD82" s="574"/>
      <c r="AE82"/>
      <c r="AF82"/>
      <c r="AG82"/>
      <c r="AH82"/>
      <c r="AI82"/>
      <c r="AJ82"/>
      <c r="AK82"/>
      <c r="AL82"/>
    </row>
    <row r="83" spans="2:38">
      <c r="B83" s="666"/>
      <c r="C83" s="666"/>
      <c r="D83" s="666"/>
      <c r="E83" s="666"/>
      <c r="F83" s="666"/>
      <c r="G83" s="666"/>
      <c r="H83" s="666"/>
      <c r="I83" s="666"/>
      <c r="J83" s="666"/>
      <c r="K83" s="666"/>
      <c r="L83" s="666"/>
      <c r="M83" s="666"/>
      <c r="Q83" s="666"/>
      <c r="R83" s="666"/>
      <c r="AA83" s="666">
        <v>71</v>
      </c>
      <c r="AB83" s="574">
        <f>IF($L$5=13,IF(Main_무해지!R77="",0,Main_무해지!R77),IF($W$36=1,IF(Main_무해지!CJ75="",0,Main_무해지!CJ75),IF(일반형!CJ75="",0,일반형!CJ75)))</f>
        <v>0</v>
      </c>
      <c r="AC83" s="574"/>
      <c r="AD83" s="574"/>
      <c r="AE83"/>
      <c r="AF83"/>
      <c r="AG83"/>
      <c r="AH83"/>
      <c r="AI83"/>
      <c r="AJ83"/>
      <c r="AK83"/>
      <c r="AL83"/>
    </row>
    <row r="84" spans="2:38">
      <c r="B84" s="666"/>
      <c r="C84" s="666"/>
      <c r="D84" s="666"/>
      <c r="E84" s="666"/>
      <c r="F84" s="666"/>
      <c r="G84" s="666"/>
      <c r="H84" s="666"/>
      <c r="I84" s="666"/>
      <c r="J84" s="666"/>
      <c r="K84" s="666"/>
      <c r="L84" s="666"/>
      <c r="M84" s="666"/>
      <c r="Q84" s="666"/>
      <c r="R84" s="666"/>
      <c r="AA84" s="666">
        <v>72</v>
      </c>
      <c r="AB84" s="574">
        <f>IF($L$5=13,IF(Main_무해지!R78="",0,Main_무해지!R78),IF($W$36=1,IF(Main_무해지!CJ76="",0,Main_무해지!CJ76),IF(일반형!CJ76="",0,일반형!CJ76)))</f>
        <v>0</v>
      </c>
      <c r="AC84" s="574"/>
      <c r="AD84" s="574"/>
      <c r="AE84"/>
      <c r="AF84"/>
      <c r="AG84"/>
      <c r="AH84"/>
      <c r="AI84"/>
      <c r="AJ84"/>
      <c r="AK84"/>
      <c r="AL84"/>
    </row>
    <row r="85" spans="2:38">
      <c r="B85" s="666"/>
      <c r="C85" s="666"/>
      <c r="D85" s="666"/>
      <c r="E85" s="666"/>
      <c r="F85" s="666"/>
      <c r="G85" s="666"/>
      <c r="H85" s="666"/>
      <c r="I85" s="666"/>
      <c r="J85" s="666"/>
      <c r="K85" s="666"/>
      <c r="L85" s="666"/>
      <c r="M85" s="666"/>
      <c r="Q85" s="666"/>
      <c r="R85" s="666"/>
      <c r="AA85" s="666">
        <v>73</v>
      </c>
      <c r="AB85" s="574">
        <f>IF($L$5=13,IF(Main_무해지!R79="",0,Main_무해지!R79),IF($W$36=1,IF(Main_무해지!CJ77="",0,Main_무해지!CJ77),IF(일반형!CJ77="",0,일반형!CJ77)))</f>
        <v>0</v>
      </c>
      <c r="AC85" s="574"/>
      <c r="AD85" s="574"/>
      <c r="AE85"/>
      <c r="AF85"/>
      <c r="AG85"/>
      <c r="AH85"/>
      <c r="AI85"/>
      <c r="AJ85"/>
      <c r="AK85"/>
      <c r="AL85"/>
    </row>
    <row r="86" spans="2:38">
      <c r="B86" s="666"/>
      <c r="C86" s="666"/>
      <c r="D86" s="666"/>
      <c r="E86" s="666"/>
      <c r="F86" s="666"/>
      <c r="G86" s="666"/>
      <c r="H86" s="666"/>
      <c r="I86" s="666"/>
      <c r="J86" s="666"/>
      <c r="K86" s="666"/>
      <c r="L86" s="666"/>
      <c r="M86" s="666"/>
      <c r="Q86" s="666"/>
      <c r="R86" s="666"/>
      <c r="AA86" s="666">
        <v>74</v>
      </c>
      <c r="AB86" s="574">
        <f>IF($L$5=13,IF(Main_무해지!R80="",0,Main_무해지!R80),IF($W$36=1,IF(Main_무해지!CJ78="",0,Main_무해지!CJ78),IF(일반형!CJ78="",0,일반형!CJ78)))</f>
        <v>0</v>
      </c>
      <c r="AC86" s="574"/>
      <c r="AD86" s="574"/>
      <c r="AE86"/>
      <c r="AF86"/>
      <c r="AG86"/>
      <c r="AH86"/>
      <c r="AI86"/>
      <c r="AJ86"/>
      <c r="AK86"/>
      <c r="AL86"/>
    </row>
    <row r="87" spans="2:38">
      <c r="B87" s="666"/>
      <c r="C87" s="666"/>
      <c r="D87" s="666"/>
      <c r="E87" s="666"/>
      <c r="F87" s="666"/>
      <c r="G87" s="666"/>
      <c r="H87" s="666"/>
      <c r="I87" s="666"/>
      <c r="J87" s="666"/>
      <c r="K87" s="666"/>
      <c r="L87" s="666"/>
      <c r="M87" s="666"/>
      <c r="Q87" s="666"/>
      <c r="R87" s="666"/>
      <c r="AA87" s="666">
        <v>75</v>
      </c>
      <c r="AB87" s="574">
        <f>IF($L$5=13,IF(Main_무해지!R81="",0,Main_무해지!R81),IF($W$36=1,IF(Main_무해지!CJ79="",0,Main_무해지!CJ79),IF(일반형!CJ79="",0,일반형!CJ79)))</f>
        <v>0</v>
      </c>
      <c r="AC87" s="574"/>
      <c r="AD87" s="574"/>
      <c r="AE87"/>
      <c r="AF87"/>
      <c r="AG87"/>
      <c r="AH87"/>
      <c r="AI87"/>
      <c r="AJ87"/>
      <c r="AK87"/>
      <c r="AL87"/>
    </row>
    <row r="88" spans="2:38">
      <c r="B88" s="666"/>
      <c r="C88" s="666"/>
      <c r="D88" s="666"/>
      <c r="E88" s="666"/>
      <c r="F88" s="666"/>
      <c r="G88" s="666"/>
      <c r="H88" s="666"/>
      <c r="I88" s="666"/>
      <c r="J88" s="666"/>
      <c r="K88" s="666"/>
      <c r="L88" s="666"/>
      <c r="M88" s="666"/>
      <c r="Q88" s="666"/>
      <c r="R88" s="666"/>
      <c r="AA88" s="666">
        <v>76</v>
      </c>
      <c r="AB88" s="574">
        <f>IF($L$5=13,IF(Main_무해지!R82="",0,Main_무해지!R82),IF($W$36=1,IF(Main_무해지!CJ80="",0,Main_무해지!CJ80),IF(일반형!CJ80="",0,일반형!CJ80)))</f>
        <v>0</v>
      </c>
      <c r="AC88" s="574"/>
      <c r="AD88" s="574"/>
      <c r="AE88"/>
      <c r="AF88"/>
      <c r="AG88"/>
      <c r="AH88"/>
      <c r="AI88"/>
      <c r="AJ88"/>
      <c r="AK88"/>
      <c r="AL88"/>
    </row>
    <row r="89" spans="2:38">
      <c r="B89" s="666"/>
      <c r="C89" s="666"/>
      <c r="D89" s="666"/>
      <c r="E89" s="666"/>
      <c r="F89" s="666"/>
      <c r="G89" s="666"/>
      <c r="H89" s="666"/>
      <c r="I89" s="666"/>
      <c r="J89" s="666"/>
      <c r="K89" s="666"/>
      <c r="L89" s="666"/>
      <c r="M89" s="666"/>
      <c r="Q89" s="666"/>
      <c r="R89" s="666"/>
      <c r="AA89" s="666">
        <v>77</v>
      </c>
      <c r="AB89" s="574">
        <f>IF($L$5=13,IF(Main_무해지!R83="",0,Main_무해지!R83),IF($W$36=1,IF(Main_무해지!CJ81="",0,Main_무해지!CJ81),IF(일반형!CJ81="",0,일반형!CJ81)))</f>
        <v>0</v>
      </c>
      <c r="AC89" s="574"/>
      <c r="AD89" s="574"/>
      <c r="AE89"/>
      <c r="AF89"/>
      <c r="AG89"/>
      <c r="AH89"/>
      <c r="AI89"/>
      <c r="AJ89"/>
      <c r="AK89"/>
      <c r="AL89"/>
    </row>
    <row r="90" spans="2:38">
      <c r="B90" s="666"/>
      <c r="C90" s="666"/>
      <c r="D90" s="666"/>
      <c r="E90" s="666"/>
      <c r="F90" s="666"/>
      <c r="G90" s="666"/>
      <c r="H90" s="666"/>
      <c r="I90" s="666"/>
      <c r="J90" s="666"/>
      <c r="K90" s="666"/>
      <c r="L90" s="666"/>
      <c r="M90" s="666"/>
      <c r="Q90" s="666"/>
      <c r="R90" s="666"/>
      <c r="AA90" s="666">
        <v>78</v>
      </c>
      <c r="AB90" s="574">
        <f>IF($L$5=13,IF(Main_무해지!R84="",0,Main_무해지!R84),IF($W$36=1,IF(Main_무해지!CJ82="",0,Main_무해지!CJ82),IF(일반형!CJ82="",0,일반형!CJ82)))</f>
        <v>0</v>
      </c>
      <c r="AC90" s="574"/>
      <c r="AD90" s="574"/>
      <c r="AE90"/>
      <c r="AF90"/>
      <c r="AG90"/>
      <c r="AH90"/>
      <c r="AI90"/>
      <c r="AJ90"/>
      <c r="AK90"/>
      <c r="AL90"/>
    </row>
    <row r="91" spans="2:38">
      <c r="B91" s="666"/>
      <c r="C91" s="666"/>
      <c r="D91" s="666"/>
      <c r="E91" s="666"/>
      <c r="F91" s="666"/>
      <c r="G91" s="666"/>
      <c r="H91" s="666"/>
      <c r="I91" s="666"/>
      <c r="J91" s="666"/>
      <c r="K91" s="666"/>
      <c r="L91" s="666"/>
      <c r="M91" s="666"/>
      <c r="Q91" s="666"/>
      <c r="R91" s="666"/>
      <c r="AA91" s="666">
        <v>79</v>
      </c>
      <c r="AB91" s="574">
        <f>IF($L$5=13,IF(Main_무해지!R85="",0,Main_무해지!R85),IF($W$36=1,IF(Main_무해지!CJ83="",0,Main_무해지!CJ83),IF(일반형!CJ83="",0,일반형!CJ83)))</f>
        <v>0</v>
      </c>
      <c r="AC91" s="574"/>
      <c r="AD91" s="574"/>
      <c r="AE91"/>
      <c r="AF91"/>
      <c r="AG91"/>
      <c r="AH91"/>
      <c r="AI91"/>
      <c r="AJ91"/>
      <c r="AK91"/>
      <c r="AL91"/>
    </row>
    <row r="92" spans="2:38">
      <c r="B92" s="666"/>
      <c r="C92" s="666"/>
      <c r="D92" s="666"/>
      <c r="E92" s="666"/>
      <c r="F92" s="666"/>
      <c r="G92" s="666"/>
      <c r="H92" s="666"/>
      <c r="I92" s="666"/>
      <c r="J92" s="666"/>
      <c r="K92" s="666"/>
      <c r="L92" s="666"/>
      <c r="M92" s="666"/>
      <c r="Q92" s="666"/>
      <c r="R92" s="666"/>
      <c r="AA92" s="666">
        <v>80</v>
      </c>
      <c r="AB92" s="574">
        <f>IF($L$5=13,IF(Main_무해지!R86="",0,Main_무해지!R86),IF($W$36=1,IF(Main_무해지!CJ84="",0,Main_무해지!CJ84),IF(일반형!CJ84="",0,일반형!CJ84)))</f>
        <v>0</v>
      </c>
      <c r="AC92" s="574"/>
      <c r="AD92" s="574"/>
      <c r="AE92"/>
      <c r="AF92"/>
      <c r="AG92"/>
      <c r="AH92"/>
      <c r="AI92"/>
      <c r="AJ92"/>
      <c r="AK92"/>
      <c r="AL92"/>
    </row>
    <row r="93" spans="2:38">
      <c r="B93" s="666"/>
      <c r="C93" s="666"/>
      <c r="D93" s="666"/>
      <c r="E93" s="666"/>
      <c r="F93" s="666"/>
      <c r="G93" s="666"/>
      <c r="H93" s="666"/>
      <c r="I93" s="666"/>
      <c r="J93" s="666"/>
      <c r="K93" s="666"/>
      <c r="L93" s="666"/>
      <c r="M93" s="666"/>
      <c r="Q93" s="666"/>
      <c r="R93" s="666"/>
      <c r="AA93" s="666">
        <v>81</v>
      </c>
      <c r="AB93" s="574">
        <f>IF($L$5=13,IF(Main_무해지!R87="",0,Main_무해지!R87),IF($W$36=1,IF(Main_무해지!CJ85="",0,Main_무해지!CJ85),IF(일반형!CJ85="",0,일반형!CJ85)))</f>
        <v>0</v>
      </c>
      <c r="AC93" s="574"/>
      <c r="AD93" s="574"/>
      <c r="AE93"/>
      <c r="AF93"/>
      <c r="AG93"/>
      <c r="AH93"/>
      <c r="AI93"/>
      <c r="AJ93"/>
      <c r="AK93"/>
      <c r="AL93"/>
    </row>
    <row r="94" spans="2:38">
      <c r="B94" s="666"/>
      <c r="C94" s="666"/>
      <c r="D94" s="666"/>
      <c r="E94" s="666"/>
      <c r="F94" s="666"/>
      <c r="G94" s="666"/>
      <c r="H94" s="666"/>
      <c r="I94" s="666"/>
      <c r="J94" s="666"/>
      <c r="K94" s="666"/>
      <c r="L94" s="666"/>
      <c r="M94" s="666"/>
      <c r="Q94" s="666"/>
      <c r="R94" s="666"/>
      <c r="AA94" s="666">
        <v>82</v>
      </c>
      <c r="AB94" s="574">
        <f>IF($L$5=13,IF(Main_무해지!R88="",0,Main_무해지!R88),IF($W$36=1,IF(Main_무해지!CJ86="",0,Main_무해지!CJ86),IF(일반형!CJ86="",0,일반형!CJ86)))</f>
        <v>0</v>
      </c>
      <c r="AC94" s="574"/>
      <c r="AD94" s="574"/>
      <c r="AE94"/>
      <c r="AF94"/>
      <c r="AG94"/>
      <c r="AH94"/>
      <c r="AI94"/>
      <c r="AJ94"/>
      <c r="AK94"/>
      <c r="AL94"/>
    </row>
    <row r="95" spans="2:38">
      <c r="B95" s="666"/>
      <c r="C95" s="666"/>
      <c r="D95" s="666"/>
      <c r="E95" s="666"/>
      <c r="F95" s="666"/>
      <c r="G95" s="666"/>
      <c r="H95" s="666"/>
      <c r="I95" s="666"/>
      <c r="J95" s="666"/>
      <c r="K95" s="666"/>
      <c r="L95" s="666"/>
      <c r="M95" s="666"/>
      <c r="Q95" s="666"/>
      <c r="R95" s="666"/>
      <c r="AA95" s="666">
        <v>83</v>
      </c>
      <c r="AB95" s="574">
        <f>IF($L$5=13,IF(Main_무해지!R89="",0,Main_무해지!R89),IF($W$36=1,IF(Main_무해지!CJ87="",0,Main_무해지!CJ87),IF(일반형!CJ87="",0,일반형!CJ87)))</f>
        <v>0</v>
      </c>
      <c r="AC95" s="574"/>
      <c r="AD95" s="574"/>
      <c r="AE95"/>
      <c r="AF95"/>
      <c r="AG95"/>
      <c r="AH95"/>
      <c r="AI95"/>
      <c r="AJ95"/>
      <c r="AK95"/>
      <c r="AL95"/>
    </row>
    <row r="96" spans="2:38">
      <c r="B96" s="666"/>
      <c r="C96" s="666"/>
      <c r="D96" s="666"/>
      <c r="E96" s="666"/>
      <c r="F96" s="666"/>
      <c r="G96" s="666"/>
      <c r="H96" s="666"/>
      <c r="I96" s="666"/>
      <c r="J96" s="666"/>
      <c r="K96" s="666"/>
      <c r="L96" s="666"/>
      <c r="M96" s="666"/>
      <c r="Q96" s="666"/>
      <c r="R96" s="666"/>
      <c r="AA96" s="666">
        <v>84</v>
      </c>
      <c r="AB96" s="574">
        <f>IF($L$5=13,IF(Main_무해지!R90="",0,Main_무해지!R90),IF($W$36=1,IF(Main_무해지!CJ88="",0,Main_무해지!CJ88),IF(일반형!CJ88="",0,일반형!CJ88)))</f>
        <v>0</v>
      </c>
      <c r="AC96" s="574"/>
      <c r="AD96" s="574"/>
      <c r="AE96"/>
      <c r="AF96"/>
      <c r="AG96"/>
      <c r="AH96"/>
      <c r="AI96"/>
      <c r="AJ96"/>
      <c r="AK96"/>
      <c r="AL96"/>
    </row>
    <row r="97" spans="2:38">
      <c r="B97" s="666"/>
      <c r="C97" s="666"/>
      <c r="D97" s="666"/>
      <c r="E97" s="666"/>
      <c r="F97" s="666"/>
      <c r="G97" s="666"/>
      <c r="H97" s="666"/>
      <c r="I97" s="666"/>
      <c r="J97" s="666"/>
      <c r="K97" s="666"/>
      <c r="L97" s="666"/>
      <c r="M97" s="666"/>
      <c r="Q97" s="666"/>
      <c r="R97" s="666"/>
      <c r="AA97" s="666">
        <v>85</v>
      </c>
      <c r="AB97" s="574">
        <f>IF($L$5=13,IF(Main_무해지!R91="",0,Main_무해지!R91),IF($W$36=1,IF(Main_무해지!CJ89="",0,Main_무해지!CJ89),IF(일반형!CJ89="",0,일반형!CJ89)))</f>
        <v>0</v>
      </c>
      <c r="AC97" s="574"/>
      <c r="AD97" s="574"/>
      <c r="AE97"/>
      <c r="AF97"/>
      <c r="AG97"/>
      <c r="AH97"/>
      <c r="AI97"/>
      <c r="AJ97"/>
      <c r="AK97"/>
      <c r="AL97"/>
    </row>
    <row r="98" spans="2:38">
      <c r="B98" s="666"/>
      <c r="C98" s="666"/>
      <c r="D98" s="666"/>
      <c r="E98" s="666"/>
      <c r="F98" s="666"/>
      <c r="G98" s="666"/>
      <c r="H98" s="666"/>
      <c r="I98" s="666"/>
      <c r="J98" s="666"/>
      <c r="K98" s="666"/>
      <c r="L98" s="666"/>
      <c r="M98" s="666"/>
      <c r="Q98" s="666"/>
      <c r="R98" s="666"/>
      <c r="AA98" s="666">
        <v>86</v>
      </c>
      <c r="AB98" s="574">
        <f>IF($L$5=13,IF(Main_무해지!R92="",0,Main_무해지!R92),IF($W$36=1,IF(Main_무해지!CJ90="",0,Main_무해지!CJ90),IF(일반형!CJ90="",0,일반형!CJ90)))</f>
        <v>0</v>
      </c>
      <c r="AC98" s="574"/>
      <c r="AD98" s="574"/>
      <c r="AE98"/>
      <c r="AF98"/>
      <c r="AG98"/>
      <c r="AH98"/>
      <c r="AI98"/>
      <c r="AJ98"/>
      <c r="AK98"/>
      <c r="AL98"/>
    </row>
    <row r="99" spans="2:38">
      <c r="B99" s="666"/>
      <c r="C99" s="666"/>
      <c r="D99" s="666"/>
      <c r="E99" s="666"/>
      <c r="F99" s="666"/>
      <c r="G99" s="666"/>
      <c r="H99" s="666"/>
      <c r="I99" s="666"/>
      <c r="J99" s="666"/>
      <c r="K99" s="666"/>
      <c r="L99" s="666"/>
      <c r="M99" s="666"/>
      <c r="Q99" s="666"/>
      <c r="R99" s="666"/>
      <c r="AA99" s="666">
        <v>87</v>
      </c>
      <c r="AB99" s="574">
        <f>IF($L$5=13,IF(Main_무해지!R93="",0,Main_무해지!R93),IF($W$36=1,IF(Main_무해지!CJ91="",0,Main_무해지!CJ91),IF(일반형!CJ91="",0,일반형!CJ91)))</f>
        <v>0</v>
      </c>
      <c r="AC99" s="574"/>
      <c r="AD99" s="574"/>
      <c r="AE99"/>
      <c r="AF99"/>
      <c r="AG99"/>
      <c r="AH99"/>
      <c r="AI99"/>
      <c r="AJ99"/>
      <c r="AK99"/>
      <c r="AL99"/>
    </row>
    <row r="100" spans="2:38">
      <c r="B100" s="666"/>
      <c r="C100" s="666"/>
      <c r="D100" s="666"/>
      <c r="E100" s="666"/>
      <c r="F100" s="666"/>
      <c r="G100" s="666"/>
      <c r="H100" s="666"/>
      <c r="I100" s="666"/>
      <c r="J100" s="666"/>
      <c r="K100" s="666"/>
      <c r="L100" s="666"/>
      <c r="M100" s="666"/>
      <c r="Q100" s="666"/>
      <c r="R100" s="666"/>
      <c r="AA100" s="666">
        <v>88</v>
      </c>
      <c r="AB100" s="574">
        <f>IF($L$5=13,IF(Main_무해지!R94="",0,Main_무해지!R94),IF($W$36=1,IF(Main_무해지!CJ92="",0,Main_무해지!CJ92),IF(일반형!CJ92="",0,일반형!CJ92)))</f>
        <v>0</v>
      </c>
      <c r="AC100" s="574"/>
      <c r="AD100" s="574"/>
      <c r="AE100"/>
      <c r="AF100"/>
      <c r="AG100"/>
      <c r="AH100"/>
      <c r="AI100"/>
      <c r="AJ100"/>
      <c r="AK100"/>
      <c r="AL100"/>
    </row>
    <row r="101" spans="2:38">
      <c r="B101" s="666"/>
      <c r="C101" s="666"/>
      <c r="D101" s="666"/>
      <c r="E101" s="666"/>
      <c r="F101" s="666"/>
      <c r="G101" s="666"/>
      <c r="H101" s="666"/>
      <c r="I101" s="666"/>
      <c r="J101" s="666"/>
      <c r="K101" s="666"/>
      <c r="L101" s="666"/>
      <c r="M101" s="666"/>
      <c r="Q101" s="666"/>
      <c r="R101" s="666"/>
      <c r="AA101" s="666">
        <v>89</v>
      </c>
      <c r="AB101" s="574">
        <f>IF($L$5=13,IF(Main_무해지!R95="",0,Main_무해지!R95),IF($W$36=1,IF(Main_무해지!CJ93="",0,Main_무해지!CJ93),IF(일반형!CJ93="",0,일반형!CJ93)))</f>
        <v>0</v>
      </c>
      <c r="AC101" s="574"/>
      <c r="AD101" s="574"/>
      <c r="AE101"/>
      <c r="AF101"/>
      <c r="AG101"/>
      <c r="AH101"/>
      <c r="AI101"/>
      <c r="AJ101"/>
      <c r="AK101"/>
      <c r="AL101"/>
    </row>
    <row r="102" spans="2:38">
      <c r="B102" s="666"/>
      <c r="C102" s="666"/>
      <c r="D102" s="666"/>
      <c r="E102" s="666"/>
      <c r="F102" s="666"/>
      <c r="G102" s="666"/>
      <c r="H102" s="666"/>
      <c r="I102" s="666"/>
      <c r="J102" s="666"/>
      <c r="K102" s="666"/>
      <c r="L102" s="666"/>
      <c r="M102" s="666"/>
      <c r="Q102" s="666"/>
      <c r="R102" s="666"/>
      <c r="AA102" s="666">
        <v>90</v>
      </c>
      <c r="AB102" s="574">
        <f>IF($L$5=13,IF(Main_무해지!R96="",0,Main_무해지!R96),IF($W$36=1,IF(Main_무해지!CJ94="",0,Main_무해지!CJ94),IF(일반형!CJ94="",0,일반형!CJ94)))</f>
        <v>0</v>
      </c>
      <c r="AC102" s="574"/>
      <c r="AD102" s="574"/>
      <c r="AE102"/>
      <c r="AF102"/>
      <c r="AG102"/>
      <c r="AH102"/>
      <c r="AI102"/>
      <c r="AJ102"/>
      <c r="AK102"/>
      <c r="AL102"/>
    </row>
    <row r="103" spans="2:38">
      <c r="B103" s="666"/>
      <c r="C103" s="666"/>
      <c r="D103" s="666"/>
      <c r="E103" s="666"/>
      <c r="F103" s="666"/>
      <c r="G103" s="666"/>
      <c r="H103" s="666"/>
      <c r="I103" s="666"/>
      <c r="J103" s="666"/>
      <c r="K103" s="666"/>
      <c r="L103" s="666"/>
      <c r="M103" s="666"/>
      <c r="Q103" s="666"/>
      <c r="R103" s="666"/>
      <c r="AA103" s="666">
        <v>91</v>
      </c>
      <c r="AB103" s="574">
        <f>IF($L$5=13,IF(Main_무해지!R97="",0,Main_무해지!R97),IF($W$36=1,IF(Main_무해지!CJ95="",0,Main_무해지!CJ95),IF(일반형!CJ95="",0,일반형!CJ95)))</f>
        <v>0</v>
      </c>
      <c r="AC103" s="574"/>
      <c r="AD103" s="574"/>
      <c r="AE103"/>
      <c r="AF103"/>
      <c r="AG103"/>
      <c r="AH103"/>
      <c r="AI103"/>
      <c r="AJ103"/>
      <c r="AK103"/>
      <c r="AL103"/>
    </row>
    <row r="104" spans="2:38">
      <c r="B104" s="666"/>
      <c r="C104" s="666"/>
      <c r="D104" s="666"/>
      <c r="E104" s="666"/>
      <c r="F104" s="666"/>
      <c r="G104" s="666"/>
      <c r="H104" s="666"/>
      <c r="I104" s="666"/>
      <c r="J104" s="666"/>
      <c r="K104" s="666"/>
      <c r="L104" s="666"/>
      <c r="M104" s="666"/>
      <c r="Q104" s="666"/>
      <c r="R104" s="666"/>
      <c r="AA104" s="666">
        <v>92</v>
      </c>
      <c r="AB104" s="574">
        <f>IF($L$5=13,IF(Main_무해지!R98="",0,Main_무해지!R98),IF($W$36=1,IF(Main_무해지!CJ96="",0,Main_무해지!CJ96),IF(일반형!CJ96="",0,일반형!CJ96)))</f>
        <v>0</v>
      </c>
      <c r="AC104" s="574"/>
      <c r="AD104" s="574"/>
      <c r="AE104"/>
      <c r="AF104"/>
      <c r="AG104"/>
      <c r="AH104"/>
      <c r="AI104"/>
      <c r="AJ104"/>
      <c r="AK104"/>
      <c r="AL104"/>
    </row>
    <row r="105" spans="2:38">
      <c r="B105" s="666"/>
      <c r="C105" s="666"/>
      <c r="D105" s="666"/>
      <c r="E105" s="666"/>
      <c r="F105" s="666"/>
      <c r="G105" s="666"/>
      <c r="H105" s="666"/>
      <c r="I105" s="666"/>
      <c r="J105" s="666"/>
      <c r="K105" s="666"/>
      <c r="L105" s="666"/>
      <c r="M105" s="666"/>
      <c r="Q105" s="666"/>
      <c r="R105" s="666"/>
      <c r="AA105" s="666">
        <v>93</v>
      </c>
      <c r="AB105" s="574">
        <f>IF($L$5=13,IF(Main_무해지!R99="",0,Main_무해지!R99),IF($W$36=1,IF(Main_무해지!CJ97="",0,Main_무해지!CJ97),IF(일반형!CJ97="",0,일반형!CJ97)))</f>
        <v>0</v>
      </c>
      <c r="AC105" s="574"/>
      <c r="AD105" s="574"/>
      <c r="AE105"/>
      <c r="AF105"/>
      <c r="AG105"/>
      <c r="AH105"/>
      <c r="AI105"/>
      <c r="AJ105"/>
      <c r="AK105"/>
      <c r="AL105"/>
    </row>
    <row r="106" spans="2:38">
      <c r="B106" s="666"/>
      <c r="C106" s="666"/>
      <c r="D106" s="666"/>
      <c r="E106" s="666"/>
      <c r="F106" s="666"/>
      <c r="G106" s="666"/>
      <c r="H106" s="666"/>
      <c r="I106" s="666"/>
      <c r="J106" s="666"/>
      <c r="K106" s="666"/>
      <c r="L106" s="666"/>
      <c r="M106" s="666"/>
      <c r="Q106" s="666"/>
      <c r="R106" s="666"/>
      <c r="AA106" s="666">
        <v>94</v>
      </c>
      <c r="AB106" s="574">
        <f>IF($L$5=13,IF(Main_무해지!R100="",0,Main_무해지!R100),IF($W$36=1,IF(Main_무해지!CJ98="",0,Main_무해지!CJ98),IF(일반형!CJ98="",0,일반형!CJ98)))</f>
        <v>0</v>
      </c>
      <c r="AC106" s="574"/>
      <c r="AD106" s="574"/>
      <c r="AE106"/>
      <c r="AF106"/>
      <c r="AG106"/>
      <c r="AH106"/>
      <c r="AI106"/>
      <c r="AJ106"/>
      <c r="AK106"/>
      <c r="AL106"/>
    </row>
    <row r="107" spans="2:38">
      <c r="B107" s="666"/>
      <c r="C107" s="666"/>
      <c r="D107" s="666"/>
      <c r="E107" s="666"/>
      <c r="F107" s="666"/>
      <c r="G107" s="666"/>
      <c r="H107" s="666"/>
      <c r="I107" s="666"/>
      <c r="J107" s="666"/>
      <c r="K107" s="666"/>
      <c r="L107" s="666"/>
      <c r="M107" s="666"/>
      <c r="Q107" s="666"/>
      <c r="R107" s="666"/>
      <c r="AA107" s="666">
        <v>95</v>
      </c>
      <c r="AB107" s="574">
        <f>IF($L$5=13,IF(Main_무해지!R101="",0,Main_무해지!R101),IF($W$36=1,IF(Main_무해지!CJ99="",0,Main_무해지!CJ99),IF(일반형!CJ99="",0,일반형!CJ99)))</f>
        <v>0</v>
      </c>
      <c r="AC107" s="574"/>
      <c r="AD107" s="574"/>
      <c r="AE107"/>
      <c r="AF107"/>
      <c r="AG107"/>
      <c r="AH107"/>
      <c r="AI107"/>
      <c r="AJ107"/>
      <c r="AK107"/>
      <c r="AL107"/>
    </row>
    <row r="108" spans="2:38">
      <c r="B108" s="666"/>
      <c r="C108" s="666"/>
      <c r="D108" s="666"/>
      <c r="E108" s="666"/>
      <c r="F108" s="666"/>
      <c r="G108" s="666"/>
      <c r="H108" s="666"/>
      <c r="I108" s="666"/>
      <c r="J108" s="666"/>
      <c r="K108" s="666"/>
      <c r="L108" s="666"/>
      <c r="M108" s="666"/>
      <c r="Q108" s="666"/>
      <c r="R108" s="666"/>
      <c r="AA108" s="666">
        <v>96</v>
      </c>
      <c r="AB108" s="574">
        <f>IF($L$5=13,IF(Main_무해지!R102="",0,Main_무해지!R102),IF($W$36=1,IF(Main_무해지!CJ100="",0,Main_무해지!CJ100),IF(일반형!CJ100="",0,일반형!CJ100)))</f>
        <v>0</v>
      </c>
      <c r="AC108" s="574"/>
      <c r="AD108" s="574"/>
      <c r="AE108"/>
      <c r="AF108"/>
      <c r="AG108"/>
      <c r="AH108"/>
      <c r="AI108"/>
      <c r="AJ108"/>
      <c r="AK108"/>
      <c r="AL108"/>
    </row>
    <row r="109" spans="2:38">
      <c r="B109" s="666"/>
      <c r="C109" s="666"/>
      <c r="D109" s="666"/>
      <c r="E109" s="666"/>
      <c r="F109" s="666"/>
      <c r="G109" s="666"/>
      <c r="H109" s="666"/>
      <c r="I109" s="666"/>
      <c r="J109" s="666"/>
      <c r="K109" s="666"/>
      <c r="L109" s="666"/>
      <c r="M109" s="666"/>
      <c r="Q109" s="666"/>
      <c r="R109" s="666"/>
      <c r="AA109" s="666">
        <v>97</v>
      </c>
      <c r="AB109" s="574">
        <f>IF($L$5=13,IF(Main_무해지!R103="",0,Main_무해지!R103),IF($W$36=1,IF(Main_무해지!CJ101="",0,Main_무해지!CJ101),IF(일반형!CJ101="",0,일반형!CJ101)))</f>
        <v>0</v>
      </c>
      <c r="AC109" s="574"/>
      <c r="AD109" s="574"/>
      <c r="AE109"/>
      <c r="AF109"/>
      <c r="AG109"/>
      <c r="AH109"/>
      <c r="AI109"/>
      <c r="AJ109"/>
      <c r="AK109"/>
      <c r="AL109"/>
    </row>
    <row r="110" spans="2:38">
      <c r="B110" s="666"/>
      <c r="C110" s="666"/>
      <c r="D110" s="666"/>
      <c r="E110" s="666"/>
      <c r="F110" s="666"/>
      <c r="G110" s="666"/>
      <c r="H110" s="666"/>
      <c r="I110" s="666"/>
      <c r="J110" s="666"/>
      <c r="K110" s="666"/>
      <c r="L110" s="666"/>
      <c r="M110" s="666"/>
      <c r="Q110" s="666"/>
      <c r="R110" s="666"/>
      <c r="AA110" s="666">
        <v>98</v>
      </c>
      <c r="AB110" s="574">
        <f>IF($L$5=13,IF(Main_무해지!R104="",0,Main_무해지!R104),IF($W$36=1,IF(Main_무해지!CJ102="",0,Main_무해지!CJ102),IF(일반형!CJ102="",0,일반형!CJ102)))</f>
        <v>0</v>
      </c>
      <c r="AC110" s="574"/>
      <c r="AD110" s="574"/>
      <c r="AE110"/>
      <c r="AF110"/>
      <c r="AG110"/>
      <c r="AH110"/>
      <c r="AI110"/>
      <c r="AJ110"/>
      <c r="AK110"/>
      <c r="AL110"/>
    </row>
    <row r="111" spans="2:38">
      <c r="B111" s="666"/>
      <c r="C111" s="666"/>
      <c r="D111" s="666"/>
      <c r="E111" s="666"/>
      <c r="F111" s="666"/>
      <c r="G111" s="666"/>
      <c r="H111" s="666"/>
      <c r="I111" s="666"/>
      <c r="J111" s="666"/>
      <c r="K111" s="666"/>
      <c r="L111" s="666"/>
      <c r="M111" s="666"/>
      <c r="Q111" s="666"/>
      <c r="R111" s="666"/>
      <c r="AA111" s="666">
        <v>99</v>
      </c>
      <c r="AB111" s="574">
        <f>IF($L$5=13,IF(Main_무해지!R105="",0,Main_무해지!R105),IF($W$36=1,IF(Main_무해지!CJ103="",0,Main_무해지!CJ103),IF(일반형!CJ103="",0,일반형!CJ103)))</f>
        <v>0</v>
      </c>
      <c r="AC111" s="574"/>
      <c r="AD111" s="574"/>
      <c r="AE111"/>
      <c r="AF111"/>
      <c r="AG111"/>
      <c r="AH111"/>
      <c r="AI111"/>
      <c r="AJ111"/>
      <c r="AK111"/>
      <c r="AL111"/>
    </row>
    <row r="112" spans="2:38">
      <c r="B112" s="666"/>
      <c r="C112" s="666"/>
      <c r="D112" s="666"/>
      <c r="E112" s="666"/>
      <c r="F112" s="666"/>
      <c r="G112" s="666"/>
      <c r="H112" s="666"/>
      <c r="I112" s="666"/>
      <c r="J112" s="666"/>
      <c r="K112" s="666"/>
      <c r="L112" s="666"/>
      <c r="M112" s="666"/>
      <c r="Q112" s="666"/>
      <c r="R112" s="666"/>
      <c r="AA112" s="666">
        <v>100</v>
      </c>
      <c r="AB112" s="574">
        <f>IF($L$5=13,IF(Main_무해지!R106="",0,Main_무해지!R106),IF($W$36=1,IF(Main_무해지!CJ104="",0,Main_무해지!CJ104),IF(일반형!CJ104="",0,일반형!CJ104)))</f>
        <v>0</v>
      </c>
      <c r="AC112" s="574"/>
      <c r="AD112" s="574"/>
      <c r="AE112"/>
      <c r="AF112"/>
      <c r="AG112"/>
      <c r="AH112"/>
      <c r="AI112"/>
      <c r="AJ112"/>
      <c r="AK112"/>
      <c r="AL112"/>
    </row>
    <row r="113" spans="2:38">
      <c r="B113" s="666"/>
      <c r="C113" s="666"/>
      <c r="D113" s="666"/>
      <c r="E113" s="666"/>
      <c r="F113" s="666"/>
      <c r="G113" s="666"/>
      <c r="H113" s="666"/>
      <c r="I113" s="666"/>
      <c r="J113" s="666"/>
      <c r="K113" s="666"/>
      <c r="L113" s="666"/>
      <c r="M113" s="666"/>
      <c r="Q113" s="666"/>
      <c r="R113" s="666"/>
      <c r="AA113" s="666">
        <v>101</v>
      </c>
      <c r="AB113" s="574">
        <f>IF($L$5=13,IF(Main_무해지!R107="",0,Main_무해지!R107),IF($W$36=1,IF(Main_무해지!CJ105="",0,Main_무해지!CJ105),IF(일반형!CJ105="",0,일반형!CJ105)))</f>
        <v>0</v>
      </c>
      <c r="AC113" s="574"/>
      <c r="AD113" s="574"/>
      <c r="AE113"/>
      <c r="AF113"/>
      <c r="AG113"/>
      <c r="AH113"/>
      <c r="AI113"/>
      <c r="AJ113"/>
      <c r="AK113"/>
      <c r="AL113"/>
    </row>
    <row r="114" spans="2:38">
      <c r="B114" s="666"/>
      <c r="C114" s="666"/>
      <c r="D114" s="666"/>
      <c r="E114" s="666"/>
      <c r="F114" s="666"/>
      <c r="G114" s="666"/>
      <c r="H114" s="666"/>
      <c r="I114" s="666"/>
      <c r="J114" s="666"/>
      <c r="K114" s="666"/>
      <c r="L114" s="666"/>
      <c r="M114" s="666"/>
      <c r="Q114" s="666"/>
      <c r="R114" s="666"/>
      <c r="AA114" s="666">
        <v>102</v>
      </c>
      <c r="AB114" s="574">
        <f>IF($L$5=13,IF(Main_무해지!R108="",0,Main_무해지!R108),IF($W$36=1,IF(Main_무해지!CJ106="",0,Main_무해지!CJ106),IF(일반형!CJ106="",0,일반형!CJ106)))</f>
        <v>0</v>
      </c>
      <c r="AC114" s="574"/>
      <c r="AD114" s="574"/>
      <c r="AE114"/>
      <c r="AF114"/>
      <c r="AG114"/>
      <c r="AH114"/>
      <c r="AI114"/>
      <c r="AJ114"/>
      <c r="AK114"/>
      <c r="AL114"/>
    </row>
    <row r="115" spans="2:38">
      <c r="B115" s="666"/>
      <c r="C115" s="666"/>
      <c r="D115" s="666"/>
      <c r="E115" s="666"/>
      <c r="F115" s="666"/>
      <c r="G115" s="666"/>
      <c r="H115" s="666"/>
      <c r="I115" s="666"/>
      <c r="J115" s="666"/>
      <c r="K115" s="666"/>
      <c r="L115" s="666"/>
      <c r="M115" s="666"/>
      <c r="Q115" s="666"/>
      <c r="R115" s="666"/>
      <c r="AA115" s="666">
        <v>103</v>
      </c>
      <c r="AB115" s="574">
        <f>IF($L$5=13,IF(Main_무해지!R109="",0,Main_무해지!R109),IF($W$36=1,IF(Main_무해지!CJ107="",0,Main_무해지!CJ107),IF(일반형!CJ107="",0,일반형!CJ107)))</f>
        <v>0</v>
      </c>
      <c r="AC115" s="574"/>
      <c r="AD115" s="574"/>
      <c r="AE115"/>
      <c r="AF115"/>
      <c r="AG115"/>
      <c r="AH115"/>
      <c r="AI115"/>
      <c r="AJ115"/>
      <c r="AK115"/>
      <c r="AL115"/>
    </row>
    <row r="116" spans="2:38">
      <c r="B116" s="666"/>
      <c r="C116" s="666"/>
      <c r="D116" s="666"/>
      <c r="E116" s="666"/>
      <c r="F116" s="666"/>
      <c r="G116" s="666"/>
      <c r="H116" s="666"/>
      <c r="I116" s="666"/>
      <c r="J116" s="666"/>
      <c r="K116" s="666"/>
      <c r="L116" s="666"/>
      <c r="M116" s="666"/>
      <c r="Q116" s="666"/>
      <c r="R116" s="666"/>
      <c r="AA116" s="666">
        <v>104</v>
      </c>
      <c r="AB116" s="574">
        <f>IF($L$5=13,IF(Main_무해지!R110="",0,Main_무해지!R110),IF($W$36=1,IF(Main_무해지!CJ108="",0,Main_무해지!CJ108),IF(일반형!CJ108="",0,일반형!CJ108)))</f>
        <v>0</v>
      </c>
      <c r="AC116" s="574"/>
      <c r="AD116" s="574"/>
      <c r="AE116"/>
      <c r="AF116"/>
      <c r="AG116"/>
      <c r="AH116"/>
      <c r="AI116"/>
      <c r="AJ116"/>
      <c r="AK116"/>
      <c r="AL116"/>
    </row>
    <row r="117" spans="2:38">
      <c r="B117" s="666"/>
      <c r="C117" s="666"/>
      <c r="D117" s="666"/>
      <c r="E117" s="666"/>
      <c r="F117" s="666"/>
      <c r="G117" s="666"/>
      <c r="H117" s="666"/>
      <c r="I117" s="666"/>
      <c r="J117" s="666"/>
      <c r="K117" s="666"/>
      <c r="L117" s="666"/>
      <c r="M117" s="666"/>
      <c r="Q117" s="666"/>
      <c r="R117" s="666"/>
      <c r="AA117" s="666">
        <v>105</v>
      </c>
      <c r="AB117" s="574">
        <f>IF($L$5=13,IF(Main_무해지!R111="",0,Main_무해지!R111),IF($W$36=1,IF(Main_무해지!CJ109="",0,Main_무해지!CJ109),IF(일반형!CJ109="",0,일반형!CJ109)))</f>
        <v>0</v>
      </c>
      <c r="AC117" s="574"/>
      <c r="AD117" s="574"/>
      <c r="AE117"/>
      <c r="AF117"/>
      <c r="AG117"/>
      <c r="AH117"/>
      <c r="AI117"/>
      <c r="AJ117"/>
      <c r="AK117"/>
      <c r="AL117"/>
    </row>
    <row r="118" spans="2:38">
      <c r="B118" s="666"/>
      <c r="C118" s="666"/>
      <c r="D118" s="666"/>
      <c r="E118" s="666"/>
      <c r="F118" s="666"/>
      <c r="G118" s="666"/>
      <c r="H118" s="666"/>
      <c r="I118" s="666"/>
      <c r="J118" s="666"/>
      <c r="K118" s="666"/>
      <c r="L118" s="666"/>
      <c r="M118" s="666"/>
      <c r="Q118" s="666"/>
      <c r="R118" s="666"/>
      <c r="AA118" s="666">
        <v>106</v>
      </c>
      <c r="AB118" s="574">
        <f>IF($L$5=13,IF(Main_무해지!R112="",0,Main_무해지!R112),IF($W$36=1,IF(Main_무해지!CJ110="",0,Main_무해지!CJ110),IF(일반형!CJ110="",0,일반형!CJ110)))</f>
        <v>0</v>
      </c>
      <c r="AC118" s="574"/>
      <c r="AD118" s="574"/>
      <c r="AE118"/>
      <c r="AF118"/>
      <c r="AG118"/>
      <c r="AH118"/>
      <c r="AI118"/>
      <c r="AJ118"/>
      <c r="AK118"/>
      <c r="AL118"/>
    </row>
    <row r="119" spans="2:38">
      <c r="B119" s="666"/>
      <c r="C119" s="666"/>
      <c r="D119" s="666"/>
      <c r="E119" s="666"/>
      <c r="F119" s="666"/>
      <c r="G119" s="666"/>
      <c r="H119" s="666"/>
      <c r="I119" s="666"/>
      <c r="J119" s="666"/>
      <c r="K119" s="666"/>
      <c r="L119" s="666"/>
      <c r="M119" s="666"/>
      <c r="Q119" s="666"/>
      <c r="R119" s="666"/>
      <c r="AA119" s="666">
        <v>107</v>
      </c>
      <c r="AB119" s="574">
        <f>IF($L$5=13,IF(Main_무해지!R113="",0,Main_무해지!R113),IF($W$36=1,IF(Main_무해지!CJ111="",0,Main_무해지!CJ111),IF(일반형!CJ111="",0,일반형!CJ111)))</f>
        <v>0</v>
      </c>
      <c r="AC119" s="574"/>
      <c r="AD119" s="574"/>
      <c r="AE119"/>
      <c r="AF119"/>
      <c r="AG119"/>
      <c r="AH119"/>
      <c r="AI119"/>
      <c r="AJ119"/>
      <c r="AK119"/>
      <c r="AL119"/>
    </row>
    <row r="120" spans="2:38">
      <c r="B120" s="666"/>
      <c r="C120" s="666"/>
      <c r="D120" s="666"/>
      <c r="E120" s="666"/>
      <c r="F120" s="666"/>
      <c r="G120" s="666"/>
      <c r="H120" s="666"/>
      <c r="I120" s="666"/>
      <c r="J120" s="666"/>
      <c r="K120" s="666"/>
      <c r="L120" s="666"/>
      <c r="M120" s="666"/>
      <c r="Q120" s="666"/>
      <c r="R120" s="666"/>
      <c r="AA120" s="666">
        <v>108</v>
      </c>
      <c r="AB120" s="574">
        <f>IF($L$5=13,IF(Main_무해지!R114="",0,Main_무해지!R114),IF($W$36=1,IF(Main_무해지!CJ112="",0,Main_무해지!CJ112),IF(일반형!CJ112="",0,일반형!CJ112)))</f>
        <v>0</v>
      </c>
      <c r="AC120" s="574"/>
      <c r="AD120" s="574"/>
      <c r="AE120"/>
      <c r="AF120"/>
      <c r="AG120"/>
      <c r="AH120"/>
      <c r="AI120"/>
      <c r="AJ120"/>
      <c r="AK120"/>
      <c r="AL120"/>
    </row>
    <row r="121" spans="2:38">
      <c r="B121" s="666"/>
      <c r="C121" s="666"/>
      <c r="D121" s="666"/>
      <c r="E121" s="666"/>
      <c r="F121" s="666"/>
      <c r="G121" s="666"/>
      <c r="H121" s="666"/>
      <c r="I121" s="666"/>
      <c r="J121" s="666"/>
      <c r="K121" s="666"/>
      <c r="L121" s="666"/>
      <c r="M121" s="666"/>
      <c r="Q121" s="666"/>
      <c r="R121" s="666"/>
      <c r="AA121" s="666">
        <v>109</v>
      </c>
      <c r="AB121" s="574">
        <f>IF($L$5=13,IF(Main_무해지!R115="",0,Main_무해지!R115),IF($W$36=1,IF(Main_무해지!CJ113="",0,Main_무해지!CJ113),IF(일반형!CJ113="",0,일반형!CJ113)))</f>
        <v>0</v>
      </c>
      <c r="AC121" s="574"/>
      <c r="AD121" s="574"/>
      <c r="AE121"/>
      <c r="AF121"/>
      <c r="AG121"/>
      <c r="AH121"/>
      <c r="AI121"/>
      <c r="AJ121"/>
      <c r="AK121"/>
      <c r="AL121"/>
    </row>
    <row r="122" spans="2:38">
      <c r="B122" s="666"/>
      <c r="C122" s="666"/>
      <c r="D122" s="666"/>
      <c r="E122" s="666"/>
      <c r="F122" s="666"/>
      <c r="G122" s="666"/>
      <c r="H122" s="666"/>
      <c r="I122" s="666"/>
      <c r="J122" s="666"/>
      <c r="K122" s="666"/>
      <c r="L122" s="666"/>
      <c r="M122" s="666"/>
      <c r="Q122" s="666"/>
      <c r="R122" s="666"/>
      <c r="AA122" s="666">
        <v>110</v>
      </c>
      <c r="AB122" s="574">
        <f>IF($L$5=13,IF(Main_무해지!R116="",0,Main_무해지!R116),IF($W$36=1,IF(Main_무해지!CJ114="",0,Main_무해지!CJ114),IF(일반형!CJ114="",0,일반형!CJ114)))</f>
        <v>0</v>
      </c>
      <c r="AC122" s="574"/>
      <c r="AD122" s="574"/>
      <c r="AE122"/>
      <c r="AF122"/>
      <c r="AG122"/>
      <c r="AH122"/>
      <c r="AI122"/>
      <c r="AJ122"/>
      <c r="AK122"/>
      <c r="AL122"/>
    </row>
    <row r="123" spans="2:38">
      <c r="B123" s="666"/>
      <c r="C123" s="666"/>
      <c r="D123" s="666"/>
      <c r="E123" s="666"/>
      <c r="F123" s="666"/>
      <c r="G123" s="666"/>
      <c r="H123" s="666"/>
      <c r="I123" s="666"/>
      <c r="J123" s="666"/>
      <c r="K123" s="666"/>
      <c r="L123" s="666"/>
      <c r="M123" s="666"/>
      <c r="Q123" s="666"/>
      <c r="R123" s="666"/>
      <c r="AA123" s="666">
        <v>111</v>
      </c>
      <c r="AB123" s="574">
        <f>IF($L$5=13,IF(Main_무해지!R117="",0,Main_무해지!R117),IF($W$36=1,IF(Main_무해지!CJ115="",0,Main_무해지!CJ115),IF(일반형!CJ115="",0,일반형!CJ115)))</f>
        <v>0</v>
      </c>
      <c r="AC123" s="574"/>
      <c r="AD123" s="574"/>
      <c r="AE123"/>
      <c r="AF123"/>
      <c r="AG123"/>
      <c r="AH123"/>
      <c r="AI123"/>
      <c r="AJ123"/>
      <c r="AK123"/>
      <c r="AL123"/>
    </row>
    <row r="124" spans="2:38">
      <c r="B124" s="666"/>
      <c r="C124" s="666"/>
      <c r="D124" s="666"/>
      <c r="E124" s="666"/>
      <c r="F124" s="666"/>
      <c r="G124" s="666"/>
      <c r="H124" s="666"/>
      <c r="I124" s="666"/>
      <c r="J124" s="666"/>
      <c r="K124" s="666"/>
      <c r="L124" s="666"/>
      <c r="M124" s="666"/>
      <c r="Q124" s="666"/>
      <c r="R124" s="666"/>
      <c r="AA124" s="666">
        <v>112</v>
      </c>
      <c r="AB124" s="574">
        <f>IF($L$5=13,IF(Main_무해지!R118="",0,Main_무해지!R118),IF($W$36=1,IF(Main_무해지!CJ116="",0,Main_무해지!CJ116),IF(일반형!CJ116="",0,일반형!CJ116)))</f>
        <v>0</v>
      </c>
      <c r="AC124" s="574"/>
      <c r="AD124" s="574"/>
      <c r="AE124"/>
      <c r="AF124"/>
      <c r="AG124"/>
      <c r="AH124"/>
      <c r="AI124"/>
      <c r="AJ124"/>
      <c r="AK124"/>
      <c r="AL124"/>
    </row>
    <row r="125" spans="2:38">
      <c r="B125" s="666"/>
      <c r="C125" s="666"/>
      <c r="D125" s="666"/>
      <c r="E125" s="666"/>
      <c r="F125" s="666"/>
      <c r="G125" s="666"/>
      <c r="H125" s="666"/>
      <c r="I125" s="666"/>
      <c r="J125" s="666"/>
      <c r="K125" s="666"/>
      <c r="L125" s="666"/>
      <c r="M125" s="666"/>
      <c r="Q125" s="666"/>
      <c r="R125" s="666"/>
      <c r="AA125" s="666">
        <v>113</v>
      </c>
      <c r="AB125" s="574">
        <f>IF($L$5=13,IF(Main_무해지!R119="",0,Main_무해지!R119),IF($W$36=1,IF(Main_무해지!CJ117="",0,Main_무해지!CJ117),IF(일반형!CJ117="",0,일반형!CJ117)))</f>
        <v>0</v>
      </c>
      <c r="AC125" s="574"/>
      <c r="AD125" s="574"/>
      <c r="AE125"/>
      <c r="AF125"/>
      <c r="AG125"/>
      <c r="AH125"/>
      <c r="AI125"/>
      <c r="AJ125"/>
      <c r="AK125"/>
      <c r="AL125"/>
    </row>
    <row r="126" spans="2:38">
      <c r="B126" s="666"/>
      <c r="C126" s="666"/>
      <c r="D126" s="666"/>
      <c r="E126" s="666"/>
      <c r="F126" s="666"/>
      <c r="G126" s="666"/>
      <c r="H126" s="666"/>
      <c r="I126" s="666"/>
      <c r="J126" s="666"/>
      <c r="K126" s="666"/>
      <c r="L126" s="666"/>
      <c r="M126" s="666"/>
      <c r="Q126" s="666"/>
      <c r="R126" s="666"/>
      <c r="AA126" s="666">
        <v>114</v>
      </c>
      <c r="AB126" s="574">
        <f>IF($L$5=13,IF(Main_무해지!R120="",0,Main_무해지!R120),IF($W$36=1,IF(Main_무해지!CJ118="",0,Main_무해지!CJ118),IF(일반형!CJ118="",0,일반형!CJ118)))</f>
        <v>0</v>
      </c>
      <c r="AC126" s="574"/>
      <c r="AD126" s="574"/>
      <c r="AE126"/>
      <c r="AF126"/>
      <c r="AG126"/>
      <c r="AH126"/>
      <c r="AI126"/>
      <c r="AJ126"/>
      <c r="AK126"/>
      <c r="AL126"/>
    </row>
    <row r="127" spans="2:38">
      <c r="B127" s="666"/>
      <c r="C127" s="666"/>
      <c r="D127" s="666"/>
      <c r="E127" s="666"/>
      <c r="F127" s="666"/>
      <c r="G127" s="666"/>
      <c r="H127" s="666"/>
      <c r="I127" s="666"/>
      <c r="J127" s="666"/>
      <c r="K127" s="666"/>
      <c r="L127" s="666"/>
      <c r="M127" s="666"/>
      <c r="Q127" s="666"/>
      <c r="R127" s="666"/>
      <c r="AA127" s="666">
        <v>115</v>
      </c>
      <c r="AB127" s="574">
        <f>IF($L$5=13,IF(Main_무해지!R121="",0,Main_무해지!R121),IF($W$36=1,IF(Main_무해지!CJ119="",0,Main_무해지!CJ119),IF(일반형!CJ119="",0,일반형!CJ119)))</f>
        <v>0</v>
      </c>
      <c r="AC127" s="574"/>
      <c r="AD127" s="574"/>
      <c r="AE127"/>
      <c r="AF127"/>
      <c r="AG127"/>
      <c r="AH127"/>
      <c r="AI127"/>
      <c r="AJ127"/>
      <c r="AK127"/>
      <c r="AL127"/>
    </row>
    <row r="128" spans="2:38">
      <c r="B128" s="666"/>
      <c r="C128" s="666"/>
      <c r="D128" s="666"/>
      <c r="E128" s="666"/>
      <c r="F128" s="666"/>
      <c r="G128" s="666"/>
      <c r="H128" s="666"/>
      <c r="I128" s="666"/>
      <c r="J128" s="666"/>
      <c r="K128" s="666"/>
      <c r="L128" s="666"/>
      <c r="M128" s="666"/>
      <c r="Q128" s="666"/>
      <c r="R128" s="666"/>
    </row>
    <row r="129" spans="2:18">
      <c r="B129" s="666"/>
      <c r="C129" s="666"/>
      <c r="D129" s="666"/>
      <c r="E129" s="666"/>
      <c r="F129" s="666"/>
      <c r="G129" s="666"/>
      <c r="H129" s="666"/>
      <c r="I129" s="666"/>
      <c r="J129" s="666"/>
      <c r="K129" s="666"/>
      <c r="L129" s="666"/>
      <c r="M129" s="666"/>
      <c r="Q129" s="666"/>
      <c r="R129" s="666"/>
    </row>
    <row r="130" spans="2:18">
      <c r="B130" s="666"/>
      <c r="C130" s="666"/>
      <c r="D130" s="666"/>
      <c r="E130" s="666"/>
      <c r="F130" s="666"/>
      <c r="G130" s="666"/>
      <c r="H130" s="666"/>
      <c r="I130" s="666"/>
      <c r="J130" s="666"/>
      <c r="K130" s="666"/>
      <c r="L130" s="666"/>
      <c r="M130" s="666"/>
      <c r="Q130" s="666"/>
      <c r="R130" s="666"/>
    </row>
    <row r="131" spans="2:18">
      <c r="B131" s="666"/>
      <c r="C131" s="666"/>
      <c r="D131" s="666"/>
      <c r="E131" s="666"/>
      <c r="F131" s="666"/>
      <c r="G131" s="666"/>
      <c r="H131" s="666"/>
      <c r="I131" s="666"/>
      <c r="J131" s="666"/>
      <c r="K131" s="666"/>
      <c r="L131" s="666"/>
      <c r="M131" s="666"/>
      <c r="Q131" s="666"/>
      <c r="R131" s="666"/>
    </row>
    <row r="132" spans="2:18">
      <c r="B132" s="666"/>
      <c r="C132" s="666"/>
      <c r="D132" s="666"/>
      <c r="E132" s="666"/>
      <c r="F132" s="666"/>
      <c r="G132" s="666"/>
      <c r="H132" s="666"/>
      <c r="I132" s="666"/>
      <c r="J132" s="666"/>
      <c r="K132" s="666"/>
      <c r="L132" s="666"/>
      <c r="M132" s="666"/>
      <c r="Q132" s="666"/>
      <c r="R132" s="666"/>
    </row>
    <row r="133" spans="2:18">
      <c r="B133" s="666"/>
      <c r="C133" s="666"/>
      <c r="D133" s="666"/>
      <c r="E133" s="666"/>
      <c r="F133" s="666"/>
      <c r="G133" s="666"/>
      <c r="H133" s="666"/>
      <c r="I133" s="666"/>
      <c r="J133" s="666"/>
      <c r="K133" s="666"/>
      <c r="L133" s="666"/>
      <c r="M133" s="666"/>
      <c r="Q133" s="666"/>
      <c r="R133" s="666"/>
    </row>
  </sheetData>
  <mergeCells count="3">
    <mergeCell ref="V3:W3"/>
    <mergeCell ref="AA3:AD3"/>
    <mergeCell ref="U9:U10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Sheet20.보험료및준비금_전산반영_모두실행">
                <anchor moveWithCells="1" sizeWithCells="1">
                  <from>
                    <xdr:col>23</xdr:col>
                    <xdr:colOff>333375</xdr:colOff>
                    <xdr:row>0</xdr:row>
                    <xdr:rowOff>38100</xdr:rowOff>
                  </from>
                  <to>
                    <xdr:col>25</xdr:col>
                    <xdr:colOff>352425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rgb="FFFFC000"/>
  </sheetPr>
  <dimension ref="A1:EI161"/>
  <sheetViews>
    <sheetView showGridLines="0" view="pageBreakPreview" zoomScale="85" zoomScaleNormal="100" zoomScaleSheetLayoutView="85" workbookViewId="0">
      <selection activeCell="H29" sqref="H29"/>
    </sheetView>
  </sheetViews>
  <sheetFormatPr defaultColWidth="9" defaultRowHeight="16.5"/>
  <cols>
    <col min="1" max="1" width="11" style="1" customWidth="1"/>
    <col min="2" max="2" width="2" style="2" customWidth="1"/>
    <col min="3" max="3" width="2" customWidth="1"/>
    <col min="4" max="4" width="14.625" customWidth="1"/>
    <col min="5" max="5" width="10.375" customWidth="1"/>
    <col min="6" max="6" width="12.625" customWidth="1"/>
    <col min="7" max="7" width="8.25" bestFit="1" customWidth="1"/>
    <col min="8" max="8" width="4.5" style="2" customWidth="1"/>
    <col min="9" max="10" width="9" style="373"/>
    <col min="11" max="11" width="14.5" style="373" customWidth="1"/>
    <col min="12" max="21" width="15.75" style="373" customWidth="1"/>
    <col min="22" max="22" width="15.75" customWidth="1"/>
    <col min="23" max="23" width="15.75" style="373" customWidth="1"/>
    <col min="24" max="46" width="15.75" customWidth="1"/>
    <col min="61" max="16384" width="9" style="373"/>
  </cols>
  <sheetData>
    <row r="1" spans="1:139" ht="17.25" thickBot="1">
      <c r="H1" s="4"/>
    </row>
    <row r="2" spans="1:139" ht="17.25" thickBot="1">
      <c r="A2" s="715" t="s">
        <v>428</v>
      </c>
      <c r="B2" s="15"/>
      <c r="C2" s="420"/>
      <c r="D2" s="421" t="s">
        <v>0</v>
      </c>
      <c r="E2" s="630" t="s">
        <v>466</v>
      </c>
      <c r="F2" s="422">
        <f>IF(E2="남자",1,2)</f>
        <v>1</v>
      </c>
      <c r="G2" s="423"/>
      <c r="H2" s="4"/>
      <c r="L2" s="4"/>
      <c r="M2" s="4"/>
    </row>
    <row r="3" spans="1:139" ht="18" customHeight="1" thickBot="1">
      <c r="A3" s="720" t="s">
        <v>431</v>
      </c>
      <c r="B3" s="15"/>
      <c r="C3" s="28"/>
      <c r="D3" s="29" t="s">
        <v>6</v>
      </c>
      <c r="E3" s="631">
        <v>0</v>
      </c>
      <c r="F3" s="714"/>
      <c r="G3" s="30"/>
      <c r="H3" s="4"/>
      <c r="L3" s="736" t="s">
        <v>432</v>
      </c>
      <c r="M3" s="728" t="s">
        <v>434</v>
      </c>
      <c r="N3" s="729" t="s">
        <v>146</v>
      </c>
      <c r="O3"/>
      <c r="P3"/>
      <c r="Q3"/>
    </row>
    <row r="4" spans="1:139" ht="15.75" customHeight="1">
      <c r="A4" s="14"/>
      <c r="B4" s="15"/>
      <c r="C4" s="28"/>
      <c r="D4" s="29" t="s">
        <v>17</v>
      </c>
      <c r="E4" s="632">
        <v>1</v>
      </c>
      <c r="F4" s="40">
        <f>IF($E$4=1,1, IF($E$4&gt;=30,$E$4-$E$3,$E$4))</f>
        <v>1</v>
      </c>
      <c r="G4" s="30"/>
      <c r="H4" s="4"/>
      <c r="L4" s="737" t="s">
        <v>426</v>
      </c>
      <c r="M4" s="727">
        <f>+Main_무해지!K2</f>
        <v>10</v>
      </c>
      <c r="N4" s="716">
        <f>+Main_무해지!L2</f>
        <v>10</v>
      </c>
      <c r="O4"/>
      <c r="P4"/>
      <c r="Q4"/>
      <c r="BJ4" s="373" ph="1"/>
      <c r="CD4" s="373" ph="1"/>
      <c r="CG4" s="373" ph="1"/>
      <c r="CL4" s="373" ph="1"/>
      <c r="CO4" s="373" ph="1"/>
      <c r="CP4" s="373" ph="1"/>
      <c r="CQ4" s="373" ph="1"/>
      <c r="CR4" s="373" ph="1"/>
      <c r="CS4" s="373" ph="1"/>
      <c r="CX4" s="373" ph="1"/>
      <c r="DA4" s="373" ph="1"/>
      <c r="DB4" s="373" ph="1"/>
      <c r="DC4" s="373" ph="1"/>
      <c r="DD4" s="373" ph="1"/>
      <c r="DI4" s="373" ph="1"/>
      <c r="DL4" s="373" ph="1"/>
      <c r="DQ4" s="373" ph="1"/>
      <c r="DT4" s="373" ph="1"/>
      <c r="DU4" s="373" ph="1"/>
      <c r="DV4" s="373" ph="1"/>
      <c r="DW4" s="373" ph="1"/>
      <c r="DX4" s="373" ph="1"/>
      <c r="EC4" s="373" ph="1"/>
      <c r="EF4" s="373" ph="1"/>
      <c r="EG4" s="373" ph="1"/>
      <c r="EH4" s="373" ph="1"/>
      <c r="EI4" s="373" ph="1"/>
    </row>
    <row r="5" spans="1:139" ht="16.5" customHeight="1">
      <c r="C5" s="28"/>
      <c r="D5" s="29" t="s">
        <v>19</v>
      </c>
      <c r="E5" s="632">
        <v>1</v>
      </c>
      <c r="F5" s="40">
        <f>IF($E$4=1,1,IF($E$5="전기납",$F$4,$E$5))</f>
        <v>1</v>
      </c>
      <c r="G5" s="30"/>
      <c r="H5" s="4"/>
      <c r="L5" s="737" t="s">
        <v>319</v>
      </c>
      <c r="M5" s="727">
        <f>+Main_무해지!K3</f>
        <v>20</v>
      </c>
      <c r="N5" s="716">
        <f>+Main_무해지!L3</f>
        <v>20</v>
      </c>
      <c r="O5"/>
      <c r="P5"/>
      <c r="Q5"/>
    </row>
    <row r="6" spans="1:139" ht="18.75" customHeight="1">
      <c r="C6" s="28"/>
      <c r="D6" s="29" t="s">
        <v>21</v>
      </c>
      <c r="E6" s="712" t="s">
        <v>225</v>
      </c>
      <c r="F6" s="51"/>
      <c r="G6" s="30"/>
      <c r="H6" s="4"/>
      <c r="L6" s="737" t="s">
        <v>427</v>
      </c>
      <c r="M6" s="730">
        <f>1-M4/M5</f>
        <v>0.5</v>
      </c>
      <c r="N6" s="731">
        <f>1-N4/N5</f>
        <v>0.5</v>
      </c>
      <c r="O6"/>
      <c r="P6"/>
      <c r="Q6"/>
    </row>
    <row r="7" spans="1:139" ht="18.75" customHeight="1" thickBot="1">
      <c r="B7"/>
      <c r="C7" s="245"/>
      <c r="D7" s="246" t="s">
        <v>77</v>
      </c>
      <c r="E7" s="248">
        <v>1000</v>
      </c>
      <c r="F7" s="247" t="s">
        <v>76</v>
      </c>
      <c r="G7" s="249"/>
      <c r="H7" s="4"/>
      <c r="L7" s="737" t="s">
        <v>75</v>
      </c>
      <c r="M7" s="732">
        <f>+Main_무해지!K10</f>
        <v>0</v>
      </c>
      <c r="N7" s="733">
        <f>+Main_무해지!L10</f>
        <v>0</v>
      </c>
      <c r="O7"/>
      <c r="P7"/>
      <c r="Q7"/>
    </row>
    <row r="8" spans="1:139" ht="18.75" customHeight="1" thickBot="1">
      <c r="B8"/>
      <c r="H8" s="4"/>
      <c r="L8" s="738" t="s">
        <v>330</v>
      </c>
      <c r="M8" s="734">
        <f>+Main_무해지!K11</f>
        <v>70</v>
      </c>
      <c r="N8" s="735">
        <f>+Main_무해지!L11</f>
        <v>70</v>
      </c>
      <c r="O8"/>
      <c r="P8"/>
      <c r="Q8"/>
    </row>
    <row r="9" spans="1:139" ht="18.75" customHeight="1" thickBot="1">
      <c r="B9"/>
      <c r="D9" s="784" t="s">
        <v>463</v>
      </c>
      <c r="E9" s="785" t="s">
        <v>376</v>
      </c>
      <c r="F9" s="512" t="s">
        <v>464</v>
      </c>
      <c r="H9" s="4"/>
      <c r="K9" s="721"/>
      <c r="L9" s="717"/>
      <c r="M9" s="717"/>
      <c r="N9" s="717"/>
      <c r="O9" s="717"/>
      <c r="P9" s="717"/>
      <c r="Q9" s="717"/>
    </row>
    <row r="10" spans="1:139" ht="18.75" customHeight="1">
      <c r="C10" s="584"/>
      <c r="F10" s="560"/>
      <c r="H10" s="4"/>
      <c r="K10" s="721"/>
      <c r="N10"/>
      <c r="O10"/>
      <c r="P10"/>
      <c r="Q10"/>
      <c r="R10"/>
    </row>
    <row r="11" spans="1:139" ht="18.75" customHeight="1">
      <c r="C11" s="373"/>
      <c r="E11" s="373"/>
      <c r="F11" s="373"/>
      <c r="G11" s="373"/>
      <c r="H11" s="4"/>
      <c r="K11" s="721"/>
      <c r="N11"/>
      <c r="O11"/>
      <c r="P11"/>
      <c r="Q11"/>
      <c r="R11"/>
    </row>
    <row r="12" spans="1:139" ht="18.75" customHeight="1">
      <c r="C12" s="373"/>
      <c r="D12" s="373"/>
      <c r="E12" s="373"/>
      <c r="F12" s="373"/>
      <c r="G12" s="373"/>
      <c r="H12" s="4"/>
      <c r="K12" s="721"/>
      <c r="L12" s="717"/>
      <c r="M12" s="717"/>
      <c r="N12"/>
      <c r="O12"/>
      <c r="P12"/>
      <c r="Q12"/>
      <c r="R12"/>
    </row>
    <row r="13" spans="1:139" ht="18.75" customHeight="1">
      <c r="H13" s="4"/>
      <c r="K13" s="721"/>
      <c r="L13" s="717"/>
      <c r="M13" s="717"/>
      <c r="N13" s="717"/>
      <c r="O13" s="717"/>
      <c r="P13" s="717"/>
      <c r="Q13" s="717"/>
    </row>
    <row r="14" spans="1:139" ht="18.75" customHeight="1">
      <c r="H14" s="4"/>
      <c r="K14" s="721"/>
      <c r="L14" s="718"/>
      <c r="M14" s="718"/>
      <c r="N14" s="718"/>
      <c r="O14" s="718"/>
      <c r="P14" s="718"/>
      <c r="Q14" s="718"/>
    </row>
    <row r="15" spans="1:139" ht="18.600000000000001" customHeight="1" thickBot="1">
      <c r="C15" s="373"/>
      <c r="D15" s="373"/>
      <c r="E15" s="373"/>
      <c r="F15" s="373"/>
      <c r="G15" s="373"/>
      <c r="H15" s="373"/>
      <c r="K15" s="721"/>
      <c r="L15" s="221"/>
      <c r="M15" s="221"/>
      <c r="N15" s="435" t="s">
        <v>433</v>
      </c>
      <c r="O15" s="436"/>
      <c r="P15" s="436"/>
      <c r="Q15" s="437"/>
      <c r="R15" s="438" t="s">
        <v>231</v>
      </c>
      <c r="S15" s="438"/>
      <c r="T15" s="439"/>
      <c r="U15" s="439"/>
    </row>
    <row r="16" spans="1:139" ht="17.25" thickTop="1">
      <c r="C16" s="373"/>
      <c r="K16" s="721"/>
      <c r="L16" s="739" t="s">
        <v>70</v>
      </c>
      <c r="M16" s="740" t="s">
        <v>95</v>
      </c>
      <c r="N16" s="740" t="s">
        <v>71</v>
      </c>
      <c r="O16" s="741" t="s">
        <v>223</v>
      </c>
      <c r="P16" s="741" t="s">
        <v>232</v>
      </c>
      <c r="Q16" s="742" t="s">
        <v>73</v>
      </c>
      <c r="R16" s="741" t="s">
        <v>373</v>
      </c>
      <c r="S16" s="741" t="s">
        <v>223</v>
      </c>
      <c r="T16" s="741" t="s">
        <v>140</v>
      </c>
      <c r="U16" s="742" t="s">
        <v>73</v>
      </c>
    </row>
    <row r="17" spans="2:21">
      <c r="C17" s="373"/>
      <c r="L17" s="743" t="s">
        <v>446</v>
      </c>
      <c r="M17" s="744">
        <f>+Main_무해지!O3</f>
        <v>0</v>
      </c>
      <c r="N17" s="745">
        <f>+Main_무해지!P3</f>
        <v>0</v>
      </c>
      <c r="O17" s="745">
        <f>+Main_무해지!Q3</f>
        <v>0</v>
      </c>
      <c r="P17" s="745">
        <f>+Main_무해지!R3</f>
        <v>0</v>
      </c>
      <c r="Q17" s="746">
        <f>+Main_무해지!S3</f>
        <v>0</v>
      </c>
      <c r="R17" s="745">
        <f>+Main_무해지!T3</f>
        <v>0</v>
      </c>
      <c r="S17" s="745">
        <f>+Main_무해지!U3</f>
        <v>0</v>
      </c>
      <c r="T17" s="745">
        <f>+Main_무해지!V3</f>
        <v>0</v>
      </c>
      <c r="U17" s="746">
        <f>+Main_무해지!W3</f>
        <v>0</v>
      </c>
    </row>
    <row r="18" spans="2:21" ht="17.25" customHeight="1">
      <c r="C18" s="2"/>
      <c r="L18" s="272">
        <f>+Main_무해지!N4</f>
        <v>3</v>
      </c>
      <c r="M18" s="273">
        <f>+Main_무해지!O4</f>
        <v>0</v>
      </c>
      <c r="N18" s="271">
        <f>+Main_무해지!P4</f>
        <v>60</v>
      </c>
      <c r="O18" s="271">
        <f>+Main_무해지!Q4</f>
        <v>0</v>
      </c>
      <c r="P18" s="271">
        <f>+Main_무해지!R4</f>
        <v>0</v>
      </c>
      <c r="Q18" s="400">
        <f>+Main_무해지!S4</f>
        <v>0</v>
      </c>
      <c r="R18" s="271">
        <f>+Main_무해지!T4</f>
        <v>60</v>
      </c>
      <c r="S18" s="271">
        <f>+Main_무해지!U4</f>
        <v>0</v>
      </c>
      <c r="T18" s="271">
        <f>+Main_무해지!V4</f>
        <v>0</v>
      </c>
      <c r="U18" s="400">
        <f>+Main_무해지!W4</f>
        <v>0</v>
      </c>
    </row>
    <row r="19" spans="2:21">
      <c r="B19"/>
      <c r="C19" s="2"/>
      <c r="I19"/>
      <c r="L19" s="272">
        <f>+Main_무해지!N5</f>
        <v>6</v>
      </c>
      <c r="M19" s="274">
        <f>+Main_무해지!O5</f>
        <v>0</v>
      </c>
      <c r="N19" s="271">
        <f>+Main_무해지!P5</f>
        <v>120</v>
      </c>
      <c r="O19" s="271">
        <f>+Main_무해지!Q5</f>
        <v>0</v>
      </c>
      <c r="P19" s="271">
        <f>+Main_무해지!R5</f>
        <v>0</v>
      </c>
      <c r="Q19" s="400">
        <f>+Main_무해지!S5</f>
        <v>0</v>
      </c>
      <c r="R19" s="271">
        <f>+Main_무해지!T5</f>
        <v>120</v>
      </c>
      <c r="S19" s="271">
        <f>+Main_무해지!U5</f>
        <v>0</v>
      </c>
      <c r="T19" s="271">
        <f>+Main_무해지!V5</f>
        <v>0</v>
      </c>
      <c r="U19" s="400">
        <f>+Main_무해지!W5</f>
        <v>0</v>
      </c>
    </row>
    <row r="20" spans="2:21">
      <c r="B20"/>
      <c r="C20" s="2"/>
      <c r="I20"/>
      <c r="L20" s="272">
        <f>+Main_무해지!N6</f>
        <v>9</v>
      </c>
      <c r="M20" s="274">
        <f>+Main_무해지!O6</f>
        <v>0</v>
      </c>
      <c r="N20" s="271">
        <f>+Main_무해지!P6</f>
        <v>180</v>
      </c>
      <c r="O20" s="271">
        <f>+Main_무해지!Q6</f>
        <v>0</v>
      </c>
      <c r="P20" s="271">
        <f>+Main_무해지!R6</f>
        <v>0</v>
      </c>
      <c r="Q20" s="400">
        <f>+Main_무해지!S6</f>
        <v>0</v>
      </c>
      <c r="R20" s="271">
        <f>+Main_무해지!T6</f>
        <v>180</v>
      </c>
      <c r="S20" s="271">
        <f>+Main_무해지!U6</f>
        <v>0</v>
      </c>
      <c r="T20" s="271">
        <f>+Main_무해지!V6</f>
        <v>0</v>
      </c>
      <c r="U20" s="400">
        <f>+Main_무해지!W6</f>
        <v>0</v>
      </c>
    </row>
    <row r="21" spans="2:21">
      <c r="B21"/>
      <c r="C21" s="2"/>
      <c r="I21"/>
      <c r="L21" s="275">
        <f>+Main_무해지!N7</f>
        <v>1</v>
      </c>
      <c r="M21" s="276">
        <f>+Main_무해지!O7</f>
        <v>1</v>
      </c>
      <c r="N21" s="277">
        <f>+Main_무해지!P7</f>
        <v>240</v>
      </c>
      <c r="O21" s="277">
        <f>+Main_무해지!Q7</f>
        <v>0</v>
      </c>
      <c r="P21" s="277">
        <f>+Main_무해지!R7</f>
        <v>0</v>
      </c>
      <c r="Q21" s="401">
        <f>+Main_무해지!S7</f>
        <v>0</v>
      </c>
      <c r="R21" s="277">
        <f>+Main_무해지!T7</f>
        <v>240</v>
      </c>
      <c r="S21" s="277">
        <f>+Main_무해지!U7</f>
        <v>0</v>
      </c>
      <c r="T21" s="277">
        <f>+Main_무해지!V7</f>
        <v>0</v>
      </c>
      <c r="U21" s="401">
        <f>+Main_무해지!W7</f>
        <v>0</v>
      </c>
    </row>
    <row r="22" spans="2:21">
      <c r="C22" s="2"/>
      <c r="L22" s="278" t="str">
        <f>+Main_무해지!N8</f>
        <v/>
      </c>
      <c r="M22" s="279" t="str">
        <f>+Main_무해지!O8</f>
        <v/>
      </c>
      <c r="N22" s="271" t="str">
        <f>+Main_무해지!P8</f>
        <v/>
      </c>
      <c r="O22" s="271" t="str">
        <f>+Main_무해지!Q8</f>
        <v/>
      </c>
      <c r="P22" s="271" t="str">
        <f>+Main_무해지!R8</f>
        <v/>
      </c>
      <c r="Q22" s="400" t="str">
        <f>+Main_무해지!S8</f>
        <v/>
      </c>
      <c r="R22" s="271" t="str">
        <f>+Main_무해지!T8</f>
        <v/>
      </c>
      <c r="S22" s="271" t="str">
        <f>+Main_무해지!U8</f>
        <v/>
      </c>
      <c r="T22" s="271" t="str">
        <f>+Main_무해지!V8</f>
        <v/>
      </c>
      <c r="U22" s="400" t="str">
        <f>+Main_무해지!W8</f>
        <v/>
      </c>
    </row>
    <row r="23" spans="2:21">
      <c r="C23" s="2"/>
      <c r="I23"/>
      <c r="J23"/>
      <c r="L23" s="278" t="str">
        <f>+Main_무해지!N9</f>
        <v/>
      </c>
      <c r="M23" s="279" t="str">
        <f>+Main_무해지!O9</f>
        <v/>
      </c>
      <c r="N23" s="271" t="str">
        <f>+Main_무해지!P9</f>
        <v/>
      </c>
      <c r="O23" s="271" t="str">
        <f>+Main_무해지!Q9</f>
        <v/>
      </c>
      <c r="P23" s="271" t="str">
        <f>+Main_무해지!R9</f>
        <v/>
      </c>
      <c r="Q23" s="400" t="str">
        <f>+Main_무해지!S9</f>
        <v/>
      </c>
      <c r="R23" s="271" t="str">
        <f>+Main_무해지!T9</f>
        <v/>
      </c>
      <c r="S23" s="271" t="str">
        <f>+Main_무해지!U9</f>
        <v/>
      </c>
      <c r="T23" s="271" t="str">
        <f>+Main_무해지!V9</f>
        <v/>
      </c>
      <c r="U23" s="400" t="str">
        <f>+Main_무해지!W9</f>
        <v/>
      </c>
    </row>
    <row r="24" spans="2:21">
      <c r="C24" s="2"/>
      <c r="I24"/>
      <c r="J24"/>
      <c r="L24" s="278" t="str">
        <f>+Main_무해지!N10</f>
        <v/>
      </c>
      <c r="M24" s="279" t="str">
        <f>+Main_무해지!O10</f>
        <v/>
      </c>
      <c r="N24" s="271" t="str">
        <f>+Main_무해지!P10</f>
        <v/>
      </c>
      <c r="O24" s="271" t="str">
        <f>+Main_무해지!Q10</f>
        <v/>
      </c>
      <c r="P24" s="271" t="str">
        <f>+Main_무해지!R10</f>
        <v/>
      </c>
      <c r="Q24" s="400" t="str">
        <f>+Main_무해지!S10</f>
        <v/>
      </c>
      <c r="R24" s="271" t="str">
        <f>+Main_무해지!T10</f>
        <v/>
      </c>
      <c r="S24" s="271" t="str">
        <f>+Main_무해지!U10</f>
        <v/>
      </c>
      <c r="T24" s="271" t="str">
        <f>+Main_무해지!V10</f>
        <v/>
      </c>
      <c r="U24" s="400" t="str">
        <f>+Main_무해지!W10</f>
        <v/>
      </c>
    </row>
    <row r="25" spans="2:21">
      <c r="C25" s="2"/>
      <c r="I25"/>
      <c r="J25"/>
      <c r="L25" s="280" t="str">
        <f>+Main_무해지!N11</f>
        <v/>
      </c>
      <c r="M25" s="281" t="str">
        <f>+Main_무해지!O11</f>
        <v/>
      </c>
      <c r="N25" s="282" t="str">
        <f>+Main_무해지!P11</f>
        <v/>
      </c>
      <c r="O25" s="282" t="str">
        <f>+Main_무해지!Q11</f>
        <v/>
      </c>
      <c r="P25" s="282" t="str">
        <f>+Main_무해지!R11</f>
        <v/>
      </c>
      <c r="Q25" s="402" t="str">
        <f>+Main_무해지!S11</f>
        <v/>
      </c>
      <c r="R25" s="282" t="str">
        <f>+Main_무해지!T11</f>
        <v/>
      </c>
      <c r="S25" s="282" t="str">
        <f>+Main_무해지!U11</f>
        <v/>
      </c>
      <c r="T25" s="282" t="str">
        <f>+Main_무해지!V11</f>
        <v/>
      </c>
      <c r="U25" s="402" t="str">
        <f>+Main_무해지!W11</f>
        <v/>
      </c>
    </row>
    <row r="26" spans="2:21">
      <c r="C26" s="2"/>
      <c r="I26"/>
      <c r="J26"/>
      <c r="L26" s="275" t="str">
        <f>+Main_무해지!N12</f>
        <v/>
      </c>
      <c r="M26" s="276" t="str">
        <f>+Main_무해지!O12</f>
        <v/>
      </c>
      <c r="N26" s="277" t="str">
        <f>+Main_무해지!P12</f>
        <v/>
      </c>
      <c r="O26" s="277" t="str">
        <f>+Main_무해지!Q12</f>
        <v/>
      </c>
      <c r="P26" s="277" t="str">
        <f>+Main_무해지!R12</f>
        <v/>
      </c>
      <c r="Q26" s="401" t="str">
        <f>+Main_무해지!S12</f>
        <v/>
      </c>
      <c r="R26" s="277" t="str">
        <f>+Main_무해지!T12</f>
        <v/>
      </c>
      <c r="S26" s="277" t="str">
        <f>+Main_무해지!U12</f>
        <v/>
      </c>
      <c r="T26" s="277" t="str">
        <f>+Main_무해지!V12</f>
        <v/>
      </c>
      <c r="U26" s="401" t="str">
        <f>+Main_무해지!W12</f>
        <v/>
      </c>
    </row>
    <row r="27" spans="2:21">
      <c r="C27" s="2"/>
      <c r="H27"/>
      <c r="I27"/>
      <c r="J27"/>
      <c r="L27" s="278" t="str">
        <f>+Main_무해지!N13</f>
        <v/>
      </c>
      <c r="M27" s="279" t="str">
        <f>+Main_무해지!O13</f>
        <v/>
      </c>
      <c r="N27" s="271" t="str">
        <f>+Main_무해지!P13</f>
        <v/>
      </c>
      <c r="O27" s="271" t="str">
        <f>+Main_무해지!Q13</f>
        <v/>
      </c>
      <c r="P27" s="271" t="str">
        <f>+Main_무해지!R13</f>
        <v/>
      </c>
      <c r="Q27" s="400" t="str">
        <f>+Main_무해지!S13</f>
        <v/>
      </c>
      <c r="R27" s="271" t="str">
        <f>+Main_무해지!T13</f>
        <v/>
      </c>
      <c r="S27" s="271" t="str">
        <f>+Main_무해지!U13</f>
        <v/>
      </c>
      <c r="T27" s="271" t="str">
        <f>+Main_무해지!V13</f>
        <v/>
      </c>
      <c r="U27" s="400" t="str">
        <f>+Main_무해지!W13</f>
        <v/>
      </c>
    </row>
    <row r="28" spans="2:21">
      <c r="C28" s="2"/>
      <c r="H28"/>
      <c r="I28"/>
      <c r="J28"/>
      <c r="L28" s="278" t="str">
        <f>+Main_무해지!N14</f>
        <v/>
      </c>
      <c r="M28" s="279" t="str">
        <f>+Main_무해지!O14</f>
        <v/>
      </c>
      <c r="N28" s="271" t="str">
        <f>+Main_무해지!P14</f>
        <v/>
      </c>
      <c r="O28" s="271" t="str">
        <f>+Main_무해지!Q14</f>
        <v/>
      </c>
      <c r="P28" s="271" t="str">
        <f>+Main_무해지!R14</f>
        <v/>
      </c>
      <c r="Q28" s="400" t="str">
        <f>+Main_무해지!S14</f>
        <v/>
      </c>
      <c r="R28" s="271" t="str">
        <f>+Main_무해지!T14</f>
        <v/>
      </c>
      <c r="S28" s="271" t="str">
        <f>+Main_무해지!U14</f>
        <v/>
      </c>
      <c r="T28" s="271" t="str">
        <f>+Main_무해지!V14</f>
        <v/>
      </c>
      <c r="U28" s="400" t="str">
        <f>+Main_무해지!W14</f>
        <v/>
      </c>
    </row>
    <row r="29" spans="2:21">
      <c r="C29" s="2"/>
      <c r="H29"/>
      <c r="I29"/>
      <c r="J29"/>
      <c r="L29" s="278" t="str">
        <f>+Main_무해지!N15</f>
        <v/>
      </c>
      <c r="M29" s="279" t="str">
        <f>+Main_무해지!O15</f>
        <v/>
      </c>
      <c r="N29" s="271" t="str">
        <f>+Main_무해지!P15</f>
        <v/>
      </c>
      <c r="O29" s="271" t="str">
        <f>+Main_무해지!Q15</f>
        <v/>
      </c>
      <c r="P29" s="271" t="str">
        <f>+Main_무해지!R15</f>
        <v/>
      </c>
      <c r="Q29" s="400" t="str">
        <f>+Main_무해지!S15</f>
        <v/>
      </c>
      <c r="R29" s="271" t="str">
        <f>+Main_무해지!T15</f>
        <v/>
      </c>
      <c r="S29" s="271" t="str">
        <f>+Main_무해지!U15</f>
        <v/>
      </c>
      <c r="T29" s="271" t="str">
        <f>+Main_무해지!V15</f>
        <v/>
      </c>
      <c r="U29" s="400" t="str">
        <f>+Main_무해지!W15</f>
        <v/>
      </c>
    </row>
    <row r="30" spans="2:21">
      <c r="C30" s="2"/>
      <c r="G30" s="781"/>
      <c r="H30"/>
      <c r="I30"/>
      <c r="J30"/>
      <c r="L30" s="280" t="str">
        <f>+Main_무해지!N16</f>
        <v/>
      </c>
      <c r="M30" s="281" t="str">
        <f>+Main_무해지!O16</f>
        <v/>
      </c>
      <c r="N30" s="282" t="str">
        <f>+Main_무해지!P16</f>
        <v/>
      </c>
      <c r="O30" s="282" t="str">
        <f>+Main_무해지!Q16</f>
        <v/>
      </c>
      <c r="P30" s="282" t="str">
        <f>+Main_무해지!R16</f>
        <v/>
      </c>
      <c r="Q30" s="402" t="str">
        <f>+Main_무해지!S16</f>
        <v/>
      </c>
      <c r="R30" s="282" t="str">
        <f>+Main_무해지!T16</f>
        <v/>
      </c>
      <c r="S30" s="282" t="str">
        <f>+Main_무해지!U16</f>
        <v/>
      </c>
      <c r="T30" s="282" t="str">
        <f>+Main_무해지!V16</f>
        <v/>
      </c>
      <c r="U30" s="402" t="str">
        <f>+Main_무해지!W16</f>
        <v/>
      </c>
    </row>
    <row r="31" spans="2:21">
      <c r="C31" s="2"/>
      <c r="H31"/>
      <c r="I31"/>
      <c r="J31"/>
      <c r="L31" s="275" t="str">
        <f>+Main_무해지!N17</f>
        <v/>
      </c>
      <c r="M31" s="276" t="str">
        <f>+Main_무해지!O17</f>
        <v/>
      </c>
      <c r="N31" s="277" t="str">
        <f>+Main_무해지!P17</f>
        <v/>
      </c>
      <c r="O31" s="277" t="str">
        <f>+Main_무해지!Q17</f>
        <v/>
      </c>
      <c r="P31" s="277" t="str">
        <f>+Main_무해지!R17</f>
        <v/>
      </c>
      <c r="Q31" s="401" t="str">
        <f>+Main_무해지!S17</f>
        <v/>
      </c>
      <c r="R31" s="277" t="str">
        <f>+Main_무해지!T17</f>
        <v/>
      </c>
      <c r="S31" s="277" t="str">
        <f>+Main_무해지!U17</f>
        <v/>
      </c>
      <c r="T31" s="277" t="str">
        <f>+Main_무해지!V17</f>
        <v/>
      </c>
      <c r="U31" s="401" t="str">
        <f>+Main_무해지!W17</f>
        <v/>
      </c>
    </row>
    <row r="32" spans="2:21">
      <c r="C32" s="2"/>
      <c r="H32"/>
      <c r="I32"/>
      <c r="J32"/>
      <c r="L32" s="278" t="str">
        <f>+Main_무해지!N18</f>
        <v/>
      </c>
      <c r="M32" s="279" t="str">
        <f>+Main_무해지!O18</f>
        <v/>
      </c>
      <c r="N32" s="271" t="str">
        <f>+Main_무해지!P18</f>
        <v/>
      </c>
      <c r="O32" s="271" t="str">
        <f>+Main_무해지!Q18</f>
        <v/>
      </c>
      <c r="P32" s="271" t="str">
        <f>+Main_무해지!R18</f>
        <v/>
      </c>
      <c r="Q32" s="400" t="str">
        <f>+Main_무해지!S18</f>
        <v/>
      </c>
      <c r="R32" s="271" t="str">
        <f>+Main_무해지!T18</f>
        <v/>
      </c>
      <c r="S32" s="271" t="str">
        <f>+Main_무해지!U18</f>
        <v/>
      </c>
      <c r="T32" s="271" t="str">
        <f>+Main_무해지!V18</f>
        <v/>
      </c>
      <c r="U32" s="400" t="str">
        <f>+Main_무해지!W18</f>
        <v/>
      </c>
    </row>
    <row r="33" spans="3:21">
      <c r="C33" s="2"/>
      <c r="H33"/>
      <c r="I33"/>
      <c r="J33"/>
      <c r="L33" s="278" t="str">
        <f>+Main_무해지!N19</f>
        <v/>
      </c>
      <c r="M33" s="279" t="str">
        <f>+Main_무해지!O19</f>
        <v/>
      </c>
      <c r="N33" s="271" t="str">
        <f>+Main_무해지!P19</f>
        <v/>
      </c>
      <c r="O33" s="271" t="str">
        <f>+Main_무해지!Q19</f>
        <v/>
      </c>
      <c r="P33" s="271" t="str">
        <f>+Main_무해지!R19</f>
        <v/>
      </c>
      <c r="Q33" s="400" t="str">
        <f>+Main_무해지!S19</f>
        <v/>
      </c>
      <c r="R33" s="271" t="str">
        <f>+Main_무해지!T19</f>
        <v/>
      </c>
      <c r="S33" s="271" t="str">
        <f>+Main_무해지!U19</f>
        <v/>
      </c>
      <c r="T33" s="271" t="str">
        <f>+Main_무해지!V19</f>
        <v/>
      </c>
      <c r="U33" s="400" t="str">
        <f>+Main_무해지!W19</f>
        <v/>
      </c>
    </row>
    <row r="34" spans="3:21">
      <c r="C34" s="2"/>
      <c r="H34"/>
      <c r="I34"/>
      <c r="J34"/>
      <c r="L34" s="278" t="str">
        <f>+Main_무해지!N20</f>
        <v/>
      </c>
      <c r="M34" s="279" t="str">
        <f>+Main_무해지!O20</f>
        <v/>
      </c>
      <c r="N34" s="271" t="str">
        <f>+Main_무해지!P20</f>
        <v/>
      </c>
      <c r="O34" s="271" t="str">
        <f>+Main_무해지!Q20</f>
        <v/>
      </c>
      <c r="P34" s="271" t="str">
        <f>+Main_무해지!R20</f>
        <v/>
      </c>
      <c r="Q34" s="400" t="str">
        <f>+Main_무해지!S20</f>
        <v/>
      </c>
      <c r="R34" s="271" t="str">
        <f>+Main_무해지!T20</f>
        <v/>
      </c>
      <c r="S34" s="271" t="str">
        <f>+Main_무해지!U20</f>
        <v/>
      </c>
      <c r="T34" s="271" t="str">
        <f>+Main_무해지!V20</f>
        <v/>
      </c>
      <c r="U34" s="400" t="str">
        <f>+Main_무해지!W20</f>
        <v/>
      </c>
    </row>
    <row r="35" spans="3:21">
      <c r="C35" s="2"/>
      <c r="H35"/>
      <c r="I35"/>
      <c r="J35"/>
      <c r="L35" s="280" t="str">
        <f>+Main_무해지!N21</f>
        <v/>
      </c>
      <c r="M35" s="281" t="str">
        <f>+Main_무해지!O21</f>
        <v/>
      </c>
      <c r="N35" s="282" t="str">
        <f>+Main_무해지!P21</f>
        <v/>
      </c>
      <c r="O35" s="282" t="str">
        <f>+Main_무해지!Q21</f>
        <v/>
      </c>
      <c r="P35" s="282" t="str">
        <f>+Main_무해지!R21</f>
        <v/>
      </c>
      <c r="Q35" s="402" t="str">
        <f>+Main_무해지!S21</f>
        <v/>
      </c>
      <c r="R35" s="282" t="str">
        <f>+Main_무해지!T21</f>
        <v/>
      </c>
      <c r="S35" s="282" t="str">
        <f>+Main_무해지!U21</f>
        <v/>
      </c>
      <c r="T35" s="282" t="str">
        <f>+Main_무해지!V21</f>
        <v/>
      </c>
      <c r="U35" s="402" t="str">
        <f>+Main_무해지!W21</f>
        <v/>
      </c>
    </row>
    <row r="36" spans="3:21">
      <c r="C36" s="2"/>
      <c r="H36"/>
      <c r="I36"/>
      <c r="J36"/>
      <c r="L36" s="275" t="str">
        <f>+Main_무해지!N22</f>
        <v/>
      </c>
      <c r="M36" s="276" t="str">
        <f>+Main_무해지!O22</f>
        <v/>
      </c>
      <c r="N36" s="277" t="str">
        <f>+Main_무해지!P22</f>
        <v/>
      </c>
      <c r="O36" s="277" t="str">
        <f>+Main_무해지!Q22</f>
        <v/>
      </c>
      <c r="P36" s="277" t="str">
        <f>+Main_무해지!R22</f>
        <v/>
      </c>
      <c r="Q36" s="401" t="str">
        <f>+Main_무해지!S22</f>
        <v/>
      </c>
      <c r="R36" s="277" t="str">
        <f>+Main_무해지!T22</f>
        <v/>
      </c>
      <c r="S36" s="277" t="str">
        <f>+Main_무해지!U22</f>
        <v/>
      </c>
      <c r="T36" s="277" t="str">
        <f>+Main_무해지!V22</f>
        <v/>
      </c>
      <c r="U36" s="401" t="str">
        <f>+Main_무해지!W22</f>
        <v/>
      </c>
    </row>
    <row r="37" spans="3:21">
      <c r="C37" s="2"/>
      <c r="H37"/>
      <c r="I37"/>
      <c r="J37"/>
      <c r="L37" s="278" t="str">
        <f>+Main_무해지!N23</f>
        <v/>
      </c>
      <c r="M37" s="279" t="str">
        <f>+Main_무해지!O23</f>
        <v/>
      </c>
      <c r="N37" s="271" t="str">
        <f>+Main_무해지!P23</f>
        <v/>
      </c>
      <c r="O37" s="271" t="str">
        <f>+Main_무해지!Q23</f>
        <v/>
      </c>
      <c r="P37" s="271" t="str">
        <f>+Main_무해지!R23</f>
        <v/>
      </c>
      <c r="Q37" s="400" t="str">
        <f>+Main_무해지!S23</f>
        <v/>
      </c>
      <c r="R37" s="271" t="str">
        <f>+Main_무해지!T23</f>
        <v/>
      </c>
      <c r="S37" s="271" t="str">
        <f>+Main_무해지!U23</f>
        <v/>
      </c>
      <c r="T37" s="271" t="str">
        <f>+Main_무해지!V23</f>
        <v/>
      </c>
      <c r="U37" s="400" t="str">
        <f>+Main_무해지!W23</f>
        <v/>
      </c>
    </row>
    <row r="38" spans="3:21">
      <c r="C38" s="2"/>
      <c r="H38"/>
      <c r="I38"/>
      <c r="J38"/>
      <c r="L38" s="278" t="str">
        <f>+Main_무해지!N24</f>
        <v/>
      </c>
      <c r="M38" s="279" t="str">
        <f>+Main_무해지!O24</f>
        <v/>
      </c>
      <c r="N38" s="271" t="str">
        <f>+Main_무해지!P24</f>
        <v/>
      </c>
      <c r="O38" s="271" t="str">
        <f>+Main_무해지!Q24</f>
        <v/>
      </c>
      <c r="P38" s="271" t="str">
        <f>+Main_무해지!R24</f>
        <v/>
      </c>
      <c r="Q38" s="400" t="str">
        <f>+Main_무해지!S24</f>
        <v/>
      </c>
      <c r="R38" s="271" t="str">
        <f>+Main_무해지!T24</f>
        <v/>
      </c>
      <c r="S38" s="271" t="str">
        <f>+Main_무해지!U24</f>
        <v/>
      </c>
      <c r="T38" s="271" t="str">
        <f>+Main_무해지!V24</f>
        <v/>
      </c>
      <c r="U38" s="400" t="str">
        <f>+Main_무해지!W24</f>
        <v/>
      </c>
    </row>
    <row r="39" spans="3:21">
      <c r="C39" s="2"/>
      <c r="H39"/>
      <c r="I39"/>
      <c r="J39"/>
      <c r="L39" s="278" t="str">
        <f>+Main_무해지!N25</f>
        <v/>
      </c>
      <c r="M39" s="279" t="str">
        <f>+Main_무해지!O25</f>
        <v/>
      </c>
      <c r="N39" s="271" t="str">
        <f>+Main_무해지!P25</f>
        <v/>
      </c>
      <c r="O39" s="271" t="str">
        <f>+Main_무해지!Q25</f>
        <v/>
      </c>
      <c r="P39" s="271" t="str">
        <f>+Main_무해지!R25</f>
        <v/>
      </c>
      <c r="Q39" s="400" t="str">
        <f>+Main_무해지!S25</f>
        <v/>
      </c>
      <c r="R39" s="271" t="str">
        <f>+Main_무해지!T25</f>
        <v/>
      </c>
      <c r="S39" s="271" t="str">
        <f>+Main_무해지!U25</f>
        <v/>
      </c>
      <c r="T39" s="271" t="str">
        <f>+Main_무해지!V25</f>
        <v/>
      </c>
      <c r="U39" s="400" t="str">
        <f>+Main_무해지!W25</f>
        <v/>
      </c>
    </row>
    <row r="40" spans="3:21">
      <c r="H40"/>
      <c r="I40"/>
      <c r="J40"/>
      <c r="L40" s="280" t="str">
        <f>+Main_무해지!N26</f>
        <v/>
      </c>
      <c r="M40" s="281" t="str">
        <f>+Main_무해지!O26</f>
        <v/>
      </c>
      <c r="N40" s="282" t="str">
        <f>+Main_무해지!P26</f>
        <v/>
      </c>
      <c r="O40" s="282" t="str">
        <f>+Main_무해지!Q26</f>
        <v/>
      </c>
      <c r="P40" s="282" t="str">
        <f>+Main_무해지!R26</f>
        <v/>
      </c>
      <c r="Q40" s="402" t="str">
        <f>+Main_무해지!S26</f>
        <v/>
      </c>
      <c r="R40" s="282" t="str">
        <f>+Main_무해지!T26</f>
        <v/>
      </c>
      <c r="S40" s="282" t="str">
        <f>+Main_무해지!U26</f>
        <v/>
      </c>
      <c r="T40" s="282" t="str">
        <f>+Main_무해지!V26</f>
        <v/>
      </c>
      <c r="U40" s="402" t="str">
        <f>+Main_무해지!W26</f>
        <v/>
      </c>
    </row>
    <row r="41" spans="3:21">
      <c r="H41"/>
      <c r="I41"/>
      <c r="J41"/>
      <c r="L41" s="275" t="str">
        <f>+Main_무해지!N27</f>
        <v/>
      </c>
      <c r="M41" s="276" t="str">
        <f>+Main_무해지!O27</f>
        <v/>
      </c>
      <c r="N41" s="277" t="str">
        <f>+Main_무해지!P27</f>
        <v/>
      </c>
      <c r="O41" s="277" t="str">
        <f>+Main_무해지!Q27</f>
        <v/>
      </c>
      <c r="P41" s="277" t="str">
        <f>+Main_무해지!R27</f>
        <v/>
      </c>
      <c r="Q41" s="401" t="str">
        <f>+Main_무해지!S27</f>
        <v/>
      </c>
      <c r="R41" s="277" t="str">
        <f>+Main_무해지!T27</f>
        <v/>
      </c>
      <c r="S41" s="277" t="str">
        <f>+Main_무해지!U27</f>
        <v/>
      </c>
      <c r="T41" s="277" t="str">
        <f>+Main_무해지!V27</f>
        <v/>
      </c>
      <c r="U41" s="401" t="str">
        <f>+Main_무해지!W27</f>
        <v/>
      </c>
    </row>
    <row r="42" spans="3:21">
      <c r="H42"/>
      <c r="I42"/>
      <c r="J42"/>
      <c r="L42" s="278" t="str">
        <f>+Main_무해지!N28</f>
        <v/>
      </c>
      <c r="M42" s="279" t="str">
        <f>+Main_무해지!O28</f>
        <v/>
      </c>
      <c r="N42" s="271" t="str">
        <f>+Main_무해지!P28</f>
        <v/>
      </c>
      <c r="O42" s="271" t="str">
        <f>+Main_무해지!Q28</f>
        <v/>
      </c>
      <c r="P42" s="271" t="str">
        <f>+Main_무해지!R28</f>
        <v/>
      </c>
      <c r="Q42" s="400" t="str">
        <f>+Main_무해지!S28</f>
        <v/>
      </c>
      <c r="R42" s="271" t="str">
        <f>+Main_무해지!T28</f>
        <v/>
      </c>
      <c r="S42" s="271" t="str">
        <f>+Main_무해지!U28</f>
        <v/>
      </c>
      <c r="T42" s="271" t="str">
        <f>+Main_무해지!V28</f>
        <v/>
      </c>
      <c r="U42" s="400" t="str">
        <f>+Main_무해지!W28</f>
        <v/>
      </c>
    </row>
    <row r="43" spans="3:21">
      <c r="H43"/>
      <c r="I43"/>
      <c r="J43"/>
      <c r="L43" s="278" t="str">
        <f>+Main_무해지!N29</f>
        <v/>
      </c>
      <c r="M43" s="279" t="str">
        <f>+Main_무해지!O29</f>
        <v/>
      </c>
      <c r="N43" s="271" t="str">
        <f>+Main_무해지!P29</f>
        <v/>
      </c>
      <c r="O43" s="271" t="str">
        <f>+Main_무해지!Q29</f>
        <v/>
      </c>
      <c r="P43" s="271" t="str">
        <f>+Main_무해지!R29</f>
        <v/>
      </c>
      <c r="Q43" s="400" t="str">
        <f>+Main_무해지!S29</f>
        <v/>
      </c>
      <c r="R43" s="271" t="str">
        <f>+Main_무해지!T29</f>
        <v/>
      </c>
      <c r="S43" s="271" t="str">
        <f>+Main_무해지!U29</f>
        <v/>
      </c>
      <c r="T43" s="271" t="str">
        <f>+Main_무해지!V29</f>
        <v/>
      </c>
      <c r="U43" s="400" t="str">
        <f>+Main_무해지!W29</f>
        <v/>
      </c>
    </row>
    <row r="44" spans="3:21">
      <c r="H44"/>
      <c r="I44"/>
      <c r="J44"/>
      <c r="L44" s="278" t="str">
        <f>+Main_무해지!N30</f>
        <v/>
      </c>
      <c r="M44" s="279" t="str">
        <f>+Main_무해지!O30</f>
        <v/>
      </c>
      <c r="N44" s="271" t="str">
        <f>+Main_무해지!P30</f>
        <v/>
      </c>
      <c r="O44" s="271" t="str">
        <f>+Main_무해지!Q30</f>
        <v/>
      </c>
      <c r="P44" s="271" t="str">
        <f>+Main_무해지!R30</f>
        <v/>
      </c>
      <c r="Q44" s="400" t="str">
        <f>+Main_무해지!S30</f>
        <v/>
      </c>
      <c r="R44" s="271" t="str">
        <f>+Main_무해지!T30</f>
        <v/>
      </c>
      <c r="S44" s="271" t="str">
        <f>+Main_무해지!U30</f>
        <v/>
      </c>
      <c r="T44" s="271" t="str">
        <f>+Main_무해지!V30</f>
        <v/>
      </c>
      <c r="U44" s="400" t="str">
        <f>+Main_무해지!W30</f>
        <v/>
      </c>
    </row>
    <row r="45" spans="3:21">
      <c r="H45"/>
      <c r="I45"/>
      <c r="J45"/>
      <c r="L45" s="280" t="str">
        <f>+Main_무해지!N31</f>
        <v/>
      </c>
      <c r="M45" s="281" t="str">
        <f>+Main_무해지!O31</f>
        <v/>
      </c>
      <c r="N45" s="282" t="str">
        <f>+Main_무해지!P31</f>
        <v/>
      </c>
      <c r="O45" s="282" t="str">
        <f>+Main_무해지!Q31</f>
        <v/>
      </c>
      <c r="P45" s="282" t="str">
        <f>+Main_무해지!R31</f>
        <v/>
      </c>
      <c r="Q45" s="402" t="str">
        <f>+Main_무해지!S31</f>
        <v/>
      </c>
      <c r="R45" s="282" t="str">
        <f>+Main_무해지!T31</f>
        <v/>
      </c>
      <c r="S45" s="282" t="str">
        <f>+Main_무해지!U31</f>
        <v/>
      </c>
      <c r="T45" s="282" t="str">
        <f>+Main_무해지!V31</f>
        <v/>
      </c>
      <c r="U45" s="402" t="str">
        <f>+Main_무해지!W31</f>
        <v/>
      </c>
    </row>
    <row r="46" spans="3:21">
      <c r="H46"/>
      <c r="I46"/>
      <c r="J46"/>
      <c r="L46" s="275" t="str">
        <f>+Main_무해지!N32</f>
        <v/>
      </c>
      <c r="M46" s="276" t="str">
        <f>+Main_무해지!O32</f>
        <v/>
      </c>
      <c r="N46" s="277" t="str">
        <f>+Main_무해지!P32</f>
        <v/>
      </c>
      <c r="O46" s="277" t="str">
        <f>+Main_무해지!Q32</f>
        <v/>
      </c>
      <c r="P46" s="277" t="str">
        <f>+Main_무해지!R32</f>
        <v/>
      </c>
      <c r="Q46" s="401" t="str">
        <f>+Main_무해지!S32</f>
        <v/>
      </c>
      <c r="R46" s="277" t="str">
        <f>+Main_무해지!T32</f>
        <v/>
      </c>
      <c r="S46" s="277" t="str">
        <f>+Main_무해지!U32</f>
        <v/>
      </c>
      <c r="T46" s="277" t="str">
        <f>+Main_무해지!V32</f>
        <v/>
      </c>
      <c r="U46" s="401" t="str">
        <f>+Main_무해지!W32</f>
        <v/>
      </c>
    </row>
    <row r="47" spans="3:21">
      <c r="H47"/>
      <c r="I47"/>
      <c r="J47"/>
      <c r="L47" s="278" t="str">
        <f>+Main_무해지!N33</f>
        <v/>
      </c>
      <c r="M47" s="279" t="str">
        <f>+Main_무해지!O33</f>
        <v/>
      </c>
      <c r="N47" s="271" t="str">
        <f>+Main_무해지!P33</f>
        <v/>
      </c>
      <c r="O47" s="271" t="str">
        <f>+Main_무해지!Q33</f>
        <v/>
      </c>
      <c r="P47" s="271" t="str">
        <f>+Main_무해지!R33</f>
        <v/>
      </c>
      <c r="Q47" s="400" t="str">
        <f>+Main_무해지!S33</f>
        <v/>
      </c>
      <c r="R47" s="271" t="str">
        <f>+Main_무해지!T33</f>
        <v/>
      </c>
      <c r="S47" s="271" t="str">
        <f>+Main_무해지!U33</f>
        <v/>
      </c>
      <c r="T47" s="271" t="str">
        <f>+Main_무해지!V33</f>
        <v/>
      </c>
      <c r="U47" s="400" t="str">
        <f>+Main_무해지!W33</f>
        <v/>
      </c>
    </row>
    <row r="48" spans="3:21">
      <c r="H48"/>
      <c r="I48"/>
      <c r="J48"/>
      <c r="L48" s="278" t="str">
        <f>+Main_무해지!N34</f>
        <v/>
      </c>
      <c r="M48" s="279" t="str">
        <f>+Main_무해지!O34</f>
        <v/>
      </c>
      <c r="N48" s="271" t="str">
        <f>+Main_무해지!P34</f>
        <v/>
      </c>
      <c r="O48" s="271" t="str">
        <f>+Main_무해지!Q34</f>
        <v/>
      </c>
      <c r="P48" s="271" t="str">
        <f>+Main_무해지!R34</f>
        <v/>
      </c>
      <c r="Q48" s="400" t="str">
        <f>+Main_무해지!S34</f>
        <v/>
      </c>
      <c r="R48" s="271" t="str">
        <f>+Main_무해지!T34</f>
        <v/>
      </c>
      <c r="S48" s="271" t="str">
        <f>+Main_무해지!U34</f>
        <v/>
      </c>
      <c r="T48" s="271" t="str">
        <f>+Main_무해지!V34</f>
        <v/>
      </c>
      <c r="U48" s="400" t="str">
        <f>+Main_무해지!W34</f>
        <v/>
      </c>
    </row>
    <row r="49" spans="8:21">
      <c r="H49"/>
      <c r="I49"/>
      <c r="J49"/>
      <c r="L49" s="278" t="str">
        <f>+Main_무해지!N35</f>
        <v/>
      </c>
      <c r="M49" s="279" t="str">
        <f>+Main_무해지!O35</f>
        <v/>
      </c>
      <c r="N49" s="271" t="str">
        <f>+Main_무해지!P35</f>
        <v/>
      </c>
      <c r="O49" s="271" t="str">
        <f>+Main_무해지!Q35</f>
        <v/>
      </c>
      <c r="P49" s="271" t="str">
        <f>+Main_무해지!R35</f>
        <v/>
      </c>
      <c r="Q49" s="400" t="str">
        <f>+Main_무해지!S35</f>
        <v/>
      </c>
      <c r="R49" s="271" t="str">
        <f>+Main_무해지!T35</f>
        <v/>
      </c>
      <c r="S49" s="271" t="str">
        <f>+Main_무해지!U35</f>
        <v/>
      </c>
      <c r="T49" s="271" t="str">
        <f>+Main_무해지!V35</f>
        <v/>
      </c>
      <c r="U49" s="400" t="str">
        <f>+Main_무해지!W35</f>
        <v/>
      </c>
    </row>
    <row r="50" spans="8:21">
      <c r="H50"/>
      <c r="I50"/>
      <c r="J50"/>
      <c r="L50" s="280" t="str">
        <f>+Main_무해지!N36</f>
        <v/>
      </c>
      <c r="M50" s="281" t="str">
        <f>+Main_무해지!O36</f>
        <v/>
      </c>
      <c r="N50" s="282" t="str">
        <f>+Main_무해지!P36</f>
        <v/>
      </c>
      <c r="O50" s="282" t="str">
        <f>+Main_무해지!Q36</f>
        <v/>
      </c>
      <c r="P50" s="282" t="str">
        <f>+Main_무해지!R36</f>
        <v/>
      </c>
      <c r="Q50" s="402" t="str">
        <f>+Main_무해지!S36</f>
        <v/>
      </c>
      <c r="R50" s="282" t="str">
        <f>+Main_무해지!T36</f>
        <v/>
      </c>
      <c r="S50" s="282" t="str">
        <f>+Main_무해지!U36</f>
        <v/>
      </c>
      <c r="T50" s="282" t="str">
        <f>+Main_무해지!V36</f>
        <v/>
      </c>
      <c r="U50" s="402" t="str">
        <f>+Main_무해지!W36</f>
        <v/>
      </c>
    </row>
    <row r="51" spans="8:21">
      <c r="H51"/>
      <c r="I51"/>
      <c r="J51"/>
      <c r="L51" s="275" t="str">
        <f>+Main_무해지!N37</f>
        <v/>
      </c>
      <c r="M51" s="276" t="str">
        <f>+Main_무해지!O37</f>
        <v/>
      </c>
      <c r="N51" s="277" t="str">
        <f>+Main_무해지!P37</f>
        <v/>
      </c>
      <c r="O51" s="381" t="str">
        <f>+Main_무해지!Q37</f>
        <v/>
      </c>
      <c r="P51" s="381" t="str">
        <f>+Main_무해지!R37</f>
        <v/>
      </c>
      <c r="Q51" s="401" t="str">
        <f>+Main_무해지!S37</f>
        <v/>
      </c>
      <c r="R51" s="381" t="str">
        <f>+Main_무해지!T37</f>
        <v/>
      </c>
      <c r="S51" s="381" t="str">
        <f>+Main_무해지!U37</f>
        <v/>
      </c>
      <c r="T51" s="277" t="str">
        <f>+Main_무해지!V37</f>
        <v/>
      </c>
      <c r="U51" s="401" t="str">
        <f>+Main_무해지!W37</f>
        <v/>
      </c>
    </row>
    <row r="52" spans="8:21">
      <c r="H52"/>
      <c r="I52"/>
      <c r="J52"/>
      <c r="L52" s="278" t="str">
        <f>+Main_무해지!N38</f>
        <v/>
      </c>
      <c r="M52" s="279" t="str">
        <f>+Main_무해지!O38</f>
        <v/>
      </c>
      <c r="N52" s="271" t="str">
        <f>+Main_무해지!P38</f>
        <v/>
      </c>
      <c r="O52" s="382" t="str">
        <f>+Main_무해지!Q38</f>
        <v/>
      </c>
      <c r="P52" s="382" t="str">
        <f>+Main_무해지!R38</f>
        <v/>
      </c>
      <c r="Q52" s="400" t="str">
        <f>+Main_무해지!S38</f>
        <v/>
      </c>
      <c r="R52" s="382" t="str">
        <f>+Main_무해지!T38</f>
        <v/>
      </c>
      <c r="S52" s="382" t="str">
        <f>+Main_무해지!U38</f>
        <v/>
      </c>
      <c r="T52" s="271" t="str">
        <f>+Main_무해지!V38</f>
        <v/>
      </c>
      <c r="U52" s="400" t="str">
        <f>+Main_무해지!W38</f>
        <v/>
      </c>
    </row>
    <row r="53" spans="8:21">
      <c r="H53"/>
      <c r="I53"/>
      <c r="J53"/>
      <c r="L53" s="278" t="str">
        <f>+Main_무해지!N39</f>
        <v/>
      </c>
      <c r="M53" s="279" t="str">
        <f>+Main_무해지!O39</f>
        <v/>
      </c>
      <c r="N53" s="271" t="str">
        <f>+Main_무해지!P39</f>
        <v/>
      </c>
      <c r="O53" s="382" t="str">
        <f>+Main_무해지!Q39</f>
        <v/>
      </c>
      <c r="P53" s="382" t="str">
        <f>+Main_무해지!R39</f>
        <v/>
      </c>
      <c r="Q53" s="400" t="str">
        <f>+Main_무해지!S39</f>
        <v/>
      </c>
      <c r="R53" s="382" t="str">
        <f>+Main_무해지!T39</f>
        <v/>
      </c>
      <c r="S53" s="382" t="str">
        <f>+Main_무해지!U39</f>
        <v/>
      </c>
      <c r="T53" s="271" t="str">
        <f>+Main_무해지!V39</f>
        <v/>
      </c>
      <c r="U53" s="400" t="str">
        <f>+Main_무해지!W39</f>
        <v/>
      </c>
    </row>
    <row r="54" spans="8:21">
      <c r="H54"/>
      <c r="L54" s="278" t="str">
        <f>+Main_무해지!N40</f>
        <v/>
      </c>
      <c r="M54" s="279" t="str">
        <f>+Main_무해지!O40</f>
        <v/>
      </c>
      <c r="N54" s="271" t="str">
        <f>+Main_무해지!P40</f>
        <v/>
      </c>
      <c r="O54" s="382" t="str">
        <f>+Main_무해지!Q40</f>
        <v/>
      </c>
      <c r="P54" s="382" t="str">
        <f>+Main_무해지!R40</f>
        <v/>
      </c>
      <c r="Q54" s="400" t="str">
        <f>+Main_무해지!S40</f>
        <v/>
      </c>
      <c r="R54" s="382" t="str">
        <f>+Main_무해지!T40</f>
        <v/>
      </c>
      <c r="S54" s="382" t="str">
        <f>+Main_무해지!U40</f>
        <v/>
      </c>
      <c r="T54" s="271" t="str">
        <f>+Main_무해지!V40</f>
        <v/>
      </c>
      <c r="U54" s="400" t="str">
        <f>+Main_무해지!W40</f>
        <v/>
      </c>
    </row>
    <row r="55" spans="8:21">
      <c r="H55"/>
      <c r="L55" s="280" t="str">
        <f>+Main_무해지!N41</f>
        <v/>
      </c>
      <c r="M55" s="281" t="str">
        <f>+Main_무해지!O41</f>
        <v/>
      </c>
      <c r="N55" s="282" t="str">
        <f>+Main_무해지!P41</f>
        <v/>
      </c>
      <c r="O55" s="383" t="str">
        <f>+Main_무해지!Q41</f>
        <v/>
      </c>
      <c r="P55" s="383" t="str">
        <f>+Main_무해지!R41</f>
        <v/>
      </c>
      <c r="Q55" s="402" t="str">
        <f>+Main_무해지!S41</f>
        <v/>
      </c>
      <c r="R55" s="383" t="str">
        <f>+Main_무해지!T41</f>
        <v/>
      </c>
      <c r="S55" s="383" t="str">
        <f>+Main_무해지!U41</f>
        <v/>
      </c>
      <c r="T55" s="282" t="str">
        <f>+Main_무해지!V41</f>
        <v/>
      </c>
      <c r="U55" s="402" t="str">
        <f>+Main_무해지!W41</f>
        <v/>
      </c>
    </row>
    <row r="56" spans="8:21">
      <c r="H56"/>
      <c r="L56" s="275" t="str">
        <f>+Main_무해지!N42</f>
        <v/>
      </c>
      <c r="M56" s="276" t="str">
        <f>+Main_무해지!O42</f>
        <v/>
      </c>
      <c r="N56" s="277" t="str">
        <f>+Main_무해지!P42</f>
        <v/>
      </c>
      <c r="O56" s="381" t="str">
        <f>+Main_무해지!Q42</f>
        <v/>
      </c>
      <c r="P56" s="381" t="str">
        <f>+Main_무해지!R42</f>
        <v/>
      </c>
      <c r="Q56" s="401" t="str">
        <f>+Main_무해지!S42</f>
        <v/>
      </c>
      <c r="R56" s="381" t="str">
        <f>+Main_무해지!T42</f>
        <v/>
      </c>
      <c r="S56" s="381" t="str">
        <f>+Main_무해지!U42</f>
        <v/>
      </c>
      <c r="T56" s="277" t="str">
        <f>+Main_무해지!V42</f>
        <v/>
      </c>
      <c r="U56" s="401" t="str">
        <f>+Main_무해지!W42</f>
        <v/>
      </c>
    </row>
    <row r="57" spans="8:21">
      <c r="H57"/>
      <c r="L57" s="278" t="str">
        <f>+Main_무해지!N43</f>
        <v/>
      </c>
      <c r="M57" s="279" t="str">
        <f>+Main_무해지!O43</f>
        <v/>
      </c>
      <c r="N57" s="271" t="str">
        <f>+Main_무해지!P43</f>
        <v/>
      </c>
      <c r="O57" s="382" t="str">
        <f>+Main_무해지!Q43</f>
        <v/>
      </c>
      <c r="P57" s="382" t="str">
        <f>+Main_무해지!R43</f>
        <v/>
      </c>
      <c r="Q57" s="400" t="str">
        <f>+Main_무해지!S43</f>
        <v/>
      </c>
      <c r="R57" s="382" t="str">
        <f>+Main_무해지!T43</f>
        <v/>
      </c>
      <c r="S57" s="382" t="str">
        <f>+Main_무해지!U43</f>
        <v/>
      </c>
      <c r="T57" s="271" t="str">
        <f>+Main_무해지!V43</f>
        <v/>
      </c>
      <c r="U57" s="400" t="str">
        <f>+Main_무해지!W43</f>
        <v/>
      </c>
    </row>
    <row r="58" spans="8:21">
      <c r="H58"/>
      <c r="L58" s="278" t="str">
        <f>+Main_무해지!N44</f>
        <v/>
      </c>
      <c r="M58" s="279" t="str">
        <f>+Main_무해지!O44</f>
        <v/>
      </c>
      <c r="N58" s="271" t="str">
        <f>+Main_무해지!P44</f>
        <v/>
      </c>
      <c r="O58" s="382" t="str">
        <f>+Main_무해지!Q44</f>
        <v/>
      </c>
      <c r="P58" s="382" t="str">
        <f>+Main_무해지!R44</f>
        <v/>
      </c>
      <c r="Q58" s="400" t="str">
        <f>+Main_무해지!S44</f>
        <v/>
      </c>
      <c r="R58" s="382" t="str">
        <f>+Main_무해지!T44</f>
        <v/>
      </c>
      <c r="S58" s="382" t="str">
        <f>+Main_무해지!U44</f>
        <v/>
      </c>
      <c r="T58" s="271" t="str">
        <f>+Main_무해지!V44</f>
        <v/>
      </c>
      <c r="U58" s="400" t="str">
        <f>+Main_무해지!W44</f>
        <v/>
      </c>
    </row>
    <row r="59" spans="8:21">
      <c r="H59"/>
      <c r="L59" s="278" t="str">
        <f>+Main_무해지!N45</f>
        <v/>
      </c>
      <c r="M59" s="279" t="str">
        <f>+Main_무해지!O45</f>
        <v/>
      </c>
      <c r="N59" s="271" t="str">
        <f>+Main_무해지!P45</f>
        <v/>
      </c>
      <c r="O59" s="382" t="str">
        <f>+Main_무해지!Q45</f>
        <v/>
      </c>
      <c r="P59" s="382" t="str">
        <f>+Main_무해지!R45</f>
        <v/>
      </c>
      <c r="Q59" s="400" t="str">
        <f>+Main_무해지!S45</f>
        <v/>
      </c>
      <c r="R59" s="382" t="str">
        <f>+Main_무해지!T45</f>
        <v/>
      </c>
      <c r="S59" s="382" t="str">
        <f>+Main_무해지!U45</f>
        <v/>
      </c>
      <c r="T59" s="271" t="str">
        <f>+Main_무해지!V45</f>
        <v/>
      </c>
      <c r="U59" s="400" t="str">
        <f>+Main_무해지!W45</f>
        <v/>
      </c>
    </row>
    <row r="60" spans="8:21">
      <c r="H60"/>
      <c r="I60"/>
      <c r="J60"/>
      <c r="K60"/>
      <c r="L60" s="278" t="str">
        <f>+Main_무해지!N46</f>
        <v/>
      </c>
      <c r="M60" s="279" t="str">
        <f>+Main_무해지!O46</f>
        <v/>
      </c>
      <c r="N60" s="271" t="str">
        <f>+Main_무해지!P46</f>
        <v/>
      </c>
      <c r="O60" s="382" t="str">
        <f>+Main_무해지!Q46</f>
        <v/>
      </c>
      <c r="P60" s="382" t="str">
        <f>+Main_무해지!R46</f>
        <v/>
      </c>
      <c r="Q60" s="400" t="str">
        <f>+Main_무해지!S46</f>
        <v/>
      </c>
      <c r="R60" s="382" t="str">
        <f>+Main_무해지!T46</f>
        <v/>
      </c>
      <c r="S60" s="382" t="str">
        <f>+Main_무해지!U46</f>
        <v/>
      </c>
      <c r="T60" s="271" t="str">
        <f>+Main_무해지!V46</f>
        <v/>
      </c>
      <c r="U60" s="400" t="str">
        <f>+Main_무해지!W46</f>
        <v/>
      </c>
    </row>
    <row r="61" spans="8:21">
      <c r="H61"/>
      <c r="I61"/>
      <c r="J61"/>
      <c r="K61"/>
      <c r="L61" s="275" t="str">
        <f>+Main_무해지!N47</f>
        <v/>
      </c>
      <c r="M61" s="276" t="str">
        <f>+Main_무해지!O47</f>
        <v/>
      </c>
      <c r="N61" s="277" t="str">
        <f>+Main_무해지!P47</f>
        <v/>
      </c>
      <c r="O61" s="381" t="str">
        <f>+Main_무해지!Q47</f>
        <v/>
      </c>
      <c r="P61" s="381" t="str">
        <f>+Main_무해지!R47</f>
        <v/>
      </c>
      <c r="Q61" s="401" t="str">
        <f>+Main_무해지!S47</f>
        <v/>
      </c>
      <c r="R61" s="381" t="str">
        <f>+Main_무해지!T47</f>
        <v/>
      </c>
      <c r="S61" s="381" t="str">
        <f>+Main_무해지!U47</f>
        <v/>
      </c>
      <c r="T61" s="277" t="str">
        <f>+Main_무해지!V47</f>
        <v/>
      </c>
      <c r="U61" s="401" t="str">
        <f>+Main_무해지!W47</f>
        <v/>
      </c>
    </row>
    <row r="62" spans="8:21">
      <c r="H62"/>
      <c r="I62"/>
      <c r="J62"/>
      <c r="K62"/>
      <c r="L62" s="278" t="str">
        <f>+Main_무해지!N48</f>
        <v/>
      </c>
      <c r="M62" s="279" t="str">
        <f>+Main_무해지!O48</f>
        <v/>
      </c>
      <c r="N62" s="271" t="str">
        <f>+Main_무해지!P48</f>
        <v/>
      </c>
      <c r="O62" s="382" t="str">
        <f>+Main_무해지!Q48</f>
        <v/>
      </c>
      <c r="P62" s="382" t="str">
        <f>+Main_무해지!R48</f>
        <v/>
      </c>
      <c r="Q62" s="400" t="str">
        <f>+Main_무해지!S48</f>
        <v/>
      </c>
      <c r="R62" s="382" t="str">
        <f>+Main_무해지!T48</f>
        <v/>
      </c>
      <c r="S62" s="382" t="str">
        <f>+Main_무해지!U48</f>
        <v/>
      </c>
      <c r="T62" s="271" t="str">
        <f>+Main_무해지!V48</f>
        <v/>
      </c>
      <c r="U62" s="400" t="str">
        <f>+Main_무해지!W48</f>
        <v/>
      </c>
    </row>
    <row r="63" spans="8:21">
      <c r="H63"/>
      <c r="I63"/>
      <c r="J63"/>
      <c r="K63"/>
      <c r="L63" s="278" t="str">
        <f>+Main_무해지!N49</f>
        <v/>
      </c>
      <c r="M63" s="279" t="str">
        <f>+Main_무해지!O49</f>
        <v/>
      </c>
      <c r="N63" s="271" t="str">
        <f>+Main_무해지!P49</f>
        <v/>
      </c>
      <c r="O63" s="382" t="str">
        <f>+Main_무해지!Q49</f>
        <v/>
      </c>
      <c r="P63" s="382" t="str">
        <f>+Main_무해지!R49</f>
        <v/>
      </c>
      <c r="Q63" s="400" t="str">
        <f>+Main_무해지!S49</f>
        <v/>
      </c>
      <c r="R63" s="382" t="str">
        <f>+Main_무해지!T49</f>
        <v/>
      </c>
      <c r="S63" s="382" t="str">
        <f>+Main_무해지!U49</f>
        <v/>
      </c>
      <c r="T63" s="271" t="str">
        <f>+Main_무해지!V49</f>
        <v/>
      </c>
      <c r="U63" s="400" t="str">
        <f>+Main_무해지!W49</f>
        <v/>
      </c>
    </row>
    <row r="64" spans="8:21">
      <c r="H64"/>
      <c r="I64"/>
      <c r="J64"/>
      <c r="K64"/>
      <c r="L64" s="278" t="str">
        <f>+Main_무해지!N50</f>
        <v/>
      </c>
      <c r="M64" s="279" t="str">
        <f>+Main_무해지!O50</f>
        <v/>
      </c>
      <c r="N64" s="271" t="str">
        <f>+Main_무해지!P50</f>
        <v/>
      </c>
      <c r="O64" s="382" t="str">
        <f>+Main_무해지!Q50</f>
        <v/>
      </c>
      <c r="P64" s="382" t="str">
        <f>+Main_무해지!R50</f>
        <v/>
      </c>
      <c r="Q64" s="400" t="str">
        <f>+Main_무해지!S50</f>
        <v/>
      </c>
      <c r="R64" s="382" t="str">
        <f>+Main_무해지!T50</f>
        <v/>
      </c>
      <c r="S64" s="382" t="str">
        <f>+Main_무해지!U50</f>
        <v/>
      </c>
      <c r="T64" s="271" t="str">
        <f>+Main_무해지!V50</f>
        <v/>
      </c>
      <c r="U64" s="400" t="str">
        <f>+Main_무해지!W50</f>
        <v/>
      </c>
    </row>
    <row r="65" spans="4:21">
      <c r="H65"/>
      <c r="I65"/>
      <c r="J65"/>
      <c r="K65"/>
      <c r="L65" s="280" t="str">
        <f>+Main_무해지!N51</f>
        <v/>
      </c>
      <c r="M65" s="281" t="str">
        <f>+Main_무해지!O51</f>
        <v/>
      </c>
      <c r="N65" s="282" t="str">
        <f>+Main_무해지!P51</f>
        <v/>
      </c>
      <c r="O65" s="383" t="str">
        <f>+Main_무해지!Q51</f>
        <v/>
      </c>
      <c r="P65" s="383" t="str">
        <f>+Main_무해지!R51</f>
        <v/>
      </c>
      <c r="Q65" s="402" t="str">
        <f>+Main_무해지!S51</f>
        <v/>
      </c>
      <c r="R65" s="383" t="str">
        <f>+Main_무해지!T51</f>
        <v/>
      </c>
      <c r="S65" s="383" t="str">
        <f>+Main_무해지!U51</f>
        <v/>
      </c>
      <c r="T65" s="282" t="str">
        <f>+Main_무해지!V51</f>
        <v/>
      </c>
      <c r="U65" s="402" t="str">
        <f>+Main_무해지!W51</f>
        <v/>
      </c>
    </row>
    <row r="66" spans="4:21">
      <c r="H66"/>
      <c r="I66"/>
      <c r="J66"/>
      <c r="K66"/>
      <c r="L66" s="275" t="str">
        <f>+Main_무해지!N52</f>
        <v/>
      </c>
      <c r="M66" s="276" t="str">
        <f>+Main_무해지!O52</f>
        <v/>
      </c>
      <c r="N66" s="277" t="str">
        <f>+Main_무해지!P52</f>
        <v/>
      </c>
      <c r="O66" s="381" t="str">
        <f>+Main_무해지!Q52</f>
        <v/>
      </c>
      <c r="P66" s="381" t="str">
        <f>+Main_무해지!R52</f>
        <v/>
      </c>
      <c r="Q66" s="401" t="str">
        <f>+Main_무해지!S52</f>
        <v/>
      </c>
      <c r="R66" s="381" t="str">
        <f>+Main_무해지!T52</f>
        <v/>
      </c>
      <c r="S66" s="381" t="str">
        <f>+Main_무해지!U52</f>
        <v/>
      </c>
      <c r="T66" s="277" t="str">
        <f>+Main_무해지!V52</f>
        <v/>
      </c>
      <c r="U66" s="401" t="str">
        <f>+Main_무해지!W52</f>
        <v/>
      </c>
    </row>
    <row r="67" spans="4:21">
      <c r="H67"/>
      <c r="I67"/>
      <c r="J67"/>
      <c r="K67"/>
      <c r="L67" s="278" t="str">
        <f>+Main_무해지!N53</f>
        <v/>
      </c>
      <c r="M67" s="279" t="str">
        <f>+Main_무해지!O53</f>
        <v/>
      </c>
      <c r="N67" s="271" t="str">
        <f>+Main_무해지!P53</f>
        <v/>
      </c>
      <c r="O67" s="382" t="str">
        <f>+Main_무해지!Q53</f>
        <v/>
      </c>
      <c r="P67" s="382" t="str">
        <f>+Main_무해지!R53</f>
        <v/>
      </c>
      <c r="Q67" s="400" t="str">
        <f>+Main_무해지!S53</f>
        <v/>
      </c>
      <c r="R67" s="382" t="str">
        <f>+Main_무해지!T53</f>
        <v/>
      </c>
      <c r="S67" s="382" t="str">
        <f>+Main_무해지!U53</f>
        <v/>
      </c>
      <c r="T67" s="271" t="str">
        <f>+Main_무해지!V53</f>
        <v/>
      </c>
      <c r="U67" s="400" t="str">
        <f>+Main_무해지!W53</f>
        <v/>
      </c>
    </row>
    <row r="68" spans="4:21">
      <c r="H68"/>
      <c r="I68"/>
      <c r="J68"/>
      <c r="K68"/>
      <c r="L68" s="278" t="str">
        <f>+Main_무해지!N54</f>
        <v/>
      </c>
      <c r="M68" s="279" t="str">
        <f>+Main_무해지!O54</f>
        <v/>
      </c>
      <c r="N68" s="271" t="str">
        <f>+Main_무해지!P54</f>
        <v/>
      </c>
      <c r="O68" s="382" t="str">
        <f>+Main_무해지!Q54</f>
        <v/>
      </c>
      <c r="P68" s="382" t="str">
        <f>+Main_무해지!R54</f>
        <v/>
      </c>
      <c r="Q68" s="400" t="str">
        <f>+Main_무해지!S54</f>
        <v/>
      </c>
      <c r="R68" s="382" t="str">
        <f>+Main_무해지!T54</f>
        <v/>
      </c>
      <c r="S68" s="382" t="str">
        <f>+Main_무해지!U54</f>
        <v/>
      </c>
      <c r="T68" s="271" t="str">
        <f>+Main_무해지!V54</f>
        <v/>
      </c>
      <c r="U68" s="400" t="str">
        <f>+Main_무해지!W54</f>
        <v/>
      </c>
    </row>
    <row r="69" spans="4:21">
      <c r="H69"/>
      <c r="I69"/>
      <c r="J69"/>
      <c r="K69"/>
      <c r="L69" s="278" t="str">
        <f>+Main_무해지!N55</f>
        <v/>
      </c>
      <c r="M69" s="279" t="str">
        <f>+Main_무해지!O55</f>
        <v/>
      </c>
      <c r="N69" s="271" t="str">
        <f>+Main_무해지!P55</f>
        <v/>
      </c>
      <c r="O69" s="382" t="str">
        <f>+Main_무해지!Q55</f>
        <v/>
      </c>
      <c r="P69" s="382" t="str">
        <f>+Main_무해지!R55</f>
        <v/>
      </c>
      <c r="Q69" s="400" t="str">
        <f>+Main_무해지!S55</f>
        <v/>
      </c>
      <c r="R69" s="382" t="str">
        <f>+Main_무해지!T55</f>
        <v/>
      </c>
      <c r="S69" s="382" t="str">
        <f>+Main_무해지!U55</f>
        <v/>
      </c>
      <c r="T69" s="271" t="str">
        <f>+Main_무해지!V55</f>
        <v/>
      </c>
      <c r="U69" s="400" t="str">
        <f>+Main_무해지!W55</f>
        <v/>
      </c>
    </row>
    <row r="70" spans="4:21">
      <c r="H70"/>
      <c r="I70"/>
      <c r="J70"/>
      <c r="K70"/>
      <c r="L70" s="280" t="str">
        <f>+Main_무해지!N56</f>
        <v/>
      </c>
      <c r="M70" s="281" t="str">
        <f>+Main_무해지!O56</f>
        <v/>
      </c>
      <c r="N70" s="282" t="str">
        <f>+Main_무해지!P56</f>
        <v/>
      </c>
      <c r="O70" s="383" t="str">
        <f>+Main_무해지!Q56</f>
        <v/>
      </c>
      <c r="P70" s="383" t="str">
        <f>+Main_무해지!R56</f>
        <v/>
      </c>
      <c r="Q70" s="402" t="str">
        <f>+Main_무해지!S56</f>
        <v/>
      </c>
      <c r="R70" s="383" t="str">
        <f>+Main_무해지!T56</f>
        <v/>
      </c>
      <c r="S70" s="383" t="str">
        <f>+Main_무해지!U56</f>
        <v/>
      </c>
      <c r="T70" s="282" t="str">
        <f>+Main_무해지!V56</f>
        <v/>
      </c>
      <c r="U70" s="402" t="str">
        <f>+Main_무해지!W56</f>
        <v/>
      </c>
    </row>
    <row r="71" spans="4:21">
      <c r="H71"/>
      <c r="I71"/>
      <c r="J71"/>
      <c r="K71"/>
      <c r="L71" s="275" t="str">
        <f>+Main_무해지!N57</f>
        <v/>
      </c>
      <c r="M71" s="276" t="str">
        <f>+Main_무해지!O57</f>
        <v/>
      </c>
      <c r="N71" s="277" t="str">
        <f>+Main_무해지!P57</f>
        <v/>
      </c>
      <c r="O71" s="381" t="str">
        <f>+Main_무해지!Q57</f>
        <v/>
      </c>
      <c r="P71" s="381" t="str">
        <f>+Main_무해지!R57</f>
        <v/>
      </c>
      <c r="Q71" s="401" t="str">
        <f>+Main_무해지!S57</f>
        <v/>
      </c>
      <c r="R71" s="381" t="str">
        <f>+Main_무해지!T57</f>
        <v/>
      </c>
      <c r="S71" s="381" t="str">
        <f>+Main_무해지!U57</f>
        <v/>
      </c>
      <c r="T71" s="277" t="str">
        <f>+Main_무해지!V57</f>
        <v/>
      </c>
      <c r="U71" s="401" t="str">
        <f>+Main_무해지!W57</f>
        <v/>
      </c>
    </row>
    <row r="72" spans="4:21">
      <c r="H72"/>
      <c r="I72"/>
      <c r="J72"/>
      <c r="K72"/>
      <c r="L72" s="278" t="str">
        <f>+Main_무해지!N58</f>
        <v/>
      </c>
      <c r="M72" s="279" t="str">
        <f>+Main_무해지!O58</f>
        <v/>
      </c>
      <c r="N72" s="271" t="str">
        <f>+Main_무해지!P58</f>
        <v/>
      </c>
      <c r="O72" s="382" t="str">
        <f>+Main_무해지!Q58</f>
        <v/>
      </c>
      <c r="P72" s="382" t="str">
        <f>+Main_무해지!R58</f>
        <v/>
      </c>
      <c r="Q72" s="400" t="str">
        <f>+Main_무해지!S58</f>
        <v/>
      </c>
      <c r="R72" s="382" t="str">
        <f>+Main_무해지!T58</f>
        <v/>
      </c>
      <c r="S72" s="382" t="str">
        <f>+Main_무해지!U58</f>
        <v/>
      </c>
      <c r="T72" s="271" t="str">
        <f>+Main_무해지!V58</f>
        <v/>
      </c>
      <c r="U72" s="400" t="str">
        <f>+Main_무해지!W58</f>
        <v/>
      </c>
    </row>
    <row r="73" spans="4:21">
      <c r="H73"/>
      <c r="I73"/>
      <c r="J73"/>
      <c r="K73"/>
      <c r="L73" s="278" t="str">
        <f>+Main_무해지!N59</f>
        <v/>
      </c>
      <c r="M73" s="279" t="str">
        <f>+Main_무해지!O59</f>
        <v/>
      </c>
      <c r="N73" s="271" t="str">
        <f>+Main_무해지!P59</f>
        <v/>
      </c>
      <c r="O73" s="382" t="str">
        <f>+Main_무해지!Q59</f>
        <v/>
      </c>
      <c r="P73" s="382" t="str">
        <f>+Main_무해지!R59</f>
        <v/>
      </c>
      <c r="Q73" s="400" t="str">
        <f>+Main_무해지!S59</f>
        <v/>
      </c>
      <c r="R73" s="382" t="str">
        <f>+Main_무해지!T59</f>
        <v/>
      </c>
      <c r="S73" s="382" t="str">
        <f>+Main_무해지!U59</f>
        <v/>
      </c>
      <c r="T73" s="271" t="str">
        <f>+Main_무해지!V59</f>
        <v/>
      </c>
      <c r="U73" s="400" t="str">
        <f>+Main_무해지!W59</f>
        <v/>
      </c>
    </row>
    <row r="74" spans="4:21">
      <c r="H74"/>
      <c r="I74"/>
      <c r="J74"/>
      <c r="K74"/>
      <c r="L74" s="278" t="str">
        <f>+Main_무해지!N60</f>
        <v/>
      </c>
      <c r="M74" s="279" t="str">
        <f>+Main_무해지!O60</f>
        <v/>
      </c>
      <c r="N74" s="271" t="str">
        <f>+Main_무해지!P60</f>
        <v/>
      </c>
      <c r="O74" s="382" t="str">
        <f>+Main_무해지!Q60</f>
        <v/>
      </c>
      <c r="P74" s="382" t="str">
        <f>+Main_무해지!R60</f>
        <v/>
      </c>
      <c r="Q74" s="400" t="str">
        <f>+Main_무해지!S60</f>
        <v/>
      </c>
      <c r="R74" s="382" t="str">
        <f>+Main_무해지!T60</f>
        <v/>
      </c>
      <c r="S74" s="382" t="str">
        <f>+Main_무해지!U60</f>
        <v/>
      </c>
      <c r="T74" s="271" t="str">
        <f>+Main_무해지!V60</f>
        <v/>
      </c>
      <c r="U74" s="400" t="str">
        <f>+Main_무해지!W60</f>
        <v/>
      </c>
    </row>
    <row r="75" spans="4:21">
      <c r="H75"/>
      <c r="I75"/>
      <c r="J75"/>
      <c r="K75"/>
      <c r="L75" s="280" t="str">
        <f>+Main_무해지!N61</f>
        <v/>
      </c>
      <c r="M75" s="281" t="str">
        <f>+Main_무해지!O61</f>
        <v/>
      </c>
      <c r="N75" s="282" t="str">
        <f>+Main_무해지!P61</f>
        <v/>
      </c>
      <c r="O75" s="383" t="str">
        <f>+Main_무해지!Q61</f>
        <v/>
      </c>
      <c r="P75" s="383" t="str">
        <f>+Main_무해지!R61</f>
        <v/>
      </c>
      <c r="Q75" s="402" t="str">
        <f>+Main_무해지!S61</f>
        <v/>
      </c>
      <c r="R75" s="383" t="str">
        <f>+Main_무해지!T61</f>
        <v/>
      </c>
      <c r="S75" s="383" t="str">
        <f>+Main_무해지!U61</f>
        <v/>
      </c>
      <c r="T75" s="282" t="str">
        <f>+Main_무해지!V61</f>
        <v/>
      </c>
      <c r="U75" s="402" t="str">
        <f>+Main_무해지!W61</f>
        <v/>
      </c>
    </row>
    <row r="76" spans="4:21">
      <c r="D76" s="2"/>
      <c r="E76" s="2"/>
      <c r="F76" s="2"/>
      <c r="G76" s="2"/>
      <c r="H76"/>
      <c r="I76"/>
      <c r="J76"/>
      <c r="K76"/>
      <c r="L76" s="275" t="str">
        <f>+Main_무해지!N62</f>
        <v/>
      </c>
      <c r="M76" s="276" t="str">
        <f>+Main_무해지!O62</f>
        <v/>
      </c>
      <c r="N76" s="277" t="str">
        <f>+Main_무해지!P62</f>
        <v/>
      </c>
      <c r="O76" s="381" t="str">
        <f>+Main_무해지!Q62</f>
        <v/>
      </c>
      <c r="P76" s="381" t="str">
        <f>+Main_무해지!R62</f>
        <v/>
      </c>
      <c r="Q76" s="401" t="str">
        <f>+Main_무해지!S62</f>
        <v/>
      </c>
      <c r="R76" s="381" t="str">
        <f>+Main_무해지!T62</f>
        <v/>
      </c>
      <c r="S76" s="381" t="str">
        <f>+Main_무해지!U62</f>
        <v/>
      </c>
      <c r="T76" s="277" t="str">
        <f>+Main_무해지!V62</f>
        <v/>
      </c>
      <c r="U76" s="401" t="str">
        <f>+Main_무해지!W62</f>
        <v/>
      </c>
    </row>
    <row r="77" spans="4:21">
      <c r="D77" s="2"/>
      <c r="E77" s="2"/>
      <c r="H77"/>
      <c r="I77"/>
      <c r="J77"/>
      <c r="K77"/>
      <c r="L77" s="278" t="str">
        <f>+Main_무해지!N63</f>
        <v/>
      </c>
      <c r="M77" s="279" t="str">
        <f>+Main_무해지!O63</f>
        <v/>
      </c>
      <c r="N77" s="271" t="str">
        <f>+Main_무해지!P63</f>
        <v/>
      </c>
      <c r="O77" s="382" t="str">
        <f>+Main_무해지!Q63</f>
        <v/>
      </c>
      <c r="P77" s="382" t="str">
        <f>+Main_무해지!R63</f>
        <v/>
      </c>
      <c r="Q77" s="400" t="str">
        <f>+Main_무해지!S63</f>
        <v/>
      </c>
      <c r="R77" s="382" t="str">
        <f>+Main_무해지!T63</f>
        <v/>
      </c>
      <c r="S77" s="382" t="str">
        <f>+Main_무해지!U63</f>
        <v/>
      </c>
      <c r="T77" s="271" t="str">
        <f>+Main_무해지!V63</f>
        <v/>
      </c>
      <c r="U77" s="400" t="str">
        <f>+Main_무해지!W63</f>
        <v/>
      </c>
    </row>
    <row r="78" spans="4:21">
      <c r="H78"/>
      <c r="I78"/>
      <c r="J78"/>
      <c r="K78"/>
      <c r="L78" s="278" t="str">
        <f>+Main_무해지!N64</f>
        <v/>
      </c>
      <c r="M78" s="279" t="str">
        <f>+Main_무해지!O64</f>
        <v/>
      </c>
      <c r="N78" s="271" t="str">
        <f>+Main_무해지!P64</f>
        <v/>
      </c>
      <c r="O78" s="382" t="str">
        <f>+Main_무해지!Q64</f>
        <v/>
      </c>
      <c r="P78" s="382" t="str">
        <f>+Main_무해지!R64</f>
        <v/>
      </c>
      <c r="Q78" s="400" t="str">
        <f>+Main_무해지!S64</f>
        <v/>
      </c>
      <c r="R78" s="382" t="str">
        <f>+Main_무해지!T64</f>
        <v/>
      </c>
      <c r="S78" s="382" t="str">
        <f>+Main_무해지!U64</f>
        <v/>
      </c>
      <c r="T78" s="271" t="str">
        <f>+Main_무해지!V64</f>
        <v/>
      </c>
      <c r="U78" s="400" t="str">
        <f>+Main_무해지!W64</f>
        <v/>
      </c>
    </row>
    <row r="79" spans="4:21">
      <c r="H79"/>
      <c r="I79"/>
      <c r="J79"/>
      <c r="K79"/>
      <c r="L79" s="278" t="str">
        <f>+Main_무해지!N65</f>
        <v/>
      </c>
      <c r="M79" s="279" t="str">
        <f>+Main_무해지!O65</f>
        <v/>
      </c>
      <c r="N79" s="271" t="str">
        <f>+Main_무해지!P65</f>
        <v/>
      </c>
      <c r="O79" s="382" t="str">
        <f>+Main_무해지!Q65</f>
        <v/>
      </c>
      <c r="P79" s="382" t="str">
        <f>+Main_무해지!R65</f>
        <v/>
      </c>
      <c r="Q79" s="400" t="str">
        <f>+Main_무해지!S65</f>
        <v/>
      </c>
      <c r="R79" s="382" t="str">
        <f>+Main_무해지!T65</f>
        <v/>
      </c>
      <c r="S79" s="382" t="str">
        <f>+Main_무해지!U65</f>
        <v/>
      </c>
      <c r="T79" s="271" t="str">
        <f>+Main_무해지!V65</f>
        <v/>
      </c>
      <c r="U79" s="400" t="str">
        <f>+Main_무해지!W65</f>
        <v/>
      </c>
    </row>
    <row r="80" spans="4:21">
      <c r="H80"/>
      <c r="I80"/>
      <c r="J80"/>
      <c r="K80"/>
      <c r="L80" s="280" t="str">
        <f>+Main_무해지!N66</f>
        <v/>
      </c>
      <c r="M80" s="281" t="str">
        <f>+Main_무해지!O66</f>
        <v/>
      </c>
      <c r="N80" s="282" t="str">
        <f>+Main_무해지!P66</f>
        <v/>
      </c>
      <c r="O80" s="383" t="str">
        <f>+Main_무해지!Q66</f>
        <v/>
      </c>
      <c r="P80" s="383" t="str">
        <f>+Main_무해지!R66</f>
        <v/>
      </c>
      <c r="Q80" s="402" t="str">
        <f>+Main_무해지!S66</f>
        <v/>
      </c>
      <c r="R80" s="382" t="str">
        <f>+Main_무해지!T66</f>
        <v/>
      </c>
      <c r="S80" s="382" t="str">
        <f>+Main_무해지!U66</f>
        <v/>
      </c>
      <c r="T80" s="282" t="str">
        <f>+Main_무해지!V66</f>
        <v/>
      </c>
      <c r="U80" s="402" t="str">
        <f>+Main_무해지!W66</f>
        <v/>
      </c>
    </row>
    <row r="81" spans="8:21">
      <c r="H81"/>
      <c r="I81"/>
      <c r="J81"/>
      <c r="K81"/>
      <c r="L81" s="275" t="str">
        <f>+Main_무해지!N67</f>
        <v/>
      </c>
      <c r="M81" s="276" t="str">
        <f>+Main_무해지!O67</f>
        <v/>
      </c>
      <c r="N81" s="277" t="str">
        <f>+Main_무해지!P67</f>
        <v/>
      </c>
      <c r="O81" s="381" t="str">
        <f>+Main_무해지!Q67</f>
        <v/>
      </c>
      <c r="P81" s="381" t="str">
        <f>+Main_무해지!R67</f>
        <v/>
      </c>
      <c r="Q81" s="401" t="str">
        <f>+Main_무해지!S67</f>
        <v/>
      </c>
      <c r="R81" s="382" t="str">
        <f>+Main_무해지!T67</f>
        <v/>
      </c>
      <c r="S81" s="382" t="str">
        <f>+Main_무해지!U67</f>
        <v/>
      </c>
      <c r="T81" s="277" t="str">
        <f>+Main_무해지!V67</f>
        <v/>
      </c>
      <c r="U81" s="401" t="str">
        <f>+Main_무해지!W67</f>
        <v/>
      </c>
    </row>
    <row r="82" spans="8:21">
      <c r="H82"/>
      <c r="I82"/>
      <c r="J82"/>
      <c r="K82"/>
      <c r="L82" s="278" t="str">
        <f>+Main_무해지!N68</f>
        <v/>
      </c>
      <c r="M82" s="279" t="str">
        <f>+Main_무해지!O68</f>
        <v/>
      </c>
      <c r="N82" s="271" t="str">
        <f>+Main_무해지!P68</f>
        <v/>
      </c>
      <c r="O82" s="382" t="str">
        <f>+Main_무해지!Q68</f>
        <v/>
      </c>
      <c r="P82" s="382" t="str">
        <f>+Main_무해지!R68</f>
        <v/>
      </c>
      <c r="Q82" s="400" t="str">
        <f>+Main_무해지!S68</f>
        <v/>
      </c>
      <c r="R82" s="382" t="str">
        <f>+Main_무해지!T68</f>
        <v/>
      </c>
      <c r="S82" s="382" t="str">
        <f>+Main_무해지!U68</f>
        <v/>
      </c>
      <c r="T82" s="271" t="str">
        <f>+Main_무해지!V68</f>
        <v/>
      </c>
      <c r="U82" s="400" t="str">
        <f>+Main_무해지!W68</f>
        <v/>
      </c>
    </row>
    <row r="83" spans="8:21">
      <c r="H83"/>
      <c r="I83"/>
      <c r="J83"/>
      <c r="K83"/>
      <c r="L83" s="278" t="str">
        <f>+Main_무해지!N69</f>
        <v/>
      </c>
      <c r="M83" s="279" t="str">
        <f>+Main_무해지!O69</f>
        <v/>
      </c>
      <c r="N83" s="271" t="str">
        <f>+Main_무해지!P69</f>
        <v/>
      </c>
      <c r="O83" s="382" t="str">
        <f>+Main_무해지!Q69</f>
        <v/>
      </c>
      <c r="P83" s="382" t="str">
        <f>+Main_무해지!R69</f>
        <v/>
      </c>
      <c r="Q83" s="400" t="str">
        <f>+Main_무해지!S69</f>
        <v/>
      </c>
      <c r="R83" s="382" t="str">
        <f>+Main_무해지!T69</f>
        <v/>
      </c>
      <c r="S83" s="382" t="str">
        <f>+Main_무해지!U69</f>
        <v/>
      </c>
      <c r="T83" s="271" t="str">
        <f>+Main_무해지!V69</f>
        <v/>
      </c>
      <c r="U83" s="400" t="str">
        <f>+Main_무해지!W69</f>
        <v/>
      </c>
    </row>
    <row r="84" spans="8:21">
      <c r="H84"/>
      <c r="I84"/>
      <c r="J84"/>
      <c r="K84"/>
      <c r="L84" s="278" t="str">
        <f>+Main_무해지!N70</f>
        <v/>
      </c>
      <c r="M84" s="279" t="str">
        <f>+Main_무해지!O70</f>
        <v/>
      </c>
      <c r="N84" s="271" t="str">
        <f>+Main_무해지!P70</f>
        <v/>
      </c>
      <c r="O84" s="382" t="str">
        <f>+Main_무해지!Q70</f>
        <v/>
      </c>
      <c r="P84" s="382" t="str">
        <f>+Main_무해지!R70</f>
        <v/>
      </c>
      <c r="Q84" s="400" t="str">
        <f>+Main_무해지!S70</f>
        <v/>
      </c>
      <c r="R84" s="382" t="str">
        <f>+Main_무해지!T70</f>
        <v/>
      </c>
      <c r="S84" s="382" t="str">
        <f>+Main_무해지!U70</f>
        <v/>
      </c>
      <c r="T84" s="271" t="str">
        <f>+Main_무해지!V70</f>
        <v/>
      </c>
      <c r="U84" s="400" t="str">
        <f>+Main_무해지!W70</f>
        <v/>
      </c>
    </row>
    <row r="85" spans="8:21">
      <c r="H85"/>
      <c r="I85"/>
      <c r="J85"/>
      <c r="K85"/>
      <c r="L85" s="280" t="str">
        <f>+Main_무해지!N71</f>
        <v/>
      </c>
      <c r="M85" s="281" t="str">
        <f>+Main_무해지!O71</f>
        <v/>
      </c>
      <c r="N85" s="282" t="str">
        <f>+Main_무해지!P71</f>
        <v/>
      </c>
      <c r="O85" s="383" t="str">
        <f>+Main_무해지!Q71</f>
        <v/>
      </c>
      <c r="P85" s="383" t="str">
        <f>+Main_무해지!R71</f>
        <v/>
      </c>
      <c r="Q85" s="402" t="str">
        <f>+Main_무해지!S71</f>
        <v/>
      </c>
      <c r="R85" s="382" t="str">
        <f>+Main_무해지!T71</f>
        <v/>
      </c>
      <c r="S85" s="382" t="str">
        <f>+Main_무해지!U71</f>
        <v/>
      </c>
      <c r="T85" s="282" t="str">
        <f>+Main_무해지!V71</f>
        <v/>
      </c>
      <c r="U85" s="402" t="str">
        <f>+Main_무해지!W71</f>
        <v/>
      </c>
    </row>
    <row r="86" spans="8:21">
      <c r="H86"/>
      <c r="I86"/>
      <c r="J86"/>
      <c r="K86"/>
      <c r="L86" s="275" t="str">
        <f>+Main_무해지!N72</f>
        <v/>
      </c>
      <c r="M86" s="276" t="str">
        <f>+Main_무해지!O72</f>
        <v/>
      </c>
      <c r="N86" s="277" t="str">
        <f>+Main_무해지!P72</f>
        <v/>
      </c>
      <c r="O86" s="381" t="str">
        <f>+Main_무해지!Q72</f>
        <v/>
      </c>
      <c r="P86" s="381" t="str">
        <f>+Main_무해지!R72</f>
        <v/>
      </c>
      <c r="Q86" s="401" t="str">
        <f>+Main_무해지!S72</f>
        <v/>
      </c>
      <c r="R86" s="382" t="str">
        <f>+Main_무해지!T72</f>
        <v/>
      </c>
      <c r="S86" s="382" t="str">
        <f>+Main_무해지!U72</f>
        <v/>
      </c>
      <c r="T86" s="277" t="str">
        <f>+Main_무해지!V72</f>
        <v/>
      </c>
      <c r="U86" s="401" t="str">
        <f>+Main_무해지!W72</f>
        <v/>
      </c>
    </row>
    <row r="87" spans="8:21">
      <c r="H87"/>
      <c r="I87"/>
      <c r="J87"/>
      <c r="K87"/>
      <c r="L87" s="278" t="str">
        <f>+Main_무해지!N73</f>
        <v/>
      </c>
      <c r="M87" s="279" t="str">
        <f>+Main_무해지!O73</f>
        <v/>
      </c>
      <c r="N87" s="271" t="str">
        <f>+Main_무해지!P73</f>
        <v/>
      </c>
      <c r="O87" s="382" t="str">
        <f>+Main_무해지!Q73</f>
        <v/>
      </c>
      <c r="P87" s="382" t="str">
        <f>+Main_무해지!R73</f>
        <v/>
      </c>
      <c r="Q87" s="400" t="str">
        <f>+Main_무해지!S73</f>
        <v/>
      </c>
      <c r="R87" s="382" t="str">
        <f>+Main_무해지!T73</f>
        <v/>
      </c>
      <c r="S87" s="382" t="str">
        <f>+Main_무해지!U73</f>
        <v/>
      </c>
      <c r="T87" s="271" t="str">
        <f>+Main_무해지!V73</f>
        <v/>
      </c>
      <c r="U87" s="400" t="str">
        <f>+Main_무해지!W73</f>
        <v/>
      </c>
    </row>
    <row r="88" spans="8:21">
      <c r="H88"/>
      <c r="I88"/>
      <c r="J88"/>
      <c r="K88"/>
      <c r="L88" s="278" t="str">
        <f>+Main_무해지!N74</f>
        <v/>
      </c>
      <c r="M88" s="279" t="str">
        <f>+Main_무해지!O74</f>
        <v/>
      </c>
      <c r="N88" s="271" t="str">
        <f>+Main_무해지!P74</f>
        <v/>
      </c>
      <c r="O88" s="382" t="str">
        <f>+Main_무해지!Q74</f>
        <v/>
      </c>
      <c r="P88" s="382" t="str">
        <f>+Main_무해지!R74</f>
        <v/>
      </c>
      <c r="Q88" s="400" t="str">
        <f>+Main_무해지!S74</f>
        <v/>
      </c>
      <c r="R88" s="382" t="str">
        <f>+Main_무해지!T74</f>
        <v/>
      </c>
      <c r="S88" s="382" t="str">
        <f>+Main_무해지!U74</f>
        <v/>
      </c>
      <c r="T88" s="271" t="str">
        <f>+Main_무해지!V74</f>
        <v/>
      </c>
      <c r="U88" s="400" t="str">
        <f>+Main_무해지!W74</f>
        <v/>
      </c>
    </row>
    <row r="89" spans="8:21">
      <c r="H89"/>
      <c r="I89"/>
      <c r="J89"/>
      <c r="K89"/>
      <c r="L89" s="278" t="str">
        <f>+Main_무해지!N75</f>
        <v/>
      </c>
      <c r="M89" s="279" t="str">
        <f>+Main_무해지!O75</f>
        <v/>
      </c>
      <c r="N89" s="271" t="str">
        <f>+Main_무해지!P75</f>
        <v/>
      </c>
      <c r="O89" s="382" t="str">
        <f>+Main_무해지!Q75</f>
        <v/>
      </c>
      <c r="P89" s="382" t="str">
        <f>+Main_무해지!R75</f>
        <v/>
      </c>
      <c r="Q89" s="400" t="str">
        <f>+Main_무해지!S75</f>
        <v/>
      </c>
      <c r="R89" s="382" t="str">
        <f>+Main_무해지!T75</f>
        <v/>
      </c>
      <c r="S89" s="382" t="str">
        <f>+Main_무해지!U75</f>
        <v/>
      </c>
      <c r="T89" s="271" t="str">
        <f>+Main_무해지!V75</f>
        <v/>
      </c>
      <c r="U89" s="400" t="str">
        <f>+Main_무해지!W75</f>
        <v/>
      </c>
    </row>
    <row r="90" spans="8:21">
      <c r="H90"/>
      <c r="I90"/>
      <c r="J90"/>
      <c r="K90"/>
      <c r="L90" s="280" t="str">
        <f>+Main_무해지!N76</f>
        <v/>
      </c>
      <c r="M90" s="281" t="str">
        <f>+Main_무해지!O76</f>
        <v/>
      </c>
      <c r="N90" s="282" t="str">
        <f>+Main_무해지!P76</f>
        <v/>
      </c>
      <c r="O90" s="383" t="str">
        <f>+Main_무해지!Q76</f>
        <v/>
      </c>
      <c r="P90" s="383" t="str">
        <f>+Main_무해지!R76</f>
        <v/>
      </c>
      <c r="Q90" s="402" t="str">
        <f>+Main_무해지!S76</f>
        <v/>
      </c>
      <c r="R90" s="382" t="str">
        <f>+Main_무해지!T76</f>
        <v/>
      </c>
      <c r="S90" s="382" t="str">
        <f>+Main_무해지!U76</f>
        <v/>
      </c>
      <c r="T90" s="282" t="str">
        <f>+Main_무해지!V76</f>
        <v/>
      </c>
      <c r="U90" s="402" t="str">
        <f>+Main_무해지!W76</f>
        <v/>
      </c>
    </row>
    <row r="91" spans="8:21">
      <c r="H91"/>
      <c r="I91"/>
      <c r="J91"/>
      <c r="K91"/>
      <c r="L91" s="275" t="str">
        <f>+Main_무해지!N77</f>
        <v/>
      </c>
      <c r="M91" s="276" t="str">
        <f>+Main_무해지!O77</f>
        <v/>
      </c>
      <c r="N91" s="277" t="str">
        <f>+Main_무해지!P77</f>
        <v/>
      </c>
      <c r="O91" s="381" t="str">
        <f>+Main_무해지!Q77</f>
        <v/>
      </c>
      <c r="P91" s="381" t="str">
        <f>+Main_무해지!R77</f>
        <v/>
      </c>
      <c r="Q91" s="401" t="str">
        <f>+Main_무해지!S77</f>
        <v/>
      </c>
      <c r="R91" s="382" t="str">
        <f>+Main_무해지!T77</f>
        <v/>
      </c>
      <c r="S91" s="382" t="str">
        <f>+Main_무해지!U77</f>
        <v/>
      </c>
      <c r="T91" s="277" t="str">
        <f>+Main_무해지!V77</f>
        <v/>
      </c>
      <c r="U91" s="401" t="str">
        <f>+Main_무해지!W77</f>
        <v/>
      </c>
    </row>
    <row r="92" spans="8:21">
      <c r="H92"/>
      <c r="I92"/>
      <c r="J92"/>
      <c r="K92"/>
      <c r="L92" s="278" t="str">
        <f>+Main_무해지!N78</f>
        <v/>
      </c>
      <c r="M92" s="279" t="str">
        <f>+Main_무해지!O78</f>
        <v/>
      </c>
      <c r="N92" s="271" t="str">
        <f>+Main_무해지!P78</f>
        <v/>
      </c>
      <c r="O92" s="382" t="str">
        <f>+Main_무해지!Q78</f>
        <v/>
      </c>
      <c r="P92" s="382" t="str">
        <f>+Main_무해지!R78</f>
        <v/>
      </c>
      <c r="Q92" s="400" t="str">
        <f>+Main_무해지!S78</f>
        <v/>
      </c>
      <c r="R92" s="382" t="str">
        <f>+Main_무해지!T78</f>
        <v/>
      </c>
      <c r="S92" s="382" t="str">
        <f>+Main_무해지!U78</f>
        <v/>
      </c>
      <c r="T92" s="271" t="str">
        <f>+Main_무해지!V78</f>
        <v/>
      </c>
      <c r="U92" s="400" t="str">
        <f>+Main_무해지!W78</f>
        <v/>
      </c>
    </row>
    <row r="93" spans="8:21">
      <c r="H93"/>
      <c r="I93"/>
      <c r="J93"/>
      <c r="K93"/>
      <c r="L93" s="278" t="str">
        <f>+Main_무해지!N79</f>
        <v/>
      </c>
      <c r="M93" s="279" t="str">
        <f>+Main_무해지!O79</f>
        <v/>
      </c>
      <c r="N93" s="271" t="str">
        <f>+Main_무해지!P79</f>
        <v/>
      </c>
      <c r="O93" s="382" t="str">
        <f>+Main_무해지!Q79</f>
        <v/>
      </c>
      <c r="P93" s="382" t="str">
        <f>+Main_무해지!R79</f>
        <v/>
      </c>
      <c r="Q93" s="400" t="str">
        <f>+Main_무해지!S79</f>
        <v/>
      </c>
      <c r="R93" s="382" t="str">
        <f>+Main_무해지!T79</f>
        <v/>
      </c>
      <c r="S93" s="382" t="str">
        <f>+Main_무해지!U79</f>
        <v/>
      </c>
      <c r="T93" s="271" t="str">
        <f>+Main_무해지!V79</f>
        <v/>
      </c>
      <c r="U93" s="400" t="str">
        <f>+Main_무해지!W79</f>
        <v/>
      </c>
    </row>
    <row r="94" spans="8:21">
      <c r="H94"/>
      <c r="I94"/>
      <c r="J94"/>
      <c r="K94"/>
      <c r="L94" s="278" t="str">
        <f>+Main_무해지!N80</f>
        <v/>
      </c>
      <c r="M94" s="279" t="str">
        <f>+Main_무해지!O80</f>
        <v/>
      </c>
      <c r="N94" s="271" t="str">
        <f>+Main_무해지!P80</f>
        <v/>
      </c>
      <c r="O94" s="382" t="str">
        <f>+Main_무해지!Q80</f>
        <v/>
      </c>
      <c r="P94" s="382" t="str">
        <f>+Main_무해지!R80</f>
        <v/>
      </c>
      <c r="Q94" s="400" t="str">
        <f>+Main_무해지!S80</f>
        <v/>
      </c>
      <c r="R94" s="382" t="str">
        <f>+Main_무해지!T80</f>
        <v/>
      </c>
      <c r="S94" s="382" t="str">
        <f>+Main_무해지!U80</f>
        <v/>
      </c>
      <c r="T94" s="271" t="str">
        <f>+Main_무해지!V80</f>
        <v/>
      </c>
      <c r="U94" s="400" t="str">
        <f>+Main_무해지!W80</f>
        <v/>
      </c>
    </row>
    <row r="95" spans="8:21">
      <c r="H95"/>
      <c r="I95"/>
      <c r="J95"/>
      <c r="K95"/>
      <c r="L95" s="280" t="str">
        <f>+Main_무해지!N81</f>
        <v/>
      </c>
      <c r="M95" s="281" t="str">
        <f>+Main_무해지!O81</f>
        <v/>
      </c>
      <c r="N95" s="282" t="str">
        <f>+Main_무해지!P81</f>
        <v/>
      </c>
      <c r="O95" s="383" t="str">
        <f>+Main_무해지!Q81</f>
        <v/>
      </c>
      <c r="P95" s="383" t="str">
        <f>+Main_무해지!R81</f>
        <v/>
      </c>
      <c r="Q95" s="402" t="str">
        <f>+Main_무해지!S81</f>
        <v/>
      </c>
      <c r="R95" s="382" t="str">
        <f>+Main_무해지!T81</f>
        <v/>
      </c>
      <c r="S95" s="382" t="str">
        <f>+Main_무해지!U81</f>
        <v/>
      </c>
      <c r="T95" s="282" t="str">
        <f>+Main_무해지!V81</f>
        <v/>
      </c>
      <c r="U95" s="402" t="str">
        <f>+Main_무해지!W81</f>
        <v/>
      </c>
    </row>
    <row r="96" spans="8:21">
      <c r="H96"/>
      <c r="I96"/>
      <c r="J96"/>
      <c r="K96"/>
      <c r="L96" s="275" t="str">
        <f>+Main_무해지!N82</f>
        <v/>
      </c>
      <c r="M96" s="276" t="str">
        <f>+Main_무해지!O82</f>
        <v/>
      </c>
      <c r="N96" s="277" t="str">
        <f>+Main_무해지!P82</f>
        <v/>
      </c>
      <c r="O96" s="381" t="str">
        <f>+Main_무해지!Q82</f>
        <v/>
      </c>
      <c r="P96" s="381" t="str">
        <f>+Main_무해지!R82</f>
        <v/>
      </c>
      <c r="Q96" s="401" t="str">
        <f>+Main_무해지!S82</f>
        <v/>
      </c>
      <c r="R96" s="382" t="str">
        <f>+Main_무해지!T82</f>
        <v/>
      </c>
      <c r="S96" s="382" t="str">
        <f>+Main_무해지!U82</f>
        <v/>
      </c>
      <c r="T96" s="277" t="str">
        <f>+Main_무해지!V82</f>
        <v/>
      </c>
      <c r="U96" s="401" t="str">
        <f>+Main_무해지!W82</f>
        <v/>
      </c>
    </row>
    <row r="97" spans="8:21">
      <c r="H97"/>
      <c r="I97"/>
      <c r="J97"/>
      <c r="K97"/>
      <c r="L97" s="278" t="str">
        <f>+Main_무해지!N83</f>
        <v/>
      </c>
      <c r="M97" s="279" t="str">
        <f>+Main_무해지!O83</f>
        <v/>
      </c>
      <c r="N97" s="271" t="str">
        <f>+Main_무해지!P83</f>
        <v/>
      </c>
      <c r="O97" s="271" t="str">
        <f>+Main_무해지!Q83</f>
        <v/>
      </c>
      <c r="P97" s="271" t="str">
        <f>+Main_무해지!R83</f>
        <v/>
      </c>
      <c r="Q97" s="400" t="str">
        <f>+Main_무해지!S83</f>
        <v/>
      </c>
      <c r="R97" s="382" t="str">
        <f>+Main_무해지!T83</f>
        <v/>
      </c>
      <c r="S97" s="382" t="str">
        <f>+Main_무해지!U83</f>
        <v/>
      </c>
      <c r="T97" s="271" t="str">
        <f>+Main_무해지!V83</f>
        <v/>
      </c>
      <c r="U97" s="400" t="str">
        <f>+Main_무해지!W83</f>
        <v/>
      </c>
    </row>
    <row r="98" spans="8:21">
      <c r="H98"/>
      <c r="I98"/>
      <c r="J98"/>
      <c r="K98"/>
      <c r="L98" s="278" t="str">
        <f>+Main_무해지!N84</f>
        <v/>
      </c>
      <c r="M98" s="279" t="str">
        <f>+Main_무해지!O84</f>
        <v/>
      </c>
      <c r="N98" s="271" t="str">
        <f>+Main_무해지!P84</f>
        <v/>
      </c>
      <c r="O98" s="271" t="str">
        <f>+Main_무해지!Q84</f>
        <v/>
      </c>
      <c r="P98" s="271" t="str">
        <f>+Main_무해지!R84</f>
        <v/>
      </c>
      <c r="Q98" s="400" t="str">
        <f>+Main_무해지!S84</f>
        <v/>
      </c>
      <c r="R98" s="382" t="str">
        <f>+Main_무해지!T84</f>
        <v/>
      </c>
      <c r="S98" s="382" t="str">
        <f>+Main_무해지!U84</f>
        <v/>
      </c>
      <c r="T98" s="271" t="str">
        <f>+Main_무해지!V84</f>
        <v/>
      </c>
      <c r="U98" s="400" t="str">
        <f>+Main_무해지!W84</f>
        <v/>
      </c>
    </row>
    <row r="99" spans="8:21">
      <c r="H99"/>
      <c r="I99"/>
      <c r="J99"/>
      <c r="K99"/>
      <c r="L99" s="278" t="str">
        <f>+Main_무해지!N85</f>
        <v/>
      </c>
      <c r="M99" s="279" t="str">
        <f>+Main_무해지!O85</f>
        <v/>
      </c>
      <c r="N99" s="271" t="str">
        <f>+Main_무해지!P85</f>
        <v/>
      </c>
      <c r="O99" s="271" t="str">
        <f>+Main_무해지!Q85</f>
        <v/>
      </c>
      <c r="P99" s="271" t="str">
        <f>+Main_무해지!R85</f>
        <v/>
      </c>
      <c r="Q99" s="400" t="str">
        <f>+Main_무해지!S85</f>
        <v/>
      </c>
      <c r="R99" s="382" t="str">
        <f>+Main_무해지!T85</f>
        <v/>
      </c>
      <c r="S99" s="382" t="str">
        <f>+Main_무해지!U85</f>
        <v/>
      </c>
      <c r="T99" s="271" t="str">
        <f>+Main_무해지!V85</f>
        <v/>
      </c>
      <c r="U99" s="400" t="str">
        <f>+Main_무해지!W85</f>
        <v/>
      </c>
    </row>
    <row r="100" spans="8:21">
      <c r="H100"/>
      <c r="I100"/>
      <c r="J100"/>
      <c r="K100"/>
      <c r="L100" s="280" t="str">
        <f>+Main_무해지!N86</f>
        <v/>
      </c>
      <c r="M100" s="281" t="str">
        <f>+Main_무해지!O86</f>
        <v/>
      </c>
      <c r="N100" s="282" t="str">
        <f>+Main_무해지!P86</f>
        <v/>
      </c>
      <c r="O100" s="282" t="str">
        <f>+Main_무해지!Q86</f>
        <v/>
      </c>
      <c r="P100" s="282" t="str">
        <f>+Main_무해지!R86</f>
        <v/>
      </c>
      <c r="Q100" s="402" t="str">
        <f>+Main_무해지!S86</f>
        <v/>
      </c>
      <c r="R100" s="382" t="str">
        <f>+Main_무해지!T86</f>
        <v/>
      </c>
      <c r="S100" s="382" t="str">
        <f>+Main_무해지!U86</f>
        <v/>
      </c>
      <c r="T100" s="282" t="str">
        <f>+Main_무해지!V86</f>
        <v/>
      </c>
      <c r="U100" s="402" t="str">
        <f>+Main_무해지!W86</f>
        <v/>
      </c>
    </row>
    <row r="101" spans="8:21">
      <c r="H101"/>
      <c r="I101"/>
      <c r="J101"/>
      <c r="K101"/>
      <c r="L101" s="278" t="str">
        <f>+Main_무해지!N87</f>
        <v/>
      </c>
      <c r="M101" s="279" t="str">
        <f>+Main_무해지!O87</f>
        <v/>
      </c>
      <c r="N101" s="271" t="str">
        <f>+Main_무해지!P87</f>
        <v/>
      </c>
      <c r="O101" s="271" t="str">
        <f>+Main_무해지!Q87</f>
        <v/>
      </c>
      <c r="P101" s="271" t="str">
        <f>+Main_무해지!R87</f>
        <v/>
      </c>
      <c r="Q101" s="400" t="str">
        <f>+Main_무해지!S87</f>
        <v/>
      </c>
      <c r="R101" s="382" t="str">
        <f>+Main_무해지!T87</f>
        <v/>
      </c>
      <c r="S101" s="382" t="str">
        <f>+Main_무해지!U87</f>
        <v/>
      </c>
      <c r="T101" s="271" t="str">
        <f>+Main_무해지!V87</f>
        <v/>
      </c>
      <c r="U101" s="400" t="str">
        <f>+Main_무해지!W87</f>
        <v/>
      </c>
    </row>
    <row r="102" spans="8:21">
      <c r="H102"/>
      <c r="I102"/>
      <c r="J102"/>
      <c r="K102"/>
      <c r="L102" s="278" t="str">
        <f>+Main_무해지!N88</f>
        <v/>
      </c>
      <c r="M102" s="279" t="str">
        <f>+Main_무해지!O88</f>
        <v/>
      </c>
      <c r="N102" s="271" t="str">
        <f>+Main_무해지!P88</f>
        <v/>
      </c>
      <c r="O102" s="271" t="str">
        <f>+Main_무해지!Q88</f>
        <v/>
      </c>
      <c r="P102" s="271" t="str">
        <f>+Main_무해지!R88</f>
        <v/>
      </c>
      <c r="Q102" s="400" t="str">
        <f>+Main_무해지!S88</f>
        <v/>
      </c>
      <c r="R102" s="382" t="str">
        <f>+Main_무해지!T88</f>
        <v/>
      </c>
      <c r="S102" s="382" t="str">
        <f>+Main_무해지!U88</f>
        <v/>
      </c>
      <c r="T102" s="271" t="str">
        <f>+Main_무해지!V88</f>
        <v/>
      </c>
      <c r="U102" s="400" t="str">
        <f>+Main_무해지!W88</f>
        <v/>
      </c>
    </row>
    <row r="103" spans="8:21">
      <c r="H103"/>
      <c r="I103"/>
      <c r="J103"/>
      <c r="K103"/>
      <c r="L103" s="278" t="str">
        <f>+Main_무해지!N89</f>
        <v/>
      </c>
      <c r="M103" s="279" t="str">
        <f>+Main_무해지!O89</f>
        <v/>
      </c>
      <c r="N103" s="271" t="str">
        <f>+Main_무해지!P89</f>
        <v/>
      </c>
      <c r="O103" s="271" t="str">
        <f>+Main_무해지!Q89</f>
        <v/>
      </c>
      <c r="P103" s="271" t="str">
        <f>+Main_무해지!R89</f>
        <v/>
      </c>
      <c r="Q103" s="400" t="str">
        <f>+Main_무해지!S89</f>
        <v/>
      </c>
      <c r="R103" s="382" t="str">
        <f>+Main_무해지!T89</f>
        <v/>
      </c>
      <c r="S103" s="382" t="str">
        <f>+Main_무해지!U89</f>
        <v/>
      </c>
      <c r="T103" s="271" t="str">
        <f>+Main_무해지!V89</f>
        <v/>
      </c>
      <c r="U103" s="400" t="str">
        <f>+Main_무해지!W89</f>
        <v/>
      </c>
    </row>
    <row r="104" spans="8:21">
      <c r="H104"/>
      <c r="I104"/>
      <c r="J104"/>
      <c r="K104"/>
      <c r="L104" s="278" t="str">
        <f>+Main_무해지!N90</f>
        <v/>
      </c>
      <c r="M104" s="279" t="str">
        <f>+Main_무해지!O90</f>
        <v/>
      </c>
      <c r="N104" s="271" t="str">
        <f>+Main_무해지!P90</f>
        <v/>
      </c>
      <c r="O104" s="271" t="str">
        <f>+Main_무해지!Q90</f>
        <v/>
      </c>
      <c r="P104" s="271" t="str">
        <f>+Main_무해지!R90</f>
        <v/>
      </c>
      <c r="Q104" s="400" t="str">
        <f>+Main_무해지!S90</f>
        <v/>
      </c>
      <c r="R104" s="382" t="str">
        <f>+Main_무해지!T90</f>
        <v/>
      </c>
      <c r="S104" s="382" t="str">
        <f>+Main_무해지!U90</f>
        <v/>
      </c>
      <c r="T104" s="271" t="str">
        <f>+Main_무해지!V90</f>
        <v/>
      </c>
      <c r="U104" s="400" t="str">
        <f>+Main_무해지!W90</f>
        <v/>
      </c>
    </row>
    <row r="105" spans="8:21">
      <c r="H105"/>
      <c r="I105"/>
      <c r="J105"/>
      <c r="K105"/>
      <c r="L105" s="278" t="str">
        <f>+Main_무해지!N91</f>
        <v/>
      </c>
      <c r="M105" s="279" t="str">
        <f>+Main_무해지!O91</f>
        <v/>
      </c>
      <c r="N105" s="271" t="str">
        <f>+Main_무해지!P91</f>
        <v/>
      </c>
      <c r="O105" s="271" t="str">
        <f>+Main_무해지!Q91</f>
        <v/>
      </c>
      <c r="P105" s="271" t="str">
        <f>+Main_무해지!R91</f>
        <v/>
      </c>
      <c r="Q105" s="400" t="str">
        <f>+Main_무해지!S91</f>
        <v/>
      </c>
      <c r="R105" s="382" t="str">
        <f>+Main_무해지!T91</f>
        <v/>
      </c>
      <c r="S105" s="382" t="str">
        <f>+Main_무해지!U91</f>
        <v/>
      </c>
      <c r="T105" s="271" t="str">
        <f>+Main_무해지!V91</f>
        <v/>
      </c>
      <c r="U105" s="400" t="str">
        <f>+Main_무해지!W91</f>
        <v/>
      </c>
    </row>
    <row r="106" spans="8:21">
      <c r="H106"/>
      <c r="I106"/>
      <c r="J106"/>
      <c r="K106"/>
      <c r="L106" s="278" t="str">
        <f>+Main_무해지!N92</f>
        <v/>
      </c>
      <c r="M106" s="279" t="str">
        <f>+Main_무해지!O92</f>
        <v/>
      </c>
      <c r="N106" s="271" t="str">
        <f>+Main_무해지!P92</f>
        <v/>
      </c>
      <c r="O106" s="271" t="str">
        <f>+Main_무해지!Q92</f>
        <v/>
      </c>
      <c r="P106" s="271" t="str">
        <f>+Main_무해지!R92</f>
        <v/>
      </c>
      <c r="Q106" s="400" t="str">
        <f>+Main_무해지!S92</f>
        <v/>
      </c>
      <c r="R106" s="382" t="str">
        <f>+Main_무해지!T92</f>
        <v/>
      </c>
      <c r="S106" s="382" t="str">
        <f>+Main_무해지!U92</f>
        <v/>
      </c>
      <c r="T106" s="271" t="str">
        <f>+Main_무해지!V92</f>
        <v/>
      </c>
      <c r="U106" s="400" t="str">
        <f>+Main_무해지!W92</f>
        <v/>
      </c>
    </row>
    <row r="107" spans="8:21">
      <c r="H107"/>
      <c r="I107"/>
      <c r="J107"/>
      <c r="K107"/>
      <c r="L107" s="278" t="str">
        <f>+Main_무해지!N93</f>
        <v/>
      </c>
      <c r="M107" s="279" t="str">
        <f>+Main_무해지!O93</f>
        <v/>
      </c>
      <c r="N107" s="271" t="str">
        <f>+Main_무해지!P93</f>
        <v/>
      </c>
      <c r="O107" s="271" t="str">
        <f>+Main_무해지!Q93</f>
        <v/>
      </c>
      <c r="P107" s="271" t="str">
        <f>+Main_무해지!R93</f>
        <v/>
      </c>
      <c r="Q107" s="400" t="str">
        <f>+Main_무해지!S93</f>
        <v/>
      </c>
      <c r="R107" s="382" t="str">
        <f>+Main_무해지!T93</f>
        <v/>
      </c>
      <c r="S107" s="382" t="str">
        <f>+Main_무해지!U93</f>
        <v/>
      </c>
      <c r="T107" s="271" t="str">
        <f>+Main_무해지!V93</f>
        <v/>
      </c>
      <c r="U107" s="400" t="str">
        <f>+Main_무해지!W93</f>
        <v/>
      </c>
    </row>
    <row r="108" spans="8:21">
      <c r="H108"/>
      <c r="I108"/>
      <c r="J108"/>
      <c r="K108"/>
      <c r="L108" s="278" t="str">
        <f>+Main_무해지!N94</f>
        <v/>
      </c>
      <c r="M108" s="279" t="str">
        <f>+Main_무해지!O94</f>
        <v/>
      </c>
      <c r="N108" s="271" t="str">
        <f>+Main_무해지!P94</f>
        <v/>
      </c>
      <c r="O108" s="271" t="str">
        <f>+Main_무해지!Q94</f>
        <v/>
      </c>
      <c r="P108" s="271" t="str">
        <f>+Main_무해지!R94</f>
        <v/>
      </c>
      <c r="Q108" s="400" t="str">
        <f>+Main_무해지!S94</f>
        <v/>
      </c>
      <c r="R108" s="382" t="str">
        <f>+Main_무해지!T94</f>
        <v/>
      </c>
      <c r="S108" s="382" t="str">
        <f>+Main_무해지!U94</f>
        <v/>
      </c>
      <c r="T108" s="271" t="str">
        <f>+Main_무해지!V94</f>
        <v/>
      </c>
      <c r="U108" s="400" t="str">
        <f>+Main_무해지!W94</f>
        <v/>
      </c>
    </row>
    <row r="109" spans="8:21">
      <c r="H109"/>
      <c r="I109"/>
      <c r="J109"/>
      <c r="K109"/>
      <c r="L109" s="278" t="str">
        <f>+Main_무해지!N95</f>
        <v/>
      </c>
      <c r="M109" s="279" t="str">
        <f>+Main_무해지!O95</f>
        <v/>
      </c>
      <c r="N109" s="271" t="str">
        <f>+Main_무해지!P95</f>
        <v/>
      </c>
      <c r="O109" s="271" t="str">
        <f>+Main_무해지!Q95</f>
        <v/>
      </c>
      <c r="P109" s="271" t="str">
        <f>+Main_무해지!R95</f>
        <v/>
      </c>
      <c r="Q109" s="400" t="str">
        <f>+Main_무해지!S95</f>
        <v/>
      </c>
      <c r="R109" s="382" t="str">
        <f>+Main_무해지!T95</f>
        <v/>
      </c>
      <c r="S109" s="382" t="str">
        <f>+Main_무해지!U95</f>
        <v/>
      </c>
      <c r="T109" s="271" t="str">
        <f>+Main_무해지!V95</f>
        <v/>
      </c>
      <c r="U109" s="400" t="str">
        <f>+Main_무해지!W95</f>
        <v/>
      </c>
    </row>
    <row r="110" spans="8:21">
      <c r="H110"/>
      <c r="I110"/>
      <c r="J110"/>
      <c r="K110"/>
      <c r="L110" s="278" t="str">
        <f>+Main_무해지!N96</f>
        <v/>
      </c>
      <c r="M110" s="279" t="str">
        <f>+Main_무해지!O96</f>
        <v/>
      </c>
      <c r="N110" s="271" t="str">
        <f>+Main_무해지!P96</f>
        <v/>
      </c>
      <c r="O110" s="271" t="str">
        <f>+Main_무해지!Q96</f>
        <v/>
      </c>
      <c r="P110" s="271" t="str">
        <f>+Main_무해지!R96</f>
        <v/>
      </c>
      <c r="Q110" s="400" t="str">
        <f>+Main_무해지!S96</f>
        <v/>
      </c>
      <c r="R110" s="382" t="str">
        <f>+Main_무해지!T96</f>
        <v/>
      </c>
      <c r="S110" s="382" t="str">
        <f>+Main_무해지!U96</f>
        <v/>
      </c>
      <c r="T110" s="271" t="str">
        <f>+Main_무해지!V96</f>
        <v/>
      </c>
      <c r="U110" s="400" t="str">
        <f>+Main_무해지!W96</f>
        <v/>
      </c>
    </row>
    <row r="111" spans="8:21">
      <c r="H111"/>
      <c r="I111"/>
      <c r="J111"/>
      <c r="K111"/>
      <c r="L111" s="278" t="str">
        <f>+Main_무해지!N97</f>
        <v/>
      </c>
      <c r="M111" s="279" t="str">
        <f>+Main_무해지!O97</f>
        <v/>
      </c>
      <c r="N111" s="271" t="str">
        <f>+Main_무해지!P97</f>
        <v/>
      </c>
      <c r="O111" s="271" t="str">
        <f>+Main_무해지!Q97</f>
        <v/>
      </c>
      <c r="P111" s="271" t="str">
        <f>+Main_무해지!R97</f>
        <v/>
      </c>
      <c r="Q111" s="400" t="str">
        <f>+Main_무해지!S97</f>
        <v/>
      </c>
      <c r="R111" s="382" t="str">
        <f>+Main_무해지!T97</f>
        <v/>
      </c>
      <c r="S111" s="382" t="str">
        <f>+Main_무해지!U97</f>
        <v/>
      </c>
      <c r="T111" s="271" t="str">
        <f>+Main_무해지!V97</f>
        <v/>
      </c>
      <c r="U111" s="400" t="str">
        <f>+Main_무해지!W97</f>
        <v/>
      </c>
    </row>
    <row r="112" spans="8:21">
      <c r="H112"/>
      <c r="I112"/>
      <c r="J112"/>
      <c r="K112"/>
      <c r="L112" s="278" t="str">
        <f>+Main_무해지!N98</f>
        <v/>
      </c>
      <c r="M112" s="279" t="str">
        <f>+Main_무해지!O98</f>
        <v/>
      </c>
      <c r="N112" s="271" t="str">
        <f>+Main_무해지!P98</f>
        <v/>
      </c>
      <c r="O112" s="271" t="str">
        <f>+Main_무해지!Q98</f>
        <v/>
      </c>
      <c r="P112" s="271" t="str">
        <f>+Main_무해지!R98</f>
        <v/>
      </c>
      <c r="Q112" s="400" t="str">
        <f>+Main_무해지!S98</f>
        <v/>
      </c>
      <c r="R112" s="382" t="str">
        <f>+Main_무해지!T98</f>
        <v/>
      </c>
      <c r="S112" s="382" t="str">
        <f>+Main_무해지!U98</f>
        <v/>
      </c>
      <c r="T112" s="271" t="str">
        <f>+Main_무해지!V98</f>
        <v/>
      </c>
      <c r="U112" s="400" t="str">
        <f>+Main_무해지!W98</f>
        <v/>
      </c>
    </row>
    <row r="113" spans="8:21">
      <c r="H113"/>
      <c r="I113"/>
      <c r="J113"/>
      <c r="K113"/>
      <c r="L113" s="278" t="str">
        <f>+Main_무해지!N99</f>
        <v/>
      </c>
      <c r="M113" s="279" t="str">
        <f>+Main_무해지!O99</f>
        <v/>
      </c>
      <c r="N113" s="271" t="str">
        <f>+Main_무해지!P99</f>
        <v/>
      </c>
      <c r="O113" s="271" t="str">
        <f>+Main_무해지!Q99</f>
        <v/>
      </c>
      <c r="P113" s="271" t="str">
        <f>+Main_무해지!R99</f>
        <v/>
      </c>
      <c r="Q113" s="400" t="str">
        <f>+Main_무해지!S99</f>
        <v/>
      </c>
      <c r="R113" s="382" t="str">
        <f>+Main_무해지!T99</f>
        <v/>
      </c>
      <c r="S113" s="382" t="str">
        <f>+Main_무해지!U99</f>
        <v/>
      </c>
      <c r="T113" s="271" t="str">
        <f>+Main_무해지!V99</f>
        <v/>
      </c>
      <c r="U113" s="400" t="str">
        <f>+Main_무해지!W99</f>
        <v/>
      </c>
    </row>
    <row r="114" spans="8:21">
      <c r="H114"/>
      <c r="I114"/>
      <c r="J114"/>
      <c r="K114"/>
      <c r="L114" s="278" t="str">
        <f>+Main_무해지!N100</f>
        <v/>
      </c>
      <c r="M114" s="279" t="str">
        <f>+Main_무해지!O100</f>
        <v/>
      </c>
      <c r="N114" s="271" t="str">
        <f>+Main_무해지!P100</f>
        <v/>
      </c>
      <c r="O114" s="271" t="str">
        <f>+Main_무해지!Q100</f>
        <v/>
      </c>
      <c r="P114" s="271" t="str">
        <f>+Main_무해지!R100</f>
        <v/>
      </c>
      <c r="Q114" s="400" t="str">
        <f>+Main_무해지!S100</f>
        <v/>
      </c>
      <c r="R114" s="382" t="str">
        <f>+Main_무해지!T100</f>
        <v/>
      </c>
      <c r="S114" s="382" t="str">
        <f>+Main_무해지!U100</f>
        <v/>
      </c>
      <c r="T114" s="271" t="str">
        <f>+Main_무해지!V100</f>
        <v/>
      </c>
      <c r="U114" s="400" t="str">
        <f>+Main_무해지!W100</f>
        <v/>
      </c>
    </row>
    <row r="115" spans="8:21">
      <c r="H115"/>
      <c r="I115"/>
      <c r="J115"/>
      <c r="K115"/>
      <c r="L115" s="278" t="str">
        <f>+Main_무해지!N101</f>
        <v/>
      </c>
      <c r="M115" s="279" t="str">
        <f>+Main_무해지!O101</f>
        <v/>
      </c>
      <c r="N115" s="271" t="str">
        <f>+Main_무해지!P101</f>
        <v/>
      </c>
      <c r="O115" s="271" t="str">
        <f>+Main_무해지!Q101</f>
        <v/>
      </c>
      <c r="P115" s="271" t="str">
        <f>+Main_무해지!R101</f>
        <v/>
      </c>
      <c r="Q115" s="400" t="str">
        <f>+Main_무해지!S101</f>
        <v/>
      </c>
      <c r="R115" s="382" t="str">
        <f>+Main_무해지!T101</f>
        <v/>
      </c>
      <c r="S115" s="382" t="str">
        <f>+Main_무해지!U101</f>
        <v/>
      </c>
      <c r="T115" s="271" t="str">
        <f>+Main_무해지!V101</f>
        <v/>
      </c>
      <c r="U115" s="400" t="str">
        <f>+Main_무해지!W101</f>
        <v/>
      </c>
    </row>
    <row r="116" spans="8:21">
      <c r="H116"/>
      <c r="I116"/>
      <c r="J116"/>
      <c r="K116"/>
      <c r="L116" s="278" t="str">
        <f>+Main_무해지!N102</f>
        <v/>
      </c>
      <c r="M116" s="279" t="str">
        <f>+Main_무해지!O102</f>
        <v/>
      </c>
      <c r="N116" s="271" t="str">
        <f>+Main_무해지!P102</f>
        <v/>
      </c>
      <c r="O116" s="271" t="str">
        <f>+Main_무해지!Q102</f>
        <v/>
      </c>
      <c r="P116" s="271" t="str">
        <f>+Main_무해지!R102</f>
        <v/>
      </c>
      <c r="Q116" s="400" t="str">
        <f>+Main_무해지!S102</f>
        <v/>
      </c>
      <c r="R116" s="382" t="str">
        <f>+Main_무해지!T102</f>
        <v/>
      </c>
      <c r="S116" s="382" t="str">
        <f>+Main_무해지!U102</f>
        <v/>
      </c>
      <c r="T116" s="271" t="str">
        <f>+Main_무해지!V102</f>
        <v/>
      </c>
      <c r="U116" s="400" t="str">
        <f>+Main_무해지!W102</f>
        <v/>
      </c>
    </row>
    <row r="117" spans="8:21">
      <c r="H117"/>
      <c r="I117"/>
      <c r="J117"/>
      <c r="K117"/>
      <c r="L117" s="278" t="str">
        <f>+Main_무해지!N103</f>
        <v/>
      </c>
      <c r="M117" s="279" t="str">
        <f>+Main_무해지!O103</f>
        <v/>
      </c>
      <c r="N117" s="271" t="str">
        <f>+Main_무해지!P103</f>
        <v/>
      </c>
      <c r="O117" s="271" t="str">
        <f>+Main_무해지!Q103</f>
        <v/>
      </c>
      <c r="P117" s="271" t="str">
        <f>+Main_무해지!R103</f>
        <v/>
      </c>
      <c r="Q117" s="400" t="str">
        <f>+Main_무해지!S103</f>
        <v/>
      </c>
      <c r="R117" s="382" t="str">
        <f>+Main_무해지!T103</f>
        <v/>
      </c>
      <c r="S117" s="382" t="str">
        <f>+Main_무해지!U103</f>
        <v/>
      </c>
      <c r="T117" s="271" t="str">
        <f>+Main_무해지!V103</f>
        <v/>
      </c>
      <c r="U117" s="400" t="str">
        <f>+Main_무해지!W103</f>
        <v/>
      </c>
    </row>
    <row r="118" spans="8:21">
      <c r="H118"/>
      <c r="I118"/>
      <c r="J118"/>
      <c r="K118"/>
      <c r="L118" s="278" t="str">
        <f>+Main_무해지!N104</f>
        <v/>
      </c>
      <c r="M118" s="279" t="str">
        <f>+Main_무해지!O104</f>
        <v/>
      </c>
      <c r="N118" s="271" t="str">
        <f>+Main_무해지!P104</f>
        <v/>
      </c>
      <c r="O118" s="271" t="str">
        <f>+Main_무해지!Q104</f>
        <v/>
      </c>
      <c r="P118" s="271" t="str">
        <f>+Main_무해지!R104</f>
        <v/>
      </c>
      <c r="Q118" s="400" t="str">
        <f>+Main_무해지!S104</f>
        <v/>
      </c>
      <c r="R118" s="382" t="str">
        <f>+Main_무해지!T104</f>
        <v/>
      </c>
      <c r="S118" s="382" t="str">
        <f>+Main_무해지!U104</f>
        <v/>
      </c>
      <c r="T118" s="271" t="str">
        <f>+Main_무해지!V104</f>
        <v/>
      </c>
      <c r="U118" s="400" t="str">
        <f>+Main_무해지!W104</f>
        <v/>
      </c>
    </row>
    <row r="119" spans="8:21">
      <c r="H119"/>
      <c r="I119"/>
      <c r="J119"/>
      <c r="K119"/>
      <c r="L119" s="278" t="str">
        <f>+Main_무해지!N105</f>
        <v/>
      </c>
      <c r="M119" s="279" t="str">
        <f>+Main_무해지!O105</f>
        <v/>
      </c>
      <c r="N119" s="271" t="str">
        <f>+Main_무해지!P105</f>
        <v/>
      </c>
      <c r="O119" s="271" t="str">
        <f>+Main_무해지!Q105</f>
        <v/>
      </c>
      <c r="P119" s="271" t="str">
        <f>+Main_무해지!R105</f>
        <v/>
      </c>
      <c r="Q119" s="400" t="str">
        <f>+Main_무해지!S105</f>
        <v/>
      </c>
      <c r="R119" s="382" t="str">
        <f>+Main_무해지!T105</f>
        <v/>
      </c>
      <c r="S119" s="382" t="str">
        <f>+Main_무해지!U105</f>
        <v/>
      </c>
      <c r="T119" s="271" t="str">
        <f>+Main_무해지!V105</f>
        <v/>
      </c>
      <c r="U119" s="400" t="str">
        <f>+Main_무해지!W105</f>
        <v/>
      </c>
    </row>
    <row r="120" spans="8:21">
      <c r="H120"/>
      <c r="I120"/>
      <c r="J120"/>
      <c r="K120"/>
      <c r="L120" s="278" t="str">
        <f>+Main_무해지!N106</f>
        <v/>
      </c>
      <c r="M120" s="279" t="str">
        <f>+Main_무해지!O106</f>
        <v/>
      </c>
      <c r="N120" s="271" t="str">
        <f>+Main_무해지!P106</f>
        <v/>
      </c>
      <c r="O120" s="271" t="str">
        <f>+Main_무해지!Q106</f>
        <v/>
      </c>
      <c r="P120" s="271" t="str">
        <f>+Main_무해지!R106</f>
        <v/>
      </c>
      <c r="Q120" s="400" t="str">
        <f>+Main_무해지!S106</f>
        <v/>
      </c>
      <c r="R120" s="382" t="str">
        <f>+Main_무해지!T106</f>
        <v/>
      </c>
      <c r="S120" s="382" t="str">
        <f>+Main_무해지!U106</f>
        <v/>
      </c>
      <c r="T120" s="271" t="str">
        <f>+Main_무해지!V106</f>
        <v/>
      </c>
      <c r="U120" s="400" t="str">
        <f>+Main_무해지!W106</f>
        <v/>
      </c>
    </row>
    <row r="121" spans="8:21">
      <c r="H121"/>
      <c r="I121"/>
      <c r="J121"/>
      <c r="K121"/>
      <c r="L121" s="278" t="str">
        <f>+Main_무해지!N107</f>
        <v/>
      </c>
      <c r="M121" s="279" t="str">
        <f>+Main_무해지!O107</f>
        <v/>
      </c>
      <c r="N121" s="271" t="str">
        <f>+Main_무해지!P107</f>
        <v/>
      </c>
      <c r="O121" s="271" t="str">
        <f>+Main_무해지!Q107</f>
        <v/>
      </c>
      <c r="P121" s="271" t="str">
        <f>+Main_무해지!R107</f>
        <v/>
      </c>
      <c r="Q121" s="400" t="str">
        <f>+Main_무해지!S107</f>
        <v/>
      </c>
      <c r="R121" s="382" t="str">
        <f>+Main_무해지!T107</f>
        <v/>
      </c>
      <c r="S121" s="382" t="str">
        <f>+Main_무해지!U107</f>
        <v/>
      </c>
      <c r="T121" s="271" t="str">
        <f>+Main_무해지!V107</f>
        <v/>
      </c>
      <c r="U121" s="400" t="str">
        <f>+Main_무해지!W107</f>
        <v/>
      </c>
    </row>
    <row r="122" spans="8:21">
      <c r="H122"/>
      <c r="I122"/>
      <c r="J122"/>
      <c r="K122"/>
      <c r="L122" s="278" t="str">
        <f>+Main_무해지!N108</f>
        <v/>
      </c>
      <c r="M122" s="279" t="str">
        <f>+Main_무해지!O108</f>
        <v/>
      </c>
      <c r="N122" s="271" t="str">
        <f>+Main_무해지!P108</f>
        <v/>
      </c>
      <c r="O122" s="271" t="str">
        <f>+Main_무해지!Q108</f>
        <v/>
      </c>
      <c r="P122" s="271" t="str">
        <f>+Main_무해지!R108</f>
        <v/>
      </c>
      <c r="Q122" s="400" t="str">
        <f>+Main_무해지!S108</f>
        <v/>
      </c>
      <c r="R122" s="382" t="str">
        <f>+Main_무해지!T108</f>
        <v/>
      </c>
      <c r="S122" s="382" t="str">
        <f>+Main_무해지!U108</f>
        <v/>
      </c>
      <c r="T122" s="271" t="str">
        <f>+Main_무해지!V108</f>
        <v/>
      </c>
      <c r="U122" s="400" t="str">
        <f>+Main_무해지!W108</f>
        <v/>
      </c>
    </row>
    <row r="123" spans="8:21">
      <c r="H123"/>
      <c r="I123"/>
      <c r="J123"/>
      <c r="K123"/>
      <c r="L123" s="278" t="str">
        <f>+Main_무해지!N109</f>
        <v/>
      </c>
      <c r="M123" s="279" t="str">
        <f>+Main_무해지!O109</f>
        <v/>
      </c>
      <c r="N123" s="271" t="str">
        <f>+Main_무해지!P109</f>
        <v/>
      </c>
      <c r="O123" s="271" t="str">
        <f>+Main_무해지!Q109</f>
        <v/>
      </c>
      <c r="P123" s="271" t="str">
        <f>+Main_무해지!R109</f>
        <v/>
      </c>
      <c r="Q123" s="400" t="str">
        <f>+Main_무해지!S109</f>
        <v/>
      </c>
      <c r="R123" s="382" t="str">
        <f>+Main_무해지!T109</f>
        <v/>
      </c>
      <c r="S123" s="382" t="str">
        <f>+Main_무해지!U109</f>
        <v/>
      </c>
      <c r="T123" s="271" t="str">
        <f>+Main_무해지!V109</f>
        <v/>
      </c>
      <c r="U123" s="400" t="str">
        <f>+Main_무해지!W109</f>
        <v/>
      </c>
    </row>
    <row r="124" spans="8:21">
      <c r="H124"/>
      <c r="I124"/>
      <c r="J124"/>
      <c r="K124"/>
      <c r="L124" s="278" t="str">
        <f>+Main_무해지!N110</f>
        <v/>
      </c>
      <c r="M124" s="279" t="str">
        <f>+Main_무해지!O110</f>
        <v/>
      </c>
      <c r="N124" s="271" t="str">
        <f>+Main_무해지!P110</f>
        <v/>
      </c>
      <c r="O124" s="271" t="str">
        <f>+Main_무해지!Q110</f>
        <v/>
      </c>
      <c r="P124" s="271" t="str">
        <f>+Main_무해지!R110</f>
        <v/>
      </c>
      <c r="Q124" s="400" t="str">
        <f>+Main_무해지!S110</f>
        <v/>
      </c>
      <c r="R124" s="382" t="str">
        <f>+Main_무해지!T110</f>
        <v/>
      </c>
      <c r="S124" s="382" t="str">
        <f>+Main_무해지!U110</f>
        <v/>
      </c>
      <c r="T124" s="271" t="str">
        <f>+Main_무해지!V110</f>
        <v/>
      </c>
      <c r="U124" s="400" t="str">
        <f>+Main_무해지!W110</f>
        <v/>
      </c>
    </row>
    <row r="125" spans="8:21">
      <c r="H125"/>
      <c r="I125"/>
      <c r="J125"/>
      <c r="K125"/>
      <c r="L125" s="278" t="str">
        <f>+Main_무해지!N111</f>
        <v/>
      </c>
      <c r="M125" s="279" t="str">
        <f>+Main_무해지!O111</f>
        <v/>
      </c>
      <c r="N125" s="271" t="str">
        <f>+Main_무해지!P111</f>
        <v/>
      </c>
      <c r="O125" s="271" t="str">
        <f>+Main_무해지!Q111</f>
        <v/>
      </c>
      <c r="P125" s="271" t="str">
        <f>+Main_무해지!R111</f>
        <v/>
      </c>
      <c r="Q125" s="400" t="str">
        <f>+Main_무해지!S111</f>
        <v/>
      </c>
      <c r="R125" s="382" t="str">
        <f>+Main_무해지!T111</f>
        <v/>
      </c>
      <c r="S125" s="382" t="str">
        <f>+Main_무해지!U111</f>
        <v/>
      </c>
      <c r="T125" s="271" t="str">
        <f>+Main_무해지!V111</f>
        <v/>
      </c>
      <c r="U125" s="400" t="str">
        <f>+Main_무해지!W111</f>
        <v/>
      </c>
    </row>
    <row r="126" spans="8:21">
      <c r="L126" s="278" t="str">
        <f>+Main_무해지!N112</f>
        <v/>
      </c>
      <c r="M126" s="279" t="str">
        <f>+Main_무해지!O112</f>
        <v/>
      </c>
      <c r="N126" s="271" t="str">
        <f>+Main_무해지!P112</f>
        <v/>
      </c>
      <c r="O126" s="271" t="str">
        <f>+Main_무해지!Q112</f>
        <v/>
      </c>
      <c r="P126" s="271" t="str">
        <f>+Main_무해지!R112</f>
        <v/>
      </c>
      <c r="Q126" s="400" t="str">
        <f>+Main_무해지!S112</f>
        <v/>
      </c>
      <c r="R126" s="382" t="str">
        <f>+Main_무해지!T112</f>
        <v/>
      </c>
      <c r="S126" s="382" t="str">
        <f>+Main_무해지!U112</f>
        <v/>
      </c>
      <c r="T126" s="271" t="str">
        <f>+Main_무해지!V112</f>
        <v/>
      </c>
      <c r="U126" s="400" t="str">
        <f>+Main_무해지!W112</f>
        <v/>
      </c>
    </row>
    <row r="127" spans="8:21">
      <c r="L127" s="278" t="str">
        <f>+Main_무해지!N113</f>
        <v/>
      </c>
      <c r="M127" s="279" t="str">
        <f>+Main_무해지!O113</f>
        <v/>
      </c>
      <c r="N127" s="271" t="str">
        <f>+Main_무해지!P113</f>
        <v/>
      </c>
      <c r="O127" s="271" t="str">
        <f>+Main_무해지!Q113</f>
        <v/>
      </c>
      <c r="P127" s="271" t="str">
        <f>+Main_무해지!R113</f>
        <v/>
      </c>
      <c r="Q127" s="400" t="str">
        <f>+Main_무해지!S113</f>
        <v/>
      </c>
      <c r="R127" s="382" t="str">
        <f>+Main_무해지!T113</f>
        <v/>
      </c>
      <c r="S127" s="382" t="str">
        <f>+Main_무해지!U113</f>
        <v/>
      </c>
      <c r="T127" s="271" t="str">
        <f>+Main_무해지!V113</f>
        <v/>
      </c>
      <c r="U127" s="400" t="str">
        <f>+Main_무해지!W113</f>
        <v/>
      </c>
    </row>
    <row r="128" spans="8:21">
      <c r="L128" s="278" t="str">
        <f>+Main_무해지!N114</f>
        <v/>
      </c>
      <c r="M128" s="279" t="str">
        <f>+Main_무해지!O114</f>
        <v/>
      </c>
      <c r="N128" s="271" t="str">
        <f>+Main_무해지!P114</f>
        <v/>
      </c>
      <c r="O128" s="271" t="str">
        <f>+Main_무해지!Q114</f>
        <v/>
      </c>
      <c r="P128" s="271" t="str">
        <f>+Main_무해지!R114</f>
        <v/>
      </c>
      <c r="Q128" s="400" t="str">
        <f>+Main_무해지!S114</f>
        <v/>
      </c>
      <c r="R128" s="382" t="str">
        <f>+Main_무해지!T114</f>
        <v/>
      </c>
      <c r="S128" s="382" t="str">
        <f>+Main_무해지!U114</f>
        <v/>
      </c>
      <c r="T128" s="271" t="str">
        <f>+Main_무해지!V114</f>
        <v/>
      </c>
      <c r="U128" s="400" t="str">
        <f>+Main_무해지!W114</f>
        <v/>
      </c>
    </row>
    <row r="129" spans="1:60" s="723" customFormat="1">
      <c r="A129" s="722"/>
      <c r="B129" s="722"/>
      <c r="C129" s="719"/>
      <c r="D129" s="719"/>
      <c r="E129" s="719"/>
      <c r="F129" s="719"/>
      <c r="G129" s="719"/>
      <c r="H129" s="722"/>
      <c r="L129" s="724"/>
      <c r="M129" s="725"/>
      <c r="N129" s="725"/>
      <c r="O129" s="725"/>
      <c r="P129" s="726"/>
      <c r="R129" s="724"/>
      <c r="S129" s="725"/>
      <c r="T129" s="725"/>
      <c r="U129" s="725"/>
      <c r="V129" s="71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</row>
    <row r="130" spans="1:60" ht="17.25" thickBot="1"/>
    <row r="131" spans="1:60">
      <c r="D131" s="467" t="s">
        <v>60</v>
      </c>
      <c r="E131" s="467" t="s">
        <v>59</v>
      </c>
      <c r="G131" s="467" t="s">
        <v>429</v>
      </c>
    </row>
    <row r="132" spans="1:60">
      <c r="D132" s="637">
        <v>1</v>
      </c>
      <c r="E132" s="469" t="s">
        <v>423</v>
      </c>
      <c r="G132" s="469" t="s">
        <v>430</v>
      </c>
    </row>
    <row r="133" spans="1:60" ht="17.25" thickBot="1">
      <c r="D133" s="637">
        <v>30</v>
      </c>
      <c r="E133" s="469">
        <v>5</v>
      </c>
      <c r="G133" s="472" t="s">
        <v>431</v>
      </c>
    </row>
    <row r="134" spans="1:60" ht="17.25" thickBot="1">
      <c r="D134" s="469">
        <v>100</v>
      </c>
      <c r="E134" s="469">
        <v>10</v>
      </c>
    </row>
    <row r="135" spans="1:60">
      <c r="D135" s="469"/>
      <c r="E135" s="469">
        <v>20</v>
      </c>
      <c r="G135" s="467" t="s">
        <v>398</v>
      </c>
    </row>
    <row r="136" spans="1:60">
      <c r="D136" s="469"/>
      <c r="E136" s="469">
        <v>30</v>
      </c>
      <c r="G136" s="469" t="s">
        <v>465</v>
      </c>
    </row>
    <row r="137" spans="1:60" ht="17.25" thickBot="1">
      <c r="D137" s="469"/>
      <c r="E137" s="469" t="s">
        <v>400</v>
      </c>
      <c r="G137" s="472" t="s">
        <v>283</v>
      </c>
    </row>
    <row r="138" spans="1:60">
      <c r="D138" s="469"/>
      <c r="E138" s="469"/>
    </row>
    <row r="139" spans="1:60">
      <c r="D139" s="469"/>
      <c r="E139" s="469"/>
    </row>
    <row r="140" spans="1:60">
      <c r="D140" s="469"/>
      <c r="E140" s="469"/>
    </row>
    <row r="141" spans="1:60">
      <c r="D141" s="469"/>
      <c r="E141" s="469"/>
    </row>
    <row r="142" spans="1:60">
      <c r="D142" s="469"/>
      <c r="E142" s="469"/>
    </row>
    <row r="143" spans="1:60">
      <c r="D143" s="469"/>
      <c r="E143" s="471"/>
    </row>
    <row r="144" spans="1:60">
      <c r="D144" s="469"/>
      <c r="E144" s="469"/>
    </row>
    <row r="145" spans="4:5">
      <c r="D145" s="469"/>
      <c r="E145" s="469"/>
    </row>
    <row r="146" spans="4:5">
      <c r="D146" s="469"/>
      <c r="E146" s="469"/>
    </row>
    <row r="147" spans="4:5">
      <c r="D147" s="469"/>
      <c r="E147" s="469"/>
    </row>
    <row r="148" spans="4:5">
      <c r="D148" s="469"/>
      <c r="E148" s="469"/>
    </row>
    <row r="149" spans="4:5">
      <c r="D149" s="469"/>
      <c r="E149" s="469"/>
    </row>
    <row r="150" spans="4:5">
      <c r="D150" s="469"/>
      <c r="E150" s="469"/>
    </row>
    <row r="151" spans="4:5">
      <c r="D151" s="469"/>
      <c r="E151" s="469"/>
    </row>
    <row r="152" spans="4:5">
      <c r="D152" s="469"/>
      <c r="E152" s="469"/>
    </row>
    <row r="153" spans="4:5">
      <c r="D153" s="469"/>
      <c r="E153" s="469"/>
    </row>
    <row r="154" spans="4:5">
      <c r="D154" s="469"/>
      <c r="E154" s="469"/>
    </row>
    <row r="155" spans="4:5">
      <c r="D155" s="469"/>
      <c r="E155" s="469"/>
    </row>
    <row r="156" spans="4:5">
      <c r="D156" s="469"/>
      <c r="E156" s="469"/>
    </row>
    <row r="157" spans="4:5">
      <c r="D157" s="469"/>
      <c r="E157" s="469"/>
    </row>
    <row r="158" spans="4:5">
      <c r="D158" s="469"/>
      <c r="E158" s="469"/>
    </row>
    <row r="159" spans="4:5">
      <c r="D159" s="469"/>
      <c r="E159" s="469"/>
    </row>
    <row r="160" spans="4:5" ht="17.25" thickBot="1">
      <c r="D160" s="469"/>
      <c r="E160" s="472"/>
    </row>
    <row r="161" spans="4:5" ht="17.25" thickBot="1">
      <c r="D161" s="472"/>
      <c r="E161" s="2"/>
    </row>
  </sheetData>
  <phoneticPr fontId="3" type="noConversion"/>
  <conditionalFormatting sqref="L60:O127 Q60:Q127 T60:U127">
    <cfRule type="cellIs" dxfId="371" priority="13" stopIfTrue="1" operator="equal">
      <formula>""</formula>
    </cfRule>
    <cfRule type="expression" dxfId="370" priority="14">
      <formula>""""""</formula>
    </cfRule>
  </conditionalFormatting>
  <conditionalFormatting sqref="L16:O128 Q16:Q128 T16:U128">
    <cfRule type="containsBlanks" dxfId="369" priority="12" stopIfTrue="1">
      <formula>LEN(TRIM(L16))=0</formula>
    </cfRule>
  </conditionalFormatting>
  <conditionalFormatting sqref="S60:S128">
    <cfRule type="cellIs" dxfId="368" priority="10" stopIfTrue="1" operator="equal">
      <formula>""</formula>
    </cfRule>
    <cfRule type="expression" dxfId="367" priority="11">
      <formula>""""""</formula>
    </cfRule>
  </conditionalFormatting>
  <conditionalFormatting sqref="S21:S128">
    <cfRule type="containsBlanks" dxfId="366" priority="9" stopIfTrue="1">
      <formula>LEN(TRIM(S21))=0</formula>
    </cfRule>
  </conditionalFormatting>
  <conditionalFormatting sqref="S16:S20">
    <cfRule type="containsBlanks" dxfId="365" priority="8" stopIfTrue="1">
      <formula>LEN(TRIM(S16))=0</formula>
    </cfRule>
  </conditionalFormatting>
  <conditionalFormatting sqref="P60:P127">
    <cfRule type="cellIs" dxfId="364" priority="6" stopIfTrue="1" operator="equal">
      <formula>""</formula>
    </cfRule>
    <cfRule type="expression" dxfId="363" priority="7">
      <formula>""""""</formula>
    </cfRule>
  </conditionalFormatting>
  <conditionalFormatting sqref="P16:P128">
    <cfRule type="containsBlanks" dxfId="362" priority="5" stopIfTrue="1">
      <formula>LEN(TRIM(P16))=0</formula>
    </cfRule>
  </conditionalFormatting>
  <conditionalFormatting sqref="R60:R128">
    <cfRule type="cellIs" dxfId="361" priority="3" stopIfTrue="1" operator="equal">
      <formula>""</formula>
    </cfRule>
    <cfRule type="expression" dxfId="360" priority="4">
      <formula>""""""</formula>
    </cfRule>
  </conditionalFormatting>
  <conditionalFormatting sqref="R21:R128">
    <cfRule type="containsBlanks" dxfId="359" priority="2" stopIfTrue="1">
      <formula>LEN(TRIM(R21))=0</formula>
    </cfRule>
  </conditionalFormatting>
  <conditionalFormatting sqref="R16:R20">
    <cfRule type="containsBlanks" dxfId="358" priority="1" stopIfTrue="1">
      <formula>LEN(TRIM(R16))=0</formula>
    </cfRule>
  </conditionalFormatting>
  <dataValidations count="6">
    <dataValidation type="list" allowBlank="1" showInputMessage="1" showErrorMessage="1" sqref="E6" xr:uid="{00000000-0002-0000-0200-000000000000}">
      <formula1>OFFSET($D$57,1,0,COUNTA($D$58:$D$63))</formula1>
    </dataValidation>
    <dataValidation type="list" allowBlank="1" showInputMessage="1" showErrorMessage="1" sqref="E2" xr:uid="{00000000-0002-0000-0200-000001000000}">
      <formula1>"남자, 여자"</formula1>
    </dataValidation>
    <dataValidation type="list" allowBlank="1" showInputMessage="1" showErrorMessage="1" sqref="A3" xr:uid="{00000000-0002-0000-0200-000002000000}">
      <formula1>$G$132:$G$133</formula1>
    </dataValidation>
    <dataValidation type="list" showInputMessage="1" showErrorMessage="1" sqref="E4" xr:uid="{00000000-0002-0000-0200-000003000000}">
      <formula1>$D$132:$D$134</formula1>
    </dataValidation>
    <dataValidation type="list" allowBlank="1" showInputMessage="1" showErrorMessage="1" sqref="E5" xr:uid="{00000000-0002-0000-0200-000004000000}">
      <formula1>$E$132:$E$137</formula1>
    </dataValidation>
    <dataValidation type="list" allowBlank="1" showInputMessage="1" showErrorMessage="1" sqref="E9" xr:uid="{00000000-0002-0000-0200-000005000000}">
      <formula1>$G$136:$G$137</formula1>
    </dataValidation>
  </dataValidations>
  <pageMargins left="0.15748031496062992" right="0.15748031496062992" top="0.59055118110236227" bottom="0.74803149606299213" header="0.31496062992125984" footer="0.31496062992125984"/>
  <pageSetup paperSize="9" scale="24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HM1746"/>
  <sheetViews>
    <sheetView topLeftCell="A8" zoomScale="85" zoomScaleNormal="85" zoomScaleSheetLayoutView="100" workbookViewId="0">
      <selection activeCell="E23" sqref="E23"/>
    </sheetView>
  </sheetViews>
  <sheetFormatPr defaultColWidth="9" defaultRowHeight="16.5"/>
  <cols>
    <col min="1" max="1" width="11" style="1" customWidth="1"/>
    <col min="2" max="2" width="2" style="2" customWidth="1"/>
    <col min="3" max="3" width="2.375" style="2" customWidth="1"/>
    <col min="4" max="4" width="15.125" style="2" customWidth="1"/>
    <col min="5" max="6" width="11.75" style="2" bestFit="1" customWidth="1"/>
    <col min="7" max="7" width="8.25" style="2" bestFit="1" customWidth="1"/>
    <col min="8" max="8" width="10.75" style="2" customWidth="1"/>
    <col min="9" max="9" width="16.75" style="5" customWidth="1"/>
    <col min="10" max="10" width="19.625" style="2" bestFit="1" customWidth="1"/>
    <col min="11" max="11" width="16.375" style="2" bestFit="1" customWidth="1"/>
    <col min="12" max="12" width="9.625" style="2" bestFit="1" customWidth="1"/>
    <col min="13" max="13" width="4.25" style="2" customWidth="1"/>
    <col min="14" max="14" width="11.375" style="221" bestFit="1" customWidth="1"/>
    <col min="15" max="15" width="8.375" style="221" bestFit="1" customWidth="1"/>
    <col min="16" max="16" width="13.75" style="221" customWidth="1"/>
    <col min="17" max="18" width="15" style="221" customWidth="1"/>
    <col min="19" max="19" width="10" style="221" customWidth="1"/>
    <col min="20" max="21" width="15" style="221" customWidth="1"/>
    <col min="22" max="22" width="12.875" style="221" bestFit="1" customWidth="1"/>
    <col min="23" max="23" width="10" style="221" customWidth="1"/>
    <col min="24" max="24" width="15" style="221" customWidth="1"/>
    <col min="25" max="26" width="6.75" style="221" bestFit="1" customWidth="1"/>
    <col min="27" max="27" width="10" style="366" customWidth="1"/>
    <col min="28" max="28" width="10" style="6" bestFit="1" customWidth="1"/>
    <col min="29" max="29" width="16.625" style="372" bestFit="1" customWidth="1"/>
    <col min="30" max="30" width="16.625" style="372" customWidth="1"/>
    <col min="31" max="33" width="14.125" style="372" bestFit="1" customWidth="1"/>
    <col min="34" max="34" width="14.25" style="7" bestFit="1" customWidth="1"/>
    <col min="35" max="35" width="13.25" style="7" customWidth="1"/>
    <col min="36" max="36" width="16.625" style="372" bestFit="1" customWidth="1"/>
    <col min="37" max="37" width="16.625" style="372" customWidth="1"/>
    <col min="38" max="39" width="13.25" style="7" customWidth="1"/>
    <col min="40" max="40" width="13.125" style="372" bestFit="1" customWidth="1"/>
    <col min="41" max="41" width="15.875" style="7" bestFit="1" customWidth="1"/>
    <col min="42" max="45" width="14.125" style="7" customWidth="1"/>
    <col min="46" max="46" width="21" style="7" customWidth="1"/>
    <col min="47" max="47" width="14.125" style="7" customWidth="1"/>
    <col min="48" max="48" width="8.375" style="7" bestFit="1" customWidth="1"/>
    <col min="49" max="49" width="10.25" style="7" hidden="1" customWidth="1"/>
    <col min="50" max="50" width="8.125" style="7" hidden="1" customWidth="1"/>
    <col min="51" max="52" width="10.875" style="7" hidden="1" customWidth="1"/>
    <col min="53" max="53" width="11.75" style="7" hidden="1" customWidth="1"/>
    <col min="54" max="54" width="18.375" style="7" hidden="1" customWidth="1"/>
    <col min="55" max="55" width="8.125" style="7" hidden="1" customWidth="1"/>
    <col min="56" max="57" width="11.75" style="7" hidden="1" customWidth="1"/>
    <col min="58" max="58" width="12.625" style="7" hidden="1" customWidth="1"/>
    <col min="59" max="59" width="15.125" style="7" hidden="1" customWidth="1"/>
    <col min="60" max="60" width="8.125" style="7" hidden="1" customWidth="1"/>
    <col min="61" max="62" width="10.875" style="7" hidden="1" customWidth="1"/>
    <col min="63" max="63" width="11.75" style="7" hidden="1" customWidth="1"/>
    <col min="64" max="64" width="15.125" style="7" hidden="1" customWidth="1"/>
    <col min="65" max="65" width="8.125" style="7" hidden="1" customWidth="1"/>
    <col min="66" max="67" width="10" style="7" hidden="1" customWidth="1"/>
    <col min="68" max="68" width="12.25" style="7" hidden="1" customWidth="1"/>
    <col min="69" max="69" width="9.125" style="7" bestFit="1" customWidth="1"/>
    <col min="70" max="72" width="14.125" style="7" customWidth="1"/>
    <col min="73" max="73" width="20.25" style="7" customWidth="1"/>
    <col min="74" max="77" width="14.125" style="7" hidden="1" customWidth="1"/>
    <col min="78" max="78" width="14.125" style="7" customWidth="1"/>
    <col min="79" max="81" width="13.125" style="7" customWidth="1"/>
    <col min="82" max="83" width="14.125" style="7" customWidth="1"/>
    <col min="84" max="84" width="15.875" style="7" bestFit="1" customWidth="1"/>
    <col min="85" max="87" width="14.125" style="7" customWidth="1"/>
    <col min="88" max="88" width="14.125" style="265" customWidth="1"/>
    <col min="89" max="89" width="14.125" style="12" customWidth="1"/>
    <col min="90" max="90" width="10.875" style="7" bestFit="1" customWidth="1"/>
    <col min="91" max="91" width="10" style="7" bestFit="1" customWidth="1"/>
    <col min="92" max="93" width="11.625" style="7" bestFit="1" customWidth="1"/>
    <col min="94" max="94" width="11.625" style="7" customWidth="1"/>
    <col min="95" max="95" width="9.875" style="7" customWidth="1"/>
    <col min="96" max="96" width="10.875" style="7" bestFit="1" customWidth="1"/>
    <col min="97" max="104" width="9.375" style="7" customWidth="1"/>
    <col min="105" max="106" width="9.375" style="263" customWidth="1"/>
    <col min="107" max="16384" width="9" style="373"/>
  </cols>
  <sheetData>
    <row r="1" spans="1:897" ht="20.25" thickBot="1">
      <c r="A1" s="691" t="s">
        <v>416</v>
      </c>
      <c r="D1" s="4"/>
      <c r="E1" s="4"/>
      <c r="F1" s="4"/>
      <c r="G1" s="4"/>
      <c r="H1" s="4"/>
      <c r="J1" s="108"/>
      <c r="K1" s="4" t="s">
        <v>258</v>
      </c>
      <c r="L1" s="4" t="s">
        <v>231</v>
      </c>
      <c r="P1" s="435" t="s">
        <v>243</v>
      </c>
      <c r="Q1" s="436"/>
      <c r="R1" s="436"/>
      <c r="S1" s="437"/>
      <c r="T1" s="438" t="s">
        <v>231</v>
      </c>
      <c r="U1" s="438"/>
      <c r="V1" s="439"/>
      <c r="W1" s="439"/>
      <c r="X1" s="440" t="s">
        <v>233</v>
      </c>
      <c r="Y1" s="441"/>
      <c r="Z1" s="441"/>
      <c r="AI1" s="8"/>
      <c r="AL1" s="10"/>
      <c r="AM1" s="10"/>
      <c r="AN1" s="11"/>
      <c r="AT1" s="199" t="s">
        <v>66</v>
      </c>
      <c r="AW1" s="504" t="s">
        <v>162</v>
      </c>
      <c r="AX1" s="504"/>
      <c r="AY1" s="504"/>
      <c r="AZ1" s="504"/>
      <c r="BA1" s="505" t="s">
        <v>66</v>
      </c>
      <c r="BB1" s="504" t="s">
        <v>163</v>
      </c>
      <c r="BC1" s="504"/>
      <c r="BD1" s="504"/>
      <c r="BE1" s="504"/>
      <c r="BF1" s="505" t="s">
        <v>66</v>
      </c>
      <c r="BG1" s="504" t="s">
        <v>164</v>
      </c>
      <c r="BH1" s="504"/>
      <c r="BI1" s="504"/>
      <c r="BJ1" s="504"/>
      <c r="BK1" s="505" t="s">
        <v>66</v>
      </c>
      <c r="BL1" s="504" t="s">
        <v>165</v>
      </c>
      <c r="BM1" s="504"/>
      <c r="BN1" s="504"/>
      <c r="BO1" s="504"/>
      <c r="BP1" s="505" t="s">
        <v>66</v>
      </c>
      <c r="CD1" s="474" t="s">
        <v>255</v>
      </c>
      <c r="CI1" s="15"/>
      <c r="CK1" s="13"/>
      <c r="CX1" s="476"/>
      <c r="CY1" s="476"/>
      <c r="CZ1" s="476"/>
      <c r="DA1" s="13"/>
      <c r="DB1" s="13"/>
    </row>
    <row r="2" spans="1:897" ht="15.75" customHeight="1" thickTop="1" thickBot="1">
      <c r="A2" s="692" t="s">
        <v>425</v>
      </c>
      <c r="B2" s="15"/>
      <c r="C2" s="420"/>
      <c r="D2" s="421" t="s">
        <v>0</v>
      </c>
      <c r="E2" s="713" t="str">
        <f>IF(입력!$A$3="PV",IF(PV!$W$4=1,"남자","여자"),입력!E2)</f>
        <v>남자</v>
      </c>
      <c r="F2" s="422">
        <f>IF(E2="남자",1,2)</f>
        <v>1</v>
      </c>
      <c r="G2" s="423"/>
      <c r="H2" s="691" t="s">
        <v>420</v>
      </c>
      <c r="I2" s="586" t="s">
        <v>1</v>
      </c>
      <c r="J2" s="20"/>
      <c r="K2" s="587">
        <f>K7*$E$12/E19*10000</f>
        <v>10</v>
      </c>
      <c r="L2" s="587">
        <f>일반형!K2</f>
        <v>10</v>
      </c>
      <c r="M2" s="21"/>
      <c r="N2" s="301" t="s">
        <v>70</v>
      </c>
      <c r="O2" s="302" t="s">
        <v>95</v>
      </c>
      <c r="P2" s="302" t="s">
        <v>71</v>
      </c>
      <c r="Q2" s="303" t="s">
        <v>223</v>
      </c>
      <c r="R2" s="303" t="s">
        <v>232</v>
      </c>
      <c r="S2" s="304" t="s">
        <v>73</v>
      </c>
      <c r="T2" s="303" t="s">
        <v>373</v>
      </c>
      <c r="U2" s="303" t="s">
        <v>223</v>
      </c>
      <c r="V2" s="303" t="s">
        <v>140</v>
      </c>
      <c r="W2" s="304" t="s">
        <v>73</v>
      </c>
      <c r="X2" s="833" t="s">
        <v>156</v>
      </c>
      <c r="Y2" s="303" t="s">
        <v>155</v>
      </c>
      <c r="Z2" s="304" t="s">
        <v>234</v>
      </c>
      <c r="AC2" s="15" t="s">
        <v>105</v>
      </c>
      <c r="AD2" s="15"/>
      <c r="AE2" s="15" t="s">
        <v>107</v>
      </c>
      <c r="AF2" s="15" t="s">
        <v>108</v>
      </c>
      <c r="AG2" s="22" t="s">
        <v>109</v>
      </c>
      <c r="AH2" s="22" t="s">
        <v>110</v>
      </c>
      <c r="AI2" s="23" t="s">
        <v>104</v>
      </c>
      <c r="AJ2" s="15" t="s">
        <v>217</v>
      </c>
      <c r="AK2" s="15"/>
      <c r="AL2" s="23" t="s">
        <v>106</v>
      </c>
      <c r="AM2" s="23" t="s">
        <v>2</v>
      </c>
      <c r="AN2" s="23" t="s">
        <v>87</v>
      </c>
      <c r="AO2" s="22" t="s">
        <v>3</v>
      </c>
      <c r="AP2" s="22" t="s">
        <v>447</v>
      </c>
      <c r="AQ2" s="22" t="s">
        <v>118</v>
      </c>
      <c r="AR2" s="22"/>
      <c r="AS2" s="22"/>
      <c r="AT2" s="198">
        <v>1</v>
      </c>
      <c r="AU2" s="22"/>
      <c r="AV2" s="22"/>
      <c r="AW2" s="506" t="s">
        <v>117</v>
      </c>
      <c r="AX2" s="506" t="s">
        <v>118</v>
      </c>
      <c r="AY2" s="506"/>
      <c r="AZ2" s="506"/>
      <c r="BA2" s="507">
        <v>0</v>
      </c>
      <c r="BB2" s="506" t="s">
        <v>117</v>
      </c>
      <c r="BC2" s="506" t="s">
        <v>118</v>
      </c>
      <c r="BD2" s="506"/>
      <c r="BE2" s="506"/>
      <c r="BF2" s="507">
        <v>0</v>
      </c>
      <c r="BG2" s="506" t="s">
        <v>117</v>
      </c>
      <c r="BH2" s="506" t="s">
        <v>118</v>
      </c>
      <c r="BI2" s="506"/>
      <c r="BJ2" s="506"/>
      <c r="BK2" s="507">
        <v>0</v>
      </c>
      <c r="BL2" s="506" t="s">
        <v>117</v>
      </c>
      <c r="BM2" s="506" t="s">
        <v>118</v>
      </c>
      <c r="BN2" s="506"/>
      <c r="BO2" s="506"/>
      <c r="BP2" s="507">
        <v>0</v>
      </c>
      <c r="BQ2" s="22" t="s">
        <v>118</v>
      </c>
      <c r="BR2" s="371" t="s">
        <v>158</v>
      </c>
      <c r="BS2" s="22" t="s">
        <v>159</v>
      </c>
      <c r="BT2" s="22"/>
      <c r="BU2" s="22" t="s">
        <v>160</v>
      </c>
      <c r="BV2" s="22" t="s">
        <v>126</v>
      </c>
      <c r="BW2" s="22"/>
      <c r="BX2" s="22"/>
      <c r="BY2" s="22"/>
      <c r="BZ2" s="320"/>
      <c r="CA2" s="24"/>
      <c r="CB2" s="24"/>
      <c r="CC2" s="24"/>
      <c r="CD2" s="172" t="s">
        <v>4</v>
      </c>
      <c r="CE2" s="171">
        <v>12</v>
      </c>
      <c r="CG2" s="24"/>
      <c r="CH2" s="404">
        <v>4.1738327426250103E-2</v>
      </c>
      <c r="CI2" s="24"/>
      <c r="CJ2" s="266"/>
      <c r="CK2" s="233"/>
      <c r="CL2" s="268"/>
      <c r="CM2" s="557"/>
      <c r="CQ2" s="475"/>
      <c r="CR2" s="475"/>
      <c r="CS2" s="477" t="s">
        <v>5</v>
      </c>
      <c r="CT2" s="477"/>
      <c r="CU2" s="477" t="s">
        <v>79</v>
      </c>
      <c r="CV2" s="477"/>
      <c r="CW2" s="477" t="s">
        <v>80</v>
      </c>
      <c r="CX2" s="477"/>
      <c r="CY2" s="835" t="s">
        <v>448</v>
      </c>
      <c r="CZ2" s="835"/>
      <c r="DA2" s="836"/>
      <c r="DB2" s="836"/>
      <c r="DC2" s="837"/>
      <c r="DD2" s="837"/>
    </row>
    <row r="3" spans="1:897" ht="18" thickTop="1" thickBot="1">
      <c r="A3" s="692" t="s">
        <v>414</v>
      </c>
      <c r="B3" s="15"/>
      <c r="C3" s="28"/>
      <c r="D3" s="29" t="s">
        <v>6</v>
      </c>
      <c r="E3" s="658">
        <f>IF(입력!$A$3="PV",PV!W6,입력!E3)</f>
        <v>0</v>
      </c>
      <c r="F3" s="696" t="s">
        <v>398</v>
      </c>
      <c r="G3" s="677">
        <f>IF(입력!$A$3="PV",IF(PV!$W$33=1,1,0.5),IF(OR(입력!$E$9="Y",AND($E$3=0,$E$4=1,$E$5=1)),1,0.5))</f>
        <v>1</v>
      </c>
      <c r="H3" s="694" t="s">
        <v>419</v>
      </c>
      <c r="I3" s="588" t="s">
        <v>7</v>
      </c>
      <c r="J3" s="32"/>
      <c r="K3" s="589">
        <f>K8*$E$12/E19*10000</f>
        <v>20</v>
      </c>
      <c r="L3" s="589">
        <f>일반형!K3</f>
        <v>20</v>
      </c>
      <c r="M3" s="33"/>
      <c r="N3" s="284" t="s">
        <v>74</v>
      </c>
      <c r="O3" s="283">
        <f>E3</f>
        <v>0</v>
      </c>
      <c r="P3" s="213">
        <v>0</v>
      </c>
      <c r="Q3" s="213">
        <f>+CJ4*E12/$E$19*10000</f>
        <v>0</v>
      </c>
      <c r="R3" s="213">
        <v>0</v>
      </c>
      <c r="S3" s="399">
        <v>0</v>
      </c>
      <c r="T3" s="213">
        <f>일반형!P3</f>
        <v>0</v>
      </c>
      <c r="U3" s="213">
        <f>일반형!Q3</f>
        <v>0</v>
      </c>
      <c r="V3" s="213">
        <f>일반형!R3</f>
        <v>0</v>
      </c>
      <c r="W3" s="399">
        <f>일반형!S3</f>
        <v>0</v>
      </c>
      <c r="X3" s="834"/>
      <c r="Y3" s="213" t="str">
        <f>IF(SUM(Y7:Y114)&gt;=1,"안돼","ok")</f>
        <v>ok</v>
      </c>
      <c r="Z3" s="399" t="str">
        <f>IF(SUM(Z7:Z114)&gt;=1,"안돼","ok")</f>
        <v>ok</v>
      </c>
      <c r="AB3" s="34" t="s">
        <v>8</v>
      </c>
      <c r="AC3" s="641" t="s">
        <v>9</v>
      </c>
      <c r="AD3" s="36"/>
      <c r="AE3" s="36" t="s">
        <v>222</v>
      </c>
      <c r="AF3" s="36" t="s">
        <v>111</v>
      </c>
      <c r="AG3" s="36" t="s">
        <v>112</v>
      </c>
      <c r="AH3" s="37" t="s">
        <v>113</v>
      </c>
      <c r="AI3" s="36" t="s">
        <v>115</v>
      </c>
      <c r="AJ3" s="39" t="s">
        <v>218</v>
      </c>
      <c r="AK3" s="39" t="s">
        <v>13</v>
      </c>
      <c r="AL3" s="36" t="s">
        <v>122</v>
      </c>
      <c r="AM3" s="36" t="s">
        <v>10</v>
      </c>
      <c r="AN3" s="36" t="s">
        <v>11</v>
      </c>
      <c r="AO3" s="37" t="s">
        <v>12</v>
      </c>
      <c r="AP3" s="35" t="s">
        <v>13</v>
      </c>
      <c r="AQ3" s="36" t="s">
        <v>122</v>
      </c>
      <c r="AR3" s="36" t="s">
        <v>119</v>
      </c>
      <c r="AS3" s="36" t="s">
        <v>120</v>
      </c>
      <c r="AT3" s="290" t="s">
        <v>121</v>
      </c>
      <c r="AU3" s="313" t="s">
        <v>123</v>
      </c>
      <c r="AV3" s="314" t="s">
        <v>124</v>
      </c>
      <c r="AW3" s="35" t="s">
        <v>13</v>
      </c>
      <c r="AX3" s="36" t="s">
        <v>122</v>
      </c>
      <c r="AY3" s="36" t="s">
        <v>119</v>
      </c>
      <c r="AZ3" s="36" t="s">
        <v>120</v>
      </c>
      <c r="BA3" s="290" t="s">
        <v>121</v>
      </c>
      <c r="BB3" s="35" t="s">
        <v>13</v>
      </c>
      <c r="BC3" s="36" t="s">
        <v>122</v>
      </c>
      <c r="BD3" s="36" t="s">
        <v>119</v>
      </c>
      <c r="BE3" s="36" t="s">
        <v>120</v>
      </c>
      <c r="BF3" s="290" t="s">
        <v>121</v>
      </c>
      <c r="BG3" s="35" t="s">
        <v>13</v>
      </c>
      <c r="BH3" s="36" t="s">
        <v>122</v>
      </c>
      <c r="BI3" s="36" t="s">
        <v>119</v>
      </c>
      <c r="BJ3" s="36" t="s">
        <v>120</v>
      </c>
      <c r="BK3" s="290" t="s">
        <v>121</v>
      </c>
      <c r="BL3" s="35" t="s">
        <v>13</v>
      </c>
      <c r="BM3" s="36" t="s">
        <v>122</v>
      </c>
      <c r="BN3" s="36" t="s">
        <v>119</v>
      </c>
      <c r="BO3" s="36" t="s">
        <v>120</v>
      </c>
      <c r="BP3" s="290" t="s">
        <v>121</v>
      </c>
      <c r="BQ3" s="448" t="s">
        <v>122</v>
      </c>
      <c r="BR3" s="36" t="s">
        <v>127</v>
      </c>
      <c r="BS3" s="36" t="s">
        <v>128</v>
      </c>
      <c r="BT3" s="36" t="s">
        <v>129</v>
      </c>
      <c r="BU3" s="36" t="s">
        <v>130</v>
      </c>
      <c r="BV3" s="36" t="s">
        <v>131</v>
      </c>
      <c r="BW3" s="36" t="s">
        <v>132</v>
      </c>
      <c r="BX3" s="36" t="s">
        <v>133</v>
      </c>
      <c r="BY3" s="36" t="s">
        <v>134</v>
      </c>
      <c r="BZ3" s="36" t="s">
        <v>135</v>
      </c>
      <c r="CA3" s="38" t="s">
        <v>214</v>
      </c>
      <c r="CB3" s="38"/>
      <c r="CC3" s="38" t="str">
        <f t="shared" ref="CC3:CC66" si="0">AB3</f>
        <v>연 령</v>
      </c>
      <c r="CD3" s="36" t="s">
        <v>186</v>
      </c>
      <c r="CE3" s="36" t="s">
        <v>188</v>
      </c>
      <c r="CF3" s="36" t="s">
        <v>190</v>
      </c>
      <c r="CG3" s="36" t="s">
        <v>192</v>
      </c>
      <c r="CH3" s="36" t="s">
        <v>194</v>
      </c>
      <c r="CI3" s="37" t="s">
        <v>196</v>
      </c>
      <c r="CJ3" s="27" t="s">
        <v>198</v>
      </c>
      <c r="CK3" s="234"/>
      <c r="CL3" s="201" t="s">
        <v>8</v>
      </c>
      <c r="CM3" s="253" t="s">
        <v>14</v>
      </c>
      <c r="CN3" s="253" t="s">
        <v>81</v>
      </c>
      <c r="CO3" s="253" t="s">
        <v>82</v>
      </c>
      <c r="CP3" s="253" t="s">
        <v>449</v>
      </c>
      <c r="CQ3" s="253"/>
      <c r="CR3" s="201" t="s">
        <v>8</v>
      </c>
      <c r="CS3" s="253" t="s">
        <v>15</v>
      </c>
      <c r="CT3" s="253" t="s">
        <v>16</v>
      </c>
      <c r="CU3" s="253" t="s">
        <v>68</v>
      </c>
      <c r="CV3" s="253" t="s">
        <v>69</v>
      </c>
      <c r="CW3" s="253" t="s">
        <v>68</v>
      </c>
      <c r="CX3" s="253" t="s">
        <v>69</v>
      </c>
      <c r="CY3" s="253" t="s">
        <v>68</v>
      </c>
      <c r="CZ3" s="253" t="s">
        <v>69</v>
      </c>
      <c r="DA3" s="253" t="s">
        <v>68</v>
      </c>
      <c r="DB3" s="253" t="s">
        <v>69</v>
      </c>
      <c r="DC3" s="253" t="s">
        <v>68</v>
      </c>
      <c r="DD3" s="253" t="s">
        <v>69</v>
      </c>
    </row>
    <row r="4" spans="1:897" ht="17.25" customHeight="1">
      <c r="A4" s="692" t="s">
        <v>415</v>
      </c>
      <c r="B4" s="15"/>
      <c r="C4" s="28"/>
      <c r="D4" s="29" t="s">
        <v>17</v>
      </c>
      <c r="E4" s="665">
        <f>IF(입력!$A$3="PV",PV!W9,입력!E4)</f>
        <v>1</v>
      </c>
      <c r="F4" s="40">
        <f>IF($E$4=1,1, IF($E$4&gt;=30,$E$4-$E$3,$E$4))</f>
        <v>1</v>
      </c>
      <c r="G4" s="605"/>
      <c r="H4" s="708" t="s">
        <v>422</v>
      </c>
      <c r="I4" s="588" t="s">
        <v>230</v>
      </c>
      <c r="J4" s="585"/>
      <c r="K4" s="589">
        <f>K3-K2</f>
        <v>10</v>
      </c>
      <c r="L4" s="589">
        <f>일반형!K4</f>
        <v>10</v>
      </c>
      <c r="M4" s="579"/>
      <c r="N4" s="272">
        <v>3</v>
      </c>
      <c r="O4" s="273">
        <f>E3</f>
        <v>0</v>
      </c>
      <c r="P4" s="271">
        <f>IF(N4="","",IF(F5=0,K3,IF(F6=12,K3*N4,K3)))</f>
        <v>60</v>
      </c>
      <c r="Q4" s="271">
        <f>Q3+(Q$7-Q$3)*$N4/12</f>
        <v>0</v>
      </c>
      <c r="R4" s="271">
        <f>ROUND(일반형!R4*0%,0)</f>
        <v>0</v>
      </c>
      <c r="S4" s="400">
        <f t="shared" ref="S4:S67" si="1">IF(N4="","",IF(R4=0,0,ROUNDDOWN(R4/P4,3)))</f>
        <v>0</v>
      </c>
      <c r="T4" s="271">
        <f>일반형!P4</f>
        <v>60</v>
      </c>
      <c r="U4" s="271">
        <f>일반형!Q4</f>
        <v>0</v>
      </c>
      <c r="V4" s="271">
        <f>일반형!R4</f>
        <v>0</v>
      </c>
      <c r="W4" s="400">
        <f>일반형!S4</f>
        <v>0</v>
      </c>
      <c r="X4" s="271">
        <f>$E$12*10000</f>
        <v>10000000</v>
      </c>
      <c r="Y4" s="442">
        <f t="shared" ref="Y4:Y67" si="2">IF(N4="","",IF(P4&gt;X4,1,0))</f>
        <v>0</v>
      </c>
      <c r="Z4" s="443">
        <f t="shared" ref="Z4" si="3">IF(N4="","",IF(R4&gt;X4,1,0))</f>
        <v>0</v>
      </c>
      <c r="AB4" s="41" t="str">
        <f>IF(E3=0,"0",E3)</f>
        <v>0</v>
      </c>
      <c r="AC4" s="642">
        <f t="shared" ref="AC4:AC67" si="4">IF($AB4="","",INDEX($CM$4:$CM$116,$AB4+1))</f>
        <v>0</v>
      </c>
      <c r="AD4" s="262"/>
      <c r="AE4" s="262">
        <f>IF(AB4="","",IF(AB4-$AB$4&lt;$F$5-1,INDEX(Main_무해지!$G$76:$G$87,MIN(AB4-$AB$4+1,12)),IF(AB4-$AB$4=$F$5-1,0,IF(AND($F$2=1,AB4&gt;109),0,IF(AND($F$2=2,AB4&gt;111),0,INDEX(Main_무해지!$H$76:$H$82,MIN(AB4-$AB$4-$F$5+1,7)))))))</f>
        <v>0</v>
      </c>
      <c r="AF4" s="262">
        <v>100000</v>
      </c>
      <c r="AG4" s="262">
        <f t="shared" ref="AG4:AG67" si="5">IF($AB4="","",AF4*$E$17^($AB4-$AB$4))</f>
        <v>100000</v>
      </c>
      <c r="AH4" s="43">
        <f>IF($AB4="","",SUM(AG4:AG$114))</f>
        <v>197799.51100244501</v>
      </c>
      <c r="AI4" s="262">
        <f>AC4</f>
        <v>0</v>
      </c>
      <c r="AJ4" s="45">
        <f t="shared" ref="AJ4:AJ67" si="6">IF(AB4="","",INDEX($CN$4:$CN$116,AB4+1)+INDEX($CO$4:$CO$116,AB4+1))</f>
        <v>9.2999999999999997E-5</v>
      </c>
      <c r="AK4" s="45"/>
      <c r="AL4" s="262">
        <f t="shared" ref="AL4:AL67" si="7">AE4</f>
        <v>0</v>
      </c>
      <c r="AM4" s="262">
        <v>100000</v>
      </c>
      <c r="AN4" s="262">
        <f t="shared" ref="AN4:AN67" si="8">IF($AB4="","",AM4*$E$17^($AB4-$AB$4))</f>
        <v>100000</v>
      </c>
      <c r="AO4" s="43">
        <f>IF($AB4="","",SUM(AN4:AN$114))</f>
        <v>197799.51100244501</v>
      </c>
      <c r="AP4" s="42">
        <f>IF($AB4="","",INDEX($CP$4:$CP$116,$AB4+1))</f>
        <v>1.5E-5</v>
      </c>
      <c r="AQ4" s="262">
        <f t="shared" ref="AQ4:AQ67" si="9">AE4</f>
        <v>0</v>
      </c>
      <c r="AR4" s="262">
        <f t="shared" ref="AR4:AR67" si="10">IF($AB4="","",$AF4*$AP4*(1-0.5*AQ4))</f>
        <v>1.5</v>
      </c>
      <c r="AS4" s="262">
        <f t="shared" ref="AS4:AS67" si="11">IF($AB4="","",AR4*$E$17^($AB4-$AB$4+0.5))</f>
        <v>1.4834045293024463</v>
      </c>
      <c r="AT4" s="46">
        <f>IF($AB4="","",SUM($AU4:$AU$114))</f>
        <v>2.778209949744924</v>
      </c>
      <c r="AU4" s="262">
        <f>IF($AB4="","",AS4*AV4)</f>
        <v>1.4834045293024463</v>
      </c>
      <c r="AV4" s="46">
        <f t="shared" ref="AV4:AV67" si="12">IF($AB4="","",1+$F$8*$E$11*MIN(MAX((AB4-AB$4)-($F$9-1),0),$E$10))</f>
        <v>1</v>
      </c>
      <c r="AW4" s="42"/>
      <c r="AX4" s="262">
        <f t="shared" ref="AX4:AX67" si="13">AE4</f>
        <v>0</v>
      </c>
      <c r="AY4" s="262">
        <f t="shared" ref="AY4:AY67" si="14">IF($AB4="","",$AF4*$AW4*(1-0.5*AX4))</f>
        <v>0</v>
      </c>
      <c r="AZ4" s="262">
        <f t="shared" ref="AZ4:AZ67" si="15">IF($AB4="","",AY4*$E$17^($AB4-$AB$4+0.5))</f>
        <v>0</v>
      </c>
      <c r="BA4" s="46">
        <f>IF($AB4="","",SUM($AZ4:$AZ$114))</f>
        <v>0</v>
      </c>
      <c r="BB4" s="42"/>
      <c r="BC4" s="262">
        <f t="shared" ref="BC4:BC67" si="16">AE4</f>
        <v>0</v>
      </c>
      <c r="BD4" s="262">
        <f t="shared" ref="BD4:BD67" si="17">IF($AB4="","",$AF4*$BB4*(1-0.5*BC4))</f>
        <v>0</v>
      </c>
      <c r="BE4" s="262">
        <f t="shared" ref="BE4:BE67" si="18">IF($AB4="","",BD4*$E$17^($AB4-$AB$4+0.5))</f>
        <v>0</v>
      </c>
      <c r="BF4" s="46">
        <f>IF($AB4="","",SUM($BE4:$BE$114))</f>
        <v>0</v>
      </c>
      <c r="BG4" s="42"/>
      <c r="BH4" s="262">
        <f t="shared" ref="BH4:BH67" si="19">AE4</f>
        <v>0</v>
      </c>
      <c r="BI4" s="262">
        <f t="shared" ref="BI4:BI67" si="20">IF($AB4="","",$AF4*$BG4*(1-0.5*BH4))</f>
        <v>0</v>
      </c>
      <c r="BJ4" s="262">
        <f t="shared" ref="BJ4:BJ67" si="21">IF($AB4="","",BI4*$E$17^($AB4-$AB$4+0.5))</f>
        <v>0</v>
      </c>
      <c r="BK4" s="46">
        <f>IF($AB4="","",SUM($BJ4:$BJ$114))</f>
        <v>0</v>
      </c>
      <c r="BL4" s="42"/>
      <c r="BM4" s="262">
        <f t="shared" ref="BM4:BM67" si="22">AE4</f>
        <v>0</v>
      </c>
      <c r="BN4" s="262">
        <f t="shared" ref="BN4:BN67" si="23">IF($AB4="","",$AF4*$BL4*(1-0.5*BM4))</f>
        <v>0</v>
      </c>
      <c r="BO4" s="262">
        <f t="shared" ref="BO4:BO67" si="24">IF($AB4="","",BN4*$E$17^($AB4-$AB$4+0.5))</f>
        <v>0</v>
      </c>
      <c r="BP4" s="46">
        <f>IF($AB4="","",SUM($BO4:$BO$114))</f>
        <v>0</v>
      </c>
      <c r="BQ4" s="42">
        <f t="shared" ref="BQ4:BQ67" si="25">AE4</f>
        <v>0</v>
      </c>
      <c r="BR4" s="262">
        <f>IF($AB4="","",AF4*$BQ4)</f>
        <v>0</v>
      </c>
      <c r="BS4" s="262">
        <f t="shared" ref="BS4:BS67" si="26">IF($AB4="","",BR4*$E$17^($AB4-$AB$4+0.5))</f>
        <v>0</v>
      </c>
      <c r="BT4" s="262">
        <f t="shared" ref="BT4:BT67" si="27">IF(AB4="","",IF(AB4-$AB$4&gt;$F$4,0,IF(AB4-$AB$4&gt;=$F$5,(CA4+CA5)/2,0)))</f>
        <v>0</v>
      </c>
      <c r="BU4" s="262">
        <f>IFERROR(IF($AB4="","",BS4*BT4),0)</f>
        <v>0</v>
      </c>
      <c r="BV4" s="262"/>
      <c r="BW4" s="262"/>
      <c r="BX4" s="262"/>
      <c r="BY4" s="262"/>
      <c r="BZ4" s="262">
        <f>IF($AB4="","",SUM(BU4:BU$114))</f>
        <v>0</v>
      </c>
      <c r="CA4" s="44">
        <f>IF(AB4&lt;$E$3+$F$5,0,IFERROR(일반형!S6,0))</f>
        <v>0</v>
      </c>
      <c r="CB4" s="44"/>
      <c r="CC4" s="389" t="str">
        <f t="shared" si="0"/>
        <v>0</v>
      </c>
      <c r="CD4" s="262">
        <f>IF($AB4="","",IF(AND($F$4=1,$G$3=1),0.475*$AT$2*(AT4-$AT$117),$AT$2*(AT4-$AT$117)))</f>
        <v>0.7046171514186621</v>
      </c>
      <c r="CE4" s="262">
        <f t="shared" ref="CE4:CE67" si="28">IF($AB4="","",(BZ4-$BZ$117))</f>
        <v>0</v>
      </c>
      <c r="CF4" s="262">
        <f t="shared" ref="CF4:CF67" si="29">IF($AB4="","",MAX(($AO4-AO$116)-(($CE$2-1)/(2*$CE$2))*($AN4-$AN$116),0))</f>
        <v>98991.442542787307</v>
      </c>
      <c r="CG4" s="262">
        <f>IF($AB4="","",IF($F$5=0,$AH4-AH$117,MIN($AH4,$AH$116)-$AH$117))</f>
        <v>0</v>
      </c>
      <c r="CH4" s="262">
        <f t="shared" ref="CH4:CH67" si="30">IF($AB4="","",-$CE$2*CF4*($K$52+$E$29*$K$33/$CE$2/$K$32))</f>
        <v>-0.7046171514186621</v>
      </c>
      <c r="CI4" s="225">
        <f>IF($AB4="","",IF($F$5=0,($CD4+$K$34*ROUND($K$55,$E$18)+$E$37*$CG4)/$AG4,($CD4+$CE$2*$F$5*($K$55)*CE4+$E$29*$CG4+$CH4)/$AG4))</f>
        <v>0</v>
      </c>
      <c r="CJ4" s="47">
        <f t="shared" ref="CJ4:CJ67" si="31">IF(AB4="","",ROUND(CI4,$E$18)*$E$19)</f>
        <v>0</v>
      </c>
      <c r="CK4" s="235"/>
      <c r="CL4" s="202">
        <v>0</v>
      </c>
      <c r="CM4" s="262">
        <f t="shared" ref="CM4:CM67" si="32">IF($F$2=1,CS4,CT4)</f>
        <v>0</v>
      </c>
      <c r="CN4" s="262">
        <f t="shared" ref="CN4:CN67" si="33">IF($F$2=1,CU4,CV4)</f>
        <v>3.9999999999999998E-6</v>
      </c>
      <c r="CO4" s="262">
        <f t="shared" ref="CO4:CO67" si="34">IF($F$2=1,CW4,CX4)</f>
        <v>8.8999999999999995E-5</v>
      </c>
      <c r="CP4" s="262">
        <f>IF($F$2=1,CY4,CZ4)</f>
        <v>1.5E-5</v>
      </c>
      <c r="CQ4" s="262"/>
      <c r="CR4" s="202" t="s">
        <v>18</v>
      </c>
      <c r="CS4" s="262"/>
      <c r="CT4" s="262"/>
      <c r="CU4" s="262">
        <v>3.9999999999999998E-6</v>
      </c>
      <c r="CV4" s="262">
        <v>3.0000000000000001E-6</v>
      </c>
      <c r="CW4" s="262">
        <v>8.8999999999999995E-5</v>
      </c>
      <c r="CX4" s="262">
        <v>3.8000000000000002E-5</v>
      </c>
      <c r="CY4" s="262">
        <v>1.5E-5</v>
      </c>
      <c r="CZ4" s="262">
        <v>3.9999999999999998E-6</v>
      </c>
      <c r="DA4" s="262"/>
      <c r="DB4" s="262"/>
      <c r="DC4" s="262"/>
      <c r="DD4" s="262"/>
      <c r="EI4" s="373" ph="1"/>
      <c r="EJ4" s="373" ph="1"/>
      <c r="EN4" s="373" ph="1"/>
      <c r="EO4" s="373" ph="1"/>
      <c r="EQ4" s="373" ph="1"/>
      <c r="ER4" s="373" ph="1"/>
      <c r="ES4" s="373" ph="1"/>
      <c r="ET4" s="373" ph="1"/>
      <c r="EV4" s="373" ph="1"/>
      <c r="EW4" s="373" ph="1"/>
      <c r="EX4" s="373" ph="1"/>
      <c r="EY4" s="373" ph="1"/>
      <c r="EZ4" s="373" ph="1"/>
      <c r="FA4" s="373" ph="1"/>
      <c r="FB4" s="373" ph="1"/>
      <c r="FC4" s="373" ph="1"/>
      <c r="FD4" s="373" ph="1"/>
      <c r="FE4" s="373" ph="1"/>
      <c r="FF4" s="373" ph="1"/>
      <c r="FG4" s="373" ph="1"/>
      <c r="FH4" s="373" ph="1"/>
      <c r="FI4" s="373" ph="1"/>
      <c r="FJ4" s="373" ph="1"/>
      <c r="FK4" s="373" ph="1"/>
      <c r="FL4" s="373" ph="1"/>
      <c r="FN4" s="373" ph="1"/>
      <c r="FO4" s="373" ph="1"/>
      <c r="FP4" s="373" ph="1"/>
      <c r="FQ4" s="373" ph="1"/>
      <c r="FS4" s="373" ph="1"/>
      <c r="FT4" s="373" ph="1"/>
      <c r="FU4" s="373" ph="1"/>
      <c r="FV4" s="373" ph="1"/>
      <c r="FW4" s="373" ph="1"/>
      <c r="FX4" s="373" ph="1"/>
      <c r="FY4" s="373" ph="1"/>
      <c r="FZ4" s="373" ph="1"/>
      <c r="GA4" s="373" ph="1"/>
      <c r="GB4" s="373" ph="1"/>
      <c r="GC4" s="373" ph="1"/>
      <c r="GD4" s="373" ph="1"/>
      <c r="GE4" s="373" ph="1"/>
      <c r="GF4" s="373" ph="1"/>
      <c r="GG4" s="373" ph="1"/>
      <c r="GJ4" s="373" ph="1"/>
      <c r="GK4" s="373" ph="1"/>
      <c r="GM4" s="373" ph="1"/>
      <c r="GN4" s="373" ph="1"/>
      <c r="GO4" s="373" ph="1"/>
      <c r="GP4" s="373" ph="1"/>
      <c r="GR4" s="373" ph="1"/>
      <c r="GS4" s="373" ph="1"/>
      <c r="GT4" s="373" ph="1"/>
      <c r="GU4" s="373" ph="1"/>
      <c r="GV4" s="373" ph="1"/>
      <c r="GW4" s="373" ph="1"/>
      <c r="GX4" s="373" ph="1"/>
      <c r="GY4" s="373" ph="1"/>
      <c r="GZ4" s="373" ph="1"/>
      <c r="HA4" s="373" ph="1"/>
      <c r="HB4" s="373" ph="1"/>
      <c r="HC4" s="373" ph="1"/>
      <c r="HD4" s="373" ph="1"/>
      <c r="HE4" s="373" ph="1"/>
      <c r="HF4" s="373" ph="1"/>
      <c r="HG4" s="373" ph="1"/>
      <c r="HH4" s="373" ph="1"/>
      <c r="HJ4" s="373" ph="1"/>
      <c r="HK4" s="373" ph="1"/>
      <c r="HL4" s="373" ph="1"/>
      <c r="HM4" s="373" ph="1"/>
      <c r="HO4" s="373" ph="1"/>
      <c r="HP4" s="373" ph="1"/>
      <c r="HQ4" s="373" ph="1"/>
      <c r="HR4" s="373" ph="1"/>
      <c r="HS4" s="373" ph="1"/>
      <c r="HT4" s="373" ph="1"/>
      <c r="HU4" s="373" ph="1"/>
      <c r="HV4" s="373" ph="1"/>
      <c r="HW4" s="373" ph="1"/>
      <c r="HX4" s="373" ph="1"/>
      <c r="HY4" s="373" ph="1"/>
      <c r="HZ4" s="373" ph="1"/>
      <c r="IA4" s="373" ph="1"/>
      <c r="IB4" s="373" ph="1"/>
      <c r="IC4" s="373" ph="1"/>
      <c r="ID4" s="373" ph="1"/>
      <c r="IE4" s="373" ph="1"/>
      <c r="IF4" s="373" ph="1"/>
      <c r="IG4" s="373" ph="1"/>
      <c r="IH4" s="373" ph="1"/>
      <c r="II4" s="373" ph="1"/>
      <c r="IJ4" s="373" ph="1"/>
      <c r="IK4" s="373" ph="1"/>
      <c r="IL4" s="373" ph="1"/>
      <c r="IM4" s="373" ph="1"/>
      <c r="IN4" s="373" ph="1"/>
      <c r="IO4" s="373" ph="1"/>
      <c r="IP4" s="373" ph="1"/>
      <c r="IQ4" s="373" ph="1"/>
      <c r="IR4" s="373" ph="1"/>
      <c r="IS4" s="373" ph="1"/>
      <c r="IT4" s="373" ph="1"/>
      <c r="IU4" s="373" ph="1"/>
      <c r="IV4" s="373" ph="1"/>
      <c r="IY4" s="373" ph="1"/>
      <c r="IZ4" s="373" ph="1"/>
      <c r="KL4" s="373" ph="1"/>
      <c r="KM4" s="373" ph="1"/>
      <c r="KQ4" s="373" ph="1"/>
      <c r="KR4" s="373" ph="1"/>
      <c r="KT4" s="373" ph="1"/>
      <c r="KU4" s="373" ph="1"/>
      <c r="KV4" s="373" ph="1"/>
      <c r="KW4" s="373" ph="1"/>
      <c r="KY4" s="373" ph="1"/>
      <c r="KZ4" s="373" ph="1"/>
      <c r="LA4" s="373" ph="1"/>
      <c r="LB4" s="373" ph="1"/>
      <c r="LC4" s="373" ph="1"/>
      <c r="LD4" s="373" ph="1"/>
      <c r="LE4" s="373" ph="1"/>
      <c r="LF4" s="373" ph="1"/>
      <c r="LG4" s="373" ph="1"/>
      <c r="LH4" s="373" ph="1"/>
      <c r="LI4" s="373" ph="1"/>
      <c r="LJ4" s="373" ph="1"/>
      <c r="LK4" s="373" ph="1"/>
      <c r="LL4" s="373" ph="1"/>
      <c r="LM4" s="373" ph="1"/>
      <c r="LN4" s="373" ph="1"/>
      <c r="LO4" s="373" ph="1"/>
      <c r="LQ4" s="373" ph="1"/>
      <c r="LR4" s="373" ph="1"/>
      <c r="LS4" s="373" ph="1"/>
      <c r="LT4" s="373" ph="1"/>
      <c r="LV4" s="373" ph="1"/>
      <c r="LW4" s="373" ph="1"/>
      <c r="LX4" s="373" ph="1"/>
      <c r="LY4" s="373" ph="1"/>
      <c r="LZ4" s="373" ph="1"/>
      <c r="MA4" s="373" ph="1"/>
      <c r="MB4" s="373" ph="1"/>
      <c r="MC4" s="373" ph="1"/>
      <c r="MD4" s="373" ph="1"/>
      <c r="ME4" s="373" ph="1"/>
      <c r="MF4" s="373" ph="1"/>
      <c r="MG4" s="373" ph="1"/>
      <c r="MH4" s="373" ph="1"/>
      <c r="MI4" s="373" ph="1"/>
      <c r="MJ4" s="373" ph="1"/>
      <c r="MM4" s="373" ph="1"/>
      <c r="MN4" s="373" ph="1"/>
      <c r="MP4" s="373" ph="1"/>
      <c r="MQ4" s="373" ph="1"/>
      <c r="MR4" s="373" ph="1"/>
      <c r="MS4" s="373" ph="1"/>
      <c r="MU4" s="373" ph="1"/>
      <c r="MV4" s="373" ph="1"/>
      <c r="MW4" s="373" ph="1"/>
      <c r="MX4" s="373" ph="1"/>
      <c r="MY4" s="373" ph="1"/>
      <c r="MZ4" s="373" ph="1"/>
      <c r="NA4" s="373" ph="1"/>
      <c r="NB4" s="373" ph="1"/>
      <c r="NC4" s="373" ph="1"/>
      <c r="ND4" s="373" ph="1"/>
      <c r="NE4" s="373" ph="1"/>
      <c r="NF4" s="373" ph="1"/>
      <c r="NG4" s="373" ph="1"/>
      <c r="NH4" s="373" ph="1"/>
      <c r="NI4" s="373" ph="1"/>
      <c r="NJ4" s="373" ph="1"/>
      <c r="NK4" s="373" ph="1"/>
      <c r="NM4" s="373" ph="1"/>
      <c r="NN4" s="373" ph="1"/>
      <c r="NO4" s="373" ph="1"/>
      <c r="NP4" s="373" ph="1"/>
      <c r="NR4" s="373" ph="1"/>
      <c r="NS4" s="373" ph="1"/>
      <c r="NT4" s="373" ph="1"/>
      <c r="NU4" s="373" ph="1"/>
      <c r="NV4" s="373" ph="1"/>
      <c r="NW4" s="373" ph="1"/>
      <c r="NX4" s="373" ph="1"/>
      <c r="NY4" s="373" ph="1"/>
      <c r="NZ4" s="373" ph="1"/>
      <c r="OA4" s="373" ph="1"/>
      <c r="OB4" s="373" ph="1"/>
      <c r="OC4" s="373" ph="1"/>
      <c r="OD4" s="373" ph="1"/>
      <c r="OE4" s="373" ph="1"/>
      <c r="OF4" s="373" ph="1"/>
      <c r="OG4" s="373" ph="1"/>
      <c r="OH4" s="373" ph="1"/>
      <c r="OI4" s="373" ph="1"/>
      <c r="OJ4" s="373" ph="1"/>
      <c r="OK4" s="373" ph="1"/>
      <c r="OL4" s="373" ph="1"/>
      <c r="OM4" s="373" ph="1"/>
      <c r="ON4" s="373" ph="1"/>
      <c r="OO4" s="373" ph="1"/>
      <c r="OP4" s="373" ph="1"/>
      <c r="OQ4" s="373" ph="1"/>
      <c r="OR4" s="373" ph="1"/>
      <c r="OS4" s="373" ph="1"/>
      <c r="OT4" s="373" ph="1"/>
      <c r="OU4" s="373" ph="1"/>
      <c r="OV4" s="373" ph="1"/>
      <c r="OW4" s="373" ph="1"/>
      <c r="OX4" s="373" ph="1"/>
      <c r="OY4" s="373" ph="1"/>
      <c r="OZ4" s="373" ph="1"/>
      <c r="PA4" s="373" ph="1"/>
      <c r="PD4" s="373" ph="1"/>
      <c r="PE4" s="373" ph="1"/>
      <c r="QQ4" s="373" ph="1"/>
      <c r="QR4" s="373" ph="1"/>
      <c r="QV4" s="373" ph="1"/>
      <c r="QW4" s="373" ph="1"/>
      <c r="QY4" s="373" ph="1"/>
      <c r="QZ4" s="373" ph="1"/>
      <c r="RA4" s="373" ph="1"/>
      <c r="RB4" s="373" ph="1"/>
      <c r="RD4" s="373" ph="1"/>
      <c r="RE4" s="373" ph="1"/>
      <c r="RF4" s="373" ph="1"/>
      <c r="RG4" s="373" ph="1"/>
      <c r="RH4" s="373" ph="1"/>
      <c r="RI4" s="373" ph="1"/>
      <c r="RJ4" s="373" ph="1"/>
      <c r="RK4" s="373" ph="1"/>
      <c r="RL4" s="373" ph="1"/>
      <c r="RM4" s="373" ph="1"/>
      <c r="RN4" s="373" ph="1"/>
      <c r="RO4" s="373" ph="1"/>
      <c r="RP4" s="373" ph="1"/>
      <c r="RQ4" s="373" ph="1"/>
      <c r="RR4" s="373" ph="1"/>
      <c r="RS4" s="373" ph="1"/>
      <c r="RT4" s="373" ph="1"/>
      <c r="RV4" s="373" ph="1"/>
      <c r="RW4" s="373" ph="1"/>
      <c r="RX4" s="373" ph="1"/>
      <c r="RY4" s="373" ph="1"/>
      <c r="SA4" s="373" ph="1"/>
      <c r="SB4" s="373" ph="1"/>
      <c r="SC4" s="373" ph="1"/>
      <c r="SD4" s="373" ph="1"/>
      <c r="SE4" s="373" ph="1"/>
      <c r="SF4" s="373" ph="1"/>
      <c r="SG4" s="373" ph="1"/>
      <c r="SH4" s="373" ph="1"/>
      <c r="SI4" s="373" ph="1"/>
      <c r="SJ4" s="373" ph="1"/>
      <c r="SK4" s="373" ph="1"/>
      <c r="SL4" s="373" ph="1"/>
      <c r="SM4" s="373" ph="1"/>
      <c r="SN4" s="373" ph="1"/>
      <c r="SO4" s="373" ph="1"/>
      <c r="SR4" s="373" ph="1"/>
      <c r="SS4" s="373" ph="1"/>
      <c r="SU4" s="373" ph="1"/>
      <c r="SV4" s="373" ph="1"/>
      <c r="SW4" s="373" ph="1"/>
      <c r="SX4" s="373" ph="1"/>
      <c r="SZ4" s="373" ph="1"/>
      <c r="TA4" s="373" ph="1"/>
      <c r="TB4" s="373" ph="1"/>
      <c r="TC4" s="373" ph="1"/>
      <c r="TD4" s="373" ph="1"/>
      <c r="TE4" s="373" ph="1"/>
      <c r="TF4" s="373" ph="1"/>
      <c r="TG4" s="373" ph="1"/>
      <c r="TH4" s="373" ph="1"/>
      <c r="TI4" s="373" ph="1"/>
      <c r="TJ4" s="373" ph="1"/>
      <c r="TK4" s="373" ph="1"/>
      <c r="TL4" s="373" ph="1"/>
      <c r="TM4" s="373" ph="1"/>
      <c r="TN4" s="373" ph="1"/>
      <c r="TO4" s="373" ph="1"/>
      <c r="TP4" s="373" ph="1"/>
      <c r="TR4" s="373" ph="1"/>
      <c r="TS4" s="373" ph="1"/>
      <c r="TT4" s="373" ph="1"/>
      <c r="TU4" s="373" ph="1"/>
      <c r="TW4" s="373" ph="1"/>
      <c r="TX4" s="373" ph="1"/>
      <c r="TY4" s="373" ph="1"/>
      <c r="TZ4" s="373" ph="1"/>
      <c r="UA4" s="373" ph="1"/>
      <c r="UB4" s="373" ph="1"/>
      <c r="UC4" s="373" ph="1"/>
      <c r="UD4" s="373" ph="1"/>
      <c r="UE4" s="373" ph="1"/>
      <c r="UF4" s="373" ph="1"/>
      <c r="UG4" s="373" ph="1"/>
      <c r="UH4" s="373" ph="1"/>
      <c r="UI4" s="373" ph="1"/>
      <c r="UJ4" s="373" ph="1"/>
      <c r="UK4" s="373" ph="1"/>
      <c r="UL4" s="373" ph="1"/>
      <c r="UM4" s="373" ph="1"/>
      <c r="UN4" s="373" ph="1"/>
      <c r="UO4" s="373" ph="1"/>
      <c r="UP4" s="373" ph="1"/>
      <c r="UQ4" s="373" ph="1"/>
      <c r="UR4" s="373" ph="1"/>
      <c r="US4" s="373" ph="1"/>
      <c r="UT4" s="373" ph="1"/>
      <c r="UU4" s="373" ph="1"/>
      <c r="UV4" s="373" ph="1"/>
      <c r="UW4" s="373" ph="1"/>
      <c r="UX4" s="373" ph="1"/>
      <c r="UY4" s="373" ph="1"/>
      <c r="UZ4" s="373" ph="1"/>
      <c r="VA4" s="373" ph="1"/>
      <c r="VB4" s="373" ph="1"/>
      <c r="VC4" s="373" ph="1"/>
      <c r="VD4" s="373" ph="1"/>
      <c r="VE4" s="373" ph="1"/>
      <c r="VF4" s="373" ph="1"/>
      <c r="VG4" s="373" ph="1"/>
      <c r="VH4" s="373" ph="1"/>
      <c r="VI4" s="373" ph="1"/>
      <c r="VJ4" s="373" ph="1"/>
      <c r="VK4" s="373" ph="1"/>
      <c r="VL4" s="373" ph="1"/>
      <c r="VM4" s="373" ph="1"/>
      <c r="VN4" s="373" ph="1"/>
      <c r="VO4" s="373" ph="1"/>
      <c r="VP4" s="373" ph="1"/>
      <c r="VQ4" s="373" ph="1"/>
      <c r="VR4" s="373" ph="1"/>
      <c r="VS4" s="373" ph="1"/>
      <c r="VT4" s="373" ph="1"/>
      <c r="VU4" s="373" ph="1"/>
      <c r="VV4" s="373" ph="1"/>
      <c r="VW4" s="373" ph="1"/>
      <c r="VX4" s="373" ph="1"/>
      <c r="VY4" s="373" ph="1"/>
      <c r="VZ4" s="373" ph="1"/>
      <c r="WA4" s="373" ph="1"/>
      <c r="WB4" s="373" ph="1"/>
      <c r="WC4" s="373" ph="1"/>
      <c r="WD4" s="373" ph="1"/>
      <c r="WE4" s="373" ph="1"/>
      <c r="WF4" s="373" ph="1"/>
      <c r="WG4" s="373" ph="1"/>
      <c r="WH4" s="373" ph="1"/>
      <c r="WI4" s="373" ph="1"/>
      <c r="WJ4" s="373" ph="1"/>
      <c r="WK4" s="373" ph="1"/>
      <c r="WL4" s="373" ph="1"/>
      <c r="WM4" s="373" ph="1"/>
      <c r="WN4" s="373" ph="1"/>
      <c r="WO4" s="373" ph="1"/>
      <c r="WP4" s="373" ph="1"/>
      <c r="WQ4" s="373" ph="1"/>
      <c r="WR4" s="373" ph="1"/>
      <c r="WS4" s="373" ph="1"/>
      <c r="WT4" s="373" ph="1"/>
      <c r="WU4" s="373" ph="1"/>
      <c r="WV4" s="373" ph="1"/>
      <c r="WW4" s="373" ph="1"/>
      <c r="WX4" s="373" ph="1"/>
      <c r="WY4" s="373" ph="1"/>
      <c r="WZ4" s="373" ph="1"/>
      <c r="XA4" s="373" ph="1"/>
      <c r="XB4" s="373" ph="1"/>
      <c r="XC4" s="373" ph="1"/>
      <c r="XD4" s="373" ph="1"/>
      <c r="XE4" s="373" ph="1"/>
      <c r="XF4" s="373" ph="1"/>
      <c r="XG4" s="373" ph="1"/>
      <c r="XH4" s="373" ph="1"/>
      <c r="XI4" s="373" ph="1"/>
      <c r="XJ4" s="373" ph="1"/>
      <c r="XK4" s="373" ph="1"/>
      <c r="XL4" s="373" ph="1"/>
      <c r="XM4" s="373" ph="1"/>
      <c r="XN4" s="373" ph="1"/>
      <c r="XO4" s="373" ph="1"/>
      <c r="XP4" s="373" ph="1"/>
      <c r="XQ4" s="373" ph="1"/>
      <c r="XR4" s="373" ph="1"/>
      <c r="XS4" s="373" ph="1"/>
      <c r="XT4" s="373" ph="1"/>
      <c r="XU4" s="373" ph="1"/>
      <c r="XV4" s="373" ph="1"/>
      <c r="XW4" s="373" ph="1"/>
      <c r="XX4" s="373" ph="1"/>
      <c r="XY4" s="373" ph="1"/>
      <c r="XZ4" s="373" ph="1"/>
      <c r="YA4" s="373" ph="1"/>
      <c r="YB4" s="373" ph="1"/>
      <c r="YC4" s="373" ph="1"/>
      <c r="YD4" s="373" ph="1"/>
      <c r="YE4" s="373" ph="1"/>
      <c r="YF4" s="373" ph="1"/>
      <c r="YG4" s="373" ph="1"/>
      <c r="YH4" s="373" ph="1"/>
      <c r="YI4" s="373" ph="1"/>
      <c r="YJ4" s="373" ph="1"/>
      <c r="YK4" s="373" ph="1"/>
      <c r="YL4" s="373" ph="1"/>
      <c r="YM4" s="373" ph="1"/>
      <c r="YN4" s="373" ph="1"/>
      <c r="YO4" s="373" ph="1"/>
      <c r="YP4" s="373" ph="1"/>
      <c r="YQ4" s="373" ph="1"/>
      <c r="YR4" s="373" ph="1"/>
      <c r="YS4" s="373" ph="1"/>
      <c r="YT4" s="373" ph="1"/>
      <c r="YU4" s="373" ph="1"/>
      <c r="YV4" s="373" ph="1"/>
      <c r="YW4" s="373" ph="1"/>
      <c r="YX4" s="373" ph="1"/>
      <c r="YY4" s="373" ph="1"/>
      <c r="YZ4" s="373" ph="1"/>
      <c r="ZA4" s="373" ph="1"/>
      <c r="ZB4" s="373" ph="1"/>
      <c r="ZC4" s="373" ph="1"/>
      <c r="ZD4" s="373" ph="1"/>
      <c r="ZE4" s="373" ph="1"/>
      <c r="ZF4" s="373" ph="1"/>
      <c r="ZG4" s="373" ph="1"/>
      <c r="ZH4" s="373" ph="1"/>
      <c r="ZI4" s="373" ph="1"/>
      <c r="ZJ4" s="373" ph="1"/>
      <c r="ZK4" s="373" ph="1"/>
      <c r="ZL4" s="373" ph="1"/>
      <c r="ZM4" s="373" ph="1"/>
      <c r="ZN4" s="373" ph="1"/>
      <c r="ZO4" s="373" ph="1"/>
      <c r="ZP4" s="373" ph="1"/>
      <c r="ZQ4" s="373" ph="1"/>
      <c r="ZR4" s="373" ph="1"/>
      <c r="ZS4" s="373" ph="1"/>
      <c r="ZT4" s="373" ph="1"/>
      <c r="ZU4" s="373" ph="1"/>
      <c r="ZV4" s="373" ph="1"/>
      <c r="ZW4" s="373" ph="1"/>
      <c r="ZX4" s="373" ph="1"/>
      <c r="ZY4" s="373" ph="1"/>
      <c r="ZZ4" s="373" ph="1"/>
      <c r="AAA4" s="373" ph="1"/>
      <c r="AAB4" s="373" ph="1"/>
      <c r="AAC4" s="373" ph="1"/>
      <c r="AAD4" s="373" ph="1"/>
      <c r="AAE4" s="373" ph="1"/>
      <c r="AAF4" s="373" ph="1"/>
      <c r="AAG4" s="373" ph="1"/>
      <c r="AAH4" s="373" ph="1"/>
      <c r="AAI4" s="373" ph="1"/>
      <c r="AAJ4" s="373" ph="1"/>
      <c r="AAK4" s="373" ph="1"/>
      <c r="AAL4" s="373" ph="1"/>
      <c r="AAM4" s="373" ph="1"/>
      <c r="AAN4" s="373" ph="1"/>
      <c r="AAO4" s="373" ph="1"/>
      <c r="AAP4" s="373" ph="1"/>
      <c r="AAQ4" s="373" ph="1"/>
      <c r="AAR4" s="373" ph="1"/>
      <c r="AAS4" s="373" ph="1"/>
      <c r="AAT4" s="373" ph="1"/>
      <c r="AAU4" s="373" ph="1"/>
      <c r="AAV4" s="373" ph="1"/>
      <c r="AAW4" s="373" ph="1"/>
      <c r="AAX4" s="373" ph="1"/>
      <c r="AAY4" s="373" ph="1"/>
      <c r="AAZ4" s="373" ph="1"/>
      <c r="ABA4" s="373" ph="1"/>
      <c r="ABB4" s="373" ph="1"/>
      <c r="ABC4" s="373" ph="1"/>
      <c r="ABD4" s="373" ph="1"/>
      <c r="ABE4" s="373" ph="1"/>
      <c r="ABF4" s="373" ph="1"/>
      <c r="ABG4" s="373" ph="1"/>
      <c r="ABH4" s="373" ph="1"/>
      <c r="ABI4" s="373" ph="1"/>
      <c r="ABJ4" s="373" ph="1"/>
      <c r="ABK4" s="373" ph="1"/>
      <c r="ABL4" s="373" ph="1"/>
      <c r="ABM4" s="373" ph="1"/>
      <c r="ABN4" s="373" ph="1"/>
      <c r="ABO4" s="373" ph="1"/>
      <c r="ABP4" s="373" ph="1"/>
      <c r="ABQ4" s="373" ph="1"/>
      <c r="ABR4" s="373" ph="1"/>
      <c r="ABS4" s="373" ph="1"/>
      <c r="ABT4" s="373" ph="1"/>
      <c r="ABU4" s="373" ph="1"/>
      <c r="ABV4" s="373" ph="1"/>
      <c r="ABW4" s="373" ph="1"/>
      <c r="ABX4" s="373" ph="1"/>
      <c r="ABY4" s="373" ph="1"/>
      <c r="ABZ4" s="373" ph="1"/>
      <c r="ACA4" s="373" ph="1"/>
      <c r="ACB4" s="373" ph="1"/>
      <c r="ACC4" s="373" ph="1"/>
      <c r="ACD4" s="373" ph="1"/>
      <c r="ACE4" s="373" ph="1"/>
      <c r="ACF4" s="373" ph="1"/>
      <c r="ACG4" s="373" ph="1"/>
      <c r="ACH4" s="373" ph="1"/>
      <c r="ACI4" s="373" ph="1"/>
      <c r="ACJ4" s="373" ph="1"/>
      <c r="ACK4" s="373" ph="1"/>
      <c r="ACL4" s="373" ph="1"/>
      <c r="ACM4" s="373" ph="1"/>
      <c r="ACN4" s="373" ph="1"/>
      <c r="ACO4" s="373" ph="1"/>
      <c r="ACP4" s="373" ph="1"/>
      <c r="ACQ4" s="373" ph="1"/>
      <c r="ACR4" s="373" ph="1"/>
      <c r="ACS4" s="373" ph="1"/>
      <c r="ACT4" s="373" ph="1"/>
      <c r="ACU4" s="373" ph="1"/>
      <c r="ACV4" s="373" ph="1"/>
      <c r="ACW4" s="373" ph="1"/>
      <c r="ACX4" s="373" ph="1"/>
      <c r="ACY4" s="373" ph="1"/>
      <c r="ACZ4" s="373" ph="1"/>
      <c r="ADA4" s="373" ph="1"/>
      <c r="ADB4" s="373" ph="1"/>
      <c r="ADC4" s="373" ph="1"/>
      <c r="ADD4" s="373" ph="1"/>
      <c r="ADE4" s="373" ph="1"/>
      <c r="ADF4" s="373" ph="1"/>
      <c r="ADG4" s="373" ph="1"/>
      <c r="ADH4" s="373" ph="1"/>
      <c r="ADI4" s="373" ph="1"/>
      <c r="ADJ4" s="373" ph="1"/>
      <c r="ADK4" s="373" ph="1"/>
      <c r="ADL4" s="373" ph="1"/>
      <c r="ADM4" s="373" ph="1"/>
      <c r="ADN4" s="373" ph="1"/>
      <c r="ADO4" s="373" ph="1"/>
      <c r="ADP4" s="373" ph="1"/>
      <c r="ADQ4" s="373" ph="1"/>
      <c r="ADR4" s="373" ph="1"/>
      <c r="ADS4" s="373" ph="1"/>
      <c r="ADT4" s="373" ph="1"/>
      <c r="ADU4" s="373" ph="1"/>
      <c r="ADV4" s="373" ph="1"/>
      <c r="ADW4" s="373" ph="1"/>
      <c r="ADX4" s="373" ph="1"/>
      <c r="ADY4" s="373" ph="1"/>
      <c r="ADZ4" s="373" ph="1"/>
      <c r="AEA4" s="373" ph="1"/>
      <c r="AEB4" s="373" ph="1"/>
      <c r="AEC4" s="373" ph="1"/>
      <c r="AED4" s="373" ph="1"/>
      <c r="AEE4" s="373" ph="1"/>
      <c r="AEF4" s="373" ph="1"/>
      <c r="AEG4" s="373" ph="1"/>
      <c r="AEH4" s="373" ph="1"/>
      <c r="AEI4" s="373" ph="1"/>
      <c r="AEJ4" s="373" ph="1"/>
      <c r="AEK4" s="373" ph="1"/>
      <c r="AEL4" s="373" ph="1"/>
      <c r="AEM4" s="373" ph="1"/>
      <c r="AEN4" s="373" ph="1"/>
      <c r="AEO4" s="373" ph="1"/>
      <c r="AEP4" s="373" ph="1"/>
      <c r="AEQ4" s="373" ph="1"/>
      <c r="AER4" s="373" ph="1"/>
      <c r="AES4" s="373" ph="1"/>
      <c r="AET4" s="373" ph="1"/>
      <c r="AEU4" s="373" ph="1"/>
      <c r="AEV4" s="373" ph="1"/>
      <c r="AEW4" s="373" ph="1"/>
      <c r="AEX4" s="373" ph="1"/>
      <c r="AEY4" s="373" ph="1"/>
      <c r="AEZ4" s="373" ph="1"/>
      <c r="AFA4" s="373" ph="1"/>
      <c r="AFB4" s="373" ph="1"/>
      <c r="AFC4" s="373" ph="1"/>
      <c r="AFD4" s="373" ph="1"/>
      <c r="AFE4" s="373" ph="1"/>
      <c r="AFF4" s="373" ph="1"/>
      <c r="AFG4" s="373" ph="1"/>
      <c r="AFH4" s="373" ph="1"/>
      <c r="AFI4" s="373" ph="1"/>
      <c r="AFJ4" s="373" ph="1"/>
      <c r="AFK4" s="373" ph="1"/>
      <c r="AFL4" s="373" ph="1"/>
      <c r="AFM4" s="373" ph="1"/>
      <c r="AFN4" s="373" ph="1"/>
      <c r="AFO4" s="373" ph="1"/>
      <c r="AFP4" s="373" ph="1"/>
      <c r="AFQ4" s="373" ph="1"/>
      <c r="AFR4" s="373" ph="1"/>
      <c r="AFS4" s="373" ph="1"/>
      <c r="AFT4" s="373" ph="1"/>
      <c r="AFU4" s="373" ph="1"/>
      <c r="AFV4" s="373" ph="1"/>
      <c r="AFW4" s="373" ph="1"/>
      <c r="AFX4" s="373" ph="1"/>
      <c r="AFY4" s="373" ph="1"/>
      <c r="AFZ4" s="373" ph="1"/>
      <c r="AGA4" s="373" ph="1"/>
      <c r="AGB4" s="373" ph="1"/>
      <c r="AGC4" s="373" ph="1"/>
      <c r="AGD4" s="373" ph="1"/>
      <c r="AGE4" s="373" ph="1"/>
      <c r="AGF4" s="373" ph="1"/>
      <c r="AGG4" s="373" ph="1"/>
      <c r="AGH4" s="373" ph="1"/>
      <c r="AGI4" s="373" ph="1"/>
      <c r="AGJ4" s="373" ph="1"/>
      <c r="AGK4" s="373" ph="1"/>
      <c r="AGL4" s="373" ph="1"/>
      <c r="AGM4" s="373" ph="1"/>
      <c r="AGN4" s="373" ph="1"/>
      <c r="AGO4" s="373" ph="1"/>
      <c r="AGP4" s="373" ph="1"/>
      <c r="AGQ4" s="373" ph="1"/>
      <c r="AGR4" s="373" ph="1"/>
      <c r="AGS4" s="373" ph="1"/>
      <c r="AGT4" s="373" ph="1"/>
      <c r="AGU4" s="373" ph="1"/>
      <c r="AGV4" s="373" ph="1"/>
      <c r="AGW4" s="373" ph="1"/>
      <c r="AGX4" s="373" ph="1"/>
      <c r="AGY4" s="373" ph="1"/>
      <c r="AGZ4" s="373" ph="1"/>
      <c r="AHA4" s="373" ph="1"/>
      <c r="AHB4" s="373" ph="1"/>
      <c r="AHC4" s="373" ph="1"/>
      <c r="AHD4" s="373" ph="1"/>
      <c r="AHE4" s="373" ph="1"/>
      <c r="AHF4" s="373" ph="1"/>
      <c r="AHG4" s="373" ph="1"/>
      <c r="AHH4" s="373" ph="1"/>
      <c r="AHI4" s="373" ph="1"/>
      <c r="AHJ4" s="373" ph="1"/>
      <c r="AHK4" s="373" ph="1"/>
      <c r="AHL4" s="373" ph="1"/>
      <c r="AHM4" s="373" ph="1"/>
    </row>
    <row r="5" spans="1:897" ht="17.25" thickBot="1">
      <c r="A5" s="692" t="s">
        <v>417</v>
      </c>
      <c r="B5" s="15"/>
      <c r="C5" s="28"/>
      <c r="D5" s="29" t="s">
        <v>19</v>
      </c>
      <c r="E5" s="660">
        <f>IF(입력!$A$3="PV",IF(PV!W10=PV!W12,"전기납",PV!W12),입력!E5)</f>
        <v>1</v>
      </c>
      <c r="F5" s="40">
        <f>IF($E$4=1,1,IF($E$5="전기납",$F$4,$E$5))</f>
        <v>1</v>
      </c>
      <c r="G5" s="30"/>
      <c r="H5" s="695" t="s">
        <v>399</v>
      </c>
      <c r="I5" s="588" t="s">
        <v>374</v>
      </c>
      <c r="J5" s="585"/>
      <c r="K5" s="596">
        <f>K4/K3</f>
        <v>0.5</v>
      </c>
      <c r="L5" s="596">
        <f>L4/L3</f>
        <v>0.5</v>
      </c>
      <c r="M5" s="50"/>
      <c r="N5" s="272">
        <v>6</v>
      </c>
      <c r="O5" s="274">
        <f>E3</f>
        <v>0</v>
      </c>
      <c r="P5" s="271">
        <f>IF(N5="","",IF(F5=0,K3,IF(F6=12,K3*N5,IF(F6=4,K3*2,K3))))</f>
        <v>120</v>
      </c>
      <c r="Q5" s="271">
        <f>Q3+(Q$7-Q$3)*$N5/12</f>
        <v>0</v>
      </c>
      <c r="R5" s="271">
        <f>ROUND(일반형!R5*0%,0)</f>
        <v>0</v>
      </c>
      <c r="S5" s="400">
        <f t="shared" si="1"/>
        <v>0</v>
      </c>
      <c r="T5" s="271">
        <f>일반형!P5</f>
        <v>120</v>
      </c>
      <c r="U5" s="271">
        <f>일반형!Q5</f>
        <v>0</v>
      </c>
      <c r="V5" s="271">
        <f>일반형!R5</f>
        <v>0</v>
      </c>
      <c r="W5" s="400">
        <f>일반형!S5</f>
        <v>0</v>
      </c>
      <c r="X5" s="271">
        <f>$E$12*10000</f>
        <v>10000000</v>
      </c>
      <c r="Y5" s="442">
        <f t="shared" si="2"/>
        <v>0</v>
      </c>
      <c r="Z5" s="443">
        <f>IF(N5="","",IF(R5&gt;X5,1,0))</f>
        <v>0</v>
      </c>
      <c r="AB5" s="750">
        <f t="shared" ref="AB5:AB68" si="35">IF(AB4="","",(IF(AB4=MIN(($E$3+$F$4),IF($F$2=1,110,112)),"",(AB4+1))))</f>
        <v>1</v>
      </c>
      <c r="AC5" s="643">
        <f t="shared" si="4"/>
        <v>0</v>
      </c>
      <c r="AD5" s="408"/>
      <c r="AE5" s="408">
        <f>IF(AB5="","",IF(AB5-$AB$4&lt;$F$5-1,INDEX(Main_무해지!$G$76:$G$87,MIN(AB5-$AB$4+1,12)),IF(AB5-$AB$4=$F$5-1,0,IF(AND($F$2=1,AB5&gt;109),0,IF(AND($F$2=2,AB5&gt;111),0,INDEX(Main_무해지!$H$76:$H$82,MIN(AB5-$AB$4-$F$5+1,7)))))))</f>
        <v>0.21500000000000002</v>
      </c>
      <c r="AF5" s="408">
        <f>IF(AB5="","",AF4*(1-AE4))</f>
        <v>100000</v>
      </c>
      <c r="AG5" s="408">
        <f t="shared" si="5"/>
        <v>97799.511002444997</v>
      </c>
      <c r="AH5" s="751">
        <f>IF($AB5="","",SUM(AG5:AG$114))</f>
        <v>97799.511002444997</v>
      </c>
      <c r="AI5" s="408">
        <f t="shared" ref="AI5:AI68" si="36">AC5</f>
        <v>0</v>
      </c>
      <c r="AJ5" s="638">
        <f t="shared" si="6"/>
        <v>2.9999999999999997E-5</v>
      </c>
      <c r="AK5" s="638"/>
      <c r="AL5" s="408">
        <f t="shared" si="7"/>
        <v>0.21500000000000002</v>
      </c>
      <c r="AM5" s="408">
        <f>IF($AB5="","",IF(AND($F$4=1,$G$3=1),AM4*(1-AL4),AM4*(1-AJ4)*(1-AL4)))</f>
        <v>100000</v>
      </c>
      <c r="AN5" s="408">
        <f t="shared" si="8"/>
        <v>97799.511002444997</v>
      </c>
      <c r="AO5" s="751">
        <f>IF($AB5="","",SUM(AN5:AN$114))</f>
        <v>97799.511002444997</v>
      </c>
      <c r="AP5" s="752">
        <f t="shared" ref="AP5:AP68" si="37">IF($AB5="","",INDEX($CP$4:$CP$116,$AB5+1))</f>
        <v>1.5E-5</v>
      </c>
      <c r="AQ5" s="408">
        <f t="shared" si="9"/>
        <v>0.21500000000000002</v>
      </c>
      <c r="AR5" s="408">
        <f t="shared" si="10"/>
        <v>1.3387499999999999</v>
      </c>
      <c r="AS5" s="408">
        <f t="shared" si="11"/>
        <v>1.2948054204424775</v>
      </c>
      <c r="AT5" s="753">
        <f>IF($AB5="","",SUM($AU5:$AU$114))</f>
        <v>1.2948054204424775</v>
      </c>
      <c r="AU5" s="408">
        <f t="shared" ref="AU5:AU68" si="38">IF($AB5="","",AS5*AV5)</f>
        <v>1.2948054204424775</v>
      </c>
      <c r="AV5" s="753">
        <f t="shared" si="12"/>
        <v>1</v>
      </c>
      <c r="AW5" s="752"/>
      <c r="AX5" s="408">
        <f t="shared" si="13"/>
        <v>0.21500000000000002</v>
      </c>
      <c r="AY5" s="408">
        <f t="shared" si="14"/>
        <v>0</v>
      </c>
      <c r="AZ5" s="408">
        <f t="shared" si="15"/>
        <v>0</v>
      </c>
      <c r="BA5" s="753">
        <f>IF($AB5="","",SUM($AZ5:$AZ$114))</f>
        <v>0</v>
      </c>
      <c r="BB5" s="752"/>
      <c r="BC5" s="408">
        <f t="shared" si="16"/>
        <v>0.21500000000000002</v>
      </c>
      <c r="BD5" s="408">
        <f t="shared" si="17"/>
        <v>0</v>
      </c>
      <c r="BE5" s="408">
        <f t="shared" si="18"/>
        <v>0</v>
      </c>
      <c r="BF5" s="753">
        <f>IF($AB5="","",SUM($BE5:$BE$114))</f>
        <v>0</v>
      </c>
      <c r="BG5" s="752"/>
      <c r="BH5" s="408">
        <f t="shared" si="19"/>
        <v>0.21500000000000002</v>
      </c>
      <c r="BI5" s="408">
        <f t="shared" si="20"/>
        <v>0</v>
      </c>
      <c r="BJ5" s="408">
        <f t="shared" si="21"/>
        <v>0</v>
      </c>
      <c r="BK5" s="753">
        <f>IF($AB5="","",SUM($BJ5:$BJ$114))</f>
        <v>0</v>
      </c>
      <c r="BL5" s="752"/>
      <c r="BM5" s="408">
        <f t="shared" si="22"/>
        <v>0.21500000000000002</v>
      </c>
      <c r="BN5" s="408">
        <f t="shared" si="23"/>
        <v>0</v>
      </c>
      <c r="BO5" s="408">
        <f t="shared" si="24"/>
        <v>0</v>
      </c>
      <c r="BP5" s="753">
        <f>IF($AB5="","",SUM($BO5:$BO$114))</f>
        <v>0</v>
      </c>
      <c r="BQ5" s="752">
        <f t="shared" si="25"/>
        <v>0.21500000000000002</v>
      </c>
      <c r="BR5" s="408">
        <f t="shared" ref="BR5:BR68" si="39">IF($AB5="","",AF5*$BQ5)</f>
        <v>21500.000000000004</v>
      </c>
      <c r="BS5" s="408">
        <f t="shared" si="26"/>
        <v>20794.260720458096</v>
      </c>
      <c r="BT5" s="408" t="e">
        <f t="shared" si="27"/>
        <v>#VALUE!</v>
      </c>
      <c r="BU5" s="408">
        <f t="shared" ref="BU5:BU68" si="40">IFERROR(IF($AB5="","",BS5*BT5),0)</f>
        <v>0</v>
      </c>
      <c r="BV5" s="408"/>
      <c r="BW5" s="408"/>
      <c r="BX5" s="408"/>
      <c r="BY5" s="408"/>
      <c r="BZ5" s="408">
        <f>IF($AB5="","",SUM(BU5:BU$114))</f>
        <v>0</v>
      </c>
      <c r="CA5" s="754">
        <f>IF(AB5&lt;$E$3+$F$5,0,IFERROR(일반형!S7,0))</f>
        <v>0</v>
      </c>
      <c r="CB5" s="754"/>
      <c r="CC5" s="755">
        <f t="shared" si="0"/>
        <v>1</v>
      </c>
      <c r="CD5" s="408">
        <f t="shared" ref="CD5:CD68" si="41">IF($AB5="","",IF(AND($F$4=1,$G$3=1),0.475*$AT$2*(AT5-$AT$117),$AT$2*(AT5-$AT$117)))</f>
        <v>0</v>
      </c>
      <c r="CE5" s="408">
        <f t="shared" si="28"/>
        <v>0</v>
      </c>
      <c r="CF5" s="408">
        <f t="shared" si="29"/>
        <v>0</v>
      </c>
      <c r="CG5" s="408">
        <f t="shared" ref="CG5:CG68" si="42">IF($AB5="","",IF($F$5=0,AH5-AH$117,MIN(AH5,AH$116)-AH$117))</f>
        <v>0</v>
      </c>
      <c r="CH5" s="254">
        <f t="shared" si="30"/>
        <v>0</v>
      </c>
      <c r="CI5" s="756">
        <f t="shared" ref="CI5:CI68" si="43">IF($AB5="","",IF($F$5=0,($CD5+$K$34*ROUND($K$55,$E$18)+$E$37*$CG5)/$AG5,($CD5+$CE$2*$F$5*(IF($F$7=0,ROUND($K$55,$E$18),ROUND($K$55,$E$18)))*CE5+$E$29*$CG5+$CH5)/$AG5))</f>
        <v>0</v>
      </c>
      <c r="CJ5" s="757">
        <f t="shared" si="31"/>
        <v>0</v>
      </c>
      <c r="CK5" s="413"/>
      <c r="CL5" s="758">
        <v>1</v>
      </c>
      <c r="CM5" s="408">
        <f t="shared" si="32"/>
        <v>0</v>
      </c>
      <c r="CN5" s="408">
        <f t="shared" si="33"/>
        <v>3.9999999999999998E-6</v>
      </c>
      <c r="CO5" s="408">
        <f t="shared" si="34"/>
        <v>2.5999999999999998E-5</v>
      </c>
      <c r="CP5" s="408">
        <f t="shared" ref="CP5:CP68" si="44">IF($F$2=1,CY5,CZ5)</f>
        <v>1.5E-5</v>
      </c>
      <c r="CQ5" s="408"/>
      <c r="CR5" s="758">
        <v>1</v>
      </c>
      <c r="CS5" s="408"/>
      <c r="CT5" s="408"/>
      <c r="CU5" s="408">
        <v>3.9999999999999998E-6</v>
      </c>
      <c r="CV5" s="408">
        <v>3.0000000000000001E-6</v>
      </c>
      <c r="CW5" s="408">
        <v>2.5999999999999998E-5</v>
      </c>
      <c r="CX5" s="408">
        <v>7.9999999999999996E-6</v>
      </c>
      <c r="CY5" s="408">
        <v>1.5E-5</v>
      </c>
      <c r="CZ5" s="408">
        <v>3.9999999999999998E-6</v>
      </c>
      <c r="DA5" s="408"/>
      <c r="DB5" s="408"/>
      <c r="DC5" s="408"/>
      <c r="DD5" s="408"/>
    </row>
    <row r="6" spans="1:897">
      <c r="A6" s="14"/>
      <c r="B6" s="15"/>
      <c r="C6" s="28"/>
      <c r="D6" s="29" t="s">
        <v>21</v>
      </c>
      <c r="E6" s="633" t="s">
        <v>249</v>
      </c>
      <c r="F6" s="51">
        <f>VLOOKUP(E6,$D$50:$E$58,2,0)</f>
        <v>12</v>
      </c>
      <c r="G6" s="30"/>
      <c r="H6" s="321"/>
      <c r="I6" s="590" t="str">
        <f>+IF(E18=5,"10만당","100만당")</f>
        <v>100만당</v>
      </c>
      <c r="J6" s="224"/>
      <c r="K6" s="212"/>
      <c r="L6" s="591"/>
      <c r="M6" s="50"/>
      <c r="N6" s="272">
        <v>9</v>
      </c>
      <c r="O6" s="274">
        <f>E3</f>
        <v>0</v>
      </c>
      <c r="P6" s="271">
        <f>IF(N6="","",IF(F5=0,K3,IF(F6=12,K3*N6,IF(F6=4,K3*3,IF(F6=2,K3*2,K3)))))</f>
        <v>180</v>
      </c>
      <c r="Q6" s="271">
        <f>+Q3+(Q$7-Q$3)*$N6/12</f>
        <v>0</v>
      </c>
      <c r="R6" s="271">
        <f>ROUND(일반형!R6*0%,0)</f>
        <v>0</v>
      </c>
      <c r="S6" s="400">
        <f t="shared" si="1"/>
        <v>0</v>
      </c>
      <c r="T6" s="271">
        <f>일반형!P6</f>
        <v>180</v>
      </c>
      <c r="U6" s="271">
        <f>일반형!Q6</f>
        <v>0</v>
      </c>
      <c r="V6" s="271">
        <f>일반형!R6</f>
        <v>0</v>
      </c>
      <c r="W6" s="400">
        <f>일반형!S6</f>
        <v>0</v>
      </c>
      <c r="X6" s="271">
        <f>$E$12*10000</f>
        <v>10000000</v>
      </c>
      <c r="Y6" s="442">
        <f t="shared" si="2"/>
        <v>0</v>
      </c>
      <c r="Z6" s="443">
        <f>IF(N6="","",IF(R6&gt;X6,1,0))</f>
        <v>0</v>
      </c>
      <c r="AB6" s="52" t="str">
        <f t="shared" si="35"/>
        <v/>
      </c>
      <c r="AC6" s="644" t="str">
        <f t="shared" si="4"/>
        <v/>
      </c>
      <c r="AD6" s="254"/>
      <c r="AE6" s="254" t="str">
        <f>IF(AB6="","",IF(AB6-$AB$4&lt;$F$5-1,INDEX(Main_무해지!$G$76:$G$87,MIN(AB6-$AB$4+1,12)),IF(AB6-$AB$4=$F$5-1,0,IF(AND($F$2=1,AB6&gt;109),0,IF(AND($F$2=2,AB6&gt;111),0,INDEX(Main_무해지!$H$76:$H$82,MIN(AB6-$AB$4-$F$5+1,7)))))))</f>
        <v/>
      </c>
      <c r="AF6" s="254" t="str">
        <f t="shared" ref="AF6:AF69" si="45">IF(AB6="","",AF5*(1-AE5))</f>
        <v/>
      </c>
      <c r="AG6" s="254" t="str">
        <f t="shared" si="5"/>
        <v/>
      </c>
      <c r="AH6" s="54" t="str">
        <f>IF($AB6="","",SUM(AG6:AG$114))</f>
        <v/>
      </c>
      <c r="AI6" s="254" t="str">
        <f t="shared" si="36"/>
        <v/>
      </c>
      <c r="AJ6" s="56" t="str">
        <f t="shared" si="6"/>
        <v/>
      </c>
      <c r="AK6" s="56"/>
      <c r="AL6" s="254" t="str">
        <f t="shared" si="7"/>
        <v/>
      </c>
      <c r="AM6" s="254" t="str">
        <f t="shared" ref="AM6:AM69" si="46">IF($AB6="","",IF(AND($F$4=1,$G$3=1),AM5*(1-AL5),AM5*(1-AJ5)*(1-AL5)))</f>
        <v/>
      </c>
      <c r="AN6" s="254" t="str">
        <f t="shared" si="8"/>
        <v/>
      </c>
      <c r="AO6" s="54" t="str">
        <f>IF($AB6="","",SUM(AN6:AN$114))</f>
        <v/>
      </c>
      <c r="AP6" s="53" t="str">
        <f t="shared" si="37"/>
        <v/>
      </c>
      <c r="AQ6" s="254" t="str">
        <f t="shared" si="9"/>
        <v/>
      </c>
      <c r="AR6" s="254" t="str">
        <f t="shared" si="10"/>
        <v/>
      </c>
      <c r="AS6" s="254" t="str">
        <f t="shared" si="11"/>
        <v/>
      </c>
      <c r="AT6" s="57" t="str">
        <f>IF($AB6="","",SUM($AU6:$AU$114))</f>
        <v/>
      </c>
      <c r="AU6" s="254" t="str">
        <f t="shared" si="38"/>
        <v/>
      </c>
      <c r="AV6" s="57" t="str">
        <f t="shared" si="12"/>
        <v/>
      </c>
      <c r="AW6" s="53"/>
      <c r="AX6" s="254" t="str">
        <f t="shared" si="13"/>
        <v/>
      </c>
      <c r="AY6" s="254" t="str">
        <f t="shared" si="14"/>
        <v/>
      </c>
      <c r="AZ6" s="254" t="str">
        <f t="shared" si="15"/>
        <v/>
      </c>
      <c r="BA6" s="57" t="str">
        <f>IF($AB6="","",SUM($AZ6:$AZ$114))</f>
        <v/>
      </c>
      <c r="BB6" s="53"/>
      <c r="BC6" s="254" t="str">
        <f t="shared" si="16"/>
        <v/>
      </c>
      <c r="BD6" s="254" t="str">
        <f t="shared" si="17"/>
        <v/>
      </c>
      <c r="BE6" s="254" t="str">
        <f t="shared" si="18"/>
        <v/>
      </c>
      <c r="BF6" s="57" t="str">
        <f>IF($AB6="","",SUM($BE6:$BE$114))</f>
        <v/>
      </c>
      <c r="BG6" s="53"/>
      <c r="BH6" s="254" t="str">
        <f t="shared" si="19"/>
        <v/>
      </c>
      <c r="BI6" s="254" t="str">
        <f t="shared" si="20"/>
        <v/>
      </c>
      <c r="BJ6" s="254" t="str">
        <f t="shared" si="21"/>
        <v/>
      </c>
      <c r="BK6" s="57" t="str">
        <f>IF($AB6="","",SUM($BJ6:$BJ$114))</f>
        <v/>
      </c>
      <c r="BL6" s="53"/>
      <c r="BM6" s="254" t="str">
        <f t="shared" si="22"/>
        <v/>
      </c>
      <c r="BN6" s="254" t="str">
        <f t="shared" si="23"/>
        <v/>
      </c>
      <c r="BO6" s="254" t="str">
        <f t="shared" si="24"/>
        <v/>
      </c>
      <c r="BP6" s="57" t="str">
        <f>IF($AB6="","",SUM($BO6:$BO$114))</f>
        <v/>
      </c>
      <c r="BQ6" s="53" t="str">
        <f t="shared" si="25"/>
        <v/>
      </c>
      <c r="BR6" s="254" t="str">
        <f t="shared" si="39"/>
        <v/>
      </c>
      <c r="BS6" s="254" t="str">
        <f t="shared" si="26"/>
        <v/>
      </c>
      <c r="BT6" s="254" t="str">
        <f t="shared" si="27"/>
        <v/>
      </c>
      <c r="BU6" s="254" t="str">
        <f t="shared" si="40"/>
        <v/>
      </c>
      <c r="BV6" s="254"/>
      <c r="BW6" s="254"/>
      <c r="BX6" s="254"/>
      <c r="BY6" s="254"/>
      <c r="BZ6" s="254" t="str">
        <f>IF($AB6="","",SUM(BU6:BU$114))</f>
        <v/>
      </c>
      <c r="CA6" s="55" t="str">
        <f>IF(AB6&lt;$E$3+$F$5,0,IFERROR(일반형!S8,0))</f>
        <v/>
      </c>
      <c r="CB6" s="55"/>
      <c r="CC6" s="390" t="str">
        <f t="shared" si="0"/>
        <v/>
      </c>
      <c r="CD6" s="254" t="str">
        <f t="shared" si="41"/>
        <v/>
      </c>
      <c r="CE6" s="254" t="str">
        <f t="shared" si="28"/>
        <v/>
      </c>
      <c r="CF6" s="254" t="str">
        <f t="shared" si="29"/>
        <v/>
      </c>
      <c r="CG6" s="254" t="str">
        <f t="shared" si="42"/>
        <v/>
      </c>
      <c r="CH6" s="254" t="str">
        <f t="shared" si="30"/>
        <v/>
      </c>
      <c r="CI6" s="58" t="str">
        <f t="shared" si="43"/>
        <v/>
      </c>
      <c r="CJ6" s="59" t="str">
        <f t="shared" si="31"/>
        <v/>
      </c>
      <c r="CK6" s="236"/>
      <c r="CL6" s="203">
        <v>2</v>
      </c>
      <c r="CM6" s="254">
        <f t="shared" si="32"/>
        <v>0</v>
      </c>
      <c r="CN6" s="254">
        <f t="shared" si="33"/>
        <v>3.9999999999999998E-6</v>
      </c>
      <c r="CO6" s="254">
        <f t="shared" si="34"/>
        <v>2.4000000000000001E-5</v>
      </c>
      <c r="CP6" s="254">
        <f t="shared" si="44"/>
        <v>1.5E-5</v>
      </c>
      <c r="CQ6" s="254"/>
      <c r="CR6" s="203">
        <v>2</v>
      </c>
      <c r="CS6" s="254"/>
      <c r="CT6" s="254"/>
      <c r="CU6" s="254">
        <v>3.9999999999999998E-6</v>
      </c>
      <c r="CV6" s="254">
        <v>3.0000000000000001E-6</v>
      </c>
      <c r="CW6" s="254">
        <v>2.4000000000000001E-5</v>
      </c>
      <c r="CX6" s="254">
        <v>7.9999999999999996E-6</v>
      </c>
      <c r="CY6" s="254">
        <v>1.5E-5</v>
      </c>
      <c r="CZ6" s="254">
        <v>3.9999999999999998E-6</v>
      </c>
      <c r="DA6" s="254"/>
      <c r="DB6" s="254"/>
      <c r="DC6" s="254"/>
      <c r="DD6" s="254"/>
    </row>
    <row r="7" spans="1:897">
      <c r="A7" s="14"/>
      <c r="B7" s="15"/>
      <c r="C7" s="28"/>
      <c r="D7" s="29" t="s">
        <v>96</v>
      </c>
      <c r="E7" s="712" t="s">
        <v>276</v>
      </c>
      <c r="F7" s="432">
        <f>VLOOKUP(E7,$F$49:$G$58,2,0)</f>
        <v>0</v>
      </c>
      <c r="G7" s="30"/>
      <c r="H7" s="322"/>
      <c r="I7" s="592" t="str">
        <f>+I52</f>
        <v xml:space="preserve">  mP(m')x:n</v>
      </c>
      <c r="J7" s="480" t="str">
        <f>$E$6&amp;"P"</f>
        <v>월납P</v>
      </c>
      <c r="K7" s="226">
        <f>ROUND(K52,E18)*E19</f>
        <v>1</v>
      </c>
      <c r="L7" s="593">
        <f>일반형!K7</f>
        <v>1</v>
      </c>
      <c r="M7" s="50"/>
      <c r="N7" s="275">
        <v>1</v>
      </c>
      <c r="O7" s="276">
        <f>IF(N7="","",$E$3+N7)</f>
        <v>1</v>
      </c>
      <c r="P7" s="277">
        <f t="shared" ref="P7:P70" si="47">IF(N7="","",IF($F$5=0,$K$3,$K$3*$F$6*MIN($N7,F$5)))</f>
        <v>240</v>
      </c>
      <c r="Q7" s="277">
        <f t="shared" ref="Q7:Q70" si="48">IF(N7="","",CJ5*$E$12/$E$19*10000)</f>
        <v>0</v>
      </c>
      <c r="R7" s="277">
        <f t="shared" ref="R7:R70" si="49">IF(N7="","",ROUND($K$8*$F$5*$F$6*IF(N7&gt;=$F$5,W7,0%),3)*$E$12/100)</f>
        <v>0</v>
      </c>
      <c r="S7" s="401">
        <f t="shared" si="1"/>
        <v>0</v>
      </c>
      <c r="T7" s="277">
        <f>일반형!P7</f>
        <v>240</v>
      </c>
      <c r="U7" s="277">
        <f>일반형!Q7</f>
        <v>0</v>
      </c>
      <c r="V7" s="277">
        <f>일반형!R7</f>
        <v>0</v>
      </c>
      <c r="W7" s="401">
        <f>일반형!S7</f>
        <v>0</v>
      </c>
      <c r="X7" s="277">
        <f t="shared" ref="X7:X70" si="50">IF(N7="","",$E$12*10000*AV4)</f>
        <v>10000000</v>
      </c>
      <c r="Y7" s="444">
        <f t="shared" si="2"/>
        <v>0</v>
      </c>
      <c r="Z7" s="445">
        <f t="shared" ref="Z7:Z70" si="51">IF(N7="","",IF(R7&gt;X7,1,0))</f>
        <v>0</v>
      </c>
      <c r="AB7" s="52" t="str">
        <f t="shared" si="35"/>
        <v/>
      </c>
      <c r="AC7" s="644" t="str">
        <f t="shared" si="4"/>
        <v/>
      </c>
      <c r="AD7" s="254"/>
      <c r="AE7" s="254" t="str">
        <f>IF(AB7="","",IF(AB7-$AB$4&lt;$F$5-1,INDEX(Main_무해지!$G$76:$G$87,MIN(AB7-$AB$4+1,12)),IF(AB7-$AB$4=$F$5-1,0,IF(AND($F$2=1,AB7&gt;109),0,IF(AND($F$2=2,AB7&gt;111),0,INDEX(Main_무해지!$H$76:$H$82,MIN(AB7-$AB$4-$F$5+1,7)))))))</f>
        <v/>
      </c>
      <c r="AF7" s="254" t="str">
        <f t="shared" si="45"/>
        <v/>
      </c>
      <c r="AG7" s="254" t="str">
        <f t="shared" si="5"/>
        <v/>
      </c>
      <c r="AH7" s="54" t="str">
        <f>IF($AB7="","",SUM(AG7:AG$114))</f>
        <v/>
      </c>
      <c r="AI7" s="254" t="str">
        <f t="shared" si="36"/>
        <v/>
      </c>
      <c r="AJ7" s="56" t="str">
        <f t="shared" si="6"/>
        <v/>
      </c>
      <c r="AK7" s="56"/>
      <c r="AL7" s="254" t="str">
        <f t="shared" si="7"/>
        <v/>
      </c>
      <c r="AM7" s="254" t="str">
        <f t="shared" si="46"/>
        <v/>
      </c>
      <c r="AN7" s="254" t="str">
        <f t="shared" si="8"/>
        <v/>
      </c>
      <c r="AO7" s="54" t="str">
        <f>IF($AB7="","",SUM(AN7:AN$114))</f>
        <v/>
      </c>
      <c r="AP7" s="53" t="str">
        <f t="shared" si="37"/>
        <v/>
      </c>
      <c r="AQ7" s="254" t="str">
        <f t="shared" si="9"/>
        <v/>
      </c>
      <c r="AR7" s="254" t="str">
        <f t="shared" si="10"/>
        <v/>
      </c>
      <c r="AS7" s="254" t="str">
        <f t="shared" si="11"/>
        <v/>
      </c>
      <c r="AT7" s="57" t="str">
        <f>IF($AB7="","",SUM($AU7:$AU$114))</f>
        <v/>
      </c>
      <c r="AU7" s="254" t="str">
        <f t="shared" si="38"/>
        <v/>
      </c>
      <c r="AV7" s="57" t="str">
        <f t="shared" si="12"/>
        <v/>
      </c>
      <c r="AW7" s="53"/>
      <c r="AX7" s="254" t="str">
        <f t="shared" si="13"/>
        <v/>
      </c>
      <c r="AY7" s="254" t="str">
        <f t="shared" si="14"/>
        <v/>
      </c>
      <c r="AZ7" s="254" t="str">
        <f t="shared" si="15"/>
        <v/>
      </c>
      <c r="BA7" s="57" t="str">
        <f>IF($AB7="","",SUM($AZ7:$AZ$114))</f>
        <v/>
      </c>
      <c r="BB7" s="53"/>
      <c r="BC7" s="254" t="str">
        <f t="shared" si="16"/>
        <v/>
      </c>
      <c r="BD7" s="254" t="str">
        <f t="shared" si="17"/>
        <v/>
      </c>
      <c r="BE7" s="254" t="str">
        <f t="shared" si="18"/>
        <v/>
      </c>
      <c r="BF7" s="57" t="str">
        <f>IF($AB7="","",SUM($BE7:$BE$114))</f>
        <v/>
      </c>
      <c r="BG7" s="53"/>
      <c r="BH7" s="254" t="str">
        <f t="shared" si="19"/>
        <v/>
      </c>
      <c r="BI7" s="254" t="str">
        <f t="shared" si="20"/>
        <v/>
      </c>
      <c r="BJ7" s="254" t="str">
        <f t="shared" si="21"/>
        <v/>
      </c>
      <c r="BK7" s="57" t="str">
        <f>IF($AB7="","",SUM($BJ7:$BJ$114))</f>
        <v/>
      </c>
      <c r="BL7" s="53"/>
      <c r="BM7" s="254" t="str">
        <f t="shared" si="22"/>
        <v/>
      </c>
      <c r="BN7" s="254" t="str">
        <f t="shared" si="23"/>
        <v/>
      </c>
      <c r="BO7" s="254" t="str">
        <f t="shared" si="24"/>
        <v/>
      </c>
      <c r="BP7" s="57" t="str">
        <f>IF($AB7="","",SUM($BO7:$BO$114))</f>
        <v/>
      </c>
      <c r="BQ7" s="53" t="str">
        <f t="shared" si="25"/>
        <v/>
      </c>
      <c r="BR7" s="254" t="str">
        <f t="shared" si="39"/>
        <v/>
      </c>
      <c r="BS7" s="254" t="str">
        <f t="shared" si="26"/>
        <v/>
      </c>
      <c r="BT7" s="254" t="str">
        <f t="shared" si="27"/>
        <v/>
      </c>
      <c r="BU7" s="254" t="str">
        <f t="shared" si="40"/>
        <v/>
      </c>
      <c r="BV7" s="254"/>
      <c r="BW7" s="254"/>
      <c r="BX7" s="254"/>
      <c r="BY7" s="254"/>
      <c r="BZ7" s="254" t="str">
        <f>IF($AB7="","",SUM(BU7:BU$114))</f>
        <v/>
      </c>
      <c r="CA7" s="55" t="str">
        <f>IF(AB7&lt;$E$3+$F$5,0,IFERROR(일반형!S9,0))</f>
        <v/>
      </c>
      <c r="CB7" s="55"/>
      <c r="CC7" s="390" t="str">
        <f t="shared" si="0"/>
        <v/>
      </c>
      <c r="CD7" s="254" t="str">
        <f t="shared" si="41"/>
        <v/>
      </c>
      <c r="CE7" s="254" t="str">
        <f t="shared" si="28"/>
        <v/>
      </c>
      <c r="CF7" s="254" t="str">
        <f t="shared" si="29"/>
        <v/>
      </c>
      <c r="CG7" s="254" t="str">
        <f t="shared" si="42"/>
        <v/>
      </c>
      <c r="CH7" s="254" t="str">
        <f t="shared" si="30"/>
        <v/>
      </c>
      <c r="CI7" s="58" t="str">
        <f t="shared" si="43"/>
        <v/>
      </c>
      <c r="CJ7" s="59" t="str">
        <f t="shared" si="31"/>
        <v/>
      </c>
      <c r="CK7" s="236"/>
      <c r="CL7" s="203">
        <v>3</v>
      </c>
      <c r="CM7" s="254">
        <f t="shared" si="32"/>
        <v>0</v>
      </c>
      <c r="CN7" s="254">
        <f t="shared" si="33"/>
        <v>3.9999999999999998E-6</v>
      </c>
      <c r="CO7" s="254">
        <f t="shared" si="34"/>
        <v>2.3E-5</v>
      </c>
      <c r="CP7" s="254">
        <f t="shared" si="44"/>
        <v>1.5E-5</v>
      </c>
      <c r="CQ7" s="254"/>
      <c r="CR7" s="203">
        <v>3</v>
      </c>
      <c r="CS7" s="254"/>
      <c r="CT7" s="254"/>
      <c r="CU7" s="254">
        <v>3.9999999999999998E-6</v>
      </c>
      <c r="CV7" s="254">
        <v>3.0000000000000001E-6</v>
      </c>
      <c r="CW7" s="254">
        <v>2.3E-5</v>
      </c>
      <c r="CX7" s="254">
        <v>7.9999999999999996E-6</v>
      </c>
      <c r="CY7" s="254">
        <v>1.5E-5</v>
      </c>
      <c r="CZ7" s="254">
        <v>3.9999999999999998E-6</v>
      </c>
      <c r="DA7" s="254"/>
      <c r="DB7" s="254"/>
      <c r="DC7" s="254"/>
      <c r="DD7" s="254"/>
    </row>
    <row r="8" spans="1:897">
      <c r="C8" s="28"/>
      <c r="D8" s="29" t="s">
        <v>97</v>
      </c>
      <c r="E8" s="633" t="s">
        <v>226</v>
      </c>
      <c r="F8" s="306">
        <f>VLOOKUP(E8,$D$62:$E$71,2,0)</f>
        <v>0</v>
      </c>
      <c r="G8" s="30"/>
      <c r="H8" s="372"/>
      <c r="I8" s="592" t="str">
        <f>+I55</f>
        <v xml:space="preserve">  mP'(m')x:n</v>
      </c>
      <c r="J8" s="481" t="str">
        <f>$E$6&amp;"P'"</f>
        <v>월납P'</v>
      </c>
      <c r="K8" s="226">
        <f>ROUND(K55,E18)*E19</f>
        <v>2</v>
      </c>
      <c r="L8" s="593">
        <f>일반형!K8</f>
        <v>2</v>
      </c>
      <c r="M8" s="50"/>
      <c r="N8" s="278" t="str">
        <f t="shared" ref="N8:N71" si="52">IF(N7="","",IF(N7+1&gt;$F$4,"",N7+1))</f>
        <v/>
      </c>
      <c r="O8" s="279" t="str">
        <f t="shared" ref="O8:O71" si="53">IF(N8="","",$E$3+N8)</f>
        <v/>
      </c>
      <c r="P8" s="271" t="str">
        <f t="shared" si="47"/>
        <v/>
      </c>
      <c r="Q8" s="271" t="str">
        <f t="shared" si="48"/>
        <v/>
      </c>
      <c r="R8" s="271" t="str">
        <f t="shared" si="49"/>
        <v/>
      </c>
      <c r="S8" s="400" t="str">
        <f t="shared" si="1"/>
        <v/>
      </c>
      <c r="T8" s="271" t="str">
        <f>일반형!P8</f>
        <v/>
      </c>
      <c r="U8" s="271" t="str">
        <f>일반형!Q8</f>
        <v/>
      </c>
      <c r="V8" s="271" t="str">
        <f>일반형!R8</f>
        <v/>
      </c>
      <c r="W8" s="400" t="str">
        <f>일반형!S8</f>
        <v/>
      </c>
      <c r="X8" s="271" t="str">
        <f t="shared" si="50"/>
        <v/>
      </c>
      <c r="Y8" s="442" t="str">
        <f t="shared" si="2"/>
        <v/>
      </c>
      <c r="Z8" s="443" t="str">
        <f t="shared" si="51"/>
        <v/>
      </c>
      <c r="AB8" s="52" t="str">
        <f t="shared" si="35"/>
        <v/>
      </c>
      <c r="AC8" s="644" t="str">
        <f t="shared" si="4"/>
        <v/>
      </c>
      <c r="AD8" s="254"/>
      <c r="AE8" s="254" t="str">
        <f>IF(AB8="","",IF(AB8-$AB$4&lt;$F$5-1,INDEX(Main_무해지!$G$76:$G$87,MIN(AB8-$AB$4+1,12)),IF(AB8-$AB$4=$F$5-1,0,IF(AND($F$2=1,AB8&gt;109),0,IF(AND($F$2=2,AB8&gt;111),0,INDEX(Main_무해지!$H$76:$H$82,MIN(AB8-$AB$4-$F$5+1,7)))))))</f>
        <v/>
      </c>
      <c r="AF8" s="254" t="str">
        <f t="shared" si="45"/>
        <v/>
      </c>
      <c r="AG8" s="254" t="str">
        <f t="shared" si="5"/>
        <v/>
      </c>
      <c r="AH8" s="54" t="str">
        <f>IF($AB8="","",SUM(AG8:AG$114))</f>
        <v/>
      </c>
      <c r="AI8" s="254" t="str">
        <f t="shared" si="36"/>
        <v/>
      </c>
      <c r="AJ8" s="56" t="str">
        <f t="shared" si="6"/>
        <v/>
      </c>
      <c r="AK8" s="56"/>
      <c r="AL8" s="254" t="str">
        <f t="shared" si="7"/>
        <v/>
      </c>
      <c r="AM8" s="254" t="str">
        <f t="shared" si="46"/>
        <v/>
      </c>
      <c r="AN8" s="254" t="str">
        <f t="shared" si="8"/>
        <v/>
      </c>
      <c r="AO8" s="54" t="str">
        <f>IF($AB8="","",SUM(AN8:AN$114))</f>
        <v/>
      </c>
      <c r="AP8" s="53" t="str">
        <f t="shared" si="37"/>
        <v/>
      </c>
      <c r="AQ8" s="254" t="str">
        <f t="shared" si="9"/>
        <v/>
      </c>
      <c r="AR8" s="254" t="str">
        <f t="shared" si="10"/>
        <v/>
      </c>
      <c r="AS8" s="254" t="str">
        <f t="shared" si="11"/>
        <v/>
      </c>
      <c r="AT8" s="57" t="str">
        <f>IF($AB8="","",SUM($AU8:$AU$114))</f>
        <v/>
      </c>
      <c r="AU8" s="254" t="str">
        <f t="shared" si="38"/>
        <v/>
      </c>
      <c r="AV8" s="57" t="str">
        <f t="shared" si="12"/>
        <v/>
      </c>
      <c r="AW8" s="53"/>
      <c r="AX8" s="254" t="str">
        <f t="shared" si="13"/>
        <v/>
      </c>
      <c r="AY8" s="254" t="str">
        <f t="shared" si="14"/>
        <v/>
      </c>
      <c r="AZ8" s="254" t="str">
        <f t="shared" si="15"/>
        <v/>
      </c>
      <c r="BA8" s="57" t="str">
        <f>IF($AB8="","",SUM($AZ8:$AZ$114))</f>
        <v/>
      </c>
      <c r="BB8" s="53"/>
      <c r="BC8" s="254" t="str">
        <f t="shared" si="16"/>
        <v/>
      </c>
      <c r="BD8" s="254" t="str">
        <f t="shared" si="17"/>
        <v/>
      </c>
      <c r="BE8" s="254" t="str">
        <f t="shared" si="18"/>
        <v/>
      </c>
      <c r="BF8" s="57" t="str">
        <f>IF($AB8="","",SUM($BE8:$BE$114))</f>
        <v/>
      </c>
      <c r="BG8" s="53"/>
      <c r="BH8" s="254" t="str">
        <f t="shared" si="19"/>
        <v/>
      </c>
      <c r="BI8" s="254" t="str">
        <f t="shared" si="20"/>
        <v/>
      </c>
      <c r="BJ8" s="254" t="str">
        <f t="shared" si="21"/>
        <v/>
      </c>
      <c r="BK8" s="57" t="str">
        <f>IF($AB8="","",SUM($BJ8:$BJ$114))</f>
        <v/>
      </c>
      <c r="BL8" s="53"/>
      <c r="BM8" s="254" t="str">
        <f t="shared" si="22"/>
        <v/>
      </c>
      <c r="BN8" s="254" t="str">
        <f t="shared" si="23"/>
        <v/>
      </c>
      <c r="BO8" s="254" t="str">
        <f t="shared" si="24"/>
        <v/>
      </c>
      <c r="BP8" s="57" t="str">
        <f>IF($AB8="","",SUM($BO8:$BO$114))</f>
        <v/>
      </c>
      <c r="BQ8" s="53" t="str">
        <f t="shared" si="25"/>
        <v/>
      </c>
      <c r="BR8" s="254" t="str">
        <f t="shared" si="39"/>
        <v/>
      </c>
      <c r="BS8" s="254" t="str">
        <f t="shared" si="26"/>
        <v/>
      </c>
      <c r="BT8" s="254" t="str">
        <f t="shared" si="27"/>
        <v/>
      </c>
      <c r="BU8" s="254" t="str">
        <f t="shared" si="40"/>
        <v/>
      </c>
      <c r="BV8" s="254"/>
      <c r="BW8" s="254"/>
      <c r="BX8" s="254"/>
      <c r="BY8" s="254"/>
      <c r="BZ8" s="254" t="str">
        <f>IF($AB8="","",SUM(BU8:BU$114))</f>
        <v/>
      </c>
      <c r="CA8" s="55" t="str">
        <f>IF(AB8&lt;$E$3+$F$5,0,IFERROR(일반형!S10,0))</f>
        <v/>
      </c>
      <c r="CB8" s="55"/>
      <c r="CC8" s="390" t="str">
        <f t="shared" si="0"/>
        <v/>
      </c>
      <c r="CD8" s="254" t="str">
        <f t="shared" si="41"/>
        <v/>
      </c>
      <c r="CE8" s="254" t="str">
        <f t="shared" si="28"/>
        <v/>
      </c>
      <c r="CF8" s="254" t="str">
        <f t="shared" si="29"/>
        <v/>
      </c>
      <c r="CG8" s="254" t="str">
        <f t="shared" si="42"/>
        <v/>
      </c>
      <c r="CH8" s="254" t="str">
        <f t="shared" si="30"/>
        <v/>
      </c>
      <c r="CI8" s="58" t="str">
        <f t="shared" si="43"/>
        <v/>
      </c>
      <c r="CJ8" s="59" t="str">
        <f t="shared" si="31"/>
        <v/>
      </c>
      <c r="CK8" s="236"/>
      <c r="CL8" s="203">
        <v>4</v>
      </c>
      <c r="CM8" s="254">
        <f t="shared" si="32"/>
        <v>0</v>
      </c>
      <c r="CN8" s="254">
        <f t="shared" si="33"/>
        <v>3.9999999999999998E-6</v>
      </c>
      <c r="CO8" s="254">
        <f t="shared" si="34"/>
        <v>2.0999999999999999E-5</v>
      </c>
      <c r="CP8" s="254">
        <f t="shared" si="44"/>
        <v>1.5E-5</v>
      </c>
      <c r="CQ8" s="254"/>
      <c r="CR8" s="203">
        <v>4</v>
      </c>
      <c r="CS8" s="254"/>
      <c r="CT8" s="254"/>
      <c r="CU8" s="254">
        <v>3.9999999999999998E-6</v>
      </c>
      <c r="CV8" s="254">
        <v>3.0000000000000001E-6</v>
      </c>
      <c r="CW8" s="254">
        <v>2.0999999999999999E-5</v>
      </c>
      <c r="CX8" s="254">
        <v>6.9999999999999999E-6</v>
      </c>
      <c r="CY8" s="254">
        <v>1.5E-5</v>
      </c>
      <c r="CZ8" s="254">
        <v>3.9999999999999998E-6</v>
      </c>
      <c r="DA8" s="254"/>
      <c r="DB8" s="254"/>
      <c r="DC8" s="254"/>
      <c r="DD8" s="254"/>
    </row>
    <row r="9" spans="1:897">
      <c r="C9" s="28"/>
      <c r="D9" s="29" t="s">
        <v>248</v>
      </c>
      <c r="E9" s="429" t="s">
        <v>227</v>
      </c>
      <c r="F9" s="306">
        <f>+VLOOKUP(E9,$F$63:$G$67,2,FALSE)</f>
        <v>0</v>
      </c>
      <c r="G9" s="30"/>
      <c r="H9" s="321"/>
      <c r="I9" s="592" t="str">
        <f>+I48</f>
        <v xml:space="preserve">  mP(β')(m')x:n</v>
      </c>
      <c r="J9" s="481" t="s">
        <v>259</v>
      </c>
      <c r="K9" s="226">
        <f>ROUND(K48,E18)*E19</f>
        <v>1</v>
      </c>
      <c r="L9" s="593">
        <f>일반형!K9</f>
        <v>7</v>
      </c>
      <c r="M9" s="50"/>
      <c r="N9" s="278" t="str">
        <f t="shared" si="52"/>
        <v/>
      </c>
      <c r="O9" s="279" t="str">
        <f t="shared" si="53"/>
        <v/>
      </c>
      <c r="P9" s="271" t="str">
        <f t="shared" si="47"/>
        <v/>
      </c>
      <c r="Q9" s="271" t="str">
        <f t="shared" si="48"/>
        <v/>
      </c>
      <c r="R9" s="271" t="str">
        <f t="shared" si="49"/>
        <v/>
      </c>
      <c r="S9" s="400" t="str">
        <f t="shared" si="1"/>
        <v/>
      </c>
      <c r="T9" s="271" t="str">
        <f>일반형!P9</f>
        <v/>
      </c>
      <c r="U9" s="271" t="str">
        <f>일반형!Q9</f>
        <v/>
      </c>
      <c r="V9" s="271" t="str">
        <f>일반형!R9</f>
        <v/>
      </c>
      <c r="W9" s="400" t="str">
        <f>일반형!S9</f>
        <v/>
      </c>
      <c r="X9" s="271" t="str">
        <f t="shared" si="50"/>
        <v/>
      </c>
      <c r="Y9" s="442" t="str">
        <f t="shared" si="2"/>
        <v/>
      </c>
      <c r="Z9" s="443" t="str">
        <f t="shared" si="51"/>
        <v/>
      </c>
      <c r="AB9" s="60" t="str">
        <f t="shared" si="35"/>
        <v/>
      </c>
      <c r="AC9" s="645" t="str">
        <f t="shared" si="4"/>
        <v/>
      </c>
      <c r="AD9" s="255"/>
      <c r="AE9" s="255" t="str">
        <f>IF(AB9="","",IF(AB9-$AB$4&lt;$F$5-1,INDEX(Main_무해지!$G$76:$G$87,MIN(AB9-$AB$4+1,12)),IF(AB9-$AB$4=$F$5-1,0,IF(AND($F$2=1,AB9&gt;109),0,IF(AND($F$2=2,AB9&gt;111),0,INDEX(Main_무해지!$H$76:$H$82,MIN(AB9-$AB$4-$F$5+1,7)))))))</f>
        <v/>
      </c>
      <c r="AF9" s="255" t="str">
        <f t="shared" si="45"/>
        <v/>
      </c>
      <c r="AG9" s="255" t="str">
        <f t="shared" si="5"/>
        <v/>
      </c>
      <c r="AH9" s="62" t="str">
        <f>IF($AB9="","",SUM(AG9:AG$114))</f>
        <v/>
      </c>
      <c r="AI9" s="255" t="str">
        <f t="shared" si="36"/>
        <v/>
      </c>
      <c r="AJ9" s="64" t="str">
        <f t="shared" si="6"/>
        <v/>
      </c>
      <c r="AK9" s="64"/>
      <c r="AL9" s="255" t="str">
        <f t="shared" si="7"/>
        <v/>
      </c>
      <c r="AM9" s="255" t="str">
        <f t="shared" si="46"/>
        <v/>
      </c>
      <c r="AN9" s="255" t="str">
        <f t="shared" si="8"/>
        <v/>
      </c>
      <c r="AO9" s="62" t="str">
        <f>IF($AB9="","",SUM(AN9:AN$114))</f>
        <v/>
      </c>
      <c r="AP9" s="61" t="str">
        <f t="shared" si="37"/>
        <v/>
      </c>
      <c r="AQ9" s="255" t="str">
        <f t="shared" si="9"/>
        <v/>
      </c>
      <c r="AR9" s="255" t="str">
        <f t="shared" si="10"/>
        <v/>
      </c>
      <c r="AS9" s="255" t="str">
        <f t="shared" si="11"/>
        <v/>
      </c>
      <c r="AT9" s="65" t="str">
        <f>IF($AB9="","",SUM($AU9:$AU$114))</f>
        <v/>
      </c>
      <c r="AU9" s="255" t="str">
        <f t="shared" si="38"/>
        <v/>
      </c>
      <c r="AV9" s="65" t="str">
        <f t="shared" si="12"/>
        <v/>
      </c>
      <c r="AW9" s="61"/>
      <c r="AX9" s="255" t="str">
        <f t="shared" si="13"/>
        <v/>
      </c>
      <c r="AY9" s="255" t="str">
        <f t="shared" si="14"/>
        <v/>
      </c>
      <c r="AZ9" s="255" t="str">
        <f t="shared" si="15"/>
        <v/>
      </c>
      <c r="BA9" s="65" t="str">
        <f>IF($AB9="","",SUM($AZ9:$AZ$114))</f>
        <v/>
      </c>
      <c r="BB9" s="61"/>
      <c r="BC9" s="255" t="str">
        <f t="shared" si="16"/>
        <v/>
      </c>
      <c r="BD9" s="255" t="str">
        <f t="shared" si="17"/>
        <v/>
      </c>
      <c r="BE9" s="255" t="str">
        <f t="shared" si="18"/>
        <v/>
      </c>
      <c r="BF9" s="65" t="str">
        <f>IF($AB9="","",SUM($BE9:$BE$114))</f>
        <v/>
      </c>
      <c r="BG9" s="61"/>
      <c r="BH9" s="255" t="str">
        <f t="shared" si="19"/>
        <v/>
      </c>
      <c r="BI9" s="255" t="str">
        <f t="shared" si="20"/>
        <v/>
      </c>
      <c r="BJ9" s="255" t="str">
        <f t="shared" si="21"/>
        <v/>
      </c>
      <c r="BK9" s="65" t="str">
        <f>IF($AB9="","",SUM($BJ9:$BJ$114))</f>
        <v/>
      </c>
      <c r="BL9" s="61"/>
      <c r="BM9" s="255" t="str">
        <f t="shared" si="22"/>
        <v/>
      </c>
      <c r="BN9" s="255" t="str">
        <f t="shared" si="23"/>
        <v/>
      </c>
      <c r="BO9" s="255" t="str">
        <f t="shared" si="24"/>
        <v/>
      </c>
      <c r="BP9" s="65" t="str">
        <f>IF($AB9="","",SUM($BO9:$BO$114))</f>
        <v/>
      </c>
      <c r="BQ9" s="61" t="str">
        <f t="shared" si="25"/>
        <v/>
      </c>
      <c r="BR9" s="255" t="str">
        <f t="shared" si="39"/>
        <v/>
      </c>
      <c r="BS9" s="255" t="str">
        <f t="shared" si="26"/>
        <v/>
      </c>
      <c r="BT9" s="255" t="str">
        <f t="shared" si="27"/>
        <v/>
      </c>
      <c r="BU9" s="255" t="str">
        <f t="shared" si="40"/>
        <v/>
      </c>
      <c r="BV9" s="255"/>
      <c r="BW9" s="255"/>
      <c r="BX9" s="255"/>
      <c r="BY9" s="255"/>
      <c r="BZ9" s="255" t="str">
        <f>IF($AB9="","",SUM(BU9:BU$114))</f>
        <v/>
      </c>
      <c r="CA9" s="63" t="str">
        <f>IF(AB9&lt;$E$3+$F$5,0,IFERROR(일반형!S11,0))</f>
        <v/>
      </c>
      <c r="CB9" s="63"/>
      <c r="CC9" s="391" t="str">
        <f t="shared" si="0"/>
        <v/>
      </c>
      <c r="CD9" s="255" t="str">
        <f t="shared" si="41"/>
        <v/>
      </c>
      <c r="CE9" s="255" t="str">
        <f t="shared" si="28"/>
        <v/>
      </c>
      <c r="CF9" s="255" t="str">
        <f t="shared" si="29"/>
        <v/>
      </c>
      <c r="CG9" s="255" t="str">
        <f t="shared" si="42"/>
        <v/>
      </c>
      <c r="CH9" s="255" t="str">
        <f t="shared" si="30"/>
        <v/>
      </c>
      <c r="CI9" s="66" t="str">
        <f t="shared" si="43"/>
        <v/>
      </c>
      <c r="CJ9" s="67" t="str">
        <f t="shared" si="31"/>
        <v/>
      </c>
      <c r="CK9" s="237"/>
      <c r="CL9" s="204">
        <v>5</v>
      </c>
      <c r="CM9" s="255">
        <f t="shared" si="32"/>
        <v>0</v>
      </c>
      <c r="CN9" s="255">
        <f t="shared" si="33"/>
        <v>3.9999999999999998E-6</v>
      </c>
      <c r="CO9" s="255">
        <f t="shared" si="34"/>
        <v>2.0000000000000002E-5</v>
      </c>
      <c r="CP9" s="255">
        <f t="shared" si="44"/>
        <v>1.5E-5</v>
      </c>
      <c r="CQ9" s="255"/>
      <c r="CR9" s="204">
        <v>5</v>
      </c>
      <c r="CS9" s="255"/>
      <c r="CT9" s="255"/>
      <c r="CU9" s="255">
        <v>3.9999999999999998E-6</v>
      </c>
      <c r="CV9" s="255">
        <v>3.0000000000000001E-6</v>
      </c>
      <c r="CW9" s="255">
        <v>2.0000000000000002E-5</v>
      </c>
      <c r="CX9" s="255">
        <v>6.9999999999999999E-6</v>
      </c>
      <c r="CY9" s="255">
        <v>1.5E-5</v>
      </c>
      <c r="CZ9" s="255">
        <v>3.9999999999999998E-6</v>
      </c>
      <c r="DA9" s="255"/>
      <c r="DB9" s="255"/>
      <c r="DC9" s="255"/>
      <c r="DD9" s="255"/>
    </row>
    <row r="10" spans="1:897">
      <c r="C10" s="28"/>
      <c r="D10" s="29" t="s">
        <v>99</v>
      </c>
      <c r="E10" s="430">
        <v>0</v>
      </c>
      <c r="F10" s="306"/>
      <c r="G10" s="30"/>
      <c r="H10" s="322"/>
      <c r="I10" s="592" t="s">
        <v>75</v>
      </c>
      <c r="J10" s="481"/>
      <c r="K10" s="226">
        <f>+IF(F5=0,ROUND(E32*E19+K44*E33*E19,0),ROUND(E23*E19+E24*K41*E19,0))</f>
        <v>0</v>
      </c>
      <c r="L10" s="593">
        <f>일반형!K10</f>
        <v>0</v>
      </c>
      <c r="M10" s="50"/>
      <c r="N10" s="278" t="str">
        <f t="shared" si="52"/>
        <v/>
      </c>
      <c r="O10" s="279" t="str">
        <f t="shared" si="53"/>
        <v/>
      </c>
      <c r="P10" s="271" t="str">
        <f t="shared" si="47"/>
        <v/>
      </c>
      <c r="Q10" s="271" t="str">
        <f t="shared" si="48"/>
        <v/>
      </c>
      <c r="R10" s="271" t="str">
        <f t="shared" si="49"/>
        <v/>
      </c>
      <c r="S10" s="400" t="str">
        <f t="shared" si="1"/>
        <v/>
      </c>
      <c r="T10" s="271" t="str">
        <f>일반형!P10</f>
        <v/>
      </c>
      <c r="U10" s="271" t="str">
        <f>일반형!Q10</f>
        <v/>
      </c>
      <c r="V10" s="271" t="str">
        <f>일반형!R10</f>
        <v/>
      </c>
      <c r="W10" s="400" t="str">
        <f>일반형!S10</f>
        <v/>
      </c>
      <c r="X10" s="271" t="str">
        <f t="shared" si="50"/>
        <v/>
      </c>
      <c r="Y10" s="442" t="str">
        <f t="shared" si="2"/>
        <v/>
      </c>
      <c r="Z10" s="443" t="str">
        <f t="shared" si="51"/>
        <v/>
      </c>
      <c r="AB10" s="759" t="str">
        <f t="shared" si="35"/>
        <v/>
      </c>
      <c r="AC10" s="646" t="str">
        <f t="shared" si="4"/>
        <v/>
      </c>
      <c r="AD10" s="409"/>
      <c r="AE10" s="409" t="str">
        <f>IF(AB10="","",IF(AB10-$AB$4&lt;$F$5-1,INDEX(Main_무해지!$G$76:$G$87,MIN(AB10-$AB$4+1,12)),IF(AB10-$AB$4=$F$5-1,0,IF(AND($F$2=1,AB10&gt;109),0,IF(AND($F$2=2,AB10&gt;111),0,INDEX(Main_무해지!$H$76:$H$82,MIN(AB10-$AB$4-$F$5+1,7)))))))</f>
        <v/>
      </c>
      <c r="AF10" s="409" t="str">
        <f t="shared" si="45"/>
        <v/>
      </c>
      <c r="AG10" s="409" t="str">
        <f t="shared" si="5"/>
        <v/>
      </c>
      <c r="AH10" s="760" t="str">
        <f>IF($AB10="","",SUM(AG10:AG$114))</f>
        <v/>
      </c>
      <c r="AI10" s="409" t="str">
        <f t="shared" si="36"/>
        <v/>
      </c>
      <c r="AJ10" s="639" t="str">
        <f t="shared" si="6"/>
        <v/>
      </c>
      <c r="AK10" s="639"/>
      <c r="AL10" s="409" t="str">
        <f t="shared" si="7"/>
        <v/>
      </c>
      <c r="AM10" s="409" t="str">
        <f t="shared" si="46"/>
        <v/>
      </c>
      <c r="AN10" s="409" t="str">
        <f t="shared" si="8"/>
        <v/>
      </c>
      <c r="AO10" s="760" t="str">
        <f>IF($AB10="","",SUM(AN10:AN$114))</f>
        <v/>
      </c>
      <c r="AP10" s="761" t="str">
        <f t="shared" si="37"/>
        <v/>
      </c>
      <c r="AQ10" s="409" t="str">
        <f t="shared" si="9"/>
        <v/>
      </c>
      <c r="AR10" s="409" t="str">
        <f t="shared" si="10"/>
        <v/>
      </c>
      <c r="AS10" s="409" t="str">
        <f t="shared" si="11"/>
        <v/>
      </c>
      <c r="AT10" s="762" t="str">
        <f>IF($AB10="","",SUM($AU10:$AU$114))</f>
        <v/>
      </c>
      <c r="AU10" s="409" t="str">
        <f t="shared" si="38"/>
        <v/>
      </c>
      <c r="AV10" s="762" t="str">
        <f t="shared" si="12"/>
        <v/>
      </c>
      <c r="AW10" s="761"/>
      <c r="AX10" s="409" t="str">
        <f t="shared" si="13"/>
        <v/>
      </c>
      <c r="AY10" s="409" t="str">
        <f t="shared" si="14"/>
        <v/>
      </c>
      <c r="AZ10" s="409" t="str">
        <f t="shared" si="15"/>
        <v/>
      </c>
      <c r="BA10" s="762" t="str">
        <f>IF($AB10="","",SUM($AZ10:$AZ$114))</f>
        <v/>
      </c>
      <c r="BB10" s="761"/>
      <c r="BC10" s="409" t="str">
        <f t="shared" si="16"/>
        <v/>
      </c>
      <c r="BD10" s="409" t="str">
        <f t="shared" si="17"/>
        <v/>
      </c>
      <c r="BE10" s="409" t="str">
        <f t="shared" si="18"/>
        <v/>
      </c>
      <c r="BF10" s="762" t="str">
        <f>IF($AB10="","",SUM($BE10:$BE$114))</f>
        <v/>
      </c>
      <c r="BG10" s="761"/>
      <c r="BH10" s="409" t="str">
        <f t="shared" si="19"/>
        <v/>
      </c>
      <c r="BI10" s="409" t="str">
        <f t="shared" si="20"/>
        <v/>
      </c>
      <c r="BJ10" s="409" t="str">
        <f t="shared" si="21"/>
        <v/>
      </c>
      <c r="BK10" s="762" t="str">
        <f>IF($AB10="","",SUM($BJ10:$BJ$114))</f>
        <v/>
      </c>
      <c r="BL10" s="761"/>
      <c r="BM10" s="409" t="str">
        <f t="shared" si="22"/>
        <v/>
      </c>
      <c r="BN10" s="409" t="str">
        <f t="shared" si="23"/>
        <v/>
      </c>
      <c r="BO10" s="409" t="str">
        <f t="shared" si="24"/>
        <v/>
      </c>
      <c r="BP10" s="762" t="str">
        <f>IF($AB10="","",SUM($BO10:$BO$114))</f>
        <v/>
      </c>
      <c r="BQ10" s="761" t="str">
        <f t="shared" si="25"/>
        <v/>
      </c>
      <c r="BR10" s="409" t="str">
        <f t="shared" si="39"/>
        <v/>
      </c>
      <c r="BS10" s="409" t="str">
        <f t="shared" si="26"/>
        <v/>
      </c>
      <c r="BT10" s="409" t="str">
        <f t="shared" si="27"/>
        <v/>
      </c>
      <c r="BU10" s="409" t="str">
        <f t="shared" si="40"/>
        <v/>
      </c>
      <c r="BV10" s="409"/>
      <c r="BW10" s="409"/>
      <c r="BX10" s="409"/>
      <c r="BY10" s="409"/>
      <c r="BZ10" s="409" t="str">
        <f>IF($AB10="","",SUM(BU10:BU$114))</f>
        <v/>
      </c>
      <c r="CA10" s="763" t="str">
        <f>IF(AB10&lt;$E$3+$F$5,0,IFERROR(일반형!S12,0))</f>
        <v/>
      </c>
      <c r="CB10" s="763"/>
      <c r="CC10" s="764" t="str">
        <f t="shared" si="0"/>
        <v/>
      </c>
      <c r="CD10" s="409" t="str">
        <f t="shared" si="41"/>
        <v/>
      </c>
      <c r="CE10" s="409" t="str">
        <f t="shared" si="28"/>
        <v/>
      </c>
      <c r="CF10" s="409" t="str">
        <f t="shared" si="29"/>
        <v/>
      </c>
      <c r="CG10" s="409" t="str">
        <f t="shared" si="42"/>
        <v/>
      </c>
      <c r="CH10" s="409" t="str">
        <f t="shared" si="30"/>
        <v/>
      </c>
      <c r="CI10" s="765" t="str">
        <f t="shared" si="43"/>
        <v/>
      </c>
      <c r="CJ10" s="766" t="str">
        <f t="shared" si="31"/>
        <v/>
      </c>
      <c r="CK10" s="414"/>
      <c r="CL10" s="767">
        <v>6</v>
      </c>
      <c r="CM10" s="409">
        <f t="shared" si="32"/>
        <v>0</v>
      </c>
      <c r="CN10" s="409">
        <f t="shared" si="33"/>
        <v>3.9999999999999998E-6</v>
      </c>
      <c r="CO10" s="409">
        <f t="shared" si="34"/>
        <v>1.8E-5</v>
      </c>
      <c r="CP10" s="409">
        <f t="shared" si="44"/>
        <v>1.5E-5</v>
      </c>
      <c r="CQ10" s="409"/>
      <c r="CR10" s="767">
        <v>6</v>
      </c>
      <c r="CS10" s="409"/>
      <c r="CT10" s="409"/>
      <c r="CU10" s="409">
        <v>3.9999999999999998E-6</v>
      </c>
      <c r="CV10" s="409">
        <v>3.0000000000000001E-6</v>
      </c>
      <c r="CW10" s="409">
        <v>1.8E-5</v>
      </c>
      <c r="CX10" s="409">
        <v>6.9999999999999999E-6</v>
      </c>
      <c r="CY10" s="409">
        <v>1.5E-5</v>
      </c>
      <c r="CZ10" s="409">
        <v>3.9999999999999998E-6</v>
      </c>
      <c r="DA10" s="409"/>
      <c r="DB10" s="409"/>
      <c r="DC10" s="409"/>
      <c r="DD10" s="409"/>
    </row>
    <row r="11" spans="1:897" ht="17.25" thickBot="1">
      <c r="C11" s="28"/>
      <c r="D11" s="29" t="s">
        <v>100</v>
      </c>
      <c r="E11" s="431">
        <v>0</v>
      </c>
      <c r="F11" s="306"/>
      <c r="G11" s="30"/>
      <c r="H11" s="321"/>
      <c r="I11" s="594" t="s">
        <v>229</v>
      </c>
      <c r="J11" s="482"/>
      <c r="K11" s="428">
        <f>+IF(F5=0,ROUND(F32*E19+K44*F33*E19,0),ROUND(F23*E19+F24*K41*E19,0))</f>
        <v>70</v>
      </c>
      <c r="L11" s="595">
        <f>일반형!K11</f>
        <v>70</v>
      </c>
      <c r="M11" s="50"/>
      <c r="N11" s="280" t="str">
        <f t="shared" si="52"/>
        <v/>
      </c>
      <c r="O11" s="281" t="str">
        <f t="shared" si="53"/>
        <v/>
      </c>
      <c r="P11" s="282" t="str">
        <f t="shared" si="47"/>
        <v/>
      </c>
      <c r="Q11" s="282" t="str">
        <f t="shared" si="48"/>
        <v/>
      </c>
      <c r="R11" s="282" t="str">
        <f t="shared" si="49"/>
        <v/>
      </c>
      <c r="S11" s="402" t="str">
        <f t="shared" si="1"/>
        <v/>
      </c>
      <c r="T11" s="282" t="str">
        <f>일반형!P11</f>
        <v/>
      </c>
      <c r="U11" s="282" t="str">
        <f>일반형!Q11</f>
        <v/>
      </c>
      <c r="V11" s="282" t="str">
        <f>일반형!R11</f>
        <v/>
      </c>
      <c r="W11" s="402" t="str">
        <f>일반형!S11</f>
        <v/>
      </c>
      <c r="X11" s="282" t="str">
        <f t="shared" si="50"/>
        <v/>
      </c>
      <c r="Y11" s="446" t="str">
        <f t="shared" si="2"/>
        <v/>
      </c>
      <c r="Z11" s="447" t="str">
        <f t="shared" si="51"/>
        <v/>
      </c>
      <c r="AB11" s="70" t="str">
        <f t="shared" si="35"/>
        <v/>
      </c>
      <c r="AC11" s="647" t="str">
        <f t="shared" si="4"/>
        <v/>
      </c>
      <c r="AD11" s="256"/>
      <c r="AE11" s="256" t="str">
        <f>IF(AB11="","",IF(AB11-$AB$4&lt;$F$5-1,INDEX(Main_무해지!$G$76:$G$87,MIN(AB11-$AB$4+1,12)),IF(AB11-$AB$4=$F$5-1,0,IF(AND($F$2=1,AB11&gt;109),0,IF(AND($F$2=2,AB11&gt;111),0,INDEX(Main_무해지!$H$76:$H$82,MIN(AB11-$AB$4-$F$5+1,7)))))))</f>
        <v/>
      </c>
      <c r="AF11" s="256" t="str">
        <f t="shared" si="45"/>
        <v/>
      </c>
      <c r="AG11" s="256" t="str">
        <f t="shared" si="5"/>
        <v/>
      </c>
      <c r="AH11" s="72" t="str">
        <f>IF($AB11="","",SUM(AG11:AG$114))</f>
        <v/>
      </c>
      <c r="AI11" s="256" t="str">
        <f t="shared" si="36"/>
        <v/>
      </c>
      <c r="AJ11" s="74" t="str">
        <f t="shared" si="6"/>
        <v/>
      </c>
      <c r="AK11" s="74"/>
      <c r="AL11" s="256" t="str">
        <f t="shared" si="7"/>
        <v/>
      </c>
      <c r="AM11" s="256" t="str">
        <f t="shared" si="46"/>
        <v/>
      </c>
      <c r="AN11" s="256" t="str">
        <f t="shared" si="8"/>
        <v/>
      </c>
      <c r="AO11" s="72" t="str">
        <f>IF($AB11="","",SUM(AN11:AN$114))</f>
        <v/>
      </c>
      <c r="AP11" s="71" t="str">
        <f t="shared" si="37"/>
        <v/>
      </c>
      <c r="AQ11" s="256" t="str">
        <f t="shared" si="9"/>
        <v/>
      </c>
      <c r="AR11" s="256" t="str">
        <f t="shared" si="10"/>
        <v/>
      </c>
      <c r="AS11" s="256" t="str">
        <f t="shared" si="11"/>
        <v/>
      </c>
      <c r="AT11" s="75" t="str">
        <f>IF($AB11="","",SUM($AU11:$AU$114))</f>
        <v/>
      </c>
      <c r="AU11" s="256" t="str">
        <f t="shared" si="38"/>
        <v/>
      </c>
      <c r="AV11" s="75" t="str">
        <f t="shared" si="12"/>
        <v/>
      </c>
      <c r="AW11" s="71"/>
      <c r="AX11" s="256" t="str">
        <f t="shared" si="13"/>
        <v/>
      </c>
      <c r="AY11" s="256" t="str">
        <f t="shared" si="14"/>
        <v/>
      </c>
      <c r="AZ11" s="256" t="str">
        <f t="shared" si="15"/>
        <v/>
      </c>
      <c r="BA11" s="75" t="str">
        <f>IF($AB11="","",SUM($AZ11:$AZ$114))</f>
        <v/>
      </c>
      <c r="BB11" s="71"/>
      <c r="BC11" s="256" t="str">
        <f t="shared" si="16"/>
        <v/>
      </c>
      <c r="BD11" s="256" t="str">
        <f t="shared" si="17"/>
        <v/>
      </c>
      <c r="BE11" s="256" t="str">
        <f t="shared" si="18"/>
        <v/>
      </c>
      <c r="BF11" s="75" t="str">
        <f>IF($AB11="","",SUM($BE11:$BE$114))</f>
        <v/>
      </c>
      <c r="BG11" s="71"/>
      <c r="BH11" s="256" t="str">
        <f t="shared" si="19"/>
        <v/>
      </c>
      <c r="BI11" s="256" t="str">
        <f t="shared" si="20"/>
        <v/>
      </c>
      <c r="BJ11" s="256" t="str">
        <f t="shared" si="21"/>
        <v/>
      </c>
      <c r="BK11" s="75" t="str">
        <f>IF($AB11="","",SUM($BJ11:$BJ$114))</f>
        <v/>
      </c>
      <c r="BL11" s="71"/>
      <c r="BM11" s="256" t="str">
        <f t="shared" si="22"/>
        <v/>
      </c>
      <c r="BN11" s="256" t="str">
        <f t="shared" si="23"/>
        <v/>
      </c>
      <c r="BO11" s="256" t="str">
        <f t="shared" si="24"/>
        <v/>
      </c>
      <c r="BP11" s="75" t="str">
        <f>IF($AB11="","",SUM($BO11:$BO$114))</f>
        <v/>
      </c>
      <c r="BQ11" s="71" t="str">
        <f t="shared" si="25"/>
        <v/>
      </c>
      <c r="BR11" s="256" t="str">
        <f t="shared" si="39"/>
        <v/>
      </c>
      <c r="BS11" s="256" t="str">
        <f t="shared" si="26"/>
        <v/>
      </c>
      <c r="BT11" s="256" t="str">
        <f t="shared" si="27"/>
        <v/>
      </c>
      <c r="BU11" s="256" t="str">
        <f t="shared" si="40"/>
        <v/>
      </c>
      <c r="BV11" s="256"/>
      <c r="BW11" s="256"/>
      <c r="BX11" s="256"/>
      <c r="BY11" s="256"/>
      <c r="BZ11" s="256" t="str">
        <f>IF($AB11="","",SUM(BU11:BU$114))</f>
        <v/>
      </c>
      <c r="CA11" s="73" t="str">
        <f>IF(AB11&lt;$E$3+$F$5,0,IFERROR(일반형!S13,0))</f>
        <v/>
      </c>
      <c r="CB11" s="73"/>
      <c r="CC11" s="392" t="str">
        <f t="shared" si="0"/>
        <v/>
      </c>
      <c r="CD11" s="256" t="str">
        <f t="shared" si="41"/>
        <v/>
      </c>
      <c r="CE11" s="256" t="str">
        <f t="shared" si="28"/>
        <v/>
      </c>
      <c r="CF11" s="256" t="str">
        <f t="shared" si="29"/>
        <v/>
      </c>
      <c r="CG11" s="256" t="str">
        <f t="shared" si="42"/>
        <v/>
      </c>
      <c r="CH11" s="256" t="str">
        <f t="shared" si="30"/>
        <v/>
      </c>
      <c r="CI11" s="76" t="str">
        <f t="shared" si="43"/>
        <v/>
      </c>
      <c r="CJ11" s="77" t="str">
        <f t="shared" si="31"/>
        <v/>
      </c>
      <c r="CK11" s="238"/>
      <c r="CL11" s="205">
        <v>7</v>
      </c>
      <c r="CM11" s="256">
        <f t="shared" si="32"/>
        <v>0</v>
      </c>
      <c r="CN11" s="256">
        <f t="shared" si="33"/>
        <v>3.9999999999999998E-6</v>
      </c>
      <c r="CO11" s="256">
        <f t="shared" si="34"/>
        <v>1.7E-5</v>
      </c>
      <c r="CP11" s="256">
        <f t="shared" si="44"/>
        <v>1.5E-5</v>
      </c>
      <c r="CQ11" s="256"/>
      <c r="CR11" s="205">
        <v>7</v>
      </c>
      <c r="CS11" s="256"/>
      <c r="CT11" s="256"/>
      <c r="CU11" s="256">
        <v>3.9999999999999998E-6</v>
      </c>
      <c r="CV11" s="256">
        <v>3.0000000000000001E-6</v>
      </c>
      <c r="CW11" s="256">
        <v>1.7E-5</v>
      </c>
      <c r="CX11" s="256">
        <v>6.0000000000000002E-6</v>
      </c>
      <c r="CY11" s="256">
        <v>1.5E-5</v>
      </c>
      <c r="CZ11" s="256">
        <v>3.9999999999999998E-6</v>
      </c>
      <c r="DA11" s="256"/>
      <c r="DB11" s="256"/>
      <c r="DC11" s="256"/>
      <c r="DD11" s="256"/>
    </row>
    <row r="12" spans="1:897" ht="18.75" thickTop="1" thickBot="1">
      <c r="A12" s="693" t="s">
        <v>418</v>
      </c>
      <c r="C12" s="245"/>
      <c r="D12" s="246" t="s">
        <v>77</v>
      </c>
      <c r="E12" s="659">
        <f>IF(입력!$A$3="PV",PV!W14,입력!E7)</f>
        <v>1000</v>
      </c>
      <c r="F12" s="247" t="s">
        <v>76</v>
      </c>
      <c r="G12" s="249"/>
      <c r="H12" s="321"/>
      <c r="I12" s="494"/>
      <c r="J12" s="494"/>
      <c r="K12" s="580" t="str">
        <f>TEXT(K3,"###,###")&amp;"("&amp;ROUND(K5*100,1)&amp;"%)"</f>
        <v>20(50%)</v>
      </c>
      <c r="L12" s="580" t="str">
        <f>TEXT(L3,"###,###")&amp;"("&amp;ROUND(L5*100,1)&amp;"%)"</f>
        <v>20(50%)</v>
      </c>
      <c r="M12" s="50"/>
      <c r="N12" s="275" t="str">
        <f t="shared" si="52"/>
        <v/>
      </c>
      <c r="O12" s="276" t="str">
        <f t="shared" si="53"/>
        <v/>
      </c>
      <c r="P12" s="277" t="str">
        <f t="shared" si="47"/>
        <v/>
      </c>
      <c r="Q12" s="277" t="str">
        <f t="shared" si="48"/>
        <v/>
      </c>
      <c r="R12" s="277" t="str">
        <f t="shared" si="49"/>
        <v/>
      </c>
      <c r="S12" s="401" t="str">
        <f t="shared" si="1"/>
        <v/>
      </c>
      <c r="T12" s="277" t="str">
        <f>일반형!P12</f>
        <v/>
      </c>
      <c r="U12" s="277" t="str">
        <f>일반형!Q12</f>
        <v/>
      </c>
      <c r="V12" s="277" t="str">
        <f>일반형!R12</f>
        <v/>
      </c>
      <c r="W12" s="401" t="str">
        <f>일반형!S12</f>
        <v/>
      </c>
      <c r="X12" s="277" t="str">
        <f t="shared" si="50"/>
        <v/>
      </c>
      <c r="Y12" s="444" t="str">
        <f t="shared" si="2"/>
        <v/>
      </c>
      <c r="Z12" s="445" t="str">
        <f t="shared" si="51"/>
        <v/>
      </c>
      <c r="AB12" s="70" t="str">
        <f t="shared" si="35"/>
        <v/>
      </c>
      <c r="AC12" s="647" t="str">
        <f t="shared" si="4"/>
        <v/>
      </c>
      <c r="AD12" s="256"/>
      <c r="AE12" s="256" t="str">
        <f>IF(AB12="","",IF(AB12-$AB$4&lt;$F$5-1,INDEX(Main_무해지!$G$76:$G$87,MIN(AB12-$AB$4+1,12)),IF(AB12-$AB$4=$F$5-1,0,IF(AND($F$2=1,AB12&gt;109),0,IF(AND($F$2=2,AB12&gt;111),0,INDEX(Main_무해지!$H$76:$H$82,MIN(AB12-$AB$4-$F$5+1,7)))))))</f>
        <v/>
      </c>
      <c r="AF12" s="256" t="str">
        <f t="shared" si="45"/>
        <v/>
      </c>
      <c r="AG12" s="256" t="str">
        <f t="shared" si="5"/>
        <v/>
      </c>
      <c r="AH12" s="72" t="str">
        <f>IF($AB12="","",SUM(AG12:AG$114))</f>
        <v/>
      </c>
      <c r="AI12" s="256" t="str">
        <f t="shared" si="36"/>
        <v/>
      </c>
      <c r="AJ12" s="74" t="str">
        <f t="shared" si="6"/>
        <v/>
      </c>
      <c r="AK12" s="74"/>
      <c r="AL12" s="256" t="str">
        <f t="shared" si="7"/>
        <v/>
      </c>
      <c r="AM12" s="256" t="str">
        <f t="shared" si="46"/>
        <v/>
      </c>
      <c r="AN12" s="256" t="str">
        <f t="shared" si="8"/>
        <v/>
      </c>
      <c r="AO12" s="72" t="str">
        <f>IF($AB12="","",SUM(AN12:AN$114))</f>
        <v/>
      </c>
      <c r="AP12" s="71" t="str">
        <f t="shared" si="37"/>
        <v/>
      </c>
      <c r="AQ12" s="256" t="str">
        <f t="shared" si="9"/>
        <v/>
      </c>
      <c r="AR12" s="256" t="str">
        <f t="shared" si="10"/>
        <v/>
      </c>
      <c r="AS12" s="256" t="str">
        <f t="shared" si="11"/>
        <v/>
      </c>
      <c r="AT12" s="75" t="str">
        <f>IF($AB12="","",SUM($AU12:$AU$114))</f>
        <v/>
      </c>
      <c r="AU12" s="256" t="str">
        <f t="shared" si="38"/>
        <v/>
      </c>
      <c r="AV12" s="75" t="str">
        <f t="shared" si="12"/>
        <v/>
      </c>
      <c r="AW12" s="71"/>
      <c r="AX12" s="256" t="str">
        <f t="shared" si="13"/>
        <v/>
      </c>
      <c r="AY12" s="256" t="str">
        <f t="shared" si="14"/>
        <v/>
      </c>
      <c r="AZ12" s="256" t="str">
        <f t="shared" si="15"/>
        <v/>
      </c>
      <c r="BA12" s="75" t="str">
        <f>IF($AB12="","",SUM($AZ12:$AZ$114))</f>
        <v/>
      </c>
      <c r="BB12" s="71"/>
      <c r="BC12" s="256" t="str">
        <f t="shared" si="16"/>
        <v/>
      </c>
      <c r="BD12" s="256" t="str">
        <f t="shared" si="17"/>
        <v/>
      </c>
      <c r="BE12" s="256" t="str">
        <f t="shared" si="18"/>
        <v/>
      </c>
      <c r="BF12" s="75" t="str">
        <f>IF($AB12="","",SUM($BE12:$BE$114))</f>
        <v/>
      </c>
      <c r="BG12" s="71"/>
      <c r="BH12" s="256" t="str">
        <f t="shared" si="19"/>
        <v/>
      </c>
      <c r="BI12" s="256" t="str">
        <f t="shared" si="20"/>
        <v/>
      </c>
      <c r="BJ12" s="256" t="str">
        <f t="shared" si="21"/>
        <v/>
      </c>
      <c r="BK12" s="75" t="str">
        <f>IF($AB12="","",SUM($BJ12:$BJ$114))</f>
        <v/>
      </c>
      <c r="BL12" s="71"/>
      <c r="BM12" s="256" t="str">
        <f t="shared" si="22"/>
        <v/>
      </c>
      <c r="BN12" s="256" t="str">
        <f t="shared" si="23"/>
        <v/>
      </c>
      <c r="BO12" s="256" t="str">
        <f t="shared" si="24"/>
        <v/>
      </c>
      <c r="BP12" s="75" t="str">
        <f>IF($AB12="","",SUM($BO12:$BO$114))</f>
        <v/>
      </c>
      <c r="BQ12" s="71" t="str">
        <f t="shared" si="25"/>
        <v/>
      </c>
      <c r="BR12" s="256" t="str">
        <f t="shared" si="39"/>
        <v/>
      </c>
      <c r="BS12" s="256" t="str">
        <f t="shared" si="26"/>
        <v/>
      </c>
      <c r="BT12" s="256" t="str">
        <f t="shared" si="27"/>
        <v/>
      </c>
      <c r="BU12" s="256" t="str">
        <f t="shared" si="40"/>
        <v/>
      </c>
      <c r="BV12" s="256"/>
      <c r="BW12" s="256"/>
      <c r="BX12" s="256"/>
      <c r="BY12" s="256"/>
      <c r="BZ12" s="256" t="str">
        <f>IF($AB12="","",SUM(BU12:BU$114))</f>
        <v/>
      </c>
      <c r="CA12" s="73" t="str">
        <f>IF(AB12&lt;$E$3+$F$5,0,IFERROR(일반형!S14,0))</f>
        <v/>
      </c>
      <c r="CB12" s="73"/>
      <c r="CC12" s="392" t="str">
        <f t="shared" si="0"/>
        <v/>
      </c>
      <c r="CD12" s="256" t="str">
        <f t="shared" si="41"/>
        <v/>
      </c>
      <c r="CE12" s="256" t="str">
        <f t="shared" si="28"/>
        <v/>
      </c>
      <c r="CF12" s="256" t="str">
        <f t="shared" si="29"/>
        <v/>
      </c>
      <c r="CG12" s="256" t="str">
        <f t="shared" si="42"/>
        <v/>
      </c>
      <c r="CH12" s="256" t="str">
        <f t="shared" si="30"/>
        <v/>
      </c>
      <c r="CI12" s="76" t="str">
        <f t="shared" si="43"/>
        <v/>
      </c>
      <c r="CJ12" s="77" t="str">
        <f t="shared" si="31"/>
        <v/>
      </c>
      <c r="CK12" s="238"/>
      <c r="CL12" s="205">
        <v>8</v>
      </c>
      <c r="CM12" s="256">
        <f t="shared" si="32"/>
        <v>0</v>
      </c>
      <c r="CN12" s="256">
        <f t="shared" si="33"/>
        <v>3.9999999999999998E-6</v>
      </c>
      <c r="CO12" s="256">
        <f t="shared" si="34"/>
        <v>1.5E-5</v>
      </c>
      <c r="CP12" s="256">
        <f t="shared" si="44"/>
        <v>1.5E-5</v>
      </c>
      <c r="CQ12" s="256"/>
      <c r="CR12" s="205">
        <v>8</v>
      </c>
      <c r="CS12" s="256"/>
      <c r="CT12" s="256"/>
      <c r="CU12" s="256">
        <v>3.9999999999999998E-6</v>
      </c>
      <c r="CV12" s="256">
        <v>3.0000000000000001E-6</v>
      </c>
      <c r="CW12" s="256">
        <v>1.5E-5</v>
      </c>
      <c r="CX12" s="256">
        <v>6.0000000000000002E-6</v>
      </c>
      <c r="CY12" s="256">
        <v>1.5E-5</v>
      </c>
      <c r="CZ12" s="256">
        <v>3.9999999999999998E-6</v>
      </c>
      <c r="DA12" s="256"/>
      <c r="DB12" s="256"/>
      <c r="DC12" s="256"/>
      <c r="DD12" s="256"/>
    </row>
    <row r="13" spans="1:897" ht="17.25" thickBot="1">
      <c r="F13" s="403"/>
      <c r="G13" s="227"/>
      <c r="H13" s="321"/>
      <c r="I13" s="498"/>
      <c r="J13" s="499" t="s">
        <v>20</v>
      </c>
      <c r="K13" s="500">
        <f>MIN(20,F4)</f>
        <v>1</v>
      </c>
      <c r="M13" s="50"/>
      <c r="N13" s="278" t="str">
        <f t="shared" si="52"/>
        <v/>
      </c>
      <c r="O13" s="279" t="str">
        <f t="shared" si="53"/>
        <v/>
      </c>
      <c r="P13" s="271" t="str">
        <f t="shared" si="47"/>
        <v/>
      </c>
      <c r="Q13" s="271" t="str">
        <f t="shared" si="48"/>
        <v/>
      </c>
      <c r="R13" s="271" t="str">
        <f t="shared" si="49"/>
        <v/>
      </c>
      <c r="S13" s="400" t="str">
        <f t="shared" si="1"/>
        <v/>
      </c>
      <c r="T13" s="271" t="str">
        <f>일반형!P13</f>
        <v/>
      </c>
      <c r="U13" s="271" t="str">
        <f>일반형!Q13</f>
        <v/>
      </c>
      <c r="V13" s="271" t="str">
        <f>일반형!R13</f>
        <v/>
      </c>
      <c r="W13" s="400" t="str">
        <f>일반형!S13</f>
        <v/>
      </c>
      <c r="X13" s="271" t="str">
        <f t="shared" si="50"/>
        <v/>
      </c>
      <c r="Y13" s="442" t="str">
        <f t="shared" si="2"/>
        <v/>
      </c>
      <c r="Z13" s="443" t="str">
        <f t="shared" si="51"/>
        <v/>
      </c>
      <c r="AB13" s="70" t="str">
        <f t="shared" si="35"/>
        <v/>
      </c>
      <c r="AC13" s="647" t="str">
        <f t="shared" si="4"/>
        <v/>
      </c>
      <c r="AD13" s="256"/>
      <c r="AE13" s="256" t="str">
        <f>IF(AB13="","",IF(AB13-$AB$4&lt;$F$5-1,INDEX(Main_무해지!$G$76:$G$87,MIN(AB13-$AB$4+1,12)),IF(AB13-$AB$4=$F$5-1,0,IF(AND($F$2=1,AB13&gt;109),0,IF(AND($F$2=2,AB13&gt;111),0,INDEX(Main_무해지!$H$76:$H$82,MIN(AB13-$AB$4-$F$5+1,7)))))))</f>
        <v/>
      </c>
      <c r="AF13" s="256" t="str">
        <f t="shared" si="45"/>
        <v/>
      </c>
      <c r="AG13" s="256" t="str">
        <f t="shared" si="5"/>
        <v/>
      </c>
      <c r="AH13" s="72" t="str">
        <f>IF($AB13="","",SUM(AG13:AG$114))</f>
        <v/>
      </c>
      <c r="AI13" s="256" t="str">
        <f t="shared" si="36"/>
        <v/>
      </c>
      <c r="AJ13" s="74" t="str">
        <f t="shared" si="6"/>
        <v/>
      </c>
      <c r="AK13" s="74"/>
      <c r="AL13" s="256" t="str">
        <f t="shared" si="7"/>
        <v/>
      </c>
      <c r="AM13" s="256" t="str">
        <f t="shared" si="46"/>
        <v/>
      </c>
      <c r="AN13" s="256" t="str">
        <f t="shared" si="8"/>
        <v/>
      </c>
      <c r="AO13" s="72" t="str">
        <f>IF($AB13="","",SUM(AN13:AN$114))</f>
        <v/>
      </c>
      <c r="AP13" s="71" t="str">
        <f t="shared" si="37"/>
        <v/>
      </c>
      <c r="AQ13" s="256" t="str">
        <f t="shared" si="9"/>
        <v/>
      </c>
      <c r="AR13" s="256" t="str">
        <f t="shared" si="10"/>
        <v/>
      </c>
      <c r="AS13" s="256" t="str">
        <f t="shared" si="11"/>
        <v/>
      </c>
      <c r="AT13" s="75" t="str">
        <f>IF($AB13="","",SUM($AU13:$AU$114))</f>
        <v/>
      </c>
      <c r="AU13" s="256" t="str">
        <f t="shared" si="38"/>
        <v/>
      </c>
      <c r="AV13" s="75" t="str">
        <f t="shared" si="12"/>
        <v/>
      </c>
      <c r="AW13" s="71"/>
      <c r="AX13" s="256" t="str">
        <f t="shared" si="13"/>
        <v/>
      </c>
      <c r="AY13" s="256" t="str">
        <f t="shared" si="14"/>
        <v/>
      </c>
      <c r="AZ13" s="256" t="str">
        <f t="shared" si="15"/>
        <v/>
      </c>
      <c r="BA13" s="75" t="str">
        <f>IF($AB13="","",SUM($AZ13:$AZ$114))</f>
        <v/>
      </c>
      <c r="BB13" s="71"/>
      <c r="BC13" s="256" t="str">
        <f t="shared" si="16"/>
        <v/>
      </c>
      <c r="BD13" s="256" t="str">
        <f t="shared" si="17"/>
        <v/>
      </c>
      <c r="BE13" s="256" t="str">
        <f t="shared" si="18"/>
        <v/>
      </c>
      <c r="BF13" s="75" t="str">
        <f>IF($AB13="","",SUM($BE13:$BE$114))</f>
        <v/>
      </c>
      <c r="BG13" s="71"/>
      <c r="BH13" s="256" t="str">
        <f t="shared" si="19"/>
        <v/>
      </c>
      <c r="BI13" s="256" t="str">
        <f t="shared" si="20"/>
        <v/>
      </c>
      <c r="BJ13" s="256" t="str">
        <f t="shared" si="21"/>
        <v/>
      </c>
      <c r="BK13" s="75" t="str">
        <f>IF($AB13="","",SUM($BJ13:$BJ$114))</f>
        <v/>
      </c>
      <c r="BL13" s="71"/>
      <c r="BM13" s="256" t="str">
        <f t="shared" si="22"/>
        <v/>
      </c>
      <c r="BN13" s="256" t="str">
        <f t="shared" si="23"/>
        <v/>
      </c>
      <c r="BO13" s="256" t="str">
        <f t="shared" si="24"/>
        <v/>
      </c>
      <c r="BP13" s="75" t="str">
        <f>IF($AB13="","",SUM($BO13:$BO$114))</f>
        <v/>
      </c>
      <c r="BQ13" s="71" t="str">
        <f t="shared" si="25"/>
        <v/>
      </c>
      <c r="BR13" s="256" t="str">
        <f t="shared" si="39"/>
        <v/>
      </c>
      <c r="BS13" s="256" t="str">
        <f t="shared" si="26"/>
        <v/>
      </c>
      <c r="BT13" s="256" t="str">
        <f t="shared" si="27"/>
        <v/>
      </c>
      <c r="BU13" s="256" t="str">
        <f t="shared" si="40"/>
        <v/>
      </c>
      <c r="BV13" s="256"/>
      <c r="BW13" s="256"/>
      <c r="BX13" s="256"/>
      <c r="BY13" s="256"/>
      <c r="BZ13" s="256" t="str">
        <f>IF($AB13="","",SUM(BU13:BU$114))</f>
        <v/>
      </c>
      <c r="CA13" s="73" t="str">
        <f>IF(AB13&lt;$E$3+$F$5,0,IFERROR(일반형!S15,0))</f>
        <v/>
      </c>
      <c r="CB13" s="73"/>
      <c r="CC13" s="392" t="str">
        <f t="shared" si="0"/>
        <v/>
      </c>
      <c r="CD13" s="256" t="str">
        <f t="shared" si="41"/>
        <v/>
      </c>
      <c r="CE13" s="256" t="str">
        <f t="shared" si="28"/>
        <v/>
      </c>
      <c r="CF13" s="256" t="str">
        <f t="shared" si="29"/>
        <v/>
      </c>
      <c r="CG13" s="256" t="str">
        <f t="shared" si="42"/>
        <v/>
      </c>
      <c r="CH13" s="256" t="str">
        <f t="shared" si="30"/>
        <v/>
      </c>
      <c r="CI13" s="76" t="str">
        <f t="shared" si="43"/>
        <v/>
      </c>
      <c r="CJ13" s="77" t="str">
        <f t="shared" si="31"/>
        <v/>
      </c>
      <c r="CK13" s="238"/>
      <c r="CL13" s="205">
        <v>9</v>
      </c>
      <c r="CM13" s="256">
        <f t="shared" si="32"/>
        <v>0</v>
      </c>
      <c r="CN13" s="256">
        <f t="shared" si="33"/>
        <v>3.9999999999999998E-6</v>
      </c>
      <c r="CO13" s="256">
        <f t="shared" si="34"/>
        <v>1.4E-5</v>
      </c>
      <c r="CP13" s="256">
        <f t="shared" si="44"/>
        <v>1.5E-5</v>
      </c>
      <c r="CQ13" s="256"/>
      <c r="CR13" s="205">
        <v>9</v>
      </c>
      <c r="CS13" s="256"/>
      <c r="CT13" s="256"/>
      <c r="CU13" s="256">
        <v>3.9999999999999998E-6</v>
      </c>
      <c r="CV13" s="256">
        <v>3.0000000000000001E-6</v>
      </c>
      <c r="CW13" s="256">
        <v>1.4E-5</v>
      </c>
      <c r="CX13" s="256">
        <v>6.0000000000000002E-6</v>
      </c>
      <c r="CY13" s="256">
        <v>1.5E-5</v>
      </c>
      <c r="CZ13" s="256">
        <v>3.9999999999999998E-6</v>
      </c>
      <c r="DA13" s="256"/>
      <c r="DB13" s="256"/>
      <c r="DC13" s="256"/>
      <c r="DD13" s="256"/>
    </row>
    <row r="14" spans="1:897" ht="17.25" thickTop="1">
      <c r="C14" s="68"/>
      <c r="D14" s="17" t="s">
        <v>28</v>
      </c>
      <c r="E14" s="838">
        <v>2.2499999999999999E-2</v>
      </c>
      <c r="F14" s="839"/>
      <c r="G14" s="69"/>
      <c r="H14" s="321"/>
      <c r="I14" s="48"/>
      <c r="J14" s="49" t="s">
        <v>86</v>
      </c>
      <c r="K14" s="483">
        <f>INDEX(AO4:AO114,1)</f>
        <v>197799.51100244501</v>
      </c>
      <c r="M14" s="50"/>
      <c r="N14" s="278" t="str">
        <f t="shared" si="52"/>
        <v/>
      </c>
      <c r="O14" s="279" t="str">
        <f t="shared" si="53"/>
        <v/>
      </c>
      <c r="P14" s="271" t="str">
        <f t="shared" si="47"/>
        <v/>
      </c>
      <c r="Q14" s="271" t="str">
        <f t="shared" si="48"/>
        <v/>
      </c>
      <c r="R14" s="271" t="str">
        <f t="shared" si="49"/>
        <v/>
      </c>
      <c r="S14" s="400" t="str">
        <f t="shared" si="1"/>
        <v/>
      </c>
      <c r="T14" s="271" t="str">
        <f>일반형!P14</f>
        <v/>
      </c>
      <c r="U14" s="271" t="str">
        <f>일반형!Q14</f>
        <v/>
      </c>
      <c r="V14" s="271" t="str">
        <f>일반형!R14</f>
        <v/>
      </c>
      <c r="W14" s="400" t="str">
        <f>일반형!S14</f>
        <v/>
      </c>
      <c r="X14" s="271" t="str">
        <f t="shared" si="50"/>
        <v/>
      </c>
      <c r="Y14" s="442" t="str">
        <f t="shared" si="2"/>
        <v/>
      </c>
      <c r="Z14" s="443" t="str">
        <f t="shared" si="51"/>
        <v/>
      </c>
      <c r="AB14" s="83" t="str">
        <f t="shared" si="35"/>
        <v/>
      </c>
      <c r="AC14" s="648" t="str">
        <f t="shared" si="4"/>
        <v/>
      </c>
      <c r="AD14" s="257"/>
      <c r="AE14" s="257" t="str">
        <f>IF(AB14="","",IF(AB14-$AB$4&lt;$F$5-1,INDEX(Main_무해지!$G$76:$G$87,MIN(AB14-$AB$4+1,12)),IF(AB14-$AB$4=$F$5-1,0,IF(AND($F$2=1,AB14&gt;109),0,IF(AND($F$2=2,AB14&gt;111),0,INDEX(Main_무해지!$H$76:$H$82,MIN(AB14-$AB$4-$F$5+1,7)))))))</f>
        <v/>
      </c>
      <c r="AF14" s="257" t="str">
        <f t="shared" si="45"/>
        <v/>
      </c>
      <c r="AG14" s="257" t="str">
        <f t="shared" si="5"/>
        <v/>
      </c>
      <c r="AH14" s="85" t="str">
        <f>IF($AB14="","",SUM(AG14:AG$114))</f>
        <v/>
      </c>
      <c r="AI14" s="257" t="str">
        <f t="shared" si="36"/>
        <v/>
      </c>
      <c r="AJ14" s="87" t="str">
        <f t="shared" si="6"/>
        <v/>
      </c>
      <c r="AK14" s="87"/>
      <c r="AL14" s="257" t="str">
        <f t="shared" si="7"/>
        <v/>
      </c>
      <c r="AM14" s="257" t="str">
        <f t="shared" si="46"/>
        <v/>
      </c>
      <c r="AN14" s="257" t="str">
        <f t="shared" si="8"/>
        <v/>
      </c>
      <c r="AO14" s="85" t="str">
        <f>IF($AB14="","",SUM(AN14:AN$114))</f>
        <v/>
      </c>
      <c r="AP14" s="84" t="str">
        <f t="shared" si="37"/>
        <v/>
      </c>
      <c r="AQ14" s="257" t="str">
        <f t="shared" si="9"/>
        <v/>
      </c>
      <c r="AR14" s="257" t="str">
        <f t="shared" si="10"/>
        <v/>
      </c>
      <c r="AS14" s="257" t="str">
        <f t="shared" si="11"/>
        <v/>
      </c>
      <c r="AT14" s="88" t="str">
        <f>IF($AB14="","",SUM($AU14:$AU$114))</f>
        <v/>
      </c>
      <c r="AU14" s="257" t="str">
        <f t="shared" si="38"/>
        <v/>
      </c>
      <c r="AV14" s="88" t="str">
        <f t="shared" si="12"/>
        <v/>
      </c>
      <c r="AW14" s="84"/>
      <c r="AX14" s="257" t="str">
        <f t="shared" si="13"/>
        <v/>
      </c>
      <c r="AY14" s="257" t="str">
        <f t="shared" si="14"/>
        <v/>
      </c>
      <c r="AZ14" s="257" t="str">
        <f t="shared" si="15"/>
        <v/>
      </c>
      <c r="BA14" s="88" t="str">
        <f>IF($AB14="","",SUM($AZ14:$AZ$114))</f>
        <v/>
      </c>
      <c r="BB14" s="84"/>
      <c r="BC14" s="257" t="str">
        <f t="shared" si="16"/>
        <v/>
      </c>
      <c r="BD14" s="257" t="str">
        <f t="shared" si="17"/>
        <v/>
      </c>
      <c r="BE14" s="257" t="str">
        <f t="shared" si="18"/>
        <v/>
      </c>
      <c r="BF14" s="88" t="str">
        <f>IF($AB14="","",SUM($BE14:$BE$114))</f>
        <v/>
      </c>
      <c r="BG14" s="84"/>
      <c r="BH14" s="257" t="str">
        <f t="shared" si="19"/>
        <v/>
      </c>
      <c r="BI14" s="257" t="str">
        <f t="shared" si="20"/>
        <v/>
      </c>
      <c r="BJ14" s="257" t="str">
        <f t="shared" si="21"/>
        <v/>
      </c>
      <c r="BK14" s="88" t="str">
        <f>IF($AB14="","",SUM($BJ14:$BJ$114))</f>
        <v/>
      </c>
      <c r="BL14" s="84"/>
      <c r="BM14" s="257" t="str">
        <f t="shared" si="22"/>
        <v/>
      </c>
      <c r="BN14" s="257" t="str">
        <f t="shared" si="23"/>
        <v/>
      </c>
      <c r="BO14" s="257" t="str">
        <f t="shared" si="24"/>
        <v/>
      </c>
      <c r="BP14" s="88" t="str">
        <f>IF($AB14="","",SUM($BO14:$BO$114))</f>
        <v/>
      </c>
      <c r="BQ14" s="84" t="str">
        <f t="shared" si="25"/>
        <v/>
      </c>
      <c r="BR14" s="257" t="str">
        <f t="shared" si="39"/>
        <v/>
      </c>
      <c r="BS14" s="257" t="str">
        <f t="shared" si="26"/>
        <v/>
      </c>
      <c r="BT14" s="257" t="str">
        <f t="shared" si="27"/>
        <v/>
      </c>
      <c r="BU14" s="257" t="str">
        <f t="shared" si="40"/>
        <v/>
      </c>
      <c r="BV14" s="257"/>
      <c r="BW14" s="257"/>
      <c r="BX14" s="257"/>
      <c r="BY14" s="257"/>
      <c r="BZ14" s="257" t="str">
        <f>IF($AB14="","",SUM(BU14:BU$114))</f>
        <v/>
      </c>
      <c r="CA14" s="86" t="str">
        <f>IF(AB14&lt;$E$3+$F$5,0,IFERROR(일반형!S16,0))</f>
        <v/>
      </c>
      <c r="CB14" s="86"/>
      <c r="CC14" s="393" t="str">
        <f t="shared" si="0"/>
        <v/>
      </c>
      <c r="CD14" s="257" t="str">
        <f t="shared" si="41"/>
        <v/>
      </c>
      <c r="CE14" s="257" t="str">
        <f t="shared" si="28"/>
        <v/>
      </c>
      <c r="CF14" s="257" t="str">
        <f t="shared" si="29"/>
        <v/>
      </c>
      <c r="CG14" s="257" t="str">
        <f t="shared" si="42"/>
        <v/>
      </c>
      <c r="CH14" s="257" t="str">
        <f t="shared" si="30"/>
        <v/>
      </c>
      <c r="CI14" s="89" t="str">
        <f t="shared" si="43"/>
        <v/>
      </c>
      <c r="CJ14" s="90" t="str">
        <f t="shared" si="31"/>
        <v/>
      </c>
      <c r="CK14" s="239"/>
      <c r="CL14" s="206">
        <v>10</v>
      </c>
      <c r="CM14" s="257">
        <f t="shared" si="32"/>
        <v>0</v>
      </c>
      <c r="CN14" s="257">
        <f t="shared" si="33"/>
        <v>3.9999999999999998E-6</v>
      </c>
      <c r="CO14" s="257">
        <f t="shared" si="34"/>
        <v>1.2E-5</v>
      </c>
      <c r="CP14" s="257">
        <f t="shared" si="44"/>
        <v>1.5E-5</v>
      </c>
      <c r="CQ14" s="257"/>
      <c r="CR14" s="206">
        <v>10</v>
      </c>
      <c r="CS14" s="257"/>
      <c r="CT14" s="257"/>
      <c r="CU14" s="257">
        <v>3.9999999999999998E-6</v>
      </c>
      <c r="CV14" s="257">
        <v>3.0000000000000001E-6</v>
      </c>
      <c r="CW14" s="257">
        <v>1.2E-5</v>
      </c>
      <c r="CX14" s="257">
        <v>5.0000000000000004E-6</v>
      </c>
      <c r="CY14" s="257">
        <v>1.5E-5</v>
      </c>
      <c r="CZ14" s="257">
        <v>3.9999999999999998E-6</v>
      </c>
      <c r="DA14" s="257"/>
      <c r="DB14" s="257"/>
      <c r="DC14" s="257"/>
      <c r="DD14" s="257"/>
    </row>
    <row r="15" spans="1:897">
      <c r="B15" s="373"/>
      <c r="C15" s="78"/>
      <c r="D15" s="29" t="s">
        <v>31</v>
      </c>
      <c r="E15" s="831" t="s">
        <v>228</v>
      </c>
      <c r="F15" s="832"/>
      <c r="G15" s="79"/>
      <c r="H15" s="321"/>
      <c r="I15" s="48" t="s">
        <v>22</v>
      </c>
      <c r="J15" s="49" t="s">
        <v>23</v>
      </c>
      <c r="K15" s="483">
        <v>0</v>
      </c>
      <c r="M15" s="50"/>
      <c r="N15" s="278" t="str">
        <f t="shared" si="52"/>
        <v/>
      </c>
      <c r="O15" s="279" t="str">
        <f t="shared" si="53"/>
        <v/>
      </c>
      <c r="P15" s="271" t="str">
        <f t="shared" si="47"/>
        <v/>
      </c>
      <c r="Q15" s="271" t="str">
        <f t="shared" si="48"/>
        <v/>
      </c>
      <c r="R15" s="271" t="str">
        <f t="shared" si="49"/>
        <v/>
      </c>
      <c r="S15" s="400" t="str">
        <f t="shared" si="1"/>
        <v/>
      </c>
      <c r="T15" s="271" t="str">
        <f>일반형!P15</f>
        <v/>
      </c>
      <c r="U15" s="271" t="str">
        <f>일반형!Q15</f>
        <v/>
      </c>
      <c r="V15" s="271" t="str">
        <f>일반형!R15</f>
        <v/>
      </c>
      <c r="W15" s="400" t="str">
        <f>일반형!S15</f>
        <v/>
      </c>
      <c r="X15" s="271" t="str">
        <f t="shared" si="50"/>
        <v/>
      </c>
      <c r="Y15" s="442" t="str">
        <f t="shared" si="2"/>
        <v/>
      </c>
      <c r="Z15" s="443" t="str">
        <f t="shared" si="51"/>
        <v/>
      </c>
      <c r="AB15" s="750" t="str">
        <f>IF(AB14="","",(IF(AB14=MIN(($E$3+$F$4),IF($F$2=1,110,112)),"",(AB14+1))))</f>
        <v/>
      </c>
      <c r="AC15" s="643" t="str">
        <f t="shared" si="4"/>
        <v/>
      </c>
      <c r="AD15" s="408"/>
      <c r="AE15" s="408" t="str">
        <f>IF(AB15="","",IF(AB15-$AB$4&lt;$F$5-1,INDEX(Main_무해지!$G$76:$G$87,MIN(AB15-$AB$4+1,12)),IF(AB15-$AB$4=$F$5-1,0,IF(AND($F$2=1,AB15&gt;109),0,IF(AND($F$2=2,AB15&gt;111),0,INDEX(Main_무해지!$H$76:$H$82,MIN(AB15-$AB$4-$F$5+1,7)))))))</f>
        <v/>
      </c>
      <c r="AF15" s="408" t="str">
        <f t="shared" si="45"/>
        <v/>
      </c>
      <c r="AG15" s="408" t="str">
        <f t="shared" si="5"/>
        <v/>
      </c>
      <c r="AH15" s="751" t="str">
        <f>IF($AB15="","",SUM(AG15:AG$114))</f>
        <v/>
      </c>
      <c r="AI15" s="408" t="str">
        <f t="shared" si="36"/>
        <v/>
      </c>
      <c r="AJ15" s="638" t="str">
        <f t="shared" si="6"/>
        <v/>
      </c>
      <c r="AK15" s="638"/>
      <c r="AL15" s="408" t="str">
        <f t="shared" si="7"/>
        <v/>
      </c>
      <c r="AM15" s="408" t="str">
        <f t="shared" si="46"/>
        <v/>
      </c>
      <c r="AN15" s="408" t="str">
        <f t="shared" si="8"/>
        <v/>
      </c>
      <c r="AO15" s="751" t="str">
        <f>IF($AB15="","",SUM(AN15:AN$114))</f>
        <v/>
      </c>
      <c r="AP15" s="752" t="str">
        <f t="shared" si="37"/>
        <v/>
      </c>
      <c r="AQ15" s="408" t="str">
        <f t="shared" si="9"/>
        <v/>
      </c>
      <c r="AR15" s="408" t="str">
        <f t="shared" si="10"/>
        <v/>
      </c>
      <c r="AS15" s="408" t="str">
        <f t="shared" si="11"/>
        <v/>
      </c>
      <c r="AT15" s="753" t="str">
        <f>IF($AB15="","",SUM($AU15:$AU$114))</f>
        <v/>
      </c>
      <c r="AU15" s="408" t="str">
        <f t="shared" si="38"/>
        <v/>
      </c>
      <c r="AV15" s="753" t="str">
        <f t="shared" si="12"/>
        <v/>
      </c>
      <c r="AW15" s="752"/>
      <c r="AX15" s="408" t="str">
        <f t="shared" si="13"/>
        <v/>
      </c>
      <c r="AY15" s="408" t="str">
        <f t="shared" si="14"/>
        <v/>
      </c>
      <c r="AZ15" s="408" t="str">
        <f t="shared" si="15"/>
        <v/>
      </c>
      <c r="BA15" s="753" t="str">
        <f>IF($AB15="","",SUM($AZ15:$AZ$114))</f>
        <v/>
      </c>
      <c r="BB15" s="752"/>
      <c r="BC15" s="408" t="str">
        <f t="shared" si="16"/>
        <v/>
      </c>
      <c r="BD15" s="408" t="str">
        <f t="shared" si="17"/>
        <v/>
      </c>
      <c r="BE15" s="408" t="str">
        <f t="shared" si="18"/>
        <v/>
      </c>
      <c r="BF15" s="753" t="str">
        <f>IF($AB15="","",SUM($BE15:$BE$114))</f>
        <v/>
      </c>
      <c r="BG15" s="752"/>
      <c r="BH15" s="408" t="str">
        <f t="shared" si="19"/>
        <v/>
      </c>
      <c r="BI15" s="408" t="str">
        <f t="shared" si="20"/>
        <v/>
      </c>
      <c r="BJ15" s="408" t="str">
        <f t="shared" si="21"/>
        <v/>
      </c>
      <c r="BK15" s="753" t="str">
        <f>IF($AB15="","",SUM($BJ15:$BJ$114))</f>
        <v/>
      </c>
      <c r="BL15" s="752"/>
      <c r="BM15" s="408" t="str">
        <f t="shared" si="22"/>
        <v/>
      </c>
      <c r="BN15" s="408" t="str">
        <f t="shared" si="23"/>
        <v/>
      </c>
      <c r="BO15" s="408" t="str">
        <f t="shared" si="24"/>
        <v/>
      </c>
      <c r="BP15" s="753" t="str">
        <f>IF($AB15="","",SUM($BO15:$BO$114))</f>
        <v/>
      </c>
      <c r="BQ15" s="752" t="str">
        <f t="shared" si="25"/>
        <v/>
      </c>
      <c r="BR15" s="408" t="str">
        <f t="shared" si="39"/>
        <v/>
      </c>
      <c r="BS15" s="408" t="str">
        <f t="shared" si="26"/>
        <v/>
      </c>
      <c r="BT15" s="408" t="str">
        <f t="shared" si="27"/>
        <v/>
      </c>
      <c r="BU15" s="408" t="str">
        <f t="shared" si="40"/>
        <v/>
      </c>
      <c r="BV15" s="408"/>
      <c r="BW15" s="408"/>
      <c r="BX15" s="408"/>
      <c r="BY15" s="408"/>
      <c r="BZ15" s="408" t="str">
        <f>IF($AB15="","",SUM(BU15:BU$114))</f>
        <v/>
      </c>
      <c r="CA15" s="754" t="str">
        <f>IF(AB15&lt;$E$3+$F$5,0,IFERROR(일반형!S17,0))</f>
        <v/>
      </c>
      <c r="CB15" s="754"/>
      <c r="CC15" s="755" t="str">
        <f t="shared" si="0"/>
        <v/>
      </c>
      <c r="CD15" s="408" t="str">
        <f t="shared" si="41"/>
        <v/>
      </c>
      <c r="CE15" s="408" t="str">
        <f t="shared" si="28"/>
        <v/>
      </c>
      <c r="CF15" s="408" t="str">
        <f t="shared" si="29"/>
        <v/>
      </c>
      <c r="CG15" s="408" t="str">
        <f t="shared" si="42"/>
        <v/>
      </c>
      <c r="CH15" s="408" t="str">
        <f t="shared" si="30"/>
        <v/>
      </c>
      <c r="CI15" s="756" t="str">
        <f t="shared" si="43"/>
        <v/>
      </c>
      <c r="CJ15" s="757" t="str">
        <f t="shared" si="31"/>
        <v/>
      </c>
      <c r="CK15" s="413"/>
      <c r="CL15" s="758">
        <v>11</v>
      </c>
      <c r="CM15" s="408">
        <f t="shared" si="32"/>
        <v>0</v>
      </c>
      <c r="CN15" s="408">
        <f t="shared" si="33"/>
        <v>3.9999999999999998E-6</v>
      </c>
      <c r="CO15" s="408">
        <f t="shared" si="34"/>
        <v>1.2E-5</v>
      </c>
      <c r="CP15" s="408">
        <f t="shared" si="44"/>
        <v>1.5E-5</v>
      </c>
      <c r="CQ15" s="408"/>
      <c r="CR15" s="758">
        <v>11</v>
      </c>
      <c r="CS15" s="408"/>
      <c r="CT15" s="408"/>
      <c r="CU15" s="408">
        <v>3.9999999999999998E-6</v>
      </c>
      <c r="CV15" s="408">
        <v>3.0000000000000001E-6</v>
      </c>
      <c r="CW15" s="408">
        <v>1.2E-5</v>
      </c>
      <c r="CX15" s="408">
        <v>6.0000000000000002E-6</v>
      </c>
      <c r="CY15" s="408">
        <v>1.5E-5</v>
      </c>
      <c r="CZ15" s="408">
        <v>3.9999999999999998E-6</v>
      </c>
      <c r="DA15" s="408"/>
      <c r="DB15" s="408"/>
      <c r="DC15" s="408"/>
      <c r="DD15" s="408"/>
    </row>
    <row r="16" spans="1:897">
      <c r="B16" s="373"/>
      <c r="C16" s="78"/>
      <c r="D16" s="29" t="s">
        <v>33</v>
      </c>
      <c r="E16" s="91">
        <v>1</v>
      </c>
      <c r="F16" s="92">
        <v>0</v>
      </c>
      <c r="G16" s="79"/>
      <c r="H16" s="321"/>
      <c r="I16" s="48" t="s">
        <v>24</v>
      </c>
      <c r="J16" s="51" t="s">
        <v>25</v>
      </c>
      <c r="K16" s="483">
        <f>INDEX(AH4:AH114,K13+1)</f>
        <v>97799.511002444997</v>
      </c>
      <c r="M16" s="50"/>
      <c r="N16" s="280" t="str">
        <f t="shared" si="52"/>
        <v/>
      </c>
      <c r="O16" s="281" t="str">
        <f t="shared" si="53"/>
        <v/>
      </c>
      <c r="P16" s="282" t="str">
        <f t="shared" si="47"/>
        <v/>
      </c>
      <c r="Q16" s="282" t="str">
        <f t="shared" si="48"/>
        <v/>
      </c>
      <c r="R16" s="282" t="str">
        <f t="shared" si="49"/>
        <v/>
      </c>
      <c r="S16" s="402" t="str">
        <f t="shared" si="1"/>
        <v/>
      </c>
      <c r="T16" s="282" t="str">
        <f>일반형!P16</f>
        <v/>
      </c>
      <c r="U16" s="282" t="str">
        <f>일반형!Q16</f>
        <v/>
      </c>
      <c r="V16" s="282" t="str">
        <f>일반형!R16</f>
        <v/>
      </c>
      <c r="W16" s="402" t="str">
        <f>일반형!S16</f>
        <v/>
      </c>
      <c r="X16" s="282" t="str">
        <f t="shared" si="50"/>
        <v/>
      </c>
      <c r="Y16" s="446" t="str">
        <f t="shared" si="2"/>
        <v/>
      </c>
      <c r="Z16" s="447" t="str">
        <f t="shared" si="51"/>
        <v/>
      </c>
      <c r="AB16" s="52" t="str">
        <f t="shared" si="35"/>
        <v/>
      </c>
      <c r="AC16" s="644" t="str">
        <f t="shared" si="4"/>
        <v/>
      </c>
      <c r="AD16" s="254"/>
      <c r="AE16" s="254" t="str">
        <f>IF(AB16="","",IF(AB16-$AB$4&lt;$F$5-1,INDEX(Main_무해지!$G$76:$G$87,MIN(AB16-$AB$4+1,12)),IF(AB16-$AB$4=$F$5-1,0,IF(AND($F$2=1,AB16&gt;109),0,IF(AND($F$2=2,AB16&gt;111),0,INDEX(Main_무해지!$H$76:$H$82,MIN(AB16-$AB$4-$F$5+1,7)))))))</f>
        <v/>
      </c>
      <c r="AF16" s="254" t="str">
        <f t="shared" si="45"/>
        <v/>
      </c>
      <c r="AG16" s="254" t="str">
        <f t="shared" si="5"/>
        <v/>
      </c>
      <c r="AH16" s="54" t="str">
        <f>IF($AB16="","",SUM(AG16:AG$114))</f>
        <v/>
      </c>
      <c r="AI16" s="254" t="str">
        <f t="shared" si="36"/>
        <v/>
      </c>
      <c r="AJ16" s="56" t="str">
        <f t="shared" si="6"/>
        <v/>
      </c>
      <c r="AK16" s="56"/>
      <c r="AL16" s="254" t="str">
        <f t="shared" si="7"/>
        <v/>
      </c>
      <c r="AM16" s="254" t="str">
        <f t="shared" si="46"/>
        <v/>
      </c>
      <c r="AN16" s="254" t="str">
        <f t="shared" si="8"/>
        <v/>
      </c>
      <c r="AO16" s="54" t="str">
        <f>IF($AB16="","",SUM(AN16:AN$114))</f>
        <v/>
      </c>
      <c r="AP16" s="53" t="str">
        <f t="shared" si="37"/>
        <v/>
      </c>
      <c r="AQ16" s="254" t="str">
        <f t="shared" si="9"/>
        <v/>
      </c>
      <c r="AR16" s="254" t="str">
        <f t="shared" si="10"/>
        <v/>
      </c>
      <c r="AS16" s="254" t="str">
        <f t="shared" si="11"/>
        <v/>
      </c>
      <c r="AT16" s="57" t="str">
        <f>IF($AB16="","",SUM($AU16:$AU$114))</f>
        <v/>
      </c>
      <c r="AU16" s="254" t="str">
        <f t="shared" si="38"/>
        <v/>
      </c>
      <c r="AV16" s="57" t="str">
        <f t="shared" si="12"/>
        <v/>
      </c>
      <c r="AW16" s="53"/>
      <c r="AX16" s="254" t="str">
        <f t="shared" si="13"/>
        <v/>
      </c>
      <c r="AY16" s="254" t="str">
        <f t="shared" si="14"/>
        <v/>
      </c>
      <c r="AZ16" s="254" t="str">
        <f t="shared" si="15"/>
        <v/>
      </c>
      <c r="BA16" s="57" t="str">
        <f>IF($AB16="","",SUM($AZ16:$AZ$114))</f>
        <v/>
      </c>
      <c r="BB16" s="53"/>
      <c r="BC16" s="254" t="str">
        <f t="shared" si="16"/>
        <v/>
      </c>
      <c r="BD16" s="254" t="str">
        <f t="shared" si="17"/>
        <v/>
      </c>
      <c r="BE16" s="254" t="str">
        <f t="shared" si="18"/>
        <v/>
      </c>
      <c r="BF16" s="57" t="str">
        <f>IF($AB16="","",SUM($BE16:$BE$114))</f>
        <v/>
      </c>
      <c r="BG16" s="53"/>
      <c r="BH16" s="254" t="str">
        <f t="shared" si="19"/>
        <v/>
      </c>
      <c r="BI16" s="254" t="str">
        <f t="shared" si="20"/>
        <v/>
      </c>
      <c r="BJ16" s="254" t="str">
        <f t="shared" si="21"/>
        <v/>
      </c>
      <c r="BK16" s="57" t="str">
        <f>IF($AB16="","",SUM($BJ16:$BJ$114))</f>
        <v/>
      </c>
      <c r="BL16" s="53"/>
      <c r="BM16" s="254" t="str">
        <f t="shared" si="22"/>
        <v/>
      </c>
      <c r="BN16" s="254" t="str">
        <f t="shared" si="23"/>
        <v/>
      </c>
      <c r="BO16" s="254" t="str">
        <f t="shared" si="24"/>
        <v/>
      </c>
      <c r="BP16" s="57" t="str">
        <f>IF($AB16="","",SUM($BO16:$BO$114))</f>
        <v/>
      </c>
      <c r="BQ16" s="53" t="str">
        <f t="shared" si="25"/>
        <v/>
      </c>
      <c r="BR16" s="254" t="str">
        <f t="shared" si="39"/>
        <v/>
      </c>
      <c r="BS16" s="254" t="str">
        <f t="shared" si="26"/>
        <v/>
      </c>
      <c r="BT16" s="254" t="str">
        <f t="shared" si="27"/>
        <v/>
      </c>
      <c r="BU16" s="254" t="str">
        <f t="shared" si="40"/>
        <v/>
      </c>
      <c r="BV16" s="254"/>
      <c r="BW16" s="254"/>
      <c r="BX16" s="254"/>
      <c r="BY16" s="254"/>
      <c r="BZ16" s="254" t="str">
        <f>IF($AB16="","",SUM(BU16:BU$114))</f>
        <v/>
      </c>
      <c r="CA16" s="55" t="str">
        <f>IF(AB16&lt;$E$3+$F$5,0,IFERROR(일반형!S18,0))</f>
        <v/>
      </c>
      <c r="CB16" s="55"/>
      <c r="CC16" s="390" t="str">
        <f t="shared" si="0"/>
        <v/>
      </c>
      <c r="CD16" s="254" t="str">
        <f t="shared" si="41"/>
        <v/>
      </c>
      <c r="CE16" s="254" t="str">
        <f t="shared" si="28"/>
        <v/>
      </c>
      <c r="CF16" s="254" t="str">
        <f t="shared" si="29"/>
        <v/>
      </c>
      <c r="CG16" s="254" t="str">
        <f t="shared" si="42"/>
        <v/>
      </c>
      <c r="CH16" s="254" t="str">
        <f t="shared" si="30"/>
        <v/>
      </c>
      <c r="CI16" s="58" t="str">
        <f t="shared" si="43"/>
        <v/>
      </c>
      <c r="CJ16" s="59" t="str">
        <f t="shared" si="31"/>
        <v/>
      </c>
      <c r="CK16" s="236"/>
      <c r="CL16" s="203">
        <v>12</v>
      </c>
      <c r="CM16" s="254">
        <f t="shared" si="32"/>
        <v>0</v>
      </c>
      <c r="CN16" s="254">
        <f t="shared" si="33"/>
        <v>3.9999999999999998E-6</v>
      </c>
      <c r="CO16" s="254">
        <f t="shared" si="34"/>
        <v>1.1E-5</v>
      </c>
      <c r="CP16" s="254">
        <f t="shared" si="44"/>
        <v>1.5E-5</v>
      </c>
      <c r="CQ16" s="254"/>
      <c r="CR16" s="203">
        <v>12</v>
      </c>
      <c r="CS16" s="254"/>
      <c r="CT16" s="254"/>
      <c r="CU16" s="254">
        <v>3.9999999999999998E-6</v>
      </c>
      <c r="CV16" s="254">
        <v>3.0000000000000001E-6</v>
      </c>
      <c r="CW16" s="254">
        <v>1.1E-5</v>
      </c>
      <c r="CX16" s="254">
        <v>6.0000000000000002E-6</v>
      </c>
      <c r="CY16" s="254">
        <v>1.5E-5</v>
      </c>
      <c r="CZ16" s="254">
        <v>3.9999999999999998E-6</v>
      </c>
      <c r="DA16" s="254"/>
      <c r="DB16" s="254"/>
      <c r="DC16" s="254"/>
      <c r="DD16" s="254"/>
    </row>
    <row r="17" spans="1:108">
      <c r="A17" s="305"/>
      <c r="B17" s="373"/>
      <c r="C17" s="78"/>
      <c r="D17" s="29" t="s">
        <v>37</v>
      </c>
      <c r="E17" s="822">
        <f>1/(1+E14)</f>
        <v>0.97799511002444994</v>
      </c>
      <c r="F17" s="823"/>
      <c r="G17" s="79"/>
      <c r="H17" s="321"/>
      <c r="I17" s="48" t="s">
        <v>26</v>
      </c>
      <c r="J17" s="49" t="s">
        <v>184</v>
      </c>
      <c r="K17" s="483">
        <f>K14-K15</f>
        <v>197799.51100244501</v>
      </c>
      <c r="M17" s="50"/>
      <c r="N17" s="275" t="str">
        <f t="shared" si="52"/>
        <v/>
      </c>
      <c r="O17" s="276" t="str">
        <f t="shared" si="53"/>
        <v/>
      </c>
      <c r="P17" s="277" t="str">
        <f t="shared" si="47"/>
        <v/>
      </c>
      <c r="Q17" s="277" t="str">
        <f t="shared" si="48"/>
        <v/>
      </c>
      <c r="R17" s="277" t="str">
        <f t="shared" si="49"/>
        <v/>
      </c>
      <c r="S17" s="401" t="str">
        <f t="shared" si="1"/>
        <v/>
      </c>
      <c r="T17" s="277" t="str">
        <f>일반형!P17</f>
        <v/>
      </c>
      <c r="U17" s="277" t="str">
        <f>일반형!Q17</f>
        <v/>
      </c>
      <c r="V17" s="277" t="str">
        <f>일반형!R17</f>
        <v/>
      </c>
      <c r="W17" s="401" t="str">
        <f>일반형!S17</f>
        <v/>
      </c>
      <c r="X17" s="277" t="str">
        <f t="shared" si="50"/>
        <v/>
      </c>
      <c r="Y17" s="444" t="str">
        <f t="shared" si="2"/>
        <v/>
      </c>
      <c r="Z17" s="445" t="str">
        <f t="shared" si="51"/>
        <v/>
      </c>
      <c r="AB17" s="52" t="str">
        <f t="shared" si="35"/>
        <v/>
      </c>
      <c r="AC17" s="644" t="str">
        <f t="shared" si="4"/>
        <v/>
      </c>
      <c r="AD17" s="254"/>
      <c r="AE17" s="254" t="str">
        <f>IF(AB17="","",IF(AB17-$AB$4&lt;$F$5-1,INDEX(Main_무해지!$G$76:$G$87,MIN(AB17-$AB$4+1,12)),IF(AB17-$AB$4=$F$5-1,0,IF(AND($F$2=1,AB17&gt;109),0,IF(AND($F$2=2,AB17&gt;111),0,INDEX(Main_무해지!$H$76:$H$82,MIN(AB17-$AB$4-$F$5+1,7)))))))</f>
        <v/>
      </c>
      <c r="AF17" s="254" t="str">
        <f t="shared" si="45"/>
        <v/>
      </c>
      <c r="AG17" s="254" t="str">
        <f t="shared" si="5"/>
        <v/>
      </c>
      <c r="AH17" s="54" t="str">
        <f>IF($AB17="","",SUM(AG17:AG$114))</f>
        <v/>
      </c>
      <c r="AI17" s="254" t="str">
        <f t="shared" si="36"/>
        <v/>
      </c>
      <c r="AJ17" s="56" t="str">
        <f t="shared" si="6"/>
        <v/>
      </c>
      <c r="AK17" s="56"/>
      <c r="AL17" s="254" t="str">
        <f t="shared" si="7"/>
        <v/>
      </c>
      <c r="AM17" s="254" t="str">
        <f t="shared" si="46"/>
        <v/>
      </c>
      <c r="AN17" s="254" t="str">
        <f t="shared" si="8"/>
        <v/>
      </c>
      <c r="AO17" s="54" t="str">
        <f>IF($AB17="","",SUM(AN17:AN$114))</f>
        <v/>
      </c>
      <c r="AP17" s="53" t="str">
        <f t="shared" si="37"/>
        <v/>
      </c>
      <c r="AQ17" s="254" t="str">
        <f t="shared" si="9"/>
        <v/>
      </c>
      <c r="AR17" s="254" t="str">
        <f t="shared" si="10"/>
        <v/>
      </c>
      <c r="AS17" s="254" t="str">
        <f t="shared" si="11"/>
        <v/>
      </c>
      <c r="AT17" s="57" t="str">
        <f>IF($AB17="","",SUM($AU17:$AU$114))</f>
        <v/>
      </c>
      <c r="AU17" s="254" t="str">
        <f t="shared" si="38"/>
        <v/>
      </c>
      <c r="AV17" s="57" t="str">
        <f t="shared" si="12"/>
        <v/>
      </c>
      <c r="AW17" s="53"/>
      <c r="AX17" s="254" t="str">
        <f t="shared" si="13"/>
        <v/>
      </c>
      <c r="AY17" s="254" t="str">
        <f t="shared" si="14"/>
        <v/>
      </c>
      <c r="AZ17" s="254" t="str">
        <f t="shared" si="15"/>
        <v/>
      </c>
      <c r="BA17" s="57" t="str">
        <f>IF($AB17="","",SUM($AZ17:$AZ$114))</f>
        <v/>
      </c>
      <c r="BB17" s="53"/>
      <c r="BC17" s="254" t="str">
        <f t="shared" si="16"/>
        <v/>
      </c>
      <c r="BD17" s="254" t="str">
        <f t="shared" si="17"/>
        <v/>
      </c>
      <c r="BE17" s="254" t="str">
        <f t="shared" si="18"/>
        <v/>
      </c>
      <c r="BF17" s="57" t="str">
        <f>IF($AB17="","",SUM($BE17:$BE$114))</f>
        <v/>
      </c>
      <c r="BG17" s="53"/>
      <c r="BH17" s="254" t="str">
        <f t="shared" si="19"/>
        <v/>
      </c>
      <c r="BI17" s="254" t="str">
        <f t="shared" si="20"/>
        <v/>
      </c>
      <c r="BJ17" s="254" t="str">
        <f t="shared" si="21"/>
        <v/>
      </c>
      <c r="BK17" s="57" t="str">
        <f>IF($AB17="","",SUM($BJ17:$BJ$114))</f>
        <v/>
      </c>
      <c r="BL17" s="53"/>
      <c r="BM17" s="254" t="str">
        <f t="shared" si="22"/>
        <v/>
      </c>
      <c r="BN17" s="254" t="str">
        <f t="shared" si="23"/>
        <v/>
      </c>
      <c r="BO17" s="254" t="str">
        <f t="shared" si="24"/>
        <v/>
      </c>
      <c r="BP17" s="57" t="str">
        <f>IF($AB17="","",SUM($BO17:$BO$114))</f>
        <v/>
      </c>
      <c r="BQ17" s="53" t="str">
        <f t="shared" si="25"/>
        <v/>
      </c>
      <c r="BR17" s="254" t="str">
        <f t="shared" si="39"/>
        <v/>
      </c>
      <c r="BS17" s="254" t="str">
        <f t="shared" si="26"/>
        <v/>
      </c>
      <c r="BT17" s="254" t="str">
        <f t="shared" si="27"/>
        <v/>
      </c>
      <c r="BU17" s="254" t="str">
        <f t="shared" si="40"/>
        <v/>
      </c>
      <c r="BV17" s="254"/>
      <c r="BW17" s="254"/>
      <c r="BX17" s="254"/>
      <c r="BY17" s="254"/>
      <c r="BZ17" s="254" t="str">
        <f>IF($AB17="","",SUM(BU17:BU$114))</f>
        <v/>
      </c>
      <c r="CA17" s="55" t="str">
        <f>IF(AB17&lt;$E$3+$F$5,0,IFERROR(일반형!S19,0))</f>
        <v/>
      </c>
      <c r="CB17" s="55"/>
      <c r="CC17" s="390" t="str">
        <f t="shared" si="0"/>
        <v/>
      </c>
      <c r="CD17" s="254" t="str">
        <f t="shared" si="41"/>
        <v/>
      </c>
      <c r="CE17" s="254" t="str">
        <f t="shared" si="28"/>
        <v/>
      </c>
      <c r="CF17" s="254" t="str">
        <f t="shared" si="29"/>
        <v/>
      </c>
      <c r="CG17" s="254" t="str">
        <f t="shared" si="42"/>
        <v/>
      </c>
      <c r="CH17" s="254" t="str">
        <f t="shared" si="30"/>
        <v/>
      </c>
      <c r="CI17" s="58" t="str">
        <f t="shared" si="43"/>
        <v/>
      </c>
      <c r="CJ17" s="59" t="str">
        <f t="shared" si="31"/>
        <v/>
      </c>
      <c r="CK17" s="236"/>
      <c r="CL17" s="203">
        <v>13</v>
      </c>
      <c r="CM17" s="254">
        <f t="shared" si="32"/>
        <v>0</v>
      </c>
      <c r="CN17" s="254">
        <f t="shared" si="33"/>
        <v>3.9999999999999998E-6</v>
      </c>
      <c r="CO17" s="254">
        <f t="shared" si="34"/>
        <v>1.1E-5</v>
      </c>
      <c r="CP17" s="254">
        <f t="shared" si="44"/>
        <v>1.5E-5</v>
      </c>
      <c r="CQ17" s="254"/>
      <c r="CR17" s="203">
        <v>13</v>
      </c>
      <c r="CS17" s="254"/>
      <c r="CT17" s="254"/>
      <c r="CU17" s="254">
        <v>3.9999999999999998E-6</v>
      </c>
      <c r="CV17" s="254">
        <v>3.0000000000000001E-6</v>
      </c>
      <c r="CW17" s="254">
        <v>1.1E-5</v>
      </c>
      <c r="CX17" s="254">
        <v>6.9999999999999999E-6</v>
      </c>
      <c r="CY17" s="254">
        <v>1.5E-5</v>
      </c>
      <c r="CZ17" s="254">
        <v>3.9999999999999998E-6</v>
      </c>
      <c r="DA17" s="254"/>
      <c r="DB17" s="254"/>
      <c r="DC17" s="254"/>
      <c r="DD17" s="254"/>
    </row>
    <row r="18" spans="1:108">
      <c r="A18" s="305"/>
      <c r="B18" s="373"/>
      <c r="C18" s="78"/>
      <c r="D18" s="29" t="s">
        <v>94</v>
      </c>
      <c r="E18" s="824">
        <v>6</v>
      </c>
      <c r="F18" s="825"/>
      <c r="G18" s="79"/>
      <c r="H18" s="321"/>
      <c r="I18" s="48" t="s">
        <v>27</v>
      </c>
      <c r="J18" s="49" t="s">
        <v>182</v>
      </c>
      <c r="K18" s="483">
        <f>K16-K25</f>
        <v>0</v>
      </c>
      <c r="M18" s="50"/>
      <c r="N18" s="278" t="str">
        <f t="shared" si="52"/>
        <v/>
      </c>
      <c r="O18" s="279" t="str">
        <f t="shared" si="53"/>
        <v/>
      </c>
      <c r="P18" s="271" t="str">
        <f t="shared" si="47"/>
        <v/>
      </c>
      <c r="Q18" s="271" t="str">
        <f t="shared" si="48"/>
        <v/>
      </c>
      <c r="R18" s="271" t="str">
        <f t="shared" si="49"/>
        <v/>
      </c>
      <c r="S18" s="400" t="str">
        <f t="shared" si="1"/>
        <v/>
      </c>
      <c r="T18" s="271" t="str">
        <f>일반형!P18</f>
        <v/>
      </c>
      <c r="U18" s="271" t="str">
        <f>일반형!Q18</f>
        <v/>
      </c>
      <c r="V18" s="271" t="str">
        <f>일반형!R18</f>
        <v/>
      </c>
      <c r="W18" s="400" t="str">
        <f>일반형!S18</f>
        <v/>
      </c>
      <c r="X18" s="271" t="str">
        <f t="shared" si="50"/>
        <v/>
      </c>
      <c r="Y18" s="442" t="str">
        <f t="shared" si="2"/>
        <v/>
      </c>
      <c r="Z18" s="443" t="str">
        <f t="shared" si="51"/>
        <v/>
      </c>
      <c r="AB18" s="52" t="str">
        <f t="shared" si="35"/>
        <v/>
      </c>
      <c r="AC18" s="644" t="str">
        <f t="shared" si="4"/>
        <v/>
      </c>
      <c r="AD18" s="254"/>
      <c r="AE18" s="254" t="str">
        <f>IF(AB18="","",IF(AB18-$AB$4&lt;$F$5-1,INDEX(Main_무해지!$G$76:$G$87,MIN(AB18-$AB$4+1,12)),IF(AB18-$AB$4=$F$5-1,0,IF(AND($F$2=1,AB18&gt;109),0,IF(AND($F$2=2,AB18&gt;111),0,INDEX(Main_무해지!$H$76:$H$82,MIN(AB18-$AB$4-$F$5+1,7)))))))</f>
        <v/>
      </c>
      <c r="AF18" s="254" t="str">
        <f t="shared" si="45"/>
        <v/>
      </c>
      <c r="AG18" s="254" t="str">
        <f t="shared" si="5"/>
        <v/>
      </c>
      <c r="AH18" s="54" t="str">
        <f>IF($AB18="","",SUM(AG18:AG$114))</f>
        <v/>
      </c>
      <c r="AI18" s="254" t="str">
        <f t="shared" si="36"/>
        <v/>
      </c>
      <c r="AJ18" s="56" t="str">
        <f t="shared" si="6"/>
        <v/>
      </c>
      <c r="AK18" s="56"/>
      <c r="AL18" s="254" t="str">
        <f t="shared" si="7"/>
        <v/>
      </c>
      <c r="AM18" s="254" t="str">
        <f t="shared" si="46"/>
        <v/>
      </c>
      <c r="AN18" s="254" t="str">
        <f t="shared" si="8"/>
        <v/>
      </c>
      <c r="AO18" s="54" t="str">
        <f>IF($AB18="","",SUM(AN18:AN$114))</f>
        <v/>
      </c>
      <c r="AP18" s="53" t="str">
        <f t="shared" si="37"/>
        <v/>
      </c>
      <c r="AQ18" s="254" t="str">
        <f t="shared" si="9"/>
        <v/>
      </c>
      <c r="AR18" s="254" t="str">
        <f t="shared" si="10"/>
        <v/>
      </c>
      <c r="AS18" s="254" t="str">
        <f t="shared" si="11"/>
        <v/>
      </c>
      <c r="AT18" s="57" t="str">
        <f>IF($AB18="","",SUM($AU18:$AU$114))</f>
        <v/>
      </c>
      <c r="AU18" s="254" t="str">
        <f t="shared" si="38"/>
        <v/>
      </c>
      <c r="AV18" s="57" t="str">
        <f t="shared" si="12"/>
        <v/>
      </c>
      <c r="AW18" s="53"/>
      <c r="AX18" s="254" t="str">
        <f t="shared" si="13"/>
        <v/>
      </c>
      <c r="AY18" s="254" t="str">
        <f t="shared" si="14"/>
        <v/>
      </c>
      <c r="AZ18" s="254" t="str">
        <f t="shared" si="15"/>
        <v/>
      </c>
      <c r="BA18" s="57" t="str">
        <f>IF($AB18="","",SUM($AZ18:$AZ$114))</f>
        <v/>
      </c>
      <c r="BB18" s="53"/>
      <c r="BC18" s="254" t="str">
        <f t="shared" si="16"/>
        <v/>
      </c>
      <c r="BD18" s="254" t="str">
        <f t="shared" si="17"/>
        <v/>
      </c>
      <c r="BE18" s="254" t="str">
        <f t="shared" si="18"/>
        <v/>
      </c>
      <c r="BF18" s="57" t="str">
        <f>IF($AB18="","",SUM($BE18:$BE$114))</f>
        <v/>
      </c>
      <c r="BG18" s="53"/>
      <c r="BH18" s="254" t="str">
        <f t="shared" si="19"/>
        <v/>
      </c>
      <c r="BI18" s="254" t="str">
        <f t="shared" si="20"/>
        <v/>
      </c>
      <c r="BJ18" s="254" t="str">
        <f t="shared" si="21"/>
        <v/>
      </c>
      <c r="BK18" s="57" t="str">
        <f>IF($AB18="","",SUM($BJ18:$BJ$114))</f>
        <v/>
      </c>
      <c r="BL18" s="53"/>
      <c r="BM18" s="254" t="str">
        <f t="shared" si="22"/>
        <v/>
      </c>
      <c r="BN18" s="254" t="str">
        <f t="shared" si="23"/>
        <v/>
      </c>
      <c r="BO18" s="254" t="str">
        <f t="shared" si="24"/>
        <v/>
      </c>
      <c r="BP18" s="57" t="str">
        <f>IF($AB18="","",SUM($BO18:$BO$114))</f>
        <v/>
      </c>
      <c r="BQ18" s="53" t="str">
        <f t="shared" si="25"/>
        <v/>
      </c>
      <c r="BR18" s="254" t="str">
        <f t="shared" si="39"/>
        <v/>
      </c>
      <c r="BS18" s="254" t="str">
        <f t="shared" si="26"/>
        <v/>
      </c>
      <c r="BT18" s="254" t="str">
        <f t="shared" si="27"/>
        <v/>
      </c>
      <c r="BU18" s="254" t="str">
        <f t="shared" si="40"/>
        <v/>
      </c>
      <c r="BV18" s="254"/>
      <c r="BW18" s="254"/>
      <c r="BX18" s="254"/>
      <c r="BY18" s="254"/>
      <c r="BZ18" s="254" t="str">
        <f>IF($AB18="","",SUM(BU18:BU$114))</f>
        <v/>
      </c>
      <c r="CA18" s="55" t="str">
        <f>IF(AB18&lt;$E$3+$F$5,0,IFERROR(일반형!S20,0))</f>
        <v/>
      </c>
      <c r="CB18" s="55"/>
      <c r="CC18" s="390" t="str">
        <f t="shared" si="0"/>
        <v/>
      </c>
      <c r="CD18" s="254" t="str">
        <f t="shared" si="41"/>
        <v/>
      </c>
      <c r="CE18" s="254" t="str">
        <f t="shared" si="28"/>
        <v/>
      </c>
      <c r="CF18" s="254" t="str">
        <f t="shared" si="29"/>
        <v/>
      </c>
      <c r="CG18" s="254" t="str">
        <f t="shared" si="42"/>
        <v/>
      </c>
      <c r="CH18" s="254" t="str">
        <f t="shared" si="30"/>
        <v/>
      </c>
      <c r="CI18" s="58" t="str">
        <f t="shared" si="43"/>
        <v/>
      </c>
      <c r="CJ18" s="59" t="str">
        <f t="shared" si="31"/>
        <v/>
      </c>
      <c r="CK18" s="236"/>
      <c r="CL18" s="203">
        <v>14</v>
      </c>
      <c r="CM18" s="254">
        <f t="shared" si="32"/>
        <v>0</v>
      </c>
      <c r="CN18" s="254">
        <f t="shared" si="33"/>
        <v>3.9999999999999998E-6</v>
      </c>
      <c r="CO18" s="254">
        <f t="shared" si="34"/>
        <v>1.0000000000000001E-5</v>
      </c>
      <c r="CP18" s="254">
        <f t="shared" si="44"/>
        <v>1.5E-5</v>
      </c>
      <c r="CQ18" s="254"/>
      <c r="CR18" s="203">
        <v>14</v>
      </c>
      <c r="CS18" s="254"/>
      <c r="CT18" s="254"/>
      <c r="CU18" s="254">
        <v>3.9999999999999998E-6</v>
      </c>
      <c r="CV18" s="254">
        <v>3.0000000000000001E-6</v>
      </c>
      <c r="CW18" s="254">
        <v>1.0000000000000001E-5</v>
      </c>
      <c r="CX18" s="254">
        <v>6.9999999999999999E-6</v>
      </c>
      <c r="CY18" s="254">
        <v>1.5E-5</v>
      </c>
      <c r="CZ18" s="254">
        <v>3.9999999999999998E-6</v>
      </c>
      <c r="DA18" s="254"/>
      <c r="DB18" s="254"/>
      <c r="DC18" s="254"/>
      <c r="DD18" s="254"/>
    </row>
    <row r="19" spans="1:108" ht="17.25" thickBot="1">
      <c r="A19" s="305"/>
      <c r="B19" s="373"/>
      <c r="C19" s="93"/>
      <c r="D19" s="293"/>
      <c r="E19" s="826">
        <f>10^$E$18</f>
        <v>1000000</v>
      </c>
      <c r="F19" s="827"/>
      <c r="G19" s="294"/>
      <c r="H19" s="321"/>
      <c r="I19" s="48"/>
      <c r="J19" s="49" t="s">
        <v>180</v>
      </c>
      <c r="K19" s="483">
        <f>K37*K13*K22</f>
        <v>0</v>
      </c>
      <c r="M19" s="50"/>
      <c r="N19" s="278" t="str">
        <f t="shared" si="52"/>
        <v/>
      </c>
      <c r="O19" s="279" t="str">
        <f t="shared" si="53"/>
        <v/>
      </c>
      <c r="P19" s="271" t="str">
        <f t="shared" si="47"/>
        <v/>
      </c>
      <c r="Q19" s="271" t="str">
        <f t="shared" si="48"/>
        <v/>
      </c>
      <c r="R19" s="271" t="str">
        <f t="shared" si="49"/>
        <v/>
      </c>
      <c r="S19" s="400" t="str">
        <f t="shared" si="1"/>
        <v/>
      </c>
      <c r="T19" s="271" t="str">
        <f>일반형!P19</f>
        <v/>
      </c>
      <c r="U19" s="271" t="str">
        <f>일반형!Q19</f>
        <v/>
      </c>
      <c r="V19" s="271" t="str">
        <f>일반형!R19</f>
        <v/>
      </c>
      <c r="W19" s="400" t="str">
        <f>일반형!S19</f>
        <v/>
      </c>
      <c r="X19" s="271" t="str">
        <f t="shared" si="50"/>
        <v/>
      </c>
      <c r="Y19" s="442" t="str">
        <f t="shared" si="2"/>
        <v/>
      </c>
      <c r="Z19" s="443" t="str">
        <f t="shared" si="51"/>
        <v/>
      </c>
      <c r="AB19" s="60" t="str">
        <f t="shared" si="35"/>
        <v/>
      </c>
      <c r="AC19" s="645" t="str">
        <f t="shared" si="4"/>
        <v/>
      </c>
      <c r="AD19" s="255"/>
      <c r="AE19" s="255" t="str">
        <f>IF(AB19="","",IF(AB19-$AB$4&lt;$F$5-1,INDEX(Main_무해지!$G$76:$G$87,MIN(AB19-$AB$4+1,12)),IF(AB19-$AB$4=$F$5-1,0,IF(AND($F$2=1,AB19&gt;109),0,IF(AND($F$2=2,AB19&gt;111),0,INDEX(Main_무해지!$H$76:$H$82,MIN(AB19-$AB$4-$F$5+1,7)))))))</f>
        <v/>
      </c>
      <c r="AF19" s="255" t="str">
        <f t="shared" si="45"/>
        <v/>
      </c>
      <c r="AG19" s="255" t="str">
        <f t="shared" si="5"/>
        <v/>
      </c>
      <c r="AH19" s="62" t="str">
        <f>IF($AB19="","",SUM(AG19:AG$114))</f>
        <v/>
      </c>
      <c r="AI19" s="255" t="str">
        <f t="shared" si="36"/>
        <v/>
      </c>
      <c r="AJ19" s="64" t="str">
        <f t="shared" si="6"/>
        <v/>
      </c>
      <c r="AK19" s="64"/>
      <c r="AL19" s="255" t="str">
        <f t="shared" si="7"/>
        <v/>
      </c>
      <c r="AM19" s="255" t="str">
        <f t="shared" si="46"/>
        <v/>
      </c>
      <c r="AN19" s="255" t="str">
        <f t="shared" si="8"/>
        <v/>
      </c>
      <c r="AO19" s="62" t="str">
        <f>IF($AB19="","",SUM(AN19:AN$114))</f>
        <v/>
      </c>
      <c r="AP19" s="61" t="str">
        <f t="shared" si="37"/>
        <v/>
      </c>
      <c r="AQ19" s="255" t="str">
        <f t="shared" si="9"/>
        <v/>
      </c>
      <c r="AR19" s="255" t="str">
        <f t="shared" si="10"/>
        <v/>
      </c>
      <c r="AS19" s="255" t="str">
        <f t="shared" si="11"/>
        <v/>
      </c>
      <c r="AT19" s="65" t="str">
        <f>IF($AB19="","",SUM($AU19:$AU$114))</f>
        <v/>
      </c>
      <c r="AU19" s="255" t="str">
        <f t="shared" si="38"/>
        <v/>
      </c>
      <c r="AV19" s="65" t="str">
        <f t="shared" si="12"/>
        <v/>
      </c>
      <c r="AW19" s="61"/>
      <c r="AX19" s="255" t="str">
        <f t="shared" si="13"/>
        <v/>
      </c>
      <c r="AY19" s="255" t="str">
        <f t="shared" si="14"/>
        <v/>
      </c>
      <c r="AZ19" s="255" t="str">
        <f t="shared" si="15"/>
        <v/>
      </c>
      <c r="BA19" s="65" t="str">
        <f>IF($AB19="","",SUM($AZ19:$AZ$114))</f>
        <v/>
      </c>
      <c r="BB19" s="61"/>
      <c r="BC19" s="255" t="str">
        <f t="shared" si="16"/>
        <v/>
      </c>
      <c r="BD19" s="255" t="str">
        <f t="shared" si="17"/>
        <v/>
      </c>
      <c r="BE19" s="255" t="str">
        <f t="shared" si="18"/>
        <v/>
      </c>
      <c r="BF19" s="65" t="str">
        <f>IF($AB19="","",SUM($BE19:$BE$114))</f>
        <v/>
      </c>
      <c r="BG19" s="61"/>
      <c r="BH19" s="255" t="str">
        <f t="shared" si="19"/>
        <v/>
      </c>
      <c r="BI19" s="255" t="str">
        <f t="shared" si="20"/>
        <v/>
      </c>
      <c r="BJ19" s="255" t="str">
        <f t="shared" si="21"/>
        <v/>
      </c>
      <c r="BK19" s="65" t="str">
        <f>IF($AB19="","",SUM($BJ19:$BJ$114))</f>
        <v/>
      </c>
      <c r="BL19" s="61"/>
      <c r="BM19" s="255" t="str">
        <f t="shared" si="22"/>
        <v/>
      </c>
      <c r="BN19" s="255" t="str">
        <f t="shared" si="23"/>
        <v/>
      </c>
      <c r="BO19" s="255" t="str">
        <f t="shared" si="24"/>
        <v/>
      </c>
      <c r="BP19" s="65" t="str">
        <f>IF($AB19="","",SUM($BO19:$BO$114))</f>
        <v/>
      </c>
      <c r="BQ19" s="61" t="str">
        <f t="shared" si="25"/>
        <v/>
      </c>
      <c r="BR19" s="255" t="str">
        <f t="shared" si="39"/>
        <v/>
      </c>
      <c r="BS19" s="255" t="str">
        <f t="shared" si="26"/>
        <v/>
      </c>
      <c r="BT19" s="255" t="str">
        <f t="shared" si="27"/>
        <v/>
      </c>
      <c r="BU19" s="255" t="str">
        <f t="shared" si="40"/>
        <v/>
      </c>
      <c r="BV19" s="255"/>
      <c r="BW19" s="255"/>
      <c r="BX19" s="255"/>
      <c r="BY19" s="255"/>
      <c r="BZ19" s="255" t="str">
        <f>IF($AB19="","",SUM(BU19:BU$114))</f>
        <v/>
      </c>
      <c r="CA19" s="63" t="str">
        <f>IF(AB19&lt;$E$3+$F$5,0,IFERROR(일반형!S21,0))</f>
        <v/>
      </c>
      <c r="CB19" s="63"/>
      <c r="CC19" s="391" t="str">
        <f t="shared" si="0"/>
        <v/>
      </c>
      <c r="CD19" s="255" t="str">
        <f t="shared" si="41"/>
        <v/>
      </c>
      <c r="CE19" s="255" t="str">
        <f t="shared" si="28"/>
        <v/>
      </c>
      <c r="CF19" s="255" t="str">
        <f t="shared" si="29"/>
        <v/>
      </c>
      <c r="CG19" s="255" t="str">
        <f t="shared" si="42"/>
        <v/>
      </c>
      <c r="CH19" s="255" t="str">
        <f t="shared" si="30"/>
        <v/>
      </c>
      <c r="CI19" s="66" t="str">
        <f t="shared" si="43"/>
        <v/>
      </c>
      <c r="CJ19" s="67" t="str">
        <f t="shared" si="31"/>
        <v/>
      </c>
      <c r="CK19" s="237"/>
      <c r="CL19" s="204">
        <v>15</v>
      </c>
      <c r="CM19" s="255">
        <f t="shared" si="32"/>
        <v>0</v>
      </c>
      <c r="CN19" s="255">
        <f t="shared" si="33"/>
        <v>2.1999999999999999E-5</v>
      </c>
      <c r="CO19" s="255">
        <f t="shared" si="34"/>
        <v>1.1E-5</v>
      </c>
      <c r="CP19" s="255">
        <f t="shared" si="44"/>
        <v>7.2000000000000002E-5</v>
      </c>
      <c r="CQ19" s="255"/>
      <c r="CR19" s="204">
        <v>15</v>
      </c>
      <c r="CS19" s="255"/>
      <c r="CT19" s="255"/>
      <c r="CU19" s="255">
        <v>2.1999999999999999E-5</v>
      </c>
      <c r="CV19" s="255">
        <v>6.0000000000000002E-6</v>
      </c>
      <c r="CW19" s="255">
        <v>1.1E-5</v>
      </c>
      <c r="CX19" s="255">
        <v>7.9999999999999996E-6</v>
      </c>
      <c r="CY19" s="255">
        <v>7.2000000000000002E-5</v>
      </c>
      <c r="CZ19" s="255">
        <v>2.1999999999999999E-5</v>
      </c>
      <c r="DA19" s="255"/>
      <c r="DB19" s="255"/>
      <c r="DC19" s="255"/>
      <c r="DD19" s="255"/>
    </row>
    <row r="20" spans="1:108" ht="17.25" thickTop="1">
      <c r="A20" s="305"/>
      <c r="B20" s="373"/>
      <c r="C20" s="373"/>
      <c r="D20" s="373"/>
      <c r="E20" s="321"/>
      <c r="F20" s="321"/>
      <c r="G20" s="373"/>
      <c r="H20" s="321"/>
      <c r="I20" s="80"/>
      <c r="J20" s="81" t="s">
        <v>88</v>
      </c>
      <c r="K20" s="484">
        <f>INDEX(AG4:AG115,1)</f>
        <v>100000</v>
      </c>
      <c r="M20" s="50"/>
      <c r="N20" s="278" t="str">
        <f t="shared" si="52"/>
        <v/>
      </c>
      <c r="O20" s="279" t="str">
        <f t="shared" si="53"/>
        <v/>
      </c>
      <c r="P20" s="271" t="str">
        <f t="shared" si="47"/>
        <v/>
      </c>
      <c r="Q20" s="271" t="str">
        <f t="shared" si="48"/>
        <v/>
      </c>
      <c r="R20" s="271" t="str">
        <f t="shared" si="49"/>
        <v/>
      </c>
      <c r="S20" s="400" t="str">
        <f t="shared" si="1"/>
        <v/>
      </c>
      <c r="T20" s="271" t="str">
        <f>일반형!P20</f>
        <v/>
      </c>
      <c r="U20" s="271" t="str">
        <f>일반형!Q20</f>
        <v/>
      </c>
      <c r="V20" s="271" t="str">
        <f>일반형!R20</f>
        <v/>
      </c>
      <c r="W20" s="400" t="str">
        <f>일반형!S20</f>
        <v/>
      </c>
      <c r="X20" s="271" t="str">
        <f t="shared" si="50"/>
        <v/>
      </c>
      <c r="Y20" s="442" t="str">
        <f t="shared" si="2"/>
        <v/>
      </c>
      <c r="Z20" s="443" t="str">
        <f t="shared" si="51"/>
        <v/>
      </c>
      <c r="AB20" s="759" t="str">
        <f t="shared" si="35"/>
        <v/>
      </c>
      <c r="AC20" s="646" t="str">
        <f t="shared" si="4"/>
        <v/>
      </c>
      <c r="AD20" s="409"/>
      <c r="AE20" s="409" t="str">
        <f>IF(AB20="","",IF(AB20-$AB$4&lt;$F$5-1,INDEX(Main_무해지!$G$76:$G$87,MIN(AB20-$AB$4+1,12)),IF(AB20-$AB$4=$F$5-1,0,IF(AND($F$2=1,AB20&gt;109),0,IF(AND($F$2=2,AB20&gt;111),0,INDEX(Main_무해지!$H$76:$H$82,MIN(AB20-$AB$4-$F$5+1,7)))))))</f>
        <v/>
      </c>
      <c r="AF20" s="409" t="str">
        <f t="shared" si="45"/>
        <v/>
      </c>
      <c r="AG20" s="409" t="str">
        <f t="shared" si="5"/>
        <v/>
      </c>
      <c r="AH20" s="760" t="str">
        <f>IF($AB20="","",SUM(AG20:AG$114))</f>
        <v/>
      </c>
      <c r="AI20" s="409" t="str">
        <f t="shared" si="36"/>
        <v/>
      </c>
      <c r="AJ20" s="639" t="str">
        <f t="shared" si="6"/>
        <v/>
      </c>
      <c r="AK20" s="639"/>
      <c r="AL20" s="409" t="str">
        <f t="shared" si="7"/>
        <v/>
      </c>
      <c r="AM20" s="409" t="str">
        <f t="shared" si="46"/>
        <v/>
      </c>
      <c r="AN20" s="409" t="str">
        <f t="shared" si="8"/>
        <v/>
      </c>
      <c r="AO20" s="760" t="str">
        <f>IF($AB20="","",SUM(AN20:AN$114))</f>
        <v/>
      </c>
      <c r="AP20" s="761" t="str">
        <f t="shared" si="37"/>
        <v/>
      </c>
      <c r="AQ20" s="409" t="str">
        <f t="shared" si="9"/>
        <v/>
      </c>
      <c r="AR20" s="409" t="str">
        <f t="shared" si="10"/>
        <v/>
      </c>
      <c r="AS20" s="409" t="str">
        <f t="shared" si="11"/>
        <v/>
      </c>
      <c r="AT20" s="762" t="str">
        <f>IF($AB20="","",SUM($AU20:$AU$114))</f>
        <v/>
      </c>
      <c r="AU20" s="409" t="str">
        <f t="shared" si="38"/>
        <v/>
      </c>
      <c r="AV20" s="762" t="str">
        <f t="shared" si="12"/>
        <v/>
      </c>
      <c r="AW20" s="761"/>
      <c r="AX20" s="409" t="str">
        <f t="shared" si="13"/>
        <v/>
      </c>
      <c r="AY20" s="409" t="str">
        <f t="shared" si="14"/>
        <v/>
      </c>
      <c r="AZ20" s="409" t="str">
        <f t="shared" si="15"/>
        <v/>
      </c>
      <c r="BA20" s="762" t="str">
        <f>IF($AB20="","",SUM($AZ20:$AZ$114))</f>
        <v/>
      </c>
      <c r="BB20" s="761"/>
      <c r="BC20" s="409" t="str">
        <f t="shared" si="16"/>
        <v/>
      </c>
      <c r="BD20" s="409" t="str">
        <f t="shared" si="17"/>
        <v/>
      </c>
      <c r="BE20" s="409" t="str">
        <f t="shared" si="18"/>
        <v/>
      </c>
      <c r="BF20" s="762" t="str">
        <f>IF($AB20="","",SUM($BE20:$BE$114))</f>
        <v/>
      </c>
      <c r="BG20" s="761"/>
      <c r="BH20" s="409" t="str">
        <f t="shared" si="19"/>
        <v/>
      </c>
      <c r="BI20" s="409" t="str">
        <f t="shared" si="20"/>
        <v/>
      </c>
      <c r="BJ20" s="409" t="str">
        <f t="shared" si="21"/>
        <v/>
      </c>
      <c r="BK20" s="762" t="str">
        <f>IF($AB20="","",SUM($BJ20:$BJ$114))</f>
        <v/>
      </c>
      <c r="BL20" s="761"/>
      <c r="BM20" s="409" t="str">
        <f t="shared" si="22"/>
        <v/>
      </c>
      <c r="BN20" s="409" t="str">
        <f t="shared" si="23"/>
        <v/>
      </c>
      <c r="BO20" s="409" t="str">
        <f t="shared" si="24"/>
        <v/>
      </c>
      <c r="BP20" s="762" t="str">
        <f>IF($AB20="","",SUM($BO20:$BO$114))</f>
        <v/>
      </c>
      <c r="BQ20" s="761" t="str">
        <f t="shared" si="25"/>
        <v/>
      </c>
      <c r="BR20" s="409" t="str">
        <f t="shared" si="39"/>
        <v/>
      </c>
      <c r="BS20" s="409" t="str">
        <f t="shared" si="26"/>
        <v/>
      </c>
      <c r="BT20" s="409" t="str">
        <f t="shared" si="27"/>
        <v/>
      </c>
      <c r="BU20" s="409" t="str">
        <f t="shared" si="40"/>
        <v/>
      </c>
      <c r="BV20" s="409"/>
      <c r="BW20" s="409"/>
      <c r="BX20" s="409"/>
      <c r="BY20" s="409"/>
      <c r="BZ20" s="409" t="str">
        <f>IF($AB20="","",SUM(BU20:BU$114))</f>
        <v/>
      </c>
      <c r="CA20" s="763" t="str">
        <f>IF(AB20&lt;$E$3+$F$5,0,IFERROR(일반형!S22,0))</f>
        <v/>
      </c>
      <c r="CB20" s="763"/>
      <c r="CC20" s="764" t="str">
        <f t="shared" si="0"/>
        <v/>
      </c>
      <c r="CD20" s="409" t="str">
        <f t="shared" si="41"/>
        <v/>
      </c>
      <c r="CE20" s="409" t="str">
        <f t="shared" si="28"/>
        <v/>
      </c>
      <c r="CF20" s="409" t="str">
        <f t="shared" si="29"/>
        <v/>
      </c>
      <c r="CG20" s="409" t="str">
        <f t="shared" si="42"/>
        <v/>
      </c>
      <c r="CH20" s="409" t="str">
        <f t="shared" si="30"/>
        <v/>
      </c>
      <c r="CI20" s="765" t="str">
        <f t="shared" si="43"/>
        <v/>
      </c>
      <c r="CJ20" s="766" t="str">
        <f t="shared" si="31"/>
        <v/>
      </c>
      <c r="CK20" s="414"/>
      <c r="CL20" s="767">
        <v>16</v>
      </c>
      <c r="CM20" s="409">
        <f t="shared" si="32"/>
        <v>0</v>
      </c>
      <c r="CN20" s="409">
        <f t="shared" si="33"/>
        <v>2.1999999999999999E-5</v>
      </c>
      <c r="CO20" s="409">
        <f t="shared" si="34"/>
        <v>1.1E-5</v>
      </c>
      <c r="CP20" s="409">
        <f t="shared" si="44"/>
        <v>7.2000000000000002E-5</v>
      </c>
      <c r="CQ20" s="409"/>
      <c r="CR20" s="767">
        <v>16</v>
      </c>
      <c r="CS20" s="409"/>
      <c r="CT20" s="409"/>
      <c r="CU20" s="409">
        <v>2.1999999999999999E-5</v>
      </c>
      <c r="CV20" s="409">
        <v>6.0000000000000002E-6</v>
      </c>
      <c r="CW20" s="409">
        <v>1.1E-5</v>
      </c>
      <c r="CX20" s="409">
        <v>7.9999999999999996E-6</v>
      </c>
      <c r="CY20" s="409">
        <v>7.2000000000000002E-5</v>
      </c>
      <c r="CZ20" s="409">
        <v>2.1999999999999999E-5</v>
      </c>
      <c r="DA20" s="409"/>
      <c r="DB20" s="409"/>
      <c r="DC20" s="409"/>
      <c r="DD20" s="409"/>
    </row>
    <row r="21" spans="1:108" ht="17.25" thickBot="1">
      <c r="A21" s="305"/>
      <c r="B21" s="373"/>
      <c r="C21" s="373"/>
      <c r="D21" s="373"/>
      <c r="E21" s="321"/>
      <c r="F21" s="321"/>
      <c r="G21" s="373"/>
      <c r="H21" s="321"/>
      <c r="I21" s="48"/>
      <c r="J21" s="49" t="s">
        <v>29</v>
      </c>
      <c r="K21" s="483">
        <f>INDEX(AG4:AG115,F5+1)</f>
        <v>97799.511002444997</v>
      </c>
      <c r="M21" s="50"/>
      <c r="N21" s="280" t="str">
        <f t="shared" si="52"/>
        <v/>
      </c>
      <c r="O21" s="281" t="str">
        <f t="shared" si="53"/>
        <v/>
      </c>
      <c r="P21" s="282" t="str">
        <f t="shared" si="47"/>
        <v/>
      </c>
      <c r="Q21" s="282" t="str">
        <f t="shared" si="48"/>
        <v/>
      </c>
      <c r="R21" s="282" t="str">
        <f t="shared" si="49"/>
        <v/>
      </c>
      <c r="S21" s="402" t="str">
        <f t="shared" si="1"/>
        <v/>
      </c>
      <c r="T21" s="282" t="str">
        <f>일반형!P21</f>
        <v/>
      </c>
      <c r="U21" s="282" t="str">
        <f>일반형!Q21</f>
        <v/>
      </c>
      <c r="V21" s="282" t="str">
        <f>일반형!R21</f>
        <v/>
      </c>
      <c r="W21" s="402" t="str">
        <f>일반형!S21</f>
        <v/>
      </c>
      <c r="X21" s="282" t="str">
        <f t="shared" si="50"/>
        <v/>
      </c>
      <c r="Y21" s="446" t="str">
        <f t="shared" si="2"/>
        <v/>
      </c>
      <c r="Z21" s="447" t="str">
        <f t="shared" si="51"/>
        <v/>
      </c>
      <c r="AB21" s="101" t="str">
        <f t="shared" si="35"/>
        <v/>
      </c>
      <c r="AC21" s="649" t="str">
        <f t="shared" si="4"/>
        <v/>
      </c>
      <c r="AD21" s="258"/>
      <c r="AE21" s="258" t="str">
        <f>IF(AB21="","",IF(AB21-$AB$4&lt;$F$5-1,INDEX(Main_무해지!$G$76:$G$87,MIN(AB21-$AB$4+1,12)),IF(AB21-$AB$4=$F$5-1,0,IF(AND($F$2=1,AB21&gt;109),0,IF(AND($F$2=2,AB21&gt;111),0,INDEX(Main_무해지!$H$76:$H$82,MIN(AB21-$AB$4-$F$5+1,7)))))))</f>
        <v/>
      </c>
      <c r="AF21" s="258" t="str">
        <f t="shared" si="45"/>
        <v/>
      </c>
      <c r="AG21" s="258" t="str">
        <f t="shared" si="5"/>
        <v/>
      </c>
      <c r="AH21" s="102" t="str">
        <f>IF($AB21="","",SUM(AG21:AG$114))</f>
        <v/>
      </c>
      <c r="AI21" s="258" t="str">
        <f t="shared" si="36"/>
        <v/>
      </c>
      <c r="AJ21" s="308" t="str">
        <f t="shared" si="6"/>
        <v/>
      </c>
      <c r="AK21" s="308"/>
      <c r="AL21" s="258" t="str">
        <f t="shared" si="7"/>
        <v/>
      </c>
      <c r="AM21" s="258" t="str">
        <f t="shared" si="46"/>
        <v/>
      </c>
      <c r="AN21" s="258" t="str">
        <f t="shared" si="8"/>
        <v/>
      </c>
      <c r="AO21" s="102" t="str">
        <f>IF($AB21="","",SUM(AN21:AN$114))</f>
        <v/>
      </c>
      <c r="AP21" s="285" t="str">
        <f t="shared" si="37"/>
        <v/>
      </c>
      <c r="AQ21" s="258" t="str">
        <f t="shared" si="9"/>
        <v/>
      </c>
      <c r="AR21" s="258" t="str">
        <f t="shared" si="10"/>
        <v/>
      </c>
      <c r="AS21" s="258" t="str">
        <f t="shared" si="11"/>
        <v/>
      </c>
      <c r="AT21" s="315" t="str">
        <f>IF($AB21="","",SUM($AU21:$AU$114))</f>
        <v/>
      </c>
      <c r="AU21" s="258" t="str">
        <f t="shared" si="38"/>
        <v/>
      </c>
      <c r="AV21" s="315" t="str">
        <f t="shared" si="12"/>
        <v/>
      </c>
      <c r="AW21" s="285"/>
      <c r="AX21" s="258" t="str">
        <f t="shared" si="13"/>
        <v/>
      </c>
      <c r="AY21" s="258" t="str">
        <f t="shared" si="14"/>
        <v/>
      </c>
      <c r="AZ21" s="258" t="str">
        <f t="shared" si="15"/>
        <v/>
      </c>
      <c r="BA21" s="315" t="str">
        <f>IF($AB21="","",SUM($AZ21:$AZ$114))</f>
        <v/>
      </c>
      <c r="BB21" s="285"/>
      <c r="BC21" s="258" t="str">
        <f t="shared" si="16"/>
        <v/>
      </c>
      <c r="BD21" s="258" t="str">
        <f t="shared" si="17"/>
        <v/>
      </c>
      <c r="BE21" s="258" t="str">
        <f t="shared" si="18"/>
        <v/>
      </c>
      <c r="BF21" s="315" t="str">
        <f>IF($AB21="","",SUM($BE21:$BE$114))</f>
        <v/>
      </c>
      <c r="BG21" s="285"/>
      <c r="BH21" s="258" t="str">
        <f t="shared" si="19"/>
        <v/>
      </c>
      <c r="BI21" s="258" t="str">
        <f t="shared" si="20"/>
        <v/>
      </c>
      <c r="BJ21" s="258" t="str">
        <f t="shared" si="21"/>
        <v/>
      </c>
      <c r="BK21" s="315" t="str">
        <f>IF($AB21="","",SUM($BJ21:$BJ$114))</f>
        <v/>
      </c>
      <c r="BL21" s="285"/>
      <c r="BM21" s="258" t="str">
        <f t="shared" si="22"/>
        <v/>
      </c>
      <c r="BN21" s="258" t="str">
        <f t="shared" si="23"/>
        <v/>
      </c>
      <c r="BO21" s="258" t="str">
        <f t="shared" si="24"/>
        <v/>
      </c>
      <c r="BP21" s="315" t="str">
        <f>IF($AB21="","",SUM($BO21:$BO$114))</f>
        <v/>
      </c>
      <c r="BQ21" s="285" t="str">
        <f t="shared" si="25"/>
        <v/>
      </c>
      <c r="BR21" s="258" t="str">
        <f t="shared" si="39"/>
        <v/>
      </c>
      <c r="BS21" s="258" t="str">
        <f t="shared" si="26"/>
        <v/>
      </c>
      <c r="BT21" s="258" t="str">
        <f t="shared" si="27"/>
        <v/>
      </c>
      <c r="BU21" s="258" t="str">
        <f t="shared" si="40"/>
        <v/>
      </c>
      <c r="BV21" s="258"/>
      <c r="BW21" s="258"/>
      <c r="BX21" s="258"/>
      <c r="BY21" s="258"/>
      <c r="BZ21" s="258" t="str">
        <f>IF($AB21="","",SUM(BU21:BU$114))</f>
        <v/>
      </c>
      <c r="CA21" s="103" t="str">
        <f>IF(AB21&lt;$E$3+$F$5,0,IFERROR(일반형!S23,0))</f>
        <v/>
      </c>
      <c r="CB21" s="103"/>
      <c r="CC21" s="394" t="str">
        <f t="shared" si="0"/>
        <v/>
      </c>
      <c r="CD21" s="258" t="str">
        <f t="shared" si="41"/>
        <v/>
      </c>
      <c r="CE21" s="258" t="str">
        <f t="shared" si="28"/>
        <v/>
      </c>
      <c r="CF21" s="258" t="str">
        <f t="shared" si="29"/>
        <v/>
      </c>
      <c r="CG21" s="258" t="str">
        <f t="shared" si="42"/>
        <v/>
      </c>
      <c r="CH21" s="258" t="str">
        <f t="shared" si="30"/>
        <v/>
      </c>
      <c r="CI21" s="104" t="str">
        <f t="shared" si="43"/>
        <v/>
      </c>
      <c r="CJ21" s="105" t="str">
        <f t="shared" si="31"/>
        <v/>
      </c>
      <c r="CK21" s="240"/>
      <c r="CL21" s="207">
        <v>17</v>
      </c>
      <c r="CM21" s="258">
        <f t="shared" si="32"/>
        <v>0</v>
      </c>
      <c r="CN21" s="258">
        <f t="shared" si="33"/>
        <v>2.1999999999999999E-5</v>
      </c>
      <c r="CO21" s="258">
        <f t="shared" si="34"/>
        <v>1.0000000000000001E-5</v>
      </c>
      <c r="CP21" s="258">
        <f t="shared" si="44"/>
        <v>7.2000000000000002E-5</v>
      </c>
      <c r="CQ21" s="258"/>
      <c r="CR21" s="207">
        <v>17</v>
      </c>
      <c r="CS21" s="258"/>
      <c r="CT21" s="258"/>
      <c r="CU21" s="258">
        <v>2.1999999999999999E-5</v>
      </c>
      <c r="CV21" s="258">
        <v>6.0000000000000002E-6</v>
      </c>
      <c r="CW21" s="258">
        <v>1.0000000000000001E-5</v>
      </c>
      <c r="CX21" s="258">
        <v>7.9999999999999996E-6</v>
      </c>
      <c r="CY21" s="258">
        <v>7.2000000000000002E-5</v>
      </c>
      <c r="CZ21" s="258">
        <v>2.1999999999999999E-5</v>
      </c>
      <c r="DA21" s="258"/>
      <c r="DB21" s="258"/>
      <c r="DC21" s="258"/>
      <c r="DD21" s="258"/>
    </row>
    <row r="22" spans="1:108" ht="17.25" thickTop="1">
      <c r="A22" s="305"/>
      <c r="B22" s="373"/>
      <c r="C22" s="68"/>
      <c r="D22" s="97" t="s">
        <v>38</v>
      </c>
      <c r="E22" s="98" t="s">
        <v>83</v>
      </c>
      <c r="F22" s="269" t="s">
        <v>84</v>
      </c>
      <c r="G22" s="69"/>
      <c r="H22" s="108"/>
      <c r="I22" s="48"/>
      <c r="J22" s="49" t="s">
        <v>89</v>
      </c>
      <c r="K22" s="600">
        <f>IF($E$3+$F$4&gt;100,0,INDEX(AG4:AG115,F4+1))</f>
        <v>97799.511002444997</v>
      </c>
      <c r="M22" s="50"/>
      <c r="N22" s="275" t="str">
        <f t="shared" si="52"/>
        <v/>
      </c>
      <c r="O22" s="276" t="str">
        <f t="shared" si="53"/>
        <v/>
      </c>
      <c r="P22" s="277" t="str">
        <f t="shared" si="47"/>
        <v/>
      </c>
      <c r="Q22" s="277" t="str">
        <f t="shared" si="48"/>
        <v/>
      </c>
      <c r="R22" s="277" t="str">
        <f t="shared" si="49"/>
        <v/>
      </c>
      <c r="S22" s="401" t="str">
        <f t="shared" si="1"/>
        <v/>
      </c>
      <c r="T22" s="277" t="str">
        <f>일반형!P22</f>
        <v/>
      </c>
      <c r="U22" s="277" t="str">
        <f>일반형!Q22</f>
        <v/>
      </c>
      <c r="V22" s="277" t="str">
        <f>일반형!R22</f>
        <v/>
      </c>
      <c r="W22" s="401" t="str">
        <f>일반형!S22</f>
        <v/>
      </c>
      <c r="X22" s="277" t="str">
        <f t="shared" si="50"/>
        <v/>
      </c>
      <c r="Y22" s="444" t="str">
        <f t="shared" si="2"/>
        <v/>
      </c>
      <c r="Z22" s="445" t="str">
        <f t="shared" si="51"/>
        <v/>
      </c>
      <c r="AB22" s="101" t="str">
        <f t="shared" si="35"/>
        <v/>
      </c>
      <c r="AC22" s="649" t="str">
        <f t="shared" si="4"/>
        <v/>
      </c>
      <c r="AD22" s="258"/>
      <c r="AE22" s="258" t="str">
        <f>IF(AB22="","",IF(AB22-$AB$4&lt;$F$5-1,INDEX(Main_무해지!$G$76:$G$87,MIN(AB22-$AB$4+1,12)),IF(AB22-$AB$4=$F$5-1,0,IF(AND($F$2=1,AB22&gt;109),0,IF(AND($F$2=2,AB22&gt;111),0,INDEX(Main_무해지!$H$76:$H$82,MIN(AB22-$AB$4-$F$5+1,7)))))))</f>
        <v/>
      </c>
      <c r="AF22" s="258" t="str">
        <f t="shared" si="45"/>
        <v/>
      </c>
      <c r="AG22" s="258" t="str">
        <f t="shared" si="5"/>
        <v/>
      </c>
      <c r="AH22" s="102" t="str">
        <f>IF($AB22="","",SUM(AG22:AG$114))</f>
        <v/>
      </c>
      <c r="AI22" s="258" t="str">
        <f t="shared" si="36"/>
        <v/>
      </c>
      <c r="AJ22" s="308" t="str">
        <f t="shared" si="6"/>
        <v/>
      </c>
      <c r="AK22" s="308"/>
      <c r="AL22" s="258" t="str">
        <f t="shared" si="7"/>
        <v/>
      </c>
      <c r="AM22" s="258" t="str">
        <f t="shared" si="46"/>
        <v/>
      </c>
      <c r="AN22" s="258" t="str">
        <f t="shared" si="8"/>
        <v/>
      </c>
      <c r="AO22" s="102" t="str">
        <f>IF($AB22="","",SUM(AN22:AN$114))</f>
        <v/>
      </c>
      <c r="AP22" s="285" t="str">
        <f t="shared" si="37"/>
        <v/>
      </c>
      <c r="AQ22" s="258" t="str">
        <f t="shared" si="9"/>
        <v/>
      </c>
      <c r="AR22" s="258" t="str">
        <f t="shared" si="10"/>
        <v/>
      </c>
      <c r="AS22" s="258" t="str">
        <f t="shared" si="11"/>
        <v/>
      </c>
      <c r="AT22" s="315" t="str">
        <f>IF($AB22="","",SUM($AU22:$AU$114))</f>
        <v/>
      </c>
      <c r="AU22" s="258" t="str">
        <f t="shared" si="38"/>
        <v/>
      </c>
      <c r="AV22" s="315" t="str">
        <f t="shared" si="12"/>
        <v/>
      </c>
      <c r="AW22" s="285"/>
      <c r="AX22" s="258" t="str">
        <f t="shared" si="13"/>
        <v/>
      </c>
      <c r="AY22" s="258" t="str">
        <f t="shared" si="14"/>
        <v/>
      </c>
      <c r="AZ22" s="258" t="str">
        <f t="shared" si="15"/>
        <v/>
      </c>
      <c r="BA22" s="315" t="str">
        <f>IF($AB22="","",SUM($AZ22:$AZ$114))</f>
        <v/>
      </c>
      <c r="BB22" s="285"/>
      <c r="BC22" s="258" t="str">
        <f t="shared" si="16"/>
        <v/>
      </c>
      <c r="BD22" s="258" t="str">
        <f t="shared" si="17"/>
        <v/>
      </c>
      <c r="BE22" s="258" t="str">
        <f t="shared" si="18"/>
        <v/>
      </c>
      <c r="BF22" s="315" t="str">
        <f>IF($AB22="","",SUM($BE22:$BE$114))</f>
        <v/>
      </c>
      <c r="BG22" s="285"/>
      <c r="BH22" s="258" t="str">
        <f t="shared" si="19"/>
        <v/>
      </c>
      <c r="BI22" s="258" t="str">
        <f t="shared" si="20"/>
        <v/>
      </c>
      <c r="BJ22" s="258" t="str">
        <f t="shared" si="21"/>
        <v/>
      </c>
      <c r="BK22" s="315" t="str">
        <f>IF($AB22="","",SUM($BJ22:$BJ$114))</f>
        <v/>
      </c>
      <c r="BL22" s="285"/>
      <c r="BM22" s="258" t="str">
        <f t="shared" si="22"/>
        <v/>
      </c>
      <c r="BN22" s="258" t="str">
        <f t="shared" si="23"/>
        <v/>
      </c>
      <c r="BO22" s="258" t="str">
        <f t="shared" si="24"/>
        <v/>
      </c>
      <c r="BP22" s="315" t="str">
        <f>IF($AB22="","",SUM($BO22:$BO$114))</f>
        <v/>
      </c>
      <c r="BQ22" s="285" t="str">
        <f t="shared" si="25"/>
        <v/>
      </c>
      <c r="BR22" s="258" t="str">
        <f t="shared" si="39"/>
        <v/>
      </c>
      <c r="BS22" s="258" t="str">
        <f t="shared" si="26"/>
        <v/>
      </c>
      <c r="BT22" s="258" t="str">
        <f t="shared" si="27"/>
        <v/>
      </c>
      <c r="BU22" s="258" t="str">
        <f t="shared" si="40"/>
        <v/>
      </c>
      <c r="BV22" s="258"/>
      <c r="BW22" s="258"/>
      <c r="BX22" s="258"/>
      <c r="BY22" s="258"/>
      <c r="BZ22" s="258" t="str">
        <f>IF($AB22="","",SUM(BU22:BU$114))</f>
        <v/>
      </c>
      <c r="CA22" s="103" t="str">
        <f>IF(AB22&lt;$E$3+$F$5,0,IFERROR(일반형!S24,0))</f>
        <v/>
      </c>
      <c r="CB22" s="103"/>
      <c r="CC22" s="394" t="str">
        <f t="shared" si="0"/>
        <v/>
      </c>
      <c r="CD22" s="258" t="str">
        <f t="shared" si="41"/>
        <v/>
      </c>
      <c r="CE22" s="258" t="str">
        <f t="shared" si="28"/>
        <v/>
      </c>
      <c r="CF22" s="258" t="str">
        <f t="shared" si="29"/>
        <v/>
      </c>
      <c r="CG22" s="258" t="str">
        <f t="shared" si="42"/>
        <v/>
      </c>
      <c r="CH22" s="258" t="str">
        <f t="shared" si="30"/>
        <v/>
      </c>
      <c r="CI22" s="104" t="str">
        <f t="shared" si="43"/>
        <v/>
      </c>
      <c r="CJ22" s="105" t="str">
        <f t="shared" si="31"/>
        <v/>
      </c>
      <c r="CK22" s="240"/>
      <c r="CL22" s="207">
        <v>18</v>
      </c>
      <c r="CM22" s="258">
        <f t="shared" si="32"/>
        <v>0</v>
      </c>
      <c r="CN22" s="258">
        <f t="shared" si="33"/>
        <v>2.1999999999999999E-5</v>
      </c>
      <c r="CO22" s="258">
        <f t="shared" si="34"/>
        <v>1.0000000000000001E-5</v>
      </c>
      <c r="CP22" s="258">
        <f t="shared" si="44"/>
        <v>7.2000000000000002E-5</v>
      </c>
      <c r="CQ22" s="258"/>
      <c r="CR22" s="207">
        <v>18</v>
      </c>
      <c r="CS22" s="258"/>
      <c r="CT22" s="258"/>
      <c r="CU22" s="258">
        <v>2.1999999999999999E-5</v>
      </c>
      <c r="CV22" s="258">
        <v>6.0000000000000002E-6</v>
      </c>
      <c r="CW22" s="258">
        <v>1.0000000000000001E-5</v>
      </c>
      <c r="CX22" s="258">
        <v>9.0000000000000002E-6</v>
      </c>
      <c r="CY22" s="258">
        <v>7.2000000000000002E-5</v>
      </c>
      <c r="CZ22" s="258">
        <v>2.1999999999999999E-5</v>
      </c>
      <c r="DA22" s="258"/>
      <c r="DB22" s="258"/>
      <c r="DC22" s="258"/>
      <c r="DD22" s="258"/>
    </row>
    <row r="23" spans="1:108">
      <c r="A23" s="305"/>
      <c r="B23" s="373"/>
      <c r="C23" s="78"/>
      <c r="D23" s="106" t="s">
        <v>40</v>
      </c>
      <c r="E23" s="250">
        <f>IF(AND($G$3=1,$F$4=1),0,0.5/1000)</f>
        <v>0</v>
      </c>
      <c r="F23" s="768">
        <f>(IF(AND(G3=1,$F$4=1),S산출!$E$10*10,IF(E7="무해지",S산출!$C$10,S산출!$D$10)*10))/1000</f>
        <v>7.0000000000000007E-5</v>
      </c>
      <c r="G23" s="79"/>
      <c r="H23" s="108"/>
      <c r="I23" s="48"/>
      <c r="J23" s="49" t="s">
        <v>90</v>
      </c>
      <c r="K23" s="483">
        <f>INDEX(AH4:AH115,1)</f>
        <v>197799.51100244501</v>
      </c>
      <c r="M23" s="50"/>
      <c r="N23" s="278" t="str">
        <f t="shared" si="52"/>
        <v/>
      </c>
      <c r="O23" s="279" t="str">
        <f t="shared" si="53"/>
        <v/>
      </c>
      <c r="P23" s="271" t="str">
        <f t="shared" si="47"/>
        <v/>
      </c>
      <c r="Q23" s="271" t="str">
        <f t="shared" si="48"/>
        <v/>
      </c>
      <c r="R23" s="271" t="str">
        <f t="shared" si="49"/>
        <v/>
      </c>
      <c r="S23" s="400" t="str">
        <f t="shared" si="1"/>
        <v/>
      </c>
      <c r="T23" s="271" t="str">
        <f>일반형!P23</f>
        <v/>
      </c>
      <c r="U23" s="271" t="str">
        <f>일반형!Q23</f>
        <v/>
      </c>
      <c r="V23" s="271" t="str">
        <f>일반형!R23</f>
        <v/>
      </c>
      <c r="W23" s="400" t="str">
        <f>일반형!S23</f>
        <v/>
      </c>
      <c r="X23" s="271" t="str">
        <f t="shared" si="50"/>
        <v/>
      </c>
      <c r="Y23" s="442" t="str">
        <f t="shared" si="2"/>
        <v/>
      </c>
      <c r="Z23" s="443" t="str">
        <f t="shared" si="51"/>
        <v/>
      </c>
      <c r="AB23" s="101" t="str">
        <f t="shared" si="35"/>
        <v/>
      </c>
      <c r="AC23" s="649" t="str">
        <f t="shared" si="4"/>
        <v/>
      </c>
      <c r="AD23" s="258"/>
      <c r="AE23" s="258" t="str">
        <f>IF(AB23="","",IF(AB23-$AB$4&lt;$F$5-1,INDEX(Main_무해지!$G$76:$G$87,MIN(AB23-$AB$4+1,12)),IF(AB23-$AB$4=$F$5-1,0,IF(AND($F$2=1,AB23&gt;109),0,IF(AND($F$2=2,AB23&gt;111),0,INDEX(Main_무해지!$H$76:$H$82,MIN(AB23-$AB$4-$F$5+1,7)))))))</f>
        <v/>
      </c>
      <c r="AF23" s="258" t="str">
        <f t="shared" si="45"/>
        <v/>
      </c>
      <c r="AG23" s="258" t="str">
        <f t="shared" si="5"/>
        <v/>
      </c>
      <c r="AH23" s="102" t="str">
        <f>IF($AB23="","",SUM(AG23:AG$114))</f>
        <v/>
      </c>
      <c r="AI23" s="258" t="str">
        <f t="shared" si="36"/>
        <v/>
      </c>
      <c r="AJ23" s="308" t="str">
        <f t="shared" si="6"/>
        <v/>
      </c>
      <c r="AK23" s="308"/>
      <c r="AL23" s="258" t="str">
        <f t="shared" si="7"/>
        <v/>
      </c>
      <c r="AM23" s="258" t="str">
        <f t="shared" si="46"/>
        <v/>
      </c>
      <c r="AN23" s="258" t="str">
        <f t="shared" si="8"/>
        <v/>
      </c>
      <c r="AO23" s="102" t="str">
        <f>IF($AB23="","",SUM(AN23:AN$114))</f>
        <v/>
      </c>
      <c r="AP23" s="285" t="str">
        <f t="shared" si="37"/>
        <v/>
      </c>
      <c r="AQ23" s="258" t="str">
        <f t="shared" si="9"/>
        <v/>
      </c>
      <c r="AR23" s="258" t="str">
        <f t="shared" si="10"/>
        <v/>
      </c>
      <c r="AS23" s="258" t="str">
        <f t="shared" si="11"/>
        <v/>
      </c>
      <c r="AT23" s="315" t="str">
        <f>IF($AB23="","",SUM($AU23:$AU$114))</f>
        <v/>
      </c>
      <c r="AU23" s="258" t="str">
        <f t="shared" si="38"/>
        <v/>
      </c>
      <c r="AV23" s="315" t="str">
        <f t="shared" si="12"/>
        <v/>
      </c>
      <c r="AW23" s="285"/>
      <c r="AX23" s="258" t="str">
        <f t="shared" si="13"/>
        <v/>
      </c>
      <c r="AY23" s="258" t="str">
        <f t="shared" si="14"/>
        <v/>
      </c>
      <c r="AZ23" s="258" t="str">
        <f t="shared" si="15"/>
        <v/>
      </c>
      <c r="BA23" s="315" t="str">
        <f>IF($AB23="","",SUM($AZ23:$AZ$114))</f>
        <v/>
      </c>
      <c r="BB23" s="285"/>
      <c r="BC23" s="258" t="str">
        <f t="shared" si="16"/>
        <v/>
      </c>
      <c r="BD23" s="258" t="str">
        <f t="shared" si="17"/>
        <v/>
      </c>
      <c r="BE23" s="258" t="str">
        <f t="shared" si="18"/>
        <v/>
      </c>
      <c r="BF23" s="315" t="str">
        <f>IF($AB23="","",SUM($BE23:$BE$114))</f>
        <v/>
      </c>
      <c r="BG23" s="285"/>
      <c r="BH23" s="258" t="str">
        <f t="shared" si="19"/>
        <v/>
      </c>
      <c r="BI23" s="258" t="str">
        <f t="shared" si="20"/>
        <v/>
      </c>
      <c r="BJ23" s="258" t="str">
        <f t="shared" si="21"/>
        <v/>
      </c>
      <c r="BK23" s="315" t="str">
        <f>IF($AB23="","",SUM($BJ23:$BJ$114))</f>
        <v/>
      </c>
      <c r="BL23" s="285"/>
      <c r="BM23" s="258" t="str">
        <f t="shared" si="22"/>
        <v/>
      </c>
      <c r="BN23" s="258" t="str">
        <f t="shared" si="23"/>
        <v/>
      </c>
      <c r="BO23" s="258" t="str">
        <f t="shared" si="24"/>
        <v/>
      </c>
      <c r="BP23" s="315" t="str">
        <f>IF($AB23="","",SUM($BO23:$BO$114))</f>
        <v/>
      </c>
      <c r="BQ23" s="285" t="str">
        <f t="shared" si="25"/>
        <v/>
      </c>
      <c r="BR23" s="258" t="str">
        <f t="shared" si="39"/>
        <v/>
      </c>
      <c r="BS23" s="258" t="str">
        <f t="shared" si="26"/>
        <v/>
      </c>
      <c r="BT23" s="258" t="str">
        <f t="shared" si="27"/>
        <v/>
      </c>
      <c r="BU23" s="258" t="str">
        <f t="shared" si="40"/>
        <v/>
      </c>
      <c r="BV23" s="258"/>
      <c r="BW23" s="258"/>
      <c r="BX23" s="258"/>
      <c r="BY23" s="258"/>
      <c r="BZ23" s="258" t="str">
        <f>IF($AB23="","",SUM(BU23:BU$114))</f>
        <v/>
      </c>
      <c r="CA23" s="103" t="str">
        <f>IF(AB23&lt;$E$3+$F$5,0,IFERROR(일반형!S25,0))</f>
        <v/>
      </c>
      <c r="CB23" s="103"/>
      <c r="CC23" s="394" t="str">
        <f t="shared" si="0"/>
        <v/>
      </c>
      <c r="CD23" s="258" t="str">
        <f t="shared" si="41"/>
        <v/>
      </c>
      <c r="CE23" s="258" t="str">
        <f t="shared" si="28"/>
        <v/>
      </c>
      <c r="CF23" s="258" t="str">
        <f t="shared" si="29"/>
        <v/>
      </c>
      <c r="CG23" s="258" t="str">
        <f t="shared" si="42"/>
        <v/>
      </c>
      <c r="CH23" s="258" t="str">
        <f t="shared" si="30"/>
        <v/>
      </c>
      <c r="CI23" s="104" t="str">
        <f t="shared" si="43"/>
        <v/>
      </c>
      <c r="CJ23" s="105" t="str">
        <f t="shared" si="31"/>
        <v/>
      </c>
      <c r="CK23" s="240"/>
      <c r="CL23" s="207">
        <v>19</v>
      </c>
      <c r="CM23" s="258">
        <f t="shared" si="32"/>
        <v>0</v>
      </c>
      <c r="CN23" s="258">
        <f t="shared" si="33"/>
        <v>2.1999999999999999E-5</v>
      </c>
      <c r="CO23" s="258">
        <f t="shared" si="34"/>
        <v>1.0000000000000001E-5</v>
      </c>
      <c r="CP23" s="258">
        <f t="shared" si="44"/>
        <v>7.2000000000000002E-5</v>
      </c>
      <c r="CQ23" s="258"/>
      <c r="CR23" s="207">
        <v>19</v>
      </c>
      <c r="CS23" s="258"/>
      <c r="CT23" s="258"/>
      <c r="CU23" s="258">
        <v>2.1999999999999999E-5</v>
      </c>
      <c r="CV23" s="258">
        <v>6.0000000000000002E-6</v>
      </c>
      <c r="CW23" s="258">
        <v>1.0000000000000001E-5</v>
      </c>
      <c r="CX23" s="258">
        <v>9.0000000000000002E-6</v>
      </c>
      <c r="CY23" s="258">
        <v>7.2000000000000002E-5</v>
      </c>
      <c r="CZ23" s="258">
        <v>2.1999999999999999E-5</v>
      </c>
      <c r="DA23" s="258"/>
      <c r="DB23" s="258"/>
      <c r="DC23" s="258"/>
      <c r="DD23" s="258"/>
    </row>
    <row r="24" spans="1:108">
      <c r="A24" s="305"/>
      <c r="B24" s="373"/>
      <c r="C24" s="78"/>
      <c r="D24" s="107" t="s">
        <v>43</v>
      </c>
      <c r="E24" s="769">
        <f>+IF(AND($G$3=1,$F$4=1),3.9%*F4,4%*MIN(F4,20))</f>
        <v>3.9E-2</v>
      </c>
      <c r="F24" s="769">
        <f>5%*MIN(F4,20)</f>
        <v>0.05</v>
      </c>
      <c r="G24" s="79"/>
      <c r="H24" s="108"/>
      <c r="I24" s="48"/>
      <c r="J24" s="49" t="s">
        <v>30</v>
      </c>
      <c r="K24" s="483">
        <f>INDEX(AH4:AH115,F5+1)</f>
        <v>97799.511002444997</v>
      </c>
      <c r="M24" s="50"/>
      <c r="N24" s="278" t="str">
        <f t="shared" si="52"/>
        <v/>
      </c>
      <c r="O24" s="279" t="str">
        <f t="shared" si="53"/>
        <v/>
      </c>
      <c r="P24" s="271" t="str">
        <f t="shared" si="47"/>
        <v/>
      </c>
      <c r="Q24" s="271" t="str">
        <f t="shared" si="48"/>
        <v/>
      </c>
      <c r="R24" s="271" t="str">
        <f t="shared" si="49"/>
        <v/>
      </c>
      <c r="S24" s="400" t="str">
        <f t="shared" si="1"/>
        <v/>
      </c>
      <c r="T24" s="271" t="str">
        <f>일반형!P24</f>
        <v/>
      </c>
      <c r="U24" s="271" t="str">
        <f>일반형!Q24</f>
        <v/>
      </c>
      <c r="V24" s="271" t="str">
        <f>일반형!R24</f>
        <v/>
      </c>
      <c r="W24" s="400" t="str">
        <f>일반형!S24</f>
        <v/>
      </c>
      <c r="X24" s="271" t="str">
        <f t="shared" si="50"/>
        <v/>
      </c>
      <c r="Y24" s="442" t="str">
        <f t="shared" si="2"/>
        <v/>
      </c>
      <c r="Z24" s="443" t="str">
        <f t="shared" si="51"/>
        <v/>
      </c>
      <c r="AB24" s="110" t="str">
        <f t="shared" si="35"/>
        <v/>
      </c>
      <c r="AC24" s="650" t="str">
        <f t="shared" si="4"/>
        <v/>
      </c>
      <c r="AD24" s="259"/>
      <c r="AE24" s="259" t="str">
        <f>IF(AB24="","",IF(AB24-$AB$4&lt;$F$5-1,INDEX(Main_무해지!$G$76:$G$87,MIN(AB24-$AB$4+1,12)),IF(AB24-$AB$4=$F$5-1,0,IF(AND($F$2=1,AB24&gt;109),0,IF(AND($F$2=2,AB24&gt;111),0,INDEX(Main_무해지!$H$76:$H$82,MIN(AB24-$AB$4-$F$5+1,7)))))))</f>
        <v/>
      </c>
      <c r="AF24" s="259" t="str">
        <f t="shared" si="45"/>
        <v/>
      </c>
      <c r="AG24" s="259" t="str">
        <f t="shared" si="5"/>
        <v/>
      </c>
      <c r="AH24" s="111" t="str">
        <f>IF($AB24="","",SUM(AG24:AG$114))</f>
        <v/>
      </c>
      <c r="AI24" s="259" t="str">
        <f t="shared" si="36"/>
        <v/>
      </c>
      <c r="AJ24" s="309" t="str">
        <f t="shared" si="6"/>
        <v/>
      </c>
      <c r="AK24" s="309"/>
      <c r="AL24" s="259" t="str">
        <f t="shared" si="7"/>
        <v/>
      </c>
      <c r="AM24" s="259" t="str">
        <f t="shared" si="46"/>
        <v/>
      </c>
      <c r="AN24" s="259" t="str">
        <f t="shared" si="8"/>
        <v/>
      </c>
      <c r="AO24" s="111" t="str">
        <f>IF($AB24="","",SUM(AN24:AN$114))</f>
        <v/>
      </c>
      <c r="AP24" s="286" t="str">
        <f t="shared" si="37"/>
        <v/>
      </c>
      <c r="AQ24" s="259" t="str">
        <f t="shared" si="9"/>
        <v/>
      </c>
      <c r="AR24" s="259" t="str">
        <f t="shared" si="10"/>
        <v/>
      </c>
      <c r="AS24" s="259" t="str">
        <f t="shared" si="11"/>
        <v/>
      </c>
      <c r="AT24" s="316" t="str">
        <f>IF($AB24="","",SUM($AU24:$AU$114))</f>
        <v/>
      </c>
      <c r="AU24" s="259" t="str">
        <f t="shared" si="38"/>
        <v/>
      </c>
      <c r="AV24" s="316" t="str">
        <f t="shared" si="12"/>
        <v/>
      </c>
      <c r="AW24" s="286"/>
      <c r="AX24" s="259" t="str">
        <f t="shared" si="13"/>
        <v/>
      </c>
      <c r="AY24" s="259" t="str">
        <f t="shared" si="14"/>
        <v/>
      </c>
      <c r="AZ24" s="259" t="str">
        <f t="shared" si="15"/>
        <v/>
      </c>
      <c r="BA24" s="316" t="str">
        <f>IF($AB24="","",SUM($AZ24:$AZ$114))</f>
        <v/>
      </c>
      <c r="BB24" s="286"/>
      <c r="BC24" s="259" t="str">
        <f t="shared" si="16"/>
        <v/>
      </c>
      <c r="BD24" s="259" t="str">
        <f t="shared" si="17"/>
        <v/>
      </c>
      <c r="BE24" s="259" t="str">
        <f t="shared" si="18"/>
        <v/>
      </c>
      <c r="BF24" s="316" t="str">
        <f>IF($AB24="","",SUM($BE24:$BE$114))</f>
        <v/>
      </c>
      <c r="BG24" s="286"/>
      <c r="BH24" s="259" t="str">
        <f t="shared" si="19"/>
        <v/>
      </c>
      <c r="BI24" s="259" t="str">
        <f t="shared" si="20"/>
        <v/>
      </c>
      <c r="BJ24" s="259" t="str">
        <f t="shared" si="21"/>
        <v/>
      </c>
      <c r="BK24" s="316" t="str">
        <f>IF($AB24="","",SUM($BJ24:$BJ$114))</f>
        <v/>
      </c>
      <c r="BL24" s="286"/>
      <c r="BM24" s="259" t="str">
        <f t="shared" si="22"/>
        <v/>
      </c>
      <c r="BN24" s="259" t="str">
        <f t="shared" si="23"/>
        <v/>
      </c>
      <c r="BO24" s="259" t="str">
        <f t="shared" si="24"/>
        <v/>
      </c>
      <c r="BP24" s="316" t="str">
        <f>IF($AB24="","",SUM($BO24:$BO$114))</f>
        <v/>
      </c>
      <c r="BQ24" s="286" t="str">
        <f t="shared" si="25"/>
        <v/>
      </c>
      <c r="BR24" s="259" t="str">
        <f t="shared" si="39"/>
        <v/>
      </c>
      <c r="BS24" s="259" t="str">
        <f t="shared" si="26"/>
        <v/>
      </c>
      <c r="BT24" s="259" t="str">
        <f t="shared" si="27"/>
        <v/>
      </c>
      <c r="BU24" s="259" t="str">
        <f t="shared" si="40"/>
        <v/>
      </c>
      <c r="BV24" s="259"/>
      <c r="BW24" s="259"/>
      <c r="BX24" s="259"/>
      <c r="BY24" s="259"/>
      <c r="BZ24" s="259" t="str">
        <f>IF($AB24="","",SUM(BU24:BU$114))</f>
        <v/>
      </c>
      <c r="CA24" s="112" t="str">
        <f>IF(AB24&lt;$E$3+$F$5,0,IFERROR(일반형!S26,0))</f>
        <v/>
      </c>
      <c r="CB24" s="112"/>
      <c r="CC24" s="395" t="str">
        <f t="shared" si="0"/>
        <v/>
      </c>
      <c r="CD24" s="259" t="str">
        <f t="shared" si="41"/>
        <v/>
      </c>
      <c r="CE24" s="259" t="str">
        <f t="shared" si="28"/>
        <v/>
      </c>
      <c r="CF24" s="259" t="str">
        <f t="shared" si="29"/>
        <v/>
      </c>
      <c r="CG24" s="259" t="str">
        <f t="shared" si="42"/>
        <v/>
      </c>
      <c r="CH24" s="259" t="str">
        <f t="shared" si="30"/>
        <v/>
      </c>
      <c r="CI24" s="113" t="str">
        <f t="shared" si="43"/>
        <v/>
      </c>
      <c r="CJ24" s="114" t="str">
        <f t="shared" si="31"/>
        <v/>
      </c>
      <c r="CK24" s="241"/>
      <c r="CL24" s="208">
        <v>20</v>
      </c>
      <c r="CM24" s="259">
        <f t="shared" si="32"/>
        <v>0</v>
      </c>
      <c r="CN24" s="259">
        <f t="shared" si="33"/>
        <v>3.8000000000000002E-5</v>
      </c>
      <c r="CO24" s="259">
        <f t="shared" si="34"/>
        <v>1.0000000000000001E-5</v>
      </c>
      <c r="CP24" s="259">
        <f t="shared" si="44"/>
        <v>1.5300000000000001E-4</v>
      </c>
      <c r="CQ24" s="259"/>
      <c r="CR24" s="208">
        <v>20</v>
      </c>
      <c r="CS24" s="259"/>
      <c r="CT24" s="259"/>
      <c r="CU24" s="259">
        <v>3.8000000000000002E-5</v>
      </c>
      <c r="CV24" s="259">
        <v>1.5999999999999999E-5</v>
      </c>
      <c r="CW24" s="259">
        <v>1.0000000000000001E-5</v>
      </c>
      <c r="CX24" s="259">
        <v>1.0000000000000001E-5</v>
      </c>
      <c r="CY24" s="259">
        <v>1.5300000000000001E-4</v>
      </c>
      <c r="CZ24" s="259">
        <v>7.3999999999999996E-5</v>
      </c>
      <c r="DA24" s="259"/>
      <c r="DB24" s="259"/>
      <c r="DC24" s="259"/>
      <c r="DD24" s="259"/>
    </row>
    <row r="25" spans="1:108">
      <c r="A25" s="305"/>
      <c r="B25" s="373"/>
      <c r="C25" s="78"/>
      <c r="D25" s="107" t="s">
        <v>45</v>
      </c>
      <c r="E25" s="177"/>
      <c r="F25" s="176"/>
      <c r="G25" s="79"/>
      <c r="H25" s="108"/>
      <c r="I25" s="48"/>
      <c r="J25" s="49" t="s">
        <v>91</v>
      </c>
      <c r="K25" s="600">
        <f>IF($E$3+$F$4&gt;100,0,INDEX(AH4:AH115,F4+1))</f>
        <v>97799.511002444997</v>
      </c>
      <c r="M25" s="50"/>
      <c r="N25" s="278" t="str">
        <f t="shared" si="52"/>
        <v/>
      </c>
      <c r="O25" s="279" t="str">
        <f t="shared" si="53"/>
        <v/>
      </c>
      <c r="P25" s="271" t="str">
        <f t="shared" si="47"/>
        <v/>
      </c>
      <c r="Q25" s="271" t="str">
        <f t="shared" si="48"/>
        <v/>
      </c>
      <c r="R25" s="271" t="str">
        <f t="shared" si="49"/>
        <v/>
      </c>
      <c r="S25" s="400" t="str">
        <f t="shared" si="1"/>
        <v/>
      </c>
      <c r="T25" s="271" t="str">
        <f>일반형!P25</f>
        <v/>
      </c>
      <c r="U25" s="271" t="str">
        <f>일반형!Q25</f>
        <v/>
      </c>
      <c r="V25" s="271" t="str">
        <f>일반형!R25</f>
        <v/>
      </c>
      <c r="W25" s="400" t="str">
        <f>일반형!S25</f>
        <v/>
      </c>
      <c r="X25" s="271" t="str">
        <f t="shared" si="50"/>
        <v/>
      </c>
      <c r="Y25" s="442" t="str">
        <f t="shared" si="2"/>
        <v/>
      </c>
      <c r="Z25" s="443" t="str">
        <f t="shared" si="51"/>
        <v/>
      </c>
      <c r="AB25" s="770" t="str">
        <f t="shared" si="35"/>
        <v/>
      </c>
      <c r="AC25" s="651" t="str">
        <f t="shared" si="4"/>
        <v/>
      </c>
      <c r="AD25" s="410"/>
      <c r="AE25" s="410" t="str">
        <f>IF(AB25="","",IF(AB25-$AB$4&lt;$F$5-1,INDEX(Main_무해지!$G$76:$G$87,MIN(AB25-$AB$4+1,12)),IF(AB25-$AB$4=$F$5-1,0,IF(AND($F$2=1,AB25&gt;109),0,IF(AND($F$2=2,AB25&gt;111),0,INDEX(Main_무해지!$H$76:$H$82,MIN(AB25-$AB$4-$F$5+1,7)))))))</f>
        <v/>
      </c>
      <c r="AF25" s="410" t="str">
        <f t="shared" si="45"/>
        <v/>
      </c>
      <c r="AG25" s="410" t="str">
        <f t="shared" si="5"/>
        <v/>
      </c>
      <c r="AH25" s="771" t="str">
        <f>IF($AB25="","",SUM(AG25:AG$114))</f>
        <v/>
      </c>
      <c r="AI25" s="410" t="str">
        <f t="shared" si="36"/>
        <v/>
      </c>
      <c r="AJ25" s="640" t="str">
        <f t="shared" si="6"/>
        <v/>
      </c>
      <c r="AK25" s="640"/>
      <c r="AL25" s="410" t="str">
        <f t="shared" si="7"/>
        <v/>
      </c>
      <c r="AM25" s="410" t="str">
        <f t="shared" si="46"/>
        <v/>
      </c>
      <c r="AN25" s="410" t="str">
        <f t="shared" si="8"/>
        <v/>
      </c>
      <c r="AO25" s="771" t="str">
        <f>IF($AB25="","",SUM(AN25:AN$114))</f>
        <v/>
      </c>
      <c r="AP25" s="772" t="str">
        <f t="shared" si="37"/>
        <v/>
      </c>
      <c r="AQ25" s="410" t="str">
        <f t="shared" si="9"/>
        <v/>
      </c>
      <c r="AR25" s="410" t="str">
        <f t="shared" si="10"/>
        <v/>
      </c>
      <c r="AS25" s="410" t="str">
        <f t="shared" si="11"/>
        <v/>
      </c>
      <c r="AT25" s="773" t="str">
        <f>IF($AB25="","",SUM($AU25:$AU$114))</f>
        <v/>
      </c>
      <c r="AU25" s="410" t="str">
        <f t="shared" si="38"/>
        <v/>
      </c>
      <c r="AV25" s="773" t="str">
        <f t="shared" si="12"/>
        <v/>
      </c>
      <c r="AW25" s="772"/>
      <c r="AX25" s="410" t="str">
        <f t="shared" si="13"/>
        <v/>
      </c>
      <c r="AY25" s="410" t="str">
        <f t="shared" si="14"/>
        <v/>
      </c>
      <c r="AZ25" s="410" t="str">
        <f t="shared" si="15"/>
        <v/>
      </c>
      <c r="BA25" s="773" t="str">
        <f>IF($AB25="","",SUM($AZ25:$AZ$114))</f>
        <v/>
      </c>
      <c r="BB25" s="772"/>
      <c r="BC25" s="410" t="str">
        <f t="shared" si="16"/>
        <v/>
      </c>
      <c r="BD25" s="410" t="str">
        <f t="shared" si="17"/>
        <v/>
      </c>
      <c r="BE25" s="410" t="str">
        <f t="shared" si="18"/>
        <v/>
      </c>
      <c r="BF25" s="773" t="str">
        <f>IF($AB25="","",SUM($BE25:$BE$114))</f>
        <v/>
      </c>
      <c r="BG25" s="772"/>
      <c r="BH25" s="410" t="str">
        <f t="shared" si="19"/>
        <v/>
      </c>
      <c r="BI25" s="410" t="str">
        <f t="shared" si="20"/>
        <v/>
      </c>
      <c r="BJ25" s="410" t="str">
        <f t="shared" si="21"/>
        <v/>
      </c>
      <c r="BK25" s="773" t="str">
        <f>IF($AB25="","",SUM($BJ25:$BJ$114))</f>
        <v/>
      </c>
      <c r="BL25" s="772"/>
      <c r="BM25" s="410" t="str">
        <f t="shared" si="22"/>
        <v/>
      </c>
      <c r="BN25" s="410" t="str">
        <f t="shared" si="23"/>
        <v/>
      </c>
      <c r="BO25" s="410" t="str">
        <f t="shared" si="24"/>
        <v/>
      </c>
      <c r="BP25" s="773" t="str">
        <f>IF($AB25="","",SUM($BO25:$BO$114))</f>
        <v/>
      </c>
      <c r="BQ25" s="772" t="str">
        <f t="shared" si="25"/>
        <v/>
      </c>
      <c r="BR25" s="410" t="str">
        <f t="shared" si="39"/>
        <v/>
      </c>
      <c r="BS25" s="410" t="str">
        <f t="shared" si="26"/>
        <v/>
      </c>
      <c r="BT25" s="410" t="str">
        <f t="shared" si="27"/>
        <v/>
      </c>
      <c r="BU25" s="410" t="str">
        <f t="shared" si="40"/>
        <v/>
      </c>
      <c r="BV25" s="410"/>
      <c r="BW25" s="410"/>
      <c r="BX25" s="410"/>
      <c r="BY25" s="410"/>
      <c r="BZ25" s="410" t="str">
        <f>IF($AB25="","",SUM(BU25:BU$114))</f>
        <v/>
      </c>
      <c r="CA25" s="774" t="str">
        <f>IF(AB25&lt;$E$3+$F$5,0,IFERROR(일반형!S27,0))</f>
        <v/>
      </c>
      <c r="CB25" s="774"/>
      <c r="CC25" s="775" t="str">
        <f t="shared" si="0"/>
        <v/>
      </c>
      <c r="CD25" s="410" t="str">
        <f t="shared" si="41"/>
        <v/>
      </c>
      <c r="CE25" s="410" t="str">
        <f t="shared" si="28"/>
        <v/>
      </c>
      <c r="CF25" s="410" t="str">
        <f t="shared" si="29"/>
        <v/>
      </c>
      <c r="CG25" s="410" t="str">
        <f t="shared" si="42"/>
        <v/>
      </c>
      <c r="CH25" s="410" t="str">
        <f t="shared" si="30"/>
        <v/>
      </c>
      <c r="CI25" s="776" t="str">
        <f t="shared" si="43"/>
        <v/>
      </c>
      <c r="CJ25" s="777" t="str">
        <f t="shared" si="31"/>
        <v/>
      </c>
      <c r="CK25" s="415"/>
      <c r="CL25" s="778">
        <v>21</v>
      </c>
      <c r="CM25" s="410">
        <f t="shared" si="32"/>
        <v>0</v>
      </c>
      <c r="CN25" s="410">
        <f t="shared" si="33"/>
        <v>3.8000000000000002E-5</v>
      </c>
      <c r="CO25" s="410">
        <f t="shared" si="34"/>
        <v>1.0000000000000001E-5</v>
      </c>
      <c r="CP25" s="410">
        <f t="shared" si="44"/>
        <v>1.5300000000000001E-4</v>
      </c>
      <c r="CQ25" s="410"/>
      <c r="CR25" s="778">
        <v>21</v>
      </c>
      <c r="CS25" s="410"/>
      <c r="CT25" s="410"/>
      <c r="CU25" s="410">
        <v>3.8000000000000002E-5</v>
      </c>
      <c r="CV25" s="410">
        <v>1.5999999999999999E-5</v>
      </c>
      <c r="CW25" s="410">
        <v>1.0000000000000001E-5</v>
      </c>
      <c r="CX25" s="410">
        <v>1.0000000000000001E-5</v>
      </c>
      <c r="CY25" s="410">
        <v>1.5300000000000001E-4</v>
      </c>
      <c r="CZ25" s="410">
        <v>7.3999999999999996E-5</v>
      </c>
      <c r="DA25" s="410"/>
      <c r="DB25" s="410"/>
      <c r="DC25" s="410"/>
      <c r="DD25" s="410"/>
    </row>
    <row r="26" spans="1:108">
      <c r="A26" s="305"/>
      <c r="B26" s="373"/>
      <c r="C26" s="78"/>
      <c r="D26" s="107" t="s">
        <v>47</v>
      </c>
      <c r="E26" s="178"/>
      <c r="F26" s="176"/>
      <c r="G26" s="79"/>
      <c r="H26" s="108"/>
      <c r="I26" s="82"/>
      <c r="J26" s="51" t="s">
        <v>11</v>
      </c>
      <c r="K26" s="483">
        <f>INDEX(AN4:AN115,1)</f>
        <v>100000</v>
      </c>
      <c r="M26" s="50"/>
      <c r="N26" s="280" t="str">
        <f t="shared" si="52"/>
        <v/>
      </c>
      <c r="O26" s="281" t="str">
        <f t="shared" si="53"/>
        <v/>
      </c>
      <c r="P26" s="282" t="str">
        <f t="shared" si="47"/>
        <v/>
      </c>
      <c r="Q26" s="282" t="str">
        <f t="shared" si="48"/>
        <v/>
      </c>
      <c r="R26" s="282" t="str">
        <f t="shared" si="49"/>
        <v/>
      </c>
      <c r="S26" s="402" t="str">
        <f t="shared" si="1"/>
        <v/>
      </c>
      <c r="T26" s="282" t="str">
        <f>일반형!P26</f>
        <v/>
      </c>
      <c r="U26" s="282" t="str">
        <f>일반형!Q26</f>
        <v/>
      </c>
      <c r="V26" s="282" t="str">
        <f>일반형!R26</f>
        <v/>
      </c>
      <c r="W26" s="402" t="str">
        <f>일반형!S26</f>
        <v/>
      </c>
      <c r="X26" s="282" t="str">
        <f t="shared" si="50"/>
        <v/>
      </c>
      <c r="Y26" s="446" t="str">
        <f t="shared" si="2"/>
        <v/>
      </c>
      <c r="Z26" s="447" t="str">
        <f t="shared" si="51"/>
        <v/>
      </c>
      <c r="AB26" s="120" t="str">
        <f t="shared" si="35"/>
        <v/>
      </c>
      <c r="AC26" s="652" t="str">
        <f t="shared" si="4"/>
        <v/>
      </c>
      <c r="AD26" s="260"/>
      <c r="AE26" s="260" t="str">
        <f>IF(AB26="","",IF(AB26-$AB$4&lt;$F$5-1,INDEX(Main_무해지!$G$76:$G$87,MIN(AB26-$AB$4+1,12)),IF(AB26-$AB$4=$F$5-1,0,IF(AND($F$2=1,AB26&gt;109),0,IF(AND($F$2=2,AB26&gt;111),0,INDEX(Main_무해지!$H$76:$H$82,MIN(AB26-$AB$4-$F$5+1,7)))))))</f>
        <v/>
      </c>
      <c r="AF26" s="260" t="str">
        <f t="shared" si="45"/>
        <v/>
      </c>
      <c r="AG26" s="260" t="str">
        <f t="shared" si="5"/>
        <v/>
      </c>
      <c r="AH26" s="121" t="str">
        <f>IF($AB26="","",SUM(AG26:AG$114))</f>
        <v/>
      </c>
      <c r="AI26" s="260" t="str">
        <f t="shared" si="36"/>
        <v/>
      </c>
      <c r="AJ26" s="310" t="str">
        <f t="shared" si="6"/>
        <v/>
      </c>
      <c r="AK26" s="310"/>
      <c r="AL26" s="260" t="str">
        <f t="shared" si="7"/>
        <v/>
      </c>
      <c r="AM26" s="260" t="str">
        <f t="shared" si="46"/>
        <v/>
      </c>
      <c r="AN26" s="260" t="str">
        <f t="shared" si="8"/>
        <v/>
      </c>
      <c r="AO26" s="121" t="str">
        <f>IF($AB26="","",SUM(AN26:AN$114))</f>
        <v/>
      </c>
      <c r="AP26" s="287" t="str">
        <f t="shared" si="37"/>
        <v/>
      </c>
      <c r="AQ26" s="260" t="str">
        <f t="shared" si="9"/>
        <v/>
      </c>
      <c r="AR26" s="260" t="str">
        <f t="shared" si="10"/>
        <v/>
      </c>
      <c r="AS26" s="260" t="str">
        <f t="shared" si="11"/>
        <v/>
      </c>
      <c r="AT26" s="317" t="str">
        <f>IF($AB26="","",SUM($AU26:$AU$114))</f>
        <v/>
      </c>
      <c r="AU26" s="260" t="str">
        <f t="shared" si="38"/>
        <v/>
      </c>
      <c r="AV26" s="317" t="str">
        <f t="shared" si="12"/>
        <v/>
      </c>
      <c r="AW26" s="287"/>
      <c r="AX26" s="260" t="str">
        <f t="shared" si="13"/>
        <v/>
      </c>
      <c r="AY26" s="260" t="str">
        <f t="shared" si="14"/>
        <v/>
      </c>
      <c r="AZ26" s="260" t="str">
        <f t="shared" si="15"/>
        <v/>
      </c>
      <c r="BA26" s="317" t="str">
        <f>IF($AB26="","",SUM($AZ26:$AZ$114))</f>
        <v/>
      </c>
      <c r="BB26" s="287"/>
      <c r="BC26" s="260" t="str">
        <f t="shared" si="16"/>
        <v/>
      </c>
      <c r="BD26" s="260" t="str">
        <f t="shared" si="17"/>
        <v/>
      </c>
      <c r="BE26" s="260" t="str">
        <f t="shared" si="18"/>
        <v/>
      </c>
      <c r="BF26" s="317" t="str">
        <f>IF($AB26="","",SUM($BE26:$BE$114))</f>
        <v/>
      </c>
      <c r="BG26" s="287"/>
      <c r="BH26" s="260" t="str">
        <f t="shared" si="19"/>
        <v/>
      </c>
      <c r="BI26" s="260" t="str">
        <f t="shared" si="20"/>
        <v/>
      </c>
      <c r="BJ26" s="260" t="str">
        <f t="shared" si="21"/>
        <v/>
      </c>
      <c r="BK26" s="317" t="str">
        <f>IF($AB26="","",SUM($BJ26:$BJ$114))</f>
        <v/>
      </c>
      <c r="BL26" s="287"/>
      <c r="BM26" s="260" t="str">
        <f t="shared" si="22"/>
        <v/>
      </c>
      <c r="BN26" s="260" t="str">
        <f t="shared" si="23"/>
        <v/>
      </c>
      <c r="BO26" s="260" t="str">
        <f t="shared" si="24"/>
        <v/>
      </c>
      <c r="BP26" s="317" t="str">
        <f>IF($AB26="","",SUM($BO26:$BO$114))</f>
        <v/>
      </c>
      <c r="BQ26" s="287" t="str">
        <f t="shared" si="25"/>
        <v/>
      </c>
      <c r="BR26" s="260" t="str">
        <f t="shared" si="39"/>
        <v/>
      </c>
      <c r="BS26" s="260" t="str">
        <f t="shared" si="26"/>
        <v/>
      </c>
      <c r="BT26" s="260" t="str">
        <f t="shared" si="27"/>
        <v/>
      </c>
      <c r="BU26" s="260" t="str">
        <f t="shared" si="40"/>
        <v/>
      </c>
      <c r="BV26" s="260"/>
      <c r="BW26" s="260"/>
      <c r="BX26" s="260"/>
      <c r="BY26" s="260"/>
      <c r="BZ26" s="260" t="str">
        <f>IF($AB26="","",SUM(BU26:BU$114))</f>
        <v/>
      </c>
      <c r="CA26" s="122" t="str">
        <f>IF(AB26&lt;$E$3+$F$5,0,IFERROR(일반형!S28,0))</f>
        <v/>
      </c>
      <c r="CB26" s="122"/>
      <c r="CC26" s="396" t="str">
        <f t="shared" si="0"/>
        <v/>
      </c>
      <c r="CD26" s="260" t="str">
        <f t="shared" si="41"/>
        <v/>
      </c>
      <c r="CE26" s="260" t="str">
        <f t="shared" si="28"/>
        <v/>
      </c>
      <c r="CF26" s="260" t="str">
        <f t="shared" si="29"/>
        <v/>
      </c>
      <c r="CG26" s="260" t="str">
        <f t="shared" si="42"/>
        <v/>
      </c>
      <c r="CH26" s="260" t="str">
        <f t="shared" si="30"/>
        <v/>
      </c>
      <c r="CI26" s="123" t="str">
        <f t="shared" si="43"/>
        <v/>
      </c>
      <c r="CJ26" s="124" t="str">
        <f t="shared" si="31"/>
        <v/>
      </c>
      <c r="CK26" s="242"/>
      <c r="CL26" s="209">
        <v>22</v>
      </c>
      <c r="CM26" s="260">
        <f t="shared" si="32"/>
        <v>0</v>
      </c>
      <c r="CN26" s="260">
        <f t="shared" si="33"/>
        <v>3.8000000000000002E-5</v>
      </c>
      <c r="CO26" s="260">
        <f t="shared" si="34"/>
        <v>9.0000000000000002E-6</v>
      </c>
      <c r="CP26" s="260">
        <f t="shared" si="44"/>
        <v>1.5300000000000001E-4</v>
      </c>
      <c r="CQ26" s="260"/>
      <c r="CR26" s="209">
        <v>22</v>
      </c>
      <c r="CS26" s="260"/>
      <c r="CT26" s="260"/>
      <c r="CU26" s="260">
        <v>3.8000000000000002E-5</v>
      </c>
      <c r="CV26" s="260">
        <v>1.5999999999999999E-5</v>
      </c>
      <c r="CW26" s="260">
        <v>9.0000000000000002E-6</v>
      </c>
      <c r="CX26" s="260">
        <v>1.0000000000000001E-5</v>
      </c>
      <c r="CY26" s="260">
        <v>1.5300000000000001E-4</v>
      </c>
      <c r="CZ26" s="260">
        <v>7.3999999999999996E-5</v>
      </c>
      <c r="DA26" s="260"/>
      <c r="DB26" s="260"/>
      <c r="DC26" s="260"/>
      <c r="DD26" s="260"/>
    </row>
    <row r="27" spans="1:108">
      <c r="A27" s="305"/>
      <c r="B27" s="373"/>
      <c r="C27" s="117"/>
      <c r="D27" s="118" t="s">
        <v>48</v>
      </c>
      <c r="E27" s="416">
        <f>IF(AND($G$3=1,$F$4=1),0.01/1000,0.2/1000)</f>
        <v>1.0000000000000001E-5</v>
      </c>
      <c r="F27" s="118"/>
      <c r="G27" s="119"/>
      <c r="H27" s="291"/>
      <c r="I27" s="48" t="s">
        <v>34</v>
      </c>
      <c r="J27" s="51" t="s">
        <v>32</v>
      </c>
      <c r="K27" s="483">
        <f>INDEX(AN4:AN115,F5+1)</f>
        <v>97799.511002444997</v>
      </c>
      <c r="M27" s="50"/>
      <c r="N27" s="275" t="str">
        <f t="shared" si="52"/>
        <v/>
      </c>
      <c r="O27" s="276" t="str">
        <f t="shared" si="53"/>
        <v/>
      </c>
      <c r="P27" s="277" t="str">
        <f t="shared" si="47"/>
        <v/>
      </c>
      <c r="Q27" s="277" t="str">
        <f t="shared" si="48"/>
        <v/>
      </c>
      <c r="R27" s="277" t="str">
        <f t="shared" si="49"/>
        <v/>
      </c>
      <c r="S27" s="401" t="str">
        <f t="shared" si="1"/>
        <v/>
      </c>
      <c r="T27" s="277" t="str">
        <f>일반형!P27</f>
        <v/>
      </c>
      <c r="U27" s="277" t="str">
        <f>일반형!Q27</f>
        <v/>
      </c>
      <c r="V27" s="277" t="str">
        <f>일반형!R27</f>
        <v/>
      </c>
      <c r="W27" s="401" t="str">
        <f>일반형!S27</f>
        <v/>
      </c>
      <c r="X27" s="277" t="str">
        <f t="shared" si="50"/>
        <v/>
      </c>
      <c r="Y27" s="444" t="str">
        <f t="shared" si="2"/>
        <v/>
      </c>
      <c r="Z27" s="445" t="str">
        <f t="shared" si="51"/>
        <v/>
      </c>
      <c r="AB27" s="120" t="str">
        <f t="shared" si="35"/>
        <v/>
      </c>
      <c r="AC27" s="652" t="str">
        <f t="shared" si="4"/>
        <v/>
      </c>
      <c r="AD27" s="260"/>
      <c r="AE27" s="260" t="str">
        <f>IF(AB27="","",IF(AB27-$AB$4&lt;$F$5-1,INDEX(Main_무해지!$G$76:$G$87,MIN(AB27-$AB$4+1,12)),IF(AB27-$AB$4=$F$5-1,0,IF(AND($F$2=1,AB27&gt;109),0,IF(AND($F$2=2,AB27&gt;111),0,INDEX(Main_무해지!$H$76:$H$82,MIN(AB27-$AB$4-$F$5+1,7)))))))</f>
        <v/>
      </c>
      <c r="AF27" s="260" t="str">
        <f t="shared" si="45"/>
        <v/>
      </c>
      <c r="AG27" s="260" t="str">
        <f t="shared" si="5"/>
        <v/>
      </c>
      <c r="AH27" s="121" t="str">
        <f>IF($AB27="","",SUM(AG27:AG$114))</f>
        <v/>
      </c>
      <c r="AI27" s="260" t="str">
        <f t="shared" si="36"/>
        <v/>
      </c>
      <c r="AJ27" s="310" t="str">
        <f t="shared" si="6"/>
        <v/>
      </c>
      <c r="AK27" s="310"/>
      <c r="AL27" s="260" t="str">
        <f t="shared" si="7"/>
        <v/>
      </c>
      <c r="AM27" s="260" t="str">
        <f t="shared" si="46"/>
        <v/>
      </c>
      <c r="AN27" s="260" t="str">
        <f t="shared" si="8"/>
        <v/>
      </c>
      <c r="AO27" s="121" t="str">
        <f>IF($AB27="","",SUM(AN27:AN$114))</f>
        <v/>
      </c>
      <c r="AP27" s="287" t="str">
        <f t="shared" si="37"/>
        <v/>
      </c>
      <c r="AQ27" s="260" t="str">
        <f t="shared" si="9"/>
        <v/>
      </c>
      <c r="AR27" s="260" t="str">
        <f t="shared" si="10"/>
        <v/>
      </c>
      <c r="AS27" s="260" t="str">
        <f t="shared" si="11"/>
        <v/>
      </c>
      <c r="AT27" s="317" t="str">
        <f>IF($AB27="","",SUM($AU27:$AU$114))</f>
        <v/>
      </c>
      <c r="AU27" s="260" t="str">
        <f t="shared" si="38"/>
        <v/>
      </c>
      <c r="AV27" s="317" t="str">
        <f t="shared" si="12"/>
        <v/>
      </c>
      <c r="AW27" s="287"/>
      <c r="AX27" s="260" t="str">
        <f t="shared" si="13"/>
        <v/>
      </c>
      <c r="AY27" s="260" t="str">
        <f t="shared" si="14"/>
        <v/>
      </c>
      <c r="AZ27" s="260" t="str">
        <f t="shared" si="15"/>
        <v/>
      </c>
      <c r="BA27" s="317" t="str">
        <f>IF($AB27="","",SUM($AZ27:$AZ$114))</f>
        <v/>
      </c>
      <c r="BB27" s="287"/>
      <c r="BC27" s="260" t="str">
        <f t="shared" si="16"/>
        <v/>
      </c>
      <c r="BD27" s="260" t="str">
        <f t="shared" si="17"/>
        <v/>
      </c>
      <c r="BE27" s="260" t="str">
        <f t="shared" si="18"/>
        <v/>
      </c>
      <c r="BF27" s="317" t="str">
        <f>IF($AB27="","",SUM($BE27:$BE$114))</f>
        <v/>
      </c>
      <c r="BG27" s="287"/>
      <c r="BH27" s="260" t="str">
        <f t="shared" si="19"/>
        <v/>
      </c>
      <c r="BI27" s="260" t="str">
        <f t="shared" si="20"/>
        <v/>
      </c>
      <c r="BJ27" s="260" t="str">
        <f t="shared" si="21"/>
        <v/>
      </c>
      <c r="BK27" s="317" t="str">
        <f>IF($AB27="","",SUM($BJ27:$BJ$114))</f>
        <v/>
      </c>
      <c r="BL27" s="287"/>
      <c r="BM27" s="260" t="str">
        <f t="shared" si="22"/>
        <v/>
      </c>
      <c r="BN27" s="260" t="str">
        <f t="shared" si="23"/>
        <v/>
      </c>
      <c r="BO27" s="260" t="str">
        <f t="shared" si="24"/>
        <v/>
      </c>
      <c r="BP27" s="317" t="str">
        <f>IF($AB27="","",SUM($BO27:$BO$114))</f>
        <v/>
      </c>
      <c r="BQ27" s="287" t="str">
        <f t="shared" si="25"/>
        <v/>
      </c>
      <c r="BR27" s="260" t="str">
        <f t="shared" si="39"/>
        <v/>
      </c>
      <c r="BS27" s="260" t="str">
        <f t="shared" si="26"/>
        <v/>
      </c>
      <c r="BT27" s="260" t="str">
        <f t="shared" si="27"/>
        <v/>
      </c>
      <c r="BU27" s="260" t="str">
        <f t="shared" si="40"/>
        <v/>
      </c>
      <c r="BV27" s="260"/>
      <c r="BW27" s="260"/>
      <c r="BX27" s="260"/>
      <c r="BY27" s="260"/>
      <c r="BZ27" s="260" t="str">
        <f>IF($AB27="","",SUM(BU27:BU$114))</f>
        <v/>
      </c>
      <c r="CA27" s="122" t="str">
        <f>IF(AB27&lt;$E$3+$F$5,0,IFERROR(일반형!S29,0))</f>
        <v/>
      </c>
      <c r="CB27" s="122"/>
      <c r="CC27" s="396" t="str">
        <f t="shared" si="0"/>
        <v/>
      </c>
      <c r="CD27" s="260" t="str">
        <f t="shared" si="41"/>
        <v/>
      </c>
      <c r="CE27" s="260" t="str">
        <f t="shared" si="28"/>
        <v/>
      </c>
      <c r="CF27" s="260" t="str">
        <f t="shared" si="29"/>
        <v/>
      </c>
      <c r="CG27" s="260" t="str">
        <f t="shared" si="42"/>
        <v/>
      </c>
      <c r="CH27" s="260" t="str">
        <f t="shared" si="30"/>
        <v/>
      </c>
      <c r="CI27" s="123" t="str">
        <f t="shared" si="43"/>
        <v/>
      </c>
      <c r="CJ27" s="124" t="str">
        <f t="shared" si="31"/>
        <v/>
      </c>
      <c r="CK27" s="242"/>
      <c r="CL27" s="209">
        <v>23</v>
      </c>
      <c r="CM27" s="260">
        <f t="shared" si="32"/>
        <v>0</v>
      </c>
      <c r="CN27" s="260">
        <f t="shared" si="33"/>
        <v>3.8000000000000002E-5</v>
      </c>
      <c r="CO27" s="260">
        <f t="shared" si="34"/>
        <v>9.0000000000000002E-6</v>
      </c>
      <c r="CP27" s="260">
        <f t="shared" si="44"/>
        <v>1.5300000000000001E-4</v>
      </c>
      <c r="CQ27" s="260"/>
      <c r="CR27" s="209">
        <v>23</v>
      </c>
      <c r="CS27" s="260"/>
      <c r="CT27" s="260"/>
      <c r="CU27" s="260">
        <v>3.8000000000000002E-5</v>
      </c>
      <c r="CV27" s="260">
        <v>1.5999999999999999E-5</v>
      </c>
      <c r="CW27" s="260">
        <v>9.0000000000000002E-6</v>
      </c>
      <c r="CX27" s="260">
        <v>1.1E-5</v>
      </c>
      <c r="CY27" s="260">
        <v>1.5300000000000001E-4</v>
      </c>
      <c r="CZ27" s="260">
        <v>7.3999999999999996E-5</v>
      </c>
      <c r="DA27" s="260"/>
      <c r="DB27" s="260"/>
      <c r="DC27" s="260"/>
      <c r="DD27" s="260"/>
    </row>
    <row r="28" spans="1:108">
      <c r="A28" s="305"/>
      <c r="B28" s="373"/>
      <c r="C28" s="78"/>
      <c r="D28" s="107" t="s">
        <v>49</v>
      </c>
      <c r="E28" s="779">
        <f>IF(AND($G$3=1,$F$4=1),0.1,27%)</f>
        <v>0.1</v>
      </c>
      <c r="F28" s="107"/>
      <c r="G28" s="79"/>
      <c r="H28" s="291"/>
      <c r="I28" s="48" t="s">
        <v>36</v>
      </c>
      <c r="J28" s="51" t="s">
        <v>92</v>
      </c>
      <c r="K28" s="483">
        <f>INDEX(AN4:AN115,F4+1)</f>
        <v>97799.511002444997</v>
      </c>
      <c r="M28" s="50"/>
      <c r="N28" s="278" t="str">
        <f t="shared" si="52"/>
        <v/>
      </c>
      <c r="O28" s="279" t="str">
        <f t="shared" si="53"/>
        <v/>
      </c>
      <c r="P28" s="271" t="str">
        <f t="shared" si="47"/>
        <v/>
      </c>
      <c r="Q28" s="271" t="str">
        <f t="shared" si="48"/>
        <v/>
      </c>
      <c r="R28" s="271" t="str">
        <f t="shared" si="49"/>
        <v/>
      </c>
      <c r="S28" s="400" t="str">
        <f t="shared" si="1"/>
        <v/>
      </c>
      <c r="T28" s="271" t="str">
        <f>일반형!P28</f>
        <v/>
      </c>
      <c r="U28" s="271" t="str">
        <f>일반형!Q28</f>
        <v/>
      </c>
      <c r="V28" s="271" t="str">
        <f>일반형!R28</f>
        <v/>
      </c>
      <c r="W28" s="400" t="str">
        <f>일반형!S28</f>
        <v/>
      </c>
      <c r="X28" s="271" t="str">
        <f t="shared" si="50"/>
        <v/>
      </c>
      <c r="Y28" s="442" t="str">
        <f t="shared" si="2"/>
        <v/>
      </c>
      <c r="Z28" s="443" t="str">
        <f t="shared" si="51"/>
        <v/>
      </c>
      <c r="AB28" s="120" t="str">
        <f t="shared" si="35"/>
        <v/>
      </c>
      <c r="AC28" s="652" t="str">
        <f t="shared" si="4"/>
        <v/>
      </c>
      <c r="AD28" s="260"/>
      <c r="AE28" s="260" t="str">
        <f>IF(AB28="","",IF(AB28-$AB$4&lt;$F$5-1,INDEX(Main_무해지!$G$76:$G$87,MIN(AB28-$AB$4+1,12)),IF(AB28-$AB$4=$F$5-1,0,IF(AND($F$2=1,AB28&gt;109),0,IF(AND($F$2=2,AB28&gt;111),0,INDEX(Main_무해지!$H$76:$H$82,MIN(AB28-$AB$4-$F$5+1,7)))))))</f>
        <v/>
      </c>
      <c r="AF28" s="260" t="str">
        <f t="shared" si="45"/>
        <v/>
      </c>
      <c r="AG28" s="260" t="str">
        <f t="shared" si="5"/>
        <v/>
      </c>
      <c r="AH28" s="121" t="str">
        <f>IF($AB28="","",SUM(AG28:AG$114))</f>
        <v/>
      </c>
      <c r="AI28" s="260" t="str">
        <f t="shared" si="36"/>
        <v/>
      </c>
      <c r="AJ28" s="310" t="str">
        <f t="shared" si="6"/>
        <v/>
      </c>
      <c r="AK28" s="310"/>
      <c r="AL28" s="260" t="str">
        <f t="shared" si="7"/>
        <v/>
      </c>
      <c r="AM28" s="260" t="str">
        <f t="shared" si="46"/>
        <v/>
      </c>
      <c r="AN28" s="260" t="str">
        <f t="shared" si="8"/>
        <v/>
      </c>
      <c r="AO28" s="121" t="str">
        <f>IF($AB28="","",SUM(AN28:AN$114))</f>
        <v/>
      </c>
      <c r="AP28" s="287" t="str">
        <f t="shared" si="37"/>
        <v/>
      </c>
      <c r="AQ28" s="260" t="str">
        <f t="shared" si="9"/>
        <v/>
      </c>
      <c r="AR28" s="260" t="str">
        <f t="shared" si="10"/>
        <v/>
      </c>
      <c r="AS28" s="260" t="str">
        <f t="shared" si="11"/>
        <v/>
      </c>
      <c r="AT28" s="317" t="str">
        <f>IF($AB28="","",SUM($AU28:$AU$114))</f>
        <v/>
      </c>
      <c r="AU28" s="260" t="str">
        <f t="shared" si="38"/>
        <v/>
      </c>
      <c r="AV28" s="317" t="str">
        <f t="shared" si="12"/>
        <v/>
      </c>
      <c r="AW28" s="287"/>
      <c r="AX28" s="260" t="str">
        <f t="shared" si="13"/>
        <v/>
      </c>
      <c r="AY28" s="260" t="str">
        <f t="shared" si="14"/>
        <v/>
      </c>
      <c r="AZ28" s="260" t="str">
        <f t="shared" si="15"/>
        <v/>
      </c>
      <c r="BA28" s="317" t="str">
        <f>IF($AB28="","",SUM($AZ28:$AZ$114))</f>
        <v/>
      </c>
      <c r="BB28" s="287"/>
      <c r="BC28" s="260" t="str">
        <f t="shared" si="16"/>
        <v/>
      </c>
      <c r="BD28" s="260" t="str">
        <f t="shared" si="17"/>
        <v/>
      </c>
      <c r="BE28" s="260" t="str">
        <f t="shared" si="18"/>
        <v/>
      </c>
      <c r="BF28" s="317" t="str">
        <f>IF($AB28="","",SUM($BE28:$BE$114))</f>
        <v/>
      </c>
      <c r="BG28" s="287"/>
      <c r="BH28" s="260" t="str">
        <f t="shared" si="19"/>
        <v/>
      </c>
      <c r="BI28" s="260" t="str">
        <f t="shared" si="20"/>
        <v/>
      </c>
      <c r="BJ28" s="260" t="str">
        <f t="shared" si="21"/>
        <v/>
      </c>
      <c r="BK28" s="317" t="str">
        <f>IF($AB28="","",SUM($BJ28:$BJ$114))</f>
        <v/>
      </c>
      <c r="BL28" s="287"/>
      <c r="BM28" s="260" t="str">
        <f t="shared" si="22"/>
        <v/>
      </c>
      <c r="BN28" s="260" t="str">
        <f t="shared" si="23"/>
        <v/>
      </c>
      <c r="BO28" s="260" t="str">
        <f t="shared" si="24"/>
        <v/>
      </c>
      <c r="BP28" s="317" t="str">
        <f>IF($AB28="","",SUM($BO28:$BO$114))</f>
        <v/>
      </c>
      <c r="BQ28" s="287" t="str">
        <f t="shared" si="25"/>
        <v/>
      </c>
      <c r="BR28" s="260" t="str">
        <f t="shared" si="39"/>
        <v/>
      </c>
      <c r="BS28" s="260" t="str">
        <f t="shared" si="26"/>
        <v/>
      </c>
      <c r="BT28" s="260" t="str">
        <f t="shared" si="27"/>
        <v/>
      </c>
      <c r="BU28" s="260" t="str">
        <f t="shared" si="40"/>
        <v/>
      </c>
      <c r="BV28" s="260"/>
      <c r="BW28" s="260"/>
      <c r="BX28" s="260"/>
      <c r="BY28" s="260"/>
      <c r="BZ28" s="260" t="str">
        <f>IF($AB28="","",SUM(BU28:BU$114))</f>
        <v/>
      </c>
      <c r="CA28" s="122" t="str">
        <f>IF(AB28&lt;$E$3+$F$5,0,IFERROR(일반형!S30,0))</f>
        <v/>
      </c>
      <c r="CB28" s="122"/>
      <c r="CC28" s="396" t="str">
        <f t="shared" si="0"/>
        <v/>
      </c>
      <c r="CD28" s="260" t="str">
        <f t="shared" si="41"/>
        <v/>
      </c>
      <c r="CE28" s="260" t="str">
        <f t="shared" si="28"/>
        <v/>
      </c>
      <c r="CF28" s="260" t="str">
        <f t="shared" si="29"/>
        <v/>
      </c>
      <c r="CG28" s="260" t="str">
        <f t="shared" si="42"/>
        <v/>
      </c>
      <c r="CH28" s="260" t="str">
        <f t="shared" si="30"/>
        <v/>
      </c>
      <c r="CI28" s="123" t="str">
        <f t="shared" si="43"/>
        <v/>
      </c>
      <c r="CJ28" s="124" t="str">
        <f t="shared" si="31"/>
        <v/>
      </c>
      <c r="CK28" s="242"/>
      <c r="CL28" s="209">
        <v>24</v>
      </c>
      <c r="CM28" s="260">
        <f t="shared" si="32"/>
        <v>0</v>
      </c>
      <c r="CN28" s="260">
        <f t="shared" si="33"/>
        <v>3.8000000000000002E-5</v>
      </c>
      <c r="CO28" s="260">
        <f t="shared" si="34"/>
        <v>9.0000000000000002E-6</v>
      </c>
      <c r="CP28" s="260">
        <f t="shared" si="44"/>
        <v>1.5300000000000001E-4</v>
      </c>
      <c r="CQ28" s="260"/>
      <c r="CR28" s="209">
        <v>24</v>
      </c>
      <c r="CS28" s="260"/>
      <c r="CT28" s="260"/>
      <c r="CU28" s="260">
        <v>3.8000000000000002E-5</v>
      </c>
      <c r="CV28" s="260">
        <v>1.5999999999999999E-5</v>
      </c>
      <c r="CW28" s="260">
        <v>9.0000000000000002E-6</v>
      </c>
      <c r="CX28" s="260">
        <v>1.1E-5</v>
      </c>
      <c r="CY28" s="260">
        <v>1.5300000000000001E-4</v>
      </c>
      <c r="CZ28" s="260">
        <v>7.3999999999999996E-5</v>
      </c>
      <c r="DA28" s="260"/>
      <c r="DB28" s="260"/>
      <c r="DC28" s="260"/>
      <c r="DD28" s="260"/>
    </row>
    <row r="29" spans="1:108">
      <c r="A29" s="305"/>
      <c r="B29" s="373"/>
      <c r="C29" s="127"/>
      <c r="D29" s="128" t="s">
        <v>51</v>
      </c>
      <c r="E29" s="416"/>
      <c r="F29" s="128"/>
      <c r="G29" s="129"/>
      <c r="H29" s="108"/>
      <c r="I29" s="48" t="s">
        <v>27</v>
      </c>
      <c r="J29" s="49" t="s">
        <v>12</v>
      </c>
      <c r="K29" s="483">
        <f>INDEX(AO4:AO115,1)</f>
        <v>197799.51100244501</v>
      </c>
      <c r="M29" s="50"/>
      <c r="N29" s="278" t="str">
        <f t="shared" si="52"/>
        <v/>
      </c>
      <c r="O29" s="279" t="str">
        <f t="shared" si="53"/>
        <v/>
      </c>
      <c r="P29" s="271" t="str">
        <f t="shared" si="47"/>
        <v/>
      </c>
      <c r="Q29" s="271" t="str">
        <f t="shared" si="48"/>
        <v/>
      </c>
      <c r="R29" s="271" t="str">
        <f t="shared" si="49"/>
        <v/>
      </c>
      <c r="S29" s="400" t="str">
        <f t="shared" si="1"/>
        <v/>
      </c>
      <c r="T29" s="271" t="str">
        <f>일반형!P29</f>
        <v/>
      </c>
      <c r="U29" s="271" t="str">
        <f>일반형!Q29</f>
        <v/>
      </c>
      <c r="V29" s="271" t="str">
        <f>일반형!R29</f>
        <v/>
      </c>
      <c r="W29" s="400" t="str">
        <f>일반형!S29</f>
        <v/>
      </c>
      <c r="X29" s="271" t="str">
        <f t="shared" si="50"/>
        <v/>
      </c>
      <c r="Y29" s="442" t="str">
        <f t="shared" si="2"/>
        <v/>
      </c>
      <c r="Z29" s="443" t="str">
        <f t="shared" si="51"/>
        <v/>
      </c>
      <c r="AB29" s="130" t="str">
        <f t="shared" si="35"/>
        <v/>
      </c>
      <c r="AC29" s="653" t="str">
        <f t="shared" si="4"/>
        <v/>
      </c>
      <c r="AD29" s="261"/>
      <c r="AE29" s="261" t="str">
        <f>IF(AB29="","",IF(AB29-$AB$4&lt;$F$5-1,INDEX(Main_무해지!$G$76:$G$87,MIN(AB29-$AB$4+1,12)),IF(AB29-$AB$4=$F$5-1,0,IF(AND($F$2=1,AB29&gt;109),0,IF(AND($F$2=2,AB29&gt;111),0,INDEX(Main_무해지!$H$76:$H$82,MIN(AB29-$AB$4-$F$5+1,7)))))))</f>
        <v/>
      </c>
      <c r="AF29" s="261" t="str">
        <f t="shared" si="45"/>
        <v/>
      </c>
      <c r="AG29" s="261" t="str">
        <f t="shared" si="5"/>
        <v/>
      </c>
      <c r="AH29" s="131" t="str">
        <f>IF($AB29="","",SUM(AG29:AG$114))</f>
        <v/>
      </c>
      <c r="AI29" s="261" t="str">
        <f t="shared" si="36"/>
        <v/>
      </c>
      <c r="AJ29" s="311" t="str">
        <f t="shared" si="6"/>
        <v/>
      </c>
      <c r="AK29" s="311"/>
      <c r="AL29" s="261" t="str">
        <f t="shared" si="7"/>
        <v/>
      </c>
      <c r="AM29" s="261" t="str">
        <f t="shared" si="46"/>
        <v/>
      </c>
      <c r="AN29" s="261" t="str">
        <f t="shared" si="8"/>
        <v/>
      </c>
      <c r="AO29" s="131" t="str">
        <f>IF($AB29="","",SUM(AN29:AN$114))</f>
        <v/>
      </c>
      <c r="AP29" s="288" t="str">
        <f t="shared" si="37"/>
        <v/>
      </c>
      <c r="AQ29" s="261" t="str">
        <f t="shared" si="9"/>
        <v/>
      </c>
      <c r="AR29" s="261" t="str">
        <f t="shared" si="10"/>
        <v/>
      </c>
      <c r="AS29" s="261" t="str">
        <f t="shared" si="11"/>
        <v/>
      </c>
      <c r="AT29" s="318" t="str">
        <f>IF($AB29="","",SUM($AU29:$AU$114))</f>
        <v/>
      </c>
      <c r="AU29" s="261" t="str">
        <f t="shared" si="38"/>
        <v/>
      </c>
      <c r="AV29" s="318" t="str">
        <f t="shared" si="12"/>
        <v/>
      </c>
      <c r="AW29" s="288"/>
      <c r="AX29" s="261" t="str">
        <f t="shared" si="13"/>
        <v/>
      </c>
      <c r="AY29" s="261" t="str">
        <f t="shared" si="14"/>
        <v/>
      </c>
      <c r="AZ29" s="261" t="str">
        <f t="shared" si="15"/>
        <v/>
      </c>
      <c r="BA29" s="318" t="str">
        <f>IF($AB29="","",SUM($AZ29:$AZ$114))</f>
        <v/>
      </c>
      <c r="BB29" s="288"/>
      <c r="BC29" s="261" t="str">
        <f t="shared" si="16"/>
        <v/>
      </c>
      <c r="BD29" s="261" t="str">
        <f t="shared" si="17"/>
        <v/>
      </c>
      <c r="BE29" s="261" t="str">
        <f t="shared" si="18"/>
        <v/>
      </c>
      <c r="BF29" s="318" t="str">
        <f>IF($AB29="","",SUM($BE29:$BE$114))</f>
        <v/>
      </c>
      <c r="BG29" s="288"/>
      <c r="BH29" s="261" t="str">
        <f t="shared" si="19"/>
        <v/>
      </c>
      <c r="BI29" s="261" t="str">
        <f t="shared" si="20"/>
        <v/>
      </c>
      <c r="BJ29" s="261" t="str">
        <f t="shared" si="21"/>
        <v/>
      </c>
      <c r="BK29" s="318" t="str">
        <f>IF($AB29="","",SUM($BJ29:$BJ$114))</f>
        <v/>
      </c>
      <c r="BL29" s="288"/>
      <c r="BM29" s="261" t="str">
        <f t="shared" si="22"/>
        <v/>
      </c>
      <c r="BN29" s="261" t="str">
        <f t="shared" si="23"/>
        <v/>
      </c>
      <c r="BO29" s="261" t="str">
        <f t="shared" si="24"/>
        <v/>
      </c>
      <c r="BP29" s="318" t="str">
        <f>IF($AB29="","",SUM($BO29:$BO$114))</f>
        <v/>
      </c>
      <c r="BQ29" s="288" t="str">
        <f t="shared" si="25"/>
        <v/>
      </c>
      <c r="BR29" s="261" t="str">
        <f t="shared" si="39"/>
        <v/>
      </c>
      <c r="BS29" s="261" t="str">
        <f t="shared" si="26"/>
        <v/>
      </c>
      <c r="BT29" s="261" t="str">
        <f t="shared" si="27"/>
        <v/>
      </c>
      <c r="BU29" s="261" t="str">
        <f t="shared" si="40"/>
        <v/>
      </c>
      <c r="BV29" s="261"/>
      <c r="BW29" s="261"/>
      <c r="BX29" s="261"/>
      <c r="BY29" s="261"/>
      <c r="BZ29" s="261" t="str">
        <f>IF($AB29="","",SUM(BU29:BU$114))</f>
        <v/>
      </c>
      <c r="CA29" s="132" t="str">
        <f>IF(AB29&lt;$E$3+$F$5,0,IFERROR(일반형!S31,0))</f>
        <v/>
      </c>
      <c r="CB29" s="132"/>
      <c r="CC29" s="397" t="str">
        <f t="shared" si="0"/>
        <v/>
      </c>
      <c r="CD29" s="261" t="str">
        <f t="shared" si="41"/>
        <v/>
      </c>
      <c r="CE29" s="261" t="str">
        <f t="shared" si="28"/>
        <v/>
      </c>
      <c r="CF29" s="261" t="str">
        <f t="shared" si="29"/>
        <v/>
      </c>
      <c r="CG29" s="261" t="str">
        <f t="shared" si="42"/>
        <v/>
      </c>
      <c r="CH29" s="261" t="str">
        <f t="shared" si="30"/>
        <v/>
      </c>
      <c r="CI29" s="133" t="str">
        <f t="shared" si="43"/>
        <v/>
      </c>
      <c r="CJ29" s="134" t="str">
        <f t="shared" si="31"/>
        <v/>
      </c>
      <c r="CK29" s="243"/>
      <c r="CL29" s="210">
        <v>25</v>
      </c>
      <c r="CM29" s="261">
        <f t="shared" si="32"/>
        <v>0</v>
      </c>
      <c r="CN29" s="261">
        <f t="shared" si="33"/>
        <v>3.8000000000000002E-5</v>
      </c>
      <c r="CO29" s="261">
        <f t="shared" si="34"/>
        <v>1.0000000000000001E-5</v>
      </c>
      <c r="CP29" s="261">
        <f t="shared" si="44"/>
        <v>1.5300000000000001E-4</v>
      </c>
      <c r="CQ29" s="261"/>
      <c r="CR29" s="210">
        <v>25</v>
      </c>
      <c r="CS29" s="261"/>
      <c r="CT29" s="261"/>
      <c r="CU29" s="261">
        <v>3.8000000000000002E-5</v>
      </c>
      <c r="CV29" s="261">
        <v>1.5999999999999999E-5</v>
      </c>
      <c r="CW29" s="261">
        <v>1.0000000000000001E-5</v>
      </c>
      <c r="CX29" s="261">
        <v>1.1E-5</v>
      </c>
      <c r="CY29" s="261">
        <v>1.5300000000000001E-4</v>
      </c>
      <c r="CZ29" s="261">
        <v>7.3999999999999996E-5</v>
      </c>
      <c r="DA29" s="261"/>
      <c r="DB29" s="261"/>
      <c r="DC29" s="261"/>
      <c r="DD29" s="261"/>
    </row>
    <row r="30" spans="1:108" ht="17.25" thickBot="1">
      <c r="A30" s="305"/>
      <c r="B30" s="373"/>
      <c r="C30" s="78"/>
      <c r="D30" s="107" t="s">
        <v>52</v>
      </c>
      <c r="E30" s="177">
        <v>2.5000000000000001E-2</v>
      </c>
      <c r="F30" s="107"/>
      <c r="G30" s="79"/>
      <c r="H30" s="292"/>
      <c r="I30" s="48"/>
      <c r="J30" s="49" t="s">
        <v>35</v>
      </c>
      <c r="K30" s="483">
        <f>INDEX(AO4:AO115,F5+1)</f>
        <v>97799.511002444997</v>
      </c>
      <c r="M30" s="50"/>
      <c r="N30" s="278" t="str">
        <f t="shared" si="52"/>
        <v/>
      </c>
      <c r="O30" s="279" t="str">
        <f t="shared" si="53"/>
        <v/>
      </c>
      <c r="P30" s="271" t="str">
        <f t="shared" si="47"/>
        <v/>
      </c>
      <c r="Q30" s="271" t="str">
        <f t="shared" si="48"/>
        <v/>
      </c>
      <c r="R30" s="271" t="str">
        <f t="shared" si="49"/>
        <v/>
      </c>
      <c r="S30" s="400" t="str">
        <f t="shared" si="1"/>
        <v/>
      </c>
      <c r="T30" s="271" t="str">
        <f>일반형!P30</f>
        <v/>
      </c>
      <c r="U30" s="271" t="str">
        <f>일반형!Q30</f>
        <v/>
      </c>
      <c r="V30" s="271" t="str">
        <f>일반형!R30</f>
        <v/>
      </c>
      <c r="W30" s="400" t="str">
        <f>일반형!S30</f>
        <v/>
      </c>
      <c r="X30" s="271" t="str">
        <f t="shared" si="50"/>
        <v/>
      </c>
      <c r="Y30" s="442" t="str">
        <f t="shared" si="2"/>
        <v/>
      </c>
      <c r="Z30" s="443" t="str">
        <f t="shared" si="51"/>
        <v/>
      </c>
      <c r="AB30" s="759" t="str">
        <f t="shared" si="35"/>
        <v/>
      </c>
      <c r="AC30" s="646" t="str">
        <f t="shared" si="4"/>
        <v/>
      </c>
      <c r="AD30" s="409"/>
      <c r="AE30" s="409" t="str">
        <f>IF(AB30="","",IF(AB30-$AB$4&lt;$F$5-1,INDEX(Main_무해지!$G$76:$G$87,MIN(AB30-$AB$4+1,12)),IF(AB30-$AB$4=$F$5-1,0,IF(AND($F$2=1,AB30&gt;109),0,IF(AND($F$2=2,AB30&gt;111),0,INDEX(Main_무해지!$H$76:$H$82,MIN(AB30-$AB$4-$F$5+1,7)))))))</f>
        <v/>
      </c>
      <c r="AF30" s="409" t="str">
        <f t="shared" si="45"/>
        <v/>
      </c>
      <c r="AG30" s="409" t="str">
        <f t="shared" si="5"/>
        <v/>
      </c>
      <c r="AH30" s="760" t="str">
        <f>IF($AB30="","",SUM(AG30:AG$114))</f>
        <v/>
      </c>
      <c r="AI30" s="409" t="str">
        <f t="shared" si="36"/>
        <v/>
      </c>
      <c r="AJ30" s="639" t="str">
        <f t="shared" si="6"/>
        <v/>
      </c>
      <c r="AK30" s="639"/>
      <c r="AL30" s="409" t="str">
        <f t="shared" si="7"/>
        <v/>
      </c>
      <c r="AM30" s="409" t="str">
        <f t="shared" si="46"/>
        <v/>
      </c>
      <c r="AN30" s="409" t="str">
        <f t="shared" si="8"/>
        <v/>
      </c>
      <c r="AO30" s="760" t="str">
        <f>IF($AB30="","",SUM(AN30:AN$114))</f>
        <v/>
      </c>
      <c r="AP30" s="761" t="str">
        <f t="shared" si="37"/>
        <v/>
      </c>
      <c r="AQ30" s="409" t="str">
        <f t="shared" si="9"/>
        <v/>
      </c>
      <c r="AR30" s="409" t="str">
        <f t="shared" si="10"/>
        <v/>
      </c>
      <c r="AS30" s="409" t="str">
        <f t="shared" si="11"/>
        <v/>
      </c>
      <c r="AT30" s="762" t="str">
        <f>IF($AB30="","",SUM($AU30:$AU$114))</f>
        <v/>
      </c>
      <c r="AU30" s="409" t="str">
        <f t="shared" si="38"/>
        <v/>
      </c>
      <c r="AV30" s="762" t="str">
        <f t="shared" si="12"/>
        <v/>
      </c>
      <c r="AW30" s="761"/>
      <c r="AX30" s="409" t="str">
        <f t="shared" si="13"/>
        <v/>
      </c>
      <c r="AY30" s="409" t="str">
        <f t="shared" si="14"/>
        <v/>
      </c>
      <c r="AZ30" s="409" t="str">
        <f t="shared" si="15"/>
        <v/>
      </c>
      <c r="BA30" s="762" t="str">
        <f>IF($AB30="","",SUM($AZ30:$AZ$114))</f>
        <v/>
      </c>
      <c r="BB30" s="761"/>
      <c r="BC30" s="409" t="str">
        <f t="shared" si="16"/>
        <v/>
      </c>
      <c r="BD30" s="409" t="str">
        <f t="shared" si="17"/>
        <v/>
      </c>
      <c r="BE30" s="409" t="str">
        <f t="shared" si="18"/>
        <v/>
      </c>
      <c r="BF30" s="762" t="str">
        <f>IF($AB30="","",SUM($BE30:$BE$114))</f>
        <v/>
      </c>
      <c r="BG30" s="761"/>
      <c r="BH30" s="409" t="str">
        <f t="shared" si="19"/>
        <v/>
      </c>
      <c r="BI30" s="409" t="str">
        <f t="shared" si="20"/>
        <v/>
      </c>
      <c r="BJ30" s="409" t="str">
        <f t="shared" si="21"/>
        <v/>
      </c>
      <c r="BK30" s="762" t="str">
        <f>IF($AB30="","",SUM($BJ30:$BJ$114))</f>
        <v/>
      </c>
      <c r="BL30" s="761"/>
      <c r="BM30" s="409" t="str">
        <f t="shared" si="22"/>
        <v/>
      </c>
      <c r="BN30" s="409" t="str">
        <f t="shared" si="23"/>
        <v/>
      </c>
      <c r="BO30" s="409" t="str">
        <f t="shared" si="24"/>
        <v/>
      </c>
      <c r="BP30" s="762" t="str">
        <f>IF($AB30="","",SUM($BO30:$BO$114))</f>
        <v/>
      </c>
      <c r="BQ30" s="761" t="str">
        <f t="shared" si="25"/>
        <v/>
      </c>
      <c r="BR30" s="409" t="str">
        <f t="shared" si="39"/>
        <v/>
      </c>
      <c r="BS30" s="409" t="str">
        <f t="shared" si="26"/>
        <v/>
      </c>
      <c r="BT30" s="409" t="str">
        <f t="shared" si="27"/>
        <v/>
      </c>
      <c r="BU30" s="409" t="str">
        <f t="shared" si="40"/>
        <v/>
      </c>
      <c r="BV30" s="409"/>
      <c r="BW30" s="409"/>
      <c r="BX30" s="409"/>
      <c r="BY30" s="409"/>
      <c r="BZ30" s="409" t="str">
        <f>IF($AB30="","",SUM(BU30:BU$114))</f>
        <v/>
      </c>
      <c r="CA30" s="763" t="str">
        <f>IF(AB30&lt;$E$3+$F$5,0,IFERROR(일반형!S32,0))</f>
        <v/>
      </c>
      <c r="CB30" s="763"/>
      <c r="CC30" s="764" t="str">
        <f t="shared" si="0"/>
        <v/>
      </c>
      <c r="CD30" s="409" t="str">
        <f t="shared" si="41"/>
        <v/>
      </c>
      <c r="CE30" s="409" t="str">
        <f t="shared" si="28"/>
        <v/>
      </c>
      <c r="CF30" s="409" t="str">
        <f t="shared" si="29"/>
        <v/>
      </c>
      <c r="CG30" s="409" t="str">
        <f t="shared" si="42"/>
        <v/>
      </c>
      <c r="CH30" s="409" t="str">
        <f t="shared" si="30"/>
        <v/>
      </c>
      <c r="CI30" s="765" t="str">
        <f t="shared" si="43"/>
        <v/>
      </c>
      <c r="CJ30" s="766" t="str">
        <f t="shared" si="31"/>
        <v/>
      </c>
      <c r="CK30" s="414"/>
      <c r="CL30" s="767">
        <v>26</v>
      </c>
      <c r="CM30" s="409">
        <f t="shared" si="32"/>
        <v>0</v>
      </c>
      <c r="CN30" s="409">
        <f t="shared" si="33"/>
        <v>3.8000000000000002E-5</v>
      </c>
      <c r="CO30" s="409">
        <f t="shared" si="34"/>
        <v>1.2E-5</v>
      </c>
      <c r="CP30" s="409">
        <f t="shared" si="44"/>
        <v>1.5300000000000001E-4</v>
      </c>
      <c r="CQ30" s="409"/>
      <c r="CR30" s="767">
        <v>26</v>
      </c>
      <c r="CS30" s="409"/>
      <c r="CT30" s="409"/>
      <c r="CU30" s="409">
        <v>3.8000000000000002E-5</v>
      </c>
      <c r="CV30" s="409">
        <v>1.5999999999999999E-5</v>
      </c>
      <c r="CW30" s="409">
        <v>1.2E-5</v>
      </c>
      <c r="CX30" s="409">
        <v>1.1E-5</v>
      </c>
      <c r="CY30" s="409">
        <v>1.5300000000000001E-4</v>
      </c>
      <c r="CZ30" s="409">
        <v>7.3999999999999996E-5</v>
      </c>
      <c r="DA30" s="409"/>
      <c r="DB30" s="409"/>
      <c r="DC30" s="409"/>
      <c r="DD30" s="409"/>
    </row>
    <row r="31" spans="1:108">
      <c r="A31" s="305"/>
      <c r="B31" s="373"/>
      <c r="C31" s="135"/>
      <c r="D31" s="136" t="s">
        <v>53</v>
      </c>
      <c r="E31" s="179"/>
      <c r="F31" s="180"/>
      <c r="G31" s="137"/>
      <c r="H31" s="292"/>
      <c r="I31" s="48"/>
      <c r="J31" s="49" t="s">
        <v>176</v>
      </c>
      <c r="K31" s="483">
        <f>IF(F7=0,K29-K30,K32)</f>
        <v>100000.00000000001</v>
      </c>
      <c r="M31" s="50"/>
      <c r="N31" s="280" t="str">
        <f t="shared" si="52"/>
        <v/>
      </c>
      <c r="O31" s="281" t="str">
        <f t="shared" si="53"/>
        <v/>
      </c>
      <c r="P31" s="282" t="str">
        <f t="shared" si="47"/>
        <v/>
      </c>
      <c r="Q31" s="282" t="str">
        <f t="shared" si="48"/>
        <v/>
      </c>
      <c r="R31" s="282" t="str">
        <f t="shared" si="49"/>
        <v/>
      </c>
      <c r="S31" s="402" t="str">
        <f t="shared" si="1"/>
        <v/>
      </c>
      <c r="T31" s="282" t="str">
        <f>일반형!P31</f>
        <v/>
      </c>
      <c r="U31" s="282" t="str">
        <f>일반형!Q31</f>
        <v/>
      </c>
      <c r="V31" s="282" t="str">
        <f>일반형!R31</f>
        <v/>
      </c>
      <c r="W31" s="402" t="str">
        <f>일반형!S31</f>
        <v/>
      </c>
      <c r="X31" s="282" t="str">
        <f t="shared" si="50"/>
        <v/>
      </c>
      <c r="Y31" s="446" t="str">
        <f t="shared" si="2"/>
        <v/>
      </c>
      <c r="Z31" s="447" t="str">
        <f t="shared" si="51"/>
        <v/>
      </c>
      <c r="AB31" s="70" t="str">
        <f t="shared" si="35"/>
        <v/>
      </c>
      <c r="AC31" s="647" t="str">
        <f t="shared" si="4"/>
        <v/>
      </c>
      <c r="AD31" s="256"/>
      <c r="AE31" s="256" t="str">
        <f>IF(AB31="","",IF(AB31-$AB$4&lt;$F$5-1,INDEX(Main_무해지!$G$76:$G$87,MIN(AB31-$AB$4+1,12)),IF(AB31-$AB$4=$F$5-1,0,IF(AND($F$2=1,AB31&gt;109),0,IF(AND($F$2=2,AB31&gt;111),0,INDEX(Main_무해지!$H$76:$H$82,MIN(AB31-$AB$4-$F$5+1,7)))))))</f>
        <v/>
      </c>
      <c r="AF31" s="256" t="str">
        <f t="shared" si="45"/>
        <v/>
      </c>
      <c r="AG31" s="256" t="str">
        <f t="shared" si="5"/>
        <v/>
      </c>
      <c r="AH31" s="72" t="str">
        <f>IF($AB31="","",SUM(AG31:AG$114))</f>
        <v/>
      </c>
      <c r="AI31" s="256" t="str">
        <f t="shared" si="36"/>
        <v/>
      </c>
      <c r="AJ31" s="74" t="str">
        <f t="shared" si="6"/>
        <v/>
      </c>
      <c r="AK31" s="74"/>
      <c r="AL31" s="256" t="str">
        <f t="shared" si="7"/>
        <v/>
      </c>
      <c r="AM31" s="256" t="str">
        <f t="shared" si="46"/>
        <v/>
      </c>
      <c r="AN31" s="256" t="str">
        <f t="shared" si="8"/>
        <v/>
      </c>
      <c r="AO31" s="72" t="str">
        <f>IF($AB31="","",SUM(AN31:AN$114))</f>
        <v/>
      </c>
      <c r="AP31" s="71" t="str">
        <f t="shared" si="37"/>
        <v/>
      </c>
      <c r="AQ31" s="256" t="str">
        <f t="shared" si="9"/>
        <v/>
      </c>
      <c r="AR31" s="256" t="str">
        <f t="shared" si="10"/>
        <v/>
      </c>
      <c r="AS31" s="256" t="str">
        <f t="shared" si="11"/>
        <v/>
      </c>
      <c r="AT31" s="75" t="str">
        <f>IF($AB31="","",SUM($AU31:$AU$114))</f>
        <v/>
      </c>
      <c r="AU31" s="256" t="str">
        <f t="shared" si="38"/>
        <v/>
      </c>
      <c r="AV31" s="75" t="str">
        <f t="shared" si="12"/>
        <v/>
      </c>
      <c r="AW31" s="71"/>
      <c r="AX31" s="256" t="str">
        <f t="shared" si="13"/>
        <v/>
      </c>
      <c r="AY31" s="256" t="str">
        <f t="shared" si="14"/>
        <v/>
      </c>
      <c r="AZ31" s="256" t="str">
        <f t="shared" si="15"/>
        <v/>
      </c>
      <c r="BA31" s="75" t="str">
        <f>IF($AB31="","",SUM($AZ31:$AZ$114))</f>
        <v/>
      </c>
      <c r="BB31" s="71"/>
      <c r="BC31" s="256" t="str">
        <f t="shared" si="16"/>
        <v/>
      </c>
      <c r="BD31" s="256" t="str">
        <f t="shared" si="17"/>
        <v/>
      </c>
      <c r="BE31" s="256" t="str">
        <f t="shared" si="18"/>
        <v/>
      </c>
      <c r="BF31" s="75" t="str">
        <f>IF($AB31="","",SUM($BE31:$BE$114))</f>
        <v/>
      </c>
      <c r="BG31" s="71"/>
      <c r="BH31" s="256" t="str">
        <f t="shared" si="19"/>
        <v/>
      </c>
      <c r="BI31" s="256" t="str">
        <f t="shared" si="20"/>
        <v/>
      </c>
      <c r="BJ31" s="256" t="str">
        <f t="shared" si="21"/>
        <v/>
      </c>
      <c r="BK31" s="75" t="str">
        <f>IF($AB31="","",SUM($BJ31:$BJ$114))</f>
        <v/>
      </c>
      <c r="BL31" s="71"/>
      <c r="BM31" s="256" t="str">
        <f t="shared" si="22"/>
        <v/>
      </c>
      <c r="BN31" s="256" t="str">
        <f t="shared" si="23"/>
        <v/>
      </c>
      <c r="BO31" s="256" t="str">
        <f t="shared" si="24"/>
        <v/>
      </c>
      <c r="BP31" s="75" t="str">
        <f>IF($AB31="","",SUM($BO31:$BO$114))</f>
        <v/>
      </c>
      <c r="BQ31" s="71" t="str">
        <f t="shared" si="25"/>
        <v/>
      </c>
      <c r="BR31" s="256" t="str">
        <f t="shared" si="39"/>
        <v/>
      </c>
      <c r="BS31" s="256" t="str">
        <f t="shared" si="26"/>
        <v/>
      </c>
      <c r="BT31" s="256" t="str">
        <f t="shared" si="27"/>
        <v/>
      </c>
      <c r="BU31" s="256" t="str">
        <f t="shared" si="40"/>
        <v/>
      </c>
      <c r="BV31" s="256"/>
      <c r="BW31" s="256"/>
      <c r="BX31" s="256"/>
      <c r="BY31" s="256"/>
      <c r="BZ31" s="256" t="str">
        <f>IF($AB31="","",SUM(BU31:BU$114))</f>
        <v/>
      </c>
      <c r="CA31" s="73" t="str">
        <f>IF(AB31&lt;$E$3+$F$5,0,IFERROR(일반형!S33,0))</f>
        <v/>
      </c>
      <c r="CB31" s="73"/>
      <c r="CC31" s="392" t="str">
        <f t="shared" si="0"/>
        <v/>
      </c>
      <c r="CD31" s="256" t="str">
        <f t="shared" si="41"/>
        <v/>
      </c>
      <c r="CE31" s="256" t="str">
        <f t="shared" si="28"/>
        <v/>
      </c>
      <c r="CF31" s="256" t="str">
        <f t="shared" si="29"/>
        <v/>
      </c>
      <c r="CG31" s="256" t="str">
        <f t="shared" si="42"/>
        <v/>
      </c>
      <c r="CH31" s="256" t="str">
        <f t="shared" si="30"/>
        <v/>
      </c>
      <c r="CI31" s="76" t="str">
        <f t="shared" si="43"/>
        <v/>
      </c>
      <c r="CJ31" s="77" t="str">
        <f t="shared" si="31"/>
        <v/>
      </c>
      <c r="CK31" s="238"/>
      <c r="CL31" s="205">
        <v>27</v>
      </c>
      <c r="CM31" s="256">
        <f t="shared" si="32"/>
        <v>0</v>
      </c>
      <c r="CN31" s="256">
        <f t="shared" si="33"/>
        <v>3.8000000000000002E-5</v>
      </c>
      <c r="CO31" s="256">
        <f t="shared" si="34"/>
        <v>1.2999999999999999E-5</v>
      </c>
      <c r="CP31" s="256">
        <f t="shared" si="44"/>
        <v>1.5300000000000001E-4</v>
      </c>
      <c r="CQ31" s="256"/>
      <c r="CR31" s="205">
        <v>27</v>
      </c>
      <c r="CS31" s="256"/>
      <c r="CT31" s="256"/>
      <c r="CU31" s="256">
        <v>3.8000000000000002E-5</v>
      </c>
      <c r="CV31" s="256">
        <v>1.5999999999999999E-5</v>
      </c>
      <c r="CW31" s="256">
        <v>1.2999999999999999E-5</v>
      </c>
      <c r="CX31" s="256">
        <v>1.1E-5</v>
      </c>
      <c r="CY31" s="256">
        <v>1.5300000000000001E-4</v>
      </c>
      <c r="CZ31" s="256">
        <v>7.3999999999999996E-5</v>
      </c>
      <c r="DA31" s="256"/>
      <c r="DB31" s="256"/>
      <c r="DC31" s="256"/>
      <c r="DD31" s="256"/>
    </row>
    <row r="32" spans="1:108">
      <c r="A32" s="305"/>
      <c r="B32" s="373"/>
      <c r="C32" s="78"/>
      <c r="D32" s="106" t="s">
        <v>40</v>
      </c>
      <c r="E32" s="250"/>
      <c r="F32" s="176"/>
      <c r="G32" s="79"/>
      <c r="H32" s="292"/>
      <c r="I32" s="48"/>
      <c r="J32" s="49" t="s">
        <v>178</v>
      </c>
      <c r="K32" s="483">
        <f>(K29-K30)-(K38-1)/(2*K38)*(K26-K27)</f>
        <v>98991.442542787307</v>
      </c>
      <c r="M32" s="388"/>
      <c r="N32" s="275" t="str">
        <f t="shared" si="52"/>
        <v/>
      </c>
      <c r="O32" s="276" t="str">
        <f t="shared" si="53"/>
        <v/>
      </c>
      <c r="P32" s="277" t="str">
        <f t="shared" si="47"/>
        <v/>
      </c>
      <c r="Q32" s="277" t="str">
        <f t="shared" si="48"/>
        <v/>
      </c>
      <c r="R32" s="277" t="str">
        <f t="shared" si="49"/>
        <v/>
      </c>
      <c r="S32" s="401" t="str">
        <f t="shared" si="1"/>
        <v/>
      </c>
      <c r="T32" s="277" t="str">
        <f>일반형!P32</f>
        <v/>
      </c>
      <c r="U32" s="277" t="str">
        <f>일반형!Q32</f>
        <v/>
      </c>
      <c r="V32" s="277" t="str">
        <f>일반형!R32</f>
        <v/>
      </c>
      <c r="W32" s="401" t="str">
        <f>일반형!S32</f>
        <v/>
      </c>
      <c r="X32" s="277" t="str">
        <f t="shared" si="50"/>
        <v/>
      </c>
      <c r="Y32" s="444" t="str">
        <f t="shared" si="2"/>
        <v/>
      </c>
      <c r="Z32" s="445" t="str">
        <f t="shared" si="51"/>
        <v/>
      </c>
      <c r="AB32" s="70" t="str">
        <f t="shared" si="35"/>
        <v/>
      </c>
      <c r="AC32" s="647" t="str">
        <f t="shared" si="4"/>
        <v/>
      </c>
      <c r="AD32" s="256"/>
      <c r="AE32" s="256" t="str">
        <f>IF(AB32="","",IF(AB32-$AB$4&lt;$F$5-1,INDEX(Main_무해지!$G$76:$G$87,MIN(AB32-$AB$4+1,12)),IF(AB32-$AB$4=$F$5-1,0,IF(AND($F$2=1,AB32&gt;109),0,IF(AND($F$2=2,AB32&gt;111),0,INDEX(Main_무해지!$H$76:$H$82,MIN(AB32-$AB$4-$F$5+1,7)))))))</f>
        <v/>
      </c>
      <c r="AF32" s="256" t="str">
        <f t="shared" si="45"/>
        <v/>
      </c>
      <c r="AG32" s="256" t="str">
        <f t="shared" si="5"/>
        <v/>
      </c>
      <c r="AH32" s="72" t="str">
        <f>IF($AB32="","",SUM(AG32:AG$114))</f>
        <v/>
      </c>
      <c r="AI32" s="256" t="str">
        <f t="shared" si="36"/>
        <v/>
      </c>
      <c r="AJ32" s="74" t="str">
        <f t="shared" si="6"/>
        <v/>
      </c>
      <c r="AK32" s="74"/>
      <c r="AL32" s="256" t="str">
        <f t="shared" si="7"/>
        <v/>
      </c>
      <c r="AM32" s="256" t="str">
        <f t="shared" si="46"/>
        <v/>
      </c>
      <c r="AN32" s="256" t="str">
        <f t="shared" si="8"/>
        <v/>
      </c>
      <c r="AO32" s="72" t="str">
        <f>IF($AB32="","",SUM(AN32:AN$114))</f>
        <v/>
      </c>
      <c r="AP32" s="71" t="str">
        <f t="shared" si="37"/>
        <v/>
      </c>
      <c r="AQ32" s="256" t="str">
        <f t="shared" si="9"/>
        <v/>
      </c>
      <c r="AR32" s="256" t="str">
        <f t="shared" si="10"/>
        <v/>
      </c>
      <c r="AS32" s="256" t="str">
        <f t="shared" si="11"/>
        <v/>
      </c>
      <c r="AT32" s="75" t="str">
        <f>IF($AB32="","",SUM($AU32:$AU$114))</f>
        <v/>
      </c>
      <c r="AU32" s="256" t="str">
        <f t="shared" si="38"/>
        <v/>
      </c>
      <c r="AV32" s="75" t="str">
        <f t="shared" si="12"/>
        <v/>
      </c>
      <c r="AW32" s="71"/>
      <c r="AX32" s="256" t="str">
        <f t="shared" si="13"/>
        <v/>
      </c>
      <c r="AY32" s="256" t="str">
        <f t="shared" si="14"/>
        <v/>
      </c>
      <c r="AZ32" s="256" t="str">
        <f t="shared" si="15"/>
        <v/>
      </c>
      <c r="BA32" s="75" t="str">
        <f>IF($AB32="","",SUM($AZ32:$AZ$114))</f>
        <v/>
      </c>
      <c r="BB32" s="71"/>
      <c r="BC32" s="256" t="str">
        <f t="shared" si="16"/>
        <v/>
      </c>
      <c r="BD32" s="256" t="str">
        <f t="shared" si="17"/>
        <v/>
      </c>
      <c r="BE32" s="256" t="str">
        <f t="shared" si="18"/>
        <v/>
      </c>
      <c r="BF32" s="75" t="str">
        <f>IF($AB32="","",SUM($BE32:$BE$114))</f>
        <v/>
      </c>
      <c r="BG32" s="71"/>
      <c r="BH32" s="256" t="str">
        <f t="shared" si="19"/>
        <v/>
      </c>
      <c r="BI32" s="256" t="str">
        <f t="shared" si="20"/>
        <v/>
      </c>
      <c r="BJ32" s="256" t="str">
        <f t="shared" si="21"/>
        <v/>
      </c>
      <c r="BK32" s="75" t="str">
        <f>IF($AB32="","",SUM($BJ32:$BJ$114))</f>
        <v/>
      </c>
      <c r="BL32" s="71"/>
      <c r="BM32" s="256" t="str">
        <f t="shared" si="22"/>
        <v/>
      </c>
      <c r="BN32" s="256" t="str">
        <f t="shared" si="23"/>
        <v/>
      </c>
      <c r="BO32" s="256" t="str">
        <f t="shared" si="24"/>
        <v/>
      </c>
      <c r="BP32" s="75" t="str">
        <f>IF($AB32="","",SUM($BO32:$BO$114))</f>
        <v/>
      </c>
      <c r="BQ32" s="71" t="str">
        <f t="shared" si="25"/>
        <v/>
      </c>
      <c r="BR32" s="256" t="str">
        <f t="shared" si="39"/>
        <v/>
      </c>
      <c r="BS32" s="256" t="str">
        <f t="shared" si="26"/>
        <v/>
      </c>
      <c r="BT32" s="256" t="str">
        <f t="shared" si="27"/>
        <v/>
      </c>
      <c r="BU32" s="256" t="str">
        <f t="shared" si="40"/>
        <v/>
      </c>
      <c r="BV32" s="256"/>
      <c r="BW32" s="256"/>
      <c r="BX32" s="256"/>
      <c r="BY32" s="256"/>
      <c r="BZ32" s="256" t="str">
        <f>IF($AB32="","",SUM(BU32:BU$114))</f>
        <v/>
      </c>
      <c r="CA32" s="73" t="str">
        <f>IF(AB32&lt;$E$3+$F$5,0,IFERROR(일반형!S34,0))</f>
        <v/>
      </c>
      <c r="CB32" s="73"/>
      <c r="CC32" s="392" t="str">
        <f t="shared" si="0"/>
        <v/>
      </c>
      <c r="CD32" s="256" t="str">
        <f t="shared" si="41"/>
        <v/>
      </c>
      <c r="CE32" s="256" t="str">
        <f t="shared" si="28"/>
        <v/>
      </c>
      <c r="CF32" s="256" t="str">
        <f t="shared" si="29"/>
        <v/>
      </c>
      <c r="CG32" s="256" t="str">
        <f t="shared" si="42"/>
        <v/>
      </c>
      <c r="CH32" s="256" t="str">
        <f t="shared" si="30"/>
        <v/>
      </c>
      <c r="CI32" s="76" t="str">
        <f t="shared" si="43"/>
        <v/>
      </c>
      <c r="CJ32" s="77" t="str">
        <f t="shared" si="31"/>
        <v/>
      </c>
      <c r="CK32" s="238"/>
      <c r="CL32" s="205">
        <v>28</v>
      </c>
      <c r="CM32" s="256">
        <f t="shared" si="32"/>
        <v>0</v>
      </c>
      <c r="CN32" s="256">
        <f t="shared" si="33"/>
        <v>3.8000000000000002E-5</v>
      </c>
      <c r="CO32" s="256">
        <f t="shared" si="34"/>
        <v>1.5E-5</v>
      </c>
      <c r="CP32" s="256">
        <f t="shared" si="44"/>
        <v>1.5300000000000001E-4</v>
      </c>
      <c r="CQ32" s="256"/>
      <c r="CR32" s="205">
        <v>28</v>
      </c>
      <c r="CS32" s="256"/>
      <c r="CT32" s="256"/>
      <c r="CU32" s="256">
        <v>3.8000000000000002E-5</v>
      </c>
      <c r="CV32" s="256">
        <v>1.5999999999999999E-5</v>
      </c>
      <c r="CW32" s="256">
        <v>1.5E-5</v>
      </c>
      <c r="CX32" s="256">
        <v>1.0000000000000001E-5</v>
      </c>
      <c r="CY32" s="256">
        <v>1.5300000000000001E-4</v>
      </c>
      <c r="CZ32" s="256">
        <v>7.3999999999999996E-5</v>
      </c>
      <c r="DA32" s="256"/>
      <c r="DB32" s="256"/>
      <c r="DC32" s="256"/>
      <c r="DD32" s="256"/>
    </row>
    <row r="33" spans="1:108">
      <c r="A33" s="305"/>
      <c r="B33" s="373"/>
      <c r="C33" s="78"/>
      <c r="D33" s="106" t="s">
        <v>56</v>
      </c>
      <c r="E33" s="250"/>
      <c r="F33" s="307"/>
      <c r="G33" s="79"/>
      <c r="H33" s="292"/>
      <c r="I33" s="48"/>
      <c r="J33" s="49" t="s">
        <v>174</v>
      </c>
      <c r="K33" s="483">
        <f>IF(F5=0,K23-K25,K24-K25)</f>
        <v>0</v>
      </c>
      <c r="M33" s="50"/>
      <c r="N33" s="278" t="str">
        <f t="shared" si="52"/>
        <v/>
      </c>
      <c r="O33" s="279" t="str">
        <f t="shared" si="53"/>
        <v/>
      </c>
      <c r="P33" s="271" t="str">
        <f t="shared" si="47"/>
        <v/>
      </c>
      <c r="Q33" s="271" t="str">
        <f t="shared" si="48"/>
        <v/>
      </c>
      <c r="R33" s="271" t="str">
        <f t="shared" si="49"/>
        <v/>
      </c>
      <c r="S33" s="400" t="str">
        <f t="shared" si="1"/>
        <v/>
      </c>
      <c r="T33" s="271" t="str">
        <f>일반형!P33</f>
        <v/>
      </c>
      <c r="U33" s="271" t="str">
        <f>일반형!Q33</f>
        <v/>
      </c>
      <c r="V33" s="271" t="str">
        <f>일반형!R33</f>
        <v/>
      </c>
      <c r="W33" s="400" t="str">
        <f>일반형!S33</f>
        <v/>
      </c>
      <c r="X33" s="271" t="str">
        <f t="shared" si="50"/>
        <v/>
      </c>
      <c r="Y33" s="442" t="str">
        <f t="shared" si="2"/>
        <v/>
      </c>
      <c r="Z33" s="443" t="str">
        <f t="shared" si="51"/>
        <v/>
      </c>
      <c r="AB33" s="70" t="str">
        <f t="shared" si="35"/>
        <v/>
      </c>
      <c r="AC33" s="647" t="str">
        <f t="shared" si="4"/>
        <v/>
      </c>
      <c r="AD33" s="256"/>
      <c r="AE33" s="256" t="str">
        <f>IF(AB33="","",IF(AB33-$AB$4&lt;$F$5-1,INDEX(Main_무해지!$G$76:$G$87,MIN(AB33-$AB$4+1,12)),IF(AB33-$AB$4=$F$5-1,0,IF(AND($F$2=1,AB33&gt;109),0,IF(AND($F$2=2,AB33&gt;111),0,INDEX(Main_무해지!$H$76:$H$82,MIN(AB33-$AB$4-$F$5+1,7)))))))</f>
        <v/>
      </c>
      <c r="AF33" s="256" t="str">
        <f t="shared" si="45"/>
        <v/>
      </c>
      <c r="AG33" s="256" t="str">
        <f t="shared" si="5"/>
        <v/>
      </c>
      <c r="AH33" s="72" t="str">
        <f>IF($AB33="","",SUM(AG33:AG$114))</f>
        <v/>
      </c>
      <c r="AI33" s="256" t="str">
        <f t="shared" si="36"/>
        <v/>
      </c>
      <c r="AJ33" s="74" t="str">
        <f t="shared" si="6"/>
        <v/>
      </c>
      <c r="AK33" s="74"/>
      <c r="AL33" s="256" t="str">
        <f t="shared" si="7"/>
        <v/>
      </c>
      <c r="AM33" s="256" t="str">
        <f t="shared" si="46"/>
        <v/>
      </c>
      <c r="AN33" s="256" t="str">
        <f t="shared" si="8"/>
        <v/>
      </c>
      <c r="AO33" s="72" t="str">
        <f>IF($AB33="","",SUM(AN33:AN$114))</f>
        <v/>
      </c>
      <c r="AP33" s="71" t="str">
        <f t="shared" si="37"/>
        <v/>
      </c>
      <c r="AQ33" s="256" t="str">
        <f t="shared" si="9"/>
        <v/>
      </c>
      <c r="AR33" s="256" t="str">
        <f t="shared" si="10"/>
        <v/>
      </c>
      <c r="AS33" s="256" t="str">
        <f t="shared" si="11"/>
        <v/>
      </c>
      <c r="AT33" s="75" t="str">
        <f>IF($AB33="","",SUM($AU33:$AU$114))</f>
        <v/>
      </c>
      <c r="AU33" s="256" t="str">
        <f t="shared" si="38"/>
        <v/>
      </c>
      <c r="AV33" s="75" t="str">
        <f t="shared" si="12"/>
        <v/>
      </c>
      <c r="AW33" s="71"/>
      <c r="AX33" s="256" t="str">
        <f t="shared" si="13"/>
        <v/>
      </c>
      <c r="AY33" s="256" t="str">
        <f t="shared" si="14"/>
        <v/>
      </c>
      <c r="AZ33" s="256" t="str">
        <f t="shared" si="15"/>
        <v/>
      </c>
      <c r="BA33" s="75" t="str">
        <f>IF($AB33="","",SUM($AZ33:$AZ$114))</f>
        <v/>
      </c>
      <c r="BB33" s="71"/>
      <c r="BC33" s="256" t="str">
        <f t="shared" si="16"/>
        <v/>
      </c>
      <c r="BD33" s="256" t="str">
        <f t="shared" si="17"/>
        <v/>
      </c>
      <c r="BE33" s="256" t="str">
        <f t="shared" si="18"/>
        <v/>
      </c>
      <c r="BF33" s="75" t="str">
        <f>IF($AB33="","",SUM($BE33:$BE$114))</f>
        <v/>
      </c>
      <c r="BG33" s="71"/>
      <c r="BH33" s="256" t="str">
        <f t="shared" si="19"/>
        <v/>
      </c>
      <c r="BI33" s="256" t="str">
        <f t="shared" si="20"/>
        <v/>
      </c>
      <c r="BJ33" s="256" t="str">
        <f t="shared" si="21"/>
        <v/>
      </c>
      <c r="BK33" s="75" t="str">
        <f>IF($AB33="","",SUM($BJ33:$BJ$114))</f>
        <v/>
      </c>
      <c r="BL33" s="71"/>
      <c r="BM33" s="256" t="str">
        <f t="shared" si="22"/>
        <v/>
      </c>
      <c r="BN33" s="256" t="str">
        <f t="shared" si="23"/>
        <v/>
      </c>
      <c r="BO33" s="256" t="str">
        <f t="shared" si="24"/>
        <v/>
      </c>
      <c r="BP33" s="75" t="str">
        <f>IF($AB33="","",SUM($BO33:$BO$114))</f>
        <v/>
      </c>
      <c r="BQ33" s="71" t="str">
        <f t="shared" si="25"/>
        <v/>
      </c>
      <c r="BR33" s="256" t="str">
        <f t="shared" si="39"/>
        <v/>
      </c>
      <c r="BS33" s="256" t="str">
        <f t="shared" si="26"/>
        <v/>
      </c>
      <c r="BT33" s="256" t="str">
        <f t="shared" si="27"/>
        <v/>
      </c>
      <c r="BU33" s="256" t="str">
        <f t="shared" si="40"/>
        <v/>
      </c>
      <c r="BV33" s="256"/>
      <c r="BW33" s="256"/>
      <c r="BX33" s="256"/>
      <c r="BY33" s="256"/>
      <c r="BZ33" s="256" t="str">
        <f>IF($AB33="","",SUM(BU33:BU$114))</f>
        <v/>
      </c>
      <c r="CA33" s="73" t="str">
        <f>IF(AB33&lt;$E$3+$F$5,0,IFERROR(일반형!S35,0))</f>
        <v/>
      </c>
      <c r="CB33" s="73"/>
      <c r="CC33" s="392" t="str">
        <f t="shared" si="0"/>
        <v/>
      </c>
      <c r="CD33" s="256" t="str">
        <f t="shared" si="41"/>
        <v/>
      </c>
      <c r="CE33" s="256" t="str">
        <f t="shared" si="28"/>
        <v/>
      </c>
      <c r="CF33" s="256" t="str">
        <f t="shared" si="29"/>
        <v/>
      </c>
      <c r="CG33" s="256" t="str">
        <f t="shared" si="42"/>
        <v/>
      </c>
      <c r="CH33" s="256" t="str">
        <f t="shared" si="30"/>
        <v/>
      </c>
      <c r="CI33" s="76" t="str">
        <f t="shared" si="43"/>
        <v/>
      </c>
      <c r="CJ33" s="77" t="str">
        <f t="shared" si="31"/>
        <v/>
      </c>
      <c r="CK33" s="238"/>
      <c r="CL33" s="205">
        <v>29</v>
      </c>
      <c r="CM33" s="256">
        <f t="shared" si="32"/>
        <v>0</v>
      </c>
      <c r="CN33" s="256">
        <f t="shared" si="33"/>
        <v>3.8000000000000002E-5</v>
      </c>
      <c r="CO33" s="256">
        <f t="shared" si="34"/>
        <v>1.5999999999999999E-5</v>
      </c>
      <c r="CP33" s="256">
        <f t="shared" si="44"/>
        <v>1.5300000000000001E-4</v>
      </c>
      <c r="CQ33" s="256"/>
      <c r="CR33" s="205">
        <v>29</v>
      </c>
      <c r="CS33" s="256"/>
      <c r="CT33" s="256"/>
      <c r="CU33" s="256">
        <v>3.8000000000000002E-5</v>
      </c>
      <c r="CV33" s="256">
        <v>1.5999999999999999E-5</v>
      </c>
      <c r="CW33" s="256">
        <v>1.5999999999999999E-5</v>
      </c>
      <c r="CX33" s="256">
        <v>1.0000000000000001E-5</v>
      </c>
      <c r="CY33" s="256">
        <v>1.5300000000000001E-4</v>
      </c>
      <c r="CZ33" s="256">
        <v>7.3999999999999996E-5</v>
      </c>
      <c r="DA33" s="256"/>
      <c r="DB33" s="256"/>
      <c r="DC33" s="256"/>
      <c r="DD33" s="256"/>
    </row>
    <row r="34" spans="1:108">
      <c r="A34" s="305"/>
      <c r="B34" s="373"/>
      <c r="C34" s="78"/>
      <c r="D34" s="107" t="s">
        <v>45</v>
      </c>
      <c r="E34" s="250"/>
      <c r="F34" s="176"/>
      <c r="G34" s="79"/>
      <c r="H34" s="292"/>
      <c r="I34" s="48"/>
      <c r="J34" s="49" t="s">
        <v>172</v>
      </c>
      <c r="K34" s="483">
        <f>IF(F5=0,K37*K22,K37*F5*K22)</f>
        <v>0</v>
      </c>
      <c r="M34" s="50"/>
      <c r="N34" s="278" t="str">
        <f t="shared" si="52"/>
        <v/>
      </c>
      <c r="O34" s="279" t="str">
        <f t="shared" si="53"/>
        <v/>
      </c>
      <c r="P34" s="271" t="str">
        <f t="shared" si="47"/>
        <v/>
      </c>
      <c r="Q34" s="271" t="str">
        <f t="shared" si="48"/>
        <v/>
      </c>
      <c r="R34" s="271" t="str">
        <f t="shared" si="49"/>
        <v/>
      </c>
      <c r="S34" s="400" t="str">
        <f t="shared" si="1"/>
        <v/>
      </c>
      <c r="T34" s="271" t="str">
        <f>일반형!P34</f>
        <v/>
      </c>
      <c r="U34" s="271" t="str">
        <f>일반형!Q34</f>
        <v/>
      </c>
      <c r="V34" s="271" t="str">
        <f>일반형!R34</f>
        <v/>
      </c>
      <c r="W34" s="400" t="str">
        <f>일반형!S34</f>
        <v/>
      </c>
      <c r="X34" s="271" t="str">
        <f t="shared" si="50"/>
        <v/>
      </c>
      <c r="Y34" s="442" t="str">
        <f t="shared" si="2"/>
        <v/>
      </c>
      <c r="Z34" s="443" t="str">
        <f t="shared" si="51"/>
        <v/>
      </c>
      <c r="AB34" s="83" t="str">
        <f t="shared" si="35"/>
        <v/>
      </c>
      <c r="AC34" s="648" t="str">
        <f t="shared" si="4"/>
        <v/>
      </c>
      <c r="AD34" s="257"/>
      <c r="AE34" s="257" t="str">
        <f>IF(AB34="","",IF(AB34-$AB$4&lt;$F$5-1,INDEX(Main_무해지!$G$76:$G$87,MIN(AB34-$AB$4+1,12)),IF(AB34-$AB$4=$F$5-1,0,IF(AND($F$2=1,AB34&gt;109),0,IF(AND($F$2=2,AB34&gt;111),0,INDEX(Main_무해지!$H$76:$H$82,MIN(AB34-$AB$4-$F$5+1,7)))))))</f>
        <v/>
      </c>
      <c r="AF34" s="257" t="str">
        <f t="shared" si="45"/>
        <v/>
      </c>
      <c r="AG34" s="257" t="str">
        <f t="shared" si="5"/>
        <v/>
      </c>
      <c r="AH34" s="85" t="str">
        <f>IF($AB34="","",SUM(AG34:AG$114))</f>
        <v/>
      </c>
      <c r="AI34" s="257" t="str">
        <f t="shared" si="36"/>
        <v/>
      </c>
      <c r="AJ34" s="87" t="str">
        <f t="shared" si="6"/>
        <v/>
      </c>
      <c r="AK34" s="87"/>
      <c r="AL34" s="257" t="str">
        <f t="shared" si="7"/>
        <v/>
      </c>
      <c r="AM34" s="257" t="str">
        <f t="shared" si="46"/>
        <v/>
      </c>
      <c r="AN34" s="257" t="str">
        <f t="shared" si="8"/>
        <v/>
      </c>
      <c r="AO34" s="85" t="str">
        <f>IF($AB34="","",SUM(AN34:AN$114))</f>
        <v/>
      </c>
      <c r="AP34" s="84" t="str">
        <f t="shared" si="37"/>
        <v/>
      </c>
      <c r="AQ34" s="257" t="str">
        <f t="shared" si="9"/>
        <v/>
      </c>
      <c r="AR34" s="257" t="str">
        <f t="shared" si="10"/>
        <v/>
      </c>
      <c r="AS34" s="257" t="str">
        <f t="shared" si="11"/>
        <v/>
      </c>
      <c r="AT34" s="88" t="str">
        <f>IF($AB34="","",SUM($AU34:$AU$114))</f>
        <v/>
      </c>
      <c r="AU34" s="257" t="str">
        <f t="shared" si="38"/>
        <v/>
      </c>
      <c r="AV34" s="88" t="str">
        <f t="shared" si="12"/>
        <v/>
      </c>
      <c r="AW34" s="84"/>
      <c r="AX34" s="257" t="str">
        <f t="shared" si="13"/>
        <v/>
      </c>
      <c r="AY34" s="257" t="str">
        <f t="shared" si="14"/>
        <v/>
      </c>
      <c r="AZ34" s="257" t="str">
        <f t="shared" si="15"/>
        <v/>
      </c>
      <c r="BA34" s="88" t="str">
        <f>IF($AB34="","",SUM($AZ34:$AZ$114))</f>
        <v/>
      </c>
      <c r="BB34" s="84"/>
      <c r="BC34" s="257" t="str">
        <f t="shared" si="16"/>
        <v/>
      </c>
      <c r="BD34" s="257" t="str">
        <f t="shared" si="17"/>
        <v/>
      </c>
      <c r="BE34" s="257" t="str">
        <f t="shared" si="18"/>
        <v/>
      </c>
      <c r="BF34" s="88" t="str">
        <f>IF($AB34="","",SUM($BE34:$BE$114))</f>
        <v/>
      </c>
      <c r="BG34" s="84"/>
      <c r="BH34" s="257" t="str">
        <f t="shared" si="19"/>
        <v/>
      </c>
      <c r="BI34" s="257" t="str">
        <f t="shared" si="20"/>
        <v/>
      </c>
      <c r="BJ34" s="257" t="str">
        <f t="shared" si="21"/>
        <v/>
      </c>
      <c r="BK34" s="88" t="str">
        <f>IF($AB34="","",SUM($BJ34:$BJ$114))</f>
        <v/>
      </c>
      <c r="BL34" s="84"/>
      <c r="BM34" s="257" t="str">
        <f t="shared" si="22"/>
        <v/>
      </c>
      <c r="BN34" s="257" t="str">
        <f t="shared" si="23"/>
        <v/>
      </c>
      <c r="BO34" s="257" t="str">
        <f t="shared" si="24"/>
        <v/>
      </c>
      <c r="BP34" s="88" t="str">
        <f>IF($AB34="","",SUM($BO34:$BO$114))</f>
        <v/>
      </c>
      <c r="BQ34" s="84" t="str">
        <f t="shared" si="25"/>
        <v/>
      </c>
      <c r="BR34" s="257" t="str">
        <f t="shared" si="39"/>
        <v/>
      </c>
      <c r="BS34" s="257" t="str">
        <f t="shared" si="26"/>
        <v/>
      </c>
      <c r="BT34" s="257" t="str">
        <f t="shared" si="27"/>
        <v/>
      </c>
      <c r="BU34" s="257" t="str">
        <f t="shared" si="40"/>
        <v/>
      </c>
      <c r="BV34" s="257"/>
      <c r="BW34" s="257"/>
      <c r="BX34" s="257"/>
      <c r="BY34" s="257"/>
      <c r="BZ34" s="257" t="str">
        <f>IF($AB34="","",SUM(BU34:BU$114))</f>
        <v/>
      </c>
      <c r="CA34" s="86" t="str">
        <f>IF(AB34&lt;$E$3+$F$5,0,IFERROR(일반형!S36,0))</f>
        <v/>
      </c>
      <c r="CB34" s="86"/>
      <c r="CC34" s="393" t="str">
        <f t="shared" si="0"/>
        <v/>
      </c>
      <c r="CD34" s="257" t="str">
        <f t="shared" si="41"/>
        <v/>
      </c>
      <c r="CE34" s="257" t="str">
        <f t="shared" si="28"/>
        <v/>
      </c>
      <c r="CF34" s="257" t="str">
        <f t="shared" si="29"/>
        <v/>
      </c>
      <c r="CG34" s="257" t="str">
        <f t="shared" si="42"/>
        <v/>
      </c>
      <c r="CH34" s="257" t="str">
        <f t="shared" si="30"/>
        <v/>
      </c>
      <c r="CI34" s="89" t="str">
        <f t="shared" si="43"/>
        <v/>
      </c>
      <c r="CJ34" s="90" t="str">
        <f t="shared" si="31"/>
        <v/>
      </c>
      <c r="CK34" s="239"/>
      <c r="CL34" s="206">
        <v>30</v>
      </c>
      <c r="CM34" s="257">
        <f t="shared" si="32"/>
        <v>0</v>
      </c>
      <c r="CN34" s="257">
        <f t="shared" si="33"/>
        <v>4.3000000000000002E-5</v>
      </c>
      <c r="CO34" s="257">
        <f t="shared" si="34"/>
        <v>1.8E-5</v>
      </c>
      <c r="CP34" s="257">
        <f t="shared" si="44"/>
        <v>2.5099999999999998E-4</v>
      </c>
      <c r="CQ34" s="257"/>
      <c r="CR34" s="206">
        <v>30</v>
      </c>
      <c r="CS34" s="257"/>
      <c r="CT34" s="257"/>
      <c r="CU34" s="257">
        <v>4.3000000000000002E-5</v>
      </c>
      <c r="CV34" s="257">
        <v>9.0000000000000002E-6</v>
      </c>
      <c r="CW34" s="257">
        <v>1.8E-5</v>
      </c>
      <c r="CX34" s="257">
        <v>1.0000000000000001E-5</v>
      </c>
      <c r="CY34" s="257">
        <v>2.5099999999999998E-4</v>
      </c>
      <c r="CZ34" s="257">
        <v>1.01E-4</v>
      </c>
      <c r="DA34" s="257"/>
      <c r="DB34" s="257"/>
      <c r="DC34" s="257"/>
      <c r="DD34" s="257"/>
    </row>
    <row r="35" spans="1:108">
      <c r="A35" s="305"/>
      <c r="B35" s="373"/>
      <c r="C35" s="78"/>
      <c r="D35" s="107" t="s">
        <v>47</v>
      </c>
      <c r="E35" s="178"/>
      <c r="F35" s="176"/>
      <c r="G35" s="79"/>
      <c r="H35" s="292"/>
      <c r="I35" s="48"/>
      <c r="J35" s="95" t="s">
        <v>169</v>
      </c>
      <c r="K35" s="485">
        <f>CD4</f>
        <v>0.7046171514186621</v>
      </c>
      <c r="M35" s="50"/>
      <c r="N35" s="278" t="str">
        <f t="shared" si="52"/>
        <v/>
      </c>
      <c r="O35" s="279" t="str">
        <f t="shared" si="53"/>
        <v/>
      </c>
      <c r="P35" s="271" t="str">
        <f t="shared" si="47"/>
        <v/>
      </c>
      <c r="Q35" s="271" t="str">
        <f t="shared" si="48"/>
        <v/>
      </c>
      <c r="R35" s="271" t="str">
        <f t="shared" si="49"/>
        <v/>
      </c>
      <c r="S35" s="400" t="str">
        <f t="shared" si="1"/>
        <v/>
      </c>
      <c r="T35" s="271" t="str">
        <f>일반형!P35</f>
        <v/>
      </c>
      <c r="U35" s="271" t="str">
        <f>일반형!Q35</f>
        <v/>
      </c>
      <c r="V35" s="271" t="str">
        <f>일반형!R35</f>
        <v/>
      </c>
      <c r="W35" s="400" t="str">
        <f>일반형!S35</f>
        <v/>
      </c>
      <c r="X35" s="271" t="str">
        <f t="shared" si="50"/>
        <v/>
      </c>
      <c r="Y35" s="442" t="str">
        <f t="shared" si="2"/>
        <v/>
      </c>
      <c r="Z35" s="443" t="str">
        <f t="shared" si="51"/>
        <v/>
      </c>
      <c r="AB35" s="750" t="str">
        <f t="shared" si="35"/>
        <v/>
      </c>
      <c r="AC35" s="643" t="str">
        <f t="shared" si="4"/>
        <v/>
      </c>
      <c r="AD35" s="408"/>
      <c r="AE35" s="408" t="str">
        <f>IF(AB35="","",IF(AB35-$AB$4&lt;$F$5-1,INDEX(Main_무해지!$G$76:$G$87,MIN(AB35-$AB$4+1,12)),IF(AB35-$AB$4=$F$5-1,0,IF(AND($F$2=1,AB35&gt;109),0,IF(AND($F$2=2,AB35&gt;111),0,INDEX(Main_무해지!$H$76:$H$82,MIN(AB35-$AB$4-$F$5+1,7)))))))</f>
        <v/>
      </c>
      <c r="AF35" s="408" t="str">
        <f t="shared" si="45"/>
        <v/>
      </c>
      <c r="AG35" s="408" t="str">
        <f t="shared" si="5"/>
        <v/>
      </c>
      <c r="AH35" s="751" t="str">
        <f>IF($AB35="","",SUM(AG35:AG$114))</f>
        <v/>
      </c>
      <c r="AI35" s="408" t="str">
        <f t="shared" si="36"/>
        <v/>
      </c>
      <c r="AJ35" s="638" t="str">
        <f t="shared" si="6"/>
        <v/>
      </c>
      <c r="AK35" s="638"/>
      <c r="AL35" s="408" t="str">
        <f t="shared" si="7"/>
        <v/>
      </c>
      <c r="AM35" s="408" t="str">
        <f t="shared" si="46"/>
        <v/>
      </c>
      <c r="AN35" s="408" t="str">
        <f t="shared" si="8"/>
        <v/>
      </c>
      <c r="AO35" s="751" t="str">
        <f>IF($AB35="","",SUM(AN35:AN$114))</f>
        <v/>
      </c>
      <c r="AP35" s="752" t="str">
        <f t="shared" si="37"/>
        <v/>
      </c>
      <c r="AQ35" s="408" t="str">
        <f t="shared" si="9"/>
        <v/>
      </c>
      <c r="AR35" s="408" t="str">
        <f t="shared" si="10"/>
        <v/>
      </c>
      <c r="AS35" s="408" t="str">
        <f t="shared" si="11"/>
        <v/>
      </c>
      <c r="AT35" s="753" t="str">
        <f>IF($AB35="","",SUM($AU35:$AU$114))</f>
        <v/>
      </c>
      <c r="AU35" s="408" t="str">
        <f t="shared" si="38"/>
        <v/>
      </c>
      <c r="AV35" s="753" t="str">
        <f t="shared" si="12"/>
        <v/>
      </c>
      <c r="AW35" s="752"/>
      <c r="AX35" s="408" t="str">
        <f t="shared" si="13"/>
        <v/>
      </c>
      <c r="AY35" s="408" t="str">
        <f t="shared" si="14"/>
        <v/>
      </c>
      <c r="AZ35" s="408" t="str">
        <f t="shared" si="15"/>
        <v/>
      </c>
      <c r="BA35" s="753" t="str">
        <f>IF($AB35="","",SUM($AZ35:$AZ$114))</f>
        <v/>
      </c>
      <c r="BB35" s="752"/>
      <c r="BC35" s="408" t="str">
        <f t="shared" si="16"/>
        <v/>
      </c>
      <c r="BD35" s="408" t="str">
        <f t="shared" si="17"/>
        <v/>
      </c>
      <c r="BE35" s="408" t="str">
        <f t="shared" si="18"/>
        <v/>
      </c>
      <c r="BF35" s="753" t="str">
        <f>IF($AB35="","",SUM($BE35:$BE$114))</f>
        <v/>
      </c>
      <c r="BG35" s="752"/>
      <c r="BH35" s="408" t="str">
        <f t="shared" si="19"/>
        <v/>
      </c>
      <c r="BI35" s="408" t="str">
        <f t="shared" si="20"/>
        <v/>
      </c>
      <c r="BJ35" s="408" t="str">
        <f t="shared" si="21"/>
        <v/>
      </c>
      <c r="BK35" s="753" t="str">
        <f>IF($AB35="","",SUM($BJ35:$BJ$114))</f>
        <v/>
      </c>
      <c r="BL35" s="752"/>
      <c r="BM35" s="408" t="str">
        <f t="shared" si="22"/>
        <v/>
      </c>
      <c r="BN35" s="408" t="str">
        <f t="shared" si="23"/>
        <v/>
      </c>
      <c r="BO35" s="408" t="str">
        <f t="shared" si="24"/>
        <v/>
      </c>
      <c r="BP35" s="753" t="str">
        <f>IF($AB35="","",SUM($BO35:$BO$114))</f>
        <v/>
      </c>
      <c r="BQ35" s="752" t="str">
        <f t="shared" si="25"/>
        <v/>
      </c>
      <c r="BR35" s="408" t="str">
        <f t="shared" si="39"/>
        <v/>
      </c>
      <c r="BS35" s="408" t="str">
        <f t="shared" si="26"/>
        <v/>
      </c>
      <c r="BT35" s="408" t="str">
        <f t="shared" si="27"/>
        <v/>
      </c>
      <c r="BU35" s="408" t="str">
        <f t="shared" si="40"/>
        <v/>
      </c>
      <c r="BV35" s="408"/>
      <c r="BW35" s="408"/>
      <c r="BX35" s="408"/>
      <c r="BY35" s="408"/>
      <c r="BZ35" s="408" t="str">
        <f>IF($AB35="","",SUM(BU35:BU$114))</f>
        <v/>
      </c>
      <c r="CA35" s="754" t="str">
        <f>IF(AB35&lt;$E$3+$F$5,0,IFERROR(일반형!S37,0))</f>
        <v/>
      </c>
      <c r="CB35" s="754"/>
      <c r="CC35" s="755" t="str">
        <f t="shared" si="0"/>
        <v/>
      </c>
      <c r="CD35" s="408" t="str">
        <f t="shared" si="41"/>
        <v/>
      </c>
      <c r="CE35" s="408" t="str">
        <f t="shared" si="28"/>
        <v/>
      </c>
      <c r="CF35" s="408" t="str">
        <f t="shared" si="29"/>
        <v/>
      </c>
      <c r="CG35" s="408" t="str">
        <f t="shared" si="42"/>
        <v/>
      </c>
      <c r="CH35" s="408" t="str">
        <f t="shared" si="30"/>
        <v/>
      </c>
      <c r="CI35" s="756" t="str">
        <f t="shared" si="43"/>
        <v/>
      </c>
      <c r="CJ35" s="757" t="str">
        <f t="shared" si="31"/>
        <v/>
      </c>
      <c r="CK35" s="413"/>
      <c r="CL35" s="758">
        <v>31</v>
      </c>
      <c r="CM35" s="408">
        <f t="shared" si="32"/>
        <v>0</v>
      </c>
      <c r="CN35" s="408">
        <f t="shared" si="33"/>
        <v>4.3000000000000002E-5</v>
      </c>
      <c r="CO35" s="408">
        <f t="shared" si="34"/>
        <v>2.0000000000000002E-5</v>
      </c>
      <c r="CP35" s="408">
        <f t="shared" si="44"/>
        <v>2.5099999999999998E-4</v>
      </c>
      <c r="CQ35" s="408"/>
      <c r="CR35" s="758">
        <v>31</v>
      </c>
      <c r="CS35" s="408"/>
      <c r="CT35" s="408"/>
      <c r="CU35" s="408">
        <v>4.3000000000000002E-5</v>
      </c>
      <c r="CV35" s="408">
        <v>9.0000000000000002E-6</v>
      </c>
      <c r="CW35" s="408">
        <v>2.0000000000000002E-5</v>
      </c>
      <c r="CX35" s="408">
        <v>1.0000000000000001E-5</v>
      </c>
      <c r="CY35" s="408">
        <v>2.5099999999999998E-4</v>
      </c>
      <c r="CZ35" s="408">
        <v>1.01E-4</v>
      </c>
      <c r="DA35" s="408"/>
      <c r="DB35" s="408"/>
      <c r="DC35" s="408"/>
      <c r="DD35" s="408"/>
    </row>
    <row r="36" spans="1:108">
      <c r="A36" s="305"/>
      <c r="B36" s="373"/>
      <c r="C36" s="117"/>
      <c r="D36" s="118" t="s">
        <v>57</v>
      </c>
      <c r="E36" s="417"/>
      <c r="F36" s="118"/>
      <c r="G36" s="119"/>
      <c r="H36" s="292"/>
      <c r="I36" s="48"/>
      <c r="J36" s="95" t="s">
        <v>216</v>
      </c>
      <c r="K36" s="485">
        <f>(BZ4-BZ117)*$F$5</f>
        <v>0</v>
      </c>
      <c r="M36" s="50"/>
      <c r="N36" s="280" t="str">
        <f t="shared" si="52"/>
        <v/>
      </c>
      <c r="O36" s="281" t="str">
        <f t="shared" si="53"/>
        <v/>
      </c>
      <c r="P36" s="282" t="str">
        <f t="shared" si="47"/>
        <v/>
      </c>
      <c r="Q36" s="282" t="str">
        <f t="shared" si="48"/>
        <v/>
      </c>
      <c r="R36" s="282" t="str">
        <f t="shared" si="49"/>
        <v/>
      </c>
      <c r="S36" s="402" t="str">
        <f t="shared" si="1"/>
        <v/>
      </c>
      <c r="T36" s="282" t="str">
        <f>일반형!P36</f>
        <v/>
      </c>
      <c r="U36" s="282" t="str">
        <f>일반형!Q36</f>
        <v/>
      </c>
      <c r="V36" s="282" t="str">
        <f>일반형!R36</f>
        <v/>
      </c>
      <c r="W36" s="402" t="str">
        <f>일반형!S36</f>
        <v/>
      </c>
      <c r="X36" s="282" t="str">
        <f t="shared" si="50"/>
        <v/>
      </c>
      <c r="Y36" s="446" t="str">
        <f t="shared" si="2"/>
        <v/>
      </c>
      <c r="Z36" s="447" t="str">
        <f t="shared" si="51"/>
        <v/>
      </c>
      <c r="AB36" s="52" t="str">
        <f t="shared" si="35"/>
        <v/>
      </c>
      <c r="AC36" s="644" t="str">
        <f t="shared" si="4"/>
        <v/>
      </c>
      <c r="AD36" s="254"/>
      <c r="AE36" s="254" t="str">
        <f>IF(AB36="","",IF(AB36-$AB$4&lt;$F$5-1,INDEX(Main_무해지!$G$76:$G$87,MIN(AB36-$AB$4+1,12)),IF(AB36-$AB$4=$F$5-1,0,IF(AND($F$2=1,AB36&gt;109),0,IF(AND($F$2=2,AB36&gt;111),0,INDEX(Main_무해지!$H$76:$H$82,MIN(AB36-$AB$4-$F$5+1,7)))))))</f>
        <v/>
      </c>
      <c r="AF36" s="254" t="str">
        <f t="shared" si="45"/>
        <v/>
      </c>
      <c r="AG36" s="254" t="str">
        <f t="shared" si="5"/>
        <v/>
      </c>
      <c r="AH36" s="54" t="str">
        <f>IF($AB36="","",SUM(AG36:AG$114))</f>
        <v/>
      </c>
      <c r="AI36" s="254" t="str">
        <f t="shared" si="36"/>
        <v/>
      </c>
      <c r="AJ36" s="56" t="str">
        <f t="shared" si="6"/>
        <v/>
      </c>
      <c r="AK36" s="56"/>
      <c r="AL36" s="254" t="str">
        <f t="shared" si="7"/>
        <v/>
      </c>
      <c r="AM36" s="254" t="str">
        <f t="shared" si="46"/>
        <v/>
      </c>
      <c r="AN36" s="254" t="str">
        <f t="shared" si="8"/>
        <v/>
      </c>
      <c r="AO36" s="54" t="str">
        <f>IF($AB36="","",SUM(AN36:AN$114))</f>
        <v/>
      </c>
      <c r="AP36" s="53" t="str">
        <f t="shared" si="37"/>
        <v/>
      </c>
      <c r="AQ36" s="254" t="str">
        <f t="shared" si="9"/>
        <v/>
      </c>
      <c r="AR36" s="254" t="str">
        <f t="shared" si="10"/>
        <v/>
      </c>
      <c r="AS36" s="254" t="str">
        <f t="shared" si="11"/>
        <v/>
      </c>
      <c r="AT36" s="57" t="str">
        <f>IF($AB36="","",SUM($AU36:$AU$114))</f>
        <v/>
      </c>
      <c r="AU36" s="254" t="str">
        <f t="shared" si="38"/>
        <v/>
      </c>
      <c r="AV36" s="57" t="str">
        <f t="shared" si="12"/>
        <v/>
      </c>
      <c r="AW36" s="53"/>
      <c r="AX36" s="254" t="str">
        <f t="shared" si="13"/>
        <v/>
      </c>
      <c r="AY36" s="254" t="str">
        <f t="shared" si="14"/>
        <v/>
      </c>
      <c r="AZ36" s="254" t="str">
        <f t="shared" si="15"/>
        <v/>
      </c>
      <c r="BA36" s="57" t="str">
        <f>IF($AB36="","",SUM($AZ36:$AZ$114))</f>
        <v/>
      </c>
      <c r="BB36" s="53"/>
      <c r="BC36" s="254" t="str">
        <f t="shared" si="16"/>
        <v/>
      </c>
      <c r="BD36" s="254" t="str">
        <f t="shared" si="17"/>
        <v/>
      </c>
      <c r="BE36" s="254" t="str">
        <f t="shared" si="18"/>
        <v/>
      </c>
      <c r="BF36" s="57" t="str">
        <f>IF($AB36="","",SUM($BE36:$BE$114))</f>
        <v/>
      </c>
      <c r="BG36" s="53"/>
      <c r="BH36" s="254" t="str">
        <f t="shared" si="19"/>
        <v/>
      </c>
      <c r="BI36" s="254" t="str">
        <f t="shared" si="20"/>
        <v/>
      </c>
      <c r="BJ36" s="254" t="str">
        <f t="shared" si="21"/>
        <v/>
      </c>
      <c r="BK36" s="57" t="str">
        <f>IF($AB36="","",SUM($BJ36:$BJ$114))</f>
        <v/>
      </c>
      <c r="BL36" s="53"/>
      <c r="BM36" s="254" t="str">
        <f t="shared" si="22"/>
        <v/>
      </c>
      <c r="BN36" s="254" t="str">
        <f t="shared" si="23"/>
        <v/>
      </c>
      <c r="BO36" s="254" t="str">
        <f t="shared" si="24"/>
        <v/>
      </c>
      <c r="BP36" s="57" t="str">
        <f>IF($AB36="","",SUM($BO36:$BO$114))</f>
        <v/>
      </c>
      <c r="BQ36" s="53" t="str">
        <f t="shared" si="25"/>
        <v/>
      </c>
      <c r="BR36" s="254" t="str">
        <f t="shared" si="39"/>
        <v/>
      </c>
      <c r="BS36" s="254" t="str">
        <f t="shared" si="26"/>
        <v/>
      </c>
      <c r="BT36" s="254" t="str">
        <f t="shared" si="27"/>
        <v/>
      </c>
      <c r="BU36" s="254" t="str">
        <f t="shared" si="40"/>
        <v/>
      </c>
      <c r="BV36" s="254"/>
      <c r="BW36" s="254"/>
      <c r="BX36" s="254"/>
      <c r="BY36" s="254"/>
      <c r="BZ36" s="254" t="str">
        <f>IF($AB36="","",SUM(BU36:BU$114))</f>
        <v/>
      </c>
      <c r="CA36" s="55" t="str">
        <f>IF(AB36&lt;$E$3+$F$5,0,IFERROR(일반형!S38,0))</f>
        <v/>
      </c>
      <c r="CB36" s="55"/>
      <c r="CC36" s="390" t="str">
        <f t="shared" si="0"/>
        <v/>
      </c>
      <c r="CD36" s="254" t="str">
        <f t="shared" si="41"/>
        <v/>
      </c>
      <c r="CE36" s="254" t="str">
        <f t="shared" si="28"/>
        <v/>
      </c>
      <c r="CF36" s="254" t="str">
        <f t="shared" si="29"/>
        <v/>
      </c>
      <c r="CG36" s="254" t="str">
        <f t="shared" si="42"/>
        <v/>
      </c>
      <c r="CH36" s="254" t="str">
        <f t="shared" si="30"/>
        <v/>
      </c>
      <c r="CI36" s="58" t="str">
        <f t="shared" si="43"/>
        <v/>
      </c>
      <c r="CJ36" s="59" t="str">
        <f t="shared" si="31"/>
        <v/>
      </c>
      <c r="CK36" s="236"/>
      <c r="CL36" s="203">
        <v>32</v>
      </c>
      <c r="CM36" s="254">
        <f t="shared" si="32"/>
        <v>0</v>
      </c>
      <c r="CN36" s="254">
        <f t="shared" si="33"/>
        <v>4.3000000000000002E-5</v>
      </c>
      <c r="CO36" s="254">
        <f t="shared" si="34"/>
        <v>2.1999999999999999E-5</v>
      </c>
      <c r="CP36" s="254">
        <f t="shared" si="44"/>
        <v>2.5099999999999998E-4</v>
      </c>
      <c r="CQ36" s="254"/>
      <c r="CR36" s="203">
        <v>32</v>
      </c>
      <c r="CS36" s="254"/>
      <c r="CT36" s="254"/>
      <c r="CU36" s="254">
        <v>4.3000000000000002E-5</v>
      </c>
      <c r="CV36" s="254">
        <v>9.0000000000000002E-6</v>
      </c>
      <c r="CW36" s="254">
        <v>2.1999999999999999E-5</v>
      </c>
      <c r="CX36" s="254">
        <v>1.0000000000000001E-5</v>
      </c>
      <c r="CY36" s="254">
        <v>2.5099999999999998E-4</v>
      </c>
      <c r="CZ36" s="254">
        <v>1.01E-4</v>
      </c>
      <c r="DA36" s="254"/>
      <c r="DB36" s="254"/>
      <c r="DC36" s="254"/>
      <c r="DD36" s="254"/>
    </row>
    <row r="37" spans="1:108">
      <c r="A37" s="305"/>
      <c r="B37" s="373"/>
      <c r="C37" s="127"/>
      <c r="D37" s="128" t="s">
        <v>51</v>
      </c>
      <c r="E37" s="181"/>
      <c r="F37" s="128"/>
      <c r="G37" s="129"/>
      <c r="H37" s="292"/>
      <c r="I37" s="82"/>
      <c r="J37" s="96" t="s">
        <v>93</v>
      </c>
      <c r="K37" s="296">
        <f>F7</f>
        <v>0</v>
      </c>
      <c r="M37" s="50"/>
      <c r="N37" s="275" t="str">
        <f t="shared" si="52"/>
        <v/>
      </c>
      <c r="O37" s="276" t="str">
        <f t="shared" si="53"/>
        <v/>
      </c>
      <c r="P37" s="277" t="str">
        <f t="shared" si="47"/>
        <v/>
      </c>
      <c r="Q37" s="381" t="str">
        <f t="shared" si="48"/>
        <v/>
      </c>
      <c r="R37" s="381" t="str">
        <f t="shared" si="49"/>
        <v/>
      </c>
      <c r="S37" s="401" t="str">
        <f t="shared" si="1"/>
        <v/>
      </c>
      <c r="T37" s="381" t="str">
        <f>일반형!P37</f>
        <v/>
      </c>
      <c r="U37" s="381" t="str">
        <f>일반형!Q37</f>
        <v/>
      </c>
      <c r="V37" s="277" t="str">
        <f>일반형!R37</f>
        <v/>
      </c>
      <c r="W37" s="401" t="str">
        <f>일반형!S37</f>
        <v/>
      </c>
      <c r="X37" s="277" t="str">
        <f t="shared" si="50"/>
        <v/>
      </c>
      <c r="Y37" s="444" t="str">
        <f t="shared" si="2"/>
        <v/>
      </c>
      <c r="Z37" s="445" t="str">
        <f t="shared" si="51"/>
        <v/>
      </c>
      <c r="AB37" s="52" t="str">
        <f t="shared" si="35"/>
        <v/>
      </c>
      <c r="AC37" s="644" t="str">
        <f t="shared" si="4"/>
        <v/>
      </c>
      <c r="AD37" s="254"/>
      <c r="AE37" s="254" t="str">
        <f>IF(AB37="","",IF(AB37-$AB$4&lt;$F$5-1,INDEX(Main_무해지!$G$76:$G$87,MIN(AB37-$AB$4+1,12)),IF(AB37-$AB$4=$F$5-1,0,IF(AND($F$2=1,AB37&gt;109),0,IF(AND($F$2=2,AB37&gt;111),0,INDEX(Main_무해지!$H$76:$H$82,MIN(AB37-$AB$4-$F$5+1,7)))))))</f>
        <v/>
      </c>
      <c r="AF37" s="254" t="str">
        <f t="shared" si="45"/>
        <v/>
      </c>
      <c r="AG37" s="254" t="str">
        <f t="shared" si="5"/>
        <v/>
      </c>
      <c r="AH37" s="54" t="str">
        <f>IF($AB37="","",SUM(AG37:AG$114))</f>
        <v/>
      </c>
      <c r="AI37" s="254" t="str">
        <f t="shared" si="36"/>
        <v/>
      </c>
      <c r="AJ37" s="56" t="str">
        <f t="shared" si="6"/>
        <v/>
      </c>
      <c r="AK37" s="56"/>
      <c r="AL37" s="254" t="str">
        <f t="shared" si="7"/>
        <v/>
      </c>
      <c r="AM37" s="254" t="str">
        <f t="shared" si="46"/>
        <v/>
      </c>
      <c r="AN37" s="254" t="str">
        <f t="shared" si="8"/>
        <v/>
      </c>
      <c r="AO37" s="54" t="str">
        <f>IF($AB37="","",SUM(AN37:AN$114))</f>
        <v/>
      </c>
      <c r="AP37" s="53" t="str">
        <f t="shared" si="37"/>
        <v/>
      </c>
      <c r="AQ37" s="254" t="str">
        <f t="shared" si="9"/>
        <v/>
      </c>
      <c r="AR37" s="254" t="str">
        <f t="shared" si="10"/>
        <v/>
      </c>
      <c r="AS37" s="254" t="str">
        <f t="shared" si="11"/>
        <v/>
      </c>
      <c r="AT37" s="57" t="str">
        <f>IF($AB37="","",SUM($AU37:$AU$114))</f>
        <v/>
      </c>
      <c r="AU37" s="254" t="str">
        <f t="shared" si="38"/>
        <v/>
      </c>
      <c r="AV37" s="57" t="str">
        <f t="shared" si="12"/>
        <v/>
      </c>
      <c r="AW37" s="53"/>
      <c r="AX37" s="254" t="str">
        <f t="shared" si="13"/>
        <v/>
      </c>
      <c r="AY37" s="254" t="str">
        <f t="shared" si="14"/>
        <v/>
      </c>
      <c r="AZ37" s="254" t="str">
        <f t="shared" si="15"/>
        <v/>
      </c>
      <c r="BA37" s="57" t="str">
        <f>IF($AB37="","",SUM($AZ37:$AZ$114))</f>
        <v/>
      </c>
      <c r="BB37" s="53"/>
      <c r="BC37" s="254" t="str">
        <f t="shared" si="16"/>
        <v/>
      </c>
      <c r="BD37" s="254" t="str">
        <f t="shared" si="17"/>
        <v/>
      </c>
      <c r="BE37" s="254" t="str">
        <f t="shared" si="18"/>
        <v/>
      </c>
      <c r="BF37" s="57" t="str">
        <f>IF($AB37="","",SUM($BE37:$BE$114))</f>
        <v/>
      </c>
      <c r="BG37" s="53"/>
      <c r="BH37" s="254" t="str">
        <f t="shared" si="19"/>
        <v/>
      </c>
      <c r="BI37" s="254" t="str">
        <f t="shared" si="20"/>
        <v/>
      </c>
      <c r="BJ37" s="254" t="str">
        <f t="shared" si="21"/>
        <v/>
      </c>
      <c r="BK37" s="57" t="str">
        <f>IF($AB37="","",SUM($BJ37:$BJ$114))</f>
        <v/>
      </c>
      <c r="BL37" s="53"/>
      <c r="BM37" s="254" t="str">
        <f t="shared" si="22"/>
        <v/>
      </c>
      <c r="BN37" s="254" t="str">
        <f t="shared" si="23"/>
        <v/>
      </c>
      <c r="BO37" s="254" t="str">
        <f t="shared" si="24"/>
        <v/>
      </c>
      <c r="BP37" s="57" t="str">
        <f>IF($AB37="","",SUM($BO37:$BO$114))</f>
        <v/>
      </c>
      <c r="BQ37" s="53" t="str">
        <f t="shared" si="25"/>
        <v/>
      </c>
      <c r="BR37" s="254" t="str">
        <f t="shared" si="39"/>
        <v/>
      </c>
      <c r="BS37" s="254" t="str">
        <f t="shared" si="26"/>
        <v/>
      </c>
      <c r="BT37" s="254" t="str">
        <f t="shared" si="27"/>
        <v/>
      </c>
      <c r="BU37" s="254" t="str">
        <f t="shared" si="40"/>
        <v/>
      </c>
      <c r="BV37" s="254"/>
      <c r="BW37" s="254"/>
      <c r="BX37" s="254"/>
      <c r="BY37" s="254"/>
      <c r="BZ37" s="254" t="str">
        <f>IF($AB37="","",SUM(BU37:BU$114))</f>
        <v/>
      </c>
      <c r="CA37" s="55" t="str">
        <f>IF(AB37&lt;$E$3+$F$5,0,IFERROR(일반형!S39,0))</f>
        <v/>
      </c>
      <c r="CB37" s="55"/>
      <c r="CC37" s="390" t="str">
        <f t="shared" si="0"/>
        <v/>
      </c>
      <c r="CD37" s="254" t="str">
        <f t="shared" si="41"/>
        <v/>
      </c>
      <c r="CE37" s="254" t="str">
        <f t="shared" si="28"/>
        <v/>
      </c>
      <c r="CF37" s="254" t="str">
        <f t="shared" si="29"/>
        <v/>
      </c>
      <c r="CG37" s="254" t="str">
        <f t="shared" si="42"/>
        <v/>
      </c>
      <c r="CH37" s="254" t="str">
        <f t="shared" si="30"/>
        <v/>
      </c>
      <c r="CI37" s="58" t="str">
        <f t="shared" si="43"/>
        <v/>
      </c>
      <c r="CJ37" s="59" t="str">
        <f t="shared" si="31"/>
        <v/>
      </c>
      <c r="CK37" s="236"/>
      <c r="CL37" s="203">
        <v>33</v>
      </c>
      <c r="CM37" s="254">
        <f t="shared" si="32"/>
        <v>0</v>
      </c>
      <c r="CN37" s="254">
        <f t="shared" si="33"/>
        <v>4.3000000000000002E-5</v>
      </c>
      <c r="CO37" s="254">
        <f t="shared" si="34"/>
        <v>2.5000000000000001E-5</v>
      </c>
      <c r="CP37" s="254">
        <f t="shared" si="44"/>
        <v>2.5099999999999998E-4</v>
      </c>
      <c r="CQ37" s="254"/>
      <c r="CR37" s="203">
        <v>33</v>
      </c>
      <c r="CS37" s="254"/>
      <c r="CT37" s="254"/>
      <c r="CU37" s="254">
        <v>4.3000000000000002E-5</v>
      </c>
      <c r="CV37" s="254">
        <v>9.0000000000000002E-6</v>
      </c>
      <c r="CW37" s="254">
        <v>2.5000000000000001E-5</v>
      </c>
      <c r="CX37" s="254">
        <v>1.0000000000000001E-5</v>
      </c>
      <c r="CY37" s="254">
        <v>2.5099999999999998E-4</v>
      </c>
      <c r="CZ37" s="254">
        <v>1.01E-4</v>
      </c>
      <c r="DA37" s="254"/>
      <c r="DB37" s="254"/>
      <c r="DC37" s="254"/>
      <c r="DD37" s="254"/>
    </row>
    <row r="38" spans="1:108" ht="17.25" thickBot="1">
      <c r="A38" s="305"/>
      <c r="B38" s="373"/>
      <c r="C38" s="93"/>
      <c r="D38" s="143" t="s">
        <v>52</v>
      </c>
      <c r="E38" s="182"/>
      <c r="F38" s="143"/>
      <c r="G38" s="94"/>
      <c r="H38" s="292"/>
      <c r="I38" s="99"/>
      <c r="J38" s="100" t="s">
        <v>39</v>
      </c>
      <c r="K38" s="297">
        <f>F6</f>
        <v>12</v>
      </c>
      <c r="M38" s="50"/>
      <c r="N38" s="278" t="str">
        <f t="shared" si="52"/>
        <v/>
      </c>
      <c r="O38" s="279" t="str">
        <f t="shared" si="53"/>
        <v/>
      </c>
      <c r="P38" s="271" t="str">
        <f t="shared" si="47"/>
        <v/>
      </c>
      <c r="Q38" s="382" t="str">
        <f t="shared" si="48"/>
        <v/>
      </c>
      <c r="R38" s="382" t="str">
        <f t="shared" si="49"/>
        <v/>
      </c>
      <c r="S38" s="400" t="str">
        <f t="shared" si="1"/>
        <v/>
      </c>
      <c r="T38" s="382" t="str">
        <f>일반형!P38</f>
        <v/>
      </c>
      <c r="U38" s="382" t="str">
        <f>일반형!Q38</f>
        <v/>
      </c>
      <c r="V38" s="271" t="str">
        <f>일반형!R38</f>
        <v/>
      </c>
      <c r="W38" s="400" t="str">
        <f>일반형!S38</f>
        <v/>
      </c>
      <c r="X38" s="271" t="str">
        <f t="shared" si="50"/>
        <v/>
      </c>
      <c r="Y38" s="442" t="str">
        <f t="shared" si="2"/>
        <v/>
      </c>
      <c r="Z38" s="443" t="str">
        <f t="shared" si="51"/>
        <v/>
      </c>
      <c r="AB38" s="52" t="str">
        <f t="shared" si="35"/>
        <v/>
      </c>
      <c r="AC38" s="644" t="str">
        <f t="shared" si="4"/>
        <v/>
      </c>
      <c r="AD38" s="254"/>
      <c r="AE38" s="254" t="str">
        <f>IF(AB38="","",IF(AB38-$AB$4&lt;$F$5-1,INDEX(Main_무해지!$G$76:$G$87,MIN(AB38-$AB$4+1,12)),IF(AB38-$AB$4=$F$5-1,0,IF(AND($F$2=1,AB38&gt;109),0,IF(AND($F$2=2,AB38&gt;111),0,INDEX(Main_무해지!$H$76:$H$82,MIN(AB38-$AB$4-$F$5+1,7)))))))</f>
        <v/>
      </c>
      <c r="AF38" s="254" t="str">
        <f t="shared" si="45"/>
        <v/>
      </c>
      <c r="AG38" s="254" t="str">
        <f t="shared" si="5"/>
        <v/>
      </c>
      <c r="AH38" s="54" t="str">
        <f>IF($AB38="","",SUM(AG38:AG$114))</f>
        <v/>
      </c>
      <c r="AI38" s="254" t="str">
        <f t="shared" si="36"/>
        <v/>
      </c>
      <c r="AJ38" s="56" t="str">
        <f t="shared" si="6"/>
        <v/>
      </c>
      <c r="AK38" s="56"/>
      <c r="AL38" s="254" t="str">
        <f t="shared" si="7"/>
        <v/>
      </c>
      <c r="AM38" s="254" t="str">
        <f t="shared" si="46"/>
        <v/>
      </c>
      <c r="AN38" s="254" t="str">
        <f t="shared" si="8"/>
        <v/>
      </c>
      <c r="AO38" s="54" t="str">
        <f>IF($AB38="","",SUM(AN38:AN$114))</f>
        <v/>
      </c>
      <c r="AP38" s="53" t="str">
        <f t="shared" si="37"/>
        <v/>
      </c>
      <c r="AQ38" s="254" t="str">
        <f t="shared" si="9"/>
        <v/>
      </c>
      <c r="AR38" s="254" t="str">
        <f t="shared" si="10"/>
        <v/>
      </c>
      <c r="AS38" s="254" t="str">
        <f t="shared" si="11"/>
        <v/>
      </c>
      <c r="AT38" s="57" t="str">
        <f>IF($AB38="","",SUM($AU38:$AU$114))</f>
        <v/>
      </c>
      <c r="AU38" s="254" t="str">
        <f t="shared" si="38"/>
        <v/>
      </c>
      <c r="AV38" s="57" t="str">
        <f t="shared" si="12"/>
        <v/>
      </c>
      <c r="AW38" s="53"/>
      <c r="AX38" s="254" t="str">
        <f t="shared" si="13"/>
        <v/>
      </c>
      <c r="AY38" s="254" t="str">
        <f t="shared" si="14"/>
        <v/>
      </c>
      <c r="AZ38" s="254" t="str">
        <f t="shared" si="15"/>
        <v/>
      </c>
      <c r="BA38" s="57" t="str">
        <f>IF($AB38="","",SUM($AZ38:$AZ$114))</f>
        <v/>
      </c>
      <c r="BB38" s="53"/>
      <c r="BC38" s="254" t="str">
        <f t="shared" si="16"/>
        <v/>
      </c>
      <c r="BD38" s="254" t="str">
        <f t="shared" si="17"/>
        <v/>
      </c>
      <c r="BE38" s="254" t="str">
        <f t="shared" si="18"/>
        <v/>
      </c>
      <c r="BF38" s="57" t="str">
        <f>IF($AB38="","",SUM($BE38:$BE$114))</f>
        <v/>
      </c>
      <c r="BG38" s="53"/>
      <c r="BH38" s="254" t="str">
        <f t="shared" si="19"/>
        <v/>
      </c>
      <c r="BI38" s="254" t="str">
        <f t="shared" si="20"/>
        <v/>
      </c>
      <c r="BJ38" s="254" t="str">
        <f t="shared" si="21"/>
        <v/>
      </c>
      <c r="BK38" s="57" t="str">
        <f>IF($AB38="","",SUM($BJ38:$BJ$114))</f>
        <v/>
      </c>
      <c r="BL38" s="53"/>
      <c r="BM38" s="254" t="str">
        <f t="shared" si="22"/>
        <v/>
      </c>
      <c r="BN38" s="254" t="str">
        <f t="shared" si="23"/>
        <v/>
      </c>
      <c r="BO38" s="254" t="str">
        <f t="shared" si="24"/>
        <v/>
      </c>
      <c r="BP38" s="57" t="str">
        <f>IF($AB38="","",SUM($BO38:$BO$114))</f>
        <v/>
      </c>
      <c r="BQ38" s="53" t="str">
        <f t="shared" si="25"/>
        <v/>
      </c>
      <c r="BR38" s="254" t="str">
        <f t="shared" si="39"/>
        <v/>
      </c>
      <c r="BS38" s="254" t="str">
        <f t="shared" si="26"/>
        <v/>
      </c>
      <c r="BT38" s="254" t="str">
        <f t="shared" si="27"/>
        <v/>
      </c>
      <c r="BU38" s="254" t="str">
        <f t="shared" si="40"/>
        <v/>
      </c>
      <c r="BV38" s="254"/>
      <c r="BW38" s="254"/>
      <c r="BX38" s="254"/>
      <c r="BY38" s="254"/>
      <c r="BZ38" s="254" t="str">
        <f>IF($AB38="","",SUM(BU38:BU$114))</f>
        <v/>
      </c>
      <c r="CA38" s="55" t="str">
        <f>IF(AB38&lt;$E$3+$F$5,0,IFERROR(일반형!S40,0))</f>
        <v/>
      </c>
      <c r="CB38" s="55"/>
      <c r="CC38" s="390" t="str">
        <f t="shared" si="0"/>
        <v/>
      </c>
      <c r="CD38" s="254" t="str">
        <f t="shared" si="41"/>
        <v/>
      </c>
      <c r="CE38" s="254" t="str">
        <f t="shared" si="28"/>
        <v/>
      </c>
      <c r="CF38" s="254" t="str">
        <f t="shared" si="29"/>
        <v/>
      </c>
      <c r="CG38" s="254" t="str">
        <f t="shared" si="42"/>
        <v/>
      </c>
      <c r="CH38" s="254" t="str">
        <f t="shared" si="30"/>
        <v/>
      </c>
      <c r="CI38" s="58" t="str">
        <f t="shared" si="43"/>
        <v/>
      </c>
      <c r="CJ38" s="59" t="str">
        <f t="shared" si="31"/>
        <v/>
      </c>
      <c r="CK38" s="236"/>
      <c r="CL38" s="203">
        <v>34</v>
      </c>
      <c r="CM38" s="254">
        <f t="shared" si="32"/>
        <v>0</v>
      </c>
      <c r="CN38" s="254">
        <f t="shared" si="33"/>
        <v>4.3000000000000002E-5</v>
      </c>
      <c r="CO38" s="254">
        <f t="shared" si="34"/>
        <v>2.6999999999999999E-5</v>
      </c>
      <c r="CP38" s="254">
        <f t="shared" si="44"/>
        <v>2.5099999999999998E-4</v>
      </c>
      <c r="CQ38" s="254"/>
      <c r="CR38" s="203">
        <v>34</v>
      </c>
      <c r="CS38" s="254"/>
      <c r="CT38" s="254"/>
      <c r="CU38" s="254">
        <v>4.3000000000000002E-5</v>
      </c>
      <c r="CV38" s="254">
        <v>9.0000000000000002E-6</v>
      </c>
      <c r="CW38" s="254">
        <v>2.6999999999999999E-5</v>
      </c>
      <c r="CX38" s="254">
        <v>9.0000000000000002E-6</v>
      </c>
      <c r="CY38" s="254">
        <v>2.5099999999999998E-4</v>
      </c>
      <c r="CZ38" s="254">
        <v>1.01E-4</v>
      </c>
      <c r="DA38" s="254"/>
      <c r="DB38" s="254"/>
      <c r="DC38" s="254"/>
      <c r="DD38" s="254"/>
    </row>
    <row r="39" spans="1:108">
      <c r="A39" s="305"/>
      <c r="B39" s="373"/>
      <c r="H39" s="292"/>
      <c r="I39" s="48" t="s">
        <v>41</v>
      </c>
      <c r="J39" s="51" t="s">
        <v>42</v>
      </c>
      <c r="K39" s="486">
        <f>((K35+K36)*(1-E28-E30))+(E23*K20+E27*K17+E29*K18)*(K19)/K17</f>
        <v>0.61654000749132931</v>
      </c>
      <c r="M39" s="50"/>
      <c r="N39" s="278" t="str">
        <f t="shared" si="52"/>
        <v/>
      </c>
      <c r="O39" s="279" t="str">
        <f t="shared" si="53"/>
        <v/>
      </c>
      <c r="P39" s="271" t="str">
        <f t="shared" si="47"/>
        <v/>
      </c>
      <c r="Q39" s="382" t="str">
        <f t="shared" si="48"/>
        <v/>
      </c>
      <c r="R39" s="382" t="str">
        <f t="shared" si="49"/>
        <v/>
      </c>
      <c r="S39" s="400" t="str">
        <f t="shared" si="1"/>
        <v/>
      </c>
      <c r="T39" s="382" t="str">
        <f>일반형!P39</f>
        <v/>
      </c>
      <c r="U39" s="382" t="str">
        <f>일반형!Q39</f>
        <v/>
      </c>
      <c r="V39" s="271" t="str">
        <f>일반형!R39</f>
        <v/>
      </c>
      <c r="W39" s="400" t="str">
        <f>일반형!S39</f>
        <v/>
      </c>
      <c r="X39" s="271" t="str">
        <f t="shared" si="50"/>
        <v/>
      </c>
      <c r="Y39" s="442" t="str">
        <f t="shared" si="2"/>
        <v/>
      </c>
      <c r="Z39" s="443" t="str">
        <f t="shared" si="51"/>
        <v/>
      </c>
      <c r="AB39" s="60" t="str">
        <f t="shared" si="35"/>
        <v/>
      </c>
      <c r="AC39" s="645" t="str">
        <f t="shared" si="4"/>
        <v/>
      </c>
      <c r="AD39" s="255"/>
      <c r="AE39" s="255" t="str">
        <f>IF(AB39="","",IF(AB39-$AB$4&lt;$F$5-1,INDEX(Main_무해지!$G$76:$G$87,MIN(AB39-$AB$4+1,12)),IF(AB39-$AB$4=$F$5-1,0,IF(AND($F$2=1,AB39&gt;109),0,IF(AND($F$2=2,AB39&gt;111),0,INDEX(Main_무해지!$H$76:$H$82,MIN(AB39-$AB$4-$F$5+1,7)))))))</f>
        <v/>
      </c>
      <c r="AF39" s="255" t="str">
        <f t="shared" si="45"/>
        <v/>
      </c>
      <c r="AG39" s="255" t="str">
        <f t="shared" si="5"/>
        <v/>
      </c>
      <c r="AH39" s="62" t="str">
        <f>IF($AB39="","",SUM(AG39:AG$114))</f>
        <v/>
      </c>
      <c r="AI39" s="255" t="str">
        <f t="shared" si="36"/>
        <v/>
      </c>
      <c r="AJ39" s="64" t="str">
        <f t="shared" si="6"/>
        <v/>
      </c>
      <c r="AK39" s="64"/>
      <c r="AL39" s="255" t="str">
        <f t="shared" si="7"/>
        <v/>
      </c>
      <c r="AM39" s="255" t="str">
        <f t="shared" si="46"/>
        <v/>
      </c>
      <c r="AN39" s="255" t="str">
        <f t="shared" si="8"/>
        <v/>
      </c>
      <c r="AO39" s="62" t="str">
        <f>IF($AB39="","",SUM(AN39:AN$114))</f>
        <v/>
      </c>
      <c r="AP39" s="61" t="str">
        <f t="shared" si="37"/>
        <v/>
      </c>
      <c r="AQ39" s="255" t="str">
        <f t="shared" si="9"/>
        <v/>
      </c>
      <c r="AR39" s="255" t="str">
        <f t="shared" si="10"/>
        <v/>
      </c>
      <c r="AS39" s="255" t="str">
        <f t="shared" si="11"/>
        <v/>
      </c>
      <c r="AT39" s="65" t="str">
        <f>IF($AB39="","",SUM($AU39:$AU$114))</f>
        <v/>
      </c>
      <c r="AU39" s="255" t="str">
        <f t="shared" si="38"/>
        <v/>
      </c>
      <c r="AV39" s="65" t="str">
        <f t="shared" si="12"/>
        <v/>
      </c>
      <c r="AW39" s="61"/>
      <c r="AX39" s="255" t="str">
        <f t="shared" si="13"/>
        <v/>
      </c>
      <c r="AY39" s="255" t="str">
        <f t="shared" si="14"/>
        <v/>
      </c>
      <c r="AZ39" s="255" t="str">
        <f t="shared" si="15"/>
        <v/>
      </c>
      <c r="BA39" s="65" t="str">
        <f>IF($AB39="","",SUM($AZ39:$AZ$114))</f>
        <v/>
      </c>
      <c r="BB39" s="61"/>
      <c r="BC39" s="255" t="str">
        <f t="shared" si="16"/>
        <v/>
      </c>
      <c r="BD39" s="255" t="str">
        <f t="shared" si="17"/>
        <v/>
      </c>
      <c r="BE39" s="255" t="str">
        <f t="shared" si="18"/>
        <v/>
      </c>
      <c r="BF39" s="65" t="str">
        <f>IF($AB39="","",SUM($BE39:$BE$114))</f>
        <v/>
      </c>
      <c r="BG39" s="61"/>
      <c r="BH39" s="255" t="str">
        <f t="shared" si="19"/>
        <v/>
      </c>
      <c r="BI39" s="255" t="str">
        <f t="shared" si="20"/>
        <v/>
      </c>
      <c r="BJ39" s="255" t="str">
        <f t="shared" si="21"/>
        <v/>
      </c>
      <c r="BK39" s="65" t="str">
        <f>IF($AB39="","",SUM($BJ39:$BJ$114))</f>
        <v/>
      </c>
      <c r="BL39" s="61"/>
      <c r="BM39" s="255" t="str">
        <f t="shared" si="22"/>
        <v/>
      </c>
      <c r="BN39" s="255" t="str">
        <f t="shared" si="23"/>
        <v/>
      </c>
      <c r="BO39" s="255" t="str">
        <f t="shared" si="24"/>
        <v/>
      </c>
      <c r="BP39" s="65" t="str">
        <f>IF($AB39="","",SUM($BO39:$BO$114))</f>
        <v/>
      </c>
      <c r="BQ39" s="61" t="str">
        <f t="shared" si="25"/>
        <v/>
      </c>
      <c r="BR39" s="255" t="str">
        <f t="shared" si="39"/>
        <v/>
      </c>
      <c r="BS39" s="255" t="str">
        <f t="shared" si="26"/>
        <v/>
      </c>
      <c r="BT39" s="255" t="str">
        <f t="shared" si="27"/>
        <v/>
      </c>
      <c r="BU39" s="255" t="str">
        <f t="shared" si="40"/>
        <v/>
      </c>
      <c r="BV39" s="255"/>
      <c r="BW39" s="255"/>
      <c r="BX39" s="255"/>
      <c r="BY39" s="255"/>
      <c r="BZ39" s="255" t="str">
        <f>IF($AB39="","",SUM(BU39:BU$114))</f>
        <v/>
      </c>
      <c r="CA39" s="63" t="str">
        <f>IF(AB39&lt;$E$3+$F$5,0,IFERROR(일반형!S41,0))</f>
        <v/>
      </c>
      <c r="CB39" s="63"/>
      <c r="CC39" s="391" t="str">
        <f t="shared" si="0"/>
        <v/>
      </c>
      <c r="CD39" s="255" t="str">
        <f t="shared" si="41"/>
        <v/>
      </c>
      <c r="CE39" s="255" t="str">
        <f t="shared" si="28"/>
        <v/>
      </c>
      <c r="CF39" s="255" t="str">
        <f t="shared" si="29"/>
        <v/>
      </c>
      <c r="CG39" s="255" t="str">
        <f t="shared" si="42"/>
        <v/>
      </c>
      <c r="CH39" s="255" t="str">
        <f t="shared" si="30"/>
        <v/>
      </c>
      <c r="CI39" s="66" t="str">
        <f t="shared" si="43"/>
        <v/>
      </c>
      <c r="CJ39" s="67" t="str">
        <f t="shared" si="31"/>
        <v/>
      </c>
      <c r="CK39" s="237"/>
      <c r="CL39" s="204">
        <v>35</v>
      </c>
      <c r="CM39" s="255">
        <f t="shared" si="32"/>
        <v>0</v>
      </c>
      <c r="CN39" s="255">
        <f t="shared" si="33"/>
        <v>4.3000000000000002E-5</v>
      </c>
      <c r="CO39" s="255">
        <f t="shared" si="34"/>
        <v>3.1000000000000001E-5</v>
      </c>
      <c r="CP39" s="255">
        <f t="shared" si="44"/>
        <v>2.5099999999999998E-4</v>
      </c>
      <c r="CQ39" s="255"/>
      <c r="CR39" s="204">
        <v>35</v>
      </c>
      <c r="CS39" s="255"/>
      <c r="CT39" s="255"/>
      <c r="CU39" s="255">
        <v>4.3000000000000002E-5</v>
      </c>
      <c r="CV39" s="255">
        <v>9.0000000000000002E-6</v>
      </c>
      <c r="CW39" s="255">
        <v>3.1000000000000001E-5</v>
      </c>
      <c r="CX39" s="255">
        <v>1.0000000000000001E-5</v>
      </c>
      <c r="CY39" s="255">
        <v>2.5099999999999998E-4</v>
      </c>
      <c r="CZ39" s="255">
        <v>1.01E-4</v>
      </c>
      <c r="DA39" s="255"/>
      <c r="DB39" s="255"/>
      <c r="DC39" s="255"/>
      <c r="DD39" s="255"/>
    </row>
    <row r="40" spans="1:108" ht="17.25" thickBot="1">
      <c r="A40" s="305"/>
      <c r="B40" s="373"/>
      <c r="I40" s="48" t="s">
        <v>26</v>
      </c>
      <c r="J40" s="51" t="s">
        <v>44</v>
      </c>
      <c r="K40" s="487">
        <f>K17*(1-E28-E30)-(K19)*(1+E24*K20/K17)</f>
        <v>173074.57212713937</v>
      </c>
      <c r="M40" s="50"/>
      <c r="N40" s="278" t="str">
        <f t="shared" si="52"/>
        <v/>
      </c>
      <c r="O40" s="279" t="str">
        <f t="shared" si="53"/>
        <v/>
      </c>
      <c r="P40" s="271" t="str">
        <f t="shared" si="47"/>
        <v/>
      </c>
      <c r="Q40" s="382" t="str">
        <f t="shared" si="48"/>
        <v/>
      </c>
      <c r="R40" s="382" t="str">
        <f t="shared" si="49"/>
        <v/>
      </c>
      <c r="S40" s="400" t="str">
        <f t="shared" si="1"/>
        <v/>
      </c>
      <c r="T40" s="382" t="str">
        <f>일반형!P40</f>
        <v/>
      </c>
      <c r="U40" s="382" t="str">
        <f>일반형!Q40</f>
        <v/>
      </c>
      <c r="V40" s="271" t="str">
        <f>일반형!R40</f>
        <v/>
      </c>
      <c r="W40" s="400" t="str">
        <f>일반형!S40</f>
        <v/>
      </c>
      <c r="X40" s="271" t="str">
        <f t="shared" si="50"/>
        <v/>
      </c>
      <c r="Y40" s="442" t="str">
        <f t="shared" si="2"/>
        <v/>
      </c>
      <c r="Z40" s="443" t="str">
        <f t="shared" si="51"/>
        <v/>
      </c>
      <c r="AB40" s="759" t="str">
        <f t="shared" si="35"/>
        <v/>
      </c>
      <c r="AC40" s="646" t="str">
        <f t="shared" si="4"/>
        <v/>
      </c>
      <c r="AD40" s="409"/>
      <c r="AE40" s="409" t="str">
        <f>IF(AB40="","",IF(AB40-$AB$4&lt;$F$5-1,INDEX(Main_무해지!$G$76:$G$87,MIN(AB40-$AB$4+1,12)),IF(AB40-$AB$4=$F$5-1,0,IF(AND($F$2=1,AB40&gt;109),0,IF(AND($F$2=2,AB40&gt;111),0,INDEX(Main_무해지!$H$76:$H$82,MIN(AB40-$AB$4-$F$5+1,7)))))))</f>
        <v/>
      </c>
      <c r="AF40" s="409" t="str">
        <f t="shared" si="45"/>
        <v/>
      </c>
      <c r="AG40" s="409" t="str">
        <f t="shared" si="5"/>
        <v/>
      </c>
      <c r="AH40" s="760" t="str">
        <f>IF($AB40="","",SUM(AG40:AG$114))</f>
        <v/>
      </c>
      <c r="AI40" s="409" t="str">
        <f t="shared" si="36"/>
        <v/>
      </c>
      <c r="AJ40" s="639" t="str">
        <f t="shared" si="6"/>
        <v/>
      </c>
      <c r="AK40" s="639"/>
      <c r="AL40" s="409" t="str">
        <f t="shared" si="7"/>
        <v/>
      </c>
      <c r="AM40" s="409" t="str">
        <f t="shared" si="46"/>
        <v/>
      </c>
      <c r="AN40" s="409" t="str">
        <f t="shared" si="8"/>
        <v/>
      </c>
      <c r="AO40" s="760" t="str">
        <f>IF($AB40="","",SUM(AN40:AN$114))</f>
        <v/>
      </c>
      <c r="AP40" s="761" t="str">
        <f t="shared" si="37"/>
        <v/>
      </c>
      <c r="AQ40" s="409" t="str">
        <f t="shared" si="9"/>
        <v/>
      </c>
      <c r="AR40" s="409" t="str">
        <f t="shared" si="10"/>
        <v/>
      </c>
      <c r="AS40" s="409" t="str">
        <f t="shared" si="11"/>
        <v/>
      </c>
      <c r="AT40" s="762" t="str">
        <f>IF($AB40="","",SUM($AU40:$AU$114))</f>
        <v/>
      </c>
      <c r="AU40" s="409" t="str">
        <f t="shared" si="38"/>
        <v/>
      </c>
      <c r="AV40" s="762" t="str">
        <f t="shared" si="12"/>
        <v/>
      </c>
      <c r="AW40" s="761"/>
      <c r="AX40" s="409" t="str">
        <f t="shared" si="13"/>
        <v/>
      </c>
      <c r="AY40" s="409" t="str">
        <f t="shared" si="14"/>
        <v/>
      </c>
      <c r="AZ40" s="409" t="str">
        <f t="shared" si="15"/>
        <v/>
      </c>
      <c r="BA40" s="762" t="str">
        <f>IF($AB40="","",SUM($AZ40:$AZ$114))</f>
        <v/>
      </c>
      <c r="BB40" s="761"/>
      <c r="BC40" s="409" t="str">
        <f t="shared" si="16"/>
        <v/>
      </c>
      <c r="BD40" s="409" t="str">
        <f t="shared" si="17"/>
        <v/>
      </c>
      <c r="BE40" s="409" t="str">
        <f t="shared" si="18"/>
        <v/>
      </c>
      <c r="BF40" s="762" t="str">
        <f>IF($AB40="","",SUM($BE40:$BE$114))</f>
        <v/>
      </c>
      <c r="BG40" s="761"/>
      <c r="BH40" s="409" t="str">
        <f t="shared" si="19"/>
        <v/>
      </c>
      <c r="BI40" s="409" t="str">
        <f t="shared" si="20"/>
        <v/>
      </c>
      <c r="BJ40" s="409" t="str">
        <f t="shared" si="21"/>
        <v/>
      </c>
      <c r="BK40" s="762" t="str">
        <f>IF($AB40="","",SUM($BJ40:$BJ$114))</f>
        <v/>
      </c>
      <c r="BL40" s="761"/>
      <c r="BM40" s="409" t="str">
        <f t="shared" si="22"/>
        <v/>
      </c>
      <c r="BN40" s="409" t="str">
        <f t="shared" si="23"/>
        <v/>
      </c>
      <c r="BO40" s="409" t="str">
        <f t="shared" si="24"/>
        <v/>
      </c>
      <c r="BP40" s="762" t="str">
        <f>IF($AB40="","",SUM($BO40:$BO$114))</f>
        <v/>
      </c>
      <c r="BQ40" s="761" t="str">
        <f t="shared" si="25"/>
        <v/>
      </c>
      <c r="BR40" s="409" t="str">
        <f t="shared" si="39"/>
        <v/>
      </c>
      <c r="BS40" s="409" t="str">
        <f t="shared" si="26"/>
        <v/>
      </c>
      <c r="BT40" s="409" t="str">
        <f t="shared" si="27"/>
        <v/>
      </c>
      <c r="BU40" s="409" t="str">
        <f t="shared" si="40"/>
        <v/>
      </c>
      <c r="BV40" s="409"/>
      <c r="BW40" s="409"/>
      <c r="BX40" s="409"/>
      <c r="BY40" s="409"/>
      <c r="BZ40" s="409" t="str">
        <f>IF($AB40="","",SUM(BU40:BU$114))</f>
        <v/>
      </c>
      <c r="CA40" s="763" t="str">
        <f>IF(AB40&lt;$E$3+$F$5,0,IFERROR(일반형!S42,0))</f>
        <v/>
      </c>
      <c r="CB40" s="763"/>
      <c r="CC40" s="764" t="str">
        <f t="shared" si="0"/>
        <v/>
      </c>
      <c r="CD40" s="409" t="str">
        <f t="shared" si="41"/>
        <v/>
      </c>
      <c r="CE40" s="409" t="str">
        <f t="shared" si="28"/>
        <v/>
      </c>
      <c r="CF40" s="409" t="str">
        <f t="shared" si="29"/>
        <v/>
      </c>
      <c r="CG40" s="409" t="str">
        <f t="shared" si="42"/>
        <v/>
      </c>
      <c r="CH40" s="409" t="str">
        <f t="shared" si="30"/>
        <v/>
      </c>
      <c r="CI40" s="765" t="str">
        <f t="shared" si="43"/>
        <v/>
      </c>
      <c r="CJ40" s="766" t="str">
        <f t="shared" si="31"/>
        <v/>
      </c>
      <c r="CK40" s="414"/>
      <c r="CL40" s="767">
        <v>36</v>
      </c>
      <c r="CM40" s="409">
        <f t="shared" si="32"/>
        <v>0</v>
      </c>
      <c r="CN40" s="409">
        <f t="shared" si="33"/>
        <v>4.3000000000000002E-5</v>
      </c>
      <c r="CO40" s="409">
        <f t="shared" si="34"/>
        <v>3.4E-5</v>
      </c>
      <c r="CP40" s="409">
        <f t="shared" si="44"/>
        <v>2.5099999999999998E-4</v>
      </c>
      <c r="CQ40" s="409"/>
      <c r="CR40" s="767">
        <v>36</v>
      </c>
      <c r="CS40" s="409"/>
      <c r="CT40" s="409"/>
      <c r="CU40" s="409">
        <v>4.3000000000000002E-5</v>
      </c>
      <c r="CV40" s="409">
        <v>9.0000000000000002E-6</v>
      </c>
      <c r="CW40" s="409">
        <v>3.4E-5</v>
      </c>
      <c r="CX40" s="409">
        <v>1.2E-5</v>
      </c>
      <c r="CY40" s="409">
        <v>2.5099999999999998E-4</v>
      </c>
      <c r="CZ40" s="409">
        <v>1.01E-4</v>
      </c>
      <c r="DA40" s="409"/>
      <c r="DB40" s="409"/>
      <c r="DC40" s="409"/>
      <c r="DD40" s="409"/>
    </row>
    <row r="41" spans="1:108" ht="17.25" thickTop="1">
      <c r="A41" s="305"/>
      <c r="B41" s="373"/>
      <c r="C41" s="184"/>
      <c r="D41" s="185" t="s">
        <v>63</v>
      </c>
      <c r="E41" s="433" t="str">
        <f>Z3</f>
        <v>ok</v>
      </c>
      <c r="F41" s="187"/>
      <c r="G41" s="188"/>
      <c r="I41" s="82"/>
      <c r="J41" s="109" t="s">
        <v>46</v>
      </c>
      <c r="K41" s="635">
        <f>무해지형_연납순보험료!K41</f>
        <v>7.0461715141866193E-6</v>
      </c>
      <c r="N41" s="280" t="str">
        <f t="shared" si="52"/>
        <v/>
      </c>
      <c r="O41" s="281" t="str">
        <f t="shared" si="53"/>
        <v/>
      </c>
      <c r="P41" s="282" t="str">
        <f t="shared" si="47"/>
        <v/>
      </c>
      <c r="Q41" s="383" t="str">
        <f t="shared" si="48"/>
        <v/>
      </c>
      <c r="R41" s="383" t="str">
        <f t="shared" si="49"/>
        <v/>
      </c>
      <c r="S41" s="402" t="str">
        <f t="shared" si="1"/>
        <v/>
      </c>
      <c r="T41" s="383" t="str">
        <f>일반형!P41</f>
        <v/>
      </c>
      <c r="U41" s="383" t="str">
        <f>일반형!Q41</f>
        <v/>
      </c>
      <c r="V41" s="282" t="str">
        <f>일반형!R41</f>
        <v/>
      </c>
      <c r="W41" s="402" t="str">
        <f>일반형!S41</f>
        <v/>
      </c>
      <c r="X41" s="282" t="str">
        <f t="shared" si="50"/>
        <v/>
      </c>
      <c r="Y41" s="446" t="str">
        <f t="shared" si="2"/>
        <v/>
      </c>
      <c r="Z41" s="447" t="str">
        <f t="shared" si="51"/>
        <v/>
      </c>
      <c r="AB41" s="101" t="str">
        <f t="shared" si="35"/>
        <v/>
      </c>
      <c r="AC41" s="649" t="str">
        <f t="shared" si="4"/>
        <v/>
      </c>
      <c r="AD41" s="258"/>
      <c r="AE41" s="258" t="str">
        <f>IF(AB41="","",IF(AB41-$AB$4&lt;$F$5-1,INDEX(Main_무해지!$G$76:$G$87,MIN(AB41-$AB$4+1,12)),IF(AB41-$AB$4=$F$5-1,0,IF(AND($F$2=1,AB41&gt;109),0,IF(AND($F$2=2,AB41&gt;111),0,INDEX(Main_무해지!$H$76:$H$82,MIN(AB41-$AB$4-$F$5+1,7)))))))</f>
        <v/>
      </c>
      <c r="AF41" s="258" t="str">
        <f t="shared" si="45"/>
        <v/>
      </c>
      <c r="AG41" s="258" t="str">
        <f t="shared" si="5"/>
        <v/>
      </c>
      <c r="AH41" s="102" t="str">
        <f>IF($AB41="","",SUM(AG41:AG$114))</f>
        <v/>
      </c>
      <c r="AI41" s="258" t="str">
        <f t="shared" si="36"/>
        <v/>
      </c>
      <c r="AJ41" s="308" t="str">
        <f t="shared" si="6"/>
        <v/>
      </c>
      <c r="AK41" s="308"/>
      <c r="AL41" s="258" t="str">
        <f t="shared" si="7"/>
        <v/>
      </c>
      <c r="AM41" s="258" t="str">
        <f t="shared" si="46"/>
        <v/>
      </c>
      <c r="AN41" s="258" t="str">
        <f t="shared" si="8"/>
        <v/>
      </c>
      <c r="AO41" s="102" t="str">
        <f>IF($AB41="","",SUM(AN41:AN$114))</f>
        <v/>
      </c>
      <c r="AP41" s="285" t="str">
        <f t="shared" si="37"/>
        <v/>
      </c>
      <c r="AQ41" s="258" t="str">
        <f t="shared" si="9"/>
        <v/>
      </c>
      <c r="AR41" s="258" t="str">
        <f t="shared" si="10"/>
        <v/>
      </c>
      <c r="AS41" s="258" t="str">
        <f t="shared" si="11"/>
        <v/>
      </c>
      <c r="AT41" s="315" t="str">
        <f>IF($AB41="","",SUM($AU41:$AU$114))</f>
        <v/>
      </c>
      <c r="AU41" s="258" t="str">
        <f t="shared" si="38"/>
        <v/>
      </c>
      <c r="AV41" s="315" t="str">
        <f t="shared" si="12"/>
        <v/>
      </c>
      <c r="AW41" s="285"/>
      <c r="AX41" s="258" t="str">
        <f t="shared" si="13"/>
        <v/>
      </c>
      <c r="AY41" s="258" t="str">
        <f t="shared" si="14"/>
        <v/>
      </c>
      <c r="AZ41" s="258" t="str">
        <f t="shared" si="15"/>
        <v/>
      </c>
      <c r="BA41" s="315" t="str">
        <f>IF($AB41="","",SUM($AZ41:$AZ$114))</f>
        <v/>
      </c>
      <c r="BB41" s="285"/>
      <c r="BC41" s="258" t="str">
        <f t="shared" si="16"/>
        <v/>
      </c>
      <c r="BD41" s="258" t="str">
        <f t="shared" si="17"/>
        <v/>
      </c>
      <c r="BE41" s="258" t="str">
        <f t="shared" si="18"/>
        <v/>
      </c>
      <c r="BF41" s="315" t="str">
        <f>IF($AB41="","",SUM($BE41:$BE$114))</f>
        <v/>
      </c>
      <c r="BG41" s="285"/>
      <c r="BH41" s="258" t="str">
        <f t="shared" si="19"/>
        <v/>
      </c>
      <c r="BI41" s="258" t="str">
        <f t="shared" si="20"/>
        <v/>
      </c>
      <c r="BJ41" s="258" t="str">
        <f t="shared" si="21"/>
        <v/>
      </c>
      <c r="BK41" s="315" t="str">
        <f>IF($AB41="","",SUM($BJ41:$BJ$114))</f>
        <v/>
      </c>
      <c r="BL41" s="285"/>
      <c r="BM41" s="258" t="str">
        <f t="shared" si="22"/>
        <v/>
      </c>
      <c r="BN41" s="258" t="str">
        <f t="shared" si="23"/>
        <v/>
      </c>
      <c r="BO41" s="258" t="str">
        <f t="shared" si="24"/>
        <v/>
      </c>
      <c r="BP41" s="315" t="str">
        <f>IF($AB41="","",SUM($BO41:$BO$114))</f>
        <v/>
      </c>
      <c r="BQ41" s="285" t="str">
        <f t="shared" si="25"/>
        <v/>
      </c>
      <c r="BR41" s="258" t="str">
        <f t="shared" si="39"/>
        <v/>
      </c>
      <c r="BS41" s="258" t="str">
        <f t="shared" si="26"/>
        <v/>
      </c>
      <c r="BT41" s="258" t="str">
        <f t="shared" si="27"/>
        <v/>
      </c>
      <c r="BU41" s="258" t="str">
        <f t="shared" si="40"/>
        <v/>
      </c>
      <c r="BV41" s="258"/>
      <c r="BW41" s="258"/>
      <c r="BX41" s="258"/>
      <c r="BY41" s="258"/>
      <c r="BZ41" s="258" t="str">
        <f>IF($AB41="","",SUM(BU41:BU$114))</f>
        <v/>
      </c>
      <c r="CA41" s="103" t="str">
        <f>IF(AB41&lt;$E$3+$F$5,0,IFERROR(일반형!S43,0))</f>
        <v/>
      </c>
      <c r="CB41" s="103"/>
      <c r="CC41" s="394" t="str">
        <f t="shared" si="0"/>
        <v/>
      </c>
      <c r="CD41" s="258" t="str">
        <f t="shared" si="41"/>
        <v/>
      </c>
      <c r="CE41" s="258" t="str">
        <f t="shared" si="28"/>
        <v/>
      </c>
      <c r="CF41" s="258" t="str">
        <f t="shared" si="29"/>
        <v/>
      </c>
      <c r="CG41" s="258" t="str">
        <f t="shared" si="42"/>
        <v/>
      </c>
      <c r="CH41" s="258" t="str">
        <f t="shared" si="30"/>
        <v/>
      </c>
      <c r="CI41" s="104" t="str">
        <f t="shared" si="43"/>
        <v/>
      </c>
      <c r="CJ41" s="105" t="str">
        <f t="shared" si="31"/>
        <v/>
      </c>
      <c r="CK41" s="240"/>
      <c r="CL41" s="207">
        <v>37</v>
      </c>
      <c r="CM41" s="258">
        <f t="shared" si="32"/>
        <v>0</v>
      </c>
      <c r="CN41" s="258">
        <f t="shared" si="33"/>
        <v>4.3000000000000002E-5</v>
      </c>
      <c r="CO41" s="258">
        <f t="shared" si="34"/>
        <v>3.8999999999999999E-5</v>
      </c>
      <c r="CP41" s="258">
        <f t="shared" si="44"/>
        <v>2.5099999999999998E-4</v>
      </c>
      <c r="CQ41" s="258"/>
      <c r="CR41" s="207">
        <v>37</v>
      </c>
      <c r="CS41" s="258"/>
      <c r="CT41" s="258"/>
      <c r="CU41" s="258">
        <v>4.3000000000000002E-5</v>
      </c>
      <c r="CV41" s="258">
        <v>9.0000000000000002E-6</v>
      </c>
      <c r="CW41" s="258">
        <v>3.8999999999999999E-5</v>
      </c>
      <c r="CX41" s="258">
        <v>1.4E-5</v>
      </c>
      <c r="CY41" s="258">
        <v>2.5099999999999998E-4</v>
      </c>
      <c r="CZ41" s="258">
        <v>1.01E-4</v>
      </c>
      <c r="DA41" s="258"/>
      <c r="DB41" s="258"/>
      <c r="DC41" s="258"/>
      <c r="DD41" s="258"/>
    </row>
    <row r="42" spans="1:108">
      <c r="A42" s="305"/>
      <c r="B42" s="373"/>
      <c r="C42" s="189"/>
      <c r="D42" s="190" t="s">
        <v>64</v>
      </c>
      <c r="E42" s="191" t="str">
        <f>Y3</f>
        <v>ok</v>
      </c>
      <c r="F42" s="176"/>
      <c r="G42" s="192"/>
      <c r="I42" s="115" t="str">
        <f>IF(F5=0,"일시납순보험료","연납순보험료")</f>
        <v>연납순보험료</v>
      </c>
      <c r="J42" s="116" t="s">
        <v>42</v>
      </c>
      <c r="K42" s="488">
        <f>IF($F$6=0,(1-$E$36-$E$38)*(K35+K36)+($E$32+$E$37*K33/K20)*K34,(1-$E$28-$E$30-E25*K20/K32)*(K35)+(($E$23+$E$24*K41)*K20+$E$27*K31+$E$29*K33)*K36/K31)</f>
        <v>0.61654000749132931</v>
      </c>
      <c r="N42" s="275" t="str">
        <f t="shared" si="52"/>
        <v/>
      </c>
      <c r="O42" s="276" t="str">
        <f t="shared" si="53"/>
        <v/>
      </c>
      <c r="P42" s="277" t="str">
        <f t="shared" si="47"/>
        <v/>
      </c>
      <c r="Q42" s="381" t="str">
        <f t="shared" si="48"/>
        <v/>
      </c>
      <c r="R42" s="381" t="str">
        <f t="shared" si="49"/>
        <v/>
      </c>
      <c r="S42" s="401" t="str">
        <f t="shared" si="1"/>
        <v/>
      </c>
      <c r="T42" s="381" t="str">
        <f>일반형!P42</f>
        <v/>
      </c>
      <c r="U42" s="381" t="str">
        <f>일반형!Q42</f>
        <v/>
      </c>
      <c r="V42" s="277" t="str">
        <f>일반형!R42</f>
        <v/>
      </c>
      <c r="W42" s="401" t="str">
        <f>일반형!S42</f>
        <v/>
      </c>
      <c r="X42" s="277" t="str">
        <f t="shared" si="50"/>
        <v/>
      </c>
      <c r="Y42" s="444" t="str">
        <f t="shared" si="2"/>
        <v/>
      </c>
      <c r="Z42" s="445" t="str">
        <f t="shared" si="51"/>
        <v/>
      </c>
      <c r="AB42" s="101" t="str">
        <f t="shared" si="35"/>
        <v/>
      </c>
      <c r="AC42" s="649" t="str">
        <f t="shared" si="4"/>
        <v/>
      </c>
      <c r="AD42" s="258"/>
      <c r="AE42" s="258" t="str">
        <f>IF(AB42="","",IF(AB42-$AB$4&lt;$F$5-1,INDEX(Main_무해지!$G$76:$G$87,MIN(AB42-$AB$4+1,12)),IF(AB42-$AB$4=$F$5-1,0,IF(AND($F$2=1,AB42&gt;109),0,IF(AND($F$2=2,AB42&gt;111),0,INDEX(Main_무해지!$H$76:$H$82,MIN(AB42-$AB$4-$F$5+1,7)))))))</f>
        <v/>
      </c>
      <c r="AF42" s="258" t="str">
        <f t="shared" si="45"/>
        <v/>
      </c>
      <c r="AG42" s="258" t="str">
        <f t="shared" si="5"/>
        <v/>
      </c>
      <c r="AH42" s="102" t="str">
        <f>IF($AB42="","",SUM(AG42:AG$114))</f>
        <v/>
      </c>
      <c r="AI42" s="258" t="str">
        <f t="shared" si="36"/>
        <v/>
      </c>
      <c r="AJ42" s="308" t="str">
        <f t="shared" si="6"/>
        <v/>
      </c>
      <c r="AK42" s="308"/>
      <c r="AL42" s="258" t="str">
        <f t="shared" si="7"/>
        <v/>
      </c>
      <c r="AM42" s="258" t="str">
        <f t="shared" si="46"/>
        <v/>
      </c>
      <c r="AN42" s="258" t="str">
        <f t="shared" si="8"/>
        <v/>
      </c>
      <c r="AO42" s="102" t="str">
        <f>IF($AB42="","",SUM(AN42:AN$114))</f>
        <v/>
      </c>
      <c r="AP42" s="285" t="str">
        <f t="shared" si="37"/>
        <v/>
      </c>
      <c r="AQ42" s="258" t="str">
        <f t="shared" si="9"/>
        <v/>
      </c>
      <c r="AR42" s="258" t="str">
        <f t="shared" si="10"/>
        <v/>
      </c>
      <c r="AS42" s="258" t="str">
        <f t="shared" si="11"/>
        <v/>
      </c>
      <c r="AT42" s="315" t="str">
        <f>IF($AB42="","",SUM($AU42:$AU$114))</f>
        <v/>
      </c>
      <c r="AU42" s="258" t="str">
        <f t="shared" si="38"/>
        <v/>
      </c>
      <c r="AV42" s="315" t="str">
        <f t="shared" si="12"/>
        <v/>
      </c>
      <c r="AW42" s="285"/>
      <c r="AX42" s="258" t="str">
        <f t="shared" si="13"/>
        <v/>
      </c>
      <c r="AY42" s="258" t="str">
        <f t="shared" si="14"/>
        <v/>
      </c>
      <c r="AZ42" s="258" t="str">
        <f t="shared" si="15"/>
        <v/>
      </c>
      <c r="BA42" s="315" t="str">
        <f>IF($AB42="","",SUM($AZ42:$AZ$114))</f>
        <v/>
      </c>
      <c r="BB42" s="285"/>
      <c r="BC42" s="258" t="str">
        <f t="shared" si="16"/>
        <v/>
      </c>
      <c r="BD42" s="258" t="str">
        <f t="shared" si="17"/>
        <v/>
      </c>
      <c r="BE42" s="258" t="str">
        <f t="shared" si="18"/>
        <v/>
      </c>
      <c r="BF42" s="315" t="str">
        <f>IF($AB42="","",SUM($BE42:$BE$114))</f>
        <v/>
      </c>
      <c r="BG42" s="285"/>
      <c r="BH42" s="258" t="str">
        <f t="shared" si="19"/>
        <v/>
      </c>
      <c r="BI42" s="258" t="str">
        <f t="shared" si="20"/>
        <v/>
      </c>
      <c r="BJ42" s="258" t="str">
        <f t="shared" si="21"/>
        <v/>
      </c>
      <c r="BK42" s="315" t="str">
        <f>IF($AB42="","",SUM($BJ42:$BJ$114))</f>
        <v/>
      </c>
      <c r="BL42" s="285"/>
      <c r="BM42" s="258" t="str">
        <f t="shared" si="22"/>
        <v/>
      </c>
      <c r="BN42" s="258" t="str">
        <f t="shared" si="23"/>
        <v/>
      </c>
      <c r="BO42" s="258" t="str">
        <f t="shared" si="24"/>
        <v/>
      </c>
      <c r="BP42" s="315" t="str">
        <f>IF($AB42="","",SUM($BO42:$BO$114))</f>
        <v/>
      </c>
      <c r="BQ42" s="285" t="str">
        <f t="shared" si="25"/>
        <v/>
      </c>
      <c r="BR42" s="258" t="str">
        <f t="shared" si="39"/>
        <v/>
      </c>
      <c r="BS42" s="258" t="str">
        <f t="shared" si="26"/>
        <v/>
      </c>
      <c r="BT42" s="258" t="str">
        <f t="shared" si="27"/>
        <v/>
      </c>
      <c r="BU42" s="258" t="str">
        <f t="shared" si="40"/>
        <v/>
      </c>
      <c r="BV42" s="258"/>
      <c r="BW42" s="258"/>
      <c r="BX42" s="258"/>
      <c r="BY42" s="258"/>
      <c r="BZ42" s="258" t="str">
        <f>IF($AB42="","",SUM(BU42:BU$114))</f>
        <v/>
      </c>
      <c r="CA42" s="103" t="str">
        <f>IF(AB42&lt;$E$3+$F$5,0,IFERROR(일반형!S44,0))</f>
        <v/>
      </c>
      <c r="CB42" s="103"/>
      <c r="CC42" s="394" t="str">
        <f t="shared" si="0"/>
        <v/>
      </c>
      <c r="CD42" s="258" t="str">
        <f t="shared" si="41"/>
        <v/>
      </c>
      <c r="CE42" s="258" t="str">
        <f t="shared" si="28"/>
        <v/>
      </c>
      <c r="CF42" s="258" t="str">
        <f t="shared" si="29"/>
        <v/>
      </c>
      <c r="CG42" s="258" t="str">
        <f t="shared" si="42"/>
        <v/>
      </c>
      <c r="CH42" s="258" t="str">
        <f t="shared" si="30"/>
        <v/>
      </c>
      <c r="CI42" s="104" t="str">
        <f t="shared" si="43"/>
        <v/>
      </c>
      <c r="CJ42" s="105" t="str">
        <f t="shared" si="31"/>
        <v/>
      </c>
      <c r="CK42" s="240"/>
      <c r="CL42" s="207">
        <v>38</v>
      </c>
      <c r="CM42" s="258">
        <f t="shared" si="32"/>
        <v>0</v>
      </c>
      <c r="CN42" s="258">
        <f t="shared" si="33"/>
        <v>4.3000000000000002E-5</v>
      </c>
      <c r="CO42" s="258">
        <f t="shared" si="34"/>
        <v>4.3999999999999999E-5</v>
      </c>
      <c r="CP42" s="258">
        <f t="shared" si="44"/>
        <v>2.5099999999999998E-4</v>
      </c>
      <c r="CQ42" s="258"/>
      <c r="CR42" s="207">
        <v>38</v>
      </c>
      <c r="CS42" s="258"/>
      <c r="CT42" s="258"/>
      <c r="CU42" s="258">
        <v>4.3000000000000002E-5</v>
      </c>
      <c r="CV42" s="258">
        <v>9.0000000000000002E-6</v>
      </c>
      <c r="CW42" s="258">
        <v>4.3999999999999999E-5</v>
      </c>
      <c r="CX42" s="258">
        <v>1.5E-5</v>
      </c>
      <c r="CY42" s="258">
        <v>2.5099999999999998E-4</v>
      </c>
      <c r="CZ42" s="258">
        <v>1.01E-4</v>
      </c>
      <c r="DA42" s="258"/>
      <c r="DB42" s="258"/>
      <c r="DC42" s="258"/>
      <c r="DD42" s="258"/>
    </row>
    <row r="43" spans="1:108">
      <c r="A43" s="305"/>
      <c r="B43" s="373"/>
      <c r="C43" s="189"/>
      <c r="D43" s="190" t="s">
        <v>65</v>
      </c>
      <c r="E43" s="177"/>
      <c r="F43" s="176"/>
      <c r="G43" s="192"/>
      <c r="H43" s="373"/>
      <c r="I43" s="48"/>
      <c r="J43" s="49" t="s">
        <v>44</v>
      </c>
      <c r="K43" s="486">
        <f>IF($F$6=0,(1-$E$36-$E$38)*K20-(1+$E$33)*K34,1*((1-$E$28-$E$30)*K31-E25*K20-K36))</f>
        <v>87500.000000000015</v>
      </c>
      <c r="N43" s="278" t="str">
        <f t="shared" si="52"/>
        <v/>
      </c>
      <c r="O43" s="279" t="str">
        <f t="shared" si="53"/>
        <v/>
      </c>
      <c r="P43" s="271" t="str">
        <f t="shared" si="47"/>
        <v/>
      </c>
      <c r="Q43" s="382" t="str">
        <f t="shared" si="48"/>
        <v/>
      </c>
      <c r="R43" s="382" t="str">
        <f t="shared" si="49"/>
        <v/>
      </c>
      <c r="S43" s="400" t="str">
        <f t="shared" si="1"/>
        <v/>
      </c>
      <c r="T43" s="382" t="str">
        <f>일반형!P43</f>
        <v/>
      </c>
      <c r="U43" s="382" t="str">
        <f>일반형!Q43</f>
        <v/>
      </c>
      <c r="V43" s="271" t="str">
        <f>일반형!R43</f>
        <v/>
      </c>
      <c r="W43" s="400" t="str">
        <f>일반형!S43</f>
        <v/>
      </c>
      <c r="X43" s="271" t="str">
        <f t="shared" si="50"/>
        <v/>
      </c>
      <c r="Y43" s="442" t="str">
        <f t="shared" si="2"/>
        <v/>
      </c>
      <c r="Z43" s="443" t="str">
        <f t="shared" si="51"/>
        <v/>
      </c>
      <c r="AB43" s="101" t="str">
        <f t="shared" si="35"/>
        <v/>
      </c>
      <c r="AC43" s="649" t="str">
        <f t="shared" si="4"/>
        <v/>
      </c>
      <c r="AD43" s="258"/>
      <c r="AE43" s="258" t="str">
        <f>IF(AB43="","",IF(AB43-$AB$4&lt;$F$5-1,INDEX(Main_무해지!$G$76:$G$87,MIN(AB43-$AB$4+1,12)),IF(AB43-$AB$4=$F$5-1,0,IF(AND($F$2=1,AB43&gt;109),0,IF(AND($F$2=2,AB43&gt;111),0,INDEX(Main_무해지!$H$76:$H$82,MIN(AB43-$AB$4-$F$5+1,7)))))))</f>
        <v/>
      </c>
      <c r="AF43" s="258" t="str">
        <f t="shared" si="45"/>
        <v/>
      </c>
      <c r="AG43" s="258" t="str">
        <f t="shared" si="5"/>
        <v/>
      </c>
      <c r="AH43" s="102" t="str">
        <f>IF($AB43="","",SUM(AG43:AG$114))</f>
        <v/>
      </c>
      <c r="AI43" s="258" t="str">
        <f t="shared" si="36"/>
        <v/>
      </c>
      <c r="AJ43" s="308" t="str">
        <f t="shared" si="6"/>
        <v/>
      </c>
      <c r="AK43" s="308"/>
      <c r="AL43" s="258" t="str">
        <f t="shared" si="7"/>
        <v/>
      </c>
      <c r="AM43" s="258" t="str">
        <f t="shared" si="46"/>
        <v/>
      </c>
      <c r="AN43" s="258" t="str">
        <f t="shared" si="8"/>
        <v/>
      </c>
      <c r="AO43" s="102" t="str">
        <f>IF($AB43="","",SUM(AN43:AN$114))</f>
        <v/>
      </c>
      <c r="AP43" s="285" t="str">
        <f t="shared" si="37"/>
        <v/>
      </c>
      <c r="AQ43" s="258" t="str">
        <f t="shared" si="9"/>
        <v/>
      </c>
      <c r="AR43" s="258" t="str">
        <f t="shared" si="10"/>
        <v/>
      </c>
      <c r="AS43" s="258" t="str">
        <f t="shared" si="11"/>
        <v/>
      </c>
      <c r="AT43" s="315" t="str">
        <f>IF($AB43="","",SUM($AU43:$AU$114))</f>
        <v/>
      </c>
      <c r="AU43" s="258" t="str">
        <f t="shared" si="38"/>
        <v/>
      </c>
      <c r="AV43" s="315" t="str">
        <f t="shared" si="12"/>
        <v/>
      </c>
      <c r="AW43" s="285"/>
      <c r="AX43" s="258" t="str">
        <f t="shared" si="13"/>
        <v/>
      </c>
      <c r="AY43" s="258" t="str">
        <f t="shared" si="14"/>
        <v/>
      </c>
      <c r="AZ43" s="258" t="str">
        <f t="shared" si="15"/>
        <v/>
      </c>
      <c r="BA43" s="315" t="str">
        <f>IF($AB43="","",SUM($AZ43:$AZ$114))</f>
        <v/>
      </c>
      <c r="BB43" s="285"/>
      <c r="BC43" s="258" t="str">
        <f t="shared" si="16"/>
        <v/>
      </c>
      <c r="BD43" s="258" t="str">
        <f t="shared" si="17"/>
        <v/>
      </c>
      <c r="BE43" s="258" t="str">
        <f t="shared" si="18"/>
        <v/>
      </c>
      <c r="BF43" s="315" t="str">
        <f>IF($AB43="","",SUM($BE43:$BE$114))</f>
        <v/>
      </c>
      <c r="BG43" s="285"/>
      <c r="BH43" s="258" t="str">
        <f t="shared" si="19"/>
        <v/>
      </c>
      <c r="BI43" s="258" t="str">
        <f t="shared" si="20"/>
        <v/>
      </c>
      <c r="BJ43" s="258" t="str">
        <f t="shared" si="21"/>
        <v/>
      </c>
      <c r="BK43" s="315" t="str">
        <f>IF($AB43="","",SUM($BJ43:$BJ$114))</f>
        <v/>
      </c>
      <c r="BL43" s="285"/>
      <c r="BM43" s="258" t="str">
        <f t="shared" si="22"/>
        <v/>
      </c>
      <c r="BN43" s="258" t="str">
        <f t="shared" si="23"/>
        <v/>
      </c>
      <c r="BO43" s="258" t="str">
        <f t="shared" si="24"/>
        <v/>
      </c>
      <c r="BP43" s="315" t="str">
        <f>IF($AB43="","",SUM($BO43:$BO$114))</f>
        <v/>
      </c>
      <c r="BQ43" s="285" t="str">
        <f t="shared" si="25"/>
        <v/>
      </c>
      <c r="BR43" s="258" t="str">
        <f t="shared" si="39"/>
        <v/>
      </c>
      <c r="BS43" s="258" t="str">
        <f t="shared" si="26"/>
        <v/>
      </c>
      <c r="BT43" s="259" t="str">
        <f t="shared" si="27"/>
        <v/>
      </c>
      <c r="BU43" s="258" t="str">
        <f t="shared" si="40"/>
        <v/>
      </c>
      <c r="BV43" s="258"/>
      <c r="BW43" s="258"/>
      <c r="BX43" s="258"/>
      <c r="BY43" s="258"/>
      <c r="BZ43" s="258" t="str">
        <f>IF($AB43="","",SUM(BU43:BU$114))</f>
        <v/>
      </c>
      <c r="CA43" s="103" t="str">
        <f>IF(AB43&lt;$E$3+$F$5,0,IFERROR(일반형!S45,0))</f>
        <v/>
      </c>
      <c r="CB43" s="103"/>
      <c r="CC43" s="394" t="str">
        <f t="shared" si="0"/>
        <v/>
      </c>
      <c r="CD43" s="258" t="str">
        <f t="shared" si="41"/>
        <v/>
      </c>
      <c r="CE43" s="258" t="str">
        <f t="shared" si="28"/>
        <v/>
      </c>
      <c r="CF43" s="258" t="str">
        <f t="shared" si="29"/>
        <v/>
      </c>
      <c r="CG43" s="258" t="str">
        <f t="shared" si="42"/>
        <v/>
      </c>
      <c r="CH43" s="258" t="str">
        <f t="shared" si="30"/>
        <v/>
      </c>
      <c r="CI43" s="104" t="str">
        <f t="shared" si="43"/>
        <v/>
      </c>
      <c r="CJ43" s="105" t="str">
        <f t="shared" si="31"/>
        <v/>
      </c>
      <c r="CK43" s="240"/>
      <c r="CL43" s="207">
        <v>39</v>
      </c>
      <c r="CM43" s="258">
        <f t="shared" si="32"/>
        <v>0</v>
      </c>
      <c r="CN43" s="258">
        <f t="shared" si="33"/>
        <v>4.3000000000000002E-5</v>
      </c>
      <c r="CO43" s="258">
        <f t="shared" si="34"/>
        <v>4.8999999999999998E-5</v>
      </c>
      <c r="CP43" s="258">
        <f t="shared" si="44"/>
        <v>2.5099999999999998E-4</v>
      </c>
      <c r="CQ43" s="258"/>
      <c r="CR43" s="207">
        <v>39</v>
      </c>
      <c r="CS43" s="258"/>
      <c r="CT43" s="258"/>
      <c r="CU43" s="258">
        <v>4.3000000000000002E-5</v>
      </c>
      <c r="CV43" s="258">
        <v>9.0000000000000002E-6</v>
      </c>
      <c r="CW43" s="258">
        <v>4.8999999999999998E-5</v>
      </c>
      <c r="CX43" s="258">
        <v>1.7E-5</v>
      </c>
      <c r="CY43" s="258">
        <v>2.5099999999999998E-4</v>
      </c>
      <c r="CZ43" s="258">
        <v>1.01E-4</v>
      </c>
      <c r="DA43" s="258"/>
      <c r="DB43" s="258"/>
      <c r="DC43" s="258"/>
      <c r="DD43" s="258"/>
    </row>
    <row r="44" spans="1:108">
      <c r="A44" s="305"/>
      <c r="B44" s="373"/>
      <c r="C44" s="189"/>
      <c r="D44" s="193"/>
      <c r="E44" s="177"/>
      <c r="F44" s="176"/>
      <c r="G44" s="192"/>
      <c r="H44" s="373"/>
      <c r="I44" s="125"/>
      <c r="J44" s="126" t="s">
        <v>50</v>
      </c>
      <c r="K44" s="489">
        <f>K42/K43</f>
        <v>7.0461715141866193E-6</v>
      </c>
      <c r="N44" s="278" t="str">
        <f t="shared" si="52"/>
        <v/>
      </c>
      <c r="O44" s="279" t="str">
        <f t="shared" si="53"/>
        <v/>
      </c>
      <c r="P44" s="271" t="str">
        <f t="shared" si="47"/>
        <v/>
      </c>
      <c r="Q44" s="382" t="str">
        <f t="shared" si="48"/>
        <v/>
      </c>
      <c r="R44" s="382" t="str">
        <f t="shared" si="49"/>
        <v/>
      </c>
      <c r="S44" s="400" t="str">
        <f t="shared" si="1"/>
        <v/>
      </c>
      <c r="T44" s="382" t="str">
        <f>일반형!P44</f>
        <v/>
      </c>
      <c r="U44" s="382" t="str">
        <f>일반형!Q44</f>
        <v/>
      </c>
      <c r="V44" s="271" t="str">
        <f>일반형!R44</f>
        <v/>
      </c>
      <c r="W44" s="400" t="str">
        <f>일반형!S44</f>
        <v/>
      </c>
      <c r="X44" s="271" t="str">
        <f t="shared" si="50"/>
        <v/>
      </c>
      <c r="Y44" s="442" t="str">
        <f t="shared" si="2"/>
        <v/>
      </c>
      <c r="Z44" s="443" t="str">
        <f t="shared" si="51"/>
        <v/>
      </c>
      <c r="AB44" s="110" t="str">
        <f t="shared" si="35"/>
        <v/>
      </c>
      <c r="AC44" s="650" t="str">
        <f t="shared" si="4"/>
        <v/>
      </c>
      <c r="AD44" s="259"/>
      <c r="AE44" s="259" t="str">
        <f>IF(AB44="","",IF(AB44-$AB$4&lt;$F$5-1,INDEX(Main_무해지!$G$76:$G$87,MIN(AB44-$AB$4+1,12)),IF(AB44-$AB$4=$F$5-1,0,IF(AND($F$2=1,AB44&gt;109),0,IF(AND($F$2=2,AB44&gt;111),0,INDEX(Main_무해지!$H$76:$H$82,MIN(AB44-$AB$4-$F$5+1,7)))))))</f>
        <v/>
      </c>
      <c r="AF44" s="259" t="str">
        <f t="shared" si="45"/>
        <v/>
      </c>
      <c r="AG44" s="259" t="str">
        <f t="shared" si="5"/>
        <v/>
      </c>
      <c r="AH44" s="111" t="str">
        <f>IF($AB44="","",SUM(AG44:AG$114))</f>
        <v/>
      </c>
      <c r="AI44" s="259" t="str">
        <f t="shared" si="36"/>
        <v/>
      </c>
      <c r="AJ44" s="309" t="str">
        <f t="shared" si="6"/>
        <v/>
      </c>
      <c r="AK44" s="309"/>
      <c r="AL44" s="259" t="str">
        <f t="shared" si="7"/>
        <v/>
      </c>
      <c r="AM44" s="259" t="str">
        <f t="shared" si="46"/>
        <v/>
      </c>
      <c r="AN44" s="259" t="str">
        <f t="shared" si="8"/>
        <v/>
      </c>
      <c r="AO44" s="111" t="str">
        <f>IF($AB44="","",SUM(AN44:AN$114))</f>
        <v/>
      </c>
      <c r="AP44" s="286" t="str">
        <f t="shared" si="37"/>
        <v/>
      </c>
      <c r="AQ44" s="259" t="str">
        <f t="shared" si="9"/>
        <v/>
      </c>
      <c r="AR44" s="259" t="str">
        <f t="shared" si="10"/>
        <v/>
      </c>
      <c r="AS44" s="259" t="str">
        <f t="shared" si="11"/>
        <v/>
      </c>
      <c r="AT44" s="316" t="str">
        <f>IF($AB44="","",SUM($AU44:$AU$114))</f>
        <v/>
      </c>
      <c r="AU44" s="259" t="str">
        <f t="shared" si="38"/>
        <v/>
      </c>
      <c r="AV44" s="316" t="str">
        <f t="shared" si="12"/>
        <v/>
      </c>
      <c r="AW44" s="286"/>
      <c r="AX44" s="259" t="str">
        <f t="shared" si="13"/>
        <v/>
      </c>
      <c r="AY44" s="259" t="str">
        <f t="shared" si="14"/>
        <v/>
      </c>
      <c r="AZ44" s="259" t="str">
        <f t="shared" si="15"/>
        <v/>
      </c>
      <c r="BA44" s="316" t="str">
        <f>IF($AB44="","",SUM($AZ44:$AZ$114))</f>
        <v/>
      </c>
      <c r="BB44" s="286"/>
      <c r="BC44" s="259" t="str">
        <f t="shared" si="16"/>
        <v/>
      </c>
      <c r="BD44" s="259" t="str">
        <f t="shared" si="17"/>
        <v/>
      </c>
      <c r="BE44" s="259" t="str">
        <f t="shared" si="18"/>
        <v/>
      </c>
      <c r="BF44" s="316" t="str">
        <f>IF($AB44="","",SUM($BE44:$BE$114))</f>
        <v/>
      </c>
      <c r="BG44" s="286"/>
      <c r="BH44" s="259" t="str">
        <f t="shared" si="19"/>
        <v/>
      </c>
      <c r="BI44" s="259" t="str">
        <f t="shared" si="20"/>
        <v/>
      </c>
      <c r="BJ44" s="259" t="str">
        <f t="shared" si="21"/>
        <v/>
      </c>
      <c r="BK44" s="316" t="str">
        <f>IF($AB44="","",SUM($BJ44:$BJ$114))</f>
        <v/>
      </c>
      <c r="BL44" s="286"/>
      <c r="BM44" s="259" t="str">
        <f t="shared" si="22"/>
        <v/>
      </c>
      <c r="BN44" s="259" t="str">
        <f t="shared" si="23"/>
        <v/>
      </c>
      <c r="BO44" s="259" t="str">
        <f t="shared" si="24"/>
        <v/>
      </c>
      <c r="BP44" s="316" t="str">
        <f>IF($AB44="","",SUM($BO44:$BO$114))</f>
        <v/>
      </c>
      <c r="BQ44" s="286" t="str">
        <f t="shared" si="25"/>
        <v/>
      </c>
      <c r="BR44" s="259" t="str">
        <f t="shared" si="39"/>
        <v/>
      </c>
      <c r="BS44" s="259" t="str">
        <f t="shared" si="26"/>
        <v/>
      </c>
      <c r="BT44" s="259" t="str">
        <f t="shared" si="27"/>
        <v/>
      </c>
      <c r="BU44" s="259" t="str">
        <f t="shared" si="40"/>
        <v/>
      </c>
      <c r="BV44" s="259"/>
      <c r="BW44" s="259"/>
      <c r="BX44" s="259"/>
      <c r="BY44" s="259"/>
      <c r="BZ44" s="259" t="str">
        <f>IF($AB44="","",SUM(BU44:BU$114))</f>
        <v/>
      </c>
      <c r="CA44" s="112" t="str">
        <f>IF(AB44&lt;$E$3+$F$5,0,IFERROR(일반형!S46,0))</f>
        <v/>
      </c>
      <c r="CB44" s="112"/>
      <c r="CC44" s="395" t="str">
        <f t="shared" si="0"/>
        <v/>
      </c>
      <c r="CD44" s="259" t="str">
        <f t="shared" si="41"/>
        <v/>
      </c>
      <c r="CE44" s="259" t="str">
        <f t="shared" si="28"/>
        <v/>
      </c>
      <c r="CF44" s="259" t="str">
        <f t="shared" si="29"/>
        <v/>
      </c>
      <c r="CG44" s="259" t="str">
        <f t="shared" si="42"/>
        <v/>
      </c>
      <c r="CH44" s="259" t="str">
        <f t="shared" si="30"/>
        <v/>
      </c>
      <c r="CI44" s="113" t="str">
        <f t="shared" si="43"/>
        <v/>
      </c>
      <c r="CJ44" s="114" t="str">
        <f t="shared" si="31"/>
        <v/>
      </c>
      <c r="CK44" s="241"/>
      <c r="CL44" s="208">
        <v>40</v>
      </c>
      <c r="CM44" s="259">
        <f t="shared" si="32"/>
        <v>0</v>
      </c>
      <c r="CN44" s="259">
        <f t="shared" si="33"/>
        <v>5.0000000000000002E-5</v>
      </c>
      <c r="CO44" s="259">
        <f t="shared" si="34"/>
        <v>5.5000000000000002E-5</v>
      </c>
      <c r="CP44" s="259">
        <f t="shared" si="44"/>
        <v>2.4499999999999999E-4</v>
      </c>
      <c r="CQ44" s="259"/>
      <c r="CR44" s="208">
        <v>40</v>
      </c>
      <c r="CS44" s="259"/>
      <c r="CT44" s="259"/>
      <c r="CU44" s="259">
        <v>5.0000000000000002E-5</v>
      </c>
      <c r="CV44" s="259">
        <v>1.3000000000000001E-5</v>
      </c>
      <c r="CW44" s="259">
        <v>5.5000000000000002E-5</v>
      </c>
      <c r="CX44" s="259">
        <v>1.9000000000000001E-5</v>
      </c>
      <c r="CY44" s="259">
        <v>2.4499999999999999E-4</v>
      </c>
      <c r="CZ44" s="259">
        <v>1.2999999999999999E-4</v>
      </c>
      <c r="DA44" s="259"/>
      <c r="DB44" s="259"/>
      <c r="DC44" s="259"/>
      <c r="DD44" s="259"/>
    </row>
    <row r="45" spans="1:108" ht="17.25" thickBot="1">
      <c r="A45" s="305"/>
      <c r="B45" s="373"/>
      <c r="C45" s="194"/>
      <c r="D45" s="195"/>
      <c r="E45" s="196"/>
      <c r="F45" s="183"/>
      <c r="G45" s="197"/>
      <c r="H45" s="373"/>
      <c r="I45" s="48" t="str">
        <f>IF(F5=0,"일시납영업보험료","연납영업보험료")</f>
        <v>연납영업보험료</v>
      </c>
      <c r="J45" s="49" t="s">
        <v>42</v>
      </c>
      <c r="K45" s="486">
        <f>IF($F$6=0,(1+$E$33)*K44+$E$32+$E$37*K33/K20,K44+(($E$23+$E$24*K41)*K20+$E$27*K31+$E$29*K33)/(1*K31))</f>
        <v>1.73209722032399E-5</v>
      </c>
      <c r="N45" s="278" t="str">
        <f t="shared" si="52"/>
        <v/>
      </c>
      <c r="O45" s="279" t="str">
        <f t="shared" si="53"/>
        <v/>
      </c>
      <c r="P45" s="271" t="str">
        <f t="shared" si="47"/>
        <v/>
      </c>
      <c r="Q45" s="382" t="str">
        <f t="shared" si="48"/>
        <v/>
      </c>
      <c r="R45" s="382" t="str">
        <f t="shared" si="49"/>
        <v/>
      </c>
      <c r="S45" s="400" t="str">
        <f t="shared" si="1"/>
        <v/>
      </c>
      <c r="T45" s="382" t="str">
        <f>일반형!P45</f>
        <v/>
      </c>
      <c r="U45" s="382" t="str">
        <f>일반형!Q45</f>
        <v/>
      </c>
      <c r="V45" s="271" t="str">
        <f>일반형!R45</f>
        <v/>
      </c>
      <c r="W45" s="400" t="str">
        <f>일반형!S45</f>
        <v/>
      </c>
      <c r="X45" s="271" t="str">
        <f t="shared" si="50"/>
        <v/>
      </c>
      <c r="Y45" s="442" t="str">
        <f t="shared" si="2"/>
        <v/>
      </c>
      <c r="Z45" s="443" t="str">
        <f t="shared" si="51"/>
        <v/>
      </c>
      <c r="AB45" s="770" t="str">
        <f t="shared" si="35"/>
        <v/>
      </c>
      <c r="AC45" s="651" t="str">
        <f t="shared" si="4"/>
        <v/>
      </c>
      <c r="AD45" s="410"/>
      <c r="AE45" s="410" t="str">
        <f>IF(AB45="","",IF(AB45-$AB$4&lt;$F$5-1,INDEX(Main_무해지!$G$76:$G$87,MIN(AB45-$AB$4+1,12)),IF(AB45-$AB$4=$F$5-1,0,IF(AND($F$2=1,AB45&gt;109),0,IF(AND($F$2=2,AB45&gt;111),0,INDEX(Main_무해지!$H$76:$H$82,MIN(AB45-$AB$4-$F$5+1,7)))))))</f>
        <v/>
      </c>
      <c r="AF45" s="410" t="str">
        <f t="shared" si="45"/>
        <v/>
      </c>
      <c r="AG45" s="410" t="str">
        <f t="shared" si="5"/>
        <v/>
      </c>
      <c r="AH45" s="771" t="str">
        <f>IF($AB45="","",SUM(AG45:AG$114))</f>
        <v/>
      </c>
      <c r="AI45" s="410" t="str">
        <f t="shared" si="36"/>
        <v/>
      </c>
      <c r="AJ45" s="640" t="str">
        <f t="shared" si="6"/>
        <v/>
      </c>
      <c r="AK45" s="640"/>
      <c r="AL45" s="410" t="str">
        <f t="shared" si="7"/>
        <v/>
      </c>
      <c r="AM45" s="410" t="str">
        <f t="shared" si="46"/>
        <v/>
      </c>
      <c r="AN45" s="410" t="str">
        <f t="shared" si="8"/>
        <v/>
      </c>
      <c r="AO45" s="771" t="str">
        <f>IF($AB45="","",SUM(AN45:AN$114))</f>
        <v/>
      </c>
      <c r="AP45" s="772" t="str">
        <f t="shared" si="37"/>
        <v/>
      </c>
      <c r="AQ45" s="410" t="str">
        <f t="shared" si="9"/>
        <v/>
      </c>
      <c r="AR45" s="410" t="str">
        <f t="shared" si="10"/>
        <v/>
      </c>
      <c r="AS45" s="410" t="str">
        <f t="shared" si="11"/>
        <v/>
      </c>
      <c r="AT45" s="773" t="str">
        <f>IF($AB45="","",SUM($AU45:$AU$114))</f>
        <v/>
      </c>
      <c r="AU45" s="410" t="str">
        <f t="shared" si="38"/>
        <v/>
      </c>
      <c r="AV45" s="773" t="str">
        <f t="shared" si="12"/>
        <v/>
      </c>
      <c r="AW45" s="772"/>
      <c r="AX45" s="410" t="str">
        <f t="shared" si="13"/>
        <v/>
      </c>
      <c r="AY45" s="410" t="str">
        <f t="shared" si="14"/>
        <v/>
      </c>
      <c r="AZ45" s="410" t="str">
        <f t="shared" si="15"/>
        <v/>
      </c>
      <c r="BA45" s="773" t="str">
        <f>IF($AB45="","",SUM($AZ45:$AZ$114))</f>
        <v/>
      </c>
      <c r="BB45" s="772"/>
      <c r="BC45" s="410" t="str">
        <f t="shared" si="16"/>
        <v/>
      </c>
      <c r="BD45" s="410" t="str">
        <f t="shared" si="17"/>
        <v/>
      </c>
      <c r="BE45" s="410" t="str">
        <f t="shared" si="18"/>
        <v/>
      </c>
      <c r="BF45" s="773" t="str">
        <f>IF($AB45="","",SUM($BE45:$BE$114))</f>
        <v/>
      </c>
      <c r="BG45" s="772"/>
      <c r="BH45" s="410" t="str">
        <f t="shared" si="19"/>
        <v/>
      </c>
      <c r="BI45" s="410" t="str">
        <f t="shared" si="20"/>
        <v/>
      </c>
      <c r="BJ45" s="410" t="str">
        <f t="shared" si="21"/>
        <v/>
      </c>
      <c r="BK45" s="773" t="str">
        <f>IF($AB45="","",SUM($BJ45:$BJ$114))</f>
        <v/>
      </c>
      <c r="BL45" s="772"/>
      <c r="BM45" s="410" t="str">
        <f t="shared" si="22"/>
        <v/>
      </c>
      <c r="BN45" s="410" t="str">
        <f t="shared" si="23"/>
        <v/>
      </c>
      <c r="BO45" s="410" t="str">
        <f t="shared" si="24"/>
        <v/>
      </c>
      <c r="BP45" s="773" t="str">
        <f>IF($AB45="","",SUM($BO45:$BO$114))</f>
        <v/>
      </c>
      <c r="BQ45" s="772" t="str">
        <f t="shared" si="25"/>
        <v/>
      </c>
      <c r="BR45" s="410" t="str">
        <f t="shared" si="39"/>
        <v/>
      </c>
      <c r="BS45" s="410" t="str">
        <f t="shared" si="26"/>
        <v/>
      </c>
      <c r="BT45" s="410" t="str">
        <f t="shared" si="27"/>
        <v/>
      </c>
      <c r="BU45" s="410" t="str">
        <f t="shared" si="40"/>
        <v/>
      </c>
      <c r="BV45" s="410"/>
      <c r="BW45" s="410"/>
      <c r="BX45" s="410"/>
      <c r="BY45" s="410"/>
      <c r="BZ45" s="410" t="str">
        <f>IF($AB45="","",SUM(BU45:BU$114))</f>
        <v/>
      </c>
      <c r="CA45" s="774" t="str">
        <f>IF(AB45&lt;$E$3+$F$5,0,IFERROR(일반형!S47,0))</f>
        <v/>
      </c>
      <c r="CB45" s="774"/>
      <c r="CC45" s="775" t="str">
        <f t="shared" si="0"/>
        <v/>
      </c>
      <c r="CD45" s="410" t="str">
        <f t="shared" si="41"/>
        <v/>
      </c>
      <c r="CE45" s="410" t="str">
        <f t="shared" si="28"/>
        <v/>
      </c>
      <c r="CF45" s="410" t="str">
        <f t="shared" si="29"/>
        <v/>
      </c>
      <c r="CG45" s="410" t="str">
        <f t="shared" si="42"/>
        <v/>
      </c>
      <c r="CH45" s="410" t="str">
        <f t="shared" si="30"/>
        <v/>
      </c>
      <c r="CI45" s="776" t="str">
        <f t="shared" si="43"/>
        <v/>
      </c>
      <c r="CJ45" s="777" t="str">
        <f t="shared" si="31"/>
        <v/>
      </c>
      <c r="CK45" s="415"/>
      <c r="CL45" s="778">
        <v>41</v>
      </c>
      <c r="CM45" s="410">
        <f t="shared" si="32"/>
        <v>0</v>
      </c>
      <c r="CN45" s="410">
        <f t="shared" si="33"/>
        <v>5.0000000000000002E-5</v>
      </c>
      <c r="CO45" s="410">
        <f t="shared" si="34"/>
        <v>6.2000000000000003E-5</v>
      </c>
      <c r="CP45" s="410">
        <f t="shared" si="44"/>
        <v>2.4499999999999999E-4</v>
      </c>
      <c r="CQ45" s="410"/>
      <c r="CR45" s="778">
        <v>41</v>
      </c>
      <c r="CS45" s="410"/>
      <c r="CT45" s="410"/>
      <c r="CU45" s="410">
        <v>5.0000000000000002E-5</v>
      </c>
      <c r="CV45" s="410">
        <v>1.3000000000000001E-5</v>
      </c>
      <c r="CW45" s="410">
        <v>6.2000000000000003E-5</v>
      </c>
      <c r="CX45" s="410">
        <v>2.0000000000000002E-5</v>
      </c>
      <c r="CY45" s="410">
        <v>2.4499999999999999E-4</v>
      </c>
      <c r="CZ45" s="410">
        <v>1.2999999999999999E-4</v>
      </c>
      <c r="DA45" s="410"/>
      <c r="DB45" s="410"/>
      <c r="DC45" s="410"/>
      <c r="DD45" s="410"/>
    </row>
    <row r="46" spans="1:108">
      <c r="A46" s="305"/>
      <c r="B46" s="373"/>
      <c r="C46" s="373"/>
      <c r="D46" s="373"/>
      <c r="E46" s="373"/>
      <c r="F46" s="373"/>
      <c r="G46" s="373"/>
      <c r="H46" s="373"/>
      <c r="I46" s="48"/>
      <c r="J46" s="51" t="s">
        <v>44</v>
      </c>
      <c r="K46" s="486">
        <f>IF($F$6=0,1-$E$36-$E$38,1-$E$28-$E$30-E$25*$K$20/$K$32)</f>
        <v>0.875</v>
      </c>
      <c r="N46" s="278" t="str">
        <f t="shared" si="52"/>
        <v/>
      </c>
      <c r="O46" s="279" t="str">
        <f t="shared" si="53"/>
        <v/>
      </c>
      <c r="P46" s="271" t="str">
        <f t="shared" si="47"/>
        <v/>
      </c>
      <c r="Q46" s="382" t="str">
        <f t="shared" si="48"/>
        <v/>
      </c>
      <c r="R46" s="382" t="str">
        <f t="shared" si="49"/>
        <v/>
      </c>
      <c r="S46" s="400" t="str">
        <f t="shared" si="1"/>
        <v/>
      </c>
      <c r="T46" s="382" t="str">
        <f>일반형!P46</f>
        <v/>
      </c>
      <c r="U46" s="382" t="str">
        <f>일반형!Q46</f>
        <v/>
      </c>
      <c r="V46" s="271" t="str">
        <f>일반형!R46</f>
        <v/>
      </c>
      <c r="W46" s="400" t="str">
        <f>일반형!S46</f>
        <v/>
      </c>
      <c r="X46" s="271" t="str">
        <f t="shared" si="50"/>
        <v/>
      </c>
      <c r="Y46" s="446" t="str">
        <f t="shared" si="2"/>
        <v/>
      </c>
      <c r="Z46" s="447" t="str">
        <f t="shared" si="51"/>
        <v/>
      </c>
      <c r="AB46" s="120" t="str">
        <f t="shared" si="35"/>
        <v/>
      </c>
      <c r="AC46" s="652" t="str">
        <f t="shared" si="4"/>
        <v/>
      </c>
      <c r="AD46" s="260"/>
      <c r="AE46" s="260" t="str">
        <f>IF(AB46="","",IF(AB46-$AB$4&lt;$F$5-1,INDEX(Main_무해지!$G$76:$G$87,MIN(AB46-$AB$4+1,12)),IF(AB46-$AB$4=$F$5-1,0,IF(AND($F$2=1,AB46&gt;109),0,IF(AND($F$2=2,AB46&gt;111),0,INDEX(Main_무해지!$H$76:$H$82,MIN(AB46-$AB$4-$F$5+1,7)))))))</f>
        <v/>
      </c>
      <c r="AF46" s="260" t="str">
        <f t="shared" si="45"/>
        <v/>
      </c>
      <c r="AG46" s="260" t="str">
        <f t="shared" si="5"/>
        <v/>
      </c>
      <c r="AH46" s="121" t="str">
        <f>IF($AB46="","",SUM(AG46:AG$114))</f>
        <v/>
      </c>
      <c r="AI46" s="260" t="str">
        <f t="shared" si="36"/>
        <v/>
      </c>
      <c r="AJ46" s="310" t="str">
        <f t="shared" si="6"/>
        <v/>
      </c>
      <c r="AK46" s="310"/>
      <c r="AL46" s="260" t="str">
        <f t="shared" si="7"/>
        <v/>
      </c>
      <c r="AM46" s="260" t="str">
        <f t="shared" si="46"/>
        <v/>
      </c>
      <c r="AN46" s="260" t="str">
        <f t="shared" si="8"/>
        <v/>
      </c>
      <c r="AO46" s="121" t="str">
        <f>IF($AB46="","",SUM(AN46:AN$114))</f>
        <v/>
      </c>
      <c r="AP46" s="287" t="str">
        <f t="shared" si="37"/>
        <v/>
      </c>
      <c r="AQ46" s="260" t="str">
        <f t="shared" si="9"/>
        <v/>
      </c>
      <c r="AR46" s="260" t="str">
        <f t="shared" si="10"/>
        <v/>
      </c>
      <c r="AS46" s="260" t="str">
        <f t="shared" si="11"/>
        <v/>
      </c>
      <c r="AT46" s="317" t="str">
        <f>IF($AB46="","",SUM($AU46:$AU$114))</f>
        <v/>
      </c>
      <c r="AU46" s="260" t="str">
        <f t="shared" si="38"/>
        <v/>
      </c>
      <c r="AV46" s="317" t="str">
        <f t="shared" si="12"/>
        <v/>
      </c>
      <c r="AW46" s="287"/>
      <c r="AX46" s="260" t="str">
        <f t="shared" si="13"/>
        <v/>
      </c>
      <c r="AY46" s="260" t="str">
        <f t="shared" si="14"/>
        <v/>
      </c>
      <c r="AZ46" s="260" t="str">
        <f t="shared" si="15"/>
        <v/>
      </c>
      <c r="BA46" s="317" t="str">
        <f>IF($AB46="","",SUM($AZ46:$AZ$114))</f>
        <v/>
      </c>
      <c r="BB46" s="287"/>
      <c r="BC46" s="260" t="str">
        <f t="shared" si="16"/>
        <v/>
      </c>
      <c r="BD46" s="260" t="str">
        <f t="shared" si="17"/>
        <v/>
      </c>
      <c r="BE46" s="260" t="str">
        <f t="shared" si="18"/>
        <v/>
      </c>
      <c r="BF46" s="317" t="str">
        <f>IF($AB46="","",SUM($BE46:$BE$114))</f>
        <v/>
      </c>
      <c r="BG46" s="287"/>
      <c r="BH46" s="260" t="str">
        <f t="shared" si="19"/>
        <v/>
      </c>
      <c r="BI46" s="260" t="str">
        <f t="shared" si="20"/>
        <v/>
      </c>
      <c r="BJ46" s="260" t="str">
        <f t="shared" si="21"/>
        <v/>
      </c>
      <c r="BK46" s="317" t="str">
        <f>IF($AB46="","",SUM($BJ46:$BJ$114))</f>
        <v/>
      </c>
      <c r="BL46" s="287"/>
      <c r="BM46" s="260" t="str">
        <f t="shared" si="22"/>
        <v/>
      </c>
      <c r="BN46" s="260" t="str">
        <f t="shared" si="23"/>
        <v/>
      </c>
      <c r="BO46" s="260" t="str">
        <f t="shared" si="24"/>
        <v/>
      </c>
      <c r="BP46" s="317" t="str">
        <f>IF($AB46="","",SUM($BO46:$BO$114))</f>
        <v/>
      </c>
      <c r="BQ46" s="287" t="str">
        <f t="shared" si="25"/>
        <v/>
      </c>
      <c r="BR46" s="260" t="str">
        <f t="shared" si="39"/>
        <v/>
      </c>
      <c r="BS46" s="260" t="str">
        <f t="shared" si="26"/>
        <v/>
      </c>
      <c r="BT46" s="260" t="str">
        <f t="shared" si="27"/>
        <v/>
      </c>
      <c r="BU46" s="260" t="str">
        <f t="shared" si="40"/>
        <v/>
      </c>
      <c r="BV46" s="260"/>
      <c r="BW46" s="260"/>
      <c r="BX46" s="260"/>
      <c r="BY46" s="260"/>
      <c r="BZ46" s="260" t="str">
        <f>IF($AB46="","",SUM(BU46:BU$114))</f>
        <v/>
      </c>
      <c r="CA46" s="122" t="str">
        <f>IF(AB46&lt;$E$3+$F$5,0,IFERROR(일반형!S48,0))</f>
        <v/>
      </c>
      <c r="CB46" s="122"/>
      <c r="CC46" s="396" t="str">
        <f t="shared" si="0"/>
        <v/>
      </c>
      <c r="CD46" s="260" t="str">
        <f t="shared" si="41"/>
        <v/>
      </c>
      <c r="CE46" s="260" t="str">
        <f t="shared" si="28"/>
        <v/>
      </c>
      <c r="CF46" s="260" t="str">
        <f t="shared" si="29"/>
        <v/>
      </c>
      <c r="CG46" s="260" t="str">
        <f t="shared" si="42"/>
        <v/>
      </c>
      <c r="CH46" s="260" t="str">
        <f t="shared" si="30"/>
        <v/>
      </c>
      <c r="CI46" s="123" t="str">
        <f t="shared" si="43"/>
        <v/>
      </c>
      <c r="CJ46" s="124" t="str">
        <f t="shared" si="31"/>
        <v/>
      </c>
      <c r="CK46" s="242"/>
      <c r="CL46" s="209">
        <v>42</v>
      </c>
      <c r="CM46" s="260">
        <f t="shared" si="32"/>
        <v>0</v>
      </c>
      <c r="CN46" s="260">
        <f t="shared" si="33"/>
        <v>5.0000000000000002E-5</v>
      </c>
      <c r="CO46" s="260">
        <f t="shared" si="34"/>
        <v>6.8999999999999997E-5</v>
      </c>
      <c r="CP46" s="260">
        <f t="shared" si="44"/>
        <v>2.4499999999999999E-4</v>
      </c>
      <c r="CQ46" s="260"/>
      <c r="CR46" s="209">
        <v>42</v>
      </c>
      <c r="CS46" s="260"/>
      <c r="CT46" s="260"/>
      <c r="CU46" s="260">
        <v>5.0000000000000002E-5</v>
      </c>
      <c r="CV46" s="260">
        <v>1.3000000000000001E-5</v>
      </c>
      <c r="CW46" s="260">
        <v>6.8999999999999997E-5</v>
      </c>
      <c r="CX46" s="260">
        <v>2.1999999999999999E-5</v>
      </c>
      <c r="CY46" s="260">
        <v>2.4499999999999999E-4</v>
      </c>
      <c r="CZ46" s="260">
        <v>1.2999999999999999E-4</v>
      </c>
      <c r="DA46" s="260"/>
      <c r="DB46" s="260"/>
      <c r="DC46" s="260"/>
      <c r="DD46" s="260"/>
    </row>
    <row r="47" spans="1:108" ht="17.25" thickBot="1">
      <c r="A47" s="305"/>
      <c r="B47" s="373"/>
      <c r="C47" s="373"/>
      <c r="D47" s="373"/>
      <c r="E47" s="373"/>
      <c r="F47" s="373"/>
      <c r="G47" s="373"/>
      <c r="H47" s="373"/>
      <c r="I47" s="48"/>
      <c r="J47" s="109" t="s">
        <v>54</v>
      </c>
      <c r="K47" s="490">
        <f>K45/K46</f>
        <v>1.9795396803702742E-5</v>
      </c>
      <c r="N47" s="275" t="str">
        <f t="shared" si="52"/>
        <v/>
      </c>
      <c r="O47" s="276" t="str">
        <f t="shared" si="53"/>
        <v/>
      </c>
      <c r="P47" s="277" t="str">
        <f t="shared" si="47"/>
        <v/>
      </c>
      <c r="Q47" s="381" t="str">
        <f t="shared" si="48"/>
        <v/>
      </c>
      <c r="R47" s="381" t="str">
        <f t="shared" si="49"/>
        <v/>
      </c>
      <c r="S47" s="401" t="str">
        <f t="shared" si="1"/>
        <v/>
      </c>
      <c r="T47" s="381" t="str">
        <f>일반형!P47</f>
        <v/>
      </c>
      <c r="U47" s="381" t="str">
        <f>일반형!Q47</f>
        <v/>
      </c>
      <c r="V47" s="277" t="str">
        <f>일반형!R47</f>
        <v/>
      </c>
      <c r="W47" s="401" t="str">
        <f>일반형!S47</f>
        <v/>
      </c>
      <c r="X47" s="277" t="str">
        <f t="shared" si="50"/>
        <v/>
      </c>
      <c r="Y47" s="444" t="str">
        <f t="shared" si="2"/>
        <v/>
      </c>
      <c r="Z47" s="445" t="str">
        <f t="shared" si="51"/>
        <v/>
      </c>
      <c r="AB47" s="120" t="str">
        <f t="shared" si="35"/>
        <v/>
      </c>
      <c r="AC47" s="652" t="str">
        <f t="shared" si="4"/>
        <v/>
      </c>
      <c r="AD47" s="260"/>
      <c r="AE47" s="260" t="str">
        <f>IF(AB47="","",IF(AB47-$AB$4&lt;$F$5-1,INDEX(Main_무해지!$G$76:$G$87,MIN(AB47-$AB$4+1,12)),IF(AB47-$AB$4=$F$5-1,0,IF(AND($F$2=1,AB47&gt;109),0,IF(AND($F$2=2,AB47&gt;111),0,INDEX(Main_무해지!$H$76:$H$82,MIN(AB47-$AB$4-$F$5+1,7)))))))</f>
        <v/>
      </c>
      <c r="AF47" s="260" t="str">
        <f t="shared" si="45"/>
        <v/>
      </c>
      <c r="AG47" s="260" t="str">
        <f t="shared" si="5"/>
        <v/>
      </c>
      <c r="AH47" s="121" t="str">
        <f>IF($AB47="","",SUM(AG47:AG$114))</f>
        <v/>
      </c>
      <c r="AI47" s="260" t="str">
        <f t="shared" si="36"/>
        <v/>
      </c>
      <c r="AJ47" s="310" t="str">
        <f t="shared" si="6"/>
        <v/>
      </c>
      <c r="AK47" s="310"/>
      <c r="AL47" s="260" t="str">
        <f t="shared" si="7"/>
        <v/>
      </c>
      <c r="AM47" s="260" t="str">
        <f t="shared" si="46"/>
        <v/>
      </c>
      <c r="AN47" s="260" t="str">
        <f t="shared" si="8"/>
        <v/>
      </c>
      <c r="AO47" s="121" t="str">
        <f>IF($AB47="","",SUM(AN47:AN$114))</f>
        <v/>
      </c>
      <c r="AP47" s="287" t="str">
        <f t="shared" si="37"/>
        <v/>
      </c>
      <c r="AQ47" s="260" t="str">
        <f t="shared" si="9"/>
        <v/>
      </c>
      <c r="AR47" s="260" t="str">
        <f t="shared" si="10"/>
        <v/>
      </c>
      <c r="AS47" s="260" t="str">
        <f t="shared" si="11"/>
        <v/>
      </c>
      <c r="AT47" s="317" t="str">
        <f>IF($AB47="","",SUM($AU47:$AU$114))</f>
        <v/>
      </c>
      <c r="AU47" s="260" t="str">
        <f t="shared" si="38"/>
        <v/>
      </c>
      <c r="AV47" s="317" t="str">
        <f t="shared" si="12"/>
        <v/>
      </c>
      <c r="AW47" s="287"/>
      <c r="AX47" s="260" t="str">
        <f t="shared" si="13"/>
        <v/>
      </c>
      <c r="AY47" s="260" t="str">
        <f t="shared" si="14"/>
        <v/>
      </c>
      <c r="AZ47" s="260" t="str">
        <f t="shared" si="15"/>
        <v/>
      </c>
      <c r="BA47" s="317" t="str">
        <f>IF($AB47="","",SUM($AZ47:$AZ$114))</f>
        <v/>
      </c>
      <c r="BB47" s="287"/>
      <c r="BC47" s="260" t="str">
        <f t="shared" si="16"/>
        <v/>
      </c>
      <c r="BD47" s="260" t="str">
        <f t="shared" si="17"/>
        <v/>
      </c>
      <c r="BE47" s="260" t="str">
        <f t="shared" si="18"/>
        <v/>
      </c>
      <c r="BF47" s="317" t="str">
        <f>IF($AB47="","",SUM($BE47:$BE$114))</f>
        <v/>
      </c>
      <c r="BG47" s="287"/>
      <c r="BH47" s="260" t="str">
        <f t="shared" si="19"/>
        <v/>
      </c>
      <c r="BI47" s="260" t="str">
        <f t="shared" si="20"/>
        <v/>
      </c>
      <c r="BJ47" s="260" t="str">
        <f t="shared" si="21"/>
        <v/>
      </c>
      <c r="BK47" s="317" t="str">
        <f>IF($AB47="","",SUM($BJ47:$BJ$114))</f>
        <v/>
      </c>
      <c r="BL47" s="287"/>
      <c r="BM47" s="260" t="str">
        <f t="shared" si="22"/>
        <v/>
      </c>
      <c r="BN47" s="260" t="str">
        <f t="shared" si="23"/>
        <v/>
      </c>
      <c r="BO47" s="260" t="str">
        <f t="shared" si="24"/>
        <v/>
      </c>
      <c r="BP47" s="317" t="str">
        <f>IF($AB47="","",SUM($BO47:$BO$114))</f>
        <v/>
      </c>
      <c r="BQ47" s="287" t="str">
        <f t="shared" si="25"/>
        <v/>
      </c>
      <c r="BR47" s="260" t="str">
        <f t="shared" si="39"/>
        <v/>
      </c>
      <c r="BS47" s="260" t="str">
        <f t="shared" si="26"/>
        <v/>
      </c>
      <c r="BT47" s="260" t="str">
        <f t="shared" si="27"/>
        <v/>
      </c>
      <c r="BU47" s="260" t="str">
        <f t="shared" si="40"/>
        <v/>
      </c>
      <c r="BV47" s="260"/>
      <c r="BW47" s="260"/>
      <c r="BX47" s="260"/>
      <c r="BY47" s="260"/>
      <c r="BZ47" s="260" t="str">
        <f>IF($AB47="","",SUM(BU47:BU$114))</f>
        <v/>
      </c>
      <c r="CA47" s="122" t="str">
        <f>IF(AB47&lt;$E$3+$F$5,0,IFERROR(일반형!S49,0))</f>
        <v/>
      </c>
      <c r="CB47" s="122"/>
      <c r="CC47" s="396" t="str">
        <f t="shared" si="0"/>
        <v/>
      </c>
      <c r="CD47" s="260" t="str">
        <f t="shared" si="41"/>
        <v/>
      </c>
      <c r="CE47" s="260" t="str">
        <f t="shared" si="28"/>
        <v/>
      </c>
      <c r="CF47" s="260" t="str">
        <f t="shared" si="29"/>
        <v/>
      </c>
      <c r="CG47" s="260" t="str">
        <f t="shared" si="42"/>
        <v/>
      </c>
      <c r="CH47" s="260" t="str">
        <f t="shared" si="30"/>
        <v/>
      </c>
      <c r="CI47" s="123" t="str">
        <f t="shared" si="43"/>
        <v/>
      </c>
      <c r="CJ47" s="124" t="str">
        <f t="shared" si="31"/>
        <v/>
      </c>
      <c r="CK47" s="242"/>
      <c r="CL47" s="209">
        <v>43</v>
      </c>
      <c r="CM47" s="260">
        <f t="shared" si="32"/>
        <v>0</v>
      </c>
      <c r="CN47" s="260">
        <f t="shared" si="33"/>
        <v>5.0000000000000002E-5</v>
      </c>
      <c r="CO47" s="260">
        <f t="shared" si="34"/>
        <v>7.7000000000000001E-5</v>
      </c>
      <c r="CP47" s="260">
        <f t="shared" si="44"/>
        <v>2.4499999999999999E-4</v>
      </c>
      <c r="CQ47" s="260"/>
      <c r="CR47" s="209">
        <v>43</v>
      </c>
      <c r="CS47" s="260"/>
      <c r="CT47" s="260"/>
      <c r="CU47" s="260">
        <v>5.0000000000000002E-5</v>
      </c>
      <c r="CV47" s="260">
        <v>1.3000000000000001E-5</v>
      </c>
      <c r="CW47" s="260">
        <v>7.7000000000000001E-5</v>
      </c>
      <c r="CX47" s="260">
        <v>2.4000000000000001E-5</v>
      </c>
      <c r="CY47" s="260">
        <v>2.4499999999999999E-4</v>
      </c>
      <c r="CZ47" s="260">
        <v>1.2999999999999999E-4</v>
      </c>
      <c r="DA47" s="260"/>
      <c r="DB47" s="260"/>
      <c r="DC47" s="260"/>
      <c r="DD47" s="260"/>
    </row>
    <row r="48" spans="1:108">
      <c r="A48" s="305"/>
      <c r="B48" s="373"/>
      <c r="C48" s="373"/>
      <c r="D48" s="828" t="s">
        <v>58</v>
      </c>
      <c r="E48" s="829"/>
      <c r="F48" s="828" t="s">
        <v>224</v>
      </c>
      <c r="G48" s="830"/>
      <c r="I48" s="138" t="str">
        <f>IF($F$5=0,"  A(β')x:n","  mP(β')(m')x:n")</f>
        <v xml:space="preserve">  mP(β')(m')x:n</v>
      </c>
      <c r="J48" s="139" t="s">
        <v>55</v>
      </c>
      <c r="K48" s="634">
        <f>IF($F$5=0,K52,K52+$E$29*K33/K38/K32)</f>
        <v>5.9316335274309505E-7</v>
      </c>
      <c r="N48" s="278" t="str">
        <f t="shared" si="52"/>
        <v/>
      </c>
      <c r="O48" s="279" t="str">
        <f t="shared" si="53"/>
        <v/>
      </c>
      <c r="P48" s="271" t="str">
        <f t="shared" si="47"/>
        <v/>
      </c>
      <c r="Q48" s="382" t="str">
        <f t="shared" si="48"/>
        <v/>
      </c>
      <c r="R48" s="382" t="str">
        <f t="shared" si="49"/>
        <v/>
      </c>
      <c r="S48" s="400" t="str">
        <f t="shared" si="1"/>
        <v/>
      </c>
      <c r="T48" s="382" t="str">
        <f>일반형!P48</f>
        <v/>
      </c>
      <c r="U48" s="382" t="str">
        <f>일반형!Q48</f>
        <v/>
      </c>
      <c r="V48" s="271" t="str">
        <f>일반형!R48</f>
        <v/>
      </c>
      <c r="W48" s="400" t="str">
        <f>일반형!S48</f>
        <v/>
      </c>
      <c r="X48" s="271" t="str">
        <f t="shared" si="50"/>
        <v/>
      </c>
      <c r="Y48" s="442" t="str">
        <f t="shared" si="2"/>
        <v/>
      </c>
      <c r="Z48" s="443" t="str">
        <f t="shared" si="51"/>
        <v/>
      </c>
      <c r="AB48" s="120" t="str">
        <f t="shared" si="35"/>
        <v/>
      </c>
      <c r="AC48" s="652" t="str">
        <f t="shared" si="4"/>
        <v/>
      </c>
      <c r="AD48" s="260"/>
      <c r="AE48" s="260" t="str">
        <f>IF(AB48="","",IF(AB48-$AB$4&lt;$F$5-1,INDEX(Main_무해지!$G$76:$G$87,MIN(AB48-$AB$4+1,12)),IF(AB48-$AB$4=$F$5-1,0,IF(AND($F$2=1,AB48&gt;109),0,IF(AND($F$2=2,AB48&gt;111),0,INDEX(Main_무해지!$H$76:$H$82,MIN(AB48-$AB$4-$F$5+1,7)))))))</f>
        <v/>
      </c>
      <c r="AF48" s="260" t="str">
        <f t="shared" si="45"/>
        <v/>
      </c>
      <c r="AG48" s="260" t="str">
        <f t="shared" si="5"/>
        <v/>
      </c>
      <c r="AH48" s="121" t="str">
        <f>IF($AB48="","",SUM(AG48:AG$114))</f>
        <v/>
      </c>
      <c r="AI48" s="260" t="str">
        <f t="shared" si="36"/>
        <v/>
      </c>
      <c r="AJ48" s="310" t="str">
        <f t="shared" si="6"/>
        <v/>
      </c>
      <c r="AK48" s="310"/>
      <c r="AL48" s="260" t="str">
        <f t="shared" si="7"/>
        <v/>
      </c>
      <c r="AM48" s="260" t="str">
        <f t="shared" si="46"/>
        <v/>
      </c>
      <c r="AN48" s="260" t="str">
        <f t="shared" si="8"/>
        <v/>
      </c>
      <c r="AO48" s="121" t="str">
        <f>IF($AB48="","",SUM(AN48:AN$114))</f>
        <v/>
      </c>
      <c r="AP48" s="287" t="str">
        <f t="shared" si="37"/>
        <v/>
      </c>
      <c r="AQ48" s="260" t="str">
        <f t="shared" si="9"/>
        <v/>
      </c>
      <c r="AR48" s="260" t="str">
        <f t="shared" si="10"/>
        <v/>
      </c>
      <c r="AS48" s="260" t="str">
        <f t="shared" si="11"/>
        <v/>
      </c>
      <c r="AT48" s="317" t="str">
        <f>IF($AB48="","",SUM($AU48:$AU$114))</f>
        <v/>
      </c>
      <c r="AU48" s="260" t="str">
        <f t="shared" si="38"/>
        <v/>
      </c>
      <c r="AV48" s="317" t="str">
        <f t="shared" si="12"/>
        <v/>
      </c>
      <c r="AW48" s="287"/>
      <c r="AX48" s="260" t="str">
        <f t="shared" si="13"/>
        <v/>
      </c>
      <c r="AY48" s="260" t="str">
        <f t="shared" si="14"/>
        <v/>
      </c>
      <c r="AZ48" s="260" t="str">
        <f t="shared" si="15"/>
        <v/>
      </c>
      <c r="BA48" s="317" t="str">
        <f>IF($AB48="","",SUM($AZ48:$AZ$114))</f>
        <v/>
      </c>
      <c r="BB48" s="287"/>
      <c r="BC48" s="260" t="str">
        <f t="shared" si="16"/>
        <v/>
      </c>
      <c r="BD48" s="260" t="str">
        <f t="shared" si="17"/>
        <v/>
      </c>
      <c r="BE48" s="260" t="str">
        <f t="shared" si="18"/>
        <v/>
      </c>
      <c r="BF48" s="317" t="str">
        <f>IF($AB48="","",SUM($BE48:$BE$114))</f>
        <v/>
      </c>
      <c r="BG48" s="287"/>
      <c r="BH48" s="260" t="str">
        <f t="shared" si="19"/>
        <v/>
      </c>
      <c r="BI48" s="260" t="str">
        <f t="shared" si="20"/>
        <v/>
      </c>
      <c r="BJ48" s="260" t="str">
        <f t="shared" si="21"/>
        <v/>
      </c>
      <c r="BK48" s="317" t="str">
        <f>IF($AB48="","",SUM($BJ48:$BJ$114))</f>
        <v/>
      </c>
      <c r="BL48" s="287"/>
      <c r="BM48" s="260" t="str">
        <f t="shared" si="22"/>
        <v/>
      </c>
      <c r="BN48" s="260" t="str">
        <f t="shared" si="23"/>
        <v/>
      </c>
      <c r="BO48" s="260" t="str">
        <f t="shared" si="24"/>
        <v/>
      </c>
      <c r="BP48" s="317" t="str">
        <f>IF($AB48="","",SUM($BO48:$BO$114))</f>
        <v/>
      </c>
      <c r="BQ48" s="287" t="str">
        <f t="shared" si="25"/>
        <v/>
      </c>
      <c r="BR48" s="260" t="str">
        <f t="shared" si="39"/>
        <v/>
      </c>
      <c r="BS48" s="260" t="str">
        <f t="shared" si="26"/>
        <v/>
      </c>
      <c r="BT48" s="260" t="str">
        <f t="shared" si="27"/>
        <v/>
      </c>
      <c r="BU48" s="260" t="str">
        <f t="shared" si="40"/>
        <v/>
      </c>
      <c r="BV48" s="260"/>
      <c r="BW48" s="260"/>
      <c r="BX48" s="260"/>
      <c r="BY48" s="260"/>
      <c r="BZ48" s="260" t="str">
        <f>IF($AB48="","",SUM(BU48:BU$114))</f>
        <v/>
      </c>
      <c r="CA48" s="122" t="str">
        <f>IF(AB48&lt;$E$3+$F$5,0,IFERROR(일반형!S50,0))</f>
        <v/>
      </c>
      <c r="CB48" s="122"/>
      <c r="CC48" s="396" t="str">
        <f t="shared" si="0"/>
        <v/>
      </c>
      <c r="CD48" s="260" t="str">
        <f t="shared" si="41"/>
        <v/>
      </c>
      <c r="CE48" s="260" t="str">
        <f t="shared" si="28"/>
        <v/>
      </c>
      <c r="CF48" s="260" t="str">
        <f t="shared" si="29"/>
        <v/>
      </c>
      <c r="CG48" s="260" t="str">
        <f t="shared" si="42"/>
        <v/>
      </c>
      <c r="CH48" s="260" t="str">
        <f t="shared" si="30"/>
        <v/>
      </c>
      <c r="CI48" s="123" t="str">
        <f t="shared" si="43"/>
        <v/>
      </c>
      <c r="CJ48" s="124" t="str">
        <f t="shared" si="31"/>
        <v/>
      </c>
      <c r="CK48" s="242"/>
      <c r="CL48" s="209">
        <v>44</v>
      </c>
      <c r="CM48" s="260">
        <f t="shared" si="32"/>
        <v>0</v>
      </c>
      <c r="CN48" s="260">
        <f t="shared" si="33"/>
        <v>5.0000000000000002E-5</v>
      </c>
      <c r="CO48" s="260">
        <f t="shared" si="34"/>
        <v>8.6000000000000003E-5</v>
      </c>
      <c r="CP48" s="260">
        <f t="shared" si="44"/>
        <v>2.4499999999999999E-4</v>
      </c>
      <c r="CQ48" s="260"/>
      <c r="CR48" s="209">
        <v>44</v>
      </c>
      <c r="CS48" s="260"/>
      <c r="CT48" s="260"/>
      <c r="CU48" s="260">
        <v>5.0000000000000002E-5</v>
      </c>
      <c r="CV48" s="260">
        <v>1.3000000000000001E-5</v>
      </c>
      <c r="CW48" s="260">
        <v>8.6000000000000003E-5</v>
      </c>
      <c r="CX48" s="260">
        <v>2.5999999999999998E-5</v>
      </c>
      <c r="CY48" s="260">
        <v>2.4499999999999999E-4</v>
      </c>
      <c r="CZ48" s="260">
        <v>1.2999999999999999E-4</v>
      </c>
      <c r="DA48" s="260"/>
      <c r="DB48" s="260"/>
      <c r="DC48" s="260"/>
      <c r="DD48" s="260"/>
    </row>
    <row r="49" spans="1:108">
      <c r="A49" s="305"/>
      <c r="B49" s="373"/>
      <c r="C49" s="373"/>
      <c r="D49" s="453" t="s">
        <v>238</v>
      </c>
      <c r="E49" s="454" t="s">
        <v>239</v>
      </c>
      <c r="F49" s="453" t="s">
        <v>242</v>
      </c>
      <c r="G49" s="455" t="s">
        <v>241</v>
      </c>
      <c r="I49" s="140"/>
      <c r="J49" s="141" t="s">
        <v>39</v>
      </c>
      <c r="K49" s="298">
        <v>12</v>
      </c>
      <c r="N49" s="278" t="str">
        <f t="shared" si="52"/>
        <v/>
      </c>
      <c r="O49" s="279" t="str">
        <f t="shared" si="53"/>
        <v/>
      </c>
      <c r="P49" s="271" t="str">
        <f t="shared" si="47"/>
        <v/>
      </c>
      <c r="Q49" s="382" t="str">
        <f t="shared" si="48"/>
        <v/>
      </c>
      <c r="R49" s="382" t="str">
        <f t="shared" si="49"/>
        <v/>
      </c>
      <c r="S49" s="400" t="str">
        <f t="shared" si="1"/>
        <v/>
      </c>
      <c r="T49" s="382" t="str">
        <f>일반형!P49</f>
        <v/>
      </c>
      <c r="U49" s="382" t="str">
        <f>일반형!Q49</f>
        <v/>
      </c>
      <c r="V49" s="271" t="str">
        <f>일반형!R49</f>
        <v/>
      </c>
      <c r="W49" s="400" t="str">
        <f>일반형!S49</f>
        <v/>
      </c>
      <c r="X49" s="271" t="str">
        <f t="shared" si="50"/>
        <v/>
      </c>
      <c r="Y49" s="442" t="str">
        <f t="shared" si="2"/>
        <v/>
      </c>
      <c r="Z49" s="443" t="str">
        <f t="shared" si="51"/>
        <v/>
      </c>
      <c r="AB49" s="130" t="str">
        <f t="shared" si="35"/>
        <v/>
      </c>
      <c r="AC49" s="653" t="str">
        <f t="shared" si="4"/>
        <v/>
      </c>
      <c r="AD49" s="261"/>
      <c r="AE49" s="261" t="str">
        <f>IF(AB49="","",IF(AB49-$AB$4&lt;$F$5-1,INDEX(Main_무해지!$G$76:$G$87,MIN(AB49-$AB$4+1,12)),IF(AB49-$AB$4=$F$5-1,0,IF(AND($F$2=1,AB49&gt;109),0,IF(AND($F$2=2,AB49&gt;111),0,INDEX(Main_무해지!$H$76:$H$82,MIN(AB49-$AB$4-$F$5+1,7)))))))</f>
        <v/>
      </c>
      <c r="AF49" s="261" t="str">
        <f t="shared" si="45"/>
        <v/>
      </c>
      <c r="AG49" s="261" t="str">
        <f t="shared" si="5"/>
        <v/>
      </c>
      <c r="AH49" s="131" t="str">
        <f>IF($AB49="","",SUM(AG49:AG$114))</f>
        <v/>
      </c>
      <c r="AI49" s="261" t="str">
        <f t="shared" si="36"/>
        <v/>
      </c>
      <c r="AJ49" s="311" t="str">
        <f t="shared" si="6"/>
        <v/>
      </c>
      <c r="AK49" s="311"/>
      <c r="AL49" s="261" t="str">
        <f t="shared" si="7"/>
        <v/>
      </c>
      <c r="AM49" s="261" t="str">
        <f t="shared" si="46"/>
        <v/>
      </c>
      <c r="AN49" s="261" t="str">
        <f t="shared" si="8"/>
        <v/>
      </c>
      <c r="AO49" s="131" t="str">
        <f>IF($AB49="","",SUM(AN49:AN$114))</f>
        <v/>
      </c>
      <c r="AP49" s="288" t="str">
        <f t="shared" si="37"/>
        <v/>
      </c>
      <c r="AQ49" s="261" t="str">
        <f t="shared" si="9"/>
        <v/>
      </c>
      <c r="AR49" s="261" t="str">
        <f t="shared" si="10"/>
        <v/>
      </c>
      <c r="AS49" s="261" t="str">
        <f t="shared" si="11"/>
        <v/>
      </c>
      <c r="AT49" s="318" t="str">
        <f>IF($AB49="","",SUM($AU49:$AU$114))</f>
        <v/>
      </c>
      <c r="AU49" s="261" t="str">
        <f t="shared" si="38"/>
        <v/>
      </c>
      <c r="AV49" s="318" t="str">
        <f t="shared" si="12"/>
        <v/>
      </c>
      <c r="AW49" s="288"/>
      <c r="AX49" s="261" t="str">
        <f t="shared" si="13"/>
        <v/>
      </c>
      <c r="AY49" s="261" t="str">
        <f t="shared" si="14"/>
        <v/>
      </c>
      <c r="AZ49" s="261" t="str">
        <f t="shared" si="15"/>
        <v/>
      </c>
      <c r="BA49" s="318" t="str">
        <f>IF($AB49="","",SUM($AZ49:$AZ$114))</f>
        <v/>
      </c>
      <c r="BB49" s="288"/>
      <c r="BC49" s="261" t="str">
        <f t="shared" si="16"/>
        <v/>
      </c>
      <c r="BD49" s="261" t="str">
        <f t="shared" si="17"/>
        <v/>
      </c>
      <c r="BE49" s="261" t="str">
        <f t="shared" si="18"/>
        <v/>
      </c>
      <c r="BF49" s="318" t="str">
        <f>IF($AB49="","",SUM($BE49:$BE$114))</f>
        <v/>
      </c>
      <c r="BG49" s="288"/>
      <c r="BH49" s="261" t="str">
        <f t="shared" si="19"/>
        <v/>
      </c>
      <c r="BI49" s="261" t="str">
        <f t="shared" si="20"/>
        <v/>
      </c>
      <c r="BJ49" s="261" t="str">
        <f t="shared" si="21"/>
        <v/>
      </c>
      <c r="BK49" s="318" t="str">
        <f>IF($AB49="","",SUM($BJ49:$BJ$114))</f>
        <v/>
      </c>
      <c r="BL49" s="288"/>
      <c r="BM49" s="261" t="str">
        <f t="shared" si="22"/>
        <v/>
      </c>
      <c r="BN49" s="261" t="str">
        <f t="shared" si="23"/>
        <v/>
      </c>
      <c r="BO49" s="261" t="str">
        <f t="shared" si="24"/>
        <v/>
      </c>
      <c r="BP49" s="318" t="str">
        <f>IF($AB49="","",SUM($BO49:$BO$114))</f>
        <v/>
      </c>
      <c r="BQ49" s="288" t="str">
        <f t="shared" si="25"/>
        <v/>
      </c>
      <c r="BR49" s="261" t="str">
        <f t="shared" si="39"/>
        <v/>
      </c>
      <c r="BS49" s="261" t="str">
        <f t="shared" si="26"/>
        <v/>
      </c>
      <c r="BT49" s="261" t="str">
        <f t="shared" si="27"/>
        <v/>
      </c>
      <c r="BU49" s="261" t="str">
        <f t="shared" si="40"/>
        <v/>
      </c>
      <c r="BV49" s="261"/>
      <c r="BW49" s="261"/>
      <c r="BX49" s="261"/>
      <c r="BY49" s="261"/>
      <c r="BZ49" s="261" t="str">
        <f>IF($AB49="","",SUM(BU49:BU$114))</f>
        <v/>
      </c>
      <c r="CA49" s="132" t="str">
        <f>IF(AB49&lt;$E$3+$F$5,0,IFERROR(일반형!S51,0))</f>
        <v/>
      </c>
      <c r="CB49" s="132"/>
      <c r="CC49" s="397" t="str">
        <f t="shared" si="0"/>
        <v/>
      </c>
      <c r="CD49" s="261" t="str">
        <f t="shared" si="41"/>
        <v/>
      </c>
      <c r="CE49" s="261" t="str">
        <f t="shared" si="28"/>
        <v/>
      </c>
      <c r="CF49" s="261" t="str">
        <f t="shared" si="29"/>
        <v/>
      </c>
      <c r="CG49" s="261" t="str">
        <f t="shared" si="42"/>
        <v/>
      </c>
      <c r="CH49" s="261" t="str">
        <f t="shared" si="30"/>
        <v/>
      </c>
      <c r="CI49" s="133" t="str">
        <f t="shared" si="43"/>
        <v/>
      </c>
      <c r="CJ49" s="134" t="str">
        <f t="shared" si="31"/>
        <v/>
      </c>
      <c r="CK49" s="243"/>
      <c r="CL49" s="210">
        <v>45</v>
      </c>
      <c r="CM49" s="261">
        <f t="shared" si="32"/>
        <v>0</v>
      </c>
      <c r="CN49" s="261">
        <f t="shared" si="33"/>
        <v>5.0000000000000002E-5</v>
      </c>
      <c r="CO49" s="261">
        <f t="shared" si="34"/>
        <v>1E-4</v>
      </c>
      <c r="CP49" s="261">
        <f t="shared" si="44"/>
        <v>2.4499999999999999E-4</v>
      </c>
      <c r="CQ49" s="261"/>
      <c r="CR49" s="210">
        <v>45</v>
      </c>
      <c r="CS49" s="261"/>
      <c r="CT49" s="261"/>
      <c r="CU49" s="261">
        <v>5.0000000000000002E-5</v>
      </c>
      <c r="CV49" s="261">
        <v>1.3000000000000001E-5</v>
      </c>
      <c r="CW49" s="261">
        <v>1E-4</v>
      </c>
      <c r="CX49" s="261">
        <v>3.1999999999999999E-5</v>
      </c>
      <c r="CY49" s="261">
        <v>2.4499999999999999E-4</v>
      </c>
      <c r="CZ49" s="261">
        <v>1.2999999999999999E-4</v>
      </c>
      <c r="DA49" s="261"/>
      <c r="DB49" s="261"/>
      <c r="DC49" s="261"/>
      <c r="DD49" s="261"/>
    </row>
    <row r="50" spans="1:108">
      <c r="A50" s="305"/>
      <c r="B50" s="373"/>
      <c r="D50" s="456" t="s">
        <v>78</v>
      </c>
      <c r="E50" s="457">
        <v>0</v>
      </c>
      <c r="F50" s="456" t="s">
        <v>372</v>
      </c>
      <c r="G50" s="458">
        <v>0</v>
      </c>
      <c r="I50" s="115" t="str">
        <f>$E$6&amp;" 순보험료"</f>
        <v>월납 순보험료</v>
      </c>
      <c r="J50" s="116" t="s">
        <v>42</v>
      </c>
      <c r="K50" s="488">
        <f>IF($F$6=0,(1-$E$36-$E$38)*(K35+K36)+($E$32+$E$37*K33/K20)*K34,(1-$E$28-$E$30-$E$25*$K$20/$K$32)*(K35)+(($E$23+$E$24*K41)*K20+$E$27*K32+$E$29*K33)*K36/K32)</f>
        <v>0.61654000749132931</v>
      </c>
      <c r="N50" s="278" t="str">
        <f t="shared" si="52"/>
        <v/>
      </c>
      <c r="O50" s="279" t="str">
        <f t="shared" si="53"/>
        <v/>
      </c>
      <c r="P50" s="271" t="str">
        <f t="shared" si="47"/>
        <v/>
      </c>
      <c r="Q50" s="382" t="str">
        <f t="shared" si="48"/>
        <v/>
      </c>
      <c r="R50" s="382" t="str">
        <f t="shared" si="49"/>
        <v/>
      </c>
      <c r="S50" s="400" t="str">
        <f t="shared" si="1"/>
        <v/>
      </c>
      <c r="T50" s="382" t="str">
        <f>일반형!P50</f>
        <v/>
      </c>
      <c r="U50" s="382" t="str">
        <f>일반형!Q50</f>
        <v/>
      </c>
      <c r="V50" s="271" t="str">
        <f>일반형!R50</f>
        <v/>
      </c>
      <c r="W50" s="400" t="str">
        <f>일반형!S50</f>
        <v/>
      </c>
      <c r="X50" s="271" t="str">
        <f t="shared" si="50"/>
        <v/>
      </c>
      <c r="Y50" s="442" t="str">
        <f t="shared" si="2"/>
        <v/>
      </c>
      <c r="Z50" s="443" t="str">
        <f t="shared" si="51"/>
        <v/>
      </c>
      <c r="AB50" s="759" t="str">
        <f t="shared" si="35"/>
        <v/>
      </c>
      <c r="AC50" s="646" t="str">
        <f t="shared" si="4"/>
        <v/>
      </c>
      <c r="AD50" s="409"/>
      <c r="AE50" s="409" t="str">
        <f>IF(AB50="","",IF(AB50-$AB$4&lt;$F$5-1,INDEX(Main_무해지!$G$76:$G$87,MIN(AB50-$AB$4+1,12)),IF(AB50-$AB$4=$F$5-1,0,IF(AND($F$2=1,AB50&gt;109),0,IF(AND($F$2=2,AB50&gt;111),0,INDEX(Main_무해지!$H$76:$H$82,MIN(AB50-$AB$4-$F$5+1,7)))))))</f>
        <v/>
      </c>
      <c r="AF50" s="409" t="str">
        <f t="shared" si="45"/>
        <v/>
      </c>
      <c r="AG50" s="409" t="str">
        <f t="shared" si="5"/>
        <v/>
      </c>
      <c r="AH50" s="760" t="str">
        <f>IF($AB50="","",SUM(AG50:AG$114))</f>
        <v/>
      </c>
      <c r="AI50" s="409" t="str">
        <f t="shared" si="36"/>
        <v/>
      </c>
      <c r="AJ50" s="639" t="str">
        <f t="shared" si="6"/>
        <v/>
      </c>
      <c r="AK50" s="639"/>
      <c r="AL50" s="409" t="str">
        <f t="shared" si="7"/>
        <v/>
      </c>
      <c r="AM50" s="409" t="str">
        <f t="shared" si="46"/>
        <v/>
      </c>
      <c r="AN50" s="409" t="str">
        <f t="shared" si="8"/>
        <v/>
      </c>
      <c r="AO50" s="760" t="str">
        <f>IF($AB50="","",SUM(AN50:AN$114))</f>
        <v/>
      </c>
      <c r="AP50" s="761" t="str">
        <f t="shared" si="37"/>
        <v/>
      </c>
      <c r="AQ50" s="409" t="str">
        <f t="shared" si="9"/>
        <v/>
      </c>
      <c r="AR50" s="409" t="str">
        <f t="shared" si="10"/>
        <v/>
      </c>
      <c r="AS50" s="409" t="str">
        <f t="shared" si="11"/>
        <v/>
      </c>
      <c r="AT50" s="762" t="str">
        <f>IF($AB50="","",SUM($AU50:$AU$114))</f>
        <v/>
      </c>
      <c r="AU50" s="409" t="str">
        <f t="shared" si="38"/>
        <v/>
      </c>
      <c r="AV50" s="762" t="str">
        <f t="shared" si="12"/>
        <v/>
      </c>
      <c r="AW50" s="761"/>
      <c r="AX50" s="409" t="str">
        <f t="shared" si="13"/>
        <v/>
      </c>
      <c r="AY50" s="409" t="str">
        <f t="shared" si="14"/>
        <v/>
      </c>
      <c r="AZ50" s="409" t="str">
        <f t="shared" si="15"/>
        <v/>
      </c>
      <c r="BA50" s="762" t="str">
        <f>IF($AB50="","",SUM($AZ50:$AZ$114))</f>
        <v/>
      </c>
      <c r="BB50" s="761"/>
      <c r="BC50" s="409" t="str">
        <f t="shared" si="16"/>
        <v/>
      </c>
      <c r="BD50" s="409" t="str">
        <f t="shared" si="17"/>
        <v/>
      </c>
      <c r="BE50" s="409" t="str">
        <f t="shared" si="18"/>
        <v/>
      </c>
      <c r="BF50" s="762" t="str">
        <f>IF($AB50="","",SUM($BE50:$BE$114))</f>
        <v/>
      </c>
      <c r="BG50" s="761"/>
      <c r="BH50" s="409" t="str">
        <f t="shared" si="19"/>
        <v/>
      </c>
      <c r="BI50" s="409" t="str">
        <f t="shared" si="20"/>
        <v/>
      </c>
      <c r="BJ50" s="409" t="str">
        <f t="shared" si="21"/>
        <v/>
      </c>
      <c r="BK50" s="762" t="str">
        <f>IF($AB50="","",SUM($BJ50:$BJ$114))</f>
        <v/>
      </c>
      <c r="BL50" s="761"/>
      <c r="BM50" s="409" t="str">
        <f t="shared" si="22"/>
        <v/>
      </c>
      <c r="BN50" s="409" t="str">
        <f t="shared" si="23"/>
        <v/>
      </c>
      <c r="BO50" s="409" t="str">
        <f t="shared" si="24"/>
        <v/>
      </c>
      <c r="BP50" s="762" t="str">
        <f>IF($AB50="","",SUM($BO50:$BO$114))</f>
        <v/>
      </c>
      <c r="BQ50" s="761" t="str">
        <f t="shared" si="25"/>
        <v/>
      </c>
      <c r="BR50" s="409" t="str">
        <f t="shared" si="39"/>
        <v/>
      </c>
      <c r="BS50" s="409" t="str">
        <f t="shared" si="26"/>
        <v/>
      </c>
      <c r="BT50" s="409" t="str">
        <f t="shared" si="27"/>
        <v/>
      </c>
      <c r="BU50" s="409" t="str">
        <f t="shared" si="40"/>
        <v/>
      </c>
      <c r="BV50" s="409"/>
      <c r="BW50" s="409"/>
      <c r="BX50" s="409"/>
      <c r="BY50" s="409"/>
      <c r="BZ50" s="409" t="str">
        <f>IF($AB50="","",SUM(BU50:BU$114))</f>
        <v/>
      </c>
      <c r="CA50" s="763" t="str">
        <f>IF(AB50&lt;$E$3+$F$5,0,IFERROR(일반형!S52,0))</f>
        <v/>
      </c>
      <c r="CB50" s="763"/>
      <c r="CC50" s="764" t="str">
        <f t="shared" si="0"/>
        <v/>
      </c>
      <c r="CD50" s="409" t="str">
        <f t="shared" si="41"/>
        <v/>
      </c>
      <c r="CE50" s="409" t="str">
        <f t="shared" si="28"/>
        <v/>
      </c>
      <c r="CF50" s="409" t="str">
        <f t="shared" si="29"/>
        <v/>
      </c>
      <c r="CG50" s="409" t="str">
        <f t="shared" si="42"/>
        <v/>
      </c>
      <c r="CH50" s="409" t="str">
        <f t="shared" si="30"/>
        <v/>
      </c>
      <c r="CI50" s="765" t="str">
        <f t="shared" si="43"/>
        <v/>
      </c>
      <c r="CJ50" s="766" t="str">
        <f t="shared" si="31"/>
        <v/>
      </c>
      <c r="CK50" s="414"/>
      <c r="CL50" s="767">
        <v>46</v>
      </c>
      <c r="CM50" s="409">
        <f t="shared" si="32"/>
        <v>0</v>
      </c>
      <c r="CN50" s="409">
        <f t="shared" si="33"/>
        <v>5.0000000000000002E-5</v>
      </c>
      <c r="CO50" s="409">
        <f t="shared" si="34"/>
        <v>1.18E-4</v>
      </c>
      <c r="CP50" s="409">
        <f t="shared" si="44"/>
        <v>2.4499999999999999E-4</v>
      </c>
      <c r="CQ50" s="409"/>
      <c r="CR50" s="767">
        <v>46</v>
      </c>
      <c r="CS50" s="409"/>
      <c r="CT50" s="409"/>
      <c r="CU50" s="409">
        <v>5.0000000000000002E-5</v>
      </c>
      <c r="CV50" s="409">
        <v>1.3000000000000001E-5</v>
      </c>
      <c r="CW50" s="409">
        <v>1.18E-4</v>
      </c>
      <c r="CX50" s="409">
        <v>4.1999999999999998E-5</v>
      </c>
      <c r="CY50" s="409">
        <v>2.4499999999999999E-4</v>
      </c>
      <c r="CZ50" s="409">
        <v>1.2999999999999999E-4</v>
      </c>
      <c r="DA50" s="409"/>
      <c r="DB50" s="409"/>
      <c r="DC50" s="409"/>
      <c r="DD50" s="409"/>
    </row>
    <row r="51" spans="1:108">
      <c r="A51" s="305"/>
      <c r="B51" s="373"/>
      <c r="D51" s="456" t="s">
        <v>249</v>
      </c>
      <c r="E51" s="457">
        <v>12</v>
      </c>
      <c r="F51" s="456" t="s">
        <v>253</v>
      </c>
      <c r="G51" s="458">
        <v>0</v>
      </c>
      <c r="I51" s="142"/>
      <c r="J51" s="49" t="s">
        <v>44</v>
      </c>
      <c r="K51" s="486">
        <f>IF($F$6=0,(1-$E$36-$E$38)*K20-(1+$E$33)*K34,K38*((1-$E$28-$E$30)*K32-$E$25*K20-K36))</f>
        <v>1039410.1466992667</v>
      </c>
      <c r="N51" s="280" t="str">
        <f t="shared" si="52"/>
        <v/>
      </c>
      <c r="O51" s="281" t="str">
        <f t="shared" si="53"/>
        <v/>
      </c>
      <c r="P51" s="282" t="str">
        <f t="shared" si="47"/>
        <v/>
      </c>
      <c r="Q51" s="383" t="str">
        <f t="shared" si="48"/>
        <v/>
      </c>
      <c r="R51" s="383" t="str">
        <f t="shared" si="49"/>
        <v/>
      </c>
      <c r="S51" s="402" t="str">
        <f t="shared" si="1"/>
        <v/>
      </c>
      <c r="T51" s="383" t="str">
        <f>일반형!P51</f>
        <v/>
      </c>
      <c r="U51" s="383" t="str">
        <f>일반형!Q51</f>
        <v/>
      </c>
      <c r="V51" s="282" t="str">
        <f>일반형!R51</f>
        <v/>
      </c>
      <c r="W51" s="402" t="str">
        <f>일반형!S51</f>
        <v/>
      </c>
      <c r="X51" s="282" t="str">
        <f t="shared" si="50"/>
        <v/>
      </c>
      <c r="Y51" s="446" t="str">
        <f t="shared" si="2"/>
        <v/>
      </c>
      <c r="Z51" s="447" t="str">
        <f t="shared" si="51"/>
        <v/>
      </c>
      <c r="AB51" s="70" t="str">
        <f t="shared" si="35"/>
        <v/>
      </c>
      <c r="AC51" s="647" t="str">
        <f t="shared" si="4"/>
        <v/>
      </c>
      <c r="AD51" s="256"/>
      <c r="AE51" s="256" t="str">
        <f>IF(AB51="","",IF(AB51-$AB$4&lt;$F$5-1,INDEX(Main_무해지!$G$76:$G$87,MIN(AB51-$AB$4+1,12)),IF(AB51-$AB$4=$F$5-1,0,IF(AND($F$2=1,AB51&gt;109),0,IF(AND($F$2=2,AB51&gt;111),0,INDEX(Main_무해지!$H$76:$H$82,MIN(AB51-$AB$4-$F$5+1,7)))))))</f>
        <v/>
      </c>
      <c r="AF51" s="256" t="str">
        <f t="shared" si="45"/>
        <v/>
      </c>
      <c r="AG51" s="256" t="str">
        <f t="shared" si="5"/>
        <v/>
      </c>
      <c r="AH51" s="72" t="str">
        <f>IF($AB51="","",SUM(AG51:AG$114))</f>
        <v/>
      </c>
      <c r="AI51" s="256" t="str">
        <f t="shared" si="36"/>
        <v/>
      </c>
      <c r="AJ51" s="74" t="str">
        <f t="shared" si="6"/>
        <v/>
      </c>
      <c r="AK51" s="74"/>
      <c r="AL51" s="256" t="str">
        <f t="shared" si="7"/>
        <v/>
      </c>
      <c r="AM51" s="256" t="str">
        <f t="shared" si="46"/>
        <v/>
      </c>
      <c r="AN51" s="256" t="str">
        <f t="shared" si="8"/>
        <v/>
      </c>
      <c r="AO51" s="72" t="str">
        <f>IF($AB51="","",SUM(AN51:AN$114))</f>
        <v/>
      </c>
      <c r="AP51" s="71" t="str">
        <f t="shared" si="37"/>
        <v/>
      </c>
      <c r="AQ51" s="256" t="str">
        <f t="shared" si="9"/>
        <v/>
      </c>
      <c r="AR51" s="256" t="str">
        <f t="shared" si="10"/>
        <v/>
      </c>
      <c r="AS51" s="256" t="str">
        <f t="shared" si="11"/>
        <v/>
      </c>
      <c r="AT51" s="75" t="str">
        <f>IF($AB51="","",SUM($AU51:$AU$114))</f>
        <v/>
      </c>
      <c r="AU51" s="256" t="str">
        <f t="shared" si="38"/>
        <v/>
      </c>
      <c r="AV51" s="75" t="str">
        <f t="shared" si="12"/>
        <v/>
      </c>
      <c r="AW51" s="71"/>
      <c r="AX51" s="256" t="str">
        <f t="shared" si="13"/>
        <v/>
      </c>
      <c r="AY51" s="256" t="str">
        <f t="shared" si="14"/>
        <v/>
      </c>
      <c r="AZ51" s="256" t="str">
        <f t="shared" si="15"/>
        <v/>
      </c>
      <c r="BA51" s="75" t="str">
        <f>IF($AB51="","",SUM($AZ51:$AZ$114))</f>
        <v/>
      </c>
      <c r="BB51" s="71"/>
      <c r="BC51" s="256" t="str">
        <f t="shared" si="16"/>
        <v/>
      </c>
      <c r="BD51" s="256" t="str">
        <f t="shared" si="17"/>
        <v/>
      </c>
      <c r="BE51" s="256" t="str">
        <f t="shared" si="18"/>
        <v/>
      </c>
      <c r="BF51" s="75" t="str">
        <f>IF($AB51="","",SUM($BE51:$BE$114))</f>
        <v/>
      </c>
      <c r="BG51" s="71"/>
      <c r="BH51" s="256" t="str">
        <f t="shared" si="19"/>
        <v/>
      </c>
      <c r="BI51" s="256" t="str">
        <f t="shared" si="20"/>
        <v/>
      </c>
      <c r="BJ51" s="256" t="str">
        <f t="shared" si="21"/>
        <v/>
      </c>
      <c r="BK51" s="75" t="str">
        <f>IF($AB51="","",SUM($BJ51:$BJ$114))</f>
        <v/>
      </c>
      <c r="BL51" s="71"/>
      <c r="BM51" s="256" t="str">
        <f t="shared" si="22"/>
        <v/>
      </c>
      <c r="BN51" s="256" t="str">
        <f t="shared" si="23"/>
        <v/>
      </c>
      <c r="BO51" s="256" t="str">
        <f t="shared" si="24"/>
        <v/>
      </c>
      <c r="BP51" s="75" t="str">
        <f>IF($AB51="","",SUM($BO51:$BO$114))</f>
        <v/>
      </c>
      <c r="BQ51" s="71" t="str">
        <f t="shared" si="25"/>
        <v/>
      </c>
      <c r="BR51" s="256" t="str">
        <f t="shared" si="39"/>
        <v/>
      </c>
      <c r="BS51" s="256" t="str">
        <f t="shared" si="26"/>
        <v/>
      </c>
      <c r="BT51" s="256" t="str">
        <f t="shared" si="27"/>
        <v/>
      </c>
      <c r="BU51" s="256" t="str">
        <f t="shared" si="40"/>
        <v/>
      </c>
      <c r="BV51" s="256"/>
      <c r="BW51" s="256"/>
      <c r="BX51" s="256"/>
      <c r="BY51" s="256"/>
      <c r="BZ51" s="256" t="str">
        <f>IF($AB51="","",SUM(BU51:BU$114))</f>
        <v/>
      </c>
      <c r="CA51" s="73" t="str">
        <f>IF(AB51&lt;$E$3+$F$5,0,IFERROR(일반형!S53,0))</f>
        <v/>
      </c>
      <c r="CB51" s="73"/>
      <c r="CC51" s="392" t="str">
        <f t="shared" si="0"/>
        <v/>
      </c>
      <c r="CD51" s="256" t="str">
        <f t="shared" si="41"/>
        <v/>
      </c>
      <c r="CE51" s="256" t="str">
        <f t="shared" si="28"/>
        <v/>
      </c>
      <c r="CF51" s="256" t="str">
        <f t="shared" si="29"/>
        <v/>
      </c>
      <c r="CG51" s="256" t="str">
        <f t="shared" si="42"/>
        <v/>
      </c>
      <c r="CH51" s="256" t="str">
        <f t="shared" si="30"/>
        <v/>
      </c>
      <c r="CI51" s="76" t="str">
        <f t="shared" si="43"/>
        <v/>
      </c>
      <c r="CJ51" s="77" t="str">
        <f t="shared" si="31"/>
        <v/>
      </c>
      <c r="CK51" s="238"/>
      <c r="CL51" s="205">
        <v>47</v>
      </c>
      <c r="CM51" s="256">
        <f t="shared" si="32"/>
        <v>0</v>
      </c>
      <c r="CN51" s="256">
        <f t="shared" si="33"/>
        <v>5.0000000000000002E-5</v>
      </c>
      <c r="CO51" s="256">
        <f t="shared" si="34"/>
        <v>1.3799999999999999E-4</v>
      </c>
      <c r="CP51" s="256">
        <f t="shared" si="44"/>
        <v>2.4499999999999999E-4</v>
      </c>
      <c r="CQ51" s="256"/>
      <c r="CR51" s="205">
        <v>47</v>
      </c>
      <c r="CS51" s="256"/>
      <c r="CT51" s="256"/>
      <c r="CU51" s="256">
        <v>5.0000000000000002E-5</v>
      </c>
      <c r="CV51" s="256">
        <v>1.3000000000000001E-5</v>
      </c>
      <c r="CW51" s="256">
        <v>1.3799999999999999E-4</v>
      </c>
      <c r="CX51" s="256">
        <v>5.1999999999999997E-5</v>
      </c>
      <c r="CY51" s="256">
        <v>2.4499999999999999E-4</v>
      </c>
      <c r="CZ51" s="256">
        <v>1.2999999999999999E-4</v>
      </c>
      <c r="DA51" s="256"/>
      <c r="DB51" s="256"/>
      <c r="DC51" s="256"/>
      <c r="DD51" s="256"/>
    </row>
    <row r="52" spans="1:108">
      <c r="A52" s="305"/>
      <c r="B52" s="373"/>
      <c r="D52" s="456" t="s">
        <v>250</v>
      </c>
      <c r="E52" s="457">
        <v>4</v>
      </c>
      <c r="F52" s="456"/>
      <c r="G52" s="458"/>
      <c r="I52" s="125" t="str">
        <f>IF(F5=0,"  Ax:n","  mP(m')x:n")</f>
        <v xml:space="preserve">  mP(m')x:n</v>
      </c>
      <c r="J52" s="126" t="s">
        <v>50</v>
      </c>
      <c r="K52" s="655">
        <f>K50/K51</f>
        <v>5.9316335274309505E-7</v>
      </c>
      <c r="N52" s="275" t="str">
        <f t="shared" si="52"/>
        <v/>
      </c>
      <c r="O52" s="276" t="str">
        <f t="shared" si="53"/>
        <v/>
      </c>
      <c r="P52" s="277" t="str">
        <f t="shared" si="47"/>
        <v/>
      </c>
      <c r="Q52" s="381" t="str">
        <f t="shared" si="48"/>
        <v/>
      </c>
      <c r="R52" s="381" t="str">
        <f t="shared" si="49"/>
        <v/>
      </c>
      <c r="S52" s="401" t="str">
        <f t="shared" si="1"/>
        <v/>
      </c>
      <c r="T52" s="381" t="str">
        <f>일반형!P52</f>
        <v/>
      </c>
      <c r="U52" s="381" t="str">
        <f>일반형!Q52</f>
        <v/>
      </c>
      <c r="V52" s="277" t="str">
        <f>일반형!R52</f>
        <v/>
      </c>
      <c r="W52" s="401" t="str">
        <f>일반형!S52</f>
        <v/>
      </c>
      <c r="X52" s="277" t="str">
        <f t="shared" si="50"/>
        <v/>
      </c>
      <c r="Y52" s="444" t="str">
        <f t="shared" si="2"/>
        <v/>
      </c>
      <c r="Z52" s="445" t="str">
        <f t="shared" si="51"/>
        <v/>
      </c>
      <c r="AB52" s="70" t="str">
        <f t="shared" si="35"/>
        <v/>
      </c>
      <c r="AC52" s="647" t="str">
        <f t="shared" si="4"/>
        <v/>
      </c>
      <c r="AD52" s="256"/>
      <c r="AE52" s="256" t="str">
        <f>IF(AB52="","",IF(AB52-$AB$4&lt;$F$5-1,INDEX(Main_무해지!$G$76:$G$87,MIN(AB52-$AB$4+1,12)),IF(AB52-$AB$4=$F$5-1,0,IF(AND($F$2=1,AB52&gt;109),0,IF(AND($F$2=2,AB52&gt;111),0,INDEX(Main_무해지!$H$76:$H$82,MIN(AB52-$AB$4-$F$5+1,7)))))))</f>
        <v/>
      </c>
      <c r="AF52" s="256" t="str">
        <f t="shared" si="45"/>
        <v/>
      </c>
      <c r="AG52" s="256" t="str">
        <f t="shared" si="5"/>
        <v/>
      </c>
      <c r="AH52" s="72" t="str">
        <f>IF($AB52="","",SUM(AG52:AG$114))</f>
        <v/>
      </c>
      <c r="AI52" s="256" t="str">
        <f t="shared" si="36"/>
        <v/>
      </c>
      <c r="AJ52" s="74" t="str">
        <f t="shared" si="6"/>
        <v/>
      </c>
      <c r="AK52" s="74"/>
      <c r="AL52" s="256" t="str">
        <f t="shared" si="7"/>
        <v/>
      </c>
      <c r="AM52" s="256" t="str">
        <f t="shared" si="46"/>
        <v/>
      </c>
      <c r="AN52" s="256" t="str">
        <f t="shared" si="8"/>
        <v/>
      </c>
      <c r="AO52" s="72" t="str">
        <f>IF($AB52="","",SUM(AN52:AN$114))</f>
        <v/>
      </c>
      <c r="AP52" s="71" t="str">
        <f t="shared" si="37"/>
        <v/>
      </c>
      <c r="AQ52" s="256" t="str">
        <f t="shared" si="9"/>
        <v/>
      </c>
      <c r="AR52" s="256" t="str">
        <f t="shared" si="10"/>
        <v/>
      </c>
      <c r="AS52" s="256" t="str">
        <f t="shared" si="11"/>
        <v/>
      </c>
      <c r="AT52" s="75" t="str">
        <f>IF($AB52="","",SUM($AU52:$AU$114))</f>
        <v/>
      </c>
      <c r="AU52" s="256" t="str">
        <f t="shared" si="38"/>
        <v/>
      </c>
      <c r="AV52" s="75" t="str">
        <f t="shared" si="12"/>
        <v/>
      </c>
      <c r="AW52" s="71"/>
      <c r="AX52" s="256" t="str">
        <f t="shared" si="13"/>
        <v/>
      </c>
      <c r="AY52" s="256" t="str">
        <f t="shared" si="14"/>
        <v/>
      </c>
      <c r="AZ52" s="256" t="str">
        <f t="shared" si="15"/>
        <v/>
      </c>
      <c r="BA52" s="75" t="str">
        <f>IF($AB52="","",SUM($AZ52:$AZ$114))</f>
        <v/>
      </c>
      <c r="BB52" s="71"/>
      <c r="BC52" s="256" t="str">
        <f t="shared" si="16"/>
        <v/>
      </c>
      <c r="BD52" s="256" t="str">
        <f t="shared" si="17"/>
        <v/>
      </c>
      <c r="BE52" s="256" t="str">
        <f t="shared" si="18"/>
        <v/>
      </c>
      <c r="BF52" s="75" t="str">
        <f>IF($AB52="","",SUM($BE52:$BE$114))</f>
        <v/>
      </c>
      <c r="BG52" s="71"/>
      <c r="BH52" s="256" t="str">
        <f t="shared" si="19"/>
        <v/>
      </c>
      <c r="BI52" s="256" t="str">
        <f t="shared" si="20"/>
        <v/>
      </c>
      <c r="BJ52" s="256" t="str">
        <f t="shared" si="21"/>
        <v/>
      </c>
      <c r="BK52" s="75" t="str">
        <f>IF($AB52="","",SUM($BJ52:$BJ$114))</f>
        <v/>
      </c>
      <c r="BL52" s="71"/>
      <c r="BM52" s="256" t="str">
        <f t="shared" si="22"/>
        <v/>
      </c>
      <c r="BN52" s="256" t="str">
        <f t="shared" si="23"/>
        <v/>
      </c>
      <c r="BO52" s="256" t="str">
        <f t="shared" si="24"/>
        <v/>
      </c>
      <c r="BP52" s="75" t="str">
        <f>IF($AB52="","",SUM($BO52:$BO$114))</f>
        <v/>
      </c>
      <c r="BQ52" s="71" t="str">
        <f t="shared" si="25"/>
        <v/>
      </c>
      <c r="BR52" s="256" t="str">
        <f t="shared" si="39"/>
        <v/>
      </c>
      <c r="BS52" s="256" t="str">
        <f t="shared" si="26"/>
        <v/>
      </c>
      <c r="BT52" s="256" t="str">
        <f t="shared" si="27"/>
        <v/>
      </c>
      <c r="BU52" s="256" t="str">
        <f t="shared" si="40"/>
        <v/>
      </c>
      <c r="BV52" s="256"/>
      <c r="BW52" s="256"/>
      <c r="BX52" s="256"/>
      <c r="BY52" s="256"/>
      <c r="BZ52" s="256" t="str">
        <f>IF($AB52="","",SUM(BU52:BU$114))</f>
        <v/>
      </c>
      <c r="CA52" s="73" t="str">
        <f>IF(AB52&lt;$E$3+$F$5,0,IFERROR(일반형!S54,0))</f>
        <v/>
      </c>
      <c r="CB52" s="73"/>
      <c r="CC52" s="392" t="str">
        <f t="shared" si="0"/>
        <v/>
      </c>
      <c r="CD52" s="256" t="str">
        <f t="shared" si="41"/>
        <v/>
      </c>
      <c r="CE52" s="256" t="str">
        <f t="shared" si="28"/>
        <v/>
      </c>
      <c r="CF52" s="256" t="str">
        <f t="shared" si="29"/>
        <v/>
      </c>
      <c r="CG52" s="256" t="str">
        <f t="shared" si="42"/>
        <v/>
      </c>
      <c r="CH52" s="256" t="str">
        <f t="shared" si="30"/>
        <v/>
      </c>
      <c r="CI52" s="76" t="str">
        <f t="shared" si="43"/>
        <v/>
      </c>
      <c r="CJ52" s="77" t="str">
        <f t="shared" si="31"/>
        <v/>
      </c>
      <c r="CK52" s="238"/>
      <c r="CL52" s="205">
        <v>48</v>
      </c>
      <c r="CM52" s="256">
        <f t="shared" si="32"/>
        <v>0</v>
      </c>
      <c r="CN52" s="256">
        <f t="shared" si="33"/>
        <v>5.0000000000000002E-5</v>
      </c>
      <c r="CO52" s="256">
        <f t="shared" si="34"/>
        <v>1.5899999999999999E-4</v>
      </c>
      <c r="CP52" s="256">
        <f t="shared" si="44"/>
        <v>2.4499999999999999E-4</v>
      </c>
      <c r="CQ52" s="256"/>
      <c r="CR52" s="205">
        <v>48</v>
      </c>
      <c r="CS52" s="256"/>
      <c r="CT52" s="256"/>
      <c r="CU52" s="256">
        <v>5.0000000000000002E-5</v>
      </c>
      <c r="CV52" s="256">
        <v>1.3000000000000001E-5</v>
      </c>
      <c r="CW52" s="256">
        <v>1.5899999999999999E-4</v>
      </c>
      <c r="CX52" s="256">
        <v>6.2000000000000003E-5</v>
      </c>
      <c r="CY52" s="256">
        <v>2.4499999999999999E-4</v>
      </c>
      <c r="CZ52" s="256">
        <v>1.2999999999999999E-4</v>
      </c>
      <c r="DA52" s="256"/>
      <c r="DB52" s="256"/>
      <c r="DC52" s="256"/>
      <c r="DD52" s="256"/>
    </row>
    <row r="53" spans="1:108">
      <c r="A53" s="305"/>
      <c r="B53" s="373"/>
      <c r="D53" s="456" t="s">
        <v>251</v>
      </c>
      <c r="E53" s="457">
        <v>2</v>
      </c>
      <c r="F53" s="456"/>
      <c r="G53" s="458"/>
      <c r="I53" s="115" t="str">
        <f>$E$6&amp;" 영업보험료"</f>
        <v>월납 영업보험료</v>
      </c>
      <c r="J53" s="116" t="s">
        <v>42</v>
      </c>
      <c r="K53" s="488">
        <f>IF($F$6=0,(1+$E$33)*K52+$E$32+$E$37*K33/K20,K52+(($E$23+$E$24*K41)*K20+$E$27*K32+$E$29*K33)/(K38*K32))</f>
        <v>1.4496300568334091E-6</v>
      </c>
      <c r="M53" s="146"/>
      <c r="N53" s="278" t="str">
        <f t="shared" si="52"/>
        <v/>
      </c>
      <c r="O53" s="279" t="str">
        <f t="shared" si="53"/>
        <v/>
      </c>
      <c r="P53" s="271" t="str">
        <f t="shared" si="47"/>
        <v/>
      </c>
      <c r="Q53" s="382" t="str">
        <f t="shared" si="48"/>
        <v/>
      </c>
      <c r="R53" s="382" t="str">
        <f t="shared" si="49"/>
        <v/>
      </c>
      <c r="S53" s="400" t="str">
        <f t="shared" si="1"/>
        <v/>
      </c>
      <c r="T53" s="382" t="str">
        <f>일반형!P53</f>
        <v/>
      </c>
      <c r="U53" s="382" t="str">
        <f>일반형!Q53</f>
        <v/>
      </c>
      <c r="V53" s="271" t="str">
        <f>일반형!R53</f>
        <v/>
      </c>
      <c r="W53" s="400" t="str">
        <f>일반형!S53</f>
        <v/>
      </c>
      <c r="X53" s="271" t="str">
        <f t="shared" si="50"/>
        <v/>
      </c>
      <c r="Y53" s="442" t="str">
        <f t="shared" si="2"/>
        <v/>
      </c>
      <c r="Z53" s="443" t="str">
        <f t="shared" si="51"/>
        <v/>
      </c>
      <c r="AB53" s="70" t="str">
        <f t="shared" si="35"/>
        <v/>
      </c>
      <c r="AC53" s="647" t="str">
        <f t="shared" si="4"/>
        <v/>
      </c>
      <c r="AD53" s="256"/>
      <c r="AE53" s="256" t="str">
        <f>IF(AB53="","",IF(AB53-$AB$4&lt;$F$5-1,INDEX(Main_무해지!$G$76:$G$87,MIN(AB53-$AB$4+1,12)),IF(AB53-$AB$4=$F$5-1,0,IF(AND($F$2=1,AB53&gt;109),0,IF(AND($F$2=2,AB53&gt;111),0,INDEX(Main_무해지!$H$76:$H$82,MIN(AB53-$AB$4-$F$5+1,7)))))))</f>
        <v/>
      </c>
      <c r="AF53" s="256" t="str">
        <f t="shared" si="45"/>
        <v/>
      </c>
      <c r="AG53" s="256" t="str">
        <f t="shared" si="5"/>
        <v/>
      </c>
      <c r="AH53" s="72" t="str">
        <f>IF($AB53="","",SUM(AG53:AG$114))</f>
        <v/>
      </c>
      <c r="AI53" s="256" t="str">
        <f t="shared" si="36"/>
        <v/>
      </c>
      <c r="AJ53" s="74" t="str">
        <f t="shared" si="6"/>
        <v/>
      </c>
      <c r="AK53" s="74"/>
      <c r="AL53" s="256" t="str">
        <f t="shared" si="7"/>
        <v/>
      </c>
      <c r="AM53" s="256" t="str">
        <f t="shared" si="46"/>
        <v/>
      </c>
      <c r="AN53" s="256" t="str">
        <f t="shared" si="8"/>
        <v/>
      </c>
      <c r="AO53" s="72" t="str">
        <f>IF($AB53="","",SUM(AN53:AN$114))</f>
        <v/>
      </c>
      <c r="AP53" s="71" t="str">
        <f t="shared" si="37"/>
        <v/>
      </c>
      <c r="AQ53" s="256" t="str">
        <f t="shared" si="9"/>
        <v/>
      </c>
      <c r="AR53" s="256" t="str">
        <f t="shared" si="10"/>
        <v/>
      </c>
      <c r="AS53" s="256" t="str">
        <f t="shared" si="11"/>
        <v/>
      </c>
      <c r="AT53" s="75" t="str">
        <f>IF($AB53="","",SUM($AU53:$AU$114))</f>
        <v/>
      </c>
      <c r="AU53" s="256" t="str">
        <f t="shared" si="38"/>
        <v/>
      </c>
      <c r="AV53" s="75" t="str">
        <f t="shared" si="12"/>
        <v/>
      </c>
      <c r="AW53" s="71"/>
      <c r="AX53" s="256" t="str">
        <f t="shared" si="13"/>
        <v/>
      </c>
      <c r="AY53" s="256" t="str">
        <f t="shared" si="14"/>
        <v/>
      </c>
      <c r="AZ53" s="256" t="str">
        <f t="shared" si="15"/>
        <v/>
      </c>
      <c r="BA53" s="75" t="str">
        <f>IF($AB53="","",SUM($AZ53:$AZ$114))</f>
        <v/>
      </c>
      <c r="BB53" s="71"/>
      <c r="BC53" s="256" t="str">
        <f t="shared" si="16"/>
        <v/>
      </c>
      <c r="BD53" s="256" t="str">
        <f t="shared" si="17"/>
        <v/>
      </c>
      <c r="BE53" s="256" t="str">
        <f t="shared" si="18"/>
        <v/>
      </c>
      <c r="BF53" s="75" t="str">
        <f>IF($AB53="","",SUM($BE53:$BE$114))</f>
        <v/>
      </c>
      <c r="BG53" s="71"/>
      <c r="BH53" s="256" t="str">
        <f t="shared" si="19"/>
        <v/>
      </c>
      <c r="BI53" s="256" t="str">
        <f t="shared" si="20"/>
        <v/>
      </c>
      <c r="BJ53" s="256" t="str">
        <f t="shared" si="21"/>
        <v/>
      </c>
      <c r="BK53" s="75" t="str">
        <f>IF($AB53="","",SUM($BJ53:$BJ$114))</f>
        <v/>
      </c>
      <c r="BL53" s="71"/>
      <c r="BM53" s="256" t="str">
        <f t="shared" si="22"/>
        <v/>
      </c>
      <c r="BN53" s="256" t="str">
        <f t="shared" si="23"/>
        <v/>
      </c>
      <c r="BO53" s="256" t="str">
        <f t="shared" si="24"/>
        <v/>
      </c>
      <c r="BP53" s="75" t="str">
        <f>IF($AB53="","",SUM($BO53:$BO$114))</f>
        <v/>
      </c>
      <c r="BQ53" s="71" t="str">
        <f t="shared" si="25"/>
        <v/>
      </c>
      <c r="BR53" s="256" t="str">
        <f t="shared" si="39"/>
        <v/>
      </c>
      <c r="BS53" s="256" t="str">
        <f t="shared" si="26"/>
        <v/>
      </c>
      <c r="BT53" s="256" t="str">
        <f t="shared" si="27"/>
        <v/>
      </c>
      <c r="BU53" s="256" t="str">
        <f t="shared" si="40"/>
        <v/>
      </c>
      <c r="BV53" s="256"/>
      <c r="BW53" s="256"/>
      <c r="BX53" s="256"/>
      <c r="BY53" s="256"/>
      <c r="BZ53" s="256" t="str">
        <f>IF($AB53="","",SUM(BU53:BU$114))</f>
        <v/>
      </c>
      <c r="CA53" s="73" t="str">
        <f>IF(AB53&lt;$E$3+$F$5,0,IFERROR(일반형!S55,0))</f>
        <v/>
      </c>
      <c r="CB53" s="73"/>
      <c r="CC53" s="392" t="str">
        <f t="shared" si="0"/>
        <v/>
      </c>
      <c r="CD53" s="256" t="str">
        <f t="shared" si="41"/>
        <v/>
      </c>
      <c r="CE53" s="256" t="str">
        <f t="shared" si="28"/>
        <v/>
      </c>
      <c r="CF53" s="256" t="str">
        <f t="shared" si="29"/>
        <v/>
      </c>
      <c r="CG53" s="256" t="str">
        <f t="shared" si="42"/>
        <v/>
      </c>
      <c r="CH53" s="256" t="str">
        <f t="shared" si="30"/>
        <v/>
      </c>
      <c r="CI53" s="76" t="str">
        <f t="shared" si="43"/>
        <v/>
      </c>
      <c r="CJ53" s="77" t="str">
        <f t="shared" si="31"/>
        <v/>
      </c>
      <c r="CK53" s="238"/>
      <c r="CL53" s="205">
        <v>49</v>
      </c>
      <c r="CM53" s="256">
        <f t="shared" si="32"/>
        <v>0</v>
      </c>
      <c r="CN53" s="256">
        <f t="shared" si="33"/>
        <v>5.0000000000000002E-5</v>
      </c>
      <c r="CO53" s="256">
        <f t="shared" si="34"/>
        <v>1.83E-4</v>
      </c>
      <c r="CP53" s="256">
        <f t="shared" si="44"/>
        <v>2.4499999999999999E-4</v>
      </c>
      <c r="CQ53" s="256"/>
      <c r="CR53" s="205">
        <v>49</v>
      </c>
      <c r="CS53" s="256"/>
      <c r="CT53" s="256"/>
      <c r="CU53" s="256">
        <v>5.0000000000000002E-5</v>
      </c>
      <c r="CV53" s="256">
        <v>1.3000000000000001E-5</v>
      </c>
      <c r="CW53" s="256">
        <v>1.83E-4</v>
      </c>
      <c r="CX53" s="256">
        <v>7.2999999999999999E-5</v>
      </c>
      <c r="CY53" s="256">
        <v>2.4499999999999999E-4</v>
      </c>
      <c r="CZ53" s="256">
        <v>1.2999999999999999E-4</v>
      </c>
      <c r="DA53" s="256"/>
      <c r="DB53" s="256"/>
      <c r="DC53" s="256"/>
      <c r="DD53" s="256"/>
    </row>
    <row r="54" spans="1:108">
      <c r="A54" s="305"/>
      <c r="B54" s="373"/>
      <c r="D54" s="456" t="s">
        <v>252</v>
      </c>
      <c r="E54" s="457">
        <v>1</v>
      </c>
      <c r="F54" s="456"/>
      <c r="G54" s="458"/>
      <c r="I54" s="142"/>
      <c r="J54" s="49" t="s">
        <v>44</v>
      </c>
      <c r="K54" s="486">
        <f>IF($F$6=0,1-$E$36-$E$38,1-$E$28-$E$30-$E$25*$K$20/$K$32)</f>
        <v>0.875</v>
      </c>
      <c r="M54" s="147"/>
      <c r="N54" s="278" t="str">
        <f t="shared" si="52"/>
        <v/>
      </c>
      <c r="O54" s="279" t="str">
        <f t="shared" si="53"/>
        <v/>
      </c>
      <c r="P54" s="271" t="str">
        <f t="shared" si="47"/>
        <v/>
      </c>
      <c r="Q54" s="382" t="str">
        <f t="shared" si="48"/>
        <v/>
      </c>
      <c r="R54" s="382" t="str">
        <f t="shared" si="49"/>
        <v/>
      </c>
      <c r="S54" s="400" t="str">
        <f t="shared" si="1"/>
        <v/>
      </c>
      <c r="T54" s="382" t="str">
        <f>일반형!P54</f>
        <v/>
      </c>
      <c r="U54" s="382" t="str">
        <f>일반형!Q54</f>
        <v/>
      </c>
      <c r="V54" s="271" t="str">
        <f>일반형!R54</f>
        <v/>
      </c>
      <c r="W54" s="400" t="str">
        <f>일반형!S54</f>
        <v/>
      </c>
      <c r="X54" s="271" t="str">
        <f t="shared" si="50"/>
        <v/>
      </c>
      <c r="Y54" s="442" t="str">
        <f t="shared" si="2"/>
        <v/>
      </c>
      <c r="Z54" s="443" t="str">
        <f t="shared" si="51"/>
        <v/>
      </c>
      <c r="AB54" s="83" t="str">
        <f t="shared" si="35"/>
        <v/>
      </c>
      <c r="AC54" s="648" t="str">
        <f t="shared" si="4"/>
        <v/>
      </c>
      <c r="AD54" s="257"/>
      <c r="AE54" s="257" t="str">
        <f>IF(AB54="","",IF(AB54-$AB$4&lt;$F$5-1,INDEX(Main_무해지!$G$76:$G$87,MIN(AB54-$AB$4+1,12)),IF(AB54-$AB$4=$F$5-1,0,IF(AND($F$2=1,AB54&gt;109),0,IF(AND($F$2=2,AB54&gt;111),0,INDEX(Main_무해지!$H$76:$H$82,MIN(AB54-$AB$4-$F$5+1,7)))))))</f>
        <v/>
      </c>
      <c r="AF54" s="257" t="str">
        <f t="shared" si="45"/>
        <v/>
      </c>
      <c r="AG54" s="257" t="str">
        <f t="shared" si="5"/>
        <v/>
      </c>
      <c r="AH54" s="85" t="str">
        <f>IF($AB54="","",SUM(AG54:AG$114))</f>
        <v/>
      </c>
      <c r="AI54" s="257" t="str">
        <f t="shared" si="36"/>
        <v/>
      </c>
      <c r="AJ54" s="87" t="str">
        <f t="shared" si="6"/>
        <v/>
      </c>
      <c r="AK54" s="87"/>
      <c r="AL54" s="257" t="str">
        <f t="shared" si="7"/>
        <v/>
      </c>
      <c r="AM54" s="257" t="str">
        <f t="shared" si="46"/>
        <v/>
      </c>
      <c r="AN54" s="257" t="str">
        <f t="shared" si="8"/>
        <v/>
      </c>
      <c r="AO54" s="85" t="str">
        <f>IF($AB54="","",SUM(AN54:AN$114))</f>
        <v/>
      </c>
      <c r="AP54" s="84" t="str">
        <f t="shared" si="37"/>
        <v/>
      </c>
      <c r="AQ54" s="257" t="str">
        <f t="shared" si="9"/>
        <v/>
      </c>
      <c r="AR54" s="257" t="str">
        <f t="shared" si="10"/>
        <v/>
      </c>
      <c r="AS54" s="257" t="str">
        <f t="shared" si="11"/>
        <v/>
      </c>
      <c r="AT54" s="88" t="str">
        <f>IF($AB54="","",SUM($AU54:$AU$114))</f>
        <v/>
      </c>
      <c r="AU54" s="257" t="str">
        <f t="shared" si="38"/>
        <v/>
      </c>
      <c r="AV54" s="88" t="str">
        <f t="shared" si="12"/>
        <v/>
      </c>
      <c r="AW54" s="84"/>
      <c r="AX54" s="257" t="str">
        <f t="shared" si="13"/>
        <v/>
      </c>
      <c r="AY54" s="257" t="str">
        <f t="shared" si="14"/>
        <v/>
      </c>
      <c r="AZ54" s="257" t="str">
        <f t="shared" si="15"/>
        <v/>
      </c>
      <c r="BA54" s="88" t="str">
        <f>IF($AB54="","",SUM($AZ54:$AZ$114))</f>
        <v/>
      </c>
      <c r="BB54" s="84"/>
      <c r="BC54" s="257" t="str">
        <f t="shared" si="16"/>
        <v/>
      </c>
      <c r="BD54" s="257" t="str">
        <f t="shared" si="17"/>
        <v/>
      </c>
      <c r="BE54" s="257" t="str">
        <f t="shared" si="18"/>
        <v/>
      </c>
      <c r="BF54" s="88" t="str">
        <f>IF($AB54="","",SUM($BE54:$BE$114))</f>
        <v/>
      </c>
      <c r="BG54" s="84"/>
      <c r="BH54" s="257" t="str">
        <f t="shared" si="19"/>
        <v/>
      </c>
      <c r="BI54" s="257" t="str">
        <f t="shared" si="20"/>
        <v/>
      </c>
      <c r="BJ54" s="257" t="str">
        <f t="shared" si="21"/>
        <v/>
      </c>
      <c r="BK54" s="88" t="str">
        <f>IF($AB54="","",SUM($BJ54:$BJ$114))</f>
        <v/>
      </c>
      <c r="BL54" s="84"/>
      <c r="BM54" s="257" t="str">
        <f t="shared" si="22"/>
        <v/>
      </c>
      <c r="BN54" s="257" t="str">
        <f t="shared" si="23"/>
        <v/>
      </c>
      <c r="BO54" s="257" t="str">
        <f t="shared" si="24"/>
        <v/>
      </c>
      <c r="BP54" s="88" t="str">
        <f>IF($AB54="","",SUM($BO54:$BO$114))</f>
        <v/>
      </c>
      <c r="BQ54" s="84" t="str">
        <f t="shared" si="25"/>
        <v/>
      </c>
      <c r="BR54" s="257" t="str">
        <f t="shared" si="39"/>
        <v/>
      </c>
      <c r="BS54" s="257" t="str">
        <f t="shared" si="26"/>
        <v/>
      </c>
      <c r="BT54" s="257" t="str">
        <f t="shared" si="27"/>
        <v/>
      </c>
      <c r="BU54" s="257" t="str">
        <f t="shared" si="40"/>
        <v/>
      </c>
      <c r="BV54" s="257"/>
      <c r="BW54" s="257"/>
      <c r="BX54" s="257"/>
      <c r="BY54" s="257"/>
      <c r="BZ54" s="257" t="str">
        <f>IF($AB54="","",SUM(BU54:BU$114))</f>
        <v/>
      </c>
      <c r="CA54" s="86" t="str">
        <f>IF(AB54&lt;$E$3+$F$5,0,IFERROR(일반형!S56,0))</f>
        <v/>
      </c>
      <c r="CB54" s="86"/>
      <c r="CC54" s="393" t="str">
        <f t="shared" si="0"/>
        <v/>
      </c>
      <c r="CD54" s="257" t="str">
        <f t="shared" si="41"/>
        <v/>
      </c>
      <c r="CE54" s="257" t="str">
        <f t="shared" si="28"/>
        <v/>
      </c>
      <c r="CF54" s="257" t="str">
        <f t="shared" si="29"/>
        <v/>
      </c>
      <c r="CG54" s="257" t="str">
        <f t="shared" si="42"/>
        <v/>
      </c>
      <c r="CH54" s="257" t="str">
        <f t="shared" si="30"/>
        <v/>
      </c>
      <c r="CI54" s="89" t="str">
        <f t="shared" si="43"/>
        <v/>
      </c>
      <c r="CJ54" s="90" t="str">
        <f t="shared" si="31"/>
        <v/>
      </c>
      <c r="CK54" s="239"/>
      <c r="CL54" s="206">
        <v>50</v>
      </c>
      <c r="CM54" s="257">
        <f t="shared" si="32"/>
        <v>0</v>
      </c>
      <c r="CN54" s="257">
        <f t="shared" si="33"/>
        <v>1.06E-4</v>
      </c>
      <c r="CO54" s="257">
        <f t="shared" si="34"/>
        <v>2.0900000000000001E-4</v>
      </c>
      <c r="CP54" s="257">
        <f t="shared" si="44"/>
        <v>3.6499999999999998E-4</v>
      </c>
      <c r="CQ54" s="257"/>
      <c r="CR54" s="206">
        <v>50</v>
      </c>
      <c r="CS54" s="257"/>
      <c r="CT54" s="257"/>
      <c r="CU54" s="257">
        <v>1.06E-4</v>
      </c>
      <c r="CV54" s="257">
        <v>3.8000000000000002E-5</v>
      </c>
      <c r="CW54" s="257">
        <v>2.0900000000000001E-4</v>
      </c>
      <c r="CX54" s="257">
        <v>8.2999999999999998E-5</v>
      </c>
      <c r="CY54" s="257">
        <v>3.6499999999999998E-4</v>
      </c>
      <c r="CZ54" s="257">
        <v>3.2600000000000001E-4</v>
      </c>
      <c r="DA54" s="257"/>
      <c r="DB54" s="257"/>
      <c r="DC54" s="257"/>
      <c r="DD54" s="257"/>
    </row>
    <row r="55" spans="1:108" ht="17.25" thickBot="1">
      <c r="A55" s="305"/>
      <c r="B55" s="373"/>
      <c r="D55" s="456"/>
      <c r="E55" s="457"/>
      <c r="F55" s="456"/>
      <c r="G55" s="458"/>
      <c r="I55" s="144" t="str">
        <f>IF(F5=0,"  A'x:n","  mP'(m')x:n")</f>
        <v xml:space="preserve">  mP'(m')x:n</v>
      </c>
      <c r="J55" s="145" t="s">
        <v>54</v>
      </c>
      <c r="K55" s="656">
        <f>K53/K54</f>
        <v>1.6567200649524675E-6</v>
      </c>
      <c r="M55" s="149"/>
      <c r="N55" s="278" t="str">
        <f t="shared" si="52"/>
        <v/>
      </c>
      <c r="O55" s="279" t="str">
        <f t="shared" si="53"/>
        <v/>
      </c>
      <c r="P55" s="271" t="str">
        <f t="shared" si="47"/>
        <v/>
      </c>
      <c r="Q55" s="382" t="str">
        <f t="shared" si="48"/>
        <v/>
      </c>
      <c r="R55" s="382" t="str">
        <f t="shared" si="49"/>
        <v/>
      </c>
      <c r="S55" s="400" t="str">
        <f t="shared" si="1"/>
        <v/>
      </c>
      <c r="T55" s="382" t="str">
        <f>일반형!P55</f>
        <v/>
      </c>
      <c r="U55" s="382" t="str">
        <f>일반형!Q55</f>
        <v/>
      </c>
      <c r="V55" s="271" t="str">
        <f>일반형!R55</f>
        <v/>
      </c>
      <c r="W55" s="400" t="str">
        <f>일반형!S55</f>
        <v/>
      </c>
      <c r="X55" s="271" t="str">
        <f t="shared" si="50"/>
        <v/>
      </c>
      <c r="Y55" s="442" t="str">
        <f t="shared" si="2"/>
        <v/>
      </c>
      <c r="Z55" s="443" t="str">
        <f t="shared" si="51"/>
        <v/>
      </c>
      <c r="AB55" s="750" t="str">
        <f t="shared" si="35"/>
        <v/>
      </c>
      <c r="AC55" s="643" t="str">
        <f t="shared" si="4"/>
        <v/>
      </c>
      <c r="AD55" s="408"/>
      <c r="AE55" s="408" t="str">
        <f>IF(AB55="","",IF(AB55-$AB$4&lt;$F$5-1,INDEX(Main_무해지!$G$76:$G$87,MIN(AB55-$AB$4+1,12)),IF(AB55-$AB$4=$F$5-1,0,IF(AND($F$2=1,AB55&gt;109),0,IF(AND($F$2=2,AB55&gt;111),0,INDEX(Main_무해지!$H$76:$H$82,MIN(AB55-$AB$4-$F$5+1,7)))))))</f>
        <v/>
      </c>
      <c r="AF55" s="408" t="str">
        <f t="shared" si="45"/>
        <v/>
      </c>
      <c r="AG55" s="408" t="str">
        <f t="shared" si="5"/>
        <v/>
      </c>
      <c r="AH55" s="751" t="str">
        <f>IF($AB55="","",SUM(AG55:AG$114))</f>
        <v/>
      </c>
      <c r="AI55" s="408" t="str">
        <f t="shared" si="36"/>
        <v/>
      </c>
      <c r="AJ55" s="638" t="str">
        <f t="shared" si="6"/>
        <v/>
      </c>
      <c r="AK55" s="638"/>
      <c r="AL55" s="408" t="str">
        <f t="shared" si="7"/>
        <v/>
      </c>
      <c r="AM55" s="408" t="str">
        <f t="shared" si="46"/>
        <v/>
      </c>
      <c r="AN55" s="408" t="str">
        <f t="shared" si="8"/>
        <v/>
      </c>
      <c r="AO55" s="751" t="str">
        <f>IF($AB55="","",SUM(AN55:AN$114))</f>
        <v/>
      </c>
      <c r="AP55" s="752" t="str">
        <f t="shared" si="37"/>
        <v/>
      </c>
      <c r="AQ55" s="408" t="str">
        <f t="shared" si="9"/>
        <v/>
      </c>
      <c r="AR55" s="408" t="str">
        <f t="shared" si="10"/>
        <v/>
      </c>
      <c r="AS55" s="408" t="str">
        <f t="shared" si="11"/>
        <v/>
      </c>
      <c r="AT55" s="753" t="str">
        <f>IF($AB55="","",SUM($AU55:$AU$114))</f>
        <v/>
      </c>
      <c r="AU55" s="408" t="str">
        <f t="shared" si="38"/>
        <v/>
      </c>
      <c r="AV55" s="753" t="str">
        <f t="shared" si="12"/>
        <v/>
      </c>
      <c r="AW55" s="752"/>
      <c r="AX55" s="408" t="str">
        <f t="shared" si="13"/>
        <v/>
      </c>
      <c r="AY55" s="408" t="str">
        <f t="shared" si="14"/>
        <v/>
      </c>
      <c r="AZ55" s="408" t="str">
        <f t="shared" si="15"/>
        <v/>
      </c>
      <c r="BA55" s="753" t="str">
        <f>IF($AB55="","",SUM($AZ55:$AZ$114))</f>
        <v/>
      </c>
      <c r="BB55" s="752"/>
      <c r="BC55" s="408" t="str">
        <f t="shared" si="16"/>
        <v/>
      </c>
      <c r="BD55" s="408" t="str">
        <f t="shared" si="17"/>
        <v/>
      </c>
      <c r="BE55" s="408" t="str">
        <f t="shared" si="18"/>
        <v/>
      </c>
      <c r="BF55" s="753" t="str">
        <f>IF($AB55="","",SUM($BE55:$BE$114))</f>
        <v/>
      </c>
      <c r="BG55" s="752"/>
      <c r="BH55" s="408" t="str">
        <f t="shared" si="19"/>
        <v/>
      </c>
      <c r="BI55" s="408" t="str">
        <f t="shared" si="20"/>
        <v/>
      </c>
      <c r="BJ55" s="408" t="str">
        <f t="shared" si="21"/>
        <v/>
      </c>
      <c r="BK55" s="753" t="str">
        <f>IF($AB55="","",SUM($BJ55:$BJ$114))</f>
        <v/>
      </c>
      <c r="BL55" s="752"/>
      <c r="BM55" s="408" t="str">
        <f t="shared" si="22"/>
        <v/>
      </c>
      <c r="BN55" s="408" t="str">
        <f t="shared" si="23"/>
        <v/>
      </c>
      <c r="BO55" s="408" t="str">
        <f t="shared" si="24"/>
        <v/>
      </c>
      <c r="BP55" s="753" t="str">
        <f>IF($AB55="","",SUM($BO55:$BO$114))</f>
        <v/>
      </c>
      <c r="BQ55" s="752" t="str">
        <f t="shared" si="25"/>
        <v/>
      </c>
      <c r="BR55" s="408" t="str">
        <f t="shared" si="39"/>
        <v/>
      </c>
      <c r="BS55" s="408" t="str">
        <f t="shared" si="26"/>
        <v/>
      </c>
      <c r="BT55" s="408" t="str">
        <f t="shared" si="27"/>
        <v/>
      </c>
      <c r="BU55" s="408" t="str">
        <f t="shared" si="40"/>
        <v/>
      </c>
      <c r="BV55" s="408"/>
      <c r="BW55" s="408"/>
      <c r="BX55" s="408"/>
      <c r="BY55" s="408"/>
      <c r="BZ55" s="408" t="str">
        <f>IF($AB55="","",SUM(BU55:BU$114))</f>
        <v/>
      </c>
      <c r="CA55" s="754" t="str">
        <f>IF(AB55&lt;$E$3+$F$5,0,IFERROR(일반형!S57,0))</f>
        <v/>
      </c>
      <c r="CB55" s="754"/>
      <c r="CC55" s="755" t="str">
        <f t="shared" si="0"/>
        <v/>
      </c>
      <c r="CD55" s="408" t="str">
        <f t="shared" si="41"/>
        <v/>
      </c>
      <c r="CE55" s="408" t="str">
        <f t="shared" si="28"/>
        <v/>
      </c>
      <c r="CF55" s="408" t="str">
        <f t="shared" si="29"/>
        <v/>
      </c>
      <c r="CG55" s="408" t="str">
        <f t="shared" si="42"/>
        <v/>
      </c>
      <c r="CH55" s="408" t="str">
        <f t="shared" si="30"/>
        <v/>
      </c>
      <c r="CI55" s="756" t="str">
        <f t="shared" si="43"/>
        <v/>
      </c>
      <c r="CJ55" s="757" t="str">
        <f t="shared" si="31"/>
        <v/>
      </c>
      <c r="CK55" s="413"/>
      <c r="CL55" s="758">
        <v>51</v>
      </c>
      <c r="CM55" s="408">
        <f t="shared" si="32"/>
        <v>0</v>
      </c>
      <c r="CN55" s="408">
        <f t="shared" si="33"/>
        <v>1.06E-4</v>
      </c>
      <c r="CO55" s="408">
        <f t="shared" si="34"/>
        <v>2.3800000000000001E-4</v>
      </c>
      <c r="CP55" s="408">
        <f t="shared" si="44"/>
        <v>3.6499999999999998E-4</v>
      </c>
      <c r="CQ55" s="408"/>
      <c r="CR55" s="758">
        <v>51</v>
      </c>
      <c r="CS55" s="408"/>
      <c r="CT55" s="408"/>
      <c r="CU55" s="408">
        <v>1.06E-4</v>
      </c>
      <c r="CV55" s="408">
        <v>3.8000000000000002E-5</v>
      </c>
      <c r="CW55" s="408">
        <v>2.3800000000000001E-4</v>
      </c>
      <c r="CX55" s="408">
        <v>9.5000000000000005E-5</v>
      </c>
      <c r="CY55" s="408">
        <v>3.6499999999999998E-4</v>
      </c>
      <c r="CZ55" s="408">
        <v>3.2600000000000001E-4</v>
      </c>
      <c r="DA55" s="408"/>
      <c r="DB55" s="408"/>
      <c r="DC55" s="408"/>
      <c r="DD55" s="408"/>
    </row>
    <row r="56" spans="1:108">
      <c r="A56" s="305"/>
      <c r="B56" s="373"/>
      <c r="D56" s="459"/>
      <c r="E56" s="457"/>
      <c r="F56" s="456"/>
      <c r="G56" s="460"/>
      <c r="M56" s="149"/>
      <c r="N56" s="280" t="str">
        <f t="shared" si="52"/>
        <v/>
      </c>
      <c r="O56" s="281" t="str">
        <f t="shared" si="53"/>
        <v/>
      </c>
      <c r="P56" s="282" t="str">
        <f t="shared" si="47"/>
        <v/>
      </c>
      <c r="Q56" s="383" t="str">
        <f t="shared" si="48"/>
        <v/>
      </c>
      <c r="R56" s="383" t="str">
        <f t="shared" si="49"/>
        <v/>
      </c>
      <c r="S56" s="402" t="str">
        <f t="shared" si="1"/>
        <v/>
      </c>
      <c r="T56" s="383" t="str">
        <f>일반형!P56</f>
        <v/>
      </c>
      <c r="U56" s="383" t="str">
        <f>일반형!Q56</f>
        <v/>
      </c>
      <c r="V56" s="282" t="str">
        <f>일반형!R56</f>
        <v/>
      </c>
      <c r="W56" s="402" t="str">
        <f>일반형!S56</f>
        <v/>
      </c>
      <c r="X56" s="282" t="str">
        <f t="shared" si="50"/>
        <v/>
      </c>
      <c r="Y56" s="446" t="str">
        <f t="shared" si="2"/>
        <v/>
      </c>
      <c r="Z56" s="447" t="str">
        <f t="shared" si="51"/>
        <v/>
      </c>
      <c r="AB56" s="52" t="str">
        <f t="shared" si="35"/>
        <v/>
      </c>
      <c r="AC56" s="644" t="str">
        <f t="shared" si="4"/>
        <v/>
      </c>
      <c r="AD56" s="254"/>
      <c r="AE56" s="254" t="str">
        <f>IF(AB56="","",IF(AB56-$AB$4&lt;$F$5-1,INDEX(Main_무해지!$G$76:$G$87,MIN(AB56-$AB$4+1,12)),IF(AB56-$AB$4=$F$5-1,0,IF(AND($F$2=1,AB56&gt;109),0,IF(AND($F$2=2,AB56&gt;111),0,INDEX(Main_무해지!$H$76:$H$82,MIN(AB56-$AB$4-$F$5+1,7)))))))</f>
        <v/>
      </c>
      <c r="AF56" s="254" t="str">
        <f t="shared" si="45"/>
        <v/>
      </c>
      <c r="AG56" s="254" t="str">
        <f t="shared" si="5"/>
        <v/>
      </c>
      <c r="AH56" s="54" t="str">
        <f>IF($AB56="","",SUM(AG56:AG$114))</f>
        <v/>
      </c>
      <c r="AI56" s="254" t="str">
        <f t="shared" si="36"/>
        <v/>
      </c>
      <c r="AJ56" s="56" t="str">
        <f t="shared" si="6"/>
        <v/>
      </c>
      <c r="AK56" s="56"/>
      <c r="AL56" s="254" t="str">
        <f t="shared" si="7"/>
        <v/>
      </c>
      <c r="AM56" s="254" t="str">
        <f t="shared" si="46"/>
        <v/>
      </c>
      <c r="AN56" s="254" t="str">
        <f t="shared" si="8"/>
        <v/>
      </c>
      <c r="AO56" s="54" t="str">
        <f>IF($AB56="","",SUM(AN56:AN$114))</f>
        <v/>
      </c>
      <c r="AP56" s="53" t="str">
        <f t="shared" si="37"/>
        <v/>
      </c>
      <c r="AQ56" s="254" t="str">
        <f t="shared" si="9"/>
        <v/>
      </c>
      <c r="AR56" s="254" t="str">
        <f t="shared" si="10"/>
        <v/>
      </c>
      <c r="AS56" s="254" t="str">
        <f t="shared" si="11"/>
        <v/>
      </c>
      <c r="AT56" s="57" t="str">
        <f>IF($AB56="","",SUM($AU56:$AU$114))</f>
        <v/>
      </c>
      <c r="AU56" s="254" t="str">
        <f t="shared" si="38"/>
        <v/>
      </c>
      <c r="AV56" s="57" t="str">
        <f t="shared" si="12"/>
        <v/>
      </c>
      <c r="AW56" s="53"/>
      <c r="AX56" s="254" t="str">
        <f t="shared" si="13"/>
        <v/>
      </c>
      <c r="AY56" s="254" t="str">
        <f t="shared" si="14"/>
        <v/>
      </c>
      <c r="AZ56" s="254" t="str">
        <f t="shared" si="15"/>
        <v/>
      </c>
      <c r="BA56" s="57" t="str">
        <f>IF($AB56="","",SUM($AZ56:$AZ$114))</f>
        <v/>
      </c>
      <c r="BB56" s="53"/>
      <c r="BC56" s="254" t="str">
        <f t="shared" si="16"/>
        <v/>
      </c>
      <c r="BD56" s="254" t="str">
        <f t="shared" si="17"/>
        <v/>
      </c>
      <c r="BE56" s="254" t="str">
        <f t="shared" si="18"/>
        <v/>
      </c>
      <c r="BF56" s="57" t="str">
        <f>IF($AB56="","",SUM($BE56:$BE$114))</f>
        <v/>
      </c>
      <c r="BG56" s="53"/>
      <c r="BH56" s="254" t="str">
        <f t="shared" si="19"/>
        <v/>
      </c>
      <c r="BI56" s="254" t="str">
        <f t="shared" si="20"/>
        <v/>
      </c>
      <c r="BJ56" s="254" t="str">
        <f t="shared" si="21"/>
        <v/>
      </c>
      <c r="BK56" s="57" t="str">
        <f>IF($AB56="","",SUM($BJ56:$BJ$114))</f>
        <v/>
      </c>
      <c r="BL56" s="53"/>
      <c r="BM56" s="254" t="str">
        <f t="shared" si="22"/>
        <v/>
      </c>
      <c r="BN56" s="254" t="str">
        <f t="shared" si="23"/>
        <v/>
      </c>
      <c r="BO56" s="254" t="str">
        <f t="shared" si="24"/>
        <v/>
      </c>
      <c r="BP56" s="57" t="str">
        <f>IF($AB56="","",SUM($BO56:$BO$114))</f>
        <v/>
      </c>
      <c r="BQ56" s="53" t="str">
        <f t="shared" si="25"/>
        <v/>
      </c>
      <c r="BR56" s="254" t="str">
        <f t="shared" si="39"/>
        <v/>
      </c>
      <c r="BS56" s="254" t="str">
        <f t="shared" si="26"/>
        <v/>
      </c>
      <c r="BT56" s="254" t="str">
        <f t="shared" si="27"/>
        <v/>
      </c>
      <c r="BU56" s="254" t="str">
        <f t="shared" si="40"/>
        <v/>
      </c>
      <c r="BV56" s="254"/>
      <c r="BW56" s="254"/>
      <c r="BX56" s="254"/>
      <c r="BY56" s="254"/>
      <c r="BZ56" s="254" t="str">
        <f>IF($AB56="","",SUM(BU56:BU$114))</f>
        <v/>
      </c>
      <c r="CA56" s="55" t="str">
        <f>IF(AB56&lt;$E$3+$F$5,0,IFERROR(일반형!S58,0))</f>
        <v/>
      </c>
      <c r="CB56" s="55"/>
      <c r="CC56" s="390" t="str">
        <f t="shared" si="0"/>
        <v/>
      </c>
      <c r="CD56" s="254" t="str">
        <f t="shared" si="41"/>
        <v/>
      </c>
      <c r="CE56" s="254" t="str">
        <f t="shared" si="28"/>
        <v/>
      </c>
      <c r="CF56" s="254" t="str">
        <f t="shared" si="29"/>
        <v/>
      </c>
      <c r="CG56" s="254" t="str">
        <f t="shared" si="42"/>
        <v/>
      </c>
      <c r="CH56" s="254" t="str">
        <f t="shared" si="30"/>
        <v/>
      </c>
      <c r="CI56" s="58" t="str">
        <f t="shared" si="43"/>
        <v/>
      </c>
      <c r="CJ56" s="59" t="str">
        <f t="shared" si="31"/>
        <v/>
      </c>
      <c r="CK56" s="236"/>
      <c r="CL56" s="203">
        <v>52</v>
      </c>
      <c r="CM56" s="254">
        <f t="shared" si="32"/>
        <v>0</v>
      </c>
      <c r="CN56" s="254">
        <f t="shared" si="33"/>
        <v>1.06E-4</v>
      </c>
      <c r="CO56" s="254">
        <f t="shared" si="34"/>
        <v>2.7E-4</v>
      </c>
      <c r="CP56" s="254">
        <f t="shared" si="44"/>
        <v>3.6499999999999998E-4</v>
      </c>
      <c r="CQ56" s="254"/>
      <c r="CR56" s="203">
        <v>52</v>
      </c>
      <c r="CS56" s="254"/>
      <c r="CT56" s="254"/>
      <c r="CU56" s="254">
        <v>1.06E-4</v>
      </c>
      <c r="CV56" s="254">
        <v>3.8000000000000002E-5</v>
      </c>
      <c r="CW56" s="254">
        <v>2.7E-4</v>
      </c>
      <c r="CX56" s="254">
        <v>1.06E-4</v>
      </c>
      <c r="CY56" s="254">
        <v>3.6499999999999998E-4</v>
      </c>
      <c r="CZ56" s="254">
        <v>3.2600000000000001E-4</v>
      </c>
      <c r="DA56" s="254"/>
      <c r="DB56" s="254"/>
      <c r="DC56" s="254"/>
      <c r="DD56" s="254"/>
    </row>
    <row r="57" spans="1:108">
      <c r="A57" s="305"/>
      <c r="B57" s="373"/>
      <c r="D57" s="459"/>
      <c r="E57" s="457"/>
      <c r="F57" s="456"/>
      <c r="G57" s="460"/>
      <c r="I57" s="2"/>
      <c r="M57" s="151"/>
      <c r="N57" s="275" t="str">
        <f t="shared" si="52"/>
        <v/>
      </c>
      <c r="O57" s="276" t="str">
        <f t="shared" si="53"/>
        <v/>
      </c>
      <c r="P57" s="277" t="str">
        <f t="shared" si="47"/>
        <v/>
      </c>
      <c r="Q57" s="381" t="str">
        <f t="shared" si="48"/>
        <v/>
      </c>
      <c r="R57" s="381" t="str">
        <f t="shared" si="49"/>
        <v/>
      </c>
      <c r="S57" s="401" t="str">
        <f t="shared" si="1"/>
        <v/>
      </c>
      <c r="T57" s="381" t="str">
        <f>일반형!P57</f>
        <v/>
      </c>
      <c r="U57" s="381" t="str">
        <f>일반형!Q57</f>
        <v/>
      </c>
      <c r="V57" s="277" t="str">
        <f>일반형!R57</f>
        <v/>
      </c>
      <c r="W57" s="401" t="str">
        <f>일반형!S57</f>
        <v/>
      </c>
      <c r="X57" s="277" t="str">
        <f t="shared" si="50"/>
        <v/>
      </c>
      <c r="Y57" s="444" t="str">
        <f t="shared" si="2"/>
        <v/>
      </c>
      <c r="Z57" s="445" t="str">
        <f t="shared" si="51"/>
        <v/>
      </c>
      <c r="AB57" s="52" t="str">
        <f t="shared" si="35"/>
        <v/>
      </c>
      <c r="AC57" s="644" t="str">
        <f t="shared" si="4"/>
        <v/>
      </c>
      <c r="AD57" s="254"/>
      <c r="AE57" s="254" t="str">
        <f>IF(AB57="","",IF(AB57-$AB$4&lt;$F$5-1,INDEX(Main_무해지!$G$76:$G$87,MIN(AB57-$AB$4+1,12)),IF(AB57-$AB$4=$F$5-1,0,IF(AND($F$2=1,AB57&gt;109),0,IF(AND($F$2=2,AB57&gt;111),0,INDEX(Main_무해지!$H$76:$H$82,MIN(AB57-$AB$4-$F$5+1,7)))))))</f>
        <v/>
      </c>
      <c r="AF57" s="254" t="str">
        <f t="shared" si="45"/>
        <v/>
      </c>
      <c r="AG57" s="254" t="str">
        <f t="shared" si="5"/>
        <v/>
      </c>
      <c r="AH57" s="54" t="str">
        <f>IF($AB57="","",SUM(AG57:AG$114))</f>
        <v/>
      </c>
      <c r="AI57" s="254" t="str">
        <f t="shared" si="36"/>
        <v/>
      </c>
      <c r="AJ57" s="56" t="str">
        <f t="shared" si="6"/>
        <v/>
      </c>
      <c r="AK57" s="56"/>
      <c r="AL57" s="254" t="str">
        <f t="shared" si="7"/>
        <v/>
      </c>
      <c r="AM57" s="254" t="str">
        <f t="shared" si="46"/>
        <v/>
      </c>
      <c r="AN57" s="254" t="str">
        <f t="shared" si="8"/>
        <v/>
      </c>
      <c r="AO57" s="54" t="str">
        <f>IF($AB57="","",SUM(AN57:AN$114))</f>
        <v/>
      </c>
      <c r="AP57" s="53" t="str">
        <f t="shared" si="37"/>
        <v/>
      </c>
      <c r="AQ57" s="254" t="str">
        <f t="shared" si="9"/>
        <v/>
      </c>
      <c r="AR57" s="254" t="str">
        <f t="shared" si="10"/>
        <v/>
      </c>
      <c r="AS57" s="254" t="str">
        <f t="shared" si="11"/>
        <v/>
      </c>
      <c r="AT57" s="57" t="str">
        <f>IF($AB57="","",SUM($AU57:$AU$114))</f>
        <v/>
      </c>
      <c r="AU57" s="254" t="str">
        <f t="shared" si="38"/>
        <v/>
      </c>
      <c r="AV57" s="57" t="str">
        <f t="shared" si="12"/>
        <v/>
      </c>
      <c r="AW57" s="53"/>
      <c r="AX57" s="254" t="str">
        <f t="shared" si="13"/>
        <v/>
      </c>
      <c r="AY57" s="254" t="str">
        <f t="shared" si="14"/>
        <v/>
      </c>
      <c r="AZ57" s="254" t="str">
        <f t="shared" si="15"/>
        <v/>
      </c>
      <c r="BA57" s="57" t="str">
        <f>IF($AB57="","",SUM($AZ57:$AZ$114))</f>
        <v/>
      </c>
      <c r="BB57" s="53"/>
      <c r="BC57" s="254" t="str">
        <f t="shared" si="16"/>
        <v/>
      </c>
      <c r="BD57" s="254" t="str">
        <f t="shared" si="17"/>
        <v/>
      </c>
      <c r="BE57" s="254" t="str">
        <f t="shared" si="18"/>
        <v/>
      </c>
      <c r="BF57" s="57" t="str">
        <f>IF($AB57="","",SUM($BE57:$BE$114))</f>
        <v/>
      </c>
      <c r="BG57" s="53"/>
      <c r="BH57" s="254" t="str">
        <f t="shared" si="19"/>
        <v/>
      </c>
      <c r="BI57" s="254" t="str">
        <f t="shared" si="20"/>
        <v/>
      </c>
      <c r="BJ57" s="254" t="str">
        <f t="shared" si="21"/>
        <v/>
      </c>
      <c r="BK57" s="57" t="str">
        <f>IF($AB57="","",SUM($BJ57:$BJ$114))</f>
        <v/>
      </c>
      <c r="BL57" s="53"/>
      <c r="BM57" s="254" t="str">
        <f t="shared" si="22"/>
        <v/>
      </c>
      <c r="BN57" s="254" t="str">
        <f t="shared" si="23"/>
        <v/>
      </c>
      <c r="BO57" s="254" t="str">
        <f t="shared" si="24"/>
        <v/>
      </c>
      <c r="BP57" s="57" t="str">
        <f>IF($AB57="","",SUM($BO57:$BO$114))</f>
        <v/>
      </c>
      <c r="BQ57" s="53" t="str">
        <f t="shared" si="25"/>
        <v/>
      </c>
      <c r="BR57" s="254" t="str">
        <f t="shared" si="39"/>
        <v/>
      </c>
      <c r="BS57" s="254" t="str">
        <f t="shared" si="26"/>
        <v/>
      </c>
      <c r="BT57" s="254" t="str">
        <f t="shared" si="27"/>
        <v/>
      </c>
      <c r="BU57" s="254" t="str">
        <f t="shared" si="40"/>
        <v/>
      </c>
      <c r="BV57" s="254"/>
      <c r="BW57" s="254"/>
      <c r="BX57" s="254"/>
      <c r="BY57" s="254"/>
      <c r="BZ57" s="254" t="str">
        <f>IF($AB57="","",SUM(BU57:BU$114))</f>
        <v/>
      </c>
      <c r="CA57" s="55" t="str">
        <f>IF(AB57&lt;$E$3+$F$5,0,IFERROR(일반형!S59,0))</f>
        <v/>
      </c>
      <c r="CB57" s="55"/>
      <c r="CC57" s="390" t="str">
        <f t="shared" si="0"/>
        <v/>
      </c>
      <c r="CD57" s="254" t="str">
        <f t="shared" si="41"/>
        <v/>
      </c>
      <c r="CE57" s="254" t="str">
        <f t="shared" si="28"/>
        <v/>
      </c>
      <c r="CF57" s="254" t="str">
        <f t="shared" si="29"/>
        <v/>
      </c>
      <c r="CG57" s="254" t="str">
        <f t="shared" si="42"/>
        <v/>
      </c>
      <c r="CH57" s="254" t="str">
        <f t="shared" si="30"/>
        <v/>
      </c>
      <c r="CI57" s="58" t="str">
        <f t="shared" si="43"/>
        <v/>
      </c>
      <c r="CJ57" s="59" t="str">
        <f t="shared" si="31"/>
        <v/>
      </c>
      <c r="CK57" s="236"/>
      <c r="CL57" s="203">
        <v>53</v>
      </c>
      <c r="CM57" s="254">
        <f t="shared" si="32"/>
        <v>0</v>
      </c>
      <c r="CN57" s="254">
        <f t="shared" si="33"/>
        <v>1.06E-4</v>
      </c>
      <c r="CO57" s="254">
        <f t="shared" si="34"/>
        <v>3.0699999999999998E-4</v>
      </c>
      <c r="CP57" s="254">
        <f t="shared" si="44"/>
        <v>3.6499999999999998E-4</v>
      </c>
      <c r="CQ57" s="254"/>
      <c r="CR57" s="203">
        <v>53</v>
      </c>
      <c r="CS57" s="254"/>
      <c r="CT57" s="254"/>
      <c r="CU57" s="254">
        <v>1.06E-4</v>
      </c>
      <c r="CV57" s="254">
        <v>3.8000000000000002E-5</v>
      </c>
      <c r="CW57" s="254">
        <v>3.0699999999999998E-4</v>
      </c>
      <c r="CX57" s="254">
        <v>1.1900000000000001E-4</v>
      </c>
      <c r="CY57" s="254">
        <v>3.6499999999999998E-4</v>
      </c>
      <c r="CZ57" s="254">
        <v>3.2600000000000001E-4</v>
      </c>
      <c r="DA57" s="254"/>
      <c r="DB57" s="254"/>
      <c r="DC57" s="254"/>
      <c r="DD57" s="254"/>
    </row>
    <row r="58" spans="1:108" ht="17.25" thickBot="1">
      <c r="A58" s="305"/>
      <c r="B58" s="373"/>
      <c r="D58" s="461"/>
      <c r="E58" s="462"/>
      <c r="F58" s="463"/>
      <c r="G58" s="464"/>
      <c r="I58" s="2"/>
      <c r="M58" s="151"/>
      <c r="N58" s="278" t="str">
        <f t="shared" si="52"/>
        <v/>
      </c>
      <c r="O58" s="279" t="str">
        <f t="shared" si="53"/>
        <v/>
      </c>
      <c r="P58" s="271" t="str">
        <f t="shared" si="47"/>
        <v/>
      </c>
      <c r="Q58" s="382" t="str">
        <f t="shared" si="48"/>
        <v/>
      </c>
      <c r="R58" s="382" t="str">
        <f t="shared" si="49"/>
        <v/>
      </c>
      <c r="S58" s="400" t="str">
        <f t="shared" si="1"/>
        <v/>
      </c>
      <c r="T58" s="382" t="str">
        <f>일반형!P58</f>
        <v/>
      </c>
      <c r="U58" s="382" t="str">
        <f>일반형!Q58</f>
        <v/>
      </c>
      <c r="V58" s="271" t="str">
        <f>일반형!R58</f>
        <v/>
      </c>
      <c r="W58" s="400" t="str">
        <f>일반형!S58</f>
        <v/>
      </c>
      <c r="X58" s="271" t="str">
        <f t="shared" si="50"/>
        <v/>
      </c>
      <c r="Y58" s="442" t="str">
        <f t="shared" si="2"/>
        <v/>
      </c>
      <c r="Z58" s="443" t="str">
        <f t="shared" si="51"/>
        <v/>
      </c>
      <c r="AB58" s="52" t="str">
        <f t="shared" si="35"/>
        <v/>
      </c>
      <c r="AC58" s="644" t="str">
        <f t="shared" si="4"/>
        <v/>
      </c>
      <c r="AD58" s="254"/>
      <c r="AE58" s="254" t="str">
        <f>IF(AB58="","",IF(AB58-$AB$4&lt;$F$5-1,INDEX(Main_무해지!$G$76:$G$87,MIN(AB58-$AB$4+1,12)),IF(AB58-$AB$4=$F$5-1,0,IF(AND($F$2=1,AB58&gt;109),0,IF(AND($F$2=2,AB58&gt;111),0,INDEX(Main_무해지!$H$76:$H$82,MIN(AB58-$AB$4-$F$5+1,7)))))))</f>
        <v/>
      </c>
      <c r="AF58" s="254" t="str">
        <f t="shared" si="45"/>
        <v/>
      </c>
      <c r="AG58" s="254" t="str">
        <f t="shared" si="5"/>
        <v/>
      </c>
      <c r="AH58" s="54" t="str">
        <f>IF($AB58="","",SUM(AG58:AG$114))</f>
        <v/>
      </c>
      <c r="AI58" s="254" t="str">
        <f t="shared" si="36"/>
        <v/>
      </c>
      <c r="AJ58" s="56" t="str">
        <f t="shared" si="6"/>
        <v/>
      </c>
      <c r="AK58" s="56"/>
      <c r="AL58" s="254" t="str">
        <f t="shared" si="7"/>
        <v/>
      </c>
      <c r="AM58" s="254" t="str">
        <f t="shared" si="46"/>
        <v/>
      </c>
      <c r="AN58" s="254" t="str">
        <f t="shared" si="8"/>
        <v/>
      </c>
      <c r="AO58" s="54" t="str">
        <f>IF($AB58="","",SUM(AN58:AN$114))</f>
        <v/>
      </c>
      <c r="AP58" s="53" t="str">
        <f t="shared" si="37"/>
        <v/>
      </c>
      <c r="AQ58" s="254" t="str">
        <f t="shared" si="9"/>
        <v/>
      </c>
      <c r="AR58" s="254" t="str">
        <f t="shared" si="10"/>
        <v/>
      </c>
      <c r="AS58" s="254" t="str">
        <f t="shared" si="11"/>
        <v/>
      </c>
      <c r="AT58" s="57" t="str">
        <f>IF($AB58="","",SUM($AU58:$AU$114))</f>
        <v/>
      </c>
      <c r="AU58" s="254" t="str">
        <f t="shared" si="38"/>
        <v/>
      </c>
      <c r="AV58" s="57" t="str">
        <f t="shared" si="12"/>
        <v/>
      </c>
      <c r="AW58" s="53"/>
      <c r="AX58" s="254" t="str">
        <f t="shared" si="13"/>
        <v/>
      </c>
      <c r="AY58" s="254" t="str">
        <f t="shared" si="14"/>
        <v/>
      </c>
      <c r="AZ58" s="254" t="str">
        <f t="shared" si="15"/>
        <v/>
      </c>
      <c r="BA58" s="57" t="str">
        <f>IF($AB58="","",SUM($AZ58:$AZ$114))</f>
        <v/>
      </c>
      <c r="BB58" s="53"/>
      <c r="BC58" s="254" t="str">
        <f t="shared" si="16"/>
        <v/>
      </c>
      <c r="BD58" s="254" t="str">
        <f t="shared" si="17"/>
        <v/>
      </c>
      <c r="BE58" s="254" t="str">
        <f t="shared" si="18"/>
        <v/>
      </c>
      <c r="BF58" s="57" t="str">
        <f>IF($AB58="","",SUM($BE58:$BE$114))</f>
        <v/>
      </c>
      <c r="BG58" s="53"/>
      <c r="BH58" s="254" t="str">
        <f t="shared" si="19"/>
        <v/>
      </c>
      <c r="BI58" s="254" t="str">
        <f t="shared" si="20"/>
        <v/>
      </c>
      <c r="BJ58" s="254" t="str">
        <f t="shared" si="21"/>
        <v/>
      </c>
      <c r="BK58" s="57" t="str">
        <f>IF($AB58="","",SUM($BJ58:$BJ$114))</f>
        <v/>
      </c>
      <c r="BL58" s="53"/>
      <c r="BM58" s="254" t="str">
        <f t="shared" si="22"/>
        <v/>
      </c>
      <c r="BN58" s="254" t="str">
        <f t="shared" si="23"/>
        <v/>
      </c>
      <c r="BO58" s="254" t="str">
        <f t="shared" si="24"/>
        <v/>
      </c>
      <c r="BP58" s="57" t="str">
        <f>IF($AB58="","",SUM($BO58:$BO$114))</f>
        <v/>
      </c>
      <c r="BQ58" s="53" t="str">
        <f t="shared" si="25"/>
        <v/>
      </c>
      <c r="BR58" s="254" t="str">
        <f t="shared" si="39"/>
        <v/>
      </c>
      <c r="BS58" s="254" t="str">
        <f t="shared" si="26"/>
        <v/>
      </c>
      <c r="BT58" s="254" t="str">
        <f t="shared" si="27"/>
        <v/>
      </c>
      <c r="BU58" s="254" t="str">
        <f t="shared" si="40"/>
        <v/>
      </c>
      <c r="BV58" s="254"/>
      <c r="BW58" s="254"/>
      <c r="BX58" s="254"/>
      <c r="BY58" s="254"/>
      <c r="BZ58" s="254" t="str">
        <f>IF($AB58="","",SUM(BU58:BU$114))</f>
        <v/>
      </c>
      <c r="CA58" s="55" t="str">
        <f>IF(AB58&lt;$E$3+$F$5,0,IFERROR(일반형!S60,0))</f>
        <v/>
      </c>
      <c r="CB58" s="55"/>
      <c r="CC58" s="390" t="str">
        <f t="shared" si="0"/>
        <v/>
      </c>
      <c r="CD58" s="254" t="str">
        <f t="shared" si="41"/>
        <v/>
      </c>
      <c r="CE58" s="254" t="str">
        <f t="shared" si="28"/>
        <v/>
      </c>
      <c r="CF58" s="254" t="str">
        <f t="shared" si="29"/>
        <v/>
      </c>
      <c r="CG58" s="254" t="str">
        <f t="shared" si="42"/>
        <v/>
      </c>
      <c r="CH58" s="254" t="str">
        <f t="shared" si="30"/>
        <v/>
      </c>
      <c r="CI58" s="58" t="str">
        <f t="shared" si="43"/>
        <v/>
      </c>
      <c r="CJ58" s="59" t="str">
        <f t="shared" si="31"/>
        <v/>
      </c>
      <c r="CK58" s="236"/>
      <c r="CL58" s="203">
        <v>54</v>
      </c>
      <c r="CM58" s="254">
        <f t="shared" si="32"/>
        <v>0</v>
      </c>
      <c r="CN58" s="254">
        <f t="shared" si="33"/>
        <v>1.06E-4</v>
      </c>
      <c r="CO58" s="254">
        <f t="shared" si="34"/>
        <v>3.4699999999999998E-4</v>
      </c>
      <c r="CP58" s="254">
        <f t="shared" si="44"/>
        <v>3.6499999999999998E-4</v>
      </c>
      <c r="CQ58" s="254"/>
      <c r="CR58" s="203">
        <v>54</v>
      </c>
      <c r="CS58" s="254"/>
      <c r="CT58" s="254"/>
      <c r="CU58" s="254">
        <v>1.06E-4</v>
      </c>
      <c r="CV58" s="254">
        <v>3.8000000000000002E-5</v>
      </c>
      <c r="CW58" s="254">
        <v>3.4699999999999998E-4</v>
      </c>
      <c r="CX58" s="254">
        <v>1.3200000000000001E-4</v>
      </c>
      <c r="CY58" s="254">
        <v>3.6499999999999998E-4</v>
      </c>
      <c r="CZ58" s="254">
        <v>3.2600000000000001E-4</v>
      </c>
      <c r="DA58" s="254"/>
      <c r="DB58" s="254"/>
      <c r="DC58" s="254"/>
      <c r="DD58" s="254"/>
    </row>
    <row r="59" spans="1:108">
      <c r="A59" s="305"/>
      <c r="B59" s="373"/>
      <c r="I59" s="2"/>
      <c r="M59" s="151"/>
      <c r="N59" s="278" t="str">
        <f t="shared" si="52"/>
        <v/>
      </c>
      <c r="O59" s="279" t="str">
        <f t="shared" si="53"/>
        <v/>
      </c>
      <c r="P59" s="271" t="str">
        <f t="shared" si="47"/>
        <v/>
      </c>
      <c r="Q59" s="382" t="str">
        <f t="shared" si="48"/>
        <v/>
      </c>
      <c r="R59" s="382" t="str">
        <f t="shared" si="49"/>
        <v/>
      </c>
      <c r="S59" s="400" t="str">
        <f t="shared" si="1"/>
        <v/>
      </c>
      <c r="T59" s="382" t="str">
        <f>일반형!P59</f>
        <v/>
      </c>
      <c r="U59" s="382" t="str">
        <f>일반형!Q59</f>
        <v/>
      </c>
      <c r="V59" s="271" t="str">
        <f>일반형!R59</f>
        <v/>
      </c>
      <c r="W59" s="400" t="str">
        <f>일반형!S59</f>
        <v/>
      </c>
      <c r="X59" s="271" t="str">
        <f t="shared" si="50"/>
        <v/>
      </c>
      <c r="Y59" s="442" t="str">
        <f t="shared" si="2"/>
        <v/>
      </c>
      <c r="Z59" s="443" t="str">
        <f t="shared" si="51"/>
        <v/>
      </c>
      <c r="AB59" s="60" t="str">
        <f t="shared" si="35"/>
        <v/>
      </c>
      <c r="AC59" s="645" t="str">
        <f t="shared" si="4"/>
        <v/>
      </c>
      <c r="AD59" s="255"/>
      <c r="AE59" s="255" t="str">
        <f>IF(AB59="","",IF(AB59-$AB$4&lt;$F$5-1,INDEX(Main_무해지!$G$76:$G$87,MIN(AB59-$AB$4+1,12)),IF(AB59-$AB$4=$F$5-1,0,IF(AND($F$2=1,AB59&gt;109),0,IF(AND($F$2=2,AB59&gt;111),0,INDEX(Main_무해지!$H$76:$H$82,MIN(AB59-$AB$4-$F$5+1,7)))))))</f>
        <v/>
      </c>
      <c r="AF59" s="255" t="str">
        <f t="shared" si="45"/>
        <v/>
      </c>
      <c r="AG59" s="255" t="str">
        <f t="shared" si="5"/>
        <v/>
      </c>
      <c r="AH59" s="62" t="str">
        <f>IF($AB59="","",SUM(AG59:AG$114))</f>
        <v/>
      </c>
      <c r="AI59" s="255" t="str">
        <f t="shared" si="36"/>
        <v/>
      </c>
      <c r="AJ59" s="64" t="str">
        <f t="shared" si="6"/>
        <v/>
      </c>
      <c r="AK59" s="64"/>
      <c r="AL59" s="255" t="str">
        <f t="shared" si="7"/>
        <v/>
      </c>
      <c r="AM59" s="255" t="str">
        <f t="shared" si="46"/>
        <v/>
      </c>
      <c r="AN59" s="255" t="str">
        <f t="shared" si="8"/>
        <v/>
      </c>
      <c r="AO59" s="62" t="str">
        <f>IF($AB59="","",SUM(AN59:AN$114))</f>
        <v/>
      </c>
      <c r="AP59" s="61" t="str">
        <f t="shared" si="37"/>
        <v/>
      </c>
      <c r="AQ59" s="255" t="str">
        <f t="shared" si="9"/>
        <v/>
      </c>
      <c r="AR59" s="255" t="str">
        <f t="shared" si="10"/>
        <v/>
      </c>
      <c r="AS59" s="255" t="str">
        <f t="shared" si="11"/>
        <v/>
      </c>
      <c r="AT59" s="65" t="str">
        <f>IF($AB59="","",SUM($AU59:$AU$114))</f>
        <v/>
      </c>
      <c r="AU59" s="255" t="str">
        <f t="shared" si="38"/>
        <v/>
      </c>
      <c r="AV59" s="65" t="str">
        <f t="shared" si="12"/>
        <v/>
      </c>
      <c r="AW59" s="61"/>
      <c r="AX59" s="255" t="str">
        <f t="shared" si="13"/>
        <v/>
      </c>
      <c r="AY59" s="255" t="str">
        <f t="shared" si="14"/>
        <v/>
      </c>
      <c r="AZ59" s="255" t="str">
        <f t="shared" si="15"/>
        <v/>
      </c>
      <c r="BA59" s="65" t="str">
        <f>IF($AB59="","",SUM($AZ59:$AZ$114))</f>
        <v/>
      </c>
      <c r="BB59" s="61"/>
      <c r="BC59" s="255" t="str">
        <f t="shared" si="16"/>
        <v/>
      </c>
      <c r="BD59" s="255" t="str">
        <f t="shared" si="17"/>
        <v/>
      </c>
      <c r="BE59" s="255" t="str">
        <f t="shared" si="18"/>
        <v/>
      </c>
      <c r="BF59" s="65" t="str">
        <f>IF($AB59="","",SUM($BE59:$BE$114))</f>
        <v/>
      </c>
      <c r="BG59" s="61"/>
      <c r="BH59" s="255" t="str">
        <f t="shared" si="19"/>
        <v/>
      </c>
      <c r="BI59" s="255" t="str">
        <f t="shared" si="20"/>
        <v/>
      </c>
      <c r="BJ59" s="255" t="str">
        <f t="shared" si="21"/>
        <v/>
      </c>
      <c r="BK59" s="65" t="str">
        <f>IF($AB59="","",SUM($BJ59:$BJ$114))</f>
        <v/>
      </c>
      <c r="BL59" s="61"/>
      <c r="BM59" s="255" t="str">
        <f t="shared" si="22"/>
        <v/>
      </c>
      <c r="BN59" s="255" t="str">
        <f t="shared" si="23"/>
        <v/>
      </c>
      <c r="BO59" s="255" t="str">
        <f t="shared" si="24"/>
        <v/>
      </c>
      <c r="BP59" s="65" t="str">
        <f>IF($AB59="","",SUM($BO59:$BO$114))</f>
        <v/>
      </c>
      <c r="BQ59" s="61" t="str">
        <f t="shared" si="25"/>
        <v/>
      </c>
      <c r="BR59" s="255" t="str">
        <f t="shared" si="39"/>
        <v/>
      </c>
      <c r="BS59" s="255" t="str">
        <f t="shared" si="26"/>
        <v/>
      </c>
      <c r="BT59" s="255" t="str">
        <f t="shared" si="27"/>
        <v/>
      </c>
      <c r="BU59" s="255" t="str">
        <f t="shared" si="40"/>
        <v/>
      </c>
      <c r="BV59" s="255"/>
      <c r="BW59" s="255"/>
      <c r="BX59" s="255"/>
      <c r="BY59" s="255"/>
      <c r="BZ59" s="255" t="str">
        <f>IF($AB59="","",SUM(BU59:BU$114))</f>
        <v/>
      </c>
      <c r="CA59" s="63" t="str">
        <f>IF(AB59&lt;$E$3+$F$5,0,IFERROR(일반형!S61,0))</f>
        <v/>
      </c>
      <c r="CB59" s="63"/>
      <c r="CC59" s="391" t="str">
        <f t="shared" si="0"/>
        <v/>
      </c>
      <c r="CD59" s="255" t="str">
        <f t="shared" si="41"/>
        <v/>
      </c>
      <c r="CE59" s="255" t="str">
        <f t="shared" si="28"/>
        <v/>
      </c>
      <c r="CF59" s="255" t="str">
        <f t="shared" si="29"/>
        <v/>
      </c>
      <c r="CG59" s="255" t="str">
        <f t="shared" si="42"/>
        <v/>
      </c>
      <c r="CH59" s="255" t="str">
        <f t="shared" si="30"/>
        <v/>
      </c>
      <c r="CI59" s="66" t="str">
        <f t="shared" si="43"/>
        <v/>
      </c>
      <c r="CJ59" s="67" t="str">
        <f t="shared" si="31"/>
        <v/>
      </c>
      <c r="CK59" s="237"/>
      <c r="CL59" s="204">
        <v>55</v>
      </c>
      <c r="CM59" s="255">
        <f t="shared" si="32"/>
        <v>0</v>
      </c>
      <c r="CN59" s="255">
        <f t="shared" si="33"/>
        <v>1.06E-4</v>
      </c>
      <c r="CO59" s="255">
        <f t="shared" si="34"/>
        <v>4.0200000000000001E-4</v>
      </c>
      <c r="CP59" s="255">
        <f t="shared" si="44"/>
        <v>3.6499999999999998E-4</v>
      </c>
      <c r="CQ59" s="255"/>
      <c r="CR59" s="204">
        <v>55</v>
      </c>
      <c r="CS59" s="255"/>
      <c r="CT59" s="255"/>
      <c r="CU59" s="255">
        <v>1.06E-4</v>
      </c>
      <c r="CV59" s="255">
        <v>3.8000000000000002E-5</v>
      </c>
      <c r="CW59" s="255">
        <v>4.0200000000000001E-4</v>
      </c>
      <c r="CX59" s="255">
        <v>1.5300000000000001E-4</v>
      </c>
      <c r="CY59" s="255">
        <v>3.6499999999999998E-4</v>
      </c>
      <c r="CZ59" s="255">
        <v>3.2600000000000001E-4</v>
      </c>
      <c r="DA59" s="255"/>
      <c r="DB59" s="255"/>
      <c r="DC59" s="255"/>
      <c r="DD59" s="255"/>
    </row>
    <row r="60" spans="1:108" ht="17.25" thickBot="1">
      <c r="A60" s="305"/>
      <c r="M60" s="151"/>
      <c r="N60" s="278" t="str">
        <f t="shared" si="52"/>
        <v/>
      </c>
      <c r="O60" s="279" t="str">
        <f t="shared" si="53"/>
        <v/>
      </c>
      <c r="P60" s="271" t="str">
        <f t="shared" si="47"/>
        <v/>
      </c>
      <c r="Q60" s="382" t="str">
        <f t="shared" si="48"/>
        <v/>
      </c>
      <c r="R60" s="382" t="str">
        <f t="shared" si="49"/>
        <v/>
      </c>
      <c r="S60" s="400" t="str">
        <f t="shared" si="1"/>
        <v/>
      </c>
      <c r="T60" s="382" t="str">
        <f>일반형!P60</f>
        <v/>
      </c>
      <c r="U60" s="382" t="str">
        <f>일반형!Q60</f>
        <v/>
      </c>
      <c r="V60" s="271" t="str">
        <f>일반형!R60</f>
        <v/>
      </c>
      <c r="W60" s="400" t="str">
        <f>일반형!S60</f>
        <v/>
      </c>
      <c r="X60" s="271" t="str">
        <f t="shared" si="50"/>
        <v/>
      </c>
      <c r="Y60" s="442" t="str">
        <f t="shared" si="2"/>
        <v/>
      </c>
      <c r="Z60" s="443" t="str">
        <f t="shared" si="51"/>
        <v/>
      </c>
      <c r="AB60" s="759" t="str">
        <f t="shared" si="35"/>
        <v/>
      </c>
      <c r="AC60" s="646" t="str">
        <f t="shared" si="4"/>
        <v/>
      </c>
      <c r="AD60" s="409"/>
      <c r="AE60" s="409" t="str">
        <f>IF(AB60="","",IF(AB60-$AB$4&lt;$F$5-1,INDEX(Main_무해지!$G$76:$G$87,MIN(AB60-$AB$4+1,12)),IF(AB60-$AB$4=$F$5-1,0,IF(AND($F$2=1,AB60&gt;109),0,IF(AND($F$2=2,AB60&gt;111),0,INDEX(Main_무해지!$H$76:$H$82,MIN(AB60-$AB$4-$F$5+1,7)))))))</f>
        <v/>
      </c>
      <c r="AF60" s="409" t="str">
        <f t="shared" si="45"/>
        <v/>
      </c>
      <c r="AG60" s="409" t="str">
        <f t="shared" si="5"/>
        <v/>
      </c>
      <c r="AH60" s="760" t="str">
        <f>IF($AB60="","",SUM(AG60:AG$114))</f>
        <v/>
      </c>
      <c r="AI60" s="409" t="str">
        <f t="shared" si="36"/>
        <v/>
      </c>
      <c r="AJ60" s="639" t="str">
        <f t="shared" si="6"/>
        <v/>
      </c>
      <c r="AK60" s="639"/>
      <c r="AL60" s="409" t="str">
        <f t="shared" si="7"/>
        <v/>
      </c>
      <c r="AM60" s="409" t="str">
        <f t="shared" si="46"/>
        <v/>
      </c>
      <c r="AN60" s="409" t="str">
        <f t="shared" si="8"/>
        <v/>
      </c>
      <c r="AO60" s="760" t="str">
        <f>IF($AB60="","",SUM(AN60:AN$114))</f>
        <v/>
      </c>
      <c r="AP60" s="761" t="str">
        <f t="shared" si="37"/>
        <v/>
      </c>
      <c r="AQ60" s="409" t="str">
        <f t="shared" si="9"/>
        <v/>
      </c>
      <c r="AR60" s="409" t="str">
        <f t="shared" si="10"/>
        <v/>
      </c>
      <c r="AS60" s="409" t="str">
        <f t="shared" si="11"/>
        <v/>
      </c>
      <c r="AT60" s="762" t="str">
        <f>IF($AB60="","",SUM($AU60:$AU$114))</f>
        <v/>
      </c>
      <c r="AU60" s="409" t="str">
        <f t="shared" si="38"/>
        <v/>
      </c>
      <c r="AV60" s="762" t="str">
        <f t="shared" si="12"/>
        <v/>
      </c>
      <c r="AW60" s="761"/>
      <c r="AX60" s="409" t="str">
        <f t="shared" si="13"/>
        <v/>
      </c>
      <c r="AY60" s="409" t="str">
        <f t="shared" si="14"/>
        <v/>
      </c>
      <c r="AZ60" s="409" t="str">
        <f t="shared" si="15"/>
        <v/>
      </c>
      <c r="BA60" s="762" t="str">
        <f>IF($AB60="","",SUM($AZ60:$AZ$114))</f>
        <v/>
      </c>
      <c r="BB60" s="761"/>
      <c r="BC60" s="409" t="str">
        <f t="shared" si="16"/>
        <v/>
      </c>
      <c r="BD60" s="409" t="str">
        <f t="shared" si="17"/>
        <v/>
      </c>
      <c r="BE60" s="409" t="str">
        <f t="shared" si="18"/>
        <v/>
      </c>
      <c r="BF60" s="762" t="str">
        <f>IF($AB60="","",SUM($BE60:$BE$114))</f>
        <v/>
      </c>
      <c r="BG60" s="761"/>
      <c r="BH60" s="409" t="str">
        <f t="shared" si="19"/>
        <v/>
      </c>
      <c r="BI60" s="409" t="str">
        <f t="shared" si="20"/>
        <v/>
      </c>
      <c r="BJ60" s="409" t="str">
        <f t="shared" si="21"/>
        <v/>
      </c>
      <c r="BK60" s="762" t="str">
        <f>IF($AB60="","",SUM($BJ60:$BJ$114))</f>
        <v/>
      </c>
      <c r="BL60" s="761"/>
      <c r="BM60" s="409" t="str">
        <f t="shared" si="22"/>
        <v/>
      </c>
      <c r="BN60" s="409" t="str">
        <f t="shared" si="23"/>
        <v/>
      </c>
      <c r="BO60" s="409" t="str">
        <f t="shared" si="24"/>
        <v/>
      </c>
      <c r="BP60" s="762" t="str">
        <f>IF($AB60="","",SUM($BO60:$BO$114))</f>
        <v/>
      </c>
      <c r="BQ60" s="761" t="str">
        <f t="shared" si="25"/>
        <v/>
      </c>
      <c r="BR60" s="409" t="str">
        <f t="shared" si="39"/>
        <v/>
      </c>
      <c r="BS60" s="409" t="str">
        <f t="shared" si="26"/>
        <v/>
      </c>
      <c r="BT60" s="409" t="str">
        <f t="shared" si="27"/>
        <v/>
      </c>
      <c r="BU60" s="409" t="str">
        <f t="shared" si="40"/>
        <v/>
      </c>
      <c r="BV60" s="409"/>
      <c r="BW60" s="409"/>
      <c r="BX60" s="409"/>
      <c r="BY60" s="409"/>
      <c r="BZ60" s="409" t="str">
        <f>IF($AB60="","",SUM(BU60:BU$114))</f>
        <v/>
      </c>
      <c r="CA60" s="763" t="str">
        <f>IF(AB60&lt;$E$3+$F$5,0,IFERROR(일반형!S62,0))</f>
        <v/>
      </c>
      <c r="CB60" s="763"/>
      <c r="CC60" s="764" t="str">
        <f t="shared" si="0"/>
        <v/>
      </c>
      <c r="CD60" s="409" t="str">
        <f t="shared" si="41"/>
        <v/>
      </c>
      <c r="CE60" s="409" t="str">
        <f t="shared" si="28"/>
        <v/>
      </c>
      <c r="CF60" s="409" t="str">
        <f t="shared" si="29"/>
        <v/>
      </c>
      <c r="CG60" s="409" t="str">
        <f t="shared" si="42"/>
        <v/>
      </c>
      <c r="CH60" s="409" t="str">
        <f t="shared" si="30"/>
        <v/>
      </c>
      <c r="CI60" s="765" t="str">
        <f t="shared" si="43"/>
        <v/>
      </c>
      <c r="CJ60" s="766" t="str">
        <f t="shared" si="31"/>
        <v/>
      </c>
      <c r="CK60" s="414"/>
      <c r="CL60" s="767">
        <v>56</v>
      </c>
      <c r="CM60" s="409">
        <f t="shared" si="32"/>
        <v>0</v>
      </c>
      <c r="CN60" s="409">
        <f t="shared" si="33"/>
        <v>1.06E-4</v>
      </c>
      <c r="CO60" s="409">
        <f t="shared" si="34"/>
        <v>4.7100000000000001E-4</v>
      </c>
      <c r="CP60" s="409">
        <f t="shared" si="44"/>
        <v>3.6499999999999998E-4</v>
      </c>
      <c r="CQ60" s="409"/>
      <c r="CR60" s="767">
        <v>56</v>
      </c>
      <c r="CS60" s="409"/>
      <c r="CT60" s="409"/>
      <c r="CU60" s="409">
        <v>1.06E-4</v>
      </c>
      <c r="CV60" s="409">
        <v>3.8000000000000002E-5</v>
      </c>
      <c r="CW60" s="409">
        <v>4.7100000000000001E-4</v>
      </c>
      <c r="CX60" s="409">
        <v>1.83E-4</v>
      </c>
      <c r="CY60" s="409">
        <v>3.6499999999999998E-4</v>
      </c>
      <c r="CZ60" s="409">
        <v>3.2600000000000001E-4</v>
      </c>
      <c r="DA60" s="409"/>
      <c r="DB60" s="409"/>
      <c r="DC60" s="409"/>
      <c r="DD60" s="409"/>
    </row>
    <row r="61" spans="1:108">
      <c r="A61" s="305"/>
      <c r="D61" s="828" t="s">
        <v>101</v>
      </c>
      <c r="E61" s="829"/>
      <c r="F61" s="828" t="s">
        <v>245</v>
      </c>
      <c r="G61" s="830"/>
      <c r="M61" s="151"/>
      <c r="N61" s="280" t="str">
        <f t="shared" si="52"/>
        <v/>
      </c>
      <c r="O61" s="281" t="str">
        <f t="shared" si="53"/>
        <v/>
      </c>
      <c r="P61" s="282" t="str">
        <f t="shared" si="47"/>
        <v/>
      </c>
      <c r="Q61" s="383" t="str">
        <f t="shared" si="48"/>
        <v/>
      </c>
      <c r="R61" s="383" t="str">
        <f t="shared" si="49"/>
        <v/>
      </c>
      <c r="S61" s="402" t="str">
        <f t="shared" si="1"/>
        <v/>
      </c>
      <c r="T61" s="383" t="str">
        <f>일반형!P61</f>
        <v/>
      </c>
      <c r="U61" s="383" t="str">
        <f>일반형!Q61</f>
        <v/>
      </c>
      <c r="V61" s="282" t="str">
        <f>일반형!R61</f>
        <v/>
      </c>
      <c r="W61" s="402" t="str">
        <f>일반형!S61</f>
        <v/>
      </c>
      <c r="X61" s="282" t="str">
        <f t="shared" si="50"/>
        <v/>
      </c>
      <c r="Y61" s="446" t="str">
        <f t="shared" si="2"/>
        <v/>
      </c>
      <c r="Z61" s="447" t="str">
        <f t="shared" si="51"/>
        <v/>
      </c>
      <c r="AB61" s="101" t="str">
        <f t="shared" si="35"/>
        <v/>
      </c>
      <c r="AC61" s="649" t="str">
        <f t="shared" si="4"/>
        <v/>
      </c>
      <c r="AD61" s="258"/>
      <c r="AE61" s="258" t="str">
        <f>IF(AB61="","",IF(AB61-$AB$4&lt;$F$5-1,INDEX(Main_무해지!$G$76:$G$87,MIN(AB61-$AB$4+1,12)),IF(AB61-$AB$4=$F$5-1,0,IF(AND($F$2=1,AB61&gt;109),0,IF(AND($F$2=2,AB61&gt;111),0,INDEX(Main_무해지!$H$76:$H$82,MIN(AB61-$AB$4-$F$5+1,7)))))))</f>
        <v/>
      </c>
      <c r="AF61" s="258" t="str">
        <f t="shared" si="45"/>
        <v/>
      </c>
      <c r="AG61" s="258" t="str">
        <f t="shared" si="5"/>
        <v/>
      </c>
      <c r="AH61" s="102" t="str">
        <f>IF($AB61="","",SUM(AG61:AG$114))</f>
        <v/>
      </c>
      <c r="AI61" s="258" t="str">
        <f t="shared" si="36"/>
        <v/>
      </c>
      <c r="AJ61" s="308" t="str">
        <f t="shared" si="6"/>
        <v/>
      </c>
      <c r="AK61" s="308"/>
      <c r="AL61" s="258" t="str">
        <f t="shared" si="7"/>
        <v/>
      </c>
      <c r="AM61" s="258" t="str">
        <f t="shared" si="46"/>
        <v/>
      </c>
      <c r="AN61" s="258" t="str">
        <f t="shared" si="8"/>
        <v/>
      </c>
      <c r="AO61" s="102" t="str">
        <f>IF($AB61="","",SUM(AN61:AN$114))</f>
        <v/>
      </c>
      <c r="AP61" s="285" t="str">
        <f t="shared" si="37"/>
        <v/>
      </c>
      <c r="AQ61" s="258" t="str">
        <f t="shared" si="9"/>
        <v/>
      </c>
      <c r="AR61" s="258" t="str">
        <f t="shared" si="10"/>
        <v/>
      </c>
      <c r="AS61" s="258" t="str">
        <f t="shared" si="11"/>
        <v/>
      </c>
      <c r="AT61" s="315" t="str">
        <f>IF($AB61="","",SUM($AU61:$AU$114))</f>
        <v/>
      </c>
      <c r="AU61" s="258" t="str">
        <f t="shared" si="38"/>
        <v/>
      </c>
      <c r="AV61" s="315" t="str">
        <f t="shared" si="12"/>
        <v/>
      </c>
      <c r="AW61" s="285"/>
      <c r="AX61" s="258" t="str">
        <f t="shared" si="13"/>
        <v/>
      </c>
      <c r="AY61" s="258" t="str">
        <f t="shared" si="14"/>
        <v/>
      </c>
      <c r="AZ61" s="258" t="str">
        <f t="shared" si="15"/>
        <v/>
      </c>
      <c r="BA61" s="315" t="str">
        <f>IF($AB61="","",SUM($AZ61:$AZ$114))</f>
        <v/>
      </c>
      <c r="BB61" s="285"/>
      <c r="BC61" s="258" t="str">
        <f t="shared" si="16"/>
        <v/>
      </c>
      <c r="BD61" s="258" t="str">
        <f t="shared" si="17"/>
        <v/>
      </c>
      <c r="BE61" s="258" t="str">
        <f t="shared" si="18"/>
        <v/>
      </c>
      <c r="BF61" s="315" t="str">
        <f>IF($AB61="","",SUM($BE61:$BE$114))</f>
        <v/>
      </c>
      <c r="BG61" s="285"/>
      <c r="BH61" s="258" t="str">
        <f t="shared" si="19"/>
        <v/>
      </c>
      <c r="BI61" s="258" t="str">
        <f t="shared" si="20"/>
        <v/>
      </c>
      <c r="BJ61" s="258" t="str">
        <f t="shared" si="21"/>
        <v/>
      </c>
      <c r="BK61" s="315" t="str">
        <f>IF($AB61="","",SUM($BJ61:$BJ$114))</f>
        <v/>
      </c>
      <c r="BL61" s="285"/>
      <c r="BM61" s="258" t="str">
        <f t="shared" si="22"/>
        <v/>
      </c>
      <c r="BN61" s="258" t="str">
        <f t="shared" si="23"/>
        <v/>
      </c>
      <c r="BO61" s="258" t="str">
        <f t="shared" si="24"/>
        <v/>
      </c>
      <c r="BP61" s="315" t="str">
        <f>IF($AB61="","",SUM($BO61:$BO$114))</f>
        <v/>
      </c>
      <c r="BQ61" s="285" t="str">
        <f t="shared" si="25"/>
        <v/>
      </c>
      <c r="BR61" s="258" t="str">
        <f t="shared" si="39"/>
        <v/>
      </c>
      <c r="BS61" s="258" t="str">
        <f t="shared" si="26"/>
        <v/>
      </c>
      <c r="BT61" s="258" t="str">
        <f t="shared" si="27"/>
        <v/>
      </c>
      <c r="BU61" s="258" t="str">
        <f t="shared" si="40"/>
        <v/>
      </c>
      <c r="BV61" s="258"/>
      <c r="BW61" s="258"/>
      <c r="BX61" s="258"/>
      <c r="BY61" s="258"/>
      <c r="BZ61" s="258" t="str">
        <f>IF($AB61="","",SUM(BU61:BU$114))</f>
        <v/>
      </c>
      <c r="CA61" s="103" t="str">
        <f>IF(AB61&lt;$E$3+$F$5,0,IFERROR(일반형!S63,0))</f>
        <v/>
      </c>
      <c r="CB61" s="103"/>
      <c r="CC61" s="394" t="str">
        <f t="shared" si="0"/>
        <v/>
      </c>
      <c r="CD61" s="258" t="str">
        <f t="shared" si="41"/>
        <v/>
      </c>
      <c r="CE61" s="258" t="str">
        <f t="shared" si="28"/>
        <v/>
      </c>
      <c r="CF61" s="258" t="str">
        <f t="shared" si="29"/>
        <v/>
      </c>
      <c r="CG61" s="258" t="str">
        <f t="shared" si="42"/>
        <v/>
      </c>
      <c r="CH61" s="258" t="str">
        <f t="shared" si="30"/>
        <v/>
      </c>
      <c r="CI61" s="104" t="str">
        <f t="shared" si="43"/>
        <v/>
      </c>
      <c r="CJ61" s="105" t="str">
        <f t="shared" si="31"/>
        <v/>
      </c>
      <c r="CK61" s="240"/>
      <c r="CL61" s="207">
        <v>57</v>
      </c>
      <c r="CM61" s="258">
        <f t="shared" si="32"/>
        <v>0</v>
      </c>
      <c r="CN61" s="258">
        <f t="shared" si="33"/>
        <v>1.06E-4</v>
      </c>
      <c r="CO61" s="258">
        <f t="shared" si="34"/>
        <v>5.4699999999999996E-4</v>
      </c>
      <c r="CP61" s="258">
        <f t="shared" si="44"/>
        <v>3.6499999999999998E-4</v>
      </c>
      <c r="CQ61" s="258"/>
      <c r="CR61" s="207">
        <v>57</v>
      </c>
      <c r="CS61" s="258"/>
      <c r="CT61" s="258"/>
      <c r="CU61" s="258">
        <v>1.06E-4</v>
      </c>
      <c r="CV61" s="258">
        <v>3.8000000000000002E-5</v>
      </c>
      <c r="CW61" s="258">
        <v>5.4699999999999996E-4</v>
      </c>
      <c r="CX61" s="258">
        <v>2.1599999999999999E-4</v>
      </c>
      <c r="CY61" s="258">
        <v>3.6499999999999998E-4</v>
      </c>
      <c r="CZ61" s="258">
        <v>3.2600000000000001E-4</v>
      </c>
      <c r="DA61" s="258"/>
      <c r="DB61" s="258"/>
      <c r="DC61" s="258"/>
      <c r="DD61" s="258"/>
    </row>
    <row r="62" spans="1:108">
      <c r="A62" s="305"/>
      <c r="D62" s="453" t="s">
        <v>240</v>
      </c>
      <c r="E62" s="454" t="s">
        <v>241</v>
      </c>
      <c r="F62" s="453" t="s">
        <v>246</v>
      </c>
      <c r="G62" s="455" t="s">
        <v>247</v>
      </c>
      <c r="M62" s="151"/>
      <c r="N62" s="275" t="str">
        <f t="shared" si="52"/>
        <v/>
      </c>
      <c r="O62" s="276" t="str">
        <f t="shared" si="53"/>
        <v/>
      </c>
      <c r="P62" s="277" t="str">
        <f t="shared" si="47"/>
        <v/>
      </c>
      <c r="Q62" s="381" t="str">
        <f t="shared" si="48"/>
        <v/>
      </c>
      <c r="R62" s="381" t="str">
        <f t="shared" si="49"/>
        <v/>
      </c>
      <c r="S62" s="401" t="str">
        <f t="shared" si="1"/>
        <v/>
      </c>
      <c r="T62" s="381" t="str">
        <f>일반형!P62</f>
        <v/>
      </c>
      <c r="U62" s="381" t="str">
        <f>일반형!Q62</f>
        <v/>
      </c>
      <c r="V62" s="277" t="str">
        <f>일반형!R62</f>
        <v/>
      </c>
      <c r="W62" s="401" t="str">
        <f>일반형!S62</f>
        <v/>
      </c>
      <c r="X62" s="277" t="str">
        <f t="shared" si="50"/>
        <v/>
      </c>
      <c r="Y62" s="444" t="str">
        <f t="shared" si="2"/>
        <v/>
      </c>
      <c r="Z62" s="445" t="str">
        <f t="shared" si="51"/>
        <v/>
      </c>
      <c r="AB62" s="101" t="str">
        <f t="shared" si="35"/>
        <v/>
      </c>
      <c r="AC62" s="649" t="str">
        <f t="shared" si="4"/>
        <v/>
      </c>
      <c r="AD62" s="258"/>
      <c r="AE62" s="258" t="str">
        <f>IF(AB62="","",IF(AB62-$AB$4&lt;$F$5-1,INDEX(Main_무해지!$G$76:$G$87,MIN(AB62-$AB$4+1,12)),IF(AB62-$AB$4=$F$5-1,0,IF(AND($F$2=1,AB62&gt;109),0,IF(AND($F$2=2,AB62&gt;111),0,INDEX(Main_무해지!$H$76:$H$82,MIN(AB62-$AB$4-$F$5+1,7)))))))</f>
        <v/>
      </c>
      <c r="AF62" s="258" t="str">
        <f t="shared" si="45"/>
        <v/>
      </c>
      <c r="AG62" s="258" t="str">
        <f t="shared" si="5"/>
        <v/>
      </c>
      <c r="AH62" s="102" t="str">
        <f>IF($AB62="","",SUM(AG62:AG$114))</f>
        <v/>
      </c>
      <c r="AI62" s="258" t="str">
        <f t="shared" si="36"/>
        <v/>
      </c>
      <c r="AJ62" s="308" t="str">
        <f t="shared" si="6"/>
        <v/>
      </c>
      <c r="AK62" s="308"/>
      <c r="AL62" s="258" t="str">
        <f t="shared" si="7"/>
        <v/>
      </c>
      <c r="AM62" s="258" t="str">
        <f t="shared" si="46"/>
        <v/>
      </c>
      <c r="AN62" s="258" t="str">
        <f t="shared" si="8"/>
        <v/>
      </c>
      <c r="AO62" s="102" t="str">
        <f>IF($AB62="","",SUM(AN62:AN$114))</f>
        <v/>
      </c>
      <c r="AP62" s="285" t="str">
        <f t="shared" si="37"/>
        <v/>
      </c>
      <c r="AQ62" s="258" t="str">
        <f t="shared" si="9"/>
        <v/>
      </c>
      <c r="AR62" s="258" t="str">
        <f t="shared" si="10"/>
        <v/>
      </c>
      <c r="AS62" s="258" t="str">
        <f t="shared" si="11"/>
        <v/>
      </c>
      <c r="AT62" s="315" t="str">
        <f>IF($AB62="","",SUM($AU62:$AU$114))</f>
        <v/>
      </c>
      <c r="AU62" s="258" t="str">
        <f t="shared" si="38"/>
        <v/>
      </c>
      <c r="AV62" s="315" t="str">
        <f t="shared" si="12"/>
        <v/>
      </c>
      <c r="AW62" s="285"/>
      <c r="AX62" s="258" t="str">
        <f t="shared" si="13"/>
        <v/>
      </c>
      <c r="AY62" s="258" t="str">
        <f t="shared" si="14"/>
        <v/>
      </c>
      <c r="AZ62" s="258" t="str">
        <f t="shared" si="15"/>
        <v/>
      </c>
      <c r="BA62" s="315" t="str">
        <f>IF($AB62="","",SUM($AZ62:$AZ$114))</f>
        <v/>
      </c>
      <c r="BB62" s="285"/>
      <c r="BC62" s="258" t="str">
        <f t="shared" si="16"/>
        <v/>
      </c>
      <c r="BD62" s="258" t="str">
        <f t="shared" si="17"/>
        <v/>
      </c>
      <c r="BE62" s="258" t="str">
        <f t="shared" si="18"/>
        <v/>
      </c>
      <c r="BF62" s="315" t="str">
        <f>IF($AB62="","",SUM($BE62:$BE$114))</f>
        <v/>
      </c>
      <c r="BG62" s="285"/>
      <c r="BH62" s="258" t="str">
        <f t="shared" si="19"/>
        <v/>
      </c>
      <c r="BI62" s="258" t="str">
        <f t="shared" si="20"/>
        <v/>
      </c>
      <c r="BJ62" s="258" t="str">
        <f t="shared" si="21"/>
        <v/>
      </c>
      <c r="BK62" s="315" t="str">
        <f>IF($AB62="","",SUM($BJ62:$BJ$114))</f>
        <v/>
      </c>
      <c r="BL62" s="285"/>
      <c r="BM62" s="258" t="str">
        <f t="shared" si="22"/>
        <v/>
      </c>
      <c r="BN62" s="258" t="str">
        <f t="shared" si="23"/>
        <v/>
      </c>
      <c r="BO62" s="258" t="str">
        <f t="shared" si="24"/>
        <v/>
      </c>
      <c r="BP62" s="315" t="str">
        <f>IF($AB62="","",SUM($BO62:$BO$114))</f>
        <v/>
      </c>
      <c r="BQ62" s="285" t="str">
        <f t="shared" si="25"/>
        <v/>
      </c>
      <c r="BR62" s="258" t="str">
        <f t="shared" si="39"/>
        <v/>
      </c>
      <c r="BS62" s="258" t="str">
        <f t="shared" si="26"/>
        <v/>
      </c>
      <c r="BT62" s="258" t="str">
        <f t="shared" si="27"/>
        <v/>
      </c>
      <c r="BU62" s="258" t="str">
        <f t="shared" si="40"/>
        <v/>
      </c>
      <c r="BV62" s="258"/>
      <c r="BW62" s="258"/>
      <c r="BX62" s="258"/>
      <c r="BY62" s="258"/>
      <c r="BZ62" s="258" t="str">
        <f>IF($AB62="","",SUM(BU62:BU$114))</f>
        <v/>
      </c>
      <c r="CA62" s="103" t="str">
        <f>IF(AB62&lt;$E$3+$F$5,0,IFERROR(일반형!S64,0))</f>
        <v/>
      </c>
      <c r="CB62" s="103"/>
      <c r="CC62" s="394" t="str">
        <f t="shared" si="0"/>
        <v/>
      </c>
      <c r="CD62" s="258" t="str">
        <f t="shared" si="41"/>
        <v/>
      </c>
      <c r="CE62" s="258" t="str">
        <f t="shared" si="28"/>
        <v/>
      </c>
      <c r="CF62" s="258" t="str">
        <f t="shared" si="29"/>
        <v/>
      </c>
      <c r="CG62" s="258" t="str">
        <f t="shared" si="42"/>
        <v/>
      </c>
      <c r="CH62" s="258" t="str">
        <f t="shared" si="30"/>
        <v/>
      </c>
      <c r="CI62" s="104" t="str">
        <f t="shared" si="43"/>
        <v/>
      </c>
      <c r="CJ62" s="105" t="str">
        <f t="shared" si="31"/>
        <v/>
      </c>
      <c r="CK62" s="240"/>
      <c r="CL62" s="207">
        <v>58</v>
      </c>
      <c r="CM62" s="258">
        <f t="shared" si="32"/>
        <v>0</v>
      </c>
      <c r="CN62" s="258">
        <f t="shared" si="33"/>
        <v>1.06E-4</v>
      </c>
      <c r="CO62" s="258">
        <f t="shared" si="34"/>
        <v>6.3199999999999997E-4</v>
      </c>
      <c r="CP62" s="258">
        <f t="shared" si="44"/>
        <v>3.6499999999999998E-4</v>
      </c>
      <c r="CQ62" s="258"/>
      <c r="CR62" s="207">
        <v>58</v>
      </c>
      <c r="CS62" s="258"/>
      <c r="CT62" s="258"/>
      <c r="CU62" s="258">
        <v>1.06E-4</v>
      </c>
      <c r="CV62" s="258">
        <v>3.8000000000000002E-5</v>
      </c>
      <c r="CW62" s="258">
        <v>6.3199999999999997E-4</v>
      </c>
      <c r="CX62" s="258">
        <v>2.5300000000000002E-4</v>
      </c>
      <c r="CY62" s="258">
        <v>3.6499999999999998E-4</v>
      </c>
      <c r="CZ62" s="258">
        <v>3.2600000000000001E-4</v>
      </c>
      <c r="DA62" s="258"/>
      <c r="DB62" s="258"/>
      <c r="DC62" s="258"/>
      <c r="DD62" s="258"/>
    </row>
    <row r="63" spans="1:108">
      <c r="A63" s="305"/>
      <c r="D63" s="456" t="s">
        <v>102</v>
      </c>
      <c r="E63" s="457">
        <v>0</v>
      </c>
      <c r="F63" s="456" t="s">
        <v>227</v>
      </c>
      <c r="G63" s="465">
        <v>0</v>
      </c>
      <c r="M63" s="153"/>
      <c r="N63" s="278" t="str">
        <f t="shared" si="52"/>
        <v/>
      </c>
      <c r="O63" s="279" t="str">
        <f t="shared" si="53"/>
        <v/>
      </c>
      <c r="P63" s="271" t="str">
        <f t="shared" si="47"/>
        <v/>
      </c>
      <c r="Q63" s="382" t="str">
        <f t="shared" si="48"/>
        <v/>
      </c>
      <c r="R63" s="382" t="str">
        <f t="shared" si="49"/>
        <v/>
      </c>
      <c r="S63" s="400" t="str">
        <f t="shared" si="1"/>
        <v/>
      </c>
      <c r="T63" s="382" t="str">
        <f>일반형!P63</f>
        <v/>
      </c>
      <c r="U63" s="382" t="str">
        <f>일반형!Q63</f>
        <v/>
      </c>
      <c r="V63" s="271" t="str">
        <f>일반형!R63</f>
        <v/>
      </c>
      <c r="W63" s="400" t="str">
        <f>일반형!S63</f>
        <v/>
      </c>
      <c r="X63" s="271" t="str">
        <f t="shared" si="50"/>
        <v/>
      </c>
      <c r="Y63" s="442" t="str">
        <f t="shared" si="2"/>
        <v/>
      </c>
      <c r="Z63" s="443" t="str">
        <f t="shared" si="51"/>
        <v/>
      </c>
      <c r="AB63" s="101" t="str">
        <f t="shared" si="35"/>
        <v/>
      </c>
      <c r="AC63" s="649" t="str">
        <f t="shared" si="4"/>
        <v/>
      </c>
      <c r="AD63" s="258"/>
      <c r="AE63" s="258" t="str">
        <f>IF(AB63="","",IF(AB63-$AB$4&lt;$F$5-1,INDEX(Main_무해지!$G$76:$G$87,MIN(AB63-$AB$4+1,12)),IF(AB63-$AB$4=$F$5-1,0,IF(AND($F$2=1,AB63&gt;109),0,IF(AND($F$2=2,AB63&gt;111),0,INDEX(Main_무해지!$H$76:$H$82,MIN(AB63-$AB$4-$F$5+1,7)))))))</f>
        <v/>
      </c>
      <c r="AF63" s="258" t="str">
        <f t="shared" si="45"/>
        <v/>
      </c>
      <c r="AG63" s="258" t="str">
        <f t="shared" si="5"/>
        <v/>
      </c>
      <c r="AH63" s="102" t="str">
        <f>IF($AB63="","",SUM(AG63:AG$114))</f>
        <v/>
      </c>
      <c r="AI63" s="258" t="str">
        <f t="shared" si="36"/>
        <v/>
      </c>
      <c r="AJ63" s="308" t="str">
        <f t="shared" si="6"/>
        <v/>
      </c>
      <c r="AK63" s="308"/>
      <c r="AL63" s="258" t="str">
        <f t="shared" si="7"/>
        <v/>
      </c>
      <c r="AM63" s="258" t="str">
        <f t="shared" si="46"/>
        <v/>
      </c>
      <c r="AN63" s="258" t="str">
        <f t="shared" si="8"/>
        <v/>
      </c>
      <c r="AO63" s="102" t="str">
        <f>IF($AB63="","",SUM(AN63:AN$114))</f>
        <v/>
      </c>
      <c r="AP63" s="285" t="str">
        <f t="shared" si="37"/>
        <v/>
      </c>
      <c r="AQ63" s="258" t="str">
        <f t="shared" si="9"/>
        <v/>
      </c>
      <c r="AR63" s="258" t="str">
        <f t="shared" si="10"/>
        <v/>
      </c>
      <c r="AS63" s="258" t="str">
        <f t="shared" si="11"/>
        <v/>
      </c>
      <c r="AT63" s="315" t="str">
        <f>IF($AB63="","",SUM($AU63:$AU$114))</f>
        <v/>
      </c>
      <c r="AU63" s="258" t="str">
        <f t="shared" si="38"/>
        <v/>
      </c>
      <c r="AV63" s="315" t="str">
        <f t="shared" si="12"/>
        <v/>
      </c>
      <c r="AW63" s="285"/>
      <c r="AX63" s="258" t="str">
        <f t="shared" si="13"/>
        <v/>
      </c>
      <c r="AY63" s="258" t="str">
        <f t="shared" si="14"/>
        <v/>
      </c>
      <c r="AZ63" s="258" t="str">
        <f t="shared" si="15"/>
        <v/>
      </c>
      <c r="BA63" s="315" t="str">
        <f>IF($AB63="","",SUM($AZ63:$AZ$114))</f>
        <v/>
      </c>
      <c r="BB63" s="285"/>
      <c r="BC63" s="258" t="str">
        <f t="shared" si="16"/>
        <v/>
      </c>
      <c r="BD63" s="258" t="str">
        <f t="shared" si="17"/>
        <v/>
      </c>
      <c r="BE63" s="258" t="str">
        <f t="shared" si="18"/>
        <v/>
      </c>
      <c r="BF63" s="315" t="str">
        <f>IF($AB63="","",SUM($BE63:$BE$114))</f>
        <v/>
      </c>
      <c r="BG63" s="285"/>
      <c r="BH63" s="258" t="str">
        <f t="shared" si="19"/>
        <v/>
      </c>
      <c r="BI63" s="258" t="str">
        <f t="shared" si="20"/>
        <v/>
      </c>
      <c r="BJ63" s="258" t="str">
        <f t="shared" si="21"/>
        <v/>
      </c>
      <c r="BK63" s="315" t="str">
        <f>IF($AB63="","",SUM($BJ63:$BJ$114))</f>
        <v/>
      </c>
      <c r="BL63" s="285"/>
      <c r="BM63" s="258" t="str">
        <f t="shared" si="22"/>
        <v/>
      </c>
      <c r="BN63" s="258" t="str">
        <f t="shared" si="23"/>
        <v/>
      </c>
      <c r="BO63" s="258" t="str">
        <f t="shared" si="24"/>
        <v/>
      </c>
      <c r="BP63" s="315" t="str">
        <f>IF($AB63="","",SUM($BO63:$BO$114))</f>
        <v/>
      </c>
      <c r="BQ63" s="285" t="str">
        <f t="shared" si="25"/>
        <v/>
      </c>
      <c r="BR63" s="258" t="str">
        <f t="shared" si="39"/>
        <v/>
      </c>
      <c r="BS63" s="258" t="str">
        <f t="shared" si="26"/>
        <v/>
      </c>
      <c r="BT63" s="258" t="str">
        <f t="shared" si="27"/>
        <v/>
      </c>
      <c r="BU63" s="258" t="str">
        <f t="shared" si="40"/>
        <v/>
      </c>
      <c r="BV63" s="258"/>
      <c r="BW63" s="258"/>
      <c r="BX63" s="258"/>
      <c r="BY63" s="258"/>
      <c r="BZ63" s="258" t="str">
        <f>IF($AB63="","",SUM(BU63:BU$114))</f>
        <v/>
      </c>
      <c r="CA63" s="103" t="str">
        <f>IF(AB63&lt;$E$3+$F$5,0,IFERROR(일반형!S65,0))</f>
        <v/>
      </c>
      <c r="CB63" s="103"/>
      <c r="CC63" s="394" t="str">
        <f t="shared" si="0"/>
        <v/>
      </c>
      <c r="CD63" s="258" t="str">
        <f t="shared" si="41"/>
        <v/>
      </c>
      <c r="CE63" s="258" t="str">
        <f t="shared" si="28"/>
        <v/>
      </c>
      <c r="CF63" s="258" t="str">
        <f t="shared" si="29"/>
        <v/>
      </c>
      <c r="CG63" s="258" t="str">
        <f t="shared" si="42"/>
        <v/>
      </c>
      <c r="CH63" s="258" t="str">
        <f t="shared" si="30"/>
        <v/>
      </c>
      <c r="CI63" s="104" t="str">
        <f t="shared" si="43"/>
        <v/>
      </c>
      <c r="CJ63" s="105" t="str">
        <f t="shared" si="31"/>
        <v/>
      </c>
      <c r="CK63" s="240"/>
      <c r="CL63" s="207">
        <v>59</v>
      </c>
      <c r="CM63" s="258">
        <f t="shared" si="32"/>
        <v>0</v>
      </c>
      <c r="CN63" s="258">
        <f t="shared" si="33"/>
        <v>1.06E-4</v>
      </c>
      <c r="CO63" s="258">
        <f t="shared" si="34"/>
        <v>7.2599999999999997E-4</v>
      </c>
      <c r="CP63" s="258">
        <f t="shared" si="44"/>
        <v>3.6499999999999998E-4</v>
      </c>
      <c r="CQ63" s="258"/>
      <c r="CR63" s="207">
        <v>59</v>
      </c>
      <c r="CS63" s="258"/>
      <c r="CT63" s="258"/>
      <c r="CU63" s="258">
        <v>1.06E-4</v>
      </c>
      <c r="CV63" s="258">
        <v>3.8000000000000002E-5</v>
      </c>
      <c r="CW63" s="258">
        <v>7.2599999999999997E-4</v>
      </c>
      <c r="CX63" s="258">
        <v>2.9700000000000001E-4</v>
      </c>
      <c r="CY63" s="258">
        <v>3.6499999999999998E-4</v>
      </c>
      <c r="CZ63" s="258">
        <v>3.2600000000000001E-4</v>
      </c>
      <c r="DA63" s="258"/>
      <c r="DB63" s="258"/>
      <c r="DC63" s="258"/>
      <c r="DD63" s="258"/>
    </row>
    <row r="64" spans="1:108">
      <c r="A64" s="305"/>
      <c r="D64" s="456" t="s">
        <v>103</v>
      </c>
      <c r="E64" s="457">
        <v>1</v>
      </c>
      <c r="F64" s="456">
        <v>55</v>
      </c>
      <c r="G64" s="465">
        <f t="shared" ref="G64:G66" si="54">+F64-$E$3</f>
        <v>55</v>
      </c>
      <c r="M64" s="153"/>
      <c r="N64" s="278" t="str">
        <f t="shared" si="52"/>
        <v/>
      </c>
      <c r="O64" s="279" t="str">
        <f t="shared" si="53"/>
        <v/>
      </c>
      <c r="P64" s="271" t="str">
        <f t="shared" si="47"/>
        <v/>
      </c>
      <c r="Q64" s="382" t="str">
        <f t="shared" si="48"/>
        <v/>
      </c>
      <c r="R64" s="382" t="str">
        <f t="shared" si="49"/>
        <v/>
      </c>
      <c r="S64" s="400" t="str">
        <f t="shared" si="1"/>
        <v/>
      </c>
      <c r="T64" s="382" t="str">
        <f>일반형!P64</f>
        <v/>
      </c>
      <c r="U64" s="382" t="str">
        <f>일반형!Q64</f>
        <v/>
      </c>
      <c r="V64" s="271" t="str">
        <f>일반형!R64</f>
        <v/>
      </c>
      <c r="W64" s="400" t="str">
        <f>일반형!S64</f>
        <v/>
      </c>
      <c r="X64" s="271" t="str">
        <f t="shared" si="50"/>
        <v/>
      </c>
      <c r="Y64" s="442" t="str">
        <f t="shared" si="2"/>
        <v/>
      </c>
      <c r="Z64" s="443" t="str">
        <f t="shared" si="51"/>
        <v/>
      </c>
      <c r="AB64" s="110" t="str">
        <f t="shared" si="35"/>
        <v/>
      </c>
      <c r="AC64" s="650" t="str">
        <f t="shared" si="4"/>
        <v/>
      </c>
      <c r="AD64" s="259"/>
      <c r="AE64" s="259" t="str">
        <f>IF(AB64="","",IF(AB64-$AB$4&lt;$F$5-1,INDEX(Main_무해지!$G$76:$G$87,MIN(AB64-$AB$4+1,12)),IF(AB64-$AB$4=$F$5-1,0,IF(AND($F$2=1,AB64&gt;109),0,IF(AND($F$2=2,AB64&gt;111),0,INDEX(Main_무해지!$H$76:$H$82,MIN(AB64-$AB$4-$F$5+1,7)))))))</f>
        <v/>
      </c>
      <c r="AF64" s="259" t="str">
        <f t="shared" si="45"/>
        <v/>
      </c>
      <c r="AG64" s="259" t="str">
        <f t="shared" si="5"/>
        <v/>
      </c>
      <c r="AH64" s="111" t="str">
        <f>IF($AB64="","",SUM(AG64:AG$114))</f>
        <v/>
      </c>
      <c r="AI64" s="259" t="str">
        <f t="shared" si="36"/>
        <v/>
      </c>
      <c r="AJ64" s="309" t="str">
        <f t="shared" si="6"/>
        <v/>
      </c>
      <c r="AK64" s="309"/>
      <c r="AL64" s="259" t="str">
        <f t="shared" si="7"/>
        <v/>
      </c>
      <c r="AM64" s="259" t="str">
        <f t="shared" si="46"/>
        <v/>
      </c>
      <c r="AN64" s="259" t="str">
        <f t="shared" si="8"/>
        <v/>
      </c>
      <c r="AO64" s="111" t="str">
        <f>IF($AB64="","",SUM(AN64:AN$114))</f>
        <v/>
      </c>
      <c r="AP64" s="286" t="str">
        <f t="shared" si="37"/>
        <v/>
      </c>
      <c r="AQ64" s="259" t="str">
        <f t="shared" si="9"/>
        <v/>
      </c>
      <c r="AR64" s="259" t="str">
        <f t="shared" si="10"/>
        <v/>
      </c>
      <c r="AS64" s="259" t="str">
        <f t="shared" si="11"/>
        <v/>
      </c>
      <c r="AT64" s="316" t="str">
        <f>IF($AB64="","",SUM($AU64:$AU$114))</f>
        <v/>
      </c>
      <c r="AU64" s="259" t="str">
        <f t="shared" si="38"/>
        <v/>
      </c>
      <c r="AV64" s="316" t="str">
        <f t="shared" si="12"/>
        <v/>
      </c>
      <c r="AW64" s="286"/>
      <c r="AX64" s="259" t="str">
        <f t="shared" si="13"/>
        <v/>
      </c>
      <c r="AY64" s="259" t="str">
        <f t="shared" si="14"/>
        <v/>
      </c>
      <c r="AZ64" s="259" t="str">
        <f t="shared" si="15"/>
        <v/>
      </c>
      <c r="BA64" s="316" t="str">
        <f>IF($AB64="","",SUM($AZ64:$AZ$114))</f>
        <v/>
      </c>
      <c r="BB64" s="286"/>
      <c r="BC64" s="259" t="str">
        <f t="shared" si="16"/>
        <v/>
      </c>
      <c r="BD64" s="259" t="str">
        <f t="shared" si="17"/>
        <v/>
      </c>
      <c r="BE64" s="259" t="str">
        <f t="shared" si="18"/>
        <v/>
      </c>
      <c r="BF64" s="316" t="str">
        <f>IF($AB64="","",SUM($BE64:$BE$114))</f>
        <v/>
      </c>
      <c r="BG64" s="286"/>
      <c r="BH64" s="259" t="str">
        <f t="shared" si="19"/>
        <v/>
      </c>
      <c r="BI64" s="259" t="str">
        <f t="shared" si="20"/>
        <v/>
      </c>
      <c r="BJ64" s="259" t="str">
        <f t="shared" si="21"/>
        <v/>
      </c>
      <c r="BK64" s="316" t="str">
        <f>IF($AB64="","",SUM($BJ64:$BJ$114))</f>
        <v/>
      </c>
      <c r="BL64" s="286"/>
      <c r="BM64" s="259" t="str">
        <f t="shared" si="22"/>
        <v/>
      </c>
      <c r="BN64" s="259" t="str">
        <f t="shared" si="23"/>
        <v/>
      </c>
      <c r="BO64" s="259" t="str">
        <f t="shared" si="24"/>
        <v/>
      </c>
      <c r="BP64" s="316" t="str">
        <f>IF($AB64="","",SUM($BO64:$BO$114))</f>
        <v/>
      </c>
      <c r="BQ64" s="286" t="str">
        <f t="shared" si="25"/>
        <v/>
      </c>
      <c r="BR64" s="259" t="str">
        <f t="shared" si="39"/>
        <v/>
      </c>
      <c r="BS64" s="259" t="str">
        <f t="shared" si="26"/>
        <v/>
      </c>
      <c r="BT64" s="259" t="str">
        <f t="shared" si="27"/>
        <v/>
      </c>
      <c r="BU64" s="259" t="str">
        <f t="shared" si="40"/>
        <v/>
      </c>
      <c r="BV64" s="259"/>
      <c r="BW64" s="259"/>
      <c r="BX64" s="259"/>
      <c r="BY64" s="259"/>
      <c r="BZ64" s="259" t="str">
        <f>IF($AB64="","",SUM(BU64:BU$114))</f>
        <v/>
      </c>
      <c r="CA64" s="112" t="str">
        <f>IF(AB64&lt;$E$3+$F$5,0,IFERROR(일반형!S66,0))</f>
        <v/>
      </c>
      <c r="CB64" s="112"/>
      <c r="CC64" s="395" t="str">
        <f t="shared" si="0"/>
        <v/>
      </c>
      <c r="CD64" s="259" t="str">
        <f t="shared" si="41"/>
        <v/>
      </c>
      <c r="CE64" s="259" t="str">
        <f t="shared" si="28"/>
        <v/>
      </c>
      <c r="CF64" s="259" t="str">
        <f t="shared" si="29"/>
        <v/>
      </c>
      <c r="CG64" s="259" t="str">
        <f t="shared" si="42"/>
        <v/>
      </c>
      <c r="CH64" s="259" t="str">
        <f t="shared" si="30"/>
        <v/>
      </c>
      <c r="CI64" s="113" t="str">
        <f t="shared" si="43"/>
        <v/>
      </c>
      <c r="CJ64" s="114" t="str">
        <f t="shared" si="31"/>
        <v/>
      </c>
      <c r="CK64" s="241"/>
      <c r="CL64" s="208">
        <v>60</v>
      </c>
      <c r="CM64" s="259">
        <f t="shared" si="32"/>
        <v>0</v>
      </c>
      <c r="CN64" s="259">
        <f t="shared" si="33"/>
        <v>1.6899999999999999E-4</v>
      </c>
      <c r="CO64" s="259">
        <f t="shared" si="34"/>
        <v>8.3000000000000001E-4</v>
      </c>
      <c r="CP64" s="259">
        <f t="shared" si="44"/>
        <v>5.22E-4</v>
      </c>
      <c r="CQ64" s="259"/>
      <c r="CR64" s="208">
        <v>60</v>
      </c>
      <c r="CS64" s="259"/>
      <c r="CT64" s="259"/>
      <c r="CU64" s="259">
        <v>1.6899999999999999E-4</v>
      </c>
      <c r="CV64" s="259">
        <v>6.0000000000000008E-5</v>
      </c>
      <c r="CW64" s="259">
        <v>8.3000000000000001E-4</v>
      </c>
      <c r="CX64" s="259">
        <v>3.2000000000000003E-4</v>
      </c>
      <c r="CY64" s="259">
        <v>5.22E-4</v>
      </c>
      <c r="CZ64" s="259">
        <v>4.9600000000000002E-4</v>
      </c>
      <c r="DA64" s="259"/>
      <c r="DB64" s="259"/>
      <c r="DC64" s="259"/>
      <c r="DD64" s="259"/>
    </row>
    <row r="65" spans="1:108">
      <c r="A65" s="305"/>
      <c r="D65" s="456"/>
      <c r="E65" s="457"/>
      <c r="F65" s="456">
        <v>65</v>
      </c>
      <c r="G65" s="465">
        <f t="shared" si="54"/>
        <v>65</v>
      </c>
      <c r="M65" s="153"/>
      <c r="N65" s="278" t="str">
        <f t="shared" si="52"/>
        <v/>
      </c>
      <c r="O65" s="279" t="str">
        <f t="shared" si="53"/>
        <v/>
      </c>
      <c r="P65" s="271" t="str">
        <f t="shared" si="47"/>
        <v/>
      </c>
      <c r="Q65" s="382" t="str">
        <f t="shared" si="48"/>
        <v/>
      </c>
      <c r="R65" s="382" t="str">
        <f t="shared" si="49"/>
        <v/>
      </c>
      <c r="S65" s="400" t="str">
        <f t="shared" si="1"/>
        <v/>
      </c>
      <c r="T65" s="382" t="str">
        <f>일반형!P65</f>
        <v/>
      </c>
      <c r="U65" s="382" t="str">
        <f>일반형!Q65</f>
        <v/>
      </c>
      <c r="V65" s="271" t="str">
        <f>일반형!R65</f>
        <v/>
      </c>
      <c r="W65" s="400" t="str">
        <f>일반형!S65</f>
        <v/>
      </c>
      <c r="X65" s="271" t="str">
        <f t="shared" si="50"/>
        <v/>
      </c>
      <c r="Y65" s="442" t="str">
        <f t="shared" si="2"/>
        <v/>
      </c>
      <c r="Z65" s="443" t="str">
        <f t="shared" si="51"/>
        <v/>
      </c>
      <c r="AB65" s="770" t="str">
        <f t="shared" si="35"/>
        <v/>
      </c>
      <c r="AC65" s="651" t="str">
        <f t="shared" si="4"/>
        <v/>
      </c>
      <c r="AD65" s="410"/>
      <c r="AE65" s="410" t="str">
        <f>IF(AB65="","",IF(AB65-$AB$4&lt;$F$5-1,INDEX(Main_무해지!$G$76:$G$87,MIN(AB65-$AB$4+1,12)),IF(AB65-$AB$4=$F$5-1,0,IF(AND($F$2=1,AB65&gt;109),0,IF(AND($F$2=2,AB65&gt;111),0,INDEX(Main_무해지!$H$76:$H$82,MIN(AB65-$AB$4-$F$5+1,7)))))))</f>
        <v/>
      </c>
      <c r="AF65" s="410" t="str">
        <f t="shared" si="45"/>
        <v/>
      </c>
      <c r="AG65" s="410" t="str">
        <f t="shared" si="5"/>
        <v/>
      </c>
      <c r="AH65" s="771" t="str">
        <f>IF($AB65="","",SUM(AG65:AG$114))</f>
        <v/>
      </c>
      <c r="AI65" s="410" t="str">
        <f t="shared" si="36"/>
        <v/>
      </c>
      <c r="AJ65" s="640" t="str">
        <f t="shared" si="6"/>
        <v/>
      </c>
      <c r="AK65" s="640"/>
      <c r="AL65" s="410" t="str">
        <f t="shared" si="7"/>
        <v/>
      </c>
      <c r="AM65" s="410" t="str">
        <f t="shared" si="46"/>
        <v/>
      </c>
      <c r="AN65" s="410" t="str">
        <f t="shared" si="8"/>
        <v/>
      </c>
      <c r="AO65" s="771" t="str">
        <f>IF($AB65="","",SUM(AN65:AN$114))</f>
        <v/>
      </c>
      <c r="AP65" s="772" t="str">
        <f t="shared" si="37"/>
        <v/>
      </c>
      <c r="AQ65" s="410" t="str">
        <f t="shared" si="9"/>
        <v/>
      </c>
      <c r="AR65" s="410" t="str">
        <f t="shared" si="10"/>
        <v/>
      </c>
      <c r="AS65" s="410" t="str">
        <f t="shared" si="11"/>
        <v/>
      </c>
      <c r="AT65" s="773" t="str">
        <f>IF($AB65="","",SUM($AU65:$AU$114))</f>
        <v/>
      </c>
      <c r="AU65" s="410" t="str">
        <f t="shared" si="38"/>
        <v/>
      </c>
      <c r="AV65" s="773" t="str">
        <f t="shared" si="12"/>
        <v/>
      </c>
      <c r="AW65" s="772"/>
      <c r="AX65" s="410" t="str">
        <f t="shared" si="13"/>
        <v/>
      </c>
      <c r="AY65" s="410" t="str">
        <f t="shared" si="14"/>
        <v/>
      </c>
      <c r="AZ65" s="410" t="str">
        <f t="shared" si="15"/>
        <v/>
      </c>
      <c r="BA65" s="773" t="str">
        <f>IF($AB65="","",SUM($AZ65:$AZ$114))</f>
        <v/>
      </c>
      <c r="BB65" s="772"/>
      <c r="BC65" s="410" t="str">
        <f t="shared" si="16"/>
        <v/>
      </c>
      <c r="BD65" s="410" t="str">
        <f t="shared" si="17"/>
        <v/>
      </c>
      <c r="BE65" s="410" t="str">
        <f t="shared" si="18"/>
        <v/>
      </c>
      <c r="BF65" s="773" t="str">
        <f>IF($AB65="","",SUM($BE65:$BE$114))</f>
        <v/>
      </c>
      <c r="BG65" s="772"/>
      <c r="BH65" s="410" t="str">
        <f t="shared" si="19"/>
        <v/>
      </c>
      <c r="BI65" s="410" t="str">
        <f t="shared" si="20"/>
        <v/>
      </c>
      <c r="BJ65" s="410" t="str">
        <f t="shared" si="21"/>
        <v/>
      </c>
      <c r="BK65" s="773" t="str">
        <f>IF($AB65="","",SUM($BJ65:$BJ$114))</f>
        <v/>
      </c>
      <c r="BL65" s="772"/>
      <c r="BM65" s="410" t="str">
        <f t="shared" si="22"/>
        <v/>
      </c>
      <c r="BN65" s="410" t="str">
        <f t="shared" si="23"/>
        <v/>
      </c>
      <c r="BO65" s="410" t="str">
        <f t="shared" si="24"/>
        <v/>
      </c>
      <c r="BP65" s="773" t="str">
        <f>IF($AB65="","",SUM($BO65:$BO$114))</f>
        <v/>
      </c>
      <c r="BQ65" s="772" t="str">
        <f t="shared" si="25"/>
        <v/>
      </c>
      <c r="BR65" s="410" t="str">
        <f t="shared" si="39"/>
        <v/>
      </c>
      <c r="BS65" s="410" t="str">
        <f t="shared" si="26"/>
        <v/>
      </c>
      <c r="BT65" s="410" t="str">
        <f t="shared" si="27"/>
        <v/>
      </c>
      <c r="BU65" s="410" t="str">
        <f t="shared" si="40"/>
        <v/>
      </c>
      <c r="BV65" s="410"/>
      <c r="BW65" s="410"/>
      <c r="BX65" s="410"/>
      <c r="BY65" s="410"/>
      <c r="BZ65" s="410" t="str">
        <f>IF($AB65="","",SUM(BU65:BU$114))</f>
        <v/>
      </c>
      <c r="CA65" s="774" t="str">
        <f>IF(AB65&lt;$E$3+$F$5,0,IFERROR(일반형!S67,0))</f>
        <v/>
      </c>
      <c r="CB65" s="774"/>
      <c r="CC65" s="775" t="str">
        <f t="shared" si="0"/>
        <v/>
      </c>
      <c r="CD65" s="410" t="str">
        <f t="shared" si="41"/>
        <v/>
      </c>
      <c r="CE65" s="410" t="str">
        <f t="shared" si="28"/>
        <v/>
      </c>
      <c r="CF65" s="410" t="str">
        <f t="shared" si="29"/>
        <v/>
      </c>
      <c r="CG65" s="410" t="str">
        <f t="shared" si="42"/>
        <v/>
      </c>
      <c r="CH65" s="410" t="str">
        <f t="shared" si="30"/>
        <v/>
      </c>
      <c r="CI65" s="776" t="str">
        <f t="shared" si="43"/>
        <v/>
      </c>
      <c r="CJ65" s="777" t="str">
        <f t="shared" si="31"/>
        <v/>
      </c>
      <c r="CK65" s="415"/>
      <c r="CL65" s="778">
        <v>61</v>
      </c>
      <c r="CM65" s="410">
        <f t="shared" si="32"/>
        <v>0</v>
      </c>
      <c r="CN65" s="410">
        <f t="shared" si="33"/>
        <v>1.6899999999999999E-4</v>
      </c>
      <c r="CO65" s="410">
        <f t="shared" si="34"/>
        <v>9.0300000000000005E-4</v>
      </c>
      <c r="CP65" s="410">
        <f t="shared" si="44"/>
        <v>5.22E-4</v>
      </c>
      <c r="CQ65" s="410"/>
      <c r="CR65" s="778">
        <v>61</v>
      </c>
      <c r="CS65" s="410"/>
      <c r="CT65" s="410"/>
      <c r="CU65" s="410">
        <v>1.6899999999999999E-4</v>
      </c>
      <c r="CV65" s="410">
        <v>6.0000000000000008E-5</v>
      </c>
      <c r="CW65" s="410">
        <v>9.0300000000000005E-4</v>
      </c>
      <c r="CX65" s="410">
        <v>3.4400000000000001E-4</v>
      </c>
      <c r="CY65" s="410">
        <v>5.22E-4</v>
      </c>
      <c r="CZ65" s="410">
        <v>4.9600000000000002E-4</v>
      </c>
      <c r="DA65" s="410"/>
      <c r="DB65" s="410"/>
      <c r="DC65" s="410"/>
      <c r="DD65" s="410"/>
    </row>
    <row r="66" spans="1:108">
      <c r="A66" s="305"/>
      <c r="D66" s="456"/>
      <c r="E66" s="457"/>
      <c r="F66" s="456">
        <v>75</v>
      </c>
      <c r="G66" s="465">
        <f t="shared" si="54"/>
        <v>75</v>
      </c>
      <c r="M66" s="153"/>
      <c r="N66" s="280" t="str">
        <f t="shared" si="52"/>
        <v/>
      </c>
      <c r="O66" s="281" t="str">
        <f t="shared" si="53"/>
        <v/>
      </c>
      <c r="P66" s="282" t="str">
        <f t="shared" si="47"/>
        <v/>
      </c>
      <c r="Q66" s="383" t="str">
        <f t="shared" si="48"/>
        <v/>
      </c>
      <c r="R66" s="383" t="str">
        <f t="shared" si="49"/>
        <v/>
      </c>
      <c r="S66" s="402" t="str">
        <f t="shared" si="1"/>
        <v/>
      </c>
      <c r="T66" s="382" t="str">
        <f>일반형!P66</f>
        <v/>
      </c>
      <c r="U66" s="382" t="str">
        <f>일반형!Q66</f>
        <v/>
      </c>
      <c r="V66" s="282" t="str">
        <f>일반형!R66</f>
        <v/>
      </c>
      <c r="W66" s="402" t="str">
        <f>일반형!S66</f>
        <v/>
      </c>
      <c r="X66" s="282" t="str">
        <f t="shared" si="50"/>
        <v/>
      </c>
      <c r="Y66" s="446" t="str">
        <f t="shared" si="2"/>
        <v/>
      </c>
      <c r="Z66" s="447" t="str">
        <f t="shared" si="51"/>
        <v/>
      </c>
      <c r="AB66" s="120" t="str">
        <f t="shared" si="35"/>
        <v/>
      </c>
      <c r="AC66" s="652" t="str">
        <f t="shared" si="4"/>
        <v/>
      </c>
      <c r="AD66" s="260"/>
      <c r="AE66" s="260" t="str">
        <f>IF(AB66="","",IF(AB66-$AB$4&lt;$F$5-1,INDEX(Main_무해지!$G$76:$G$87,MIN(AB66-$AB$4+1,12)),IF(AB66-$AB$4=$F$5-1,0,IF(AND($F$2=1,AB66&gt;109),0,IF(AND($F$2=2,AB66&gt;111),0,INDEX(Main_무해지!$H$76:$H$82,MIN(AB66-$AB$4-$F$5+1,7)))))))</f>
        <v/>
      </c>
      <c r="AF66" s="260" t="str">
        <f t="shared" si="45"/>
        <v/>
      </c>
      <c r="AG66" s="260" t="str">
        <f t="shared" si="5"/>
        <v/>
      </c>
      <c r="AH66" s="121" t="str">
        <f>IF($AB66="","",SUM(AG66:AG$114))</f>
        <v/>
      </c>
      <c r="AI66" s="260" t="str">
        <f t="shared" si="36"/>
        <v/>
      </c>
      <c r="AJ66" s="310" t="str">
        <f t="shared" si="6"/>
        <v/>
      </c>
      <c r="AK66" s="310"/>
      <c r="AL66" s="260" t="str">
        <f t="shared" si="7"/>
        <v/>
      </c>
      <c r="AM66" s="260" t="str">
        <f t="shared" si="46"/>
        <v/>
      </c>
      <c r="AN66" s="260" t="str">
        <f t="shared" si="8"/>
        <v/>
      </c>
      <c r="AO66" s="121" t="str">
        <f>IF($AB66="","",SUM(AN66:AN$114))</f>
        <v/>
      </c>
      <c r="AP66" s="287" t="str">
        <f t="shared" si="37"/>
        <v/>
      </c>
      <c r="AQ66" s="260" t="str">
        <f t="shared" si="9"/>
        <v/>
      </c>
      <c r="AR66" s="260" t="str">
        <f t="shared" si="10"/>
        <v/>
      </c>
      <c r="AS66" s="260" t="str">
        <f t="shared" si="11"/>
        <v/>
      </c>
      <c r="AT66" s="317" t="str">
        <f>IF($AB66="","",SUM($AU66:$AU$114))</f>
        <v/>
      </c>
      <c r="AU66" s="260" t="str">
        <f t="shared" si="38"/>
        <v/>
      </c>
      <c r="AV66" s="317" t="str">
        <f t="shared" si="12"/>
        <v/>
      </c>
      <c r="AW66" s="287"/>
      <c r="AX66" s="260" t="str">
        <f t="shared" si="13"/>
        <v/>
      </c>
      <c r="AY66" s="260" t="str">
        <f t="shared" si="14"/>
        <v/>
      </c>
      <c r="AZ66" s="260" t="str">
        <f t="shared" si="15"/>
        <v/>
      </c>
      <c r="BA66" s="317" t="str">
        <f>IF($AB66="","",SUM($AZ66:$AZ$114))</f>
        <v/>
      </c>
      <c r="BB66" s="287"/>
      <c r="BC66" s="260" t="str">
        <f t="shared" si="16"/>
        <v/>
      </c>
      <c r="BD66" s="260" t="str">
        <f t="shared" si="17"/>
        <v/>
      </c>
      <c r="BE66" s="260" t="str">
        <f t="shared" si="18"/>
        <v/>
      </c>
      <c r="BF66" s="317" t="str">
        <f>IF($AB66="","",SUM($BE66:$BE$114))</f>
        <v/>
      </c>
      <c r="BG66" s="287"/>
      <c r="BH66" s="260" t="str">
        <f t="shared" si="19"/>
        <v/>
      </c>
      <c r="BI66" s="260" t="str">
        <f t="shared" si="20"/>
        <v/>
      </c>
      <c r="BJ66" s="260" t="str">
        <f t="shared" si="21"/>
        <v/>
      </c>
      <c r="BK66" s="317" t="str">
        <f>IF($AB66="","",SUM($BJ66:$BJ$114))</f>
        <v/>
      </c>
      <c r="BL66" s="287"/>
      <c r="BM66" s="260" t="str">
        <f t="shared" si="22"/>
        <v/>
      </c>
      <c r="BN66" s="260" t="str">
        <f t="shared" si="23"/>
        <v/>
      </c>
      <c r="BO66" s="260" t="str">
        <f t="shared" si="24"/>
        <v/>
      </c>
      <c r="BP66" s="317" t="str">
        <f>IF($AB66="","",SUM($BO66:$BO$114))</f>
        <v/>
      </c>
      <c r="BQ66" s="287" t="str">
        <f t="shared" si="25"/>
        <v/>
      </c>
      <c r="BR66" s="260" t="str">
        <f t="shared" si="39"/>
        <v/>
      </c>
      <c r="BS66" s="260" t="str">
        <f t="shared" si="26"/>
        <v/>
      </c>
      <c r="BT66" s="260" t="str">
        <f t="shared" si="27"/>
        <v/>
      </c>
      <c r="BU66" s="260" t="str">
        <f t="shared" si="40"/>
        <v/>
      </c>
      <c r="BV66" s="260"/>
      <c r="BW66" s="260"/>
      <c r="BX66" s="260"/>
      <c r="BY66" s="260"/>
      <c r="BZ66" s="260" t="str">
        <f>IF($AB66="","",SUM(BU66:BU$114))</f>
        <v/>
      </c>
      <c r="CA66" s="122" t="str">
        <f>IF(AB66&lt;$E$3+$F$5,0,IFERROR(일반형!S68,0))</f>
        <v/>
      </c>
      <c r="CB66" s="122"/>
      <c r="CC66" s="396" t="str">
        <f t="shared" si="0"/>
        <v/>
      </c>
      <c r="CD66" s="260" t="str">
        <f t="shared" si="41"/>
        <v/>
      </c>
      <c r="CE66" s="260" t="str">
        <f t="shared" si="28"/>
        <v/>
      </c>
      <c r="CF66" s="260" t="str">
        <f t="shared" si="29"/>
        <v/>
      </c>
      <c r="CG66" s="260" t="str">
        <f t="shared" si="42"/>
        <v/>
      </c>
      <c r="CH66" s="260" t="str">
        <f t="shared" si="30"/>
        <v/>
      </c>
      <c r="CI66" s="123" t="str">
        <f t="shared" si="43"/>
        <v/>
      </c>
      <c r="CJ66" s="124" t="str">
        <f t="shared" si="31"/>
        <v/>
      </c>
      <c r="CK66" s="242"/>
      <c r="CL66" s="209">
        <v>62</v>
      </c>
      <c r="CM66" s="260">
        <f t="shared" si="32"/>
        <v>0</v>
      </c>
      <c r="CN66" s="260">
        <f t="shared" si="33"/>
        <v>1.6899999999999999E-4</v>
      </c>
      <c r="CO66" s="260">
        <f t="shared" si="34"/>
        <v>9.7900000000000005E-4</v>
      </c>
      <c r="CP66" s="260">
        <f t="shared" si="44"/>
        <v>5.22E-4</v>
      </c>
      <c r="CQ66" s="260"/>
      <c r="CR66" s="209">
        <v>62</v>
      </c>
      <c r="CS66" s="260"/>
      <c r="CT66" s="260"/>
      <c r="CU66" s="260">
        <v>1.6899999999999999E-4</v>
      </c>
      <c r="CV66" s="260">
        <v>6.0000000000000008E-5</v>
      </c>
      <c r="CW66" s="260">
        <v>9.7900000000000005E-4</v>
      </c>
      <c r="CX66" s="260">
        <v>5.1400000000000003E-4</v>
      </c>
      <c r="CY66" s="260">
        <v>5.22E-4</v>
      </c>
      <c r="CZ66" s="260">
        <v>4.9600000000000002E-4</v>
      </c>
      <c r="DA66" s="260"/>
      <c r="DB66" s="260"/>
      <c r="DC66" s="260"/>
      <c r="DD66" s="260"/>
    </row>
    <row r="67" spans="1:108">
      <c r="A67" s="305"/>
      <c r="D67" s="456"/>
      <c r="E67" s="457"/>
      <c r="F67" s="456"/>
      <c r="G67" s="465"/>
      <c r="M67" s="153"/>
      <c r="N67" s="275" t="str">
        <f t="shared" si="52"/>
        <v/>
      </c>
      <c r="O67" s="276" t="str">
        <f t="shared" si="53"/>
        <v/>
      </c>
      <c r="P67" s="277" t="str">
        <f t="shared" si="47"/>
        <v/>
      </c>
      <c r="Q67" s="381" t="str">
        <f t="shared" si="48"/>
        <v/>
      </c>
      <c r="R67" s="381" t="str">
        <f t="shared" si="49"/>
        <v/>
      </c>
      <c r="S67" s="401" t="str">
        <f t="shared" si="1"/>
        <v/>
      </c>
      <c r="T67" s="382" t="str">
        <f>일반형!P67</f>
        <v/>
      </c>
      <c r="U67" s="382" t="str">
        <f>일반형!Q67</f>
        <v/>
      </c>
      <c r="V67" s="277" t="str">
        <f>일반형!R67</f>
        <v/>
      </c>
      <c r="W67" s="401" t="str">
        <f>일반형!S67</f>
        <v/>
      </c>
      <c r="X67" s="277" t="str">
        <f t="shared" si="50"/>
        <v/>
      </c>
      <c r="Y67" s="444" t="str">
        <f t="shared" si="2"/>
        <v/>
      </c>
      <c r="Z67" s="445" t="str">
        <f t="shared" si="51"/>
        <v/>
      </c>
      <c r="AB67" s="120" t="str">
        <f t="shared" si="35"/>
        <v/>
      </c>
      <c r="AC67" s="652" t="str">
        <f t="shared" si="4"/>
        <v/>
      </c>
      <c r="AD67" s="260"/>
      <c r="AE67" s="260" t="str">
        <f>IF(AB67="","",IF(AB67-$AB$4&lt;$F$5-1,INDEX(Main_무해지!$G$76:$G$87,MIN(AB67-$AB$4+1,12)),IF(AB67-$AB$4=$F$5-1,0,IF(AND($F$2=1,AB67&gt;109),0,IF(AND($F$2=2,AB67&gt;111),0,INDEX(Main_무해지!$H$76:$H$82,MIN(AB67-$AB$4-$F$5+1,7)))))))</f>
        <v/>
      </c>
      <c r="AF67" s="260" t="str">
        <f t="shared" si="45"/>
        <v/>
      </c>
      <c r="AG67" s="260" t="str">
        <f t="shared" si="5"/>
        <v/>
      </c>
      <c r="AH67" s="121" t="str">
        <f>IF($AB67="","",SUM(AG67:AG$114))</f>
        <v/>
      </c>
      <c r="AI67" s="260" t="str">
        <f t="shared" si="36"/>
        <v/>
      </c>
      <c r="AJ67" s="310" t="str">
        <f t="shared" si="6"/>
        <v/>
      </c>
      <c r="AK67" s="310"/>
      <c r="AL67" s="260" t="str">
        <f t="shared" si="7"/>
        <v/>
      </c>
      <c r="AM67" s="260" t="str">
        <f t="shared" si="46"/>
        <v/>
      </c>
      <c r="AN67" s="260" t="str">
        <f t="shared" si="8"/>
        <v/>
      </c>
      <c r="AO67" s="121" t="str">
        <f>IF($AB67="","",SUM(AN67:AN$114))</f>
        <v/>
      </c>
      <c r="AP67" s="287" t="str">
        <f t="shared" si="37"/>
        <v/>
      </c>
      <c r="AQ67" s="260" t="str">
        <f t="shared" si="9"/>
        <v/>
      </c>
      <c r="AR67" s="260" t="str">
        <f t="shared" si="10"/>
        <v/>
      </c>
      <c r="AS67" s="260" t="str">
        <f t="shared" si="11"/>
        <v/>
      </c>
      <c r="AT67" s="317" t="str">
        <f>IF($AB67="","",SUM($AU67:$AU$114))</f>
        <v/>
      </c>
      <c r="AU67" s="260" t="str">
        <f t="shared" si="38"/>
        <v/>
      </c>
      <c r="AV67" s="317" t="str">
        <f t="shared" si="12"/>
        <v/>
      </c>
      <c r="AW67" s="287"/>
      <c r="AX67" s="260" t="str">
        <f t="shared" si="13"/>
        <v/>
      </c>
      <c r="AY67" s="260" t="str">
        <f t="shared" si="14"/>
        <v/>
      </c>
      <c r="AZ67" s="260" t="str">
        <f t="shared" si="15"/>
        <v/>
      </c>
      <c r="BA67" s="317" t="str">
        <f>IF($AB67="","",SUM($AZ67:$AZ$114))</f>
        <v/>
      </c>
      <c r="BB67" s="287"/>
      <c r="BC67" s="260" t="str">
        <f t="shared" si="16"/>
        <v/>
      </c>
      <c r="BD67" s="260" t="str">
        <f t="shared" si="17"/>
        <v/>
      </c>
      <c r="BE67" s="260" t="str">
        <f t="shared" si="18"/>
        <v/>
      </c>
      <c r="BF67" s="317" t="str">
        <f>IF($AB67="","",SUM($BE67:$BE$114))</f>
        <v/>
      </c>
      <c r="BG67" s="287"/>
      <c r="BH67" s="260" t="str">
        <f t="shared" si="19"/>
        <v/>
      </c>
      <c r="BI67" s="260" t="str">
        <f t="shared" si="20"/>
        <v/>
      </c>
      <c r="BJ67" s="260" t="str">
        <f t="shared" si="21"/>
        <v/>
      </c>
      <c r="BK67" s="317" t="str">
        <f>IF($AB67="","",SUM($BJ67:$BJ$114))</f>
        <v/>
      </c>
      <c r="BL67" s="287"/>
      <c r="BM67" s="260" t="str">
        <f t="shared" si="22"/>
        <v/>
      </c>
      <c r="BN67" s="260" t="str">
        <f t="shared" si="23"/>
        <v/>
      </c>
      <c r="BO67" s="260" t="str">
        <f t="shared" si="24"/>
        <v/>
      </c>
      <c r="BP67" s="317" t="str">
        <f>IF($AB67="","",SUM($BO67:$BO$114))</f>
        <v/>
      </c>
      <c r="BQ67" s="287" t="str">
        <f t="shared" si="25"/>
        <v/>
      </c>
      <c r="BR67" s="260" t="str">
        <f t="shared" si="39"/>
        <v/>
      </c>
      <c r="BS67" s="260" t="str">
        <f t="shared" si="26"/>
        <v/>
      </c>
      <c r="BT67" s="260" t="str">
        <f t="shared" si="27"/>
        <v/>
      </c>
      <c r="BU67" s="260" t="str">
        <f t="shared" si="40"/>
        <v/>
      </c>
      <c r="BV67" s="260"/>
      <c r="BW67" s="260"/>
      <c r="BX67" s="260"/>
      <c r="BY67" s="260"/>
      <c r="BZ67" s="260" t="str">
        <f>IF($AB67="","",SUM(BU67:BU$114))</f>
        <v/>
      </c>
      <c r="CA67" s="122" t="str">
        <f>IF(AB67&lt;$E$3+$F$5,0,IFERROR(일반형!S69,0))</f>
        <v/>
      </c>
      <c r="CB67" s="122"/>
      <c r="CC67" s="396" t="str">
        <f t="shared" ref="CC67:CC114" si="55">AB67</f>
        <v/>
      </c>
      <c r="CD67" s="260" t="str">
        <f t="shared" si="41"/>
        <v/>
      </c>
      <c r="CE67" s="260" t="str">
        <f t="shared" si="28"/>
        <v/>
      </c>
      <c r="CF67" s="260" t="str">
        <f t="shared" si="29"/>
        <v/>
      </c>
      <c r="CG67" s="260" t="str">
        <f t="shared" si="42"/>
        <v/>
      </c>
      <c r="CH67" s="260" t="str">
        <f t="shared" si="30"/>
        <v/>
      </c>
      <c r="CI67" s="123" t="str">
        <f t="shared" si="43"/>
        <v/>
      </c>
      <c r="CJ67" s="124" t="str">
        <f t="shared" si="31"/>
        <v/>
      </c>
      <c r="CK67" s="242"/>
      <c r="CL67" s="209">
        <v>63</v>
      </c>
      <c r="CM67" s="260">
        <f t="shared" si="32"/>
        <v>0</v>
      </c>
      <c r="CN67" s="260">
        <f t="shared" si="33"/>
        <v>1.6899999999999999E-4</v>
      </c>
      <c r="CO67" s="260">
        <f t="shared" si="34"/>
        <v>1.0870000000000001E-3</v>
      </c>
      <c r="CP67" s="260">
        <f t="shared" si="44"/>
        <v>5.22E-4</v>
      </c>
      <c r="CQ67" s="260"/>
      <c r="CR67" s="209">
        <v>63</v>
      </c>
      <c r="CS67" s="260"/>
      <c r="CT67" s="260"/>
      <c r="CU67" s="260">
        <v>1.6899999999999999E-4</v>
      </c>
      <c r="CV67" s="260">
        <v>6.0000000000000008E-5</v>
      </c>
      <c r="CW67" s="260">
        <v>1.0870000000000001E-3</v>
      </c>
      <c r="CX67" s="260">
        <v>6.5899999999999997E-4</v>
      </c>
      <c r="CY67" s="260">
        <v>5.22E-4</v>
      </c>
      <c r="CZ67" s="260">
        <v>4.9600000000000002E-4</v>
      </c>
      <c r="DA67" s="260"/>
      <c r="DB67" s="260"/>
      <c r="DC67" s="260"/>
      <c r="DD67" s="260"/>
    </row>
    <row r="68" spans="1:108">
      <c r="A68" s="305"/>
      <c r="D68" s="456"/>
      <c r="E68" s="457"/>
      <c r="F68" s="456"/>
      <c r="G68" s="465"/>
      <c r="M68" s="153"/>
      <c r="N68" s="278" t="str">
        <f t="shared" si="52"/>
        <v/>
      </c>
      <c r="O68" s="279" t="str">
        <f t="shared" si="53"/>
        <v/>
      </c>
      <c r="P68" s="271" t="str">
        <f t="shared" si="47"/>
        <v/>
      </c>
      <c r="Q68" s="382" t="str">
        <f t="shared" si="48"/>
        <v/>
      </c>
      <c r="R68" s="382" t="str">
        <f t="shared" si="49"/>
        <v/>
      </c>
      <c r="S68" s="400" t="str">
        <f t="shared" ref="S68:S114" si="56">IF(N68="","",IF(R68=0,0,ROUNDDOWN(R68/P68,3)))</f>
        <v/>
      </c>
      <c r="T68" s="382" t="str">
        <f>일반형!P68</f>
        <v/>
      </c>
      <c r="U68" s="382" t="str">
        <f>일반형!Q68</f>
        <v/>
      </c>
      <c r="V68" s="271" t="str">
        <f>일반형!R68</f>
        <v/>
      </c>
      <c r="W68" s="400" t="str">
        <f>일반형!S68</f>
        <v/>
      </c>
      <c r="X68" s="271" t="str">
        <f t="shared" si="50"/>
        <v/>
      </c>
      <c r="Y68" s="442" t="str">
        <f t="shared" ref="Y68:Y114" si="57">IF(N68="","",IF(P68&gt;X68,1,0))</f>
        <v/>
      </c>
      <c r="Z68" s="443" t="str">
        <f t="shared" si="51"/>
        <v/>
      </c>
      <c r="AB68" s="120" t="str">
        <f t="shared" si="35"/>
        <v/>
      </c>
      <c r="AC68" s="652" t="str">
        <f t="shared" ref="AC68:AC114" si="58">IF($AB68="","",INDEX($CM$4:$CM$116,$AB68+1))</f>
        <v/>
      </c>
      <c r="AD68" s="260"/>
      <c r="AE68" s="260" t="str">
        <f>IF(AB68="","",IF(AB68-$AB$4&lt;$F$5-1,INDEX(Main_무해지!$G$76:$G$87,MIN(AB68-$AB$4+1,12)),IF(AB68-$AB$4=$F$5-1,0,IF(AND($F$2=1,AB68&gt;109),0,IF(AND($F$2=2,AB68&gt;111),0,INDEX(Main_무해지!$H$76:$H$82,MIN(AB68-$AB$4-$F$5+1,7)))))))</f>
        <v/>
      </c>
      <c r="AF68" s="260" t="str">
        <f t="shared" si="45"/>
        <v/>
      </c>
      <c r="AG68" s="260" t="str">
        <f t="shared" ref="AG68:AG114" si="59">IF($AB68="","",AF68*$E$17^($AB68-$AB$4))</f>
        <v/>
      </c>
      <c r="AH68" s="121" t="str">
        <f>IF($AB68="","",SUM(AG68:AG$114))</f>
        <v/>
      </c>
      <c r="AI68" s="260" t="str">
        <f t="shared" si="36"/>
        <v/>
      </c>
      <c r="AJ68" s="310" t="str">
        <f t="shared" ref="AJ68:AJ114" si="60">IF(AB68="","",INDEX($CN$4:$CN$116,AB68+1)+INDEX($CO$4:$CO$116,AB68+1))</f>
        <v/>
      </c>
      <c r="AK68" s="310"/>
      <c r="AL68" s="260" t="str">
        <f t="shared" ref="AL68:AL114" si="61">AE68</f>
        <v/>
      </c>
      <c r="AM68" s="260" t="str">
        <f t="shared" si="46"/>
        <v/>
      </c>
      <c r="AN68" s="260" t="str">
        <f t="shared" ref="AN68:AN114" si="62">IF($AB68="","",AM68*$E$17^($AB68-$AB$4))</f>
        <v/>
      </c>
      <c r="AO68" s="121" t="str">
        <f>IF($AB68="","",SUM(AN68:AN$114))</f>
        <v/>
      </c>
      <c r="AP68" s="287" t="str">
        <f t="shared" si="37"/>
        <v/>
      </c>
      <c r="AQ68" s="260" t="str">
        <f t="shared" ref="AQ68:AQ114" si="63">AE68</f>
        <v/>
      </c>
      <c r="AR68" s="260" t="str">
        <f t="shared" ref="AR68:AR114" si="64">IF($AB68="","",$AF68*$AP68*(1-0.5*AQ68))</f>
        <v/>
      </c>
      <c r="AS68" s="260" t="str">
        <f t="shared" ref="AS68:AS114" si="65">IF($AB68="","",AR68*$E$17^($AB68-$AB$4+0.5))</f>
        <v/>
      </c>
      <c r="AT68" s="317" t="str">
        <f>IF($AB68="","",SUM($AU68:$AU$114))</f>
        <v/>
      </c>
      <c r="AU68" s="260" t="str">
        <f t="shared" si="38"/>
        <v/>
      </c>
      <c r="AV68" s="317" t="str">
        <f t="shared" ref="AV68:AV114" si="66">IF($AB68="","",1+$F$8*$E$11*MIN(MAX((AB68-AB$4)-($F$9-1),0),$E$10))</f>
        <v/>
      </c>
      <c r="AW68" s="287"/>
      <c r="AX68" s="260" t="str">
        <f t="shared" ref="AX68:AX114" si="67">AE68</f>
        <v/>
      </c>
      <c r="AY68" s="260" t="str">
        <f t="shared" ref="AY68:AY114" si="68">IF($AB68="","",$AF68*$AW68*(1-0.5*AX68))</f>
        <v/>
      </c>
      <c r="AZ68" s="260" t="str">
        <f t="shared" ref="AZ68:AZ114" si="69">IF($AB68="","",AY68*$E$17^($AB68-$AB$4+0.5))</f>
        <v/>
      </c>
      <c r="BA68" s="317" t="str">
        <f>IF($AB68="","",SUM($AZ68:$AZ$114))</f>
        <v/>
      </c>
      <c r="BB68" s="287"/>
      <c r="BC68" s="260" t="str">
        <f t="shared" ref="BC68:BC114" si="70">AE68</f>
        <v/>
      </c>
      <c r="BD68" s="260" t="str">
        <f t="shared" ref="BD68:BD114" si="71">IF($AB68="","",$AF68*$BB68*(1-0.5*BC68))</f>
        <v/>
      </c>
      <c r="BE68" s="260" t="str">
        <f t="shared" ref="BE68:BE114" si="72">IF($AB68="","",BD68*$E$17^($AB68-$AB$4+0.5))</f>
        <v/>
      </c>
      <c r="BF68" s="317" t="str">
        <f>IF($AB68="","",SUM($BE68:$BE$114))</f>
        <v/>
      </c>
      <c r="BG68" s="287"/>
      <c r="BH68" s="260" t="str">
        <f t="shared" ref="BH68:BH114" si="73">AE68</f>
        <v/>
      </c>
      <c r="BI68" s="260" t="str">
        <f t="shared" ref="BI68:BI114" si="74">IF($AB68="","",$AF68*$BG68*(1-0.5*BH68))</f>
        <v/>
      </c>
      <c r="BJ68" s="260" t="str">
        <f t="shared" ref="BJ68:BJ114" si="75">IF($AB68="","",BI68*$E$17^($AB68-$AB$4+0.5))</f>
        <v/>
      </c>
      <c r="BK68" s="317" t="str">
        <f>IF($AB68="","",SUM($BJ68:$BJ$114))</f>
        <v/>
      </c>
      <c r="BL68" s="287"/>
      <c r="BM68" s="260" t="str">
        <f t="shared" ref="BM68:BM114" si="76">AE68</f>
        <v/>
      </c>
      <c r="BN68" s="260" t="str">
        <f t="shared" ref="BN68:BN114" si="77">IF($AB68="","",$AF68*$BL68*(1-0.5*BM68))</f>
        <v/>
      </c>
      <c r="BO68" s="260" t="str">
        <f t="shared" ref="BO68:BO114" si="78">IF($AB68="","",BN68*$E$17^($AB68-$AB$4+0.5))</f>
        <v/>
      </c>
      <c r="BP68" s="317" t="str">
        <f>IF($AB68="","",SUM($BO68:$BO$114))</f>
        <v/>
      </c>
      <c r="BQ68" s="287" t="str">
        <f t="shared" ref="BQ68:BQ114" si="79">AE68</f>
        <v/>
      </c>
      <c r="BR68" s="260" t="str">
        <f t="shared" si="39"/>
        <v/>
      </c>
      <c r="BS68" s="260" t="str">
        <f t="shared" ref="BS68:BS114" si="80">IF($AB68="","",BR68*$E$17^($AB68-$AB$4+0.5))</f>
        <v/>
      </c>
      <c r="BT68" s="260" t="str">
        <f t="shared" ref="BT68:BT114" si="81">IF(AB68="","",IF(AB68-$AB$4&gt;$F$4,0,IF(AB68-$AB$4&gt;=$F$5,(CA68+CA69)/2,0)))</f>
        <v/>
      </c>
      <c r="BU68" s="260" t="str">
        <f t="shared" si="40"/>
        <v/>
      </c>
      <c r="BV68" s="260"/>
      <c r="BW68" s="260"/>
      <c r="BX68" s="260"/>
      <c r="BY68" s="260"/>
      <c r="BZ68" s="260" t="str">
        <f>IF($AB68="","",SUM(BU68:BU$114))</f>
        <v/>
      </c>
      <c r="CA68" s="122" t="str">
        <f>IF(AB68&lt;$E$3+$F$5,0,IFERROR(일반형!S70,0))</f>
        <v/>
      </c>
      <c r="CB68" s="122"/>
      <c r="CC68" s="396" t="str">
        <f t="shared" si="55"/>
        <v/>
      </c>
      <c r="CD68" s="260" t="str">
        <f t="shared" si="41"/>
        <v/>
      </c>
      <c r="CE68" s="260" t="str">
        <f t="shared" ref="CE68:CE114" si="82">IF($AB68="","",(BZ68-$BZ$117))</f>
        <v/>
      </c>
      <c r="CF68" s="260" t="str">
        <f t="shared" ref="CF68:CF114" si="83">IF($AB68="","",MAX(($AO68-AO$116)-(($CE$2-1)/(2*$CE$2))*($AN68-$AN$116),0))</f>
        <v/>
      </c>
      <c r="CG68" s="260" t="str">
        <f t="shared" si="42"/>
        <v/>
      </c>
      <c r="CH68" s="260" t="str">
        <f t="shared" ref="CH68:CH114" si="84">IF($AB68="","",-$CE$2*CF68*($K$52+$E$29*$K$33/$CE$2/$K$32))</f>
        <v/>
      </c>
      <c r="CI68" s="123" t="str">
        <f t="shared" si="43"/>
        <v/>
      </c>
      <c r="CJ68" s="124" t="str">
        <f t="shared" ref="CJ68:CJ114" si="85">IF(AB68="","",ROUND(CI68,$E$18)*$E$19)</f>
        <v/>
      </c>
      <c r="CK68" s="242"/>
      <c r="CL68" s="209">
        <v>64</v>
      </c>
      <c r="CM68" s="260">
        <f t="shared" ref="CM68:CM116" si="86">IF($F$2=1,CS68,CT68)</f>
        <v>0</v>
      </c>
      <c r="CN68" s="260">
        <f t="shared" ref="CN68:CN116" si="87">IF($F$2=1,CU68,CV68)</f>
        <v>1.6899999999999999E-4</v>
      </c>
      <c r="CO68" s="260">
        <f t="shared" ref="CO68:CO116" si="88">IF($F$2=1,CW68,CX68)</f>
        <v>1.204E-3</v>
      </c>
      <c r="CP68" s="260">
        <f t="shared" si="44"/>
        <v>5.22E-4</v>
      </c>
      <c r="CQ68" s="260"/>
      <c r="CR68" s="209">
        <v>64</v>
      </c>
      <c r="CS68" s="260"/>
      <c r="CT68" s="260"/>
      <c r="CU68" s="260">
        <v>1.6899999999999999E-4</v>
      </c>
      <c r="CV68" s="260">
        <v>6.0000000000000008E-5</v>
      </c>
      <c r="CW68" s="260">
        <v>1.204E-3</v>
      </c>
      <c r="CX68" s="260">
        <v>8.7100000000000003E-4</v>
      </c>
      <c r="CY68" s="260">
        <v>5.22E-4</v>
      </c>
      <c r="CZ68" s="260">
        <v>4.9600000000000002E-4</v>
      </c>
      <c r="DA68" s="260"/>
      <c r="DB68" s="260"/>
      <c r="DC68" s="260"/>
      <c r="DD68" s="260"/>
    </row>
    <row r="69" spans="1:108">
      <c r="A69" s="305"/>
      <c r="D69" s="456"/>
      <c r="E69" s="457"/>
      <c r="F69" s="456"/>
      <c r="G69" s="465"/>
      <c r="M69" s="154"/>
      <c r="N69" s="278" t="str">
        <f t="shared" si="52"/>
        <v/>
      </c>
      <c r="O69" s="279" t="str">
        <f t="shared" si="53"/>
        <v/>
      </c>
      <c r="P69" s="271" t="str">
        <f t="shared" si="47"/>
        <v/>
      </c>
      <c r="Q69" s="382" t="str">
        <f t="shared" si="48"/>
        <v/>
      </c>
      <c r="R69" s="382" t="str">
        <f t="shared" si="49"/>
        <v/>
      </c>
      <c r="S69" s="400" t="str">
        <f t="shared" si="56"/>
        <v/>
      </c>
      <c r="T69" s="382" t="str">
        <f>일반형!P69</f>
        <v/>
      </c>
      <c r="U69" s="382" t="str">
        <f>일반형!Q69</f>
        <v/>
      </c>
      <c r="V69" s="271" t="str">
        <f>일반형!R69</f>
        <v/>
      </c>
      <c r="W69" s="400" t="str">
        <f>일반형!S69</f>
        <v/>
      </c>
      <c r="X69" s="271" t="str">
        <f t="shared" si="50"/>
        <v/>
      </c>
      <c r="Y69" s="442" t="str">
        <f t="shared" si="57"/>
        <v/>
      </c>
      <c r="Z69" s="443" t="str">
        <f t="shared" si="51"/>
        <v/>
      </c>
      <c r="AB69" s="130" t="str">
        <f t="shared" ref="AB69:AB114" si="89">IF(AB68="","",(IF(AB68=MIN(($E$3+$F$4),IF($F$2=1,110,112)),"",(AB68+1))))</f>
        <v/>
      </c>
      <c r="AC69" s="653" t="str">
        <f t="shared" si="58"/>
        <v/>
      </c>
      <c r="AD69" s="261"/>
      <c r="AE69" s="261" t="str">
        <f>IF(AB69="","",IF(AB69-$AB$4&lt;$F$5-1,INDEX(Main_무해지!$G$76:$G$87,MIN(AB69-$AB$4+1,12)),IF(AB69-$AB$4=$F$5-1,0,IF(AND($F$2=1,AB69&gt;109),0,IF(AND($F$2=2,AB69&gt;111),0,INDEX(Main_무해지!$H$76:$H$82,MIN(AB69-$AB$4-$F$5+1,7)))))))</f>
        <v/>
      </c>
      <c r="AF69" s="261" t="str">
        <f t="shared" si="45"/>
        <v/>
      </c>
      <c r="AG69" s="261" t="str">
        <f t="shared" si="59"/>
        <v/>
      </c>
      <c r="AH69" s="131" t="str">
        <f>IF($AB69="","",SUM(AG69:AG$114))</f>
        <v/>
      </c>
      <c r="AI69" s="261" t="str">
        <f t="shared" ref="AI69:AI114" si="90">AC69</f>
        <v/>
      </c>
      <c r="AJ69" s="311" t="str">
        <f t="shared" si="60"/>
        <v/>
      </c>
      <c r="AK69" s="311"/>
      <c r="AL69" s="261" t="str">
        <f t="shared" si="61"/>
        <v/>
      </c>
      <c r="AM69" s="261" t="str">
        <f t="shared" si="46"/>
        <v/>
      </c>
      <c r="AN69" s="261" t="str">
        <f t="shared" si="62"/>
        <v/>
      </c>
      <c r="AO69" s="131" t="str">
        <f>IF($AB69="","",SUM(AN69:AN$114))</f>
        <v/>
      </c>
      <c r="AP69" s="288" t="str">
        <f t="shared" ref="AP69:AP114" si="91">IF($AB69="","",INDEX($CP$4:$CP$116,$AB69+1))</f>
        <v/>
      </c>
      <c r="AQ69" s="261" t="str">
        <f t="shared" si="63"/>
        <v/>
      </c>
      <c r="AR69" s="261" t="str">
        <f t="shared" si="64"/>
        <v/>
      </c>
      <c r="AS69" s="261" t="str">
        <f t="shared" si="65"/>
        <v/>
      </c>
      <c r="AT69" s="318" t="str">
        <f>IF($AB69="","",SUM($AU69:$AU$114))</f>
        <v/>
      </c>
      <c r="AU69" s="261" t="str">
        <f t="shared" ref="AU69:AU114" si="92">IF($AB69="","",AS69*AV69)</f>
        <v/>
      </c>
      <c r="AV69" s="318" t="str">
        <f t="shared" si="66"/>
        <v/>
      </c>
      <c r="AW69" s="288"/>
      <c r="AX69" s="261" t="str">
        <f t="shared" si="67"/>
        <v/>
      </c>
      <c r="AY69" s="261" t="str">
        <f t="shared" si="68"/>
        <v/>
      </c>
      <c r="AZ69" s="261" t="str">
        <f t="shared" si="69"/>
        <v/>
      </c>
      <c r="BA69" s="318" t="str">
        <f>IF($AB69="","",SUM($AZ69:$AZ$114))</f>
        <v/>
      </c>
      <c r="BB69" s="288"/>
      <c r="BC69" s="261" t="str">
        <f t="shared" si="70"/>
        <v/>
      </c>
      <c r="BD69" s="261" t="str">
        <f t="shared" si="71"/>
        <v/>
      </c>
      <c r="BE69" s="261" t="str">
        <f t="shared" si="72"/>
        <v/>
      </c>
      <c r="BF69" s="318" t="str">
        <f>IF($AB69="","",SUM($BE69:$BE$114))</f>
        <v/>
      </c>
      <c r="BG69" s="288"/>
      <c r="BH69" s="261" t="str">
        <f t="shared" si="73"/>
        <v/>
      </c>
      <c r="BI69" s="261" t="str">
        <f t="shared" si="74"/>
        <v/>
      </c>
      <c r="BJ69" s="261" t="str">
        <f t="shared" si="75"/>
        <v/>
      </c>
      <c r="BK69" s="318" t="str">
        <f>IF($AB69="","",SUM($BJ69:$BJ$114))</f>
        <v/>
      </c>
      <c r="BL69" s="288"/>
      <c r="BM69" s="261" t="str">
        <f t="shared" si="76"/>
        <v/>
      </c>
      <c r="BN69" s="261" t="str">
        <f t="shared" si="77"/>
        <v/>
      </c>
      <c r="BO69" s="261" t="str">
        <f t="shared" si="78"/>
        <v/>
      </c>
      <c r="BP69" s="318" t="str">
        <f>IF($AB69="","",SUM($BO69:$BO$114))</f>
        <v/>
      </c>
      <c r="BQ69" s="288" t="str">
        <f t="shared" si="79"/>
        <v/>
      </c>
      <c r="BR69" s="261" t="str">
        <f t="shared" ref="BR69:BR114" si="93">IF($AB69="","",AF69*$BQ69)</f>
        <v/>
      </c>
      <c r="BS69" s="261" t="str">
        <f t="shared" si="80"/>
        <v/>
      </c>
      <c r="BT69" s="261" t="str">
        <f t="shared" si="81"/>
        <v/>
      </c>
      <c r="BU69" s="261" t="str">
        <f t="shared" ref="BU69:BU114" si="94">IFERROR(IF($AB69="","",BS69*BT69),0)</f>
        <v/>
      </c>
      <c r="BV69" s="261"/>
      <c r="BW69" s="261"/>
      <c r="BX69" s="261"/>
      <c r="BY69" s="261"/>
      <c r="BZ69" s="261" t="str">
        <f>IF($AB69="","",SUM(BU69:BU$114))</f>
        <v/>
      </c>
      <c r="CA69" s="132" t="str">
        <f>IF(AB69&lt;$E$3+$F$5,0,IFERROR(일반형!S71,0))</f>
        <v/>
      </c>
      <c r="CB69" s="132"/>
      <c r="CC69" s="397" t="str">
        <f t="shared" si="55"/>
        <v/>
      </c>
      <c r="CD69" s="261" t="str">
        <f t="shared" ref="CD69:CD114" si="95">IF($AB69="","",IF(AND($F$4=1,$G$3=1),0.475*$AT$2*(AT69-$AT$117),$AT$2*(AT69-$AT$117)))</f>
        <v/>
      </c>
      <c r="CE69" s="261" t="str">
        <f t="shared" si="82"/>
        <v/>
      </c>
      <c r="CF69" s="261" t="str">
        <f t="shared" si="83"/>
        <v/>
      </c>
      <c r="CG69" s="261" t="str">
        <f t="shared" ref="CG69:CG114" si="96">IF($AB69="","",IF($F$5=0,AH69-AH$117,MIN(AH69,AH$116)-AH$117))</f>
        <v/>
      </c>
      <c r="CH69" s="261" t="str">
        <f t="shared" si="84"/>
        <v/>
      </c>
      <c r="CI69" s="133" t="str">
        <f t="shared" ref="CI69:CI114" si="97">IF($AB69="","",IF($F$5=0,($CD69+$K$34*ROUND($K$55,$E$18)+$E$37*$CG69)/$AG69,($CD69+$CE$2*$F$5*(IF($F$7=0,ROUND($K$55,$E$18),ROUND($K$55,$E$18)))*CE69+$E$29*$CG69+$CH69)/$AG69))</f>
        <v/>
      </c>
      <c r="CJ69" s="134" t="str">
        <f t="shared" si="85"/>
        <v/>
      </c>
      <c r="CK69" s="243"/>
      <c r="CL69" s="210">
        <v>65</v>
      </c>
      <c r="CM69" s="261">
        <f t="shared" si="86"/>
        <v>0</v>
      </c>
      <c r="CN69" s="261">
        <f t="shared" si="87"/>
        <v>1.6899999999999999E-4</v>
      </c>
      <c r="CO69" s="261">
        <f t="shared" si="88"/>
        <v>1.34E-3</v>
      </c>
      <c r="CP69" s="261">
        <f t="shared" ref="CP69:CP116" si="98">IF($F$2=1,CY69,CZ69)</f>
        <v>5.22E-4</v>
      </c>
      <c r="CQ69" s="261"/>
      <c r="CR69" s="210">
        <v>65</v>
      </c>
      <c r="CS69" s="261"/>
      <c r="CT69" s="261"/>
      <c r="CU69" s="261">
        <v>1.6899999999999999E-4</v>
      </c>
      <c r="CV69" s="261">
        <v>6.0000000000000008E-5</v>
      </c>
      <c r="CW69" s="261">
        <v>1.34E-3</v>
      </c>
      <c r="CX69" s="261">
        <v>1.1850000000000001E-3</v>
      </c>
      <c r="CY69" s="261">
        <v>5.22E-4</v>
      </c>
      <c r="CZ69" s="261">
        <v>4.9600000000000002E-4</v>
      </c>
      <c r="DA69" s="261"/>
      <c r="DB69" s="261"/>
      <c r="DC69" s="261"/>
      <c r="DD69" s="261"/>
    </row>
    <row r="70" spans="1:108">
      <c r="A70" s="305"/>
      <c r="D70" s="456"/>
      <c r="E70" s="457"/>
      <c r="F70" s="456"/>
      <c r="G70" s="465"/>
      <c r="M70" s="154"/>
      <c r="N70" s="278" t="str">
        <f t="shared" si="52"/>
        <v/>
      </c>
      <c r="O70" s="279" t="str">
        <f t="shared" si="53"/>
        <v/>
      </c>
      <c r="P70" s="271" t="str">
        <f t="shared" si="47"/>
        <v/>
      </c>
      <c r="Q70" s="382" t="str">
        <f t="shared" si="48"/>
        <v/>
      </c>
      <c r="R70" s="382" t="str">
        <f t="shared" si="49"/>
        <v/>
      </c>
      <c r="S70" s="400" t="str">
        <f t="shared" si="56"/>
        <v/>
      </c>
      <c r="T70" s="382" t="str">
        <f>일반형!P70</f>
        <v/>
      </c>
      <c r="U70" s="382" t="str">
        <f>일반형!Q70</f>
        <v/>
      </c>
      <c r="V70" s="271" t="str">
        <f>일반형!R70</f>
        <v/>
      </c>
      <c r="W70" s="400" t="str">
        <f>일반형!S70</f>
        <v/>
      </c>
      <c r="X70" s="271" t="str">
        <f t="shared" si="50"/>
        <v/>
      </c>
      <c r="Y70" s="442" t="str">
        <f t="shared" si="57"/>
        <v/>
      </c>
      <c r="Z70" s="443" t="str">
        <f t="shared" si="51"/>
        <v/>
      </c>
      <c r="AB70" s="759" t="str">
        <f t="shared" si="89"/>
        <v/>
      </c>
      <c r="AC70" s="646" t="str">
        <f t="shared" si="58"/>
        <v/>
      </c>
      <c r="AD70" s="409"/>
      <c r="AE70" s="409" t="str">
        <f>IF(AB70="","",IF(AB70-$AB$4&lt;$F$5-1,INDEX(Main_무해지!$G$76:$G$87,MIN(AB70-$AB$4+1,12)),IF(AB70-$AB$4=$F$5-1,0,IF(AND($F$2=1,AB70&gt;109),0,IF(AND($F$2=2,AB70&gt;111),0,INDEX(Main_무해지!$H$76:$H$82,MIN(AB70-$AB$4-$F$5+1,7)))))))</f>
        <v/>
      </c>
      <c r="AF70" s="409" t="str">
        <f t="shared" ref="AF70:AF114" si="99">IF(AB70="","",AF69*(1-AE69))</f>
        <v/>
      </c>
      <c r="AG70" s="409" t="str">
        <f t="shared" si="59"/>
        <v/>
      </c>
      <c r="AH70" s="760" t="str">
        <f>IF($AB70="","",SUM(AG70:AG$114))</f>
        <v/>
      </c>
      <c r="AI70" s="409" t="str">
        <f t="shared" si="90"/>
        <v/>
      </c>
      <c r="AJ70" s="639" t="str">
        <f t="shared" si="60"/>
        <v/>
      </c>
      <c r="AK70" s="639"/>
      <c r="AL70" s="409" t="str">
        <f t="shared" si="61"/>
        <v/>
      </c>
      <c r="AM70" s="409" t="str">
        <f t="shared" ref="AM70:AM114" si="100">IF($AB70="","",IF(AND($F$4=1,$G$3=1),AM69*(1-AL69),AM69*(1-AJ69)*(1-AL69)))</f>
        <v/>
      </c>
      <c r="AN70" s="409" t="str">
        <f t="shared" si="62"/>
        <v/>
      </c>
      <c r="AO70" s="760" t="str">
        <f>IF($AB70="","",SUM(AN70:AN$114))</f>
        <v/>
      </c>
      <c r="AP70" s="761" t="str">
        <f t="shared" si="91"/>
        <v/>
      </c>
      <c r="AQ70" s="409" t="str">
        <f t="shared" si="63"/>
        <v/>
      </c>
      <c r="AR70" s="409" t="str">
        <f t="shared" si="64"/>
        <v/>
      </c>
      <c r="AS70" s="409" t="str">
        <f t="shared" si="65"/>
        <v/>
      </c>
      <c r="AT70" s="762" t="str">
        <f>IF($AB70="","",SUM($AU70:$AU$114))</f>
        <v/>
      </c>
      <c r="AU70" s="409" t="str">
        <f t="shared" si="92"/>
        <v/>
      </c>
      <c r="AV70" s="762" t="str">
        <f t="shared" si="66"/>
        <v/>
      </c>
      <c r="AW70" s="761"/>
      <c r="AX70" s="409" t="str">
        <f t="shared" si="67"/>
        <v/>
      </c>
      <c r="AY70" s="409" t="str">
        <f t="shared" si="68"/>
        <v/>
      </c>
      <c r="AZ70" s="409" t="str">
        <f t="shared" si="69"/>
        <v/>
      </c>
      <c r="BA70" s="762" t="str">
        <f>IF($AB70="","",SUM($AZ70:$AZ$114))</f>
        <v/>
      </c>
      <c r="BB70" s="761"/>
      <c r="BC70" s="409" t="str">
        <f t="shared" si="70"/>
        <v/>
      </c>
      <c r="BD70" s="409" t="str">
        <f t="shared" si="71"/>
        <v/>
      </c>
      <c r="BE70" s="409" t="str">
        <f t="shared" si="72"/>
        <v/>
      </c>
      <c r="BF70" s="762" t="str">
        <f>IF($AB70="","",SUM($BE70:$BE$114))</f>
        <v/>
      </c>
      <c r="BG70" s="761"/>
      <c r="BH70" s="409" t="str">
        <f t="shared" si="73"/>
        <v/>
      </c>
      <c r="BI70" s="409" t="str">
        <f t="shared" si="74"/>
        <v/>
      </c>
      <c r="BJ70" s="409" t="str">
        <f t="shared" si="75"/>
        <v/>
      </c>
      <c r="BK70" s="762" t="str">
        <f>IF($AB70="","",SUM($BJ70:$BJ$114))</f>
        <v/>
      </c>
      <c r="BL70" s="761"/>
      <c r="BM70" s="409" t="str">
        <f t="shared" si="76"/>
        <v/>
      </c>
      <c r="BN70" s="409" t="str">
        <f t="shared" si="77"/>
        <v/>
      </c>
      <c r="BO70" s="409" t="str">
        <f t="shared" si="78"/>
        <v/>
      </c>
      <c r="BP70" s="762" t="str">
        <f>IF($AB70="","",SUM($BO70:$BO$114))</f>
        <v/>
      </c>
      <c r="BQ70" s="761" t="str">
        <f t="shared" si="79"/>
        <v/>
      </c>
      <c r="BR70" s="409" t="str">
        <f t="shared" si="93"/>
        <v/>
      </c>
      <c r="BS70" s="409" t="str">
        <f t="shared" si="80"/>
        <v/>
      </c>
      <c r="BT70" s="409" t="str">
        <f t="shared" si="81"/>
        <v/>
      </c>
      <c r="BU70" s="409" t="str">
        <f t="shared" si="94"/>
        <v/>
      </c>
      <c r="BV70" s="409"/>
      <c r="BW70" s="409"/>
      <c r="BX70" s="409"/>
      <c r="BY70" s="409"/>
      <c r="BZ70" s="409" t="str">
        <f>IF($AB70="","",SUM(BU70:BU$114))</f>
        <v/>
      </c>
      <c r="CA70" s="763" t="str">
        <f>IF(AB70&lt;$E$3+$F$5,0,IFERROR(일반형!S72,0))</f>
        <v/>
      </c>
      <c r="CB70" s="763"/>
      <c r="CC70" s="764" t="str">
        <f t="shared" si="55"/>
        <v/>
      </c>
      <c r="CD70" s="409" t="str">
        <f t="shared" si="95"/>
        <v/>
      </c>
      <c r="CE70" s="409" t="str">
        <f t="shared" si="82"/>
        <v/>
      </c>
      <c r="CF70" s="409" t="str">
        <f t="shared" si="83"/>
        <v/>
      </c>
      <c r="CG70" s="409" t="str">
        <f t="shared" si="96"/>
        <v/>
      </c>
      <c r="CH70" s="409" t="str">
        <f t="shared" si="84"/>
        <v/>
      </c>
      <c r="CI70" s="765" t="str">
        <f t="shared" si="97"/>
        <v/>
      </c>
      <c r="CJ70" s="766" t="str">
        <f t="shared" si="85"/>
        <v/>
      </c>
      <c r="CK70" s="414"/>
      <c r="CL70" s="767">
        <v>66</v>
      </c>
      <c r="CM70" s="409">
        <f t="shared" si="86"/>
        <v>0</v>
      </c>
      <c r="CN70" s="409">
        <f t="shared" si="87"/>
        <v>1.6899999999999999E-4</v>
      </c>
      <c r="CO70" s="409">
        <f t="shared" si="88"/>
        <v>1.4970000000000001E-3</v>
      </c>
      <c r="CP70" s="409">
        <f t="shared" si="98"/>
        <v>5.22E-4</v>
      </c>
      <c r="CQ70" s="409"/>
      <c r="CR70" s="767">
        <v>66</v>
      </c>
      <c r="CS70" s="409"/>
      <c r="CT70" s="409"/>
      <c r="CU70" s="409">
        <v>1.6899999999999999E-4</v>
      </c>
      <c r="CV70" s="409">
        <v>6.0000000000000008E-5</v>
      </c>
      <c r="CW70" s="409">
        <v>1.4970000000000001E-3</v>
      </c>
      <c r="CX70" s="409">
        <v>1.6570000000000001E-3</v>
      </c>
      <c r="CY70" s="409">
        <v>5.22E-4</v>
      </c>
      <c r="CZ70" s="409">
        <v>4.9600000000000002E-4</v>
      </c>
      <c r="DA70" s="409"/>
      <c r="DB70" s="409"/>
      <c r="DC70" s="409"/>
      <c r="DD70" s="409"/>
    </row>
    <row r="71" spans="1:108" ht="17.25" thickBot="1">
      <c r="A71" s="305"/>
      <c r="D71" s="461"/>
      <c r="E71" s="462"/>
      <c r="F71" s="463"/>
      <c r="G71" s="466"/>
      <c r="M71" s="154"/>
      <c r="N71" s="280" t="str">
        <f t="shared" si="52"/>
        <v/>
      </c>
      <c r="O71" s="281" t="str">
        <f t="shared" si="53"/>
        <v/>
      </c>
      <c r="P71" s="282" t="str">
        <f t="shared" ref="P71:P114" si="101">IF(N71="","",IF($F$5=0,$K$3,$K$3*$F$6*MIN($N71,F$5)))</f>
        <v/>
      </c>
      <c r="Q71" s="383" t="str">
        <f t="shared" ref="Q71:Q114" si="102">IF(N71="","",CJ69*$E$12/$E$19*10000)</f>
        <v/>
      </c>
      <c r="R71" s="383" t="str">
        <f t="shared" ref="R71:R114" si="103">IF(N71="","",ROUND($K$8*$F$5*$F$6*IF(N71&gt;=$F$5,W71,0%),3)*$E$12/100)</f>
        <v/>
      </c>
      <c r="S71" s="402" t="str">
        <f t="shared" si="56"/>
        <v/>
      </c>
      <c r="T71" s="382" t="str">
        <f>일반형!P71</f>
        <v/>
      </c>
      <c r="U71" s="382" t="str">
        <f>일반형!Q71</f>
        <v/>
      </c>
      <c r="V71" s="282" t="str">
        <f>일반형!R71</f>
        <v/>
      </c>
      <c r="W71" s="402" t="str">
        <f>일반형!S71</f>
        <v/>
      </c>
      <c r="X71" s="282" t="str">
        <f t="shared" ref="X71:X114" si="104">IF(N71="","",$E$12*10000*AV68)</f>
        <v/>
      </c>
      <c r="Y71" s="446" t="str">
        <f t="shared" si="57"/>
        <v/>
      </c>
      <c r="Z71" s="447" t="str">
        <f t="shared" ref="Z71:Z114" si="105">IF(N71="","",IF(R71&gt;X71,1,0))</f>
        <v/>
      </c>
      <c r="AB71" s="70" t="str">
        <f t="shared" si="89"/>
        <v/>
      </c>
      <c r="AC71" s="647" t="str">
        <f t="shared" si="58"/>
        <v/>
      </c>
      <c r="AD71" s="256"/>
      <c r="AE71" s="256" t="str">
        <f>IF(AB71="","",IF(AB71-$AB$4&lt;$F$5-1,INDEX(Main_무해지!$G$76:$G$87,MIN(AB71-$AB$4+1,12)),IF(AB71-$AB$4=$F$5-1,0,IF(AND($F$2=1,AB71&gt;109),0,IF(AND($F$2=2,AB71&gt;111),0,INDEX(Main_무해지!$H$76:$H$82,MIN(AB71-$AB$4-$F$5+1,7)))))))</f>
        <v/>
      </c>
      <c r="AF71" s="256" t="str">
        <f t="shared" si="99"/>
        <v/>
      </c>
      <c r="AG71" s="256" t="str">
        <f t="shared" si="59"/>
        <v/>
      </c>
      <c r="AH71" s="72" t="str">
        <f>IF($AB71="","",SUM(AG71:AG$114))</f>
        <v/>
      </c>
      <c r="AI71" s="256" t="str">
        <f t="shared" si="90"/>
        <v/>
      </c>
      <c r="AJ71" s="74" t="str">
        <f t="shared" si="60"/>
        <v/>
      </c>
      <c r="AK71" s="74"/>
      <c r="AL71" s="256" t="str">
        <f t="shared" si="61"/>
        <v/>
      </c>
      <c r="AM71" s="256" t="str">
        <f t="shared" si="100"/>
        <v/>
      </c>
      <c r="AN71" s="256" t="str">
        <f t="shared" si="62"/>
        <v/>
      </c>
      <c r="AO71" s="72" t="str">
        <f>IF($AB71="","",SUM(AN71:AN$114))</f>
        <v/>
      </c>
      <c r="AP71" s="71" t="str">
        <f t="shared" si="91"/>
        <v/>
      </c>
      <c r="AQ71" s="256" t="str">
        <f t="shared" si="63"/>
        <v/>
      </c>
      <c r="AR71" s="256" t="str">
        <f t="shared" si="64"/>
        <v/>
      </c>
      <c r="AS71" s="256" t="str">
        <f t="shared" si="65"/>
        <v/>
      </c>
      <c r="AT71" s="75" t="str">
        <f>IF($AB71="","",SUM($AU71:$AU$114))</f>
        <v/>
      </c>
      <c r="AU71" s="256" t="str">
        <f t="shared" si="92"/>
        <v/>
      </c>
      <c r="AV71" s="75" t="str">
        <f t="shared" si="66"/>
        <v/>
      </c>
      <c r="AW71" s="71"/>
      <c r="AX71" s="256" t="str">
        <f t="shared" si="67"/>
        <v/>
      </c>
      <c r="AY71" s="256" t="str">
        <f t="shared" si="68"/>
        <v/>
      </c>
      <c r="AZ71" s="256" t="str">
        <f t="shared" si="69"/>
        <v/>
      </c>
      <c r="BA71" s="75" t="str">
        <f>IF($AB71="","",SUM($AZ71:$AZ$114))</f>
        <v/>
      </c>
      <c r="BB71" s="71"/>
      <c r="BC71" s="256" t="str">
        <f t="shared" si="70"/>
        <v/>
      </c>
      <c r="BD71" s="256" t="str">
        <f t="shared" si="71"/>
        <v/>
      </c>
      <c r="BE71" s="256" t="str">
        <f t="shared" si="72"/>
        <v/>
      </c>
      <c r="BF71" s="75" t="str">
        <f>IF($AB71="","",SUM($BE71:$BE$114))</f>
        <v/>
      </c>
      <c r="BG71" s="71"/>
      <c r="BH71" s="256" t="str">
        <f t="shared" si="73"/>
        <v/>
      </c>
      <c r="BI71" s="256" t="str">
        <f t="shared" si="74"/>
        <v/>
      </c>
      <c r="BJ71" s="256" t="str">
        <f t="shared" si="75"/>
        <v/>
      </c>
      <c r="BK71" s="75" t="str">
        <f>IF($AB71="","",SUM($BJ71:$BJ$114))</f>
        <v/>
      </c>
      <c r="BL71" s="71"/>
      <c r="BM71" s="256" t="str">
        <f t="shared" si="76"/>
        <v/>
      </c>
      <c r="BN71" s="256" t="str">
        <f t="shared" si="77"/>
        <v/>
      </c>
      <c r="BO71" s="256" t="str">
        <f t="shared" si="78"/>
        <v/>
      </c>
      <c r="BP71" s="75" t="str">
        <f>IF($AB71="","",SUM($BO71:$BO$114))</f>
        <v/>
      </c>
      <c r="BQ71" s="71" t="str">
        <f t="shared" si="79"/>
        <v/>
      </c>
      <c r="BR71" s="256" t="str">
        <f t="shared" si="93"/>
        <v/>
      </c>
      <c r="BS71" s="256" t="str">
        <f t="shared" si="80"/>
        <v/>
      </c>
      <c r="BT71" s="256" t="str">
        <f t="shared" si="81"/>
        <v/>
      </c>
      <c r="BU71" s="256" t="str">
        <f t="shared" si="94"/>
        <v/>
      </c>
      <c r="BV71" s="256"/>
      <c r="BW71" s="256"/>
      <c r="BX71" s="256"/>
      <c r="BY71" s="256"/>
      <c r="BZ71" s="256" t="str">
        <f>IF($AB71="","",SUM(BU71:BU$114))</f>
        <v/>
      </c>
      <c r="CA71" s="73" t="str">
        <f>IF(AB71&lt;$E$3+$F$5,0,IFERROR(일반형!S73,0))</f>
        <v/>
      </c>
      <c r="CB71" s="73"/>
      <c r="CC71" s="392" t="str">
        <f t="shared" si="55"/>
        <v/>
      </c>
      <c r="CD71" s="256" t="str">
        <f t="shared" si="95"/>
        <v/>
      </c>
      <c r="CE71" s="256" t="str">
        <f t="shared" si="82"/>
        <v/>
      </c>
      <c r="CF71" s="256" t="str">
        <f t="shared" si="83"/>
        <v/>
      </c>
      <c r="CG71" s="256" t="str">
        <f t="shared" si="96"/>
        <v/>
      </c>
      <c r="CH71" s="256" t="str">
        <f t="shared" si="84"/>
        <v/>
      </c>
      <c r="CI71" s="76" t="str">
        <f t="shared" si="97"/>
        <v/>
      </c>
      <c r="CJ71" s="77" t="str">
        <f t="shared" si="85"/>
        <v/>
      </c>
      <c r="CK71" s="238"/>
      <c r="CL71" s="205">
        <v>67</v>
      </c>
      <c r="CM71" s="256">
        <f t="shared" si="86"/>
        <v>0</v>
      </c>
      <c r="CN71" s="256">
        <f t="shared" si="87"/>
        <v>1.6899999999999999E-4</v>
      </c>
      <c r="CO71" s="256">
        <f t="shared" si="88"/>
        <v>2.3310000000000002E-3</v>
      </c>
      <c r="CP71" s="256">
        <f t="shared" si="98"/>
        <v>5.22E-4</v>
      </c>
      <c r="CQ71" s="256"/>
      <c r="CR71" s="205">
        <v>67</v>
      </c>
      <c r="CS71" s="256"/>
      <c r="CT71" s="256"/>
      <c r="CU71" s="256">
        <v>1.6899999999999999E-4</v>
      </c>
      <c r="CV71" s="256">
        <v>6.0000000000000008E-5</v>
      </c>
      <c r="CW71" s="256">
        <v>2.3310000000000002E-3</v>
      </c>
      <c r="CX71" s="256">
        <v>1.7290000000000001E-3</v>
      </c>
      <c r="CY71" s="256">
        <v>5.22E-4</v>
      </c>
      <c r="CZ71" s="256">
        <v>4.9600000000000002E-4</v>
      </c>
      <c r="DA71" s="256"/>
      <c r="DB71" s="256"/>
      <c r="DC71" s="256"/>
      <c r="DD71" s="256"/>
    </row>
    <row r="72" spans="1:108">
      <c r="A72" s="305"/>
      <c r="M72" s="154"/>
      <c r="N72" s="275" t="str">
        <f t="shared" ref="N72:N114" si="106">IF(N71="","",IF(N71+1&gt;$F$4,"",N71+1))</f>
        <v/>
      </c>
      <c r="O72" s="276" t="str">
        <f t="shared" ref="O72:O114" si="107">IF(N72="","",$E$3+N72)</f>
        <v/>
      </c>
      <c r="P72" s="277" t="str">
        <f t="shared" si="101"/>
        <v/>
      </c>
      <c r="Q72" s="381" t="str">
        <f t="shared" si="102"/>
        <v/>
      </c>
      <c r="R72" s="381" t="str">
        <f t="shared" si="103"/>
        <v/>
      </c>
      <c r="S72" s="401" t="str">
        <f t="shared" si="56"/>
        <v/>
      </c>
      <c r="T72" s="382" t="str">
        <f>일반형!P72</f>
        <v/>
      </c>
      <c r="U72" s="382" t="str">
        <f>일반형!Q72</f>
        <v/>
      </c>
      <c r="V72" s="277" t="str">
        <f>일반형!R72</f>
        <v/>
      </c>
      <c r="W72" s="401" t="str">
        <f>일반형!S72</f>
        <v/>
      </c>
      <c r="X72" s="277" t="str">
        <f t="shared" si="104"/>
        <v/>
      </c>
      <c r="Y72" s="444" t="str">
        <f t="shared" si="57"/>
        <v/>
      </c>
      <c r="Z72" s="445" t="str">
        <f t="shared" si="105"/>
        <v/>
      </c>
      <c r="AB72" s="70" t="str">
        <f t="shared" si="89"/>
        <v/>
      </c>
      <c r="AC72" s="647" t="str">
        <f t="shared" si="58"/>
        <v/>
      </c>
      <c r="AD72" s="256"/>
      <c r="AE72" s="256" t="str">
        <f>IF(AB72="","",IF(AB72-$AB$4&lt;$F$5-1,INDEX(Main_무해지!$G$76:$G$87,MIN(AB72-$AB$4+1,12)),IF(AB72-$AB$4=$F$5-1,0,IF(AND($F$2=1,AB72&gt;109),0,IF(AND($F$2=2,AB72&gt;111),0,INDEX(Main_무해지!$H$76:$H$82,MIN(AB72-$AB$4-$F$5+1,7)))))))</f>
        <v/>
      </c>
      <c r="AF72" s="256" t="str">
        <f t="shared" si="99"/>
        <v/>
      </c>
      <c r="AG72" s="256" t="str">
        <f t="shared" si="59"/>
        <v/>
      </c>
      <c r="AH72" s="72" t="str">
        <f>IF($AB72="","",SUM(AG72:AG$114))</f>
        <v/>
      </c>
      <c r="AI72" s="256" t="str">
        <f t="shared" si="90"/>
        <v/>
      </c>
      <c r="AJ72" s="74" t="str">
        <f t="shared" si="60"/>
        <v/>
      </c>
      <c r="AK72" s="74"/>
      <c r="AL72" s="256" t="str">
        <f t="shared" si="61"/>
        <v/>
      </c>
      <c r="AM72" s="256" t="str">
        <f t="shared" si="100"/>
        <v/>
      </c>
      <c r="AN72" s="256" t="str">
        <f t="shared" si="62"/>
        <v/>
      </c>
      <c r="AO72" s="72" t="str">
        <f>IF($AB72="","",SUM(AN72:AN$114))</f>
        <v/>
      </c>
      <c r="AP72" s="71" t="str">
        <f t="shared" si="91"/>
        <v/>
      </c>
      <c r="AQ72" s="256" t="str">
        <f t="shared" si="63"/>
        <v/>
      </c>
      <c r="AR72" s="256" t="str">
        <f t="shared" si="64"/>
        <v/>
      </c>
      <c r="AS72" s="256" t="str">
        <f t="shared" si="65"/>
        <v/>
      </c>
      <c r="AT72" s="75" t="str">
        <f>IF($AB72="","",SUM($AU72:$AU$114))</f>
        <v/>
      </c>
      <c r="AU72" s="256" t="str">
        <f t="shared" si="92"/>
        <v/>
      </c>
      <c r="AV72" s="75" t="str">
        <f t="shared" si="66"/>
        <v/>
      </c>
      <c r="AW72" s="71"/>
      <c r="AX72" s="256" t="str">
        <f t="shared" si="67"/>
        <v/>
      </c>
      <c r="AY72" s="256" t="str">
        <f t="shared" si="68"/>
        <v/>
      </c>
      <c r="AZ72" s="256" t="str">
        <f t="shared" si="69"/>
        <v/>
      </c>
      <c r="BA72" s="75" t="str">
        <f>IF($AB72="","",SUM($AZ72:$AZ$114))</f>
        <v/>
      </c>
      <c r="BB72" s="71"/>
      <c r="BC72" s="256" t="str">
        <f t="shared" si="70"/>
        <v/>
      </c>
      <c r="BD72" s="256" t="str">
        <f t="shared" si="71"/>
        <v/>
      </c>
      <c r="BE72" s="256" t="str">
        <f t="shared" si="72"/>
        <v/>
      </c>
      <c r="BF72" s="75" t="str">
        <f>IF($AB72="","",SUM($BE72:$BE$114))</f>
        <v/>
      </c>
      <c r="BG72" s="71"/>
      <c r="BH72" s="256" t="str">
        <f t="shared" si="73"/>
        <v/>
      </c>
      <c r="BI72" s="256" t="str">
        <f t="shared" si="74"/>
        <v/>
      </c>
      <c r="BJ72" s="256" t="str">
        <f t="shared" si="75"/>
        <v/>
      </c>
      <c r="BK72" s="75" t="str">
        <f>IF($AB72="","",SUM($BJ72:$BJ$114))</f>
        <v/>
      </c>
      <c r="BL72" s="71"/>
      <c r="BM72" s="256" t="str">
        <f t="shared" si="76"/>
        <v/>
      </c>
      <c r="BN72" s="256" t="str">
        <f t="shared" si="77"/>
        <v/>
      </c>
      <c r="BO72" s="256" t="str">
        <f t="shared" si="78"/>
        <v/>
      </c>
      <c r="BP72" s="75" t="str">
        <f>IF($AB72="","",SUM($BO72:$BO$114))</f>
        <v/>
      </c>
      <c r="BQ72" s="71" t="str">
        <f t="shared" si="79"/>
        <v/>
      </c>
      <c r="BR72" s="256" t="str">
        <f t="shared" si="93"/>
        <v/>
      </c>
      <c r="BS72" s="256" t="str">
        <f t="shared" si="80"/>
        <v/>
      </c>
      <c r="BT72" s="256" t="str">
        <f t="shared" si="81"/>
        <v/>
      </c>
      <c r="BU72" s="256" t="str">
        <f t="shared" si="94"/>
        <v/>
      </c>
      <c r="BV72" s="256"/>
      <c r="BW72" s="256"/>
      <c r="BX72" s="256"/>
      <c r="BY72" s="256"/>
      <c r="BZ72" s="256" t="str">
        <f>IF($AB72="","",SUM(BU72:BU$114))</f>
        <v/>
      </c>
      <c r="CA72" s="73" t="str">
        <f>IF(AB72&lt;$E$3+$F$5,0,IFERROR(일반형!S74,0))</f>
        <v/>
      </c>
      <c r="CB72" s="73"/>
      <c r="CC72" s="392" t="str">
        <f t="shared" si="55"/>
        <v/>
      </c>
      <c r="CD72" s="256" t="str">
        <f t="shared" si="95"/>
        <v/>
      </c>
      <c r="CE72" s="256" t="str">
        <f t="shared" si="82"/>
        <v/>
      </c>
      <c r="CF72" s="256" t="str">
        <f t="shared" si="83"/>
        <v/>
      </c>
      <c r="CG72" s="256" t="str">
        <f t="shared" si="96"/>
        <v/>
      </c>
      <c r="CH72" s="256" t="str">
        <f t="shared" si="84"/>
        <v/>
      </c>
      <c r="CI72" s="76" t="str">
        <f t="shared" si="97"/>
        <v/>
      </c>
      <c r="CJ72" s="77" t="str">
        <f t="shared" si="85"/>
        <v/>
      </c>
      <c r="CK72" s="238"/>
      <c r="CL72" s="205">
        <v>68</v>
      </c>
      <c r="CM72" s="256">
        <f t="shared" si="86"/>
        <v>0</v>
      </c>
      <c r="CN72" s="256">
        <f t="shared" si="87"/>
        <v>1.6899999999999999E-4</v>
      </c>
      <c r="CO72" s="256">
        <f t="shared" si="88"/>
        <v>2.7810000000000001E-3</v>
      </c>
      <c r="CP72" s="256">
        <f t="shared" si="98"/>
        <v>5.22E-4</v>
      </c>
      <c r="CQ72" s="256"/>
      <c r="CR72" s="205">
        <v>68</v>
      </c>
      <c r="CS72" s="256"/>
      <c r="CT72" s="256"/>
      <c r="CU72" s="256">
        <v>1.6899999999999999E-4</v>
      </c>
      <c r="CV72" s="256">
        <v>6.0000000000000008E-5</v>
      </c>
      <c r="CW72" s="256">
        <v>2.7810000000000001E-3</v>
      </c>
      <c r="CX72" s="256">
        <v>1.802E-3</v>
      </c>
      <c r="CY72" s="256">
        <v>5.22E-4</v>
      </c>
      <c r="CZ72" s="256">
        <v>4.9600000000000002E-4</v>
      </c>
      <c r="DA72" s="256"/>
      <c r="DB72" s="256"/>
      <c r="DC72" s="256"/>
      <c r="DD72" s="256"/>
    </row>
    <row r="73" spans="1:108" ht="17.25" thickBot="1">
      <c r="A73" s="305"/>
      <c r="M73" s="155"/>
      <c r="N73" s="278" t="str">
        <f t="shared" si="106"/>
        <v/>
      </c>
      <c r="O73" s="279" t="str">
        <f t="shared" si="107"/>
        <v/>
      </c>
      <c r="P73" s="271" t="str">
        <f t="shared" si="101"/>
        <v/>
      </c>
      <c r="Q73" s="382" t="str">
        <f t="shared" si="102"/>
        <v/>
      </c>
      <c r="R73" s="382" t="str">
        <f t="shared" si="103"/>
        <v/>
      </c>
      <c r="S73" s="400" t="str">
        <f t="shared" si="56"/>
        <v/>
      </c>
      <c r="T73" s="382" t="str">
        <f>일반형!P73</f>
        <v/>
      </c>
      <c r="U73" s="382" t="str">
        <f>일반형!Q73</f>
        <v/>
      </c>
      <c r="V73" s="271" t="str">
        <f>일반형!R73</f>
        <v/>
      </c>
      <c r="W73" s="400" t="str">
        <f>일반형!S73</f>
        <v/>
      </c>
      <c r="X73" s="271" t="str">
        <f t="shared" si="104"/>
        <v/>
      </c>
      <c r="Y73" s="442" t="str">
        <f t="shared" si="57"/>
        <v/>
      </c>
      <c r="Z73" s="443" t="str">
        <f t="shared" si="105"/>
        <v/>
      </c>
      <c r="AB73" s="70" t="str">
        <f t="shared" si="89"/>
        <v/>
      </c>
      <c r="AC73" s="647" t="str">
        <f t="shared" si="58"/>
        <v/>
      </c>
      <c r="AD73" s="256"/>
      <c r="AE73" s="256" t="str">
        <f>IF(AB73="","",IF(AB73-$AB$4&lt;$F$5-1,INDEX(Main_무해지!$G$76:$G$87,MIN(AB73-$AB$4+1,12)),IF(AB73-$AB$4=$F$5-1,0,IF(AND($F$2=1,AB73&gt;109),0,IF(AND($F$2=2,AB73&gt;111),0,INDEX(Main_무해지!$H$76:$H$82,MIN(AB73-$AB$4-$F$5+1,7)))))))</f>
        <v/>
      </c>
      <c r="AF73" s="256" t="str">
        <f t="shared" si="99"/>
        <v/>
      </c>
      <c r="AG73" s="256" t="str">
        <f t="shared" si="59"/>
        <v/>
      </c>
      <c r="AH73" s="72" t="str">
        <f>IF($AB73="","",SUM(AG73:AG$114))</f>
        <v/>
      </c>
      <c r="AI73" s="256" t="str">
        <f t="shared" si="90"/>
        <v/>
      </c>
      <c r="AJ73" s="74" t="str">
        <f t="shared" si="60"/>
        <v/>
      </c>
      <c r="AK73" s="74"/>
      <c r="AL73" s="256" t="str">
        <f t="shared" si="61"/>
        <v/>
      </c>
      <c r="AM73" s="256" t="str">
        <f t="shared" si="100"/>
        <v/>
      </c>
      <c r="AN73" s="256" t="str">
        <f t="shared" si="62"/>
        <v/>
      </c>
      <c r="AO73" s="72" t="str">
        <f>IF($AB73="","",SUM(AN73:AN$114))</f>
        <v/>
      </c>
      <c r="AP73" s="71" t="str">
        <f t="shared" si="91"/>
        <v/>
      </c>
      <c r="AQ73" s="256" t="str">
        <f t="shared" si="63"/>
        <v/>
      </c>
      <c r="AR73" s="256" t="str">
        <f t="shared" si="64"/>
        <v/>
      </c>
      <c r="AS73" s="256" t="str">
        <f t="shared" si="65"/>
        <v/>
      </c>
      <c r="AT73" s="75" t="str">
        <f>IF($AB73="","",SUM($AU73:$AU$114))</f>
        <v/>
      </c>
      <c r="AU73" s="256" t="str">
        <f t="shared" si="92"/>
        <v/>
      </c>
      <c r="AV73" s="75" t="str">
        <f t="shared" si="66"/>
        <v/>
      </c>
      <c r="AW73" s="71"/>
      <c r="AX73" s="256" t="str">
        <f t="shared" si="67"/>
        <v/>
      </c>
      <c r="AY73" s="256" t="str">
        <f t="shared" si="68"/>
        <v/>
      </c>
      <c r="AZ73" s="256" t="str">
        <f t="shared" si="69"/>
        <v/>
      </c>
      <c r="BA73" s="75" t="str">
        <f>IF($AB73="","",SUM($AZ73:$AZ$114))</f>
        <v/>
      </c>
      <c r="BB73" s="71"/>
      <c r="BC73" s="256" t="str">
        <f t="shared" si="70"/>
        <v/>
      </c>
      <c r="BD73" s="256" t="str">
        <f t="shared" si="71"/>
        <v/>
      </c>
      <c r="BE73" s="256" t="str">
        <f t="shared" si="72"/>
        <v/>
      </c>
      <c r="BF73" s="75" t="str">
        <f>IF($AB73="","",SUM($BE73:$BE$114))</f>
        <v/>
      </c>
      <c r="BG73" s="71"/>
      <c r="BH73" s="256" t="str">
        <f t="shared" si="73"/>
        <v/>
      </c>
      <c r="BI73" s="256" t="str">
        <f t="shared" si="74"/>
        <v/>
      </c>
      <c r="BJ73" s="256" t="str">
        <f t="shared" si="75"/>
        <v/>
      </c>
      <c r="BK73" s="75" t="str">
        <f>IF($AB73="","",SUM($BJ73:$BJ$114))</f>
        <v/>
      </c>
      <c r="BL73" s="71"/>
      <c r="BM73" s="256" t="str">
        <f t="shared" si="76"/>
        <v/>
      </c>
      <c r="BN73" s="256" t="str">
        <f t="shared" si="77"/>
        <v/>
      </c>
      <c r="BO73" s="256" t="str">
        <f t="shared" si="78"/>
        <v/>
      </c>
      <c r="BP73" s="75" t="str">
        <f>IF($AB73="","",SUM($BO73:$BO$114))</f>
        <v/>
      </c>
      <c r="BQ73" s="71" t="str">
        <f t="shared" si="79"/>
        <v/>
      </c>
      <c r="BR73" s="256" t="str">
        <f t="shared" si="93"/>
        <v/>
      </c>
      <c r="BS73" s="256" t="str">
        <f t="shared" si="80"/>
        <v/>
      </c>
      <c r="BT73" s="256" t="str">
        <f t="shared" si="81"/>
        <v/>
      </c>
      <c r="BU73" s="256" t="str">
        <f t="shared" si="94"/>
        <v/>
      </c>
      <c r="BV73" s="256"/>
      <c r="BW73" s="256"/>
      <c r="BX73" s="256"/>
      <c r="BY73" s="256"/>
      <c r="BZ73" s="256" t="str">
        <f>IF($AB73="","",SUM(BU73:BU$114))</f>
        <v/>
      </c>
      <c r="CA73" s="73" t="str">
        <f>IF(AB73&lt;$E$3+$F$5,0,IFERROR(일반형!S75,0))</f>
        <v/>
      </c>
      <c r="CB73" s="73"/>
      <c r="CC73" s="392" t="str">
        <f t="shared" si="55"/>
        <v/>
      </c>
      <c r="CD73" s="256" t="str">
        <f t="shared" si="95"/>
        <v/>
      </c>
      <c r="CE73" s="256" t="str">
        <f t="shared" si="82"/>
        <v/>
      </c>
      <c r="CF73" s="256" t="str">
        <f t="shared" si="83"/>
        <v/>
      </c>
      <c r="CG73" s="256" t="str">
        <f t="shared" si="96"/>
        <v/>
      </c>
      <c r="CH73" s="256" t="str">
        <f t="shared" si="84"/>
        <v/>
      </c>
      <c r="CI73" s="76" t="str">
        <f t="shared" si="97"/>
        <v/>
      </c>
      <c r="CJ73" s="77" t="str">
        <f t="shared" si="85"/>
        <v/>
      </c>
      <c r="CK73" s="238"/>
      <c r="CL73" s="205">
        <v>69</v>
      </c>
      <c r="CM73" s="256">
        <f t="shared" si="86"/>
        <v>0</v>
      </c>
      <c r="CN73" s="256">
        <f t="shared" si="87"/>
        <v>1.6899999999999999E-4</v>
      </c>
      <c r="CO73" s="256">
        <f t="shared" si="88"/>
        <v>3.3210000000000002E-3</v>
      </c>
      <c r="CP73" s="256">
        <f t="shared" si="98"/>
        <v>5.22E-4</v>
      </c>
      <c r="CQ73" s="256"/>
      <c r="CR73" s="205">
        <v>69</v>
      </c>
      <c r="CS73" s="256"/>
      <c r="CT73" s="256"/>
      <c r="CU73" s="256">
        <v>1.6899999999999999E-4</v>
      </c>
      <c r="CV73" s="256">
        <v>6.0000000000000008E-5</v>
      </c>
      <c r="CW73" s="256">
        <v>3.3210000000000002E-3</v>
      </c>
      <c r="CX73" s="256">
        <v>2.2109999999999999E-3</v>
      </c>
      <c r="CY73" s="256">
        <v>5.22E-4</v>
      </c>
      <c r="CZ73" s="256">
        <v>4.9600000000000002E-4</v>
      </c>
      <c r="DA73" s="411"/>
      <c r="DB73" s="411"/>
      <c r="DC73" s="411"/>
      <c r="DD73" s="411"/>
    </row>
    <row r="74" spans="1:108" ht="17.25" thickBot="1">
      <c r="A74" s="305"/>
      <c r="F74" s="819" t="s">
        <v>167</v>
      </c>
      <c r="G74" s="820"/>
      <c r="H74" s="821"/>
      <c r="M74" s="154"/>
      <c r="N74" s="278" t="str">
        <f t="shared" si="106"/>
        <v/>
      </c>
      <c r="O74" s="279" t="str">
        <f t="shared" si="107"/>
        <v/>
      </c>
      <c r="P74" s="271" t="str">
        <f t="shared" si="101"/>
        <v/>
      </c>
      <c r="Q74" s="382" t="str">
        <f t="shared" si="102"/>
        <v/>
      </c>
      <c r="R74" s="382" t="str">
        <f t="shared" si="103"/>
        <v/>
      </c>
      <c r="S74" s="400" t="str">
        <f t="shared" si="56"/>
        <v/>
      </c>
      <c r="T74" s="382" t="str">
        <f>일반형!P74</f>
        <v/>
      </c>
      <c r="U74" s="382" t="str">
        <f>일반형!Q74</f>
        <v/>
      </c>
      <c r="V74" s="271" t="str">
        <f>일반형!R74</f>
        <v/>
      </c>
      <c r="W74" s="400" t="str">
        <f>일반형!S74</f>
        <v/>
      </c>
      <c r="X74" s="271" t="str">
        <f t="shared" si="104"/>
        <v/>
      </c>
      <c r="Y74" s="442" t="str">
        <f t="shared" si="57"/>
        <v/>
      </c>
      <c r="Z74" s="443" t="str">
        <f t="shared" si="105"/>
        <v/>
      </c>
      <c r="AB74" s="83" t="str">
        <f t="shared" si="89"/>
        <v/>
      </c>
      <c r="AC74" s="648" t="str">
        <f t="shared" si="58"/>
        <v/>
      </c>
      <c r="AD74" s="257"/>
      <c r="AE74" s="257" t="str">
        <f>IF(AB74="","",IF(AB74-$AB$4&lt;$F$5-1,INDEX(Main_무해지!$G$76:$G$87,MIN(AB74-$AB$4+1,12)),IF(AB74-$AB$4=$F$5-1,0,IF(AND($F$2=1,AB74&gt;109),0,IF(AND($F$2=2,AB74&gt;111),0,INDEX(Main_무해지!$H$76:$H$82,MIN(AB74-$AB$4-$F$5+1,7)))))))</f>
        <v/>
      </c>
      <c r="AF74" s="257" t="str">
        <f t="shared" si="99"/>
        <v/>
      </c>
      <c r="AG74" s="257" t="str">
        <f t="shared" si="59"/>
        <v/>
      </c>
      <c r="AH74" s="85" t="str">
        <f>IF($AB74="","",SUM(AG74:AG$114))</f>
        <v/>
      </c>
      <c r="AI74" s="257" t="str">
        <f t="shared" si="90"/>
        <v/>
      </c>
      <c r="AJ74" s="87" t="str">
        <f t="shared" si="60"/>
        <v/>
      </c>
      <c r="AK74" s="87"/>
      <c r="AL74" s="257" t="str">
        <f t="shared" si="61"/>
        <v/>
      </c>
      <c r="AM74" s="257" t="str">
        <f t="shared" si="100"/>
        <v/>
      </c>
      <c r="AN74" s="257" t="str">
        <f t="shared" si="62"/>
        <v/>
      </c>
      <c r="AO74" s="85" t="str">
        <f>IF($AB74="","",SUM(AN74:AN$114))</f>
        <v/>
      </c>
      <c r="AP74" s="84" t="str">
        <f t="shared" si="91"/>
        <v/>
      </c>
      <c r="AQ74" s="257" t="str">
        <f t="shared" si="63"/>
        <v/>
      </c>
      <c r="AR74" s="257" t="str">
        <f t="shared" si="64"/>
        <v/>
      </c>
      <c r="AS74" s="257" t="str">
        <f t="shared" si="65"/>
        <v/>
      </c>
      <c r="AT74" s="88" t="str">
        <f>IF($AB74="","",SUM($AU74:$AU$114))</f>
        <v/>
      </c>
      <c r="AU74" s="257" t="str">
        <f t="shared" si="92"/>
        <v/>
      </c>
      <c r="AV74" s="88" t="str">
        <f t="shared" si="66"/>
        <v/>
      </c>
      <c r="AW74" s="84"/>
      <c r="AX74" s="257" t="str">
        <f t="shared" si="67"/>
        <v/>
      </c>
      <c r="AY74" s="257" t="str">
        <f t="shared" si="68"/>
        <v/>
      </c>
      <c r="AZ74" s="257" t="str">
        <f t="shared" si="69"/>
        <v/>
      </c>
      <c r="BA74" s="88" t="str">
        <f>IF($AB74="","",SUM($AZ74:$AZ$114))</f>
        <v/>
      </c>
      <c r="BB74" s="84"/>
      <c r="BC74" s="257" t="str">
        <f t="shared" si="70"/>
        <v/>
      </c>
      <c r="BD74" s="257" t="str">
        <f t="shared" si="71"/>
        <v/>
      </c>
      <c r="BE74" s="257" t="str">
        <f t="shared" si="72"/>
        <v/>
      </c>
      <c r="BF74" s="88" t="str">
        <f>IF($AB74="","",SUM($BE74:$BE$114))</f>
        <v/>
      </c>
      <c r="BG74" s="84"/>
      <c r="BH74" s="257" t="str">
        <f t="shared" si="73"/>
        <v/>
      </c>
      <c r="BI74" s="257" t="str">
        <f t="shared" si="74"/>
        <v/>
      </c>
      <c r="BJ74" s="257" t="str">
        <f t="shared" si="75"/>
        <v/>
      </c>
      <c r="BK74" s="88" t="str">
        <f>IF($AB74="","",SUM($BJ74:$BJ$114))</f>
        <v/>
      </c>
      <c r="BL74" s="84"/>
      <c r="BM74" s="257" t="str">
        <f t="shared" si="76"/>
        <v/>
      </c>
      <c r="BN74" s="257" t="str">
        <f t="shared" si="77"/>
        <v/>
      </c>
      <c r="BO74" s="257" t="str">
        <f t="shared" si="78"/>
        <v/>
      </c>
      <c r="BP74" s="88" t="str">
        <f>IF($AB74="","",SUM($BO74:$BO$114))</f>
        <v/>
      </c>
      <c r="BQ74" s="84" t="str">
        <f t="shared" si="79"/>
        <v/>
      </c>
      <c r="BR74" s="257" t="str">
        <f t="shared" si="93"/>
        <v/>
      </c>
      <c r="BS74" s="257" t="str">
        <f t="shared" si="80"/>
        <v/>
      </c>
      <c r="BT74" s="257" t="str">
        <f t="shared" si="81"/>
        <v/>
      </c>
      <c r="BU74" s="257" t="str">
        <f t="shared" si="94"/>
        <v/>
      </c>
      <c r="BV74" s="257"/>
      <c r="BW74" s="257"/>
      <c r="BX74" s="257"/>
      <c r="BY74" s="257"/>
      <c r="BZ74" s="257" t="str">
        <f>IF($AB74="","",SUM(BU74:BU$114))</f>
        <v/>
      </c>
      <c r="CA74" s="86" t="str">
        <f>IF(AB74&lt;$E$3+$F$5,0,IFERROR(일반형!S76,0))</f>
        <v/>
      </c>
      <c r="CB74" s="86"/>
      <c r="CC74" s="393" t="str">
        <f t="shared" si="55"/>
        <v/>
      </c>
      <c r="CD74" s="257" t="str">
        <f t="shared" si="95"/>
        <v/>
      </c>
      <c r="CE74" s="257" t="str">
        <f t="shared" si="82"/>
        <v/>
      </c>
      <c r="CF74" s="257" t="str">
        <f t="shared" si="83"/>
        <v/>
      </c>
      <c r="CG74" s="257" t="str">
        <f t="shared" si="96"/>
        <v/>
      </c>
      <c r="CH74" s="257" t="str">
        <f t="shared" si="84"/>
        <v/>
      </c>
      <c r="CI74" s="89" t="str">
        <f t="shared" si="97"/>
        <v/>
      </c>
      <c r="CJ74" s="90" t="str">
        <f t="shared" si="85"/>
        <v/>
      </c>
      <c r="CK74" s="239"/>
      <c r="CL74" s="206">
        <v>70</v>
      </c>
      <c r="CM74" s="257">
        <f t="shared" si="86"/>
        <v>0</v>
      </c>
      <c r="CN74" s="257">
        <f t="shared" si="87"/>
        <v>2.1700000000000002E-4</v>
      </c>
      <c r="CO74" s="257">
        <f t="shared" si="88"/>
        <v>3.9719999999999998E-3</v>
      </c>
      <c r="CP74" s="257">
        <f t="shared" si="98"/>
        <v>5.0100000000000003E-4</v>
      </c>
      <c r="CQ74" s="257"/>
      <c r="CR74" s="206">
        <v>70</v>
      </c>
      <c r="CS74" s="257"/>
      <c r="CT74" s="257"/>
      <c r="CU74" s="257">
        <v>2.1700000000000002E-4</v>
      </c>
      <c r="CV74" s="257">
        <v>9.3999999999999994E-5</v>
      </c>
      <c r="CW74" s="257">
        <v>3.9719999999999998E-3</v>
      </c>
      <c r="CX74" s="257">
        <v>2.7309999999999999E-3</v>
      </c>
      <c r="CY74" s="257">
        <v>5.0100000000000003E-4</v>
      </c>
      <c r="CZ74" s="257">
        <v>7.8399999999999997E-4</v>
      </c>
      <c r="DA74" s="257"/>
      <c r="DB74" s="257"/>
      <c r="DC74" s="257"/>
      <c r="DD74" s="257"/>
    </row>
    <row r="75" spans="1:108">
      <c r="A75" s="305"/>
      <c r="D75" s="467" t="s">
        <v>60</v>
      </c>
      <c r="E75" s="467" t="s">
        <v>59</v>
      </c>
      <c r="F75" s="453" t="s">
        <v>235</v>
      </c>
      <c r="G75" s="468" t="s">
        <v>236</v>
      </c>
      <c r="H75" s="455" t="s">
        <v>237</v>
      </c>
      <c r="M75" s="154"/>
      <c r="N75" s="278" t="str">
        <f t="shared" si="106"/>
        <v/>
      </c>
      <c r="O75" s="279" t="str">
        <f t="shared" si="107"/>
        <v/>
      </c>
      <c r="P75" s="271" t="str">
        <f t="shared" si="101"/>
        <v/>
      </c>
      <c r="Q75" s="382" t="str">
        <f t="shared" si="102"/>
        <v/>
      </c>
      <c r="R75" s="382" t="str">
        <f t="shared" si="103"/>
        <v/>
      </c>
      <c r="S75" s="400" t="str">
        <f t="shared" si="56"/>
        <v/>
      </c>
      <c r="T75" s="382" t="str">
        <f>일반형!P75</f>
        <v/>
      </c>
      <c r="U75" s="382" t="str">
        <f>일반형!Q75</f>
        <v/>
      </c>
      <c r="V75" s="271" t="str">
        <f>일반형!R75</f>
        <v/>
      </c>
      <c r="W75" s="400" t="str">
        <f>일반형!S75</f>
        <v/>
      </c>
      <c r="X75" s="271" t="str">
        <f t="shared" si="104"/>
        <v/>
      </c>
      <c r="Y75" s="442" t="str">
        <f t="shared" si="57"/>
        <v/>
      </c>
      <c r="Z75" s="443" t="str">
        <f t="shared" si="105"/>
        <v/>
      </c>
      <c r="AB75" s="750" t="str">
        <f t="shared" si="89"/>
        <v/>
      </c>
      <c r="AC75" s="643" t="str">
        <f t="shared" si="58"/>
        <v/>
      </c>
      <c r="AD75" s="408"/>
      <c r="AE75" s="408" t="str">
        <f>IF(AB75="","",IF(AB75-$AB$4&lt;$F$5-1,INDEX(Main_무해지!$G$76:$G$87,MIN(AB75-$AB$4+1,12)),IF(AB75-$AB$4=$F$5-1,0,IF(AND($F$2=1,AB75&gt;109),0,IF(AND($F$2=2,AB75&gt;111),0,INDEX(Main_무해지!$H$76:$H$82,MIN(AB75-$AB$4-$F$5+1,7)))))))</f>
        <v/>
      </c>
      <c r="AF75" s="408" t="str">
        <f t="shared" si="99"/>
        <v/>
      </c>
      <c r="AG75" s="408" t="str">
        <f t="shared" si="59"/>
        <v/>
      </c>
      <c r="AH75" s="751" t="str">
        <f>IF($AB75="","",SUM(AG75:AG$114))</f>
        <v/>
      </c>
      <c r="AI75" s="408" t="str">
        <f t="shared" si="90"/>
        <v/>
      </c>
      <c r="AJ75" s="638" t="str">
        <f t="shared" si="60"/>
        <v/>
      </c>
      <c r="AK75" s="638"/>
      <c r="AL75" s="408" t="str">
        <f t="shared" si="61"/>
        <v/>
      </c>
      <c r="AM75" s="408" t="str">
        <f t="shared" si="100"/>
        <v/>
      </c>
      <c r="AN75" s="408" t="str">
        <f t="shared" si="62"/>
        <v/>
      </c>
      <c r="AO75" s="751" t="str">
        <f>IF($AB75="","",SUM(AN75:AN$114))</f>
        <v/>
      </c>
      <c r="AP75" s="752" t="str">
        <f t="shared" si="91"/>
        <v/>
      </c>
      <c r="AQ75" s="408" t="str">
        <f t="shared" si="63"/>
        <v/>
      </c>
      <c r="AR75" s="408" t="str">
        <f t="shared" si="64"/>
        <v/>
      </c>
      <c r="AS75" s="408" t="str">
        <f t="shared" si="65"/>
        <v/>
      </c>
      <c r="AT75" s="753" t="str">
        <f>IF($AB75="","",SUM($AU75:$AU$114))</f>
        <v/>
      </c>
      <c r="AU75" s="408" t="str">
        <f t="shared" si="92"/>
        <v/>
      </c>
      <c r="AV75" s="753" t="str">
        <f t="shared" si="66"/>
        <v/>
      </c>
      <c r="AW75" s="752"/>
      <c r="AX75" s="408" t="str">
        <f t="shared" si="67"/>
        <v/>
      </c>
      <c r="AY75" s="408" t="str">
        <f t="shared" si="68"/>
        <v/>
      </c>
      <c r="AZ75" s="408" t="str">
        <f t="shared" si="69"/>
        <v/>
      </c>
      <c r="BA75" s="753" t="str">
        <f>IF($AB75="","",SUM($AZ75:$AZ$114))</f>
        <v/>
      </c>
      <c r="BB75" s="752"/>
      <c r="BC75" s="408" t="str">
        <f t="shared" si="70"/>
        <v/>
      </c>
      <c r="BD75" s="408" t="str">
        <f t="shared" si="71"/>
        <v/>
      </c>
      <c r="BE75" s="408" t="str">
        <f t="shared" si="72"/>
        <v/>
      </c>
      <c r="BF75" s="753" t="str">
        <f>IF($AB75="","",SUM($BE75:$BE$114))</f>
        <v/>
      </c>
      <c r="BG75" s="752"/>
      <c r="BH75" s="408" t="str">
        <f t="shared" si="73"/>
        <v/>
      </c>
      <c r="BI75" s="408" t="str">
        <f t="shared" si="74"/>
        <v/>
      </c>
      <c r="BJ75" s="408" t="str">
        <f t="shared" si="75"/>
        <v/>
      </c>
      <c r="BK75" s="753" t="str">
        <f>IF($AB75="","",SUM($BJ75:$BJ$114))</f>
        <v/>
      </c>
      <c r="BL75" s="752"/>
      <c r="BM75" s="408" t="str">
        <f t="shared" si="76"/>
        <v/>
      </c>
      <c r="BN75" s="408" t="str">
        <f t="shared" si="77"/>
        <v/>
      </c>
      <c r="BO75" s="408" t="str">
        <f t="shared" si="78"/>
        <v/>
      </c>
      <c r="BP75" s="753" t="str">
        <f>IF($AB75="","",SUM($BO75:$BO$114))</f>
        <v/>
      </c>
      <c r="BQ75" s="752" t="str">
        <f t="shared" si="79"/>
        <v/>
      </c>
      <c r="BR75" s="408" t="str">
        <f t="shared" si="93"/>
        <v/>
      </c>
      <c r="BS75" s="408" t="str">
        <f t="shared" si="80"/>
        <v/>
      </c>
      <c r="BT75" s="408" t="str">
        <f t="shared" si="81"/>
        <v/>
      </c>
      <c r="BU75" s="408" t="str">
        <f t="shared" si="94"/>
        <v/>
      </c>
      <c r="BV75" s="408"/>
      <c r="BW75" s="408"/>
      <c r="BX75" s="408"/>
      <c r="BY75" s="408"/>
      <c r="BZ75" s="408" t="str">
        <f>IF($AB75="","",SUM(BU75:BU$114))</f>
        <v/>
      </c>
      <c r="CA75" s="754" t="str">
        <f>IF(AB75&lt;$E$3+$F$5,0,IFERROR(일반형!S77,0))</f>
        <v/>
      </c>
      <c r="CB75" s="754"/>
      <c r="CC75" s="755" t="str">
        <f t="shared" si="55"/>
        <v/>
      </c>
      <c r="CD75" s="408" t="str">
        <f t="shared" si="95"/>
        <v/>
      </c>
      <c r="CE75" s="408" t="str">
        <f t="shared" si="82"/>
        <v/>
      </c>
      <c r="CF75" s="408" t="str">
        <f t="shared" si="83"/>
        <v/>
      </c>
      <c r="CG75" s="408" t="str">
        <f t="shared" si="96"/>
        <v/>
      </c>
      <c r="CH75" s="408" t="str">
        <f t="shared" si="84"/>
        <v/>
      </c>
      <c r="CI75" s="756" t="str">
        <f t="shared" si="97"/>
        <v/>
      </c>
      <c r="CJ75" s="757" t="str">
        <f t="shared" si="85"/>
        <v/>
      </c>
      <c r="CK75" s="413"/>
      <c r="CL75" s="758">
        <v>71</v>
      </c>
      <c r="CM75" s="408">
        <f t="shared" si="86"/>
        <v>0</v>
      </c>
      <c r="CN75" s="408">
        <f t="shared" si="87"/>
        <v>2.1700000000000002E-4</v>
      </c>
      <c r="CO75" s="408">
        <f t="shared" si="88"/>
        <v>4.359E-3</v>
      </c>
      <c r="CP75" s="408">
        <f t="shared" si="98"/>
        <v>5.0100000000000003E-4</v>
      </c>
      <c r="CQ75" s="408"/>
      <c r="CR75" s="758">
        <v>71</v>
      </c>
      <c r="CS75" s="408"/>
      <c r="CT75" s="408"/>
      <c r="CU75" s="408">
        <v>2.1700000000000002E-4</v>
      </c>
      <c r="CV75" s="408">
        <v>9.3999999999999994E-5</v>
      </c>
      <c r="CW75" s="408">
        <v>4.359E-3</v>
      </c>
      <c r="CX75" s="408">
        <v>3.3930000000000002E-3</v>
      </c>
      <c r="CY75" s="408">
        <v>5.0100000000000003E-4</v>
      </c>
      <c r="CZ75" s="408">
        <v>7.8399999999999997E-4</v>
      </c>
      <c r="DA75" s="408"/>
      <c r="DB75" s="408"/>
      <c r="DC75" s="408"/>
      <c r="DD75" s="408"/>
    </row>
    <row r="76" spans="1:108">
      <c r="A76" s="305"/>
      <c r="D76" s="469" t="s">
        <v>438</v>
      </c>
      <c r="E76" s="469">
        <v>5</v>
      </c>
      <c r="F76" s="456">
        <v>1</v>
      </c>
      <c r="G76" s="470">
        <v>9.2499999999999999E-2</v>
      </c>
      <c r="H76" s="460">
        <v>0.21500000000000002</v>
      </c>
      <c r="M76" s="154"/>
      <c r="N76" s="280" t="str">
        <f t="shared" si="106"/>
        <v/>
      </c>
      <c r="O76" s="281" t="str">
        <f t="shared" si="107"/>
        <v/>
      </c>
      <c r="P76" s="282" t="str">
        <f t="shared" si="101"/>
        <v/>
      </c>
      <c r="Q76" s="383" t="str">
        <f t="shared" si="102"/>
        <v/>
      </c>
      <c r="R76" s="383" t="str">
        <f t="shared" si="103"/>
        <v/>
      </c>
      <c r="S76" s="402" t="str">
        <f t="shared" si="56"/>
        <v/>
      </c>
      <c r="T76" s="382" t="str">
        <f>일반형!P76</f>
        <v/>
      </c>
      <c r="U76" s="382" t="str">
        <f>일반형!Q76</f>
        <v/>
      </c>
      <c r="V76" s="282" t="str">
        <f>일반형!R76</f>
        <v/>
      </c>
      <c r="W76" s="402" t="str">
        <f>일반형!S76</f>
        <v/>
      </c>
      <c r="X76" s="282" t="str">
        <f t="shared" si="104"/>
        <v/>
      </c>
      <c r="Y76" s="446" t="str">
        <f t="shared" si="57"/>
        <v/>
      </c>
      <c r="Z76" s="447" t="str">
        <f t="shared" si="105"/>
        <v/>
      </c>
      <c r="AB76" s="52" t="str">
        <f t="shared" si="89"/>
        <v/>
      </c>
      <c r="AC76" s="644" t="str">
        <f t="shared" si="58"/>
        <v/>
      </c>
      <c r="AD76" s="254"/>
      <c r="AE76" s="254" t="str">
        <f>IF(AB76="","",IF(AB76-$AB$4&lt;$F$5-1,INDEX(Main_무해지!$G$76:$G$87,MIN(AB76-$AB$4+1,12)),IF(AB76-$AB$4=$F$5-1,0,IF(AND($F$2=1,AB76&gt;109),0,IF(AND($F$2=2,AB76&gt;111),0,INDEX(Main_무해지!$H$76:$H$82,MIN(AB76-$AB$4-$F$5+1,7)))))))</f>
        <v/>
      </c>
      <c r="AF76" s="254" t="str">
        <f t="shared" si="99"/>
        <v/>
      </c>
      <c r="AG76" s="254" t="str">
        <f t="shared" si="59"/>
        <v/>
      </c>
      <c r="AH76" s="54" t="str">
        <f>IF($AB76="","",SUM(AG76:AG$114))</f>
        <v/>
      </c>
      <c r="AI76" s="254" t="str">
        <f t="shared" si="90"/>
        <v/>
      </c>
      <c r="AJ76" s="56" t="str">
        <f t="shared" si="60"/>
        <v/>
      </c>
      <c r="AK76" s="56"/>
      <c r="AL76" s="254" t="str">
        <f t="shared" si="61"/>
        <v/>
      </c>
      <c r="AM76" s="254" t="str">
        <f t="shared" si="100"/>
        <v/>
      </c>
      <c r="AN76" s="254" t="str">
        <f t="shared" si="62"/>
        <v/>
      </c>
      <c r="AO76" s="54" t="str">
        <f>IF($AB76="","",SUM(AN76:AN$114))</f>
        <v/>
      </c>
      <c r="AP76" s="53" t="str">
        <f t="shared" si="91"/>
        <v/>
      </c>
      <c r="AQ76" s="254" t="str">
        <f t="shared" si="63"/>
        <v/>
      </c>
      <c r="AR76" s="254" t="str">
        <f t="shared" si="64"/>
        <v/>
      </c>
      <c r="AS76" s="254" t="str">
        <f t="shared" si="65"/>
        <v/>
      </c>
      <c r="AT76" s="57" t="str">
        <f>IF($AB76="","",SUM($AU76:$AU$114))</f>
        <v/>
      </c>
      <c r="AU76" s="254" t="str">
        <f t="shared" si="92"/>
        <v/>
      </c>
      <c r="AV76" s="57" t="str">
        <f t="shared" si="66"/>
        <v/>
      </c>
      <c r="AW76" s="53"/>
      <c r="AX76" s="254" t="str">
        <f t="shared" si="67"/>
        <v/>
      </c>
      <c r="AY76" s="254" t="str">
        <f t="shared" si="68"/>
        <v/>
      </c>
      <c r="AZ76" s="254" t="str">
        <f t="shared" si="69"/>
        <v/>
      </c>
      <c r="BA76" s="57" t="str">
        <f>IF($AB76="","",SUM($AZ76:$AZ$114))</f>
        <v/>
      </c>
      <c r="BB76" s="53"/>
      <c r="BC76" s="254" t="str">
        <f t="shared" si="70"/>
        <v/>
      </c>
      <c r="BD76" s="254" t="str">
        <f t="shared" si="71"/>
        <v/>
      </c>
      <c r="BE76" s="254" t="str">
        <f t="shared" si="72"/>
        <v/>
      </c>
      <c r="BF76" s="57" t="str">
        <f>IF($AB76="","",SUM($BE76:$BE$114))</f>
        <v/>
      </c>
      <c r="BG76" s="53"/>
      <c r="BH76" s="254" t="str">
        <f t="shared" si="73"/>
        <v/>
      </c>
      <c r="BI76" s="254" t="str">
        <f t="shared" si="74"/>
        <v/>
      </c>
      <c r="BJ76" s="254" t="str">
        <f t="shared" si="75"/>
        <v/>
      </c>
      <c r="BK76" s="57" t="str">
        <f>IF($AB76="","",SUM($BJ76:$BJ$114))</f>
        <v/>
      </c>
      <c r="BL76" s="53"/>
      <c r="BM76" s="254" t="str">
        <f t="shared" si="76"/>
        <v/>
      </c>
      <c r="BN76" s="254" t="str">
        <f t="shared" si="77"/>
        <v/>
      </c>
      <c r="BO76" s="254" t="str">
        <f t="shared" si="78"/>
        <v/>
      </c>
      <c r="BP76" s="57" t="str">
        <f>IF($AB76="","",SUM($BO76:$BO$114))</f>
        <v/>
      </c>
      <c r="BQ76" s="53" t="str">
        <f t="shared" si="79"/>
        <v/>
      </c>
      <c r="BR76" s="254" t="str">
        <f t="shared" si="93"/>
        <v/>
      </c>
      <c r="BS76" s="254" t="str">
        <f t="shared" si="80"/>
        <v/>
      </c>
      <c r="BT76" s="254" t="str">
        <f t="shared" si="81"/>
        <v/>
      </c>
      <c r="BU76" s="254" t="str">
        <f t="shared" si="94"/>
        <v/>
      </c>
      <c r="BV76" s="254"/>
      <c r="BW76" s="254"/>
      <c r="BX76" s="254"/>
      <c r="BY76" s="254"/>
      <c r="BZ76" s="407" t="str">
        <f>IF($AB76="","",SUM(BU76:BU$114))</f>
        <v/>
      </c>
      <c r="CA76" s="55" t="str">
        <f>IF(AB76&lt;$E$3+$F$5,0,IFERROR(일반형!S78,0))</f>
        <v/>
      </c>
      <c r="CB76" s="55"/>
      <c r="CC76" s="390" t="str">
        <f t="shared" si="55"/>
        <v/>
      </c>
      <c r="CD76" s="254" t="str">
        <f t="shared" si="95"/>
        <v/>
      </c>
      <c r="CE76" s="254" t="str">
        <f t="shared" si="82"/>
        <v/>
      </c>
      <c r="CF76" s="254" t="str">
        <f t="shared" si="83"/>
        <v/>
      </c>
      <c r="CG76" s="254" t="str">
        <f t="shared" si="96"/>
        <v/>
      </c>
      <c r="CH76" s="254" t="str">
        <f t="shared" si="84"/>
        <v/>
      </c>
      <c r="CI76" s="58" t="str">
        <f t="shared" si="97"/>
        <v/>
      </c>
      <c r="CJ76" s="59" t="str">
        <f t="shared" si="85"/>
        <v/>
      </c>
      <c r="CK76" s="236"/>
      <c r="CL76" s="203">
        <v>72</v>
      </c>
      <c r="CM76" s="254">
        <f t="shared" si="86"/>
        <v>0</v>
      </c>
      <c r="CN76" s="254">
        <f t="shared" si="87"/>
        <v>2.1700000000000002E-4</v>
      </c>
      <c r="CO76" s="254">
        <f t="shared" si="88"/>
        <v>4.7809999999999997E-3</v>
      </c>
      <c r="CP76" s="254">
        <f t="shared" si="98"/>
        <v>5.0100000000000003E-4</v>
      </c>
      <c r="CQ76" s="254"/>
      <c r="CR76" s="203">
        <v>72</v>
      </c>
      <c r="CS76" s="254"/>
      <c r="CT76" s="254"/>
      <c r="CU76" s="254">
        <v>2.1700000000000002E-4</v>
      </c>
      <c r="CV76" s="254">
        <v>9.3999999999999994E-5</v>
      </c>
      <c r="CW76" s="254">
        <v>4.7809999999999997E-3</v>
      </c>
      <c r="CX76" s="254">
        <v>5.1200000000000004E-3</v>
      </c>
      <c r="CY76" s="254">
        <v>5.0100000000000003E-4</v>
      </c>
      <c r="CZ76" s="254">
        <v>7.8399999999999997E-4</v>
      </c>
      <c r="DA76" s="254"/>
      <c r="DB76" s="254"/>
      <c r="DC76" s="254"/>
      <c r="DD76" s="254"/>
    </row>
    <row r="77" spans="1:108">
      <c r="A77" s="305"/>
      <c r="D77" s="637">
        <v>30</v>
      </c>
      <c r="E77" s="469">
        <v>10</v>
      </c>
      <c r="F77" s="456">
        <v>2</v>
      </c>
      <c r="G77" s="470">
        <v>0.13550000000000001</v>
      </c>
      <c r="H77" s="460">
        <v>3.2000000000000001E-2</v>
      </c>
      <c r="M77" s="154"/>
      <c r="N77" s="275" t="str">
        <f t="shared" si="106"/>
        <v/>
      </c>
      <c r="O77" s="276" t="str">
        <f t="shared" si="107"/>
        <v/>
      </c>
      <c r="P77" s="277" t="str">
        <f t="shared" si="101"/>
        <v/>
      </c>
      <c r="Q77" s="381" t="str">
        <f t="shared" si="102"/>
        <v/>
      </c>
      <c r="R77" s="381" t="str">
        <f t="shared" si="103"/>
        <v/>
      </c>
      <c r="S77" s="401" t="str">
        <f t="shared" si="56"/>
        <v/>
      </c>
      <c r="T77" s="382" t="str">
        <f>일반형!P77</f>
        <v/>
      </c>
      <c r="U77" s="382" t="str">
        <f>일반형!Q77</f>
        <v/>
      </c>
      <c r="V77" s="277" t="str">
        <f>일반형!R77</f>
        <v/>
      </c>
      <c r="W77" s="401" t="str">
        <f>일반형!S77</f>
        <v/>
      </c>
      <c r="X77" s="381" t="str">
        <f t="shared" si="104"/>
        <v/>
      </c>
      <c r="Y77" s="444" t="str">
        <f t="shared" si="57"/>
        <v/>
      </c>
      <c r="Z77" s="445" t="str">
        <f t="shared" si="105"/>
        <v/>
      </c>
      <c r="AB77" s="52" t="str">
        <f t="shared" si="89"/>
        <v/>
      </c>
      <c r="AC77" s="644" t="str">
        <f t="shared" si="58"/>
        <v/>
      </c>
      <c r="AD77" s="254"/>
      <c r="AE77" s="254" t="str">
        <f>IF(AB77="","",IF(AB77-$AB$4&lt;$F$5-1,INDEX(Main_무해지!$G$76:$G$87,MIN(AB77-$AB$4+1,12)),IF(AB77-$AB$4=$F$5-1,0,IF(AND($F$2=1,AB77&gt;109),0,IF(AND($F$2=2,AB77&gt;111),0,INDEX(Main_무해지!$H$76:$H$82,MIN(AB77-$AB$4-$F$5+1,7)))))))</f>
        <v/>
      </c>
      <c r="AF77" s="254" t="str">
        <f t="shared" si="99"/>
        <v/>
      </c>
      <c r="AG77" s="254" t="str">
        <f t="shared" si="59"/>
        <v/>
      </c>
      <c r="AH77" s="54" t="str">
        <f>IF($AB77="","",SUM(AG77:AG$114))</f>
        <v/>
      </c>
      <c r="AI77" s="254" t="str">
        <f t="shared" si="90"/>
        <v/>
      </c>
      <c r="AJ77" s="56" t="str">
        <f t="shared" si="60"/>
        <v/>
      </c>
      <c r="AK77" s="56"/>
      <c r="AL77" s="254" t="str">
        <f t="shared" si="61"/>
        <v/>
      </c>
      <c r="AM77" s="254" t="str">
        <f t="shared" si="100"/>
        <v/>
      </c>
      <c r="AN77" s="254" t="str">
        <f t="shared" si="62"/>
        <v/>
      </c>
      <c r="AO77" s="54" t="str">
        <f>IF($AB77="","",SUM(AN77:AN$114))</f>
        <v/>
      </c>
      <c r="AP77" s="53" t="str">
        <f t="shared" si="91"/>
        <v/>
      </c>
      <c r="AQ77" s="254" t="str">
        <f t="shared" si="63"/>
        <v/>
      </c>
      <c r="AR77" s="254" t="str">
        <f t="shared" si="64"/>
        <v/>
      </c>
      <c r="AS77" s="254" t="str">
        <f t="shared" si="65"/>
        <v/>
      </c>
      <c r="AT77" s="57" t="str">
        <f>IF($AB77="","",SUM($AU77:$AU$114))</f>
        <v/>
      </c>
      <c r="AU77" s="254" t="str">
        <f t="shared" si="92"/>
        <v/>
      </c>
      <c r="AV77" s="57" t="str">
        <f t="shared" si="66"/>
        <v/>
      </c>
      <c r="AW77" s="53"/>
      <c r="AX77" s="254" t="str">
        <f t="shared" si="67"/>
        <v/>
      </c>
      <c r="AY77" s="254" t="str">
        <f t="shared" si="68"/>
        <v/>
      </c>
      <c r="AZ77" s="254" t="str">
        <f t="shared" si="69"/>
        <v/>
      </c>
      <c r="BA77" s="57" t="str">
        <f>IF($AB77="","",SUM($AZ77:$AZ$114))</f>
        <v/>
      </c>
      <c r="BB77" s="53"/>
      <c r="BC77" s="254" t="str">
        <f t="shared" si="70"/>
        <v/>
      </c>
      <c r="BD77" s="254" t="str">
        <f t="shared" si="71"/>
        <v/>
      </c>
      <c r="BE77" s="254" t="str">
        <f t="shared" si="72"/>
        <v/>
      </c>
      <c r="BF77" s="57" t="str">
        <f>IF($AB77="","",SUM($BE77:$BE$114))</f>
        <v/>
      </c>
      <c r="BG77" s="53"/>
      <c r="BH77" s="254" t="str">
        <f t="shared" si="73"/>
        <v/>
      </c>
      <c r="BI77" s="254" t="str">
        <f t="shared" si="74"/>
        <v/>
      </c>
      <c r="BJ77" s="254" t="str">
        <f t="shared" si="75"/>
        <v/>
      </c>
      <c r="BK77" s="57" t="str">
        <f>IF($AB77="","",SUM($BJ77:$BJ$114))</f>
        <v/>
      </c>
      <c r="BL77" s="53"/>
      <c r="BM77" s="254" t="str">
        <f t="shared" si="76"/>
        <v/>
      </c>
      <c r="BN77" s="254" t="str">
        <f t="shared" si="77"/>
        <v/>
      </c>
      <c r="BO77" s="254" t="str">
        <f t="shared" si="78"/>
        <v/>
      </c>
      <c r="BP77" s="57" t="str">
        <f>IF($AB77="","",SUM($BO77:$BO$114))</f>
        <v/>
      </c>
      <c r="BQ77" s="53" t="str">
        <f t="shared" si="79"/>
        <v/>
      </c>
      <c r="BR77" s="254" t="str">
        <f t="shared" si="93"/>
        <v/>
      </c>
      <c r="BS77" s="254" t="str">
        <f t="shared" si="80"/>
        <v/>
      </c>
      <c r="BT77" s="254" t="str">
        <f t="shared" si="81"/>
        <v/>
      </c>
      <c r="BU77" s="254" t="str">
        <f t="shared" si="94"/>
        <v/>
      </c>
      <c r="BV77" s="254"/>
      <c r="BW77" s="254"/>
      <c r="BX77" s="254"/>
      <c r="BY77" s="254"/>
      <c r="BZ77" s="254" t="str">
        <f>IF($AB77="","",SUM(BU77:BU$114))</f>
        <v/>
      </c>
      <c r="CA77" s="55" t="str">
        <f>IF(AB77&lt;$E$3+$F$5,0,IFERROR(일반형!S79,0))</f>
        <v/>
      </c>
      <c r="CB77" s="55"/>
      <c r="CC77" s="390" t="str">
        <f t="shared" si="55"/>
        <v/>
      </c>
      <c r="CD77" s="254" t="str">
        <f t="shared" si="95"/>
        <v/>
      </c>
      <c r="CE77" s="254" t="str">
        <f t="shared" si="82"/>
        <v/>
      </c>
      <c r="CF77" s="254" t="str">
        <f t="shared" si="83"/>
        <v/>
      </c>
      <c r="CG77" s="254" t="str">
        <f t="shared" si="96"/>
        <v/>
      </c>
      <c r="CH77" s="254" t="str">
        <f t="shared" si="84"/>
        <v/>
      </c>
      <c r="CI77" s="58" t="str">
        <f t="shared" si="97"/>
        <v/>
      </c>
      <c r="CJ77" s="59" t="str">
        <f t="shared" si="85"/>
        <v/>
      </c>
      <c r="CK77" s="236"/>
      <c r="CL77" s="203">
        <v>73</v>
      </c>
      <c r="CM77" s="254">
        <f t="shared" si="86"/>
        <v>0</v>
      </c>
      <c r="CN77" s="254">
        <f t="shared" si="87"/>
        <v>2.1700000000000002E-4</v>
      </c>
      <c r="CO77" s="254">
        <f t="shared" si="88"/>
        <v>5.5189999999999996E-3</v>
      </c>
      <c r="CP77" s="254">
        <f t="shared" si="98"/>
        <v>5.0100000000000003E-4</v>
      </c>
      <c r="CQ77" s="254"/>
      <c r="CR77" s="203">
        <v>73</v>
      </c>
      <c r="CS77" s="254"/>
      <c r="CT77" s="254"/>
      <c r="CU77" s="254">
        <v>2.1700000000000002E-4</v>
      </c>
      <c r="CV77" s="254">
        <v>9.3999999999999994E-5</v>
      </c>
      <c r="CW77" s="254">
        <v>5.5189999999999996E-3</v>
      </c>
      <c r="CX77" s="254">
        <v>6.7970000000000001E-3</v>
      </c>
      <c r="CY77" s="254">
        <v>5.0100000000000003E-4</v>
      </c>
      <c r="CZ77" s="254">
        <v>7.8399999999999997E-4</v>
      </c>
      <c r="DA77" s="254"/>
      <c r="DB77" s="254"/>
      <c r="DC77" s="254"/>
      <c r="DD77" s="254"/>
    </row>
    <row r="78" spans="1:108">
      <c r="A78" s="305"/>
      <c r="D78" s="469">
        <v>100</v>
      </c>
      <c r="E78" s="469">
        <v>20</v>
      </c>
      <c r="F78" s="456">
        <v>3</v>
      </c>
      <c r="G78" s="470">
        <v>7.350000000000001E-2</v>
      </c>
      <c r="H78" s="460">
        <v>0.01</v>
      </c>
      <c r="M78" s="154"/>
      <c r="N78" s="278" t="str">
        <f t="shared" si="106"/>
        <v/>
      </c>
      <c r="O78" s="279" t="str">
        <f t="shared" si="107"/>
        <v/>
      </c>
      <c r="P78" s="271" t="str">
        <f t="shared" si="101"/>
        <v/>
      </c>
      <c r="Q78" s="382" t="str">
        <f t="shared" si="102"/>
        <v/>
      </c>
      <c r="R78" s="382" t="str">
        <f t="shared" si="103"/>
        <v/>
      </c>
      <c r="S78" s="400" t="str">
        <f t="shared" si="56"/>
        <v/>
      </c>
      <c r="T78" s="382" t="str">
        <f>일반형!P78</f>
        <v/>
      </c>
      <c r="U78" s="382" t="str">
        <f>일반형!Q78</f>
        <v/>
      </c>
      <c r="V78" s="271" t="str">
        <f>일반형!R78</f>
        <v/>
      </c>
      <c r="W78" s="400" t="str">
        <f>일반형!S78</f>
        <v/>
      </c>
      <c r="X78" s="382" t="str">
        <f t="shared" si="104"/>
        <v/>
      </c>
      <c r="Y78" s="442" t="str">
        <f t="shared" si="57"/>
        <v/>
      </c>
      <c r="Z78" s="443" t="str">
        <f t="shared" si="105"/>
        <v/>
      </c>
      <c r="AB78" s="52" t="str">
        <f t="shared" si="89"/>
        <v/>
      </c>
      <c r="AC78" s="644" t="str">
        <f t="shared" si="58"/>
        <v/>
      </c>
      <c r="AD78" s="254"/>
      <c r="AE78" s="254" t="str">
        <f>IF(AB78="","",IF(AB78-$AB$4&lt;$F$5-1,INDEX(Main_무해지!$G$76:$G$87,MIN(AB78-$AB$4+1,12)),IF(AB78-$AB$4=$F$5-1,0,IF(AND($F$2=1,AB78&gt;109),0,IF(AND($F$2=2,AB78&gt;111),0,INDEX(Main_무해지!$H$76:$H$82,MIN(AB78-$AB$4-$F$5+1,7)))))))</f>
        <v/>
      </c>
      <c r="AF78" s="254" t="str">
        <f t="shared" si="99"/>
        <v/>
      </c>
      <c r="AG78" s="254" t="str">
        <f t="shared" si="59"/>
        <v/>
      </c>
      <c r="AH78" s="54" t="str">
        <f>IF($AB78="","",SUM(AG78:AG$114))</f>
        <v/>
      </c>
      <c r="AI78" s="254" t="str">
        <f t="shared" si="90"/>
        <v/>
      </c>
      <c r="AJ78" s="56" t="str">
        <f t="shared" si="60"/>
        <v/>
      </c>
      <c r="AK78" s="56"/>
      <c r="AL78" s="254" t="str">
        <f t="shared" si="61"/>
        <v/>
      </c>
      <c r="AM78" s="254" t="str">
        <f t="shared" si="100"/>
        <v/>
      </c>
      <c r="AN78" s="254" t="str">
        <f t="shared" si="62"/>
        <v/>
      </c>
      <c r="AO78" s="54" t="str">
        <f>IF($AB78="","",SUM(AN78:AN$114))</f>
        <v/>
      </c>
      <c r="AP78" s="53" t="str">
        <f t="shared" si="91"/>
        <v/>
      </c>
      <c r="AQ78" s="254" t="str">
        <f t="shared" si="63"/>
        <v/>
      </c>
      <c r="AR78" s="254" t="str">
        <f t="shared" si="64"/>
        <v/>
      </c>
      <c r="AS78" s="254" t="str">
        <f t="shared" si="65"/>
        <v/>
      </c>
      <c r="AT78" s="57" t="str">
        <f>IF($AB78="","",SUM($AU78:$AU$114))</f>
        <v/>
      </c>
      <c r="AU78" s="254" t="str">
        <f t="shared" si="92"/>
        <v/>
      </c>
      <c r="AV78" s="57" t="str">
        <f t="shared" si="66"/>
        <v/>
      </c>
      <c r="AW78" s="53"/>
      <c r="AX78" s="254" t="str">
        <f t="shared" si="67"/>
        <v/>
      </c>
      <c r="AY78" s="254" t="str">
        <f t="shared" si="68"/>
        <v/>
      </c>
      <c r="AZ78" s="254" t="str">
        <f t="shared" si="69"/>
        <v/>
      </c>
      <c r="BA78" s="57" t="str">
        <f>IF($AB78="","",SUM($AZ78:$AZ$114))</f>
        <v/>
      </c>
      <c r="BB78" s="53"/>
      <c r="BC78" s="254" t="str">
        <f t="shared" si="70"/>
        <v/>
      </c>
      <c r="BD78" s="254" t="str">
        <f t="shared" si="71"/>
        <v/>
      </c>
      <c r="BE78" s="254" t="str">
        <f t="shared" si="72"/>
        <v/>
      </c>
      <c r="BF78" s="57" t="str">
        <f>IF($AB78="","",SUM($BE78:$BE$114))</f>
        <v/>
      </c>
      <c r="BG78" s="53"/>
      <c r="BH78" s="254" t="str">
        <f t="shared" si="73"/>
        <v/>
      </c>
      <c r="BI78" s="254" t="str">
        <f t="shared" si="74"/>
        <v/>
      </c>
      <c r="BJ78" s="254" t="str">
        <f t="shared" si="75"/>
        <v/>
      </c>
      <c r="BK78" s="57" t="str">
        <f>IF($AB78="","",SUM($BJ78:$BJ$114))</f>
        <v/>
      </c>
      <c r="BL78" s="53"/>
      <c r="BM78" s="254" t="str">
        <f t="shared" si="76"/>
        <v/>
      </c>
      <c r="BN78" s="254" t="str">
        <f t="shared" si="77"/>
        <v/>
      </c>
      <c r="BO78" s="254" t="str">
        <f t="shared" si="78"/>
        <v/>
      </c>
      <c r="BP78" s="57" t="str">
        <f>IF($AB78="","",SUM($BO78:$BO$114))</f>
        <v/>
      </c>
      <c r="BQ78" s="53" t="str">
        <f t="shared" si="79"/>
        <v/>
      </c>
      <c r="BR78" s="254" t="str">
        <f t="shared" si="93"/>
        <v/>
      </c>
      <c r="BS78" s="254" t="str">
        <f t="shared" si="80"/>
        <v/>
      </c>
      <c r="BT78" s="254" t="str">
        <f t="shared" si="81"/>
        <v/>
      </c>
      <c r="BU78" s="254" t="str">
        <f t="shared" si="94"/>
        <v/>
      </c>
      <c r="BV78" s="254"/>
      <c r="BW78" s="254"/>
      <c r="BX78" s="254"/>
      <c r="BY78" s="254"/>
      <c r="BZ78" s="254" t="str">
        <f>IF($AB78="","",SUM(BU78:BU$114))</f>
        <v/>
      </c>
      <c r="CA78" s="55" t="str">
        <f>IF(AB78&lt;$E$3+$F$5,0,IFERROR(일반형!S80,0))</f>
        <v/>
      </c>
      <c r="CB78" s="55"/>
      <c r="CC78" s="390" t="str">
        <f t="shared" si="55"/>
        <v/>
      </c>
      <c r="CD78" s="254" t="str">
        <f t="shared" si="95"/>
        <v/>
      </c>
      <c r="CE78" s="254" t="str">
        <f t="shared" si="82"/>
        <v/>
      </c>
      <c r="CF78" s="254" t="str">
        <f t="shared" si="83"/>
        <v/>
      </c>
      <c r="CG78" s="254" t="str">
        <f t="shared" si="96"/>
        <v/>
      </c>
      <c r="CH78" s="254" t="str">
        <f t="shared" si="84"/>
        <v/>
      </c>
      <c r="CI78" s="58" t="str">
        <f t="shared" si="97"/>
        <v/>
      </c>
      <c r="CJ78" s="59" t="str">
        <f t="shared" si="85"/>
        <v/>
      </c>
      <c r="CK78" s="236"/>
      <c r="CL78" s="203">
        <v>74</v>
      </c>
      <c r="CM78" s="254">
        <f t="shared" si="86"/>
        <v>0</v>
      </c>
      <c r="CN78" s="254">
        <f t="shared" si="87"/>
        <v>2.1700000000000002E-4</v>
      </c>
      <c r="CO78" s="254">
        <f t="shared" si="88"/>
        <v>6.378E-3</v>
      </c>
      <c r="CP78" s="254">
        <f t="shared" si="98"/>
        <v>5.0100000000000003E-4</v>
      </c>
      <c r="CQ78" s="254"/>
      <c r="CR78" s="203">
        <v>74</v>
      </c>
      <c r="CS78" s="254"/>
      <c r="CT78" s="254"/>
      <c r="CU78" s="254">
        <v>2.1700000000000002E-4</v>
      </c>
      <c r="CV78" s="254">
        <v>9.3999999999999994E-5</v>
      </c>
      <c r="CW78" s="254">
        <v>6.378E-3</v>
      </c>
      <c r="CX78" s="254">
        <v>9.0580000000000001E-3</v>
      </c>
      <c r="CY78" s="254">
        <v>5.0100000000000003E-4</v>
      </c>
      <c r="CZ78" s="254">
        <v>7.8399999999999997E-4</v>
      </c>
      <c r="DA78" s="254"/>
      <c r="DB78" s="254"/>
      <c r="DC78" s="254"/>
      <c r="DD78" s="254"/>
    </row>
    <row r="79" spans="1:108">
      <c r="A79" s="305"/>
      <c r="D79" s="469"/>
      <c r="E79" s="469">
        <v>30</v>
      </c>
      <c r="F79" s="456">
        <v>4</v>
      </c>
      <c r="G79" s="470">
        <v>5.5500000000000008E-2</v>
      </c>
      <c r="H79" s="460">
        <v>0.01</v>
      </c>
      <c r="M79" s="154"/>
      <c r="N79" s="278" t="str">
        <f t="shared" si="106"/>
        <v/>
      </c>
      <c r="O79" s="279" t="str">
        <f t="shared" si="107"/>
        <v/>
      </c>
      <c r="P79" s="271" t="str">
        <f t="shared" si="101"/>
        <v/>
      </c>
      <c r="Q79" s="382" t="str">
        <f t="shared" si="102"/>
        <v/>
      </c>
      <c r="R79" s="382" t="str">
        <f t="shared" si="103"/>
        <v/>
      </c>
      <c r="S79" s="400" t="str">
        <f t="shared" si="56"/>
        <v/>
      </c>
      <c r="T79" s="382" t="str">
        <f>일반형!P79</f>
        <v/>
      </c>
      <c r="U79" s="382" t="str">
        <f>일반형!Q79</f>
        <v/>
      </c>
      <c r="V79" s="271" t="str">
        <f>일반형!R79</f>
        <v/>
      </c>
      <c r="W79" s="400" t="str">
        <f>일반형!S79</f>
        <v/>
      </c>
      <c r="X79" s="382" t="str">
        <f t="shared" si="104"/>
        <v/>
      </c>
      <c r="Y79" s="442" t="str">
        <f t="shared" si="57"/>
        <v/>
      </c>
      <c r="Z79" s="443" t="str">
        <f t="shared" si="105"/>
        <v/>
      </c>
      <c r="AB79" s="60" t="str">
        <f t="shared" si="89"/>
        <v/>
      </c>
      <c r="AC79" s="645" t="str">
        <f t="shared" si="58"/>
        <v/>
      </c>
      <c r="AD79" s="255"/>
      <c r="AE79" s="255" t="str">
        <f>IF(AB79="","",IF(AB79-$AB$4&lt;$F$5-1,INDEX(Main_무해지!$G$76:$G$87,MIN(AB79-$AB$4+1,12)),IF(AB79-$AB$4=$F$5-1,0,IF(AND($F$2=1,AB79&gt;109),0,IF(AND($F$2=2,AB79&gt;111),0,INDEX(Main_무해지!$H$76:$H$82,MIN(AB79-$AB$4-$F$5+1,7)))))))</f>
        <v/>
      </c>
      <c r="AF79" s="255" t="str">
        <f t="shared" si="99"/>
        <v/>
      </c>
      <c r="AG79" s="255" t="str">
        <f t="shared" si="59"/>
        <v/>
      </c>
      <c r="AH79" s="62" t="str">
        <f>IF($AB79="","",SUM(AG79:AG$114))</f>
        <v/>
      </c>
      <c r="AI79" s="255" t="str">
        <f t="shared" si="90"/>
        <v/>
      </c>
      <c r="AJ79" s="64" t="str">
        <f t="shared" si="60"/>
        <v/>
      </c>
      <c r="AK79" s="64"/>
      <c r="AL79" s="255" t="str">
        <f t="shared" si="61"/>
        <v/>
      </c>
      <c r="AM79" s="255" t="str">
        <f t="shared" si="100"/>
        <v/>
      </c>
      <c r="AN79" s="255" t="str">
        <f t="shared" si="62"/>
        <v/>
      </c>
      <c r="AO79" s="62" t="str">
        <f>IF($AB79="","",SUM(AN79:AN$114))</f>
        <v/>
      </c>
      <c r="AP79" s="61" t="str">
        <f t="shared" si="91"/>
        <v/>
      </c>
      <c r="AQ79" s="255" t="str">
        <f t="shared" si="63"/>
        <v/>
      </c>
      <c r="AR79" s="255" t="str">
        <f t="shared" si="64"/>
        <v/>
      </c>
      <c r="AS79" s="255" t="str">
        <f t="shared" si="65"/>
        <v/>
      </c>
      <c r="AT79" s="65" t="str">
        <f>IF($AB79="","",SUM($AU79:$AU$114))</f>
        <v/>
      </c>
      <c r="AU79" s="255" t="str">
        <f t="shared" si="92"/>
        <v/>
      </c>
      <c r="AV79" s="65" t="str">
        <f t="shared" si="66"/>
        <v/>
      </c>
      <c r="AW79" s="61"/>
      <c r="AX79" s="255" t="str">
        <f t="shared" si="67"/>
        <v/>
      </c>
      <c r="AY79" s="255" t="str">
        <f t="shared" si="68"/>
        <v/>
      </c>
      <c r="AZ79" s="255" t="str">
        <f t="shared" si="69"/>
        <v/>
      </c>
      <c r="BA79" s="65" t="str">
        <f>IF($AB79="","",SUM($AZ79:$AZ$114))</f>
        <v/>
      </c>
      <c r="BB79" s="61"/>
      <c r="BC79" s="255" t="str">
        <f t="shared" si="70"/>
        <v/>
      </c>
      <c r="BD79" s="255" t="str">
        <f t="shared" si="71"/>
        <v/>
      </c>
      <c r="BE79" s="255" t="str">
        <f t="shared" si="72"/>
        <v/>
      </c>
      <c r="BF79" s="65" t="str">
        <f>IF($AB79="","",SUM($BE79:$BE$114))</f>
        <v/>
      </c>
      <c r="BG79" s="61"/>
      <c r="BH79" s="255" t="str">
        <f t="shared" si="73"/>
        <v/>
      </c>
      <c r="BI79" s="255" t="str">
        <f t="shared" si="74"/>
        <v/>
      </c>
      <c r="BJ79" s="255" t="str">
        <f t="shared" si="75"/>
        <v/>
      </c>
      <c r="BK79" s="65" t="str">
        <f>IF($AB79="","",SUM($BJ79:$BJ$114))</f>
        <v/>
      </c>
      <c r="BL79" s="61"/>
      <c r="BM79" s="255" t="str">
        <f t="shared" si="76"/>
        <v/>
      </c>
      <c r="BN79" s="255" t="str">
        <f t="shared" si="77"/>
        <v/>
      </c>
      <c r="BO79" s="255" t="str">
        <f t="shared" si="78"/>
        <v/>
      </c>
      <c r="BP79" s="65" t="str">
        <f>IF($AB79="","",SUM($BO79:$BO$114))</f>
        <v/>
      </c>
      <c r="BQ79" s="61" t="str">
        <f t="shared" si="79"/>
        <v/>
      </c>
      <c r="BR79" s="255" t="str">
        <f t="shared" si="93"/>
        <v/>
      </c>
      <c r="BS79" s="255" t="str">
        <f t="shared" si="80"/>
        <v/>
      </c>
      <c r="BT79" s="255" t="str">
        <f t="shared" si="81"/>
        <v/>
      </c>
      <c r="BU79" s="255" t="str">
        <f t="shared" si="94"/>
        <v/>
      </c>
      <c r="BV79" s="255"/>
      <c r="BW79" s="255"/>
      <c r="BX79" s="255"/>
      <c r="BY79" s="255"/>
      <c r="BZ79" s="255" t="str">
        <f>IF($AB79="","",SUM(BU79:BU$114))</f>
        <v/>
      </c>
      <c r="CA79" s="55" t="str">
        <f>IF(AB79&lt;$E$3+$F$5,0,IFERROR(일반형!S81,0))</f>
        <v/>
      </c>
      <c r="CB79" s="63"/>
      <c r="CC79" s="391" t="str">
        <f t="shared" si="55"/>
        <v/>
      </c>
      <c r="CD79" s="255" t="str">
        <f t="shared" si="95"/>
        <v/>
      </c>
      <c r="CE79" s="255" t="str">
        <f t="shared" si="82"/>
        <v/>
      </c>
      <c r="CF79" s="255" t="str">
        <f t="shared" si="83"/>
        <v/>
      </c>
      <c r="CG79" s="255" t="str">
        <f t="shared" si="96"/>
        <v/>
      </c>
      <c r="CH79" s="255" t="str">
        <f t="shared" si="84"/>
        <v/>
      </c>
      <c r="CI79" s="66" t="str">
        <f t="shared" si="97"/>
        <v/>
      </c>
      <c r="CJ79" s="67" t="str">
        <f t="shared" si="85"/>
        <v/>
      </c>
      <c r="CK79" s="237"/>
      <c r="CL79" s="204">
        <v>75</v>
      </c>
      <c r="CM79" s="255">
        <f t="shared" si="86"/>
        <v>0</v>
      </c>
      <c r="CN79" s="255">
        <f t="shared" si="87"/>
        <v>2.1700000000000002E-4</v>
      </c>
      <c r="CO79" s="255">
        <f t="shared" si="88"/>
        <v>7.3810000000000004E-3</v>
      </c>
      <c r="CP79" s="255">
        <f t="shared" si="98"/>
        <v>5.0100000000000003E-4</v>
      </c>
      <c r="CQ79" s="255"/>
      <c r="CR79" s="204">
        <v>75</v>
      </c>
      <c r="CS79" s="255"/>
      <c r="CT79" s="255"/>
      <c r="CU79" s="255">
        <v>2.1700000000000002E-4</v>
      </c>
      <c r="CV79" s="255">
        <v>9.3999999999999994E-5</v>
      </c>
      <c r="CW79" s="255">
        <v>7.3810000000000004E-3</v>
      </c>
      <c r="CX79" s="255">
        <v>1.2097999999999999E-2</v>
      </c>
      <c r="CY79" s="255">
        <v>5.0100000000000003E-4</v>
      </c>
      <c r="CZ79" s="255">
        <v>7.8399999999999997E-4</v>
      </c>
      <c r="DA79" s="255"/>
      <c r="DB79" s="255"/>
      <c r="DC79" s="255"/>
      <c r="DD79" s="255"/>
    </row>
    <row r="80" spans="1:108">
      <c r="A80" s="305"/>
      <c r="D80" s="469"/>
      <c r="E80" s="469"/>
      <c r="F80" s="456">
        <v>5</v>
      </c>
      <c r="G80" s="470">
        <v>0.06</v>
      </c>
      <c r="H80" s="460">
        <v>0.01</v>
      </c>
      <c r="M80" s="154"/>
      <c r="N80" s="278" t="str">
        <f t="shared" si="106"/>
        <v/>
      </c>
      <c r="O80" s="279" t="str">
        <f t="shared" si="107"/>
        <v/>
      </c>
      <c r="P80" s="271" t="str">
        <f t="shared" si="101"/>
        <v/>
      </c>
      <c r="Q80" s="382" t="str">
        <f t="shared" si="102"/>
        <v/>
      </c>
      <c r="R80" s="382" t="str">
        <f t="shared" si="103"/>
        <v/>
      </c>
      <c r="S80" s="400" t="str">
        <f t="shared" si="56"/>
        <v/>
      </c>
      <c r="T80" s="382" t="str">
        <f>일반형!P80</f>
        <v/>
      </c>
      <c r="U80" s="382" t="str">
        <f>일반형!Q80</f>
        <v/>
      </c>
      <c r="V80" s="271" t="str">
        <f>일반형!R80</f>
        <v/>
      </c>
      <c r="W80" s="400" t="str">
        <f>일반형!S80</f>
        <v/>
      </c>
      <c r="X80" s="382" t="str">
        <f t="shared" si="104"/>
        <v/>
      </c>
      <c r="Y80" s="442" t="str">
        <f t="shared" si="57"/>
        <v/>
      </c>
      <c r="Z80" s="443" t="str">
        <f t="shared" si="105"/>
        <v/>
      </c>
      <c r="AB80" s="759" t="str">
        <f t="shared" si="89"/>
        <v/>
      </c>
      <c r="AC80" s="646" t="str">
        <f t="shared" si="58"/>
        <v/>
      </c>
      <c r="AD80" s="409"/>
      <c r="AE80" s="409" t="str">
        <f>IF(AB80="","",IF(AB80-$AB$4&lt;$F$5-1,INDEX(Main_무해지!$G$76:$G$87,MIN(AB80-$AB$4+1,12)),IF(AB80-$AB$4=$F$5-1,0,IF(AND($F$2=1,AB80&gt;109),0,IF(AND($F$2=2,AB80&gt;111),0,INDEX(Main_무해지!$H$76:$H$82,MIN(AB80-$AB$4-$F$5+1,7)))))))</f>
        <v/>
      </c>
      <c r="AF80" s="409" t="str">
        <f t="shared" si="99"/>
        <v/>
      </c>
      <c r="AG80" s="409" t="str">
        <f t="shared" si="59"/>
        <v/>
      </c>
      <c r="AH80" s="760" t="str">
        <f>IF($AB80="","",SUM(AG80:AG$114))</f>
        <v/>
      </c>
      <c r="AI80" s="409" t="str">
        <f t="shared" si="90"/>
        <v/>
      </c>
      <c r="AJ80" s="639" t="str">
        <f t="shared" si="60"/>
        <v/>
      </c>
      <c r="AK80" s="639"/>
      <c r="AL80" s="409" t="str">
        <f t="shared" si="61"/>
        <v/>
      </c>
      <c r="AM80" s="409" t="str">
        <f t="shared" si="100"/>
        <v/>
      </c>
      <c r="AN80" s="409" t="str">
        <f t="shared" si="62"/>
        <v/>
      </c>
      <c r="AO80" s="760" t="str">
        <f>IF($AB80="","",SUM(AN80:AN$114))</f>
        <v/>
      </c>
      <c r="AP80" s="761" t="str">
        <f t="shared" si="91"/>
        <v/>
      </c>
      <c r="AQ80" s="409" t="str">
        <f t="shared" si="63"/>
        <v/>
      </c>
      <c r="AR80" s="409" t="str">
        <f t="shared" si="64"/>
        <v/>
      </c>
      <c r="AS80" s="409" t="str">
        <f t="shared" si="65"/>
        <v/>
      </c>
      <c r="AT80" s="762" t="str">
        <f>IF($AB80="","",SUM($AU80:$AU$114))</f>
        <v/>
      </c>
      <c r="AU80" s="409" t="str">
        <f t="shared" si="92"/>
        <v/>
      </c>
      <c r="AV80" s="762" t="str">
        <f t="shared" si="66"/>
        <v/>
      </c>
      <c r="AW80" s="761"/>
      <c r="AX80" s="409" t="str">
        <f t="shared" si="67"/>
        <v/>
      </c>
      <c r="AY80" s="409" t="str">
        <f t="shared" si="68"/>
        <v/>
      </c>
      <c r="AZ80" s="409" t="str">
        <f t="shared" si="69"/>
        <v/>
      </c>
      <c r="BA80" s="762" t="str">
        <f>IF($AB80="","",SUM($AZ80:$AZ$114))</f>
        <v/>
      </c>
      <c r="BB80" s="761"/>
      <c r="BC80" s="409" t="str">
        <f t="shared" si="70"/>
        <v/>
      </c>
      <c r="BD80" s="409" t="str">
        <f t="shared" si="71"/>
        <v/>
      </c>
      <c r="BE80" s="409" t="str">
        <f t="shared" si="72"/>
        <v/>
      </c>
      <c r="BF80" s="762" t="str">
        <f>IF($AB80="","",SUM($BE80:$BE$114))</f>
        <v/>
      </c>
      <c r="BG80" s="761"/>
      <c r="BH80" s="409" t="str">
        <f t="shared" si="73"/>
        <v/>
      </c>
      <c r="BI80" s="409" t="str">
        <f t="shared" si="74"/>
        <v/>
      </c>
      <c r="BJ80" s="409" t="str">
        <f t="shared" si="75"/>
        <v/>
      </c>
      <c r="BK80" s="762" t="str">
        <f>IF($AB80="","",SUM($BJ80:$BJ$114))</f>
        <v/>
      </c>
      <c r="BL80" s="761"/>
      <c r="BM80" s="409" t="str">
        <f t="shared" si="76"/>
        <v/>
      </c>
      <c r="BN80" s="409" t="str">
        <f t="shared" si="77"/>
        <v/>
      </c>
      <c r="BO80" s="409" t="str">
        <f t="shared" si="78"/>
        <v/>
      </c>
      <c r="BP80" s="762" t="str">
        <f>IF($AB80="","",SUM($BO80:$BO$114))</f>
        <v/>
      </c>
      <c r="BQ80" s="761" t="str">
        <f t="shared" si="79"/>
        <v/>
      </c>
      <c r="BR80" s="409" t="str">
        <f t="shared" si="93"/>
        <v/>
      </c>
      <c r="BS80" s="409" t="str">
        <f t="shared" si="80"/>
        <v/>
      </c>
      <c r="BT80" s="409" t="str">
        <f t="shared" si="81"/>
        <v/>
      </c>
      <c r="BU80" s="409" t="str">
        <f t="shared" si="94"/>
        <v/>
      </c>
      <c r="BV80" s="409"/>
      <c r="BW80" s="409"/>
      <c r="BX80" s="409"/>
      <c r="BY80" s="409"/>
      <c r="BZ80" s="409" t="str">
        <f>IF($AB80="","",SUM(BU80:BU$114))</f>
        <v/>
      </c>
      <c r="CA80" s="55" t="str">
        <f>IF(AB80&lt;$E$3+$F$5,0,IFERROR(일반형!S82,0))</f>
        <v/>
      </c>
      <c r="CB80" s="763"/>
      <c r="CC80" s="764" t="str">
        <f t="shared" si="55"/>
        <v/>
      </c>
      <c r="CD80" s="409" t="str">
        <f t="shared" si="95"/>
        <v/>
      </c>
      <c r="CE80" s="409" t="str">
        <f t="shared" si="82"/>
        <v/>
      </c>
      <c r="CF80" s="409" t="str">
        <f t="shared" si="83"/>
        <v/>
      </c>
      <c r="CG80" s="409" t="str">
        <f t="shared" si="96"/>
        <v/>
      </c>
      <c r="CH80" s="409" t="str">
        <f t="shared" si="84"/>
        <v/>
      </c>
      <c r="CI80" s="765" t="str">
        <f t="shared" si="97"/>
        <v/>
      </c>
      <c r="CJ80" s="766" t="str">
        <f t="shared" si="85"/>
        <v/>
      </c>
      <c r="CK80" s="414"/>
      <c r="CL80" s="767">
        <v>76</v>
      </c>
      <c r="CM80" s="409">
        <f t="shared" si="86"/>
        <v>0</v>
      </c>
      <c r="CN80" s="409">
        <f t="shared" si="87"/>
        <v>2.1700000000000002E-4</v>
      </c>
      <c r="CO80" s="409">
        <f t="shared" si="88"/>
        <v>8.6E-3</v>
      </c>
      <c r="CP80" s="409">
        <f t="shared" si="98"/>
        <v>5.0100000000000003E-4</v>
      </c>
      <c r="CQ80" s="409"/>
      <c r="CR80" s="767">
        <v>76</v>
      </c>
      <c r="CS80" s="409"/>
      <c r="CT80" s="409"/>
      <c r="CU80" s="409">
        <v>2.1700000000000002E-4</v>
      </c>
      <c r="CV80" s="409">
        <v>9.3999999999999994E-5</v>
      </c>
      <c r="CW80" s="409">
        <v>8.6E-3</v>
      </c>
      <c r="CX80" s="409">
        <v>1.2189E-2</v>
      </c>
      <c r="CY80" s="409">
        <v>5.0100000000000003E-4</v>
      </c>
      <c r="CZ80" s="409">
        <v>7.8399999999999997E-4</v>
      </c>
      <c r="DA80" s="409"/>
      <c r="DB80" s="409"/>
      <c r="DC80" s="409"/>
      <c r="DD80" s="409"/>
    </row>
    <row r="81" spans="1:108">
      <c r="A81" s="305"/>
      <c r="D81" s="469"/>
      <c r="E81" s="469"/>
      <c r="F81" s="456">
        <v>6</v>
      </c>
      <c r="G81" s="470">
        <v>3.2500000000000001E-2</v>
      </c>
      <c r="H81" s="460">
        <v>8.0000000000000002E-3</v>
      </c>
      <c r="M81" s="154"/>
      <c r="N81" s="280" t="str">
        <f t="shared" si="106"/>
        <v/>
      </c>
      <c r="O81" s="281" t="str">
        <f t="shared" si="107"/>
        <v/>
      </c>
      <c r="P81" s="282" t="str">
        <f t="shared" si="101"/>
        <v/>
      </c>
      <c r="Q81" s="383" t="str">
        <f t="shared" si="102"/>
        <v/>
      </c>
      <c r="R81" s="383" t="str">
        <f t="shared" si="103"/>
        <v/>
      </c>
      <c r="S81" s="402" t="str">
        <f t="shared" si="56"/>
        <v/>
      </c>
      <c r="T81" s="382" t="str">
        <f>일반형!P81</f>
        <v/>
      </c>
      <c r="U81" s="382" t="str">
        <f>일반형!Q81</f>
        <v/>
      </c>
      <c r="V81" s="282" t="str">
        <f>일반형!R81</f>
        <v/>
      </c>
      <c r="W81" s="402" t="str">
        <f>일반형!S81</f>
        <v/>
      </c>
      <c r="X81" s="383" t="str">
        <f t="shared" si="104"/>
        <v/>
      </c>
      <c r="Y81" s="446" t="str">
        <f t="shared" si="57"/>
        <v/>
      </c>
      <c r="Z81" s="447" t="str">
        <f t="shared" si="105"/>
        <v/>
      </c>
      <c r="AB81" s="101" t="str">
        <f t="shared" si="89"/>
        <v/>
      </c>
      <c r="AC81" s="649" t="str">
        <f t="shared" si="58"/>
        <v/>
      </c>
      <c r="AD81" s="258"/>
      <c r="AE81" s="258" t="str">
        <f>IF(AB81="","",IF(AB81-$AB$4&lt;$F$5-1,INDEX(Main_무해지!$G$76:$G$87,MIN(AB81-$AB$4+1,12)),IF(AB81-$AB$4=$F$5-1,0,IF(AND($F$2=1,AB81&gt;109),0,IF(AND($F$2=2,AB81&gt;111),0,INDEX(Main_무해지!$H$76:$H$82,MIN(AB81-$AB$4-$F$5+1,7)))))))</f>
        <v/>
      </c>
      <c r="AF81" s="258" t="str">
        <f t="shared" si="99"/>
        <v/>
      </c>
      <c r="AG81" s="258" t="str">
        <f t="shared" si="59"/>
        <v/>
      </c>
      <c r="AH81" s="102" t="str">
        <f>IF($AB81="","",SUM(AG81:AG$114))</f>
        <v/>
      </c>
      <c r="AI81" s="258" t="str">
        <f t="shared" si="90"/>
        <v/>
      </c>
      <c r="AJ81" s="308" t="str">
        <f t="shared" si="60"/>
        <v/>
      </c>
      <c r="AK81" s="308"/>
      <c r="AL81" s="258" t="str">
        <f t="shared" si="61"/>
        <v/>
      </c>
      <c r="AM81" s="258" t="str">
        <f t="shared" si="100"/>
        <v/>
      </c>
      <c r="AN81" s="258" t="str">
        <f t="shared" si="62"/>
        <v/>
      </c>
      <c r="AO81" s="102" t="str">
        <f>IF($AB81="","",SUM(AN81:AN$114))</f>
        <v/>
      </c>
      <c r="AP81" s="285" t="str">
        <f t="shared" si="91"/>
        <v/>
      </c>
      <c r="AQ81" s="258" t="str">
        <f t="shared" si="63"/>
        <v/>
      </c>
      <c r="AR81" s="258" t="str">
        <f t="shared" si="64"/>
        <v/>
      </c>
      <c r="AS81" s="258" t="str">
        <f t="shared" si="65"/>
        <v/>
      </c>
      <c r="AT81" s="315" t="str">
        <f>IF($AB81="","",SUM($AU81:$AU$114))</f>
        <v/>
      </c>
      <c r="AU81" s="258" t="str">
        <f t="shared" si="92"/>
        <v/>
      </c>
      <c r="AV81" s="315" t="str">
        <f t="shared" si="66"/>
        <v/>
      </c>
      <c r="AW81" s="285"/>
      <c r="AX81" s="258" t="str">
        <f t="shared" si="67"/>
        <v/>
      </c>
      <c r="AY81" s="258" t="str">
        <f t="shared" si="68"/>
        <v/>
      </c>
      <c r="AZ81" s="258" t="str">
        <f t="shared" si="69"/>
        <v/>
      </c>
      <c r="BA81" s="315" t="str">
        <f>IF($AB81="","",SUM($AZ81:$AZ$114))</f>
        <v/>
      </c>
      <c r="BB81" s="285"/>
      <c r="BC81" s="258" t="str">
        <f t="shared" si="70"/>
        <v/>
      </c>
      <c r="BD81" s="258" t="str">
        <f t="shared" si="71"/>
        <v/>
      </c>
      <c r="BE81" s="258" t="str">
        <f t="shared" si="72"/>
        <v/>
      </c>
      <c r="BF81" s="315" t="str">
        <f>IF($AB81="","",SUM($BE81:$BE$114))</f>
        <v/>
      </c>
      <c r="BG81" s="285"/>
      <c r="BH81" s="258" t="str">
        <f t="shared" si="73"/>
        <v/>
      </c>
      <c r="BI81" s="258" t="str">
        <f t="shared" si="74"/>
        <v/>
      </c>
      <c r="BJ81" s="258" t="str">
        <f t="shared" si="75"/>
        <v/>
      </c>
      <c r="BK81" s="315" t="str">
        <f>IF($AB81="","",SUM($BJ81:$BJ$114))</f>
        <v/>
      </c>
      <c r="BL81" s="285"/>
      <c r="BM81" s="258" t="str">
        <f t="shared" si="76"/>
        <v/>
      </c>
      <c r="BN81" s="258" t="str">
        <f t="shared" si="77"/>
        <v/>
      </c>
      <c r="BO81" s="258" t="str">
        <f t="shared" si="78"/>
        <v/>
      </c>
      <c r="BP81" s="315" t="str">
        <f>IF($AB81="","",SUM($BO81:$BO$114))</f>
        <v/>
      </c>
      <c r="BQ81" s="285" t="str">
        <f t="shared" si="79"/>
        <v/>
      </c>
      <c r="BR81" s="258" t="str">
        <f t="shared" si="93"/>
        <v/>
      </c>
      <c r="BS81" s="258" t="str">
        <f t="shared" si="80"/>
        <v/>
      </c>
      <c r="BT81" s="258" t="str">
        <f t="shared" si="81"/>
        <v/>
      </c>
      <c r="BU81" s="258" t="str">
        <f t="shared" si="94"/>
        <v/>
      </c>
      <c r="BV81" s="258"/>
      <c r="BW81" s="258"/>
      <c r="BX81" s="258"/>
      <c r="BY81" s="258"/>
      <c r="BZ81" s="258" t="str">
        <f>IF($AB81="","",SUM(BU81:BU$114))</f>
        <v/>
      </c>
      <c r="CA81" s="55" t="str">
        <f>IF(AB81&lt;$E$3+$F$5,0,IFERROR(일반형!S83,0))</f>
        <v/>
      </c>
      <c r="CB81" s="103"/>
      <c r="CC81" s="394" t="str">
        <f t="shared" si="55"/>
        <v/>
      </c>
      <c r="CD81" s="258" t="str">
        <f t="shared" si="95"/>
        <v/>
      </c>
      <c r="CE81" s="258" t="str">
        <f t="shared" si="82"/>
        <v/>
      </c>
      <c r="CF81" s="258" t="str">
        <f t="shared" si="83"/>
        <v/>
      </c>
      <c r="CG81" s="258" t="str">
        <f t="shared" si="96"/>
        <v/>
      </c>
      <c r="CH81" s="258" t="str">
        <f t="shared" si="84"/>
        <v/>
      </c>
      <c r="CI81" s="104" t="str">
        <f t="shared" si="97"/>
        <v/>
      </c>
      <c r="CJ81" s="105" t="str">
        <f t="shared" si="85"/>
        <v/>
      </c>
      <c r="CK81" s="240"/>
      <c r="CL81" s="207">
        <v>77</v>
      </c>
      <c r="CM81" s="258">
        <f t="shared" si="86"/>
        <v>0</v>
      </c>
      <c r="CN81" s="258">
        <f t="shared" si="87"/>
        <v>2.1700000000000002E-4</v>
      </c>
      <c r="CO81" s="258">
        <f t="shared" si="88"/>
        <v>1.0853E-2</v>
      </c>
      <c r="CP81" s="258">
        <f t="shared" si="98"/>
        <v>5.0100000000000003E-4</v>
      </c>
      <c r="CQ81" s="258"/>
      <c r="CR81" s="207">
        <v>77</v>
      </c>
      <c r="CS81" s="258"/>
      <c r="CT81" s="258"/>
      <c r="CU81" s="258">
        <v>2.1700000000000002E-4</v>
      </c>
      <c r="CV81" s="258">
        <v>9.3999999999999994E-5</v>
      </c>
      <c r="CW81" s="258">
        <v>1.0853E-2</v>
      </c>
      <c r="CX81" s="258">
        <v>1.2282E-2</v>
      </c>
      <c r="CY81" s="258">
        <v>5.0100000000000003E-4</v>
      </c>
      <c r="CZ81" s="258">
        <v>7.8399999999999997E-4</v>
      </c>
      <c r="DA81" s="258"/>
      <c r="DB81" s="258"/>
      <c r="DC81" s="258"/>
      <c r="DD81" s="258"/>
    </row>
    <row r="82" spans="1:108">
      <c r="A82" s="305"/>
      <c r="D82" s="469"/>
      <c r="E82" s="469"/>
      <c r="F82" s="456">
        <v>7</v>
      </c>
      <c r="G82" s="470">
        <v>2.9500000000000002E-2</v>
      </c>
      <c r="H82" s="460">
        <v>0.01</v>
      </c>
      <c r="M82" s="154"/>
      <c r="N82" s="275" t="str">
        <f t="shared" si="106"/>
        <v/>
      </c>
      <c r="O82" s="276" t="str">
        <f t="shared" si="107"/>
        <v/>
      </c>
      <c r="P82" s="277" t="str">
        <f t="shared" si="101"/>
        <v/>
      </c>
      <c r="Q82" s="381" t="str">
        <f t="shared" si="102"/>
        <v/>
      </c>
      <c r="R82" s="381" t="str">
        <f t="shared" si="103"/>
        <v/>
      </c>
      <c r="S82" s="401" t="str">
        <f t="shared" si="56"/>
        <v/>
      </c>
      <c r="T82" s="382" t="str">
        <f>일반형!P82</f>
        <v/>
      </c>
      <c r="U82" s="382" t="str">
        <f>일반형!Q82</f>
        <v/>
      </c>
      <c r="V82" s="277" t="str">
        <f>일반형!R82</f>
        <v/>
      </c>
      <c r="W82" s="401" t="str">
        <f>일반형!S82</f>
        <v/>
      </c>
      <c r="X82" s="381" t="str">
        <f t="shared" si="104"/>
        <v/>
      </c>
      <c r="Y82" s="444" t="str">
        <f t="shared" si="57"/>
        <v/>
      </c>
      <c r="Z82" s="445" t="str">
        <f t="shared" si="105"/>
        <v/>
      </c>
      <c r="AB82" s="101" t="str">
        <f t="shared" si="89"/>
        <v/>
      </c>
      <c r="AC82" s="649" t="str">
        <f t="shared" si="58"/>
        <v/>
      </c>
      <c r="AD82" s="258"/>
      <c r="AE82" s="258" t="str">
        <f>IF(AB82="","",IF(AB82-$AB$4&lt;$F$5-1,INDEX(Main_무해지!$G$76:$G$87,MIN(AB82-$AB$4+1,12)),IF(AB82-$AB$4=$F$5-1,0,IF(AND($F$2=1,AB82&gt;109),0,IF(AND($F$2=2,AB82&gt;111),0,INDEX(Main_무해지!$H$76:$H$82,MIN(AB82-$AB$4-$F$5+1,7)))))))</f>
        <v/>
      </c>
      <c r="AF82" s="258" t="str">
        <f t="shared" si="99"/>
        <v/>
      </c>
      <c r="AG82" s="258" t="str">
        <f t="shared" si="59"/>
        <v/>
      </c>
      <c r="AH82" s="102" t="str">
        <f>IF($AB82="","",SUM(AG82:AG$114))</f>
        <v/>
      </c>
      <c r="AI82" s="258" t="str">
        <f t="shared" si="90"/>
        <v/>
      </c>
      <c r="AJ82" s="308" t="str">
        <f t="shared" si="60"/>
        <v/>
      </c>
      <c r="AK82" s="308"/>
      <c r="AL82" s="258" t="str">
        <f t="shared" si="61"/>
        <v/>
      </c>
      <c r="AM82" s="258" t="str">
        <f t="shared" si="100"/>
        <v/>
      </c>
      <c r="AN82" s="258" t="str">
        <f t="shared" si="62"/>
        <v/>
      </c>
      <c r="AO82" s="102" t="str">
        <f>IF($AB82="","",SUM(AN82:AN$114))</f>
        <v/>
      </c>
      <c r="AP82" s="285" t="str">
        <f t="shared" si="91"/>
        <v/>
      </c>
      <c r="AQ82" s="258" t="str">
        <f t="shared" si="63"/>
        <v/>
      </c>
      <c r="AR82" s="258" t="str">
        <f t="shared" si="64"/>
        <v/>
      </c>
      <c r="AS82" s="258" t="str">
        <f t="shared" si="65"/>
        <v/>
      </c>
      <c r="AT82" s="315" t="str">
        <f>IF($AB82="","",SUM($AU82:$AU$114))</f>
        <v/>
      </c>
      <c r="AU82" s="258" t="str">
        <f t="shared" si="92"/>
        <v/>
      </c>
      <c r="AV82" s="315" t="str">
        <f t="shared" si="66"/>
        <v/>
      </c>
      <c r="AW82" s="285"/>
      <c r="AX82" s="258" t="str">
        <f t="shared" si="67"/>
        <v/>
      </c>
      <c r="AY82" s="258" t="str">
        <f t="shared" si="68"/>
        <v/>
      </c>
      <c r="AZ82" s="258" t="str">
        <f t="shared" si="69"/>
        <v/>
      </c>
      <c r="BA82" s="315" t="str">
        <f>IF($AB82="","",SUM($AZ82:$AZ$114))</f>
        <v/>
      </c>
      <c r="BB82" s="285"/>
      <c r="BC82" s="258" t="str">
        <f t="shared" si="70"/>
        <v/>
      </c>
      <c r="BD82" s="258" t="str">
        <f t="shared" si="71"/>
        <v/>
      </c>
      <c r="BE82" s="258" t="str">
        <f t="shared" si="72"/>
        <v/>
      </c>
      <c r="BF82" s="315" t="str">
        <f>IF($AB82="","",SUM($BE82:$BE$114))</f>
        <v/>
      </c>
      <c r="BG82" s="285"/>
      <c r="BH82" s="258" t="str">
        <f t="shared" si="73"/>
        <v/>
      </c>
      <c r="BI82" s="258" t="str">
        <f t="shared" si="74"/>
        <v/>
      </c>
      <c r="BJ82" s="258" t="str">
        <f t="shared" si="75"/>
        <v/>
      </c>
      <c r="BK82" s="315" t="str">
        <f>IF($AB82="","",SUM($BJ82:$BJ$114))</f>
        <v/>
      </c>
      <c r="BL82" s="285"/>
      <c r="BM82" s="258" t="str">
        <f t="shared" si="76"/>
        <v/>
      </c>
      <c r="BN82" s="258" t="str">
        <f t="shared" si="77"/>
        <v/>
      </c>
      <c r="BO82" s="258" t="str">
        <f t="shared" si="78"/>
        <v/>
      </c>
      <c r="BP82" s="315" t="str">
        <f>IF($AB82="","",SUM($BO82:$BO$114))</f>
        <v/>
      </c>
      <c r="BQ82" s="285" t="str">
        <f t="shared" si="79"/>
        <v/>
      </c>
      <c r="BR82" s="258" t="str">
        <f t="shared" si="93"/>
        <v/>
      </c>
      <c r="BS82" s="258" t="str">
        <f t="shared" si="80"/>
        <v/>
      </c>
      <c r="BT82" s="258" t="str">
        <f t="shared" si="81"/>
        <v/>
      </c>
      <c r="BU82" s="258" t="str">
        <f t="shared" si="94"/>
        <v/>
      </c>
      <c r="BV82" s="258"/>
      <c r="BW82" s="258"/>
      <c r="BX82" s="258"/>
      <c r="BY82" s="258"/>
      <c r="BZ82" s="258" t="str">
        <f>IF($AB82="","",SUM(BU82:BU$114))</f>
        <v/>
      </c>
      <c r="CA82" s="55" t="str">
        <f>IF(AB82&lt;$E$3+$F$5,0,IFERROR(일반형!S84,0))</f>
        <v/>
      </c>
      <c r="CB82" s="103"/>
      <c r="CC82" s="394" t="str">
        <f t="shared" si="55"/>
        <v/>
      </c>
      <c r="CD82" s="258" t="str">
        <f t="shared" si="95"/>
        <v/>
      </c>
      <c r="CE82" s="258" t="str">
        <f t="shared" si="82"/>
        <v/>
      </c>
      <c r="CF82" s="258" t="str">
        <f t="shared" si="83"/>
        <v/>
      </c>
      <c r="CG82" s="258" t="str">
        <f t="shared" si="96"/>
        <v/>
      </c>
      <c r="CH82" s="258" t="str">
        <f t="shared" si="84"/>
        <v/>
      </c>
      <c r="CI82" s="104" t="str">
        <f t="shared" si="97"/>
        <v/>
      </c>
      <c r="CJ82" s="105" t="str">
        <f t="shared" si="85"/>
        <v/>
      </c>
      <c r="CK82" s="240"/>
      <c r="CL82" s="207">
        <v>78</v>
      </c>
      <c r="CM82" s="258">
        <f t="shared" si="86"/>
        <v>0</v>
      </c>
      <c r="CN82" s="258">
        <f t="shared" si="87"/>
        <v>2.1700000000000002E-4</v>
      </c>
      <c r="CO82" s="258">
        <f t="shared" si="88"/>
        <v>1.2956000000000001E-2</v>
      </c>
      <c r="CP82" s="258">
        <f t="shared" si="98"/>
        <v>5.0100000000000003E-4</v>
      </c>
      <c r="CQ82" s="258"/>
      <c r="CR82" s="207">
        <v>78</v>
      </c>
      <c r="CS82" s="258"/>
      <c r="CT82" s="258"/>
      <c r="CU82" s="258">
        <v>2.1700000000000002E-4</v>
      </c>
      <c r="CV82" s="258">
        <v>9.3999999999999994E-5</v>
      </c>
      <c r="CW82" s="258">
        <v>1.2956000000000001E-2</v>
      </c>
      <c r="CX82" s="258">
        <v>1.2375000000000001E-2</v>
      </c>
      <c r="CY82" s="258">
        <v>5.0100000000000003E-4</v>
      </c>
      <c r="CZ82" s="258">
        <v>7.8399999999999997E-4</v>
      </c>
      <c r="DA82" s="258"/>
      <c r="DB82" s="258"/>
      <c r="DC82" s="258"/>
      <c r="DD82" s="258"/>
    </row>
    <row r="83" spans="1:108">
      <c r="A83" s="305"/>
      <c r="D83" s="469"/>
      <c r="E83" s="469"/>
      <c r="F83" s="456">
        <v>8</v>
      </c>
      <c r="G83" s="470">
        <v>2.6000000000000002E-2</v>
      </c>
      <c r="H83" s="460"/>
      <c r="M83" s="154"/>
      <c r="N83" s="278" t="str">
        <f t="shared" si="106"/>
        <v/>
      </c>
      <c r="O83" s="279" t="str">
        <f t="shared" si="107"/>
        <v/>
      </c>
      <c r="P83" s="271" t="str">
        <f t="shared" si="101"/>
        <v/>
      </c>
      <c r="Q83" s="271" t="str">
        <f t="shared" si="102"/>
        <v/>
      </c>
      <c r="R83" s="271" t="str">
        <f t="shared" si="103"/>
        <v/>
      </c>
      <c r="S83" s="400" t="str">
        <f t="shared" si="56"/>
        <v/>
      </c>
      <c r="T83" s="382" t="str">
        <f>일반형!P83</f>
        <v/>
      </c>
      <c r="U83" s="382" t="str">
        <f>일반형!Q83</f>
        <v/>
      </c>
      <c r="V83" s="271" t="str">
        <f>일반형!R83</f>
        <v/>
      </c>
      <c r="W83" s="400" t="str">
        <f>일반형!S83</f>
        <v/>
      </c>
      <c r="X83" s="271" t="str">
        <f t="shared" si="104"/>
        <v/>
      </c>
      <c r="Y83" s="442" t="str">
        <f t="shared" si="57"/>
        <v/>
      </c>
      <c r="Z83" s="443" t="str">
        <f t="shared" si="105"/>
        <v/>
      </c>
      <c r="AB83" s="101" t="str">
        <f t="shared" si="89"/>
        <v/>
      </c>
      <c r="AC83" s="649" t="str">
        <f t="shared" si="58"/>
        <v/>
      </c>
      <c r="AD83" s="258"/>
      <c r="AE83" s="258" t="str">
        <f>IF(AB83="","",IF(AB83-$AB$4&lt;$F$5-1,INDEX(Main_무해지!$G$76:$G$87,MIN(AB83-$AB$4+1,12)),IF(AB83-$AB$4=$F$5-1,0,IF(AND($F$2=1,AB83&gt;109),0,IF(AND($F$2=2,AB83&gt;111),0,INDEX(Main_무해지!$H$76:$H$82,MIN(AB83-$AB$4-$F$5+1,7)))))))</f>
        <v/>
      </c>
      <c r="AF83" s="258" t="str">
        <f t="shared" si="99"/>
        <v/>
      </c>
      <c r="AG83" s="258" t="str">
        <f t="shared" si="59"/>
        <v/>
      </c>
      <c r="AH83" s="102" t="str">
        <f>IF($AB83="","",SUM(AG83:AG$114))</f>
        <v/>
      </c>
      <c r="AI83" s="258" t="str">
        <f t="shared" si="90"/>
        <v/>
      </c>
      <c r="AJ83" s="308" t="str">
        <f t="shared" si="60"/>
        <v/>
      </c>
      <c r="AK83" s="308"/>
      <c r="AL83" s="258" t="str">
        <f t="shared" si="61"/>
        <v/>
      </c>
      <c r="AM83" s="258" t="str">
        <f t="shared" si="100"/>
        <v/>
      </c>
      <c r="AN83" s="258" t="str">
        <f t="shared" si="62"/>
        <v/>
      </c>
      <c r="AO83" s="102" t="str">
        <f>IF($AB83="","",SUM(AN83:AN$114))</f>
        <v/>
      </c>
      <c r="AP83" s="285" t="str">
        <f t="shared" si="91"/>
        <v/>
      </c>
      <c r="AQ83" s="258" t="str">
        <f t="shared" si="63"/>
        <v/>
      </c>
      <c r="AR83" s="258" t="str">
        <f t="shared" si="64"/>
        <v/>
      </c>
      <c r="AS83" s="258" t="str">
        <f t="shared" si="65"/>
        <v/>
      </c>
      <c r="AT83" s="315" t="str">
        <f>IF($AB83="","",SUM($AU83:$AU$114))</f>
        <v/>
      </c>
      <c r="AU83" s="258" t="str">
        <f t="shared" si="92"/>
        <v/>
      </c>
      <c r="AV83" s="315" t="str">
        <f t="shared" si="66"/>
        <v/>
      </c>
      <c r="AW83" s="285"/>
      <c r="AX83" s="258" t="str">
        <f t="shared" si="67"/>
        <v/>
      </c>
      <c r="AY83" s="258" t="str">
        <f t="shared" si="68"/>
        <v/>
      </c>
      <c r="AZ83" s="258" t="str">
        <f t="shared" si="69"/>
        <v/>
      </c>
      <c r="BA83" s="315" t="str">
        <f>IF($AB83="","",SUM($AZ83:$AZ$114))</f>
        <v/>
      </c>
      <c r="BB83" s="285"/>
      <c r="BC83" s="258" t="str">
        <f t="shared" si="70"/>
        <v/>
      </c>
      <c r="BD83" s="258" t="str">
        <f t="shared" si="71"/>
        <v/>
      </c>
      <c r="BE83" s="258" t="str">
        <f t="shared" si="72"/>
        <v/>
      </c>
      <c r="BF83" s="315" t="str">
        <f>IF($AB83="","",SUM($BE83:$BE$114))</f>
        <v/>
      </c>
      <c r="BG83" s="285"/>
      <c r="BH83" s="258" t="str">
        <f t="shared" si="73"/>
        <v/>
      </c>
      <c r="BI83" s="258" t="str">
        <f t="shared" si="74"/>
        <v/>
      </c>
      <c r="BJ83" s="258" t="str">
        <f t="shared" si="75"/>
        <v/>
      </c>
      <c r="BK83" s="315" t="str">
        <f>IF($AB83="","",SUM($BJ83:$BJ$114))</f>
        <v/>
      </c>
      <c r="BL83" s="285"/>
      <c r="BM83" s="258" t="str">
        <f t="shared" si="76"/>
        <v/>
      </c>
      <c r="BN83" s="258" t="str">
        <f t="shared" si="77"/>
        <v/>
      </c>
      <c r="BO83" s="258" t="str">
        <f t="shared" si="78"/>
        <v/>
      </c>
      <c r="BP83" s="315" t="str">
        <f>IF($AB83="","",SUM($BO83:$BO$114))</f>
        <v/>
      </c>
      <c r="BQ83" s="285" t="str">
        <f t="shared" si="79"/>
        <v/>
      </c>
      <c r="BR83" s="258" t="str">
        <f t="shared" si="93"/>
        <v/>
      </c>
      <c r="BS83" s="258" t="str">
        <f t="shared" si="80"/>
        <v/>
      </c>
      <c r="BT83" s="258" t="str">
        <f t="shared" si="81"/>
        <v/>
      </c>
      <c r="BU83" s="258" t="str">
        <f t="shared" si="94"/>
        <v/>
      </c>
      <c r="BV83" s="258"/>
      <c r="BW83" s="258"/>
      <c r="BX83" s="258"/>
      <c r="BY83" s="258"/>
      <c r="BZ83" s="258" t="str">
        <f>IF($AB83="","",SUM(BU83:BU$114))</f>
        <v/>
      </c>
      <c r="CA83" s="55" t="str">
        <f>IF(AB83&lt;$E$3+$F$5,0,IFERROR(일반형!S85,0))</f>
        <v/>
      </c>
      <c r="CB83" s="103"/>
      <c r="CC83" s="394" t="str">
        <f t="shared" si="55"/>
        <v/>
      </c>
      <c r="CD83" s="258" t="str">
        <f t="shared" si="95"/>
        <v/>
      </c>
      <c r="CE83" s="258" t="str">
        <f t="shared" si="82"/>
        <v/>
      </c>
      <c r="CF83" s="258" t="str">
        <f t="shared" si="83"/>
        <v/>
      </c>
      <c r="CG83" s="258" t="str">
        <f t="shared" si="96"/>
        <v/>
      </c>
      <c r="CH83" s="258" t="str">
        <f t="shared" si="84"/>
        <v/>
      </c>
      <c r="CI83" s="104" t="str">
        <f t="shared" si="97"/>
        <v/>
      </c>
      <c r="CJ83" s="105" t="str">
        <f t="shared" si="85"/>
        <v/>
      </c>
      <c r="CK83" s="240"/>
      <c r="CL83" s="207">
        <v>79</v>
      </c>
      <c r="CM83" s="258">
        <f t="shared" si="86"/>
        <v>0</v>
      </c>
      <c r="CN83" s="258">
        <f t="shared" si="87"/>
        <v>2.1700000000000002E-4</v>
      </c>
      <c r="CO83" s="258">
        <f t="shared" si="88"/>
        <v>1.5481999999999999E-2</v>
      </c>
      <c r="CP83" s="258">
        <f t="shared" si="98"/>
        <v>5.0100000000000003E-4</v>
      </c>
      <c r="CQ83" s="258"/>
      <c r="CR83" s="207">
        <v>79</v>
      </c>
      <c r="CS83" s="258"/>
      <c r="CT83" s="258"/>
      <c r="CU83" s="258">
        <v>2.1700000000000002E-4</v>
      </c>
      <c r="CV83" s="258">
        <v>9.3999999999999994E-5</v>
      </c>
      <c r="CW83" s="258">
        <v>1.5481999999999999E-2</v>
      </c>
      <c r="CX83" s="258">
        <v>1.247E-2</v>
      </c>
      <c r="CY83" s="258">
        <v>5.0100000000000003E-4</v>
      </c>
      <c r="CZ83" s="258">
        <v>7.8399999999999997E-4</v>
      </c>
      <c r="DA83" s="258"/>
      <c r="DB83" s="258"/>
      <c r="DC83" s="258"/>
      <c r="DD83" s="258"/>
    </row>
    <row r="84" spans="1:108">
      <c r="A84" s="305"/>
      <c r="D84" s="469"/>
      <c r="E84" s="469"/>
      <c r="F84" s="456">
        <v>9</v>
      </c>
      <c r="G84" s="470">
        <v>2.3000000000000003E-2</v>
      </c>
      <c r="H84" s="460"/>
      <c r="M84" s="154"/>
      <c r="N84" s="278" t="str">
        <f t="shared" si="106"/>
        <v/>
      </c>
      <c r="O84" s="279" t="str">
        <f t="shared" si="107"/>
        <v/>
      </c>
      <c r="P84" s="271" t="str">
        <f t="shared" si="101"/>
        <v/>
      </c>
      <c r="Q84" s="271" t="str">
        <f t="shared" si="102"/>
        <v/>
      </c>
      <c r="R84" s="271" t="str">
        <f t="shared" si="103"/>
        <v/>
      </c>
      <c r="S84" s="400" t="str">
        <f t="shared" si="56"/>
        <v/>
      </c>
      <c r="T84" s="382" t="str">
        <f>일반형!P84</f>
        <v/>
      </c>
      <c r="U84" s="382" t="str">
        <f>일반형!Q84</f>
        <v/>
      </c>
      <c r="V84" s="271" t="str">
        <f>일반형!R84</f>
        <v/>
      </c>
      <c r="W84" s="400" t="str">
        <f>일반형!S84</f>
        <v/>
      </c>
      <c r="X84" s="271" t="str">
        <f t="shared" si="104"/>
        <v/>
      </c>
      <c r="Y84" s="442" t="str">
        <f t="shared" si="57"/>
        <v/>
      </c>
      <c r="Z84" s="443" t="str">
        <f t="shared" si="105"/>
        <v/>
      </c>
      <c r="AB84" s="110" t="str">
        <f t="shared" si="89"/>
        <v/>
      </c>
      <c r="AC84" s="650" t="str">
        <f t="shared" si="58"/>
        <v/>
      </c>
      <c r="AD84" s="259"/>
      <c r="AE84" s="259" t="str">
        <f>IF(AB84="","",IF(AB84-$AB$4&lt;$F$5-1,INDEX(Main_무해지!$G$76:$G$87,MIN(AB84-$AB$4+1,12)),IF(AB84-$AB$4=$F$5-1,0,IF(AND($F$2=1,AB84&gt;109),0,IF(AND($F$2=2,AB84&gt;111),0,INDEX(Main_무해지!$H$76:$H$82,MIN(AB84-$AB$4-$F$5+1,7)))))))</f>
        <v/>
      </c>
      <c r="AF84" s="259" t="str">
        <f t="shared" si="99"/>
        <v/>
      </c>
      <c r="AG84" s="259" t="str">
        <f t="shared" si="59"/>
        <v/>
      </c>
      <c r="AH84" s="111" t="str">
        <f>IF($AB84="","",SUM(AG84:AG$114))</f>
        <v/>
      </c>
      <c r="AI84" s="259" t="str">
        <f t="shared" si="90"/>
        <v/>
      </c>
      <c r="AJ84" s="309" t="str">
        <f t="shared" si="60"/>
        <v/>
      </c>
      <c r="AK84" s="309"/>
      <c r="AL84" s="259" t="str">
        <f t="shared" si="61"/>
        <v/>
      </c>
      <c r="AM84" s="259" t="str">
        <f t="shared" si="100"/>
        <v/>
      </c>
      <c r="AN84" s="259" t="str">
        <f t="shared" si="62"/>
        <v/>
      </c>
      <c r="AO84" s="111" t="str">
        <f>IF($AB84="","",SUM(AN84:AN$114))</f>
        <v/>
      </c>
      <c r="AP84" s="286" t="str">
        <f t="shared" si="91"/>
        <v/>
      </c>
      <c r="AQ84" s="259" t="str">
        <f t="shared" si="63"/>
        <v/>
      </c>
      <c r="AR84" s="259" t="str">
        <f t="shared" si="64"/>
        <v/>
      </c>
      <c r="AS84" s="259" t="str">
        <f t="shared" si="65"/>
        <v/>
      </c>
      <c r="AT84" s="316" t="str">
        <f>IF($AB84="","",SUM($AU84:$AU$114))</f>
        <v/>
      </c>
      <c r="AU84" s="259" t="str">
        <f t="shared" si="92"/>
        <v/>
      </c>
      <c r="AV84" s="316" t="str">
        <f t="shared" si="66"/>
        <v/>
      </c>
      <c r="AW84" s="286"/>
      <c r="AX84" s="259" t="str">
        <f t="shared" si="67"/>
        <v/>
      </c>
      <c r="AY84" s="259" t="str">
        <f t="shared" si="68"/>
        <v/>
      </c>
      <c r="AZ84" s="259" t="str">
        <f t="shared" si="69"/>
        <v/>
      </c>
      <c r="BA84" s="316" t="str">
        <f>IF($AB84="","",SUM($AZ84:$AZ$114))</f>
        <v/>
      </c>
      <c r="BB84" s="286"/>
      <c r="BC84" s="259" t="str">
        <f t="shared" si="70"/>
        <v/>
      </c>
      <c r="BD84" s="259" t="str">
        <f t="shared" si="71"/>
        <v/>
      </c>
      <c r="BE84" s="259" t="str">
        <f t="shared" si="72"/>
        <v/>
      </c>
      <c r="BF84" s="316" t="str">
        <f>IF($AB84="","",SUM($BE84:$BE$114))</f>
        <v/>
      </c>
      <c r="BG84" s="286"/>
      <c r="BH84" s="259" t="str">
        <f t="shared" si="73"/>
        <v/>
      </c>
      <c r="BI84" s="259" t="str">
        <f t="shared" si="74"/>
        <v/>
      </c>
      <c r="BJ84" s="259" t="str">
        <f t="shared" si="75"/>
        <v/>
      </c>
      <c r="BK84" s="316" t="str">
        <f>IF($AB84="","",SUM($BJ84:$BJ$114))</f>
        <v/>
      </c>
      <c r="BL84" s="286"/>
      <c r="BM84" s="259" t="str">
        <f t="shared" si="76"/>
        <v/>
      </c>
      <c r="BN84" s="259" t="str">
        <f t="shared" si="77"/>
        <v/>
      </c>
      <c r="BO84" s="259" t="str">
        <f t="shared" si="78"/>
        <v/>
      </c>
      <c r="BP84" s="316" t="str">
        <f>IF($AB84="","",SUM($BO84:$BO$114))</f>
        <v/>
      </c>
      <c r="BQ84" s="286" t="str">
        <f t="shared" si="79"/>
        <v/>
      </c>
      <c r="BR84" s="259" t="str">
        <f t="shared" si="93"/>
        <v/>
      </c>
      <c r="BS84" s="259" t="str">
        <f t="shared" si="80"/>
        <v/>
      </c>
      <c r="BT84" s="259" t="str">
        <f t="shared" si="81"/>
        <v/>
      </c>
      <c r="BU84" s="259" t="str">
        <f t="shared" si="94"/>
        <v/>
      </c>
      <c r="BV84" s="259"/>
      <c r="BW84" s="259"/>
      <c r="BX84" s="259"/>
      <c r="BY84" s="259"/>
      <c r="BZ84" s="259" t="str">
        <f>IF($AB84="","",SUM(BU84:BU$114))</f>
        <v/>
      </c>
      <c r="CA84" s="55" t="str">
        <f>IF(AB84&lt;$E$3+$F$5,0,IFERROR(일반형!S86,0))</f>
        <v/>
      </c>
      <c r="CB84" s="112"/>
      <c r="CC84" s="395" t="str">
        <f t="shared" si="55"/>
        <v/>
      </c>
      <c r="CD84" s="259" t="str">
        <f t="shared" si="95"/>
        <v/>
      </c>
      <c r="CE84" s="259" t="str">
        <f t="shared" si="82"/>
        <v/>
      </c>
      <c r="CF84" s="259" t="str">
        <f t="shared" si="83"/>
        <v/>
      </c>
      <c r="CG84" s="259" t="str">
        <f t="shared" si="96"/>
        <v/>
      </c>
      <c r="CH84" s="259" t="str">
        <f t="shared" si="84"/>
        <v/>
      </c>
      <c r="CI84" s="113" t="str">
        <f t="shared" si="97"/>
        <v/>
      </c>
      <c r="CJ84" s="114" t="str">
        <f t="shared" si="85"/>
        <v/>
      </c>
      <c r="CK84" s="241"/>
      <c r="CL84" s="208">
        <v>80</v>
      </c>
      <c r="CM84" s="259">
        <f t="shared" si="86"/>
        <v>0</v>
      </c>
      <c r="CN84" s="259">
        <f t="shared" si="87"/>
        <v>2.2599999999999999E-4</v>
      </c>
      <c r="CO84" s="259">
        <f t="shared" si="88"/>
        <v>1.8494E-2</v>
      </c>
      <c r="CP84" s="259">
        <f t="shared" si="98"/>
        <v>9.3400000000000004E-4</v>
      </c>
      <c r="CQ84" s="259"/>
      <c r="CR84" s="208">
        <v>80</v>
      </c>
      <c r="CS84" s="259"/>
      <c r="CT84" s="259"/>
      <c r="CU84" s="259">
        <v>2.2599999999999999E-4</v>
      </c>
      <c r="CV84" s="259">
        <v>1.5799999999999999E-4</v>
      </c>
      <c r="CW84" s="259">
        <v>1.8494E-2</v>
      </c>
      <c r="CX84" s="259">
        <v>1.2557E-2</v>
      </c>
      <c r="CY84" s="259">
        <v>9.3400000000000004E-4</v>
      </c>
      <c r="CZ84" s="259">
        <v>1.6119999999999999E-3</v>
      </c>
      <c r="DA84" s="259"/>
      <c r="DB84" s="259"/>
      <c r="DC84" s="259"/>
      <c r="DD84" s="259"/>
    </row>
    <row r="85" spans="1:108">
      <c r="A85" s="305"/>
      <c r="D85" s="469"/>
      <c r="E85" s="469"/>
      <c r="F85" s="456">
        <v>10</v>
      </c>
      <c r="G85" s="470">
        <v>1.9500000000000003E-2</v>
      </c>
      <c r="H85" s="460"/>
      <c r="M85" s="154"/>
      <c r="N85" s="278" t="str">
        <f t="shared" si="106"/>
        <v/>
      </c>
      <c r="O85" s="279" t="str">
        <f t="shared" si="107"/>
        <v/>
      </c>
      <c r="P85" s="271" t="str">
        <f t="shared" si="101"/>
        <v/>
      </c>
      <c r="Q85" s="271" t="str">
        <f t="shared" si="102"/>
        <v/>
      </c>
      <c r="R85" s="271" t="str">
        <f t="shared" si="103"/>
        <v/>
      </c>
      <c r="S85" s="400" t="str">
        <f t="shared" si="56"/>
        <v/>
      </c>
      <c r="T85" s="382" t="str">
        <f>일반형!P85</f>
        <v/>
      </c>
      <c r="U85" s="382" t="str">
        <f>일반형!Q85</f>
        <v/>
      </c>
      <c r="V85" s="271" t="str">
        <f>일반형!R85</f>
        <v/>
      </c>
      <c r="W85" s="400" t="str">
        <f>일반형!S85</f>
        <v/>
      </c>
      <c r="X85" s="271" t="str">
        <f t="shared" si="104"/>
        <v/>
      </c>
      <c r="Y85" s="442" t="str">
        <f t="shared" si="57"/>
        <v/>
      </c>
      <c r="Z85" s="443" t="str">
        <f t="shared" si="105"/>
        <v/>
      </c>
      <c r="AB85" s="770" t="str">
        <f t="shared" si="89"/>
        <v/>
      </c>
      <c r="AC85" s="651" t="str">
        <f t="shared" si="58"/>
        <v/>
      </c>
      <c r="AD85" s="410"/>
      <c r="AE85" s="410" t="str">
        <f>IF(AB85="","",IF(AB85-$AB$4&lt;$F$5-1,INDEX(Main_무해지!$G$76:$G$87,MIN(AB85-$AB$4+1,12)),IF(AB85-$AB$4=$F$5-1,0,IF(AND($F$2=1,AB85&gt;109),0,IF(AND($F$2=2,AB85&gt;111),0,INDEX(Main_무해지!$H$76:$H$82,MIN(AB85-$AB$4-$F$5+1,7)))))))</f>
        <v/>
      </c>
      <c r="AF85" s="410" t="str">
        <f t="shared" si="99"/>
        <v/>
      </c>
      <c r="AG85" s="410" t="str">
        <f t="shared" si="59"/>
        <v/>
      </c>
      <c r="AH85" s="771" t="str">
        <f>IF($AB85="","",SUM(AG85:AG$114))</f>
        <v/>
      </c>
      <c r="AI85" s="410" t="str">
        <f t="shared" si="90"/>
        <v/>
      </c>
      <c r="AJ85" s="640" t="str">
        <f t="shared" si="60"/>
        <v/>
      </c>
      <c r="AK85" s="640"/>
      <c r="AL85" s="410" t="str">
        <f t="shared" si="61"/>
        <v/>
      </c>
      <c r="AM85" s="410" t="str">
        <f t="shared" si="100"/>
        <v/>
      </c>
      <c r="AN85" s="410" t="str">
        <f t="shared" si="62"/>
        <v/>
      </c>
      <c r="AO85" s="771" t="str">
        <f>IF($AB85="","",SUM(AN85:AN$114))</f>
        <v/>
      </c>
      <c r="AP85" s="772" t="str">
        <f t="shared" si="91"/>
        <v/>
      </c>
      <c r="AQ85" s="410" t="str">
        <f t="shared" si="63"/>
        <v/>
      </c>
      <c r="AR85" s="410" t="str">
        <f t="shared" si="64"/>
        <v/>
      </c>
      <c r="AS85" s="410" t="str">
        <f t="shared" si="65"/>
        <v/>
      </c>
      <c r="AT85" s="773" t="str">
        <f>IF($AB85="","",SUM($AU85:$AU$114))</f>
        <v/>
      </c>
      <c r="AU85" s="410" t="str">
        <f t="shared" si="92"/>
        <v/>
      </c>
      <c r="AV85" s="773" t="str">
        <f t="shared" si="66"/>
        <v/>
      </c>
      <c r="AW85" s="772"/>
      <c r="AX85" s="410" t="str">
        <f t="shared" si="67"/>
        <v/>
      </c>
      <c r="AY85" s="410" t="str">
        <f t="shared" si="68"/>
        <v/>
      </c>
      <c r="AZ85" s="410" t="str">
        <f t="shared" si="69"/>
        <v/>
      </c>
      <c r="BA85" s="773" t="str">
        <f>IF($AB85="","",SUM($AZ85:$AZ$114))</f>
        <v/>
      </c>
      <c r="BB85" s="772"/>
      <c r="BC85" s="410" t="str">
        <f t="shared" si="70"/>
        <v/>
      </c>
      <c r="BD85" s="410" t="str">
        <f t="shared" si="71"/>
        <v/>
      </c>
      <c r="BE85" s="410" t="str">
        <f t="shared" si="72"/>
        <v/>
      </c>
      <c r="BF85" s="773" t="str">
        <f>IF($AB85="","",SUM($BE85:$BE$114))</f>
        <v/>
      </c>
      <c r="BG85" s="772"/>
      <c r="BH85" s="410" t="str">
        <f t="shared" si="73"/>
        <v/>
      </c>
      <c r="BI85" s="410" t="str">
        <f t="shared" si="74"/>
        <v/>
      </c>
      <c r="BJ85" s="410" t="str">
        <f t="shared" si="75"/>
        <v/>
      </c>
      <c r="BK85" s="773" t="str">
        <f>IF($AB85="","",SUM($BJ85:$BJ$114))</f>
        <v/>
      </c>
      <c r="BL85" s="772"/>
      <c r="BM85" s="410" t="str">
        <f t="shared" si="76"/>
        <v/>
      </c>
      <c r="BN85" s="410" t="str">
        <f t="shared" si="77"/>
        <v/>
      </c>
      <c r="BO85" s="410" t="str">
        <f t="shared" si="78"/>
        <v/>
      </c>
      <c r="BP85" s="773" t="str">
        <f>IF($AB85="","",SUM($BO85:$BO$114))</f>
        <v/>
      </c>
      <c r="BQ85" s="772" t="str">
        <f t="shared" si="79"/>
        <v/>
      </c>
      <c r="BR85" s="410" t="str">
        <f t="shared" si="93"/>
        <v/>
      </c>
      <c r="BS85" s="410" t="str">
        <f t="shared" si="80"/>
        <v/>
      </c>
      <c r="BT85" s="410" t="str">
        <f t="shared" si="81"/>
        <v/>
      </c>
      <c r="BU85" s="410" t="str">
        <f t="shared" si="94"/>
        <v/>
      </c>
      <c r="BV85" s="410"/>
      <c r="BW85" s="410"/>
      <c r="BX85" s="410"/>
      <c r="BY85" s="410"/>
      <c r="BZ85" s="410" t="str">
        <f>IF($AB85="","",SUM(BU85:BU$114))</f>
        <v/>
      </c>
      <c r="CA85" s="55" t="str">
        <f>IF(AB85&lt;$E$3+$F$5,0,IFERROR(일반형!S87,0))</f>
        <v/>
      </c>
      <c r="CB85" s="774"/>
      <c r="CC85" s="775" t="str">
        <f t="shared" si="55"/>
        <v/>
      </c>
      <c r="CD85" s="410" t="str">
        <f t="shared" si="95"/>
        <v/>
      </c>
      <c r="CE85" s="410" t="str">
        <f t="shared" si="82"/>
        <v/>
      </c>
      <c r="CF85" s="410" t="str">
        <f t="shared" si="83"/>
        <v/>
      </c>
      <c r="CG85" s="410" t="str">
        <f t="shared" si="96"/>
        <v/>
      </c>
      <c r="CH85" s="410" t="str">
        <f t="shared" si="84"/>
        <v/>
      </c>
      <c r="CI85" s="776" t="str">
        <f t="shared" si="97"/>
        <v/>
      </c>
      <c r="CJ85" s="777" t="str">
        <f t="shared" si="85"/>
        <v/>
      </c>
      <c r="CK85" s="415"/>
      <c r="CL85" s="778">
        <v>81</v>
      </c>
      <c r="CM85" s="410">
        <f t="shared" si="86"/>
        <v>0</v>
      </c>
      <c r="CN85" s="410">
        <f t="shared" si="87"/>
        <v>2.2599999999999999E-4</v>
      </c>
      <c r="CO85" s="410">
        <f t="shared" si="88"/>
        <v>2.1590999999999999E-2</v>
      </c>
      <c r="CP85" s="410">
        <f t="shared" si="98"/>
        <v>9.3400000000000004E-4</v>
      </c>
      <c r="CQ85" s="410"/>
      <c r="CR85" s="778">
        <v>81</v>
      </c>
      <c r="CS85" s="410"/>
      <c r="CT85" s="410"/>
      <c r="CU85" s="410">
        <v>2.2599999999999999E-4</v>
      </c>
      <c r="CV85" s="410">
        <v>1.5799999999999999E-4</v>
      </c>
      <c r="CW85" s="410">
        <v>2.1590999999999999E-2</v>
      </c>
      <c r="CX85" s="410">
        <v>1.2626E-2</v>
      </c>
      <c r="CY85" s="410">
        <v>9.3400000000000004E-4</v>
      </c>
      <c r="CZ85" s="410">
        <v>1.6119999999999999E-3</v>
      </c>
      <c r="DA85" s="410"/>
      <c r="DB85" s="410"/>
      <c r="DC85" s="410"/>
      <c r="DD85" s="410"/>
    </row>
    <row r="86" spans="1:108">
      <c r="A86" s="305"/>
      <c r="D86" s="469"/>
      <c r="E86" s="469"/>
      <c r="F86" s="456">
        <v>11</v>
      </c>
      <c r="G86" s="470">
        <v>1.6E-2</v>
      </c>
      <c r="H86" s="460"/>
      <c r="M86" s="156"/>
      <c r="N86" s="280" t="str">
        <f t="shared" si="106"/>
        <v/>
      </c>
      <c r="O86" s="281" t="str">
        <f t="shared" si="107"/>
        <v/>
      </c>
      <c r="P86" s="282" t="str">
        <f t="shared" si="101"/>
        <v/>
      </c>
      <c r="Q86" s="282" t="str">
        <f t="shared" si="102"/>
        <v/>
      </c>
      <c r="R86" s="282" t="str">
        <f t="shared" si="103"/>
        <v/>
      </c>
      <c r="S86" s="402" t="str">
        <f t="shared" si="56"/>
        <v/>
      </c>
      <c r="T86" s="382" t="str">
        <f>일반형!P86</f>
        <v/>
      </c>
      <c r="U86" s="382" t="str">
        <f>일반형!Q86</f>
        <v/>
      </c>
      <c r="V86" s="282" t="str">
        <f>일반형!R86</f>
        <v/>
      </c>
      <c r="W86" s="402" t="str">
        <f>일반형!S86</f>
        <v/>
      </c>
      <c r="X86" s="282" t="str">
        <f t="shared" si="104"/>
        <v/>
      </c>
      <c r="Y86" s="446" t="str">
        <f t="shared" si="57"/>
        <v/>
      </c>
      <c r="Z86" s="447" t="str">
        <f t="shared" si="105"/>
        <v/>
      </c>
      <c r="AB86" s="120" t="str">
        <f t="shared" si="89"/>
        <v/>
      </c>
      <c r="AC86" s="652" t="str">
        <f t="shared" si="58"/>
        <v/>
      </c>
      <c r="AD86" s="260"/>
      <c r="AE86" s="260" t="str">
        <f>IF(AB86="","",IF(AB86-$AB$4&lt;$F$5-1,INDEX(Main_무해지!$G$76:$G$87,MIN(AB86-$AB$4+1,12)),IF(AB86-$AB$4=$F$5-1,0,IF(AND($F$2=1,AB86&gt;109),0,IF(AND($F$2=2,AB86&gt;111),0,INDEX(Main_무해지!$H$76:$H$82,MIN(AB86-$AB$4-$F$5+1,7)))))))</f>
        <v/>
      </c>
      <c r="AF86" s="260" t="str">
        <f t="shared" si="99"/>
        <v/>
      </c>
      <c r="AG86" s="260" t="str">
        <f t="shared" si="59"/>
        <v/>
      </c>
      <c r="AH86" s="121" t="str">
        <f>IF($AB86="","",SUM(AG86:AG$114))</f>
        <v/>
      </c>
      <c r="AI86" s="260" t="str">
        <f t="shared" si="90"/>
        <v/>
      </c>
      <c r="AJ86" s="310" t="str">
        <f t="shared" si="60"/>
        <v/>
      </c>
      <c r="AK86" s="310"/>
      <c r="AL86" s="260" t="str">
        <f t="shared" si="61"/>
        <v/>
      </c>
      <c r="AM86" s="260" t="str">
        <f t="shared" si="100"/>
        <v/>
      </c>
      <c r="AN86" s="260" t="str">
        <f t="shared" si="62"/>
        <v/>
      </c>
      <c r="AO86" s="121" t="str">
        <f>IF($AB86="","",SUM(AN86:AN$114))</f>
        <v/>
      </c>
      <c r="AP86" s="287" t="str">
        <f t="shared" si="91"/>
        <v/>
      </c>
      <c r="AQ86" s="260" t="str">
        <f t="shared" si="63"/>
        <v/>
      </c>
      <c r="AR86" s="260" t="str">
        <f t="shared" si="64"/>
        <v/>
      </c>
      <c r="AS86" s="260" t="str">
        <f t="shared" si="65"/>
        <v/>
      </c>
      <c r="AT86" s="317" t="str">
        <f>IF($AB86="","",SUM($AU86:$AU$114))</f>
        <v/>
      </c>
      <c r="AU86" s="260" t="str">
        <f t="shared" si="92"/>
        <v/>
      </c>
      <c r="AV86" s="317" t="str">
        <f t="shared" si="66"/>
        <v/>
      </c>
      <c r="AW86" s="287"/>
      <c r="AX86" s="260" t="str">
        <f t="shared" si="67"/>
        <v/>
      </c>
      <c r="AY86" s="260" t="str">
        <f t="shared" si="68"/>
        <v/>
      </c>
      <c r="AZ86" s="260" t="str">
        <f t="shared" si="69"/>
        <v/>
      </c>
      <c r="BA86" s="317" t="str">
        <f>IF($AB86="","",SUM($AZ86:$AZ$114))</f>
        <v/>
      </c>
      <c r="BB86" s="287"/>
      <c r="BC86" s="260" t="str">
        <f t="shared" si="70"/>
        <v/>
      </c>
      <c r="BD86" s="260" t="str">
        <f t="shared" si="71"/>
        <v/>
      </c>
      <c r="BE86" s="260" t="str">
        <f t="shared" si="72"/>
        <v/>
      </c>
      <c r="BF86" s="317" t="str">
        <f>IF($AB86="","",SUM($BE86:$BE$114))</f>
        <v/>
      </c>
      <c r="BG86" s="287"/>
      <c r="BH86" s="260" t="str">
        <f t="shared" si="73"/>
        <v/>
      </c>
      <c r="BI86" s="260" t="str">
        <f t="shared" si="74"/>
        <v/>
      </c>
      <c r="BJ86" s="260" t="str">
        <f t="shared" si="75"/>
        <v/>
      </c>
      <c r="BK86" s="317" t="str">
        <f>IF($AB86="","",SUM($BJ86:$BJ$114))</f>
        <v/>
      </c>
      <c r="BL86" s="287"/>
      <c r="BM86" s="260" t="str">
        <f t="shared" si="76"/>
        <v/>
      </c>
      <c r="BN86" s="260" t="str">
        <f t="shared" si="77"/>
        <v/>
      </c>
      <c r="BO86" s="260" t="str">
        <f t="shared" si="78"/>
        <v/>
      </c>
      <c r="BP86" s="317" t="str">
        <f>IF($AB86="","",SUM($BO86:$BO$114))</f>
        <v/>
      </c>
      <c r="BQ86" s="287" t="str">
        <f t="shared" si="79"/>
        <v/>
      </c>
      <c r="BR86" s="260" t="str">
        <f t="shared" si="93"/>
        <v/>
      </c>
      <c r="BS86" s="260" t="str">
        <f t="shared" si="80"/>
        <v/>
      </c>
      <c r="BT86" s="260" t="str">
        <f t="shared" si="81"/>
        <v/>
      </c>
      <c r="BU86" s="260" t="str">
        <f t="shared" si="94"/>
        <v/>
      </c>
      <c r="BV86" s="260"/>
      <c r="BW86" s="260"/>
      <c r="BX86" s="260"/>
      <c r="BY86" s="260"/>
      <c r="BZ86" s="260" t="str">
        <f>IF($AB86="","",SUM(BU86:BU$114))</f>
        <v/>
      </c>
      <c r="CA86" s="55" t="str">
        <f>IF(AB86&lt;$E$3+$F$5,0,IFERROR(일반형!S88,0))</f>
        <v/>
      </c>
      <c r="CB86" s="122"/>
      <c r="CC86" s="396" t="str">
        <f t="shared" si="55"/>
        <v/>
      </c>
      <c r="CD86" s="260" t="str">
        <f t="shared" si="95"/>
        <v/>
      </c>
      <c r="CE86" s="260" t="str">
        <f t="shared" si="82"/>
        <v/>
      </c>
      <c r="CF86" s="260" t="str">
        <f t="shared" si="83"/>
        <v/>
      </c>
      <c r="CG86" s="260" t="str">
        <f t="shared" si="96"/>
        <v/>
      </c>
      <c r="CH86" s="260" t="str">
        <f t="shared" si="84"/>
        <v/>
      </c>
      <c r="CI86" s="123" t="str">
        <f t="shared" si="97"/>
        <v/>
      </c>
      <c r="CJ86" s="124" t="str">
        <f t="shared" si="85"/>
        <v/>
      </c>
      <c r="CK86" s="242"/>
      <c r="CL86" s="209">
        <v>82</v>
      </c>
      <c r="CM86" s="260">
        <f t="shared" si="86"/>
        <v>0</v>
      </c>
      <c r="CN86" s="260">
        <f t="shared" si="87"/>
        <v>2.2599999999999999E-4</v>
      </c>
      <c r="CO86" s="260">
        <f t="shared" si="88"/>
        <v>2.5309000000000002E-2</v>
      </c>
      <c r="CP86" s="260">
        <f t="shared" si="98"/>
        <v>9.3400000000000004E-4</v>
      </c>
      <c r="CQ86" s="260"/>
      <c r="CR86" s="209">
        <v>82</v>
      </c>
      <c r="CS86" s="260"/>
      <c r="CT86" s="260"/>
      <c r="CU86" s="260">
        <v>2.2599999999999999E-4</v>
      </c>
      <c r="CV86" s="260">
        <v>1.5799999999999999E-4</v>
      </c>
      <c r="CW86" s="260">
        <v>2.5309000000000002E-2</v>
      </c>
      <c r="CX86" s="260">
        <v>1.3624000000000001E-2</v>
      </c>
      <c r="CY86" s="260">
        <v>9.3400000000000004E-4</v>
      </c>
      <c r="CZ86" s="260">
        <v>1.6119999999999999E-3</v>
      </c>
      <c r="DA86" s="260"/>
      <c r="DB86" s="260"/>
      <c r="DC86" s="260"/>
      <c r="DD86" s="260"/>
    </row>
    <row r="87" spans="1:108">
      <c r="A87" s="305"/>
      <c r="D87" s="469"/>
      <c r="E87" s="471"/>
      <c r="F87" s="456">
        <v>12</v>
      </c>
      <c r="G87" s="470">
        <v>1.3500000000000002E-2</v>
      </c>
      <c r="H87" s="460"/>
      <c r="M87" s="156"/>
      <c r="N87" s="278" t="str">
        <f t="shared" si="106"/>
        <v/>
      </c>
      <c r="O87" s="279" t="str">
        <f t="shared" si="107"/>
        <v/>
      </c>
      <c r="P87" s="271" t="str">
        <f t="shared" si="101"/>
        <v/>
      </c>
      <c r="Q87" s="271" t="str">
        <f t="shared" si="102"/>
        <v/>
      </c>
      <c r="R87" s="271" t="str">
        <f t="shared" si="103"/>
        <v/>
      </c>
      <c r="S87" s="400" t="str">
        <f t="shared" si="56"/>
        <v/>
      </c>
      <c r="T87" s="382" t="str">
        <f>일반형!P87</f>
        <v/>
      </c>
      <c r="U87" s="382" t="str">
        <f>일반형!Q87</f>
        <v/>
      </c>
      <c r="V87" s="271" t="str">
        <f>일반형!R87</f>
        <v/>
      </c>
      <c r="W87" s="400" t="str">
        <f>일반형!S87</f>
        <v/>
      </c>
      <c r="X87" s="271" t="str">
        <f t="shared" si="104"/>
        <v/>
      </c>
      <c r="Y87" s="444" t="str">
        <f t="shared" si="57"/>
        <v/>
      </c>
      <c r="Z87" s="445" t="str">
        <f t="shared" si="105"/>
        <v/>
      </c>
      <c r="AB87" s="120" t="str">
        <f t="shared" si="89"/>
        <v/>
      </c>
      <c r="AC87" s="652" t="str">
        <f t="shared" si="58"/>
        <v/>
      </c>
      <c r="AD87" s="260"/>
      <c r="AE87" s="260" t="str">
        <f>IF(AB87="","",IF(AB87-$AB$4&lt;$F$5-1,INDEX(Main_무해지!$G$76:$G$87,MIN(AB87-$AB$4+1,12)),IF(AB87-$AB$4=$F$5-1,0,IF(AND($F$2=1,AB87&gt;109),0,IF(AND($F$2=2,AB87&gt;111),0,INDEX(Main_무해지!$H$76:$H$82,MIN(AB87-$AB$4-$F$5+1,7)))))))</f>
        <v/>
      </c>
      <c r="AF87" s="260" t="str">
        <f t="shared" si="99"/>
        <v/>
      </c>
      <c r="AG87" s="260" t="str">
        <f t="shared" si="59"/>
        <v/>
      </c>
      <c r="AH87" s="121" t="str">
        <f>IF($AB87="","",SUM(AG87:AG$114))</f>
        <v/>
      </c>
      <c r="AI87" s="260" t="str">
        <f t="shared" si="90"/>
        <v/>
      </c>
      <c r="AJ87" s="310" t="str">
        <f t="shared" si="60"/>
        <v/>
      </c>
      <c r="AK87" s="310"/>
      <c r="AL87" s="260" t="str">
        <f t="shared" si="61"/>
        <v/>
      </c>
      <c r="AM87" s="260" t="str">
        <f t="shared" si="100"/>
        <v/>
      </c>
      <c r="AN87" s="260" t="str">
        <f t="shared" si="62"/>
        <v/>
      </c>
      <c r="AO87" s="121" t="str">
        <f>IF($AB87="","",SUM(AN87:AN$114))</f>
        <v/>
      </c>
      <c r="AP87" s="287" t="str">
        <f t="shared" si="91"/>
        <v/>
      </c>
      <c r="AQ87" s="260" t="str">
        <f t="shared" si="63"/>
        <v/>
      </c>
      <c r="AR87" s="260" t="str">
        <f t="shared" si="64"/>
        <v/>
      </c>
      <c r="AS87" s="260" t="str">
        <f t="shared" si="65"/>
        <v/>
      </c>
      <c r="AT87" s="317" t="str">
        <f>IF($AB87="","",SUM($AU87:$AU$114))</f>
        <v/>
      </c>
      <c r="AU87" s="260" t="str">
        <f t="shared" si="92"/>
        <v/>
      </c>
      <c r="AV87" s="317" t="str">
        <f t="shared" si="66"/>
        <v/>
      </c>
      <c r="AW87" s="287"/>
      <c r="AX87" s="260" t="str">
        <f t="shared" si="67"/>
        <v/>
      </c>
      <c r="AY87" s="260" t="str">
        <f t="shared" si="68"/>
        <v/>
      </c>
      <c r="AZ87" s="260" t="str">
        <f t="shared" si="69"/>
        <v/>
      </c>
      <c r="BA87" s="317" t="str">
        <f>IF($AB87="","",SUM($AZ87:$AZ$114))</f>
        <v/>
      </c>
      <c r="BB87" s="287"/>
      <c r="BC87" s="260" t="str">
        <f t="shared" si="70"/>
        <v/>
      </c>
      <c r="BD87" s="260" t="str">
        <f t="shared" si="71"/>
        <v/>
      </c>
      <c r="BE87" s="260" t="str">
        <f t="shared" si="72"/>
        <v/>
      </c>
      <c r="BF87" s="317" t="str">
        <f>IF($AB87="","",SUM($BE87:$BE$114))</f>
        <v/>
      </c>
      <c r="BG87" s="287"/>
      <c r="BH87" s="260" t="str">
        <f t="shared" si="73"/>
        <v/>
      </c>
      <c r="BI87" s="260" t="str">
        <f t="shared" si="74"/>
        <v/>
      </c>
      <c r="BJ87" s="260" t="str">
        <f t="shared" si="75"/>
        <v/>
      </c>
      <c r="BK87" s="317" t="str">
        <f>IF($AB87="","",SUM($BJ87:$BJ$114))</f>
        <v/>
      </c>
      <c r="BL87" s="287"/>
      <c r="BM87" s="260" t="str">
        <f t="shared" si="76"/>
        <v/>
      </c>
      <c r="BN87" s="260" t="str">
        <f t="shared" si="77"/>
        <v/>
      </c>
      <c r="BO87" s="260" t="str">
        <f t="shared" si="78"/>
        <v/>
      </c>
      <c r="BP87" s="317" t="str">
        <f>IF($AB87="","",SUM($BO87:$BO$114))</f>
        <v/>
      </c>
      <c r="BQ87" s="287" t="str">
        <f t="shared" si="79"/>
        <v/>
      </c>
      <c r="BR87" s="260" t="str">
        <f t="shared" si="93"/>
        <v/>
      </c>
      <c r="BS87" s="260" t="str">
        <f t="shared" si="80"/>
        <v/>
      </c>
      <c r="BT87" s="260" t="str">
        <f t="shared" si="81"/>
        <v/>
      </c>
      <c r="BU87" s="260" t="str">
        <f t="shared" si="94"/>
        <v/>
      </c>
      <c r="BV87" s="260"/>
      <c r="BW87" s="260"/>
      <c r="BX87" s="260"/>
      <c r="BY87" s="260"/>
      <c r="BZ87" s="260" t="str">
        <f>IF($AB87="","",SUM(BU87:BU$114))</f>
        <v/>
      </c>
      <c r="CA87" s="55" t="str">
        <f>IF(AB87&lt;$E$3+$F$5,0,IFERROR(일반형!S89,0))</f>
        <v/>
      </c>
      <c r="CB87" s="122"/>
      <c r="CC87" s="396" t="str">
        <f t="shared" si="55"/>
        <v/>
      </c>
      <c r="CD87" s="260" t="str">
        <f t="shared" si="95"/>
        <v/>
      </c>
      <c r="CE87" s="260" t="str">
        <f t="shared" si="82"/>
        <v/>
      </c>
      <c r="CF87" s="260" t="str">
        <f t="shared" si="83"/>
        <v/>
      </c>
      <c r="CG87" s="260" t="str">
        <f t="shared" si="96"/>
        <v/>
      </c>
      <c r="CH87" s="260" t="str">
        <f t="shared" si="84"/>
        <v/>
      </c>
      <c r="CI87" s="123" t="str">
        <f t="shared" si="97"/>
        <v/>
      </c>
      <c r="CJ87" s="124" t="str">
        <f t="shared" si="85"/>
        <v/>
      </c>
      <c r="CK87" s="242"/>
      <c r="CL87" s="209">
        <v>83</v>
      </c>
      <c r="CM87" s="260">
        <f t="shared" si="86"/>
        <v>0</v>
      </c>
      <c r="CN87" s="260">
        <f t="shared" si="87"/>
        <v>2.2599999999999999E-4</v>
      </c>
      <c r="CO87" s="260">
        <f t="shared" si="88"/>
        <v>2.9765E-2</v>
      </c>
      <c r="CP87" s="260">
        <f t="shared" si="98"/>
        <v>9.3400000000000004E-4</v>
      </c>
      <c r="CQ87" s="260"/>
      <c r="CR87" s="209">
        <v>83</v>
      </c>
      <c r="CS87" s="260"/>
      <c r="CT87" s="260"/>
      <c r="CU87" s="260">
        <v>2.2599999999999999E-4</v>
      </c>
      <c r="CV87" s="260">
        <v>1.5799999999999999E-4</v>
      </c>
      <c r="CW87" s="260">
        <v>2.9765E-2</v>
      </c>
      <c r="CX87" s="260">
        <v>1.5101E-2</v>
      </c>
      <c r="CY87" s="260">
        <v>9.3400000000000004E-4</v>
      </c>
      <c r="CZ87" s="260">
        <v>1.6119999999999999E-3</v>
      </c>
      <c r="DA87" s="260"/>
      <c r="DB87" s="260"/>
      <c r="DC87" s="260"/>
      <c r="DD87" s="260"/>
    </row>
    <row r="88" spans="1:108">
      <c r="A88" s="305"/>
      <c r="D88" s="469"/>
      <c r="E88" s="469"/>
      <c r="F88" s="456"/>
      <c r="G88" s="470"/>
      <c r="H88" s="460"/>
      <c r="M88" s="156"/>
      <c r="N88" s="278" t="str">
        <f t="shared" si="106"/>
        <v/>
      </c>
      <c r="O88" s="279" t="str">
        <f t="shared" si="107"/>
        <v/>
      </c>
      <c r="P88" s="271" t="str">
        <f t="shared" si="101"/>
        <v/>
      </c>
      <c r="Q88" s="271" t="str">
        <f t="shared" si="102"/>
        <v/>
      </c>
      <c r="R88" s="271" t="str">
        <f t="shared" si="103"/>
        <v/>
      </c>
      <c r="S88" s="400" t="str">
        <f t="shared" si="56"/>
        <v/>
      </c>
      <c r="T88" s="382" t="str">
        <f>일반형!P88</f>
        <v/>
      </c>
      <c r="U88" s="382" t="str">
        <f>일반형!Q88</f>
        <v/>
      </c>
      <c r="V88" s="271" t="str">
        <f>일반형!R88</f>
        <v/>
      </c>
      <c r="W88" s="400" t="str">
        <f>일반형!S88</f>
        <v/>
      </c>
      <c r="X88" s="271" t="str">
        <f t="shared" si="104"/>
        <v/>
      </c>
      <c r="Y88" s="442" t="str">
        <f t="shared" si="57"/>
        <v/>
      </c>
      <c r="Z88" s="443" t="str">
        <f t="shared" si="105"/>
        <v/>
      </c>
      <c r="AB88" s="120" t="str">
        <f t="shared" si="89"/>
        <v/>
      </c>
      <c r="AC88" s="652" t="str">
        <f t="shared" si="58"/>
        <v/>
      </c>
      <c r="AD88" s="260"/>
      <c r="AE88" s="260" t="str">
        <f>IF(AB88="","",IF(AB88-$AB$4&lt;$F$5-1,INDEX(Main_무해지!$G$76:$G$87,MIN(AB88-$AB$4+1,12)),IF(AB88-$AB$4=$F$5-1,0,IF(AND($F$2=1,AB88&gt;109),0,IF(AND($F$2=2,AB88&gt;111),0,INDEX(Main_무해지!$H$76:$H$82,MIN(AB88-$AB$4-$F$5+1,7)))))))</f>
        <v/>
      </c>
      <c r="AF88" s="260" t="str">
        <f t="shared" si="99"/>
        <v/>
      </c>
      <c r="AG88" s="260" t="str">
        <f t="shared" si="59"/>
        <v/>
      </c>
      <c r="AH88" s="121" t="str">
        <f>IF($AB88="","",SUM(AG88:AG$114))</f>
        <v/>
      </c>
      <c r="AI88" s="260" t="str">
        <f t="shared" si="90"/>
        <v/>
      </c>
      <c r="AJ88" s="310" t="str">
        <f t="shared" si="60"/>
        <v/>
      </c>
      <c r="AK88" s="310"/>
      <c r="AL88" s="260" t="str">
        <f t="shared" si="61"/>
        <v/>
      </c>
      <c r="AM88" s="260" t="str">
        <f t="shared" si="100"/>
        <v/>
      </c>
      <c r="AN88" s="260" t="str">
        <f t="shared" si="62"/>
        <v/>
      </c>
      <c r="AO88" s="121" t="str">
        <f>IF($AB88="","",SUM(AN88:AN$114))</f>
        <v/>
      </c>
      <c r="AP88" s="287" t="str">
        <f t="shared" si="91"/>
        <v/>
      </c>
      <c r="AQ88" s="260" t="str">
        <f t="shared" si="63"/>
        <v/>
      </c>
      <c r="AR88" s="260" t="str">
        <f t="shared" si="64"/>
        <v/>
      </c>
      <c r="AS88" s="260" t="str">
        <f t="shared" si="65"/>
        <v/>
      </c>
      <c r="AT88" s="317" t="str">
        <f>IF($AB88="","",SUM($AU88:$AU$114))</f>
        <v/>
      </c>
      <c r="AU88" s="260" t="str">
        <f t="shared" si="92"/>
        <v/>
      </c>
      <c r="AV88" s="317" t="str">
        <f t="shared" si="66"/>
        <v/>
      </c>
      <c r="AW88" s="287"/>
      <c r="AX88" s="260" t="str">
        <f t="shared" si="67"/>
        <v/>
      </c>
      <c r="AY88" s="260" t="str">
        <f t="shared" si="68"/>
        <v/>
      </c>
      <c r="AZ88" s="260" t="str">
        <f t="shared" si="69"/>
        <v/>
      </c>
      <c r="BA88" s="317" t="str">
        <f>IF($AB88="","",SUM($AZ88:$AZ$114))</f>
        <v/>
      </c>
      <c r="BB88" s="287"/>
      <c r="BC88" s="260" t="str">
        <f t="shared" si="70"/>
        <v/>
      </c>
      <c r="BD88" s="260" t="str">
        <f t="shared" si="71"/>
        <v/>
      </c>
      <c r="BE88" s="260" t="str">
        <f t="shared" si="72"/>
        <v/>
      </c>
      <c r="BF88" s="317" t="str">
        <f>IF($AB88="","",SUM($BE88:$BE$114))</f>
        <v/>
      </c>
      <c r="BG88" s="287"/>
      <c r="BH88" s="260" t="str">
        <f t="shared" si="73"/>
        <v/>
      </c>
      <c r="BI88" s="260" t="str">
        <f t="shared" si="74"/>
        <v/>
      </c>
      <c r="BJ88" s="260" t="str">
        <f t="shared" si="75"/>
        <v/>
      </c>
      <c r="BK88" s="317" t="str">
        <f>IF($AB88="","",SUM($BJ88:$BJ$114))</f>
        <v/>
      </c>
      <c r="BL88" s="287"/>
      <c r="BM88" s="260" t="str">
        <f t="shared" si="76"/>
        <v/>
      </c>
      <c r="BN88" s="260" t="str">
        <f t="shared" si="77"/>
        <v/>
      </c>
      <c r="BO88" s="260" t="str">
        <f t="shared" si="78"/>
        <v/>
      </c>
      <c r="BP88" s="317" t="str">
        <f>IF($AB88="","",SUM($BO88:$BO$114))</f>
        <v/>
      </c>
      <c r="BQ88" s="287" t="str">
        <f t="shared" si="79"/>
        <v/>
      </c>
      <c r="BR88" s="260" t="str">
        <f t="shared" si="93"/>
        <v/>
      </c>
      <c r="BS88" s="260" t="str">
        <f t="shared" si="80"/>
        <v/>
      </c>
      <c r="BT88" s="260" t="str">
        <f t="shared" si="81"/>
        <v/>
      </c>
      <c r="BU88" s="260" t="str">
        <f t="shared" si="94"/>
        <v/>
      </c>
      <c r="BV88" s="260"/>
      <c r="BW88" s="260"/>
      <c r="BX88" s="260"/>
      <c r="BY88" s="260"/>
      <c r="BZ88" s="260" t="str">
        <f>IF($AB88="","",SUM(BU88:BU$114))</f>
        <v/>
      </c>
      <c r="CA88" s="55" t="str">
        <f>IF(AB88&lt;$E$3+$F$5,0,IFERROR(일반형!S90,0))</f>
        <v/>
      </c>
      <c r="CB88" s="122"/>
      <c r="CC88" s="396" t="str">
        <f t="shared" si="55"/>
        <v/>
      </c>
      <c r="CD88" s="260" t="str">
        <f t="shared" si="95"/>
        <v/>
      </c>
      <c r="CE88" s="260" t="str">
        <f t="shared" si="82"/>
        <v/>
      </c>
      <c r="CF88" s="260" t="str">
        <f t="shared" si="83"/>
        <v/>
      </c>
      <c r="CG88" s="260" t="str">
        <f t="shared" si="96"/>
        <v/>
      </c>
      <c r="CH88" s="260" t="str">
        <f t="shared" si="84"/>
        <v/>
      </c>
      <c r="CI88" s="123" t="str">
        <f t="shared" si="97"/>
        <v/>
      </c>
      <c r="CJ88" s="124" t="str">
        <f t="shared" si="85"/>
        <v/>
      </c>
      <c r="CK88" s="242"/>
      <c r="CL88" s="209">
        <v>84</v>
      </c>
      <c r="CM88" s="260">
        <f t="shared" si="86"/>
        <v>0</v>
      </c>
      <c r="CN88" s="260">
        <f t="shared" si="87"/>
        <v>2.2599999999999999E-4</v>
      </c>
      <c r="CO88" s="260">
        <f t="shared" si="88"/>
        <v>3.5090999999999997E-2</v>
      </c>
      <c r="CP88" s="260">
        <f t="shared" si="98"/>
        <v>9.3400000000000004E-4</v>
      </c>
      <c r="CQ88" s="260"/>
      <c r="CR88" s="209">
        <v>84</v>
      </c>
      <c r="CS88" s="260"/>
      <c r="CT88" s="260"/>
      <c r="CU88" s="260">
        <v>2.2599999999999999E-4</v>
      </c>
      <c r="CV88" s="260">
        <v>1.5799999999999999E-4</v>
      </c>
      <c r="CW88" s="260">
        <v>3.5090999999999997E-2</v>
      </c>
      <c r="CX88" s="260">
        <v>1.6791E-2</v>
      </c>
      <c r="CY88" s="260">
        <v>9.3400000000000004E-4</v>
      </c>
      <c r="CZ88" s="260">
        <v>1.6119999999999999E-3</v>
      </c>
      <c r="DA88" s="260"/>
      <c r="DB88" s="260"/>
      <c r="DC88" s="260"/>
      <c r="DD88" s="260"/>
    </row>
    <row r="89" spans="1:108">
      <c r="A89" s="305"/>
      <c r="D89" s="469"/>
      <c r="E89" s="469"/>
      <c r="F89" s="456"/>
      <c r="G89" s="470"/>
      <c r="H89" s="460"/>
      <c r="M89" s="158"/>
      <c r="N89" s="278" t="str">
        <f t="shared" si="106"/>
        <v/>
      </c>
      <c r="O89" s="279" t="str">
        <f t="shared" si="107"/>
        <v/>
      </c>
      <c r="P89" s="271" t="str">
        <f t="shared" si="101"/>
        <v/>
      </c>
      <c r="Q89" s="271" t="str">
        <f t="shared" si="102"/>
        <v/>
      </c>
      <c r="R89" s="271" t="str">
        <f t="shared" si="103"/>
        <v/>
      </c>
      <c r="S89" s="400" t="str">
        <f t="shared" si="56"/>
        <v/>
      </c>
      <c r="T89" s="382" t="str">
        <f>일반형!P89</f>
        <v/>
      </c>
      <c r="U89" s="382" t="str">
        <f>일반형!Q89</f>
        <v/>
      </c>
      <c r="V89" s="271" t="str">
        <f>일반형!R89</f>
        <v/>
      </c>
      <c r="W89" s="400" t="str">
        <f>일반형!S89</f>
        <v/>
      </c>
      <c r="X89" s="271" t="str">
        <f t="shared" si="104"/>
        <v/>
      </c>
      <c r="Y89" s="442" t="str">
        <f t="shared" si="57"/>
        <v/>
      </c>
      <c r="Z89" s="443" t="str">
        <f t="shared" si="105"/>
        <v/>
      </c>
      <c r="AB89" s="130" t="str">
        <f t="shared" si="89"/>
        <v/>
      </c>
      <c r="AC89" s="653" t="str">
        <f t="shared" si="58"/>
        <v/>
      </c>
      <c r="AD89" s="261"/>
      <c r="AE89" s="261" t="str">
        <f>IF(AB89="","",IF(AB89-$AB$4&lt;$F$5-1,INDEX(Main_무해지!$G$76:$G$87,MIN(AB89-$AB$4+1,12)),IF(AB89-$AB$4=$F$5-1,0,IF(AND($F$2=1,AB89&gt;109),0,IF(AND($F$2=2,AB89&gt;111),0,INDEX(Main_무해지!$H$76:$H$82,MIN(AB89-$AB$4-$F$5+1,7)))))))</f>
        <v/>
      </c>
      <c r="AF89" s="261" t="str">
        <f t="shared" si="99"/>
        <v/>
      </c>
      <c r="AG89" s="261" t="str">
        <f t="shared" si="59"/>
        <v/>
      </c>
      <c r="AH89" s="131" t="str">
        <f>IF($AB89="","",SUM(AG89:AG$114))</f>
        <v/>
      </c>
      <c r="AI89" s="261" t="str">
        <f t="shared" si="90"/>
        <v/>
      </c>
      <c r="AJ89" s="311" t="str">
        <f t="shared" si="60"/>
        <v/>
      </c>
      <c r="AK89" s="311"/>
      <c r="AL89" s="261" t="str">
        <f t="shared" si="61"/>
        <v/>
      </c>
      <c r="AM89" s="261" t="str">
        <f t="shared" si="100"/>
        <v/>
      </c>
      <c r="AN89" s="261" t="str">
        <f t="shared" si="62"/>
        <v/>
      </c>
      <c r="AO89" s="131" t="str">
        <f>IF($AB89="","",SUM(AN89:AN$114))</f>
        <v/>
      </c>
      <c r="AP89" s="288" t="str">
        <f t="shared" si="91"/>
        <v/>
      </c>
      <c r="AQ89" s="261" t="str">
        <f t="shared" si="63"/>
        <v/>
      </c>
      <c r="AR89" s="261" t="str">
        <f t="shared" si="64"/>
        <v/>
      </c>
      <c r="AS89" s="261" t="str">
        <f t="shared" si="65"/>
        <v/>
      </c>
      <c r="AT89" s="318" t="str">
        <f>IF($AB89="","",SUM($AU89:$AU$114))</f>
        <v/>
      </c>
      <c r="AU89" s="261" t="str">
        <f t="shared" si="92"/>
        <v/>
      </c>
      <c r="AV89" s="318" t="str">
        <f t="shared" si="66"/>
        <v/>
      </c>
      <c r="AW89" s="288"/>
      <c r="AX89" s="261" t="str">
        <f t="shared" si="67"/>
        <v/>
      </c>
      <c r="AY89" s="261" t="str">
        <f t="shared" si="68"/>
        <v/>
      </c>
      <c r="AZ89" s="261" t="str">
        <f t="shared" si="69"/>
        <v/>
      </c>
      <c r="BA89" s="318" t="str">
        <f>IF($AB89="","",SUM($AZ89:$AZ$114))</f>
        <v/>
      </c>
      <c r="BB89" s="288"/>
      <c r="BC89" s="261" t="str">
        <f t="shared" si="70"/>
        <v/>
      </c>
      <c r="BD89" s="261" t="str">
        <f t="shared" si="71"/>
        <v/>
      </c>
      <c r="BE89" s="261" t="str">
        <f t="shared" si="72"/>
        <v/>
      </c>
      <c r="BF89" s="318" t="str">
        <f>IF($AB89="","",SUM($BE89:$BE$114))</f>
        <v/>
      </c>
      <c r="BG89" s="288"/>
      <c r="BH89" s="261" t="str">
        <f t="shared" si="73"/>
        <v/>
      </c>
      <c r="BI89" s="261" t="str">
        <f t="shared" si="74"/>
        <v/>
      </c>
      <c r="BJ89" s="261" t="str">
        <f t="shared" si="75"/>
        <v/>
      </c>
      <c r="BK89" s="318" t="str">
        <f>IF($AB89="","",SUM($BJ89:$BJ$114))</f>
        <v/>
      </c>
      <c r="BL89" s="288"/>
      <c r="BM89" s="261" t="str">
        <f t="shared" si="76"/>
        <v/>
      </c>
      <c r="BN89" s="261" t="str">
        <f t="shared" si="77"/>
        <v/>
      </c>
      <c r="BO89" s="261" t="str">
        <f t="shared" si="78"/>
        <v/>
      </c>
      <c r="BP89" s="318" t="str">
        <f>IF($AB89="","",SUM($BO89:$BO$114))</f>
        <v/>
      </c>
      <c r="BQ89" s="288" t="str">
        <f t="shared" si="79"/>
        <v/>
      </c>
      <c r="BR89" s="261" t="str">
        <f t="shared" si="93"/>
        <v/>
      </c>
      <c r="BS89" s="261" t="str">
        <f t="shared" si="80"/>
        <v/>
      </c>
      <c r="BT89" s="261" t="str">
        <f t="shared" si="81"/>
        <v/>
      </c>
      <c r="BU89" s="261" t="str">
        <f t="shared" si="94"/>
        <v/>
      </c>
      <c r="BV89" s="261"/>
      <c r="BW89" s="261"/>
      <c r="BX89" s="261"/>
      <c r="BY89" s="261"/>
      <c r="BZ89" s="261" t="str">
        <f>IF($AB89="","",SUM(BU89:BU$114))</f>
        <v/>
      </c>
      <c r="CA89" s="55" t="str">
        <f>IF(AB89&lt;$E$3+$F$5,0,IFERROR(일반형!S91,0))</f>
        <v/>
      </c>
      <c r="CB89" s="132"/>
      <c r="CC89" s="397" t="str">
        <f t="shared" si="55"/>
        <v/>
      </c>
      <c r="CD89" s="261" t="str">
        <f t="shared" si="95"/>
        <v/>
      </c>
      <c r="CE89" s="261" t="str">
        <f t="shared" si="82"/>
        <v/>
      </c>
      <c r="CF89" s="261" t="str">
        <f t="shared" si="83"/>
        <v/>
      </c>
      <c r="CG89" s="261" t="str">
        <f t="shared" si="96"/>
        <v/>
      </c>
      <c r="CH89" s="261" t="str">
        <f t="shared" si="84"/>
        <v/>
      </c>
      <c r="CI89" s="133" t="str">
        <f t="shared" si="97"/>
        <v/>
      </c>
      <c r="CJ89" s="134" t="str">
        <f t="shared" si="85"/>
        <v/>
      </c>
      <c r="CK89" s="243"/>
      <c r="CL89" s="210">
        <v>85</v>
      </c>
      <c r="CM89" s="261">
        <f t="shared" si="86"/>
        <v>0</v>
      </c>
      <c r="CN89" s="261">
        <f t="shared" si="87"/>
        <v>2.2599999999999999E-4</v>
      </c>
      <c r="CO89" s="261">
        <f t="shared" si="88"/>
        <v>4.1438000000000003E-2</v>
      </c>
      <c r="CP89" s="261">
        <f t="shared" si="98"/>
        <v>9.3400000000000004E-4</v>
      </c>
      <c r="CQ89" s="261"/>
      <c r="CR89" s="210">
        <v>85</v>
      </c>
      <c r="CS89" s="261"/>
      <c r="CT89" s="261"/>
      <c r="CU89" s="261">
        <v>2.2599999999999999E-4</v>
      </c>
      <c r="CV89" s="261">
        <v>1.5799999999999999E-4</v>
      </c>
      <c r="CW89" s="261">
        <v>4.1438000000000003E-2</v>
      </c>
      <c r="CX89" s="261">
        <v>1.8728000000000002E-2</v>
      </c>
      <c r="CY89" s="261">
        <v>9.3400000000000004E-4</v>
      </c>
      <c r="CZ89" s="261">
        <v>1.6119999999999999E-3</v>
      </c>
      <c r="DA89" s="261"/>
      <c r="DB89" s="261"/>
      <c r="DC89" s="261"/>
      <c r="DD89" s="261"/>
    </row>
    <row r="90" spans="1:108">
      <c r="A90" s="305"/>
      <c r="D90" s="469"/>
      <c r="E90" s="469"/>
      <c r="F90" s="456"/>
      <c r="G90" s="470"/>
      <c r="H90" s="460"/>
      <c r="M90" s="158"/>
      <c r="N90" s="278" t="str">
        <f t="shared" si="106"/>
        <v/>
      </c>
      <c r="O90" s="279" t="str">
        <f t="shared" si="107"/>
        <v/>
      </c>
      <c r="P90" s="271" t="str">
        <f t="shared" si="101"/>
        <v/>
      </c>
      <c r="Q90" s="271" t="str">
        <f t="shared" si="102"/>
        <v/>
      </c>
      <c r="R90" s="271" t="str">
        <f t="shared" si="103"/>
        <v/>
      </c>
      <c r="S90" s="400" t="str">
        <f t="shared" si="56"/>
        <v/>
      </c>
      <c r="T90" s="382" t="str">
        <f>일반형!P90</f>
        <v/>
      </c>
      <c r="U90" s="382" t="str">
        <f>일반형!Q90</f>
        <v/>
      </c>
      <c r="V90" s="271" t="str">
        <f>일반형!R90</f>
        <v/>
      </c>
      <c r="W90" s="400" t="str">
        <f>일반형!S90</f>
        <v/>
      </c>
      <c r="X90" s="271" t="str">
        <f t="shared" si="104"/>
        <v/>
      </c>
      <c r="Y90" s="442" t="str">
        <f t="shared" si="57"/>
        <v/>
      </c>
      <c r="Z90" s="443" t="str">
        <f t="shared" si="105"/>
        <v/>
      </c>
      <c r="AB90" s="759" t="str">
        <f t="shared" si="89"/>
        <v/>
      </c>
      <c r="AC90" s="646" t="str">
        <f t="shared" si="58"/>
        <v/>
      </c>
      <c r="AD90" s="409"/>
      <c r="AE90" s="409" t="str">
        <f>IF(AB90="","",IF(AB90-$AB$4&lt;$F$5-1,INDEX(Main_무해지!$G$76:$G$87,MIN(AB90-$AB$4+1,12)),IF(AB90-$AB$4=$F$5-1,0,IF(AND($F$2=1,AB90&gt;109),0,IF(AND($F$2=2,AB90&gt;111),0,INDEX(Main_무해지!$H$76:$H$82,MIN(AB90-$AB$4-$F$5+1,7)))))))</f>
        <v/>
      </c>
      <c r="AF90" s="409" t="str">
        <f t="shared" si="99"/>
        <v/>
      </c>
      <c r="AG90" s="409" t="str">
        <f t="shared" si="59"/>
        <v/>
      </c>
      <c r="AH90" s="760" t="str">
        <f>IF($AB90="","",SUM(AG90:AG$114))</f>
        <v/>
      </c>
      <c r="AI90" s="409" t="str">
        <f t="shared" si="90"/>
        <v/>
      </c>
      <c r="AJ90" s="639" t="str">
        <f t="shared" si="60"/>
        <v/>
      </c>
      <c r="AK90" s="639"/>
      <c r="AL90" s="409" t="str">
        <f t="shared" si="61"/>
        <v/>
      </c>
      <c r="AM90" s="409" t="str">
        <f t="shared" si="100"/>
        <v/>
      </c>
      <c r="AN90" s="409" t="str">
        <f t="shared" si="62"/>
        <v/>
      </c>
      <c r="AO90" s="760" t="str">
        <f>IF($AB90="","",SUM(AN90:AN$114))</f>
        <v/>
      </c>
      <c r="AP90" s="761" t="str">
        <f t="shared" si="91"/>
        <v/>
      </c>
      <c r="AQ90" s="409" t="str">
        <f t="shared" si="63"/>
        <v/>
      </c>
      <c r="AR90" s="409" t="str">
        <f t="shared" si="64"/>
        <v/>
      </c>
      <c r="AS90" s="409" t="str">
        <f t="shared" si="65"/>
        <v/>
      </c>
      <c r="AT90" s="762" t="str">
        <f>IF($AB90="","",SUM($AU90:$AU$114))</f>
        <v/>
      </c>
      <c r="AU90" s="409" t="str">
        <f t="shared" si="92"/>
        <v/>
      </c>
      <c r="AV90" s="762" t="str">
        <f t="shared" si="66"/>
        <v/>
      </c>
      <c r="AW90" s="761"/>
      <c r="AX90" s="409" t="str">
        <f t="shared" si="67"/>
        <v/>
      </c>
      <c r="AY90" s="409" t="str">
        <f t="shared" si="68"/>
        <v/>
      </c>
      <c r="AZ90" s="409" t="str">
        <f t="shared" si="69"/>
        <v/>
      </c>
      <c r="BA90" s="762" t="str">
        <f>IF($AB90="","",SUM($AZ90:$AZ$114))</f>
        <v/>
      </c>
      <c r="BB90" s="761"/>
      <c r="BC90" s="409" t="str">
        <f t="shared" si="70"/>
        <v/>
      </c>
      <c r="BD90" s="409" t="str">
        <f t="shared" si="71"/>
        <v/>
      </c>
      <c r="BE90" s="409" t="str">
        <f t="shared" si="72"/>
        <v/>
      </c>
      <c r="BF90" s="762" t="str">
        <f>IF($AB90="","",SUM($BE90:$BE$114))</f>
        <v/>
      </c>
      <c r="BG90" s="761"/>
      <c r="BH90" s="409" t="str">
        <f t="shared" si="73"/>
        <v/>
      </c>
      <c r="BI90" s="409" t="str">
        <f t="shared" si="74"/>
        <v/>
      </c>
      <c r="BJ90" s="409" t="str">
        <f t="shared" si="75"/>
        <v/>
      </c>
      <c r="BK90" s="762" t="str">
        <f>IF($AB90="","",SUM($BJ90:$BJ$114))</f>
        <v/>
      </c>
      <c r="BL90" s="761"/>
      <c r="BM90" s="409" t="str">
        <f t="shared" si="76"/>
        <v/>
      </c>
      <c r="BN90" s="409" t="str">
        <f t="shared" si="77"/>
        <v/>
      </c>
      <c r="BO90" s="409" t="str">
        <f t="shared" si="78"/>
        <v/>
      </c>
      <c r="BP90" s="762" t="str">
        <f>IF($AB90="","",SUM($BO90:$BO$114))</f>
        <v/>
      </c>
      <c r="BQ90" s="761" t="str">
        <f t="shared" si="79"/>
        <v/>
      </c>
      <c r="BR90" s="409" t="str">
        <f t="shared" si="93"/>
        <v/>
      </c>
      <c r="BS90" s="409" t="str">
        <f t="shared" si="80"/>
        <v/>
      </c>
      <c r="BT90" s="409" t="str">
        <f t="shared" si="81"/>
        <v/>
      </c>
      <c r="BU90" s="409" t="str">
        <f t="shared" si="94"/>
        <v/>
      </c>
      <c r="BV90" s="409"/>
      <c r="BW90" s="409"/>
      <c r="BX90" s="409"/>
      <c r="BY90" s="409"/>
      <c r="BZ90" s="409" t="str">
        <f>IF($AB90="","",SUM(BU90:BU$114))</f>
        <v/>
      </c>
      <c r="CA90" s="55" t="str">
        <f>IF(AB90&lt;$E$3+$F$5,0,IFERROR(일반형!S92,0))</f>
        <v/>
      </c>
      <c r="CB90" s="763"/>
      <c r="CC90" s="764" t="str">
        <f t="shared" si="55"/>
        <v/>
      </c>
      <c r="CD90" s="409" t="str">
        <f t="shared" si="95"/>
        <v/>
      </c>
      <c r="CE90" s="409" t="str">
        <f t="shared" si="82"/>
        <v/>
      </c>
      <c r="CF90" s="409" t="str">
        <f t="shared" si="83"/>
        <v/>
      </c>
      <c r="CG90" s="409" t="str">
        <f t="shared" si="96"/>
        <v/>
      </c>
      <c r="CH90" s="409" t="str">
        <f t="shared" si="84"/>
        <v/>
      </c>
      <c r="CI90" s="765" t="str">
        <f t="shared" si="97"/>
        <v/>
      </c>
      <c r="CJ90" s="766" t="str">
        <f t="shared" si="85"/>
        <v/>
      </c>
      <c r="CK90" s="414"/>
      <c r="CL90" s="767">
        <v>86</v>
      </c>
      <c r="CM90" s="409">
        <f t="shared" si="86"/>
        <v>0</v>
      </c>
      <c r="CN90" s="409">
        <f t="shared" si="87"/>
        <v>2.2599999999999999E-4</v>
      </c>
      <c r="CO90" s="409">
        <f t="shared" si="88"/>
        <v>4.8973000000000003E-2</v>
      </c>
      <c r="CP90" s="409">
        <f t="shared" si="98"/>
        <v>9.3400000000000004E-4</v>
      </c>
      <c r="CQ90" s="409"/>
      <c r="CR90" s="767">
        <v>86</v>
      </c>
      <c r="CS90" s="409"/>
      <c r="CT90" s="409"/>
      <c r="CU90" s="409">
        <v>2.2599999999999999E-4</v>
      </c>
      <c r="CV90" s="409">
        <v>1.5799999999999999E-4</v>
      </c>
      <c r="CW90" s="409">
        <v>4.8973000000000003E-2</v>
      </c>
      <c r="CX90" s="409">
        <v>2.0952999999999999E-2</v>
      </c>
      <c r="CY90" s="409">
        <v>9.3400000000000004E-4</v>
      </c>
      <c r="CZ90" s="409">
        <v>1.6119999999999999E-3</v>
      </c>
      <c r="DA90" s="409"/>
      <c r="DB90" s="409"/>
      <c r="DC90" s="409"/>
      <c r="DD90" s="409"/>
    </row>
    <row r="91" spans="1:108">
      <c r="A91" s="305"/>
      <c r="D91" s="469"/>
      <c r="E91" s="469"/>
      <c r="F91" s="459"/>
      <c r="G91" s="470"/>
      <c r="H91" s="460"/>
      <c r="M91" s="158"/>
      <c r="N91" s="278" t="str">
        <f t="shared" si="106"/>
        <v/>
      </c>
      <c r="O91" s="279" t="str">
        <f t="shared" si="107"/>
        <v/>
      </c>
      <c r="P91" s="271" t="str">
        <f t="shared" si="101"/>
        <v/>
      </c>
      <c r="Q91" s="271" t="str">
        <f t="shared" si="102"/>
        <v/>
      </c>
      <c r="R91" s="271" t="str">
        <f t="shared" si="103"/>
        <v/>
      </c>
      <c r="S91" s="400" t="str">
        <f t="shared" si="56"/>
        <v/>
      </c>
      <c r="T91" s="382" t="str">
        <f>일반형!P91</f>
        <v/>
      </c>
      <c r="U91" s="382" t="str">
        <f>일반형!Q91</f>
        <v/>
      </c>
      <c r="V91" s="271" t="str">
        <f>일반형!R91</f>
        <v/>
      </c>
      <c r="W91" s="400" t="str">
        <f>일반형!S91</f>
        <v/>
      </c>
      <c r="X91" s="271" t="str">
        <f t="shared" si="104"/>
        <v/>
      </c>
      <c r="Y91" s="446" t="str">
        <f t="shared" si="57"/>
        <v/>
      </c>
      <c r="Z91" s="447" t="str">
        <f t="shared" si="105"/>
        <v/>
      </c>
      <c r="AB91" s="70" t="str">
        <f t="shared" si="89"/>
        <v/>
      </c>
      <c r="AC91" s="647" t="str">
        <f t="shared" si="58"/>
        <v/>
      </c>
      <c r="AD91" s="256"/>
      <c r="AE91" s="256" t="str">
        <f>IF(AB91="","",IF(AB91-$AB$4&lt;$F$5-1,INDEX(Main_무해지!$G$76:$G$87,MIN(AB91-$AB$4+1,12)),IF(AB91-$AB$4=$F$5-1,0,IF(AND($F$2=1,AB91&gt;109),0,IF(AND($F$2=2,AB91&gt;111),0,INDEX(Main_무해지!$H$76:$H$82,MIN(AB91-$AB$4-$F$5+1,7)))))))</f>
        <v/>
      </c>
      <c r="AF91" s="256" t="str">
        <f t="shared" si="99"/>
        <v/>
      </c>
      <c r="AG91" s="256" t="str">
        <f t="shared" si="59"/>
        <v/>
      </c>
      <c r="AH91" s="72" t="str">
        <f>IF($AB91="","",SUM(AG91:AG$114))</f>
        <v/>
      </c>
      <c r="AI91" s="256" t="str">
        <f t="shared" si="90"/>
        <v/>
      </c>
      <c r="AJ91" s="74" t="str">
        <f t="shared" si="60"/>
        <v/>
      </c>
      <c r="AK91" s="74"/>
      <c r="AL91" s="256" t="str">
        <f t="shared" si="61"/>
        <v/>
      </c>
      <c r="AM91" s="256" t="str">
        <f t="shared" si="100"/>
        <v/>
      </c>
      <c r="AN91" s="256" t="str">
        <f t="shared" si="62"/>
        <v/>
      </c>
      <c r="AO91" s="72" t="str">
        <f>IF($AB91="","",SUM(AN91:AN$114))</f>
        <v/>
      </c>
      <c r="AP91" s="71" t="str">
        <f t="shared" si="91"/>
        <v/>
      </c>
      <c r="AQ91" s="256" t="str">
        <f t="shared" si="63"/>
        <v/>
      </c>
      <c r="AR91" s="256" t="str">
        <f t="shared" si="64"/>
        <v/>
      </c>
      <c r="AS91" s="256" t="str">
        <f t="shared" si="65"/>
        <v/>
      </c>
      <c r="AT91" s="75" t="str">
        <f>IF($AB91="","",SUM($AU91:$AU$114))</f>
        <v/>
      </c>
      <c r="AU91" s="256" t="str">
        <f t="shared" si="92"/>
        <v/>
      </c>
      <c r="AV91" s="75" t="str">
        <f t="shared" si="66"/>
        <v/>
      </c>
      <c r="AW91" s="71"/>
      <c r="AX91" s="256" t="str">
        <f t="shared" si="67"/>
        <v/>
      </c>
      <c r="AY91" s="256" t="str">
        <f t="shared" si="68"/>
        <v/>
      </c>
      <c r="AZ91" s="256" t="str">
        <f t="shared" si="69"/>
        <v/>
      </c>
      <c r="BA91" s="75" t="str">
        <f>IF($AB91="","",SUM($AZ91:$AZ$114))</f>
        <v/>
      </c>
      <c r="BB91" s="71"/>
      <c r="BC91" s="256" t="str">
        <f t="shared" si="70"/>
        <v/>
      </c>
      <c r="BD91" s="256" t="str">
        <f t="shared" si="71"/>
        <v/>
      </c>
      <c r="BE91" s="256" t="str">
        <f t="shared" si="72"/>
        <v/>
      </c>
      <c r="BF91" s="75" t="str">
        <f>IF($AB91="","",SUM($BE91:$BE$114))</f>
        <v/>
      </c>
      <c r="BG91" s="71"/>
      <c r="BH91" s="256" t="str">
        <f t="shared" si="73"/>
        <v/>
      </c>
      <c r="BI91" s="256" t="str">
        <f t="shared" si="74"/>
        <v/>
      </c>
      <c r="BJ91" s="256" t="str">
        <f t="shared" si="75"/>
        <v/>
      </c>
      <c r="BK91" s="75" t="str">
        <f>IF($AB91="","",SUM($BJ91:$BJ$114))</f>
        <v/>
      </c>
      <c r="BL91" s="71"/>
      <c r="BM91" s="256" t="str">
        <f t="shared" si="76"/>
        <v/>
      </c>
      <c r="BN91" s="256" t="str">
        <f t="shared" si="77"/>
        <v/>
      </c>
      <c r="BO91" s="256" t="str">
        <f t="shared" si="78"/>
        <v/>
      </c>
      <c r="BP91" s="75" t="str">
        <f>IF($AB91="","",SUM($BO91:$BO$114))</f>
        <v/>
      </c>
      <c r="BQ91" s="71" t="str">
        <f t="shared" si="79"/>
        <v/>
      </c>
      <c r="BR91" s="256" t="str">
        <f t="shared" si="93"/>
        <v/>
      </c>
      <c r="BS91" s="256" t="str">
        <f t="shared" si="80"/>
        <v/>
      </c>
      <c r="BT91" s="256" t="str">
        <f t="shared" si="81"/>
        <v/>
      </c>
      <c r="BU91" s="256" t="str">
        <f t="shared" si="94"/>
        <v/>
      </c>
      <c r="BV91" s="256"/>
      <c r="BW91" s="256"/>
      <c r="BX91" s="256"/>
      <c r="BY91" s="256"/>
      <c r="BZ91" s="256" t="str">
        <f>IF($AB91="","",SUM(BU91:BU$114))</f>
        <v/>
      </c>
      <c r="CA91" s="55" t="str">
        <f>IF(AB91&lt;$E$3+$F$5,0,IFERROR(일반형!S93,0))</f>
        <v/>
      </c>
      <c r="CB91" s="73"/>
      <c r="CC91" s="392" t="str">
        <f t="shared" si="55"/>
        <v/>
      </c>
      <c r="CD91" s="256" t="str">
        <f t="shared" si="95"/>
        <v/>
      </c>
      <c r="CE91" s="256" t="str">
        <f t="shared" si="82"/>
        <v/>
      </c>
      <c r="CF91" s="256" t="str">
        <f t="shared" si="83"/>
        <v/>
      </c>
      <c r="CG91" s="256" t="str">
        <f t="shared" si="96"/>
        <v/>
      </c>
      <c r="CH91" s="256" t="str">
        <f t="shared" si="84"/>
        <v/>
      </c>
      <c r="CI91" s="76" t="str">
        <f t="shared" si="97"/>
        <v/>
      </c>
      <c r="CJ91" s="77" t="str">
        <f t="shared" si="85"/>
        <v/>
      </c>
      <c r="CK91" s="238"/>
      <c r="CL91" s="205">
        <v>87</v>
      </c>
      <c r="CM91" s="256">
        <f t="shared" si="86"/>
        <v>0</v>
      </c>
      <c r="CN91" s="256">
        <f t="shared" si="87"/>
        <v>2.2599999999999999E-4</v>
      </c>
      <c r="CO91" s="256">
        <f t="shared" si="88"/>
        <v>5.7883999999999998E-2</v>
      </c>
      <c r="CP91" s="256">
        <f t="shared" si="98"/>
        <v>9.3400000000000004E-4</v>
      </c>
      <c r="CQ91" s="256"/>
      <c r="CR91" s="205">
        <v>87</v>
      </c>
      <c r="CS91" s="256"/>
      <c r="CT91" s="256"/>
      <c r="CU91" s="256">
        <v>2.2599999999999999E-4</v>
      </c>
      <c r="CV91" s="256">
        <v>1.5799999999999999E-4</v>
      </c>
      <c r="CW91" s="256">
        <v>5.7883999999999998E-2</v>
      </c>
      <c r="CX91" s="256">
        <v>2.3512999999999999E-2</v>
      </c>
      <c r="CY91" s="256">
        <v>9.3400000000000004E-4</v>
      </c>
      <c r="CZ91" s="256">
        <v>1.6119999999999999E-3</v>
      </c>
      <c r="DA91" s="256"/>
      <c r="DB91" s="256"/>
      <c r="DC91" s="256"/>
      <c r="DD91" s="256"/>
    </row>
    <row r="92" spans="1:108">
      <c r="A92" s="305"/>
      <c r="D92" s="469"/>
      <c r="E92" s="469"/>
      <c r="F92" s="459"/>
      <c r="G92" s="470"/>
      <c r="H92" s="460"/>
      <c r="M92" s="158"/>
      <c r="N92" s="278" t="str">
        <f t="shared" si="106"/>
        <v/>
      </c>
      <c r="O92" s="279" t="str">
        <f t="shared" si="107"/>
        <v/>
      </c>
      <c r="P92" s="271" t="str">
        <f t="shared" si="101"/>
        <v/>
      </c>
      <c r="Q92" s="271" t="str">
        <f t="shared" si="102"/>
        <v/>
      </c>
      <c r="R92" s="271" t="str">
        <f t="shared" si="103"/>
        <v/>
      </c>
      <c r="S92" s="400" t="str">
        <f t="shared" si="56"/>
        <v/>
      </c>
      <c r="T92" s="382" t="str">
        <f>일반형!P92</f>
        <v/>
      </c>
      <c r="U92" s="382" t="str">
        <f>일반형!Q92</f>
        <v/>
      </c>
      <c r="V92" s="271" t="str">
        <f>일반형!R92</f>
        <v/>
      </c>
      <c r="W92" s="400" t="str">
        <f>일반형!S92</f>
        <v/>
      </c>
      <c r="X92" s="271" t="str">
        <f t="shared" si="104"/>
        <v/>
      </c>
      <c r="Y92" s="444" t="str">
        <f t="shared" si="57"/>
        <v/>
      </c>
      <c r="Z92" s="445" t="str">
        <f t="shared" si="105"/>
        <v/>
      </c>
      <c r="AB92" s="70" t="str">
        <f t="shared" si="89"/>
        <v/>
      </c>
      <c r="AC92" s="647" t="str">
        <f t="shared" si="58"/>
        <v/>
      </c>
      <c r="AD92" s="256"/>
      <c r="AE92" s="256" t="str">
        <f>IF(AB92="","",IF(AB92-$AB$4&lt;$F$5-1,INDEX(Main_무해지!$G$76:$G$87,MIN(AB92-$AB$4+1,12)),IF(AB92-$AB$4=$F$5-1,0,IF(AND($F$2=1,AB92&gt;109),0,IF(AND($F$2=2,AB92&gt;111),0,INDEX(Main_무해지!$H$76:$H$82,MIN(AB92-$AB$4-$F$5+1,7)))))))</f>
        <v/>
      </c>
      <c r="AF92" s="256" t="str">
        <f t="shared" si="99"/>
        <v/>
      </c>
      <c r="AG92" s="256" t="str">
        <f t="shared" si="59"/>
        <v/>
      </c>
      <c r="AH92" s="72" t="str">
        <f>IF($AB92="","",SUM(AG92:AG$114))</f>
        <v/>
      </c>
      <c r="AI92" s="256" t="str">
        <f t="shared" si="90"/>
        <v/>
      </c>
      <c r="AJ92" s="74" t="str">
        <f t="shared" si="60"/>
        <v/>
      </c>
      <c r="AK92" s="74"/>
      <c r="AL92" s="256" t="str">
        <f t="shared" si="61"/>
        <v/>
      </c>
      <c r="AM92" s="256" t="str">
        <f t="shared" si="100"/>
        <v/>
      </c>
      <c r="AN92" s="256" t="str">
        <f t="shared" si="62"/>
        <v/>
      </c>
      <c r="AO92" s="72" t="str">
        <f>IF($AB92="","",SUM(AN92:AN$114))</f>
        <v/>
      </c>
      <c r="AP92" s="71" t="str">
        <f t="shared" si="91"/>
        <v/>
      </c>
      <c r="AQ92" s="256" t="str">
        <f t="shared" si="63"/>
        <v/>
      </c>
      <c r="AR92" s="256" t="str">
        <f t="shared" si="64"/>
        <v/>
      </c>
      <c r="AS92" s="256" t="str">
        <f t="shared" si="65"/>
        <v/>
      </c>
      <c r="AT92" s="75" t="str">
        <f>IF($AB92="","",SUM($AU92:$AU$114))</f>
        <v/>
      </c>
      <c r="AU92" s="256" t="str">
        <f t="shared" si="92"/>
        <v/>
      </c>
      <c r="AV92" s="75" t="str">
        <f t="shared" si="66"/>
        <v/>
      </c>
      <c r="AW92" s="71"/>
      <c r="AX92" s="256" t="str">
        <f t="shared" si="67"/>
        <v/>
      </c>
      <c r="AY92" s="256" t="str">
        <f t="shared" si="68"/>
        <v/>
      </c>
      <c r="AZ92" s="256" t="str">
        <f t="shared" si="69"/>
        <v/>
      </c>
      <c r="BA92" s="75" t="str">
        <f>IF($AB92="","",SUM($AZ92:$AZ$114))</f>
        <v/>
      </c>
      <c r="BB92" s="71"/>
      <c r="BC92" s="256" t="str">
        <f t="shared" si="70"/>
        <v/>
      </c>
      <c r="BD92" s="256" t="str">
        <f t="shared" si="71"/>
        <v/>
      </c>
      <c r="BE92" s="256" t="str">
        <f t="shared" si="72"/>
        <v/>
      </c>
      <c r="BF92" s="75" t="str">
        <f>IF($AB92="","",SUM($BE92:$BE$114))</f>
        <v/>
      </c>
      <c r="BG92" s="71"/>
      <c r="BH92" s="256" t="str">
        <f t="shared" si="73"/>
        <v/>
      </c>
      <c r="BI92" s="256" t="str">
        <f t="shared" si="74"/>
        <v/>
      </c>
      <c r="BJ92" s="256" t="str">
        <f t="shared" si="75"/>
        <v/>
      </c>
      <c r="BK92" s="75" t="str">
        <f>IF($AB92="","",SUM($BJ92:$BJ$114))</f>
        <v/>
      </c>
      <c r="BL92" s="71"/>
      <c r="BM92" s="256" t="str">
        <f t="shared" si="76"/>
        <v/>
      </c>
      <c r="BN92" s="256" t="str">
        <f t="shared" si="77"/>
        <v/>
      </c>
      <c r="BO92" s="256" t="str">
        <f t="shared" si="78"/>
        <v/>
      </c>
      <c r="BP92" s="75" t="str">
        <f>IF($AB92="","",SUM($BO92:$BO$114))</f>
        <v/>
      </c>
      <c r="BQ92" s="71" t="str">
        <f t="shared" si="79"/>
        <v/>
      </c>
      <c r="BR92" s="256" t="str">
        <f t="shared" si="93"/>
        <v/>
      </c>
      <c r="BS92" s="256" t="str">
        <f t="shared" si="80"/>
        <v/>
      </c>
      <c r="BT92" s="256" t="str">
        <f t="shared" si="81"/>
        <v/>
      </c>
      <c r="BU92" s="256" t="str">
        <f t="shared" si="94"/>
        <v/>
      </c>
      <c r="BV92" s="256"/>
      <c r="BW92" s="256"/>
      <c r="BX92" s="256"/>
      <c r="BY92" s="256"/>
      <c r="BZ92" s="256" t="str">
        <f>IF($AB92="","",SUM(BU92:BU$114))</f>
        <v/>
      </c>
      <c r="CA92" s="55" t="str">
        <f>IF(AB92&lt;$E$3+$F$5,0,IFERROR(일반형!S94,0))</f>
        <v/>
      </c>
      <c r="CB92" s="73"/>
      <c r="CC92" s="392" t="str">
        <f t="shared" si="55"/>
        <v/>
      </c>
      <c r="CD92" s="256" t="str">
        <f t="shared" si="95"/>
        <v/>
      </c>
      <c r="CE92" s="256" t="str">
        <f t="shared" si="82"/>
        <v/>
      </c>
      <c r="CF92" s="256" t="str">
        <f t="shared" si="83"/>
        <v/>
      </c>
      <c r="CG92" s="256" t="str">
        <f t="shared" si="96"/>
        <v/>
      </c>
      <c r="CH92" s="256" t="str">
        <f t="shared" si="84"/>
        <v/>
      </c>
      <c r="CI92" s="76" t="str">
        <f t="shared" si="97"/>
        <v/>
      </c>
      <c r="CJ92" s="77" t="str">
        <f t="shared" si="85"/>
        <v/>
      </c>
      <c r="CK92" s="238"/>
      <c r="CL92" s="205">
        <v>88</v>
      </c>
      <c r="CM92" s="256">
        <f t="shared" si="86"/>
        <v>0</v>
      </c>
      <c r="CN92" s="256">
        <f t="shared" si="87"/>
        <v>2.2599999999999999E-4</v>
      </c>
      <c r="CO92" s="256">
        <f t="shared" si="88"/>
        <v>6.8372000000000002E-2</v>
      </c>
      <c r="CP92" s="256">
        <f t="shared" si="98"/>
        <v>9.3400000000000004E-4</v>
      </c>
      <c r="CQ92" s="256"/>
      <c r="CR92" s="205">
        <v>88</v>
      </c>
      <c r="CS92" s="256"/>
      <c r="CT92" s="256"/>
      <c r="CU92" s="256">
        <v>2.2599999999999999E-4</v>
      </c>
      <c r="CV92" s="256">
        <v>1.5799999999999999E-4</v>
      </c>
      <c r="CW92" s="256">
        <v>6.8372000000000002E-2</v>
      </c>
      <c r="CX92" s="256">
        <v>2.6463E-2</v>
      </c>
      <c r="CY92" s="256">
        <v>9.3400000000000004E-4</v>
      </c>
      <c r="CZ92" s="256">
        <v>1.6119999999999999E-3</v>
      </c>
      <c r="DA92" s="256"/>
      <c r="DB92" s="256"/>
      <c r="DC92" s="256"/>
      <c r="DD92" s="256"/>
    </row>
    <row r="93" spans="1:108">
      <c r="A93" s="305"/>
      <c r="D93" s="469"/>
      <c r="E93" s="469"/>
      <c r="F93" s="459"/>
      <c r="G93" s="470"/>
      <c r="H93" s="460"/>
      <c r="M93" s="158"/>
      <c r="N93" s="278" t="str">
        <f t="shared" si="106"/>
        <v/>
      </c>
      <c r="O93" s="279" t="str">
        <f t="shared" si="107"/>
        <v/>
      </c>
      <c r="P93" s="271" t="str">
        <f t="shared" si="101"/>
        <v/>
      </c>
      <c r="Q93" s="271" t="str">
        <f t="shared" si="102"/>
        <v/>
      </c>
      <c r="R93" s="271" t="str">
        <f t="shared" si="103"/>
        <v/>
      </c>
      <c r="S93" s="400" t="str">
        <f t="shared" si="56"/>
        <v/>
      </c>
      <c r="T93" s="382" t="str">
        <f>일반형!P93</f>
        <v/>
      </c>
      <c r="U93" s="382" t="str">
        <f>일반형!Q93</f>
        <v/>
      </c>
      <c r="V93" s="271" t="str">
        <f>일반형!R93</f>
        <v/>
      </c>
      <c r="W93" s="400" t="str">
        <f>일반형!S93</f>
        <v/>
      </c>
      <c r="X93" s="271" t="str">
        <f t="shared" si="104"/>
        <v/>
      </c>
      <c r="Y93" s="442" t="str">
        <f t="shared" si="57"/>
        <v/>
      </c>
      <c r="Z93" s="443" t="str">
        <f t="shared" si="105"/>
        <v/>
      </c>
      <c r="AB93" s="70" t="str">
        <f t="shared" si="89"/>
        <v/>
      </c>
      <c r="AC93" s="647" t="str">
        <f t="shared" si="58"/>
        <v/>
      </c>
      <c r="AD93" s="256"/>
      <c r="AE93" s="256" t="str">
        <f>IF(AB93="","",IF(AB93-$AB$4&lt;$F$5-1,INDEX(Main_무해지!$G$76:$G$87,MIN(AB93-$AB$4+1,12)),IF(AB93-$AB$4=$F$5-1,0,IF(AND($F$2=1,AB93&gt;109),0,IF(AND($F$2=2,AB93&gt;111),0,INDEX(Main_무해지!$H$76:$H$82,MIN(AB93-$AB$4-$F$5+1,7)))))))</f>
        <v/>
      </c>
      <c r="AF93" s="256" t="str">
        <f t="shared" si="99"/>
        <v/>
      </c>
      <c r="AG93" s="256" t="str">
        <f t="shared" si="59"/>
        <v/>
      </c>
      <c r="AH93" s="72" t="str">
        <f>IF($AB93="","",SUM(AG93:AG$114))</f>
        <v/>
      </c>
      <c r="AI93" s="256" t="str">
        <f t="shared" si="90"/>
        <v/>
      </c>
      <c r="AJ93" s="74" t="str">
        <f t="shared" si="60"/>
        <v/>
      </c>
      <c r="AK93" s="74"/>
      <c r="AL93" s="256" t="str">
        <f t="shared" si="61"/>
        <v/>
      </c>
      <c r="AM93" s="256" t="str">
        <f t="shared" si="100"/>
        <v/>
      </c>
      <c r="AN93" s="256" t="str">
        <f t="shared" si="62"/>
        <v/>
      </c>
      <c r="AO93" s="72" t="str">
        <f>IF($AB93="","",SUM(AN93:AN$114))</f>
        <v/>
      </c>
      <c r="AP93" s="71" t="str">
        <f t="shared" si="91"/>
        <v/>
      </c>
      <c r="AQ93" s="256" t="str">
        <f t="shared" si="63"/>
        <v/>
      </c>
      <c r="AR93" s="256" t="str">
        <f t="shared" si="64"/>
        <v/>
      </c>
      <c r="AS93" s="256" t="str">
        <f t="shared" si="65"/>
        <v/>
      </c>
      <c r="AT93" s="75" t="str">
        <f>IF($AB93="","",SUM($AU93:$AU$114))</f>
        <v/>
      </c>
      <c r="AU93" s="256" t="str">
        <f t="shared" si="92"/>
        <v/>
      </c>
      <c r="AV93" s="75" t="str">
        <f t="shared" si="66"/>
        <v/>
      </c>
      <c r="AW93" s="71"/>
      <c r="AX93" s="256" t="str">
        <f t="shared" si="67"/>
        <v/>
      </c>
      <c r="AY93" s="256" t="str">
        <f t="shared" si="68"/>
        <v/>
      </c>
      <c r="AZ93" s="256" t="str">
        <f t="shared" si="69"/>
        <v/>
      </c>
      <c r="BA93" s="75" t="str">
        <f>IF($AB93="","",SUM($AZ93:$AZ$114))</f>
        <v/>
      </c>
      <c r="BB93" s="71"/>
      <c r="BC93" s="256" t="str">
        <f t="shared" si="70"/>
        <v/>
      </c>
      <c r="BD93" s="256" t="str">
        <f t="shared" si="71"/>
        <v/>
      </c>
      <c r="BE93" s="256" t="str">
        <f t="shared" si="72"/>
        <v/>
      </c>
      <c r="BF93" s="75" t="str">
        <f>IF($AB93="","",SUM($BE93:$BE$114))</f>
        <v/>
      </c>
      <c r="BG93" s="71"/>
      <c r="BH93" s="256" t="str">
        <f t="shared" si="73"/>
        <v/>
      </c>
      <c r="BI93" s="256" t="str">
        <f t="shared" si="74"/>
        <v/>
      </c>
      <c r="BJ93" s="256" t="str">
        <f t="shared" si="75"/>
        <v/>
      </c>
      <c r="BK93" s="75" t="str">
        <f>IF($AB93="","",SUM($BJ93:$BJ$114))</f>
        <v/>
      </c>
      <c r="BL93" s="71"/>
      <c r="BM93" s="256" t="str">
        <f t="shared" si="76"/>
        <v/>
      </c>
      <c r="BN93" s="256" t="str">
        <f t="shared" si="77"/>
        <v/>
      </c>
      <c r="BO93" s="256" t="str">
        <f t="shared" si="78"/>
        <v/>
      </c>
      <c r="BP93" s="75" t="str">
        <f>IF($AB93="","",SUM($BO93:$BO$114))</f>
        <v/>
      </c>
      <c r="BQ93" s="71" t="str">
        <f t="shared" si="79"/>
        <v/>
      </c>
      <c r="BR93" s="256" t="str">
        <f t="shared" si="93"/>
        <v/>
      </c>
      <c r="BS93" s="256" t="str">
        <f t="shared" si="80"/>
        <v/>
      </c>
      <c r="BT93" s="256" t="str">
        <f t="shared" si="81"/>
        <v/>
      </c>
      <c r="BU93" s="256" t="str">
        <f t="shared" si="94"/>
        <v/>
      </c>
      <c r="BV93" s="256"/>
      <c r="BW93" s="256"/>
      <c r="BX93" s="256"/>
      <c r="BY93" s="256"/>
      <c r="BZ93" s="256" t="str">
        <f>IF($AB93="","",SUM(BU93:BU$114))</f>
        <v/>
      </c>
      <c r="CA93" s="55" t="str">
        <f>IF(AB93&lt;$E$3+$F$5,0,IFERROR(일반형!S95,0))</f>
        <v/>
      </c>
      <c r="CB93" s="73"/>
      <c r="CC93" s="392" t="str">
        <f t="shared" si="55"/>
        <v/>
      </c>
      <c r="CD93" s="256" t="str">
        <f t="shared" si="95"/>
        <v/>
      </c>
      <c r="CE93" s="256" t="str">
        <f t="shared" si="82"/>
        <v/>
      </c>
      <c r="CF93" s="256" t="str">
        <f t="shared" si="83"/>
        <v/>
      </c>
      <c r="CG93" s="256" t="str">
        <f t="shared" si="96"/>
        <v/>
      </c>
      <c r="CH93" s="256" t="str">
        <f t="shared" si="84"/>
        <v/>
      </c>
      <c r="CI93" s="76" t="str">
        <f t="shared" si="97"/>
        <v/>
      </c>
      <c r="CJ93" s="77" t="str">
        <f t="shared" si="85"/>
        <v/>
      </c>
      <c r="CK93" s="238"/>
      <c r="CL93" s="205">
        <v>89</v>
      </c>
      <c r="CM93" s="256">
        <f t="shared" si="86"/>
        <v>0</v>
      </c>
      <c r="CN93" s="256">
        <f t="shared" si="87"/>
        <v>2.2599999999999999E-4</v>
      </c>
      <c r="CO93" s="256">
        <f t="shared" si="88"/>
        <v>8.0653000000000002E-2</v>
      </c>
      <c r="CP93" s="256">
        <f t="shared" si="98"/>
        <v>9.3400000000000004E-4</v>
      </c>
      <c r="CQ93" s="256"/>
      <c r="CR93" s="205">
        <v>89</v>
      </c>
      <c r="CS93" s="256"/>
      <c r="CT93" s="256"/>
      <c r="CU93" s="256">
        <v>2.2599999999999999E-4</v>
      </c>
      <c r="CV93" s="256">
        <v>1.5799999999999999E-4</v>
      </c>
      <c r="CW93" s="256">
        <v>8.0653000000000002E-2</v>
      </c>
      <c r="CX93" s="256">
        <v>2.9862E-2</v>
      </c>
      <c r="CY93" s="256">
        <v>9.3400000000000004E-4</v>
      </c>
      <c r="CZ93" s="256">
        <v>1.6119999999999999E-3</v>
      </c>
      <c r="DA93" s="256"/>
      <c r="DB93" s="256"/>
      <c r="DC93" s="256"/>
      <c r="DD93" s="256"/>
    </row>
    <row r="94" spans="1:108">
      <c r="A94" s="305"/>
      <c r="D94" s="469"/>
      <c r="E94" s="469"/>
      <c r="F94" s="459"/>
      <c r="G94" s="470"/>
      <c r="H94" s="460"/>
      <c r="M94" s="158"/>
      <c r="N94" s="278" t="str">
        <f t="shared" si="106"/>
        <v/>
      </c>
      <c r="O94" s="279" t="str">
        <f t="shared" si="107"/>
        <v/>
      </c>
      <c r="P94" s="271" t="str">
        <f t="shared" si="101"/>
        <v/>
      </c>
      <c r="Q94" s="271" t="str">
        <f t="shared" si="102"/>
        <v/>
      </c>
      <c r="R94" s="271" t="str">
        <f t="shared" si="103"/>
        <v/>
      </c>
      <c r="S94" s="400" t="str">
        <f t="shared" si="56"/>
        <v/>
      </c>
      <c r="T94" s="382" t="str">
        <f>일반형!P94</f>
        <v/>
      </c>
      <c r="U94" s="382" t="str">
        <f>일반형!Q94</f>
        <v/>
      </c>
      <c r="V94" s="271" t="str">
        <f>일반형!R94</f>
        <v/>
      </c>
      <c r="W94" s="400" t="str">
        <f>일반형!S94</f>
        <v/>
      </c>
      <c r="X94" s="271" t="str">
        <f t="shared" si="104"/>
        <v/>
      </c>
      <c r="Y94" s="442" t="str">
        <f t="shared" si="57"/>
        <v/>
      </c>
      <c r="Z94" s="443" t="str">
        <f t="shared" si="105"/>
        <v/>
      </c>
      <c r="AB94" s="83" t="str">
        <f t="shared" si="89"/>
        <v/>
      </c>
      <c r="AC94" s="648" t="str">
        <f t="shared" si="58"/>
        <v/>
      </c>
      <c r="AD94" s="257"/>
      <c r="AE94" s="257" t="str">
        <f>IF(AB94="","",IF(AB94-$AB$4&lt;$F$5-1,INDEX(Main_무해지!$G$76:$G$87,MIN(AB94-$AB$4+1,12)),IF(AB94-$AB$4=$F$5-1,0,IF(AND($F$2=1,AB94&gt;109),0,IF(AND($F$2=2,AB94&gt;111),0,INDEX(Main_무해지!$H$76:$H$82,MIN(AB94-$AB$4-$F$5+1,7)))))))</f>
        <v/>
      </c>
      <c r="AF94" s="257" t="str">
        <f t="shared" si="99"/>
        <v/>
      </c>
      <c r="AG94" s="257" t="str">
        <f t="shared" si="59"/>
        <v/>
      </c>
      <c r="AH94" s="85" t="str">
        <f>IF($AB94="","",SUM(AG94:AG$114))</f>
        <v/>
      </c>
      <c r="AI94" s="257" t="str">
        <f t="shared" si="90"/>
        <v/>
      </c>
      <c r="AJ94" s="87" t="str">
        <f t="shared" si="60"/>
        <v/>
      </c>
      <c r="AK94" s="87"/>
      <c r="AL94" s="257" t="str">
        <f t="shared" si="61"/>
        <v/>
      </c>
      <c r="AM94" s="257" t="str">
        <f t="shared" si="100"/>
        <v/>
      </c>
      <c r="AN94" s="257" t="str">
        <f t="shared" si="62"/>
        <v/>
      </c>
      <c r="AO94" s="85" t="str">
        <f>IF($AB94="","",SUM(AN94:AN$114))</f>
        <v/>
      </c>
      <c r="AP94" s="84" t="str">
        <f t="shared" si="91"/>
        <v/>
      </c>
      <c r="AQ94" s="257" t="str">
        <f t="shared" si="63"/>
        <v/>
      </c>
      <c r="AR94" s="257" t="str">
        <f t="shared" si="64"/>
        <v/>
      </c>
      <c r="AS94" s="257" t="str">
        <f t="shared" si="65"/>
        <v/>
      </c>
      <c r="AT94" s="88" t="str">
        <f>IF($AB94="","",SUM($AU94:$AU$114))</f>
        <v/>
      </c>
      <c r="AU94" s="257" t="str">
        <f t="shared" si="92"/>
        <v/>
      </c>
      <c r="AV94" s="88" t="str">
        <f t="shared" si="66"/>
        <v/>
      </c>
      <c r="AW94" s="84"/>
      <c r="AX94" s="257" t="str">
        <f t="shared" si="67"/>
        <v/>
      </c>
      <c r="AY94" s="257" t="str">
        <f t="shared" si="68"/>
        <v/>
      </c>
      <c r="AZ94" s="257" t="str">
        <f t="shared" si="69"/>
        <v/>
      </c>
      <c r="BA94" s="88" t="str">
        <f>IF($AB94="","",SUM($AZ94:$AZ$114))</f>
        <v/>
      </c>
      <c r="BB94" s="84"/>
      <c r="BC94" s="257" t="str">
        <f t="shared" si="70"/>
        <v/>
      </c>
      <c r="BD94" s="257" t="str">
        <f t="shared" si="71"/>
        <v/>
      </c>
      <c r="BE94" s="257" t="str">
        <f t="shared" si="72"/>
        <v/>
      </c>
      <c r="BF94" s="88" t="str">
        <f>IF($AB94="","",SUM($BE94:$BE$114))</f>
        <v/>
      </c>
      <c r="BG94" s="84"/>
      <c r="BH94" s="257" t="str">
        <f t="shared" si="73"/>
        <v/>
      </c>
      <c r="BI94" s="257" t="str">
        <f t="shared" si="74"/>
        <v/>
      </c>
      <c r="BJ94" s="257" t="str">
        <f t="shared" si="75"/>
        <v/>
      </c>
      <c r="BK94" s="88" t="str">
        <f>IF($AB94="","",SUM($BJ94:$BJ$114))</f>
        <v/>
      </c>
      <c r="BL94" s="84"/>
      <c r="BM94" s="257" t="str">
        <f t="shared" si="76"/>
        <v/>
      </c>
      <c r="BN94" s="257" t="str">
        <f t="shared" si="77"/>
        <v/>
      </c>
      <c r="BO94" s="257" t="str">
        <f t="shared" si="78"/>
        <v/>
      </c>
      <c r="BP94" s="88" t="str">
        <f>IF($AB94="","",SUM($BO94:$BO$114))</f>
        <v/>
      </c>
      <c r="BQ94" s="84" t="str">
        <f t="shared" si="79"/>
        <v/>
      </c>
      <c r="BR94" s="257" t="str">
        <f t="shared" si="93"/>
        <v/>
      </c>
      <c r="BS94" s="257" t="str">
        <f t="shared" si="80"/>
        <v/>
      </c>
      <c r="BT94" s="257" t="str">
        <f t="shared" si="81"/>
        <v/>
      </c>
      <c r="BU94" s="257" t="str">
        <f t="shared" si="94"/>
        <v/>
      </c>
      <c r="BV94" s="257"/>
      <c r="BW94" s="257"/>
      <c r="BX94" s="257"/>
      <c r="BY94" s="257"/>
      <c r="BZ94" s="257" t="str">
        <f>IF($AB94="","",SUM(BU94:BU$114))</f>
        <v/>
      </c>
      <c r="CA94" s="55" t="str">
        <f>IF(AB94&lt;$E$3+$F$5,0,IFERROR(일반형!S96,0))</f>
        <v/>
      </c>
      <c r="CB94" s="86"/>
      <c r="CC94" s="393" t="str">
        <f t="shared" si="55"/>
        <v/>
      </c>
      <c r="CD94" s="257" t="str">
        <f t="shared" si="95"/>
        <v/>
      </c>
      <c r="CE94" s="257" t="str">
        <f t="shared" si="82"/>
        <v/>
      </c>
      <c r="CF94" s="257" t="str">
        <f t="shared" si="83"/>
        <v/>
      </c>
      <c r="CG94" s="257" t="str">
        <f t="shared" si="96"/>
        <v/>
      </c>
      <c r="CH94" s="257" t="str">
        <f t="shared" si="84"/>
        <v/>
      </c>
      <c r="CI94" s="89" t="str">
        <f t="shared" si="97"/>
        <v/>
      </c>
      <c r="CJ94" s="90" t="str">
        <f t="shared" si="85"/>
        <v/>
      </c>
      <c r="CK94" s="239"/>
      <c r="CL94" s="206">
        <v>90</v>
      </c>
      <c r="CM94" s="257">
        <f t="shared" si="86"/>
        <v>0</v>
      </c>
      <c r="CN94" s="257">
        <f t="shared" si="87"/>
        <v>2.2599999999999999E-4</v>
      </c>
      <c r="CO94" s="257">
        <f t="shared" si="88"/>
        <v>9.4953999999999997E-2</v>
      </c>
      <c r="CP94" s="257">
        <f t="shared" si="98"/>
        <v>9.3400000000000004E-4</v>
      </c>
      <c r="CQ94" s="257"/>
      <c r="CR94" s="206">
        <v>90</v>
      </c>
      <c r="CS94" s="257"/>
      <c r="CT94" s="257"/>
      <c r="CU94" s="257">
        <v>2.2599999999999999E-4</v>
      </c>
      <c r="CV94" s="257">
        <v>1.5799999999999999E-4</v>
      </c>
      <c r="CW94" s="257">
        <v>9.4953999999999997E-2</v>
      </c>
      <c r="CX94" s="257">
        <v>3.3782E-2</v>
      </c>
      <c r="CY94" s="257">
        <v>9.3400000000000004E-4</v>
      </c>
      <c r="CZ94" s="257">
        <v>1.6119999999999999E-3</v>
      </c>
      <c r="DA94" s="257"/>
      <c r="DB94" s="257"/>
      <c r="DC94" s="257"/>
      <c r="DD94" s="257"/>
    </row>
    <row r="95" spans="1:108">
      <c r="A95" s="305"/>
      <c r="D95" s="469"/>
      <c r="E95" s="469"/>
      <c r="F95" s="459"/>
      <c r="G95" s="470"/>
      <c r="H95" s="460"/>
      <c r="M95" s="158"/>
      <c r="N95" s="278" t="str">
        <f t="shared" si="106"/>
        <v/>
      </c>
      <c r="O95" s="279" t="str">
        <f t="shared" si="107"/>
        <v/>
      </c>
      <c r="P95" s="271" t="str">
        <f t="shared" si="101"/>
        <v/>
      </c>
      <c r="Q95" s="271" t="str">
        <f t="shared" si="102"/>
        <v/>
      </c>
      <c r="R95" s="271" t="str">
        <f t="shared" si="103"/>
        <v/>
      </c>
      <c r="S95" s="400" t="str">
        <f t="shared" si="56"/>
        <v/>
      </c>
      <c r="T95" s="382" t="str">
        <f>일반형!P95</f>
        <v/>
      </c>
      <c r="U95" s="382" t="str">
        <f>일반형!Q95</f>
        <v/>
      </c>
      <c r="V95" s="271" t="str">
        <f>일반형!R95</f>
        <v/>
      </c>
      <c r="W95" s="400" t="str">
        <f>일반형!S95</f>
        <v/>
      </c>
      <c r="X95" s="271" t="str">
        <f t="shared" si="104"/>
        <v/>
      </c>
      <c r="Y95" s="442" t="str">
        <f t="shared" si="57"/>
        <v/>
      </c>
      <c r="Z95" s="443" t="str">
        <f t="shared" si="105"/>
        <v/>
      </c>
      <c r="AB95" s="750" t="str">
        <f t="shared" si="89"/>
        <v/>
      </c>
      <c r="AC95" s="643" t="str">
        <f t="shared" si="58"/>
        <v/>
      </c>
      <c r="AD95" s="408"/>
      <c r="AE95" s="408" t="str">
        <f>IF(AB95="","",IF(AB95-$AB$4&lt;$F$5-1,INDEX(Main_무해지!$G$76:$G$87,MIN(AB95-$AB$4+1,12)),IF(AB95-$AB$4=$F$5-1,0,IF(AND($F$2=1,AB95&gt;109),0,IF(AND($F$2=2,AB95&gt;111),0,INDEX(Main_무해지!$H$76:$H$82,MIN(AB95-$AB$4-$F$5+1,7)))))))</f>
        <v/>
      </c>
      <c r="AF95" s="408" t="str">
        <f t="shared" si="99"/>
        <v/>
      </c>
      <c r="AG95" s="408" t="str">
        <f t="shared" si="59"/>
        <v/>
      </c>
      <c r="AH95" s="751" t="str">
        <f>IF($AB95="","",SUM(AG95:AG$114))</f>
        <v/>
      </c>
      <c r="AI95" s="408" t="str">
        <f t="shared" si="90"/>
        <v/>
      </c>
      <c r="AJ95" s="638" t="str">
        <f t="shared" si="60"/>
        <v/>
      </c>
      <c r="AK95" s="638"/>
      <c r="AL95" s="408" t="str">
        <f t="shared" si="61"/>
        <v/>
      </c>
      <c r="AM95" s="408" t="str">
        <f t="shared" si="100"/>
        <v/>
      </c>
      <c r="AN95" s="408" t="str">
        <f t="shared" si="62"/>
        <v/>
      </c>
      <c r="AO95" s="751" t="str">
        <f>IF($AB95="","",SUM(AN95:AN$114))</f>
        <v/>
      </c>
      <c r="AP95" s="752" t="str">
        <f t="shared" si="91"/>
        <v/>
      </c>
      <c r="AQ95" s="408" t="str">
        <f t="shared" si="63"/>
        <v/>
      </c>
      <c r="AR95" s="408" t="str">
        <f t="shared" si="64"/>
        <v/>
      </c>
      <c r="AS95" s="408" t="str">
        <f t="shared" si="65"/>
        <v/>
      </c>
      <c r="AT95" s="753" t="str">
        <f>IF($AB95="","",SUM($AU95:$AU$114))</f>
        <v/>
      </c>
      <c r="AU95" s="408" t="str">
        <f t="shared" si="92"/>
        <v/>
      </c>
      <c r="AV95" s="753" t="str">
        <f t="shared" si="66"/>
        <v/>
      </c>
      <c r="AW95" s="752"/>
      <c r="AX95" s="408" t="str">
        <f t="shared" si="67"/>
        <v/>
      </c>
      <c r="AY95" s="408" t="str">
        <f t="shared" si="68"/>
        <v/>
      </c>
      <c r="AZ95" s="408" t="str">
        <f t="shared" si="69"/>
        <v/>
      </c>
      <c r="BA95" s="753" t="str">
        <f>IF($AB95="","",SUM($AZ95:$AZ$114))</f>
        <v/>
      </c>
      <c r="BB95" s="752"/>
      <c r="BC95" s="408" t="str">
        <f t="shared" si="70"/>
        <v/>
      </c>
      <c r="BD95" s="408" t="str">
        <f t="shared" si="71"/>
        <v/>
      </c>
      <c r="BE95" s="408" t="str">
        <f t="shared" si="72"/>
        <v/>
      </c>
      <c r="BF95" s="753" t="str">
        <f>IF($AB95="","",SUM($BE95:$BE$114))</f>
        <v/>
      </c>
      <c r="BG95" s="752"/>
      <c r="BH95" s="408" t="str">
        <f t="shared" si="73"/>
        <v/>
      </c>
      <c r="BI95" s="408" t="str">
        <f t="shared" si="74"/>
        <v/>
      </c>
      <c r="BJ95" s="408" t="str">
        <f t="shared" si="75"/>
        <v/>
      </c>
      <c r="BK95" s="753" t="str">
        <f>IF($AB95="","",SUM($BJ95:$BJ$114))</f>
        <v/>
      </c>
      <c r="BL95" s="752"/>
      <c r="BM95" s="408" t="str">
        <f t="shared" si="76"/>
        <v/>
      </c>
      <c r="BN95" s="408" t="str">
        <f t="shared" si="77"/>
        <v/>
      </c>
      <c r="BO95" s="408" t="str">
        <f t="shared" si="78"/>
        <v/>
      </c>
      <c r="BP95" s="753" t="str">
        <f>IF($AB95="","",SUM($BO95:$BO$114))</f>
        <v/>
      </c>
      <c r="BQ95" s="752" t="str">
        <f t="shared" si="79"/>
        <v/>
      </c>
      <c r="BR95" s="408" t="str">
        <f t="shared" si="93"/>
        <v/>
      </c>
      <c r="BS95" s="408" t="str">
        <f t="shared" si="80"/>
        <v/>
      </c>
      <c r="BT95" s="408" t="str">
        <f t="shared" si="81"/>
        <v/>
      </c>
      <c r="BU95" s="408" t="str">
        <f t="shared" si="94"/>
        <v/>
      </c>
      <c r="BV95" s="408"/>
      <c r="BW95" s="408"/>
      <c r="BX95" s="408"/>
      <c r="BY95" s="408"/>
      <c r="BZ95" s="408" t="str">
        <f>IF($AB95="","",SUM(BU95:BU$114))</f>
        <v/>
      </c>
      <c r="CA95" s="55" t="str">
        <f>IF(AB95&lt;$E$3+$F$5,0,IFERROR(일반형!S97,0))</f>
        <v/>
      </c>
      <c r="CB95" s="754"/>
      <c r="CC95" s="755" t="str">
        <f t="shared" si="55"/>
        <v/>
      </c>
      <c r="CD95" s="408" t="str">
        <f t="shared" si="95"/>
        <v/>
      </c>
      <c r="CE95" s="408" t="str">
        <f t="shared" si="82"/>
        <v/>
      </c>
      <c r="CF95" s="408" t="str">
        <f t="shared" si="83"/>
        <v/>
      </c>
      <c r="CG95" s="408" t="str">
        <f t="shared" si="96"/>
        <v/>
      </c>
      <c r="CH95" s="408" t="str">
        <f t="shared" si="84"/>
        <v/>
      </c>
      <c r="CI95" s="756" t="str">
        <f t="shared" si="97"/>
        <v/>
      </c>
      <c r="CJ95" s="757" t="str">
        <f t="shared" si="85"/>
        <v/>
      </c>
      <c r="CK95" s="413"/>
      <c r="CL95" s="758">
        <v>91</v>
      </c>
      <c r="CM95" s="408">
        <f t="shared" si="86"/>
        <v>0</v>
      </c>
      <c r="CN95" s="408">
        <f t="shared" si="87"/>
        <v>2.2599999999999999E-4</v>
      </c>
      <c r="CO95" s="408">
        <f t="shared" si="88"/>
        <v>0.111509</v>
      </c>
      <c r="CP95" s="408">
        <f t="shared" si="98"/>
        <v>9.3400000000000004E-4</v>
      </c>
      <c r="CQ95" s="408"/>
      <c r="CR95" s="758">
        <v>91</v>
      </c>
      <c r="CS95" s="408"/>
      <c r="CT95" s="408"/>
      <c r="CU95" s="408">
        <v>2.2599999999999999E-4</v>
      </c>
      <c r="CV95" s="408">
        <v>1.5799999999999999E-4</v>
      </c>
      <c r="CW95" s="408">
        <v>0.111509</v>
      </c>
      <c r="CX95" s="408">
        <v>3.8295999999999997E-2</v>
      </c>
      <c r="CY95" s="408">
        <v>9.3400000000000004E-4</v>
      </c>
      <c r="CZ95" s="408">
        <v>1.6119999999999999E-3</v>
      </c>
      <c r="DA95" s="408"/>
      <c r="DB95" s="408"/>
      <c r="DC95" s="408"/>
      <c r="DD95" s="408"/>
    </row>
    <row r="96" spans="1:108">
      <c r="A96" s="305"/>
      <c r="D96" s="469"/>
      <c r="E96" s="469"/>
      <c r="F96" s="459"/>
      <c r="G96" s="470"/>
      <c r="H96" s="460"/>
      <c r="M96" s="158"/>
      <c r="N96" s="278" t="str">
        <f t="shared" si="106"/>
        <v/>
      </c>
      <c r="O96" s="279" t="str">
        <f t="shared" si="107"/>
        <v/>
      </c>
      <c r="P96" s="271" t="str">
        <f t="shared" si="101"/>
        <v/>
      </c>
      <c r="Q96" s="271" t="str">
        <f t="shared" si="102"/>
        <v/>
      </c>
      <c r="R96" s="271" t="str">
        <f t="shared" si="103"/>
        <v/>
      </c>
      <c r="S96" s="400" t="str">
        <f t="shared" si="56"/>
        <v/>
      </c>
      <c r="T96" s="382" t="str">
        <f>일반형!P96</f>
        <v/>
      </c>
      <c r="U96" s="382" t="str">
        <f>일반형!Q96</f>
        <v/>
      </c>
      <c r="V96" s="271" t="str">
        <f>일반형!R96</f>
        <v/>
      </c>
      <c r="W96" s="400" t="str">
        <f>일반형!S96</f>
        <v/>
      </c>
      <c r="X96" s="271" t="str">
        <f t="shared" si="104"/>
        <v/>
      </c>
      <c r="Y96" s="446" t="str">
        <f t="shared" si="57"/>
        <v/>
      </c>
      <c r="Z96" s="447" t="str">
        <f t="shared" si="105"/>
        <v/>
      </c>
      <c r="AB96" s="52" t="str">
        <f t="shared" si="89"/>
        <v/>
      </c>
      <c r="AC96" s="644" t="str">
        <f t="shared" si="58"/>
        <v/>
      </c>
      <c r="AD96" s="254"/>
      <c r="AE96" s="254" t="str">
        <f>IF(AB96="","",IF(AB96-$AB$4&lt;$F$5-1,INDEX(Main_무해지!$G$76:$G$87,MIN(AB96-$AB$4+1,12)),IF(AB96-$AB$4=$F$5-1,0,IF(AND($F$2=1,AB96&gt;109),0,IF(AND($F$2=2,AB96&gt;111),0,INDEX(Main_무해지!$H$76:$H$82,MIN(AB96-$AB$4-$F$5+1,7)))))))</f>
        <v/>
      </c>
      <c r="AF96" s="254" t="str">
        <f t="shared" si="99"/>
        <v/>
      </c>
      <c r="AG96" s="254" t="str">
        <f t="shared" si="59"/>
        <v/>
      </c>
      <c r="AH96" s="54" t="str">
        <f>IF($AB96="","",SUM(AG96:AG$114))</f>
        <v/>
      </c>
      <c r="AI96" s="254" t="str">
        <f t="shared" si="90"/>
        <v/>
      </c>
      <c r="AJ96" s="56" t="str">
        <f t="shared" si="60"/>
        <v/>
      </c>
      <c r="AK96" s="56"/>
      <c r="AL96" s="254" t="str">
        <f t="shared" si="61"/>
        <v/>
      </c>
      <c r="AM96" s="254" t="str">
        <f t="shared" si="100"/>
        <v/>
      </c>
      <c r="AN96" s="254" t="str">
        <f t="shared" si="62"/>
        <v/>
      </c>
      <c r="AO96" s="54" t="str">
        <f>IF($AB96="","",SUM(AN96:AN$114))</f>
        <v/>
      </c>
      <c r="AP96" s="53" t="str">
        <f t="shared" si="91"/>
        <v/>
      </c>
      <c r="AQ96" s="254" t="str">
        <f t="shared" si="63"/>
        <v/>
      </c>
      <c r="AR96" s="254" t="str">
        <f t="shared" si="64"/>
        <v/>
      </c>
      <c r="AS96" s="254" t="str">
        <f t="shared" si="65"/>
        <v/>
      </c>
      <c r="AT96" s="57" t="str">
        <f>IF($AB96="","",SUM($AU96:$AU$114))</f>
        <v/>
      </c>
      <c r="AU96" s="254" t="str">
        <f t="shared" si="92"/>
        <v/>
      </c>
      <c r="AV96" s="57" t="str">
        <f t="shared" si="66"/>
        <v/>
      </c>
      <c r="AW96" s="53"/>
      <c r="AX96" s="254" t="str">
        <f t="shared" si="67"/>
        <v/>
      </c>
      <c r="AY96" s="254" t="str">
        <f t="shared" si="68"/>
        <v/>
      </c>
      <c r="AZ96" s="254" t="str">
        <f t="shared" si="69"/>
        <v/>
      </c>
      <c r="BA96" s="57" t="str">
        <f>IF($AB96="","",SUM($AZ96:$AZ$114))</f>
        <v/>
      </c>
      <c r="BB96" s="53"/>
      <c r="BC96" s="254" t="str">
        <f t="shared" si="70"/>
        <v/>
      </c>
      <c r="BD96" s="254" t="str">
        <f t="shared" si="71"/>
        <v/>
      </c>
      <c r="BE96" s="254" t="str">
        <f t="shared" si="72"/>
        <v/>
      </c>
      <c r="BF96" s="57" t="str">
        <f>IF($AB96="","",SUM($BE96:$BE$114))</f>
        <v/>
      </c>
      <c r="BG96" s="53"/>
      <c r="BH96" s="254" t="str">
        <f t="shared" si="73"/>
        <v/>
      </c>
      <c r="BI96" s="254" t="str">
        <f t="shared" si="74"/>
        <v/>
      </c>
      <c r="BJ96" s="254" t="str">
        <f t="shared" si="75"/>
        <v/>
      </c>
      <c r="BK96" s="57" t="str">
        <f>IF($AB96="","",SUM($BJ96:$BJ$114))</f>
        <v/>
      </c>
      <c r="BL96" s="53"/>
      <c r="BM96" s="254" t="str">
        <f t="shared" si="76"/>
        <v/>
      </c>
      <c r="BN96" s="254" t="str">
        <f t="shared" si="77"/>
        <v/>
      </c>
      <c r="BO96" s="254" t="str">
        <f t="shared" si="78"/>
        <v/>
      </c>
      <c r="BP96" s="57" t="str">
        <f>IF($AB96="","",SUM($BO96:$BO$114))</f>
        <v/>
      </c>
      <c r="BQ96" s="53" t="str">
        <f t="shared" si="79"/>
        <v/>
      </c>
      <c r="BR96" s="254" t="str">
        <f t="shared" si="93"/>
        <v/>
      </c>
      <c r="BS96" s="254" t="str">
        <f t="shared" si="80"/>
        <v/>
      </c>
      <c r="BT96" s="254" t="str">
        <f t="shared" si="81"/>
        <v/>
      </c>
      <c r="BU96" s="254" t="str">
        <f t="shared" si="94"/>
        <v/>
      </c>
      <c r="BV96" s="254"/>
      <c r="BW96" s="254"/>
      <c r="BX96" s="254"/>
      <c r="BY96" s="254"/>
      <c r="BZ96" s="254" t="str">
        <f>IF($AB96="","",SUM(BU96:BU$114))</f>
        <v/>
      </c>
      <c r="CA96" s="55" t="str">
        <f>IF(AB96&lt;$E$3+$F$5,0,IFERROR(일반형!S98,0))</f>
        <v/>
      </c>
      <c r="CB96" s="55"/>
      <c r="CC96" s="390" t="str">
        <f t="shared" si="55"/>
        <v/>
      </c>
      <c r="CD96" s="254" t="str">
        <f t="shared" si="95"/>
        <v/>
      </c>
      <c r="CE96" s="254" t="str">
        <f t="shared" si="82"/>
        <v/>
      </c>
      <c r="CF96" s="254" t="str">
        <f t="shared" si="83"/>
        <v/>
      </c>
      <c r="CG96" s="254" t="str">
        <f t="shared" si="96"/>
        <v/>
      </c>
      <c r="CH96" s="254" t="str">
        <f t="shared" si="84"/>
        <v/>
      </c>
      <c r="CI96" s="58" t="str">
        <f t="shared" si="97"/>
        <v/>
      </c>
      <c r="CJ96" s="59" t="str">
        <f t="shared" si="85"/>
        <v/>
      </c>
      <c r="CK96" s="236"/>
      <c r="CL96" s="203">
        <v>92</v>
      </c>
      <c r="CM96" s="254">
        <f t="shared" si="86"/>
        <v>0</v>
      </c>
      <c r="CN96" s="254">
        <f t="shared" si="87"/>
        <v>2.2599999999999999E-4</v>
      </c>
      <c r="CO96" s="254">
        <f t="shared" si="88"/>
        <v>0.13056100000000001</v>
      </c>
      <c r="CP96" s="254">
        <f t="shared" si="98"/>
        <v>9.3400000000000004E-4</v>
      </c>
      <c r="CQ96" s="254"/>
      <c r="CR96" s="203">
        <v>92</v>
      </c>
      <c r="CS96" s="254"/>
      <c r="CT96" s="254"/>
      <c r="CU96" s="254">
        <v>2.2599999999999999E-4</v>
      </c>
      <c r="CV96" s="254">
        <v>1.5799999999999999E-4</v>
      </c>
      <c r="CW96" s="254">
        <v>0.13056100000000001</v>
      </c>
      <c r="CX96" s="254">
        <v>4.3477000000000002E-2</v>
      </c>
      <c r="CY96" s="254">
        <v>9.3400000000000004E-4</v>
      </c>
      <c r="CZ96" s="254">
        <v>1.6119999999999999E-3</v>
      </c>
      <c r="DA96" s="254"/>
      <c r="DB96" s="254"/>
      <c r="DC96" s="254"/>
      <c r="DD96" s="254"/>
    </row>
    <row r="97" spans="1:108">
      <c r="A97" s="305"/>
      <c r="D97" s="469"/>
      <c r="E97" s="469"/>
      <c r="F97" s="459"/>
      <c r="G97" s="470"/>
      <c r="H97" s="460"/>
      <c r="M97" s="158"/>
      <c r="N97" s="278" t="str">
        <f t="shared" si="106"/>
        <v/>
      </c>
      <c r="O97" s="279" t="str">
        <f t="shared" si="107"/>
        <v/>
      </c>
      <c r="P97" s="271" t="str">
        <f t="shared" si="101"/>
        <v/>
      </c>
      <c r="Q97" s="271" t="str">
        <f t="shared" si="102"/>
        <v/>
      </c>
      <c r="R97" s="271" t="str">
        <f t="shared" si="103"/>
        <v/>
      </c>
      <c r="S97" s="400" t="str">
        <f t="shared" si="56"/>
        <v/>
      </c>
      <c r="T97" s="382" t="str">
        <f>일반형!P97</f>
        <v/>
      </c>
      <c r="U97" s="382" t="str">
        <f>일반형!Q97</f>
        <v/>
      </c>
      <c r="V97" s="271" t="str">
        <f>일반형!R97</f>
        <v/>
      </c>
      <c r="W97" s="400" t="str">
        <f>일반형!S97</f>
        <v/>
      </c>
      <c r="X97" s="271" t="str">
        <f t="shared" si="104"/>
        <v/>
      </c>
      <c r="Y97" s="444" t="str">
        <f t="shared" si="57"/>
        <v/>
      </c>
      <c r="Z97" s="445" t="str">
        <f t="shared" si="105"/>
        <v/>
      </c>
      <c r="AB97" s="52" t="str">
        <f t="shared" si="89"/>
        <v/>
      </c>
      <c r="AC97" s="644" t="str">
        <f t="shared" si="58"/>
        <v/>
      </c>
      <c r="AD97" s="254"/>
      <c r="AE97" s="254" t="str">
        <f>IF(AB97="","",IF(AB97-$AB$4&lt;$F$5-1,INDEX(Main_무해지!$G$76:$G$87,MIN(AB97-$AB$4+1,12)),IF(AB97-$AB$4=$F$5-1,0,IF(AND($F$2=1,AB97&gt;109),0,IF(AND($F$2=2,AB97&gt;111),0,INDEX(Main_무해지!$H$76:$H$82,MIN(AB97-$AB$4-$F$5+1,7)))))))</f>
        <v/>
      </c>
      <c r="AF97" s="254" t="str">
        <f t="shared" si="99"/>
        <v/>
      </c>
      <c r="AG97" s="254" t="str">
        <f t="shared" si="59"/>
        <v/>
      </c>
      <c r="AH97" s="54" t="str">
        <f>IF($AB97="","",SUM(AG97:AG$114))</f>
        <v/>
      </c>
      <c r="AI97" s="254" t="str">
        <f t="shared" si="90"/>
        <v/>
      </c>
      <c r="AJ97" s="56" t="str">
        <f t="shared" si="60"/>
        <v/>
      </c>
      <c r="AK97" s="56"/>
      <c r="AL97" s="254" t="str">
        <f t="shared" si="61"/>
        <v/>
      </c>
      <c r="AM97" s="254" t="str">
        <f t="shared" si="100"/>
        <v/>
      </c>
      <c r="AN97" s="254" t="str">
        <f t="shared" si="62"/>
        <v/>
      </c>
      <c r="AO97" s="54" t="str">
        <f>IF($AB97="","",SUM(AN97:AN$114))</f>
        <v/>
      </c>
      <c r="AP97" s="53" t="str">
        <f t="shared" si="91"/>
        <v/>
      </c>
      <c r="AQ97" s="254" t="str">
        <f t="shared" si="63"/>
        <v/>
      </c>
      <c r="AR97" s="254" t="str">
        <f t="shared" si="64"/>
        <v/>
      </c>
      <c r="AS97" s="254" t="str">
        <f t="shared" si="65"/>
        <v/>
      </c>
      <c r="AT97" s="57" t="str">
        <f>IF($AB97="","",SUM($AU97:$AU$114))</f>
        <v/>
      </c>
      <c r="AU97" s="254" t="str">
        <f t="shared" si="92"/>
        <v/>
      </c>
      <c r="AV97" s="57" t="str">
        <f t="shared" si="66"/>
        <v/>
      </c>
      <c r="AW97" s="53"/>
      <c r="AX97" s="254" t="str">
        <f t="shared" si="67"/>
        <v/>
      </c>
      <c r="AY97" s="254" t="str">
        <f t="shared" si="68"/>
        <v/>
      </c>
      <c r="AZ97" s="254" t="str">
        <f t="shared" si="69"/>
        <v/>
      </c>
      <c r="BA97" s="57" t="str">
        <f>IF($AB97="","",SUM($AZ97:$AZ$114))</f>
        <v/>
      </c>
      <c r="BB97" s="53"/>
      <c r="BC97" s="254" t="str">
        <f t="shared" si="70"/>
        <v/>
      </c>
      <c r="BD97" s="254" t="str">
        <f t="shared" si="71"/>
        <v/>
      </c>
      <c r="BE97" s="254" t="str">
        <f t="shared" si="72"/>
        <v/>
      </c>
      <c r="BF97" s="57" t="str">
        <f>IF($AB97="","",SUM($BE97:$BE$114))</f>
        <v/>
      </c>
      <c r="BG97" s="53"/>
      <c r="BH97" s="254" t="str">
        <f t="shared" si="73"/>
        <v/>
      </c>
      <c r="BI97" s="254" t="str">
        <f t="shared" si="74"/>
        <v/>
      </c>
      <c r="BJ97" s="254" t="str">
        <f t="shared" si="75"/>
        <v/>
      </c>
      <c r="BK97" s="57" t="str">
        <f>IF($AB97="","",SUM($BJ97:$BJ$114))</f>
        <v/>
      </c>
      <c r="BL97" s="53"/>
      <c r="BM97" s="254" t="str">
        <f t="shared" si="76"/>
        <v/>
      </c>
      <c r="BN97" s="254" t="str">
        <f t="shared" si="77"/>
        <v/>
      </c>
      <c r="BO97" s="254" t="str">
        <f t="shared" si="78"/>
        <v/>
      </c>
      <c r="BP97" s="57" t="str">
        <f>IF($AB97="","",SUM($BO97:$BO$114))</f>
        <v/>
      </c>
      <c r="BQ97" s="53" t="str">
        <f t="shared" si="79"/>
        <v/>
      </c>
      <c r="BR97" s="254" t="str">
        <f t="shared" si="93"/>
        <v/>
      </c>
      <c r="BS97" s="254" t="str">
        <f t="shared" si="80"/>
        <v/>
      </c>
      <c r="BT97" s="254" t="str">
        <f t="shared" si="81"/>
        <v/>
      </c>
      <c r="BU97" s="254" t="str">
        <f t="shared" si="94"/>
        <v/>
      </c>
      <c r="BV97" s="254"/>
      <c r="BW97" s="254"/>
      <c r="BX97" s="254"/>
      <c r="BY97" s="254"/>
      <c r="BZ97" s="254" t="str">
        <f>IF($AB97="","",SUM(BU97:BU$114))</f>
        <v/>
      </c>
      <c r="CA97" s="55" t="str">
        <f>IF(AB97&lt;$E$3+$F$5,0,IFERROR(일반형!S99,0))</f>
        <v/>
      </c>
      <c r="CB97" s="55"/>
      <c r="CC97" s="390" t="str">
        <f t="shared" si="55"/>
        <v/>
      </c>
      <c r="CD97" s="254" t="str">
        <f t="shared" si="95"/>
        <v/>
      </c>
      <c r="CE97" s="254" t="str">
        <f t="shared" si="82"/>
        <v/>
      </c>
      <c r="CF97" s="254" t="str">
        <f t="shared" si="83"/>
        <v/>
      </c>
      <c r="CG97" s="254" t="str">
        <f t="shared" si="96"/>
        <v/>
      </c>
      <c r="CH97" s="254" t="str">
        <f t="shared" si="84"/>
        <v/>
      </c>
      <c r="CI97" s="58" t="str">
        <f t="shared" si="97"/>
        <v/>
      </c>
      <c r="CJ97" s="59" t="str">
        <f t="shared" si="85"/>
        <v/>
      </c>
      <c r="CK97" s="236"/>
      <c r="CL97" s="203">
        <v>93</v>
      </c>
      <c r="CM97" s="254">
        <f t="shared" si="86"/>
        <v>0</v>
      </c>
      <c r="CN97" s="254">
        <f t="shared" si="87"/>
        <v>2.2599999999999999E-4</v>
      </c>
      <c r="CO97" s="254">
        <f t="shared" si="88"/>
        <v>0.15235399999999999</v>
      </c>
      <c r="CP97" s="254">
        <f t="shared" si="98"/>
        <v>9.3400000000000004E-4</v>
      </c>
      <c r="CQ97" s="254"/>
      <c r="CR97" s="203">
        <v>93</v>
      </c>
      <c r="CS97" s="254"/>
      <c r="CT97" s="254"/>
      <c r="CU97" s="254">
        <v>2.2599999999999999E-4</v>
      </c>
      <c r="CV97" s="254">
        <v>1.5799999999999999E-4</v>
      </c>
      <c r="CW97" s="254">
        <v>0.15235399999999999</v>
      </c>
      <c r="CX97" s="254">
        <v>4.9391999999999998E-2</v>
      </c>
      <c r="CY97" s="254">
        <v>9.3400000000000004E-4</v>
      </c>
      <c r="CZ97" s="254">
        <v>1.6119999999999999E-3</v>
      </c>
      <c r="DA97" s="254"/>
      <c r="DB97" s="254"/>
      <c r="DC97" s="254"/>
      <c r="DD97" s="254"/>
    </row>
    <row r="98" spans="1:108">
      <c r="A98" s="305"/>
      <c r="C98" s="373"/>
      <c r="D98" s="469"/>
      <c r="E98" s="469"/>
      <c r="F98" s="459"/>
      <c r="G98" s="470"/>
      <c r="H98" s="460"/>
      <c r="M98" s="158"/>
      <c r="N98" s="278" t="str">
        <f t="shared" si="106"/>
        <v/>
      </c>
      <c r="O98" s="279" t="str">
        <f t="shared" si="107"/>
        <v/>
      </c>
      <c r="P98" s="271" t="str">
        <f t="shared" si="101"/>
        <v/>
      </c>
      <c r="Q98" s="271" t="str">
        <f t="shared" si="102"/>
        <v/>
      </c>
      <c r="R98" s="271" t="str">
        <f t="shared" si="103"/>
        <v/>
      </c>
      <c r="S98" s="400" t="str">
        <f t="shared" si="56"/>
        <v/>
      </c>
      <c r="T98" s="382" t="str">
        <f>일반형!P98</f>
        <v/>
      </c>
      <c r="U98" s="382" t="str">
        <f>일반형!Q98</f>
        <v/>
      </c>
      <c r="V98" s="271" t="str">
        <f>일반형!R98</f>
        <v/>
      </c>
      <c r="W98" s="400" t="str">
        <f>일반형!S98</f>
        <v/>
      </c>
      <c r="X98" s="271" t="str">
        <f t="shared" si="104"/>
        <v/>
      </c>
      <c r="Y98" s="442" t="str">
        <f t="shared" si="57"/>
        <v/>
      </c>
      <c r="Z98" s="443" t="str">
        <f t="shared" si="105"/>
        <v/>
      </c>
      <c r="AB98" s="52" t="str">
        <f t="shared" si="89"/>
        <v/>
      </c>
      <c r="AC98" s="644" t="str">
        <f t="shared" si="58"/>
        <v/>
      </c>
      <c r="AD98" s="254"/>
      <c r="AE98" s="254" t="str">
        <f>IF(AB98="","",IF(AB98-$AB$4&lt;$F$5-1,INDEX(Main_무해지!$G$76:$G$87,MIN(AB98-$AB$4+1,12)),IF(AB98-$AB$4=$F$5-1,0,IF(AND($F$2=1,AB98&gt;109),0,IF(AND($F$2=2,AB98&gt;111),0,INDEX(Main_무해지!$H$76:$H$82,MIN(AB98-$AB$4-$F$5+1,7)))))))</f>
        <v/>
      </c>
      <c r="AF98" s="254" t="str">
        <f t="shared" si="99"/>
        <v/>
      </c>
      <c r="AG98" s="254" t="str">
        <f t="shared" si="59"/>
        <v/>
      </c>
      <c r="AH98" s="54" t="str">
        <f>IF($AB98="","",SUM(AG98:AG$114))</f>
        <v/>
      </c>
      <c r="AI98" s="254" t="str">
        <f t="shared" si="90"/>
        <v/>
      </c>
      <c r="AJ98" s="56" t="str">
        <f t="shared" si="60"/>
        <v/>
      </c>
      <c r="AK98" s="56"/>
      <c r="AL98" s="254" t="str">
        <f t="shared" si="61"/>
        <v/>
      </c>
      <c r="AM98" s="254" t="str">
        <f t="shared" si="100"/>
        <v/>
      </c>
      <c r="AN98" s="254" t="str">
        <f t="shared" si="62"/>
        <v/>
      </c>
      <c r="AO98" s="54" t="str">
        <f>IF($AB98="","",SUM(AN98:AN$114))</f>
        <v/>
      </c>
      <c r="AP98" s="53" t="str">
        <f t="shared" si="91"/>
        <v/>
      </c>
      <c r="AQ98" s="254" t="str">
        <f t="shared" si="63"/>
        <v/>
      </c>
      <c r="AR98" s="254" t="str">
        <f t="shared" si="64"/>
        <v/>
      </c>
      <c r="AS98" s="254" t="str">
        <f t="shared" si="65"/>
        <v/>
      </c>
      <c r="AT98" s="57" t="str">
        <f>IF($AB98="","",SUM($AU98:$AU$114))</f>
        <v/>
      </c>
      <c r="AU98" s="254" t="str">
        <f t="shared" si="92"/>
        <v/>
      </c>
      <c r="AV98" s="57" t="str">
        <f t="shared" si="66"/>
        <v/>
      </c>
      <c r="AW98" s="53"/>
      <c r="AX98" s="254" t="str">
        <f t="shared" si="67"/>
        <v/>
      </c>
      <c r="AY98" s="254" t="str">
        <f t="shared" si="68"/>
        <v/>
      </c>
      <c r="AZ98" s="254" t="str">
        <f t="shared" si="69"/>
        <v/>
      </c>
      <c r="BA98" s="57" t="str">
        <f>IF($AB98="","",SUM($AZ98:$AZ$114))</f>
        <v/>
      </c>
      <c r="BB98" s="53"/>
      <c r="BC98" s="254" t="str">
        <f t="shared" si="70"/>
        <v/>
      </c>
      <c r="BD98" s="254" t="str">
        <f t="shared" si="71"/>
        <v/>
      </c>
      <c r="BE98" s="254" t="str">
        <f t="shared" si="72"/>
        <v/>
      </c>
      <c r="BF98" s="57" t="str">
        <f>IF($AB98="","",SUM($BE98:$BE$114))</f>
        <v/>
      </c>
      <c r="BG98" s="53"/>
      <c r="BH98" s="254" t="str">
        <f t="shared" si="73"/>
        <v/>
      </c>
      <c r="BI98" s="254" t="str">
        <f t="shared" si="74"/>
        <v/>
      </c>
      <c r="BJ98" s="254" t="str">
        <f t="shared" si="75"/>
        <v/>
      </c>
      <c r="BK98" s="57" t="str">
        <f>IF($AB98="","",SUM($BJ98:$BJ$114))</f>
        <v/>
      </c>
      <c r="BL98" s="53"/>
      <c r="BM98" s="254" t="str">
        <f t="shared" si="76"/>
        <v/>
      </c>
      <c r="BN98" s="254" t="str">
        <f t="shared" si="77"/>
        <v/>
      </c>
      <c r="BO98" s="254" t="str">
        <f t="shared" si="78"/>
        <v/>
      </c>
      <c r="BP98" s="57" t="str">
        <f>IF($AB98="","",SUM($BO98:$BO$114))</f>
        <v/>
      </c>
      <c r="BQ98" s="53" t="str">
        <f t="shared" si="79"/>
        <v/>
      </c>
      <c r="BR98" s="254" t="str">
        <f t="shared" si="93"/>
        <v/>
      </c>
      <c r="BS98" s="254" t="str">
        <f t="shared" si="80"/>
        <v/>
      </c>
      <c r="BT98" s="254" t="str">
        <f t="shared" si="81"/>
        <v/>
      </c>
      <c r="BU98" s="254" t="str">
        <f t="shared" si="94"/>
        <v/>
      </c>
      <c r="BV98" s="254"/>
      <c r="BW98" s="254"/>
      <c r="BX98" s="254"/>
      <c r="BY98" s="254"/>
      <c r="BZ98" s="254" t="str">
        <f>IF($AB98="","",SUM(BU98:BU$114))</f>
        <v/>
      </c>
      <c r="CA98" s="55" t="str">
        <f>IF(AB98&lt;$E$3+$F$5,0,IFERROR(일반형!S100,0))</f>
        <v/>
      </c>
      <c r="CB98" s="55"/>
      <c r="CC98" s="390" t="str">
        <f t="shared" si="55"/>
        <v/>
      </c>
      <c r="CD98" s="254" t="str">
        <f t="shared" si="95"/>
        <v/>
      </c>
      <c r="CE98" s="254" t="str">
        <f t="shared" si="82"/>
        <v/>
      </c>
      <c r="CF98" s="254" t="str">
        <f t="shared" si="83"/>
        <v/>
      </c>
      <c r="CG98" s="254" t="str">
        <f t="shared" si="96"/>
        <v/>
      </c>
      <c r="CH98" s="254" t="str">
        <f t="shared" si="84"/>
        <v/>
      </c>
      <c r="CI98" s="58" t="str">
        <f t="shared" si="97"/>
        <v/>
      </c>
      <c r="CJ98" s="59" t="str">
        <f t="shared" si="85"/>
        <v/>
      </c>
      <c r="CK98" s="236"/>
      <c r="CL98" s="203">
        <v>94</v>
      </c>
      <c r="CM98" s="254">
        <f t="shared" si="86"/>
        <v>0</v>
      </c>
      <c r="CN98" s="254">
        <f t="shared" si="87"/>
        <v>2.2599999999999999E-4</v>
      </c>
      <c r="CO98" s="254">
        <f t="shared" si="88"/>
        <v>0.177144</v>
      </c>
      <c r="CP98" s="254">
        <f t="shared" si="98"/>
        <v>9.3400000000000004E-4</v>
      </c>
      <c r="CQ98" s="254"/>
      <c r="CR98" s="203">
        <v>94</v>
      </c>
      <c r="CS98" s="254"/>
      <c r="CT98" s="254"/>
      <c r="CU98" s="254">
        <v>2.2599999999999999E-4</v>
      </c>
      <c r="CV98" s="254">
        <v>1.5799999999999999E-4</v>
      </c>
      <c r="CW98" s="254">
        <v>0.177144</v>
      </c>
      <c r="CX98" s="254">
        <v>5.6001000000000002E-2</v>
      </c>
      <c r="CY98" s="254">
        <v>9.3400000000000004E-4</v>
      </c>
      <c r="CZ98" s="254">
        <v>1.6119999999999999E-3</v>
      </c>
      <c r="DA98" s="254"/>
      <c r="DB98" s="254"/>
      <c r="DC98" s="254"/>
      <c r="DD98" s="254"/>
    </row>
    <row r="99" spans="1:108">
      <c r="A99" s="305"/>
      <c r="C99" s="373"/>
      <c r="D99" s="469"/>
      <c r="E99" s="469"/>
      <c r="F99" s="459"/>
      <c r="G99" s="470"/>
      <c r="H99" s="460"/>
      <c r="M99" s="158"/>
      <c r="N99" s="278" t="str">
        <f t="shared" si="106"/>
        <v/>
      </c>
      <c r="O99" s="279" t="str">
        <f t="shared" si="107"/>
        <v/>
      </c>
      <c r="P99" s="271" t="str">
        <f t="shared" si="101"/>
        <v/>
      </c>
      <c r="Q99" s="271" t="str">
        <f t="shared" si="102"/>
        <v/>
      </c>
      <c r="R99" s="271" t="str">
        <f t="shared" si="103"/>
        <v/>
      </c>
      <c r="S99" s="400" t="str">
        <f t="shared" si="56"/>
        <v/>
      </c>
      <c r="T99" s="382" t="str">
        <f>일반형!P99</f>
        <v/>
      </c>
      <c r="U99" s="382" t="str">
        <f>일반형!Q99</f>
        <v/>
      </c>
      <c r="V99" s="271" t="str">
        <f>일반형!R99</f>
        <v/>
      </c>
      <c r="W99" s="400" t="str">
        <f>일반형!S99</f>
        <v/>
      </c>
      <c r="X99" s="271" t="str">
        <f t="shared" si="104"/>
        <v/>
      </c>
      <c r="Y99" s="442" t="str">
        <f t="shared" si="57"/>
        <v/>
      </c>
      <c r="Z99" s="443" t="str">
        <f t="shared" si="105"/>
        <v/>
      </c>
      <c r="AB99" s="60" t="str">
        <f t="shared" si="89"/>
        <v/>
      </c>
      <c r="AC99" s="645" t="str">
        <f t="shared" si="58"/>
        <v/>
      </c>
      <c r="AD99" s="255"/>
      <c r="AE99" s="255" t="str">
        <f>IF(AB99="","",IF(AB99-$AB$4&lt;$F$5-1,INDEX(Main_무해지!$G$76:$G$87,MIN(AB99-$AB$4+1,12)),IF(AB99-$AB$4=$F$5-1,0,IF(AND($F$2=1,AB99&gt;109),0,IF(AND($F$2=2,AB99&gt;111),0,INDEX(Main_무해지!$H$76:$H$82,MIN(AB99-$AB$4-$F$5+1,7)))))))</f>
        <v/>
      </c>
      <c r="AF99" s="255" t="str">
        <f t="shared" si="99"/>
        <v/>
      </c>
      <c r="AG99" s="255" t="str">
        <f t="shared" si="59"/>
        <v/>
      </c>
      <c r="AH99" s="62" t="str">
        <f>IF($AB99="","",SUM(AG99:AG$114))</f>
        <v/>
      </c>
      <c r="AI99" s="255" t="str">
        <f t="shared" si="90"/>
        <v/>
      </c>
      <c r="AJ99" s="64" t="str">
        <f t="shared" si="60"/>
        <v/>
      </c>
      <c r="AK99" s="64"/>
      <c r="AL99" s="255" t="str">
        <f t="shared" si="61"/>
        <v/>
      </c>
      <c r="AM99" s="255" t="str">
        <f t="shared" si="100"/>
        <v/>
      </c>
      <c r="AN99" s="255" t="str">
        <f t="shared" si="62"/>
        <v/>
      </c>
      <c r="AO99" s="62" t="str">
        <f>IF($AB99="","",SUM(AN99:AN$114))</f>
        <v/>
      </c>
      <c r="AP99" s="61" t="str">
        <f t="shared" si="91"/>
        <v/>
      </c>
      <c r="AQ99" s="255" t="str">
        <f t="shared" si="63"/>
        <v/>
      </c>
      <c r="AR99" s="255" t="str">
        <f t="shared" si="64"/>
        <v/>
      </c>
      <c r="AS99" s="255" t="str">
        <f t="shared" si="65"/>
        <v/>
      </c>
      <c r="AT99" s="65" t="str">
        <f>IF($AB99="","",SUM($AU99:$AU$114))</f>
        <v/>
      </c>
      <c r="AU99" s="255" t="str">
        <f t="shared" si="92"/>
        <v/>
      </c>
      <c r="AV99" s="65" t="str">
        <f t="shared" si="66"/>
        <v/>
      </c>
      <c r="AW99" s="61"/>
      <c r="AX99" s="255" t="str">
        <f t="shared" si="67"/>
        <v/>
      </c>
      <c r="AY99" s="255" t="str">
        <f t="shared" si="68"/>
        <v/>
      </c>
      <c r="AZ99" s="255" t="str">
        <f t="shared" si="69"/>
        <v/>
      </c>
      <c r="BA99" s="65" t="str">
        <f>IF($AB99="","",SUM($AZ99:$AZ$114))</f>
        <v/>
      </c>
      <c r="BB99" s="61"/>
      <c r="BC99" s="255" t="str">
        <f t="shared" si="70"/>
        <v/>
      </c>
      <c r="BD99" s="255" t="str">
        <f t="shared" si="71"/>
        <v/>
      </c>
      <c r="BE99" s="255" t="str">
        <f t="shared" si="72"/>
        <v/>
      </c>
      <c r="BF99" s="65" t="str">
        <f>IF($AB99="","",SUM($BE99:$BE$114))</f>
        <v/>
      </c>
      <c r="BG99" s="61"/>
      <c r="BH99" s="255" t="str">
        <f t="shared" si="73"/>
        <v/>
      </c>
      <c r="BI99" s="255" t="str">
        <f t="shared" si="74"/>
        <v/>
      </c>
      <c r="BJ99" s="255" t="str">
        <f t="shared" si="75"/>
        <v/>
      </c>
      <c r="BK99" s="65" t="str">
        <f>IF($AB99="","",SUM($BJ99:$BJ$114))</f>
        <v/>
      </c>
      <c r="BL99" s="61"/>
      <c r="BM99" s="255" t="str">
        <f t="shared" si="76"/>
        <v/>
      </c>
      <c r="BN99" s="255" t="str">
        <f t="shared" si="77"/>
        <v/>
      </c>
      <c r="BO99" s="255" t="str">
        <f t="shared" si="78"/>
        <v/>
      </c>
      <c r="BP99" s="65" t="str">
        <f>IF($AB99="","",SUM($BO99:$BO$114))</f>
        <v/>
      </c>
      <c r="BQ99" s="61" t="str">
        <f t="shared" si="79"/>
        <v/>
      </c>
      <c r="BR99" s="255" t="str">
        <f t="shared" si="93"/>
        <v/>
      </c>
      <c r="BS99" s="255" t="str">
        <f t="shared" si="80"/>
        <v/>
      </c>
      <c r="BT99" s="255" t="str">
        <f t="shared" si="81"/>
        <v/>
      </c>
      <c r="BU99" s="255" t="str">
        <f t="shared" si="94"/>
        <v/>
      </c>
      <c r="BV99" s="255"/>
      <c r="BW99" s="255"/>
      <c r="BX99" s="255"/>
      <c r="BY99" s="255"/>
      <c r="BZ99" s="255" t="str">
        <f>IF($AB99="","",SUM(BU99:BU$114))</f>
        <v/>
      </c>
      <c r="CA99" s="55" t="str">
        <f>IF(AB99&lt;$E$3+$F$5,0,IFERROR(일반형!S101,0))</f>
        <v/>
      </c>
      <c r="CB99" s="63"/>
      <c r="CC99" s="391" t="str">
        <f t="shared" si="55"/>
        <v/>
      </c>
      <c r="CD99" s="255" t="str">
        <f t="shared" si="95"/>
        <v/>
      </c>
      <c r="CE99" s="255" t="str">
        <f t="shared" si="82"/>
        <v/>
      </c>
      <c r="CF99" s="255" t="str">
        <f t="shared" si="83"/>
        <v/>
      </c>
      <c r="CG99" s="255" t="str">
        <f t="shared" si="96"/>
        <v/>
      </c>
      <c r="CH99" s="255" t="str">
        <f t="shared" si="84"/>
        <v/>
      </c>
      <c r="CI99" s="66" t="str">
        <f t="shared" si="97"/>
        <v/>
      </c>
      <c r="CJ99" s="67" t="str">
        <f t="shared" si="85"/>
        <v/>
      </c>
      <c r="CK99" s="237"/>
      <c r="CL99" s="204">
        <v>95</v>
      </c>
      <c r="CM99" s="255">
        <f t="shared" si="86"/>
        <v>0</v>
      </c>
      <c r="CN99" s="255">
        <f t="shared" si="87"/>
        <v>2.2599999999999999E-4</v>
      </c>
      <c r="CO99" s="255">
        <f t="shared" si="88"/>
        <v>0.20519299999999999</v>
      </c>
      <c r="CP99" s="255">
        <f t="shared" si="98"/>
        <v>9.3400000000000004E-4</v>
      </c>
      <c r="CQ99" s="255"/>
      <c r="CR99" s="204">
        <v>95</v>
      </c>
      <c r="CS99" s="255"/>
      <c r="CT99" s="255"/>
      <c r="CU99" s="255">
        <v>2.2599999999999999E-4</v>
      </c>
      <c r="CV99" s="255">
        <v>1.5799999999999999E-4</v>
      </c>
      <c r="CW99" s="255">
        <v>0.20519299999999999</v>
      </c>
      <c r="CX99" s="255">
        <v>6.3620999999999997E-2</v>
      </c>
      <c r="CY99" s="255">
        <v>9.3400000000000004E-4</v>
      </c>
      <c r="CZ99" s="255">
        <v>1.6119999999999999E-3</v>
      </c>
      <c r="DA99" s="255"/>
      <c r="DB99" s="255"/>
      <c r="DC99" s="255"/>
      <c r="DD99" s="255"/>
    </row>
    <row r="100" spans="1:108">
      <c r="A100" s="305"/>
      <c r="C100" s="373"/>
      <c r="D100" s="469"/>
      <c r="E100" s="469"/>
      <c r="F100" s="459"/>
      <c r="G100" s="470"/>
      <c r="H100" s="460"/>
      <c r="M100" s="158"/>
      <c r="N100" s="278" t="str">
        <f t="shared" si="106"/>
        <v/>
      </c>
      <c r="O100" s="279" t="str">
        <f t="shared" si="107"/>
        <v/>
      </c>
      <c r="P100" s="271" t="str">
        <f t="shared" si="101"/>
        <v/>
      </c>
      <c r="Q100" s="271" t="str">
        <f t="shared" si="102"/>
        <v/>
      </c>
      <c r="R100" s="271" t="str">
        <f t="shared" si="103"/>
        <v/>
      </c>
      <c r="S100" s="400" t="str">
        <f t="shared" si="56"/>
        <v/>
      </c>
      <c r="T100" s="382" t="str">
        <f>일반형!P100</f>
        <v/>
      </c>
      <c r="U100" s="382" t="str">
        <f>일반형!Q100</f>
        <v/>
      </c>
      <c r="V100" s="271" t="str">
        <f>일반형!R100</f>
        <v/>
      </c>
      <c r="W100" s="400" t="str">
        <f>일반형!S100</f>
        <v/>
      </c>
      <c r="X100" s="271" t="str">
        <f t="shared" si="104"/>
        <v/>
      </c>
      <c r="Y100" s="442" t="str">
        <f t="shared" si="57"/>
        <v/>
      </c>
      <c r="Z100" s="443" t="str">
        <f t="shared" si="105"/>
        <v/>
      </c>
      <c r="AB100" s="759" t="str">
        <f t="shared" si="89"/>
        <v/>
      </c>
      <c r="AC100" s="646" t="str">
        <f t="shared" si="58"/>
        <v/>
      </c>
      <c r="AD100" s="409"/>
      <c r="AE100" s="409" t="str">
        <f>IF(AB100="","",IF(AB100-$AB$4&lt;$F$5-1,INDEX(Main_무해지!$G$76:$G$87,MIN(AB100-$AB$4+1,12)),IF(AB100-$AB$4=$F$5-1,0,IF(AND($F$2=1,AB100&gt;109),0,IF(AND($F$2=2,AB100&gt;111),0,INDEX(Main_무해지!$H$76:$H$82,MIN(AB100-$AB$4-$F$5+1,7)))))))</f>
        <v/>
      </c>
      <c r="AF100" s="409" t="str">
        <f t="shared" si="99"/>
        <v/>
      </c>
      <c r="AG100" s="409" t="str">
        <f t="shared" si="59"/>
        <v/>
      </c>
      <c r="AH100" s="760" t="str">
        <f>IF($AB100="","",SUM(AG100:AG$114))</f>
        <v/>
      </c>
      <c r="AI100" s="409" t="str">
        <f t="shared" si="90"/>
        <v/>
      </c>
      <c r="AJ100" s="639" t="str">
        <f t="shared" si="60"/>
        <v/>
      </c>
      <c r="AK100" s="639"/>
      <c r="AL100" s="409" t="str">
        <f t="shared" si="61"/>
        <v/>
      </c>
      <c r="AM100" s="409" t="str">
        <f t="shared" si="100"/>
        <v/>
      </c>
      <c r="AN100" s="409" t="str">
        <f t="shared" si="62"/>
        <v/>
      </c>
      <c r="AO100" s="760" t="str">
        <f>IF($AB100="","",SUM(AN100:AN$114))</f>
        <v/>
      </c>
      <c r="AP100" s="761" t="str">
        <f t="shared" si="91"/>
        <v/>
      </c>
      <c r="AQ100" s="409" t="str">
        <f t="shared" si="63"/>
        <v/>
      </c>
      <c r="AR100" s="409" t="str">
        <f t="shared" si="64"/>
        <v/>
      </c>
      <c r="AS100" s="409" t="str">
        <f t="shared" si="65"/>
        <v/>
      </c>
      <c r="AT100" s="762" t="str">
        <f>IF($AB100="","",SUM($AU100:$AU$114))</f>
        <v/>
      </c>
      <c r="AU100" s="409" t="str">
        <f t="shared" si="92"/>
        <v/>
      </c>
      <c r="AV100" s="762" t="str">
        <f t="shared" si="66"/>
        <v/>
      </c>
      <c r="AW100" s="761"/>
      <c r="AX100" s="409" t="str">
        <f t="shared" si="67"/>
        <v/>
      </c>
      <c r="AY100" s="409" t="str">
        <f t="shared" si="68"/>
        <v/>
      </c>
      <c r="AZ100" s="409" t="str">
        <f t="shared" si="69"/>
        <v/>
      </c>
      <c r="BA100" s="762" t="str">
        <f>IF($AB100="","",SUM($AZ100:$AZ$114))</f>
        <v/>
      </c>
      <c r="BB100" s="761"/>
      <c r="BC100" s="409" t="str">
        <f t="shared" si="70"/>
        <v/>
      </c>
      <c r="BD100" s="409" t="str">
        <f t="shared" si="71"/>
        <v/>
      </c>
      <c r="BE100" s="409" t="str">
        <f t="shared" si="72"/>
        <v/>
      </c>
      <c r="BF100" s="762" t="str">
        <f>IF($AB100="","",SUM($BE100:$BE$114))</f>
        <v/>
      </c>
      <c r="BG100" s="761"/>
      <c r="BH100" s="409" t="str">
        <f t="shared" si="73"/>
        <v/>
      </c>
      <c r="BI100" s="409" t="str">
        <f t="shared" si="74"/>
        <v/>
      </c>
      <c r="BJ100" s="409" t="str">
        <f t="shared" si="75"/>
        <v/>
      </c>
      <c r="BK100" s="762" t="str">
        <f>IF($AB100="","",SUM($BJ100:$BJ$114))</f>
        <v/>
      </c>
      <c r="BL100" s="761"/>
      <c r="BM100" s="409" t="str">
        <f t="shared" si="76"/>
        <v/>
      </c>
      <c r="BN100" s="409" t="str">
        <f t="shared" si="77"/>
        <v/>
      </c>
      <c r="BO100" s="409" t="str">
        <f t="shared" si="78"/>
        <v/>
      </c>
      <c r="BP100" s="762" t="str">
        <f>IF($AB100="","",SUM($BO100:$BO$114))</f>
        <v/>
      </c>
      <c r="BQ100" s="761" t="str">
        <f t="shared" si="79"/>
        <v/>
      </c>
      <c r="BR100" s="409" t="str">
        <f t="shared" si="93"/>
        <v/>
      </c>
      <c r="BS100" s="409" t="str">
        <f t="shared" si="80"/>
        <v/>
      </c>
      <c r="BT100" s="409" t="str">
        <f t="shared" si="81"/>
        <v/>
      </c>
      <c r="BU100" s="409" t="str">
        <f t="shared" si="94"/>
        <v/>
      </c>
      <c r="BV100" s="409"/>
      <c r="BW100" s="409"/>
      <c r="BX100" s="409"/>
      <c r="BY100" s="409"/>
      <c r="BZ100" s="409" t="str">
        <f>IF($AB100="","",SUM(BU100:BU$114))</f>
        <v/>
      </c>
      <c r="CA100" s="55" t="str">
        <f>IF(AB100&lt;$E$3+$F$5,0,IFERROR(일반형!S102,0))</f>
        <v/>
      </c>
      <c r="CB100" s="763"/>
      <c r="CC100" s="764" t="str">
        <f t="shared" si="55"/>
        <v/>
      </c>
      <c r="CD100" s="409" t="str">
        <f t="shared" si="95"/>
        <v/>
      </c>
      <c r="CE100" s="409" t="str">
        <f t="shared" si="82"/>
        <v/>
      </c>
      <c r="CF100" s="409" t="str">
        <f t="shared" si="83"/>
        <v/>
      </c>
      <c r="CG100" s="409" t="str">
        <f t="shared" si="96"/>
        <v/>
      </c>
      <c r="CH100" s="409" t="str">
        <f t="shared" si="84"/>
        <v/>
      </c>
      <c r="CI100" s="765" t="str">
        <f t="shared" si="97"/>
        <v/>
      </c>
      <c r="CJ100" s="766" t="str">
        <f t="shared" si="85"/>
        <v/>
      </c>
      <c r="CK100" s="414"/>
      <c r="CL100" s="767">
        <v>96</v>
      </c>
      <c r="CM100" s="409">
        <f t="shared" si="86"/>
        <v>0</v>
      </c>
      <c r="CN100" s="409">
        <f t="shared" si="87"/>
        <v>2.2599999999999999E-4</v>
      </c>
      <c r="CO100" s="409">
        <f t="shared" si="88"/>
        <v>0.23679</v>
      </c>
      <c r="CP100" s="409">
        <f t="shared" si="98"/>
        <v>9.3400000000000004E-4</v>
      </c>
      <c r="CQ100" s="409"/>
      <c r="CR100" s="767">
        <v>96</v>
      </c>
      <c r="CS100" s="409"/>
      <c r="CT100" s="409"/>
      <c r="CU100" s="409">
        <v>2.2599999999999999E-4</v>
      </c>
      <c r="CV100" s="409">
        <v>1.5799999999999999E-4</v>
      </c>
      <c r="CW100" s="409">
        <v>0.23679</v>
      </c>
      <c r="CX100" s="409">
        <v>7.2419999999999998E-2</v>
      </c>
      <c r="CY100" s="409">
        <v>9.3400000000000004E-4</v>
      </c>
      <c r="CZ100" s="409">
        <v>1.6119999999999999E-3</v>
      </c>
      <c r="DA100" s="409"/>
      <c r="DB100" s="409"/>
      <c r="DC100" s="409"/>
      <c r="DD100" s="409"/>
    </row>
    <row r="101" spans="1:108">
      <c r="A101" s="305"/>
      <c r="C101" s="373"/>
      <c r="D101" s="469"/>
      <c r="E101" s="469"/>
      <c r="F101" s="459"/>
      <c r="G101" s="470"/>
      <c r="H101" s="460"/>
      <c r="M101" s="158"/>
      <c r="N101" s="278" t="str">
        <f t="shared" si="106"/>
        <v/>
      </c>
      <c r="O101" s="279" t="str">
        <f t="shared" si="107"/>
        <v/>
      </c>
      <c r="P101" s="271" t="str">
        <f t="shared" si="101"/>
        <v/>
      </c>
      <c r="Q101" s="271" t="str">
        <f t="shared" si="102"/>
        <v/>
      </c>
      <c r="R101" s="271" t="str">
        <f t="shared" si="103"/>
        <v/>
      </c>
      <c r="S101" s="400" t="str">
        <f t="shared" si="56"/>
        <v/>
      </c>
      <c r="T101" s="382" t="str">
        <f>일반형!P101</f>
        <v/>
      </c>
      <c r="U101" s="382" t="str">
        <f>일반형!Q101</f>
        <v/>
      </c>
      <c r="V101" s="271" t="str">
        <f>일반형!R101</f>
        <v/>
      </c>
      <c r="W101" s="400" t="str">
        <f>일반형!S101</f>
        <v/>
      </c>
      <c r="X101" s="271" t="str">
        <f t="shared" si="104"/>
        <v/>
      </c>
      <c r="Y101" s="446" t="str">
        <f t="shared" si="57"/>
        <v/>
      </c>
      <c r="Z101" s="447" t="str">
        <f t="shared" si="105"/>
        <v/>
      </c>
      <c r="AB101" s="101" t="str">
        <f t="shared" si="89"/>
        <v/>
      </c>
      <c r="AC101" s="649" t="str">
        <f t="shared" si="58"/>
        <v/>
      </c>
      <c r="AD101" s="258"/>
      <c r="AE101" s="258" t="str">
        <f>IF(AB101="","",IF(AB101-$AB$4&lt;$F$5-1,INDEX(Main_무해지!$G$76:$G$87,MIN(AB101-$AB$4+1,12)),IF(AB101-$AB$4=$F$5-1,0,IF(AND($F$2=1,AB101&gt;109),0,IF(AND($F$2=2,AB101&gt;111),0,INDEX(Main_무해지!$H$76:$H$82,MIN(AB101-$AB$4-$F$5+1,7)))))))</f>
        <v/>
      </c>
      <c r="AF101" s="258" t="str">
        <f t="shared" si="99"/>
        <v/>
      </c>
      <c r="AG101" s="258" t="str">
        <f t="shared" si="59"/>
        <v/>
      </c>
      <c r="AH101" s="102" t="str">
        <f>IF($AB101="","",SUM(AG101:AG$114))</f>
        <v/>
      </c>
      <c r="AI101" s="258" t="str">
        <f t="shared" si="90"/>
        <v/>
      </c>
      <c r="AJ101" s="308" t="str">
        <f t="shared" si="60"/>
        <v/>
      </c>
      <c r="AK101" s="308"/>
      <c r="AL101" s="258" t="str">
        <f t="shared" si="61"/>
        <v/>
      </c>
      <c r="AM101" s="258" t="str">
        <f t="shared" si="100"/>
        <v/>
      </c>
      <c r="AN101" s="258" t="str">
        <f t="shared" si="62"/>
        <v/>
      </c>
      <c r="AO101" s="102" t="str">
        <f>IF($AB101="","",SUM(AN101:AN$114))</f>
        <v/>
      </c>
      <c r="AP101" s="285" t="str">
        <f t="shared" si="91"/>
        <v/>
      </c>
      <c r="AQ101" s="258" t="str">
        <f t="shared" si="63"/>
        <v/>
      </c>
      <c r="AR101" s="258" t="str">
        <f t="shared" si="64"/>
        <v/>
      </c>
      <c r="AS101" s="258" t="str">
        <f t="shared" si="65"/>
        <v/>
      </c>
      <c r="AT101" s="315" t="str">
        <f>IF($AB101="","",SUM($AU101:$AU$114))</f>
        <v/>
      </c>
      <c r="AU101" s="258" t="str">
        <f t="shared" si="92"/>
        <v/>
      </c>
      <c r="AV101" s="315" t="str">
        <f t="shared" si="66"/>
        <v/>
      </c>
      <c r="AW101" s="285"/>
      <c r="AX101" s="258" t="str">
        <f t="shared" si="67"/>
        <v/>
      </c>
      <c r="AY101" s="258" t="str">
        <f t="shared" si="68"/>
        <v/>
      </c>
      <c r="AZ101" s="258" t="str">
        <f t="shared" si="69"/>
        <v/>
      </c>
      <c r="BA101" s="315" t="str">
        <f>IF($AB101="","",SUM($AZ101:$AZ$114))</f>
        <v/>
      </c>
      <c r="BB101" s="285"/>
      <c r="BC101" s="258" t="str">
        <f t="shared" si="70"/>
        <v/>
      </c>
      <c r="BD101" s="258" t="str">
        <f t="shared" si="71"/>
        <v/>
      </c>
      <c r="BE101" s="258" t="str">
        <f t="shared" si="72"/>
        <v/>
      </c>
      <c r="BF101" s="315" t="str">
        <f>IF($AB101="","",SUM($BE101:$BE$114))</f>
        <v/>
      </c>
      <c r="BG101" s="285"/>
      <c r="BH101" s="258" t="str">
        <f t="shared" si="73"/>
        <v/>
      </c>
      <c r="BI101" s="258" t="str">
        <f t="shared" si="74"/>
        <v/>
      </c>
      <c r="BJ101" s="258" t="str">
        <f t="shared" si="75"/>
        <v/>
      </c>
      <c r="BK101" s="315" t="str">
        <f>IF($AB101="","",SUM($BJ101:$BJ$114))</f>
        <v/>
      </c>
      <c r="BL101" s="285"/>
      <c r="BM101" s="258" t="str">
        <f t="shared" si="76"/>
        <v/>
      </c>
      <c r="BN101" s="258" t="str">
        <f t="shared" si="77"/>
        <v/>
      </c>
      <c r="BO101" s="258" t="str">
        <f t="shared" si="78"/>
        <v/>
      </c>
      <c r="BP101" s="315" t="str">
        <f>IF($AB101="","",SUM($BO101:$BO$114))</f>
        <v/>
      </c>
      <c r="BQ101" s="285" t="str">
        <f t="shared" si="79"/>
        <v/>
      </c>
      <c r="BR101" s="258" t="str">
        <f t="shared" si="93"/>
        <v/>
      </c>
      <c r="BS101" s="258" t="str">
        <f t="shared" si="80"/>
        <v/>
      </c>
      <c r="BT101" s="258" t="str">
        <f t="shared" si="81"/>
        <v/>
      </c>
      <c r="BU101" s="258" t="str">
        <f t="shared" si="94"/>
        <v/>
      </c>
      <c r="BV101" s="258"/>
      <c r="BW101" s="258"/>
      <c r="BX101" s="258"/>
      <c r="BY101" s="258"/>
      <c r="BZ101" s="258" t="str">
        <f>IF($AB101="","",SUM(BU101:BU$114))</f>
        <v/>
      </c>
      <c r="CA101" s="55" t="str">
        <f>IF(AB101&lt;$E$3+$F$5,0,IFERROR(일반형!S103,0))</f>
        <v/>
      </c>
      <c r="CB101" s="103"/>
      <c r="CC101" s="394" t="str">
        <f t="shared" si="55"/>
        <v/>
      </c>
      <c r="CD101" s="258" t="str">
        <f t="shared" si="95"/>
        <v/>
      </c>
      <c r="CE101" s="258" t="str">
        <f t="shared" si="82"/>
        <v/>
      </c>
      <c r="CF101" s="258" t="str">
        <f t="shared" si="83"/>
        <v/>
      </c>
      <c r="CG101" s="258" t="str">
        <f t="shared" si="96"/>
        <v/>
      </c>
      <c r="CH101" s="258" t="str">
        <f t="shared" si="84"/>
        <v/>
      </c>
      <c r="CI101" s="104" t="str">
        <f t="shared" si="97"/>
        <v/>
      </c>
      <c r="CJ101" s="105" t="str">
        <f t="shared" si="85"/>
        <v/>
      </c>
      <c r="CK101" s="240"/>
      <c r="CL101" s="207">
        <v>97</v>
      </c>
      <c r="CM101" s="258">
        <f t="shared" si="86"/>
        <v>0</v>
      </c>
      <c r="CN101" s="258">
        <f t="shared" si="87"/>
        <v>2.2599999999999999E-4</v>
      </c>
      <c r="CO101" s="258">
        <f t="shared" si="88"/>
        <v>0.27225700000000003</v>
      </c>
      <c r="CP101" s="258">
        <f t="shared" si="98"/>
        <v>9.3400000000000004E-4</v>
      </c>
      <c r="CQ101" s="258"/>
      <c r="CR101" s="207">
        <v>97</v>
      </c>
      <c r="CS101" s="258"/>
      <c r="CT101" s="258"/>
      <c r="CU101" s="258">
        <v>2.2599999999999999E-4</v>
      </c>
      <c r="CV101" s="258">
        <v>1.5799999999999999E-4</v>
      </c>
      <c r="CW101" s="258">
        <v>0.27225700000000003</v>
      </c>
      <c r="CX101" s="258">
        <v>8.2597000000000004E-2</v>
      </c>
      <c r="CY101" s="258">
        <v>9.3400000000000004E-4</v>
      </c>
      <c r="CZ101" s="258">
        <v>1.6119999999999999E-3</v>
      </c>
      <c r="DA101" s="258"/>
      <c r="DB101" s="258"/>
      <c r="DC101" s="258"/>
      <c r="DD101" s="258"/>
    </row>
    <row r="102" spans="1:108">
      <c r="A102" s="305"/>
      <c r="C102" s="373"/>
      <c r="D102" s="469"/>
      <c r="E102" s="469"/>
      <c r="F102" s="459"/>
      <c r="G102" s="470"/>
      <c r="H102" s="460"/>
      <c r="M102" s="158"/>
      <c r="N102" s="278" t="str">
        <f t="shared" si="106"/>
        <v/>
      </c>
      <c r="O102" s="279" t="str">
        <f t="shared" si="107"/>
        <v/>
      </c>
      <c r="P102" s="271" t="str">
        <f t="shared" si="101"/>
        <v/>
      </c>
      <c r="Q102" s="271" t="str">
        <f t="shared" si="102"/>
        <v/>
      </c>
      <c r="R102" s="271" t="str">
        <f t="shared" si="103"/>
        <v/>
      </c>
      <c r="S102" s="400" t="str">
        <f t="shared" si="56"/>
        <v/>
      </c>
      <c r="T102" s="382" t="str">
        <f>일반형!P102</f>
        <v/>
      </c>
      <c r="U102" s="382" t="str">
        <f>일반형!Q102</f>
        <v/>
      </c>
      <c r="V102" s="271" t="str">
        <f>일반형!R102</f>
        <v/>
      </c>
      <c r="W102" s="400" t="str">
        <f>일반형!S102</f>
        <v/>
      </c>
      <c r="X102" s="271" t="str">
        <f t="shared" si="104"/>
        <v/>
      </c>
      <c r="Y102" s="444" t="str">
        <f t="shared" si="57"/>
        <v/>
      </c>
      <c r="Z102" s="445" t="str">
        <f t="shared" si="105"/>
        <v/>
      </c>
      <c r="AB102" s="101" t="str">
        <f t="shared" si="89"/>
        <v/>
      </c>
      <c r="AC102" s="649" t="str">
        <f t="shared" si="58"/>
        <v/>
      </c>
      <c r="AD102" s="258"/>
      <c r="AE102" s="258" t="str">
        <f>IF(AB102="","",IF(AB102-$AB$4&lt;$F$5-1,INDEX(Main_무해지!$G$76:$G$87,MIN(AB102-$AB$4+1,12)),IF(AB102-$AB$4=$F$5-1,0,IF(AND($F$2=1,AB102&gt;109),0,IF(AND($F$2=2,AB102&gt;111),0,INDEX(Main_무해지!$H$76:$H$82,MIN(AB102-$AB$4-$F$5+1,7)))))))</f>
        <v/>
      </c>
      <c r="AF102" s="258" t="str">
        <f t="shared" si="99"/>
        <v/>
      </c>
      <c r="AG102" s="258" t="str">
        <f t="shared" si="59"/>
        <v/>
      </c>
      <c r="AH102" s="102" t="str">
        <f>IF($AB102="","",SUM(AG102:AG$114))</f>
        <v/>
      </c>
      <c r="AI102" s="258" t="str">
        <f t="shared" si="90"/>
        <v/>
      </c>
      <c r="AJ102" s="308" t="str">
        <f t="shared" si="60"/>
        <v/>
      </c>
      <c r="AK102" s="308"/>
      <c r="AL102" s="258" t="str">
        <f t="shared" si="61"/>
        <v/>
      </c>
      <c r="AM102" s="258" t="str">
        <f t="shared" si="100"/>
        <v/>
      </c>
      <c r="AN102" s="258" t="str">
        <f t="shared" si="62"/>
        <v/>
      </c>
      <c r="AO102" s="102" t="str">
        <f>IF($AB102="","",SUM(AN102:AN$114))</f>
        <v/>
      </c>
      <c r="AP102" s="285" t="str">
        <f t="shared" si="91"/>
        <v/>
      </c>
      <c r="AQ102" s="258" t="str">
        <f t="shared" si="63"/>
        <v/>
      </c>
      <c r="AR102" s="258" t="str">
        <f t="shared" si="64"/>
        <v/>
      </c>
      <c r="AS102" s="258" t="str">
        <f t="shared" si="65"/>
        <v/>
      </c>
      <c r="AT102" s="315" t="str">
        <f>IF($AB102="","",SUM($AU102:$AU$114))</f>
        <v/>
      </c>
      <c r="AU102" s="258" t="str">
        <f t="shared" si="92"/>
        <v/>
      </c>
      <c r="AV102" s="315" t="str">
        <f t="shared" si="66"/>
        <v/>
      </c>
      <c r="AW102" s="285"/>
      <c r="AX102" s="258" t="str">
        <f t="shared" si="67"/>
        <v/>
      </c>
      <c r="AY102" s="258" t="str">
        <f t="shared" si="68"/>
        <v/>
      </c>
      <c r="AZ102" s="258" t="str">
        <f t="shared" si="69"/>
        <v/>
      </c>
      <c r="BA102" s="315" t="str">
        <f>IF($AB102="","",SUM($AZ102:$AZ$114))</f>
        <v/>
      </c>
      <c r="BB102" s="285"/>
      <c r="BC102" s="258" t="str">
        <f t="shared" si="70"/>
        <v/>
      </c>
      <c r="BD102" s="258" t="str">
        <f t="shared" si="71"/>
        <v/>
      </c>
      <c r="BE102" s="258" t="str">
        <f t="shared" si="72"/>
        <v/>
      </c>
      <c r="BF102" s="315" t="str">
        <f>IF($AB102="","",SUM($BE102:$BE$114))</f>
        <v/>
      </c>
      <c r="BG102" s="285"/>
      <c r="BH102" s="258" t="str">
        <f t="shared" si="73"/>
        <v/>
      </c>
      <c r="BI102" s="258" t="str">
        <f t="shared" si="74"/>
        <v/>
      </c>
      <c r="BJ102" s="258" t="str">
        <f t="shared" si="75"/>
        <v/>
      </c>
      <c r="BK102" s="315" t="str">
        <f>IF($AB102="","",SUM($BJ102:$BJ$114))</f>
        <v/>
      </c>
      <c r="BL102" s="285"/>
      <c r="BM102" s="258" t="str">
        <f t="shared" si="76"/>
        <v/>
      </c>
      <c r="BN102" s="258" t="str">
        <f t="shared" si="77"/>
        <v/>
      </c>
      <c r="BO102" s="258" t="str">
        <f t="shared" si="78"/>
        <v/>
      </c>
      <c r="BP102" s="315" t="str">
        <f>IF($AB102="","",SUM($BO102:$BO$114))</f>
        <v/>
      </c>
      <c r="BQ102" s="285" t="str">
        <f t="shared" si="79"/>
        <v/>
      </c>
      <c r="BR102" s="258" t="str">
        <f t="shared" si="93"/>
        <v/>
      </c>
      <c r="BS102" s="258" t="str">
        <f t="shared" si="80"/>
        <v/>
      </c>
      <c r="BT102" s="258" t="str">
        <f t="shared" si="81"/>
        <v/>
      </c>
      <c r="BU102" s="258" t="str">
        <f t="shared" si="94"/>
        <v/>
      </c>
      <c r="BV102" s="258"/>
      <c r="BW102" s="258"/>
      <c r="BX102" s="258"/>
      <c r="BY102" s="258"/>
      <c r="BZ102" s="258" t="str">
        <f>IF($AB102="","",SUM(BU102:BU$114))</f>
        <v/>
      </c>
      <c r="CA102" s="55" t="str">
        <f>IF(AB102&lt;$E$3+$F$5,0,IFERROR(일반형!S104,0))</f>
        <v/>
      </c>
      <c r="CB102" s="103"/>
      <c r="CC102" s="394" t="str">
        <f t="shared" si="55"/>
        <v/>
      </c>
      <c r="CD102" s="258" t="str">
        <f t="shared" si="95"/>
        <v/>
      </c>
      <c r="CE102" s="258" t="str">
        <f t="shared" si="82"/>
        <v/>
      </c>
      <c r="CF102" s="258" t="str">
        <f t="shared" si="83"/>
        <v/>
      </c>
      <c r="CG102" s="258" t="str">
        <f t="shared" si="96"/>
        <v/>
      </c>
      <c r="CH102" s="258" t="str">
        <f t="shared" si="84"/>
        <v/>
      </c>
      <c r="CI102" s="104" t="str">
        <f t="shared" si="97"/>
        <v/>
      </c>
      <c r="CJ102" s="105" t="str">
        <f t="shared" si="85"/>
        <v/>
      </c>
      <c r="CK102" s="240"/>
      <c r="CL102" s="207">
        <v>98</v>
      </c>
      <c r="CM102" s="258">
        <f t="shared" si="86"/>
        <v>0</v>
      </c>
      <c r="CN102" s="258">
        <f t="shared" si="87"/>
        <v>2.2599999999999999E-4</v>
      </c>
      <c r="CO102" s="258">
        <f t="shared" si="88"/>
        <v>0.311969</v>
      </c>
      <c r="CP102" s="258">
        <f t="shared" si="98"/>
        <v>9.3400000000000004E-4</v>
      </c>
      <c r="CQ102" s="258"/>
      <c r="CR102" s="207">
        <v>98</v>
      </c>
      <c r="CS102" s="258"/>
      <c r="CT102" s="258"/>
      <c r="CU102" s="258">
        <v>2.2599999999999999E-4</v>
      </c>
      <c r="CV102" s="258">
        <v>1.5799999999999999E-4</v>
      </c>
      <c r="CW102" s="258">
        <v>0.311969</v>
      </c>
      <c r="CX102" s="258">
        <v>9.4394000000000006E-2</v>
      </c>
      <c r="CY102" s="258">
        <v>9.3400000000000004E-4</v>
      </c>
      <c r="CZ102" s="258">
        <v>1.6119999999999999E-3</v>
      </c>
      <c r="DA102" s="258"/>
      <c r="DB102" s="258"/>
      <c r="DC102" s="258"/>
      <c r="DD102" s="258"/>
    </row>
    <row r="103" spans="1:108">
      <c r="A103" s="305"/>
      <c r="C103" s="373"/>
      <c r="D103" s="469"/>
      <c r="E103" s="469"/>
      <c r="F103" s="459"/>
      <c r="G103" s="470"/>
      <c r="H103" s="460"/>
      <c r="M103" s="158"/>
      <c r="N103" s="278" t="str">
        <f t="shared" si="106"/>
        <v/>
      </c>
      <c r="O103" s="279" t="str">
        <f t="shared" si="107"/>
        <v/>
      </c>
      <c r="P103" s="271" t="str">
        <f t="shared" si="101"/>
        <v/>
      </c>
      <c r="Q103" s="271" t="str">
        <f t="shared" si="102"/>
        <v/>
      </c>
      <c r="R103" s="271" t="str">
        <f t="shared" si="103"/>
        <v/>
      </c>
      <c r="S103" s="400" t="str">
        <f t="shared" si="56"/>
        <v/>
      </c>
      <c r="T103" s="382" t="str">
        <f>일반형!P103</f>
        <v/>
      </c>
      <c r="U103" s="382" t="str">
        <f>일반형!Q103</f>
        <v/>
      </c>
      <c r="V103" s="271" t="str">
        <f>일반형!R103</f>
        <v/>
      </c>
      <c r="W103" s="400" t="str">
        <f>일반형!S103</f>
        <v/>
      </c>
      <c r="X103" s="271" t="str">
        <f t="shared" si="104"/>
        <v/>
      </c>
      <c r="Y103" s="442" t="str">
        <f t="shared" si="57"/>
        <v/>
      </c>
      <c r="Z103" s="443" t="str">
        <f t="shared" si="105"/>
        <v/>
      </c>
      <c r="AB103" s="101" t="str">
        <f t="shared" si="89"/>
        <v/>
      </c>
      <c r="AC103" s="649" t="str">
        <f t="shared" si="58"/>
        <v/>
      </c>
      <c r="AD103" s="258"/>
      <c r="AE103" s="258" t="str">
        <f>IF(AB103="","",IF(AB103-$AB$4&lt;$F$5-1,INDEX(Main_무해지!$G$76:$G$87,MIN(AB103-$AB$4+1,12)),IF(AB103-$AB$4=$F$5-1,0,IF(AND($F$2=1,AB103&gt;109),0,IF(AND($F$2=2,AB103&gt;111),0,INDEX(Main_무해지!$H$76:$H$82,MIN(AB103-$AB$4-$F$5+1,7)))))))</f>
        <v/>
      </c>
      <c r="AF103" s="258" t="str">
        <f t="shared" si="99"/>
        <v/>
      </c>
      <c r="AG103" s="258" t="str">
        <f t="shared" si="59"/>
        <v/>
      </c>
      <c r="AH103" s="102" t="str">
        <f>IF($AB103="","",SUM(AG103:AG$114))</f>
        <v/>
      </c>
      <c r="AI103" s="258" t="str">
        <f t="shared" si="90"/>
        <v/>
      </c>
      <c r="AJ103" s="308" t="str">
        <f t="shared" si="60"/>
        <v/>
      </c>
      <c r="AK103" s="308"/>
      <c r="AL103" s="258" t="str">
        <f t="shared" si="61"/>
        <v/>
      </c>
      <c r="AM103" s="258" t="str">
        <f t="shared" si="100"/>
        <v/>
      </c>
      <c r="AN103" s="258" t="str">
        <f t="shared" si="62"/>
        <v/>
      </c>
      <c r="AO103" s="102" t="str">
        <f>IF($AB103="","",SUM(AN103:AN$114))</f>
        <v/>
      </c>
      <c r="AP103" s="285" t="str">
        <f t="shared" si="91"/>
        <v/>
      </c>
      <c r="AQ103" s="258" t="str">
        <f t="shared" si="63"/>
        <v/>
      </c>
      <c r="AR103" s="258" t="str">
        <f t="shared" si="64"/>
        <v/>
      </c>
      <c r="AS103" s="258" t="str">
        <f t="shared" si="65"/>
        <v/>
      </c>
      <c r="AT103" s="315" t="str">
        <f>IF($AB103="","",SUM($AU103:$AU$114))</f>
        <v/>
      </c>
      <c r="AU103" s="258" t="str">
        <f t="shared" si="92"/>
        <v/>
      </c>
      <c r="AV103" s="315" t="str">
        <f t="shared" si="66"/>
        <v/>
      </c>
      <c r="AW103" s="285"/>
      <c r="AX103" s="258" t="str">
        <f t="shared" si="67"/>
        <v/>
      </c>
      <c r="AY103" s="258" t="str">
        <f t="shared" si="68"/>
        <v/>
      </c>
      <c r="AZ103" s="258" t="str">
        <f t="shared" si="69"/>
        <v/>
      </c>
      <c r="BA103" s="315" t="str">
        <f>IF($AB103="","",SUM($AZ103:$AZ$114))</f>
        <v/>
      </c>
      <c r="BB103" s="285"/>
      <c r="BC103" s="258" t="str">
        <f t="shared" si="70"/>
        <v/>
      </c>
      <c r="BD103" s="258" t="str">
        <f t="shared" si="71"/>
        <v/>
      </c>
      <c r="BE103" s="258" t="str">
        <f t="shared" si="72"/>
        <v/>
      </c>
      <c r="BF103" s="315" t="str">
        <f>IF($AB103="","",SUM($BE103:$BE$114))</f>
        <v/>
      </c>
      <c r="BG103" s="285"/>
      <c r="BH103" s="258" t="str">
        <f t="shared" si="73"/>
        <v/>
      </c>
      <c r="BI103" s="258" t="str">
        <f t="shared" si="74"/>
        <v/>
      </c>
      <c r="BJ103" s="258" t="str">
        <f t="shared" si="75"/>
        <v/>
      </c>
      <c r="BK103" s="315" t="str">
        <f>IF($AB103="","",SUM($BJ103:$BJ$114))</f>
        <v/>
      </c>
      <c r="BL103" s="285"/>
      <c r="BM103" s="258" t="str">
        <f t="shared" si="76"/>
        <v/>
      </c>
      <c r="BN103" s="258" t="str">
        <f t="shared" si="77"/>
        <v/>
      </c>
      <c r="BO103" s="258" t="str">
        <f t="shared" si="78"/>
        <v/>
      </c>
      <c r="BP103" s="315" t="str">
        <f>IF($AB103="","",SUM($BO103:$BO$114))</f>
        <v/>
      </c>
      <c r="BQ103" s="285" t="str">
        <f t="shared" si="79"/>
        <v/>
      </c>
      <c r="BR103" s="258" t="str">
        <f t="shared" si="93"/>
        <v/>
      </c>
      <c r="BS103" s="258" t="str">
        <f t="shared" si="80"/>
        <v/>
      </c>
      <c r="BT103" s="258" t="str">
        <f t="shared" si="81"/>
        <v/>
      </c>
      <c r="BU103" s="258" t="str">
        <f t="shared" si="94"/>
        <v/>
      </c>
      <c r="BV103" s="258"/>
      <c r="BW103" s="258"/>
      <c r="BX103" s="258"/>
      <c r="BY103" s="258"/>
      <c r="BZ103" s="258" t="str">
        <f>IF($AB103="","",SUM(BU103:BU$114))</f>
        <v/>
      </c>
      <c r="CA103" s="55" t="str">
        <f>IF(AB103&lt;$E$3+$F$5,0,IFERROR(일반형!S105,0))</f>
        <v/>
      </c>
      <c r="CB103" s="103"/>
      <c r="CC103" s="394" t="str">
        <f t="shared" si="55"/>
        <v/>
      </c>
      <c r="CD103" s="258" t="str">
        <f t="shared" si="95"/>
        <v/>
      </c>
      <c r="CE103" s="258" t="str">
        <f t="shared" si="82"/>
        <v/>
      </c>
      <c r="CF103" s="258" t="str">
        <f t="shared" si="83"/>
        <v/>
      </c>
      <c r="CG103" s="258" t="str">
        <f t="shared" si="96"/>
        <v/>
      </c>
      <c r="CH103" s="258" t="str">
        <f t="shared" si="84"/>
        <v/>
      </c>
      <c r="CI103" s="104" t="str">
        <f t="shared" si="97"/>
        <v/>
      </c>
      <c r="CJ103" s="105" t="str">
        <f t="shared" si="85"/>
        <v/>
      </c>
      <c r="CK103" s="240"/>
      <c r="CL103" s="207">
        <v>99</v>
      </c>
      <c r="CM103" s="258">
        <f t="shared" si="86"/>
        <v>0</v>
      </c>
      <c r="CN103" s="258">
        <f t="shared" si="87"/>
        <v>2.2599999999999999E-4</v>
      </c>
      <c r="CO103" s="258">
        <f t="shared" si="88"/>
        <v>0.35638700000000001</v>
      </c>
      <c r="CP103" s="258">
        <f t="shared" si="98"/>
        <v>9.3400000000000004E-4</v>
      </c>
      <c r="CQ103" s="258"/>
      <c r="CR103" s="207">
        <v>99</v>
      </c>
      <c r="CS103" s="258"/>
      <c r="CT103" s="258"/>
      <c r="CU103" s="258">
        <v>2.2599999999999999E-4</v>
      </c>
      <c r="CV103" s="258">
        <v>1.5799999999999999E-4</v>
      </c>
      <c r="CW103" s="258">
        <v>0.35638700000000001</v>
      </c>
      <c r="CX103" s="258">
        <v>0.108097</v>
      </c>
      <c r="CY103" s="258">
        <v>9.3400000000000004E-4</v>
      </c>
      <c r="CZ103" s="258">
        <v>1.6119999999999999E-3</v>
      </c>
      <c r="DA103" s="258"/>
      <c r="DB103" s="258"/>
      <c r="DC103" s="258"/>
      <c r="DD103" s="258"/>
    </row>
    <row r="104" spans="1:108" ht="17.25" thickBot="1">
      <c r="A104" s="305"/>
      <c r="C104" s="373"/>
      <c r="D104" s="469"/>
      <c r="E104" s="472"/>
      <c r="F104" s="461"/>
      <c r="G104" s="473"/>
      <c r="H104" s="464"/>
      <c r="M104" s="158"/>
      <c r="N104" s="278" t="str">
        <f t="shared" si="106"/>
        <v/>
      </c>
      <c r="O104" s="279" t="str">
        <f t="shared" si="107"/>
        <v/>
      </c>
      <c r="P104" s="271" t="str">
        <f t="shared" si="101"/>
        <v/>
      </c>
      <c r="Q104" s="271" t="str">
        <f t="shared" si="102"/>
        <v/>
      </c>
      <c r="R104" s="271" t="str">
        <f t="shared" si="103"/>
        <v/>
      </c>
      <c r="S104" s="400" t="str">
        <f t="shared" si="56"/>
        <v/>
      </c>
      <c r="T104" s="382" t="str">
        <f>일반형!P104</f>
        <v/>
      </c>
      <c r="U104" s="382" t="str">
        <f>일반형!Q104</f>
        <v/>
      </c>
      <c r="V104" s="271" t="str">
        <f>일반형!R104</f>
        <v/>
      </c>
      <c r="W104" s="400" t="str">
        <f>일반형!S104</f>
        <v/>
      </c>
      <c r="X104" s="271" t="str">
        <f t="shared" si="104"/>
        <v/>
      </c>
      <c r="Y104" s="442" t="str">
        <f t="shared" si="57"/>
        <v/>
      </c>
      <c r="Z104" s="443" t="str">
        <f t="shared" si="105"/>
        <v/>
      </c>
      <c r="AB104" s="110" t="str">
        <f t="shared" si="89"/>
        <v/>
      </c>
      <c r="AC104" s="650" t="str">
        <f t="shared" si="58"/>
        <v/>
      </c>
      <c r="AD104" s="259"/>
      <c r="AE104" s="259" t="str">
        <f>IF(AB104="","",IF(AB104-$AB$4&lt;$F$5-1,INDEX(Main_무해지!$G$76:$G$87,MIN(AB104-$AB$4+1,12)),IF(AB104-$AB$4=$F$5-1,0,IF(AND($F$2=1,AB104&gt;109),0,IF(AND($F$2=2,AB104&gt;111),0,INDEX(Main_무해지!$H$76:$H$82,MIN(AB104-$AB$4-$F$5+1,7)))))))</f>
        <v/>
      </c>
      <c r="AF104" s="259" t="str">
        <f t="shared" si="99"/>
        <v/>
      </c>
      <c r="AG104" s="259" t="str">
        <f t="shared" si="59"/>
        <v/>
      </c>
      <c r="AH104" s="111" t="str">
        <f>IF($AB104="","",SUM(AG104:AG$114))</f>
        <v/>
      </c>
      <c r="AI104" s="259" t="str">
        <f t="shared" si="90"/>
        <v/>
      </c>
      <c r="AJ104" s="309" t="str">
        <f t="shared" si="60"/>
        <v/>
      </c>
      <c r="AK104" s="309"/>
      <c r="AL104" s="259" t="str">
        <f t="shared" si="61"/>
        <v/>
      </c>
      <c r="AM104" s="259" t="str">
        <f t="shared" si="100"/>
        <v/>
      </c>
      <c r="AN104" s="259" t="str">
        <f t="shared" si="62"/>
        <v/>
      </c>
      <c r="AO104" s="111" t="str">
        <f>IF($AB104="","",SUM(AN104:AN$114))</f>
        <v/>
      </c>
      <c r="AP104" s="286" t="str">
        <f t="shared" si="91"/>
        <v/>
      </c>
      <c r="AQ104" s="259" t="str">
        <f t="shared" si="63"/>
        <v/>
      </c>
      <c r="AR104" s="259" t="str">
        <f t="shared" si="64"/>
        <v/>
      </c>
      <c r="AS104" s="259" t="str">
        <f t="shared" si="65"/>
        <v/>
      </c>
      <c r="AT104" s="316" t="str">
        <f>IF($AB104="","",SUM($AU104:$AU$114))</f>
        <v/>
      </c>
      <c r="AU104" s="259" t="str">
        <f t="shared" si="92"/>
        <v/>
      </c>
      <c r="AV104" s="316" t="str">
        <f t="shared" si="66"/>
        <v/>
      </c>
      <c r="AW104" s="286"/>
      <c r="AX104" s="259" t="str">
        <f t="shared" si="67"/>
        <v/>
      </c>
      <c r="AY104" s="259" t="str">
        <f t="shared" si="68"/>
        <v/>
      </c>
      <c r="AZ104" s="259" t="str">
        <f t="shared" si="69"/>
        <v/>
      </c>
      <c r="BA104" s="316" t="str">
        <f>IF($AB104="","",SUM($AZ104:$AZ$114))</f>
        <v/>
      </c>
      <c r="BB104" s="286"/>
      <c r="BC104" s="259" t="str">
        <f t="shared" si="70"/>
        <v/>
      </c>
      <c r="BD104" s="259" t="str">
        <f t="shared" si="71"/>
        <v/>
      </c>
      <c r="BE104" s="259" t="str">
        <f t="shared" si="72"/>
        <v/>
      </c>
      <c r="BF104" s="316" t="str">
        <f>IF($AB104="","",SUM($BE104:$BE$114))</f>
        <v/>
      </c>
      <c r="BG104" s="286"/>
      <c r="BH104" s="259" t="str">
        <f t="shared" si="73"/>
        <v/>
      </c>
      <c r="BI104" s="259" t="str">
        <f t="shared" si="74"/>
        <v/>
      </c>
      <c r="BJ104" s="259" t="str">
        <f t="shared" si="75"/>
        <v/>
      </c>
      <c r="BK104" s="316" t="str">
        <f>IF($AB104="","",SUM($BJ104:$BJ$114))</f>
        <v/>
      </c>
      <c r="BL104" s="286"/>
      <c r="BM104" s="259" t="str">
        <f t="shared" si="76"/>
        <v/>
      </c>
      <c r="BN104" s="259" t="str">
        <f t="shared" si="77"/>
        <v/>
      </c>
      <c r="BO104" s="259" t="str">
        <f t="shared" si="78"/>
        <v/>
      </c>
      <c r="BP104" s="316" t="str">
        <f>IF($AB104="","",SUM($BO104:$BO$114))</f>
        <v/>
      </c>
      <c r="BQ104" s="286" t="str">
        <f t="shared" si="79"/>
        <v/>
      </c>
      <c r="BR104" s="259" t="str">
        <f t="shared" si="93"/>
        <v/>
      </c>
      <c r="BS104" s="259" t="str">
        <f t="shared" si="80"/>
        <v/>
      </c>
      <c r="BT104" s="259" t="str">
        <f t="shared" si="81"/>
        <v/>
      </c>
      <c r="BU104" s="259" t="str">
        <f t="shared" si="94"/>
        <v/>
      </c>
      <c r="BV104" s="259"/>
      <c r="BW104" s="259"/>
      <c r="BX104" s="259"/>
      <c r="BY104" s="259"/>
      <c r="BZ104" s="259" t="str">
        <f>IF($AB104="","",SUM(BU104:BU$114))</f>
        <v/>
      </c>
      <c r="CA104" s="55" t="str">
        <f>IF(AB104&lt;$E$3+$F$5,0,IFERROR(일반형!S106,0))</f>
        <v/>
      </c>
      <c r="CB104" s="112"/>
      <c r="CC104" s="395" t="str">
        <f t="shared" si="55"/>
        <v/>
      </c>
      <c r="CD104" s="259" t="str">
        <f t="shared" si="95"/>
        <v/>
      </c>
      <c r="CE104" s="259" t="str">
        <f t="shared" si="82"/>
        <v/>
      </c>
      <c r="CF104" s="259" t="str">
        <f t="shared" si="83"/>
        <v/>
      </c>
      <c r="CG104" s="259" t="str">
        <f t="shared" si="96"/>
        <v/>
      </c>
      <c r="CH104" s="259" t="str">
        <f t="shared" si="84"/>
        <v/>
      </c>
      <c r="CI104" s="113" t="str">
        <f t="shared" si="97"/>
        <v/>
      </c>
      <c r="CJ104" s="114" t="str">
        <f t="shared" si="85"/>
        <v/>
      </c>
      <c r="CK104" s="241"/>
      <c r="CL104" s="208">
        <v>100</v>
      </c>
      <c r="CM104" s="259">
        <f t="shared" si="86"/>
        <v>0</v>
      </c>
      <c r="CN104" s="259">
        <f t="shared" si="87"/>
        <v>2.2599999999999999E-4</v>
      </c>
      <c r="CO104" s="259">
        <f t="shared" si="88"/>
        <v>0.40610299999999999</v>
      </c>
      <c r="CP104" s="259">
        <f t="shared" si="98"/>
        <v>9.3400000000000004E-4</v>
      </c>
      <c r="CQ104" s="259"/>
      <c r="CR104" s="208">
        <v>100</v>
      </c>
      <c r="CS104" s="259"/>
      <c r="CT104" s="259"/>
      <c r="CU104" s="259">
        <v>2.2599999999999999E-4</v>
      </c>
      <c r="CV104" s="259">
        <v>1.5799999999999999E-4</v>
      </c>
      <c r="CW104" s="259">
        <v>0.40610299999999999</v>
      </c>
      <c r="CX104" s="259">
        <v>0.124057</v>
      </c>
      <c r="CY104" s="259">
        <v>9.3400000000000004E-4</v>
      </c>
      <c r="CZ104" s="259">
        <v>1.6119999999999999E-3</v>
      </c>
      <c r="DA104" s="259"/>
      <c r="DB104" s="259"/>
      <c r="DC104" s="259"/>
      <c r="DD104" s="259"/>
    </row>
    <row r="105" spans="1:108" ht="17.25" thickBot="1">
      <c r="A105" s="305"/>
      <c r="C105" s="373"/>
      <c r="D105" s="472"/>
      <c r="M105" s="158"/>
      <c r="N105" s="278" t="str">
        <f t="shared" si="106"/>
        <v/>
      </c>
      <c r="O105" s="279" t="str">
        <f t="shared" si="107"/>
        <v/>
      </c>
      <c r="P105" s="271" t="str">
        <f t="shared" si="101"/>
        <v/>
      </c>
      <c r="Q105" s="271" t="str">
        <f t="shared" si="102"/>
        <v/>
      </c>
      <c r="R105" s="271" t="str">
        <f t="shared" si="103"/>
        <v/>
      </c>
      <c r="S105" s="400" t="str">
        <f t="shared" si="56"/>
        <v/>
      </c>
      <c r="T105" s="382" t="str">
        <f>일반형!P105</f>
        <v/>
      </c>
      <c r="U105" s="382" t="str">
        <f>일반형!Q105</f>
        <v/>
      </c>
      <c r="V105" s="271" t="str">
        <f>일반형!R105</f>
        <v/>
      </c>
      <c r="W105" s="400" t="str">
        <f>일반형!S105</f>
        <v/>
      </c>
      <c r="X105" s="271" t="str">
        <f t="shared" si="104"/>
        <v/>
      </c>
      <c r="Y105" s="442" t="str">
        <f t="shared" si="57"/>
        <v/>
      </c>
      <c r="Z105" s="443" t="str">
        <f t="shared" si="105"/>
        <v/>
      </c>
      <c r="AB105" s="770" t="str">
        <f t="shared" si="89"/>
        <v/>
      </c>
      <c r="AC105" s="651" t="str">
        <f t="shared" si="58"/>
        <v/>
      </c>
      <c r="AD105" s="410"/>
      <c r="AE105" s="410" t="str">
        <f>IF(AB105="","",IF(AB105-$AB$4&lt;$F$5-1,INDEX(Main_무해지!$G$76:$G$87,MIN(AB105-$AB$4+1,12)),IF(AB105-$AB$4=$F$5-1,0,IF(AND($F$2=1,AB105&gt;109),0,IF(AND($F$2=2,AB105&gt;111),0,INDEX(Main_무해지!$H$76:$H$82,MIN(AB105-$AB$4-$F$5+1,7)))))))</f>
        <v/>
      </c>
      <c r="AF105" s="410" t="str">
        <f t="shared" si="99"/>
        <v/>
      </c>
      <c r="AG105" s="410" t="str">
        <f t="shared" si="59"/>
        <v/>
      </c>
      <c r="AH105" s="771" t="str">
        <f>IF($AB105="","",SUM(AG105:AG$114))</f>
        <v/>
      </c>
      <c r="AI105" s="410" t="str">
        <f t="shared" si="90"/>
        <v/>
      </c>
      <c r="AJ105" s="640" t="str">
        <f t="shared" si="60"/>
        <v/>
      </c>
      <c r="AK105" s="640"/>
      <c r="AL105" s="410" t="str">
        <f t="shared" si="61"/>
        <v/>
      </c>
      <c r="AM105" s="410" t="str">
        <f t="shared" si="100"/>
        <v/>
      </c>
      <c r="AN105" s="410" t="str">
        <f t="shared" si="62"/>
        <v/>
      </c>
      <c r="AO105" s="771" t="str">
        <f>IF($AB105="","",SUM(AN105:AN$114))</f>
        <v/>
      </c>
      <c r="AP105" s="772" t="str">
        <f t="shared" si="91"/>
        <v/>
      </c>
      <c r="AQ105" s="410" t="str">
        <f t="shared" si="63"/>
        <v/>
      </c>
      <c r="AR105" s="410" t="str">
        <f t="shared" si="64"/>
        <v/>
      </c>
      <c r="AS105" s="410" t="str">
        <f t="shared" si="65"/>
        <v/>
      </c>
      <c r="AT105" s="773" t="str">
        <f>IF($AB105="","",SUM($AU105:$AU$114))</f>
        <v/>
      </c>
      <c r="AU105" s="410" t="str">
        <f t="shared" si="92"/>
        <v/>
      </c>
      <c r="AV105" s="773" t="str">
        <f t="shared" si="66"/>
        <v/>
      </c>
      <c r="AW105" s="772"/>
      <c r="AX105" s="410" t="str">
        <f t="shared" si="67"/>
        <v/>
      </c>
      <c r="AY105" s="410" t="str">
        <f t="shared" si="68"/>
        <v/>
      </c>
      <c r="AZ105" s="410" t="str">
        <f t="shared" si="69"/>
        <v/>
      </c>
      <c r="BA105" s="773" t="str">
        <f>IF($AB105="","",SUM($AZ105:$AZ$114))</f>
        <v/>
      </c>
      <c r="BB105" s="772"/>
      <c r="BC105" s="410" t="str">
        <f t="shared" si="70"/>
        <v/>
      </c>
      <c r="BD105" s="410" t="str">
        <f t="shared" si="71"/>
        <v/>
      </c>
      <c r="BE105" s="410" t="str">
        <f t="shared" si="72"/>
        <v/>
      </c>
      <c r="BF105" s="773" t="str">
        <f>IF($AB105="","",SUM($BE105:$BE$114))</f>
        <v/>
      </c>
      <c r="BG105" s="772"/>
      <c r="BH105" s="410" t="str">
        <f t="shared" si="73"/>
        <v/>
      </c>
      <c r="BI105" s="410" t="str">
        <f t="shared" si="74"/>
        <v/>
      </c>
      <c r="BJ105" s="410" t="str">
        <f t="shared" si="75"/>
        <v/>
      </c>
      <c r="BK105" s="773" t="str">
        <f>IF($AB105="","",SUM($BJ105:$BJ$114))</f>
        <v/>
      </c>
      <c r="BL105" s="772"/>
      <c r="BM105" s="410" t="str">
        <f t="shared" si="76"/>
        <v/>
      </c>
      <c r="BN105" s="410" t="str">
        <f t="shared" si="77"/>
        <v/>
      </c>
      <c r="BO105" s="410" t="str">
        <f t="shared" si="78"/>
        <v/>
      </c>
      <c r="BP105" s="773" t="str">
        <f>IF($AB105="","",SUM($BO105:$BO$114))</f>
        <v/>
      </c>
      <c r="BQ105" s="772" t="str">
        <f t="shared" si="79"/>
        <v/>
      </c>
      <c r="BR105" s="410" t="str">
        <f t="shared" si="93"/>
        <v/>
      </c>
      <c r="BS105" s="410" t="str">
        <f t="shared" si="80"/>
        <v/>
      </c>
      <c r="BT105" s="410" t="str">
        <f t="shared" si="81"/>
        <v/>
      </c>
      <c r="BU105" s="410" t="str">
        <f t="shared" si="94"/>
        <v/>
      </c>
      <c r="BV105" s="410"/>
      <c r="BW105" s="410"/>
      <c r="BX105" s="410"/>
      <c r="BY105" s="410"/>
      <c r="BZ105" s="410" t="str">
        <f>IF($AB105="","",SUM(BU105:BU$114))</f>
        <v/>
      </c>
      <c r="CA105" s="55" t="str">
        <f>IF(AB105&lt;$E$3+$F$5,0,IFERROR(일반형!S107,0))</f>
        <v/>
      </c>
      <c r="CB105" s="774"/>
      <c r="CC105" s="775" t="str">
        <f t="shared" si="55"/>
        <v/>
      </c>
      <c r="CD105" s="410" t="str">
        <f t="shared" si="95"/>
        <v/>
      </c>
      <c r="CE105" s="410" t="str">
        <f t="shared" si="82"/>
        <v/>
      </c>
      <c r="CF105" s="410" t="str">
        <f t="shared" si="83"/>
        <v/>
      </c>
      <c r="CG105" s="410" t="str">
        <f t="shared" si="96"/>
        <v/>
      </c>
      <c r="CH105" s="410" t="str">
        <f t="shared" si="84"/>
        <v/>
      </c>
      <c r="CI105" s="776" t="str">
        <f t="shared" si="97"/>
        <v/>
      </c>
      <c r="CJ105" s="777" t="str">
        <f t="shared" si="85"/>
        <v/>
      </c>
      <c r="CK105" s="415"/>
      <c r="CL105" s="778">
        <v>101</v>
      </c>
      <c r="CM105" s="410">
        <f t="shared" si="86"/>
        <v>0</v>
      </c>
      <c r="CN105" s="410">
        <f t="shared" si="87"/>
        <v>2.2599999999999999E-4</v>
      </c>
      <c r="CO105" s="410">
        <f t="shared" si="88"/>
        <v>0.461922</v>
      </c>
      <c r="CP105" s="410">
        <f t="shared" si="98"/>
        <v>9.3400000000000004E-4</v>
      </c>
      <c r="CQ105" s="410"/>
      <c r="CR105" s="778">
        <v>101</v>
      </c>
      <c r="CS105" s="410"/>
      <c r="CT105" s="410"/>
      <c r="CU105" s="410">
        <v>2.2599999999999999E-4</v>
      </c>
      <c r="CV105" s="410">
        <v>1.5799999999999999E-4</v>
      </c>
      <c r="CW105" s="410">
        <v>0.461922</v>
      </c>
      <c r="CX105" s="410">
        <v>0.142704</v>
      </c>
      <c r="CY105" s="410">
        <v>9.3400000000000004E-4</v>
      </c>
      <c r="CZ105" s="410">
        <v>1.6119999999999999E-3</v>
      </c>
      <c r="DA105" s="410"/>
      <c r="DB105" s="410"/>
      <c r="DC105" s="410"/>
      <c r="DD105" s="410"/>
    </row>
    <row r="106" spans="1:108">
      <c r="A106" s="305"/>
      <c r="C106" s="373"/>
      <c r="M106" s="158"/>
      <c r="N106" s="278" t="str">
        <f t="shared" si="106"/>
        <v/>
      </c>
      <c r="O106" s="279" t="str">
        <f t="shared" si="107"/>
        <v/>
      </c>
      <c r="P106" s="271" t="str">
        <f t="shared" si="101"/>
        <v/>
      </c>
      <c r="Q106" s="271" t="str">
        <f t="shared" si="102"/>
        <v/>
      </c>
      <c r="R106" s="271" t="str">
        <f t="shared" si="103"/>
        <v/>
      </c>
      <c r="S106" s="400" t="str">
        <f t="shared" si="56"/>
        <v/>
      </c>
      <c r="T106" s="382" t="str">
        <f>일반형!P106</f>
        <v/>
      </c>
      <c r="U106" s="382" t="str">
        <f>일반형!Q106</f>
        <v/>
      </c>
      <c r="V106" s="271" t="str">
        <f>일반형!R106</f>
        <v/>
      </c>
      <c r="W106" s="400" t="str">
        <f>일반형!S106</f>
        <v/>
      </c>
      <c r="X106" s="271" t="str">
        <f t="shared" si="104"/>
        <v/>
      </c>
      <c r="Y106" s="446" t="str">
        <f t="shared" si="57"/>
        <v/>
      </c>
      <c r="Z106" s="447" t="str">
        <f t="shared" si="105"/>
        <v/>
      </c>
      <c r="AB106" s="120" t="str">
        <f t="shared" si="89"/>
        <v/>
      </c>
      <c r="AC106" s="652" t="str">
        <f t="shared" si="58"/>
        <v/>
      </c>
      <c r="AD106" s="260"/>
      <c r="AE106" s="260" t="str">
        <f>IF(AB106="","",IF(AB106-$AB$4&lt;$F$5-1,INDEX(Main_무해지!$G$76:$G$87,MIN(AB106-$AB$4+1,12)),IF(AB106-$AB$4=$F$5-1,0,IF(AND($F$2=1,AB106&gt;109),0,IF(AND($F$2=2,AB106&gt;111),0,INDEX(Main_무해지!$H$76:$H$82,MIN(AB106-$AB$4-$F$5+1,7)))))))</f>
        <v/>
      </c>
      <c r="AF106" s="260" t="str">
        <f t="shared" si="99"/>
        <v/>
      </c>
      <c r="AG106" s="260" t="str">
        <f t="shared" si="59"/>
        <v/>
      </c>
      <c r="AH106" s="121" t="str">
        <f>IF($AB106="","",SUM(AG106:AG$114))</f>
        <v/>
      </c>
      <c r="AI106" s="260" t="str">
        <f t="shared" si="90"/>
        <v/>
      </c>
      <c r="AJ106" s="310" t="str">
        <f t="shared" si="60"/>
        <v/>
      </c>
      <c r="AK106" s="310"/>
      <c r="AL106" s="260" t="str">
        <f t="shared" si="61"/>
        <v/>
      </c>
      <c r="AM106" s="260" t="str">
        <f t="shared" si="100"/>
        <v/>
      </c>
      <c r="AN106" s="260" t="str">
        <f t="shared" si="62"/>
        <v/>
      </c>
      <c r="AO106" s="121" t="str">
        <f>IF($AB106="","",SUM(AN106:AN$114))</f>
        <v/>
      </c>
      <c r="AP106" s="287" t="str">
        <f t="shared" si="91"/>
        <v/>
      </c>
      <c r="AQ106" s="260" t="str">
        <f t="shared" si="63"/>
        <v/>
      </c>
      <c r="AR106" s="260" t="str">
        <f t="shared" si="64"/>
        <v/>
      </c>
      <c r="AS106" s="260" t="str">
        <f t="shared" si="65"/>
        <v/>
      </c>
      <c r="AT106" s="317" t="str">
        <f>IF($AB106="","",SUM($AU106:$AU$114))</f>
        <v/>
      </c>
      <c r="AU106" s="260" t="str">
        <f t="shared" si="92"/>
        <v/>
      </c>
      <c r="AV106" s="317" t="str">
        <f t="shared" si="66"/>
        <v/>
      </c>
      <c r="AW106" s="287"/>
      <c r="AX106" s="260" t="str">
        <f t="shared" si="67"/>
        <v/>
      </c>
      <c r="AY106" s="260" t="str">
        <f t="shared" si="68"/>
        <v/>
      </c>
      <c r="AZ106" s="260" t="str">
        <f t="shared" si="69"/>
        <v/>
      </c>
      <c r="BA106" s="317" t="str">
        <f>IF($AB106="","",SUM($AZ106:$AZ$114))</f>
        <v/>
      </c>
      <c r="BB106" s="287"/>
      <c r="BC106" s="260" t="str">
        <f t="shared" si="70"/>
        <v/>
      </c>
      <c r="BD106" s="260" t="str">
        <f t="shared" si="71"/>
        <v/>
      </c>
      <c r="BE106" s="260" t="str">
        <f t="shared" si="72"/>
        <v/>
      </c>
      <c r="BF106" s="317" t="str">
        <f>IF($AB106="","",SUM($BE106:$BE$114))</f>
        <v/>
      </c>
      <c r="BG106" s="287"/>
      <c r="BH106" s="260" t="str">
        <f t="shared" si="73"/>
        <v/>
      </c>
      <c r="BI106" s="260" t="str">
        <f t="shared" si="74"/>
        <v/>
      </c>
      <c r="BJ106" s="260" t="str">
        <f t="shared" si="75"/>
        <v/>
      </c>
      <c r="BK106" s="317" t="str">
        <f>IF($AB106="","",SUM($BJ106:$BJ$114))</f>
        <v/>
      </c>
      <c r="BL106" s="287"/>
      <c r="BM106" s="260" t="str">
        <f t="shared" si="76"/>
        <v/>
      </c>
      <c r="BN106" s="260" t="str">
        <f t="shared" si="77"/>
        <v/>
      </c>
      <c r="BO106" s="260" t="str">
        <f t="shared" si="78"/>
        <v/>
      </c>
      <c r="BP106" s="317" t="str">
        <f>IF($AB106="","",SUM($BO106:$BO$114))</f>
        <v/>
      </c>
      <c r="BQ106" s="287" t="str">
        <f t="shared" si="79"/>
        <v/>
      </c>
      <c r="BR106" s="260" t="str">
        <f t="shared" si="93"/>
        <v/>
      </c>
      <c r="BS106" s="260" t="str">
        <f t="shared" si="80"/>
        <v/>
      </c>
      <c r="BT106" s="260" t="str">
        <f t="shared" si="81"/>
        <v/>
      </c>
      <c r="BU106" s="260" t="str">
        <f t="shared" si="94"/>
        <v/>
      </c>
      <c r="BV106" s="260"/>
      <c r="BW106" s="260"/>
      <c r="BX106" s="260"/>
      <c r="BY106" s="260"/>
      <c r="BZ106" s="260" t="str">
        <f>IF($AB106="","",SUM(BU106:BU$114))</f>
        <v/>
      </c>
      <c r="CA106" s="55" t="str">
        <f>IF(AB106&lt;$E$3+$F$5,0,IFERROR(일반형!S108,0))</f>
        <v/>
      </c>
      <c r="CB106" s="122"/>
      <c r="CC106" s="396" t="str">
        <f t="shared" si="55"/>
        <v/>
      </c>
      <c r="CD106" s="260" t="str">
        <f t="shared" si="95"/>
        <v/>
      </c>
      <c r="CE106" s="260" t="str">
        <f t="shared" si="82"/>
        <v/>
      </c>
      <c r="CF106" s="260" t="str">
        <f t="shared" si="83"/>
        <v/>
      </c>
      <c r="CG106" s="260" t="str">
        <f t="shared" si="96"/>
        <v/>
      </c>
      <c r="CH106" s="260" t="str">
        <f t="shared" si="84"/>
        <v/>
      </c>
      <c r="CI106" s="123" t="str">
        <f t="shared" si="97"/>
        <v/>
      </c>
      <c r="CJ106" s="124" t="str">
        <f t="shared" si="85"/>
        <v/>
      </c>
      <c r="CK106" s="242"/>
      <c r="CL106" s="209">
        <v>102</v>
      </c>
      <c r="CM106" s="260">
        <f t="shared" si="86"/>
        <v>0</v>
      </c>
      <c r="CN106" s="260">
        <f t="shared" si="87"/>
        <v>2.2599999999999999E-4</v>
      </c>
      <c r="CO106" s="260">
        <f t="shared" si="88"/>
        <v>0.52501100000000001</v>
      </c>
      <c r="CP106" s="260">
        <f t="shared" si="98"/>
        <v>9.3400000000000004E-4</v>
      </c>
      <c r="CQ106" s="260"/>
      <c r="CR106" s="209">
        <v>102</v>
      </c>
      <c r="CS106" s="260"/>
      <c r="CT106" s="260"/>
      <c r="CU106" s="260">
        <v>2.2599999999999999E-4</v>
      </c>
      <c r="CV106" s="260">
        <v>1.5799999999999999E-4</v>
      </c>
      <c r="CW106" s="260">
        <v>0.52501100000000001</v>
      </c>
      <c r="CX106" s="260">
        <v>0.164579</v>
      </c>
      <c r="CY106" s="260">
        <v>9.3400000000000004E-4</v>
      </c>
      <c r="CZ106" s="260">
        <v>1.6119999999999999E-3</v>
      </c>
      <c r="DA106" s="260"/>
      <c r="DB106" s="260"/>
      <c r="DC106" s="260"/>
      <c r="DD106" s="260"/>
    </row>
    <row r="107" spans="1:108">
      <c r="A107" s="305"/>
      <c r="C107" s="373"/>
      <c r="M107" s="158"/>
      <c r="N107" s="278" t="str">
        <f t="shared" si="106"/>
        <v/>
      </c>
      <c r="O107" s="279" t="str">
        <f t="shared" si="107"/>
        <v/>
      </c>
      <c r="P107" s="271" t="str">
        <f t="shared" si="101"/>
        <v/>
      </c>
      <c r="Q107" s="271" t="str">
        <f t="shared" si="102"/>
        <v/>
      </c>
      <c r="R107" s="271" t="str">
        <f t="shared" si="103"/>
        <v/>
      </c>
      <c r="S107" s="400" t="str">
        <f t="shared" si="56"/>
        <v/>
      </c>
      <c r="T107" s="382" t="str">
        <f>일반형!P107</f>
        <v/>
      </c>
      <c r="U107" s="382" t="str">
        <f>일반형!Q107</f>
        <v/>
      </c>
      <c r="V107" s="271" t="str">
        <f>일반형!R107</f>
        <v/>
      </c>
      <c r="W107" s="400" t="str">
        <f>일반형!S107</f>
        <v/>
      </c>
      <c r="X107" s="271" t="str">
        <f t="shared" si="104"/>
        <v/>
      </c>
      <c r="Y107" s="444" t="str">
        <f t="shared" si="57"/>
        <v/>
      </c>
      <c r="Z107" s="445" t="str">
        <f t="shared" si="105"/>
        <v/>
      </c>
      <c r="AB107" s="120" t="str">
        <f t="shared" si="89"/>
        <v/>
      </c>
      <c r="AC107" s="652" t="str">
        <f t="shared" si="58"/>
        <v/>
      </c>
      <c r="AD107" s="260"/>
      <c r="AE107" s="260" t="str">
        <f>IF(AB107="","",IF(AB107-$AB$4&lt;$F$5-1,INDEX(Main_무해지!$G$76:$G$87,MIN(AB107-$AB$4+1,12)),IF(AB107-$AB$4=$F$5-1,0,IF(AND($F$2=1,AB107&gt;109),0,IF(AND($F$2=2,AB107&gt;111),0,INDEX(Main_무해지!$H$76:$H$82,MIN(AB107-$AB$4-$F$5+1,7)))))))</f>
        <v/>
      </c>
      <c r="AF107" s="260" t="str">
        <f t="shared" si="99"/>
        <v/>
      </c>
      <c r="AG107" s="260" t="str">
        <f t="shared" si="59"/>
        <v/>
      </c>
      <c r="AH107" s="121" t="str">
        <f>IF($AB107="","",SUM(AG107:AG$114))</f>
        <v/>
      </c>
      <c r="AI107" s="260" t="str">
        <f t="shared" si="90"/>
        <v/>
      </c>
      <c r="AJ107" s="310" t="str">
        <f t="shared" si="60"/>
        <v/>
      </c>
      <c r="AK107" s="310"/>
      <c r="AL107" s="260" t="str">
        <f t="shared" si="61"/>
        <v/>
      </c>
      <c r="AM107" s="260" t="str">
        <f t="shared" si="100"/>
        <v/>
      </c>
      <c r="AN107" s="260" t="str">
        <f t="shared" si="62"/>
        <v/>
      </c>
      <c r="AO107" s="121" t="str">
        <f>IF($AB107="","",SUM(AN107:AN$114))</f>
        <v/>
      </c>
      <c r="AP107" s="287" t="str">
        <f t="shared" si="91"/>
        <v/>
      </c>
      <c r="AQ107" s="260" t="str">
        <f t="shared" si="63"/>
        <v/>
      </c>
      <c r="AR107" s="260" t="str">
        <f t="shared" si="64"/>
        <v/>
      </c>
      <c r="AS107" s="260" t="str">
        <f t="shared" si="65"/>
        <v/>
      </c>
      <c r="AT107" s="317" t="str">
        <f>IF($AB107="","",SUM($AU107:$AU$114))</f>
        <v/>
      </c>
      <c r="AU107" s="260" t="str">
        <f t="shared" si="92"/>
        <v/>
      </c>
      <c r="AV107" s="317" t="str">
        <f t="shared" si="66"/>
        <v/>
      </c>
      <c r="AW107" s="287"/>
      <c r="AX107" s="260" t="str">
        <f t="shared" si="67"/>
        <v/>
      </c>
      <c r="AY107" s="260" t="str">
        <f t="shared" si="68"/>
        <v/>
      </c>
      <c r="AZ107" s="260" t="str">
        <f t="shared" si="69"/>
        <v/>
      </c>
      <c r="BA107" s="317" t="str">
        <f>IF($AB107="","",SUM($AZ107:$AZ$114))</f>
        <v/>
      </c>
      <c r="BB107" s="287"/>
      <c r="BC107" s="260" t="str">
        <f t="shared" si="70"/>
        <v/>
      </c>
      <c r="BD107" s="260" t="str">
        <f t="shared" si="71"/>
        <v/>
      </c>
      <c r="BE107" s="260" t="str">
        <f t="shared" si="72"/>
        <v/>
      </c>
      <c r="BF107" s="317" t="str">
        <f>IF($AB107="","",SUM($BE107:$BE$114))</f>
        <v/>
      </c>
      <c r="BG107" s="287"/>
      <c r="BH107" s="260" t="str">
        <f t="shared" si="73"/>
        <v/>
      </c>
      <c r="BI107" s="260" t="str">
        <f t="shared" si="74"/>
        <v/>
      </c>
      <c r="BJ107" s="260" t="str">
        <f t="shared" si="75"/>
        <v/>
      </c>
      <c r="BK107" s="317" t="str">
        <f>IF($AB107="","",SUM($BJ107:$BJ$114))</f>
        <v/>
      </c>
      <c r="BL107" s="287"/>
      <c r="BM107" s="260" t="str">
        <f t="shared" si="76"/>
        <v/>
      </c>
      <c r="BN107" s="260" t="str">
        <f t="shared" si="77"/>
        <v/>
      </c>
      <c r="BO107" s="260" t="str">
        <f t="shared" si="78"/>
        <v/>
      </c>
      <c r="BP107" s="317" t="str">
        <f>IF($AB107="","",SUM($BO107:$BO$114))</f>
        <v/>
      </c>
      <c r="BQ107" s="287" t="str">
        <f t="shared" si="79"/>
        <v/>
      </c>
      <c r="BR107" s="260" t="str">
        <f t="shared" si="93"/>
        <v/>
      </c>
      <c r="BS107" s="260" t="str">
        <f t="shared" si="80"/>
        <v/>
      </c>
      <c r="BT107" s="260" t="str">
        <f t="shared" si="81"/>
        <v/>
      </c>
      <c r="BU107" s="260" t="str">
        <f t="shared" si="94"/>
        <v/>
      </c>
      <c r="BV107" s="260"/>
      <c r="BW107" s="260"/>
      <c r="BX107" s="260"/>
      <c r="BY107" s="260"/>
      <c r="BZ107" s="260" t="str">
        <f>IF($AB107="","",SUM(BU107:BU$114))</f>
        <v/>
      </c>
      <c r="CA107" s="55" t="str">
        <f>IF(AB107&lt;$E$3+$F$5,0,IFERROR(일반형!S109,0))</f>
        <v/>
      </c>
      <c r="CB107" s="122"/>
      <c r="CC107" s="396" t="str">
        <f t="shared" si="55"/>
        <v/>
      </c>
      <c r="CD107" s="260" t="str">
        <f t="shared" si="95"/>
        <v/>
      </c>
      <c r="CE107" s="260" t="str">
        <f t="shared" si="82"/>
        <v/>
      </c>
      <c r="CF107" s="260" t="str">
        <f t="shared" si="83"/>
        <v/>
      </c>
      <c r="CG107" s="260" t="str">
        <f t="shared" si="96"/>
        <v/>
      </c>
      <c r="CH107" s="260" t="str">
        <f t="shared" si="84"/>
        <v/>
      </c>
      <c r="CI107" s="123" t="str">
        <f t="shared" si="97"/>
        <v/>
      </c>
      <c r="CJ107" s="124" t="str">
        <f t="shared" si="85"/>
        <v/>
      </c>
      <c r="CK107" s="242"/>
      <c r="CL107" s="209">
        <v>103</v>
      </c>
      <c r="CM107" s="260">
        <f t="shared" si="86"/>
        <v>0</v>
      </c>
      <c r="CN107" s="260">
        <f t="shared" si="87"/>
        <v>2.2599999999999999E-4</v>
      </c>
      <c r="CO107" s="260">
        <f t="shared" si="88"/>
        <v>0.59714599999999995</v>
      </c>
      <c r="CP107" s="260">
        <f t="shared" si="98"/>
        <v>9.3400000000000004E-4</v>
      </c>
      <c r="CQ107" s="260"/>
      <c r="CR107" s="209">
        <v>103</v>
      </c>
      <c r="CS107" s="260"/>
      <c r="CT107" s="260"/>
      <c r="CU107" s="260">
        <v>2.2599999999999999E-4</v>
      </c>
      <c r="CV107" s="260">
        <v>1.5799999999999999E-4</v>
      </c>
      <c r="CW107" s="260">
        <v>0.59714599999999995</v>
      </c>
      <c r="CX107" s="260">
        <v>0.190387</v>
      </c>
      <c r="CY107" s="260">
        <v>9.3400000000000004E-4</v>
      </c>
      <c r="CZ107" s="260">
        <v>1.6119999999999999E-3</v>
      </c>
      <c r="DA107" s="260"/>
      <c r="DB107" s="260"/>
      <c r="DC107" s="260"/>
      <c r="DD107" s="260"/>
    </row>
    <row r="108" spans="1:108">
      <c r="A108" s="305"/>
      <c r="B108" s="373"/>
      <c r="C108" s="373"/>
      <c r="E108" s="373"/>
      <c r="F108" s="373"/>
      <c r="G108" s="373"/>
      <c r="H108" s="373"/>
      <c r="M108" s="158"/>
      <c r="N108" s="278" t="str">
        <f t="shared" si="106"/>
        <v/>
      </c>
      <c r="O108" s="279" t="str">
        <f t="shared" si="107"/>
        <v/>
      </c>
      <c r="P108" s="271" t="str">
        <f t="shared" si="101"/>
        <v/>
      </c>
      <c r="Q108" s="271" t="str">
        <f t="shared" si="102"/>
        <v/>
      </c>
      <c r="R108" s="271" t="str">
        <f t="shared" si="103"/>
        <v/>
      </c>
      <c r="S108" s="400" t="str">
        <f t="shared" si="56"/>
        <v/>
      </c>
      <c r="T108" s="382" t="str">
        <f>일반형!P108</f>
        <v/>
      </c>
      <c r="U108" s="382" t="str">
        <f>일반형!Q108</f>
        <v/>
      </c>
      <c r="V108" s="271" t="str">
        <f>일반형!R108</f>
        <v/>
      </c>
      <c r="W108" s="400" t="str">
        <f>일반형!S108</f>
        <v/>
      </c>
      <c r="X108" s="271" t="str">
        <f t="shared" si="104"/>
        <v/>
      </c>
      <c r="Y108" s="442" t="str">
        <f t="shared" si="57"/>
        <v/>
      </c>
      <c r="Z108" s="443" t="str">
        <f t="shared" si="105"/>
        <v/>
      </c>
      <c r="AB108" s="120" t="str">
        <f t="shared" si="89"/>
        <v/>
      </c>
      <c r="AC108" s="652" t="str">
        <f t="shared" si="58"/>
        <v/>
      </c>
      <c r="AD108" s="260"/>
      <c r="AE108" s="260" t="str">
        <f>IF(AB108="","",IF(AB108-$AB$4&lt;$F$5-1,INDEX(Main_무해지!$G$76:$G$87,MIN(AB108-$AB$4+1,12)),IF(AB108-$AB$4=$F$5-1,0,IF(AND($F$2=1,AB108&gt;109),0,IF(AND($F$2=2,AB108&gt;111),0,INDEX(Main_무해지!$H$76:$H$82,MIN(AB108-$AB$4-$F$5+1,7)))))))</f>
        <v/>
      </c>
      <c r="AF108" s="260" t="str">
        <f t="shared" si="99"/>
        <v/>
      </c>
      <c r="AG108" s="260" t="str">
        <f t="shared" si="59"/>
        <v/>
      </c>
      <c r="AH108" s="121" t="str">
        <f>IF($AB108="","",SUM(AG108:AG$114))</f>
        <v/>
      </c>
      <c r="AI108" s="260" t="str">
        <f t="shared" si="90"/>
        <v/>
      </c>
      <c r="AJ108" s="310" t="str">
        <f t="shared" si="60"/>
        <v/>
      </c>
      <c r="AK108" s="310"/>
      <c r="AL108" s="260" t="str">
        <f t="shared" si="61"/>
        <v/>
      </c>
      <c r="AM108" s="260" t="str">
        <f t="shared" si="100"/>
        <v/>
      </c>
      <c r="AN108" s="260" t="str">
        <f t="shared" si="62"/>
        <v/>
      </c>
      <c r="AO108" s="121" t="str">
        <f>IF($AB108="","",SUM(AN108:AN$114))</f>
        <v/>
      </c>
      <c r="AP108" s="287" t="str">
        <f t="shared" si="91"/>
        <v/>
      </c>
      <c r="AQ108" s="260" t="str">
        <f t="shared" si="63"/>
        <v/>
      </c>
      <c r="AR108" s="260" t="str">
        <f t="shared" si="64"/>
        <v/>
      </c>
      <c r="AS108" s="260" t="str">
        <f t="shared" si="65"/>
        <v/>
      </c>
      <c r="AT108" s="317" t="str">
        <f>IF($AB108="","",SUM($AU108:$AU$114))</f>
        <v/>
      </c>
      <c r="AU108" s="260" t="str">
        <f t="shared" si="92"/>
        <v/>
      </c>
      <c r="AV108" s="317" t="str">
        <f t="shared" si="66"/>
        <v/>
      </c>
      <c r="AW108" s="287"/>
      <c r="AX108" s="260" t="str">
        <f t="shared" si="67"/>
        <v/>
      </c>
      <c r="AY108" s="260" t="str">
        <f t="shared" si="68"/>
        <v/>
      </c>
      <c r="AZ108" s="260" t="str">
        <f t="shared" si="69"/>
        <v/>
      </c>
      <c r="BA108" s="317" t="str">
        <f>IF($AB108="","",SUM($AZ108:$AZ$114))</f>
        <v/>
      </c>
      <c r="BB108" s="287"/>
      <c r="BC108" s="260" t="str">
        <f t="shared" si="70"/>
        <v/>
      </c>
      <c r="BD108" s="260" t="str">
        <f t="shared" si="71"/>
        <v/>
      </c>
      <c r="BE108" s="260" t="str">
        <f t="shared" si="72"/>
        <v/>
      </c>
      <c r="BF108" s="317" t="str">
        <f>IF($AB108="","",SUM($BE108:$BE$114))</f>
        <v/>
      </c>
      <c r="BG108" s="287"/>
      <c r="BH108" s="260" t="str">
        <f t="shared" si="73"/>
        <v/>
      </c>
      <c r="BI108" s="260" t="str">
        <f t="shared" si="74"/>
        <v/>
      </c>
      <c r="BJ108" s="260" t="str">
        <f t="shared" si="75"/>
        <v/>
      </c>
      <c r="BK108" s="317" t="str">
        <f>IF($AB108="","",SUM($BJ108:$BJ$114))</f>
        <v/>
      </c>
      <c r="BL108" s="287"/>
      <c r="BM108" s="260" t="str">
        <f t="shared" si="76"/>
        <v/>
      </c>
      <c r="BN108" s="260" t="str">
        <f t="shared" si="77"/>
        <v/>
      </c>
      <c r="BO108" s="260" t="str">
        <f t="shared" si="78"/>
        <v/>
      </c>
      <c r="BP108" s="317" t="str">
        <f>IF($AB108="","",SUM($BO108:$BO$114))</f>
        <v/>
      </c>
      <c r="BQ108" s="287" t="str">
        <f t="shared" si="79"/>
        <v/>
      </c>
      <c r="BR108" s="260" t="str">
        <f t="shared" si="93"/>
        <v/>
      </c>
      <c r="BS108" s="260" t="str">
        <f t="shared" si="80"/>
        <v/>
      </c>
      <c r="BT108" s="260" t="str">
        <f t="shared" si="81"/>
        <v/>
      </c>
      <c r="BU108" s="260" t="str">
        <f t="shared" si="94"/>
        <v/>
      </c>
      <c r="BV108" s="260"/>
      <c r="BW108" s="260"/>
      <c r="BX108" s="260"/>
      <c r="BY108" s="260"/>
      <c r="BZ108" s="260" t="str">
        <f>IF($AB108="","",SUM(BU108:BU$114))</f>
        <v/>
      </c>
      <c r="CA108" s="55" t="str">
        <f>IF(AB108&lt;$E$3+$F$5,0,IFERROR(일반형!S110,0))</f>
        <v/>
      </c>
      <c r="CB108" s="122"/>
      <c r="CC108" s="396" t="str">
        <f t="shared" si="55"/>
        <v/>
      </c>
      <c r="CD108" s="260" t="str">
        <f t="shared" si="95"/>
        <v/>
      </c>
      <c r="CE108" s="260" t="str">
        <f t="shared" si="82"/>
        <v/>
      </c>
      <c r="CF108" s="260" t="str">
        <f t="shared" si="83"/>
        <v/>
      </c>
      <c r="CG108" s="260" t="str">
        <f t="shared" si="96"/>
        <v/>
      </c>
      <c r="CH108" s="260" t="str">
        <f t="shared" si="84"/>
        <v/>
      </c>
      <c r="CI108" s="123" t="str">
        <f t="shared" si="97"/>
        <v/>
      </c>
      <c r="CJ108" s="124" t="str">
        <f t="shared" si="85"/>
        <v/>
      </c>
      <c r="CK108" s="242"/>
      <c r="CL108" s="209">
        <v>104</v>
      </c>
      <c r="CM108" s="260">
        <f t="shared" si="86"/>
        <v>0</v>
      </c>
      <c r="CN108" s="260">
        <f t="shared" si="87"/>
        <v>2.2599999999999999E-4</v>
      </c>
      <c r="CO108" s="260">
        <f t="shared" si="88"/>
        <v>0.66719200000000001</v>
      </c>
      <c r="CP108" s="260">
        <f t="shared" si="98"/>
        <v>9.3400000000000004E-4</v>
      </c>
      <c r="CQ108" s="260"/>
      <c r="CR108" s="209">
        <v>104</v>
      </c>
      <c r="CS108" s="260"/>
      <c r="CT108" s="260"/>
      <c r="CU108" s="260">
        <v>2.2599999999999999E-4</v>
      </c>
      <c r="CV108" s="260">
        <v>1.5799999999999999E-4</v>
      </c>
      <c r="CW108" s="260">
        <v>0.66719200000000001</v>
      </c>
      <c r="CX108" s="260">
        <v>0.22107199999999999</v>
      </c>
      <c r="CY108" s="260">
        <v>9.3400000000000004E-4</v>
      </c>
      <c r="CZ108" s="260">
        <v>1.6119999999999999E-3</v>
      </c>
      <c r="DA108" s="260"/>
      <c r="DB108" s="260"/>
      <c r="DC108" s="260"/>
      <c r="DD108" s="260"/>
    </row>
    <row r="109" spans="1:108">
      <c r="A109" s="305"/>
      <c r="B109" s="373"/>
      <c r="C109" s="373"/>
      <c r="D109" s="373"/>
      <c r="E109" s="373"/>
      <c r="F109" s="373"/>
      <c r="G109" s="373"/>
      <c r="H109" s="373"/>
      <c r="M109" s="158"/>
      <c r="N109" s="278" t="str">
        <f t="shared" si="106"/>
        <v/>
      </c>
      <c r="O109" s="279" t="str">
        <f t="shared" si="107"/>
        <v/>
      </c>
      <c r="P109" s="271" t="str">
        <f t="shared" si="101"/>
        <v/>
      </c>
      <c r="Q109" s="271" t="str">
        <f t="shared" si="102"/>
        <v/>
      </c>
      <c r="R109" s="271" t="str">
        <f t="shared" si="103"/>
        <v/>
      </c>
      <c r="S109" s="400" t="str">
        <f t="shared" si="56"/>
        <v/>
      </c>
      <c r="T109" s="382" t="str">
        <f>일반형!P109</f>
        <v/>
      </c>
      <c r="U109" s="382" t="str">
        <f>일반형!Q109</f>
        <v/>
      </c>
      <c r="V109" s="271" t="str">
        <f>일반형!R109</f>
        <v/>
      </c>
      <c r="W109" s="400" t="str">
        <f>일반형!S109</f>
        <v/>
      </c>
      <c r="X109" s="271" t="str">
        <f t="shared" si="104"/>
        <v/>
      </c>
      <c r="Y109" s="442" t="str">
        <f t="shared" si="57"/>
        <v/>
      </c>
      <c r="Z109" s="443" t="str">
        <f t="shared" si="105"/>
        <v/>
      </c>
      <c r="AB109" s="130" t="str">
        <f t="shared" si="89"/>
        <v/>
      </c>
      <c r="AC109" s="653" t="str">
        <f t="shared" si="58"/>
        <v/>
      </c>
      <c r="AD109" s="261"/>
      <c r="AE109" s="261" t="str">
        <f>IF(AB109="","",IF(AB109-$AB$4&lt;$F$5-1,INDEX(Main_무해지!$G$76:$G$87,MIN(AB109-$AB$4+1,12)),IF(AB109-$AB$4=$F$5-1,0,IF(AND($F$2=1,AB109&gt;109),0,IF(AND($F$2=2,AB109&gt;111),0,INDEX(Main_무해지!$H$76:$H$82,MIN(AB109-$AB$4-$F$5+1,7)))))))</f>
        <v/>
      </c>
      <c r="AF109" s="261" t="str">
        <f t="shared" si="99"/>
        <v/>
      </c>
      <c r="AG109" s="261" t="str">
        <f t="shared" si="59"/>
        <v/>
      </c>
      <c r="AH109" s="131" t="str">
        <f>IF($AB109="","",SUM(AG109:AG$114))</f>
        <v/>
      </c>
      <c r="AI109" s="261" t="str">
        <f t="shared" si="90"/>
        <v/>
      </c>
      <c r="AJ109" s="311" t="str">
        <f t="shared" si="60"/>
        <v/>
      </c>
      <c r="AK109" s="311"/>
      <c r="AL109" s="261" t="str">
        <f t="shared" si="61"/>
        <v/>
      </c>
      <c r="AM109" s="261" t="str">
        <f t="shared" si="100"/>
        <v/>
      </c>
      <c r="AN109" s="261" t="str">
        <f t="shared" si="62"/>
        <v/>
      </c>
      <c r="AO109" s="131" t="str">
        <f>IF($AB109="","",SUM(AN109:AN$114))</f>
        <v/>
      </c>
      <c r="AP109" s="288" t="str">
        <f t="shared" si="91"/>
        <v/>
      </c>
      <c r="AQ109" s="261" t="str">
        <f t="shared" si="63"/>
        <v/>
      </c>
      <c r="AR109" s="261" t="str">
        <f t="shared" si="64"/>
        <v/>
      </c>
      <c r="AS109" s="261" t="str">
        <f t="shared" si="65"/>
        <v/>
      </c>
      <c r="AT109" s="318" t="str">
        <f>IF($AB109="","",SUM($AU109:$AU$114))</f>
        <v/>
      </c>
      <c r="AU109" s="261" t="str">
        <f t="shared" si="92"/>
        <v/>
      </c>
      <c r="AV109" s="318" t="str">
        <f t="shared" si="66"/>
        <v/>
      </c>
      <c r="AW109" s="288"/>
      <c r="AX109" s="261" t="str">
        <f t="shared" si="67"/>
        <v/>
      </c>
      <c r="AY109" s="261" t="str">
        <f t="shared" si="68"/>
        <v/>
      </c>
      <c r="AZ109" s="261" t="str">
        <f t="shared" si="69"/>
        <v/>
      </c>
      <c r="BA109" s="318" t="str">
        <f>IF($AB109="","",SUM($AZ109:$AZ$114))</f>
        <v/>
      </c>
      <c r="BB109" s="288"/>
      <c r="BC109" s="261" t="str">
        <f t="shared" si="70"/>
        <v/>
      </c>
      <c r="BD109" s="261" t="str">
        <f t="shared" si="71"/>
        <v/>
      </c>
      <c r="BE109" s="261" t="str">
        <f t="shared" si="72"/>
        <v/>
      </c>
      <c r="BF109" s="318" t="str">
        <f>IF($AB109="","",SUM($BE109:$BE$114))</f>
        <v/>
      </c>
      <c r="BG109" s="288"/>
      <c r="BH109" s="261" t="str">
        <f t="shared" si="73"/>
        <v/>
      </c>
      <c r="BI109" s="261" t="str">
        <f t="shared" si="74"/>
        <v/>
      </c>
      <c r="BJ109" s="261" t="str">
        <f t="shared" si="75"/>
        <v/>
      </c>
      <c r="BK109" s="318" t="str">
        <f>IF($AB109="","",SUM($BJ109:$BJ$114))</f>
        <v/>
      </c>
      <c r="BL109" s="288"/>
      <c r="BM109" s="261" t="str">
        <f t="shared" si="76"/>
        <v/>
      </c>
      <c r="BN109" s="261" t="str">
        <f t="shared" si="77"/>
        <v/>
      </c>
      <c r="BO109" s="261" t="str">
        <f t="shared" si="78"/>
        <v/>
      </c>
      <c r="BP109" s="318" t="str">
        <f>IF($AB109="","",SUM($BO109:$BO$114))</f>
        <v/>
      </c>
      <c r="BQ109" s="288" t="str">
        <f t="shared" si="79"/>
        <v/>
      </c>
      <c r="BR109" s="261" t="str">
        <f t="shared" si="93"/>
        <v/>
      </c>
      <c r="BS109" s="261" t="str">
        <f t="shared" si="80"/>
        <v/>
      </c>
      <c r="BT109" s="261" t="str">
        <f t="shared" si="81"/>
        <v/>
      </c>
      <c r="BU109" s="261" t="str">
        <f t="shared" si="94"/>
        <v/>
      </c>
      <c r="BV109" s="261"/>
      <c r="BW109" s="261"/>
      <c r="BX109" s="261"/>
      <c r="BY109" s="261"/>
      <c r="BZ109" s="261" t="str">
        <f>IF($AB109="","",SUM(BU109:BU$114))</f>
        <v/>
      </c>
      <c r="CA109" s="55" t="str">
        <f>IF(AB109&lt;$E$3+$F$5,0,IFERROR(일반형!S111,0))</f>
        <v/>
      </c>
      <c r="CB109" s="132"/>
      <c r="CC109" s="397" t="str">
        <f t="shared" si="55"/>
        <v/>
      </c>
      <c r="CD109" s="261" t="str">
        <f t="shared" si="95"/>
        <v/>
      </c>
      <c r="CE109" s="261" t="str">
        <f t="shared" si="82"/>
        <v/>
      </c>
      <c r="CF109" s="261" t="str">
        <f t="shared" si="83"/>
        <v/>
      </c>
      <c r="CG109" s="261" t="str">
        <f t="shared" si="96"/>
        <v/>
      </c>
      <c r="CH109" s="261" t="str">
        <f t="shared" si="84"/>
        <v/>
      </c>
      <c r="CI109" s="133" t="str">
        <f t="shared" si="97"/>
        <v/>
      </c>
      <c r="CJ109" s="134" t="str">
        <f t="shared" si="85"/>
        <v/>
      </c>
      <c r="CK109" s="243"/>
      <c r="CL109" s="210">
        <v>105</v>
      </c>
      <c r="CM109" s="261">
        <f t="shared" si="86"/>
        <v>0</v>
      </c>
      <c r="CN109" s="261">
        <f t="shared" si="87"/>
        <v>2.2599999999999999E-4</v>
      </c>
      <c r="CO109" s="261">
        <f t="shared" si="88"/>
        <v>0.72853299999999999</v>
      </c>
      <c r="CP109" s="261">
        <f t="shared" si="98"/>
        <v>9.3400000000000004E-4</v>
      </c>
      <c r="CQ109" s="261"/>
      <c r="CR109" s="210">
        <v>105</v>
      </c>
      <c r="CS109" s="261"/>
      <c r="CT109" s="261"/>
      <c r="CU109" s="261">
        <v>2.2599999999999999E-4</v>
      </c>
      <c r="CV109" s="261">
        <v>1.5799999999999999E-4</v>
      </c>
      <c r="CW109" s="261">
        <v>0.72853299999999999</v>
      </c>
      <c r="CX109" s="261">
        <v>0.25800200000000001</v>
      </c>
      <c r="CY109" s="261">
        <v>9.3400000000000004E-4</v>
      </c>
      <c r="CZ109" s="261">
        <v>1.6119999999999999E-3</v>
      </c>
      <c r="DA109" s="261"/>
      <c r="DB109" s="261"/>
      <c r="DC109" s="261"/>
      <c r="DD109" s="261"/>
    </row>
    <row r="110" spans="1:108">
      <c r="A110" s="305"/>
      <c r="B110" s="373"/>
      <c r="C110" s="373"/>
      <c r="D110" s="373"/>
      <c r="E110" s="373"/>
      <c r="F110" s="373"/>
      <c r="G110" s="373"/>
      <c r="H110" s="157"/>
      <c r="M110" s="158"/>
      <c r="N110" s="278" t="str">
        <f t="shared" si="106"/>
        <v/>
      </c>
      <c r="O110" s="279" t="str">
        <f t="shared" si="107"/>
        <v/>
      </c>
      <c r="P110" s="271" t="str">
        <f t="shared" si="101"/>
        <v/>
      </c>
      <c r="Q110" s="271" t="str">
        <f t="shared" si="102"/>
        <v/>
      </c>
      <c r="R110" s="271" t="str">
        <f t="shared" si="103"/>
        <v/>
      </c>
      <c r="S110" s="400" t="str">
        <f t="shared" si="56"/>
        <v/>
      </c>
      <c r="T110" s="382" t="str">
        <f>일반형!P110</f>
        <v/>
      </c>
      <c r="U110" s="382" t="str">
        <f>일반형!Q110</f>
        <v/>
      </c>
      <c r="V110" s="271" t="str">
        <f>일반형!R110</f>
        <v/>
      </c>
      <c r="W110" s="400" t="str">
        <f>일반형!S110</f>
        <v/>
      </c>
      <c r="X110" s="271" t="str">
        <f t="shared" si="104"/>
        <v/>
      </c>
      <c r="Y110" s="442" t="str">
        <f t="shared" si="57"/>
        <v/>
      </c>
      <c r="Z110" s="443" t="str">
        <f t="shared" si="105"/>
        <v/>
      </c>
      <c r="AB110" s="759" t="str">
        <f t="shared" si="89"/>
        <v/>
      </c>
      <c r="AC110" s="646" t="str">
        <f t="shared" si="58"/>
        <v/>
      </c>
      <c r="AD110" s="409"/>
      <c r="AE110" s="409" t="str">
        <f>IF(AB110="","",IF(AB110-$AB$4&lt;$F$5-1,INDEX(Main_무해지!$G$76:$G$87,MIN(AB110-$AB$4+1,12)),IF(AB110-$AB$4=$F$5-1,0,IF(AND($F$2=1,AB110&gt;109),0,IF(AND($F$2=2,AB110&gt;111),0,INDEX(Main_무해지!$H$76:$H$82,MIN(AB110-$AB$4-$F$5+1,7)))))))</f>
        <v/>
      </c>
      <c r="AF110" s="409" t="str">
        <f t="shared" si="99"/>
        <v/>
      </c>
      <c r="AG110" s="409" t="str">
        <f t="shared" si="59"/>
        <v/>
      </c>
      <c r="AH110" s="760" t="str">
        <f>IF($AB110="","",SUM(AG110:AG$114))</f>
        <v/>
      </c>
      <c r="AI110" s="409" t="str">
        <f t="shared" si="90"/>
        <v/>
      </c>
      <c r="AJ110" s="639" t="str">
        <f t="shared" si="60"/>
        <v/>
      </c>
      <c r="AK110" s="639"/>
      <c r="AL110" s="409" t="str">
        <f t="shared" si="61"/>
        <v/>
      </c>
      <c r="AM110" s="409" t="str">
        <f t="shared" si="100"/>
        <v/>
      </c>
      <c r="AN110" s="409" t="str">
        <f t="shared" si="62"/>
        <v/>
      </c>
      <c r="AO110" s="760" t="str">
        <f>IF($AB110="","",SUM(AN110:AN$114))</f>
        <v/>
      </c>
      <c r="AP110" s="761" t="str">
        <f t="shared" si="91"/>
        <v/>
      </c>
      <c r="AQ110" s="409" t="str">
        <f t="shared" si="63"/>
        <v/>
      </c>
      <c r="AR110" s="409" t="str">
        <f t="shared" si="64"/>
        <v/>
      </c>
      <c r="AS110" s="409" t="str">
        <f t="shared" si="65"/>
        <v/>
      </c>
      <c r="AT110" s="762" t="str">
        <f>IF($AB110="","",SUM($AU110:$AU$114))</f>
        <v/>
      </c>
      <c r="AU110" s="409" t="str">
        <f t="shared" si="92"/>
        <v/>
      </c>
      <c r="AV110" s="762" t="str">
        <f t="shared" si="66"/>
        <v/>
      </c>
      <c r="AW110" s="761"/>
      <c r="AX110" s="409" t="str">
        <f t="shared" si="67"/>
        <v/>
      </c>
      <c r="AY110" s="409" t="str">
        <f t="shared" si="68"/>
        <v/>
      </c>
      <c r="AZ110" s="409" t="str">
        <f t="shared" si="69"/>
        <v/>
      </c>
      <c r="BA110" s="762" t="str">
        <f>IF($AB110="","",SUM($AZ110:$AZ$114))</f>
        <v/>
      </c>
      <c r="BB110" s="761"/>
      <c r="BC110" s="409" t="str">
        <f t="shared" si="70"/>
        <v/>
      </c>
      <c r="BD110" s="409" t="str">
        <f t="shared" si="71"/>
        <v/>
      </c>
      <c r="BE110" s="409" t="str">
        <f t="shared" si="72"/>
        <v/>
      </c>
      <c r="BF110" s="762" t="str">
        <f>IF($AB110="","",SUM($BE110:$BE$114))</f>
        <v/>
      </c>
      <c r="BG110" s="761"/>
      <c r="BH110" s="409" t="str">
        <f t="shared" si="73"/>
        <v/>
      </c>
      <c r="BI110" s="409" t="str">
        <f t="shared" si="74"/>
        <v/>
      </c>
      <c r="BJ110" s="409" t="str">
        <f t="shared" si="75"/>
        <v/>
      </c>
      <c r="BK110" s="762" t="str">
        <f>IF($AB110="","",SUM($BJ110:$BJ$114))</f>
        <v/>
      </c>
      <c r="BL110" s="761"/>
      <c r="BM110" s="409" t="str">
        <f t="shared" si="76"/>
        <v/>
      </c>
      <c r="BN110" s="409" t="str">
        <f t="shared" si="77"/>
        <v/>
      </c>
      <c r="BO110" s="409" t="str">
        <f t="shared" si="78"/>
        <v/>
      </c>
      <c r="BP110" s="762" t="str">
        <f>IF($AB110="","",SUM($BO110:$BO$114))</f>
        <v/>
      </c>
      <c r="BQ110" s="761" t="str">
        <f t="shared" si="79"/>
        <v/>
      </c>
      <c r="BR110" s="409" t="str">
        <f t="shared" si="93"/>
        <v/>
      </c>
      <c r="BS110" s="409" t="str">
        <f t="shared" si="80"/>
        <v/>
      </c>
      <c r="BT110" s="409" t="str">
        <f t="shared" si="81"/>
        <v/>
      </c>
      <c r="BU110" s="409" t="str">
        <f t="shared" si="94"/>
        <v/>
      </c>
      <c r="BV110" s="409"/>
      <c r="BW110" s="409"/>
      <c r="BX110" s="409"/>
      <c r="BY110" s="409"/>
      <c r="BZ110" s="409" t="str">
        <f>IF($AB110="","",SUM(BU110:BU$114))</f>
        <v/>
      </c>
      <c r="CA110" s="55" t="str">
        <f>IF(AB110&lt;$E$3+$F$5,0,IFERROR(일반형!S112,0))</f>
        <v/>
      </c>
      <c r="CB110" s="763"/>
      <c r="CC110" s="764" t="str">
        <f t="shared" si="55"/>
        <v/>
      </c>
      <c r="CD110" s="409" t="str">
        <f t="shared" si="95"/>
        <v/>
      </c>
      <c r="CE110" s="409" t="str">
        <f t="shared" si="82"/>
        <v/>
      </c>
      <c r="CF110" s="409" t="str">
        <f t="shared" si="83"/>
        <v/>
      </c>
      <c r="CG110" s="409" t="str">
        <f t="shared" si="96"/>
        <v/>
      </c>
      <c r="CH110" s="409" t="str">
        <f t="shared" si="84"/>
        <v/>
      </c>
      <c r="CI110" s="765" t="str">
        <f t="shared" si="97"/>
        <v/>
      </c>
      <c r="CJ110" s="766" t="str">
        <f t="shared" si="85"/>
        <v/>
      </c>
      <c r="CK110" s="414"/>
      <c r="CL110" s="767">
        <v>106</v>
      </c>
      <c r="CM110" s="409">
        <f t="shared" si="86"/>
        <v>0</v>
      </c>
      <c r="CN110" s="409">
        <f t="shared" si="87"/>
        <v>2.2599999999999999E-4</v>
      </c>
      <c r="CO110" s="409">
        <f t="shared" si="88"/>
        <v>0.75997400000000004</v>
      </c>
      <c r="CP110" s="409">
        <f t="shared" si="98"/>
        <v>9.3400000000000004E-4</v>
      </c>
      <c r="CQ110" s="409"/>
      <c r="CR110" s="767">
        <v>106</v>
      </c>
      <c r="CS110" s="409"/>
      <c r="CT110" s="409"/>
      <c r="CU110" s="409">
        <v>2.2599999999999999E-4</v>
      </c>
      <c r="CV110" s="409">
        <v>1.5799999999999999E-4</v>
      </c>
      <c r="CW110" s="409">
        <v>0.75997400000000004</v>
      </c>
      <c r="CX110" s="409">
        <v>0.30329899999999999</v>
      </c>
      <c r="CY110" s="409">
        <v>9.3400000000000004E-4</v>
      </c>
      <c r="CZ110" s="409">
        <v>1.6119999999999999E-3</v>
      </c>
      <c r="DA110" s="409"/>
      <c r="DB110" s="409"/>
      <c r="DC110" s="409"/>
      <c r="DD110" s="409"/>
    </row>
    <row r="111" spans="1:108">
      <c r="A111" s="305"/>
      <c r="D111" s="373"/>
      <c r="F111" s="159"/>
      <c r="G111" s="157"/>
      <c r="H111" s="364"/>
      <c r="M111" s="158"/>
      <c r="N111" s="278" t="str">
        <f t="shared" si="106"/>
        <v/>
      </c>
      <c r="O111" s="279" t="str">
        <f t="shared" si="107"/>
        <v/>
      </c>
      <c r="P111" s="271" t="str">
        <f t="shared" si="101"/>
        <v/>
      </c>
      <c r="Q111" s="271" t="str">
        <f t="shared" si="102"/>
        <v/>
      </c>
      <c r="R111" s="271" t="str">
        <f t="shared" si="103"/>
        <v/>
      </c>
      <c r="S111" s="400" t="str">
        <f t="shared" si="56"/>
        <v/>
      </c>
      <c r="T111" s="382" t="str">
        <f>일반형!P111</f>
        <v/>
      </c>
      <c r="U111" s="382" t="str">
        <f>일반형!Q111</f>
        <v/>
      </c>
      <c r="V111" s="271" t="str">
        <f>일반형!R111</f>
        <v/>
      </c>
      <c r="W111" s="400" t="str">
        <f>일반형!S111</f>
        <v/>
      </c>
      <c r="X111" s="271" t="str">
        <f t="shared" si="104"/>
        <v/>
      </c>
      <c r="Y111" s="446" t="str">
        <f t="shared" si="57"/>
        <v/>
      </c>
      <c r="Z111" s="447" t="str">
        <f t="shared" si="105"/>
        <v/>
      </c>
      <c r="AB111" s="101" t="str">
        <f t="shared" si="89"/>
        <v/>
      </c>
      <c r="AC111" s="649" t="str">
        <f t="shared" si="58"/>
        <v/>
      </c>
      <c r="AD111" s="258"/>
      <c r="AE111" s="258" t="str">
        <f>IF(AB111="","",IF(AB111-$AB$4&lt;$F$5-1,INDEX(Main_무해지!$G$76:$G$87,MIN(AB111-$AB$4+1,12)),IF(AB111-$AB$4=$F$5-1,0,IF(AND($F$2=1,AB111&gt;109),0,IF(AND($F$2=2,AB111&gt;111),0,INDEX(Main_무해지!$H$76:$H$82,MIN(AB111-$AB$4-$F$5+1,7)))))))</f>
        <v/>
      </c>
      <c r="AF111" s="258" t="str">
        <f t="shared" si="99"/>
        <v/>
      </c>
      <c r="AG111" s="258" t="str">
        <f t="shared" si="59"/>
        <v/>
      </c>
      <c r="AH111" s="102" t="str">
        <f>IF($AB111="","",SUM(AG111:AG$114))</f>
        <v/>
      </c>
      <c r="AI111" s="258" t="str">
        <f t="shared" si="90"/>
        <v/>
      </c>
      <c r="AJ111" s="308" t="str">
        <f t="shared" si="60"/>
        <v/>
      </c>
      <c r="AK111" s="308"/>
      <c r="AL111" s="258" t="str">
        <f t="shared" si="61"/>
        <v/>
      </c>
      <c r="AM111" s="258" t="str">
        <f t="shared" si="100"/>
        <v/>
      </c>
      <c r="AN111" s="258" t="str">
        <f t="shared" si="62"/>
        <v/>
      </c>
      <c r="AO111" s="102" t="str">
        <f>IF($AB111="","",SUM(AN111:AN$114))</f>
        <v/>
      </c>
      <c r="AP111" s="285" t="str">
        <f t="shared" si="91"/>
        <v/>
      </c>
      <c r="AQ111" s="258" t="str">
        <f t="shared" si="63"/>
        <v/>
      </c>
      <c r="AR111" s="258" t="str">
        <f t="shared" si="64"/>
        <v/>
      </c>
      <c r="AS111" s="258" t="str">
        <f t="shared" si="65"/>
        <v/>
      </c>
      <c r="AT111" s="315" t="str">
        <f>IF($AB111="","",SUM($AU111:$AU$114))</f>
        <v/>
      </c>
      <c r="AU111" s="258" t="str">
        <f t="shared" si="92"/>
        <v/>
      </c>
      <c r="AV111" s="315" t="str">
        <f t="shared" si="66"/>
        <v/>
      </c>
      <c r="AW111" s="285"/>
      <c r="AX111" s="258" t="str">
        <f t="shared" si="67"/>
        <v/>
      </c>
      <c r="AY111" s="258" t="str">
        <f t="shared" si="68"/>
        <v/>
      </c>
      <c r="AZ111" s="258" t="str">
        <f t="shared" si="69"/>
        <v/>
      </c>
      <c r="BA111" s="315" t="str">
        <f>IF($AB111="","",SUM($AZ111:$AZ$114))</f>
        <v/>
      </c>
      <c r="BB111" s="285"/>
      <c r="BC111" s="258" t="str">
        <f t="shared" si="70"/>
        <v/>
      </c>
      <c r="BD111" s="258" t="str">
        <f t="shared" si="71"/>
        <v/>
      </c>
      <c r="BE111" s="258" t="str">
        <f t="shared" si="72"/>
        <v/>
      </c>
      <c r="BF111" s="315" t="str">
        <f>IF($AB111="","",SUM($BE111:$BE$114))</f>
        <v/>
      </c>
      <c r="BG111" s="285"/>
      <c r="BH111" s="258" t="str">
        <f t="shared" si="73"/>
        <v/>
      </c>
      <c r="BI111" s="258" t="str">
        <f t="shared" si="74"/>
        <v/>
      </c>
      <c r="BJ111" s="258" t="str">
        <f t="shared" si="75"/>
        <v/>
      </c>
      <c r="BK111" s="315" t="str">
        <f>IF($AB111="","",SUM($BJ111:$BJ$114))</f>
        <v/>
      </c>
      <c r="BL111" s="285"/>
      <c r="BM111" s="258" t="str">
        <f t="shared" si="76"/>
        <v/>
      </c>
      <c r="BN111" s="258" t="str">
        <f t="shared" si="77"/>
        <v/>
      </c>
      <c r="BO111" s="258" t="str">
        <f t="shared" si="78"/>
        <v/>
      </c>
      <c r="BP111" s="315" t="str">
        <f>IF($AB111="","",SUM($BO111:$BO$114))</f>
        <v/>
      </c>
      <c r="BQ111" s="285" t="str">
        <f t="shared" si="79"/>
        <v/>
      </c>
      <c r="BR111" s="258" t="str">
        <f t="shared" si="93"/>
        <v/>
      </c>
      <c r="BS111" s="258" t="str">
        <f t="shared" si="80"/>
        <v/>
      </c>
      <c r="BT111" s="258" t="str">
        <f t="shared" si="81"/>
        <v/>
      </c>
      <c r="BU111" s="258" t="str">
        <f t="shared" si="94"/>
        <v/>
      </c>
      <c r="BV111" s="258"/>
      <c r="BW111" s="258"/>
      <c r="BX111" s="258"/>
      <c r="BY111" s="258"/>
      <c r="BZ111" s="258" t="str">
        <f>IF($AB111="","",SUM(BU111:BU$114))</f>
        <v/>
      </c>
      <c r="CA111" s="55" t="str">
        <f>IF(AB111&lt;$E$3+$F$5,0,IFERROR(일반형!S113,0))</f>
        <v/>
      </c>
      <c r="CB111" s="103"/>
      <c r="CC111" s="394" t="str">
        <f t="shared" si="55"/>
        <v/>
      </c>
      <c r="CD111" s="258" t="str">
        <f t="shared" si="95"/>
        <v/>
      </c>
      <c r="CE111" s="258" t="str">
        <f t="shared" si="82"/>
        <v/>
      </c>
      <c r="CF111" s="258" t="str">
        <f t="shared" si="83"/>
        <v/>
      </c>
      <c r="CG111" s="258" t="str">
        <f t="shared" si="96"/>
        <v/>
      </c>
      <c r="CH111" s="258" t="str">
        <f t="shared" si="84"/>
        <v/>
      </c>
      <c r="CI111" s="104" t="str">
        <f t="shared" si="97"/>
        <v/>
      </c>
      <c r="CJ111" s="105" t="str">
        <f t="shared" si="85"/>
        <v/>
      </c>
      <c r="CK111" s="240"/>
      <c r="CL111" s="207">
        <v>107</v>
      </c>
      <c r="CM111" s="258">
        <f t="shared" si="86"/>
        <v>0</v>
      </c>
      <c r="CN111" s="258">
        <f t="shared" si="87"/>
        <v>2.2599999999999999E-4</v>
      </c>
      <c r="CO111" s="258">
        <f t="shared" si="88"/>
        <v>0.78942500000000004</v>
      </c>
      <c r="CP111" s="258">
        <f t="shared" si="98"/>
        <v>9.3400000000000004E-4</v>
      </c>
      <c r="CQ111" s="258"/>
      <c r="CR111" s="207">
        <v>107</v>
      </c>
      <c r="CS111" s="258"/>
      <c r="CT111" s="258"/>
      <c r="CU111" s="258">
        <v>2.2599999999999999E-4</v>
      </c>
      <c r="CV111" s="258">
        <v>1.5799999999999999E-4</v>
      </c>
      <c r="CW111" s="258">
        <v>0.78942500000000004</v>
      </c>
      <c r="CX111" s="258">
        <v>0.34756900000000002</v>
      </c>
      <c r="CY111" s="258">
        <v>9.3400000000000004E-4</v>
      </c>
      <c r="CZ111" s="258">
        <v>1.6119999999999999E-3</v>
      </c>
      <c r="DA111" s="258"/>
      <c r="DB111" s="258"/>
      <c r="DC111" s="258"/>
      <c r="DD111" s="258"/>
    </row>
    <row r="112" spans="1:108">
      <c r="A112" s="373"/>
      <c r="E112" s="363"/>
      <c r="F112" s="364"/>
      <c r="G112" s="364"/>
      <c r="H112" s="364"/>
      <c r="M112" s="158"/>
      <c r="N112" s="278" t="str">
        <f t="shared" si="106"/>
        <v/>
      </c>
      <c r="O112" s="279" t="str">
        <f t="shared" si="107"/>
        <v/>
      </c>
      <c r="P112" s="271" t="str">
        <f t="shared" si="101"/>
        <v/>
      </c>
      <c r="Q112" s="271" t="str">
        <f t="shared" si="102"/>
        <v/>
      </c>
      <c r="R112" s="271" t="str">
        <f t="shared" si="103"/>
        <v/>
      </c>
      <c r="S112" s="400" t="str">
        <f t="shared" si="56"/>
        <v/>
      </c>
      <c r="T112" s="382" t="str">
        <f>일반형!P112</f>
        <v/>
      </c>
      <c r="U112" s="382" t="str">
        <f>일반형!Q112</f>
        <v/>
      </c>
      <c r="V112" s="271" t="str">
        <f>일반형!R112</f>
        <v/>
      </c>
      <c r="W112" s="400" t="str">
        <f>일반형!S112</f>
        <v/>
      </c>
      <c r="X112" s="271" t="str">
        <f t="shared" si="104"/>
        <v/>
      </c>
      <c r="Y112" s="444" t="str">
        <f t="shared" si="57"/>
        <v/>
      </c>
      <c r="Z112" s="445" t="str">
        <f t="shared" si="105"/>
        <v/>
      </c>
      <c r="AB112" s="101" t="str">
        <f t="shared" si="89"/>
        <v/>
      </c>
      <c r="AC112" s="649" t="str">
        <f t="shared" si="58"/>
        <v/>
      </c>
      <c r="AD112" s="258"/>
      <c r="AE112" s="258" t="str">
        <f>IF(AB112="","",IF(AB112-$AB$4&lt;$F$5-1,INDEX(Main_무해지!$G$76:$G$87,MIN(AB112-$AB$4+1,12)),IF(AB112-$AB$4=$F$5-1,0,IF(AND($F$2=1,AB112&gt;109),0,IF(AND($F$2=2,AB112&gt;111),0,INDEX(Main_무해지!$H$76:$H$82,MIN(AB112-$AB$4-$F$5+1,7)))))))</f>
        <v/>
      </c>
      <c r="AF112" s="258" t="str">
        <f t="shared" si="99"/>
        <v/>
      </c>
      <c r="AG112" s="258" t="str">
        <f t="shared" si="59"/>
        <v/>
      </c>
      <c r="AH112" s="102" t="str">
        <f>IF($AB112="","",SUM(AG112:AG$114))</f>
        <v/>
      </c>
      <c r="AI112" s="258" t="str">
        <f t="shared" si="90"/>
        <v/>
      </c>
      <c r="AJ112" s="308" t="str">
        <f t="shared" si="60"/>
        <v/>
      </c>
      <c r="AK112" s="308"/>
      <c r="AL112" s="258" t="str">
        <f t="shared" si="61"/>
        <v/>
      </c>
      <c r="AM112" s="258" t="str">
        <f t="shared" si="100"/>
        <v/>
      </c>
      <c r="AN112" s="258" t="str">
        <f t="shared" si="62"/>
        <v/>
      </c>
      <c r="AO112" s="102" t="str">
        <f>IF($AB112="","",SUM(AN112:AN$114))</f>
        <v/>
      </c>
      <c r="AP112" s="285" t="str">
        <f t="shared" si="91"/>
        <v/>
      </c>
      <c r="AQ112" s="258" t="str">
        <f t="shared" si="63"/>
        <v/>
      </c>
      <c r="AR112" s="258" t="str">
        <f t="shared" si="64"/>
        <v/>
      </c>
      <c r="AS112" s="258" t="str">
        <f t="shared" si="65"/>
        <v/>
      </c>
      <c r="AT112" s="315" t="str">
        <f>IF($AB112="","",SUM($AU112:$AU$114))</f>
        <v/>
      </c>
      <c r="AU112" s="258" t="str">
        <f t="shared" si="92"/>
        <v/>
      </c>
      <c r="AV112" s="315" t="str">
        <f t="shared" si="66"/>
        <v/>
      </c>
      <c r="AW112" s="285"/>
      <c r="AX112" s="258" t="str">
        <f t="shared" si="67"/>
        <v/>
      </c>
      <c r="AY112" s="258" t="str">
        <f t="shared" si="68"/>
        <v/>
      </c>
      <c r="AZ112" s="258" t="str">
        <f t="shared" si="69"/>
        <v/>
      </c>
      <c r="BA112" s="315" t="str">
        <f>IF($AB112="","",SUM($AZ112:$AZ$114))</f>
        <v/>
      </c>
      <c r="BB112" s="285"/>
      <c r="BC112" s="258" t="str">
        <f t="shared" si="70"/>
        <v/>
      </c>
      <c r="BD112" s="258" t="str">
        <f t="shared" si="71"/>
        <v/>
      </c>
      <c r="BE112" s="258" t="str">
        <f t="shared" si="72"/>
        <v/>
      </c>
      <c r="BF112" s="315" t="str">
        <f>IF($AB112="","",SUM($BE112:$BE$114))</f>
        <v/>
      </c>
      <c r="BG112" s="285"/>
      <c r="BH112" s="258" t="str">
        <f t="shared" si="73"/>
        <v/>
      </c>
      <c r="BI112" s="258" t="str">
        <f t="shared" si="74"/>
        <v/>
      </c>
      <c r="BJ112" s="258" t="str">
        <f t="shared" si="75"/>
        <v/>
      </c>
      <c r="BK112" s="315" t="str">
        <f>IF($AB112="","",SUM($BJ112:$BJ$114))</f>
        <v/>
      </c>
      <c r="BL112" s="285"/>
      <c r="BM112" s="258" t="str">
        <f t="shared" si="76"/>
        <v/>
      </c>
      <c r="BN112" s="258" t="str">
        <f t="shared" si="77"/>
        <v/>
      </c>
      <c r="BO112" s="258" t="str">
        <f t="shared" si="78"/>
        <v/>
      </c>
      <c r="BP112" s="315" t="str">
        <f>IF($AB112="","",SUM($BO112:$BO$114))</f>
        <v/>
      </c>
      <c r="BQ112" s="285" t="str">
        <f t="shared" si="79"/>
        <v/>
      </c>
      <c r="BR112" s="258" t="str">
        <f t="shared" si="93"/>
        <v/>
      </c>
      <c r="BS112" s="258" t="str">
        <f t="shared" si="80"/>
        <v/>
      </c>
      <c r="BT112" s="258" t="str">
        <f t="shared" si="81"/>
        <v/>
      </c>
      <c r="BU112" s="258" t="str">
        <f t="shared" si="94"/>
        <v/>
      </c>
      <c r="BV112" s="258"/>
      <c r="BW112" s="258"/>
      <c r="BX112" s="258"/>
      <c r="BY112" s="258"/>
      <c r="BZ112" s="258" t="str">
        <f>IF($AB112="","",SUM(BU112:BU$114))</f>
        <v/>
      </c>
      <c r="CA112" s="55" t="str">
        <f>IF(AB112&lt;$E$3+$F$5,0,IFERROR(일반형!S114,0))</f>
        <v/>
      </c>
      <c r="CB112" s="103"/>
      <c r="CC112" s="394" t="str">
        <f t="shared" si="55"/>
        <v/>
      </c>
      <c r="CD112" s="258" t="str">
        <f t="shared" si="95"/>
        <v/>
      </c>
      <c r="CE112" s="258" t="str">
        <f t="shared" si="82"/>
        <v/>
      </c>
      <c r="CF112" s="258" t="str">
        <f t="shared" si="83"/>
        <v/>
      </c>
      <c r="CG112" s="258" t="str">
        <f t="shared" si="96"/>
        <v/>
      </c>
      <c r="CH112" s="258" t="str">
        <f t="shared" si="84"/>
        <v/>
      </c>
      <c r="CI112" s="104" t="str">
        <f t="shared" si="97"/>
        <v/>
      </c>
      <c r="CJ112" s="105" t="str">
        <f t="shared" si="85"/>
        <v/>
      </c>
      <c r="CK112" s="240"/>
      <c r="CL112" s="207">
        <v>108</v>
      </c>
      <c r="CM112" s="258">
        <f t="shared" si="86"/>
        <v>0</v>
      </c>
      <c r="CN112" s="258">
        <f t="shared" si="87"/>
        <v>2.2599999999999999E-4</v>
      </c>
      <c r="CO112" s="258">
        <f t="shared" si="88"/>
        <v>0.81678499999999998</v>
      </c>
      <c r="CP112" s="258">
        <f t="shared" si="98"/>
        <v>9.3400000000000004E-4</v>
      </c>
      <c r="CQ112" s="258"/>
      <c r="CR112" s="207">
        <v>108</v>
      </c>
      <c r="CS112" s="258"/>
      <c r="CT112" s="258"/>
      <c r="CU112" s="258">
        <v>2.2599999999999999E-4</v>
      </c>
      <c r="CV112" s="258">
        <v>1.5799999999999999E-4</v>
      </c>
      <c r="CW112" s="258">
        <v>0.81678499999999998</v>
      </c>
      <c r="CX112" s="258">
        <v>0.36843999999999999</v>
      </c>
      <c r="CY112" s="258">
        <v>9.3400000000000004E-4</v>
      </c>
      <c r="CZ112" s="258">
        <v>1.6119999999999999E-3</v>
      </c>
      <c r="DA112" s="258"/>
      <c r="DB112" s="258"/>
      <c r="DC112" s="258"/>
      <c r="DD112" s="258"/>
    </row>
    <row r="113" spans="1:108">
      <c r="A113" s="373"/>
      <c r="D113" s="363"/>
      <c r="E113" s="363"/>
      <c r="F113" s="364"/>
      <c r="G113" s="364"/>
      <c r="H113" s="364"/>
      <c r="M113" s="158"/>
      <c r="N113" s="278" t="str">
        <f t="shared" si="106"/>
        <v/>
      </c>
      <c r="O113" s="279" t="str">
        <f t="shared" si="107"/>
        <v/>
      </c>
      <c r="P113" s="271" t="str">
        <f t="shared" si="101"/>
        <v/>
      </c>
      <c r="Q113" s="271" t="str">
        <f t="shared" si="102"/>
        <v/>
      </c>
      <c r="R113" s="271" t="str">
        <f t="shared" si="103"/>
        <v/>
      </c>
      <c r="S113" s="400" t="str">
        <f t="shared" si="56"/>
        <v/>
      </c>
      <c r="T113" s="382" t="str">
        <f>일반형!P113</f>
        <v/>
      </c>
      <c r="U113" s="382" t="str">
        <f>일반형!Q113</f>
        <v/>
      </c>
      <c r="V113" s="271" t="str">
        <f>일반형!R113</f>
        <v/>
      </c>
      <c r="W113" s="400" t="str">
        <f>일반형!S113</f>
        <v/>
      </c>
      <c r="X113" s="271" t="str">
        <f t="shared" si="104"/>
        <v/>
      </c>
      <c r="Y113" s="442" t="str">
        <f t="shared" si="57"/>
        <v/>
      </c>
      <c r="Z113" s="443" t="str">
        <f t="shared" si="105"/>
        <v/>
      </c>
      <c r="AB113" s="101" t="str">
        <f t="shared" si="89"/>
        <v/>
      </c>
      <c r="AC113" s="649" t="str">
        <f t="shared" si="58"/>
        <v/>
      </c>
      <c r="AD113" s="258"/>
      <c r="AE113" s="258" t="str">
        <f>IF(AB113="","",IF(AB113-$AB$4&lt;$F$5-1,INDEX(Main_무해지!$G$76:$G$87,MIN(AB113-$AB$4+1,12)),IF(AB113-$AB$4=$F$5-1,0,IF(AND($F$2=1,AB113&gt;109),0,IF(AND($F$2=2,AB113&gt;111),0,INDEX(Main_무해지!$H$76:$H$82,MIN(AB113-$AB$4-$F$5+1,7)))))))</f>
        <v/>
      </c>
      <c r="AF113" s="258" t="str">
        <f t="shared" si="99"/>
        <v/>
      </c>
      <c r="AG113" s="258" t="str">
        <f t="shared" si="59"/>
        <v/>
      </c>
      <c r="AH113" s="102" t="str">
        <f>IF($AB113="","",SUM(AG113:AG$114))</f>
        <v/>
      </c>
      <c r="AI113" s="258" t="str">
        <f t="shared" si="90"/>
        <v/>
      </c>
      <c r="AJ113" s="308" t="str">
        <f t="shared" si="60"/>
        <v/>
      </c>
      <c r="AK113" s="308"/>
      <c r="AL113" s="258" t="str">
        <f t="shared" si="61"/>
        <v/>
      </c>
      <c r="AM113" s="258" t="str">
        <f t="shared" si="100"/>
        <v/>
      </c>
      <c r="AN113" s="258" t="str">
        <f t="shared" si="62"/>
        <v/>
      </c>
      <c r="AO113" s="102" t="str">
        <f>IF($AB113="","",SUM(AN113:AN$114))</f>
        <v/>
      </c>
      <c r="AP113" s="285" t="str">
        <f t="shared" si="91"/>
        <v/>
      </c>
      <c r="AQ113" s="258" t="str">
        <f t="shared" si="63"/>
        <v/>
      </c>
      <c r="AR113" s="258" t="str">
        <f t="shared" si="64"/>
        <v/>
      </c>
      <c r="AS113" s="258" t="str">
        <f t="shared" si="65"/>
        <v/>
      </c>
      <c r="AT113" s="315" t="str">
        <f>IF($AB113="","",SUM($AU113:$AU$114))</f>
        <v/>
      </c>
      <c r="AU113" s="258" t="str">
        <f t="shared" si="92"/>
        <v/>
      </c>
      <c r="AV113" s="315" t="str">
        <f t="shared" si="66"/>
        <v/>
      </c>
      <c r="AW113" s="285"/>
      <c r="AX113" s="258" t="str">
        <f t="shared" si="67"/>
        <v/>
      </c>
      <c r="AY113" s="258" t="str">
        <f t="shared" si="68"/>
        <v/>
      </c>
      <c r="AZ113" s="258" t="str">
        <f t="shared" si="69"/>
        <v/>
      </c>
      <c r="BA113" s="315" t="str">
        <f>IF($AB113="","",SUM($AZ113:$AZ$114))</f>
        <v/>
      </c>
      <c r="BB113" s="285"/>
      <c r="BC113" s="258" t="str">
        <f t="shared" si="70"/>
        <v/>
      </c>
      <c r="BD113" s="258" t="str">
        <f t="shared" si="71"/>
        <v/>
      </c>
      <c r="BE113" s="258" t="str">
        <f t="shared" si="72"/>
        <v/>
      </c>
      <c r="BF113" s="315" t="str">
        <f>IF($AB113="","",SUM($BE113:$BE$114))</f>
        <v/>
      </c>
      <c r="BG113" s="285"/>
      <c r="BH113" s="258" t="str">
        <f t="shared" si="73"/>
        <v/>
      </c>
      <c r="BI113" s="258" t="str">
        <f t="shared" si="74"/>
        <v/>
      </c>
      <c r="BJ113" s="258" t="str">
        <f t="shared" si="75"/>
        <v/>
      </c>
      <c r="BK113" s="315" t="str">
        <f>IF($AB113="","",SUM($BJ113:$BJ$114))</f>
        <v/>
      </c>
      <c r="BL113" s="285"/>
      <c r="BM113" s="258" t="str">
        <f t="shared" si="76"/>
        <v/>
      </c>
      <c r="BN113" s="258" t="str">
        <f t="shared" si="77"/>
        <v/>
      </c>
      <c r="BO113" s="258" t="str">
        <f t="shared" si="78"/>
        <v/>
      </c>
      <c r="BP113" s="315" t="str">
        <f>IF($AB113="","",SUM($BO113:$BO$114))</f>
        <v/>
      </c>
      <c r="BQ113" s="285" t="str">
        <f t="shared" si="79"/>
        <v/>
      </c>
      <c r="BR113" s="258" t="str">
        <f t="shared" si="93"/>
        <v/>
      </c>
      <c r="BS113" s="258" t="str">
        <f t="shared" si="80"/>
        <v/>
      </c>
      <c r="BT113" s="258" t="str">
        <f t="shared" si="81"/>
        <v/>
      </c>
      <c r="BU113" s="258" t="str">
        <f t="shared" si="94"/>
        <v/>
      </c>
      <c r="BV113" s="258"/>
      <c r="BW113" s="258"/>
      <c r="BX113" s="258"/>
      <c r="BY113" s="258"/>
      <c r="BZ113" s="258" t="str">
        <f>IF($AB113="","",SUM(BU113:BU$114))</f>
        <v/>
      </c>
      <c r="CA113" s="55">
        <f>IF(AB113&lt;$E$3+$F$5,0,IFERROR(일반형!S115,0))</f>
        <v>0</v>
      </c>
      <c r="CB113" s="103"/>
      <c r="CC113" s="394" t="str">
        <f t="shared" si="55"/>
        <v/>
      </c>
      <c r="CD113" s="258" t="str">
        <f t="shared" si="95"/>
        <v/>
      </c>
      <c r="CE113" s="258" t="str">
        <f t="shared" si="82"/>
        <v/>
      </c>
      <c r="CF113" s="258" t="str">
        <f t="shared" si="83"/>
        <v/>
      </c>
      <c r="CG113" s="258" t="str">
        <f t="shared" si="96"/>
        <v/>
      </c>
      <c r="CH113" s="258" t="str">
        <f t="shared" si="84"/>
        <v/>
      </c>
      <c r="CI113" s="104" t="str">
        <f t="shared" si="97"/>
        <v/>
      </c>
      <c r="CJ113" s="105" t="str">
        <f t="shared" si="85"/>
        <v/>
      </c>
      <c r="CK113" s="240"/>
      <c r="CL113" s="207">
        <v>109</v>
      </c>
      <c r="CM113" s="258">
        <f t="shared" si="86"/>
        <v>0</v>
      </c>
      <c r="CN113" s="258">
        <f t="shared" si="87"/>
        <v>2.2599999999999999E-4</v>
      </c>
      <c r="CO113" s="258">
        <f t="shared" si="88"/>
        <v>0.84199900000000005</v>
      </c>
      <c r="CP113" s="258">
        <f t="shared" si="98"/>
        <v>9.3400000000000004E-4</v>
      </c>
      <c r="CQ113" s="258"/>
      <c r="CR113" s="207">
        <v>109</v>
      </c>
      <c r="CS113" s="258"/>
      <c r="CT113" s="258"/>
      <c r="CU113" s="258">
        <v>2.2599999999999999E-4</v>
      </c>
      <c r="CV113" s="258">
        <v>1.5799999999999999E-4</v>
      </c>
      <c r="CW113" s="258">
        <v>0.84199900000000005</v>
      </c>
      <c r="CX113" s="258">
        <v>0.38884299999999999</v>
      </c>
      <c r="CY113" s="258">
        <v>9.3400000000000004E-4</v>
      </c>
      <c r="CZ113" s="258">
        <v>1.6119999999999999E-3</v>
      </c>
      <c r="DA113" s="258"/>
      <c r="DB113" s="258"/>
      <c r="DC113" s="258"/>
      <c r="DD113" s="258"/>
    </row>
    <row r="114" spans="1:108">
      <c r="A114" s="373"/>
      <c r="D114" s="363"/>
      <c r="E114" s="363"/>
      <c r="F114" s="364"/>
      <c r="G114" s="364"/>
      <c r="H114" s="364"/>
      <c r="M114" s="158"/>
      <c r="N114" s="278" t="str">
        <f t="shared" si="106"/>
        <v/>
      </c>
      <c r="O114" s="279" t="str">
        <f t="shared" si="107"/>
        <v/>
      </c>
      <c r="P114" s="271" t="str">
        <f t="shared" si="101"/>
        <v/>
      </c>
      <c r="Q114" s="271" t="str">
        <f t="shared" si="102"/>
        <v/>
      </c>
      <c r="R114" s="271" t="str">
        <f t="shared" si="103"/>
        <v/>
      </c>
      <c r="S114" s="400" t="str">
        <f t="shared" si="56"/>
        <v/>
      </c>
      <c r="T114" s="382" t="str">
        <f>일반형!P114</f>
        <v/>
      </c>
      <c r="U114" s="382" t="str">
        <f>일반형!Q114</f>
        <v/>
      </c>
      <c r="V114" s="271" t="str">
        <f>일반형!R114</f>
        <v/>
      </c>
      <c r="W114" s="400" t="str">
        <f>일반형!S114</f>
        <v/>
      </c>
      <c r="X114" s="271" t="str">
        <f t="shared" si="104"/>
        <v/>
      </c>
      <c r="Y114" s="442" t="str">
        <f t="shared" si="57"/>
        <v/>
      </c>
      <c r="Z114" s="443" t="str">
        <f t="shared" si="105"/>
        <v/>
      </c>
      <c r="AB114" s="161" t="str">
        <f t="shared" si="89"/>
        <v/>
      </c>
      <c r="AC114" s="654" t="str">
        <f t="shared" si="58"/>
        <v/>
      </c>
      <c r="AD114" s="252"/>
      <c r="AE114" s="252" t="str">
        <f>IF(AB114="","",IF(AB114-$AB$4&lt;$F$5-1,INDEX(Main_무해지!$G$76:$G$87,MIN(AB114-$AB$4+1,12)),IF(AB114-$AB$4=$F$5-1,0,IF(AND($F$2=1,AB114&gt;109),0,IF(AND($F$2=2,AB114&gt;111),0,INDEX(Main_무해지!$H$76:$H$82,MIN(AB114-$AB$4-$F$5+1,7)))))))</f>
        <v/>
      </c>
      <c r="AF114" s="252" t="str">
        <f t="shared" si="99"/>
        <v/>
      </c>
      <c r="AG114" s="252" t="str">
        <f t="shared" si="59"/>
        <v/>
      </c>
      <c r="AH114" s="162" t="str">
        <f>IF($AB114="","",SUM(AG114:AG$114))</f>
        <v/>
      </c>
      <c r="AI114" s="252" t="str">
        <f t="shared" si="90"/>
        <v/>
      </c>
      <c r="AJ114" s="312" t="str">
        <f t="shared" si="60"/>
        <v/>
      </c>
      <c r="AK114" s="312"/>
      <c r="AL114" s="252" t="str">
        <f t="shared" si="61"/>
        <v/>
      </c>
      <c r="AM114" s="252" t="str">
        <f t="shared" si="100"/>
        <v/>
      </c>
      <c r="AN114" s="252" t="str">
        <f t="shared" si="62"/>
        <v/>
      </c>
      <c r="AO114" s="162" t="str">
        <f>IF($AB114="","",SUM(AN114:AN$114))</f>
        <v/>
      </c>
      <c r="AP114" s="289" t="str">
        <f t="shared" si="91"/>
        <v/>
      </c>
      <c r="AQ114" s="252" t="str">
        <f t="shared" si="63"/>
        <v/>
      </c>
      <c r="AR114" s="252" t="str">
        <f t="shared" si="64"/>
        <v/>
      </c>
      <c r="AS114" s="252" t="str">
        <f t="shared" si="65"/>
        <v/>
      </c>
      <c r="AT114" s="319" t="str">
        <f>IF($AB114="","",SUM($AU114:$AU$114))</f>
        <v/>
      </c>
      <c r="AU114" s="252" t="str">
        <f t="shared" si="92"/>
        <v/>
      </c>
      <c r="AV114" s="319" t="str">
        <f t="shared" si="66"/>
        <v/>
      </c>
      <c r="AW114" s="289"/>
      <c r="AX114" s="252" t="str">
        <f t="shared" si="67"/>
        <v/>
      </c>
      <c r="AY114" s="252" t="str">
        <f t="shared" si="68"/>
        <v/>
      </c>
      <c r="AZ114" s="252" t="str">
        <f t="shared" si="69"/>
        <v/>
      </c>
      <c r="BA114" s="319" t="str">
        <f>IF($AB114="","",SUM($AZ114:$AZ$114))</f>
        <v/>
      </c>
      <c r="BB114" s="289"/>
      <c r="BC114" s="252" t="str">
        <f t="shared" si="70"/>
        <v/>
      </c>
      <c r="BD114" s="252" t="str">
        <f t="shared" si="71"/>
        <v/>
      </c>
      <c r="BE114" s="252" t="str">
        <f t="shared" si="72"/>
        <v/>
      </c>
      <c r="BF114" s="319" t="str">
        <f>IF($AB114="","",SUM($BE114:$BE$114))</f>
        <v/>
      </c>
      <c r="BG114" s="289"/>
      <c r="BH114" s="252" t="str">
        <f t="shared" si="73"/>
        <v/>
      </c>
      <c r="BI114" s="252" t="str">
        <f t="shared" si="74"/>
        <v/>
      </c>
      <c r="BJ114" s="252" t="str">
        <f t="shared" si="75"/>
        <v/>
      </c>
      <c r="BK114" s="319" t="str">
        <f>IF($AB114="","",SUM($BJ114:$BJ$114))</f>
        <v/>
      </c>
      <c r="BL114" s="289"/>
      <c r="BM114" s="252" t="str">
        <f t="shared" si="76"/>
        <v/>
      </c>
      <c r="BN114" s="252" t="str">
        <f t="shared" si="77"/>
        <v/>
      </c>
      <c r="BO114" s="252" t="str">
        <f t="shared" si="78"/>
        <v/>
      </c>
      <c r="BP114" s="319" t="str">
        <f>IF($AB114="","",SUM($BO114:$BO$114))</f>
        <v/>
      </c>
      <c r="BQ114" s="289" t="str">
        <f t="shared" si="79"/>
        <v/>
      </c>
      <c r="BR114" s="252" t="str">
        <f t="shared" si="93"/>
        <v/>
      </c>
      <c r="BS114" s="252" t="str">
        <f t="shared" si="80"/>
        <v/>
      </c>
      <c r="BT114" s="252" t="str">
        <f t="shared" si="81"/>
        <v/>
      </c>
      <c r="BU114" s="252" t="str">
        <f t="shared" si="94"/>
        <v/>
      </c>
      <c r="BV114" s="252"/>
      <c r="BW114" s="252"/>
      <c r="BX114" s="252"/>
      <c r="BY114" s="252"/>
      <c r="BZ114" s="252" t="str">
        <f>IF($AB114="","",SUM(BU114:BU$114))</f>
        <v/>
      </c>
      <c r="CA114" s="55">
        <f>IF(AB114&lt;$E$3+$F$5,0,IFERROR(일반형!S116,0))</f>
        <v>0</v>
      </c>
      <c r="CB114" s="163"/>
      <c r="CC114" s="398" t="str">
        <f t="shared" si="55"/>
        <v/>
      </c>
      <c r="CD114" s="252" t="str">
        <f t="shared" si="95"/>
        <v/>
      </c>
      <c r="CE114" s="252" t="str">
        <f t="shared" si="82"/>
        <v/>
      </c>
      <c r="CF114" s="252" t="str">
        <f t="shared" si="83"/>
        <v/>
      </c>
      <c r="CG114" s="252" t="str">
        <f t="shared" si="96"/>
        <v/>
      </c>
      <c r="CH114" s="252" t="str">
        <f t="shared" si="84"/>
        <v/>
      </c>
      <c r="CI114" s="164" t="str">
        <f t="shared" si="97"/>
        <v/>
      </c>
      <c r="CJ114" s="165" t="str">
        <f t="shared" si="85"/>
        <v/>
      </c>
      <c r="CK114" s="244"/>
      <c r="CL114" s="211">
        <v>110</v>
      </c>
      <c r="CM114" s="252">
        <f t="shared" si="86"/>
        <v>0</v>
      </c>
      <c r="CN114" s="252">
        <f t="shared" si="87"/>
        <v>0</v>
      </c>
      <c r="CO114" s="252">
        <f t="shared" si="88"/>
        <v>0</v>
      </c>
      <c r="CP114" s="258">
        <f t="shared" si="98"/>
        <v>0</v>
      </c>
      <c r="CQ114" s="252"/>
      <c r="CR114" s="211">
        <v>110</v>
      </c>
      <c r="CS114" s="252"/>
      <c r="CT114" s="252"/>
      <c r="CU114" s="252"/>
      <c r="CV114" s="252">
        <v>1.5799999999999999E-4</v>
      </c>
      <c r="CW114" s="252"/>
      <c r="CX114" s="252">
        <v>0.40962900000000002</v>
      </c>
      <c r="CY114" s="252"/>
      <c r="CZ114" s="252">
        <v>1.6119999999999999E-3</v>
      </c>
      <c r="DA114" s="252"/>
      <c r="DB114" s="258">
        <v>1.5594999999999999E-2</v>
      </c>
      <c r="DC114" s="252"/>
      <c r="DD114" s="258">
        <v>9.6296000000000007E-2</v>
      </c>
    </row>
    <row r="115" spans="1:108">
      <c r="A115" s="373"/>
      <c r="D115" s="363"/>
      <c r="E115" s="363"/>
      <c r="F115" s="364"/>
      <c r="G115" s="364"/>
      <c r="H115" s="364"/>
      <c r="M115" s="158"/>
      <c r="N115" s="217"/>
      <c r="O115" s="217"/>
      <c r="P115" s="218"/>
      <c r="Q115" s="218"/>
      <c r="R115" s="218"/>
      <c r="S115" s="219"/>
      <c r="T115" s="218"/>
      <c r="U115" s="218"/>
      <c r="V115" s="219"/>
      <c r="W115" s="219"/>
      <c r="X115" s="218"/>
      <c r="Y115" s="219"/>
      <c r="Z115" s="219"/>
      <c r="AB115" s="166"/>
      <c r="AC115" s="168"/>
      <c r="AD115" s="168"/>
      <c r="AE115" s="168"/>
      <c r="AF115" s="168"/>
      <c r="AG115" s="168"/>
      <c r="AH115" s="263"/>
      <c r="AI115" s="263"/>
      <c r="AJ115" s="168"/>
      <c r="AK115" s="168"/>
      <c r="AL115" s="267"/>
      <c r="AM115" s="267"/>
      <c r="AN115" s="168"/>
      <c r="AO115" s="263"/>
      <c r="AP115" s="263"/>
      <c r="AQ115" s="263"/>
      <c r="AR115" s="263"/>
      <c r="AS115" s="263"/>
      <c r="AT115" s="263"/>
      <c r="AU115" s="263"/>
      <c r="AV115" s="263"/>
      <c r="AW115" s="263"/>
      <c r="AX115" s="263"/>
      <c r="AY115" s="263"/>
      <c r="AZ115" s="263"/>
      <c r="BA115" s="263"/>
      <c r="BB115" s="263"/>
      <c r="BC115" s="263"/>
      <c r="BD115" s="263"/>
      <c r="BE115" s="263"/>
      <c r="BF115" s="263"/>
      <c r="BG115" s="263"/>
      <c r="BH115" s="263"/>
      <c r="BI115" s="263"/>
      <c r="BJ115" s="263"/>
      <c r="BK115" s="263"/>
      <c r="BL115" s="263"/>
      <c r="BM115" s="263"/>
      <c r="BN115" s="263"/>
      <c r="BO115" s="263"/>
      <c r="BP115" s="263"/>
      <c r="BQ115" s="263"/>
      <c r="BR115" s="263"/>
      <c r="BS115" s="263"/>
      <c r="BT115" s="263"/>
      <c r="BU115" s="263"/>
      <c r="BV115" s="263"/>
      <c r="BW115" s="263"/>
      <c r="BX115" s="263"/>
      <c r="BY115" s="263"/>
      <c r="BZ115" s="263"/>
      <c r="CA115" s="263"/>
      <c r="CB115" s="263"/>
      <c r="CC115" s="263"/>
      <c r="CD115" s="263"/>
      <c r="CE115" s="263"/>
      <c r="CF115" s="263"/>
      <c r="CG115" s="263"/>
      <c r="CH115" s="263"/>
      <c r="CI115" s="263"/>
      <c r="CJ115" s="251"/>
      <c r="CK115" s="169"/>
      <c r="CL115" s="263">
        <v>111</v>
      </c>
      <c r="CM115" s="252">
        <f t="shared" si="86"/>
        <v>0</v>
      </c>
      <c r="CN115" s="252">
        <f t="shared" si="87"/>
        <v>0</v>
      </c>
      <c r="CO115" s="252">
        <f t="shared" si="88"/>
        <v>0</v>
      </c>
      <c r="CP115" s="258">
        <f t="shared" si="98"/>
        <v>0</v>
      </c>
      <c r="CQ115" s="263"/>
      <c r="CR115" s="263"/>
      <c r="CS115" s="263"/>
      <c r="CT115" s="263">
        <v>0.92004699999999995</v>
      </c>
      <c r="CU115" s="263"/>
      <c r="CV115" s="263">
        <v>1.5799999999999999E-4</v>
      </c>
      <c r="CW115" s="263"/>
      <c r="CX115" s="263">
        <v>0.43074000000000001</v>
      </c>
      <c r="CY115" s="263"/>
      <c r="CZ115" s="263">
        <v>1.6119999999999999E-3</v>
      </c>
      <c r="DB115" s="258">
        <v>1.5599E-2</v>
      </c>
      <c r="DC115" s="263"/>
      <c r="DD115" s="258">
        <v>9.6296000000000007E-2</v>
      </c>
    </row>
    <row r="116" spans="1:108" ht="17.25" thickBot="1">
      <c r="A116" s="373"/>
      <c r="D116" s="363"/>
      <c r="E116" s="363"/>
      <c r="F116" s="364"/>
      <c r="G116" s="364"/>
      <c r="H116" s="364"/>
      <c r="M116" s="158"/>
      <c r="N116" s="215" t="str">
        <f>IF(N115="","",IF(N115+1&gt;$F$4,"",N115+1))</f>
        <v/>
      </c>
      <c r="O116" s="159">
        <f>MAX($O$4:$O$114)</f>
        <v>1</v>
      </c>
      <c r="P116" s="216" t="str">
        <f>IF(N116="","",IF($F$5=0,$K$3,$K$3*$K$38*MIN($N116,F$5)))</f>
        <v/>
      </c>
      <c r="Q116" s="216" t="str">
        <f>IF(N116="","",CJ114*$E$12/100)</f>
        <v/>
      </c>
      <c r="R116" s="216"/>
      <c r="S116" s="228"/>
      <c r="T116" s="216" t="str">
        <f>IF(M116="","",MAX(P116-IF(M116&gt;=MIN(7,$F$5),0,((MIN(7,$F$5)-M116)/MIN(7,$F$5))*MIN($K$10,$K$11)*$E$12/100),0))</f>
        <v/>
      </c>
      <c r="U116" s="216" t="str">
        <f>IF(N116="","",MAX(Q116-IF(N116&gt;=MIN(7,$F$5),0,((MIN(7,$F$5)-N116)/MIN(7,$F$5))*MIN($K$10,$K$11)*$E$12/100),0))</f>
        <v/>
      </c>
      <c r="V116" s="228"/>
      <c r="W116" s="228"/>
      <c r="X116" s="216"/>
      <c r="Y116" s="228"/>
      <c r="Z116" s="228"/>
      <c r="AB116" s="223" t="s">
        <v>61</v>
      </c>
      <c r="AC116" s="372">
        <f>INDEX(AC4:AC114,$F$5+1)</f>
        <v>0</v>
      </c>
      <c r="AE116" s="372">
        <f t="shared" ref="AE116:BZ116" si="108">INDEX(AE4:AE114,$F$5+1)</f>
        <v>0.21500000000000002</v>
      </c>
      <c r="AF116" s="372">
        <f t="shared" si="108"/>
        <v>100000</v>
      </c>
      <c r="AG116" s="372">
        <f t="shared" si="108"/>
        <v>97799.511002444997</v>
      </c>
      <c r="AH116" s="372">
        <f t="shared" si="108"/>
        <v>97799.511002444997</v>
      </c>
      <c r="AI116" s="372">
        <f t="shared" si="108"/>
        <v>0</v>
      </c>
      <c r="AJ116" s="372">
        <f t="shared" si="108"/>
        <v>2.9999999999999997E-5</v>
      </c>
      <c r="AL116" s="372">
        <f t="shared" si="108"/>
        <v>0.21500000000000002</v>
      </c>
      <c r="AM116" s="372">
        <f t="shared" si="108"/>
        <v>100000</v>
      </c>
      <c r="AN116" s="372">
        <f t="shared" si="108"/>
        <v>97799.511002444997</v>
      </c>
      <c r="AO116" s="372">
        <f t="shared" si="108"/>
        <v>97799.511002444997</v>
      </c>
      <c r="AP116" s="372">
        <f t="shared" si="108"/>
        <v>1.5E-5</v>
      </c>
      <c r="AQ116" s="372">
        <f t="shared" si="108"/>
        <v>0.21500000000000002</v>
      </c>
      <c r="AR116" s="372">
        <f t="shared" si="108"/>
        <v>1.3387499999999999</v>
      </c>
      <c r="AS116" s="372">
        <f t="shared" si="108"/>
        <v>1.2948054204424775</v>
      </c>
      <c r="AT116" s="372">
        <f t="shared" si="108"/>
        <v>1.2948054204424775</v>
      </c>
      <c r="AU116" s="372">
        <f t="shared" si="108"/>
        <v>1.2948054204424775</v>
      </c>
      <c r="AV116" s="372">
        <f t="shared" si="108"/>
        <v>1</v>
      </c>
      <c r="AW116" s="372">
        <f t="shared" si="108"/>
        <v>0</v>
      </c>
      <c r="AX116" s="372">
        <f t="shared" si="108"/>
        <v>0.21500000000000002</v>
      </c>
      <c r="AY116" s="372">
        <f t="shared" si="108"/>
        <v>0</v>
      </c>
      <c r="AZ116" s="372">
        <f t="shared" si="108"/>
        <v>0</v>
      </c>
      <c r="BA116" s="372">
        <f t="shared" si="108"/>
        <v>0</v>
      </c>
      <c r="BB116" s="372">
        <f t="shared" si="108"/>
        <v>0</v>
      </c>
      <c r="BC116" s="372">
        <f t="shared" si="108"/>
        <v>0.21500000000000002</v>
      </c>
      <c r="BD116" s="372">
        <f t="shared" si="108"/>
        <v>0</v>
      </c>
      <c r="BE116" s="372">
        <f t="shared" si="108"/>
        <v>0</v>
      </c>
      <c r="BF116" s="372">
        <f t="shared" si="108"/>
        <v>0</v>
      </c>
      <c r="BG116" s="372">
        <f t="shared" si="108"/>
        <v>0</v>
      </c>
      <c r="BH116" s="372">
        <f t="shared" si="108"/>
        <v>0.21500000000000002</v>
      </c>
      <c r="BI116" s="372">
        <f t="shared" si="108"/>
        <v>0</v>
      </c>
      <c r="BJ116" s="372">
        <f t="shared" si="108"/>
        <v>0</v>
      </c>
      <c r="BK116" s="372">
        <f t="shared" si="108"/>
        <v>0</v>
      </c>
      <c r="BL116" s="372">
        <f t="shared" si="108"/>
        <v>0</v>
      </c>
      <c r="BM116" s="372">
        <f t="shared" si="108"/>
        <v>0.21500000000000002</v>
      </c>
      <c r="BN116" s="372">
        <f t="shared" si="108"/>
        <v>0</v>
      </c>
      <c r="BO116" s="372">
        <f t="shared" si="108"/>
        <v>0</v>
      </c>
      <c r="BP116" s="372">
        <f t="shared" si="108"/>
        <v>0</v>
      </c>
      <c r="BQ116" s="372">
        <f t="shared" si="108"/>
        <v>0.21500000000000002</v>
      </c>
      <c r="BR116" s="372">
        <f t="shared" si="108"/>
        <v>21500.000000000004</v>
      </c>
      <c r="BS116" s="372">
        <f t="shared" si="108"/>
        <v>20794.260720458096</v>
      </c>
      <c r="BT116" s="372" t="e">
        <f t="shared" si="108"/>
        <v>#VALUE!</v>
      </c>
      <c r="BU116" s="372">
        <f t="shared" si="108"/>
        <v>0</v>
      </c>
      <c r="BV116" s="372">
        <f t="shared" si="108"/>
        <v>0</v>
      </c>
      <c r="BW116" s="372">
        <f t="shared" si="108"/>
        <v>0</v>
      </c>
      <c r="BX116" s="372">
        <f t="shared" si="108"/>
        <v>0</v>
      </c>
      <c r="BY116" s="372">
        <f t="shared" si="108"/>
        <v>0</v>
      </c>
      <c r="BZ116" s="372">
        <f t="shared" si="108"/>
        <v>0</v>
      </c>
      <c r="CA116" s="372"/>
      <c r="CB116" s="372"/>
      <c r="CC116" s="372"/>
      <c r="CD116" s="372"/>
      <c r="CE116" s="372"/>
      <c r="CF116" s="372"/>
      <c r="CG116" s="372"/>
      <c r="CH116" s="372"/>
      <c r="CI116" s="372"/>
      <c r="CJ116" s="264"/>
      <c r="CK116" s="170"/>
      <c r="CL116" s="372">
        <v>112</v>
      </c>
      <c r="CM116" s="252">
        <f t="shared" si="86"/>
        <v>0</v>
      </c>
      <c r="CN116" s="252">
        <f t="shared" si="87"/>
        <v>0</v>
      </c>
      <c r="CO116" s="252">
        <f t="shared" si="88"/>
        <v>0</v>
      </c>
      <c r="CP116" s="258">
        <f t="shared" si="98"/>
        <v>0</v>
      </c>
      <c r="CQ116" s="372"/>
      <c r="CR116" s="372"/>
      <c r="CS116" s="372"/>
      <c r="CT116" s="372">
        <v>1</v>
      </c>
      <c r="CU116" s="372"/>
      <c r="CV116" s="372"/>
      <c r="CW116" s="372"/>
      <c r="CX116" s="372"/>
      <c r="CY116" s="372"/>
      <c r="CZ116" s="372"/>
      <c r="DA116" s="372"/>
      <c r="DB116" s="258"/>
    </row>
    <row r="117" spans="1:108" ht="18" thickTop="1" thickBot="1">
      <c r="A117" s="373"/>
      <c r="D117" s="363"/>
      <c r="E117" s="363"/>
      <c r="F117" s="364"/>
      <c r="G117" s="364"/>
      <c r="H117" s="364"/>
      <c r="M117" s="158"/>
      <c r="N117" s="215"/>
      <c r="O117" s="159">
        <f>MAX($O$4:$O$114)</f>
        <v>1</v>
      </c>
      <c r="P117" s="216"/>
      <c r="Q117" s="216"/>
      <c r="R117" s="216"/>
      <c r="S117" s="229"/>
      <c r="T117" s="216"/>
      <c r="U117" s="216"/>
      <c r="V117" s="229"/>
      <c r="W117" s="229"/>
      <c r="X117" s="216"/>
      <c r="Y117" s="229"/>
      <c r="Z117" s="229"/>
      <c r="AB117" s="223" t="s">
        <v>62</v>
      </c>
      <c r="AC117" s="372">
        <f>INDEX(AC4:AC114,$F$4+1)</f>
        <v>0</v>
      </c>
      <c r="AE117" s="372">
        <f>INDEX(AE4:AE114,$F$4+1)</f>
        <v>0.21500000000000002</v>
      </c>
      <c r="AF117" s="372">
        <f>INDEX(AF4:AF114,$F$4+1)</f>
        <v>100000</v>
      </c>
      <c r="AG117" s="372">
        <f>INDEX(AG4:AG114,$F$4+1)</f>
        <v>97799.511002444997</v>
      </c>
      <c r="AH117" s="406">
        <f>IF($O117&gt;100,0,INDEX(AH4:AH114,$F$4+1))</f>
        <v>97799.511002444997</v>
      </c>
      <c r="AI117" s="372">
        <f t="shared" ref="AI117:BY117" si="109">INDEX(AI4:AI114,$F$4+1)</f>
        <v>0</v>
      </c>
      <c r="AJ117" s="372">
        <f t="shared" si="109"/>
        <v>2.9999999999999997E-5</v>
      </c>
      <c r="AL117" s="372">
        <f t="shared" si="109"/>
        <v>0.21500000000000002</v>
      </c>
      <c r="AM117" s="372">
        <f t="shared" si="109"/>
        <v>100000</v>
      </c>
      <c r="AN117" s="372">
        <f t="shared" si="109"/>
        <v>97799.511002444997</v>
      </c>
      <c r="AO117" s="372">
        <f t="shared" si="109"/>
        <v>97799.511002444997</v>
      </c>
      <c r="AP117" s="372">
        <f t="shared" si="109"/>
        <v>1.5E-5</v>
      </c>
      <c r="AQ117" s="372">
        <f t="shared" si="109"/>
        <v>0.21500000000000002</v>
      </c>
      <c r="AR117" s="372">
        <f t="shared" si="109"/>
        <v>1.3387499999999999</v>
      </c>
      <c r="AS117" s="372">
        <f t="shared" si="109"/>
        <v>1.2948054204424775</v>
      </c>
      <c r="AT117" s="372">
        <f>INDEX(AT4:AT114,$F$4+1)</f>
        <v>1.2948054204424775</v>
      </c>
      <c r="AU117" s="372">
        <f t="shared" si="109"/>
        <v>1.2948054204424775</v>
      </c>
      <c r="AV117" s="372">
        <f t="shared" si="109"/>
        <v>1</v>
      </c>
      <c r="AW117" s="372">
        <f t="shared" si="109"/>
        <v>0</v>
      </c>
      <c r="AX117" s="372">
        <f t="shared" si="109"/>
        <v>0.21500000000000002</v>
      </c>
      <c r="AY117" s="372">
        <f t="shared" si="109"/>
        <v>0</v>
      </c>
      <c r="AZ117" s="372">
        <f t="shared" si="109"/>
        <v>0</v>
      </c>
      <c r="BA117" s="372">
        <f t="shared" si="109"/>
        <v>0</v>
      </c>
      <c r="BB117" s="372">
        <f t="shared" si="109"/>
        <v>0</v>
      </c>
      <c r="BC117" s="372">
        <f t="shared" si="109"/>
        <v>0.21500000000000002</v>
      </c>
      <c r="BD117" s="372">
        <f t="shared" si="109"/>
        <v>0</v>
      </c>
      <c r="BE117" s="372">
        <f t="shared" si="109"/>
        <v>0</v>
      </c>
      <c r="BF117" s="372">
        <f t="shared" si="109"/>
        <v>0</v>
      </c>
      <c r="BG117" s="372">
        <f t="shared" si="109"/>
        <v>0</v>
      </c>
      <c r="BH117" s="372">
        <f t="shared" si="109"/>
        <v>0.21500000000000002</v>
      </c>
      <c r="BI117" s="372">
        <f t="shared" si="109"/>
        <v>0</v>
      </c>
      <c r="BJ117" s="372">
        <f t="shared" si="109"/>
        <v>0</v>
      </c>
      <c r="BK117" s="372">
        <f t="shared" si="109"/>
        <v>0</v>
      </c>
      <c r="BL117" s="372">
        <f t="shared" si="109"/>
        <v>0</v>
      </c>
      <c r="BM117" s="372">
        <f t="shared" si="109"/>
        <v>0.21500000000000002</v>
      </c>
      <c r="BN117" s="372">
        <f t="shared" si="109"/>
        <v>0</v>
      </c>
      <c r="BO117" s="372">
        <f t="shared" si="109"/>
        <v>0</v>
      </c>
      <c r="BP117" s="372">
        <f t="shared" si="109"/>
        <v>0</v>
      </c>
      <c r="BQ117" s="372">
        <f t="shared" si="109"/>
        <v>0.21500000000000002</v>
      </c>
      <c r="BR117" s="372">
        <f t="shared" si="109"/>
        <v>21500.000000000004</v>
      </c>
      <c r="BS117" s="372">
        <f t="shared" si="109"/>
        <v>20794.260720458096</v>
      </c>
      <c r="BT117" s="372" t="e">
        <f t="shared" si="109"/>
        <v>#VALUE!</v>
      </c>
      <c r="BU117" s="372">
        <f t="shared" si="109"/>
        <v>0</v>
      </c>
      <c r="BV117" s="372">
        <f t="shared" si="109"/>
        <v>0</v>
      </c>
      <c r="BW117" s="372">
        <f t="shared" si="109"/>
        <v>0</v>
      </c>
      <c r="BX117" s="372">
        <f t="shared" si="109"/>
        <v>0</v>
      </c>
      <c r="BY117" s="372">
        <f t="shared" si="109"/>
        <v>0</v>
      </c>
      <c r="BZ117" s="406">
        <f>IF($E$4=10,0,INDEX(BZ4:BZ114,$F$4+1))</f>
        <v>0</v>
      </c>
      <c r="CA117" s="372"/>
      <c r="CB117" s="372"/>
      <c r="CC117" s="372"/>
      <c r="CD117" s="372"/>
      <c r="CE117" s="372"/>
      <c r="CF117" s="372"/>
      <c r="CG117" s="372"/>
      <c r="CH117" s="372"/>
      <c r="CI117" s="372"/>
      <c r="CJ117" s="264"/>
      <c r="CK117" s="170"/>
      <c r="CL117" s="372"/>
      <c r="CM117" s="372"/>
      <c r="CN117" s="372"/>
      <c r="CO117" s="372"/>
      <c r="CP117" s="372"/>
      <c r="CQ117" s="372"/>
      <c r="CR117" s="372"/>
      <c r="CS117" s="372"/>
      <c r="CT117" s="372"/>
      <c r="CU117" s="372"/>
      <c r="CV117" s="372"/>
      <c r="CW117" s="372"/>
      <c r="CX117" s="372"/>
      <c r="CY117" s="372"/>
      <c r="CZ117" s="372"/>
      <c r="DA117" s="253"/>
      <c r="DB117" s="253"/>
    </row>
    <row r="118" spans="1:108" ht="17.25" thickTop="1">
      <c r="A118" s="373"/>
      <c r="D118" s="363"/>
      <c r="E118" s="363"/>
      <c r="F118" s="364"/>
      <c r="G118" s="364"/>
      <c r="H118" s="364"/>
      <c r="M118" s="158"/>
      <c r="N118" s="215"/>
      <c r="O118" s="270"/>
      <c r="P118" s="216"/>
      <c r="Q118" s="216"/>
      <c r="R118" s="216"/>
      <c r="S118" s="230"/>
      <c r="T118" s="216"/>
      <c r="U118" s="216"/>
      <c r="V118" s="230"/>
      <c r="W118" s="230"/>
      <c r="X118" s="216"/>
      <c r="Y118" s="230"/>
      <c r="Z118" s="230"/>
      <c r="AN118" s="171"/>
      <c r="AO118" s="172"/>
    </row>
    <row r="119" spans="1:108">
      <c r="A119" s="373"/>
      <c r="D119" s="363"/>
      <c r="E119" s="363"/>
      <c r="F119" s="364"/>
      <c r="G119" s="364"/>
      <c r="H119" s="364"/>
      <c r="M119" s="158"/>
      <c r="N119" s="158"/>
      <c r="O119" s="158"/>
      <c r="P119" s="216"/>
      <c r="Q119" s="216"/>
      <c r="R119" s="216"/>
      <c r="S119" s="230"/>
      <c r="T119" s="216"/>
      <c r="U119" s="216"/>
      <c r="V119" s="230"/>
      <c r="W119" s="230"/>
      <c r="X119" s="216"/>
      <c r="Y119" s="230"/>
      <c r="Z119" s="230"/>
    </row>
    <row r="120" spans="1:108">
      <c r="A120" s="373"/>
      <c r="D120" s="363"/>
      <c r="E120" s="363"/>
      <c r="F120" s="364"/>
      <c r="G120" s="364"/>
      <c r="H120" s="364"/>
      <c r="M120" s="158"/>
      <c r="N120" s="375"/>
      <c r="O120" s="375"/>
      <c r="P120" s="216"/>
      <c r="Q120" s="216"/>
      <c r="R120" s="216"/>
      <c r="S120" s="230"/>
      <c r="T120" s="216"/>
      <c r="U120" s="216"/>
      <c r="V120" s="230"/>
      <c r="W120" s="230"/>
      <c r="X120" s="216"/>
      <c r="Y120" s="230"/>
      <c r="Z120" s="230"/>
    </row>
    <row r="121" spans="1:108">
      <c r="A121" s="373"/>
      <c r="D121" s="363"/>
      <c r="E121" s="363"/>
      <c r="F121" s="364"/>
      <c r="G121" s="364"/>
      <c r="H121" s="364"/>
      <c r="M121" s="158"/>
      <c r="N121" s="377"/>
      <c r="O121" s="377"/>
      <c r="P121" s="220"/>
    </row>
    <row r="122" spans="1:108">
      <c r="A122" s="373"/>
      <c r="D122" s="363"/>
      <c r="E122" s="363"/>
      <c r="F122" s="364"/>
      <c r="G122" s="364"/>
      <c r="H122" s="364"/>
      <c r="M122" s="158"/>
      <c r="N122" s="377"/>
      <c r="O122" s="377"/>
      <c r="P122" s="220"/>
    </row>
    <row r="123" spans="1:108">
      <c r="A123" s="373"/>
      <c r="D123" s="363"/>
      <c r="E123" s="363"/>
      <c r="F123" s="364"/>
      <c r="G123" s="364"/>
      <c r="H123" s="364"/>
      <c r="M123" s="158"/>
      <c r="N123" s="377"/>
      <c r="O123" s="377"/>
      <c r="P123" s="220"/>
    </row>
    <row r="124" spans="1:108">
      <c r="A124" s="373"/>
      <c r="D124" s="363"/>
      <c r="E124" s="363"/>
      <c r="F124" s="364"/>
      <c r="G124" s="364"/>
      <c r="H124" s="364"/>
      <c r="M124" s="158"/>
      <c r="N124" s="377"/>
      <c r="O124" s="377"/>
      <c r="P124" s="220"/>
    </row>
    <row r="125" spans="1:108">
      <c r="A125" s="373"/>
      <c r="D125" s="363"/>
      <c r="E125" s="363"/>
      <c r="F125" s="364"/>
      <c r="G125" s="364"/>
      <c r="H125" s="364"/>
      <c r="M125" s="158"/>
      <c r="N125" s="377"/>
      <c r="O125" s="377"/>
      <c r="P125" s="220"/>
    </row>
    <row r="126" spans="1:108">
      <c r="A126" s="373"/>
      <c r="D126" s="363"/>
      <c r="E126" s="363"/>
      <c r="F126" s="364"/>
      <c r="G126" s="364"/>
      <c r="H126" s="364"/>
      <c r="M126" s="158"/>
      <c r="N126" s="377"/>
      <c r="O126" s="377"/>
      <c r="P126" s="220"/>
      <c r="AB126" s="223"/>
      <c r="AH126" s="372"/>
      <c r="AI126" s="372"/>
      <c r="AL126" s="372"/>
      <c r="AM126" s="372"/>
      <c r="AO126" s="372"/>
      <c r="AP126" s="372"/>
      <c r="AQ126" s="372"/>
      <c r="AR126" s="372"/>
      <c r="AS126" s="372"/>
      <c r="AT126" s="372"/>
      <c r="AU126" s="372"/>
      <c r="AV126" s="372"/>
      <c r="AW126" s="372"/>
      <c r="AX126" s="372"/>
      <c r="AY126" s="372"/>
      <c r="AZ126" s="372"/>
      <c r="BA126" s="372"/>
      <c r="BB126" s="372"/>
      <c r="BC126" s="372"/>
      <c r="BD126" s="372"/>
      <c r="BE126" s="372"/>
      <c r="BF126" s="372"/>
      <c r="BG126" s="372"/>
      <c r="BH126" s="372"/>
      <c r="BI126" s="372"/>
      <c r="BJ126" s="372"/>
      <c r="BK126" s="372"/>
      <c r="BL126" s="372"/>
      <c r="BM126" s="372"/>
      <c r="BN126" s="372"/>
      <c r="BO126" s="372"/>
      <c r="BP126" s="372"/>
      <c r="BQ126" s="372"/>
      <c r="BR126" s="372"/>
      <c r="BS126" s="372"/>
      <c r="BT126" s="372"/>
      <c r="BU126" s="372"/>
      <c r="BV126" s="372"/>
      <c r="BW126" s="372"/>
      <c r="BX126" s="372"/>
      <c r="BY126" s="372"/>
      <c r="BZ126" s="372"/>
    </row>
    <row r="127" spans="1:108">
      <c r="A127" s="373"/>
      <c r="D127" s="363"/>
      <c r="E127" s="363"/>
      <c r="F127" s="364"/>
      <c r="G127" s="364"/>
      <c r="H127" s="364"/>
      <c r="M127" s="158"/>
      <c r="N127" s="377"/>
      <c r="O127" s="377"/>
      <c r="P127" s="220"/>
      <c r="AB127" s="223"/>
      <c r="AH127" s="372"/>
      <c r="AI127" s="372"/>
      <c r="AL127" s="372"/>
      <c r="AM127" s="372"/>
      <c r="AO127" s="372"/>
      <c r="AP127" s="372"/>
      <c r="AQ127" s="372"/>
      <c r="AR127" s="372"/>
      <c r="AS127" s="372"/>
      <c r="AT127" s="372"/>
      <c r="AU127" s="372"/>
      <c r="AV127" s="372"/>
      <c r="AW127" s="372"/>
      <c r="AX127" s="372"/>
      <c r="AY127" s="372"/>
      <c r="AZ127" s="372"/>
      <c r="BA127" s="372"/>
      <c r="BB127" s="372"/>
      <c r="BC127" s="372"/>
      <c r="BD127" s="372"/>
      <c r="BE127" s="372"/>
      <c r="BF127" s="372"/>
      <c r="BG127" s="372"/>
      <c r="BH127" s="372"/>
      <c r="BI127" s="372"/>
      <c r="BJ127" s="372"/>
      <c r="BK127" s="372"/>
      <c r="BL127" s="372"/>
      <c r="BM127" s="372"/>
      <c r="BN127" s="372"/>
      <c r="BO127" s="372"/>
      <c r="BP127" s="372"/>
      <c r="BQ127" s="372"/>
      <c r="BR127" s="372"/>
      <c r="BS127" s="372"/>
      <c r="BT127" s="372"/>
      <c r="BU127" s="372"/>
      <c r="BV127" s="372"/>
      <c r="BW127" s="372"/>
      <c r="BX127" s="372"/>
      <c r="BY127" s="372"/>
      <c r="BZ127" s="372"/>
    </row>
    <row r="128" spans="1:108">
      <c r="A128" s="373"/>
      <c r="D128" s="363"/>
      <c r="E128" s="363"/>
      <c r="F128" s="364"/>
      <c r="G128" s="364"/>
      <c r="H128" s="364"/>
      <c r="M128" s="158"/>
      <c r="N128" s="377"/>
      <c r="O128" s="377"/>
      <c r="P128" s="220"/>
    </row>
    <row r="129" spans="1:106">
      <c r="A129" s="373"/>
      <c r="D129" s="363"/>
      <c r="E129" s="363"/>
      <c r="F129" s="364"/>
      <c r="G129" s="364"/>
      <c r="H129" s="364"/>
      <c r="M129" s="158"/>
      <c r="N129" s="377"/>
      <c r="O129" s="377"/>
      <c r="P129" s="220"/>
      <c r="Q129" s="373"/>
      <c r="R129" s="373"/>
      <c r="S129" s="373"/>
      <c r="T129" s="373"/>
      <c r="U129" s="373"/>
      <c r="V129" s="373"/>
      <c r="W129" s="373"/>
      <c r="X129" s="373"/>
      <c r="Y129" s="373"/>
      <c r="Z129" s="373"/>
      <c r="AB129" s="373"/>
      <c r="AC129" s="373"/>
      <c r="AD129" s="373"/>
      <c r="AE129" s="373"/>
      <c r="AF129" s="373"/>
      <c r="AG129" s="373"/>
      <c r="AH129" s="373"/>
      <c r="AI129" s="373"/>
      <c r="AJ129" s="373"/>
      <c r="AK129" s="373"/>
      <c r="AL129" s="373"/>
      <c r="AM129" s="373"/>
      <c r="AN129" s="373"/>
      <c r="AO129" s="373"/>
      <c r="AP129" s="373"/>
      <c r="AQ129" s="373"/>
      <c r="AR129" s="373"/>
      <c r="AS129" s="373"/>
      <c r="AT129" s="373"/>
      <c r="AU129" s="373"/>
      <c r="AV129" s="373"/>
      <c r="AW129" s="373"/>
      <c r="AX129" s="373"/>
      <c r="AY129" s="373"/>
      <c r="AZ129" s="373"/>
      <c r="BA129" s="373"/>
      <c r="BB129" s="373"/>
      <c r="BC129" s="373"/>
      <c r="BD129" s="373"/>
      <c r="BE129" s="373"/>
      <c r="BF129" s="373"/>
      <c r="BG129" s="373"/>
      <c r="BH129" s="373"/>
      <c r="BI129" s="373"/>
      <c r="BJ129" s="373"/>
      <c r="BK129" s="373"/>
      <c r="BL129" s="373"/>
      <c r="BM129" s="373"/>
      <c r="BN129" s="373"/>
      <c r="BO129" s="373"/>
      <c r="BP129" s="373"/>
      <c r="BQ129" s="373"/>
      <c r="BR129" s="373"/>
      <c r="BS129" s="373"/>
      <c r="BT129" s="373"/>
      <c r="BU129" s="373"/>
      <c r="BV129" s="373"/>
      <c r="BW129" s="373"/>
      <c r="BX129" s="373"/>
      <c r="BY129" s="373"/>
      <c r="BZ129" s="373"/>
      <c r="CA129" s="373"/>
      <c r="CB129" s="373"/>
      <c r="CC129" s="373"/>
      <c r="CD129" s="373"/>
      <c r="CE129" s="373"/>
      <c r="CF129" s="373"/>
      <c r="CG129" s="373"/>
      <c r="CH129" s="373"/>
      <c r="CI129" s="373"/>
      <c r="CJ129" s="373"/>
      <c r="CK129" s="373"/>
      <c r="CL129" s="373"/>
      <c r="CM129" s="373"/>
      <c r="CN129" s="373"/>
      <c r="CO129" s="373"/>
      <c r="CP129" s="373"/>
      <c r="CQ129" s="373"/>
      <c r="CR129" s="373"/>
      <c r="CS129" s="373"/>
      <c r="CT129" s="373"/>
      <c r="CU129" s="373"/>
      <c r="CV129" s="373"/>
      <c r="CW129" s="373"/>
      <c r="CX129" s="373"/>
      <c r="CY129" s="373"/>
      <c r="CZ129" s="373"/>
      <c r="DA129" s="412"/>
      <c r="DB129" s="412"/>
    </row>
    <row r="130" spans="1:106">
      <c r="A130" s="373"/>
      <c r="D130" s="363"/>
      <c r="E130" s="363"/>
      <c r="F130" s="364"/>
      <c r="G130" s="364"/>
      <c r="H130" s="364"/>
      <c r="M130" s="158"/>
      <c r="N130" s="377"/>
      <c r="O130" s="377"/>
      <c r="P130" s="220"/>
      <c r="Q130" s="373"/>
      <c r="R130" s="373"/>
      <c r="S130" s="373"/>
      <c r="T130" s="373"/>
      <c r="U130" s="373"/>
      <c r="V130" s="373"/>
      <c r="W130" s="373"/>
      <c r="X130" s="373"/>
      <c r="Y130" s="373"/>
      <c r="Z130" s="373"/>
      <c r="AB130" s="373"/>
      <c r="AC130" s="373"/>
      <c r="AD130" s="373"/>
      <c r="AE130" s="373"/>
      <c r="AF130" s="373"/>
      <c r="AG130" s="373"/>
      <c r="AH130" s="373"/>
      <c r="AI130" s="373"/>
      <c r="AJ130" s="373"/>
      <c r="AK130" s="373"/>
      <c r="AL130" s="373"/>
      <c r="AM130" s="373"/>
      <c r="AN130" s="373"/>
      <c r="AO130" s="373"/>
      <c r="AP130" s="373"/>
      <c r="AQ130" s="373"/>
      <c r="AR130" s="373"/>
      <c r="AS130" s="373"/>
      <c r="AT130" s="373"/>
      <c r="AU130" s="373"/>
      <c r="AV130" s="373"/>
      <c r="AW130" s="373"/>
      <c r="AX130" s="373"/>
      <c r="AY130" s="373"/>
      <c r="AZ130" s="373"/>
      <c r="BA130" s="373"/>
      <c r="BB130" s="373"/>
      <c r="BC130" s="373"/>
      <c r="BD130" s="373"/>
      <c r="BE130" s="373"/>
      <c r="BF130" s="373"/>
      <c r="BG130" s="373"/>
      <c r="BH130" s="373"/>
      <c r="BI130" s="373"/>
      <c r="BJ130" s="373"/>
      <c r="BK130" s="373"/>
      <c r="BL130" s="373"/>
      <c r="BM130" s="373"/>
      <c r="BN130" s="373"/>
      <c r="BO130" s="373"/>
      <c r="BP130" s="373"/>
      <c r="BQ130" s="373"/>
      <c r="BR130" s="373"/>
      <c r="BS130" s="373"/>
      <c r="BT130" s="373"/>
      <c r="BU130" s="373"/>
      <c r="BV130" s="373"/>
      <c r="BW130" s="373"/>
      <c r="BX130" s="373"/>
      <c r="BY130" s="373"/>
      <c r="BZ130" s="373"/>
      <c r="CA130" s="373"/>
      <c r="CB130" s="373"/>
      <c r="CC130" s="373"/>
      <c r="CD130" s="373"/>
      <c r="CE130" s="373"/>
      <c r="CF130" s="373"/>
      <c r="CG130" s="373"/>
      <c r="CH130" s="373"/>
      <c r="CI130" s="373"/>
      <c r="CJ130" s="373"/>
      <c r="CK130" s="373"/>
      <c r="CL130" s="373"/>
      <c r="CM130" s="373"/>
      <c r="CN130" s="373"/>
      <c r="CO130" s="373"/>
      <c r="CP130" s="373"/>
      <c r="CQ130" s="373"/>
      <c r="CR130" s="373"/>
      <c r="CS130" s="373"/>
      <c r="CT130" s="373"/>
      <c r="CU130" s="373"/>
      <c r="CV130" s="373"/>
      <c r="CW130" s="373"/>
      <c r="CX130" s="373"/>
      <c r="CY130" s="373"/>
      <c r="CZ130" s="373"/>
    </row>
    <row r="131" spans="1:106">
      <c r="A131" s="373"/>
      <c r="D131" s="363"/>
      <c r="E131" s="363"/>
      <c r="F131" s="364"/>
      <c r="G131" s="364"/>
      <c r="H131" s="364"/>
      <c r="M131" s="158"/>
      <c r="N131" s="377"/>
      <c r="O131" s="377"/>
      <c r="P131" s="220"/>
      <c r="Q131" s="373"/>
      <c r="R131" s="373"/>
      <c r="S131" s="373"/>
      <c r="T131" s="373"/>
      <c r="U131" s="373"/>
      <c r="V131" s="373"/>
      <c r="W131" s="373"/>
      <c r="X131" s="373"/>
      <c r="Y131" s="373"/>
      <c r="Z131" s="373"/>
      <c r="AB131" s="373"/>
      <c r="AC131" s="373"/>
      <c r="AD131" s="373"/>
      <c r="AE131" s="373"/>
      <c r="AF131" s="373"/>
      <c r="AG131" s="373"/>
      <c r="AH131" s="373"/>
      <c r="AI131" s="373"/>
      <c r="AJ131" s="373"/>
      <c r="AK131" s="373"/>
      <c r="AL131" s="373"/>
      <c r="AM131" s="373"/>
      <c r="AN131" s="373"/>
      <c r="AO131" s="373"/>
      <c r="AP131" s="373"/>
      <c r="AQ131" s="373"/>
      <c r="AR131" s="373"/>
      <c r="AS131" s="373"/>
      <c r="AT131" s="373"/>
      <c r="AU131" s="373"/>
      <c r="AV131" s="373"/>
      <c r="AW131" s="373"/>
      <c r="AX131" s="373"/>
      <c r="AY131" s="373"/>
      <c r="AZ131" s="373"/>
      <c r="BA131" s="373"/>
      <c r="BB131" s="373"/>
      <c r="BC131" s="373"/>
      <c r="BD131" s="373"/>
      <c r="BE131" s="373"/>
      <c r="BF131" s="373"/>
      <c r="BG131" s="373"/>
      <c r="BH131" s="373"/>
      <c r="BI131" s="373"/>
      <c r="BJ131" s="373"/>
      <c r="BK131" s="373"/>
      <c r="BL131" s="373"/>
      <c r="BM131" s="373"/>
      <c r="BN131" s="373"/>
      <c r="BO131" s="373"/>
      <c r="BP131" s="373"/>
      <c r="BQ131" s="373"/>
      <c r="BR131" s="373"/>
      <c r="BS131" s="373"/>
      <c r="BT131" s="373"/>
      <c r="BU131" s="373"/>
      <c r="BV131" s="373"/>
      <c r="BW131" s="373"/>
      <c r="BX131" s="373"/>
      <c r="BY131" s="373"/>
      <c r="BZ131" s="373"/>
      <c r="CA131" s="373"/>
      <c r="CB131" s="373"/>
      <c r="CC131" s="373"/>
      <c r="CD131" s="373"/>
      <c r="CE131" s="373"/>
      <c r="CF131" s="373"/>
      <c r="CG131" s="373"/>
      <c r="CH131" s="373"/>
      <c r="CI131" s="373"/>
      <c r="CJ131" s="373"/>
      <c r="CK131" s="373"/>
      <c r="CL131" s="373"/>
      <c r="CM131" s="373"/>
      <c r="CN131" s="373"/>
      <c r="CO131" s="373"/>
      <c r="CP131" s="373"/>
      <c r="CQ131" s="373"/>
      <c r="CR131" s="373"/>
      <c r="CS131" s="373"/>
      <c r="CT131" s="373"/>
      <c r="CU131" s="373"/>
      <c r="CV131" s="373"/>
      <c r="CW131" s="373"/>
      <c r="CX131" s="373"/>
      <c r="CY131" s="373"/>
      <c r="CZ131" s="373"/>
    </row>
    <row r="132" spans="1:106">
      <c r="A132" s="373"/>
      <c r="D132" s="363"/>
      <c r="E132" s="363"/>
      <c r="F132" s="364"/>
      <c r="G132" s="364"/>
      <c r="H132" s="364"/>
      <c r="M132" s="158"/>
      <c r="N132" s="377"/>
      <c r="O132" s="377"/>
      <c r="P132" s="220"/>
      <c r="Q132" s="373"/>
      <c r="R132" s="373"/>
      <c r="S132" s="373"/>
      <c r="T132" s="373"/>
      <c r="U132" s="373"/>
      <c r="V132" s="373"/>
      <c r="W132" s="373"/>
      <c r="X132" s="373"/>
      <c r="Y132" s="373"/>
      <c r="Z132" s="373"/>
      <c r="AB132" s="373"/>
      <c r="AC132" s="373"/>
      <c r="AD132" s="373"/>
      <c r="AE132" s="373"/>
      <c r="AF132" s="373"/>
      <c r="AG132" s="373"/>
      <c r="AH132" s="373"/>
      <c r="AI132" s="373"/>
      <c r="AJ132" s="373"/>
      <c r="AK132" s="373"/>
      <c r="AL132" s="373"/>
      <c r="AM132" s="373"/>
      <c r="AN132" s="373"/>
      <c r="AO132" s="373"/>
      <c r="AP132" s="373"/>
      <c r="AQ132" s="373"/>
      <c r="AR132" s="373"/>
      <c r="AS132" s="373"/>
      <c r="AT132" s="373"/>
      <c r="AU132" s="373"/>
      <c r="AV132" s="373"/>
      <c r="AW132" s="373"/>
      <c r="AX132" s="373"/>
      <c r="AY132" s="373"/>
      <c r="AZ132" s="373"/>
      <c r="BA132" s="373"/>
      <c r="BB132" s="373"/>
      <c r="BC132" s="373"/>
      <c r="BD132" s="373"/>
      <c r="BE132" s="373"/>
      <c r="BF132" s="373"/>
      <c r="BG132" s="373"/>
      <c r="BH132" s="373"/>
      <c r="BI132" s="373"/>
      <c r="BJ132" s="373"/>
      <c r="BK132" s="373"/>
      <c r="BL132" s="373"/>
      <c r="BM132" s="373"/>
      <c r="BN132" s="373"/>
      <c r="BO132" s="373"/>
      <c r="BP132" s="373"/>
      <c r="BQ132" s="373"/>
      <c r="BR132" s="373"/>
      <c r="BS132" s="373"/>
      <c r="BT132" s="373"/>
      <c r="BU132" s="373"/>
      <c r="BV132" s="373"/>
      <c r="BW132" s="373"/>
      <c r="BX132" s="373"/>
      <c r="BY132" s="373"/>
      <c r="BZ132" s="373"/>
      <c r="CA132" s="373"/>
      <c r="CB132" s="373"/>
      <c r="CC132" s="373"/>
      <c r="CD132" s="373"/>
      <c r="CE132" s="373"/>
      <c r="CF132" s="373"/>
      <c r="CG132" s="373"/>
      <c r="CH132" s="373"/>
      <c r="CI132" s="373"/>
      <c r="CJ132" s="373"/>
      <c r="CK132" s="373"/>
      <c r="CL132" s="373"/>
      <c r="CM132" s="373"/>
      <c r="CN132" s="373"/>
      <c r="CO132" s="373"/>
      <c r="CP132" s="373"/>
      <c r="CQ132" s="373"/>
      <c r="CR132" s="373"/>
      <c r="CS132" s="373"/>
      <c r="CT132" s="373"/>
      <c r="CU132" s="373"/>
      <c r="CV132" s="373"/>
      <c r="CW132" s="373"/>
      <c r="CX132" s="373"/>
      <c r="CY132" s="373"/>
      <c r="CZ132" s="373"/>
    </row>
    <row r="133" spans="1:106">
      <c r="A133" s="373"/>
      <c r="D133" s="363"/>
      <c r="E133" s="363"/>
      <c r="F133" s="364"/>
      <c r="G133" s="364"/>
      <c r="H133" s="364"/>
      <c r="M133" s="158"/>
      <c r="N133" s="377"/>
      <c r="O133" s="377"/>
      <c r="P133" s="220"/>
      <c r="Q133" s="373"/>
      <c r="R133" s="373"/>
      <c r="S133" s="373"/>
      <c r="T133" s="373"/>
      <c r="U133" s="373"/>
      <c r="V133" s="373"/>
      <c r="W133" s="373"/>
      <c r="X133" s="373"/>
      <c r="Y133" s="373"/>
      <c r="Z133" s="373"/>
      <c r="AB133" s="373"/>
      <c r="AC133" s="373"/>
      <c r="AD133" s="373"/>
      <c r="AE133" s="373"/>
      <c r="AF133" s="373"/>
      <c r="AG133" s="373"/>
      <c r="AH133" s="373"/>
      <c r="AI133" s="373"/>
      <c r="AJ133" s="373"/>
      <c r="AK133" s="373"/>
      <c r="AL133" s="373"/>
      <c r="AM133" s="373"/>
      <c r="AN133" s="373"/>
      <c r="AO133" s="373"/>
      <c r="AP133" s="373"/>
      <c r="AQ133" s="373"/>
      <c r="AR133" s="373"/>
      <c r="AS133" s="373"/>
      <c r="AT133" s="373"/>
      <c r="AU133" s="373"/>
      <c r="AV133" s="373"/>
      <c r="AW133" s="373"/>
      <c r="AX133" s="373"/>
      <c r="AY133" s="373"/>
      <c r="AZ133" s="373"/>
      <c r="BA133" s="373"/>
      <c r="BB133" s="373"/>
      <c r="BC133" s="373"/>
      <c r="BD133" s="373"/>
      <c r="BE133" s="373"/>
      <c r="BF133" s="373"/>
      <c r="BG133" s="373"/>
      <c r="BH133" s="373"/>
      <c r="BI133" s="373"/>
      <c r="BJ133" s="373"/>
      <c r="BK133" s="373"/>
      <c r="BL133" s="373"/>
      <c r="BM133" s="373"/>
      <c r="BN133" s="373"/>
      <c r="BO133" s="373"/>
      <c r="BP133" s="373"/>
      <c r="BQ133" s="373"/>
      <c r="BR133" s="373"/>
      <c r="BS133" s="373"/>
      <c r="BT133" s="373"/>
      <c r="BU133" s="373"/>
      <c r="BV133" s="373"/>
      <c r="BW133" s="373"/>
      <c r="BX133" s="373"/>
      <c r="BY133" s="373"/>
      <c r="BZ133" s="373"/>
      <c r="CA133" s="373"/>
      <c r="CB133" s="373"/>
      <c r="CC133" s="373"/>
      <c r="CD133" s="373"/>
      <c r="CE133" s="373"/>
      <c r="CF133" s="373"/>
      <c r="CG133" s="373"/>
      <c r="CH133" s="373"/>
      <c r="CI133" s="373"/>
      <c r="CJ133" s="373"/>
      <c r="CK133" s="373"/>
      <c r="CL133" s="373"/>
      <c r="CM133" s="373"/>
      <c r="CN133" s="373"/>
      <c r="CO133" s="373"/>
      <c r="CP133" s="373"/>
      <c r="CQ133" s="373"/>
      <c r="CR133" s="373"/>
      <c r="CS133" s="373"/>
      <c r="CT133" s="373"/>
      <c r="CU133" s="373"/>
      <c r="CV133" s="373"/>
      <c r="CW133" s="373"/>
      <c r="CX133" s="373"/>
      <c r="CY133" s="373"/>
      <c r="CZ133" s="373"/>
    </row>
    <row r="134" spans="1:106">
      <c r="A134" s="373"/>
      <c r="D134" s="363"/>
      <c r="E134" s="363"/>
      <c r="F134" s="364"/>
      <c r="G134" s="364"/>
      <c r="H134" s="364"/>
      <c r="M134" s="158"/>
      <c r="N134" s="377"/>
      <c r="O134" s="377"/>
      <c r="P134" s="220"/>
      <c r="Q134" s="373"/>
      <c r="R134" s="373"/>
      <c r="S134" s="373"/>
      <c r="T134" s="373"/>
      <c r="U134" s="373"/>
      <c r="V134" s="373"/>
      <c r="W134" s="373"/>
      <c r="X134" s="373"/>
      <c r="Y134" s="373"/>
      <c r="Z134" s="373"/>
      <c r="AB134" s="373"/>
      <c r="AC134" s="373"/>
      <c r="AD134" s="373"/>
      <c r="AE134" s="373"/>
      <c r="AF134" s="373"/>
      <c r="AG134" s="373"/>
      <c r="AH134" s="373"/>
      <c r="AI134" s="373"/>
      <c r="AJ134" s="373"/>
      <c r="AK134" s="373"/>
      <c r="AL134" s="373"/>
      <c r="AM134" s="373"/>
      <c r="AN134" s="373"/>
      <c r="AO134" s="373"/>
      <c r="AP134" s="373"/>
      <c r="AQ134" s="373"/>
      <c r="AR134" s="373"/>
      <c r="AS134" s="373"/>
      <c r="AT134" s="373"/>
      <c r="AU134" s="373"/>
      <c r="AV134" s="373"/>
      <c r="AW134" s="373"/>
      <c r="AX134" s="373"/>
      <c r="AY134" s="373"/>
      <c r="AZ134" s="373"/>
      <c r="BA134" s="373"/>
      <c r="BB134" s="373"/>
      <c r="BC134" s="373"/>
      <c r="BD134" s="373"/>
      <c r="BE134" s="373"/>
      <c r="BF134" s="373"/>
      <c r="BG134" s="373"/>
      <c r="BH134" s="373"/>
      <c r="BI134" s="373"/>
      <c r="BJ134" s="373"/>
      <c r="BK134" s="373"/>
      <c r="BL134" s="373"/>
      <c r="BM134" s="373"/>
      <c r="BN134" s="373"/>
      <c r="BO134" s="373"/>
      <c r="BP134" s="373"/>
      <c r="BQ134" s="373"/>
      <c r="BR134" s="373"/>
      <c r="BS134" s="373"/>
      <c r="BT134" s="373"/>
      <c r="BU134" s="373"/>
      <c r="BV134" s="373"/>
      <c r="BW134" s="373"/>
      <c r="BX134" s="373"/>
      <c r="BY134" s="373"/>
      <c r="BZ134" s="373"/>
      <c r="CA134" s="373"/>
      <c r="CB134" s="373"/>
      <c r="CC134" s="373"/>
      <c r="CD134" s="373"/>
      <c r="CE134" s="373"/>
      <c r="CF134" s="373"/>
      <c r="CG134" s="373"/>
      <c r="CH134" s="373"/>
      <c r="CI134" s="373"/>
      <c r="CJ134" s="373"/>
      <c r="CK134" s="373"/>
      <c r="CL134" s="373"/>
      <c r="CM134" s="373"/>
      <c r="CN134" s="373"/>
      <c r="CO134" s="373"/>
      <c r="CP134" s="373"/>
      <c r="CQ134" s="373"/>
      <c r="CR134" s="373"/>
      <c r="CS134" s="373"/>
      <c r="CT134" s="373"/>
      <c r="CU134" s="373"/>
      <c r="CV134" s="373"/>
      <c r="CW134" s="373"/>
      <c r="CX134" s="373"/>
      <c r="CY134" s="373"/>
      <c r="CZ134" s="373"/>
    </row>
    <row r="135" spans="1:106">
      <c r="A135" s="373"/>
      <c r="D135" s="363"/>
      <c r="E135" s="363"/>
      <c r="F135" s="364"/>
      <c r="G135" s="364"/>
      <c r="H135" s="364"/>
      <c r="M135" s="158"/>
      <c r="N135" s="377"/>
      <c r="O135" s="377"/>
      <c r="P135" s="220"/>
      <c r="Q135" s="373"/>
      <c r="R135" s="373"/>
      <c r="S135" s="373"/>
      <c r="T135" s="373"/>
      <c r="U135" s="373"/>
      <c r="V135" s="373"/>
      <c r="W135" s="373"/>
      <c r="X135" s="373"/>
      <c r="Y135" s="373"/>
      <c r="Z135" s="373"/>
      <c r="AB135" s="373"/>
      <c r="AC135" s="373"/>
      <c r="AD135" s="373"/>
      <c r="AE135" s="373"/>
      <c r="AF135" s="373"/>
      <c r="AG135" s="373"/>
      <c r="AH135" s="373"/>
      <c r="AI135" s="373"/>
      <c r="AJ135" s="373"/>
      <c r="AK135" s="373"/>
      <c r="AL135" s="373"/>
      <c r="AM135" s="373"/>
      <c r="AN135" s="373"/>
      <c r="AO135" s="373"/>
      <c r="AP135" s="373"/>
      <c r="AQ135" s="373"/>
      <c r="AR135" s="373"/>
      <c r="AS135" s="373"/>
      <c r="AT135" s="373"/>
      <c r="AU135" s="373"/>
      <c r="AV135" s="373"/>
      <c r="AW135" s="373"/>
      <c r="AX135" s="373"/>
      <c r="AY135" s="373"/>
      <c r="AZ135" s="373"/>
      <c r="BA135" s="373"/>
      <c r="BB135" s="373"/>
      <c r="BC135" s="373"/>
      <c r="BD135" s="373"/>
      <c r="BE135" s="373"/>
      <c r="BF135" s="373"/>
      <c r="BG135" s="373"/>
      <c r="BH135" s="373"/>
      <c r="BI135" s="373"/>
      <c r="BJ135" s="373"/>
      <c r="BK135" s="373"/>
      <c r="BL135" s="373"/>
      <c r="BM135" s="373"/>
      <c r="BN135" s="373"/>
      <c r="BO135" s="373"/>
      <c r="BP135" s="373"/>
      <c r="BQ135" s="373"/>
      <c r="BR135" s="373"/>
      <c r="BS135" s="373"/>
      <c r="BT135" s="373"/>
      <c r="BU135" s="373"/>
      <c r="BV135" s="373"/>
      <c r="BW135" s="373"/>
      <c r="BX135" s="373"/>
      <c r="BY135" s="373"/>
      <c r="BZ135" s="373"/>
      <c r="CA135" s="373"/>
      <c r="CB135" s="373"/>
      <c r="CC135" s="373"/>
      <c r="CD135" s="373"/>
      <c r="CE135" s="373"/>
      <c r="CF135" s="373"/>
      <c r="CG135" s="373"/>
      <c r="CH135" s="373"/>
      <c r="CI135" s="373"/>
      <c r="CJ135" s="373"/>
      <c r="CK135" s="373"/>
      <c r="CL135" s="373"/>
      <c r="CM135" s="373"/>
      <c r="CN135" s="373"/>
      <c r="CO135" s="373"/>
      <c r="CP135" s="373"/>
      <c r="CQ135" s="373"/>
      <c r="CR135" s="373"/>
      <c r="CS135" s="373"/>
      <c r="CT135" s="373"/>
      <c r="CU135" s="373"/>
      <c r="CV135" s="373"/>
      <c r="CW135" s="373"/>
      <c r="CX135" s="373"/>
      <c r="CY135" s="373"/>
      <c r="CZ135" s="373"/>
    </row>
    <row r="136" spans="1:106">
      <c r="A136" s="373"/>
      <c r="D136" s="363"/>
      <c r="E136" s="363"/>
      <c r="F136" s="364"/>
      <c r="G136" s="364"/>
      <c r="H136" s="364"/>
      <c r="M136" s="158"/>
      <c r="N136" s="377"/>
      <c r="O136" s="377"/>
      <c r="P136" s="220"/>
      <c r="Q136" s="373"/>
      <c r="R136" s="373"/>
      <c r="S136" s="373"/>
      <c r="T136" s="373"/>
      <c r="U136" s="373"/>
      <c r="V136" s="373"/>
      <c r="W136" s="373"/>
      <c r="X136" s="373"/>
      <c r="Y136" s="373"/>
      <c r="Z136" s="373"/>
      <c r="AB136" s="373"/>
      <c r="AC136" s="373"/>
      <c r="AD136" s="373"/>
      <c r="AE136" s="373"/>
      <c r="AF136" s="373"/>
      <c r="AG136" s="373"/>
      <c r="AH136" s="373"/>
      <c r="AI136" s="373"/>
      <c r="AJ136" s="373"/>
      <c r="AK136" s="373"/>
      <c r="AL136" s="373"/>
      <c r="AM136" s="373"/>
      <c r="AN136" s="373"/>
      <c r="AO136" s="373"/>
      <c r="AP136" s="373"/>
      <c r="AQ136" s="373"/>
      <c r="AR136" s="373"/>
      <c r="AS136" s="373"/>
      <c r="AT136" s="373"/>
      <c r="AU136" s="373"/>
      <c r="AV136" s="373"/>
      <c r="AW136" s="373"/>
      <c r="AX136" s="373"/>
      <c r="AY136" s="373"/>
      <c r="AZ136" s="373"/>
      <c r="BA136" s="373"/>
      <c r="BB136" s="373"/>
      <c r="BC136" s="373"/>
      <c r="BD136" s="373"/>
      <c r="BE136" s="373"/>
      <c r="BF136" s="373"/>
      <c r="BG136" s="373"/>
      <c r="BH136" s="373"/>
      <c r="BI136" s="373"/>
      <c r="BJ136" s="373"/>
      <c r="BK136" s="373"/>
      <c r="BL136" s="373"/>
      <c r="BM136" s="373"/>
      <c r="BN136" s="373"/>
      <c r="BO136" s="373"/>
      <c r="BP136" s="373"/>
      <c r="BQ136" s="373"/>
      <c r="BR136" s="373"/>
      <c r="BS136" s="373"/>
      <c r="BT136" s="373"/>
      <c r="BU136" s="373"/>
      <c r="BV136" s="373"/>
      <c r="BW136" s="373"/>
      <c r="BX136" s="373"/>
      <c r="BY136" s="373"/>
      <c r="BZ136" s="373"/>
      <c r="CA136" s="373"/>
      <c r="CB136" s="373"/>
      <c r="CC136" s="373"/>
      <c r="CD136" s="373"/>
      <c r="CE136" s="373"/>
      <c r="CF136" s="373"/>
      <c r="CG136" s="373"/>
      <c r="CH136" s="373"/>
      <c r="CI136" s="373"/>
      <c r="CJ136" s="373"/>
      <c r="CK136" s="373"/>
      <c r="CL136" s="373"/>
      <c r="CM136" s="373"/>
      <c r="CN136" s="373"/>
      <c r="CO136" s="373"/>
      <c r="CP136" s="373"/>
      <c r="CQ136" s="373"/>
      <c r="CR136" s="373"/>
      <c r="CS136" s="373"/>
      <c r="CT136" s="373"/>
      <c r="CU136" s="373"/>
      <c r="CV136" s="373"/>
      <c r="CW136" s="373"/>
      <c r="CX136" s="373"/>
      <c r="CY136" s="373"/>
      <c r="CZ136" s="373"/>
    </row>
    <row r="137" spans="1:106">
      <c r="A137" s="373"/>
      <c r="D137" s="363"/>
      <c r="E137" s="363"/>
      <c r="F137" s="364"/>
      <c r="G137" s="364"/>
      <c r="H137" s="364"/>
      <c r="M137" s="158"/>
      <c r="N137" s="377"/>
      <c r="O137" s="377"/>
      <c r="P137" s="220"/>
      <c r="Q137" s="373"/>
      <c r="R137" s="373"/>
      <c r="S137" s="373"/>
      <c r="T137" s="373"/>
      <c r="U137" s="373"/>
      <c r="V137" s="373"/>
      <c r="W137" s="373"/>
      <c r="X137" s="373"/>
      <c r="Y137" s="373"/>
      <c r="Z137" s="373"/>
      <c r="AB137" s="373"/>
      <c r="AC137" s="373"/>
      <c r="AD137" s="373"/>
      <c r="AE137" s="373"/>
      <c r="AF137" s="373"/>
      <c r="AG137" s="373"/>
      <c r="AH137" s="373"/>
      <c r="AI137" s="373"/>
      <c r="AJ137" s="373"/>
      <c r="AK137" s="373"/>
      <c r="AL137" s="373"/>
      <c r="AM137" s="373"/>
      <c r="AN137" s="373"/>
      <c r="AO137" s="373"/>
      <c r="AP137" s="373"/>
      <c r="AQ137" s="373"/>
      <c r="AR137" s="373"/>
      <c r="AS137" s="373"/>
      <c r="AT137" s="373"/>
      <c r="AU137" s="373"/>
      <c r="AV137" s="373"/>
      <c r="AW137" s="373"/>
      <c r="AX137" s="373"/>
      <c r="AY137" s="373"/>
      <c r="AZ137" s="373"/>
      <c r="BA137" s="373"/>
      <c r="BB137" s="373"/>
      <c r="BC137" s="373"/>
      <c r="BD137" s="373"/>
      <c r="BE137" s="373"/>
      <c r="BF137" s="373"/>
      <c r="BG137" s="373"/>
      <c r="BH137" s="373"/>
      <c r="BI137" s="373"/>
      <c r="BJ137" s="373"/>
      <c r="BK137" s="373"/>
      <c r="BL137" s="373"/>
      <c r="BM137" s="373"/>
      <c r="BN137" s="373"/>
      <c r="BO137" s="373"/>
      <c r="BP137" s="373"/>
      <c r="BQ137" s="373"/>
      <c r="BR137" s="373"/>
      <c r="BS137" s="373"/>
      <c r="BT137" s="373"/>
      <c r="BU137" s="373"/>
      <c r="BV137" s="373"/>
      <c r="BW137" s="373"/>
      <c r="BX137" s="373"/>
      <c r="BY137" s="373"/>
      <c r="BZ137" s="373"/>
      <c r="CA137" s="373"/>
      <c r="CB137" s="373"/>
      <c r="CC137" s="373"/>
      <c r="CD137" s="373"/>
      <c r="CE137" s="373"/>
      <c r="CF137" s="373"/>
      <c r="CG137" s="373"/>
      <c r="CH137" s="373"/>
      <c r="CI137" s="373"/>
      <c r="CJ137" s="373"/>
      <c r="CK137" s="373"/>
      <c r="CL137" s="373"/>
      <c r="CM137" s="373"/>
      <c r="CN137" s="373"/>
      <c r="CO137" s="373"/>
      <c r="CP137" s="373"/>
      <c r="CQ137" s="373"/>
      <c r="CR137" s="373"/>
      <c r="CS137" s="373"/>
      <c r="CT137" s="373"/>
      <c r="CU137" s="373"/>
      <c r="CV137" s="373"/>
      <c r="CW137" s="373"/>
      <c r="CX137" s="373"/>
      <c r="CY137" s="373"/>
      <c r="CZ137" s="373"/>
    </row>
    <row r="138" spans="1:106">
      <c r="A138" s="373"/>
      <c r="D138" s="363"/>
      <c r="E138" s="363"/>
      <c r="F138" s="364"/>
      <c r="G138" s="364"/>
      <c r="H138" s="364"/>
      <c r="M138" s="158"/>
      <c r="N138" s="377"/>
      <c r="O138" s="377"/>
      <c r="P138" s="220"/>
      <c r="Q138" s="373"/>
      <c r="R138" s="373"/>
      <c r="S138" s="373"/>
      <c r="T138" s="373"/>
      <c r="U138" s="373"/>
      <c r="V138" s="373"/>
      <c r="W138" s="373"/>
      <c r="X138" s="373"/>
      <c r="Y138" s="373"/>
      <c r="Z138" s="373"/>
      <c r="AB138" s="373"/>
      <c r="AC138" s="373"/>
      <c r="AD138" s="373"/>
      <c r="AE138" s="373"/>
      <c r="AF138" s="373"/>
      <c r="AG138" s="373"/>
      <c r="AH138" s="373"/>
      <c r="AI138" s="373"/>
      <c r="AJ138" s="373"/>
      <c r="AK138" s="373"/>
      <c r="AL138" s="373"/>
      <c r="AM138" s="373"/>
      <c r="AN138" s="373"/>
      <c r="AO138" s="373"/>
      <c r="AP138" s="373"/>
      <c r="AQ138" s="373"/>
      <c r="AR138" s="373"/>
      <c r="AS138" s="373"/>
      <c r="AT138" s="373"/>
      <c r="AU138" s="373"/>
      <c r="AV138" s="373"/>
      <c r="AW138" s="373"/>
      <c r="AX138" s="373"/>
      <c r="AY138" s="373"/>
      <c r="AZ138" s="373"/>
      <c r="BA138" s="373"/>
      <c r="BB138" s="373"/>
      <c r="BC138" s="373"/>
      <c r="BD138" s="373"/>
      <c r="BE138" s="373"/>
      <c r="BF138" s="373"/>
      <c r="BG138" s="373"/>
      <c r="BH138" s="373"/>
      <c r="BI138" s="373"/>
      <c r="BJ138" s="373"/>
      <c r="BK138" s="373"/>
      <c r="BL138" s="373"/>
      <c r="BM138" s="373"/>
      <c r="BN138" s="373"/>
      <c r="BO138" s="373"/>
      <c r="BP138" s="373"/>
      <c r="BQ138" s="373"/>
      <c r="BR138" s="373"/>
      <c r="BS138" s="373"/>
      <c r="BT138" s="373"/>
      <c r="BU138" s="373"/>
      <c r="BV138" s="373"/>
      <c r="BW138" s="373"/>
      <c r="BX138" s="373"/>
      <c r="BY138" s="373"/>
      <c r="BZ138" s="373"/>
      <c r="CA138" s="373"/>
      <c r="CB138" s="373"/>
      <c r="CC138" s="373"/>
      <c r="CD138" s="373"/>
      <c r="CE138" s="373"/>
      <c r="CF138" s="373"/>
      <c r="CG138" s="373"/>
      <c r="CH138" s="373"/>
      <c r="CI138" s="373"/>
      <c r="CJ138" s="373"/>
      <c r="CK138" s="373"/>
      <c r="CL138" s="373"/>
      <c r="CM138" s="373"/>
      <c r="CN138" s="373"/>
      <c r="CO138" s="373"/>
      <c r="CP138" s="373"/>
      <c r="CQ138" s="373"/>
      <c r="CR138" s="373"/>
      <c r="CS138" s="373"/>
      <c r="CT138" s="373"/>
      <c r="CU138" s="373"/>
      <c r="CV138" s="373"/>
      <c r="CW138" s="373"/>
      <c r="CX138" s="373"/>
      <c r="CY138" s="373"/>
      <c r="CZ138" s="373"/>
    </row>
    <row r="139" spans="1:106">
      <c r="A139" s="373"/>
      <c r="D139" s="363"/>
      <c r="E139" s="363"/>
      <c r="F139" s="364"/>
      <c r="G139" s="364"/>
      <c r="H139" s="364"/>
      <c r="M139" s="158"/>
      <c r="N139" s="377"/>
      <c r="O139" s="377"/>
      <c r="P139" s="220"/>
      <c r="Q139" s="373"/>
      <c r="R139" s="373"/>
      <c r="S139" s="373"/>
      <c r="T139" s="373"/>
      <c r="U139" s="373"/>
      <c r="V139" s="373"/>
      <c r="W139" s="373"/>
      <c r="X139" s="373"/>
      <c r="Y139" s="373"/>
      <c r="Z139" s="373"/>
      <c r="AB139" s="373"/>
      <c r="AC139" s="373"/>
      <c r="AD139" s="373"/>
      <c r="AE139" s="373"/>
      <c r="AF139" s="373"/>
      <c r="AG139" s="373"/>
      <c r="AH139" s="373"/>
      <c r="AI139" s="373"/>
      <c r="AJ139" s="373"/>
      <c r="AK139" s="373"/>
      <c r="AL139" s="373"/>
      <c r="AM139" s="373"/>
      <c r="AN139" s="373"/>
      <c r="AO139" s="373"/>
      <c r="AP139" s="373"/>
      <c r="AQ139" s="373"/>
      <c r="AR139" s="373"/>
      <c r="AS139" s="373"/>
      <c r="AT139" s="373"/>
      <c r="AU139" s="373"/>
      <c r="AV139" s="373"/>
      <c r="AW139" s="373"/>
      <c r="AX139" s="373"/>
      <c r="AY139" s="373"/>
      <c r="AZ139" s="373"/>
      <c r="BA139" s="373"/>
      <c r="BB139" s="373"/>
      <c r="BC139" s="373"/>
      <c r="BD139" s="373"/>
      <c r="BE139" s="373"/>
      <c r="BF139" s="373"/>
      <c r="BG139" s="373"/>
      <c r="BH139" s="373"/>
      <c r="BI139" s="373"/>
      <c r="BJ139" s="373"/>
      <c r="BK139" s="373"/>
      <c r="BL139" s="373"/>
      <c r="BM139" s="373"/>
      <c r="BN139" s="373"/>
      <c r="BO139" s="373"/>
      <c r="BP139" s="373"/>
      <c r="BQ139" s="373"/>
      <c r="BR139" s="373"/>
      <c r="BS139" s="373"/>
      <c r="BT139" s="373"/>
      <c r="BU139" s="373"/>
      <c r="BV139" s="373"/>
      <c r="BW139" s="373"/>
      <c r="BX139" s="373"/>
      <c r="BY139" s="373"/>
      <c r="BZ139" s="373"/>
      <c r="CA139" s="373"/>
      <c r="CB139" s="373"/>
      <c r="CC139" s="373"/>
      <c r="CD139" s="373"/>
      <c r="CE139" s="373"/>
      <c r="CF139" s="373"/>
      <c r="CG139" s="373"/>
      <c r="CH139" s="373"/>
      <c r="CI139" s="373"/>
      <c r="CJ139" s="373"/>
      <c r="CK139" s="373"/>
      <c r="CL139" s="373"/>
      <c r="CM139" s="373"/>
      <c r="CN139" s="373"/>
      <c r="CO139" s="373"/>
      <c r="CP139" s="373"/>
      <c r="CQ139" s="373"/>
      <c r="CR139" s="373"/>
      <c r="CS139" s="373"/>
      <c r="CT139" s="373"/>
      <c r="CU139" s="373"/>
      <c r="CV139" s="373"/>
      <c r="CW139" s="373"/>
      <c r="CX139" s="373"/>
      <c r="CY139" s="373"/>
      <c r="CZ139" s="373"/>
    </row>
    <row r="140" spans="1:106">
      <c r="A140" s="373"/>
      <c r="D140" s="363"/>
      <c r="E140" s="363"/>
      <c r="F140" s="364"/>
      <c r="G140" s="364"/>
      <c r="H140" s="364"/>
      <c r="M140" s="158"/>
      <c r="N140" s="377"/>
      <c r="O140" s="377"/>
      <c r="P140" s="220"/>
      <c r="Q140" s="373"/>
      <c r="R140" s="373"/>
      <c r="S140" s="373"/>
      <c r="T140" s="373"/>
      <c r="U140" s="373"/>
      <c r="V140" s="373"/>
      <c r="W140" s="373"/>
      <c r="X140" s="373"/>
      <c r="Y140" s="373"/>
      <c r="Z140" s="373"/>
      <c r="AB140" s="373"/>
      <c r="AC140" s="373"/>
      <c r="AD140" s="373"/>
      <c r="AE140" s="373"/>
      <c r="AF140" s="373"/>
      <c r="AG140" s="373"/>
      <c r="AH140" s="373"/>
      <c r="AI140" s="373"/>
      <c r="AJ140" s="373"/>
      <c r="AK140" s="373"/>
      <c r="AL140" s="373"/>
      <c r="AM140" s="373"/>
      <c r="AN140" s="373"/>
      <c r="AO140" s="373"/>
      <c r="AP140" s="373"/>
      <c r="AQ140" s="373"/>
      <c r="AR140" s="373"/>
      <c r="AS140" s="373"/>
      <c r="AT140" s="373"/>
      <c r="AU140" s="373"/>
      <c r="AV140" s="373"/>
      <c r="AW140" s="373"/>
      <c r="AX140" s="373"/>
      <c r="AY140" s="373"/>
      <c r="AZ140" s="373"/>
      <c r="BA140" s="373"/>
      <c r="BB140" s="373"/>
      <c r="BC140" s="373"/>
      <c r="BD140" s="373"/>
      <c r="BE140" s="373"/>
      <c r="BF140" s="373"/>
      <c r="BG140" s="373"/>
      <c r="BH140" s="373"/>
      <c r="BI140" s="373"/>
      <c r="BJ140" s="373"/>
      <c r="BK140" s="373"/>
      <c r="BL140" s="373"/>
      <c r="BM140" s="373"/>
      <c r="BN140" s="373"/>
      <c r="BO140" s="373"/>
      <c r="BP140" s="373"/>
      <c r="BQ140" s="373"/>
      <c r="BR140" s="373"/>
      <c r="BS140" s="373"/>
      <c r="BT140" s="373"/>
      <c r="BU140" s="373"/>
      <c r="BV140" s="373"/>
      <c r="BW140" s="373"/>
      <c r="BX140" s="373"/>
      <c r="BY140" s="373"/>
      <c r="BZ140" s="373"/>
      <c r="CA140" s="373"/>
      <c r="CB140" s="373"/>
      <c r="CC140" s="373"/>
      <c r="CD140" s="373"/>
      <c r="CE140" s="373"/>
      <c r="CF140" s="373"/>
      <c r="CG140" s="373"/>
      <c r="CH140" s="373"/>
      <c r="CI140" s="373"/>
      <c r="CJ140" s="373"/>
      <c r="CK140" s="373"/>
      <c r="CL140" s="373"/>
      <c r="CM140" s="373"/>
      <c r="CN140" s="373"/>
      <c r="CO140" s="373"/>
      <c r="CP140" s="373"/>
      <c r="CQ140" s="373"/>
      <c r="CR140" s="373"/>
      <c r="CS140" s="373"/>
      <c r="CT140" s="373"/>
      <c r="CU140" s="373"/>
      <c r="CV140" s="373"/>
      <c r="CW140" s="373"/>
      <c r="CX140" s="373"/>
      <c r="CY140" s="373"/>
      <c r="CZ140" s="373"/>
    </row>
    <row r="141" spans="1:106">
      <c r="A141" s="373"/>
      <c r="D141" s="363"/>
      <c r="E141" s="363"/>
      <c r="F141" s="364"/>
      <c r="G141" s="364"/>
      <c r="H141" s="364"/>
      <c r="M141" s="158"/>
      <c r="N141" s="377"/>
      <c r="O141" s="377"/>
      <c r="P141" s="220"/>
      <c r="Q141" s="373"/>
      <c r="R141" s="373"/>
      <c r="S141" s="373"/>
      <c r="T141" s="373"/>
      <c r="U141" s="373"/>
      <c r="V141" s="373"/>
      <c r="W141" s="373"/>
      <c r="X141" s="373"/>
      <c r="Y141" s="373"/>
      <c r="Z141" s="373"/>
      <c r="AB141" s="373"/>
      <c r="AC141" s="373"/>
      <c r="AD141" s="373"/>
      <c r="AE141" s="373"/>
      <c r="AF141" s="373"/>
      <c r="AG141" s="373"/>
      <c r="AH141" s="373"/>
      <c r="AI141" s="373"/>
      <c r="AJ141" s="373"/>
      <c r="AK141" s="373"/>
      <c r="AL141" s="373"/>
      <c r="AM141" s="373"/>
      <c r="AN141" s="373"/>
      <c r="AO141" s="373"/>
      <c r="AP141" s="373"/>
      <c r="AQ141" s="373"/>
      <c r="AR141" s="373"/>
      <c r="AS141" s="373"/>
      <c r="AT141" s="373"/>
      <c r="AU141" s="373"/>
      <c r="AV141" s="373"/>
      <c r="AW141" s="373"/>
      <c r="AX141" s="373"/>
      <c r="AY141" s="373"/>
      <c r="AZ141" s="373"/>
      <c r="BA141" s="373"/>
      <c r="BB141" s="373"/>
      <c r="BC141" s="373"/>
      <c r="BD141" s="373"/>
      <c r="BE141" s="373"/>
      <c r="BF141" s="373"/>
      <c r="BG141" s="373"/>
      <c r="BH141" s="373"/>
      <c r="BI141" s="373"/>
      <c r="BJ141" s="373"/>
      <c r="BK141" s="373"/>
      <c r="BL141" s="373"/>
      <c r="BM141" s="373"/>
      <c r="BN141" s="373"/>
      <c r="BO141" s="373"/>
      <c r="BP141" s="373"/>
      <c r="BQ141" s="373"/>
      <c r="BR141" s="373"/>
      <c r="BS141" s="373"/>
      <c r="BT141" s="373"/>
      <c r="BU141" s="373"/>
      <c r="BV141" s="373"/>
      <c r="BW141" s="373"/>
      <c r="BX141" s="373"/>
      <c r="BY141" s="373"/>
      <c r="BZ141" s="373"/>
      <c r="CA141" s="373"/>
      <c r="CB141" s="373"/>
      <c r="CC141" s="373"/>
      <c r="CD141" s="373"/>
      <c r="CE141" s="373"/>
      <c r="CF141" s="373"/>
      <c r="CG141" s="373"/>
      <c r="CH141" s="373"/>
      <c r="CI141" s="373"/>
      <c r="CJ141" s="373"/>
      <c r="CK141" s="373"/>
      <c r="CL141" s="373"/>
      <c r="CM141" s="373"/>
      <c r="CN141" s="373"/>
      <c r="CO141" s="373"/>
      <c r="CP141" s="373"/>
      <c r="CQ141" s="373"/>
      <c r="CR141" s="373"/>
      <c r="CS141" s="373"/>
      <c r="CT141" s="373"/>
      <c r="CU141" s="373"/>
      <c r="CV141" s="373"/>
      <c r="CW141" s="373"/>
      <c r="CX141" s="373"/>
      <c r="CY141" s="373"/>
      <c r="CZ141" s="373"/>
    </row>
    <row r="142" spans="1:106">
      <c r="A142" s="373"/>
      <c r="D142" s="363"/>
      <c r="E142" s="363"/>
      <c r="F142" s="364"/>
      <c r="G142" s="364"/>
      <c r="H142" s="364"/>
      <c r="M142" s="158"/>
      <c r="N142" s="377"/>
      <c r="O142" s="377"/>
      <c r="P142" s="220"/>
      <c r="Q142" s="373"/>
      <c r="R142" s="373"/>
      <c r="S142" s="373"/>
      <c r="T142" s="373"/>
      <c r="U142" s="373"/>
      <c r="V142" s="373"/>
      <c r="W142" s="373"/>
      <c r="X142" s="373"/>
      <c r="Y142" s="373"/>
      <c r="Z142" s="373"/>
      <c r="AB142" s="373"/>
      <c r="AC142" s="373"/>
      <c r="AD142" s="373"/>
      <c r="AE142" s="373"/>
      <c r="AF142" s="373"/>
      <c r="AG142" s="373"/>
      <c r="AH142" s="373"/>
      <c r="AI142" s="373"/>
      <c r="AJ142" s="373"/>
      <c r="AK142" s="373"/>
      <c r="AL142" s="373"/>
      <c r="AM142" s="373"/>
      <c r="AN142" s="373"/>
      <c r="AO142" s="373"/>
      <c r="AP142" s="373"/>
      <c r="AQ142" s="373"/>
      <c r="AR142" s="373"/>
      <c r="AS142" s="373"/>
      <c r="AT142" s="373"/>
      <c r="AU142" s="373"/>
      <c r="AV142" s="373"/>
      <c r="AW142" s="373"/>
      <c r="AX142" s="373"/>
      <c r="AY142" s="373"/>
      <c r="AZ142" s="373"/>
      <c r="BA142" s="373"/>
      <c r="BB142" s="373"/>
      <c r="BC142" s="373"/>
      <c r="BD142" s="373"/>
      <c r="BE142" s="373"/>
      <c r="BF142" s="373"/>
      <c r="BG142" s="373"/>
      <c r="BH142" s="373"/>
      <c r="BI142" s="373"/>
      <c r="BJ142" s="373"/>
      <c r="BK142" s="373"/>
      <c r="BL142" s="373"/>
      <c r="BM142" s="373"/>
      <c r="BN142" s="373"/>
      <c r="BO142" s="373"/>
      <c r="BP142" s="373"/>
      <c r="BQ142" s="373"/>
      <c r="BR142" s="373"/>
      <c r="BS142" s="373"/>
      <c r="BT142" s="373"/>
      <c r="BU142" s="373"/>
      <c r="BV142" s="373"/>
      <c r="BW142" s="373"/>
      <c r="BX142" s="373"/>
      <c r="BY142" s="373"/>
      <c r="BZ142" s="373"/>
      <c r="CA142" s="373"/>
      <c r="CB142" s="373"/>
      <c r="CC142" s="373"/>
      <c r="CD142" s="373"/>
      <c r="CE142" s="373"/>
      <c r="CF142" s="373"/>
      <c r="CG142" s="373"/>
      <c r="CH142" s="373"/>
      <c r="CI142" s="373"/>
      <c r="CJ142" s="373"/>
      <c r="CK142" s="373"/>
      <c r="CL142" s="373"/>
      <c r="CM142" s="373"/>
      <c r="CN142" s="373"/>
      <c r="CO142" s="373"/>
      <c r="CP142" s="373"/>
      <c r="CQ142" s="373"/>
      <c r="CR142" s="373"/>
      <c r="CS142" s="373"/>
      <c r="CT142" s="373"/>
      <c r="CU142" s="373"/>
      <c r="CV142" s="373"/>
      <c r="CW142" s="373"/>
      <c r="CX142" s="373"/>
      <c r="CY142" s="373"/>
      <c r="CZ142" s="373"/>
    </row>
    <row r="143" spans="1:106">
      <c r="A143" s="373"/>
      <c r="D143" s="363"/>
      <c r="E143" s="363"/>
      <c r="F143" s="364"/>
      <c r="G143" s="364"/>
      <c r="H143" s="364"/>
      <c r="M143" s="158"/>
      <c r="N143" s="377"/>
      <c r="O143" s="377"/>
      <c r="P143" s="220"/>
      <c r="Q143" s="373"/>
      <c r="R143" s="373"/>
      <c r="S143" s="373"/>
      <c r="T143" s="373"/>
      <c r="U143" s="373"/>
      <c r="V143" s="373"/>
      <c r="W143" s="373"/>
      <c r="X143" s="373"/>
      <c r="Y143" s="373"/>
      <c r="Z143" s="373"/>
      <c r="AB143" s="373"/>
      <c r="AC143" s="373"/>
      <c r="AD143" s="373"/>
      <c r="AE143" s="373"/>
      <c r="AF143" s="373"/>
      <c r="AG143" s="373"/>
      <c r="AH143" s="373"/>
      <c r="AI143" s="373"/>
      <c r="AJ143" s="373"/>
      <c r="AK143" s="373"/>
      <c r="AL143" s="373"/>
      <c r="AM143" s="373"/>
      <c r="AN143" s="373"/>
      <c r="AO143" s="373"/>
      <c r="AP143" s="373"/>
      <c r="AQ143" s="373"/>
      <c r="AR143" s="373"/>
      <c r="AS143" s="373"/>
      <c r="AT143" s="373"/>
      <c r="AU143" s="373"/>
      <c r="AV143" s="373"/>
      <c r="AW143" s="373"/>
      <c r="AX143" s="373"/>
      <c r="AY143" s="373"/>
      <c r="AZ143" s="373"/>
      <c r="BA143" s="373"/>
      <c r="BB143" s="373"/>
      <c r="BC143" s="373"/>
      <c r="BD143" s="373"/>
      <c r="BE143" s="373"/>
      <c r="BF143" s="373"/>
      <c r="BG143" s="373"/>
      <c r="BH143" s="373"/>
      <c r="BI143" s="373"/>
      <c r="BJ143" s="373"/>
      <c r="BK143" s="373"/>
      <c r="BL143" s="373"/>
      <c r="BM143" s="373"/>
      <c r="BN143" s="373"/>
      <c r="BO143" s="373"/>
      <c r="BP143" s="373"/>
      <c r="BQ143" s="373"/>
      <c r="BR143" s="373"/>
      <c r="BS143" s="373"/>
      <c r="BT143" s="373"/>
      <c r="BU143" s="373"/>
      <c r="BV143" s="373"/>
      <c r="BW143" s="373"/>
      <c r="BX143" s="373"/>
      <c r="BY143" s="373"/>
      <c r="BZ143" s="373"/>
      <c r="CA143" s="373"/>
      <c r="CB143" s="373"/>
      <c r="CC143" s="373"/>
      <c r="CD143" s="373"/>
      <c r="CE143" s="373"/>
      <c r="CF143" s="373"/>
      <c r="CG143" s="373"/>
      <c r="CH143" s="373"/>
      <c r="CI143" s="373"/>
      <c r="CJ143" s="373"/>
      <c r="CK143" s="373"/>
      <c r="CL143" s="373"/>
      <c r="CM143" s="373"/>
      <c r="CN143" s="373"/>
      <c r="CO143" s="373"/>
      <c r="CP143" s="373"/>
      <c r="CQ143" s="373"/>
      <c r="CR143" s="373"/>
      <c r="CS143" s="373"/>
      <c r="CT143" s="373"/>
      <c r="CU143" s="373"/>
      <c r="CV143" s="373"/>
      <c r="CW143" s="373"/>
      <c r="CX143" s="373"/>
      <c r="CY143" s="373"/>
      <c r="CZ143" s="373"/>
    </row>
    <row r="144" spans="1:106">
      <c r="A144" s="373"/>
      <c r="D144" s="363"/>
      <c r="E144" s="363"/>
      <c r="F144" s="364"/>
      <c r="G144" s="364"/>
      <c r="H144" s="364"/>
      <c r="M144" s="158"/>
      <c r="N144" s="377"/>
      <c r="O144" s="377"/>
      <c r="P144" s="220"/>
      <c r="Q144" s="373"/>
      <c r="R144" s="373"/>
      <c r="S144" s="373"/>
      <c r="T144" s="373"/>
      <c r="U144" s="373"/>
      <c r="V144" s="373"/>
      <c r="W144" s="373"/>
      <c r="X144" s="373"/>
      <c r="Y144" s="373"/>
      <c r="Z144" s="373"/>
      <c r="AB144" s="373"/>
      <c r="AC144" s="373"/>
      <c r="AD144" s="373"/>
      <c r="AE144" s="373"/>
      <c r="AF144" s="373"/>
      <c r="AG144" s="373"/>
      <c r="AH144" s="373"/>
      <c r="AI144" s="373"/>
      <c r="AJ144" s="373"/>
      <c r="AK144" s="373"/>
      <c r="AL144" s="373"/>
      <c r="AM144" s="373"/>
      <c r="AN144" s="373"/>
      <c r="AO144" s="373"/>
      <c r="AP144" s="373"/>
      <c r="AQ144" s="373"/>
      <c r="AR144" s="373"/>
      <c r="AS144" s="373"/>
      <c r="AT144" s="373"/>
      <c r="AU144" s="373"/>
      <c r="AV144" s="373"/>
      <c r="AW144" s="373"/>
      <c r="AX144" s="373"/>
      <c r="AY144" s="373"/>
      <c r="AZ144" s="373"/>
      <c r="BA144" s="373"/>
      <c r="BB144" s="373"/>
      <c r="BC144" s="373"/>
      <c r="BD144" s="373"/>
      <c r="BE144" s="373"/>
      <c r="BF144" s="373"/>
      <c r="BG144" s="373"/>
      <c r="BH144" s="373"/>
      <c r="BI144" s="373"/>
      <c r="BJ144" s="373"/>
      <c r="BK144" s="373"/>
      <c r="BL144" s="373"/>
      <c r="BM144" s="373"/>
      <c r="BN144" s="373"/>
      <c r="BO144" s="373"/>
      <c r="BP144" s="373"/>
      <c r="BQ144" s="373"/>
      <c r="BR144" s="373"/>
      <c r="BS144" s="373"/>
      <c r="BT144" s="373"/>
      <c r="BU144" s="373"/>
      <c r="BV144" s="373"/>
      <c r="BW144" s="373"/>
      <c r="BX144" s="373"/>
      <c r="BY144" s="373"/>
      <c r="BZ144" s="373"/>
      <c r="CA144" s="373"/>
      <c r="CB144" s="373"/>
      <c r="CC144" s="373"/>
      <c r="CD144" s="373"/>
      <c r="CE144" s="373"/>
      <c r="CF144" s="373"/>
      <c r="CG144" s="373"/>
      <c r="CH144" s="373"/>
      <c r="CI144" s="373"/>
      <c r="CJ144" s="373"/>
      <c r="CK144" s="373"/>
      <c r="CL144" s="373"/>
      <c r="CM144" s="373"/>
      <c r="CN144" s="373"/>
      <c r="CO144" s="373"/>
      <c r="CP144" s="373"/>
      <c r="CQ144" s="373"/>
      <c r="CR144" s="373"/>
      <c r="CS144" s="373"/>
      <c r="CT144" s="373"/>
      <c r="CU144" s="373"/>
      <c r="CV144" s="373"/>
      <c r="CW144" s="373"/>
      <c r="CX144" s="373"/>
      <c r="CY144" s="373"/>
      <c r="CZ144" s="373"/>
    </row>
    <row r="145" spans="1:104">
      <c r="A145" s="373"/>
      <c r="D145" s="363"/>
      <c r="E145" s="363"/>
      <c r="F145" s="364"/>
      <c r="G145" s="364"/>
      <c r="H145" s="364"/>
      <c r="M145" s="158"/>
      <c r="N145" s="377"/>
      <c r="O145" s="377"/>
      <c r="P145" s="220"/>
      <c r="Q145" s="373"/>
      <c r="R145" s="373"/>
      <c r="S145" s="373"/>
      <c r="T145" s="373"/>
      <c r="U145" s="373"/>
      <c r="V145" s="373"/>
      <c r="W145" s="373"/>
      <c r="X145" s="373"/>
      <c r="Y145" s="373"/>
      <c r="Z145" s="373"/>
      <c r="AB145" s="373"/>
      <c r="AC145" s="373"/>
      <c r="AD145" s="373"/>
      <c r="AE145" s="373"/>
      <c r="AF145" s="373"/>
      <c r="AG145" s="373"/>
      <c r="AH145" s="373"/>
      <c r="AI145" s="373"/>
      <c r="AJ145" s="373"/>
      <c r="AK145" s="373"/>
      <c r="AL145" s="373"/>
      <c r="AM145" s="373"/>
      <c r="AN145" s="373"/>
      <c r="AO145" s="373"/>
      <c r="AP145" s="373"/>
      <c r="AQ145" s="373"/>
      <c r="AR145" s="373"/>
      <c r="AS145" s="373"/>
      <c r="AT145" s="373"/>
      <c r="AU145" s="373"/>
      <c r="AV145" s="373"/>
      <c r="AW145" s="373"/>
      <c r="AX145" s="373"/>
      <c r="AY145" s="373"/>
      <c r="AZ145" s="373"/>
      <c r="BA145" s="373"/>
      <c r="BB145" s="373"/>
      <c r="BC145" s="373"/>
      <c r="BD145" s="373"/>
      <c r="BE145" s="373"/>
      <c r="BF145" s="373"/>
      <c r="BG145" s="373"/>
      <c r="BH145" s="373"/>
      <c r="BI145" s="373"/>
      <c r="BJ145" s="373"/>
      <c r="BK145" s="373"/>
      <c r="BL145" s="373"/>
      <c r="BM145" s="373"/>
      <c r="BN145" s="373"/>
      <c r="BO145" s="373"/>
      <c r="BP145" s="373"/>
      <c r="BQ145" s="373"/>
      <c r="BR145" s="373"/>
      <c r="BS145" s="373"/>
      <c r="BT145" s="373"/>
      <c r="BU145" s="373"/>
      <c r="BV145" s="373"/>
      <c r="BW145" s="373"/>
      <c r="BX145" s="373"/>
      <c r="BY145" s="373"/>
      <c r="BZ145" s="373"/>
      <c r="CA145" s="373"/>
      <c r="CB145" s="373"/>
      <c r="CC145" s="373"/>
      <c r="CD145" s="373"/>
      <c r="CE145" s="373"/>
      <c r="CF145" s="373"/>
      <c r="CG145" s="373"/>
      <c r="CH145" s="373"/>
      <c r="CI145" s="373"/>
      <c r="CJ145" s="373"/>
      <c r="CK145" s="373"/>
      <c r="CL145" s="373"/>
      <c r="CM145" s="373"/>
      <c r="CN145" s="373"/>
      <c r="CO145" s="373"/>
      <c r="CP145" s="373"/>
      <c r="CQ145" s="373"/>
      <c r="CR145" s="373"/>
      <c r="CS145" s="373"/>
      <c r="CT145" s="373"/>
      <c r="CU145" s="373"/>
      <c r="CV145" s="373"/>
      <c r="CW145" s="373"/>
      <c r="CX145" s="373"/>
      <c r="CY145" s="373"/>
      <c r="CZ145" s="373"/>
    </row>
    <row r="146" spans="1:104">
      <c r="A146" s="373"/>
      <c r="D146" s="363"/>
      <c r="E146" s="363"/>
      <c r="F146" s="364"/>
      <c r="G146" s="364"/>
      <c r="H146" s="364"/>
      <c r="M146" s="158"/>
      <c r="N146" s="377"/>
      <c r="O146" s="377"/>
      <c r="P146" s="220"/>
      <c r="Q146" s="373"/>
      <c r="R146" s="373"/>
      <c r="S146" s="373"/>
      <c r="T146" s="373"/>
      <c r="U146" s="373"/>
      <c r="V146" s="373"/>
      <c r="W146" s="373"/>
      <c r="X146" s="373"/>
      <c r="Y146" s="373"/>
      <c r="Z146" s="373"/>
      <c r="AB146" s="373"/>
      <c r="AC146" s="373"/>
      <c r="AD146" s="373"/>
      <c r="AE146" s="373"/>
      <c r="AF146" s="373"/>
      <c r="AG146" s="373"/>
      <c r="AH146" s="373"/>
      <c r="AI146" s="373"/>
      <c r="AJ146" s="373"/>
      <c r="AK146" s="373"/>
      <c r="AL146" s="373"/>
      <c r="AM146" s="373"/>
      <c r="AN146" s="373"/>
      <c r="AO146" s="373"/>
      <c r="AP146" s="373"/>
      <c r="AQ146" s="373"/>
      <c r="AR146" s="373"/>
      <c r="AS146" s="373"/>
      <c r="AT146" s="373"/>
      <c r="AU146" s="373"/>
      <c r="AV146" s="373"/>
      <c r="AW146" s="373"/>
      <c r="AX146" s="373"/>
      <c r="AY146" s="373"/>
      <c r="AZ146" s="373"/>
      <c r="BA146" s="373"/>
      <c r="BB146" s="373"/>
      <c r="BC146" s="373"/>
      <c r="BD146" s="373"/>
      <c r="BE146" s="373"/>
      <c r="BF146" s="373"/>
      <c r="BG146" s="373"/>
      <c r="BH146" s="373"/>
      <c r="BI146" s="373"/>
      <c r="BJ146" s="373"/>
      <c r="BK146" s="373"/>
      <c r="BL146" s="373"/>
      <c r="BM146" s="373"/>
      <c r="BN146" s="373"/>
      <c r="BO146" s="373"/>
      <c r="BP146" s="373"/>
      <c r="BQ146" s="373"/>
      <c r="BR146" s="373"/>
      <c r="BS146" s="373"/>
      <c r="BT146" s="373"/>
      <c r="BU146" s="373"/>
      <c r="BV146" s="373"/>
      <c r="BW146" s="373"/>
      <c r="BX146" s="373"/>
      <c r="BY146" s="373"/>
      <c r="BZ146" s="373"/>
      <c r="CA146" s="373"/>
      <c r="CB146" s="373"/>
      <c r="CC146" s="373"/>
      <c r="CD146" s="373"/>
      <c r="CE146" s="373"/>
      <c r="CF146" s="373"/>
      <c r="CG146" s="373"/>
      <c r="CH146" s="373"/>
      <c r="CI146" s="373"/>
      <c r="CJ146" s="373"/>
      <c r="CK146" s="373"/>
      <c r="CL146" s="373"/>
      <c r="CM146" s="373"/>
      <c r="CN146" s="373"/>
      <c r="CO146" s="373"/>
      <c r="CP146" s="373"/>
      <c r="CQ146" s="373"/>
      <c r="CR146" s="373"/>
      <c r="CS146" s="373"/>
      <c r="CT146" s="373"/>
      <c r="CU146" s="373"/>
      <c r="CV146" s="373"/>
      <c r="CW146" s="373"/>
      <c r="CX146" s="373"/>
      <c r="CY146" s="373"/>
      <c r="CZ146" s="373"/>
    </row>
    <row r="147" spans="1:104">
      <c r="A147" s="373"/>
      <c r="D147" s="363"/>
      <c r="E147" s="363"/>
      <c r="F147" s="364"/>
      <c r="G147" s="364"/>
      <c r="H147" s="364"/>
      <c r="M147" s="158"/>
      <c r="N147" s="377"/>
      <c r="O147" s="377"/>
      <c r="P147" s="220"/>
      <c r="Q147" s="373"/>
      <c r="R147" s="373"/>
      <c r="S147" s="373"/>
      <c r="T147" s="373"/>
      <c r="U147" s="373"/>
      <c r="V147" s="373"/>
      <c r="W147" s="373"/>
      <c r="X147" s="373"/>
      <c r="Y147" s="373"/>
      <c r="Z147" s="373"/>
      <c r="AB147" s="373"/>
      <c r="AC147" s="373"/>
      <c r="AD147" s="373"/>
      <c r="AE147" s="373"/>
      <c r="AF147" s="373"/>
      <c r="AG147" s="373"/>
      <c r="AH147" s="373"/>
      <c r="AI147" s="373"/>
      <c r="AJ147" s="373"/>
      <c r="AK147" s="373"/>
      <c r="AL147" s="373"/>
      <c r="AM147" s="373"/>
      <c r="AN147" s="373"/>
      <c r="AO147" s="373"/>
      <c r="AP147" s="373"/>
      <c r="AQ147" s="373"/>
      <c r="AR147" s="373"/>
      <c r="AS147" s="373"/>
      <c r="AT147" s="373"/>
      <c r="AU147" s="373"/>
      <c r="AV147" s="373"/>
      <c r="AW147" s="373"/>
      <c r="AX147" s="373"/>
      <c r="AY147" s="373"/>
      <c r="AZ147" s="373"/>
      <c r="BA147" s="373"/>
      <c r="BB147" s="373"/>
      <c r="BC147" s="373"/>
      <c r="BD147" s="373"/>
      <c r="BE147" s="373"/>
      <c r="BF147" s="373"/>
      <c r="BG147" s="373"/>
      <c r="BH147" s="373"/>
      <c r="BI147" s="373"/>
      <c r="BJ147" s="373"/>
      <c r="BK147" s="373"/>
      <c r="BL147" s="373"/>
      <c r="BM147" s="373"/>
      <c r="BN147" s="373"/>
      <c r="BO147" s="373"/>
      <c r="BP147" s="373"/>
      <c r="BQ147" s="373"/>
      <c r="BR147" s="373"/>
      <c r="BS147" s="373"/>
      <c r="BT147" s="373"/>
      <c r="BU147" s="373"/>
      <c r="BV147" s="373"/>
      <c r="BW147" s="373"/>
      <c r="BX147" s="373"/>
      <c r="BY147" s="373"/>
      <c r="BZ147" s="373"/>
      <c r="CA147" s="373"/>
      <c r="CB147" s="373"/>
      <c r="CC147" s="373"/>
      <c r="CD147" s="373"/>
      <c r="CE147" s="373"/>
      <c r="CF147" s="373"/>
      <c r="CG147" s="373"/>
      <c r="CH147" s="373"/>
      <c r="CI147" s="373"/>
      <c r="CJ147" s="373"/>
      <c r="CK147" s="373"/>
      <c r="CL147" s="373"/>
      <c r="CM147" s="373"/>
      <c r="CN147" s="373"/>
      <c r="CO147" s="373"/>
      <c r="CP147" s="373"/>
      <c r="CQ147" s="373"/>
      <c r="CR147" s="373"/>
      <c r="CS147" s="373"/>
      <c r="CT147" s="373"/>
      <c r="CU147" s="373"/>
      <c r="CV147" s="373"/>
      <c r="CW147" s="373"/>
      <c r="CX147" s="373"/>
      <c r="CY147" s="373"/>
      <c r="CZ147" s="373"/>
    </row>
    <row r="148" spans="1:104">
      <c r="A148" s="373"/>
      <c r="D148" s="363"/>
      <c r="E148" s="363"/>
      <c r="F148" s="364"/>
      <c r="G148" s="364"/>
      <c r="H148" s="364"/>
      <c r="M148" s="158"/>
      <c r="N148" s="377"/>
      <c r="O148" s="377"/>
      <c r="P148" s="220"/>
      <c r="Q148" s="373"/>
      <c r="R148" s="373"/>
      <c r="S148" s="373"/>
      <c r="T148" s="373"/>
      <c r="U148" s="373"/>
      <c r="V148" s="373"/>
      <c r="W148" s="373"/>
      <c r="X148" s="373"/>
      <c r="Y148" s="373"/>
      <c r="Z148" s="373"/>
      <c r="AB148" s="373"/>
      <c r="AC148" s="373"/>
      <c r="AD148" s="373"/>
      <c r="AE148" s="373"/>
      <c r="AF148" s="373"/>
      <c r="AG148" s="373"/>
      <c r="AH148" s="373"/>
      <c r="AI148" s="373"/>
      <c r="AJ148" s="373"/>
      <c r="AK148" s="373"/>
      <c r="AL148" s="373"/>
      <c r="AM148" s="373"/>
      <c r="AN148" s="373"/>
      <c r="AO148" s="373"/>
      <c r="AP148" s="373"/>
      <c r="AQ148" s="373"/>
      <c r="AR148" s="373"/>
      <c r="AS148" s="373"/>
      <c r="AT148" s="373"/>
      <c r="AU148" s="373"/>
      <c r="AV148" s="373"/>
      <c r="AW148" s="373"/>
      <c r="AX148" s="373"/>
      <c r="AY148" s="373"/>
      <c r="AZ148" s="373"/>
      <c r="BA148" s="373"/>
      <c r="BB148" s="373"/>
      <c r="BC148" s="373"/>
      <c r="BD148" s="373"/>
      <c r="BE148" s="373"/>
      <c r="BF148" s="373"/>
      <c r="BG148" s="373"/>
      <c r="BH148" s="373"/>
      <c r="BI148" s="373"/>
      <c r="BJ148" s="373"/>
      <c r="BK148" s="373"/>
      <c r="BL148" s="373"/>
      <c r="BM148" s="373"/>
      <c r="BN148" s="373"/>
      <c r="BO148" s="373"/>
      <c r="BP148" s="373"/>
      <c r="BQ148" s="373"/>
      <c r="BR148" s="373"/>
      <c r="BS148" s="373"/>
      <c r="BT148" s="373"/>
      <c r="BU148" s="373"/>
      <c r="BV148" s="373"/>
      <c r="BW148" s="373"/>
      <c r="BX148" s="373"/>
      <c r="BY148" s="373"/>
      <c r="BZ148" s="373"/>
      <c r="CA148" s="373"/>
      <c r="CB148" s="373"/>
      <c r="CC148" s="373"/>
      <c r="CD148" s="373"/>
      <c r="CE148" s="373"/>
      <c r="CF148" s="373"/>
      <c r="CG148" s="373"/>
      <c r="CH148" s="373"/>
      <c r="CI148" s="373"/>
      <c r="CJ148" s="373"/>
      <c r="CK148" s="373"/>
      <c r="CL148" s="373"/>
      <c r="CM148" s="373"/>
      <c r="CN148" s="373"/>
      <c r="CO148" s="373"/>
      <c r="CP148" s="373"/>
      <c r="CQ148" s="373"/>
      <c r="CR148" s="373"/>
      <c r="CS148" s="373"/>
      <c r="CT148" s="373"/>
      <c r="CU148" s="373"/>
      <c r="CV148" s="373"/>
      <c r="CW148" s="373"/>
      <c r="CX148" s="373"/>
      <c r="CY148" s="373"/>
      <c r="CZ148" s="373"/>
    </row>
    <row r="149" spans="1:104">
      <c r="A149" s="373"/>
      <c r="D149" s="363"/>
      <c r="E149" s="363"/>
      <c r="F149" s="364"/>
      <c r="G149" s="364"/>
      <c r="H149" s="364"/>
      <c r="M149" s="158"/>
      <c r="N149" s="377"/>
      <c r="O149" s="377"/>
      <c r="P149" s="220"/>
      <c r="Q149" s="373"/>
      <c r="R149" s="373"/>
      <c r="S149" s="373"/>
      <c r="T149" s="373"/>
      <c r="U149" s="373"/>
      <c r="V149" s="373"/>
      <c r="W149" s="373"/>
      <c r="X149" s="373"/>
      <c r="Y149" s="373"/>
      <c r="Z149" s="373"/>
      <c r="AB149" s="373"/>
      <c r="AC149" s="373"/>
      <c r="AD149" s="373"/>
      <c r="AE149" s="373"/>
      <c r="AF149" s="373"/>
      <c r="AG149" s="373"/>
      <c r="AH149" s="373"/>
      <c r="AI149" s="373"/>
      <c r="AJ149" s="373"/>
      <c r="AK149" s="373"/>
      <c r="AL149" s="373"/>
      <c r="AM149" s="373"/>
      <c r="AN149" s="373"/>
      <c r="AO149" s="373"/>
      <c r="AP149" s="373"/>
      <c r="AQ149" s="373"/>
      <c r="AR149" s="373"/>
      <c r="AS149" s="373"/>
      <c r="AT149" s="373"/>
      <c r="AU149" s="373"/>
      <c r="AV149" s="373"/>
      <c r="AW149" s="373"/>
      <c r="AX149" s="373"/>
      <c r="AY149" s="373"/>
      <c r="AZ149" s="373"/>
      <c r="BA149" s="373"/>
      <c r="BB149" s="373"/>
      <c r="BC149" s="373"/>
      <c r="BD149" s="373"/>
      <c r="BE149" s="373"/>
      <c r="BF149" s="373"/>
      <c r="BG149" s="373"/>
      <c r="BH149" s="373"/>
      <c r="BI149" s="373"/>
      <c r="BJ149" s="373"/>
      <c r="BK149" s="373"/>
      <c r="BL149" s="373"/>
      <c r="BM149" s="373"/>
      <c r="BN149" s="373"/>
      <c r="BO149" s="373"/>
      <c r="BP149" s="373"/>
      <c r="BQ149" s="373"/>
      <c r="BR149" s="373"/>
      <c r="BS149" s="373"/>
      <c r="BT149" s="373"/>
      <c r="BU149" s="373"/>
      <c r="BV149" s="373"/>
      <c r="BW149" s="373"/>
      <c r="BX149" s="373"/>
      <c r="BY149" s="373"/>
      <c r="BZ149" s="373"/>
      <c r="CA149" s="373"/>
      <c r="CB149" s="373"/>
      <c r="CC149" s="373"/>
      <c r="CD149" s="373"/>
      <c r="CE149" s="373"/>
      <c r="CF149" s="373"/>
      <c r="CG149" s="373"/>
      <c r="CH149" s="373"/>
      <c r="CI149" s="373"/>
      <c r="CJ149" s="373"/>
      <c r="CK149" s="373"/>
      <c r="CL149" s="373"/>
      <c r="CM149" s="373"/>
      <c r="CN149" s="373"/>
      <c r="CO149" s="373"/>
      <c r="CP149" s="373"/>
      <c r="CQ149" s="373"/>
      <c r="CR149" s="373"/>
      <c r="CS149" s="373"/>
      <c r="CT149" s="373"/>
      <c r="CU149" s="373"/>
      <c r="CV149" s="373"/>
      <c r="CW149" s="373"/>
      <c r="CX149" s="373"/>
      <c r="CY149" s="373"/>
      <c r="CZ149" s="373"/>
    </row>
    <row r="150" spans="1:104">
      <c r="A150" s="373"/>
      <c r="D150" s="363"/>
      <c r="E150" s="363"/>
      <c r="F150" s="364"/>
      <c r="G150" s="364"/>
      <c r="H150" s="364"/>
      <c r="M150" s="158"/>
      <c r="N150" s="377"/>
      <c r="O150" s="377"/>
      <c r="P150" s="220"/>
      <c r="Q150" s="373"/>
      <c r="R150" s="373"/>
      <c r="S150" s="373"/>
      <c r="T150" s="373"/>
      <c r="U150" s="373"/>
      <c r="V150" s="373"/>
      <c r="W150" s="373"/>
      <c r="X150" s="373"/>
      <c r="Y150" s="373"/>
      <c r="Z150" s="373"/>
      <c r="AB150" s="373"/>
      <c r="AC150" s="373"/>
      <c r="AD150" s="373"/>
      <c r="AE150" s="373"/>
      <c r="AF150" s="373"/>
      <c r="AG150" s="373"/>
      <c r="AH150" s="373"/>
      <c r="AI150" s="373"/>
      <c r="AJ150" s="373"/>
      <c r="AK150" s="373"/>
      <c r="AL150" s="373"/>
      <c r="AM150" s="373"/>
      <c r="AN150" s="373"/>
      <c r="AO150" s="373"/>
      <c r="AP150" s="373"/>
      <c r="AQ150" s="373"/>
      <c r="AR150" s="373"/>
      <c r="AS150" s="373"/>
      <c r="AT150" s="373"/>
      <c r="AU150" s="373"/>
      <c r="AV150" s="373"/>
      <c r="AW150" s="373"/>
      <c r="AX150" s="373"/>
      <c r="AY150" s="373"/>
      <c r="AZ150" s="373"/>
      <c r="BA150" s="373"/>
      <c r="BB150" s="373"/>
      <c r="BC150" s="373"/>
      <c r="BD150" s="373"/>
      <c r="BE150" s="373"/>
      <c r="BF150" s="373"/>
      <c r="BG150" s="373"/>
      <c r="BH150" s="373"/>
      <c r="BI150" s="373"/>
      <c r="BJ150" s="373"/>
      <c r="BK150" s="373"/>
      <c r="BL150" s="373"/>
      <c r="BM150" s="373"/>
      <c r="BN150" s="373"/>
      <c r="BO150" s="373"/>
      <c r="BP150" s="373"/>
      <c r="BQ150" s="373"/>
      <c r="BR150" s="373"/>
      <c r="BS150" s="373"/>
      <c r="BT150" s="373"/>
      <c r="BU150" s="373"/>
      <c r="BV150" s="373"/>
      <c r="BW150" s="373"/>
      <c r="BX150" s="373"/>
      <c r="BY150" s="373"/>
      <c r="BZ150" s="373"/>
      <c r="CA150" s="373"/>
      <c r="CB150" s="373"/>
      <c r="CC150" s="373"/>
      <c r="CD150" s="373"/>
      <c r="CE150" s="373"/>
      <c r="CF150" s="373"/>
      <c r="CG150" s="373"/>
      <c r="CH150" s="373"/>
      <c r="CI150" s="373"/>
      <c r="CJ150" s="373"/>
      <c r="CK150" s="373"/>
      <c r="CL150" s="373"/>
      <c r="CM150" s="373"/>
      <c r="CN150" s="373"/>
      <c r="CO150" s="373"/>
      <c r="CP150" s="373"/>
      <c r="CQ150" s="373"/>
      <c r="CR150" s="373"/>
      <c r="CS150" s="373"/>
      <c r="CT150" s="373"/>
      <c r="CU150" s="373"/>
      <c r="CV150" s="373"/>
      <c r="CW150" s="373"/>
      <c r="CX150" s="373"/>
      <c r="CY150" s="373"/>
      <c r="CZ150" s="373"/>
    </row>
    <row r="151" spans="1:104">
      <c r="A151" s="373"/>
      <c r="D151" s="363"/>
      <c r="E151" s="363"/>
      <c r="F151" s="364"/>
      <c r="G151" s="364"/>
      <c r="H151" s="364"/>
      <c r="M151" s="158"/>
      <c r="N151" s="377"/>
      <c r="O151" s="377"/>
      <c r="P151" s="220"/>
      <c r="Q151" s="373"/>
      <c r="R151" s="373"/>
      <c r="S151" s="373"/>
      <c r="T151" s="373"/>
      <c r="U151" s="373"/>
      <c r="V151" s="373"/>
      <c r="W151" s="373"/>
      <c r="X151" s="373"/>
      <c r="Y151" s="373"/>
      <c r="Z151" s="373"/>
      <c r="AB151" s="373"/>
      <c r="AC151" s="373"/>
      <c r="AD151" s="373"/>
      <c r="AE151" s="373"/>
      <c r="AF151" s="373"/>
      <c r="AG151" s="373"/>
      <c r="AH151" s="373"/>
      <c r="AI151" s="373"/>
      <c r="AJ151" s="373"/>
      <c r="AK151" s="373"/>
      <c r="AL151" s="373"/>
      <c r="AM151" s="373"/>
      <c r="AN151" s="373"/>
      <c r="AO151" s="373"/>
      <c r="AP151" s="373"/>
      <c r="AQ151" s="373"/>
      <c r="AR151" s="373"/>
      <c r="AS151" s="373"/>
      <c r="AT151" s="373"/>
      <c r="AU151" s="373"/>
      <c r="AV151" s="373"/>
      <c r="AW151" s="373"/>
      <c r="AX151" s="373"/>
      <c r="AY151" s="373"/>
      <c r="AZ151" s="373"/>
      <c r="BA151" s="373"/>
      <c r="BB151" s="373"/>
      <c r="BC151" s="373"/>
      <c r="BD151" s="373"/>
      <c r="BE151" s="373"/>
      <c r="BF151" s="373"/>
      <c r="BG151" s="373"/>
      <c r="BH151" s="373"/>
      <c r="BI151" s="373"/>
      <c r="BJ151" s="373"/>
      <c r="BK151" s="373"/>
      <c r="BL151" s="373"/>
      <c r="BM151" s="373"/>
      <c r="BN151" s="373"/>
      <c r="BO151" s="373"/>
      <c r="BP151" s="373"/>
      <c r="BQ151" s="373"/>
      <c r="BR151" s="373"/>
      <c r="BS151" s="373"/>
      <c r="BT151" s="373"/>
      <c r="BU151" s="373"/>
      <c r="BV151" s="373"/>
      <c r="BW151" s="373"/>
      <c r="BX151" s="373"/>
      <c r="BY151" s="373"/>
      <c r="BZ151" s="373"/>
      <c r="CA151" s="373"/>
      <c r="CB151" s="373"/>
      <c r="CC151" s="373"/>
      <c r="CD151" s="373"/>
      <c r="CE151" s="373"/>
      <c r="CF151" s="373"/>
      <c r="CG151" s="373"/>
      <c r="CH151" s="373"/>
      <c r="CI151" s="373"/>
      <c r="CJ151" s="373"/>
      <c r="CK151" s="373"/>
      <c r="CL151" s="373"/>
      <c r="CM151" s="373"/>
      <c r="CN151" s="373"/>
      <c r="CO151" s="373"/>
      <c r="CP151" s="373"/>
      <c r="CQ151" s="373"/>
      <c r="CR151" s="373"/>
      <c r="CS151" s="373"/>
      <c r="CT151" s="373"/>
      <c r="CU151" s="373"/>
      <c r="CV151" s="373"/>
      <c r="CW151" s="373"/>
      <c r="CX151" s="373"/>
      <c r="CY151" s="373"/>
      <c r="CZ151" s="373"/>
    </row>
    <row r="152" spans="1:104">
      <c r="A152" s="373"/>
      <c r="D152" s="363"/>
      <c r="E152" s="363"/>
      <c r="F152" s="364"/>
      <c r="G152" s="364"/>
      <c r="H152" s="364"/>
      <c r="M152" s="158"/>
      <c r="N152" s="377"/>
      <c r="O152" s="377"/>
      <c r="P152" s="220"/>
      <c r="Q152" s="373"/>
      <c r="R152" s="373"/>
      <c r="S152" s="373"/>
      <c r="T152" s="373"/>
      <c r="U152" s="373"/>
      <c r="V152" s="373"/>
      <c r="W152" s="373"/>
      <c r="X152" s="373"/>
      <c r="Y152" s="373"/>
      <c r="Z152" s="373"/>
      <c r="AB152" s="373"/>
      <c r="AC152" s="373"/>
      <c r="AD152" s="373"/>
      <c r="AE152" s="373"/>
      <c r="AF152" s="373"/>
      <c r="AG152" s="373"/>
      <c r="AH152" s="373"/>
      <c r="AI152" s="373"/>
      <c r="AJ152" s="373"/>
      <c r="AK152" s="373"/>
      <c r="AL152" s="373"/>
      <c r="AM152" s="373"/>
      <c r="AN152" s="373"/>
      <c r="AO152" s="373"/>
      <c r="AP152" s="373"/>
      <c r="AQ152" s="373"/>
      <c r="AR152" s="373"/>
      <c r="AS152" s="373"/>
      <c r="AT152" s="373"/>
      <c r="AU152" s="373"/>
      <c r="AV152" s="373"/>
      <c r="AW152" s="373"/>
      <c r="AX152" s="373"/>
      <c r="AY152" s="373"/>
      <c r="AZ152" s="373"/>
      <c r="BA152" s="373"/>
      <c r="BB152" s="373"/>
      <c r="BC152" s="373"/>
      <c r="BD152" s="373"/>
      <c r="BE152" s="373"/>
      <c r="BF152" s="373"/>
      <c r="BG152" s="373"/>
      <c r="BH152" s="373"/>
      <c r="BI152" s="373"/>
      <c r="BJ152" s="373"/>
      <c r="BK152" s="373"/>
      <c r="BL152" s="373"/>
      <c r="BM152" s="373"/>
      <c r="BN152" s="373"/>
      <c r="BO152" s="373"/>
      <c r="BP152" s="373"/>
      <c r="BQ152" s="373"/>
      <c r="BR152" s="373"/>
      <c r="BS152" s="373"/>
      <c r="BT152" s="373"/>
      <c r="BU152" s="373"/>
      <c r="BV152" s="373"/>
      <c r="BW152" s="373"/>
      <c r="BX152" s="373"/>
      <c r="BY152" s="373"/>
      <c r="BZ152" s="373"/>
      <c r="CA152" s="373"/>
      <c r="CB152" s="373"/>
      <c r="CC152" s="373"/>
      <c r="CD152" s="373"/>
      <c r="CE152" s="373"/>
      <c r="CF152" s="373"/>
      <c r="CG152" s="373"/>
      <c r="CH152" s="373"/>
      <c r="CI152" s="373"/>
      <c r="CJ152" s="373"/>
      <c r="CK152" s="373"/>
      <c r="CL152" s="373"/>
      <c r="CM152" s="373"/>
      <c r="CN152" s="373"/>
      <c r="CO152" s="373"/>
      <c r="CP152" s="373"/>
      <c r="CQ152" s="373"/>
      <c r="CR152" s="373"/>
      <c r="CS152" s="373"/>
      <c r="CT152" s="373"/>
      <c r="CU152" s="373"/>
      <c r="CV152" s="373"/>
      <c r="CW152" s="373"/>
      <c r="CX152" s="373"/>
      <c r="CY152" s="373"/>
      <c r="CZ152" s="373"/>
    </row>
    <row r="153" spans="1:104">
      <c r="A153" s="373"/>
      <c r="D153" s="363"/>
      <c r="E153" s="363"/>
      <c r="F153" s="364"/>
      <c r="G153" s="364"/>
      <c r="H153" s="364"/>
      <c r="M153" s="158"/>
      <c r="N153" s="377"/>
      <c r="O153" s="377"/>
      <c r="P153" s="220"/>
      <c r="Q153" s="373"/>
      <c r="R153" s="373"/>
      <c r="S153" s="373"/>
      <c r="T153" s="373"/>
      <c r="U153" s="373"/>
      <c r="V153" s="373"/>
      <c r="W153" s="373"/>
      <c r="X153" s="373"/>
      <c r="Y153" s="373"/>
      <c r="Z153" s="373"/>
      <c r="AB153" s="373"/>
      <c r="AC153" s="373"/>
      <c r="AD153" s="373"/>
      <c r="AE153" s="373"/>
      <c r="AF153" s="373"/>
      <c r="AG153" s="373"/>
      <c r="AH153" s="373"/>
      <c r="AI153" s="373"/>
      <c r="AJ153" s="373"/>
      <c r="AK153" s="373"/>
      <c r="AL153" s="373"/>
      <c r="AM153" s="373"/>
      <c r="AN153" s="373"/>
      <c r="AO153" s="373"/>
      <c r="AP153" s="373"/>
      <c r="AQ153" s="373"/>
      <c r="AR153" s="373"/>
      <c r="AS153" s="373"/>
      <c r="AT153" s="373"/>
      <c r="AU153" s="373"/>
      <c r="AV153" s="373"/>
      <c r="AW153" s="373"/>
      <c r="AX153" s="373"/>
      <c r="AY153" s="373"/>
      <c r="AZ153" s="373"/>
      <c r="BA153" s="373"/>
      <c r="BB153" s="373"/>
      <c r="BC153" s="373"/>
      <c r="BD153" s="373"/>
      <c r="BE153" s="373"/>
      <c r="BF153" s="373"/>
      <c r="BG153" s="373"/>
      <c r="BH153" s="373"/>
      <c r="BI153" s="373"/>
      <c r="BJ153" s="373"/>
      <c r="BK153" s="373"/>
      <c r="BL153" s="373"/>
      <c r="BM153" s="373"/>
      <c r="BN153" s="373"/>
      <c r="BO153" s="373"/>
      <c r="BP153" s="373"/>
      <c r="BQ153" s="373"/>
      <c r="BR153" s="373"/>
      <c r="BS153" s="373"/>
      <c r="BT153" s="373"/>
      <c r="BU153" s="373"/>
      <c r="BV153" s="373"/>
      <c r="BW153" s="373"/>
      <c r="BX153" s="373"/>
      <c r="BY153" s="373"/>
      <c r="BZ153" s="373"/>
      <c r="CA153" s="373"/>
      <c r="CB153" s="373"/>
      <c r="CC153" s="373"/>
      <c r="CD153" s="373"/>
      <c r="CE153" s="373"/>
      <c r="CF153" s="373"/>
      <c r="CG153" s="373"/>
      <c r="CH153" s="373"/>
      <c r="CI153" s="373"/>
      <c r="CJ153" s="373"/>
      <c r="CK153" s="373"/>
      <c r="CL153" s="373"/>
      <c r="CM153" s="373"/>
      <c r="CN153" s="373"/>
      <c r="CO153" s="373"/>
      <c r="CP153" s="373"/>
      <c r="CQ153" s="373"/>
      <c r="CR153" s="373"/>
      <c r="CS153" s="373"/>
      <c r="CT153" s="373"/>
      <c r="CU153" s="373"/>
      <c r="CV153" s="373"/>
      <c r="CW153" s="373"/>
      <c r="CX153" s="373"/>
      <c r="CY153" s="373"/>
      <c r="CZ153" s="373"/>
    </row>
    <row r="154" spans="1:104">
      <c r="A154" s="373"/>
      <c r="D154" s="363"/>
      <c r="E154" s="363"/>
      <c r="F154" s="364"/>
      <c r="G154" s="364"/>
      <c r="H154" s="364"/>
      <c r="M154" s="158"/>
      <c r="N154" s="377"/>
      <c r="O154" s="377"/>
      <c r="P154" s="220"/>
      <c r="Q154" s="373"/>
      <c r="R154" s="373"/>
      <c r="S154" s="373"/>
      <c r="T154" s="373"/>
      <c r="U154" s="373"/>
      <c r="V154" s="373"/>
      <c r="W154" s="373"/>
      <c r="X154" s="373"/>
      <c r="Y154" s="373"/>
      <c r="Z154" s="373"/>
      <c r="AB154" s="373"/>
      <c r="AC154" s="373"/>
      <c r="AD154" s="373"/>
      <c r="AE154" s="373"/>
      <c r="AF154" s="373"/>
      <c r="AG154" s="373"/>
      <c r="AH154" s="373"/>
      <c r="AI154" s="373"/>
      <c r="AJ154" s="373"/>
      <c r="AK154" s="373"/>
      <c r="AL154" s="373"/>
      <c r="AM154" s="373"/>
      <c r="AN154" s="373"/>
      <c r="AO154" s="373"/>
      <c r="AP154" s="373"/>
      <c r="AQ154" s="373"/>
      <c r="AR154" s="373"/>
      <c r="AS154" s="373"/>
      <c r="AT154" s="373"/>
      <c r="AU154" s="373"/>
      <c r="AV154" s="373"/>
      <c r="AW154" s="373"/>
      <c r="AX154" s="373"/>
      <c r="AY154" s="373"/>
      <c r="AZ154" s="373"/>
      <c r="BA154" s="373"/>
      <c r="BB154" s="373"/>
      <c r="BC154" s="373"/>
      <c r="BD154" s="373"/>
      <c r="BE154" s="373"/>
      <c r="BF154" s="373"/>
      <c r="BG154" s="373"/>
      <c r="BH154" s="373"/>
      <c r="BI154" s="373"/>
      <c r="BJ154" s="373"/>
      <c r="BK154" s="373"/>
      <c r="BL154" s="373"/>
      <c r="BM154" s="373"/>
      <c r="BN154" s="373"/>
      <c r="BO154" s="373"/>
      <c r="BP154" s="373"/>
      <c r="BQ154" s="373"/>
      <c r="BR154" s="373"/>
      <c r="BS154" s="373"/>
      <c r="BT154" s="373"/>
      <c r="BU154" s="373"/>
      <c r="BV154" s="373"/>
      <c r="BW154" s="373"/>
      <c r="BX154" s="373"/>
      <c r="BY154" s="373"/>
      <c r="BZ154" s="373"/>
      <c r="CA154" s="373"/>
      <c r="CB154" s="373"/>
      <c r="CC154" s="373"/>
      <c r="CD154" s="373"/>
      <c r="CE154" s="373"/>
      <c r="CF154" s="373"/>
      <c r="CG154" s="373"/>
      <c r="CH154" s="373"/>
      <c r="CI154" s="373"/>
      <c r="CJ154" s="373"/>
      <c r="CK154" s="373"/>
      <c r="CL154" s="373"/>
      <c r="CM154" s="373"/>
      <c r="CN154" s="373"/>
      <c r="CO154" s="373"/>
      <c r="CP154" s="373"/>
      <c r="CQ154" s="373"/>
      <c r="CR154" s="373"/>
      <c r="CS154" s="373"/>
      <c r="CT154" s="373"/>
      <c r="CU154" s="373"/>
      <c r="CV154" s="373"/>
      <c r="CW154" s="373"/>
      <c r="CX154" s="373"/>
      <c r="CY154" s="373"/>
      <c r="CZ154" s="373"/>
    </row>
    <row r="155" spans="1:104">
      <c r="A155" s="373"/>
      <c r="D155" s="363"/>
      <c r="E155" s="363"/>
      <c r="F155" s="364"/>
      <c r="G155" s="364"/>
      <c r="H155" s="364"/>
      <c r="M155" s="158"/>
      <c r="N155" s="377"/>
      <c r="O155" s="377"/>
      <c r="Q155" s="373"/>
      <c r="R155" s="373"/>
      <c r="S155" s="373"/>
      <c r="T155" s="373"/>
      <c r="U155" s="373"/>
      <c r="V155" s="373"/>
      <c r="W155" s="373"/>
      <c r="X155" s="373"/>
      <c r="Y155" s="373"/>
      <c r="Z155" s="373"/>
      <c r="AB155" s="373"/>
      <c r="AC155" s="373"/>
      <c r="AD155" s="373"/>
      <c r="AE155" s="373"/>
      <c r="AF155" s="373"/>
      <c r="AG155" s="373"/>
      <c r="AH155" s="373"/>
      <c r="AI155" s="373"/>
      <c r="AJ155" s="373"/>
      <c r="AK155" s="373"/>
      <c r="AL155" s="373"/>
      <c r="AM155" s="373"/>
      <c r="AN155" s="373"/>
      <c r="AO155" s="373"/>
      <c r="AP155" s="373"/>
      <c r="AQ155" s="373"/>
      <c r="AR155" s="373"/>
      <c r="AS155" s="373"/>
      <c r="AT155" s="373"/>
      <c r="AU155" s="373"/>
      <c r="AV155" s="373"/>
      <c r="AW155" s="373"/>
      <c r="AX155" s="373"/>
      <c r="AY155" s="373"/>
      <c r="AZ155" s="373"/>
      <c r="BA155" s="373"/>
      <c r="BB155" s="373"/>
      <c r="BC155" s="373"/>
      <c r="BD155" s="373"/>
      <c r="BE155" s="373"/>
      <c r="BF155" s="373"/>
      <c r="BG155" s="373"/>
      <c r="BH155" s="373"/>
      <c r="BI155" s="373"/>
      <c r="BJ155" s="373"/>
      <c r="BK155" s="373"/>
      <c r="BL155" s="373"/>
      <c r="BM155" s="373"/>
      <c r="BN155" s="373"/>
      <c r="BO155" s="373"/>
      <c r="BP155" s="373"/>
      <c r="BQ155" s="373"/>
      <c r="BR155" s="373"/>
      <c r="BS155" s="373"/>
      <c r="BT155" s="373"/>
      <c r="BU155" s="373"/>
      <c r="BV155" s="373"/>
      <c r="BW155" s="373"/>
      <c r="BX155" s="373"/>
      <c r="BY155" s="373"/>
      <c r="BZ155" s="373"/>
      <c r="CA155" s="373"/>
      <c r="CB155" s="373"/>
      <c r="CC155" s="373"/>
      <c r="CD155" s="373"/>
      <c r="CE155" s="373"/>
      <c r="CF155" s="373"/>
      <c r="CG155" s="373"/>
      <c r="CH155" s="373"/>
      <c r="CI155" s="373"/>
      <c r="CJ155" s="373"/>
      <c r="CK155" s="373"/>
      <c r="CL155" s="373"/>
      <c r="CM155" s="373"/>
      <c r="CN155" s="373"/>
      <c r="CO155" s="373"/>
      <c r="CP155" s="373"/>
      <c r="CQ155" s="373"/>
      <c r="CR155" s="373"/>
      <c r="CS155" s="373"/>
      <c r="CT155" s="373"/>
      <c r="CU155" s="373"/>
      <c r="CV155" s="373"/>
      <c r="CW155" s="373"/>
      <c r="CX155" s="373"/>
      <c r="CY155" s="373"/>
      <c r="CZ155" s="373"/>
    </row>
    <row r="156" spans="1:104">
      <c r="A156" s="373"/>
      <c r="D156" s="363"/>
      <c r="E156" s="363"/>
      <c r="F156" s="364"/>
      <c r="G156" s="364"/>
      <c r="H156" s="364"/>
      <c r="M156" s="158"/>
      <c r="N156" s="377"/>
      <c r="O156" s="377"/>
      <c r="Q156" s="373"/>
      <c r="R156" s="373"/>
      <c r="S156" s="373"/>
      <c r="T156" s="373"/>
      <c r="U156" s="373"/>
      <c r="V156" s="373"/>
      <c r="W156" s="373"/>
      <c r="X156" s="373"/>
      <c r="Y156" s="373"/>
      <c r="Z156" s="373"/>
      <c r="AB156" s="373"/>
      <c r="AC156" s="373"/>
      <c r="AD156" s="373"/>
      <c r="AE156" s="373"/>
      <c r="AF156" s="373"/>
      <c r="AG156" s="373"/>
      <c r="AH156" s="373"/>
      <c r="AI156" s="373"/>
      <c r="AJ156" s="373"/>
      <c r="AK156" s="373"/>
      <c r="AL156" s="373"/>
      <c r="AM156" s="373"/>
      <c r="AN156" s="373"/>
      <c r="AO156" s="373"/>
      <c r="AP156" s="373"/>
      <c r="AQ156" s="373"/>
      <c r="AR156" s="373"/>
      <c r="AS156" s="373"/>
      <c r="AT156" s="373"/>
      <c r="AU156" s="373"/>
      <c r="AV156" s="373"/>
      <c r="AW156" s="373"/>
      <c r="AX156" s="373"/>
      <c r="AY156" s="373"/>
      <c r="AZ156" s="373"/>
      <c r="BA156" s="373"/>
      <c r="BB156" s="373"/>
      <c r="BC156" s="373"/>
      <c r="BD156" s="373"/>
      <c r="BE156" s="373"/>
      <c r="BF156" s="373"/>
      <c r="BG156" s="373"/>
      <c r="BH156" s="373"/>
      <c r="BI156" s="373"/>
      <c r="BJ156" s="373"/>
      <c r="BK156" s="373"/>
      <c r="BL156" s="373"/>
      <c r="BM156" s="373"/>
      <c r="BN156" s="373"/>
      <c r="BO156" s="373"/>
      <c r="BP156" s="373"/>
      <c r="BQ156" s="373"/>
      <c r="BR156" s="373"/>
      <c r="BS156" s="373"/>
      <c r="BT156" s="373"/>
      <c r="BU156" s="373"/>
      <c r="BV156" s="373"/>
      <c r="BW156" s="373"/>
      <c r="BX156" s="373"/>
      <c r="BY156" s="373"/>
      <c r="BZ156" s="373"/>
      <c r="CA156" s="373"/>
      <c r="CB156" s="373"/>
      <c r="CC156" s="373"/>
      <c r="CD156" s="373"/>
      <c r="CE156" s="373"/>
      <c r="CF156" s="373"/>
      <c r="CG156" s="373"/>
      <c r="CH156" s="373"/>
      <c r="CI156" s="373"/>
      <c r="CJ156" s="373"/>
      <c r="CK156" s="373"/>
      <c r="CL156" s="373"/>
      <c r="CM156" s="373"/>
      <c r="CN156" s="373"/>
      <c r="CO156" s="373"/>
      <c r="CP156" s="373"/>
      <c r="CQ156" s="373"/>
      <c r="CR156" s="373"/>
      <c r="CS156" s="373"/>
      <c r="CT156" s="373"/>
      <c r="CU156" s="373"/>
      <c r="CV156" s="373"/>
      <c r="CW156" s="373"/>
      <c r="CX156" s="373"/>
      <c r="CY156" s="373"/>
      <c r="CZ156" s="373"/>
    </row>
    <row r="157" spans="1:104">
      <c r="A157" s="373"/>
      <c r="D157" s="363"/>
      <c r="E157" s="363"/>
      <c r="F157" s="364"/>
      <c r="G157" s="364"/>
      <c r="H157" s="364"/>
      <c r="M157" s="158"/>
      <c r="N157" s="377"/>
      <c r="O157" s="377"/>
      <c r="Q157" s="373"/>
      <c r="R157" s="373"/>
      <c r="S157" s="373"/>
      <c r="T157" s="373"/>
      <c r="U157" s="373"/>
      <c r="V157" s="373"/>
      <c r="W157" s="373"/>
      <c r="X157" s="373"/>
      <c r="Y157" s="373"/>
      <c r="Z157" s="373"/>
      <c r="AB157" s="373"/>
      <c r="AC157" s="373"/>
      <c r="AD157" s="373"/>
      <c r="AE157" s="373"/>
      <c r="AF157" s="373"/>
      <c r="AG157" s="373"/>
      <c r="AH157" s="373"/>
      <c r="AI157" s="373"/>
      <c r="AJ157" s="373"/>
      <c r="AK157" s="373"/>
      <c r="AL157" s="373"/>
      <c r="AM157" s="373"/>
      <c r="AN157" s="373"/>
      <c r="AO157" s="373"/>
      <c r="AP157" s="373"/>
      <c r="AQ157" s="373"/>
      <c r="AR157" s="373"/>
      <c r="AS157" s="373"/>
      <c r="AT157" s="373"/>
      <c r="AU157" s="373"/>
      <c r="AV157" s="373"/>
      <c r="AW157" s="373"/>
      <c r="AX157" s="373"/>
      <c r="AY157" s="373"/>
      <c r="AZ157" s="373"/>
      <c r="BA157" s="373"/>
      <c r="BB157" s="373"/>
      <c r="BC157" s="373"/>
      <c r="BD157" s="373"/>
      <c r="BE157" s="373"/>
      <c r="BF157" s="373"/>
      <c r="BG157" s="373"/>
      <c r="BH157" s="373"/>
      <c r="BI157" s="373"/>
      <c r="BJ157" s="373"/>
      <c r="BK157" s="373"/>
      <c r="BL157" s="373"/>
      <c r="BM157" s="373"/>
      <c r="BN157" s="373"/>
      <c r="BO157" s="373"/>
      <c r="BP157" s="373"/>
      <c r="BQ157" s="373"/>
      <c r="BR157" s="373"/>
      <c r="BS157" s="373"/>
      <c r="BT157" s="373"/>
      <c r="BU157" s="373"/>
      <c r="BV157" s="373"/>
      <c r="BW157" s="373"/>
      <c r="BX157" s="373"/>
      <c r="BY157" s="373"/>
      <c r="BZ157" s="373"/>
      <c r="CA157" s="373"/>
      <c r="CB157" s="373"/>
      <c r="CC157" s="373"/>
      <c r="CD157" s="373"/>
      <c r="CE157" s="373"/>
      <c r="CF157" s="373"/>
      <c r="CG157" s="373"/>
      <c r="CH157" s="373"/>
      <c r="CI157" s="373"/>
      <c r="CJ157" s="373"/>
      <c r="CK157" s="373"/>
      <c r="CL157" s="373"/>
      <c r="CM157" s="373"/>
      <c r="CN157" s="373"/>
      <c r="CO157" s="373"/>
      <c r="CP157" s="373"/>
      <c r="CQ157" s="373"/>
      <c r="CR157" s="373"/>
      <c r="CS157" s="373"/>
      <c r="CT157" s="373"/>
      <c r="CU157" s="373"/>
      <c r="CV157" s="373"/>
      <c r="CW157" s="373"/>
      <c r="CX157" s="373"/>
      <c r="CY157" s="373"/>
      <c r="CZ157" s="373"/>
    </row>
    <row r="158" spans="1:104">
      <c r="A158" s="373"/>
      <c r="D158" s="363"/>
      <c r="E158" s="363"/>
      <c r="F158" s="364"/>
      <c r="G158" s="364"/>
      <c r="H158" s="364"/>
      <c r="M158" s="158"/>
      <c r="N158" s="377"/>
      <c r="O158" s="377"/>
      <c r="Q158" s="373"/>
      <c r="R158" s="373"/>
      <c r="S158" s="373"/>
      <c r="T158" s="373"/>
      <c r="U158" s="373"/>
      <c r="V158" s="373"/>
      <c r="W158" s="373"/>
      <c r="X158" s="373"/>
      <c r="Y158" s="373"/>
      <c r="Z158" s="373"/>
      <c r="AB158" s="373"/>
      <c r="AC158" s="373"/>
      <c r="AD158" s="373"/>
      <c r="AE158" s="373"/>
      <c r="AF158" s="373"/>
      <c r="AG158" s="373"/>
      <c r="AH158" s="373"/>
      <c r="AI158" s="373"/>
      <c r="AJ158" s="373"/>
      <c r="AK158" s="373"/>
      <c r="AL158" s="373"/>
      <c r="AM158" s="373"/>
      <c r="AN158" s="373"/>
      <c r="AO158" s="373"/>
      <c r="AP158" s="373"/>
      <c r="AQ158" s="373"/>
      <c r="AR158" s="373"/>
      <c r="AS158" s="373"/>
      <c r="AT158" s="373"/>
      <c r="AU158" s="373"/>
      <c r="AV158" s="373"/>
      <c r="AW158" s="373"/>
      <c r="AX158" s="373"/>
      <c r="AY158" s="373"/>
      <c r="AZ158" s="373"/>
      <c r="BA158" s="373"/>
      <c r="BB158" s="373"/>
      <c r="BC158" s="373"/>
      <c r="BD158" s="373"/>
      <c r="BE158" s="373"/>
      <c r="BF158" s="373"/>
      <c r="BG158" s="373"/>
      <c r="BH158" s="373"/>
      <c r="BI158" s="373"/>
      <c r="BJ158" s="373"/>
      <c r="BK158" s="373"/>
      <c r="BL158" s="373"/>
      <c r="BM158" s="373"/>
      <c r="BN158" s="373"/>
      <c r="BO158" s="373"/>
      <c r="BP158" s="373"/>
      <c r="BQ158" s="373"/>
      <c r="BR158" s="373"/>
      <c r="BS158" s="373"/>
      <c r="BT158" s="373"/>
      <c r="BU158" s="373"/>
      <c r="BV158" s="373"/>
      <c r="BW158" s="373"/>
      <c r="BX158" s="373"/>
      <c r="BY158" s="373"/>
      <c r="BZ158" s="373"/>
      <c r="CA158" s="373"/>
      <c r="CB158" s="373"/>
      <c r="CC158" s="373"/>
      <c r="CD158" s="373"/>
      <c r="CE158" s="373"/>
      <c r="CF158" s="373"/>
      <c r="CG158" s="373"/>
      <c r="CH158" s="373"/>
      <c r="CI158" s="373"/>
      <c r="CJ158" s="373"/>
      <c r="CK158" s="373"/>
      <c r="CL158" s="373"/>
      <c r="CM158" s="373"/>
      <c r="CN158" s="373"/>
      <c r="CO158" s="373"/>
      <c r="CP158" s="373"/>
      <c r="CQ158" s="373"/>
      <c r="CR158" s="373"/>
      <c r="CS158" s="373"/>
      <c r="CT158" s="373"/>
      <c r="CU158" s="373"/>
      <c r="CV158" s="373"/>
      <c r="CW158" s="373"/>
      <c r="CX158" s="373"/>
      <c r="CY158" s="373"/>
      <c r="CZ158" s="373"/>
    </row>
    <row r="159" spans="1:104">
      <c r="A159" s="373"/>
      <c r="D159" s="363"/>
      <c r="E159" s="363"/>
      <c r="F159" s="364"/>
      <c r="G159" s="364"/>
      <c r="H159" s="364"/>
      <c r="M159" s="158"/>
      <c r="N159" s="377"/>
      <c r="O159" s="377"/>
      <c r="Q159" s="373"/>
      <c r="R159" s="373"/>
      <c r="S159" s="373"/>
      <c r="T159" s="373"/>
      <c r="U159" s="373"/>
      <c r="V159" s="373"/>
      <c r="W159" s="373"/>
      <c r="X159" s="373"/>
      <c r="Y159" s="373"/>
      <c r="Z159" s="373"/>
      <c r="AB159" s="373"/>
      <c r="AC159" s="373"/>
      <c r="AD159" s="373"/>
      <c r="AE159" s="373"/>
      <c r="AF159" s="373"/>
      <c r="AG159" s="373"/>
      <c r="AH159" s="373"/>
      <c r="AI159" s="373"/>
      <c r="AJ159" s="373"/>
      <c r="AK159" s="373"/>
      <c r="AL159" s="373"/>
      <c r="AM159" s="373"/>
      <c r="AN159" s="373"/>
      <c r="AO159" s="373"/>
      <c r="AP159" s="373"/>
      <c r="AQ159" s="373"/>
      <c r="AR159" s="373"/>
      <c r="AS159" s="373"/>
      <c r="AT159" s="373"/>
      <c r="AU159" s="373"/>
      <c r="AV159" s="373"/>
      <c r="AW159" s="373"/>
      <c r="AX159" s="373"/>
      <c r="AY159" s="373"/>
      <c r="AZ159" s="373"/>
      <c r="BA159" s="373"/>
      <c r="BB159" s="373"/>
      <c r="BC159" s="373"/>
      <c r="BD159" s="373"/>
      <c r="BE159" s="373"/>
      <c r="BF159" s="373"/>
      <c r="BG159" s="373"/>
      <c r="BH159" s="373"/>
      <c r="BI159" s="373"/>
      <c r="BJ159" s="373"/>
      <c r="BK159" s="373"/>
      <c r="BL159" s="373"/>
      <c r="BM159" s="373"/>
      <c r="BN159" s="373"/>
      <c r="BO159" s="373"/>
      <c r="BP159" s="373"/>
      <c r="BQ159" s="373"/>
      <c r="BR159" s="373"/>
      <c r="BS159" s="373"/>
      <c r="BT159" s="373"/>
      <c r="BU159" s="373"/>
      <c r="BV159" s="373"/>
      <c r="BW159" s="373"/>
      <c r="BX159" s="373"/>
      <c r="BY159" s="373"/>
      <c r="BZ159" s="373"/>
      <c r="CA159" s="373"/>
      <c r="CB159" s="373"/>
      <c r="CC159" s="373"/>
      <c r="CD159" s="373"/>
      <c r="CE159" s="373"/>
      <c r="CF159" s="373"/>
      <c r="CG159" s="373"/>
      <c r="CH159" s="373"/>
      <c r="CI159" s="373"/>
      <c r="CJ159" s="373"/>
      <c r="CK159" s="373"/>
      <c r="CL159" s="373"/>
      <c r="CM159" s="373"/>
      <c r="CN159" s="373"/>
      <c r="CO159" s="373"/>
      <c r="CP159" s="373"/>
      <c r="CQ159" s="373"/>
      <c r="CR159" s="373"/>
      <c r="CS159" s="373"/>
      <c r="CT159" s="373"/>
      <c r="CU159" s="373"/>
      <c r="CV159" s="373"/>
      <c r="CW159" s="373"/>
      <c r="CX159" s="373"/>
      <c r="CY159" s="373"/>
      <c r="CZ159" s="373"/>
    </row>
    <row r="160" spans="1:104">
      <c r="A160" s="373"/>
      <c r="D160" s="363"/>
      <c r="E160" s="363"/>
      <c r="F160" s="364"/>
      <c r="G160" s="364"/>
      <c r="H160" s="364"/>
      <c r="M160" s="158"/>
      <c r="N160" s="377"/>
      <c r="O160" s="377"/>
      <c r="Q160" s="373"/>
      <c r="R160" s="373"/>
      <c r="S160" s="373"/>
      <c r="T160" s="373"/>
      <c r="U160" s="373"/>
      <c r="V160" s="373"/>
      <c r="W160" s="373"/>
      <c r="X160" s="373"/>
      <c r="Y160" s="373"/>
      <c r="Z160" s="373"/>
      <c r="AB160" s="373"/>
      <c r="AC160" s="373"/>
      <c r="AD160" s="373"/>
      <c r="AE160" s="373"/>
      <c r="AF160" s="373"/>
      <c r="AG160" s="373"/>
      <c r="AH160" s="373"/>
      <c r="AI160" s="373"/>
      <c r="AJ160" s="373"/>
      <c r="AK160" s="373"/>
      <c r="AL160" s="373"/>
      <c r="AM160" s="373"/>
      <c r="AN160" s="373"/>
      <c r="AO160" s="373"/>
      <c r="AP160" s="373"/>
      <c r="AQ160" s="373"/>
      <c r="AR160" s="373"/>
      <c r="AS160" s="373"/>
      <c r="AT160" s="373"/>
      <c r="AU160" s="373"/>
      <c r="AV160" s="373"/>
      <c r="AW160" s="373"/>
      <c r="AX160" s="373"/>
      <c r="AY160" s="373"/>
      <c r="AZ160" s="373"/>
      <c r="BA160" s="373"/>
      <c r="BB160" s="373"/>
      <c r="BC160" s="373"/>
      <c r="BD160" s="373"/>
      <c r="BE160" s="373"/>
      <c r="BF160" s="373"/>
      <c r="BG160" s="373"/>
      <c r="BH160" s="373"/>
      <c r="BI160" s="373"/>
      <c r="BJ160" s="373"/>
      <c r="BK160" s="373"/>
      <c r="BL160" s="373"/>
      <c r="BM160" s="373"/>
      <c r="BN160" s="373"/>
      <c r="BO160" s="373"/>
      <c r="BP160" s="373"/>
      <c r="BQ160" s="373"/>
      <c r="BR160" s="373"/>
      <c r="BS160" s="373"/>
      <c r="BT160" s="373"/>
      <c r="BU160" s="373"/>
      <c r="BV160" s="373"/>
      <c r="BW160" s="373"/>
      <c r="BX160" s="373"/>
      <c r="BY160" s="373"/>
      <c r="BZ160" s="373"/>
      <c r="CA160" s="373"/>
      <c r="CB160" s="373"/>
      <c r="CC160" s="373"/>
      <c r="CD160" s="373"/>
      <c r="CE160" s="373"/>
      <c r="CF160" s="373"/>
      <c r="CG160" s="373"/>
      <c r="CH160" s="373"/>
      <c r="CI160" s="373"/>
      <c r="CJ160" s="373"/>
      <c r="CK160" s="373"/>
      <c r="CL160" s="373"/>
      <c r="CM160" s="373"/>
      <c r="CN160" s="373"/>
      <c r="CO160" s="373"/>
      <c r="CP160" s="373"/>
      <c r="CQ160" s="373"/>
      <c r="CR160" s="373"/>
      <c r="CS160" s="373"/>
      <c r="CT160" s="373"/>
      <c r="CU160" s="373"/>
      <c r="CV160" s="373"/>
      <c r="CW160" s="373"/>
      <c r="CX160" s="373"/>
      <c r="CY160" s="373"/>
      <c r="CZ160" s="373"/>
    </row>
    <row r="161" spans="1:104">
      <c r="A161" s="373"/>
      <c r="D161" s="363"/>
      <c r="E161" s="363"/>
      <c r="F161" s="364"/>
      <c r="G161" s="364"/>
      <c r="H161" s="364"/>
      <c r="M161" s="158"/>
      <c r="N161" s="379"/>
      <c r="O161" s="379"/>
      <c r="P161" s="373"/>
      <c r="Q161" s="373"/>
      <c r="R161" s="373"/>
      <c r="S161" s="373"/>
      <c r="T161" s="373"/>
      <c r="U161" s="373"/>
      <c r="V161" s="373"/>
      <c r="W161" s="373"/>
      <c r="X161" s="373"/>
      <c r="Y161" s="373"/>
      <c r="Z161" s="373"/>
      <c r="AB161" s="373"/>
      <c r="AC161" s="373"/>
      <c r="AD161" s="373"/>
      <c r="AE161" s="373"/>
      <c r="AF161" s="373"/>
      <c r="AG161" s="373"/>
      <c r="AH161" s="373"/>
      <c r="AI161" s="373"/>
      <c r="AJ161" s="373"/>
      <c r="AK161" s="373"/>
      <c r="AL161" s="373"/>
      <c r="AM161" s="373"/>
      <c r="AN161" s="373"/>
      <c r="AO161" s="373"/>
      <c r="AP161" s="373"/>
      <c r="AQ161" s="373"/>
      <c r="AR161" s="373"/>
      <c r="AS161" s="373"/>
      <c r="AT161" s="373"/>
      <c r="AU161" s="373"/>
      <c r="AV161" s="373"/>
      <c r="AW161" s="373"/>
      <c r="AX161" s="373"/>
      <c r="AY161" s="373"/>
      <c r="AZ161" s="373"/>
      <c r="BA161" s="373"/>
      <c r="BB161" s="373"/>
      <c r="BC161" s="373"/>
      <c r="BD161" s="373"/>
      <c r="BE161" s="373"/>
      <c r="BF161" s="373"/>
      <c r="BG161" s="373"/>
      <c r="BH161" s="373"/>
      <c r="BI161" s="373"/>
      <c r="BJ161" s="373"/>
      <c r="BK161" s="373"/>
      <c r="BL161" s="373"/>
      <c r="BM161" s="373"/>
      <c r="BN161" s="373"/>
      <c r="BO161" s="373"/>
      <c r="BP161" s="373"/>
      <c r="BQ161" s="373"/>
      <c r="BR161" s="373"/>
      <c r="BS161" s="373"/>
      <c r="BT161" s="373"/>
      <c r="BU161" s="373"/>
      <c r="BV161" s="373"/>
      <c r="BW161" s="373"/>
      <c r="BX161" s="373"/>
      <c r="BY161" s="373"/>
      <c r="BZ161" s="373"/>
      <c r="CA161" s="373"/>
      <c r="CB161" s="373"/>
      <c r="CC161" s="373"/>
      <c r="CD161" s="373"/>
      <c r="CE161" s="373"/>
      <c r="CF161" s="373"/>
      <c r="CG161" s="373"/>
      <c r="CH161" s="373"/>
      <c r="CI161" s="373"/>
      <c r="CJ161" s="373"/>
      <c r="CK161" s="373"/>
      <c r="CL161" s="373"/>
      <c r="CM161" s="373"/>
      <c r="CN161" s="373"/>
      <c r="CO161" s="373"/>
      <c r="CP161" s="373"/>
      <c r="CQ161" s="373"/>
      <c r="CR161" s="373"/>
      <c r="CS161" s="373"/>
      <c r="CT161" s="373"/>
      <c r="CU161" s="373"/>
      <c r="CV161" s="373"/>
      <c r="CW161" s="373"/>
      <c r="CX161" s="373"/>
      <c r="CY161" s="373"/>
      <c r="CZ161" s="373"/>
    </row>
    <row r="162" spans="1:104">
      <c r="A162" s="373"/>
      <c r="D162" s="363"/>
      <c r="E162" s="363"/>
      <c r="F162" s="364"/>
      <c r="G162" s="364"/>
      <c r="H162" s="364"/>
      <c r="M162" s="158"/>
      <c r="N162" s="379"/>
      <c r="O162" s="379"/>
      <c r="P162" s="373"/>
      <c r="Q162" s="373"/>
      <c r="R162" s="373"/>
      <c r="S162" s="373"/>
      <c r="T162" s="373"/>
      <c r="U162" s="373"/>
      <c r="V162" s="373"/>
      <c r="W162" s="373"/>
      <c r="X162" s="373"/>
      <c r="Y162" s="373"/>
      <c r="Z162" s="373"/>
      <c r="AB162" s="373"/>
      <c r="AC162" s="373"/>
      <c r="AD162" s="373"/>
      <c r="AE162" s="373"/>
      <c r="AF162" s="373"/>
      <c r="AG162" s="373"/>
      <c r="AH162" s="373"/>
      <c r="AI162" s="373"/>
      <c r="AJ162" s="373"/>
      <c r="AK162" s="373"/>
      <c r="AL162" s="373"/>
      <c r="AM162" s="373"/>
      <c r="AN162" s="373"/>
      <c r="AO162" s="373"/>
      <c r="AP162" s="373"/>
      <c r="AQ162" s="373"/>
      <c r="AR162" s="373"/>
      <c r="AS162" s="373"/>
      <c r="AT162" s="373"/>
      <c r="AU162" s="373"/>
      <c r="AV162" s="373"/>
      <c r="AW162" s="373"/>
      <c r="AX162" s="373"/>
      <c r="AY162" s="373"/>
      <c r="AZ162" s="373"/>
      <c r="BA162" s="373"/>
      <c r="BB162" s="373"/>
      <c r="BC162" s="373"/>
      <c r="BD162" s="373"/>
      <c r="BE162" s="373"/>
      <c r="BF162" s="373"/>
      <c r="BG162" s="373"/>
      <c r="BH162" s="373"/>
      <c r="BI162" s="373"/>
      <c r="BJ162" s="373"/>
      <c r="BK162" s="373"/>
      <c r="BL162" s="373"/>
      <c r="BM162" s="373"/>
      <c r="BN162" s="373"/>
      <c r="BO162" s="373"/>
      <c r="BP162" s="373"/>
      <c r="BQ162" s="373"/>
      <c r="BR162" s="373"/>
      <c r="BS162" s="373"/>
      <c r="BT162" s="373"/>
      <c r="BU162" s="373"/>
      <c r="BV162" s="373"/>
      <c r="BW162" s="373"/>
      <c r="BX162" s="373"/>
      <c r="BY162" s="373"/>
      <c r="BZ162" s="373"/>
      <c r="CA162" s="373"/>
      <c r="CB162" s="373"/>
      <c r="CC162" s="373"/>
      <c r="CD162" s="373"/>
      <c r="CE162" s="373"/>
      <c r="CF162" s="373"/>
      <c r="CG162" s="373"/>
      <c r="CH162" s="373"/>
      <c r="CI162" s="373"/>
      <c r="CJ162" s="373"/>
      <c r="CK162" s="373"/>
      <c r="CL162" s="373"/>
      <c r="CM162" s="373"/>
      <c r="CN162" s="373"/>
      <c r="CO162" s="373"/>
      <c r="CP162" s="373"/>
      <c r="CQ162" s="373"/>
      <c r="CR162" s="373"/>
      <c r="CS162" s="373"/>
      <c r="CT162" s="373"/>
      <c r="CU162" s="373"/>
      <c r="CV162" s="373"/>
      <c r="CW162" s="373"/>
      <c r="CX162" s="373"/>
      <c r="CY162" s="373"/>
      <c r="CZ162" s="373"/>
    </row>
    <row r="163" spans="1:104">
      <c r="A163" s="373"/>
      <c r="D163" s="363"/>
      <c r="E163" s="363"/>
      <c r="F163" s="364"/>
      <c r="G163" s="364"/>
      <c r="H163" s="364"/>
      <c r="M163" s="158"/>
      <c r="N163" s="379"/>
      <c r="O163" s="379"/>
      <c r="P163" s="373"/>
      <c r="Q163" s="373"/>
      <c r="R163" s="373"/>
      <c r="S163" s="373"/>
      <c r="T163" s="373"/>
      <c r="U163" s="373"/>
      <c r="V163" s="373"/>
      <c r="W163" s="373"/>
      <c r="X163" s="373"/>
      <c r="Y163" s="373"/>
      <c r="Z163" s="373"/>
      <c r="AB163" s="373"/>
      <c r="AC163" s="373"/>
      <c r="AD163" s="373"/>
      <c r="AE163" s="373"/>
      <c r="AF163" s="373"/>
      <c r="AG163" s="373"/>
      <c r="AH163" s="373"/>
      <c r="AI163" s="373"/>
      <c r="AJ163" s="373"/>
      <c r="AK163" s="373"/>
      <c r="AL163" s="373"/>
      <c r="AM163" s="373"/>
      <c r="AN163" s="373"/>
      <c r="AO163" s="373"/>
      <c r="AP163" s="373"/>
      <c r="AQ163" s="373"/>
      <c r="AR163" s="373"/>
      <c r="AS163" s="373"/>
      <c r="AT163" s="373"/>
      <c r="AU163" s="373"/>
      <c r="AV163" s="373"/>
      <c r="AW163" s="373"/>
      <c r="AX163" s="373"/>
      <c r="AY163" s="373"/>
      <c r="AZ163" s="373"/>
      <c r="BA163" s="373"/>
      <c r="BB163" s="373"/>
      <c r="BC163" s="373"/>
      <c r="BD163" s="373"/>
      <c r="BE163" s="373"/>
      <c r="BF163" s="373"/>
      <c r="BG163" s="373"/>
      <c r="BH163" s="373"/>
      <c r="BI163" s="373"/>
      <c r="BJ163" s="373"/>
      <c r="BK163" s="373"/>
      <c r="BL163" s="373"/>
      <c r="BM163" s="373"/>
      <c r="BN163" s="373"/>
      <c r="BO163" s="373"/>
      <c r="BP163" s="373"/>
      <c r="BQ163" s="373"/>
      <c r="BR163" s="373"/>
      <c r="BS163" s="373"/>
      <c r="BT163" s="373"/>
      <c r="BU163" s="373"/>
      <c r="BV163" s="373"/>
      <c r="BW163" s="373"/>
      <c r="BX163" s="373"/>
      <c r="BY163" s="373"/>
      <c r="BZ163" s="373"/>
      <c r="CA163" s="373"/>
      <c r="CB163" s="373"/>
      <c r="CC163" s="373"/>
      <c r="CD163" s="373"/>
      <c r="CE163" s="373"/>
      <c r="CF163" s="373"/>
      <c r="CG163" s="373"/>
      <c r="CH163" s="373"/>
      <c r="CI163" s="373"/>
      <c r="CJ163" s="373"/>
      <c r="CK163" s="373"/>
      <c r="CL163" s="373"/>
      <c r="CM163" s="373"/>
      <c r="CN163" s="373"/>
      <c r="CO163" s="373"/>
      <c r="CP163" s="373"/>
      <c r="CQ163" s="373"/>
      <c r="CR163" s="373"/>
      <c r="CS163" s="373"/>
      <c r="CT163" s="373"/>
      <c r="CU163" s="373"/>
      <c r="CV163" s="373"/>
      <c r="CW163" s="373"/>
      <c r="CX163" s="373"/>
      <c r="CY163" s="373"/>
      <c r="CZ163" s="373"/>
    </row>
    <row r="164" spans="1:104">
      <c r="A164" s="373"/>
      <c r="D164" s="363"/>
      <c r="E164" s="363"/>
      <c r="F164" s="364"/>
      <c r="G164" s="364"/>
      <c r="H164" s="364"/>
      <c r="M164" s="158"/>
      <c r="N164" s="379"/>
      <c r="O164" s="379"/>
      <c r="P164" s="373"/>
      <c r="Q164" s="373"/>
      <c r="R164" s="373"/>
      <c r="S164" s="373"/>
      <c r="T164" s="373"/>
      <c r="U164" s="373"/>
      <c r="V164" s="373"/>
      <c r="W164" s="373"/>
      <c r="X164" s="373"/>
      <c r="Y164" s="373"/>
      <c r="Z164" s="373"/>
      <c r="AB164" s="373"/>
      <c r="AC164" s="373"/>
      <c r="AD164" s="373"/>
      <c r="AE164" s="373"/>
      <c r="AF164" s="373"/>
      <c r="AG164" s="373"/>
      <c r="AH164" s="373"/>
      <c r="AI164" s="373"/>
      <c r="AJ164" s="373"/>
      <c r="AK164" s="373"/>
      <c r="AL164" s="373"/>
      <c r="AM164" s="373"/>
      <c r="AN164" s="373"/>
      <c r="AO164" s="373"/>
      <c r="AP164" s="373"/>
      <c r="AQ164" s="373"/>
      <c r="AR164" s="373"/>
      <c r="AS164" s="373"/>
      <c r="AT164" s="373"/>
      <c r="AU164" s="373"/>
      <c r="AV164" s="373"/>
      <c r="AW164" s="373"/>
      <c r="AX164" s="373"/>
      <c r="AY164" s="373"/>
      <c r="AZ164" s="373"/>
      <c r="BA164" s="373"/>
      <c r="BB164" s="373"/>
      <c r="BC164" s="373"/>
      <c r="BD164" s="373"/>
      <c r="BE164" s="373"/>
      <c r="BF164" s="373"/>
      <c r="BG164" s="373"/>
      <c r="BH164" s="373"/>
      <c r="BI164" s="373"/>
      <c r="BJ164" s="373"/>
      <c r="BK164" s="373"/>
      <c r="BL164" s="373"/>
      <c r="BM164" s="373"/>
      <c r="BN164" s="373"/>
      <c r="BO164" s="373"/>
      <c r="BP164" s="373"/>
      <c r="BQ164" s="373"/>
      <c r="BR164" s="373"/>
      <c r="BS164" s="373"/>
      <c r="BT164" s="373"/>
      <c r="BU164" s="373"/>
      <c r="BV164" s="373"/>
      <c r="BW164" s="373"/>
      <c r="BX164" s="373"/>
      <c r="BY164" s="373"/>
      <c r="BZ164" s="373"/>
      <c r="CA164" s="373"/>
      <c r="CB164" s="373"/>
      <c r="CC164" s="373"/>
      <c r="CD164" s="373"/>
      <c r="CE164" s="373"/>
      <c r="CF164" s="373"/>
      <c r="CG164" s="373"/>
      <c r="CH164" s="373"/>
      <c r="CI164" s="373"/>
      <c r="CJ164" s="373"/>
      <c r="CK164" s="373"/>
      <c r="CL164" s="373"/>
      <c r="CM164" s="373"/>
      <c r="CN164" s="373"/>
      <c r="CO164" s="373"/>
      <c r="CP164" s="373"/>
      <c r="CQ164" s="373"/>
      <c r="CR164" s="373"/>
      <c r="CS164" s="373"/>
      <c r="CT164" s="373"/>
      <c r="CU164" s="373"/>
      <c r="CV164" s="373"/>
      <c r="CW164" s="373"/>
      <c r="CX164" s="373"/>
      <c r="CY164" s="373"/>
      <c r="CZ164" s="373"/>
    </row>
    <row r="165" spans="1:104">
      <c r="A165" s="373"/>
      <c r="D165" s="363"/>
      <c r="E165" s="363"/>
      <c r="F165" s="364"/>
      <c r="G165" s="364"/>
      <c r="H165" s="364"/>
      <c r="M165" s="158"/>
      <c r="N165" s="379"/>
      <c r="O165" s="379"/>
      <c r="P165" s="373"/>
      <c r="Q165" s="373"/>
      <c r="R165" s="373"/>
      <c r="S165" s="373"/>
      <c r="T165" s="373"/>
      <c r="U165" s="373"/>
      <c r="V165" s="373"/>
      <c r="W165" s="373"/>
      <c r="X165" s="373"/>
      <c r="Y165" s="373"/>
      <c r="Z165" s="373"/>
      <c r="AB165" s="373"/>
      <c r="AC165" s="373"/>
      <c r="AD165" s="373"/>
      <c r="AE165" s="373"/>
      <c r="AF165" s="373"/>
      <c r="AG165" s="373"/>
      <c r="AH165" s="373"/>
      <c r="AI165" s="373"/>
      <c r="AJ165" s="373"/>
      <c r="AK165" s="373"/>
      <c r="AL165" s="373"/>
      <c r="AM165" s="373"/>
      <c r="AN165" s="373"/>
      <c r="AO165" s="373"/>
      <c r="AP165" s="373"/>
      <c r="AQ165" s="373"/>
      <c r="AR165" s="373"/>
      <c r="AS165" s="373"/>
      <c r="AT165" s="373"/>
      <c r="AU165" s="373"/>
      <c r="AV165" s="373"/>
      <c r="AW165" s="373"/>
      <c r="AX165" s="373"/>
      <c r="AY165" s="373"/>
      <c r="AZ165" s="373"/>
      <c r="BA165" s="373"/>
      <c r="BB165" s="373"/>
      <c r="BC165" s="373"/>
      <c r="BD165" s="373"/>
      <c r="BE165" s="373"/>
      <c r="BF165" s="373"/>
      <c r="BG165" s="373"/>
      <c r="BH165" s="373"/>
      <c r="BI165" s="373"/>
      <c r="BJ165" s="373"/>
      <c r="BK165" s="373"/>
      <c r="BL165" s="373"/>
      <c r="BM165" s="373"/>
      <c r="BN165" s="373"/>
      <c r="BO165" s="373"/>
      <c r="BP165" s="373"/>
      <c r="BQ165" s="373"/>
      <c r="BR165" s="373"/>
      <c r="BS165" s="373"/>
      <c r="BT165" s="373"/>
      <c r="BU165" s="373"/>
      <c r="BV165" s="373"/>
      <c r="BW165" s="373"/>
      <c r="BX165" s="373"/>
      <c r="BY165" s="373"/>
      <c r="BZ165" s="373"/>
      <c r="CA165" s="373"/>
      <c r="CB165" s="373"/>
      <c r="CC165" s="373"/>
      <c r="CD165" s="373"/>
      <c r="CE165" s="373"/>
      <c r="CF165" s="373"/>
      <c r="CG165" s="373"/>
      <c r="CH165" s="373"/>
      <c r="CI165" s="373"/>
      <c r="CJ165" s="373"/>
      <c r="CK165" s="373"/>
      <c r="CL165" s="373"/>
      <c r="CM165" s="373"/>
      <c r="CN165" s="373"/>
      <c r="CO165" s="373"/>
      <c r="CP165" s="373"/>
      <c r="CQ165" s="373"/>
      <c r="CR165" s="373"/>
      <c r="CS165" s="373"/>
      <c r="CT165" s="373"/>
      <c r="CU165" s="373"/>
      <c r="CV165" s="373"/>
      <c r="CW165" s="373"/>
      <c r="CX165" s="373"/>
      <c r="CY165" s="373"/>
      <c r="CZ165" s="373"/>
    </row>
    <row r="166" spans="1:104">
      <c r="A166" s="373"/>
      <c r="B166" s="373"/>
      <c r="C166" s="373"/>
      <c r="D166" s="363"/>
      <c r="E166" s="373"/>
      <c r="F166" s="373"/>
      <c r="G166" s="373"/>
      <c r="H166" s="373"/>
      <c r="M166" s="158"/>
      <c r="N166" s="379"/>
      <c r="O166" s="379"/>
      <c r="P166" s="373"/>
      <c r="Q166" s="373"/>
      <c r="R166" s="373"/>
      <c r="S166" s="373"/>
      <c r="T166" s="373"/>
      <c r="U166" s="373"/>
      <c r="V166" s="373"/>
      <c r="W166" s="373"/>
      <c r="X166" s="373"/>
      <c r="Y166" s="373"/>
      <c r="Z166" s="373"/>
      <c r="AB166" s="373"/>
      <c r="AC166" s="373"/>
      <c r="AD166" s="373"/>
      <c r="AE166" s="373"/>
      <c r="AF166" s="373"/>
      <c r="AG166" s="373"/>
      <c r="AH166" s="373"/>
      <c r="AI166" s="373"/>
      <c r="AJ166" s="373"/>
      <c r="AK166" s="373"/>
      <c r="AL166" s="373"/>
      <c r="AM166" s="373"/>
      <c r="AN166" s="373"/>
      <c r="AO166" s="373"/>
      <c r="AP166" s="373"/>
      <c r="AQ166" s="373"/>
      <c r="AR166" s="373"/>
      <c r="AS166" s="373"/>
      <c r="AT166" s="373"/>
      <c r="AU166" s="373"/>
      <c r="AV166" s="373"/>
      <c r="AW166" s="373"/>
      <c r="AX166" s="373"/>
      <c r="AY166" s="373"/>
      <c r="AZ166" s="373"/>
      <c r="BA166" s="373"/>
      <c r="BB166" s="373"/>
      <c r="BC166" s="373"/>
      <c r="BD166" s="373"/>
      <c r="BE166" s="373"/>
      <c r="BF166" s="373"/>
      <c r="BG166" s="373"/>
      <c r="BH166" s="373"/>
      <c r="BI166" s="373"/>
      <c r="BJ166" s="373"/>
      <c r="BK166" s="373"/>
      <c r="BL166" s="373"/>
      <c r="BM166" s="373"/>
      <c r="BN166" s="373"/>
      <c r="BO166" s="373"/>
      <c r="BP166" s="373"/>
      <c r="BQ166" s="373"/>
      <c r="BR166" s="373"/>
      <c r="BS166" s="373"/>
      <c r="BT166" s="373"/>
      <c r="BU166" s="373"/>
      <c r="BV166" s="373"/>
      <c r="BW166" s="373"/>
      <c r="BX166" s="373"/>
      <c r="BY166" s="373"/>
      <c r="BZ166" s="373"/>
      <c r="CA166" s="373"/>
      <c r="CB166" s="373"/>
      <c r="CC166" s="373"/>
      <c r="CD166" s="373"/>
      <c r="CE166" s="373"/>
      <c r="CF166" s="373"/>
      <c r="CG166" s="373"/>
      <c r="CH166" s="373"/>
      <c r="CI166" s="373"/>
      <c r="CJ166" s="373"/>
      <c r="CK166" s="373"/>
      <c r="CL166" s="373"/>
      <c r="CM166" s="373"/>
      <c r="CN166" s="373"/>
      <c r="CO166" s="373"/>
      <c r="CP166" s="373"/>
      <c r="CQ166" s="373"/>
      <c r="CR166" s="373"/>
      <c r="CS166" s="373"/>
      <c r="CT166" s="373"/>
      <c r="CU166" s="373"/>
      <c r="CV166" s="373"/>
      <c r="CW166" s="373"/>
      <c r="CX166" s="373"/>
      <c r="CY166" s="373"/>
      <c r="CZ166" s="373"/>
    </row>
    <row r="167" spans="1:104">
      <c r="A167" s="373"/>
      <c r="B167" s="373"/>
      <c r="C167" s="373"/>
      <c r="D167" s="373"/>
      <c r="E167" s="373"/>
      <c r="F167" s="373"/>
      <c r="G167" s="373"/>
      <c r="H167" s="373"/>
      <c r="I167" s="373"/>
      <c r="J167" s="365"/>
      <c r="K167" s="379"/>
      <c r="L167" s="379"/>
      <c r="M167" s="379"/>
      <c r="N167" s="379"/>
      <c r="O167" s="379"/>
      <c r="P167" s="373"/>
      <c r="Q167" s="373"/>
      <c r="R167" s="373"/>
      <c r="S167" s="373"/>
      <c r="T167" s="373"/>
      <c r="U167" s="373"/>
      <c r="V167" s="373"/>
      <c r="W167" s="373"/>
      <c r="X167" s="373"/>
      <c r="Y167" s="373"/>
      <c r="Z167" s="373"/>
      <c r="AB167" s="373"/>
      <c r="AC167" s="373"/>
      <c r="AD167" s="373"/>
      <c r="AE167" s="373"/>
      <c r="AF167" s="373"/>
      <c r="AG167" s="373"/>
      <c r="AH167" s="373"/>
      <c r="AI167" s="373"/>
      <c r="AJ167" s="373"/>
      <c r="AK167" s="373"/>
      <c r="AL167" s="373"/>
      <c r="AM167" s="373"/>
      <c r="AN167" s="373"/>
      <c r="AO167" s="373"/>
      <c r="AP167" s="373"/>
      <c r="AQ167" s="373"/>
      <c r="AR167" s="373"/>
      <c r="AS167" s="373"/>
      <c r="AT167" s="373"/>
      <c r="AU167" s="373"/>
      <c r="AV167" s="373"/>
      <c r="AW167" s="373"/>
      <c r="AX167" s="373"/>
      <c r="AY167" s="373"/>
      <c r="AZ167" s="373"/>
      <c r="BA167" s="373"/>
      <c r="BB167" s="373"/>
      <c r="BC167" s="373"/>
      <c r="BD167" s="373"/>
      <c r="BE167" s="373"/>
      <c r="BF167" s="373"/>
      <c r="BG167" s="373"/>
      <c r="BH167" s="373"/>
      <c r="BI167" s="373"/>
      <c r="BJ167" s="373"/>
      <c r="BK167" s="373"/>
      <c r="BL167" s="373"/>
      <c r="BM167" s="373"/>
      <c r="BN167" s="373"/>
      <c r="BO167" s="373"/>
      <c r="BP167" s="373"/>
      <c r="BQ167" s="373"/>
      <c r="BR167" s="373"/>
      <c r="BS167" s="373"/>
      <c r="BT167" s="373"/>
      <c r="BU167" s="373"/>
      <c r="BV167" s="373"/>
      <c r="BW167" s="373"/>
      <c r="BX167" s="373"/>
      <c r="BY167" s="373"/>
      <c r="BZ167" s="373"/>
      <c r="CA167" s="373"/>
      <c r="CB167" s="373"/>
      <c r="CC167" s="373"/>
      <c r="CD167" s="373"/>
      <c r="CE167" s="373"/>
      <c r="CF167" s="373"/>
      <c r="CG167" s="373"/>
      <c r="CH167" s="373"/>
      <c r="CI167" s="373"/>
      <c r="CJ167" s="373"/>
      <c r="CK167" s="373"/>
      <c r="CL167" s="373"/>
      <c r="CM167" s="373"/>
      <c r="CN167" s="373"/>
      <c r="CO167" s="373"/>
      <c r="CP167" s="373"/>
      <c r="CQ167" s="373"/>
      <c r="CR167" s="373"/>
      <c r="CS167" s="373"/>
      <c r="CT167" s="373"/>
      <c r="CU167" s="373"/>
      <c r="CV167" s="373"/>
      <c r="CW167" s="373"/>
      <c r="CX167" s="373"/>
      <c r="CY167" s="373"/>
      <c r="CZ167" s="373"/>
    </row>
    <row r="168" spans="1:104">
      <c r="A168" s="373"/>
      <c r="B168" s="373"/>
      <c r="C168" s="373"/>
      <c r="D168" s="373"/>
      <c r="E168" s="373"/>
      <c r="F168" s="373"/>
      <c r="G168" s="373"/>
      <c r="H168" s="373"/>
      <c r="I168" s="373"/>
      <c r="J168" s="365"/>
      <c r="K168" s="379"/>
      <c r="L168" s="379"/>
      <c r="M168" s="379"/>
      <c r="N168" s="379"/>
      <c r="O168" s="379"/>
      <c r="P168" s="373"/>
      <c r="Q168" s="373"/>
      <c r="R168" s="373"/>
      <c r="S168" s="373"/>
      <c r="T168" s="373"/>
      <c r="U168" s="373"/>
      <c r="V168" s="373"/>
      <c r="W168" s="373"/>
      <c r="X168" s="373"/>
      <c r="Y168" s="373"/>
      <c r="Z168" s="373"/>
      <c r="AB168" s="373"/>
      <c r="AC168" s="373"/>
      <c r="AD168" s="373"/>
      <c r="AE168" s="373"/>
      <c r="AF168" s="373"/>
      <c r="AG168" s="373"/>
      <c r="AH168" s="373"/>
      <c r="AI168" s="373"/>
      <c r="AJ168" s="373"/>
      <c r="AK168" s="373"/>
      <c r="AL168" s="373"/>
      <c r="AM168" s="373"/>
      <c r="AN168" s="373"/>
      <c r="AO168" s="373"/>
      <c r="AP168" s="373"/>
      <c r="AQ168" s="373"/>
      <c r="AR168" s="373"/>
      <c r="AS168" s="373"/>
      <c r="AT168" s="373"/>
      <c r="AU168" s="373"/>
      <c r="AV168" s="373"/>
      <c r="AW168" s="373"/>
      <c r="AX168" s="373"/>
      <c r="AY168" s="373"/>
      <c r="AZ168" s="373"/>
      <c r="BA168" s="373"/>
      <c r="BB168" s="373"/>
      <c r="BC168" s="373"/>
      <c r="BD168" s="373"/>
      <c r="BE168" s="373"/>
      <c r="BF168" s="373"/>
      <c r="BG168" s="373"/>
      <c r="BH168" s="373"/>
      <c r="BI168" s="373"/>
      <c r="BJ168" s="373"/>
      <c r="BK168" s="373"/>
      <c r="BL168" s="373"/>
      <c r="BM168" s="373"/>
      <c r="BN168" s="373"/>
      <c r="BO168" s="373"/>
      <c r="BP168" s="373"/>
      <c r="BQ168" s="373"/>
      <c r="BR168" s="373"/>
      <c r="BS168" s="373"/>
      <c r="BT168" s="373"/>
      <c r="BU168" s="373"/>
      <c r="BV168" s="373"/>
      <c r="BW168" s="373"/>
      <c r="BX168" s="373"/>
      <c r="BY168" s="373"/>
      <c r="BZ168" s="373"/>
      <c r="CA168" s="373"/>
      <c r="CB168" s="373"/>
      <c r="CC168" s="373"/>
      <c r="CD168" s="373"/>
      <c r="CE168" s="373"/>
      <c r="CF168" s="373"/>
      <c r="CG168" s="373"/>
      <c r="CH168" s="373"/>
      <c r="CI168" s="373"/>
      <c r="CJ168" s="373"/>
      <c r="CK168" s="373"/>
      <c r="CL168" s="373"/>
      <c r="CM168" s="373"/>
      <c r="CN168" s="373"/>
      <c r="CO168" s="373"/>
      <c r="CP168" s="373"/>
      <c r="CQ168" s="373"/>
      <c r="CR168" s="373"/>
      <c r="CS168" s="373"/>
      <c r="CT168" s="373"/>
      <c r="CU168" s="373"/>
      <c r="CV168" s="373"/>
      <c r="CW168" s="373"/>
      <c r="CX168" s="373"/>
      <c r="CY168" s="373"/>
      <c r="CZ168" s="373"/>
    </row>
    <row r="169" spans="1:104">
      <c r="A169" s="373"/>
      <c r="B169" s="373"/>
      <c r="C169" s="373"/>
      <c r="D169" s="373"/>
      <c r="E169" s="373"/>
      <c r="F169" s="373"/>
      <c r="G169" s="373"/>
      <c r="H169" s="373"/>
      <c r="I169" s="373"/>
      <c r="J169" s="365"/>
      <c r="K169" s="379"/>
      <c r="L169" s="379"/>
      <c r="M169" s="379"/>
      <c r="N169" s="379"/>
      <c r="O169" s="379"/>
      <c r="P169" s="373"/>
      <c r="Q169" s="373"/>
      <c r="R169" s="373"/>
      <c r="S169" s="373"/>
      <c r="T169" s="373"/>
      <c r="U169" s="373"/>
      <c r="V169" s="373"/>
      <c r="W169" s="373"/>
      <c r="X169" s="373"/>
      <c r="Y169" s="373"/>
      <c r="Z169" s="373"/>
      <c r="AB169" s="373"/>
      <c r="AC169" s="373"/>
      <c r="AD169" s="373"/>
      <c r="AE169" s="373"/>
      <c r="AF169" s="373"/>
      <c r="AG169" s="373"/>
      <c r="AH169" s="373"/>
      <c r="AI169" s="373"/>
      <c r="AJ169" s="373"/>
      <c r="AK169" s="373"/>
      <c r="AL169" s="373"/>
      <c r="AM169" s="373"/>
      <c r="AN169" s="373"/>
      <c r="AO169" s="373"/>
      <c r="AP169" s="373"/>
      <c r="AQ169" s="373"/>
      <c r="AR169" s="373"/>
      <c r="AS169" s="373"/>
      <c r="AT169" s="373"/>
      <c r="AU169" s="373"/>
      <c r="AV169" s="373"/>
      <c r="AW169" s="373"/>
      <c r="AX169" s="373"/>
      <c r="AY169" s="373"/>
      <c r="AZ169" s="373"/>
      <c r="BA169" s="373"/>
      <c r="BB169" s="373"/>
      <c r="BC169" s="373"/>
      <c r="BD169" s="373"/>
      <c r="BE169" s="373"/>
      <c r="BF169" s="373"/>
      <c r="BG169" s="373"/>
      <c r="BH169" s="373"/>
      <c r="BI169" s="373"/>
      <c r="BJ169" s="373"/>
      <c r="BK169" s="373"/>
      <c r="BL169" s="373"/>
      <c r="BM169" s="373"/>
      <c r="BN169" s="373"/>
      <c r="BO169" s="373"/>
      <c r="BP169" s="373"/>
      <c r="BQ169" s="373"/>
      <c r="BR169" s="373"/>
      <c r="BS169" s="373"/>
      <c r="BT169" s="373"/>
      <c r="BU169" s="373"/>
      <c r="BV169" s="373"/>
      <c r="BW169" s="373"/>
      <c r="BX169" s="373"/>
      <c r="BY169" s="373"/>
      <c r="BZ169" s="373"/>
      <c r="CA169" s="373"/>
      <c r="CB169" s="373"/>
      <c r="CC169" s="373"/>
      <c r="CD169" s="373"/>
      <c r="CE169" s="373"/>
      <c r="CF169" s="373"/>
      <c r="CG169" s="373"/>
      <c r="CH169" s="373"/>
      <c r="CI169" s="373"/>
      <c r="CJ169" s="373"/>
      <c r="CK169" s="373"/>
      <c r="CL169" s="373"/>
      <c r="CM169" s="373"/>
      <c r="CN169" s="373"/>
      <c r="CO169" s="373"/>
      <c r="CP169" s="373"/>
      <c r="CQ169" s="373"/>
      <c r="CR169" s="373"/>
      <c r="CS169" s="373"/>
      <c r="CT169" s="373"/>
      <c r="CU169" s="373"/>
      <c r="CV169" s="373"/>
      <c r="CW169" s="373"/>
      <c r="CX169" s="373"/>
      <c r="CY169" s="373"/>
      <c r="CZ169" s="373"/>
    </row>
    <row r="170" spans="1:104">
      <c r="A170" s="373"/>
      <c r="B170" s="373"/>
      <c r="C170" s="373"/>
      <c r="D170" s="373"/>
      <c r="E170" s="373"/>
      <c r="F170" s="373"/>
      <c r="G170" s="373"/>
      <c r="H170" s="373"/>
      <c r="I170" s="373"/>
      <c r="J170" s="365"/>
      <c r="K170" s="379"/>
      <c r="L170" s="379"/>
      <c r="M170" s="373"/>
      <c r="N170" s="379"/>
      <c r="O170" s="379"/>
      <c r="P170" s="373"/>
      <c r="Q170" s="373"/>
      <c r="R170" s="373"/>
      <c r="S170" s="373"/>
      <c r="T170" s="373"/>
      <c r="U170" s="373"/>
      <c r="V170" s="373"/>
      <c r="W170" s="373"/>
      <c r="X170" s="373"/>
      <c r="Y170" s="373"/>
      <c r="Z170" s="373"/>
      <c r="AB170" s="373"/>
      <c r="AC170" s="373"/>
      <c r="AD170" s="373"/>
      <c r="AE170" s="373"/>
      <c r="AF170" s="373"/>
      <c r="AG170" s="373"/>
      <c r="AH170" s="373"/>
      <c r="AI170" s="373"/>
      <c r="AJ170" s="373"/>
      <c r="AK170" s="373"/>
      <c r="AL170" s="373"/>
      <c r="AM170" s="373"/>
      <c r="AN170" s="373"/>
      <c r="AO170" s="373"/>
      <c r="AP170" s="373"/>
      <c r="AQ170" s="373"/>
      <c r="AR170" s="373"/>
      <c r="AS170" s="373"/>
      <c r="AT170" s="373"/>
      <c r="AU170" s="373"/>
      <c r="AV170" s="373"/>
      <c r="AW170" s="373"/>
      <c r="AX170" s="373"/>
      <c r="AY170" s="373"/>
      <c r="AZ170" s="373"/>
      <c r="BA170" s="373"/>
      <c r="BB170" s="373"/>
      <c r="BC170" s="373"/>
      <c r="BD170" s="373"/>
      <c r="BE170" s="373"/>
      <c r="BF170" s="373"/>
      <c r="BG170" s="373"/>
      <c r="BH170" s="373"/>
      <c r="BI170" s="373"/>
      <c r="BJ170" s="373"/>
      <c r="BK170" s="373"/>
      <c r="BL170" s="373"/>
      <c r="BM170" s="373"/>
      <c r="BN170" s="373"/>
      <c r="BO170" s="373"/>
      <c r="BP170" s="373"/>
      <c r="BQ170" s="373"/>
      <c r="BR170" s="373"/>
      <c r="BS170" s="373"/>
      <c r="BT170" s="373"/>
      <c r="BU170" s="373"/>
      <c r="BV170" s="373"/>
      <c r="BW170" s="373"/>
      <c r="BX170" s="373"/>
      <c r="BY170" s="373"/>
      <c r="BZ170" s="373"/>
      <c r="CA170" s="373"/>
      <c r="CB170" s="373"/>
      <c r="CC170" s="373"/>
      <c r="CD170" s="373"/>
      <c r="CE170" s="373"/>
      <c r="CF170" s="373"/>
      <c r="CG170" s="373"/>
      <c r="CH170" s="373"/>
      <c r="CI170" s="373"/>
      <c r="CJ170" s="373"/>
      <c r="CK170" s="373"/>
      <c r="CL170" s="373"/>
      <c r="CM170" s="373"/>
      <c r="CN170" s="373"/>
      <c r="CO170" s="373"/>
      <c r="CP170" s="373"/>
      <c r="CQ170" s="373"/>
      <c r="CR170" s="373"/>
      <c r="CS170" s="373"/>
      <c r="CT170" s="373"/>
      <c r="CU170" s="373"/>
      <c r="CV170" s="373"/>
      <c r="CW170" s="373"/>
      <c r="CX170" s="373"/>
      <c r="CY170" s="373"/>
      <c r="CZ170" s="373"/>
    </row>
    <row r="171" spans="1:104">
      <c r="A171" s="373"/>
      <c r="B171" s="373"/>
      <c r="C171" s="373"/>
      <c r="D171" s="373"/>
      <c r="E171" s="373"/>
      <c r="F171" s="373"/>
      <c r="G171" s="373"/>
      <c r="H171" s="373"/>
      <c r="I171" s="373"/>
      <c r="J171" s="365"/>
      <c r="K171" s="379"/>
      <c r="L171" s="379"/>
      <c r="M171" s="373"/>
      <c r="N171" s="373"/>
      <c r="O171" s="373"/>
      <c r="P171" s="373"/>
      <c r="Q171" s="373"/>
      <c r="R171" s="373"/>
      <c r="S171" s="373"/>
      <c r="T171" s="373"/>
      <c r="U171" s="373"/>
      <c r="V171" s="373"/>
      <c r="W171" s="373"/>
      <c r="X171" s="373"/>
      <c r="Y171" s="373"/>
      <c r="Z171" s="373"/>
      <c r="AB171" s="373"/>
      <c r="AC171" s="373"/>
      <c r="AD171" s="373"/>
      <c r="AE171" s="373"/>
      <c r="AF171" s="373"/>
      <c r="AG171" s="373"/>
      <c r="AH171" s="373"/>
      <c r="AI171" s="373"/>
      <c r="AJ171" s="373"/>
      <c r="AK171" s="373"/>
      <c r="AL171" s="373"/>
      <c r="AM171" s="373"/>
      <c r="AN171" s="373"/>
      <c r="AO171" s="373"/>
      <c r="AP171" s="373"/>
      <c r="AQ171" s="373"/>
      <c r="AR171" s="373"/>
      <c r="AS171" s="373"/>
      <c r="AT171" s="373"/>
      <c r="AU171" s="373"/>
      <c r="AV171" s="373"/>
      <c r="AW171" s="373"/>
      <c r="AX171" s="373"/>
      <c r="AY171" s="373"/>
      <c r="AZ171" s="373"/>
      <c r="BA171" s="373"/>
      <c r="BB171" s="373"/>
      <c r="BC171" s="373"/>
      <c r="BD171" s="373"/>
      <c r="BE171" s="373"/>
      <c r="BF171" s="373"/>
      <c r="BG171" s="373"/>
      <c r="BH171" s="373"/>
      <c r="BI171" s="373"/>
      <c r="BJ171" s="373"/>
      <c r="BK171" s="373"/>
      <c r="BL171" s="373"/>
      <c r="BM171" s="373"/>
      <c r="BN171" s="373"/>
      <c r="BO171" s="373"/>
      <c r="BP171" s="373"/>
      <c r="BQ171" s="373"/>
      <c r="BR171" s="373"/>
      <c r="BS171" s="373"/>
      <c r="BT171" s="373"/>
      <c r="BU171" s="373"/>
      <c r="BV171" s="373"/>
      <c r="BW171" s="373"/>
      <c r="BX171" s="373"/>
      <c r="BY171" s="373"/>
      <c r="BZ171" s="373"/>
      <c r="CA171" s="373"/>
      <c r="CB171" s="373"/>
      <c r="CC171" s="373"/>
      <c r="CD171" s="373"/>
      <c r="CE171" s="373"/>
      <c r="CF171" s="373"/>
      <c r="CG171" s="373"/>
      <c r="CH171" s="373"/>
      <c r="CI171" s="373"/>
      <c r="CJ171" s="373"/>
      <c r="CK171" s="373"/>
      <c r="CL171" s="373"/>
      <c r="CM171" s="373"/>
      <c r="CN171" s="373"/>
      <c r="CO171" s="373"/>
      <c r="CP171" s="373"/>
      <c r="CQ171" s="373"/>
      <c r="CR171" s="373"/>
      <c r="CS171" s="373"/>
      <c r="CT171" s="373"/>
      <c r="CU171" s="373"/>
      <c r="CV171" s="373"/>
      <c r="CW171" s="373"/>
      <c r="CX171" s="373"/>
      <c r="CY171" s="373"/>
      <c r="CZ171" s="373"/>
    </row>
    <row r="172" spans="1:104">
      <c r="A172" s="373"/>
      <c r="B172" s="373"/>
      <c r="C172" s="373"/>
      <c r="D172" s="373"/>
      <c r="E172" s="373"/>
      <c r="F172" s="373"/>
      <c r="G172" s="373"/>
      <c r="H172" s="373"/>
      <c r="I172" s="373"/>
      <c r="J172" s="365"/>
      <c r="K172" s="379"/>
      <c r="L172" s="379"/>
      <c r="M172" s="373"/>
      <c r="N172" s="373"/>
      <c r="O172" s="373"/>
      <c r="P172" s="373"/>
      <c r="Q172" s="373"/>
      <c r="R172" s="373"/>
      <c r="S172" s="373"/>
      <c r="T172" s="373"/>
      <c r="U172" s="373"/>
      <c r="V172" s="373"/>
      <c r="W172" s="373"/>
      <c r="X172" s="373"/>
      <c r="Y172" s="373"/>
      <c r="Z172" s="373"/>
      <c r="AB172" s="373"/>
      <c r="AC172" s="373"/>
      <c r="AD172" s="373"/>
      <c r="AE172" s="373"/>
      <c r="AF172" s="373"/>
      <c r="AG172" s="373"/>
      <c r="AH172" s="373"/>
      <c r="AI172" s="373"/>
      <c r="AJ172" s="373"/>
      <c r="AK172" s="373"/>
      <c r="AL172" s="373"/>
      <c r="AM172" s="373"/>
      <c r="AN172" s="373"/>
      <c r="AO172" s="373"/>
      <c r="AP172" s="373"/>
      <c r="AQ172" s="373"/>
      <c r="AR172" s="373"/>
      <c r="AS172" s="373"/>
      <c r="AT172" s="373"/>
      <c r="AU172" s="373"/>
      <c r="AV172" s="373"/>
      <c r="AW172" s="373"/>
      <c r="AX172" s="373"/>
      <c r="AY172" s="373"/>
      <c r="AZ172" s="373"/>
      <c r="BA172" s="373"/>
      <c r="BB172" s="373"/>
      <c r="BC172" s="373"/>
      <c r="BD172" s="373"/>
      <c r="BE172" s="373"/>
      <c r="BF172" s="373"/>
      <c r="BG172" s="373"/>
      <c r="BH172" s="373"/>
      <c r="BI172" s="373"/>
      <c r="BJ172" s="373"/>
      <c r="BK172" s="373"/>
      <c r="BL172" s="373"/>
      <c r="BM172" s="373"/>
      <c r="BN172" s="373"/>
      <c r="BO172" s="373"/>
      <c r="BP172" s="373"/>
      <c r="BQ172" s="373"/>
      <c r="BR172" s="373"/>
      <c r="BS172" s="373"/>
      <c r="BT172" s="373"/>
      <c r="BU172" s="373"/>
      <c r="BV172" s="373"/>
      <c r="BW172" s="373"/>
      <c r="BX172" s="373"/>
      <c r="BY172" s="373"/>
      <c r="BZ172" s="373"/>
      <c r="CA172" s="373"/>
      <c r="CB172" s="373"/>
      <c r="CC172" s="373"/>
      <c r="CD172" s="373"/>
      <c r="CE172" s="373"/>
      <c r="CF172" s="373"/>
      <c r="CG172" s="373"/>
      <c r="CH172" s="373"/>
      <c r="CI172" s="373"/>
      <c r="CJ172" s="373"/>
      <c r="CK172" s="373"/>
      <c r="CL172" s="373"/>
      <c r="CM172" s="373"/>
      <c r="CN172" s="373"/>
      <c r="CO172" s="373"/>
      <c r="CP172" s="373"/>
      <c r="CQ172" s="373"/>
      <c r="CR172" s="373"/>
      <c r="CS172" s="373"/>
      <c r="CT172" s="373"/>
      <c r="CU172" s="373"/>
      <c r="CV172" s="373"/>
      <c r="CW172" s="373"/>
      <c r="CX172" s="373"/>
      <c r="CY172" s="373"/>
      <c r="CZ172" s="373"/>
    </row>
    <row r="173" spans="1:104">
      <c r="A173" s="373"/>
      <c r="B173" s="373"/>
      <c r="C173" s="373"/>
      <c r="D173" s="373"/>
      <c r="E173" s="373"/>
      <c r="F173" s="373"/>
      <c r="G173" s="373"/>
      <c r="H173" s="373"/>
      <c r="I173" s="373"/>
      <c r="J173" s="365"/>
      <c r="K173" s="379"/>
      <c r="L173" s="379"/>
      <c r="M173" s="373"/>
      <c r="N173" s="373"/>
      <c r="O173" s="373"/>
      <c r="P173" s="373"/>
      <c r="Q173" s="373"/>
      <c r="R173" s="373"/>
      <c r="S173" s="373"/>
      <c r="T173" s="373"/>
      <c r="U173" s="373"/>
      <c r="V173" s="373"/>
      <c r="W173" s="373"/>
      <c r="X173" s="373"/>
      <c r="Y173" s="373"/>
      <c r="Z173" s="373"/>
      <c r="AB173" s="373"/>
      <c r="AC173" s="373"/>
      <c r="AD173" s="373"/>
      <c r="AE173" s="373"/>
      <c r="AF173" s="373"/>
      <c r="AG173" s="373"/>
      <c r="AH173" s="373"/>
      <c r="AI173" s="373"/>
      <c r="AJ173" s="373"/>
      <c r="AK173" s="373"/>
      <c r="AL173" s="373"/>
      <c r="AM173" s="373"/>
      <c r="AN173" s="373"/>
      <c r="AO173" s="373"/>
      <c r="AP173" s="373"/>
      <c r="AQ173" s="373"/>
      <c r="AR173" s="373"/>
      <c r="AS173" s="373"/>
      <c r="AT173" s="373"/>
      <c r="AU173" s="373"/>
      <c r="AV173" s="373"/>
      <c r="AW173" s="373"/>
      <c r="AX173" s="373"/>
      <c r="AY173" s="373"/>
      <c r="AZ173" s="373"/>
      <c r="BA173" s="373"/>
      <c r="BB173" s="373"/>
      <c r="BC173" s="373"/>
      <c r="BD173" s="373"/>
      <c r="BE173" s="373"/>
      <c r="BF173" s="373"/>
      <c r="BG173" s="373"/>
      <c r="BH173" s="373"/>
      <c r="BI173" s="373"/>
      <c r="BJ173" s="373"/>
      <c r="BK173" s="373"/>
      <c r="BL173" s="373"/>
      <c r="BM173" s="373"/>
      <c r="BN173" s="373"/>
      <c r="BO173" s="373"/>
      <c r="BP173" s="373"/>
      <c r="BQ173" s="373"/>
      <c r="BR173" s="373"/>
      <c r="BS173" s="373"/>
      <c r="BT173" s="373"/>
      <c r="BU173" s="373"/>
      <c r="BV173" s="373"/>
      <c r="BW173" s="373"/>
      <c r="BX173" s="373"/>
      <c r="BY173" s="373"/>
      <c r="BZ173" s="373"/>
      <c r="CA173" s="373"/>
      <c r="CB173" s="373"/>
      <c r="CC173" s="373"/>
      <c r="CD173" s="373"/>
      <c r="CE173" s="373"/>
      <c r="CF173" s="373"/>
      <c r="CG173" s="373"/>
      <c r="CH173" s="373"/>
      <c r="CI173" s="373"/>
      <c r="CJ173" s="373"/>
      <c r="CK173" s="373"/>
      <c r="CL173" s="373"/>
      <c r="CM173" s="373"/>
      <c r="CN173" s="373"/>
      <c r="CO173" s="373"/>
      <c r="CP173" s="373"/>
      <c r="CQ173" s="373"/>
      <c r="CR173" s="373"/>
      <c r="CS173" s="373"/>
      <c r="CT173" s="373"/>
      <c r="CU173" s="373"/>
      <c r="CV173" s="373"/>
      <c r="CW173" s="373"/>
      <c r="CX173" s="373"/>
      <c r="CY173" s="373"/>
      <c r="CZ173" s="373"/>
    </row>
    <row r="174" spans="1:104">
      <c r="A174" s="373"/>
      <c r="B174" s="373"/>
      <c r="C174" s="373"/>
      <c r="D174" s="373"/>
      <c r="E174" s="373"/>
      <c r="F174" s="373"/>
      <c r="G174" s="373"/>
      <c r="H174" s="373"/>
      <c r="I174" s="373"/>
      <c r="J174" s="365"/>
      <c r="K174" s="379"/>
      <c r="L174" s="379"/>
      <c r="M174" s="373"/>
      <c r="N174" s="373"/>
      <c r="O174" s="373"/>
      <c r="P174" s="373"/>
      <c r="Q174" s="373"/>
      <c r="R174" s="373"/>
      <c r="S174" s="373"/>
      <c r="T174" s="373"/>
      <c r="U174" s="373"/>
      <c r="V174" s="373"/>
      <c r="W174" s="373"/>
      <c r="X174" s="373"/>
      <c r="Y174" s="373"/>
      <c r="Z174" s="373"/>
      <c r="AB174" s="373"/>
      <c r="AC174" s="373"/>
      <c r="AD174" s="373"/>
      <c r="AE174" s="373"/>
      <c r="AF174" s="373"/>
      <c r="AG174" s="373"/>
      <c r="AH174" s="373"/>
      <c r="AI174" s="373"/>
      <c r="AJ174" s="373"/>
      <c r="AK174" s="373"/>
      <c r="AL174" s="373"/>
      <c r="AM174" s="373"/>
      <c r="AN174" s="373"/>
      <c r="AO174" s="373"/>
      <c r="AP174" s="373"/>
      <c r="AQ174" s="373"/>
      <c r="AR174" s="373"/>
      <c r="AS174" s="373"/>
      <c r="AT174" s="373"/>
      <c r="AU174" s="373"/>
      <c r="AV174" s="373"/>
      <c r="AW174" s="373"/>
      <c r="AX174" s="373"/>
      <c r="AY174" s="373"/>
      <c r="AZ174" s="373"/>
      <c r="BA174" s="373"/>
      <c r="BB174" s="373"/>
      <c r="BC174" s="373"/>
      <c r="BD174" s="373"/>
      <c r="BE174" s="373"/>
      <c r="BF174" s="373"/>
      <c r="BG174" s="373"/>
      <c r="BH174" s="373"/>
      <c r="BI174" s="373"/>
      <c r="BJ174" s="373"/>
      <c r="BK174" s="373"/>
      <c r="BL174" s="373"/>
      <c r="BM174" s="373"/>
      <c r="BN174" s="373"/>
      <c r="BO174" s="373"/>
      <c r="BP174" s="373"/>
      <c r="BQ174" s="373"/>
      <c r="BR174" s="373"/>
      <c r="BS174" s="373"/>
      <c r="BT174" s="373"/>
      <c r="BU174" s="373"/>
      <c r="BV174" s="373"/>
      <c r="BW174" s="373"/>
      <c r="BX174" s="373"/>
      <c r="BY174" s="373"/>
      <c r="BZ174" s="373"/>
      <c r="CA174" s="373"/>
      <c r="CB174" s="373"/>
      <c r="CC174" s="373"/>
      <c r="CD174" s="373"/>
      <c r="CE174" s="373"/>
      <c r="CF174" s="373"/>
      <c r="CG174" s="373"/>
      <c r="CH174" s="373"/>
      <c r="CI174" s="373"/>
      <c r="CJ174" s="373"/>
      <c r="CK174" s="373"/>
      <c r="CL174" s="373"/>
      <c r="CM174" s="373"/>
      <c r="CN174" s="373"/>
      <c r="CO174" s="373"/>
      <c r="CP174" s="373"/>
      <c r="CQ174" s="373"/>
      <c r="CR174" s="373"/>
      <c r="CS174" s="373"/>
      <c r="CT174" s="373"/>
      <c r="CU174" s="373"/>
      <c r="CV174" s="373"/>
      <c r="CW174" s="373"/>
      <c r="CX174" s="373"/>
      <c r="CY174" s="373"/>
      <c r="CZ174" s="373"/>
    </row>
    <row r="175" spans="1:104">
      <c r="A175" s="373"/>
      <c r="B175" s="373"/>
      <c r="C175" s="373"/>
      <c r="D175" s="373"/>
      <c r="E175" s="373"/>
      <c r="F175" s="373"/>
      <c r="G175" s="373"/>
      <c r="H175" s="373"/>
      <c r="I175" s="373"/>
      <c r="J175" s="365"/>
      <c r="K175" s="379"/>
      <c r="L175" s="379"/>
      <c r="M175" s="373"/>
      <c r="N175" s="373"/>
      <c r="O175" s="373"/>
      <c r="P175" s="373"/>
      <c r="Q175" s="373"/>
      <c r="R175" s="373"/>
      <c r="S175" s="373"/>
      <c r="T175" s="373"/>
      <c r="U175" s="373"/>
      <c r="V175" s="373"/>
      <c r="W175" s="373"/>
      <c r="X175" s="373"/>
      <c r="Y175" s="373"/>
      <c r="Z175" s="373"/>
      <c r="AB175" s="373"/>
      <c r="AC175" s="373"/>
      <c r="AD175" s="373"/>
      <c r="AE175" s="373"/>
      <c r="AF175" s="373"/>
      <c r="AG175" s="373"/>
      <c r="AH175" s="373"/>
      <c r="AI175" s="373"/>
      <c r="AJ175" s="373"/>
      <c r="AK175" s="373"/>
      <c r="AL175" s="373"/>
      <c r="AM175" s="373"/>
      <c r="AN175" s="373"/>
      <c r="AO175" s="373"/>
      <c r="AP175" s="373"/>
      <c r="AQ175" s="373"/>
      <c r="AR175" s="373"/>
      <c r="AS175" s="373"/>
      <c r="AT175" s="373"/>
      <c r="AU175" s="373"/>
      <c r="AV175" s="373"/>
      <c r="AW175" s="373"/>
      <c r="AX175" s="373"/>
      <c r="AY175" s="373"/>
      <c r="AZ175" s="373"/>
      <c r="BA175" s="373"/>
      <c r="BB175" s="373"/>
      <c r="BC175" s="373"/>
      <c r="BD175" s="373"/>
      <c r="BE175" s="373"/>
      <c r="BF175" s="373"/>
      <c r="BG175" s="373"/>
      <c r="BH175" s="373"/>
      <c r="BI175" s="373"/>
      <c r="BJ175" s="373"/>
      <c r="BK175" s="373"/>
      <c r="BL175" s="373"/>
      <c r="BM175" s="373"/>
      <c r="BN175" s="373"/>
      <c r="BO175" s="373"/>
      <c r="BP175" s="373"/>
      <c r="BQ175" s="373"/>
      <c r="BR175" s="373"/>
      <c r="BS175" s="373"/>
      <c r="BT175" s="373"/>
      <c r="BU175" s="373"/>
      <c r="BV175" s="373"/>
      <c r="BW175" s="373"/>
      <c r="BX175" s="373"/>
      <c r="BY175" s="373"/>
      <c r="BZ175" s="373"/>
      <c r="CA175" s="373"/>
      <c r="CB175" s="373"/>
      <c r="CC175" s="373"/>
      <c r="CD175" s="373"/>
      <c r="CE175" s="373"/>
      <c r="CF175" s="373"/>
      <c r="CG175" s="373"/>
      <c r="CH175" s="373"/>
      <c r="CI175" s="373"/>
      <c r="CJ175" s="373"/>
      <c r="CK175" s="373"/>
      <c r="CL175" s="373"/>
      <c r="CM175" s="373"/>
      <c r="CN175" s="373"/>
      <c r="CO175" s="373"/>
      <c r="CP175" s="373"/>
      <c r="CQ175" s="373"/>
      <c r="CR175" s="373"/>
      <c r="CS175" s="373"/>
      <c r="CT175" s="373"/>
      <c r="CU175" s="373"/>
      <c r="CV175" s="373"/>
      <c r="CW175" s="373"/>
      <c r="CX175" s="373"/>
      <c r="CY175" s="373"/>
      <c r="CZ175" s="373"/>
    </row>
    <row r="176" spans="1:104">
      <c r="A176" s="373"/>
      <c r="B176" s="373"/>
      <c r="C176" s="373"/>
      <c r="D176" s="373"/>
      <c r="E176" s="373"/>
      <c r="F176" s="373"/>
      <c r="G176" s="373"/>
      <c r="H176" s="373"/>
      <c r="I176" s="373"/>
      <c r="J176" s="365"/>
      <c r="K176" s="373"/>
      <c r="L176" s="373"/>
      <c r="M176" s="373"/>
      <c r="N176" s="373"/>
      <c r="O176" s="373"/>
      <c r="P176" s="373"/>
      <c r="Q176" s="373"/>
      <c r="R176" s="373"/>
      <c r="S176" s="373"/>
      <c r="T176" s="373"/>
      <c r="U176" s="373"/>
      <c r="V176" s="373"/>
      <c r="W176" s="373"/>
      <c r="X176" s="373"/>
      <c r="Y176" s="373"/>
      <c r="Z176" s="373"/>
      <c r="AB176" s="373"/>
      <c r="AC176" s="373"/>
      <c r="AD176" s="373"/>
      <c r="AE176" s="373"/>
      <c r="AF176" s="373"/>
      <c r="AG176" s="373"/>
      <c r="AH176" s="373"/>
      <c r="AI176" s="373"/>
      <c r="AJ176" s="373"/>
      <c r="AK176" s="373"/>
      <c r="AL176" s="373"/>
      <c r="AM176" s="373"/>
      <c r="AN176" s="373"/>
      <c r="AO176" s="373"/>
      <c r="AP176" s="373"/>
      <c r="AQ176" s="373"/>
      <c r="AR176" s="373"/>
      <c r="AS176" s="373"/>
      <c r="AT176" s="373"/>
      <c r="AU176" s="373"/>
      <c r="AV176" s="373"/>
      <c r="AW176" s="373"/>
      <c r="AX176" s="373"/>
      <c r="AY176" s="373"/>
      <c r="AZ176" s="373"/>
      <c r="BA176" s="373"/>
      <c r="BB176" s="373"/>
      <c r="BC176" s="373"/>
      <c r="BD176" s="373"/>
      <c r="BE176" s="373"/>
      <c r="BF176" s="373"/>
      <c r="BG176" s="373"/>
      <c r="BH176" s="373"/>
      <c r="BI176" s="373"/>
      <c r="BJ176" s="373"/>
      <c r="BK176" s="373"/>
      <c r="BL176" s="373"/>
      <c r="BM176" s="373"/>
      <c r="BN176" s="373"/>
      <c r="BO176" s="373"/>
      <c r="BP176" s="373"/>
      <c r="BQ176" s="373"/>
      <c r="BR176" s="373"/>
      <c r="BS176" s="373"/>
      <c r="BT176" s="373"/>
      <c r="BU176" s="373"/>
      <c r="BV176" s="373"/>
      <c r="BW176" s="373"/>
      <c r="BX176" s="373"/>
      <c r="BY176" s="373"/>
      <c r="BZ176" s="373"/>
      <c r="CA176" s="373"/>
      <c r="CB176" s="373"/>
      <c r="CC176" s="373"/>
      <c r="CD176" s="373"/>
      <c r="CE176" s="373"/>
      <c r="CF176" s="373"/>
      <c r="CG176" s="373"/>
      <c r="CH176" s="373"/>
      <c r="CI176" s="373"/>
      <c r="CJ176" s="373"/>
      <c r="CK176" s="373"/>
      <c r="CL176" s="373"/>
      <c r="CM176" s="373"/>
      <c r="CN176" s="373"/>
      <c r="CO176" s="373"/>
      <c r="CP176" s="373"/>
      <c r="CQ176" s="373"/>
      <c r="CR176" s="373"/>
      <c r="CS176" s="373"/>
      <c r="CT176" s="373"/>
      <c r="CU176" s="373"/>
      <c r="CV176" s="373"/>
      <c r="CW176" s="373"/>
      <c r="CX176" s="373"/>
      <c r="CY176" s="373"/>
      <c r="CZ176" s="373"/>
    </row>
    <row r="177" spans="1:104">
      <c r="A177" s="373"/>
      <c r="B177" s="373"/>
      <c r="C177" s="373"/>
      <c r="D177" s="373"/>
      <c r="E177" s="373"/>
      <c r="F177" s="373"/>
      <c r="G177" s="373"/>
      <c r="H177" s="373"/>
      <c r="I177" s="373"/>
      <c r="J177" s="365"/>
      <c r="K177" s="373"/>
      <c r="L177" s="373"/>
      <c r="M177" s="373"/>
      <c r="N177" s="373"/>
      <c r="O177" s="373"/>
      <c r="P177" s="373"/>
      <c r="Q177" s="373"/>
      <c r="R177" s="373"/>
      <c r="S177" s="373"/>
      <c r="T177" s="373"/>
      <c r="U177" s="373"/>
      <c r="V177" s="373"/>
      <c r="W177" s="373"/>
      <c r="X177" s="373"/>
      <c r="Y177" s="373"/>
      <c r="Z177" s="373"/>
      <c r="AB177" s="373"/>
      <c r="AC177" s="373"/>
      <c r="AD177" s="373"/>
      <c r="AE177" s="373"/>
      <c r="AF177" s="373"/>
      <c r="AG177" s="373"/>
      <c r="AH177" s="373"/>
      <c r="AI177" s="373"/>
      <c r="AJ177" s="373"/>
      <c r="AK177" s="373"/>
      <c r="AL177" s="373"/>
      <c r="AM177" s="373"/>
      <c r="AN177" s="373"/>
      <c r="AO177" s="373"/>
      <c r="AP177" s="373"/>
      <c r="AQ177" s="373"/>
      <c r="AR177" s="373"/>
      <c r="AS177" s="373"/>
      <c r="AT177" s="373"/>
      <c r="AU177" s="373"/>
      <c r="AV177" s="373"/>
      <c r="AW177" s="373"/>
      <c r="AX177" s="373"/>
      <c r="AY177" s="373"/>
      <c r="AZ177" s="373"/>
      <c r="BA177" s="373"/>
      <c r="BB177" s="373"/>
      <c r="BC177" s="373"/>
      <c r="BD177" s="373"/>
      <c r="BE177" s="373"/>
      <c r="BF177" s="373"/>
      <c r="BG177" s="373"/>
      <c r="BH177" s="373"/>
      <c r="BI177" s="373"/>
      <c r="BJ177" s="373"/>
      <c r="BK177" s="373"/>
      <c r="BL177" s="373"/>
      <c r="BM177" s="373"/>
      <c r="BN177" s="373"/>
      <c r="BO177" s="373"/>
      <c r="BP177" s="373"/>
      <c r="BQ177" s="373"/>
      <c r="BR177" s="373"/>
      <c r="BS177" s="373"/>
      <c r="BT177" s="373"/>
      <c r="BU177" s="373"/>
      <c r="BV177" s="373"/>
      <c r="BW177" s="373"/>
      <c r="BX177" s="373"/>
      <c r="BY177" s="373"/>
      <c r="BZ177" s="373"/>
      <c r="CA177" s="373"/>
      <c r="CB177" s="373"/>
      <c r="CC177" s="373"/>
      <c r="CD177" s="373"/>
      <c r="CE177" s="373"/>
      <c r="CF177" s="373"/>
      <c r="CG177" s="373"/>
      <c r="CH177" s="373"/>
      <c r="CI177" s="373"/>
      <c r="CJ177" s="373"/>
      <c r="CK177" s="373"/>
      <c r="CL177" s="373"/>
      <c r="CM177" s="373"/>
      <c r="CN177" s="373"/>
      <c r="CO177" s="373"/>
      <c r="CP177" s="373"/>
      <c r="CQ177" s="373"/>
      <c r="CR177" s="373"/>
      <c r="CS177" s="373"/>
      <c r="CT177" s="373"/>
      <c r="CU177" s="373"/>
      <c r="CV177" s="373"/>
      <c r="CW177" s="373"/>
      <c r="CX177" s="373"/>
      <c r="CY177" s="373"/>
      <c r="CZ177" s="373"/>
    </row>
    <row r="178" spans="1:104">
      <c r="A178" s="373"/>
      <c r="B178" s="373"/>
      <c r="C178" s="373"/>
      <c r="D178" s="373"/>
      <c r="E178" s="373"/>
      <c r="F178" s="373"/>
      <c r="G178" s="373"/>
      <c r="H178" s="373"/>
      <c r="I178" s="373"/>
      <c r="J178" s="365"/>
      <c r="K178" s="373"/>
      <c r="L178" s="373"/>
      <c r="M178" s="373"/>
      <c r="N178" s="373"/>
      <c r="O178" s="373"/>
      <c r="P178" s="373"/>
      <c r="Q178" s="373"/>
      <c r="R178" s="373"/>
      <c r="S178" s="373"/>
      <c r="T178" s="373"/>
      <c r="U178" s="373"/>
      <c r="V178" s="373"/>
      <c r="W178" s="373"/>
      <c r="X178" s="373"/>
      <c r="Y178" s="373"/>
      <c r="Z178" s="373"/>
      <c r="AB178" s="373"/>
      <c r="AC178" s="373"/>
      <c r="AD178" s="373"/>
      <c r="AE178" s="373"/>
      <c r="AF178" s="373"/>
      <c r="AG178" s="373"/>
      <c r="AH178" s="373"/>
      <c r="AI178" s="373"/>
      <c r="AJ178" s="373"/>
      <c r="AK178" s="373"/>
      <c r="AL178" s="373"/>
      <c r="AM178" s="373"/>
      <c r="AN178" s="373"/>
      <c r="AO178" s="373"/>
      <c r="AP178" s="373"/>
      <c r="AQ178" s="373"/>
      <c r="AR178" s="373"/>
      <c r="AS178" s="373"/>
      <c r="AT178" s="373"/>
      <c r="AU178" s="373"/>
      <c r="AV178" s="373"/>
      <c r="AW178" s="373"/>
      <c r="AX178" s="373"/>
      <c r="AY178" s="373"/>
      <c r="AZ178" s="373"/>
      <c r="BA178" s="373"/>
      <c r="BB178" s="373"/>
      <c r="BC178" s="373"/>
      <c r="BD178" s="373"/>
      <c r="BE178" s="373"/>
      <c r="BF178" s="373"/>
      <c r="BG178" s="373"/>
      <c r="BH178" s="373"/>
      <c r="BI178" s="373"/>
      <c r="BJ178" s="373"/>
      <c r="BK178" s="373"/>
      <c r="BL178" s="373"/>
      <c r="BM178" s="373"/>
      <c r="BN178" s="373"/>
      <c r="BO178" s="373"/>
      <c r="BP178" s="373"/>
      <c r="BQ178" s="373"/>
      <c r="BR178" s="373"/>
      <c r="BS178" s="373"/>
      <c r="BT178" s="373"/>
      <c r="BU178" s="373"/>
      <c r="BV178" s="373"/>
      <c r="BW178" s="373"/>
      <c r="BX178" s="373"/>
      <c r="BY178" s="373"/>
      <c r="BZ178" s="373"/>
      <c r="CA178" s="373"/>
      <c r="CB178" s="373"/>
      <c r="CC178" s="373"/>
      <c r="CD178" s="373"/>
      <c r="CE178" s="373"/>
      <c r="CF178" s="373"/>
      <c r="CG178" s="373"/>
      <c r="CH178" s="373"/>
      <c r="CI178" s="373"/>
      <c r="CJ178" s="373"/>
      <c r="CK178" s="373"/>
      <c r="CL178" s="373"/>
      <c r="CM178" s="373"/>
      <c r="CN178" s="373"/>
      <c r="CO178" s="373"/>
      <c r="CP178" s="373"/>
      <c r="CQ178" s="373"/>
      <c r="CR178" s="373"/>
      <c r="CS178" s="373"/>
      <c r="CT178" s="373"/>
      <c r="CU178" s="373"/>
      <c r="CV178" s="373"/>
      <c r="CW178" s="373"/>
      <c r="CX178" s="373"/>
      <c r="CY178" s="373"/>
      <c r="CZ178" s="373"/>
    </row>
    <row r="179" spans="1:104">
      <c r="A179" s="373"/>
      <c r="B179" s="373"/>
      <c r="C179" s="373"/>
      <c r="D179" s="373"/>
      <c r="E179" s="373"/>
      <c r="F179" s="373"/>
      <c r="G179" s="373"/>
      <c r="H179" s="373"/>
      <c r="I179" s="373"/>
      <c r="J179" s="373"/>
      <c r="K179" s="373"/>
      <c r="L179" s="373"/>
      <c r="M179" s="373"/>
      <c r="N179" s="373"/>
      <c r="O179" s="373"/>
      <c r="P179" s="373"/>
      <c r="Q179" s="373"/>
      <c r="R179" s="373"/>
      <c r="S179" s="373"/>
      <c r="T179" s="373"/>
      <c r="U179" s="373"/>
      <c r="V179" s="373"/>
      <c r="W179" s="373"/>
      <c r="X179" s="373"/>
      <c r="Y179" s="373"/>
      <c r="Z179" s="373"/>
      <c r="AB179" s="373"/>
      <c r="AC179" s="373"/>
      <c r="AD179" s="373"/>
      <c r="AE179" s="373"/>
      <c r="AF179" s="373"/>
      <c r="AG179" s="373"/>
      <c r="AH179" s="373"/>
      <c r="AI179" s="373"/>
      <c r="AJ179" s="373"/>
      <c r="AK179" s="373"/>
      <c r="AL179" s="373"/>
      <c r="AM179" s="373"/>
      <c r="AN179" s="373"/>
      <c r="AO179" s="373"/>
      <c r="AP179" s="373"/>
      <c r="AQ179" s="373"/>
      <c r="AR179" s="373"/>
      <c r="AS179" s="373"/>
      <c r="AT179" s="373"/>
      <c r="AU179" s="373"/>
      <c r="AV179" s="373"/>
      <c r="AW179" s="373"/>
      <c r="AX179" s="373"/>
      <c r="AY179" s="373"/>
      <c r="AZ179" s="373"/>
      <c r="BA179" s="373"/>
      <c r="BB179" s="373"/>
      <c r="BC179" s="373"/>
      <c r="BD179" s="373"/>
      <c r="BE179" s="373"/>
      <c r="BF179" s="373"/>
      <c r="BG179" s="373"/>
      <c r="BH179" s="373"/>
      <c r="BI179" s="373"/>
      <c r="BJ179" s="373"/>
      <c r="BK179" s="373"/>
      <c r="BL179" s="373"/>
      <c r="BM179" s="373"/>
      <c r="BN179" s="373"/>
      <c r="BO179" s="373"/>
      <c r="BP179" s="373"/>
      <c r="BQ179" s="373"/>
      <c r="BR179" s="373"/>
      <c r="BS179" s="373"/>
      <c r="BT179" s="373"/>
      <c r="BU179" s="373"/>
      <c r="BV179" s="373"/>
      <c r="BW179" s="373"/>
      <c r="BX179" s="373"/>
      <c r="BY179" s="373"/>
      <c r="BZ179" s="373"/>
      <c r="CA179" s="373"/>
      <c r="CB179" s="373"/>
      <c r="CC179" s="373"/>
      <c r="CD179" s="373"/>
      <c r="CE179" s="373"/>
      <c r="CF179" s="373"/>
      <c r="CG179" s="373"/>
      <c r="CH179" s="373"/>
      <c r="CI179" s="373"/>
      <c r="CJ179" s="373"/>
      <c r="CK179" s="373"/>
      <c r="CL179" s="373"/>
      <c r="CM179" s="373"/>
      <c r="CN179" s="373"/>
      <c r="CO179" s="373"/>
      <c r="CP179" s="373"/>
      <c r="CQ179" s="373"/>
      <c r="CR179" s="373"/>
      <c r="CS179" s="373"/>
      <c r="CT179" s="373"/>
      <c r="CU179" s="373"/>
      <c r="CV179" s="373"/>
      <c r="CW179" s="373"/>
      <c r="CX179" s="373"/>
      <c r="CY179" s="373"/>
      <c r="CZ179" s="373"/>
    </row>
    <row r="180" spans="1:104">
      <c r="A180" s="373"/>
      <c r="B180" s="373"/>
      <c r="C180" s="373"/>
      <c r="D180" s="373"/>
      <c r="E180" s="373"/>
      <c r="F180" s="373"/>
      <c r="G180" s="373"/>
      <c r="H180" s="373"/>
      <c r="I180" s="373"/>
      <c r="J180" s="365"/>
      <c r="K180" s="373"/>
      <c r="L180" s="373"/>
      <c r="M180" s="373"/>
      <c r="N180" s="373"/>
      <c r="O180" s="373"/>
      <c r="P180" s="373"/>
      <c r="Q180" s="373"/>
      <c r="R180" s="373"/>
      <c r="S180" s="373"/>
      <c r="T180" s="373"/>
      <c r="U180" s="373"/>
      <c r="V180" s="373"/>
      <c r="W180" s="373"/>
      <c r="X180" s="373"/>
      <c r="Y180" s="373"/>
      <c r="Z180" s="373"/>
      <c r="AB180" s="373"/>
      <c r="AC180" s="373"/>
      <c r="AD180" s="373"/>
      <c r="AE180" s="373"/>
      <c r="AF180" s="373"/>
      <c r="AG180" s="373"/>
      <c r="AH180" s="373"/>
      <c r="AI180" s="373"/>
      <c r="AJ180" s="373"/>
      <c r="AK180" s="373"/>
      <c r="AL180" s="373"/>
      <c r="AM180" s="373"/>
      <c r="AN180" s="373"/>
      <c r="AO180" s="373"/>
      <c r="AP180" s="373"/>
      <c r="AQ180" s="373"/>
      <c r="AR180" s="373"/>
      <c r="AS180" s="373"/>
      <c r="AT180" s="373"/>
      <c r="AU180" s="373"/>
      <c r="AV180" s="373"/>
      <c r="AW180" s="373"/>
      <c r="AX180" s="373"/>
      <c r="AY180" s="373"/>
      <c r="AZ180" s="373"/>
      <c r="BA180" s="373"/>
      <c r="BB180" s="373"/>
      <c r="BC180" s="373"/>
      <c r="BD180" s="373"/>
      <c r="BE180" s="373"/>
      <c r="BF180" s="373"/>
      <c r="BG180" s="373"/>
      <c r="BH180" s="373"/>
      <c r="BI180" s="373"/>
      <c r="BJ180" s="373"/>
      <c r="BK180" s="373"/>
      <c r="BL180" s="373"/>
      <c r="BM180" s="373"/>
      <c r="BN180" s="373"/>
      <c r="BO180" s="373"/>
      <c r="BP180" s="373"/>
      <c r="BQ180" s="373"/>
      <c r="BR180" s="373"/>
      <c r="BS180" s="373"/>
      <c r="BT180" s="373"/>
      <c r="BU180" s="373"/>
      <c r="BV180" s="373"/>
      <c r="BW180" s="373"/>
      <c r="BX180" s="373"/>
      <c r="BY180" s="373"/>
      <c r="BZ180" s="373"/>
      <c r="CA180" s="373"/>
      <c r="CB180" s="373"/>
      <c r="CC180" s="373"/>
      <c r="CD180" s="373"/>
      <c r="CE180" s="373"/>
      <c r="CF180" s="373"/>
      <c r="CG180" s="373"/>
      <c r="CH180" s="373"/>
      <c r="CI180" s="373"/>
      <c r="CJ180" s="373"/>
      <c r="CK180" s="373"/>
      <c r="CL180" s="373"/>
      <c r="CM180" s="373"/>
      <c r="CN180" s="373"/>
      <c r="CO180" s="373"/>
      <c r="CP180" s="373"/>
      <c r="CQ180" s="373"/>
      <c r="CR180" s="373"/>
      <c r="CS180" s="373"/>
      <c r="CT180" s="373"/>
      <c r="CU180" s="373"/>
      <c r="CV180" s="373"/>
      <c r="CW180" s="373"/>
      <c r="CX180" s="373"/>
      <c r="CY180" s="373"/>
      <c r="CZ180" s="373"/>
    </row>
    <row r="181" spans="1:104">
      <c r="A181" s="373"/>
      <c r="B181" s="373"/>
      <c r="C181" s="373"/>
      <c r="D181" s="373"/>
      <c r="E181" s="373"/>
      <c r="F181" s="373"/>
      <c r="G181" s="373"/>
      <c r="H181" s="373"/>
      <c r="I181" s="373"/>
      <c r="J181" s="365"/>
      <c r="K181" s="373"/>
      <c r="L181" s="373"/>
      <c r="M181" s="373"/>
      <c r="N181" s="373"/>
      <c r="O181" s="373"/>
      <c r="P181" s="373"/>
      <c r="Q181" s="373"/>
      <c r="R181" s="373"/>
      <c r="S181" s="373"/>
      <c r="T181" s="373"/>
      <c r="U181" s="373"/>
      <c r="V181" s="373"/>
      <c r="W181" s="373"/>
      <c r="X181" s="373"/>
      <c r="Y181" s="373"/>
      <c r="Z181" s="373"/>
      <c r="AB181" s="373"/>
      <c r="AC181" s="373"/>
      <c r="AD181" s="373"/>
      <c r="AE181" s="373"/>
      <c r="AF181" s="373"/>
      <c r="AG181" s="373"/>
      <c r="AH181" s="373"/>
      <c r="AI181" s="373"/>
      <c r="AJ181" s="373"/>
      <c r="AK181" s="373"/>
      <c r="AL181" s="373"/>
      <c r="AM181" s="373"/>
      <c r="AN181" s="373"/>
      <c r="AO181" s="373"/>
      <c r="AP181" s="373"/>
      <c r="AQ181" s="373"/>
      <c r="AR181" s="373"/>
      <c r="AS181" s="373"/>
      <c r="AT181" s="373"/>
      <c r="AU181" s="373"/>
      <c r="AV181" s="373"/>
      <c r="AW181" s="373"/>
      <c r="AX181" s="373"/>
      <c r="AY181" s="373"/>
      <c r="AZ181" s="373"/>
      <c r="BA181" s="373"/>
      <c r="BB181" s="373"/>
      <c r="BC181" s="373"/>
      <c r="BD181" s="373"/>
      <c r="BE181" s="373"/>
      <c r="BF181" s="373"/>
      <c r="BG181" s="373"/>
      <c r="BH181" s="373"/>
      <c r="BI181" s="373"/>
      <c r="BJ181" s="373"/>
      <c r="BK181" s="373"/>
      <c r="BL181" s="373"/>
      <c r="BM181" s="373"/>
      <c r="BN181" s="373"/>
      <c r="BO181" s="373"/>
      <c r="BP181" s="373"/>
      <c r="BQ181" s="373"/>
      <c r="BR181" s="373"/>
      <c r="BS181" s="373"/>
      <c r="BT181" s="373"/>
      <c r="BU181" s="373"/>
      <c r="BV181" s="373"/>
      <c r="BW181" s="373"/>
      <c r="BX181" s="373"/>
      <c r="BY181" s="373"/>
      <c r="BZ181" s="373"/>
      <c r="CA181" s="373"/>
      <c r="CB181" s="373"/>
      <c r="CC181" s="373"/>
      <c r="CD181" s="373"/>
      <c r="CE181" s="373"/>
      <c r="CF181" s="373"/>
      <c r="CG181" s="373"/>
      <c r="CH181" s="373"/>
      <c r="CI181" s="373"/>
      <c r="CJ181" s="373"/>
      <c r="CK181" s="373"/>
      <c r="CL181" s="373"/>
      <c r="CM181" s="373"/>
      <c r="CN181" s="373"/>
      <c r="CO181" s="373"/>
      <c r="CP181" s="373"/>
      <c r="CQ181" s="373"/>
      <c r="CR181" s="373"/>
      <c r="CS181" s="373"/>
      <c r="CT181" s="373"/>
      <c r="CU181" s="373"/>
      <c r="CV181" s="373"/>
      <c r="CW181" s="373"/>
      <c r="CX181" s="373"/>
      <c r="CY181" s="373"/>
      <c r="CZ181" s="373"/>
    </row>
    <row r="182" spans="1:104">
      <c r="A182" s="373"/>
      <c r="B182" s="373"/>
      <c r="C182" s="373"/>
      <c r="D182" s="373"/>
      <c r="E182" s="373"/>
      <c r="F182" s="373"/>
      <c r="G182" s="373"/>
      <c r="H182" s="373"/>
      <c r="I182" s="373"/>
      <c r="J182" s="365"/>
      <c r="K182" s="373"/>
      <c r="L182" s="373"/>
      <c r="M182" s="373"/>
      <c r="N182" s="373"/>
      <c r="O182" s="373"/>
      <c r="P182" s="373"/>
      <c r="Q182" s="373"/>
      <c r="R182" s="373"/>
      <c r="S182" s="373"/>
      <c r="T182" s="373"/>
      <c r="U182" s="373"/>
      <c r="V182" s="373"/>
      <c r="W182" s="373"/>
      <c r="X182" s="373"/>
      <c r="Y182" s="373"/>
      <c r="Z182" s="373"/>
      <c r="AB182" s="373"/>
      <c r="AC182" s="373"/>
      <c r="AD182" s="373"/>
      <c r="AE182" s="373"/>
      <c r="AF182" s="373"/>
      <c r="AG182" s="373"/>
      <c r="AH182" s="373"/>
      <c r="AI182" s="373"/>
      <c r="AJ182" s="373"/>
      <c r="AK182" s="373"/>
      <c r="AL182" s="373"/>
      <c r="AM182" s="373"/>
      <c r="AN182" s="373"/>
      <c r="AO182" s="373"/>
      <c r="AP182" s="373"/>
      <c r="AQ182" s="373"/>
      <c r="AR182" s="373"/>
      <c r="AS182" s="373"/>
      <c r="AT182" s="373"/>
      <c r="AU182" s="373"/>
      <c r="AV182" s="373"/>
      <c r="AW182" s="373"/>
      <c r="AX182" s="373"/>
      <c r="AY182" s="373"/>
      <c r="AZ182" s="373"/>
      <c r="BA182" s="373"/>
      <c r="BB182" s="373"/>
      <c r="BC182" s="373"/>
      <c r="BD182" s="373"/>
      <c r="BE182" s="373"/>
      <c r="BF182" s="373"/>
      <c r="BG182" s="373"/>
      <c r="BH182" s="373"/>
      <c r="BI182" s="373"/>
      <c r="BJ182" s="373"/>
      <c r="BK182" s="373"/>
      <c r="BL182" s="373"/>
      <c r="BM182" s="373"/>
      <c r="BN182" s="373"/>
      <c r="BO182" s="373"/>
      <c r="BP182" s="373"/>
      <c r="BQ182" s="373"/>
      <c r="BR182" s="373"/>
      <c r="BS182" s="373"/>
      <c r="BT182" s="373"/>
      <c r="BU182" s="373"/>
      <c r="BV182" s="373"/>
      <c r="BW182" s="373"/>
      <c r="BX182" s="373"/>
      <c r="BY182" s="373"/>
      <c r="BZ182" s="373"/>
      <c r="CA182" s="373"/>
      <c r="CB182" s="373"/>
      <c r="CC182" s="373"/>
      <c r="CD182" s="373"/>
      <c r="CE182" s="373"/>
      <c r="CF182" s="373"/>
      <c r="CG182" s="373"/>
      <c r="CH182" s="373"/>
      <c r="CI182" s="373"/>
      <c r="CJ182" s="373"/>
      <c r="CK182" s="373"/>
      <c r="CL182" s="373"/>
      <c r="CM182" s="373"/>
      <c r="CN182" s="373"/>
      <c r="CO182" s="373"/>
      <c r="CP182" s="373"/>
      <c r="CQ182" s="373"/>
      <c r="CR182" s="373"/>
      <c r="CS182" s="373"/>
      <c r="CT182" s="373"/>
      <c r="CU182" s="373"/>
      <c r="CV182" s="373"/>
      <c r="CW182" s="373"/>
      <c r="CX182" s="373"/>
      <c r="CY182" s="373"/>
      <c r="CZ182" s="373"/>
    </row>
    <row r="183" spans="1:104">
      <c r="A183" s="373"/>
      <c r="B183" s="373"/>
      <c r="C183" s="373"/>
      <c r="D183" s="373"/>
      <c r="E183" s="373"/>
      <c r="F183" s="373"/>
      <c r="G183" s="373"/>
      <c r="H183" s="373"/>
      <c r="I183" s="373"/>
      <c r="J183" s="365"/>
      <c r="K183" s="373"/>
      <c r="L183" s="373"/>
      <c r="M183" s="373"/>
      <c r="N183" s="373"/>
      <c r="O183" s="373"/>
      <c r="P183" s="373"/>
      <c r="Q183" s="373"/>
      <c r="R183" s="373"/>
      <c r="S183" s="373"/>
      <c r="T183" s="373"/>
      <c r="U183" s="373"/>
      <c r="V183" s="373"/>
      <c r="W183" s="373"/>
      <c r="X183" s="373"/>
      <c r="Y183" s="373"/>
      <c r="Z183" s="373"/>
      <c r="AB183" s="373"/>
      <c r="AC183" s="373"/>
      <c r="AD183" s="373"/>
      <c r="AE183" s="373"/>
      <c r="AF183" s="373"/>
      <c r="AG183" s="373"/>
      <c r="AH183" s="373"/>
      <c r="AI183" s="373"/>
      <c r="AJ183" s="373"/>
      <c r="AK183" s="373"/>
      <c r="AL183" s="373"/>
      <c r="AM183" s="373"/>
      <c r="AN183" s="373"/>
      <c r="AO183" s="373"/>
      <c r="AP183" s="373"/>
      <c r="AQ183" s="373"/>
      <c r="AR183" s="373"/>
      <c r="AS183" s="373"/>
      <c r="AT183" s="373"/>
      <c r="AU183" s="373"/>
      <c r="AV183" s="373"/>
      <c r="AW183" s="373"/>
      <c r="AX183" s="373"/>
      <c r="AY183" s="373"/>
      <c r="AZ183" s="373"/>
      <c r="BA183" s="373"/>
      <c r="BB183" s="373"/>
      <c r="BC183" s="373"/>
      <c r="BD183" s="373"/>
      <c r="BE183" s="373"/>
      <c r="BF183" s="373"/>
      <c r="BG183" s="373"/>
      <c r="BH183" s="373"/>
      <c r="BI183" s="373"/>
      <c r="BJ183" s="373"/>
      <c r="BK183" s="373"/>
      <c r="BL183" s="373"/>
      <c r="BM183" s="373"/>
      <c r="BN183" s="373"/>
      <c r="BO183" s="373"/>
      <c r="BP183" s="373"/>
      <c r="BQ183" s="373"/>
      <c r="BR183" s="373"/>
      <c r="BS183" s="373"/>
      <c r="BT183" s="373"/>
      <c r="BU183" s="373"/>
      <c r="BV183" s="373"/>
      <c r="BW183" s="373"/>
      <c r="BX183" s="373"/>
      <c r="BY183" s="373"/>
      <c r="BZ183" s="373"/>
      <c r="CA183" s="373"/>
      <c r="CB183" s="373"/>
      <c r="CC183" s="373"/>
      <c r="CD183" s="373"/>
      <c r="CE183" s="373"/>
      <c r="CF183" s="373"/>
      <c r="CG183" s="373"/>
      <c r="CH183" s="373"/>
      <c r="CI183" s="373"/>
      <c r="CJ183" s="373"/>
      <c r="CK183" s="373"/>
      <c r="CL183" s="373"/>
      <c r="CM183" s="373"/>
      <c r="CN183" s="373"/>
      <c r="CO183" s="373"/>
      <c r="CP183" s="373"/>
      <c r="CQ183" s="373"/>
      <c r="CR183" s="373"/>
      <c r="CS183" s="373"/>
      <c r="CT183" s="373"/>
      <c r="CU183" s="373"/>
      <c r="CV183" s="373"/>
      <c r="CW183" s="373"/>
      <c r="CX183" s="373"/>
      <c r="CY183" s="373"/>
      <c r="CZ183" s="373"/>
    </row>
    <row r="184" spans="1:104">
      <c r="A184" s="373"/>
      <c r="B184" s="373"/>
      <c r="C184" s="373"/>
      <c r="D184" s="373"/>
      <c r="E184" s="373"/>
      <c r="F184" s="373"/>
      <c r="G184" s="373"/>
      <c r="H184" s="373"/>
      <c r="I184" s="373"/>
      <c r="J184" s="365"/>
      <c r="K184" s="373"/>
      <c r="L184" s="373"/>
      <c r="M184" s="373"/>
      <c r="N184" s="373"/>
      <c r="O184" s="373"/>
      <c r="P184" s="373"/>
      <c r="Q184" s="373"/>
      <c r="R184" s="373"/>
      <c r="S184" s="373"/>
      <c r="T184" s="373"/>
      <c r="U184" s="373"/>
      <c r="V184" s="373"/>
      <c r="W184" s="373"/>
      <c r="X184" s="373"/>
      <c r="Y184" s="373"/>
      <c r="Z184" s="373"/>
      <c r="AB184" s="373"/>
      <c r="AC184" s="373"/>
      <c r="AD184" s="373"/>
      <c r="AE184" s="373"/>
      <c r="AF184" s="373"/>
      <c r="AG184" s="373"/>
      <c r="AH184" s="373"/>
      <c r="AI184" s="373"/>
      <c r="AJ184" s="373"/>
      <c r="AK184" s="373"/>
      <c r="AL184" s="373"/>
      <c r="AM184" s="373"/>
      <c r="AN184" s="373"/>
      <c r="AO184" s="373"/>
      <c r="AP184" s="373"/>
      <c r="AQ184" s="373"/>
      <c r="AR184" s="373"/>
      <c r="AS184" s="373"/>
      <c r="AT184" s="373"/>
      <c r="AU184" s="373"/>
      <c r="AV184" s="373"/>
      <c r="AW184" s="373"/>
      <c r="AX184" s="373"/>
      <c r="AY184" s="373"/>
      <c r="AZ184" s="373"/>
      <c r="BA184" s="373"/>
      <c r="BB184" s="373"/>
      <c r="BC184" s="373"/>
      <c r="BD184" s="373"/>
      <c r="BE184" s="373"/>
      <c r="BF184" s="373"/>
      <c r="BG184" s="373"/>
      <c r="BH184" s="373"/>
      <c r="BI184" s="373"/>
      <c r="BJ184" s="373"/>
      <c r="BK184" s="373"/>
      <c r="BL184" s="373"/>
      <c r="BM184" s="373"/>
      <c r="BN184" s="373"/>
      <c r="BO184" s="373"/>
      <c r="BP184" s="373"/>
      <c r="BQ184" s="373"/>
      <c r="BR184" s="373"/>
      <c r="BS184" s="373"/>
      <c r="BT184" s="373"/>
      <c r="BU184" s="373"/>
      <c r="BV184" s="373"/>
      <c r="BW184" s="373"/>
      <c r="BX184" s="373"/>
      <c r="BY184" s="373"/>
      <c r="BZ184" s="373"/>
      <c r="CA184" s="373"/>
      <c r="CB184" s="373"/>
      <c r="CC184" s="373"/>
      <c r="CD184" s="373"/>
      <c r="CE184" s="373"/>
      <c r="CF184" s="373"/>
      <c r="CG184" s="373"/>
      <c r="CH184" s="373"/>
      <c r="CI184" s="373"/>
      <c r="CJ184" s="373"/>
      <c r="CK184" s="373"/>
      <c r="CL184" s="373"/>
      <c r="CM184" s="373"/>
      <c r="CN184" s="373"/>
      <c r="CO184" s="373"/>
      <c r="CP184" s="373"/>
      <c r="CQ184" s="373"/>
      <c r="CR184" s="373"/>
      <c r="CS184" s="373"/>
      <c r="CT184" s="373"/>
      <c r="CU184" s="373"/>
      <c r="CV184" s="373"/>
      <c r="CW184" s="373"/>
      <c r="CX184" s="373"/>
      <c r="CY184" s="373"/>
      <c r="CZ184" s="373"/>
    </row>
    <row r="185" spans="1:104">
      <c r="A185" s="373"/>
      <c r="B185" s="373"/>
      <c r="C185" s="373"/>
      <c r="D185" s="373"/>
      <c r="E185" s="373"/>
      <c r="F185" s="373"/>
      <c r="G185" s="373"/>
      <c r="H185" s="373"/>
      <c r="I185" s="373"/>
      <c r="J185" s="365"/>
      <c r="K185" s="373"/>
      <c r="L185" s="373"/>
      <c r="M185" s="373"/>
      <c r="N185" s="373"/>
      <c r="O185" s="373"/>
      <c r="P185" s="373"/>
      <c r="Q185" s="373"/>
      <c r="R185" s="373"/>
      <c r="S185" s="373"/>
      <c r="T185" s="373"/>
      <c r="U185" s="373"/>
      <c r="V185" s="373"/>
      <c r="W185" s="373"/>
      <c r="X185" s="373"/>
      <c r="Y185" s="373"/>
      <c r="Z185" s="373"/>
      <c r="AB185" s="373"/>
      <c r="AC185" s="373"/>
      <c r="AD185" s="373"/>
      <c r="AE185" s="373"/>
      <c r="AF185" s="373"/>
      <c r="AG185" s="373"/>
      <c r="AH185" s="373"/>
      <c r="AI185" s="373"/>
      <c r="AJ185" s="373"/>
      <c r="AK185" s="373"/>
      <c r="AL185" s="373"/>
      <c r="AM185" s="373"/>
      <c r="AN185" s="373"/>
      <c r="AO185" s="373"/>
      <c r="AP185" s="373"/>
      <c r="AQ185" s="373"/>
      <c r="AR185" s="373"/>
      <c r="AS185" s="373"/>
      <c r="AT185" s="373"/>
      <c r="AU185" s="373"/>
      <c r="AV185" s="373"/>
      <c r="AW185" s="373"/>
      <c r="AX185" s="373"/>
      <c r="AY185" s="373"/>
      <c r="AZ185" s="373"/>
      <c r="BA185" s="373"/>
      <c r="BB185" s="373"/>
      <c r="BC185" s="373"/>
      <c r="BD185" s="373"/>
      <c r="BE185" s="373"/>
      <c r="BF185" s="373"/>
      <c r="BG185" s="373"/>
      <c r="BH185" s="373"/>
      <c r="BI185" s="373"/>
      <c r="BJ185" s="373"/>
      <c r="BK185" s="373"/>
      <c r="BL185" s="373"/>
      <c r="BM185" s="373"/>
      <c r="BN185" s="373"/>
      <c r="BO185" s="373"/>
      <c r="BP185" s="373"/>
      <c r="BQ185" s="373"/>
      <c r="BR185" s="373"/>
      <c r="BS185" s="373"/>
      <c r="BT185" s="373"/>
      <c r="BU185" s="373"/>
      <c r="BV185" s="373"/>
      <c r="BW185" s="373"/>
      <c r="BX185" s="373"/>
      <c r="BY185" s="373"/>
      <c r="BZ185" s="373"/>
      <c r="CA185" s="373"/>
      <c r="CB185" s="373"/>
      <c r="CC185" s="373"/>
      <c r="CD185" s="373"/>
      <c r="CE185" s="373"/>
      <c r="CF185" s="373"/>
      <c r="CG185" s="373"/>
      <c r="CH185" s="373"/>
      <c r="CI185" s="373"/>
      <c r="CJ185" s="373"/>
      <c r="CK185" s="373"/>
      <c r="CL185" s="373"/>
      <c r="CM185" s="373"/>
      <c r="CN185" s="373"/>
      <c r="CO185" s="373"/>
      <c r="CP185" s="373"/>
      <c r="CQ185" s="373"/>
      <c r="CR185" s="373"/>
      <c r="CS185" s="373"/>
      <c r="CT185" s="373"/>
      <c r="CU185" s="373"/>
      <c r="CV185" s="373"/>
      <c r="CW185" s="373"/>
      <c r="CX185" s="373"/>
      <c r="CY185" s="373"/>
      <c r="CZ185" s="373"/>
    </row>
    <row r="186" spans="1:104">
      <c r="A186" s="373"/>
      <c r="B186" s="373"/>
      <c r="C186" s="373"/>
      <c r="D186" s="373"/>
      <c r="E186" s="373"/>
      <c r="F186" s="373"/>
      <c r="G186" s="373"/>
      <c r="H186" s="373"/>
      <c r="I186" s="373"/>
      <c r="J186" s="365"/>
      <c r="K186" s="373"/>
      <c r="L186" s="373"/>
      <c r="M186" s="373"/>
      <c r="N186" s="373"/>
      <c r="O186" s="373"/>
      <c r="P186" s="373"/>
      <c r="Q186" s="373"/>
      <c r="R186" s="373"/>
      <c r="S186" s="373"/>
      <c r="T186" s="373"/>
      <c r="U186" s="373"/>
      <c r="V186" s="373"/>
      <c r="W186" s="373"/>
      <c r="X186" s="373"/>
      <c r="Y186" s="373"/>
      <c r="Z186" s="373"/>
      <c r="AB186" s="373"/>
      <c r="AC186" s="373"/>
      <c r="AD186" s="373"/>
      <c r="AE186" s="373"/>
      <c r="AF186" s="373"/>
      <c r="AG186" s="373"/>
      <c r="AH186" s="373"/>
      <c r="AI186" s="373"/>
      <c r="AJ186" s="373"/>
      <c r="AK186" s="373"/>
      <c r="AL186" s="373"/>
      <c r="AM186" s="373"/>
      <c r="AN186" s="373"/>
      <c r="AO186" s="373"/>
      <c r="AP186" s="373"/>
      <c r="AQ186" s="373"/>
      <c r="AR186" s="373"/>
      <c r="AS186" s="373"/>
      <c r="AT186" s="373"/>
      <c r="AU186" s="373"/>
      <c r="AV186" s="373"/>
      <c r="AW186" s="373"/>
      <c r="AX186" s="373"/>
      <c r="AY186" s="373"/>
      <c r="AZ186" s="373"/>
      <c r="BA186" s="373"/>
      <c r="BB186" s="373"/>
      <c r="BC186" s="373"/>
      <c r="BD186" s="373"/>
      <c r="BE186" s="373"/>
      <c r="BF186" s="373"/>
      <c r="BG186" s="373"/>
      <c r="BH186" s="373"/>
      <c r="BI186" s="373"/>
      <c r="BJ186" s="373"/>
      <c r="BK186" s="373"/>
      <c r="BL186" s="373"/>
      <c r="BM186" s="373"/>
      <c r="BN186" s="373"/>
      <c r="BO186" s="373"/>
      <c r="BP186" s="373"/>
      <c r="BQ186" s="373"/>
      <c r="BR186" s="373"/>
      <c r="BS186" s="373"/>
      <c r="BT186" s="373"/>
      <c r="BU186" s="373"/>
      <c r="BV186" s="373"/>
      <c r="BW186" s="373"/>
      <c r="BX186" s="373"/>
      <c r="BY186" s="373"/>
      <c r="BZ186" s="373"/>
      <c r="CA186" s="373"/>
      <c r="CB186" s="373"/>
      <c r="CC186" s="373"/>
      <c r="CD186" s="373"/>
      <c r="CE186" s="373"/>
      <c r="CF186" s="373"/>
      <c r="CG186" s="373"/>
      <c r="CH186" s="373"/>
      <c r="CI186" s="373"/>
      <c r="CJ186" s="373"/>
      <c r="CK186" s="373"/>
      <c r="CL186" s="373"/>
      <c r="CM186" s="373"/>
      <c r="CN186" s="373"/>
      <c r="CO186" s="373"/>
      <c r="CP186" s="373"/>
      <c r="CQ186" s="373"/>
      <c r="CR186" s="373"/>
      <c r="CS186" s="373"/>
      <c r="CT186" s="373"/>
      <c r="CU186" s="373"/>
      <c r="CV186" s="373"/>
      <c r="CW186" s="373"/>
      <c r="CX186" s="373"/>
      <c r="CY186" s="373"/>
      <c r="CZ186" s="373"/>
    </row>
    <row r="187" spans="1:104">
      <c r="A187" s="373"/>
      <c r="B187" s="373"/>
      <c r="C187" s="373"/>
      <c r="D187" s="373"/>
      <c r="E187" s="373"/>
      <c r="F187" s="173"/>
      <c r="G187" s="373"/>
      <c r="I187" s="373"/>
      <c r="J187" s="365"/>
      <c r="K187" s="373"/>
      <c r="L187" s="373"/>
      <c r="M187" s="373"/>
      <c r="N187" s="373"/>
      <c r="O187" s="373"/>
      <c r="P187" s="373"/>
      <c r="Q187" s="373"/>
      <c r="R187" s="373"/>
      <c r="S187" s="373"/>
      <c r="T187" s="373"/>
      <c r="U187" s="373"/>
      <c r="V187" s="373"/>
      <c r="W187" s="373"/>
      <c r="X187" s="373"/>
      <c r="Y187" s="373"/>
      <c r="Z187" s="373"/>
      <c r="AB187" s="373"/>
      <c r="AC187" s="373"/>
      <c r="AD187" s="373"/>
      <c r="AE187" s="373"/>
      <c r="AF187" s="373"/>
      <c r="AG187" s="373"/>
      <c r="AH187" s="373"/>
      <c r="AI187" s="373"/>
      <c r="AJ187" s="373"/>
      <c r="AK187" s="373"/>
      <c r="AL187" s="373"/>
      <c r="AM187" s="373"/>
      <c r="AN187" s="373"/>
      <c r="AO187" s="373"/>
      <c r="AP187" s="373"/>
      <c r="AQ187" s="373"/>
      <c r="AR187" s="373"/>
      <c r="AS187" s="373"/>
      <c r="AT187" s="373"/>
      <c r="AU187" s="373"/>
      <c r="AV187" s="373"/>
      <c r="AW187" s="373"/>
      <c r="AX187" s="373"/>
      <c r="AY187" s="373"/>
      <c r="AZ187" s="373"/>
      <c r="BA187" s="373"/>
      <c r="BB187" s="373"/>
      <c r="BC187" s="373"/>
      <c r="BD187" s="373"/>
      <c r="BE187" s="373"/>
      <c r="BF187" s="373"/>
      <c r="BG187" s="373"/>
      <c r="BH187" s="373"/>
      <c r="BI187" s="373"/>
      <c r="BJ187" s="373"/>
      <c r="BK187" s="373"/>
      <c r="BL187" s="373"/>
      <c r="BM187" s="373"/>
      <c r="BN187" s="373"/>
      <c r="BO187" s="373"/>
      <c r="BP187" s="373"/>
      <c r="BQ187" s="373"/>
      <c r="BR187" s="373"/>
      <c r="BS187" s="373"/>
      <c r="BT187" s="373"/>
      <c r="BU187" s="373"/>
      <c r="BV187" s="373"/>
      <c r="BW187" s="373"/>
      <c r="BX187" s="373"/>
      <c r="BY187" s="373"/>
      <c r="BZ187" s="373"/>
      <c r="CA187" s="373"/>
      <c r="CB187" s="373"/>
      <c r="CC187" s="373"/>
      <c r="CD187" s="373"/>
      <c r="CE187" s="373"/>
      <c r="CF187" s="373"/>
      <c r="CG187" s="373"/>
      <c r="CH187" s="373"/>
      <c r="CI187" s="373"/>
      <c r="CJ187" s="373"/>
      <c r="CK187" s="373"/>
      <c r="CL187" s="373"/>
      <c r="CM187" s="373"/>
      <c r="CN187" s="373"/>
      <c r="CO187" s="373"/>
      <c r="CP187" s="373"/>
      <c r="CQ187" s="373"/>
      <c r="CR187" s="373"/>
      <c r="CS187" s="373"/>
      <c r="CT187" s="373"/>
      <c r="CU187" s="373"/>
      <c r="CV187" s="373"/>
      <c r="CW187" s="373"/>
      <c r="CX187" s="373"/>
      <c r="CY187" s="373"/>
      <c r="CZ187" s="373"/>
    </row>
    <row r="188" spans="1:104">
      <c r="A188" s="373"/>
      <c r="D188" s="373"/>
      <c r="I188" s="373"/>
      <c r="J188" s="365"/>
      <c r="K188" s="373"/>
      <c r="L188" s="373"/>
      <c r="M188" s="373"/>
      <c r="N188" s="373"/>
      <c r="O188" s="373"/>
      <c r="P188" s="373"/>
      <c r="Q188" s="373"/>
      <c r="R188" s="373"/>
      <c r="S188" s="373"/>
      <c r="T188" s="373"/>
      <c r="U188" s="373"/>
      <c r="V188" s="373"/>
      <c r="W188" s="373"/>
      <c r="X188" s="373"/>
      <c r="Y188" s="373"/>
      <c r="Z188" s="373"/>
      <c r="AB188" s="373"/>
      <c r="AC188" s="373"/>
      <c r="AD188" s="373"/>
      <c r="AE188" s="373"/>
      <c r="AF188" s="373"/>
      <c r="AG188" s="373"/>
      <c r="AH188" s="373"/>
      <c r="AI188" s="373"/>
      <c r="AJ188" s="373"/>
      <c r="AK188" s="373"/>
      <c r="AL188" s="373"/>
      <c r="AM188" s="373"/>
      <c r="AN188" s="373"/>
      <c r="AO188" s="373"/>
      <c r="AP188" s="373"/>
      <c r="AQ188" s="373"/>
      <c r="AR188" s="373"/>
      <c r="AS188" s="373"/>
      <c r="AT188" s="373"/>
      <c r="AU188" s="373"/>
      <c r="AV188" s="373"/>
      <c r="AW188" s="373"/>
      <c r="AX188" s="373"/>
      <c r="AY188" s="373"/>
      <c r="AZ188" s="373"/>
      <c r="BA188" s="373"/>
      <c r="BB188" s="373"/>
      <c r="BC188" s="373"/>
      <c r="BD188" s="373"/>
      <c r="BE188" s="373"/>
      <c r="BF188" s="373"/>
      <c r="BG188" s="373"/>
      <c r="BH188" s="373"/>
      <c r="BI188" s="373"/>
      <c r="BJ188" s="373"/>
      <c r="BK188" s="373"/>
      <c r="BL188" s="373"/>
      <c r="BM188" s="373"/>
      <c r="BN188" s="373"/>
      <c r="BO188" s="373"/>
      <c r="BP188" s="373"/>
      <c r="BQ188" s="373"/>
      <c r="BR188" s="373"/>
      <c r="BS188" s="373"/>
      <c r="BT188" s="373"/>
      <c r="BU188" s="373"/>
      <c r="BV188" s="373"/>
      <c r="BW188" s="373"/>
      <c r="BX188" s="373"/>
      <c r="BY188" s="373"/>
      <c r="BZ188" s="373"/>
      <c r="CA188" s="373"/>
      <c r="CB188" s="373"/>
      <c r="CC188" s="373"/>
      <c r="CD188" s="373"/>
      <c r="CE188" s="373"/>
      <c r="CF188" s="373"/>
      <c r="CG188" s="373"/>
      <c r="CH188" s="373"/>
      <c r="CI188" s="373"/>
      <c r="CJ188" s="373"/>
      <c r="CK188" s="373"/>
      <c r="CL188" s="373"/>
      <c r="CM188" s="373"/>
      <c r="CN188" s="373"/>
      <c r="CO188" s="373"/>
      <c r="CP188" s="373"/>
      <c r="CQ188" s="373"/>
      <c r="CR188" s="373"/>
      <c r="CS188" s="373"/>
      <c r="CT188" s="373"/>
      <c r="CU188" s="373"/>
      <c r="CV188" s="373"/>
      <c r="CW188" s="373"/>
      <c r="CX188" s="373"/>
      <c r="CY188" s="373"/>
      <c r="CZ188" s="373"/>
    </row>
    <row r="189" spans="1:104">
      <c r="A189" s="373"/>
      <c r="I189" s="373"/>
      <c r="J189" s="365"/>
      <c r="K189" s="373"/>
      <c r="L189" s="373"/>
      <c r="M189" s="373"/>
      <c r="N189" s="373"/>
      <c r="O189" s="373"/>
      <c r="P189" s="373"/>
      <c r="Q189" s="373"/>
      <c r="R189" s="373"/>
      <c r="S189" s="373"/>
      <c r="T189" s="373"/>
      <c r="U189" s="373"/>
      <c r="V189" s="373"/>
      <c r="W189" s="373"/>
      <c r="X189" s="373"/>
      <c r="Y189" s="373"/>
      <c r="Z189" s="373"/>
      <c r="AB189" s="373"/>
      <c r="AC189" s="373"/>
      <c r="AD189" s="373"/>
      <c r="AE189" s="373"/>
      <c r="AF189" s="373"/>
      <c r="AG189" s="373"/>
      <c r="AH189" s="373"/>
      <c r="AI189" s="373"/>
      <c r="AJ189" s="373"/>
      <c r="AK189" s="373"/>
      <c r="AL189" s="373"/>
      <c r="AM189" s="373"/>
      <c r="AN189" s="373"/>
      <c r="AO189" s="373"/>
      <c r="AP189" s="373"/>
      <c r="AQ189" s="373"/>
      <c r="AR189" s="373"/>
      <c r="AS189" s="373"/>
      <c r="AT189" s="373"/>
      <c r="AU189" s="373"/>
      <c r="AV189" s="373"/>
      <c r="AW189" s="373"/>
      <c r="AX189" s="373"/>
      <c r="AY189" s="373"/>
      <c r="AZ189" s="373"/>
      <c r="BA189" s="373"/>
      <c r="BB189" s="373"/>
      <c r="BC189" s="373"/>
      <c r="BD189" s="373"/>
      <c r="BE189" s="373"/>
      <c r="BF189" s="373"/>
      <c r="BG189" s="373"/>
      <c r="BH189" s="373"/>
      <c r="BI189" s="373"/>
      <c r="BJ189" s="373"/>
      <c r="BK189" s="373"/>
      <c r="BL189" s="373"/>
      <c r="BM189" s="373"/>
      <c r="BN189" s="373"/>
      <c r="BO189" s="373"/>
      <c r="BP189" s="373"/>
      <c r="BQ189" s="373"/>
      <c r="BR189" s="373"/>
      <c r="BS189" s="373"/>
      <c r="BT189" s="373"/>
      <c r="BU189" s="373"/>
      <c r="BV189" s="373"/>
      <c r="BW189" s="373"/>
      <c r="BX189" s="373"/>
      <c r="BY189" s="373"/>
      <c r="BZ189" s="373"/>
      <c r="CA189" s="373"/>
      <c r="CB189" s="373"/>
      <c r="CC189" s="373"/>
      <c r="CD189" s="373"/>
      <c r="CE189" s="373"/>
      <c r="CF189" s="373"/>
      <c r="CG189" s="373"/>
      <c r="CH189" s="373"/>
      <c r="CI189" s="373"/>
      <c r="CJ189" s="373"/>
      <c r="CK189" s="373"/>
      <c r="CL189" s="373"/>
      <c r="CM189" s="373"/>
      <c r="CN189" s="373"/>
      <c r="CO189" s="373"/>
      <c r="CP189" s="373"/>
      <c r="CQ189" s="373"/>
      <c r="CR189" s="373"/>
      <c r="CS189" s="373"/>
      <c r="CT189" s="373"/>
      <c r="CU189" s="373"/>
      <c r="CV189" s="373"/>
      <c r="CW189" s="373"/>
      <c r="CX189" s="373"/>
      <c r="CY189" s="373"/>
      <c r="CZ189" s="373"/>
    </row>
    <row r="190" spans="1:104">
      <c r="A190" s="373"/>
      <c r="I190" s="373"/>
      <c r="J190" s="365"/>
      <c r="K190" s="373"/>
      <c r="L190" s="373"/>
      <c r="M190" s="373"/>
      <c r="N190" s="373"/>
      <c r="O190" s="373"/>
      <c r="P190" s="373"/>
      <c r="Q190" s="373"/>
      <c r="R190" s="373"/>
      <c r="S190" s="373"/>
      <c r="T190" s="373"/>
      <c r="U190" s="373"/>
      <c r="V190" s="373"/>
      <c r="W190" s="373"/>
      <c r="X190" s="373"/>
      <c r="Y190" s="373"/>
      <c r="Z190" s="373"/>
      <c r="AB190" s="373"/>
      <c r="AC190" s="373"/>
      <c r="AD190" s="373"/>
      <c r="AE190" s="373"/>
      <c r="AF190" s="373"/>
      <c r="AG190" s="373"/>
      <c r="AH190" s="373"/>
      <c r="AI190" s="373"/>
      <c r="AJ190" s="373"/>
      <c r="AK190" s="373"/>
      <c r="AL190" s="373"/>
      <c r="AM190" s="373"/>
      <c r="AN190" s="373"/>
      <c r="AO190" s="373"/>
      <c r="AP190" s="373"/>
      <c r="AQ190" s="373"/>
      <c r="AR190" s="373"/>
      <c r="AS190" s="373"/>
      <c r="AT190" s="373"/>
      <c r="AU190" s="373"/>
      <c r="AV190" s="373"/>
      <c r="AW190" s="373"/>
      <c r="AX190" s="373"/>
      <c r="AY190" s="373"/>
      <c r="AZ190" s="373"/>
      <c r="BA190" s="373"/>
      <c r="BB190" s="373"/>
      <c r="BC190" s="373"/>
      <c r="BD190" s="373"/>
      <c r="BE190" s="373"/>
      <c r="BF190" s="373"/>
      <c r="BG190" s="373"/>
      <c r="BH190" s="373"/>
      <c r="BI190" s="373"/>
      <c r="BJ190" s="373"/>
      <c r="BK190" s="373"/>
      <c r="BL190" s="373"/>
      <c r="BM190" s="373"/>
      <c r="BN190" s="373"/>
      <c r="BO190" s="373"/>
      <c r="BP190" s="373"/>
      <c r="BQ190" s="373"/>
      <c r="BR190" s="373"/>
      <c r="BS190" s="373"/>
      <c r="BT190" s="373"/>
      <c r="BU190" s="373"/>
      <c r="BV190" s="373"/>
      <c r="BW190" s="373"/>
      <c r="BX190" s="373"/>
      <c r="BY190" s="373"/>
      <c r="BZ190" s="373"/>
      <c r="CA190" s="373"/>
      <c r="CB190" s="373"/>
      <c r="CC190" s="373"/>
      <c r="CD190" s="373"/>
      <c r="CE190" s="373"/>
      <c r="CF190" s="373"/>
      <c r="CG190" s="373"/>
      <c r="CH190" s="373"/>
      <c r="CI190" s="373"/>
      <c r="CJ190" s="373"/>
      <c r="CK190" s="373"/>
      <c r="CL190" s="373"/>
      <c r="CM190" s="373"/>
      <c r="CN190" s="373"/>
      <c r="CO190" s="373"/>
      <c r="CP190" s="373"/>
      <c r="CQ190" s="373"/>
      <c r="CR190" s="373"/>
      <c r="CS190" s="373"/>
      <c r="CT190" s="373"/>
      <c r="CU190" s="373"/>
      <c r="CV190" s="373"/>
      <c r="CW190" s="373"/>
      <c r="CX190" s="373"/>
      <c r="CY190" s="373"/>
      <c r="CZ190" s="373"/>
    </row>
    <row r="191" spans="1:104">
      <c r="A191" s="373"/>
      <c r="I191" s="373"/>
      <c r="J191" s="365"/>
      <c r="K191" s="373"/>
      <c r="L191" s="373"/>
      <c r="M191" s="373"/>
      <c r="N191" s="373"/>
      <c r="O191" s="373"/>
      <c r="P191" s="373"/>
      <c r="Q191" s="373"/>
      <c r="R191" s="373"/>
      <c r="S191" s="373"/>
      <c r="T191" s="373"/>
      <c r="U191" s="373"/>
      <c r="V191" s="373"/>
      <c r="W191" s="373"/>
      <c r="X191" s="373"/>
      <c r="Y191" s="373"/>
      <c r="Z191" s="373"/>
      <c r="AB191" s="373"/>
      <c r="AC191" s="373"/>
      <c r="AD191" s="373"/>
      <c r="AE191" s="373"/>
      <c r="AF191" s="373"/>
      <c r="AG191" s="373"/>
      <c r="AH191" s="373"/>
      <c r="AI191" s="373"/>
      <c r="AJ191" s="373"/>
      <c r="AK191" s="373"/>
      <c r="AL191" s="373"/>
      <c r="AM191" s="373"/>
      <c r="AN191" s="373"/>
      <c r="AO191" s="373"/>
      <c r="AP191" s="373"/>
      <c r="AQ191" s="373"/>
      <c r="AR191" s="373"/>
      <c r="AS191" s="373"/>
      <c r="AT191" s="373"/>
      <c r="AU191" s="373"/>
      <c r="AV191" s="373"/>
      <c r="AW191" s="373"/>
      <c r="AX191" s="373"/>
      <c r="AY191" s="373"/>
      <c r="AZ191" s="373"/>
      <c r="BA191" s="373"/>
      <c r="BB191" s="373"/>
      <c r="BC191" s="373"/>
      <c r="BD191" s="373"/>
      <c r="BE191" s="373"/>
      <c r="BF191" s="373"/>
      <c r="BG191" s="373"/>
      <c r="BH191" s="373"/>
      <c r="BI191" s="373"/>
      <c r="BJ191" s="373"/>
      <c r="BK191" s="373"/>
      <c r="BL191" s="373"/>
      <c r="BM191" s="373"/>
      <c r="BN191" s="373"/>
      <c r="BO191" s="373"/>
      <c r="BP191" s="373"/>
      <c r="BQ191" s="373"/>
      <c r="BR191" s="373"/>
      <c r="BS191" s="373"/>
      <c r="BT191" s="373"/>
      <c r="BU191" s="373"/>
      <c r="BV191" s="373"/>
      <c r="BW191" s="373"/>
      <c r="BX191" s="373"/>
      <c r="BY191" s="373"/>
      <c r="BZ191" s="373"/>
      <c r="CA191" s="373"/>
      <c r="CB191" s="373"/>
      <c r="CC191" s="373"/>
      <c r="CD191" s="373"/>
      <c r="CE191" s="373"/>
      <c r="CF191" s="373"/>
      <c r="CG191" s="373"/>
      <c r="CH191" s="373"/>
      <c r="CI191" s="373"/>
      <c r="CJ191" s="373"/>
      <c r="CK191" s="373"/>
      <c r="CL191" s="373"/>
      <c r="CM191" s="373"/>
      <c r="CN191" s="373"/>
      <c r="CO191" s="373"/>
      <c r="CP191" s="373"/>
      <c r="CQ191" s="373"/>
      <c r="CR191" s="373"/>
      <c r="CS191" s="373"/>
      <c r="CT191" s="373"/>
      <c r="CU191" s="373"/>
      <c r="CV191" s="373"/>
      <c r="CW191" s="373"/>
      <c r="CX191" s="373"/>
      <c r="CY191" s="373"/>
      <c r="CZ191" s="373"/>
    </row>
    <row r="192" spans="1:104">
      <c r="A192" s="373"/>
      <c r="I192" s="373"/>
      <c r="J192" s="365"/>
      <c r="K192" s="373"/>
      <c r="L192" s="373"/>
      <c r="N192" s="373"/>
      <c r="O192" s="373"/>
      <c r="P192" s="373"/>
      <c r="Q192" s="373"/>
      <c r="R192" s="373"/>
      <c r="S192" s="373"/>
      <c r="T192" s="373"/>
      <c r="U192" s="373"/>
      <c r="V192" s="373"/>
      <c r="W192" s="373"/>
      <c r="X192" s="373"/>
      <c r="Y192" s="373"/>
      <c r="Z192" s="373"/>
      <c r="AB192" s="373"/>
      <c r="AC192" s="373"/>
      <c r="AD192" s="373"/>
      <c r="AE192" s="373"/>
      <c r="AF192" s="373"/>
      <c r="AG192" s="373"/>
      <c r="AH192" s="373"/>
      <c r="AI192" s="373"/>
      <c r="AJ192" s="373"/>
      <c r="AK192" s="373"/>
      <c r="AL192" s="373"/>
      <c r="AM192" s="373"/>
      <c r="AN192" s="373"/>
      <c r="AO192" s="373"/>
      <c r="AP192" s="373"/>
      <c r="AQ192" s="373"/>
      <c r="AR192" s="373"/>
      <c r="AS192" s="373"/>
      <c r="AT192" s="373"/>
      <c r="AU192" s="373"/>
      <c r="AV192" s="373"/>
      <c r="AW192" s="373"/>
      <c r="AX192" s="373"/>
      <c r="AY192" s="373"/>
      <c r="AZ192" s="373"/>
      <c r="BA192" s="373"/>
      <c r="BB192" s="373"/>
      <c r="BC192" s="373"/>
      <c r="BD192" s="373"/>
      <c r="BE192" s="373"/>
      <c r="BF192" s="373"/>
      <c r="BG192" s="373"/>
      <c r="BH192" s="373"/>
      <c r="BI192" s="373"/>
      <c r="BJ192" s="373"/>
      <c r="BK192" s="373"/>
      <c r="BL192" s="373"/>
      <c r="BM192" s="373"/>
      <c r="BN192" s="373"/>
      <c r="BO192" s="373"/>
      <c r="BP192" s="373"/>
      <c r="BQ192" s="373"/>
      <c r="BR192" s="373"/>
      <c r="BS192" s="373"/>
      <c r="BT192" s="373"/>
      <c r="BU192" s="373"/>
      <c r="BV192" s="373"/>
      <c r="BW192" s="373"/>
      <c r="BX192" s="373"/>
      <c r="BY192" s="373"/>
      <c r="BZ192" s="373"/>
      <c r="CA192" s="373"/>
      <c r="CB192" s="373"/>
      <c r="CC192" s="373"/>
      <c r="CD192" s="373"/>
      <c r="CE192" s="373"/>
      <c r="CF192" s="373"/>
      <c r="CG192" s="373"/>
      <c r="CH192" s="373"/>
      <c r="CI192" s="373"/>
      <c r="CJ192" s="373"/>
      <c r="CK192" s="373"/>
      <c r="CL192" s="373"/>
      <c r="CM192" s="373"/>
      <c r="CN192" s="373"/>
      <c r="CO192" s="373"/>
      <c r="CP192" s="373"/>
      <c r="CQ192" s="373"/>
      <c r="CR192" s="373"/>
      <c r="CS192" s="373"/>
      <c r="CT192" s="373"/>
      <c r="CU192" s="373"/>
      <c r="CV192" s="373"/>
      <c r="CW192" s="373"/>
      <c r="CX192" s="373"/>
      <c r="CY192" s="373"/>
      <c r="CZ192" s="373"/>
    </row>
    <row r="193" spans="1:104">
      <c r="A193" s="373"/>
      <c r="I193" s="373"/>
      <c r="J193" s="365"/>
      <c r="K193" s="373"/>
      <c r="L193" s="373"/>
    </row>
    <row r="194" spans="1:104">
      <c r="A194" s="373"/>
      <c r="I194" s="373"/>
      <c r="J194" s="365"/>
      <c r="K194" s="373"/>
      <c r="L194" s="373"/>
    </row>
    <row r="195" spans="1:104">
      <c r="A195" s="373"/>
      <c r="H195" s="373"/>
      <c r="I195" s="373"/>
      <c r="J195" s="365"/>
      <c r="K195" s="373"/>
      <c r="L195" s="373"/>
    </row>
    <row r="196" spans="1:104">
      <c r="A196" s="373"/>
      <c r="B196" s="373"/>
      <c r="C196" s="373"/>
      <c r="E196" s="373"/>
      <c r="F196" s="373"/>
      <c r="G196" s="373"/>
      <c r="I196" s="373"/>
      <c r="J196" s="365"/>
      <c r="K196" s="373"/>
      <c r="L196" s="373"/>
    </row>
    <row r="197" spans="1:104">
      <c r="A197" s="373"/>
      <c r="D197" s="373"/>
      <c r="I197" s="373"/>
      <c r="J197" s="365"/>
      <c r="K197" s="373"/>
      <c r="L197" s="373"/>
    </row>
    <row r="198" spans="1:104">
      <c r="A198" s="373"/>
      <c r="J198" s="365"/>
    </row>
    <row r="199" spans="1:104">
      <c r="A199" s="373"/>
      <c r="J199" s="365"/>
    </row>
    <row r="200" spans="1:104">
      <c r="A200" s="373"/>
      <c r="J200" s="365"/>
      <c r="M200" s="175"/>
    </row>
    <row r="201" spans="1:104">
      <c r="A201" s="373"/>
      <c r="J201" s="365"/>
      <c r="N201" s="373"/>
      <c r="O201" s="373"/>
      <c r="P201" s="373"/>
      <c r="Q201" s="373"/>
      <c r="R201" s="373"/>
      <c r="S201" s="373"/>
      <c r="T201" s="373"/>
      <c r="U201" s="373"/>
      <c r="V201" s="373"/>
      <c r="W201" s="373"/>
      <c r="X201" s="373"/>
      <c r="Y201" s="373"/>
      <c r="Z201" s="373"/>
      <c r="AB201" s="373"/>
      <c r="AC201" s="373"/>
      <c r="AD201" s="373"/>
      <c r="AE201" s="373"/>
      <c r="AF201" s="373"/>
      <c r="AG201" s="373"/>
      <c r="AH201" s="373"/>
      <c r="AI201" s="373"/>
      <c r="AJ201" s="373"/>
      <c r="AK201" s="373"/>
      <c r="AL201" s="373"/>
      <c r="AM201" s="373"/>
      <c r="AN201" s="373"/>
      <c r="AO201" s="373"/>
      <c r="AP201" s="373"/>
      <c r="AQ201" s="373"/>
      <c r="AR201" s="373"/>
      <c r="AS201" s="373"/>
      <c r="AT201" s="373"/>
      <c r="AU201" s="373"/>
      <c r="AV201" s="373"/>
      <c r="AW201" s="373"/>
      <c r="AX201" s="373"/>
      <c r="AY201" s="373"/>
      <c r="AZ201" s="373"/>
      <c r="BA201" s="373"/>
      <c r="BB201" s="373"/>
      <c r="BC201" s="373"/>
      <c r="BD201" s="373"/>
      <c r="BE201" s="373"/>
      <c r="BF201" s="373"/>
      <c r="BG201" s="373"/>
      <c r="BH201" s="373"/>
      <c r="BI201" s="373"/>
      <c r="BJ201" s="373"/>
      <c r="BK201" s="373"/>
      <c r="BL201" s="373"/>
      <c r="BM201" s="373"/>
      <c r="BN201" s="373"/>
      <c r="BO201" s="373"/>
      <c r="BP201" s="373"/>
      <c r="BQ201" s="373"/>
      <c r="BR201" s="373"/>
      <c r="BS201" s="373"/>
      <c r="BT201" s="373"/>
      <c r="BU201" s="373"/>
      <c r="BV201" s="373"/>
      <c r="BW201" s="373"/>
      <c r="BX201" s="373"/>
      <c r="BY201" s="373"/>
      <c r="BZ201" s="373"/>
      <c r="CA201" s="373"/>
      <c r="CB201" s="373"/>
      <c r="CC201" s="373"/>
      <c r="CD201" s="373"/>
      <c r="CE201" s="373"/>
      <c r="CF201" s="373"/>
      <c r="CG201" s="373"/>
      <c r="CH201" s="373"/>
      <c r="CI201" s="373"/>
      <c r="CJ201" s="373"/>
      <c r="CK201" s="373"/>
      <c r="CL201" s="373"/>
      <c r="CM201" s="373"/>
      <c r="CN201" s="373"/>
      <c r="CO201" s="373"/>
      <c r="CP201" s="373"/>
      <c r="CQ201" s="373"/>
      <c r="CR201" s="373"/>
      <c r="CS201" s="373"/>
      <c r="CT201" s="373"/>
      <c r="CU201" s="373"/>
      <c r="CV201" s="373"/>
      <c r="CW201" s="373"/>
      <c r="CX201" s="373"/>
      <c r="CY201" s="373"/>
      <c r="CZ201" s="373"/>
    </row>
    <row r="202" spans="1:104">
      <c r="A202" s="373"/>
      <c r="J202" s="365"/>
    </row>
    <row r="203" spans="1:104">
      <c r="A203" s="373"/>
      <c r="J203" s="365"/>
    </row>
    <row r="204" spans="1:104">
      <c r="A204" s="373"/>
      <c r="J204" s="365"/>
    </row>
    <row r="205" spans="1:104">
      <c r="A205" s="373"/>
      <c r="J205" s="365"/>
    </row>
    <row r="206" spans="1:104">
      <c r="A206" s="373"/>
      <c r="I206" s="175"/>
      <c r="J206" s="365"/>
      <c r="K206" s="175"/>
      <c r="L206" s="175"/>
    </row>
    <row r="207" spans="1:104">
      <c r="A207" s="373"/>
      <c r="J207" s="365"/>
    </row>
    <row r="208" spans="1:104">
      <c r="A208" s="373"/>
      <c r="J208" s="365"/>
    </row>
    <row r="209" spans="1:104">
      <c r="A209" s="373"/>
      <c r="J209" s="365"/>
    </row>
    <row r="210" spans="1:104">
      <c r="A210" s="373"/>
      <c r="J210" s="365"/>
    </row>
    <row r="211" spans="1:104">
      <c r="A211" s="373"/>
      <c r="J211" s="365"/>
    </row>
    <row r="212" spans="1:104">
      <c r="A212" s="373"/>
      <c r="H212" s="373"/>
      <c r="J212" s="365"/>
    </row>
    <row r="213" spans="1:104">
      <c r="A213" s="373"/>
      <c r="B213" s="373"/>
      <c r="C213" s="373"/>
      <c r="E213" s="373"/>
      <c r="F213" s="373"/>
      <c r="G213" s="373"/>
      <c r="J213" s="365"/>
    </row>
    <row r="214" spans="1:104">
      <c r="A214" s="373"/>
      <c r="D214" s="373"/>
      <c r="J214" s="365"/>
    </row>
    <row r="215" spans="1:104">
      <c r="A215" s="373"/>
      <c r="J215" s="365"/>
    </row>
    <row r="216" spans="1:104">
      <c r="A216" s="373"/>
      <c r="J216" s="365"/>
    </row>
    <row r="217" spans="1:104">
      <c r="A217" s="373"/>
      <c r="J217" s="365"/>
      <c r="M217" s="373"/>
    </row>
    <row r="218" spans="1:104">
      <c r="A218" s="373"/>
      <c r="J218" s="365"/>
      <c r="N218" s="222"/>
      <c r="O218" s="222"/>
      <c r="P218" s="222"/>
      <c r="Q218" s="223"/>
      <c r="R218" s="223"/>
      <c r="S218" s="222"/>
      <c r="T218" s="223"/>
      <c r="U218" s="223"/>
      <c r="V218" s="222"/>
      <c r="W218" s="222"/>
      <c r="X218" s="223"/>
      <c r="Y218" s="222"/>
      <c r="Z218" s="222"/>
      <c r="AB218" s="373"/>
      <c r="AC218" s="373"/>
      <c r="AD218" s="373"/>
      <c r="AE218" s="373"/>
      <c r="AF218" s="373"/>
      <c r="AG218" s="373"/>
      <c r="AH218" s="373"/>
      <c r="AI218" s="373"/>
      <c r="AJ218" s="373"/>
      <c r="AK218" s="373"/>
      <c r="AL218" s="373"/>
      <c r="AM218" s="373"/>
      <c r="AN218" s="373"/>
      <c r="AO218" s="373"/>
      <c r="AP218" s="373"/>
      <c r="AQ218" s="373"/>
      <c r="AR218" s="373"/>
      <c r="AS218" s="373"/>
      <c r="AT218" s="373"/>
      <c r="AU218" s="373"/>
      <c r="AV218" s="373"/>
      <c r="AW218" s="373"/>
      <c r="AX218" s="373"/>
      <c r="AY218" s="373"/>
      <c r="AZ218" s="373"/>
      <c r="BA218" s="373"/>
      <c r="BB218" s="373"/>
      <c r="BC218" s="373"/>
      <c r="BD218" s="373"/>
      <c r="BE218" s="373"/>
      <c r="BF218" s="373"/>
      <c r="BG218" s="373"/>
      <c r="BH218" s="373"/>
      <c r="BI218" s="373"/>
      <c r="BJ218" s="373"/>
      <c r="BK218" s="373"/>
      <c r="BL218" s="373"/>
      <c r="BM218" s="373"/>
      <c r="BN218" s="373"/>
      <c r="BO218" s="373"/>
      <c r="BP218" s="373"/>
      <c r="BQ218" s="373"/>
      <c r="BR218" s="373"/>
      <c r="BS218" s="373"/>
      <c r="BT218" s="373"/>
      <c r="BU218" s="373"/>
      <c r="BV218" s="373"/>
      <c r="BW218" s="373"/>
      <c r="BX218" s="373"/>
      <c r="BY218" s="373"/>
      <c r="BZ218" s="373"/>
      <c r="CA218" s="373"/>
      <c r="CB218" s="373"/>
      <c r="CC218" s="373"/>
      <c r="CD218" s="373"/>
      <c r="CE218" s="373"/>
      <c r="CF218" s="373"/>
      <c r="CG218" s="373"/>
      <c r="CH218" s="373"/>
      <c r="CI218" s="373"/>
      <c r="CJ218" s="373"/>
      <c r="CK218" s="373"/>
      <c r="CL218" s="373"/>
      <c r="CM218" s="373"/>
      <c r="CN218" s="373"/>
      <c r="CO218" s="373"/>
      <c r="CP218" s="373"/>
      <c r="CQ218" s="373"/>
      <c r="CR218" s="373"/>
      <c r="CS218" s="373"/>
      <c r="CT218" s="373"/>
      <c r="CU218" s="373"/>
      <c r="CV218" s="373"/>
      <c r="CW218" s="373"/>
      <c r="CX218" s="373"/>
      <c r="CY218" s="373"/>
      <c r="CZ218" s="373"/>
    </row>
    <row r="219" spans="1:104">
      <c r="A219" s="373"/>
      <c r="J219" s="365">
        <f t="shared" ref="J219" si="110">J218+1</f>
        <v>1</v>
      </c>
    </row>
    <row r="220" spans="1:104">
      <c r="A220" s="373"/>
    </row>
    <row r="221" spans="1:104">
      <c r="A221" s="373"/>
    </row>
    <row r="222" spans="1:104">
      <c r="A222" s="373"/>
    </row>
    <row r="223" spans="1:104">
      <c r="A223" s="373"/>
      <c r="I223" s="373"/>
      <c r="J223" s="373"/>
      <c r="K223" s="373"/>
      <c r="L223" s="373"/>
    </row>
    <row r="224" spans="1:104">
      <c r="A224" s="373"/>
    </row>
    <row r="225" spans="1:1">
      <c r="A225" s="373"/>
    </row>
    <row r="226" spans="1:1">
      <c r="A226" s="373"/>
    </row>
    <row r="227" spans="1:1">
      <c r="A227" s="373"/>
    </row>
    <row r="228" spans="1:1">
      <c r="A228" s="373"/>
    </row>
    <row r="229" spans="1:1">
      <c r="A229" s="373"/>
    </row>
    <row r="230" spans="1:1">
      <c r="A230" s="373"/>
    </row>
    <row r="231" spans="1:1">
      <c r="A231" s="373"/>
    </row>
    <row r="232" spans="1:1">
      <c r="A232" s="373"/>
    </row>
    <row r="233" spans="1:1">
      <c r="A233" s="373"/>
    </row>
    <row r="234" spans="1:1">
      <c r="A234" s="373"/>
    </row>
    <row r="235" spans="1:1">
      <c r="A235" s="373"/>
    </row>
    <row r="236" spans="1:1">
      <c r="A236" s="373"/>
    </row>
    <row r="237" spans="1:1">
      <c r="A237" s="373"/>
    </row>
    <row r="238" spans="1:1">
      <c r="A238" s="373"/>
    </row>
    <row r="239" spans="1:1">
      <c r="A239" s="373"/>
    </row>
    <row r="240" spans="1:1">
      <c r="A240" s="373"/>
    </row>
    <row r="241" spans="1:1">
      <c r="A241" s="373"/>
    </row>
    <row r="242" spans="1:1">
      <c r="A242" s="373"/>
    </row>
    <row r="243" spans="1:1">
      <c r="A243" s="373"/>
    </row>
    <row r="244" spans="1:1">
      <c r="A244" s="373"/>
    </row>
    <row r="245" spans="1:1">
      <c r="A245" s="373"/>
    </row>
    <row r="246" spans="1:1">
      <c r="A246" s="373"/>
    </row>
    <row r="247" spans="1:1">
      <c r="A247" s="373"/>
    </row>
    <row r="248" spans="1:1">
      <c r="A248" s="373"/>
    </row>
    <row r="249" spans="1:1">
      <c r="A249" s="373"/>
    </row>
    <row r="250" spans="1:1">
      <c r="A250" s="373"/>
    </row>
    <row r="251" spans="1:1">
      <c r="A251" s="373"/>
    </row>
    <row r="252" spans="1:1">
      <c r="A252" s="373"/>
    </row>
    <row r="253" spans="1:1">
      <c r="A253" s="373"/>
    </row>
    <row r="254" spans="1:1">
      <c r="A254" s="373"/>
    </row>
    <row r="255" spans="1:1">
      <c r="A255" s="373"/>
    </row>
    <row r="256" spans="1:1">
      <c r="A256" s="373"/>
    </row>
    <row r="257" spans="1:1">
      <c r="A257" s="373"/>
    </row>
    <row r="258" spans="1:1">
      <c r="A258" s="373"/>
    </row>
    <row r="259" spans="1:1">
      <c r="A259" s="373"/>
    </row>
    <row r="260" spans="1:1">
      <c r="A260" s="373"/>
    </row>
    <row r="261" spans="1:1">
      <c r="A261" s="373"/>
    </row>
    <row r="262" spans="1:1">
      <c r="A262" s="373"/>
    </row>
    <row r="263" spans="1:1">
      <c r="A263" s="373"/>
    </row>
    <row r="264" spans="1:1">
      <c r="A264" s="373"/>
    </row>
    <row r="265" spans="1:1">
      <c r="A265" s="373"/>
    </row>
    <row r="266" spans="1:1">
      <c r="A266" s="373"/>
    </row>
    <row r="267" spans="1:1">
      <c r="A267" s="373"/>
    </row>
    <row r="268" spans="1:1">
      <c r="A268" s="373"/>
    </row>
    <row r="269" spans="1:1">
      <c r="A269" s="373"/>
    </row>
    <row r="270" spans="1:1">
      <c r="A270" s="373"/>
    </row>
    <row r="271" spans="1:1">
      <c r="A271" s="373"/>
    </row>
    <row r="272" spans="1:1">
      <c r="A272" s="373"/>
    </row>
    <row r="273" spans="1:1">
      <c r="A273" s="373"/>
    </row>
    <row r="274" spans="1:1">
      <c r="A274" s="373"/>
    </row>
    <row r="275" spans="1:1">
      <c r="A275" s="373"/>
    </row>
    <row r="276" spans="1:1">
      <c r="A276" s="373"/>
    </row>
    <row r="277" spans="1:1">
      <c r="A277" s="373"/>
    </row>
    <row r="278" spans="1:1">
      <c r="A278" s="373"/>
    </row>
    <row r="279" spans="1:1">
      <c r="A279" s="373"/>
    </row>
    <row r="280" spans="1:1">
      <c r="A280" s="373"/>
    </row>
    <row r="281" spans="1:1">
      <c r="A281" s="373"/>
    </row>
    <row r="282" spans="1:1">
      <c r="A282" s="373"/>
    </row>
    <row r="283" spans="1:1">
      <c r="A283" s="373"/>
    </row>
    <row r="284" spans="1:1">
      <c r="A284" s="373"/>
    </row>
    <row r="285" spans="1:1">
      <c r="A285" s="373"/>
    </row>
    <row r="286" spans="1:1">
      <c r="A286" s="373"/>
    </row>
    <row r="287" spans="1:1">
      <c r="A287" s="373"/>
    </row>
    <row r="288" spans="1:1">
      <c r="A288" s="373"/>
    </row>
    <row r="289" spans="1:1">
      <c r="A289" s="373"/>
    </row>
    <row r="290" spans="1:1">
      <c r="A290" s="373"/>
    </row>
    <row r="291" spans="1:1">
      <c r="A291" s="373"/>
    </row>
    <row r="292" spans="1:1">
      <c r="A292" s="373"/>
    </row>
    <row r="293" spans="1:1">
      <c r="A293" s="373"/>
    </row>
    <row r="294" spans="1:1">
      <c r="A294" s="373"/>
    </row>
    <row r="295" spans="1:1">
      <c r="A295" s="373"/>
    </row>
    <row r="296" spans="1:1">
      <c r="A296" s="373"/>
    </row>
    <row r="297" spans="1:1">
      <c r="A297" s="373"/>
    </row>
    <row r="298" spans="1:1">
      <c r="A298" s="373"/>
    </row>
    <row r="299" spans="1:1">
      <c r="A299" s="373"/>
    </row>
    <row r="300" spans="1:1">
      <c r="A300" s="373"/>
    </row>
    <row r="301" spans="1:1">
      <c r="A301" s="373"/>
    </row>
    <row r="302" spans="1:1">
      <c r="A302" s="373"/>
    </row>
    <row r="303" spans="1:1">
      <c r="A303" s="373"/>
    </row>
    <row r="304" spans="1:1">
      <c r="A304" s="373"/>
    </row>
    <row r="305" spans="1:1">
      <c r="A305" s="373"/>
    </row>
    <row r="306" spans="1:1">
      <c r="A306" s="373"/>
    </row>
    <row r="307" spans="1:1">
      <c r="A307" s="373"/>
    </row>
    <row r="308" spans="1:1">
      <c r="A308" s="373"/>
    </row>
    <row r="309" spans="1:1">
      <c r="A309" s="373"/>
    </row>
    <row r="310" spans="1:1">
      <c r="A310" s="373"/>
    </row>
    <row r="311" spans="1:1">
      <c r="A311" s="373"/>
    </row>
    <row r="312" spans="1:1">
      <c r="A312" s="373"/>
    </row>
    <row r="313" spans="1:1">
      <c r="A313" s="373"/>
    </row>
    <row r="314" spans="1:1">
      <c r="A314" s="373"/>
    </row>
    <row r="315" spans="1:1">
      <c r="A315" s="373"/>
    </row>
    <row r="316" spans="1:1">
      <c r="A316" s="373"/>
    </row>
    <row r="317" spans="1:1">
      <c r="A317" s="373"/>
    </row>
    <row r="318" spans="1:1">
      <c r="A318" s="373"/>
    </row>
    <row r="319" spans="1:1">
      <c r="A319" s="373"/>
    </row>
    <row r="320" spans="1:1">
      <c r="A320" s="373"/>
    </row>
    <row r="321" spans="1:1">
      <c r="A321" s="373"/>
    </row>
    <row r="322" spans="1:1">
      <c r="A322" s="373"/>
    </row>
    <row r="323" spans="1:1">
      <c r="A323" s="373"/>
    </row>
    <row r="324" spans="1:1">
      <c r="A324" s="373"/>
    </row>
    <row r="325" spans="1:1">
      <c r="A325" s="373"/>
    </row>
    <row r="326" spans="1:1">
      <c r="A326" s="373"/>
    </row>
    <row r="327" spans="1:1">
      <c r="A327" s="373"/>
    </row>
    <row r="328" spans="1:1">
      <c r="A328" s="373"/>
    </row>
    <row r="329" spans="1:1">
      <c r="A329" s="373"/>
    </row>
    <row r="330" spans="1:1">
      <c r="A330" s="373"/>
    </row>
    <row r="331" spans="1:1">
      <c r="A331" s="373"/>
    </row>
    <row r="332" spans="1:1">
      <c r="A332" s="373"/>
    </row>
    <row r="333" spans="1:1">
      <c r="A333" s="373"/>
    </row>
    <row r="334" spans="1:1">
      <c r="A334" s="373"/>
    </row>
    <row r="335" spans="1:1">
      <c r="A335" s="373"/>
    </row>
    <row r="336" spans="1:1">
      <c r="A336" s="373"/>
    </row>
    <row r="337" spans="1:1">
      <c r="A337" s="373"/>
    </row>
    <row r="338" spans="1:1">
      <c r="A338" s="373"/>
    </row>
    <row r="339" spans="1:1">
      <c r="A339" s="373"/>
    </row>
    <row r="340" spans="1:1">
      <c r="A340" s="373"/>
    </row>
    <row r="341" spans="1:1">
      <c r="A341" s="373"/>
    </row>
    <row r="342" spans="1:1">
      <c r="A342" s="373"/>
    </row>
    <row r="343" spans="1:1">
      <c r="A343" s="373"/>
    </row>
    <row r="344" spans="1:1">
      <c r="A344" s="373"/>
    </row>
    <row r="345" spans="1:1">
      <c r="A345" s="373"/>
    </row>
    <row r="346" spans="1:1">
      <c r="A346" s="373"/>
    </row>
    <row r="347" spans="1:1">
      <c r="A347" s="373"/>
    </row>
    <row r="348" spans="1:1">
      <c r="A348" s="373"/>
    </row>
    <row r="349" spans="1:1">
      <c r="A349" s="373"/>
    </row>
    <row r="350" spans="1:1">
      <c r="A350" s="373"/>
    </row>
    <row r="351" spans="1:1">
      <c r="A351" s="373"/>
    </row>
    <row r="352" spans="1:1">
      <c r="A352" s="373"/>
    </row>
    <row r="353" spans="1:1">
      <c r="A353" s="373"/>
    </row>
    <row r="354" spans="1:1">
      <c r="A354" s="373"/>
    </row>
    <row r="355" spans="1:1">
      <c r="A355" s="373"/>
    </row>
    <row r="356" spans="1:1">
      <c r="A356" s="373"/>
    </row>
    <row r="357" spans="1:1">
      <c r="A357" s="373"/>
    </row>
    <row r="358" spans="1:1">
      <c r="A358" s="373"/>
    </row>
    <row r="359" spans="1:1">
      <c r="A359" s="373"/>
    </row>
    <row r="360" spans="1:1">
      <c r="A360" s="373"/>
    </row>
    <row r="361" spans="1:1">
      <c r="A361" s="373"/>
    </row>
    <row r="362" spans="1:1">
      <c r="A362" s="373"/>
    </row>
    <row r="363" spans="1:1">
      <c r="A363" s="373"/>
    </row>
    <row r="364" spans="1:1">
      <c r="A364" s="373"/>
    </row>
    <row r="365" spans="1:1">
      <c r="A365" s="373"/>
    </row>
    <row r="366" spans="1:1">
      <c r="A366" s="373"/>
    </row>
    <row r="367" spans="1:1">
      <c r="A367" s="373"/>
    </row>
    <row r="368" spans="1:1">
      <c r="A368" s="373"/>
    </row>
    <row r="369" spans="1:1">
      <c r="A369" s="373"/>
    </row>
    <row r="370" spans="1:1">
      <c r="A370" s="373"/>
    </row>
    <row r="371" spans="1:1">
      <c r="A371" s="373"/>
    </row>
    <row r="372" spans="1:1">
      <c r="A372" s="373"/>
    </row>
    <row r="373" spans="1:1">
      <c r="A373" s="373"/>
    </row>
    <row r="374" spans="1:1">
      <c r="A374" s="373"/>
    </row>
    <row r="375" spans="1:1">
      <c r="A375" s="373"/>
    </row>
    <row r="376" spans="1:1">
      <c r="A376" s="373"/>
    </row>
    <row r="377" spans="1:1">
      <c r="A377" s="373"/>
    </row>
    <row r="378" spans="1:1">
      <c r="A378" s="373"/>
    </row>
    <row r="379" spans="1:1">
      <c r="A379" s="373"/>
    </row>
    <row r="380" spans="1:1">
      <c r="A380" s="373"/>
    </row>
    <row r="381" spans="1:1">
      <c r="A381" s="373"/>
    </row>
    <row r="382" spans="1:1">
      <c r="A382" s="373"/>
    </row>
    <row r="383" spans="1:1">
      <c r="A383" s="373"/>
    </row>
    <row r="384" spans="1:1">
      <c r="A384" s="373"/>
    </row>
    <row r="385" spans="1:1">
      <c r="A385" s="373"/>
    </row>
    <row r="386" spans="1:1">
      <c r="A386" s="373"/>
    </row>
    <row r="387" spans="1:1">
      <c r="A387" s="373"/>
    </row>
    <row r="388" spans="1:1">
      <c r="A388" s="373"/>
    </row>
    <row r="389" spans="1:1">
      <c r="A389" s="373"/>
    </row>
    <row r="390" spans="1:1">
      <c r="A390" s="373"/>
    </row>
    <row r="391" spans="1:1">
      <c r="A391" s="373"/>
    </row>
    <row r="392" spans="1:1">
      <c r="A392" s="373"/>
    </row>
    <row r="393" spans="1:1">
      <c r="A393" s="373"/>
    </row>
    <row r="394" spans="1:1">
      <c r="A394" s="373"/>
    </row>
    <row r="395" spans="1:1">
      <c r="A395" s="373"/>
    </row>
    <row r="396" spans="1:1">
      <c r="A396" s="373"/>
    </row>
    <row r="397" spans="1:1">
      <c r="A397" s="373"/>
    </row>
    <row r="398" spans="1:1">
      <c r="A398" s="373"/>
    </row>
    <row r="399" spans="1:1">
      <c r="A399" s="373"/>
    </row>
    <row r="400" spans="1:1">
      <c r="A400" s="373"/>
    </row>
    <row r="401" spans="1:1">
      <c r="A401" s="373"/>
    </row>
    <row r="402" spans="1:1">
      <c r="A402" s="373"/>
    </row>
    <row r="403" spans="1:1">
      <c r="A403" s="373"/>
    </row>
    <row r="404" spans="1:1">
      <c r="A404" s="373"/>
    </row>
    <row r="405" spans="1:1">
      <c r="A405" s="373"/>
    </row>
    <row r="406" spans="1:1">
      <c r="A406" s="373"/>
    </row>
    <row r="407" spans="1:1">
      <c r="A407" s="373"/>
    </row>
    <row r="408" spans="1:1">
      <c r="A408" s="373"/>
    </row>
    <row r="409" spans="1:1">
      <c r="A409" s="373"/>
    </row>
    <row r="410" spans="1:1">
      <c r="A410" s="373"/>
    </row>
    <row r="411" spans="1:1">
      <c r="A411" s="373"/>
    </row>
    <row r="412" spans="1:1">
      <c r="A412" s="373"/>
    </row>
    <row r="413" spans="1:1">
      <c r="A413" s="373"/>
    </row>
    <row r="414" spans="1:1">
      <c r="A414" s="373"/>
    </row>
    <row r="415" spans="1:1">
      <c r="A415" s="373"/>
    </row>
    <row r="416" spans="1:1">
      <c r="A416" s="373"/>
    </row>
    <row r="417" spans="1:1">
      <c r="A417" s="373"/>
    </row>
    <row r="418" spans="1:1">
      <c r="A418" s="373"/>
    </row>
    <row r="419" spans="1:1">
      <c r="A419" s="373"/>
    </row>
    <row r="420" spans="1:1">
      <c r="A420" s="373"/>
    </row>
    <row r="421" spans="1:1">
      <c r="A421" s="373"/>
    </row>
    <row r="422" spans="1:1">
      <c r="A422" s="373"/>
    </row>
    <row r="423" spans="1:1">
      <c r="A423" s="373"/>
    </row>
    <row r="424" spans="1:1">
      <c r="A424" s="373"/>
    </row>
    <row r="425" spans="1:1">
      <c r="A425" s="373"/>
    </row>
    <row r="426" spans="1:1">
      <c r="A426" s="373"/>
    </row>
    <row r="427" spans="1:1">
      <c r="A427" s="373"/>
    </row>
    <row r="428" spans="1:1">
      <c r="A428" s="373"/>
    </row>
    <row r="429" spans="1:1">
      <c r="A429" s="373"/>
    </row>
    <row r="430" spans="1:1">
      <c r="A430" s="373"/>
    </row>
    <row r="431" spans="1:1">
      <c r="A431" s="373"/>
    </row>
    <row r="432" spans="1:1">
      <c r="A432" s="373"/>
    </row>
    <row r="433" spans="1:1">
      <c r="A433" s="373"/>
    </row>
    <row r="434" spans="1:1">
      <c r="A434" s="373"/>
    </row>
    <row r="435" spans="1:1">
      <c r="A435" s="373"/>
    </row>
    <row r="436" spans="1:1">
      <c r="A436" s="373"/>
    </row>
    <row r="437" spans="1:1">
      <c r="A437" s="373"/>
    </row>
    <row r="438" spans="1:1">
      <c r="A438" s="373"/>
    </row>
    <row r="439" spans="1:1">
      <c r="A439" s="373"/>
    </row>
    <row r="440" spans="1:1">
      <c r="A440" s="373"/>
    </row>
    <row r="441" spans="1:1">
      <c r="A441" s="373"/>
    </row>
    <row r="442" spans="1:1">
      <c r="A442" s="373"/>
    </row>
    <row r="443" spans="1:1">
      <c r="A443" s="373"/>
    </row>
    <row r="444" spans="1:1">
      <c r="A444" s="373"/>
    </row>
    <row r="445" spans="1:1">
      <c r="A445" s="373"/>
    </row>
    <row r="446" spans="1:1">
      <c r="A446" s="373"/>
    </row>
    <row r="447" spans="1:1">
      <c r="A447" s="373"/>
    </row>
    <row r="448" spans="1:1">
      <c r="A448" s="373"/>
    </row>
    <row r="449" spans="1:1">
      <c r="A449" s="373"/>
    </row>
    <row r="450" spans="1:1">
      <c r="A450" s="373"/>
    </row>
    <row r="451" spans="1:1">
      <c r="A451" s="373"/>
    </row>
    <row r="452" spans="1:1">
      <c r="A452" s="373"/>
    </row>
    <row r="453" spans="1:1">
      <c r="A453" s="373"/>
    </row>
    <row r="454" spans="1:1">
      <c r="A454" s="373"/>
    </row>
    <row r="455" spans="1:1">
      <c r="A455" s="373"/>
    </row>
    <row r="456" spans="1:1">
      <c r="A456" s="373"/>
    </row>
    <row r="457" spans="1:1">
      <c r="A457" s="373"/>
    </row>
    <row r="458" spans="1:1">
      <c r="A458" s="373"/>
    </row>
    <row r="459" spans="1:1">
      <c r="A459" s="373"/>
    </row>
    <row r="460" spans="1:1">
      <c r="A460" s="373"/>
    </row>
    <row r="461" spans="1:1">
      <c r="A461" s="373"/>
    </row>
    <row r="462" spans="1:1">
      <c r="A462" s="373"/>
    </row>
    <row r="463" spans="1:1">
      <c r="A463" s="373"/>
    </row>
    <row r="464" spans="1:1">
      <c r="A464" s="373"/>
    </row>
    <row r="465" spans="1:1">
      <c r="A465" s="373"/>
    </row>
    <row r="466" spans="1:1">
      <c r="A466" s="373"/>
    </row>
    <row r="467" spans="1:1">
      <c r="A467" s="373"/>
    </row>
    <row r="468" spans="1:1">
      <c r="A468" s="373"/>
    </row>
    <row r="469" spans="1:1">
      <c r="A469" s="373"/>
    </row>
    <row r="470" spans="1:1">
      <c r="A470" s="373"/>
    </row>
    <row r="471" spans="1:1">
      <c r="A471" s="373"/>
    </row>
    <row r="472" spans="1:1">
      <c r="A472" s="373"/>
    </row>
    <row r="473" spans="1:1">
      <c r="A473" s="373"/>
    </row>
    <row r="474" spans="1:1">
      <c r="A474" s="373"/>
    </row>
    <row r="475" spans="1:1">
      <c r="A475" s="373"/>
    </row>
    <row r="476" spans="1:1">
      <c r="A476" s="373"/>
    </row>
    <row r="477" spans="1:1">
      <c r="A477" s="373"/>
    </row>
    <row r="478" spans="1:1">
      <c r="A478" s="373"/>
    </row>
    <row r="479" spans="1:1">
      <c r="A479" s="373"/>
    </row>
    <row r="480" spans="1:1">
      <c r="A480" s="373"/>
    </row>
    <row r="481" spans="1:1">
      <c r="A481" s="373"/>
    </row>
    <row r="482" spans="1:1">
      <c r="A482" s="373"/>
    </row>
    <row r="483" spans="1:1">
      <c r="A483" s="373"/>
    </row>
    <row r="484" spans="1:1">
      <c r="A484" s="373"/>
    </row>
    <row r="485" spans="1:1">
      <c r="A485" s="373"/>
    </row>
    <row r="486" spans="1:1">
      <c r="A486" s="373"/>
    </row>
    <row r="487" spans="1:1">
      <c r="A487" s="373"/>
    </row>
    <row r="488" spans="1:1">
      <c r="A488" s="373"/>
    </row>
    <row r="489" spans="1:1">
      <c r="A489" s="373"/>
    </row>
    <row r="490" spans="1:1">
      <c r="A490" s="373"/>
    </row>
    <row r="491" spans="1:1">
      <c r="A491" s="373"/>
    </row>
    <row r="492" spans="1:1">
      <c r="A492" s="373"/>
    </row>
    <row r="493" spans="1:1">
      <c r="A493" s="373"/>
    </row>
    <row r="494" spans="1:1">
      <c r="A494" s="373"/>
    </row>
    <row r="495" spans="1:1">
      <c r="A495" s="373"/>
    </row>
    <row r="496" spans="1:1">
      <c r="A496" s="373"/>
    </row>
    <row r="497" spans="1:1">
      <c r="A497" s="373"/>
    </row>
    <row r="498" spans="1:1">
      <c r="A498" s="373"/>
    </row>
    <row r="499" spans="1:1">
      <c r="A499" s="373"/>
    </row>
    <row r="500" spans="1:1">
      <c r="A500" s="373"/>
    </row>
    <row r="501" spans="1:1">
      <c r="A501" s="373"/>
    </row>
    <row r="502" spans="1:1">
      <c r="A502" s="373"/>
    </row>
    <row r="503" spans="1:1">
      <c r="A503" s="373"/>
    </row>
    <row r="504" spans="1:1">
      <c r="A504" s="373"/>
    </row>
    <row r="505" spans="1:1">
      <c r="A505" s="373"/>
    </row>
    <row r="506" spans="1:1">
      <c r="A506" s="373"/>
    </row>
    <row r="507" spans="1:1">
      <c r="A507" s="373"/>
    </row>
    <row r="508" spans="1:1">
      <c r="A508" s="373"/>
    </row>
    <row r="509" spans="1:1">
      <c r="A509" s="373"/>
    </row>
    <row r="510" spans="1:1">
      <c r="A510" s="373"/>
    </row>
    <row r="511" spans="1:1">
      <c r="A511" s="373"/>
    </row>
    <row r="512" spans="1:1">
      <c r="A512" s="373"/>
    </row>
    <row r="513" spans="1:1">
      <c r="A513" s="373"/>
    </row>
    <row r="514" spans="1:1">
      <c r="A514" s="373"/>
    </row>
    <row r="515" spans="1:1">
      <c r="A515" s="373"/>
    </row>
    <row r="516" spans="1:1">
      <c r="A516" s="373"/>
    </row>
    <row r="517" spans="1:1">
      <c r="A517" s="373"/>
    </row>
    <row r="518" spans="1:1">
      <c r="A518" s="373"/>
    </row>
    <row r="519" spans="1:1">
      <c r="A519" s="373"/>
    </row>
    <row r="520" spans="1:1">
      <c r="A520" s="373"/>
    </row>
    <row r="521" spans="1:1">
      <c r="A521" s="373"/>
    </row>
    <row r="522" spans="1:1">
      <c r="A522" s="373"/>
    </row>
    <row r="523" spans="1:1">
      <c r="A523" s="373"/>
    </row>
    <row r="524" spans="1:1">
      <c r="A524" s="373"/>
    </row>
    <row r="525" spans="1:1">
      <c r="A525" s="373"/>
    </row>
    <row r="526" spans="1:1">
      <c r="A526" s="373"/>
    </row>
    <row r="527" spans="1:1">
      <c r="A527" s="373"/>
    </row>
    <row r="528" spans="1:1">
      <c r="A528" s="373"/>
    </row>
    <row r="529" spans="1:1">
      <c r="A529" s="373"/>
    </row>
    <row r="530" spans="1:1">
      <c r="A530" s="373"/>
    </row>
    <row r="531" spans="1:1">
      <c r="A531" s="373"/>
    </row>
    <row r="532" spans="1:1">
      <c r="A532" s="373"/>
    </row>
    <row r="533" spans="1:1">
      <c r="A533" s="373"/>
    </row>
    <row r="534" spans="1:1">
      <c r="A534" s="373"/>
    </row>
    <row r="535" spans="1:1">
      <c r="A535" s="373"/>
    </row>
    <row r="536" spans="1:1">
      <c r="A536" s="373"/>
    </row>
    <row r="537" spans="1:1">
      <c r="A537" s="373"/>
    </row>
    <row r="538" spans="1:1">
      <c r="A538" s="373"/>
    </row>
    <row r="539" spans="1:1">
      <c r="A539" s="373"/>
    </row>
    <row r="540" spans="1:1">
      <c r="A540" s="373"/>
    </row>
    <row r="541" spans="1:1">
      <c r="A541" s="373"/>
    </row>
    <row r="542" spans="1:1">
      <c r="A542" s="373"/>
    </row>
    <row r="543" spans="1:1">
      <c r="A543" s="373"/>
    </row>
    <row r="544" spans="1:1">
      <c r="A544" s="373"/>
    </row>
    <row r="545" spans="1:1">
      <c r="A545" s="373"/>
    </row>
    <row r="546" spans="1:1">
      <c r="A546" s="373"/>
    </row>
    <row r="547" spans="1:1">
      <c r="A547" s="373"/>
    </row>
    <row r="548" spans="1:1">
      <c r="A548" s="373"/>
    </row>
    <row r="549" spans="1:1">
      <c r="A549" s="373"/>
    </row>
    <row r="550" spans="1:1">
      <c r="A550" s="373"/>
    </row>
    <row r="551" spans="1:1">
      <c r="A551" s="373"/>
    </row>
    <row r="552" spans="1:1">
      <c r="A552" s="373"/>
    </row>
    <row r="553" spans="1:1">
      <c r="A553" s="373"/>
    </row>
    <row r="554" spans="1:1">
      <c r="A554" s="373"/>
    </row>
    <row r="555" spans="1:1">
      <c r="A555" s="373"/>
    </row>
    <row r="556" spans="1:1">
      <c r="A556" s="373"/>
    </row>
    <row r="557" spans="1:1">
      <c r="A557" s="373"/>
    </row>
    <row r="558" spans="1:1">
      <c r="A558" s="373"/>
    </row>
    <row r="559" spans="1:1">
      <c r="A559" s="373"/>
    </row>
    <row r="560" spans="1:1">
      <c r="A560" s="373"/>
    </row>
    <row r="561" spans="1:1">
      <c r="A561" s="373"/>
    </row>
    <row r="562" spans="1:1">
      <c r="A562" s="373"/>
    </row>
    <row r="563" spans="1:1">
      <c r="A563" s="373"/>
    </row>
    <row r="564" spans="1:1">
      <c r="A564" s="373"/>
    </row>
    <row r="565" spans="1:1">
      <c r="A565" s="373"/>
    </row>
    <row r="566" spans="1:1">
      <c r="A566" s="373"/>
    </row>
    <row r="567" spans="1:1">
      <c r="A567" s="373"/>
    </row>
    <row r="568" spans="1:1">
      <c r="A568" s="373"/>
    </row>
    <row r="569" spans="1:1">
      <c r="A569" s="373"/>
    </row>
    <row r="570" spans="1:1">
      <c r="A570" s="373"/>
    </row>
    <row r="571" spans="1:1">
      <c r="A571" s="373"/>
    </row>
    <row r="572" spans="1:1">
      <c r="A572" s="373"/>
    </row>
    <row r="573" spans="1:1">
      <c r="A573" s="373"/>
    </row>
    <row r="574" spans="1:1">
      <c r="A574" s="373"/>
    </row>
    <row r="575" spans="1:1">
      <c r="A575" s="373"/>
    </row>
    <row r="576" spans="1:1">
      <c r="A576" s="373"/>
    </row>
    <row r="577" spans="1:1">
      <c r="A577" s="373"/>
    </row>
    <row r="578" spans="1:1">
      <c r="A578" s="373"/>
    </row>
    <row r="579" spans="1:1">
      <c r="A579" s="373"/>
    </row>
    <row r="580" spans="1:1">
      <c r="A580" s="373"/>
    </row>
    <row r="581" spans="1:1">
      <c r="A581" s="373"/>
    </row>
    <row r="582" spans="1:1">
      <c r="A582" s="373"/>
    </row>
    <row r="583" spans="1:1">
      <c r="A583" s="373"/>
    </row>
    <row r="584" spans="1:1">
      <c r="A584" s="373"/>
    </row>
    <row r="585" spans="1:1">
      <c r="A585" s="373"/>
    </row>
    <row r="586" spans="1:1">
      <c r="A586" s="373"/>
    </row>
    <row r="587" spans="1:1">
      <c r="A587" s="373"/>
    </row>
    <row r="588" spans="1:1">
      <c r="A588" s="373"/>
    </row>
    <row r="589" spans="1:1">
      <c r="A589" s="373"/>
    </row>
    <row r="590" spans="1:1">
      <c r="A590" s="373"/>
    </row>
    <row r="591" spans="1:1">
      <c r="A591" s="373"/>
    </row>
    <row r="592" spans="1:1">
      <c r="A592" s="373"/>
    </row>
    <row r="593" spans="1:1">
      <c r="A593" s="373"/>
    </row>
    <row r="594" spans="1:1">
      <c r="A594" s="373"/>
    </row>
    <row r="595" spans="1:1">
      <c r="A595" s="373"/>
    </row>
    <row r="596" spans="1:1">
      <c r="A596" s="373"/>
    </row>
    <row r="597" spans="1:1">
      <c r="A597" s="373"/>
    </row>
    <row r="598" spans="1:1">
      <c r="A598" s="373"/>
    </row>
    <row r="599" spans="1:1">
      <c r="A599" s="373"/>
    </row>
    <row r="600" spans="1:1">
      <c r="A600" s="373"/>
    </row>
    <row r="601" spans="1:1">
      <c r="A601" s="373"/>
    </row>
    <row r="602" spans="1:1">
      <c r="A602" s="373"/>
    </row>
    <row r="603" spans="1:1">
      <c r="A603" s="373"/>
    </row>
    <row r="604" spans="1:1">
      <c r="A604" s="373"/>
    </row>
    <row r="605" spans="1:1">
      <c r="A605" s="373"/>
    </row>
    <row r="606" spans="1:1">
      <c r="A606" s="373"/>
    </row>
    <row r="607" spans="1:1">
      <c r="A607" s="373"/>
    </row>
    <row r="608" spans="1:1">
      <c r="A608" s="373"/>
    </row>
    <row r="609" spans="1:1">
      <c r="A609" s="373"/>
    </row>
    <row r="610" spans="1:1">
      <c r="A610" s="373"/>
    </row>
    <row r="611" spans="1:1">
      <c r="A611" s="373"/>
    </row>
    <row r="612" spans="1:1">
      <c r="A612" s="373"/>
    </row>
    <row r="613" spans="1:1">
      <c r="A613" s="373"/>
    </row>
    <row r="614" spans="1:1">
      <c r="A614" s="373"/>
    </row>
    <row r="615" spans="1:1">
      <c r="A615" s="373"/>
    </row>
    <row r="616" spans="1:1">
      <c r="A616" s="373"/>
    </row>
    <row r="617" spans="1:1">
      <c r="A617" s="373"/>
    </row>
    <row r="618" spans="1:1">
      <c r="A618" s="373"/>
    </row>
    <row r="619" spans="1:1">
      <c r="A619" s="373"/>
    </row>
    <row r="620" spans="1:1">
      <c r="A620" s="373"/>
    </row>
    <row r="621" spans="1:1">
      <c r="A621" s="373"/>
    </row>
    <row r="622" spans="1:1">
      <c r="A622" s="373"/>
    </row>
    <row r="623" spans="1:1">
      <c r="A623" s="373"/>
    </row>
    <row r="624" spans="1:1">
      <c r="A624" s="373"/>
    </row>
    <row r="625" spans="1:1">
      <c r="A625" s="373"/>
    </row>
    <row r="626" spans="1:1">
      <c r="A626" s="373"/>
    </row>
    <row r="627" spans="1:1">
      <c r="A627" s="373"/>
    </row>
    <row r="628" spans="1:1">
      <c r="A628" s="373"/>
    </row>
    <row r="629" spans="1:1">
      <c r="A629" s="373"/>
    </row>
    <row r="630" spans="1:1">
      <c r="A630" s="373"/>
    </row>
    <row r="631" spans="1:1">
      <c r="A631" s="373"/>
    </row>
    <row r="632" spans="1:1">
      <c r="A632" s="373"/>
    </row>
    <row r="633" spans="1:1">
      <c r="A633" s="373"/>
    </row>
    <row r="634" spans="1:1">
      <c r="A634" s="373"/>
    </row>
    <row r="635" spans="1:1">
      <c r="A635" s="373"/>
    </row>
    <row r="636" spans="1:1">
      <c r="A636" s="373"/>
    </row>
    <row r="637" spans="1:1">
      <c r="A637" s="373"/>
    </row>
    <row r="638" spans="1:1">
      <c r="A638" s="373"/>
    </row>
    <row r="639" spans="1:1">
      <c r="A639" s="373"/>
    </row>
    <row r="640" spans="1:1">
      <c r="A640" s="373"/>
    </row>
    <row r="641" spans="1:1">
      <c r="A641" s="373"/>
    </row>
    <row r="642" spans="1:1">
      <c r="A642" s="373"/>
    </row>
    <row r="643" spans="1:1">
      <c r="A643" s="373"/>
    </row>
    <row r="644" spans="1:1">
      <c r="A644" s="373"/>
    </row>
    <row r="645" spans="1:1">
      <c r="A645" s="373"/>
    </row>
    <row r="646" spans="1:1">
      <c r="A646" s="373"/>
    </row>
    <row r="647" spans="1:1">
      <c r="A647" s="373"/>
    </row>
    <row r="648" spans="1:1">
      <c r="A648" s="373"/>
    </row>
    <row r="649" spans="1:1">
      <c r="A649" s="373"/>
    </row>
    <row r="650" spans="1:1">
      <c r="A650" s="373"/>
    </row>
    <row r="651" spans="1:1">
      <c r="A651" s="373"/>
    </row>
    <row r="652" spans="1:1">
      <c r="A652" s="373"/>
    </row>
    <row r="653" spans="1:1">
      <c r="A653" s="373"/>
    </row>
    <row r="654" spans="1:1">
      <c r="A654" s="373"/>
    </row>
    <row r="655" spans="1:1">
      <c r="A655" s="373"/>
    </row>
    <row r="656" spans="1:1">
      <c r="A656" s="373"/>
    </row>
    <row r="657" spans="1:1">
      <c r="A657" s="373"/>
    </row>
    <row r="658" spans="1:1">
      <c r="A658" s="373"/>
    </row>
    <row r="659" spans="1:1">
      <c r="A659" s="373"/>
    </row>
    <row r="660" spans="1:1">
      <c r="A660" s="373"/>
    </row>
    <row r="661" spans="1:1">
      <c r="A661" s="373"/>
    </row>
    <row r="662" spans="1:1">
      <c r="A662" s="373"/>
    </row>
    <row r="663" spans="1:1">
      <c r="A663" s="373"/>
    </row>
    <row r="664" spans="1:1">
      <c r="A664" s="373"/>
    </row>
    <row r="665" spans="1:1">
      <c r="A665" s="373"/>
    </row>
    <row r="666" spans="1:1">
      <c r="A666" s="373"/>
    </row>
    <row r="667" spans="1:1">
      <c r="A667" s="373"/>
    </row>
    <row r="668" spans="1:1">
      <c r="A668" s="373"/>
    </row>
    <row r="669" spans="1:1">
      <c r="A669" s="373"/>
    </row>
    <row r="670" spans="1:1">
      <c r="A670" s="373"/>
    </row>
    <row r="671" spans="1:1">
      <c r="A671" s="373"/>
    </row>
    <row r="672" spans="1:1">
      <c r="A672" s="373"/>
    </row>
    <row r="673" spans="1:1">
      <c r="A673" s="373"/>
    </row>
    <row r="674" spans="1:1">
      <c r="A674" s="373"/>
    </row>
    <row r="675" spans="1:1">
      <c r="A675" s="373"/>
    </row>
    <row r="676" spans="1:1">
      <c r="A676" s="373"/>
    </row>
    <row r="677" spans="1:1">
      <c r="A677" s="373"/>
    </row>
    <row r="678" spans="1:1">
      <c r="A678" s="373"/>
    </row>
    <row r="679" spans="1:1">
      <c r="A679" s="373"/>
    </row>
    <row r="680" spans="1:1">
      <c r="A680" s="373"/>
    </row>
    <row r="681" spans="1:1">
      <c r="A681" s="373"/>
    </row>
    <row r="682" spans="1:1">
      <c r="A682" s="373"/>
    </row>
    <row r="683" spans="1:1">
      <c r="A683" s="373"/>
    </row>
    <row r="684" spans="1:1">
      <c r="A684" s="373"/>
    </row>
    <row r="685" spans="1:1">
      <c r="A685" s="373"/>
    </row>
    <row r="686" spans="1:1">
      <c r="A686" s="373"/>
    </row>
    <row r="687" spans="1:1">
      <c r="A687" s="373"/>
    </row>
    <row r="688" spans="1:1">
      <c r="A688" s="373"/>
    </row>
    <row r="689" spans="1:1">
      <c r="A689" s="373"/>
    </row>
    <row r="690" spans="1:1">
      <c r="A690" s="373"/>
    </row>
    <row r="691" spans="1:1">
      <c r="A691" s="373"/>
    </row>
    <row r="692" spans="1:1">
      <c r="A692" s="373"/>
    </row>
    <row r="693" spans="1:1">
      <c r="A693" s="373"/>
    </row>
    <row r="694" spans="1:1">
      <c r="A694" s="373"/>
    </row>
    <row r="695" spans="1:1">
      <c r="A695" s="373"/>
    </row>
    <row r="696" spans="1:1">
      <c r="A696" s="373"/>
    </row>
    <row r="697" spans="1:1">
      <c r="A697" s="373"/>
    </row>
    <row r="698" spans="1:1">
      <c r="A698" s="373"/>
    </row>
    <row r="699" spans="1:1">
      <c r="A699" s="373"/>
    </row>
    <row r="700" spans="1:1">
      <c r="A700" s="373"/>
    </row>
    <row r="701" spans="1:1">
      <c r="A701" s="373"/>
    </row>
    <row r="702" spans="1:1">
      <c r="A702" s="373"/>
    </row>
    <row r="703" spans="1:1">
      <c r="A703" s="373"/>
    </row>
    <row r="704" spans="1:1">
      <c r="A704" s="373"/>
    </row>
    <row r="705" spans="1:1">
      <c r="A705" s="373"/>
    </row>
    <row r="706" spans="1:1">
      <c r="A706" s="373"/>
    </row>
    <row r="707" spans="1:1">
      <c r="A707" s="373"/>
    </row>
    <row r="708" spans="1:1">
      <c r="A708" s="373"/>
    </row>
    <row r="709" spans="1:1">
      <c r="A709" s="373"/>
    </row>
    <row r="710" spans="1:1">
      <c r="A710" s="373"/>
    </row>
    <row r="711" spans="1:1">
      <c r="A711" s="373"/>
    </row>
    <row r="712" spans="1:1">
      <c r="A712" s="373"/>
    </row>
    <row r="713" spans="1:1">
      <c r="A713" s="373"/>
    </row>
    <row r="714" spans="1:1">
      <c r="A714" s="373"/>
    </row>
    <row r="715" spans="1:1">
      <c r="A715" s="373"/>
    </row>
    <row r="716" spans="1:1">
      <c r="A716" s="373"/>
    </row>
    <row r="717" spans="1:1">
      <c r="A717" s="373"/>
    </row>
    <row r="718" spans="1:1">
      <c r="A718" s="373"/>
    </row>
    <row r="719" spans="1:1">
      <c r="A719" s="373"/>
    </row>
    <row r="720" spans="1:1">
      <c r="A720" s="373"/>
    </row>
    <row r="721" spans="1:1">
      <c r="A721" s="373"/>
    </row>
    <row r="722" spans="1:1">
      <c r="A722" s="373"/>
    </row>
    <row r="723" spans="1:1">
      <c r="A723" s="373"/>
    </row>
    <row r="724" spans="1:1">
      <c r="A724" s="373"/>
    </row>
    <row r="725" spans="1:1">
      <c r="A725" s="373"/>
    </row>
    <row r="726" spans="1:1">
      <c r="A726" s="373"/>
    </row>
    <row r="727" spans="1:1">
      <c r="A727" s="373"/>
    </row>
    <row r="728" spans="1:1">
      <c r="A728" s="373"/>
    </row>
    <row r="729" spans="1:1">
      <c r="A729" s="373"/>
    </row>
    <row r="730" spans="1:1">
      <c r="A730" s="373"/>
    </row>
    <row r="731" spans="1:1">
      <c r="A731" s="373"/>
    </row>
    <row r="732" spans="1:1">
      <c r="A732" s="373"/>
    </row>
    <row r="733" spans="1:1">
      <c r="A733" s="373"/>
    </row>
    <row r="734" spans="1:1">
      <c r="A734" s="373"/>
    </row>
    <row r="735" spans="1:1">
      <c r="A735" s="373"/>
    </row>
    <row r="736" spans="1:1">
      <c r="A736" s="373"/>
    </row>
    <row r="737" spans="1:1">
      <c r="A737" s="373"/>
    </row>
    <row r="738" spans="1:1">
      <c r="A738" s="373"/>
    </row>
    <row r="739" spans="1:1">
      <c r="A739" s="373"/>
    </row>
    <row r="740" spans="1:1">
      <c r="A740" s="373"/>
    </row>
    <row r="741" spans="1:1">
      <c r="A741" s="373"/>
    </row>
    <row r="742" spans="1:1">
      <c r="A742" s="373"/>
    </row>
    <row r="743" spans="1:1">
      <c r="A743" s="373"/>
    </row>
    <row r="744" spans="1:1">
      <c r="A744" s="373"/>
    </row>
    <row r="745" spans="1:1">
      <c r="A745" s="373"/>
    </row>
    <row r="746" spans="1:1">
      <c r="A746" s="373"/>
    </row>
    <row r="747" spans="1:1">
      <c r="A747" s="373"/>
    </row>
    <row r="748" spans="1:1">
      <c r="A748" s="373"/>
    </row>
    <row r="749" spans="1:1">
      <c r="A749" s="373"/>
    </row>
    <row r="750" spans="1:1">
      <c r="A750" s="373"/>
    </row>
    <row r="751" spans="1:1">
      <c r="A751" s="373"/>
    </row>
    <row r="752" spans="1:1">
      <c r="A752" s="373"/>
    </row>
    <row r="753" spans="1:1">
      <c r="A753" s="373"/>
    </row>
    <row r="754" spans="1:1">
      <c r="A754" s="373"/>
    </row>
    <row r="755" spans="1:1">
      <c r="A755" s="373"/>
    </row>
    <row r="756" spans="1:1">
      <c r="A756" s="373"/>
    </row>
    <row r="757" spans="1:1">
      <c r="A757" s="373"/>
    </row>
    <row r="758" spans="1:1">
      <c r="A758" s="373"/>
    </row>
    <row r="759" spans="1:1">
      <c r="A759" s="373"/>
    </row>
    <row r="760" spans="1:1">
      <c r="A760" s="373"/>
    </row>
    <row r="761" spans="1:1">
      <c r="A761" s="373"/>
    </row>
    <row r="762" spans="1:1">
      <c r="A762" s="373"/>
    </row>
    <row r="763" spans="1:1">
      <c r="A763" s="373"/>
    </row>
    <row r="764" spans="1:1">
      <c r="A764" s="373"/>
    </row>
    <row r="765" spans="1:1">
      <c r="A765" s="373"/>
    </row>
    <row r="766" spans="1:1">
      <c r="A766" s="373"/>
    </row>
    <row r="767" spans="1:1">
      <c r="A767" s="373"/>
    </row>
    <row r="768" spans="1:1">
      <c r="A768" s="373"/>
    </row>
    <row r="769" spans="1:1">
      <c r="A769" s="373"/>
    </row>
    <row r="770" spans="1:1">
      <c r="A770" s="373"/>
    </row>
    <row r="771" spans="1:1">
      <c r="A771" s="373"/>
    </row>
    <row r="772" spans="1:1">
      <c r="A772" s="373"/>
    </row>
    <row r="773" spans="1:1">
      <c r="A773" s="373"/>
    </row>
    <row r="774" spans="1:1">
      <c r="A774" s="373"/>
    </row>
    <row r="775" spans="1:1">
      <c r="A775" s="373"/>
    </row>
    <row r="776" spans="1:1">
      <c r="A776" s="373"/>
    </row>
    <row r="777" spans="1:1">
      <c r="A777" s="373"/>
    </row>
    <row r="778" spans="1:1">
      <c r="A778" s="373"/>
    </row>
    <row r="779" spans="1:1">
      <c r="A779" s="373"/>
    </row>
    <row r="780" spans="1:1">
      <c r="A780" s="373"/>
    </row>
    <row r="781" spans="1:1">
      <c r="A781" s="373"/>
    </row>
    <row r="782" spans="1:1">
      <c r="A782" s="373"/>
    </row>
    <row r="783" spans="1:1">
      <c r="A783" s="373"/>
    </row>
    <row r="784" spans="1:1">
      <c r="A784" s="373"/>
    </row>
    <row r="785" spans="1:1">
      <c r="A785" s="373"/>
    </row>
    <row r="786" spans="1:1">
      <c r="A786" s="373"/>
    </row>
    <row r="787" spans="1:1">
      <c r="A787" s="373"/>
    </row>
    <row r="788" spans="1:1">
      <c r="A788" s="373"/>
    </row>
    <row r="789" spans="1:1">
      <c r="A789" s="373"/>
    </row>
    <row r="790" spans="1:1">
      <c r="A790" s="373"/>
    </row>
    <row r="791" spans="1:1">
      <c r="A791" s="373"/>
    </row>
    <row r="792" spans="1:1">
      <c r="A792" s="373"/>
    </row>
    <row r="793" spans="1:1">
      <c r="A793" s="373"/>
    </row>
    <row r="794" spans="1:1">
      <c r="A794" s="373"/>
    </row>
    <row r="795" spans="1:1">
      <c r="A795" s="373"/>
    </row>
    <row r="796" spans="1:1">
      <c r="A796" s="373"/>
    </row>
    <row r="797" spans="1:1">
      <c r="A797" s="373"/>
    </row>
    <row r="798" spans="1:1">
      <c r="A798" s="373"/>
    </row>
    <row r="799" spans="1:1">
      <c r="A799" s="373"/>
    </row>
    <row r="800" spans="1:1">
      <c r="A800" s="373"/>
    </row>
    <row r="801" spans="1:1">
      <c r="A801" s="373"/>
    </row>
    <row r="802" spans="1:1">
      <c r="A802" s="373"/>
    </row>
    <row r="803" spans="1:1">
      <c r="A803" s="373"/>
    </row>
    <row r="804" spans="1:1">
      <c r="A804" s="373"/>
    </row>
    <row r="805" spans="1:1">
      <c r="A805" s="373"/>
    </row>
    <row r="806" spans="1:1">
      <c r="A806" s="373"/>
    </row>
    <row r="807" spans="1:1">
      <c r="A807" s="373"/>
    </row>
    <row r="808" spans="1:1">
      <c r="A808" s="373"/>
    </row>
    <row r="809" spans="1:1">
      <c r="A809" s="373"/>
    </row>
    <row r="810" spans="1:1">
      <c r="A810" s="373"/>
    </row>
    <row r="811" spans="1:1">
      <c r="A811" s="373"/>
    </row>
    <row r="812" spans="1:1">
      <c r="A812" s="373"/>
    </row>
    <row r="813" spans="1:1">
      <c r="A813" s="373"/>
    </row>
    <row r="814" spans="1:1">
      <c r="A814" s="373"/>
    </row>
    <row r="815" spans="1:1">
      <c r="A815" s="373"/>
    </row>
    <row r="816" spans="1:1">
      <c r="A816" s="373"/>
    </row>
    <row r="817" spans="1:1">
      <c r="A817" s="373"/>
    </row>
    <row r="818" spans="1:1">
      <c r="A818" s="373"/>
    </row>
    <row r="819" spans="1:1">
      <c r="A819" s="373"/>
    </row>
    <row r="820" spans="1:1">
      <c r="A820" s="373"/>
    </row>
    <row r="821" spans="1:1">
      <c r="A821" s="373"/>
    </row>
    <row r="822" spans="1:1">
      <c r="A822" s="373"/>
    </row>
    <row r="823" spans="1:1">
      <c r="A823" s="373"/>
    </row>
    <row r="824" spans="1:1">
      <c r="A824" s="373"/>
    </row>
    <row r="825" spans="1:1">
      <c r="A825" s="373"/>
    </row>
    <row r="826" spans="1:1">
      <c r="A826" s="373"/>
    </row>
    <row r="827" spans="1:1">
      <c r="A827" s="373"/>
    </row>
    <row r="828" spans="1:1">
      <c r="A828" s="373"/>
    </row>
    <row r="829" spans="1:1">
      <c r="A829" s="373"/>
    </row>
    <row r="830" spans="1:1">
      <c r="A830" s="373"/>
    </row>
    <row r="831" spans="1:1">
      <c r="A831" s="373"/>
    </row>
    <row r="832" spans="1:1">
      <c r="A832" s="373"/>
    </row>
    <row r="833" spans="1:1">
      <c r="A833" s="373"/>
    </row>
    <row r="834" spans="1:1">
      <c r="A834" s="373"/>
    </row>
    <row r="835" spans="1:1">
      <c r="A835" s="373"/>
    </row>
    <row r="836" spans="1:1">
      <c r="A836" s="373"/>
    </row>
    <row r="837" spans="1:1">
      <c r="A837" s="373"/>
    </row>
    <row r="838" spans="1:1">
      <c r="A838" s="373"/>
    </row>
    <row r="839" spans="1:1">
      <c r="A839" s="373"/>
    </row>
    <row r="840" spans="1:1">
      <c r="A840" s="373"/>
    </row>
    <row r="841" spans="1:1">
      <c r="A841" s="373"/>
    </row>
    <row r="842" spans="1:1">
      <c r="A842" s="373"/>
    </row>
    <row r="843" spans="1:1">
      <c r="A843" s="373"/>
    </row>
    <row r="844" spans="1:1">
      <c r="A844" s="373"/>
    </row>
    <row r="845" spans="1:1">
      <c r="A845" s="373"/>
    </row>
    <row r="846" spans="1:1">
      <c r="A846" s="373"/>
    </row>
    <row r="847" spans="1:1">
      <c r="A847" s="373"/>
    </row>
    <row r="848" spans="1:1">
      <c r="A848" s="373"/>
    </row>
    <row r="849" spans="1:1">
      <c r="A849" s="373"/>
    </row>
    <row r="850" spans="1:1">
      <c r="A850" s="373"/>
    </row>
    <row r="851" spans="1:1">
      <c r="A851" s="373"/>
    </row>
    <row r="852" spans="1:1">
      <c r="A852" s="373"/>
    </row>
    <row r="853" spans="1:1">
      <c r="A853" s="373"/>
    </row>
    <row r="854" spans="1:1">
      <c r="A854" s="373"/>
    </row>
    <row r="855" spans="1:1">
      <c r="A855" s="373"/>
    </row>
    <row r="856" spans="1:1">
      <c r="A856" s="373"/>
    </row>
    <row r="857" spans="1:1">
      <c r="A857" s="373"/>
    </row>
    <row r="858" spans="1:1">
      <c r="A858" s="373"/>
    </row>
    <row r="859" spans="1:1">
      <c r="A859" s="373"/>
    </row>
    <row r="860" spans="1:1">
      <c r="A860" s="373"/>
    </row>
    <row r="861" spans="1:1">
      <c r="A861" s="373"/>
    </row>
    <row r="862" spans="1:1">
      <c r="A862" s="373"/>
    </row>
    <row r="863" spans="1:1">
      <c r="A863" s="373"/>
    </row>
    <row r="864" spans="1:1">
      <c r="A864" s="373"/>
    </row>
    <row r="865" spans="1:1">
      <c r="A865" s="373"/>
    </row>
    <row r="866" spans="1:1">
      <c r="A866" s="373"/>
    </row>
    <row r="867" spans="1:1">
      <c r="A867" s="373"/>
    </row>
    <row r="868" spans="1:1">
      <c r="A868" s="373"/>
    </row>
    <row r="869" spans="1:1">
      <c r="A869" s="373"/>
    </row>
    <row r="870" spans="1:1">
      <c r="A870" s="373"/>
    </row>
    <row r="871" spans="1:1">
      <c r="A871" s="373"/>
    </row>
    <row r="872" spans="1:1">
      <c r="A872" s="373"/>
    </row>
    <row r="873" spans="1:1">
      <c r="A873" s="373"/>
    </row>
    <row r="874" spans="1:1">
      <c r="A874" s="373"/>
    </row>
    <row r="875" spans="1:1">
      <c r="A875" s="373"/>
    </row>
    <row r="876" spans="1:1">
      <c r="A876" s="373"/>
    </row>
    <row r="877" spans="1:1">
      <c r="A877" s="373"/>
    </row>
    <row r="878" spans="1:1">
      <c r="A878" s="373"/>
    </row>
    <row r="879" spans="1:1">
      <c r="A879" s="373"/>
    </row>
    <row r="880" spans="1:1">
      <c r="A880" s="373"/>
    </row>
    <row r="881" spans="1:1">
      <c r="A881" s="373"/>
    </row>
    <row r="882" spans="1:1">
      <c r="A882" s="373"/>
    </row>
    <row r="883" spans="1:1">
      <c r="A883" s="373"/>
    </row>
    <row r="884" spans="1:1">
      <c r="A884" s="373"/>
    </row>
    <row r="885" spans="1:1">
      <c r="A885" s="373"/>
    </row>
    <row r="886" spans="1:1">
      <c r="A886" s="373"/>
    </row>
    <row r="887" spans="1:1">
      <c r="A887" s="373"/>
    </row>
    <row r="888" spans="1:1">
      <c r="A888" s="373"/>
    </row>
    <row r="889" spans="1:1">
      <c r="A889" s="373"/>
    </row>
    <row r="890" spans="1:1">
      <c r="A890" s="373"/>
    </row>
    <row r="891" spans="1:1">
      <c r="A891" s="373"/>
    </row>
    <row r="892" spans="1:1">
      <c r="A892" s="373"/>
    </row>
    <row r="893" spans="1:1">
      <c r="A893" s="373"/>
    </row>
    <row r="894" spans="1:1">
      <c r="A894" s="373"/>
    </row>
    <row r="895" spans="1:1">
      <c r="A895" s="373"/>
    </row>
    <row r="896" spans="1:1">
      <c r="A896" s="373"/>
    </row>
    <row r="897" spans="1:1">
      <c r="A897" s="373"/>
    </row>
    <row r="898" spans="1:1">
      <c r="A898" s="373"/>
    </row>
    <row r="899" spans="1:1">
      <c r="A899" s="373"/>
    </row>
    <row r="900" spans="1:1">
      <c r="A900" s="373"/>
    </row>
    <row r="901" spans="1:1">
      <c r="A901" s="373"/>
    </row>
    <row r="902" spans="1:1">
      <c r="A902" s="373"/>
    </row>
    <row r="903" spans="1:1">
      <c r="A903" s="373"/>
    </row>
    <row r="904" spans="1:1">
      <c r="A904" s="373"/>
    </row>
    <row r="905" spans="1:1">
      <c r="A905" s="373"/>
    </row>
    <row r="906" spans="1:1">
      <c r="A906" s="373"/>
    </row>
    <row r="907" spans="1:1">
      <c r="A907" s="373"/>
    </row>
    <row r="908" spans="1:1">
      <c r="A908" s="373"/>
    </row>
    <row r="909" spans="1:1">
      <c r="A909" s="373"/>
    </row>
    <row r="910" spans="1:1">
      <c r="A910" s="373"/>
    </row>
    <row r="911" spans="1:1">
      <c r="A911" s="373"/>
    </row>
    <row r="912" spans="1:1">
      <c r="A912" s="373"/>
    </row>
    <row r="913" spans="1:1">
      <c r="A913" s="373"/>
    </row>
    <row r="914" spans="1:1">
      <c r="A914" s="373"/>
    </row>
    <row r="915" spans="1:1">
      <c r="A915" s="373"/>
    </row>
    <row r="916" spans="1:1">
      <c r="A916" s="373"/>
    </row>
    <row r="917" spans="1:1">
      <c r="A917" s="373"/>
    </row>
    <row r="918" spans="1:1">
      <c r="A918" s="373"/>
    </row>
    <row r="919" spans="1:1">
      <c r="A919" s="373"/>
    </row>
    <row r="920" spans="1:1">
      <c r="A920" s="373"/>
    </row>
    <row r="921" spans="1:1">
      <c r="A921" s="373"/>
    </row>
    <row r="922" spans="1:1">
      <c r="A922" s="373"/>
    </row>
    <row r="923" spans="1:1">
      <c r="A923" s="373"/>
    </row>
    <row r="924" spans="1:1">
      <c r="A924" s="373"/>
    </row>
    <row r="925" spans="1:1">
      <c r="A925" s="373"/>
    </row>
    <row r="926" spans="1:1">
      <c r="A926" s="373"/>
    </row>
    <row r="927" spans="1:1">
      <c r="A927" s="373"/>
    </row>
    <row r="928" spans="1:1">
      <c r="A928" s="373"/>
    </row>
    <row r="929" spans="1:1">
      <c r="A929" s="373"/>
    </row>
    <row r="930" spans="1:1">
      <c r="A930" s="373"/>
    </row>
    <row r="931" spans="1:1">
      <c r="A931" s="373"/>
    </row>
    <row r="932" spans="1:1">
      <c r="A932" s="373"/>
    </row>
    <row r="933" spans="1:1">
      <c r="A933" s="373"/>
    </row>
    <row r="934" spans="1:1">
      <c r="A934" s="373"/>
    </row>
    <row r="935" spans="1:1">
      <c r="A935" s="373"/>
    </row>
    <row r="936" spans="1:1">
      <c r="A936" s="373"/>
    </row>
    <row r="937" spans="1:1">
      <c r="A937" s="373"/>
    </row>
    <row r="938" spans="1:1">
      <c r="A938" s="373"/>
    </row>
    <row r="939" spans="1:1">
      <c r="A939" s="373"/>
    </row>
    <row r="940" spans="1:1">
      <c r="A940" s="373"/>
    </row>
    <row r="941" spans="1:1">
      <c r="A941" s="373"/>
    </row>
    <row r="942" spans="1:1">
      <c r="A942" s="373"/>
    </row>
    <row r="943" spans="1:1">
      <c r="A943" s="373"/>
    </row>
    <row r="944" spans="1:1">
      <c r="A944" s="373"/>
    </row>
    <row r="945" spans="1:1">
      <c r="A945" s="373"/>
    </row>
    <row r="946" spans="1:1">
      <c r="A946" s="373"/>
    </row>
    <row r="947" spans="1:1">
      <c r="A947" s="373"/>
    </row>
    <row r="948" spans="1:1">
      <c r="A948" s="373"/>
    </row>
    <row r="949" spans="1:1">
      <c r="A949" s="373"/>
    </row>
    <row r="950" spans="1:1">
      <c r="A950" s="373"/>
    </row>
    <row r="951" spans="1:1">
      <c r="A951" s="373"/>
    </row>
    <row r="952" spans="1:1">
      <c r="A952" s="373"/>
    </row>
    <row r="953" spans="1:1">
      <c r="A953" s="373"/>
    </row>
    <row r="954" spans="1:1">
      <c r="A954" s="373"/>
    </row>
    <row r="955" spans="1:1">
      <c r="A955" s="373"/>
    </row>
    <row r="956" spans="1:1">
      <c r="A956" s="373"/>
    </row>
    <row r="957" spans="1:1">
      <c r="A957" s="373"/>
    </row>
    <row r="958" spans="1:1">
      <c r="A958" s="373"/>
    </row>
    <row r="959" spans="1:1">
      <c r="A959" s="373"/>
    </row>
    <row r="960" spans="1:1">
      <c r="A960" s="373"/>
    </row>
    <row r="961" spans="1:1">
      <c r="A961" s="373"/>
    </row>
    <row r="962" spans="1:1">
      <c r="A962" s="373"/>
    </row>
    <row r="963" spans="1:1">
      <c r="A963" s="373"/>
    </row>
    <row r="964" spans="1:1">
      <c r="A964" s="373"/>
    </row>
    <row r="965" spans="1:1">
      <c r="A965" s="373"/>
    </row>
    <row r="966" spans="1:1">
      <c r="A966" s="373"/>
    </row>
    <row r="967" spans="1:1">
      <c r="A967" s="373"/>
    </row>
    <row r="968" spans="1:1">
      <c r="A968" s="373"/>
    </row>
    <row r="969" spans="1:1">
      <c r="A969" s="373"/>
    </row>
    <row r="970" spans="1:1">
      <c r="A970" s="373"/>
    </row>
    <row r="971" spans="1:1">
      <c r="A971" s="373"/>
    </row>
    <row r="972" spans="1:1">
      <c r="A972" s="373"/>
    </row>
    <row r="973" spans="1:1">
      <c r="A973" s="373"/>
    </row>
    <row r="974" spans="1:1">
      <c r="A974" s="373"/>
    </row>
    <row r="975" spans="1:1">
      <c r="A975" s="373"/>
    </row>
    <row r="976" spans="1:1">
      <c r="A976" s="373"/>
    </row>
    <row r="977" spans="1:1">
      <c r="A977" s="373"/>
    </row>
    <row r="978" spans="1:1">
      <c r="A978" s="373"/>
    </row>
    <row r="979" spans="1:1">
      <c r="A979" s="373"/>
    </row>
    <row r="980" spans="1:1">
      <c r="A980" s="373"/>
    </row>
    <row r="981" spans="1:1">
      <c r="A981" s="373"/>
    </row>
    <row r="982" spans="1:1">
      <c r="A982" s="373"/>
    </row>
    <row r="983" spans="1:1">
      <c r="A983" s="373"/>
    </row>
    <row r="984" spans="1:1">
      <c r="A984" s="373"/>
    </row>
    <row r="985" spans="1:1">
      <c r="A985" s="373"/>
    </row>
    <row r="986" spans="1:1">
      <c r="A986" s="373"/>
    </row>
    <row r="987" spans="1:1">
      <c r="A987" s="373"/>
    </row>
    <row r="988" spans="1:1">
      <c r="A988" s="373"/>
    </row>
    <row r="989" spans="1:1">
      <c r="A989" s="373"/>
    </row>
    <row r="990" spans="1:1">
      <c r="A990" s="373"/>
    </row>
    <row r="991" spans="1:1">
      <c r="A991" s="373"/>
    </row>
    <row r="992" spans="1:1">
      <c r="A992" s="373"/>
    </row>
    <row r="993" spans="1:1">
      <c r="A993" s="373"/>
    </row>
    <row r="994" spans="1:1">
      <c r="A994" s="373"/>
    </row>
    <row r="995" spans="1:1">
      <c r="A995" s="373"/>
    </row>
    <row r="996" spans="1:1">
      <c r="A996" s="373"/>
    </row>
    <row r="997" spans="1:1">
      <c r="A997" s="373"/>
    </row>
    <row r="998" spans="1:1">
      <c r="A998" s="373"/>
    </row>
    <row r="999" spans="1:1">
      <c r="A999" s="373"/>
    </row>
    <row r="1000" spans="1:1">
      <c r="A1000" s="373"/>
    </row>
    <row r="1001" spans="1:1">
      <c r="A1001" s="373"/>
    </row>
    <row r="1002" spans="1:1">
      <c r="A1002" s="373"/>
    </row>
    <row r="1003" spans="1:1">
      <c r="A1003" s="373"/>
    </row>
    <row r="1004" spans="1:1">
      <c r="A1004" s="373"/>
    </row>
    <row r="1005" spans="1:1">
      <c r="A1005" s="373"/>
    </row>
    <row r="1006" spans="1:1">
      <c r="A1006" s="373"/>
    </row>
    <row r="1007" spans="1:1">
      <c r="A1007" s="373"/>
    </row>
    <row r="1008" spans="1:1">
      <c r="A1008" s="373"/>
    </row>
    <row r="1009" spans="1:1">
      <c r="A1009" s="373"/>
    </row>
    <row r="1010" spans="1:1">
      <c r="A1010" s="373"/>
    </row>
    <row r="1011" spans="1:1">
      <c r="A1011" s="373"/>
    </row>
    <row r="1012" spans="1:1">
      <c r="A1012" s="373"/>
    </row>
    <row r="1013" spans="1:1">
      <c r="A1013" s="373"/>
    </row>
    <row r="1014" spans="1:1">
      <c r="A1014" s="373"/>
    </row>
    <row r="1015" spans="1:1">
      <c r="A1015" s="373"/>
    </row>
    <row r="1016" spans="1:1">
      <c r="A1016" s="373"/>
    </row>
    <row r="1017" spans="1:1">
      <c r="A1017" s="373"/>
    </row>
    <row r="1018" spans="1:1">
      <c r="A1018" s="373"/>
    </row>
    <row r="1019" spans="1:1">
      <c r="A1019" s="373"/>
    </row>
    <row r="1020" spans="1:1">
      <c r="A1020" s="373"/>
    </row>
    <row r="1021" spans="1:1">
      <c r="A1021" s="373"/>
    </row>
    <row r="1022" spans="1:1">
      <c r="A1022" s="373"/>
    </row>
    <row r="1023" spans="1:1">
      <c r="A1023" s="373"/>
    </row>
    <row r="1024" spans="1:1">
      <c r="A1024" s="373"/>
    </row>
    <row r="1025" spans="1:1">
      <c r="A1025" s="373"/>
    </row>
    <row r="1026" spans="1:1">
      <c r="A1026" s="373"/>
    </row>
    <row r="1027" spans="1:1">
      <c r="A1027" s="373"/>
    </row>
    <row r="1028" spans="1:1">
      <c r="A1028" s="373"/>
    </row>
    <row r="1029" spans="1:1">
      <c r="A1029" s="373"/>
    </row>
    <row r="1030" spans="1:1">
      <c r="A1030" s="373"/>
    </row>
    <row r="1031" spans="1:1">
      <c r="A1031" s="373"/>
    </row>
    <row r="1032" spans="1:1">
      <c r="A1032" s="373"/>
    </row>
    <row r="1033" spans="1:1">
      <c r="A1033" s="373"/>
    </row>
    <row r="1034" spans="1:1">
      <c r="A1034" s="373"/>
    </row>
    <row r="1035" spans="1:1">
      <c r="A1035" s="373"/>
    </row>
    <row r="1036" spans="1:1">
      <c r="A1036" s="373"/>
    </row>
    <row r="1037" spans="1:1">
      <c r="A1037" s="373"/>
    </row>
    <row r="1038" spans="1:1">
      <c r="A1038" s="373"/>
    </row>
    <row r="1039" spans="1:1">
      <c r="A1039" s="373"/>
    </row>
    <row r="1040" spans="1:1">
      <c r="A1040" s="373"/>
    </row>
    <row r="1041" spans="1:1">
      <c r="A1041" s="373"/>
    </row>
    <row r="1042" spans="1:1">
      <c r="A1042" s="373"/>
    </row>
    <row r="1043" spans="1:1">
      <c r="A1043" s="373"/>
    </row>
    <row r="1044" spans="1:1">
      <c r="A1044" s="373"/>
    </row>
    <row r="1045" spans="1:1">
      <c r="A1045" s="373"/>
    </row>
    <row r="1046" spans="1:1">
      <c r="A1046" s="373"/>
    </row>
    <row r="1047" spans="1:1">
      <c r="A1047" s="373"/>
    </row>
    <row r="1048" spans="1:1">
      <c r="A1048" s="373"/>
    </row>
    <row r="1049" spans="1:1">
      <c r="A1049" s="373"/>
    </row>
    <row r="1050" spans="1:1">
      <c r="A1050" s="373"/>
    </row>
    <row r="1051" spans="1:1">
      <c r="A1051" s="373"/>
    </row>
    <row r="1052" spans="1:1">
      <c r="A1052" s="373"/>
    </row>
    <row r="1053" spans="1:1">
      <c r="A1053" s="373"/>
    </row>
    <row r="1054" spans="1:1">
      <c r="A1054" s="373"/>
    </row>
    <row r="1055" spans="1:1">
      <c r="A1055" s="373"/>
    </row>
    <row r="1056" spans="1:1">
      <c r="A1056" s="373"/>
    </row>
    <row r="1057" spans="1:1">
      <c r="A1057" s="373"/>
    </row>
    <row r="1058" spans="1:1">
      <c r="A1058" s="373"/>
    </row>
    <row r="1059" spans="1:1">
      <c r="A1059" s="373"/>
    </row>
    <row r="1060" spans="1:1">
      <c r="A1060" s="373"/>
    </row>
    <row r="1061" spans="1:1">
      <c r="A1061" s="373"/>
    </row>
    <row r="1062" spans="1:1">
      <c r="A1062" s="373"/>
    </row>
    <row r="1063" spans="1:1">
      <c r="A1063" s="373"/>
    </row>
    <row r="1064" spans="1:1">
      <c r="A1064" s="373"/>
    </row>
    <row r="1065" spans="1:1">
      <c r="A1065" s="373"/>
    </row>
    <row r="1066" spans="1:1">
      <c r="A1066" s="373"/>
    </row>
    <row r="1067" spans="1:1">
      <c r="A1067" s="373"/>
    </row>
    <row r="1068" spans="1:1">
      <c r="A1068" s="373"/>
    </row>
    <row r="1069" spans="1:1">
      <c r="A1069" s="373"/>
    </row>
    <row r="1070" spans="1:1">
      <c r="A1070" s="373"/>
    </row>
    <row r="1071" spans="1:1">
      <c r="A1071" s="373"/>
    </row>
    <row r="1072" spans="1:1">
      <c r="A1072" s="373"/>
    </row>
    <row r="1073" spans="1:1">
      <c r="A1073" s="373"/>
    </row>
    <row r="1074" spans="1:1">
      <c r="A1074" s="373"/>
    </row>
    <row r="1075" spans="1:1">
      <c r="A1075" s="373"/>
    </row>
    <row r="1076" spans="1:1">
      <c r="A1076" s="373"/>
    </row>
    <row r="1077" spans="1:1">
      <c r="A1077" s="373"/>
    </row>
    <row r="1078" spans="1:1">
      <c r="A1078" s="373"/>
    </row>
    <row r="1079" spans="1:1">
      <c r="A1079" s="373"/>
    </row>
    <row r="1080" spans="1:1">
      <c r="A1080" s="373"/>
    </row>
    <row r="1081" spans="1:1">
      <c r="A1081" s="373"/>
    </row>
    <row r="1082" spans="1:1">
      <c r="A1082" s="373"/>
    </row>
    <row r="1083" spans="1:1">
      <c r="A1083" s="373"/>
    </row>
    <row r="1084" spans="1:1">
      <c r="A1084" s="373"/>
    </row>
    <row r="1085" spans="1:1">
      <c r="A1085" s="373"/>
    </row>
    <row r="1086" spans="1:1">
      <c r="A1086" s="373"/>
    </row>
    <row r="1087" spans="1:1">
      <c r="A1087" s="373"/>
    </row>
    <row r="1088" spans="1:1">
      <c r="A1088" s="373"/>
    </row>
    <row r="1089" spans="1:1">
      <c r="A1089" s="373"/>
    </row>
    <row r="1090" spans="1:1">
      <c r="A1090" s="373"/>
    </row>
    <row r="1091" spans="1:1">
      <c r="A1091" s="373"/>
    </row>
    <row r="1092" spans="1:1">
      <c r="A1092" s="373"/>
    </row>
    <row r="1093" spans="1:1">
      <c r="A1093" s="373"/>
    </row>
    <row r="1094" spans="1:1">
      <c r="A1094" s="373"/>
    </row>
    <row r="1095" spans="1:1">
      <c r="A1095" s="373"/>
    </row>
    <row r="1096" spans="1:1">
      <c r="A1096" s="373"/>
    </row>
    <row r="1097" spans="1:1">
      <c r="A1097" s="373"/>
    </row>
    <row r="1098" spans="1:1">
      <c r="A1098" s="373"/>
    </row>
    <row r="1099" spans="1:1">
      <c r="A1099" s="373"/>
    </row>
    <row r="1100" spans="1:1">
      <c r="A1100" s="373"/>
    </row>
    <row r="1101" spans="1:1">
      <c r="A1101" s="373"/>
    </row>
    <row r="1102" spans="1:1">
      <c r="A1102" s="373"/>
    </row>
    <row r="1103" spans="1:1">
      <c r="A1103" s="373"/>
    </row>
    <row r="1104" spans="1:1">
      <c r="A1104" s="373"/>
    </row>
    <row r="1105" spans="1:1">
      <c r="A1105" s="373"/>
    </row>
    <row r="1106" spans="1:1">
      <c r="A1106" s="373"/>
    </row>
    <row r="1107" spans="1:1">
      <c r="A1107" s="373"/>
    </row>
    <row r="1108" spans="1:1">
      <c r="A1108" s="373"/>
    </row>
    <row r="1109" spans="1:1">
      <c r="A1109" s="373"/>
    </row>
    <row r="1110" spans="1:1">
      <c r="A1110" s="373"/>
    </row>
    <row r="1111" spans="1:1">
      <c r="A1111" s="373"/>
    </row>
    <row r="1112" spans="1:1">
      <c r="A1112" s="373"/>
    </row>
    <row r="1113" spans="1:1">
      <c r="A1113" s="373"/>
    </row>
    <row r="1114" spans="1:1">
      <c r="A1114" s="373"/>
    </row>
    <row r="1115" spans="1:1">
      <c r="A1115" s="373"/>
    </row>
    <row r="1116" spans="1:1">
      <c r="A1116" s="373"/>
    </row>
    <row r="1117" spans="1:1">
      <c r="A1117" s="373"/>
    </row>
    <row r="1118" spans="1:1">
      <c r="A1118" s="373"/>
    </row>
    <row r="1119" spans="1:1">
      <c r="A1119" s="373"/>
    </row>
    <row r="1120" spans="1:1">
      <c r="A1120" s="373"/>
    </row>
    <row r="1121" spans="1:1">
      <c r="A1121" s="373"/>
    </row>
    <row r="1122" spans="1:1">
      <c r="A1122" s="373"/>
    </row>
    <row r="1123" spans="1:1">
      <c r="A1123" s="373"/>
    </row>
    <row r="1124" spans="1:1">
      <c r="A1124" s="373"/>
    </row>
    <row r="1125" spans="1:1">
      <c r="A1125" s="373"/>
    </row>
    <row r="1126" spans="1:1">
      <c r="A1126" s="373"/>
    </row>
    <row r="1127" spans="1:1">
      <c r="A1127" s="373"/>
    </row>
    <row r="1128" spans="1:1">
      <c r="A1128" s="373"/>
    </row>
    <row r="1129" spans="1:1">
      <c r="A1129" s="373"/>
    </row>
    <row r="1130" spans="1:1">
      <c r="A1130" s="373"/>
    </row>
    <row r="1131" spans="1:1">
      <c r="A1131" s="373"/>
    </row>
    <row r="1132" spans="1:1">
      <c r="A1132" s="373"/>
    </row>
    <row r="1133" spans="1:1">
      <c r="A1133" s="373"/>
    </row>
    <row r="1134" spans="1:1">
      <c r="A1134" s="373"/>
    </row>
    <row r="1135" spans="1:1">
      <c r="A1135" s="373"/>
    </row>
    <row r="1136" spans="1:1">
      <c r="A1136" s="373"/>
    </row>
    <row r="1137" spans="1:1">
      <c r="A1137" s="373"/>
    </row>
    <row r="1138" spans="1:1">
      <c r="A1138" s="373"/>
    </row>
    <row r="1139" spans="1:1">
      <c r="A1139" s="373"/>
    </row>
    <row r="1140" spans="1:1">
      <c r="A1140" s="373"/>
    </row>
    <row r="1141" spans="1:1">
      <c r="A1141" s="373"/>
    </row>
    <row r="1142" spans="1:1">
      <c r="A1142" s="373"/>
    </row>
    <row r="1143" spans="1:1">
      <c r="A1143" s="373"/>
    </row>
    <row r="1144" spans="1:1">
      <c r="A1144" s="373"/>
    </row>
    <row r="1145" spans="1:1">
      <c r="A1145" s="373"/>
    </row>
    <row r="1146" spans="1:1">
      <c r="A1146" s="373"/>
    </row>
    <row r="1147" spans="1:1">
      <c r="A1147" s="373"/>
    </row>
    <row r="1148" spans="1:1">
      <c r="A1148" s="373"/>
    </row>
    <row r="1149" spans="1:1">
      <c r="A1149" s="373"/>
    </row>
    <row r="1150" spans="1:1">
      <c r="A1150" s="373"/>
    </row>
    <row r="1151" spans="1:1">
      <c r="A1151" s="373"/>
    </row>
    <row r="1152" spans="1:1">
      <c r="A1152" s="373"/>
    </row>
    <row r="1153" spans="1:1">
      <c r="A1153" s="373"/>
    </row>
    <row r="1154" spans="1:1">
      <c r="A1154" s="373"/>
    </row>
    <row r="1155" spans="1:1">
      <c r="A1155" s="373"/>
    </row>
    <row r="1156" spans="1:1">
      <c r="A1156" s="373"/>
    </row>
    <row r="1157" spans="1:1">
      <c r="A1157" s="373"/>
    </row>
    <row r="1158" spans="1:1">
      <c r="A1158" s="373"/>
    </row>
    <row r="1159" spans="1:1">
      <c r="A1159" s="373"/>
    </row>
    <row r="1160" spans="1:1">
      <c r="A1160" s="373"/>
    </row>
    <row r="1161" spans="1:1">
      <c r="A1161" s="373"/>
    </row>
    <row r="1162" spans="1:1">
      <c r="A1162" s="373"/>
    </row>
    <row r="1163" spans="1:1">
      <c r="A1163" s="373"/>
    </row>
    <row r="1164" spans="1:1">
      <c r="A1164" s="373"/>
    </row>
    <row r="1165" spans="1:1">
      <c r="A1165" s="373"/>
    </row>
    <row r="1166" spans="1:1">
      <c r="A1166" s="373"/>
    </row>
    <row r="1167" spans="1:1">
      <c r="A1167" s="373"/>
    </row>
    <row r="1168" spans="1:1">
      <c r="A1168" s="373"/>
    </row>
    <row r="1169" spans="1:1">
      <c r="A1169" s="373"/>
    </row>
    <row r="1170" spans="1:1">
      <c r="A1170" s="373"/>
    </row>
    <row r="1171" spans="1:1">
      <c r="A1171" s="373"/>
    </row>
    <row r="1172" spans="1:1">
      <c r="A1172" s="373"/>
    </row>
    <row r="1173" spans="1:1">
      <c r="A1173" s="373"/>
    </row>
    <row r="1174" spans="1:1">
      <c r="A1174" s="373"/>
    </row>
    <row r="1175" spans="1:1">
      <c r="A1175" s="373"/>
    </row>
    <row r="1176" spans="1:1">
      <c r="A1176" s="373"/>
    </row>
    <row r="1177" spans="1:1">
      <c r="A1177" s="373"/>
    </row>
    <row r="1178" spans="1:1">
      <c r="A1178" s="373"/>
    </row>
    <row r="1179" spans="1:1">
      <c r="A1179" s="373"/>
    </row>
    <row r="1180" spans="1:1">
      <c r="A1180" s="373"/>
    </row>
    <row r="1181" spans="1:1">
      <c r="A1181" s="373"/>
    </row>
    <row r="1182" spans="1:1">
      <c r="A1182" s="373"/>
    </row>
    <row r="1183" spans="1:1">
      <c r="A1183" s="373"/>
    </row>
    <row r="1184" spans="1:1">
      <c r="A1184" s="373"/>
    </row>
    <row r="1185" spans="1:1">
      <c r="A1185" s="373"/>
    </row>
    <row r="1186" spans="1:1">
      <c r="A1186" s="373"/>
    </row>
    <row r="1187" spans="1:1">
      <c r="A1187" s="373"/>
    </row>
    <row r="1188" spans="1:1">
      <c r="A1188" s="373"/>
    </row>
    <row r="1189" spans="1:1">
      <c r="A1189" s="373"/>
    </row>
    <row r="1190" spans="1:1">
      <c r="A1190" s="373"/>
    </row>
    <row r="1191" spans="1:1">
      <c r="A1191" s="373"/>
    </row>
    <row r="1192" spans="1:1">
      <c r="A1192" s="373"/>
    </row>
    <row r="1193" spans="1:1">
      <c r="A1193" s="373"/>
    </row>
    <row r="1194" spans="1:1">
      <c r="A1194" s="373"/>
    </row>
    <row r="1195" spans="1:1">
      <c r="A1195" s="373"/>
    </row>
    <row r="1196" spans="1:1">
      <c r="A1196" s="373"/>
    </row>
    <row r="1197" spans="1:1">
      <c r="A1197" s="373"/>
    </row>
    <row r="1198" spans="1:1">
      <c r="A1198" s="373"/>
    </row>
    <row r="1199" spans="1:1">
      <c r="A1199" s="373"/>
    </row>
    <row r="1200" spans="1:1">
      <c r="A1200" s="373"/>
    </row>
    <row r="1201" spans="1:1">
      <c r="A1201" s="373"/>
    </row>
    <row r="1202" spans="1:1">
      <c r="A1202" s="373"/>
    </row>
    <row r="1203" spans="1:1">
      <c r="A1203" s="373"/>
    </row>
    <row r="1204" spans="1:1">
      <c r="A1204" s="373"/>
    </row>
    <row r="1205" spans="1:1">
      <c r="A1205" s="373"/>
    </row>
    <row r="1206" spans="1:1">
      <c r="A1206" s="373"/>
    </row>
    <row r="1207" spans="1:1">
      <c r="A1207" s="373"/>
    </row>
    <row r="1208" spans="1:1">
      <c r="A1208" s="373"/>
    </row>
    <row r="1209" spans="1:1">
      <c r="A1209" s="373"/>
    </row>
    <row r="1210" spans="1:1">
      <c r="A1210" s="373"/>
    </row>
    <row r="1211" spans="1:1">
      <c r="A1211" s="373"/>
    </row>
    <row r="1212" spans="1:1">
      <c r="A1212" s="373"/>
    </row>
    <row r="1213" spans="1:1">
      <c r="A1213" s="373"/>
    </row>
    <row r="1214" spans="1:1">
      <c r="A1214" s="373"/>
    </row>
    <row r="1215" spans="1:1">
      <c r="A1215" s="373"/>
    </row>
    <row r="1216" spans="1:1">
      <c r="A1216" s="373"/>
    </row>
    <row r="1217" spans="1:1">
      <c r="A1217" s="373"/>
    </row>
    <row r="1218" spans="1:1">
      <c r="A1218" s="373"/>
    </row>
    <row r="1219" spans="1:1">
      <c r="A1219" s="373"/>
    </row>
    <row r="1220" spans="1:1">
      <c r="A1220" s="373"/>
    </row>
    <row r="1221" spans="1:1">
      <c r="A1221" s="373"/>
    </row>
    <row r="1222" spans="1:1">
      <c r="A1222" s="373"/>
    </row>
    <row r="1223" spans="1:1">
      <c r="A1223" s="373"/>
    </row>
    <row r="1224" spans="1:1">
      <c r="A1224" s="373"/>
    </row>
    <row r="1225" spans="1:1">
      <c r="A1225" s="373"/>
    </row>
    <row r="1226" spans="1:1">
      <c r="A1226" s="373"/>
    </row>
    <row r="1227" spans="1:1">
      <c r="A1227" s="373"/>
    </row>
    <row r="1228" spans="1:1">
      <c r="A1228" s="373"/>
    </row>
    <row r="1229" spans="1:1">
      <c r="A1229" s="373"/>
    </row>
    <row r="1230" spans="1:1">
      <c r="A1230" s="373"/>
    </row>
    <row r="1231" spans="1:1">
      <c r="A1231" s="373"/>
    </row>
    <row r="1232" spans="1:1">
      <c r="A1232" s="373"/>
    </row>
    <row r="1233" spans="1:1">
      <c r="A1233" s="373"/>
    </row>
    <row r="1234" spans="1:1">
      <c r="A1234" s="373"/>
    </row>
    <row r="1235" spans="1:1">
      <c r="A1235" s="373"/>
    </row>
    <row r="1236" spans="1:1">
      <c r="A1236" s="373"/>
    </row>
    <row r="1237" spans="1:1">
      <c r="A1237" s="373"/>
    </row>
    <row r="1238" spans="1:1">
      <c r="A1238" s="373"/>
    </row>
    <row r="1239" spans="1:1">
      <c r="A1239" s="373"/>
    </row>
    <row r="1240" spans="1:1">
      <c r="A1240" s="373"/>
    </row>
    <row r="1241" spans="1:1">
      <c r="A1241" s="373"/>
    </row>
    <row r="1242" spans="1:1">
      <c r="A1242" s="373"/>
    </row>
    <row r="1243" spans="1:1">
      <c r="A1243" s="373"/>
    </row>
    <row r="1244" spans="1:1">
      <c r="A1244" s="373"/>
    </row>
    <row r="1245" spans="1:1">
      <c r="A1245" s="373"/>
    </row>
    <row r="1246" spans="1:1">
      <c r="A1246" s="373"/>
    </row>
    <row r="1247" spans="1:1">
      <c r="A1247" s="373"/>
    </row>
    <row r="1248" spans="1:1">
      <c r="A1248" s="373"/>
    </row>
    <row r="1249" spans="1:1">
      <c r="A1249" s="373"/>
    </row>
    <row r="1250" spans="1:1">
      <c r="A1250" s="373"/>
    </row>
    <row r="1251" spans="1:1">
      <c r="A1251" s="373"/>
    </row>
    <row r="1252" spans="1:1">
      <c r="A1252" s="373"/>
    </row>
    <row r="1253" spans="1:1">
      <c r="A1253" s="373"/>
    </row>
    <row r="1254" spans="1:1">
      <c r="A1254" s="373"/>
    </row>
    <row r="1255" spans="1:1">
      <c r="A1255" s="373"/>
    </row>
    <row r="1256" spans="1:1">
      <c r="A1256" s="373"/>
    </row>
    <row r="1257" spans="1:1">
      <c r="A1257" s="373"/>
    </row>
    <row r="1258" spans="1:1">
      <c r="A1258" s="373"/>
    </row>
    <row r="1259" spans="1:1">
      <c r="A1259" s="373"/>
    </row>
    <row r="1260" spans="1:1">
      <c r="A1260" s="373"/>
    </row>
    <row r="1261" spans="1:1">
      <c r="A1261" s="373"/>
    </row>
    <row r="1262" spans="1:1">
      <c r="A1262" s="373"/>
    </row>
    <row r="1263" spans="1:1">
      <c r="A1263" s="373"/>
    </row>
    <row r="1264" spans="1:1">
      <c r="A1264" s="373"/>
    </row>
    <row r="1265" spans="1:1">
      <c r="A1265" s="373"/>
    </row>
    <row r="1266" spans="1:1">
      <c r="A1266" s="373"/>
    </row>
    <row r="1267" spans="1:1">
      <c r="A1267" s="373"/>
    </row>
    <row r="1268" spans="1:1">
      <c r="A1268" s="373"/>
    </row>
    <row r="1269" spans="1:1">
      <c r="A1269" s="373"/>
    </row>
    <row r="1270" spans="1:1">
      <c r="A1270" s="373"/>
    </row>
    <row r="1271" spans="1:1">
      <c r="A1271" s="373"/>
    </row>
    <row r="1272" spans="1:1">
      <c r="A1272" s="373"/>
    </row>
    <row r="1273" spans="1:1">
      <c r="A1273" s="373"/>
    </row>
    <row r="1274" spans="1:1">
      <c r="A1274" s="373"/>
    </row>
    <row r="1275" spans="1:1">
      <c r="A1275" s="373"/>
    </row>
    <row r="1276" spans="1:1">
      <c r="A1276" s="373"/>
    </row>
    <row r="1277" spans="1:1">
      <c r="A1277" s="373"/>
    </row>
    <row r="1278" spans="1:1">
      <c r="A1278" s="373"/>
    </row>
    <row r="1279" spans="1:1">
      <c r="A1279" s="373"/>
    </row>
    <row r="1280" spans="1:1">
      <c r="A1280" s="373"/>
    </row>
    <row r="1281" spans="1:1">
      <c r="A1281" s="373"/>
    </row>
    <row r="1282" spans="1:1">
      <c r="A1282" s="373"/>
    </row>
    <row r="1283" spans="1:1">
      <c r="A1283" s="373"/>
    </row>
    <row r="1284" spans="1:1">
      <c r="A1284" s="373"/>
    </row>
    <row r="1285" spans="1:1">
      <c r="A1285" s="373"/>
    </row>
    <row r="1286" spans="1:1">
      <c r="A1286" s="373"/>
    </row>
    <row r="1287" spans="1:1">
      <c r="A1287" s="373"/>
    </row>
    <row r="1288" spans="1:1">
      <c r="A1288" s="373"/>
    </row>
    <row r="1289" spans="1:1">
      <c r="A1289" s="373"/>
    </row>
    <row r="1290" spans="1:1">
      <c r="A1290" s="373"/>
    </row>
    <row r="1291" spans="1:1">
      <c r="A1291" s="373"/>
    </row>
    <row r="1292" spans="1:1">
      <c r="A1292" s="373"/>
    </row>
    <row r="1293" spans="1:1">
      <c r="A1293" s="373"/>
    </row>
    <row r="1294" spans="1:1">
      <c r="A1294" s="373"/>
    </row>
    <row r="1295" spans="1:1">
      <c r="A1295" s="373"/>
    </row>
    <row r="1296" spans="1:1">
      <c r="A1296" s="373"/>
    </row>
    <row r="1297" spans="1:1">
      <c r="A1297" s="373"/>
    </row>
    <row r="1298" spans="1:1">
      <c r="A1298" s="373"/>
    </row>
    <row r="1299" spans="1:1">
      <c r="A1299" s="373"/>
    </row>
    <row r="1300" spans="1:1">
      <c r="A1300" s="373"/>
    </row>
    <row r="1301" spans="1:1">
      <c r="A1301" s="373"/>
    </row>
    <row r="1302" spans="1:1">
      <c r="A1302" s="373"/>
    </row>
    <row r="1303" spans="1:1">
      <c r="A1303" s="373"/>
    </row>
    <row r="1304" spans="1:1">
      <c r="A1304" s="373"/>
    </row>
    <row r="1305" spans="1:1">
      <c r="A1305" s="373"/>
    </row>
    <row r="1306" spans="1:1">
      <c r="A1306" s="373"/>
    </row>
    <row r="1307" spans="1:1">
      <c r="A1307" s="373"/>
    </row>
    <row r="1308" spans="1:1">
      <c r="A1308" s="373"/>
    </row>
    <row r="1309" spans="1:1">
      <c r="A1309" s="373"/>
    </row>
    <row r="1310" spans="1:1">
      <c r="A1310" s="373"/>
    </row>
    <row r="1311" spans="1:1">
      <c r="A1311" s="373"/>
    </row>
    <row r="1312" spans="1:1">
      <c r="A1312" s="373"/>
    </row>
    <row r="1313" spans="1:1">
      <c r="A1313" s="373"/>
    </row>
    <row r="1314" spans="1:1">
      <c r="A1314" s="373"/>
    </row>
    <row r="1315" spans="1:1">
      <c r="A1315" s="373"/>
    </row>
    <row r="1316" spans="1:1">
      <c r="A1316" s="373"/>
    </row>
    <row r="1317" spans="1:1">
      <c r="A1317" s="373"/>
    </row>
    <row r="1318" spans="1:1">
      <c r="A1318" s="373"/>
    </row>
    <row r="1319" spans="1:1">
      <c r="A1319" s="373"/>
    </row>
    <row r="1320" spans="1:1">
      <c r="A1320" s="373"/>
    </row>
    <row r="1321" spans="1:1">
      <c r="A1321" s="373"/>
    </row>
    <row r="1322" spans="1:1">
      <c r="A1322" s="373"/>
    </row>
    <row r="1323" spans="1:1">
      <c r="A1323" s="373"/>
    </row>
    <row r="1324" spans="1:1">
      <c r="A1324" s="373"/>
    </row>
    <row r="1325" spans="1:1">
      <c r="A1325" s="373"/>
    </row>
    <row r="1326" spans="1:1">
      <c r="A1326" s="373"/>
    </row>
    <row r="1327" spans="1:1">
      <c r="A1327" s="373"/>
    </row>
    <row r="1328" spans="1:1">
      <c r="A1328" s="373"/>
    </row>
    <row r="1329" spans="1:1">
      <c r="A1329" s="373"/>
    </row>
    <row r="1330" spans="1:1">
      <c r="A1330" s="373"/>
    </row>
    <row r="1331" spans="1:1">
      <c r="A1331" s="373"/>
    </row>
    <row r="1332" spans="1:1">
      <c r="A1332" s="373"/>
    </row>
    <row r="1333" spans="1:1">
      <c r="A1333" s="373"/>
    </row>
    <row r="1334" spans="1:1">
      <c r="A1334" s="373"/>
    </row>
    <row r="1335" spans="1:1">
      <c r="A1335" s="373"/>
    </row>
    <row r="1336" spans="1:1">
      <c r="A1336" s="373"/>
    </row>
    <row r="1337" spans="1:1">
      <c r="A1337" s="373"/>
    </row>
    <row r="1338" spans="1:1">
      <c r="A1338" s="373"/>
    </row>
    <row r="1339" spans="1:1">
      <c r="A1339" s="373"/>
    </row>
    <row r="1340" spans="1:1">
      <c r="A1340" s="373"/>
    </row>
    <row r="1341" spans="1:1">
      <c r="A1341" s="373"/>
    </row>
    <row r="1342" spans="1:1">
      <c r="A1342" s="373"/>
    </row>
    <row r="1343" spans="1:1">
      <c r="A1343" s="373"/>
    </row>
    <row r="1344" spans="1:1">
      <c r="A1344" s="373"/>
    </row>
    <row r="1345" spans="1:1">
      <c r="A1345" s="373"/>
    </row>
    <row r="1346" spans="1:1">
      <c r="A1346" s="373"/>
    </row>
    <row r="1347" spans="1:1">
      <c r="A1347" s="373"/>
    </row>
    <row r="1348" spans="1:1">
      <c r="A1348" s="373"/>
    </row>
    <row r="1349" spans="1:1">
      <c r="A1349" s="373"/>
    </row>
    <row r="1350" spans="1:1">
      <c r="A1350" s="373"/>
    </row>
    <row r="1351" spans="1:1">
      <c r="A1351" s="373"/>
    </row>
    <row r="1352" spans="1:1">
      <c r="A1352" s="373"/>
    </row>
    <row r="1353" spans="1:1">
      <c r="A1353" s="373"/>
    </row>
    <row r="1354" spans="1:1">
      <c r="A1354" s="373"/>
    </row>
    <row r="1355" spans="1:1">
      <c r="A1355" s="373"/>
    </row>
    <row r="1356" spans="1:1">
      <c r="A1356" s="373"/>
    </row>
    <row r="1357" spans="1:1">
      <c r="A1357" s="373"/>
    </row>
    <row r="1358" spans="1:1">
      <c r="A1358" s="373"/>
    </row>
    <row r="1359" spans="1:1">
      <c r="A1359" s="373"/>
    </row>
    <row r="1360" spans="1:1">
      <c r="A1360" s="373"/>
    </row>
    <row r="1361" spans="1:1">
      <c r="A1361" s="373"/>
    </row>
    <row r="1362" spans="1:1">
      <c r="A1362" s="373"/>
    </row>
    <row r="1363" spans="1:1">
      <c r="A1363" s="373"/>
    </row>
    <row r="1364" spans="1:1">
      <c r="A1364" s="373"/>
    </row>
    <row r="1365" spans="1:1">
      <c r="A1365" s="373"/>
    </row>
    <row r="1366" spans="1:1">
      <c r="A1366" s="373"/>
    </row>
    <row r="1367" spans="1:1">
      <c r="A1367" s="373"/>
    </row>
    <row r="1368" spans="1:1">
      <c r="A1368" s="373"/>
    </row>
    <row r="1369" spans="1:1">
      <c r="A1369" s="373"/>
    </row>
    <row r="1370" spans="1:1">
      <c r="A1370" s="373"/>
    </row>
    <row r="1371" spans="1:1">
      <c r="A1371" s="373"/>
    </row>
    <row r="1372" spans="1:1">
      <c r="A1372" s="373"/>
    </row>
    <row r="1373" spans="1:1">
      <c r="A1373" s="373"/>
    </row>
    <row r="1374" spans="1:1">
      <c r="A1374" s="373"/>
    </row>
    <row r="1375" spans="1:1">
      <c r="A1375" s="373"/>
    </row>
    <row r="1376" spans="1:1">
      <c r="A1376" s="373"/>
    </row>
    <row r="1377" spans="1:1">
      <c r="A1377" s="373"/>
    </row>
    <row r="1378" spans="1:1">
      <c r="A1378" s="373"/>
    </row>
    <row r="1379" spans="1:1">
      <c r="A1379" s="373"/>
    </row>
    <row r="1380" spans="1:1">
      <c r="A1380" s="373"/>
    </row>
    <row r="1381" spans="1:1">
      <c r="A1381" s="373"/>
    </row>
    <row r="1382" spans="1:1">
      <c r="A1382" s="373"/>
    </row>
    <row r="1383" spans="1:1">
      <c r="A1383" s="373"/>
    </row>
    <row r="1384" spans="1:1">
      <c r="A1384" s="373"/>
    </row>
    <row r="1385" spans="1:1">
      <c r="A1385" s="373"/>
    </row>
    <row r="1386" spans="1:1">
      <c r="A1386" s="373"/>
    </row>
    <row r="1387" spans="1:1">
      <c r="A1387" s="373"/>
    </row>
    <row r="1388" spans="1:1">
      <c r="A1388" s="373"/>
    </row>
    <row r="1389" spans="1:1">
      <c r="A1389" s="373"/>
    </row>
    <row r="1390" spans="1:1">
      <c r="A1390" s="373"/>
    </row>
    <row r="1391" spans="1:1">
      <c r="A1391" s="373"/>
    </row>
    <row r="1392" spans="1:1">
      <c r="A1392" s="373"/>
    </row>
    <row r="1393" spans="1:1">
      <c r="A1393" s="373"/>
    </row>
    <row r="1394" spans="1:1">
      <c r="A1394" s="373"/>
    </row>
    <row r="1395" spans="1:1">
      <c r="A1395" s="373"/>
    </row>
    <row r="1396" spans="1:1">
      <c r="A1396" s="373"/>
    </row>
    <row r="1397" spans="1:1">
      <c r="A1397" s="373"/>
    </row>
    <row r="1398" spans="1:1">
      <c r="A1398" s="373"/>
    </row>
    <row r="1399" spans="1:1">
      <c r="A1399" s="373"/>
    </row>
    <row r="1400" spans="1:1">
      <c r="A1400" s="373"/>
    </row>
    <row r="1401" spans="1:1">
      <c r="A1401" s="373"/>
    </row>
    <row r="1402" spans="1:1">
      <c r="A1402" s="373"/>
    </row>
    <row r="1403" spans="1:1">
      <c r="A1403" s="373"/>
    </row>
    <row r="1404" spans="1:1">
      <c r="A1404" s="373"/>
    </row>
    <row r="1405" spans="1:1">
      <c r="A1405" s="373"/>
    </row>
    <row r="1406" spans="1:1">
      <c r="A1406" s="373"/>
    </row>
    <row r="1407" spans="1:1">
      <c r="A1407" s="373"/>
    </row>
    <row r="1408" spans="1:1">
      <c r="A1408" s="373"/>
    </row>
    <row r="1409" spans="1:1">
      <c r="A1409" s="373"/>
    </row>
    <row r="1410" spans="1:1">
      <c r="A1410" s="373"/>
    </row>
    <row r="1411" spans="1:1">
      <c r="A1411" s="373"/>
    </row>
    <row r="1412" spans="1:1">
      <c r="A1412" s="373"/>
    </row>
    <row r="1413" spans="1:1">
      <c r="A1413" s="373"/>
    </row>
    <row r="1414" spans="1:1">
      <c r="A1414" s="373"/>
    </row>
    <row r="1415" spans="1:1">
      <c r="A1415" s="373"/>
    </row>
    <row r="1416" spans="1:1">
      <c r="A1416" s="373"/>
    </row>
    <row r="1417" spans="1:1">
      <c r="A1417" s="373"/>
    </row>
    <row r="1418" spans="1:1">
      <c r="A1418" s="373"/>
    </row>
    <row r="1419" spans="1:1">
      <c r="A1419" s="373"/>
    </row>
    <row r="1420" spans="1:1">
      <c r="A1420" s="373"/>
    </row>
    <row r="1421" spans="1:1">
      <c r="A1421" s="373"/>
    </row>
    <row r="1422" spans="1:1">
      <c r="A1422" s="373"/>
    </row>
    <row r="1423" spans="1:1">
      <c r="A1423" s="373"/>
    </row>
    <row r="1424" spans="1:1">
      <c r="A1424" s="373"/>
    </row>
    <row r="1425" spans="1:1">
      <c r="A1425" s="373"/>
    </row>
    <row r="1426" spans="1:1">
      <c r="A1426" s="373"/>
    </row>
    <row r="1427" spans="1:1">
      <c r="A1427" s="373"/>
    </row>
    <row r="1428" spans="1:1">
      <c r="A1428" s="373"/>
    </row>
    <row r="1429" spans="1:1">
      <c r="A1429" s="373"/>
    </row>
    <row r="1430" spans="1:1">
      <c r="A1430" s="373"/>
    </row>
    <row r="1431" spans="1:1">
      <c r="A1431" s="373"/>
    </row>
    <row r="1432" spans="1:1">
      <c r="A1432" s="373"/>
    </row>
    <row r="1433" spans="1:1">
      <c r="A1433" s="373"/>
    </row>
    <row r="1434" spans="1:1">
      <c r="A1434" s="373"/>
    </row>
    <row r="1435" spans="1:1">
      <c r="A1435" s="373"/>
    </row>
    <row r="1436" spans="1:1">
      <c r="A1436" s="373"/>
    </row>
    <row r="1437" spans="1:1">
      <c r="A1437" s="373"/>
    </row>
    <row r="1438" spans="1:1">
      <c r="A1438" s="373"/>
    </row>
    <row r="1439" spans="1:1">
      <c r="A1439" s="373"/>
    </row>
    <row r="1440" spans="1:1">
      <c r="A1440" s="373"/>
    </row>
    <row r="1441" spans="1:1">
      <c r="A1441" s="373"/>
    </row>
    <row r="1442" spans="1:1">
      <c r="A1442" s="373"/>
    </row>
    <row r="1443" spans="1:1">
      <c r="A1443" s="373"/>
    </row>
    <row r="1444" spans="1:1">
      <c r="A1444" s="373"/>
    </row>
    <row r="1445" spans="1:1">
      <c r="A1445" s="373"/>
    </row>
    <row r="1446" spans="1:1">
      <c r="A1446" s="373"/>
    </row>
    <row r="1447" spans="1:1">
      <c r="A1447" s="373"/>
    </row>
    <row r="1448" spans="1:1">
      <c r="A1448" s="373"/>
    </row>
    <row r="1449" spans="1:1">
      <c r="A1449" s="373"/>
    </row>
    <row r="1450" spans="1:1">
      <c r="A1450" s="373"/>
    </row>
    <row r="1451" spans="1:1">
      <c r="A1451" s="373"/>
    </row>
    <row r="1452" spans="1:1">
      <c r="A1452" s="373"/>
    </row>
    <row r="1453" spans="1:1">
      <c r="A1453" s="373"/>
    </row>
    <row r="1454" spans="1:1">
      <c r="A1454" s="373"/>
    </row>
    <row r="1455" spans="1:1">
      <c r="A1455" s="373"/>
    </row>
    <row r="1456" spans="1:1">
      <c r="A1456" s="373"/>
    </row>
    <row r="1457" spans="1:1">
      <c r="A1457" s="373"/>
    </row>
    <row r="1458" spans="1:1">
      <c r="A1458" s="373"/>
    </row>
    <row r="1459" spans="1:1">
      <c r="A1459" s="373"/>
    </row>
    <row r="1460" spans="1:1">
      <c r="A1460" s="373"/>
    </row>
    <row r="1461" spans="1:1">
      <c r="A1461" s="373"/>
    </row>
    <row r="1462" spans="1:1">
      <c r="A1462" s="373"/>
    </row>
    <row r="1463" spans="1:1">
      <c r="A1463" s="373"/>
    </row>
    <row r="1464" spans="1:1">
      <c r="A1464" s="373"/>
    </row>
    <row r="1465" spans="1:1">
      <c r="A1465" s="373"/>
    </row>
    <row r="1466" spans="1:1">
      <c r="A1466" s="373"/>
    </row>
    <row r="1467" spans="1:1">
      <c r="A1467" s="373"/>
    </row>
    <row r="1468" spans="1:1">
      <c r="A1468" s="373"/>
    </row>
    <row r="1469" spans="1:1">
      <c r="A1469" s="373"/>
    </row>
    <row r="1470" spans="1:1">
      <c r="A1470" s="373"/>
    </row>
    <row r="1471" spans="1:1">
      <c r="A1471" s="373"/>
    </row>
    <row r="1472" spans="1:1">
      <c r="A1472" s="373"/>
    </row>
    <row r="1473" spans="1:1">
      <c r="A1473" s="373"/>
    </row>
    <row r="1474" spans="1:1">
      <c r="A1474" s="373"/>
    </row>
    <row r="1475" spans="1:1">
      <c r="A1475" s="373"/>
    </row>
    <row r="1476" spans="1:1">
      <c r="A1476" s="373"/>
    </row>
    <row r="1477" spans="1:1">
      <c r="A1477" s="373"/>
    </row>
    <row r="1478" spans="1:1">
      <c r="A1478" s="373"/>
    </row>
    <row r="1479" spans="1:1">
      <c r="A1479" s="373"/>
    </row>
    <row r="1480" spans="1:1">
      <c r="A1480" s="373"/>
    </row>
    <row r="1481" spans="1:1">
      <c r="A1481" s="373"/>
    </row>
    <row r="1482" spans="1:1">
      <c r="A1482" s="373"/>
    </row>
    <row r="1483" spans="1:1">
      <c r="A1483" s="373"/>
    </row>
    <row r="1484" spans="1:1">
      <c r="A1484" s="373"/>
    </row>
    <row r="1485" spans="1:1">
      <c r="A1485" s="373"/>
    </row>
    <row r="1486" spans="1:1">
      <c r="A1486" s="373"/>
    </row>
    <row r="1487" spans="1:1">
      <c r="A1487" s="373"/>
    </row>
    <row r="1488" spans="1:1">
      <c r="A1488" s="373"/>
    </row>
    <row r="1489" spans="1:1">
      <c r="A1489" s="373"/>
    </row>
    <row r="1490" spans="1:1">
      <c r="A1490" s="373"/>
    </row>
    <row r="1491" spans="1:1">
      <c r="A1491" s="373"/>
    </row>
    <row r="1492" spans="1:1">
      <c r="A1492" s="373"/>
    </row>
    <row r="1493" spans="1:1">
      <c r="A1493" s="373"/>
    </row>
    <row r="1494" spans="1:1">
      <c r="A1494" s="373"/>
    </row>
    <row r="1495" spans="1:1">
      <c r="A1495" s="373"/>
    </row>
    <row r="1496" spans="1:1">
      <c r="A1496" s="373"/>
    </row>
    <row r="1497" spans="1:1">
      <c r="A1497" s="373"/>
    </row>
    <row r="1498" spans="1:1">
      <c r="A1498" s="373"/>
    </row>
    <row r="1499" spans="1:1">
      <c r="A1499" s="373"/>
    </row>
    <row r="1500" spans="1:1">
      <c r="A1500" s="373"/>
    </row>
    <row r="1501" spans="1:1">
      <c r="A1501" s="373"/>
    </row>
    <row r="1502" spans="1:1">
      <c r="A1502" s="373"/>
    </row>
    <row r="1503" spans="1:1">
      <c r="A1503" s="373"/>
    </row>
    <row r="1504" spans="1:1">
      <c r="A1504" s="373"/>
    </row>
    <row r="1505" spans="1:1">
      <c r="A1505" s="373"/>
    </row>
    <row r="1506" spans="1:1">
      <c r="A1506" s="373"/>
    </row>
    <row r="1507" spans="1:1">
      <c r="A1507" s="373"/>
    </row>
    <row r="1508" spans="1:1">
      <c r="A1508" s="373"/>
    </row>
    <row r="1509" spans="1:1">
      <c r="A1509" s="373"/>
    </row>
    <row r="1510" spans="1:1">
      <c r="A1510" s="373"/>
    </row>
    <row r="1511" spans="1:1">
      <c r="A1511" s="373"/>
    </row>
    <row r="1512" spans="1:1">
      <c r="A1512" s="373"/>
    </row>
    <row r="1513" spans="1:1">
      <c r="A1513" s="373"/>
    </row>
    <row r="1514" spans="1:1">
      <c r="A1514" s="373"/>
    </row>
    <row r="1515" spans="1:1">
      <c r="A1515" s="373"/>
    </row>
    <row r="1516" spans="1:1">
      <c r="A1516" s="373"/>
    </row>
    <row r="1517" spans="1:1">
      <c r="A1517" s="373"/>
    </row>
    <row r="1518" spans="1:1">
      <c r="A1518" s="373"/>
    </row>
    <row r="1519" spans="1:1">
      <c r="A1519" s="373"/>
    </row>
    <row r="1520" spans="1:1">
      <c r="A1520" s="373"/>
    </row>
    <row r="1521" spans="1:1">
      <c r="A1521" s="373"/>
    </row>
    <row r="1522" spans="1:1">
      <c r="A1522" s="373"/>
    </row>
    <row r="1523" spans="1:1">
      <c r="A1523" s="373"/>
    </row>
    <row r="1524" spans="1:1">
      <c r="A1524" s="373"/>
    </row>
    <row r="1525" spans="1:1">
      <c r="A1525" s="373"/>
    </row>
    <row r="1526" spans="1:1">
      <c r="A1526" s="373"/>
    </row>
    <row r="1527" spans="1:1">
      <c r="A1527" s="373"/>
    </row>
    <row r="1528" spans="1:1">
      <c r="A1528" s="373"/>
    </row>
    <row r="1529" spans="1:1">
      <c r="A1529" s="373"/>
    </row>
    <row r="1530" spans="1:1">
      <c r="A1530" s="373"/>
    </row>
    <row r="1531" spans="1:1">
      <c r="A1531" s="373"/>
    </row>
    <row r="1532" spans="1:1">
      <c r="A1532" s="373"/>
    </row>
    <row r="1533" spans="1:1">
      <c r="A1533" s="373"/>
    </row>
    <row r="1534" spans="1:1">
      <c r="A1534" s="373"/>
    </row>
    <row r="1535" spans="1:1">
      <c r="A1535" s="373"/>
    </row>
    <row r="1536" spans="1:1">
      <c r="A1536" s="373"/>
    </row>
    <row r="1537" spans="1:1">
      <c r="A1537" s="373"/>
    </row>
    <row r="1538" spans="1:1">
      <c r="A1538" s="373"/>
    </row>
    <row r="1539" spans="1:1">
      <c r="A1539" s="373"/>
    </row>
    <row r="1540" spans="1:1">
      <c r="A1540" s="373"/>
    </row>
    <row r="1541" spans="1:1">
      <c r="A1541" s="373"/>
    </row>
    <row r="1542" spans="1:1">
      <c r="A1542" s="373"/>
    </row>
    <row r="1543" spans="1:1">
      <c r="A1543" s="373"/>
    </row>
    <row r="1544" spans="1:1">
      <c r="A1544" s="373"/>
    </row>
    <row r="1545" spans="1:1">
      <c r="A1545" s="373"/>
    </row>
    <row r="1546" spans="1:1">
      <c r="A1546" s="373"/>
    </row>
    <row r="1547" spans="1:1">
      <c r="A1547" s="373"/>
    </row>
    <row r="1548" spans="1:1">
      <c r="A1548" s="373"/>
    </row>
    <row r="1549" spans="1:1">
      <c r="A1549" s="373"/>
    </row>
    <row r="1550" spans="1:1">
      <c r="A1550" s="373"/>
    </row>
    <row r="1551" spans="1:1">
      <c r="A1551" s="373"/>
    </row>
    <row r="1552" spans="1:1">
      <c r="A1552" s="373"/>
    </row>
    <row r="1553" spans="1:1">
      <c r="A1553" s="373"/>
    </row>
    <row r="1554" spans="1:1">
      <c r="A1554" s="373"/>
    </row>
    <row r="1555" spans="1:1">
      <c r="A1555" s="373"/>
    </row>
    <row r="1556" spans="1:1">
      <c r="A1556" s="373"/>
    </row>
    <row r="1557" spans="1:1">
      <c r="A1557" s="373"/>
    </row>
    <row r="1558" spans="1:1">
      <c r="A1558" s="373"/>
    </row>
    <row r="1559" spans="1:1">
      <c r="A1559" s="373"/>
    </row>
    <row r="1560" spans="1:1">
      <c r="A1560" s="373"/>
    </row>
    <row r="1561" spans="1:1">
      <c r="A1561" s="373"/>
    </row>
    <row r="1562" spans="1:1">
      <c r="A1562" s="373"/>
    </row>
    <row r="1563" spans="1:1">
      <c r="A1563" s="373"/>
    </row>
    <row r="1564" spans="1:1">
      <c r="A1564" s="373"/>
    </row>
    <row r="1565" spans="1:1">
      <c r="A1565" s="373"/>
    </row>
    <row r="1566" spans="1:1">
      <c r="A1566" s="373"/>
    </row>
    <row r="1567" spans="1:1">
      <c r="A1567" s="373"/>
    </row>
    <row r="1568" spans="1:1">
      <c r="A1568" s="373"/>
    </row>
    <row r="1569" spans="1:1">
      <c r="A1569" s="373"/>
    </row>
    <row r="1570" spans="1:1">
      <c r="A1570" s="373"/>
    </row>
    <row r="1571" spans="1:1">
      <c r="A1571" s="373"/>
    </row>
    <row r="1572" spans="1:1">
      <c r="A1572" s="373"/>
    </row>
    <row r="1573" spans="1:1">
      <c r="A1573" s="373"/>
    </row>
    <row r="1574" spans="1:1">
      <c r="A1574" s="373"/>
    </row>
    <row r="1575" spans="1:1">
      <c r="A1575" s="373"/>
    </row>
    <row r="1576" spans="1:1">
      <c r="A1576" s="373"/>
    </row>
    <row r="1577" spans="1:1">
      <c r="A1577" s="373"/>
    </row>
    <row r="1578" spans="1:1">
      <c r="A1578" s="373"/>
    </row>
    <row r="1579" spans="1:1">
      <c r="A1579" s="373"/>
    </row>
    <row r="1580" spans="1:1">
      <c r="A1580" s="373"/>
    </row>
    <row r="1581" spans="1:1">
      <c r="A1581" s="373"/>
    </row>
    <row r="1582" spans="1:1">
      <c r="A1582" s="373"/>
    </row>
    <row r="1583" spans="1:1">
      <c r="A1583" s="373"/>
    </row>
    <row r="1584" spans="1:1">
      <c r="A1584" s="373"/>
    </row>
    <row r="1585" spans="1:1">
      <c r="A1585" s="373"/>
    </row>
    <row r="1586" spans="1:1">
      <c r="A1586" s="373"/>
    </row>
    <row r="1587" spans="1:1">
      <c r="A1587" s="373"/>
    </row>
    <row r="1588" spans="1:1">
      <c r="A1588" s="373"/>
    </row>
    <row r="1589" spans="1:1">
      <c r="A1589" s="373"/>
    </row>
    <row r="1590" spans="1:1">
      <c r="A1590" s="373"/>
    </row>
    <row r="1591" spans="1:1">
      <c r="A1591" s="373"/>
    </row>
    <row r="1592" spans="1:1">
      <c r="A1592" s="373"/>
    </row>
    <row r="1593" spans="1:1">
      <c r="A1593" s="373"/>
    </row>
    <row r="1594" spans="1:1">
      <c r="A1594" s="373"/>
    </row>
    <row r="1595" spans="1:1">
      <c r="A1595" s="373"/>
    </row>
    <row r="1596" spans="1:1">
      <c r="A1596" s="373"/>
    </row>
    <row r="1597" spans="1:1">
      <c r="A1597" s="373"/>
    </row>
    <row r="1598" spans="1:1">
      <c r="A1598" s="373"/>
    </row>
    <row r="1599" spans="1:1">
      <c r="A1599" s="373"/>
    </row>
    <row r="1600" spans="1:1">
      <c r="A1600" s="373"/>
    </row>
    <row r="1601" spans="1:1">
      <c r="A1601" s="373"/>
    </row>
    <row r="1602" spans="1:1">
      <c r="A1602" s="373"/>
    </row>
    <row r="1603" spans="1:1">
      <c r="A1603" s="373"/>
    </row>
    <row r="1604" spans="1:1">
      <c r="A1604" s="373"/>
    </row>
    <row r="1605" spans="1:1">
      <c r="A1605" s="373"/>
    </row>
    <row r="1606" spans="1:1">
      <c r="A1606" s="373"/>
    </row>
    <row r="1607" spans="1:1">
      <c r="A1607" s="373"/>
    </row>
    <row r="1608" spans="1:1">
      <c r="A1608" s="373"/>
    </row>
    <row r="1609" spans="1:1">
      <c r="A1609" s="373"/>
    </row>
    <row r="1610" spans="1:1">
      <c r="A1610" s="373"/>
    </row>
    <row r="1611" spans="1:1">
      <c r="A1611" s="373"/>
    </row>
    <row r="1612" spans="1:1">
      <c r="A1612" s="373"/>
    </row>
    <row r="1613" spans="1:1">
      <c r="A1613" s="373"/>
    </row>
    <row r="1614" spans="1:1">
      <c r="A1614" s="373"/>
    </row>
    <row r="1615" spans="1:1">
      <c r="A1615" s="373"/>
    </row>
    <row r="1616" spans="1:1">
      <c r="A1616" s="373"/>
    </row>
    <row r="1617" spans="1:1">
      <c r="A1617" s="373"/>
    </row>
    <row r="1618" spans="1:1">
      <c r="A1618" s="373"/>
    </row>
    <row r="1619" spans="1:1">
      <c r="A1619" s="373"/>
    </row>
    <row r="1620" spans="1:1">
      <c r="A1620" s="373"/>
    </row>
    <row r="1621" spans="1:1">
      <c r="A1621" s="373"/>
    </row>
    <row r="1622" spans="1:1">
      <c r="A1622" s="373"/>
    </row>
    <row r="1623" spans="1:1">
      <c r="A1623" s="373"/>
    </row>
    <row r="1624" spans="1:1">
      <c r="A1624" s="373"/>
    </row>
    <row r="1625" spans="1:1">
      <c r="A1625" s="373"/>
    </row>
    <row r="1626" spans="1:1">
      <c r="A1626" s="373"/>
    </row>
    <row r="1627" spans="1:1">
      <c r="A1627" s="373"/>
    </row>
    <row r="1628" spans="1:1">
      <c r="A1628" s="373"/>
    </row>
    <row r="1629" spans="1:1">
      <c r="A1629" s="373"/>
    </row>
    <row r="1630" spans="1:1">
      <c r="A1630" s="373"/>
    </row>
    <row r="1631" spans="1:1">
      <c r="A1631" s="373"/>
    </row>
    <row r="1632" spans="1:1">
      <c r="A1632" s="373"/>
    </row>
    <row r="1633" spans="1:1">
      <c r="A1633" s="373"/>
    </row>
    <row r="1634" spans="1:1">
      <c r="A1634" s="373"/>
    </row>
    <row r="1635" spans="1:1">
      <c r="A1635" s="373"/>
    </row>
    <row r="1636" spans="1:1">
      <c r="A1636" s="373"/>
    </row>
    <row r="1637" spans="1:1">
      <c r="A1637" s="373"/>
    </row>
    <row r="1638" spans="1:1">
      <c r="A1638" s="373"/>
    </row>
    <row r="1639" spans="1:1">
      <c r="A1639" s="373"/>
    </row>
    <row r="1640" spans="1:1">
      <c r="A1640" s="373"/>
    </row>
    <row r="1641" spans="1:1">
      <c r="A1641" s="373"/>
    </row>
    <row r="1642" spans="1:1">
      <c r="A1642" s="373"/>
    </row>
    <row r="1643" spans="1:1">
      <c r="A1643" s="373"/>
    </row>
    <row r="1644" spans="1:1">
      <c r="A1644" s="373"/>
    </row>
    <row r="1645" spans="1:1">
      <c r="A1645" s="373"/>
    </row>
    <row r="1646" spans="1:1">
      <c r="A1646" s="373"/>
    </row>
    <row r="1647" spans="1:1">
      <c r="A1647" s="373"/>
    </row>
    <row r="1648" spans="1:1">
      <c r="A1648" s="373"/>
    </row>
    <row r="1649" spans="1:1">
      <c r="A1649" s="373"/>
    </row>
    <row r="1650" spans="1:1">
      <c r="A1650" s="373"/>
    </row>
    <row r="1651" spans="1:1">
      <c r="A1651" s="373"/>
    </row>
    <row r="1652" spans="1:1">
      <c r="A1652" s="373"/>
    </row>
    <row r="1653" spans="1:1">
      <c r="A1653" s="373"/>
    </row>
    <row r="1654" spans="1:1">
      <c r="A1654" s="373"/>
    </row>
    <row r="1655" spans="1:1">
      <c r="A1655" s="373"/>
    </row>
    <row r="1656" spans="1:1">
      <c r="A1656" s="373"/>
    </row>
    <row r="1657" spans="1:1">
      <c r="A1657" s="373"/>
    </row>
    <row r="1658" spans="1:1">
      <c r="A1658" s="373"/>
    </row>
    <row r="1659" spans="1:1">
      <c r="A1659" s="373"/>
    </row>
    <row r="1660" spans="1:1">
      <c r="A1660" s="373"/>
    </row>
    <row r="1661" spans="1:1">
      <c r="A1661" s="373"/>
    </row>
    <row r="1662" spans="1:1">
      <c r="A1662" s="373"/>
    </row>
    <row r="1663" spans="1:1">
      <c r="A1663" s="373"/>
    </row>
    <row r="1664" spans="1:1">
      <c r="A1664" s="373"/>
    </row>
    <row r="1665" spans="1:1">
      <c r="A1665" s="373"/>
    </row>
    <row r="1666" spans="1:1">
      <c r="A1666" s="373"/>
    </row>
    <row r="1667" spans="1:1">
      <c r="A1667" s="373"/>
    </row>
    <row r="1668" spans="1:1">
      <c r="A1668" s="373"/>
    </row>
    <row r="1669" spans="1:1">
      <c r="A1669" s="373"/>
    </row>
    <row r="1670" spans="1:1">
      <c r="A1670" s="373"/>
    </row>
    <row r="1671" spans="1:1">
      <c r="A1671" s="373"/>
    </row>
    <row r="1672" spans="1:1">
      <c r="A1672" s="373"/>
    </row>
    <row r="1673" spans="1:1">
      <c r="A1673" s="373"/>
    </row>
    <row r="1674" spans="1:1">
      <c r="A1674" s="373"/>
    </row>
    <row r="1675" spans="1:1">
      <c r="A1675" s="373"/>
    </row>
    <row r="1676" spans="1:1">
      <c r="A1676" s="373"/>
    </row>
    <row r="1677" spans="1:1">
      <c r="A1677" s="373"/>
    </row>
    <row r="1678" spans="1:1">
      <c r="A1678" s="373"/>
    </row>
    <row r="1679" spans="1:1">
      <c r="A1679" s="373"/>
    </row>
    <row r="1680" spans="1:1">
      <c r="A1680" s="373"/>
    </row>
    <row r="1681" spans="1:1">
      <c r="A1681" s="373"/>
    </row>
    <row r="1682" spans="1:1">
      <c r="A1682" s="373"/>
    </row>
    <row r="1683" spans="1:1">
      <c r="A1683" s="373"/>
    </row>
    <row r="1684" spans="1:1">
      <c r="A1684" s="373"/>
    </row>
    <row r="1685" spans="1:1">
      <c r="A1685" s="373"/>
    </row>
    <row r="1686" spans="1:1">
      <c r="A1686" s="373"/>
    </row>
    <row r="1687" spans="1:1">
      <c r="A1687" s="373"/>
    </row>
    <row r="1688" spans="1:1">
      <c r="A1688" s="373"/>
    </row>
    <row r="1689" spans="1:1">
      <c r="A1689" s="373"/>
    </row>
    <row r="1690" spans="1:1">
      <c r="A1690" s="373"/>
    </row>
    <row r="1691" spans="1:1">
      <c r="A1691" s="373"/>
    </row>
    <row r="1692" spans="1:1">
      <c r="A1692" s="373"/>
    </row>
    <row r="1693" spans="1:1">
      <c r="A1693" s="373"/>
    </row>
    <row r="1694" spans="1:1">
      <c r="A1694" s="373"/>
    </row>
    <row r="1695" spans="1:1">
      <c r="A1695" s="373"/>
    </row>
    <row r="1696" spans="1:1">
      <c r="A1696" s="373"/>
    </row>
    <row r="1697" spans="1:1">
      <c r="A1697" s="373"/>
    </row>
    <row r="1698" spans="1:1">
      <c r="A1698" s="373"/>
    </row>
    <row r="1699" spans="1:1">
      <c r="A1699" s="373"/>
    </row>
    <row r="1700" spans="1:1">
      <c r="A1700" s="373"/>
    </row>
    <row r="1701" spans="1:1">
      <c r="A1701" s="373"/>
    </row>
    <row r="1702" spans="1:1">
      <c r="A1702" s="373"/>
    </row>
    <row r="1703" spans="1:1">
      <c r="A1703" s="373"/>
    </row>
    <row r="1704" spans="1:1">
      <c r="A1704" s="373"/>
    </row>
    <row r="1705" spans="1:1">
      <c r="A1705" s="373"/>
    </row>
    <row r="1706" spans="1:1">
      <c r="A1706" s="373"/>
    </row>
    <row r="1707" spans="1:1">
      <c r="A1707" s="373"/>
    </row>
    <row r="1708" spans="1:1">
      <c r="A1708" s="373"/>
    </row>
    <row r="1709" spans="1:1">
      <c r="A1709" s="373"/>
    </row>
    <row r="1710" spans="1:1">
      <c r="A1710" s="373"/>
    </row>
    <row r="1711" spans="1:1">
      <c r="A1711" s="373"/>
    </row>
    <row r="1712" spans="1:1">
      <c r="A1712" s="373"/>
    </row>
    <row r="1713" spans="1:1">
      <c r="A1713" s="373"/>
    </row>
    <row r="1714" spans="1:1">
      <c r="A1714" s="373"/>
    </row>
    <row r="1715" spans="1:1">
      <c r="A1715" s="373"/>
    </row>
    <row r="1716" spans="1:1">
      <c r="A1716" s="373"/>
    </row>
    <row r="1717" spans="1:1">
      <c r="A1717" s="373"/>
    </row>
    <row r="1718" spans="1:1">
      <c r="A1718" s="373"/>
    </row>
    <row r="1719" spans="1:1">
      <c r="A1719" s="373"/>
    </row>
    <row r="1720" spans="1:1">
      <c r="A1720" s="373"/>
    </row>
    <row r="1721" spans="1:1">
      <c r="A1721" s="373"/>
    </row>
    <row r="1722" spans="1:1">
      <c r="A1722" s="373"/>
    </row>
    <row r="1723" spans="1:1">
      <c r="A1723" s="373"/>
    </row>
    <row r="1724" spans="1:1">
      <c r="A1724" s="373"/>
    </row>
    <row r="1725" spans="1:1">
      <c r="A1725" s="373"/>
    </row>
    <row r="1726" spans="1:1">
      <c r="A1726" s="373"/>
    </row>
    <row r="1727" spans="1:1">
      <c r="A1727" s="373"/>
    </row>
    <row r="1728" spans="1:1">
      <c r="A1728" s="373"/>
    </row>
    <row r="1729" spans="1:1">
      <c r="A1729" s="373"/>
    </row>
    <row r="1730" spans="1:1">
      <c r="A1730" s="373"/>
    </row>
    <row r="1731" spans="1:1">
      <c r="A1731" s="373"/>
    </row>
    <row r="1732" spans="1:1">
      <c r="A1732" s="373"/>
    </row>
    <row r="1733" spans="1:1">
      <c r="A1733" s="373"/>
    </row>
    <row r="1734" spans="1:1">
      <c r="A1734" s="373"/>
    </row>
    <row r="1735" spans="1:1">
      <c r="A1735" s="373"/>
    </row>
    <row r="1736" spans="1:1">
      <c r="A1736" s="373"/>
    </row>
    <row r="1737" spans="1:1">
      <c r="A1737" s="373"/>
    </row>
    <row r="1738" spans="1:1">
      <c r="A1738" s="373"/>
    </row>
    <row r="1739" spans="1:1">
      <c r="A1739" s="373"/>
    </row>
    <row r="1740" spans="1:1">
      <c r="A1740" s="373"/>
    </row>
    <row r="1741" spans="1:1">
      <c r="A1741" s="373"/>
    </row>
    <row r="1742" spans="1:1">
      <c r="A1742" s="373"/>
    </row>
    <row r="1743" spans="1:1">
      <c r="A1743" s="373"/>
    </row>
    <row r="1744" spans="1:1">
      <c r="A1744" s="373"/>
    </row>
    <row r="1745" spans="1:1">
      <c r="A1745" s="373"/>
    </row>
    <row r="1746" spans="1:1">
      <c r="A1746" s="373"/>
    </row>
  </sheetData>
  <autoFilter ref="N2:Q114" xr:uid="{00000000-0009-0000-0000-000004000000}"/>
  <mergeCells count="14">
    <mergeCell ref="E15:F15"/>
    <mergeCell ref="X2:X3"/>
    <mergeCell ref="CY2:CZ2"/>
    <mergeCell ref="DA2:DB2"/>
    <mergeCell ref="DC2:DD2"/>
    <mergeCell ref="E14:F14"/>
    <mergeCell ref="F74:H74"/>
    <mergeCell ref="E17:F17"/>
    <mergeCell ref="E18:F18"/>
    <mergeCell ref="E19:F19"/>
    <mergeCell ref="D48:E48"/>
    <mergeCell ref="F48:G48"/>
    <mergeCell ref="D61:E61"/>
    <mergeCell ref="F61:G61"/>
  </mergeCells>
  <phoneticPr fontId="3" type="noConversion"/>
  <conditionalFormatting sqref="AT4:AU114 AT3 N46:Q113 AF3:AI114 AQ3:AR114 S46:S113 V46:W113 AA46:AA113 CA3:CC114 CK2 CF3:CK114 AL3:AO114 AB3:AD114">
    <cfRule type="cellIs" dxfId="357" priority="119" stopIfTrue="1" operator="equal">
      <formula>""</formula>
    </cfRule>
    <cfRule type="expression" dxfId="356" priority="120">
      <formula>""""""</formula>
    </cfRule>
  </conditionalFormatting>
  <conditionalFormatting sqref="AN85">
    <cfRule type="expression" dxfId="355" priority="118">
      <formula>""</formula>
    </cfRule>
  </conditionalFormatting>
  <conditionalFormatting sqref="AF3:AI3 AT3 AQ3:AR3 CA3:CC3 CK2 CF3:CK3 AL3:AO3 AB3:AD3">
    <cfRule type="cellIs" dxfId="354" priority="117" operator="equal">
      <formula>""""""</formula>
    </cfRule>
  </conditionalFormatting>
  <conditionalFormatting sqref="S116:S120 N2:Q114 S2:S114 V2:W114 V116:W120 AA1:AA1048576 X4:X6 X2">
    <cfRule type="containsBlanks" dxfId="353" priority="116" stopIfTrue="1">
      <formula>LEN(TRIM(N1))=0</formula>
    </cfRule>
  </conditionalFormatting>
  <conditionalFormatting sqref="N120 P119:Q120 N116:Q118">
    <cfRule type="containsBlanks" dxfId="352" priority="115" stopIfTrue="1">
      <formula>LEN(TRIM(N116))=0</formula>
    </cfRule>
  </conditionalFormatting>
  <conditionalFormatting sqref="AS3:AS114">
    <cfRule type="cellIs" dxfId="351" priority="113" stopIfTrue="1" operator="equal">
      <formula>""</formula>
    </cfRule>
    <cfRule type="expression" dxfId="350" priority="114">
      <formula>""""""</formula>
    </cfRule>
  </conditionalFormatting>
  <conditionalFormatting sqref="AS3">
    <cfRule type="cellIs" dxfId="349" priority="112" operator="equal">
      <formula>""""""</formula>
    </cfRule>
  </conditionalFormatting>
  <conditionalFormatting sqref="AV4:AV114">
    <cfRule type="cellIs" dxfId="348" priority="110" stopIfTrue="1" operator="equal">
      <formula>""</formula>
    </cfRule>
    <cfRule type="expression" dxfId="347" priority="111">
      <formula>""""""</formula>
    </cfRule>
  </conditionalFormatting>
  <conditionalFormatting sqref="BS3:BZ3">
    <cfRule type="cellIs" dxfId="346" priority="98" operator="equal">
      <formula>""""""</formula>
    </cfRule>
  </conditionalFormatting>
  <conditionalFormatting sqref="AU3:AV3">
    <cfRule type="cellIs" dxfId="345" priority="108" stopIfTrue="1" operator="equal">
      <formula>""</formula>
    </cfRule>
    <cfRule type="expression" dxfId="344" priority="109">
      <formula>""""""</formula>
    </cfRule>
  </conditionalFormatting>
  <conditionalFormatting sqref="AU3:AV3">
    <cfRule type="cellIs" dxfId="343" priority="107" operator="equal">
      <formula>""""""</formula>
    </cfRule>
  </conditionalFormatting>
  <conditionalFormatting sqref="BQ3:BQ114">
    <cfRule type="cellIs" dxfId="342" priority="105" stopIfTrue="1" operator="equal">
      <formula>""</formula>
    </cfRule>
    <cfRule type="expression" dxfId="341" priority="106">
      <formula>""""""</formula>
    </cfRule>
  </conditionalFormatting>
  <conditionalFormatting sqref="BQ3">
    <cfRule type="cellIs" dxfId="340" priority="104" operator="equal">
      <formula>""""""</formula>
    </cfRule>
  </conditionalFormatting>
  <conditionalFormatting sqref="BR3:BR114">
    <cfRule type="cellIs" dxfId="339" priority="102" stopIfTrue="1" operator="equal">
      <formula>""</formula>
    </cfRule>
    <cfRule type="expression" dxfId="338" priority="103">
      <formula>""""""</formula>
    </cfRule>
  </conditionalFormatting>
  <conditionalFormatting sqref="BR3">
    <cfRule type="cellIs" dxfId="337" priority="101" operator="equal">
      <formula>""""""</formula>
    </cfRule>
  </conditionalFormatting>
  <conditionalFormatting sqref="BS3:BZ114">
    <cfRule type="cellIs" dxfId="336" priority="99" stopIfTrue="1" operator="equal">
      <formula>""</formula>
    </cfRule>
    <cfRule type="expression" dxfId="335" priority="100">
      <formula>""""""</formula>
    </cfRule>
  </conditionalFormatting>
  <conditionalFormatting sqref="CE3:CE114">
    <cfRule type="cellIs" dxfId="334" priority="96" stopIfTrue="1" operator="equal">
      <formula>""</formula>
    </cfRule>
    <cfRule type="expression" dxfId="333" priority="97">
      <formula>""""""</formula>
    </cfRule>
  </conditionalFormatting>
  <conditionalFormatting sqref="CE3">
    <cfRule type="cellIs" dxfId="332" priority="95" operator="equal">
      <formula>""""""</formula>
    </cfRule>
  </conditionalFormatting>
  <conditionalFormatting sqref="AJ3:AK114">
    <cfRule type="cellIs" dxfId="331" priority="68" stopIfTrue="1" operator="equal">
      <formula>""</formula>
    </cfRule>
    <cfRule type="expression" dxfId="330" priority="69">
      <formula>""""""</formula>
    </cfRule>
  </conditionalFormatting>
  <conditionalFormatting sqref="AJ3:AK3">
    <cfRule type="cellIs" dxfId="329" priority="67" operator="equal">
      <formula>""""""</formula>
    </cfRule>
  </conditionalFormatting>
  <conditionalFormatting sqref="AZ3">
    <cfRule type="cellIs" dxfId="328" priority="89" operator="equal">
      <formula>""""""</formula>
    </cfRule>
  </conditionalFormatting>
  <conditionalFormatting sqref="BA3:BA114 AW3:AY114">
    <cfRule type="cellIs" dxfId="327" priority="93" stopIfTrue="1" operator="equal">
      <formula>""</formula>
    </cfRule>
    <cfRule type="expression" dxfId="326" priority="94">
      <formula>""""""</formula>
    </cfRule>
  </conditionalFormatting>
  <conditionalFormatting sqref="AW3:AY3 BA3">
    <cfRule type="cellIs" dxfId="325" priority="92" operator="equal">
      <formula>""""""</formula>
    </cfRule>
  </conditionalFormatting>
  <conditionalFormatting sqref="AZ3:AZ114">
    <cfRule type="cellIs" dxfId="324" priority="90" stopIfTrue="1" operator="equal">
      <formula>""</formula>
    </cfRule>
    <cfRule type="expression" dxfId="323" priority="91">
      <formula>""""""</formula>
    </cfRule>
  </conditionalFormatting>
  <conditionalFormatting sqref="BO3">
    <cfRule type="cellIs" dxfId="322" priority="71" operator="equal">
      <formula>""""""</formula>
    </cfRule>
  </conditionalFormatting>
  <conditionalFormatting sqref="BE3">
    <cfRule type="cellIs" dxfId="321" priority="83" operator="equal">
      <formula>""""""</formula>
    </cfRule>
  </conditionalFormatting>
  <conditionalFormatting sqref="BF3:BF114 BB3:BD114">
    <cfRule type="cellIs" dxfId="320" priority="87" stopIfTrue="1" operator="equal">
      <formula>""</formula>
    </cfRule>
    <cfRule type="expression" dxfId="319" priority="88">
      <formula>""""""</formula>
    </cfRule>
  </conditionalFormatting>
  <conditionalFormatting sqref="BB3:BD3 BF3">
    <cfRule type="cellIs" dxfId="318" priority="86" operator="equal">
      <formula>""""""</formula>
    </cfRule>
  </conditionalFormatting>
  <conditionalFormatting sqref="BE3:BE114">
    <cfRule type="cellIs" dxfId="317" priority="84" stopIfTrue="1" operator="equal">
      <formula>""</formula>
    </cfRule>
    <cfRule type="expression" dxfId="316" priority="85">
      <formula>""""""</formula>
    </cfRule>
  </conditionalFormatting>
  <conditionalFormatting sqref="BJ3">
    <cfRule type="cellIs" dxfId="315" priority="77" operator="equal">
      <formula>""""""</formula>
    </cfRule>
  </conditionalFormatting>
  <conditionalFormatting sqref="BK3:BK114 BG3:BI114">
    <cfRule type="cellIs" dxfId="314" priority="81" stopIfTrue="1" operator="equal">
      <formula>""</formula>
    </cfRule>
    <cfRule type="expression" dxfId="313" priority="82">
      <formula>""""""</formula>
    </cfRule>
  </conditionalFormatting>
  <conditionalFormatting sqref="BG3:BI3 BK3">
    <cfRule type="cellIs" dxfId="312" priority="80" operator="equal">
      <formula>""""""</formula>
    </cfRule>
  </conditionalFormatting>
  <conditionalFormatting sqref="BJ3:BJ114">
    <cfRule type="cellIs" dxfId="311" priority="78" stopIfTrue="1" operator="equal">
      <formula>""</formula>
    </cfRule>
    <cfRule type="expression" dxfId="310" priority="79">
      <formula>""""""</formula>
    </cfRule>
  </conditionalFormatting>
  <conditionalFormatting sqref="BP3:BP114 BL3:BN114">
    <cfRule type="cellIs" dxfId="309" priority="75" stopIfTrue="1" operator="equal">
      <formula>""</formula>
    </cfRule>
    <cfRule type="expression" dxfId="308" priority="76">
      <formula>""""""</formula>
    </cfRule>
  </conditionalFormatting>
  <conditionalFormatting sqref="BL3:BN3 BP3">
    <cfRule type="cellIs" dxfId="307" priority="74" operator="equal">
      <formula>""""""</formula>
    </cfRule>
  </conditionalFormatting>
  <conditionalFormatting sqref="BO3:BO114">
    <cfRule type="cellIs" dxfId="306" priority="72" stopIfTrue="1" operator="equal">
      <formula>""</formula>
    </cfRule>
    <cfRule type="expression" dxfId="305" priority="73">
      <formula>""""""</formula>
    </cfRule>
  </conditionalFormatting>
  <conditionalFormatting sqref="O120">
    <cfRule type="containsBlanks" dxfId="304" priority="70" stopIfTrue="1">
      <formula>LEN(TRIM(O120))=0</formula>
    </cfRule>
  </conditionalFormatting>
  <conditionalFormatting sqref="AP3:AP114">
    <cfRule type="cellIs" dxfId="303" priority="65" stopIfTrue="1" operator="equal">
      <formula>""</formula>
    </cfRule>
    <cfRule type="expression" dxfId="302" priority="66">
      <formula>""""""</formula>
    </cfRule>
  </conditionalFormatting>
  <conditionalFormatting sqref="AP3">
    <cfRule type="cellIs" dxfId="301" priority="64" operator="equal">
      <formula>""""""</formula>
    </cfRule>
  </conditionalFormatting>
  <conditionalFormatting sqref="AE3:AE114">
    <cfRule type="cellIs" dxfId="300" priority="62" stopIfTrue="1" operator="equal">
      <formula>""</formula>
    </cfRule>
    <cfRule type="expression" dxfId="299" priority="63">
      <formula>""""""</formula>
    </cfRule>
  </conditionalFormatting>
  <conditionalFormatting sqref="AE3">
    <cfRule type="cellIs" dxfId="298" priority="61" operator="equal">
      <formula>""""""</formula>
    </cfRule>
  </conditionalFormatting>
  <conditionalFormatting sqref="U46:U114">
    <cfRule type="cellIs" dxfId="297" priority="59" stopIfTrue="1" operator="equal">
      <formula>""</formula>
    </cfRule>
    <cfRule type="expression" dxfId="296" priority="60">
      <formula>""""""</formula>
    </cfRule>
  </conditionalFormatting>
  <conditionalFormatting sqref="U7:U114">
    <cfRule type="containsBlanks" dxfId="295" priority="58" stopIfTrue="1">
      <formula>LEN(TRIM(U7))=0</formula>
    </cfRule>
  </conditionalFormatting>
  <conditionalFormatting sqref="U116:U120">
    <cfRule type="containsBlanks" dxfId="294" priority="57" stopIfTrue="1">
      <formula>LEN(TRIM(U116))=0</formula>
    </cfRule>
  </conditionalFormatting>
  <conditionalFormatting sqref="U2:U6">
    <cfRule type="containsBlanks" dxfId="293" priority="56" stopIfTrue="1">
      <formula>LEN(TRIM(U2))=0</formula>
    </cfRule>
  </conditionalFormatting>
  <conditionalFormatting sqref="R46:R113">
    <cfRule type="cellIs" dxfId="292" priority="54" stopIfTrue="1" operator="equal">
      <formula>""</formula>
    </cfRule>
    <cfRule type="expression" dxfId="291" priority="55">
      <formula>""""""</formula>
    </cfRule>
  </conditionalFormatting>
  <conditionalFormatting sqref="R2:R114">
    <cfRule type="containsBlanks" dxfId="290" priority="53" stopIfTrue="1">
      <formula>LEN(TRIM(R2))=0</formula>
    </cfRule>
  </conditionalFormatting>
  <conditionalFormatting sqref="R116:R120">
    <cfRule type="containsBlanks" dxfId="289" priority="52" stopIfTrue="1">
      <formula>LEN(TRIM(R116))=0</formula>
    </cfRule>
  </conditionalFormatting>
  <conditionalFormatting sqref="Y46:Z113">
    <cfRule type="cellIs" dxfId="288" priority="50" stopIfTrue="1" operator="equal">
      <formula>""</formula>
    </cfRule>
    <cfRule type="expression" dxfId="287" priority="51">
      <formula>""""""</formula>
    </cfRule>
  </conditionalFormatting>
  <conditionalFormatting sqref="Y116:Z120 Y2:Z114">
    <cfRule type="containsBlanks" dxfId="286" priority="49" stopIfTrue="1">
      <formula>LEN(TRIM(Y2))=0</formula>
    </cfRule>
  </conditionalFormatting>
  <conditionalFormatting sqref="X46:X113">
    <cfRule type="cellIs" dxfId="285" priority="47" stopIfTrue="1" operator="equal">
      <formula>""</formula>
    </cfRule>
    <cfRule type="expression" dxfId="284" priority="48">
      <formula>""""""</formula>
    </cfRule>
  </conditionalFormatting>
  <conditionalFormatting sqref="X7:X114">
    <cfRule type="containsBlanks" dxfId="283" priority="46" stopIfTrue="1">
      <formula>LEN(TRIM(X7))=0</formula>
    </cfRule>
  </conditionalFormatting>
  <conditionalFormatting sqref="X116:X120">
    <cfRule type="containsBlanks" dxfId="282" priority="45" stopIfTrue="1">
      <formula>LEN(TRIM(X116))=0</formula>
    </cfRule>
  </conditionalFormatting>
  <conditionalFormatting sqref="CD3 CD5:CD114">
    <cfRule type="cellIs" dxfId="281" priority="43" stopIfTrue="1" operator="equal">
      <formula>""</formula>
    </cfRule>
    <cfRule type="expression" dxfId="280" priority="44">
      <formula>""""""</formula>
    </cfRule>
  </conditionalFormatting>
  <conditionalFormatting sqref="CD3">
    <cfRule type="cellIs" dxfId="279" priority="42" operator="equal">
      <formula>""""""</formula>
    </cfRule>
  </conditionalFormatting>
  <conditionalFormatting sqref="CL3:CL114 CM3:CO3 CM5:CM116 CN5:CO114 CQ3:CZ114">
    <cfRule type="cellIs" dxfId="278" priority="40" stopIfTrue="1" operator="equal">
      <formula>""</formula>
    </cfRule>
    <cfRule type="expression" dxfId="277" priority="41">
      <formula>""""""</formula>
    </cfRule>
  </conditionalFormatting>
  <conditionalFormatting sqref="CL3:CO3 CQ3:CZ3">
    <cfRule type="cellIs" dxfId="276" priority="39" operator="equal">
      <formula>""""""</formula>
    </cfRule>
  </conditionalFormatting>
  <conditionalFormatting sqref="CL3:CL114 CM3:CO3 CM5:CM116 CN5:CO114">
    <cfRule type="cellIs" dxfId="275" priority="38" stopIfTrue="1" operator="equal">
      <formula>""</formula>
    </cfRule>
  </conditionalFormatting>
  <conditionalFormatting sqref="CN115:CO116">
    <cfRule type="cellIs" dxfId="274" priority="36" stopIfTrue="1" operator="equal">
      <formula>""</formula>
    </cfRule>
    <cfRule type="expression" dxfId="273" priority="37">
      <formula>""""""</formula>
    </cfRule>
  </conditionalFormatting>
  <conditionalFormatting sqref="CN115:CO116">
    <cfRule type="cellIs" dxfId="272" priority="35" stopIfTrue="1" operator="equal">
      <formula>""</formula>
    </cfRule>
  </conditionalFormatting>
  <conditionalFormatting sqref="DA3:DB114 DA117:DB117">
    <cfRule type="cellIs" dxfId="271" priority="33" stopIfTrue="1" operator="equal">
      <formula>""</formula>
    </cfRule>
    <cfRule type="expression" dxfId="270" priority="34">
      <formula>""""""</formula>
    </cfRule>
  </conditionalFormatting>
  <conditionalFormatting sqref="DA117:DB117 DA3:DB3">
    <cfRule type="cellIs" dxfId="269" priority="32" operator="equal">
      <formula>""""""</formula>
    </cfRule>
  </conditionalFormatting>
  <conditionalFormatting sqref="CP115:CP116">
    <cfRule type="cellIs" dxfId="268" priority="26" stopIfTrue="1" operator="equal">
      <formula>""</formula>
    </cfRule>
    <cfRule type="expression" dxfId="267" priority="27">
      <formula>""""""</formula>
    </cfRule>
  </conditionalFormatting>
  <conditionalFormatting sqref="CP3 CP5:CP114">
    <cfRule type="cellIs" dxfId="266" priority="28" stopIfTrue="1" operator="equal">
      <formula>""</formula>
    </cfRule>
  </conditionalFormatting>
  <conditionalFormatting sqref="CP115:CP116">
    <cfRule type="cellIs" dxfId="265" priority="25" stopIfTrue="1" operator="equal">
      <formula>""</formula>
    </cfRule>
  </conditionalFormatting>
  <conditionalFormatting sqref="CP3 CP5:CP114">
    <cfRule type="cellIs" dxfId="264" priority="30" stopIfTrue="1" operator="equal">
      <formula>""</formula>
    </cfRule>
    <cfRule type="expression" dxfId="263" priority="31">
      <formula>""""""</formula>
    </cfRule>
  </conditionalFormatting>
  <conditionalFormatting sqref="CP3">
    <cfRule type="cellIs" dxfId="262" priority="29" operator="equal">
      <formula>""""""</formula>
    </cfRule>
  </conditionalFormatting>
  <conditionalFormatting sqref="CM4">
    <cfRule type="cellIs" dxfId="261" priority="23" stopIfTrue="1" operator="equal">
      <formula>""</formula>
    </cfRule>
    <cfRule type="expression" dxfId="260" priority="24">
      <formula>""""""</formula>
    </cfRule>
  </conditionalFormatting>
  <conditionalFormatting sqref="CM4">
    <cfRule type="cellIs" dxfId="259" priority="22" stopIfTrue="1" operator="equal">
      <formula>""</formula>
    </cfRule>
  </conditionalFormatting>
  <conditionalFormatting sqref="CN4">
    <cfRule type="cellIs" dxfId="258" priority="20" stopIfTrue="1" operator="equal">
      <formula>""</formula>
    </cfRule>
    <cfRule type="expression" dxfId="257" priority="21">
      <formula>""""""</formula>
    </cfRule>
  </conditionalFormatting>
  <conditionalFormatting sqref="CN4">
    <cfRule type="cellIs" dxfId="256" priority="19" stopIfTrue="1" operator="equal">
      <formula>""</formula>
    </cfRule>
  </conditionalFormatting>
  <conditionalFormatting sqref="CO4">
    <cfRule type="cellIs" dxfId="255" priority="17" stopIfTrue="1" operator="equal">
      <formula>""</formula>
    </cfRule>
    <cfRule type="expression" dxfId="254" priority="18">
      <formula>""""""</formula>
    </cfRule>
  </conditionalFormatting>
  <conditionalFormatting sqref="CO4">
    <cfRule type="cellIs" dxfId="253" priority="16" stopIfTrue="1" operator="equal">
      <formula>""</formula>
    </cfRule>
  </conditionalFormatting>
  <conditionalFormatting sqref="CP4">
    <cfRule type="cellIs" dxfId="252" priority="14" stopIfTrue="1" operator="equal">
      <formula>""</formula>
    </cfRule>
    <cfRule type="expression" dxfId="251" priority="15">
      <formula>""""""</formula>
    </cfRule>
  </conditionalFormatting>
  <conditionalFormatting sqref="CP4">
    <cfRule type="cellIs" dxfId="250" priority="13" stopIfTrue="1" operator="equal">
      <formula>""</formula>
    </cfRule>
  </conditionalFormatting>
  <conditionalFormatting sqref="T46:T114">
    <cfRule type="cellIs" dxfId="249" priority="11" stopIfTrue="1" operator="equal">
      <formula>""</formula>
    </cfRule>
    <cfRule type="expression" dxfId="248" priority="12">
      <formula>""""""</formula>
    </cfRule>
  </conditionalFormatting>
  <conditionalFormatting sqref="T7:T114">
    <cfRule type="containsBlanks" dxfId="247" priority="10" stopIfTrue="1">
      <formula>LEN(TRIM(T7))=0</formula>
    </cfRule>
  </conditionalFormatting>
  <conditionalFormatting sqref="T116:T120">
    <cfRule type="containsBlanks" dxfId="246" priority="9" stopIfTrue="1">
      <formula>LEN(TRIM(T116))=0</formula>
    </cfRule>
  </conditionalFormatting>
  <conditionalFormatting sqref="T2:T6">
    <cfRule type="containsBlanks" dxfId="245" priority="8" stopIfTrue="1">
      <formula>LEN(TRIM(T2))=0</formula>
    </cfRule>
  </conditionalFormatting>
  <conditionalFormatting sqref="DC3:DD3">
    <cfRule type="cellIs" dxfId="244" priority="6" stopIfTrue="1" operator="equal">
      <formula>""</formula>
    </cfRule>
    <cfRule type="expression" dxfId="243" priority="7">
      <formula>""""""</formula>
    </cfRule>
  </conditionalFormatting>
  <conditionalFormatting sqref="DC3:DD3">
    <cfRule type="cellIs" dxfId="242" priority="5" operator="equal">
      <formula>""""""</formula>
    </cfRule>
  </conditionalFormatting>
  <conditionalFormatting sqref="DC4:DD114">
    <cfRule type="cellIs" dxfId="241" priority="3" stopIfTrue="1" operator="equal">
      <formula>""</formula>
    </cfRule>
    <cfRule type="expression" dxfId="240" priority="4">
      <formula>""""""</formula>
    </cfRule>
  </conditionalFormatting>
  <conditionalFormatting sqref="CD4">
    <cfRule type="cellIs" dxfId="239" priority="1" stopIfTrue="1" operator="equal">
      <formula>""</formula>
    </cfRule>
    <cfRule type="expression" dxfId="238" priority="2">
      <formula>""""""</formula>
    </cfRule>
  </conditionalFormatting>
  <dataValidations disablePrompts="1" count="6">
    <dataValidation type="list" allowBlank="1" showInputMessage="1" showErrorMessage="1" sqref="E6" xr:uid="{00000000-0002-0000-0400-000000000000}">
      <formula1>OFFSET($D$49,1,0,COUNTA($D$50:$D$58))</formula1>
    </dataValidation>
    <dataValidation type="list" allowBlank="1" showInputMessage="1" showErrorMessage="1" sqref="E7" xr:uid="{00000000-0002-0000-0400-000001000000}">
      <formula1>OFFSET($F$49,1,0,COUNTA($F$50:$F$58))</formula1>
    </dataValidation>
    <dataValidation type="list" allowBlank="1" showInputMessage="1" showErrorMessage="1" sqref="E8" xr:uid="{00000000-0002-0000-0400-000002000000}">
      <formula1>OFFSET($D$62,1,0,COUNTA($D$63:$D$71))</formula1>
    </dataValidation>
    <dataValidation type="list" allowBlank="1" showInputMessage="1" showErrorMessage="1" sqref="E15:F15" xr:uid="{00000000-0002-0000-0400-000003000000}">
      <formula1>"반영,미반영"</formula1>
    </dataValidation>
    <dataValidation showInputMessage="1" showErrorMessage="1" sqref="E4" xr:uid="{00000000-0002-0000-0400-000004000000}"/>
    <dataValidation type="list" allowBlank="1" showInputMessage="1" showErrorMessage="1" sqref="E9" xr:uid="{00000000-0002-0000-0400-000005000000}">
      <formula1>OFFSET(#REF!,1,0,COUNTA(#REF!))</formula1>
    </dataValidation>
  </dataValidations>
  <pageMargins left="0.70866141732283472" right="0.70866141732283472" top="0.74803149606299213" bottom="0.74803149606299213" header="0.31496062992125984" footer="0.31496062992125984"/>
  <pageSetup paperSize="9" scale="52" orientation="landscape" r:id="rId1"/>
  <colBreaks count="1" manualBreakCount="1">
    <brk id="12" max="51" man="1"/>
  </col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AGP219"/>
  <sheetViews>
    <sheetView zoomScale="85" zoomScaleNormal="85" workbookViewId="0">
      <selection activeCell="F24" sqref="F24"/>
    </sheetView>
  </sheetViews>
  <sheetFormatPr defaultColWidth="9" defaultRowHeight="16.5"/>
  <cols>
    <col min="1" max="1" width="11" style="1" customWidth="1"/>
    <col min="2" max="2" width="1.625" style="2" customWidth="1"/>
    <col min="3" max="3" width="1.875" style="2" customWidth="1"/>
    <col min="4" max="4" width="14.625" style="2" customWidth="1"/>
    <col min="5" max="5" width="11.75" style="2" bestFit="1" customWidth="1"/>
    <col min="6" max="6" width="13" style="2" bestFit="1" customWidth="1"/>
    <col min="7" max="7" width="8.25" style="2" bestFit="1" customWidth="1"/>
    <col min="8" max="8" width="7.375" style="2" customWidth="1"/>
    <col min="9" max="9" width="16.75" style="5" customWidth="1"/>
    <col min="10" max="10" width="17.875" style="2" customWidth="1"/>
    <col min="11" max="11" width="15.25" style="2" bestFit="1" customWidth="1"/>
    <col min="12" max="12" width="3.875" style="2" customWidth="1"/>
    <col min="13" max="13" width="4.25" style="2" customWidth="1"/>
    <col min="14" max="15" width="9.875" style="221" customWidth="1"/>
    <col min="16" max="16" width="13.75" style="221" customWidth="1"/>
    <col min="17" max="17" width="14.25" style="221" bestFit="1" customWidth="1"/>
    <col min="18" max="18" width="12.375" style="221" bestFit="1" customWidth="1"/>
    <col min="19" max="19" width="10.25" style="221" bestFit="1" customWidth="1"/>
    <col min="20" max="20" width="7.25" style="221" customWidth="1"/>
    <col min="21" max="21" width="10" style="6" bestFit="1" customWidth="1"/>
    <col min="22" max="22" width="16.625" style="372" bestFit="1" customWidth="1"/>
    <col min="23" max="23" width="16.625" style="372" customWidth="1"/>
    <col min="24" max="24" width="16.625" style="372" bestFit="1" customWidth="1"/>
    <col min="25" max="26" width="14.125" style="372" bestFit="1" customWidth="1"/>
    <col min="27" max="27" width="14.25" style="7" bestFit="1" customWidth="1"/>
    <col min="28" max="29" width="13.25" style="7" customWidth="1"/>
    <col min="30" max="30" width="14.625" style="7" customWidth="1"/>
    <col min="31" max="31" width="13.25" style="7" customWidth="1"/>
    <col min="32" max="32" width="14.5" style="372" bestFit="1" customWidth="1"/>
    <col min="33" max="33" width="13.125" style="372" bestFit="1" customWidth="1"/>
    <col min="34" max="34" width="15.875" style="7" bestFit="1" customWidth="1"/>
    <col min="35" max="35" width="13.25" style="7" customWidth="1"/>
    <col min="36" max="38" width="14.125" style="7" customWidth="1"/>
    <col min="39" max="39" width="19.5" style="7" customWidth="1"/>
    <col min="40" max="40" width="14.125" style="7" customWidth="1"/>
    <col min="41" max="41" width="8.375" style="7" bestFit="1" customWidth="1"/>
    <col min="42" max="42" width="10.25" style="7" hidden="1" customWidth="1"/>
    <col min="43" max="43" width="4.875" style="7" hidden="1" customWidth="1"/>
    <col min="44" max="44" width="6.25" style="7" hidden="1" customWidth="1"/>
    <col min="45" max="45" width="6.375" style="7" hidden="1" customWidth="1"/>
    <col min="46" max="46" width="8.625" style="7" hidden="1" customWidth="1"/>
    <col min="47" max="47" width="10.25" style="7" hidden="1" customWidth="1"/>
    <col min="48" max="48" width="4.875" style="7" hidden="1" customWidth="1"/>
    <col min="49" max="49" width="6.25" style="7" hidden="1" customWidth="1"/>
    <col min="50" max="50" width="6.375" style="7" hidden="1" customWidth="1"/>
    <col min="51" max="51" width="8.625" style="7" hidden="1" customWidth="1"/>
    <col min="52" max="52" width="18.375" style="7" hidden="1" customWidth="1"/>
    <col min="53" max="53" width="4.875" style="7" hidden="1" customWidth="1"/>
    <col min="54" max="54" width="6.25" style="7" hidden="1" customWidth="1"/>
    <col min="55" max="55" width="6.375" style="7" hidden="1" customWidth="1"/>
    <col min="56" max="56" width="8.625" style="7" hidden="1" customWidth="1"/>
    <col min="57" max="57" width="15.125" style="7" hidden="1" customWidth="1"/>
    <col min="58" max="58" width="4.875" style="7" hidden="1" customWidth="1"/>
    <col min="59" max="59" width="6.25" style="7" hidden="1" customWidth="1"/>
    <col min="60" max="60" width="6.375" style="7" hidden="1" customWidth="1"/>
    <col min="61" max="61" width="8.625" style="7" hidden="1" customWidth="1"/>
    <col min="62" max="62" width="15.125" style="7" hidden="1" customWidth="1"/>
    <col min="63" max="63" width="4.875" style="7" hidden="1" customWidth="1"/>
    <col min="64" max="64" width="6.25" style="7" hidden="1" customWidth="1"/>
    <col min="65" max="65" width="6.375" style="7" hidden="1" customWidth="1"/>
    <col min="66" max="66" width="8.625" style="7" hidden="1" customWidth="1"/>
    <col min="67" max="67" width="4.875" style="7" bestFit="1" customWidth="1"/>
    <col min="68" max="68" width="13" style="7" bestFit="1" customWidth="1"/>
    <col min="69" max="69" width="5.75" style="7" bestFit="1" customWidth="1"/>
    <col min="70" max="70" width="7.875" style="7" bestFit="1" customWidth="1"/>
    <col min="71" max="71" width="13.25" style="7" bestFit="1" customWidth="1"/>
    <col min="72" max="72" width="16.25" style="7" bestFit="1" customWidth="1"/>
    <col min="73" max="73" width="7.125" style="7" bestFit="1" customWidth="1"/>
    <col min="74" max="74" width="7.375" style="7" bestFit="1" customWidth="1"/>
    <col min="75" max="75" width="14.125" style="7" bestFit="1" customWidth="1"/>
    <col min="76" max="76" width="6.125" style="7" bestFit="1" customWidth="1"/>
    <col min="77" max="81" width="13.125" style="7" customWidth="1"/>
    <col min="82" max="83" width="14.125" style="7" customWidth="1"/>
    <col min="84" max="85" width="15.875" style="7" bestFit="1" customWidth="1"/>
    <col min="86" max="87" width="14.125" style="7" customWidth="1"/>
    <col min="88" max="88" width="14.125" style="265" customWidth="1"/>
    <col min="89" max="89" width="4.75" style="12" customWidth="1"/>
    <col min="90" max="100" width="14.125" style="12" customWidth="1"/>
    <col min="101" max="136" width="9" style="373"/>
    <col min="137" max="137" width="9.75" style="373" bestFit="1" customWidth="1"/>
    <col min="138" max="16384" width="9" style="373"/>
  </cols>
  <sheetData>
    <row r="1" spans="1:874" ht="17.25" thickBot="1">
      <c r="C1" s="3"/>
      <c r="D1" s="4"/>
      <c r="E1" s="4"/>
      <c r="F1" s="4"/>
      <c r="G1" s="4"/>
      <c r="H1" s="4"/>
      <c r="K1" s="4"/>
      <c r="L1" s="4"/>
      <c r="M1" s="227"/>
      <c r="Q1" s="299"/>
      <c r="R1" s="300"/>
      <c r="AB1" s="8"/>
      <c r="AC1" s="8"/>
      <c r="AE1" s="10"/>
      <c r="AF1" s="11"/>
      <c r="AG1" s="11"/>
      <c r="AI1" s="8"/>
      <c r="AM1" s="199" t="s">
        <v>66</v>
      </c>
      <c r="AP1" s="504" t="s">
        <v>219</v>
      </c>
      <c r="AQ1" s="504"/>
      <c r="AR1" s="504"/>
      <c r="AS1" s="504"/>
      <c r="AT1" s="505" t="s">
        <v>66</v>
      </c>
      <c r="AU1" s="504" t="s">
        <v>162</v>
      </c>
      <c r="AV1" s="504"/>
      <c r="AW1" s="504"/>
      <c r="AX1" s="504"/>
      <c r="AY1" s="505" t="s">
        <v>66</v>
      </c>
      <c r="AZ1" s="504" t="s">
        <v>163</v>
      </c>
      <c r="BA1" s="504"/>
      <c r="BB1" s="504"/>
      <c r="BC1" s="504"/>
      <c r="BD1" s="505" t="s">
        <v>66</v>
      </c>
      <c r="BE1" s="504" t="s">
        <v>164</v>
      </c>
      <c r="BF1" s="504"/>
      <c r="BG1" s="504"/>
      <c r="BH1" s="504"/>
      <c r="BI1" s="505" t="s">
        <v>66</v>
      </c>
      <c r="BJ1" s="504" t="s">
        <v>165</v>
      </c>
      <c r="BK1" s="504"/>
      <c r="BL1" s="504"/>
      <c r="BM1" s="504"/>
      <c r="BN1" s="505" t="s">
        <v>66</v>
      </c>
      <c r="CD1" s="200" t="s">
        <v>255</v>
      </c>
      <c r="CE1" s="200" t="s">
        <v>255</v>
      </c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</row>
    <row r="2" spans="1:874" ht="18" thickTop="1" thickBot="1">
      <c r="A2" s="14"/>
      <c r="B2" s="15"/>
      <c r="C2" s="16"/>
      <c r="D2" s="17" t="s">
        <v>0</v>
      </c>
      <c r="E2" s="630" t="str">
        <f>Main_무해지!E2</f>
        <v>남자</v>
      </c>
      <c r="F2" s="422">
        <f>Main_무해지!F2</f>
        <v>1</v>
      </c>
      <c r="G2" s="18"/>
      <c r="H2" s="321"/>
      <c r="I2" s="434" t="s">
        <v>1</v>
      </c>
      <c r="J2" s="449"/>
      <c r="K2" s="451">
        <f>K7*$E$12/E19*10000</f>
        <v>10</v>
      </c>
      <c r="L2" s="601"/>
      <c r="M2" s="21"/>
      <c r="N2" s="301" t="s">
        <v>70</v>
      </c>
      <c r="O2" s="302" t="s">
        <v>95</v>
      </c>
      <c r="P2" s="302" t="s">
        <v>71</v>
      </c>
      <c r="Q2" s="303" t="s">
        <v>72</v>
      </c>
      <c r="R2" s="303" t="s">
        <v>85</v>
      </c>
      <c r="S2" s="304" t="s">
        <v>73</v>
      </c>
      <c r="T2" s="228"/>
      <c r="V2" s="15" t="s">
        <v>105</v>
      </c>
      <c r="W2" s="15"/>
      <c r="X2" s="15" t="s">
        <v>107</v>
      </c>
      <c r="Y2" s="15" t="s">
        <v>108</v>
      </c>
      <c r="Z2" s="22" t="s">
        <v>109</v>
      </c>
      <c r="AA2" s="22" t="s">
        <v>110</v>
      </c>
      <c r="AB2" s="23" t="s">
        <v>104</v>
      </c>
      <c r="AC2" s="23"/>
      <c r="AD2" s="23" t="s">
        <v>114</v>
      </c>
      <c r="AE2" s="23" t="s">
        <v>106</v>
      </c>
      <c r="AF2" s="23" t="s">
        <v>2</v>
      </c>
      <c r="AG2" s="23" t="s">
        <v>87</v>
      </c>
      <c r="AH2" s="22" t="s">
        <v>3</v>
      </c>
      <c r="AI2" s="23" t="s">
        <v>447</v>
      </c>
      <c r="AJ2" s="22" t="s">
        <v>118</v>
      </c>
      <c r="AK2" s="22"/>
      <c r="AL2" s="22"/>
      <c r="AM2" s="636">
        <v>1</v>
      </c>
      <c r="AN2" s="22"/>
      <c r="AO2" s="22"/>
      <c r="AP2" s="506"/>
      <c r="AQ2" s="506" t="s">
        <v>118</v>
      </c>
      <c r="AR2" s="506"/>
      <c r="AS2" s="506"/>
      <c r="AT2" s="507">
        <v>0</v>
      </c>
      <c r="AU2" s="506" t="s">
        <v>117</v>
      </c>
      <c r="AV2" s="506" t="s">
        <v>118</v>
      </c>
      <c r="AW2" s="506"/>
      <c r="AX2" s="506"/>
      <c r="AY2" s="507">
        <v>0</v>
      </c>
      <c r="AZ2" s="506" t="s">
        <v>117</v>
      </c>
      <c r="BA2" s="506" t="s">
        <v>118</v>
      </c>
      <c r="BB2" s="506"/>
      <c r="BC2" s="506"/>
      <c r="BD2" s="507">
        <v>0</v>
      </c>
      <c r="BE2" s="506" t="s">
        <v>117</v>
      </c>
      <c r="BF2" s="506" t="s">
        <v>118</v>
      </c>
      <c r="BG2" s="506"/>
      <c r="BH2" s="506"/>
      <c r="BI2" s="507">
        <v>0</v>
      </c>
      <c r="BJ2" s="506" t="s">
        <v>117</v>
      </c>
      <c r="BK2" s="506" t="s">
        <v>118</v>
      </c>
      <c r="BL2" s="506"/>
      <c r="BM2" s="506"/>
      <c r="BN2" s="507">
        <v>0</v>
      </c>
      <c r="BO2" s="22" t="s">
        <v>118</v>
      </c>
      <c r="BP2" s="22" t="s">
        <v>125</v>
      </c>
      <c r="BQ2" s="22"/>
      <c r="BR2" s="22"/>
      <c r="BS2" s="22"/>
      <c r="BT2" s="22" t="s">
        <v>126</v>
      </c>
      <c r="BU2" s="22"/>
      <c r="BV2" s="22"/>
      <c r="BW2" s="22"/>
      <c r="BX2" s="320">
        <v>1</v>
      </c>
      <c r="BY2" s="24"/>
      <c r="BZ2" s="24"/>
      <c r="CA2" s="24"/>
      <c r="CB2" s="24"/>
      <c r="CC2" s="24"/>
      <c r="CD2" s="26" t="s">
        <v>4</v>
      </c>
      <c r="CE2" s="26">
        <f>IF(F7=0,1,K38)</f>
        <v>1</v>
      </c>
      <c r="CG2" s="24"/>
      <c r="CH2" s="24"/>
      <c r="CI2" s="24"/>
      <c r="CJ2" s="266"/>
      <c r="CK2" s="233"/>
      <c r="CL2" s="233"/>
      <c r="CM2" s="233"/>
      <c r="CN2" s="233"/>
      <c r="CO2" s="233">
        <f>MIN($K$10,$K$11)</f>
        <v>0</v>
      </c>
      <c r="CP2" s="233"/>
      <c r="CQ2" s="233"/>
      <c r="CR2" s="233"/>
      <c r="CS2" s="233"/>
      <c r="CT2" s="233"/>
      <c r="CU2" s="233"/>
      <c r="CV2" s="233"/>
    </row>
    <row r="3" spans="1:874" ht="18" thickTop="1" thickBot="1">
      <c r="A3" s="14"/>
      <c r="B3" s="15"/>
      <c r="C3" s="28"/>
      <c r="D3" s="29" t="s">
        <v>6</v>
      </c>
      <c r="E3" s="631">
        <f>Main_무해지!E3</f>
        <v>0</v>
      </c>
      <c r="F3" s="696" t="s">
        <v>398</v>
      </c>
      <c r="G3" s="678">
        <f>+Main_무해지!G3</f>
        <v>1</v>
      </c>
      <c r="H3" s="322"/>
      <c r="I3" s="31" t="s">
        <v>7</v>
      </c>
      <c r="J3" s="32"/>
      <c r="K3" s="450">
        <f>K8*$E$12/E19*10000</f>
        <v>20</v>
      </c>
      <c r="L3" s="602"/>
      <c r="M3" s="33"/>
      <c r="N3" s="284" t="s">
        <v>74</v>
      </c>
      <c r="O3" s="283">
        <f>E3</f>
        <v>0</v>
      </c>
      <c r="P3" s="213">
        <v>0</v>
      </c>
      <c r="Q3" s="213">
        <f>+CJ4*E12/$E$19*10000</f>
        <v>0</v>
      </c>
      <c r="R3" s="213">
        <f>Q3</f>
        <v>0</v>
      </c>
      <c r="S3" s="399">
        <v>0</v>
      </c>
      <c r="T3" s="229"/>
      <c r="U3" s="34" t="s">
        <v>8</v>
      </c>
      <c r="V3" s="35" t="s">
        <v>9</v>
      </c>
      <c r="W3" s="39" t="s">
        <v>13</v>
      </c>
      <c r="X3" s="39" t="s">
        <v>122</v>
      </c>
      <c r="Y3" s="36" t="s">
        <v>111</v>
      </c>
      <c r="Z3" s="36" t="s">
        <v>112</v>
      </c>
      <c r="AA3" s="37" t="s">
        <v>113</v>
      </c>
      <c r="AB3" s="36" t="s">
        <v>115</v>
      </c>
      <c r="AC3" s="36" t="s">
        <v>13</v>
      </c>
      <c r="AD3" s="36" t="s">
        <v>116</v>
      </c>
      <c r="AE3" s="36" t="s">
        <v>122</v>
      </c>
      <c r="AF3" s="36" t="s">
        <v>256</v>
      </c>
      <c r="AG3" s="36" t="s">
        <v>11</v>
      </c>
      <c r="AH3" s="37" t="s">
        <v>12</v>
      </c>
      <c r="AI3" s="36" t="s">
        <v>13</v>
      </c>
      <c r="AJ3" s="36" t="s">
        <v>122</v>
      </c>
      <c r="AK3" s="36" t="s">
        <v>119</v>
      </c>
      <c r="AL3" s="36" t="s">
        <v>120</v>
      </c>
      <c r="AM3" s="290" t="s">
        <v>121</v>
      </c>
      <c r="AN3" s="313" t="s">
        <v>123</v>
      </c>
      <c r="AO3" s="314" t="s">
        <v>124</v>
      </c>
      <c r="AP3" s="35" t="s">
        <v>13</v>
      </c>
      <c r="AQ3" s="36" t="s">
        <v>122</v>
      </c>
      <c r="AR3" s="36" t="s">
        <v>119</v>
      </c>
      <c r="AS3" s="36" t="s">
        <v>120</v>
      </c>
      <c r="AT3" s="290" t="s">
        <v>121</v>
      </c>
      <c r="AU3" s="35" t="s">
        <v>13</v>
      </c>
      <c r="AV3" s="36" t="s">
        <v>122</v>
      </c>
      <c r="AW3" s="36" t="s">
        <v>119</v>
      </c>
      <c r="AX3" s="36" t="s">
        <v>120</v>
      </c>
      <c r="AY3" s="290" t="s">
        <v>121</v>
      </c>
      <c r="AZ3" s="35" t="s">
        <v>13</v>
      </c>
      <c r="BA3" s="36" t="s">
        <v>122</v>
      </c>
      <c r="BB3" s="36" t="s">
        <v>119</v>
      </c>
      <c r="BC3" s="36" t="s">
        <v>120</v>
      </c>
      <c r="BD3" s="290" t="s">
        <v>121</v>
      </c>
      <c r="BE3" s="35" t="s">
        <v>13</v>
      </c>
      <c r="BF3" s="36" t="s">
        <v>122</v>
      </c>
      <c r="BG3" s="36" t="s">
        <v>119</v>
      </c>
      <c r="BH3" s="36" t="s">
        <v>120</v>
      </c>
      <c r="BI3" s="290" t="s">
        <v>121</v>
      </c>
      <c r="BJ3" s="35" t="s">
        <v>13</v>
      </c>
      <c r="BK3" s="36" t="s">
        <v>122</v>
      </c>
      <c r="BL3" s="36" t="s">
        <v>119</v>
      </c>
      <c r="BM3" s="36" t="s">
        <v>120</v>
      </c>
      <c r="BN3" s="290" t="s">
        <v>121</v>
      </c>
      <c r="BO3" s="35" t="s">
        <v>122</v>
      </c>
      <c r="BP3" s="36" t="s">
        <v>127</v>
      </c>
      <c r="BQ3" s="36" t="s">
        <v>128</v>
      </c>
      <c r="BR3" s="36" t="s">
        <v>129</v>
      </c>
      <c r="BS3" s="36" t="s">
        <v>130</v>
      </c>
      <c r="BT3" s="36" t="s">
        <v>131</v>
      </c>
      <c r="BU3" s="36" t="s">
        <v>132</v>
      </c>
      <c r="BV3" s="36" t="s">
        <v>133</v>
      </c>
      <c r="BW3" s="36" t="s">
        <v>134</v>
      </c>
      <c r="BX3" s="36" t="s">
        <v>135</v>
      </c>
      <c r="BY3" s="38"/>
      <c r="BZ3" s="38"/>
      <c r="CA3" s="38"/>
      <c r="CB3" s="38"/>
      <c r="CC3" s="38" t="str">
        <f t="shared" ref="CC3:CC66" si="0">U3</f>
        <v>연 령</v>
      </c>
      <c r="CD3" s="36" t="s">
        <v>185</v>
      </c>
      <c r="CE3" s="36" t="s">
        <v>187</v>
      </c>
      <c r="CF3" s="36" t="s">
        <v>189</v>
      </c>
      <c r="CG3" s="36" t="s">
        <v>191</v>
      </c>
      <c r="CH3" s="36" t="s">
        <v>193</v>
      </c>
      <c r="CI3" s="37" t="s">
        <v>195</v>
      </c>
      <c r="CJ3" s="27" t="s">
        <v>197</v>
      </c>
      <c r="CK3" s="234"/>
      <c r="CL3" s="34" t="s">
        <v>8</v>
      </c>
      <c r="CM3" s="325" t="s">
        <v>138</v>
      </c>
      <c r="CN3" s="324" t="s">
        <v>136</v>
      </c>
      <c r="CO3" s="27" t="s">
        <v>137</v>
      </c>
      <c r="CP3" s="27" t="s">
        <v>139</v>
      </c>
      <c r="CQ3" s="234"/>
      <c r="CR3" s="234"/>
      <c r="CS3" s="234"/>
      <c r="CT3" s="234"/>
      <c r="CU3" s="234"/>
      <c r="CV3" s="234"/>
    </row>
    <row r="4" spans="1:874" ht="17.25" customHeight="1">
      <c r="A4" s="14"/>
      <c r="B4" s="15"/>
      <c r="C4" s="28"/>
      <c r="D4" s="29" t="s">
        <v>17</v>
      </c>
      <c r="E4" s="679">
        <f>Main_무해지!E4</f>
        <v>1</v>
      </c>
      <c r="F4" s="40">
        <f>Main_무해지!F4</f>
        <v>1</v>
      </c>
      <c r="G4" s="30"/>
      <c r="H4" s="321"/>
      <c r="I4" s="31" t="s">
        <v>230</v>
      </c>
      <c r="J4" s="585"/>
      <c r="K4" s="425">
        <f>K3-K2</f>
        <v>10</v>
      </c>
      <c r="L4" s="598"/>
      <c r="N4" s="272">
        <v>3</v>
      </c>
      <c r="O4" s="273">
        <f>E3</f>
        <v>0</v>
      </c>
      <c r="P4" s="271">
        <f>IF(N4="","",IF(F5=0,K3,IF(F6=12,K3*N4,K3)))</f>
        <v>60</v>
      </c>
      <c r="Q4" s="271">
        <f>Q3+(Q$7-Q$3)*$N4/12</f>
        <v>0</v>
      </c>
      <c r="R4" s="271">
        <f>ROUND(IF($F$5=0,Q4,MAX(Q4-((MIN(84,$F$5*12)-N4)/MIN(84,$F$5*12))*MIN($K$10,$K$11)*$E$12/$E$19*10000,0)),0)</f>
        <v>0</v>
      </c>
      <c r="S4" s="400">
        <f>IF(N4="","",IF(R4=0,0,ROUNDDOWN(R4/P4,3)))</f>
        <v>0</v>
      </c>
      <c r="T4" s="418"/>
      <c r="U4" s="41" t="str">
        <f>IF(E3=0,"0",E3)</f>
        <v>0</v>
      </c>
      <c r="V4" s="42">
        <f>Main_무해지!AC4</f>
        <v>0</v>
      </c>
      <c r="W4" s="45">
        <f>+Main_무해지!AD4</f>
        <v>0</v>
      </c>
      <c r="X4" s="45">
        <v>0</v>
      </c>
      <c r="Y4" s="262">
        <v>100000</v>
      </c>
      <c r="Z4" s="262">
        <f t="shared" ref="Z4:Z67" si="1">IF($U4="","",Y4*$E$17^($U4-$U$4))</f>
        <v>100000</v>
      </c>
      <c r="AA4" s="43">
        <f>IF($U4="","",SUM(Z4:Z$114))</f>
        <v>197799.51100244501</v>
      </c>
      <c r="AB4" s="262">
        <f>V4</f>
        <v>0</v>
      </c>
      <c r="AC4" s="262">
        <f>+W4</f>
        <v>0</v>
      </c>
      <c r="AD4" s="262">
        <f>Main_무해지!AJ4</f>
        <v>9.2999999999999997E-5</v>
      </c>
      <c r="AE4" s="262">
        <f t="shared" ref="AE4:AE67" si="2">X4</f>
        <v>0</v>
      </c>
      <c r="AF4" s="262">
        <v>100000</v>
      </c>
      <c r="AG4" s="262">
        <f t="shared" ref="AG4:AG67" si="3">IF($U4="","",AF4*$E$17^($U4-$U$4))</f>
        <v>100000</v>
      </c>
      <c r="AH4" s="43">
        <f>IF($U4="","",SUM(AG4:AG$114))</f>
        <v>197799.51100244501</v>
      </c>
      <c r="AI4" s="262">
        <f>Main_무해지!AP4</f>
        <v>1.5E-5</v>
      </c>
      <c r="AJ4" s="262">
        <f t="shared" ref="AJ4:AJ67" si="4">X4</f>
        <v>0</v>
      </c>
      <c r="AK4" s="262">
        <f t="shared" ref="AK4:AK67" si="5">IF($U4="","",$Y4*$AI4*(1-0.5*AJ4))</f>
        <v>1.5</v>
      </c>
      <c r="AL4" s="262">
        <f t="shared" ref="AL4:AL67" si="6">IF($U4="","",AK4*$E$17^($U4-$U$4+0.5))</f>
        <v>1.4834045293024463</v>
      </c>
      <c r="AM4" s="46">
        <f>IF($U4="","",SUM($AN4:$AN$114))</f>
        <v>2.9341669051483596</v>
      </c>
      <c r="AN4" s="262">
        <f>IF($U4="","",AL4*AO4)</f>
        <v>1.4834045293024463</v>
      </c>
      <c r="AO4" s="46">
        <f t="shared" ref="AO4:AO67" si="7">IF($U4="","",1+$F$8*$E$11*MIN(MAX((U4-U$4)-($F$9-1),0),$E$10))</f>
        <v>1</v>
      </c>
      <c r="AP4" s="42" t="e">
        <f>IF($U4="","",INDEX(#REF!,$U4+1))</f>
        <v>#REF!</v>
      </c>
      <c r="AQ4" s="262">
        <f t="shared" ref="AQ4:AQ67" si="8">X4</f>
        <v>0</v>
      </c>
      <c r="AR4" s="262" t="e">
        <f t="shared" ref="AR4:AR67" si="9">IF($U4="","",$Y4*$AP4*(1-0.5*AQ4))</f>
        <v>#REF!</v>
      </c>
      <c r="AS4" s="262" t="e">
        <f t="shared" ref="AS4:AS67" si="10">IF($U4="","",AR4*$E$17^($U4-$U$4+0.5))</f>
        <v>#REF!</v>
      </c>
      <c r="AT4" s="46" t="e">
        <f>IF($U4="","",SUM($AS4:$AS$114))</f>
        <v>#REF!</v>
      </c>
      <c r="AU4" s="42" t="e">
        <f>IF($U4="","",INDEX(#REF!,$U4+1))</f>
        <v>#REF!</v>
      </c>
      <c r="AV4" s="262">
        <f t="shared" ref="AV4:AV67" si="11">X4</f>
        <v>0</v>
      </c>
      <c r="AW4" s="262" t="e">
        <f t="shared" ref="AW4:AW67" si="12">IF($U4="","",$Y4*$AU4*(1-0.5*AV4))</f>
        <v>#REF!</v>
      </c>
      <c r="AX4" s="262" t="e">
        <f t="shared" ref="AX4:AX67" si="13">IF($U4="","",AW4*$E$17^($U4-$U$4+0.5))</f>
        <v>#REF!</v>
      </c>
      <c r="AY4" s="46" t="e">
        <f>IF($U4="","",SUM($AX4:$AX$114))</f>
        <v>#REF!</v>
      </c>
      <c r="AZ4" s="42" t="e">
        <f>IF($U4="","",INDEX(#REF!,$U4+1))</f>
        <v>#REF!</v>
      </c>
      <c r="BA4" s="262">
        <f t="shared" ref="BA4:BA67" si="14">X4</f>
        <v>0</v>
      </c>
      <c r="BB4" s="262" t="e">
        <f t="shared" ref="BB4:BB67" si="15">IF($U4="","",$Y4*$AZ4*(1-0.5*BA4))</f>
        <v>#REF!</v>
      </c>
      <c r="BC4" s="262" t="e">
        <f t="shared" ref="BC4:BC67" si="16">IF($U4="","",BB4*$E$17^($U4-$U$4+0.5))</f>
        <v>#REF!</v>
      </c>
      <c r="BD4" s="46" t="e">
        <f>IF($U4="","",SUM($BC4:$BC$114))</f>
        <v>#REF!</v>
      </c>
      <c r="BE4" s="42" t="e">
        <f>IF($U4="","",INDEX(#REF!,$U4+1))</f>
        <v>#REF!</v>
      </c>
      <c r="BF4" s="262">
        <f t="shared" ref="BF4:BF67" si="17">X4</f>
        <v>0</v>
      </c>
      <c r="BG4" s="262" t="e">
        <f t="shared" ref="BG4:BG67" si="18">IF($U4="","",$Y4*$BE4*(1-0.5*BF4))</f>
        <v>#REF!</v>
      </c>
      <c r="BH4" s="262" t="e">
        <f t="shared" ref="BH4:BH67" si="19">IF($U4="","",BG4*$E$17^($U4-$U$4+0.5))</f>
        <v>#REF!</v>
      </c>
      <c r="BI4" s="46" t="e">
        <f>IF($U4="","",SUM($BH4:$BH$114))</f>
        <v>#REF!</v>
      </c>
      <c r="BJ4" s="42" t="e">
        <f>IF($U4="","",INDEX(#REF!,$U4+1))</f>
        <v>#REF!</v>
      </c>
      <c r="BK4" s="262">
        <f t="shared" ref="BK4:BK67" si="20">X4</f>
        <v>0</v>
      </c>
      <c r="BL4" s="262" t="e">
        <f t="shared" ref="BL4:BL67" si="21">IF($U4="","",$Y4*$BJ4*(1-0.5*BK4))</f>
        <v>#REF!</v>
      </c>
      <c r="BM4" s="262" t="e">
        <f t="shared" ref="BM4:BM67" si="22">IF($U4="","",BL4*$E$17^($U4-$U$4+0.5))</f>
        <v>#REF!</v>
      </c>
      <c r="BN4" s="46" t="e">
        <f>IF($U4="","",SUM($BM4:$BM$114))</f>
        <v>#REF!</v>
      </c>
      <c r="BO4" s="42">
        <f t="shared" ref="BO4:BO67" si="23">X4</f>
        <v>0</v>
      </c>
      <c r="BP4" s="262">
        <f t="shared" ref="BP4:BP67" si="24">IF($U4="","",AF4*$BO4)</f>
        <v>0</v>
      </c>
      <c r="BQ4" s="262">
        <f t="shared" ref="BQ4:BQ67" si="25">IF($U4="","",BP4*$E$17^($U4-$U$4+0.5))</f>
        <v>0</v>
      </c>
      <c r="BR4" s="262"/>
      <c r="BS4" s="262">
        <f>IF($U4="","",BQ4*BR4)</f>
        <v>0</v>
      </c>
      <c r="BT4" s="262">
        <f t="shared" ref="BT4:BT67" si="26">IF($U4="","",(Y4-AF4)*$BO4)</f>
        <v>0</v>
      </c>
      <c r="BU4" s="262">
        <f t="shared" ref="BU4:BU67" si="27">IF($U4="","",BT4*$E$17^($U4-$U$4+0.5))</f>
        <v>0</v>
      </c>
      <c r="BV4" s="262"/>
      <c r="BW4" s="262">
        <f>IF($U4="","",BU4*BV4)</f>
        <v>0</v>
      </c>
      <c r="BX4" s="262">
        <f>IF($U4="","",SUM(BS4:BS$114)+SUM(BW4:BW$114))</f>
        <v>0</v>
      </c>
      <c r="BY4" s="44"/>
      <c r="BZ4" s="44"/>
      <c r="CA4" s="44"/>
      <c r="CB4" s="44"/>
      <c r="CC4" s="389" t="str">
        <f t="shared" si="0"/>
        <v>0</v>
      </c>
      <c r="CD4" s="262">
        <f>IF($U4="","",IF(AND($G$3=1,$F$4=1),0.475*$AM$2*(AM4-$AM$117),$AM$2*(AM4-$AM$117)))</f>
        <v>0.70461715141866199</v>
      </c>
      <c r="CE4" s="262">
        <f t="shared" ref="CE4:CE67" si="28">IF($U4="","",$BX$2*(BX4-$BX$117))</f>
        <v>0</v>
      </c>
      <c r="CF4" s="262">
        <f t="shared" ref="CF4:CF67" si="29">IF($U4="","",MAX(($AH4-AH$116)-(($CE$2-1)/(2*$CE$2))*($AG4-$AG$116),0))</f>
        <v>100000.00000000001</v>
      </c>
      <c r="CG4" s="262">
        <f>IF($U4="","",IF($F$5=0,$AA4-AA$117,MIN($AA4,$AA$116)-$AA$117))</f>
        <v>0</v>
      </c>
      <c r="CH4" s="262">
        <f t="shared" ref="CH4:CH67" si="30">IF($U4="","",$CE$2*$CF4*(-$K$48))</f>
        <v>-0.70461715141866199</v>
      </c>
      <c r="CI4" s="225">
        <f>IF($U4="","",IF($F$5=0,($CD4+$K$34*$K$55+$E$37*$CG4)/$Z4,($CD4+CE4+$CE$2*$K$34*(IF($F$7=0,$K$47,$K$55))+$E$29*$CG4+$CH4)/$Z4))</f>
        <v>0</v>
      </c>
      <c r="CJ4" s="47">
        <f t="shared" ref="CJ4:CJ67" si="31">IF(U4="","",ROUND(CI4,$E$18)*$E$19)</f>
        <v>0</v>
      </c>
      <c r="CK4" s="235"/>
      <c r="CL4" s="41" t="str">
        <f t="shared" ref="CL4:CL67" si="32">U4</f>
        <v>0</v>
      </c>
      <c r="CM4" s="47">
        <v>0</v>
      </c>
      <c r="CN4" s="47">
        <f>CJ4</f>
        <v>0</v>
      </c>
      <c r="CO4" s="47">
        <f t="shared" ref="CO4:CO67" si="33">IF(CL4="","",MAX($CO$2*(MIN($F$5,7)-CM4)/MIN($F$5,7),0))</f>
        <v>0</v>
      </c>
      <c r="CP4" s="47">
        <f>IF(CM4="","",MAX(CN4-CO4,0))</f>
        <v>0</v>
      </c>
      <c r="CQ4" s="235"/>
      <c r="CR4" s="235"/>
      <c r="CS4" s="235"/>
      <c r="CT4" s="235"/>
      <c r="CU4" s="235"/>
      <c r="CV4" s="235"/>
      <c r="CW4" s="478"/>
      <c r="CX4" s="478"/>
      <c r="CY4" s="478"/>
      <c r="CZ4" s="478"/>
      <c r="DA4" s="478"/>
      <c r="DB4" s="478"/>
      <c r="DC4" s="478"/>
      <c r="DD4" s="478"/>
      <c r="DE4" s="478"/>
      <c r="DF4" s="478"/>
      <c r="DG4" s="478"/>
      <c r="DH4" s="478"/>
      <c r="DI4" s="478"/>
      <c r="DJ4" s="478"/>
      <c r="DK4" s="478"/>
      <c r="DL4" s="478"/>
      <c r="DM4" s="478"/>
      <c r="DN4" s="478"/>
      <c r="DO4" s="478"/>
      <c r="DP4" s="478"/>
      <c r="DQ4" s="478"/>
      <c r="DR4" s="478"/>
      <c r="DS4" s="478"/>
      <c r="DT4" s="478"/>
      <c r="DU4" s="478"/>
      <c r="DV4" s="478"/>
      <c r="DW4" s="478"/>
      <c r="DX4" s="478"/>
      <c r="DY4" s="478"/>
      <c r="DZ4" s="478"/>
      <c r="EA4" s="478"/>
      <c r="EB4" s="478"/>
      <c r="EC4" s="478"/>
      <c r="ED4" s="478"/>
      <c r="EE4" s="478"/>
      <c r="EF4" s="478"/>
      <c r="EG4" s="478"/>
      <c r="FE4" s="373" ph="1"/>
      <c r="FF4" s="373" ph="1"/>
      <c r="GR4" s="373" ph="1"/>
      <c r="GS4" s="373" ph="1"/>
      <c r="GW4" s="373" ph="1"/>
      <c r="GX4" s="373" ph="1"/>
      <c r="GZ4" s="373" ph="1"/>
      <c r="HA4" s="373" ph="1"/>
      <c r="HB4" s="373" ph="1"/>
      <c r="HC4" s="373" ph="1"/>
      <c r="HE4" s="373" ph="1"/>
      <c r="HF4" s="373" ph="1"/>
      <c r="HG4" s="373" ph="1"/>
      <c r="HH4" s="373" ph="1"/>
      <c r="HI4" s="373" ph="1"/>
      <c r="HJ4" s="373" ph="1"/>
      <c r="HK4" s="373" ph="1"/>
      <c r="HL4" s="373" ph="1"/>
      <c r="HM4" s="373" ph="1"/>
      <c r="HN4" s="373" ph="1"/>
      <c r="HO4" s="373" ph="1"/>
      <c r="HP4" s="373" ph="1"/>
      <c r="HQ4" s="373" ph="1"/>
      <c r="HR4" s="373" ph="1"/>
      <c r="HS4" s="373" ph="1"/>
      <c r="HT4" s="373" ph="1"/>
      <c r="HU4" s="373" ph="1"/>
      <c r="HW4" s="373" ph="1"/>
      <c r="HX4" s="373" ph="1"/>
      <c r="HY4" s="373" ph="1"/>
      <c r="HZ4" s="373" ph="1"/>
      <c r="IB4" s="373" ph="1"/>
      <c r="IC4" s="373" ph="1"/>
      <c r="ID4" s="373" ph="1"/>
      <c r="IE4" s="373" ph="1"/>
      <c r="IF4" s="373" ph="1"/>
      <c r="IG4" s="373" ph="1"/>
      <c r="IH4" s="373" ph="1"/>
      <c r="II4" s="373" ph="1"/>
      <c r="IJ4" s="373" ph="1"/>
      <c r="IK4" s="373" ph="1"/>
      <c r="IL4" s="373" ph="1"/>
      <c r="IM4" s="373" ph="1"/>
      <c r="IN4" s="373" ph="1"/>
      <c r="IO4" s="373" ph="1"/>
      <c r="IP4" s="373" ph="1"/>
      <c r="IS4" s="373" ph="1"/>
      <c r="IT4" s="373" ph="1"/>
      <c r="IV4" s="373" ph="1"/>
      <c r="IW4" s="373" ph="1"/>
      <c r="IX4" s="373" ph="1"/>
      <c r="IY4" s="373" ph="1"/>
      <c r="JA4" s="373" ph="1"/>
      <c r="JB4" s="373" ph="1"/>
      <c r="JC4" s="373" ph="1"/>
      <c r="JD4" s="373" ph="1"/>
      <c r="JE4" s="373" ph="1"/>
      <c r="JF4" s="373" ph="1"/>
      <c r="JG4" s="373" ph="1"/>
      <c r="JH4" s="373" ph="1"/>
      <c r="JI4" s="373" ph="1"/>
      <c r="JJ4" s="373" ph="1"/>
      <c r="JK4" s="373" ph="1"/>
      <c r="JL4" s="373" ph="1"/>
      <c r="JM4" s="373" ph="1"/>
      <c r="JN4" s="373" ph="1"/>
      <c r="JO4" s="373" ph="1"/>
      <c r="JP4" s="373" ph="1"/>
      <c r="JQ4" s="373" ph="1"/>
      <c r="JS4" s="373" ph="1"/>
      <c r="JT4" s="373" ph="1"/>
      <c r="JU4" s="373" ph="1"/>
      <c r="JV4" s="373" ph="1"/>
      <c r="JX4" s="373" ph="1"/>
      <c r="JY4" s="373" ph="1"/>
      <c r="JZ4" s="373" ph="1"/>
      <c r="KA4" s="373" ph="1"/>
      <c r="KB4" s="373" ph="1"/>
      <c r="KC4" s="373" ph="1"/>
      <c r="KD4" s="373" ph="1"/>
      <c r="KE4" s="373" ph="1"/>
      <c r="KF4" s="373" ph="1"/>
      <c r="KG4" s="373" ph="1"/>
      <c r="KH4" s="373" ph="1"/>
      <c r="KI4" s="373" ph="1"/>
      <c r="KJ4" s="373" ph="1"/>
      <c r="KK4" s="373" ph="1"/>
      <c r="KL4" s="373" ph="1"/>
      <c r="KM4" s="373" ph="1"/>
      <c r="KN4" s="373" ph="1"/>
      <c r="KO4" s="373" ph="1"/>
      <c r="KP4" s="373" ph="1"/>
      <c r="KQ4" s="373" ph="1"/>
      <c r="KR4" s="373" ph="1"/>
      <c r="KS4" s="373" ph="1"/>
      <c r="KT4" s="373" ph="1"/>
      <c r="KU4" s="373" ph="1"/>
      <c r="KV4" s="373" ph="1"/>
      <c r="KW4" s="373" ph="1"/>
      <c r="KX4" s="373" ph="1"/>
      <c r="KY4" s="373" ph="1"/>
      <c r="KZ4" s="373" ph="1"/>
      <c r="LA4" s="373" ph="1"/>
      <c r="LB4" s="373" ph="1"/>
      <c r="LC4" s="373" ph="1"/>
      <c r="LD4" s="373" ph="1"/>
      <c r="LE4" s="373" ph="1"/>
      <c r="LH4" s="373" ph="1"/>
      <c r="LI4" s="373" ph="1"/>
      <c r="MU4" s="373" ph="1"/>
      <c r="MV4" s="373" ph="1"/>
      <c r="MZ4" s="373" ph="1"/>
      <c r="NA4" s="373" ph="1"/>
      <c r="NC4" s="373" ph="1"/>
      <c r="ND4" s="373" ph="1"/>
      <c r="NE4" s="373" ph="1"/>
      <c r="NF4" s="373" ph="1"/>
      <c r="NH4" s="373" ph="1"/>
      <c r="NI4" s="373" ph="1"/>
      <c r="NJ4" s="373" ph="1"/>
      <c r="NK4" s="373" ph="1"/>
      <c r="NL4" s="373" ph="1"/>
      <c r="NM4" s="373" ph="1"/>
      <c r="NN4" s="373" ph="1"/>
      <c r="NO4" s="373" ph="1"/>
      <c r="NP4" s="373" ph="1"/>
      <c r="NQ4" s="373" ph="1"/>
      <c r="NR4" s="373" ph="1"/>
      <c r="NS4" s="373" ph="1"/>
      <c r="NT4" s="373" ph="1"/>
      <c r="NU4" s="373" ph="1"/>
      <c r="NV4" s="373" ph="1"/>
      <c r="NW4" s="373" ph="1"/>
      <c r="NX4" s="373" ph="1"/>
      <c r="NZ4" s="373" ph="1"/>
      <c r="OA4" s="373" ph="1"/>
      <c r="OB4" s="373" ph="1"/>
      <c r="OC4" s="373" ph="1"/>
      <c r="OE4" s="373" ph="1"/>
      <c r="OF4" s="373" ph="1"/>
      <c r="OG4" s="373" ph="1"/>
      <c r="OH4" s="373" ph="1"/>
      <c r="OI4" s="373" ph="1"/>
      <c r="OJ4" s="373" ph="1"/>
      <c r="OK4" s="373" ph="1"/>
      <c r="OL4" s="373" ph="1"/>
      <c r="OM4" s="373" ph="1"/>
      <c r="ON4" s="373" ph="1"/>
      <c r="OO4" s="373" ph="1"/>
      <c r="OP4" s="373" ph="1"/>
      <c r="OQ4" s="373" ph="1"/>
      <c r="OR4" s="373" ph="1"/>
      <c r="OS4" s="373" ph="1"/>
      <c r="OV4" s="373" ph="1"/>
      <c r="OW4" s="373" ph="1"/>
      <c r="OY4" s="373" ph="1"/>
      <c r="OZ4" s="373" ph="1"/>
      <c r="PA4" s="373" ph="1"/>
      <c r="PB4" s="373" ph="1"/>
      <c r="PD4" s="373" ph="1"/>
      <c r="PE4" s="373" ph="1"/>
      <c r="PF4" s="373" ph="1"/>
      <c r="PG4" s="373" ph="1"/>
      <c r="PH4" s="373" ph="1"/>
      <c r="PI4" s="373" ph="1"/>
      <c r="PJ4" s="373" ph="1"/>
      <c r="PK4" s="373" ph="1"/>
      <c r="PL4" s="373" ph="1"/>
      <c r="PM4" s="373" ph="1"/>
      <c r="PN4" s="373" ph="1"/>
      <c r="PO4" s="373" ph="1"/>
      <c r="PP4" s="373" ph="1"/>
      <c r="PQ4" s="373" ph="1"/>
      <c r="PR4" s="373" ph="1"/>
      <c r="PS4" s="373" ph="1"/>
      <c r="PT4" s="373" ph="1"/>
      <c r="PV4" s="373" ph="1"/>
      <c r="PW4" s="373" ph="1"/>
      <c r="PX4" s="373" ph="1"/>
      <c r="PY4" s="373" ph="1"/>
      <c r="QA4" s="373" ph="1"/>
      <c r="QB4" s="373" ph="1"/>
      <c r="QC4" s="373" ph="1"/>
      <c r="QD4" s="373" ph="1"/>
      <c r="QE4" s="373" ph="1"/>
      <c r="QF4" s="373" ph="1"/>
      <c r="QG4" s="373" ph="1"/>
      <c r="QH4" s="373" ph="1"/>
      <c r="QI4" s="373" ph="1"/>
      <c r="QJ4" s="373" ph="1"/>
      <c r="QK4" s="373" ph="1"/>
      <c r="QL4" s="373" ph="1"/>
      <c r="QM4" s="373" ph="1"/>
      <c r="QN4" s="373" ph="1"/>
      <c r="QO4" s="373" ph="1"/>
      <c r="QP4" s="373" ph="1"/>
      <c r="QQ4" s="373" ph="1"/>
      <c r="QR4" s="373" ph="1"/>
      <c r="QS4" s="373" ph="1"/>
      <c r="QT4" s="373" ph="1"/>
      <c r="QU4" s="373" ph="1"/>
      <c r="QV4" s="373" ph="1"/>
      <c r="QW4" s="373" ph="1"/>
      <c r="QX4" s="373" ph="1"/>
      <c r="QY4" s="373" ph="1"/>
      <c r="QZ4" s="373" ph="1"/>
      <c r="RA4" s="373" ph="1"/>
      <c r="RB4" s="373" ph="1"/>
      <c r="RC4" s="373" ph="1"/>
      <c r="RD4" s="373" ph="1"/>
      <c r="RE4" s="373" ph="1"/>
      <c r="RF4" s="373" ph="1"/>
      <c r="RG4" s="373" ph="1"/>
      <c r="RH4" s="373" ph="1"/>
      <c r="RI4" s="373" ph="1"/>
      <c r="RJ4" s="373" ph="1"/>
      <c r="RM4" s="373" ph="1"/>
      <c r="RN4" s="373" ph="1"/>
      <c r="SZ4" s="373" ph="1"/>
      <c r="TA4" s="373" ph="1"/>
      <c r="TE4" s="373" ph="1"/>
      <c r="TF4" s="373" ph="1"/>
      <c r="TH4" s="373" ph="1"/>
      <c r="TI4" s="373" ph="1"/>
      <c r="TJ4" s="373" ph="1"/>
      <c r="TK4" s="373" ph="1"/>
      <c r="TM4" s="373" ph="1"/>
      <c r="TN4" s="373" ph="1"/>
      <c r="TO4" s="373" ph="1"/>
      <c r="TP4" s="373" ph="1"/>
      <c r="TQ4" s="373" ph="1"/>
      <c r="TR4" s="373" ph="1"/>
      <c r="TS4" s="373" ph="1"/>
      <c r="TT4" s="373" ph="1"/>
      <c r="TU4" s="373" ph="1"/>
      <c r="TV4" s="373" ph="1"/>
      <c r="TW4" s="373" ph="1"/>
      <c r="TX4" s="373" ph="1"/>
      <c r="TY4" s="373" ph="1"/>
      <c r="TZ4" s="373" ph="1"/>
      <c r="UA4" s="373" ph="1"/>
      <c r="UB4" s="373" ph="1"/>
      <c r="UC4" s="373" ph="1"/>
      <c r="UE4" s="373" ph="1"/>
      <c r="UF4" s="373" ph="1"/>
      <c r="UG4" s="373" ph="1"/>
      <c r="UH4" s="373" ph="1"/>
      <c r="UJ4" s="373" ph="1"/>
      <c r="UK4" s="373" ph="1"/>
      <c r="UL4" s="373" ph="1"/>
      <c r="UM4" s="373" ph="1"/>
      <c r="UN4" s="373" ph="1"/>
      <c r="UO4" s="373" ph="1"/>
      <c r="UP4" s="373" ph="1"/>
      <c r="UQ4" s="373" ph="1"/>
      <c r="UR4" s="373" ph="1"/>
      <c r="US4" s="373" ph="1"/>
      <c r="UT4" s="373" ph="1"/>
      <c r="UU4" s="373" ph="1"/>
      <c r="UV4" s="373" ph="1"/>
      <c r="UW4" s="373" ph="1"/>
      <c r="UX4" s="373" ph="1"/>
      <c r="VA4" s="373" ph="1"/>
      <c r="VB4" s="373" ph="1"/>
      <c r="VD4" s="373" ph="1"/>
      <c r="VE4" s="373" ph="1"/>
      <c r="VF4" s="373" ph="1"/>
      <c r="VG4" s="373" ph="1"/>
      <c r="VI4" s="373" ph="1"/>
      <c r="VJ4" s="373" ph="1"/>
      <c r="VK4" s="373" ph="1"/>
      <c r="VL4" s="373" ph="1"/>
      <c r="VM4" s="373" ph="1"/>
      <c r="VN4" s="373" ph="1"/>
      <c r="VO4" s="373" ph="1"/>
      <c r="VP4" s="373" ph="1"/>
      <c r="VQ4" s="373" ph="1"/>
      <c r="VR4" s="373" ph="1"/>
      <c r="VS4" s="373" ph="1"/>
      <c r="VT4" s="373" ph="1"/>
      <c r="VU4" s="373" ph="1"/>
      <c r="VV4" s="373" ph="1"/>
      <c r="VW4" s="373" ph="1"/>
      <c r="VX4" s="373" ph="1"/>
      <c r="VY4" s="373" ph="1"/>
      <c r="WA4" s="373" ph="1"/>
      <c r="WB4" s="373" ph="1"/>
      <c r="WC4" s="373" ph="1"/>
      <c r="WD4" s="373" ph="1"/>
      <c r="WF4" s="373" ph="1"/>
      <c r="WG4" s="373" ph="1"/>
      <c r="WH4" s="373" ph="1"/>
      <c r="WI4" s="373" ph="1"/>
      <c r="WJ4" s="373" ph="1"/>
      <c r="WK4" s="373" ph="1"/>
      <c r="WL4" s="373" ph="1"/>
      <c r="WM4" s="373" ph="1"/>
      <c r="WN4" s="373" ph="1"/>
      <c r="WO4" s="373" ph="1"/>
      <c r="WP4" s="373" ph="1"/>
      <c r="WQ4" s="373" ph="1"/>
      <c r="WR4" s="373" ph="1"/>
      <c r="WS4" s="373" ph="1"/>
      <c r="WT4" s="373" ph="1"/>
      <c r="WU4" s="373" ph="1"/>
      <c r="WV4" s="373" ph="1"/>
      <c r="WW4" s="373" ph="1"/>
      <c r="WX4" s="373" ph="1"/>
      <c r="WY4" s="373" ph="1"/>
      <c r="WZ4" s="373" ph="1"/>
      <c r="XA4" s="373" ph="1"/>
      <c r="XB4" s="373" ph="1"/>
      <c r="XC4" s="373" ph="1"/>
      <c r="XD4" s="373" ph="1"/>
      <c r="XE4" s="373" ph="1"/>
      <c r="XF4" s="373" ph="1"/>
      <c r="XG4" s="373" ph="1"/>
      <c r="XH4" s="373" ph="1"/>
      <c r="XI4" s="373" ph="1"/>
      <c r="XJ4" s="373" ph="1"/>
      <c r="XK4" s="373" ph="1"/>
      <c r="XL4" s="373" ph="1"/>
      <c r="XM4" s="373" ph="1"/>
      <c r="XN4" s="373" ph="1"/>
      <c r="XO4" s="373" ph="1"/>
      <c r="XP4" s="373" ph="1"/>
      <c r="XQ4" s="373" ph="1"/>
      <c r="XR4" s="373" ph="1"/>
      <c r="XS4" s="373" ph="1"/>
      <c r="XT4" s="373" ph="1"/>
      <c r="XU4" s="373" ph="1"/>
      <c r="XV4" s="373" ph="1"/>
      <c r="XW4" s="373" ph="1"/>
      <c r="XX4" s="373" ph="1"/>
      <c r="XY4" s="373" ph="1"/>
      <c r="XZ4" s="373" ph="1"/>
      <c r="YA4" s="373" ph="1"/>
      <c r="YB4" s="373" ph="1"/>
      <c r="YC4" s="373" ph="1"/>
      <c r="YD4" s="373" ph="1"/>
      <c r="YE4" s="373" ph="1"/>
      <c r="YF4" s="373" ph="1"/>
      <c r="YG4" s="373" ph="1"/>
      <c r="YH4" s="373" ph="1"/>
      <c r="YI4" s="373" ph="1"/>
      <c r="YJ4" s="373" ph="1"/>
      <c r="YK4" s="373" ph="1"/>
      <c r="YL4" s="373" ph="1"/>
      <c r="YM4" s="373" ph="1"/>
      <c r="YN4" s="373" ph="1"/>
      <c r="YO4" s="373" ph="1"/>
      <c r="YP4" s="373" ph="1"/>
      <c r="YQ4" s="373" ph="1"/>
      <c r="YR4" s="373" ph="1"/>
      <c r="YS4" s="373" ph="1"/>
      <c r="YT4" s="373" ph="1"/>
      <c r="YU4" s="373" ph="1"/>
      <c r="YV4" s="373" ph="1"/>
      <c r="YW4" s="373" ph="1"/>
      <c r="YX4" s="373" ph="1"/>
      <c r="YY4" s="373" ph="1"/>
      <c r="YZ4" s="373" ph="1"/>
      <c r="ZA4" s="373" ph="1"/>
      <c r="ZB4" s="373" ph="1"/>
      <c r="ZC4" s="373" ph="1"/>
      <c r="ZD4" s="373" ph="1"/>
      <c r="ZE4" s="373" ph="1"/>
      <c r="ZF4" s="373" ph="1"/>
      <c r="ZG4" s="373" ph="1"/>
      <c r="ZH4" s="373" ph="1"/>
      <c r="ZI4" s="373" ph="1"/>
      <c r="ZJ4" s="373" ph="1"/>
      <c r="ZK4" s="373" ph="1"/>
      <c r="ZL4" s="373" ph="1"/>
      <c r="ZM4" s="373" ph="1"/>
      <c r="ZN4" s="373" ph="1"/>
      <c r="ZO4" s="373" ph="1"/>
      <c r="ZP4" s="373" ph="1"/>
      <c r="ZQ4" s="373" ph="1"/>
      <c r="ZR4" s="373" ph="1"/>
      <c r="ZS4" s="373" ph="1"/>
      <c r="ZT4" s="373" ph="1"/>
      <c r="ZU4" s="373" ph="1"/>
      <c r="ZV4" s="373" ph="1"/>
      <c r="ZW4" s="373" ph="1"/>
      <c r="ZX4" s="373" ph="1"/>
      <c r="ZY4" s="373" ph="1"/>
      <c r="ZZ4" s="373" ph="1"/>
      <c r="AAA4" s="373" ph="1"/>
      <c r="AAB4" s="373" ph="1"/>
      <c r="AAC4" s="373" ph="1"/>
      <c r="AAD4" s="373" ph="1"/>
      <c r="AAE4" s="373" ph="1"/>
      <c r="AAF4" s="373" ph="1"/>
      <c r="AAG4" s="373" ph="1"/>
      <c r="AAH4" s="373" ph="1"/>
      <c r="AAI4" s="373" ph="1"/>
      <c r="AAJ4" s="373" ph="1"/>
      <c r="AAK4" s="373" ph="1"/>
      <c r="AAL4" s="373" ph="1"/>
      <c r="AAM4" s="373" ph="1"/>
      <c r="AAN4" s="373" ph="1"/>
      <c r="AAO4" s="373" ph="1"/>
      <c r="AAP4" s="373" ph="1"/>
      <c r="AAQ4" s="373" ph="1"/>
      <c r="AAR4" s="373" ph="1"/>
      <c r="AAS4" s="373" ph="1"/>
      <c r="AAT4" s="373" ph="1"/>
      <c r="AAU4" s="373" ph="1"/>
      <c r="AAV4" s="373" ph="1"/>
      <c r="AAW4" s="373" ph="1"/>
      <c r="AAX4" s="373" ph="1"/>
      <c r="AAY4" s="373" ph="1"/>
      <c r="AAZ4" s="373" ph="1"/>
      <c r="ABA4" s="373" ph="1"/>
      <c r="ABB4" s="373" ph="1"/>
      <c r="ABC4" s="373" ph="1"/>
      <c r="ABD4" s="373" ph="1"/>
      <c r="ABE4" s="373" ph="1"/>
      <c r="ABF4" s="373" ph="1"/>
      <c r="ABG4" s="373" ph="1"/>
      <c r="ABH4" s="373" ph="1"/>
      <c r="ABI4" s="373" ph="1"/>
      <c r="ABJ4" s="373" ph="1"/>
      <c r="ABK4" s="373" ph="1"/>
      <c r="ABL4" s="373" ph="1"/>
      <c r="ABM4" s="373" ph="1"/>
      <c r="ABN4" s="373" ph="1"/>
      <c r="ABO4" s="373" ph="1"/>
      <c r="ABP4" s="373" ph="1"/>
      <c r="ABQ4" s="373" ph="1"/>
      <c r="ABR4" s="373" ph="1"/>
      <c r="ABS4" s="373" ph="1"/>
      <c r="ABT4" s="373" ph="1"/>
      <c r="ABU4" s="373" ph="1"/>
      <c r="ABV4" s="373" ph="1"/>
      <c r="ABW4" s="373" ph="1"/>
      <c r="ABX4" s="373" ph="1"/>
      <c r="ABY4" s="373" ph="1"/>
      <c r="ABZ4" s="373" ph="1"/>
      <c r="ACA4" s="373" ph="1"/>
      <c r="ACB4" s="373" ph="1"/>
      <c r="ACC4" s="373" ph="1"/>
      <c r="ACD4" s="373" ph="1"/>
      <c r="ACE4" s="373" ph="1"/>
      <c r="ACF4" s="373" ph="1"/>
      <c r="ACG4" s="373" ph="1"/>
      <c r="ACH4" s="373" ph="1"/>
      <c r="ACI4" s="373" ph="1"/>
      <c r="ACJ4" s="373" ph="1"/>
      <c r="ACK4" s="373" ph="1"/>
      <c r="ACL4" s="373" ph="1"/>
      <c r="ACM4" s="373" ph="1"/>
      <c r="ACN4" s="373" ph="1"/>
      <c r="ACO4" s="373" ph="1"/>
      <c r="ACP4" s="373" ph="1"/>
      <c r="ACQ4" s="373" ph="1"/>
      <c r="ACR4" s="373" ph="1"/>
      <c r="ACS4" s="373" ph="1"/>
      <c r="ACT4" s="373" ph="1"/>
      <c r="ACU4" s="373" ph="1"/>
      <c r="ACV4" s="373" ph="1"/>
      <c r="ACW4" s="373" ph="1"/>
      <c r="ACX4" s="373" ph="1"/>
      <c r="ACY4" s="373" ph="1"/>
      <c r="ACZ4" s="373" ph="1"/>
      <c r="ADA4" s="373" ph="1"/>
      <c r="ADB4" s="373" ph="1"/>
      <c r="ADC4" s="373" ph="1"/>
      <c r="ADD4" s="373" ph="1"/>
      <c r="ADE4" s="373" ph="1"/>
      <c r="ADF4" s="373" ph="1"/>
      <c r="ADG4" s="373" ph="1"/>
      <c r="ADH4" s="373" ph="1"/>
      <c r="ADI4" s="373" ph="1"/>
      <c r="ADJ4" s="373" ph="1"/>
      <c r="ADK4" s="373" ph="1"/>
      <c r="ADL4" s="373" ph="1"/>
      <c r="ADM4" s="373" ph="1"/>
      <c r="ADN4" s="373" ph="1"/>
      <c r="ADO4" s="373" ph="1"/>
      <c r="ADP4" s="373" ph="1"/>
      <c r="ADQ4" s="373" ph="1"/>
      <c r="ADR4" s="373" ph="1"/>
      <c r="ADS4" s="373" ph="1"/>
      <c r="ADT4" s="373" ph="1"/>
      <c r="ADU4" s="373" ph="1"/>
      <c r="ADV4" s="373" ph="1"/>
      <c r="ADW4" s="373" ph="1"/>
      <c r="ADX4" s="373" ph="1"/>
      <c r="ADY4" s="373" ph="1"/>
      <c r="ADZ4" s="373" ph="1"/>
      <c r="AEA4" s="373" ph="1"/>
      <c r="AEB4" s="373" ph="1"/>
      <c r="AEC4" s="373" ph="1"/>
      <c r="AED4" s="373" ph="1"/>
      <c r="AEE4" s="373" ph="1"/>
      <c r="AEF4" s="373" ph="1"/>
      <c r="AEG4" s="373" ph="1"/>
      <c r="AEH4" s="373" ph="1"/>
      <c r="AEI4" s="373" ph="1"/>
      <c r="AEJ4" s="373" ph="1"/>
      <c r="AEK4" s="373" ph="1"/>
      <c r="AEL4" s="373" ph="1"/>
      <c r="AEM4" s="373" ph="1"/>
      <c r="AEN4" s="373" ph="1"/>
      <c r="AEO4" s="373" ph="1"/>
      <c r="AEP4" s="373" ph="1"/>
      <c r="AEQ4" s="373" ph="1"/>
      <c r="AER4" s="373" ph="1"/>
      <c r="AES4" s="373" ph="1"/>
      <c r="AET4" s="373" ph="1"/>
      <c r="AEU4" s="373" ph="1"/>
      <c r="AEV4" s="373" ph="1"/>
      <c r="AEW4" s="373" ph="1"/>
      <c r="AEX4" s="373" ph="1"/>
      <c r="AEY4" s="373" ph="1"/>
      <c r="AEZ4" s="373" ph="1"/>
      <c r="AFA4" s="373" ph="1"/>
      <c r="AFB4" s="373" ph="1"/>
      <c r="AFC4" s="373" ph="1"/>
      <c r="AFD4" s="373" ph="1"/>
      <c r="AFE4" s="373" ph="1"/>
      <c r="AFF4" s="373" ph="1"/>
      <c r="AFG4" s="373" ph="1"/>
      <c r="AFH4" s="373" ph="1"/>
      <c r="AFI4" s="373" ph="1"/>
      <c r="AFJ4" s="373" ph="1"/>
      <c r="AFK4" s="373" ph="1"/>
      <c r="AFL4" s="373" ph="1"/>
      <c r="AFM4" s="373" ph="1"/>
      <c r="AFN4" s="373" ph="1"/>
      <c r="AFO4" s="373" ph="1"/>
      <c r="AFP4" s="373" ph="1"/>
      <c r="AFQ4" s="373" ph="1"/>
      <c r="AFR4" s="373" ph="1"/>
      <c r="AFS4" s="373" ph="1"/>
      <c r="AFT4" s="373" ph="1"/>
      <c r="AFU4" s="373" ph="1"/>
      <c r="AFV4" s="373" ph="1"/>
      <c r="AFW4" s="373" ph="1"/>
      <c r="AFX4" s="373" ph="1"/>
      <c r="AFY4" s="373" ph="1"/>
      <c r="AFZ4" s="373" ph="1"/>
      <c r="AGA4" s="373" ph="1"/>
      <c r="AGB4" s="373" ph="1"/>
      <c r="AGC4" s="373" ph="1"/>
      <c r="AGD4" s="373" ph="1"/>
      <c r="AGE4" s="373" ph="1"/>
      <c r="AGF4" s="373" ph="1"/>
      <c r="AGG4" s="373" ph="1"/>
      <c r="AGH4" s="373" ph="1"/>
      <c r="AGI4" s="373" ph="1"/>
      <c r="AGJ4" s="373" ph="1"/>
      <c r="AGK4" s="373" ph="1"/>
      <c r="AGL4" s="373" ph="1"/>
      <c r="AGM4" s="373" ph="1"/>
      <c r="AGN4" s="373" ph="1"/>
      <c r="AGO4" s="373" ph="1"/>
      <c r="AGP4" s="373" ph="1"/>
    </row>
    <row r="5" spans="1:874" ht="17.25" thickBot="1">
      <c r="A5" s="14"/>
      <c r="B5" s="15"/>
      <c r="C5" s="28"/>
      <c r="D5" s="29" t="s">
        <v>19</v>
      </c>
      <c r="E5" s="632">
        <f>Main_무해지!E5</f>
        <v>1</v>
      </c>
      <c r="F5" s="40">
        <f>Main_무해지!F5</f>
        <v>1</v>
      </c>
      <c r="G5" s="30"/>
      <c r="H5" s="322"/>
      <c r="I5" s="31" t="s">
        <v>374</v>
      </c>
      <c r="J5" s="585"/>
      <c r="K5" s="604">
        <f>K4/K3</f>
        <v>0.5</v>
      </c>
      <c r="L5" s="7"/>
      <c r="N5" s="272">
        <v>6</v>
      </c>
      <c r="O5" s="274">
        <f>E3</f>
        <v>0</v>
      </c>
      <c r="P5" s="271">
        <f>IF(N5="","",IF(F5=0,K3,IF(F6=12,K3*N5,IF(F6=4,K3*2,K3))))</f>
        <v>120</v>
      </c>
      <c r="Q5" s="271">
        <f>Q3+(Q$7-Q$3)*$N5/12</f>
        <v>0</v>
      </c>
      <c r="R5" s="271">
        <f>ROUND(IF($F$5=0,Q5,MAX(Q5-((MIN(84,$F$5*12)-N5)/MIN(84,$F$5*12))*MIN($K$10,$K$11)*$E$12/$E$19*10000,0)),0)</f>
        <v>0</v>
      </c>
      <c r="S5" s="400">
        <f t="shared" ref="S5:S6" si="34">IF(N5="","",IF(R5=0,0,ROUNDDOWN(R5/P5,3)))</f>
        <v>0</v>
      </c>
      <c r="T5" s="418"/>
      <c r="U5" s="750">
        <f>IF(U4="","",(IF(U4=MIN(($E$3+$F$4),IF($F$2=1,110,112)),"",(U4+1))))</f>
        <v>1</v>
      </c>
      <c r="V5" s="752">
        <f>Main_무해지!AC5</f>
        <v>0</v>
      </c>
      <c r="W5" s="638">
        <f>+Main_무해지!AD5</f>
        <v>0</v>
      </c>
      <c r="X5" s="638">
        <v>0</v>
      </c>
      <c r="Y5" s="408">
        <f>IF(U5="","",Y4*(1-X4))</f>
        <v>100000</v>
      </c>
      <c r="Z5" s="408">
        <f t="shared" si="1"/>
        <v>97799.511002444997</v>
      </c>
      <c r="AA5" s="751">
        <f>IF($U5="","",SUM(Z5:Z$114))</f>
        <v>97799.511002444997</v>
      </c>
      <c r="AB5" s="408">
        <f t="shared" ref="AB5:AB68" si="35">V5</f>
        <v>0</v>
      </c>
      <c r="AC5" s="408">
        <f t="shared" ref="AC5:AC68" si="36">+W5</f>
        <v>0</v>
      </c>
      <c r="AD5" s="408">
        <f>Main_무해지!AJ5</f>
        <v>2.9999999999999997E-5</v>
      </c>
      <c r="AE5" s="408">
        <f t="shared" si="2"/>
        <v>0</v>
      </c>
      <c r="AF5" s="408">
        <f>IF($U5="","",IF(AND($G$3=1,$F$4=1),AF4,AF4*(1-AD4)))</f>
        <v>100000</v>
      </c>
      <c r="AG5" s="408">
        <f t="shared" si="3"/>
        <v>97799.511002444997</v>
      </c>
      <c r="AH5" s="751">
        <f>IF($U5="","",SUM(AG5:AG$114))</f>
        <v>97799.511002444997</v>
      </c>
      <c r="AI5" s="408">
        <f>Main_무해지!AP5</f>
        <v>1.5E-5</v>
      </c>
      <c r="AJ5" s="408">
        <f t="shared" si="4"/>
        <v>0</v>
      </c>
      <c r="AK5" s="408">
        <f t="shared" si="5"/>
        <v>1.5</v>
      </c>
      <c r="AL5" s="408">
        <f t="shared" si="6"/>
        <v>1.4507623758459134</v>
      </c>
      <c r="AM5" s="753">
        <f>IF($U5="","",SUM($AN5:$AN$114))</f>
        <v>1.4507623758459134</v>
      </c>
      <c r="AN5" s="408">
        <f t="shared" ref="AN5:AN68" si="37">IF($U5="","",AL5*AO5)</f>
        <v>1.4507623758459134</v>
      </c>
      <c r="AO5" s="753">
        <f t="shared" si="7"/>
        <v>1</v>
      </c>
      <c r="AP5" s="752" t="e">
        <f>IF($U5="","",INDEX(#REF!,$U5+1))</f>
        <v>#REF!</v>
      </c>
      <c r="AQ5" s="408">
        <f t="shared" si="8"/>
        <v>0</v>
      </c>
      <c r="AR5" s="408" t="e">
        <f t="shared" si="9"/>
        <v>#REF!</v>
      </c>
      <c r="AS5" s="408" t="e">
        <f t="shared" si="10"/>
        <v>#REF!</v>
      </c>
      <c r="AT5" s="753" t="e">
        <f>IF($U5="","",SUM($AS5:$AS$114))</f>
        <v>#REF!</v>
      </c>
      <c r="AU5" s="752" t="e">
        <f>IF($U5="","",INDEX(#REF!,$U5+1))</f>
        <v>#REF!</v>
      </c>
      <c r="AV5" s="408">
        <f t="shared" si="11"/>
        <v>0</v>
      </c>
      <c r="AW5" s="408" t="e">
        <f t="shared" si="12"/>
        <v>#REF!</v>
      </c>
      <c r="AX5" s="408" t="e">
        <f t="shared" si="13"/>
        <v>#REF!</v>
      </c>
      <c r="AY5" s="753" t="e">
        <f>IF($U5="","",SUM($AX5:$AX$114))</f>
        <v>#REF!</v>
      </c>
      <c r="AZ5" s="752" t="e">
        <f>IF($U5="","",INDEX(#REF!,$U5+1))</f>
        <v>#REF!</v>
      </c>
      <c r="BA5" s="408">
        <f t="shared" si="14"/>
        <v>0</v>
      </c>
      <c r="BB5" s="408" t="e">
        <f t="shared" si="15"/>
        <v>#REF!</v>
      </c>
      <c r="BC5" s="408" t="e">
        <f t="shared" si="16"/>
        <v>#REF!</v>
      </c>
      <c r="BD5" s="753" t="e">
        <f>IF($U5="","",SUM($BC5:$BC$114))</f>
        <v>#REF!</v>
      </c>
      <c r="BE5" s="752" t="e">
        <f>IF($U5="","",INDEX(#REF!,$U5+1))</f>
        <v>#REF!</v>
      </c>
      <c r="BF5" s="408">
        <f t="shared" si="17"/>
        <v>0</v>
      </c>
      <c r="BG5" s="408" t="e">
        <f t="shared" si="18"/>
        <v>#REF!</v>
      </c>
      <c r="BH5" s="408" t="e">
        <f t="shared" si="19"/>
        <v>#REF!</v>
      </c>
      <c r="BI5" s="753" t="e">
        <f>IF($U5="","",SUM($BH5:$BH$114))</f>
        <v>#REF!</v>
      </c>
      <c r="BJ5" s="752" t="e">
        <f>IF($U5="","",INDEX(#REF!,$U5+1))</f>
        <v>#REF!</v>
      </c>
      <c r="BK5" s="408">
        <f t="shared" si="20"/>
        <v>0</v>
      </c>
      <c r="BL5" s="408" t="e">
        <f t="shared" si="21"/>
        <v>#REF!</v>
      </c>
      <c r="BM5" s="408" t="e">
        <f t="shared" si="22"/>
        <v>#REF!</v>
      </c>
      <c r="BN5" s="753" t="e">
        <f>IF($U5="","",SUM($BM5:$BM$114))</f>
        <v>#REF!</v>
      </c>
      <c r="BO5" s="752">
        <f t="shared" si="23"/>
        <v>0</v>
      </c>
      <c r="BP5" s="408">
        <f t="shared" si="24"/>
        <v>0</v>
      </c>
      <c r="BQ5" s="408">
        <f t="shared" si="25"/>
        <v>0</v>
      </c>
      <c r="BR5" s="408"/>
      <c r="BS5" s="408">
        <f t="shared" ref="BS5:BS68" si="38">IF($U5="","",BQ5*BR5)</f>
        <v>0</v>
      </c>
      <c r="BT5" s="408">
        <f t="shared" si="26"/>
        <v>0</v>
      </c>
      <c r="BU5" s="408">
        <f t="shared" si="27"/>
        <v>0</v>
      </c>
      <c r="BV5" s="408"/>
      <c r="BW5" s="408">
        <f t="shared" ref="BW5:BW68" si="39">IF($U5="","",BU5*BV5)</f>
        <v>0</v>
      </c>
      <c r="BX5" s="408">
        <f>IF($U5="","",SUM(BS5:BS$114)+SUM(BW5:BW$114))</f>
        <v>0</v>
      </c>
      <c r="BY5" s="754"/>
      <c r="BZ5" s="754"/>
      <c r="CA5" s="754"/>
      <c r="CB5" s="754"/>
      <c r="CC5" s="755">
        <f t="shared" si="0"/>
        <v>1</v>
      </c>
      <c r="CD5" s="408">
        <f t="shared" ref="CD5:CD68" si="40">IF($U5="","",IF(AND($G$3=1,$F$4=1),0.475*$AM$2*(AM5-$AM$117),$AM$2*(AM5-$AM$117)))</f>
        <v>0</v>
      </c>
      <c r="CE5" s="408">
        <f t="shared" si="28"/>
        <v>0</v>
      </c>
      <c r="CF5" s="408">
        <f t="shared" si="29"/>
        <v>0</v>
      </c>
      <c r="CG5" s="408">
        <f t="shared" ref="CG5:CG68" si="41">IF($U5="","",IF($F$5=0,AA5-AA$117,MIN(AA5,AA$116)-AA$117))</f>
        <v>0</v>
      </c>
      <c r="CH5" s="408">
        <f t="shared" si="30"/>
        <v>0</v>
      </c>
      <c r="CI5" s="756">
        <f t="shared" ref="CI5:CI68" si="42">IF($U5="","",IF($F$5=0,($CD5+$K$34*ROUND($K$55,$E$18)+$E$37*$CG5)/$Z5,($CD5+CE5+$CE$2*$K$34*(IF($F$7=0,ROUND($K$47,$E$18),ROUND($K$55,$E$18)))+$E$29*$CG5+$CH5)/$Z5))</f>
        <v>0</v>
      </c>
      <c r="CJ5" s="757">
        <f t="shared" si="31"/>
        <v>0</v>
      </c>
      <c r="CK5" s="413"/>
      <c r="CL5" s="750">
        <f t="shared" si="32"/>
        <v>1</v>
      </c>
      <c r="CM5" s="757">
        <f>IF(CM4&gt;=$F$4,"",CM4+1)</f>
        <v>1</v>
      </c>
      <c r="CN5" s="757">
        <f t="shared" ref="CN5:CN68" si="43">CJ5</f>
        <v>0</v>
      </c>
      <c r="CO5" s="757">
        <f t="shared" si="33"/>
        <v>0</v>
      </c>
      <c r="CP5" s="757">
        <f t="shared" ref="CP5:CP68" si="44">IF(CM5="","",MAX(CN5-CO5,0))</f>
        <v>0</v>
      </c>
      <c r="CQ5" s="413"/>
      <c r="CR5" s="413"/>
      <c r="CS5" s="413"/>
      <c r="CT5" s="413"/>
      <c r="CU5" s="413"/>
      <c r="CV5" s="413"/>
      <c r="CW5" s="478"/>
      <c r="CX5" s="478"/>
      <c r="CY5" s="478"/>
      <c r="CZ5" s="478"/>
      <c r="DA5" s="478"/>
      <c r="DB5" s="478"/>
      <c r="DC5" s="478"/>
      <c r="DD5" s="478"/>
      <c r="DE5" s="478"/>
      <c r="DF5" s="478"/>
      <c r="DG5" s="478"/>
      <c r="DH5" s="478"/>
      <c r="DI5" s="478"/>
      <c r="DJ5" s="478"/>
      <c r="DK5" s="478"/>
      <c r="DL5" s="478"/>
      <c r="DM5" s="478"/>
      <c r="DN5" s="478"/>
      <c r="DO5" s="478"/>
      <c r="DP5" s="478"/>
      <c r="DQ5" s="478"/>
      <c r="DR5" s="478"/>
      <c r="DS5" s="478"/>
      <c r="DT5" s="478"/>
      <c r="DU5" s="478"/>
      <c r="DV5" s="478"/>
      <c r="DW5" s="478"/>
      <c r="DX5" s="478"/>
      <c r="DY5" s="478"/>
      <c r="DZ5" s="478"/>
      <c r="EA5" s="478"/>
      <c r="EB5" s="478"/>
      <c r="EC5" s="478"/>
      <c r="ED5" s="478"/>
    </row>
    <row r="6" spans="1:874">
      <c r="A6" s="14"/>
      <c r="B6" s="15"/>
      <c r="C6" s="28"/>
      <c r="D6" s="29" t="s">
        <v>21</v>
      </c>
      <c r="E6" s="633" t="s">
        <v>225</v>
      </c>
      <c r="F6" s="51">
        <f>Main_무해지!F6</f>
        <v>12</v>
      </c>
      <c r="G6" s="30"/>
      <c r="H6" s="321"/>
      <c r="I6" s="434" t="str">
        <f>+IF(E18=5,"10만당","100만당")</f>
        <v>100만당</v>
      </c>
      <c r="J6" s="224"/>
      <c r="K6" s="212"/>
      <c r="L6" s="599"/>
      <c r="N6" s="272">
        <v>9</v>
      </c>
      <c r="O6" s="274">
        <f>E3</f>
        <v>0</v>
      </c>
      <c r="P6" s="271">
        <f>IF(N6="","",IF(F5=0,K3,IF(F6=12,K3*N6,IF(F6=4,K3*3,IF(F6=2,K3*2,K3)))))</f>
        <v>180</v>
      </c>
      <c r="Q6" s="271">
        <f>+Q3+(Q$7-Q$3)*$N6/12</f>
        <v>0</v>
      </c>
      <c r="R6" s="271">
        <f>ROUND(IF($F$5=0,Q6,MAX(Q6-((MIN(84,$F$5*12)-N6)/MIN(84,$F$5*12))*MIN($K$10,$K$11)*$E$12/$E$19*10000,0)),0)</f>
        <v>0</v>
      </c>
      <c r="S6" s="400">
        <f t="shared" si="34"/>
        <v>0</v>
      </c>
      <c r="T6" s="418"/>
      <c r="U6" s="52" t="str">
        <f t="shared" ref="U6:U69" si="45">IF(U5="","",(IF(U5=MIN(($E$3+$F$4),IF($F$2=1,110,112)),"",(U5+1))))</f>
        <v/>
      </c>
      <c r="V6" s="53" t="str">
        <f>Main_무해지!AC6</f>
        <v/>
      </c>
      <c r="W6" s="56">
        <f>+Main_무해지!AD6</f>
        <v>0</v>
      </c>
      <c r="X6" s="56">
        <v>0</v>
      </c>
      <c r="Y6" s="254" t="str">
        <f t="shared" ref="Y6:Y69" si="46">IF(U6="","",Y5*(1-X5))</f>
        <v/>
      </c>
      <c r="Z6" s="254" t="str">
        <f t="shared" si="1"/>
        <v/>
      </c>
      <c r="AA6" s="54" t="str">
        <f>IF($U6="","",SUM(Z6:Z$114))</f>
        <v/>
      </c>
      <c r="AB6" s="254" t="str">
        <f t="shared" si="35"/>
        <v/>
      </c>
      <c r="AC6" s="254">
        <f t="shared" si="36"/>
        <v>0</v>
      </c>
      <c r="AD6" s="254" t="str">
        <f>Main_무해지!AJ6</f>
        <v/>
      </c>
      <c r="AE6" s="254">
        <f t="shared" si="2"/>
        <v>0</v>
      </c>
      <c r="AF6" s="254" t="str">
        <f t="shared" ref="AF6:AF69" si="47">IF($U6="","",IF(AND($G$3=1,$F$4=1),AF5,AF5*(1-AD5)))</f>
        <v/>
      </c>
      <c r="AG6" s="254" t="str">
        <f t="shared" si="3"/>
        <v/>
      </c>
      <c r="AH6" s="54" t="str">
        <f>IF($U6="","",SUM(AG6:AG$114))</f>
        <v/>
      </c>
      <c r="AI6" s="254" t="str">
        <f>Main_무해지!AP6</f>
        <v/>
      </c>
      <c r="AJ6" s="254">
        <f t="shared" si="4"/>
        <v>0</v>
      </c>
      <c r="AK6" s="254" t="str">
        <f t="shared" si="5"/>
        <v/>
      </c>
      <c r="AL6" s="254" t="str">
        <f t="shared" si="6"/>
        <v/>
      </c>
      <c r="AM6" s="57" t="str">
        <f>IF($U6="","",SUM($AN6:$AN$114))</f>
        <v/>
      </c>
      <c r="AN6" s="254" t="str">
        <f t="shared" si="37"/>
        <v/>
      </c>
      <c r="AO6" s="57" t="str">
        <f t="shared" si="7"/>
        <v/>
      </c>
      <c r="AP6" s="53" t="str">
        <f>IF($U6="","",INDEX(#REF!,$U6+1))</f>
        <v/>
      </c>
      <c r="AQ6" s="254">
        <f t="shared" si="8"/>
        <v>0</v>
      </c>
      <c r="AR6" s="254" t="str">
        <f t="shared" si="9"/>
        <v/>
      </c>
      <c r="AS6" s="254" t="str">
        <f t="shared" si="10"/>
        <v/>
      </c>
      <c r="AT6" s="57" t="str">
        <f>IF($U6="","",SUM($AS6:$AS$114))</f>
        <v/>
      </c>
      <c r="AU6" s="53" t="str">
        <f>IF($U6="","",INDEX(#REF!,$U6+1))</f>
        <v/>
      </c>
      <c r="AV6" s="254">
        <f t="shared" si="11"/>
        <v>0</v>
      </c>
      <c r="AW6" s="254" t="str">
        <f t="shared" si="12"/>
        <v/>
      </c>
      <c r="AX6" s="254" t="str">
        <f t="shared" si="13"/>
        <v/>
      </c>
      <c r="AY6" s="57" t="str">
        <f>IF($U6="","",SUM($AX6:$AX$114))</f>
        <v/>
      </c>
      <c r="AZ6" s="53" t="str">
        <f>IF($U6="","",INDEX(#REF!,$U6+1))</f>
        <v/>
      </c>
      <c r="BA6" s="254">
        <f t="shared" si="14"/>
        <v>0</v>
      </c>
      <c r="BB6" s="254" t="str">
        <f t="shared" si="15"/>
        <v/>
      </c>
      <c r="BC6" s="254" t="str">
        <f t="shared" si="16"/>
        <v/>
      </c>
      <c r="BD6" s="57" t="str">
        <f>IF($U6="","",SUM($BC6:$BC$114))</f>
        <v/>
      </c>
      <c r="BE6" s="53" t="str">
        <f>IF($U6="","",INDEX(#REF!,$U6+1))</f>
        <v/>
      </c>
      <c r="BF6" s="254">
        <f t="shared" si="17"/>
        <v>0</v>
      </c>
      <c r="BG6" s="254" t="str">
        <f t="shared" si="18"/>
        <v/>
      </c>
      <c r="BH6" s="254" t="str">
        <f t="shared" si="19"/>
        <v/>
      </c>
      <c r="BI6" s="57" t="str">
        <f>IF($U6="","",SUM($BH6:$BH$114))</f>
        <v/>
      </c>
      <c r="BJ6" s="53" t="str">
        <f>IF($U6="","",INDEX(#REF!,$U6+1))</f>
        <v/>
      </c>
      <c r="BK6" s="254">
        <f t="shared" si="20"/>
        <v>0</v>
      </c>
      <c r="BL6" s="254" t="str">
        <f t="shared" si="21"/>
        <v/>
      </c>
      <c r="BM6" s="254" t="str">
        <f t="shared" si="22"/>
        <v/>
      </c>
      <c r="BN6" s="57" t="str">
        <f>IF($U6="","",SUM($BM6:$BM$114))</f>
        <v/>
      </c>
      <c r="BO6" s="53">
        <f t="shared" si="23"/>
        <v>0</v>
      </c>
      <c r="BP6" s="254" t="str">
        <f t="shared" si="24"/>
        <v/>
      </c>
      <c r="BQ6" s="254" t="str">
        <f t="shared" si="25"/>
        <v/>
      </c>
      <c r="BR6" s="254"/>
      <c r="BS6" s="254" t="str">
        <f t="shared" si="38"/>
        <v/>
      </c>
      <c r="BT6" s="254" t="str">
        <f t="shared" si="26"/>
        <v/>
      </c>
      <c r="BU6" s="254" t="str">
        <f t="shared" si="27"/>
        <v/>
      </c>
      <c r="BV6" s="254"/>
      <c r="BW6" s="254" t="str">
        <f t="shared" si="39"/>
        <v/>
      </c>
      <c r="BX6" s="254" t="str">
        <f>IF($U6="","",SUM(BS6:BS$114)+SUM(BW6:BW$114))</f>
        <v/>
      </c>
      <c r="BY6" s="55"/>
      <c r="BZ6" s="55"/>
      <c r="CA6" s="55"/>
      <c r="CB6" s="55"/>
      <c r="CC6" s="390" t="str">
        <f t="shared" si="0"/>
        <v/>
      </c>
      <c r="CD6" s="254" t="str">
        <f t="shared" si="40"/>
        <v/>
      </c>
      <c r="CE6" s="254" t="str">
        <f t="shared" si="28"/>
        <v/>
      </c>
      <c r="CF6" s="254" t="str">
        <f t="shared" si="29"/>
        <v/>
      </c>
      <c r="CG6" s="254" t="str">
        <f t="shared" si="41"/>
        <v/>
      </c>
      <c r="CH6" s="254" t="str">
        <f t="shared" si="30"/>
        <v/>
      </c>
      <c r="CI6" s="58" t="str">
        <f t="shared" si="42"/>
        <v/>
      </c>
      <c r="CJ6" s="59" t="str">
        <f t="shared" si="31"/>
        <v/>
      </c>
      <c r="CK6" s="236"/>
      <c r="CL6" s="52" t="str">
        <f t="shared" si="32"/>
        <v/>
      </c>
      <c r="CM6" s="59" t="str">
        <f t="shared" ref="CM6:CM69" si="48">IF(CM5&gt;=$F$4,"",CM5+1)</f>
        <v/>
      </c>
      <c r="CN6" s="59" t="str">
        <f t="shared" si="43"/>
        <v/>
      </c>
      <c r="CO6" s="59" t="str">
        <f t="shared" si="33"/>
        <v/>
      </c>
      <c r="CP6" s="59" t="str">
        <f t="shared" si="44"/>
        <v/>
      </c>
      <c r="CQ6" s="236"/>
      <c r="CR6" s="236"/>
      <c r="CS6" s="236"/>
      <c r="CT6" s="236"/>
      <c r="CU6" s="236"/>
      <c r="CV6" s="236"/>
      <c r="CW6" s="478"/>
      <c r="CX6" s="478"/>
      <c r="CY6" s="478"/>
      <c r="CZ6" s="478"/>
      <c r="DA6" s="478"/>
      <c r="DB6" s="478"/>
      <c r="DC6" s="478"/>
      <c r="DD6" s="478"/>
      <c r="DE6" s="478"/>
      <c r="DF6" s="478"/>
      <c r="DG6" s="478"/>
      <c r="DH6" s="478"/>
      <c r="DI6" s="478"/>
      <c r="DJ6" s="478"/>
      <c r="DK6" s="478"/>
      <c r="DL6" s="478"/>
      <c r="DM6" s="478"/>
      <c r="DN6" s="478"/>
      <c r="DO6" s="478"/>
      <c r="DP6" s="478"/>
      <c r="DQ6" s="478"/>
      <c r="DR6" s="478"/>
      <c r="DS6" s="478"/>
      <c r="DT6" s="478"/>
      <c r="DU6" s="478"/>
      <c r="DV6" s="478"/>
      <c r="DW6" s="478"/>
      <c r="DX6" s="478"/>
      <c r="DY6" s="478"/>
      <c r="DZ6" s="478"/>
      <c r="EA6" s="478"/>
      <c r="EB6" s="478"/>
      <c r="EC6" s="478"/>
      <c r="ED6" s="478"/>
    </row>
    <row r="7" spans="1:874">
      <c r="A7" s="14"/>
      <c r="B7" s="15"/>
      <c r="C7" s="28"/>
      <c r="D7" s="29" t="s">
        <v>96</v>
      </c>
      <c r="E7" s="633" t="s">
        <v>146</v>
      </c>
      <c r="F7" s="432">
        <f>Main_무해지!F7</f>
        <v>0</v>
      </c>
      <c r="G7" s="30"/>
      <c r="H7" s="322"/>
      <c r="I7" s="48" t="str">
        <f>+I52</f>
        <v xml:space="preserve">  mP(m')x:n</v>
      </c>
      <c r="J7" s="95" t="str">
        <f>E6&amp;"P"</f>
        <v>월납P</v>
      </c>
      <c r="K7" s="226">
        <f>ROUND(K52,E18)*E19</f>
        <v>1</v>
      </c>
      <c r="L7" s="599"/>
      <c r="N7" s="275">
        <v>1</v>
      </c>
      <c r="O7" s="276">
        <f>IF(N7="","",$E$3+N7)</f>
        <v>1</v>
      </c>
      <c r="P7" s="277">
        <f t="shared" ref="P7:P70" si="49">IF(N7="","",IF($F$5=0,$K$3,$K$3*$F$6*MIN($N7,F$5)))</f>
        <v>240</v>
      </c>
      <c r="Q7" s="277">
        <f t="shared" ref="Q7:Q70" si="50">IF(N7="","",CJ5*$E$12/$E$19*10000)</f>
        <v>0</v>
      </c>
      <c r="R7" s="277">
        <f t="shared" ref="R7:R70" si="51">IF(N7="","",ROUND(MAX(Q7-IF(N7&gt;=MIN(7,$F$5),0,((MIN(7,$F$5)-N7)/MIN(7,$F$5))*MIN($K$10,$K$11)*$E$12/$E$19*10000),0),0))</f>
        <v>0</v>
      </c>
      <c r="S7" s="401">
        <f>IF(N7="","",IF(R7=0,0,ROUNDDOWN(R7/P7,3)))</f>
        <v>0</v>
      </c>
      <c r="T7" s="419"/>
      <c r="U7" s="52" t="str">
        <f t="shared" si="45"/>
        <v/>
      </c>
      <c r="V7" s="53" t="str">
        <f>Main_무해지!AC7</f>
        <v/>
      </c>
      <c r="W7" s="56">
        <f>+Main_무해지!AD7</f>
        <v>0</v>
      </c>
      <c r="X7" s="56">
        <v>0</v>
      </c>
      <c r="Y7" s="254" t="str">
        <f t="shared" si="46"/>
        <v/>
      </c>
      <c r="Z7" s="254" t="str">
        <f t="shared" si="1"/>
        <v/>
      </c>
      <c r="AA7" s="54" t="str">
        <f>IF($U7="","",SUM(Z7:Z$114))</f>
        <v/>
      </c>
      <c r="AB7" s="254" t="str">
        <f t="shared" si="35"/>
        <v/>
      </c>
      <c r="AC7" s="254">
        <f t="shared" si="36"/>
        <v>0</v>
      </c>
      <c r="AD7" s="254" t="str">
        <f>Main_무해지!AJ7</f>
        <v/>
      </c>
      <c r="AE7" s="254">
        <f t="shared" si="2"/>
        <v>0</v>
      </c>
      <c r="AF7" s="254" t="str">
        <f t="shared" si="47"/>
        <v/>
      </c>
      <c r="AG7" s="254" t="str">
        <f t="shared" si="3"/>
        <v/>
      </c>
      <c r="AH7" s="54" t="str">
        <f>IF($U7="","",SUM(AG7:AG$114))</f>
        <v/>
      </c>
      <c r="AI7" s="254" t="str">
        <f>Main_무해지!AP7</f>
        <v/>
      </c>
      <c r="AJ7" s="254">
        <f t="shared" si="4"/>
        <v>0</v>
      </c>
      <c r="AK7" s="254" t="str">
        <f t="shared" si="5"/>
        <v/>
      </c>
      <c r="AL7" s="254" t="str">
        <f t="shared" si="6"/>
        <v/>
      </c>
      <c r="AM7" s="57" t="str">
        <f>IF($U7="","",SUM($AN7:$AN$114))</f>
        <v/>
      </c>
      <c r="AN7" s="254" t="str">
        <f t="shared" si="37"/>
        <v/>
      </c>
      <c r="AO7" s="57" t="str">
        <f t="shared" si="7"/>
        <v/>
      </c>
      <c r="AP7" s="53" t="str">
        <f>IF($U7="","",INDEX(#REF!,$U7+1))</f>
        <v/>
      </c>
      <c r="AQ7" s="254">
        <f t="shared" si="8"/>
        <v>0</v>
      </c>
      <c r="AR7" s="254" t="str">
        <f t="shared" si="9"/>
        <v/>
      </c>
      <c r="AS7" s="254" t="str">
        <f t="shared" si="10"/>
        <v/>
      </c>
      <c r="AT7" s="57" t="str">
        <f>IF($U7="","",SUM($AS7:$AS$114))</f>
        <v/>
      </c>
      <c r="AU7" s="53" t="str">
        <f>IF($U7="","",INDEX(#REF!,$U7+1))</f>
        <v/>
      </c>
      <c r="AV7" s="254">
        <f t="shared" si="11"/>
        <v>0</v>
      </c>
      <c r="AW7" s="254" t="str">
        <f t="shared" si="12"/>
        <v/>
      </c>
      <c r="AX7" s="254" t="str">
        <f t="shared" si="13"/>
        <v/>
      </c>
      <c r="AY7" s="57" t="str">
        <f>IF($U7="","",SUM($AX7:$AX$114))</f>
        <v/>
      </c>
      <c r="AZ7" s="53" t="str">
        <f>IF($U7="","",INDEX(#REF!,$U7+1))</f>
        <v/>
      </c>
      <c r="BA7" s="254">
        <f t="shared" si="14"/>
        <v>0</v>
      </c>
      <c r="BB7" s="254" t="str">
        <f t="shared" si="15"/>
        <v/>
      </c>
      <c r="BC7" s="254" t="str">
        <f t="shared" si="16"/>
        <v/>
      </c>
      <c r="BD7" s="57" t="str">
        <f>IF($U7="","",SUM($BC7:$BC$114))</f>
        <v/>
      </c>
      <c r="BE7" s="53" t="str">
        <f>IF($U7="","",INDEX(#REF!,$U7+1))</f>
        <v/>
      </c>
      <c r="BF7" s="254">
        <f t="shared" si="17"/>
        <v>0</v>
      </c>
      <c r="BG7" s="254" t="str">
        <f t="shared" si="18"/>
        <v/>
      </c>
      <c r="BH7" s="254" t="str">
        <f t="shared" si="19"/>
        <v/>
      </c>
      <c r="BI7" s="57" t="str">
        <f>IF($U7="","",SUM($BH7:$BH$114))</f>
        <v/>
      </c>
      <c r="BJ7" s="53" t="str">
        <f>IF($U7="","",INDEX(#REF!,$U7+1))</f>
        <v/>
      </c>
      <c r="BK7" s="254">
        <f t="shared" si="20"/>
        <v>0</v>
      </c>
      <c r="BL7" s="254" t="str">
        <f t="shared" si="21"/>
        <v/>
      </c>
      <c r="BM7" s="254" t="str">
        <f t="shared" si="22"/>
        <v/>
      </c>
      <c r="BN7" s="57" t="str">
        <f>IF($U7="","",SUM($BM7:$BM$114))</f>
        <v/>
      </c>
      <c r="BO7" s="53">
        <f t="shared" si="23"/>
        <v>0</v>
      </c>
      <c r="BP7" s="254" t="str">
        <f t="shared" si="24"/>
        <v/>
      </c>
      <c r="BQ7" s="254" t="str">
        <f t="shared" si="25"/>
        <v/>
      </c>
      <c r="BR7" s="254"/>
      <c r="BS7" s="254" t="str">
        <f t="shared" si="38"/>
        <v/>
      </c>
      <c r="BT7" s="254" t="str">
        <f t="shared" si="26"/>
        <v/>
      </c>
      <c r="BU7" s="254" t="str">
        <f t="shared" si="27"/>
        <v/>
      </c>
      <c r="BV7" s="254"/>
      <c r="BW7" s="254" t="str">
        <f t="shared" si="39"/>
        <v/>
      </c>
      <c r="BX7" s="254" t="str">
        <f>IF($U7="","",SUM(BS7:BS$114)+SUM(BW7:BW$114))</f>
        <v/>
      </c>
      <c r="BY7" s="55"/>
      <c r="BZ7" s="55"/>
      <c r="CA7" s="55"/>
      <c r="CB7" s="55"/>
      <c r="CC7" s="390" t="str">
        <f t="shared" si="0"/>
        <v/>
      </c>
      <c r="CD7" s="254" t="str">
        <f t="shared" si="40"/>
        <v/>
      </c>
      <c r="CE7" s="254" t="str">
        <f t="shared" si="28"/>
        <v/>
      </c>
      <c r="CF7" s="254" t="str">
        <f t="shared" si="29"/>
        <v/>
      </c>
      <c r="CG7" s="254" t="str">
        <f t="shared" si="41"/>
        <v/>
      </c>
      <c r="CH7" s="254" t="str">
        <f t="shared" si="30"/>
        <v/>
      </c>
      <c r="CI7" s="58" t="str">
        <f t="shared" si="42"/>
        <v/>
      </c>
      <c r="CJ7" s="59" t="str">
        <f t="shared" si="31"/>
        <v/>
      </c>
      <c r="CK7" s="236"/>
      <c r="CL7" s="52" t="str">
        <f t="shared" si="32"/>
        <v/>
      </c>
      <c r="CM7" s="59" t="str">
        <f t="shared" si="48"/>
        <v/>
      </c>
      <c r="CN7" s="59" t="str">
        <f t="shared" si="43"/>
        <v/>
      </c>
      <c r="CO7" s="59" t="str">
        <f t="shared" si="33"/>
        <v/>
      </c>
      <c r="CP7" s="59" t="str">
        <f t="shared" si="44"/>
        <v/>
      </c>
      <c r="CQ7" s="236"/>
      <c r="CR7" s="236"/>
      <c r="CS7" s="236"/>
      <c r="CT7" s="236"/>
      <c r="CU7" s="236"/>
      <c r="CV7" s="236"/>
      <c r="CW7" s="478"/>
      <c r="CX7" s="478"/>
      <c r="CY7" s="478"/>
      <c r="CZ7" s="478"/>
      <c r="DA7" s="478"/>
      <c r="DB7" s="478"/>
      <c r="DC7" s="478"/>
      <c r="DD7" s="478"/>
      <c r="DE7" s="478"/>
      <c r="DF7" s="478"/>
      <c r="DG7" s="478"/>
      <c r="DH7" s="478"/>
      <c r="DI7" s="478"/>
      <c r="DJ7" s="478"/>
      <c r="DK7" s="478"/>
      <c r="DL7" s="478"/>
      <c r="DM7" s="478"/>
      <c r="DN7" s="478"/>
      <c r="DO7" s="478"/>
      <c r="DP7" s="478"/>
      <c r="DQ7" s="478"/>
      <c r="DR7" s="478"/>
      <c r="DS7" s="478"/>
      <c r="DT7" s="478"/>
      <c r="DU7" s="478"/>
      <c r="DV7" s="478"/>
      <c r="DW7" s="478"/>
      <c r="DX7" s="478"/>
      <c r="DY7" s="478"/>
      <c r="DZ7" s="478"/>
      <c r="EA7" s="478"/>
      <c r="EB7" s="478"/>
      <c r="EC7" s="478"/>
      <c r="ED7" s="478"/>
    </row>
    <row r="8" spans="1:874">
      <c r="C8" s="28"/>
      <c r="D8" s="29" t="s">
        <v>97</v>
      </c>
      <c r="E8" s="633" t="s">
        <v>226</v>
      </c>
      <c r="F8" s="306">
        <f>Main_무해지!F8</f>
        <v>0</v>
      </c>
      <c r="G8" s="30"/>
      <c r="H8" s="321"/>
      <c r="I8" s="48" t="str">
        <f>+I55</f>
        <v xml:space="preserve">  mP'(m')x:n</v>
      </c>
      <c r="J8" s="109" t="str">
        <f>E6&amp;"P'"</f>
        <v>월납P'</v>
      </c>
      <c r="K8" s="226">
        <f>ROUND(K55,E18)*E19</f>
        <v>2</v>
      </c>
      <c r="L8" s="599"/>
      <c r="N8" s="278" t="str">
        <f t="shared" ref="N8:N71" si="52">IF(N7="","",IF(N7+1&gt;$F$4,"",N7+1))</f>
        <v/>
      </c>
      <c r="O8" s="279" t="str">
        <f t="shared" ref="O8:O71" si="53">IF(N8="","",$E$3+N8)</f>
        <v/>
      </c>
      <c r="P8" s="271" t="str">
        <f t="shared" si="49"/>
        <v/>
      </c>
      <c r="Q8" s="271" t="str">
        <f t="shared" si="50"/>
        <v/>
      </c>
      <c r="R8" s="271" t="str">
        <f t="shared" si="51"/>
        <v/>
      </c>
      <c r="S8" s="400" t="str">
        <f t="shared" ref="S8:S71" si="54">IF(N8="","",IF(R8=0,0,ROUNDDOWN(R8/P8,3)))</f>
        <v/>
      </c>
      <c r="T8" s="419"/>
      <c r="U8" s="52" t="str">
        <f t="shared" si="45"/>
        <v/>
      </c>
      <c r="V8" s="53" t="str">
        <f>Main_무해지!AC8</f>
        <v/>
      </c>
      <c r="W8" s="56">
        <f>+Main_무해지!AD8</f>
        <v>0</v>
      </c>
      <c r="X8" s="56">
        <v>0</v>
      </c>
      <c r="Y8" s="254" t="str">
        <f t="shared" si="46"/>
        <v/>
      </c>
      <c r="Z8" s="254" t="str">
        <f t="shared" si="1"/>
        <v/>
      </c>
      <c r="AA8" s="54" t="str">
        <f>IF($U8="","",SUM(Z8:Z$114))</f>
        <v/>
      </c>
      <c r="AB8" s="254" t="str">
        <f t="shared" si="35"/>
        <v/>
      </c>
      <c r="AC8" s="254">
        <f t="shared" si="36"/>
        <v>0</v>
      </c>
      <c r="AD8" s="254" t="str">
        <f>Main_무해지!AJ8</f>
        <v/>
      </c>
      <c r="AE8" s="254">
        <f t="shared" si="2"/>
        <v>0</v>
      </c>
      <c r="AF8" s="254" t="str">
        <f t="shared" si="47"/>
        <v/>
      </c>
      <c r="AG8" s="254" t="str">
        <f t="shared" si="3"/>
        <v/>
      </c>
      <c r="AH8" s="54" t="str">
        <f>IF($U8="","",SUM(AG8:AG$114))</f>
        <v/>
      </c>
      <c r="AI8" s="254" t="str">
        <f>Main_무해지!AP8</f>
        <v/>
      </c>
      <c r="AJ8" s="254">
        <f t="shared" si="4"/>
        <v>0</v>
      </c>
      <c r="AK8" s="254" t="str">
        <f t="shared" si="5"/>
        <v/>
      </c>
      <c r="AL8" s="254" t="str">
        <f t="shared" si="6"/>
        <v/>
      </c>
      <c r="AM8" s="57" t="str">
        <f>IF($U8="","",SUM($AN8:$AN$114))</f>
        <v/>
      </c>
      <c r="AN8" s="254" t="str">
        <f t="shared" si="37"/>
        <v/>
      </c>
      <c r="AO8" s="57" t="str">
        <f t="shared" si="7"/>
        <v/>
      </c>
      <c r="AP8" s="53" t="str">
        <f>IF($U8="","",INDEX(#REF!,$U8+1))</f>
        <v/>
      </c>
      <c r="AQ8" s="254">
        <f t="shared" si="8"/>
        <v>0</v>
      </c>
      <c r="AR8" s="254" t="str">
        <f t="shared" si="9"/>
        <v/>
      </c>
      <c r="AS8" s="254" t="str">
        <f t="shared" si="10"/>
        <v/>
      </c>
      <c r="AT8" s="57" t="str">
        <f>IF($U8="","",SUM($AS8:$AS$114))</f>
        <v/>
      </c>
      <c r="AU8" s="53" t="str">
        <f>IF($U8="","",INDEX(#REF!,$U8+1))</f>
        <v/>
      </c>
      <c r="AV8" s="254">
        <f t="shared" si="11"/>
        <v>0</v>
      </c>
      <c r="AW8" s="254" t="str">
        <f t="shared" si="12"/>
        <v/>
      </c>
      <c r="AX8" s="254" t="str">
        <f t="shared" si="13"/>
        <v/>
      </c>
      <c r="AY8" s="57" t="str">
        <f>IF($U8="","",SUM($AX8:$AX$114))</f>
        <v/>
      </c>
      <c r="AZ8" s="53" t="str">
        <f>IF($U8="","",INDEX(#REF!,$U8+1))</f>
        <v/>
      </c>
      <c r="BA8" s="254">
        <f t="shared" si="14"/>
        <v>0</v>
      </c>
      <c r="BB8" s="254" t="str">
        <f t="shared" si="15"/>
        <v/>
      </c>
      <c r="BC8" s="254" t="str">
        <f t="shared" si="16"/>
        <v/>
      </c>
      <c r="BD8" s="57" t="str">
        <f>IF($U8="","",SUM($BC8:$BC$114))</f>
        <v/>
      </c>
      <c r="BE8" s="53" t="str">
        <f>IF($U8="","",INDEX(#REF!,$U8+1))</f>
        <v/>
      </c>
      <c r="BF8" s="254">
        <f t="shared" si="17"/>
        <v>0</v>
      </c>
      <c r="BG8" s="254" t="str">
        <f t="shared" si="18"/>
        <v/>
      </c>
      <c r="BH8" s="254" t="str">
        <f t="shared" si="19"/>
        <v/>
      </c>
      <c r="BI8" s="57" t="str">
        <f>IF($U8="","",SUM($BH8:$BH$114))</f>
        <v/>
      </c>
      <c r="BJ8" s="53" t="str">
        <f>IF($U8="","",INDEX(#REF!,$U8+1))</f>
        <v/>
      </c>
      <c r="BK8" s="254">
        <f t="shared" si="20"/>
        <v>0</v>
      </c>
      <c r="BL8" s="254" t="str">
        <f t="shared" si="21"/>
        <v/>
      </c>
      <c r="BM8" s="254" t="str">
        <f t="shared" si="22"/>
        <v/>
      </c>
      <c r="BN8" s="57" t="str">
        <f>IF($U8="","",SUM($BM8:$BM$114))</f>
        <v/>
      </c>
      <c r="BO8" s="53">
        <f t="shared" si="23"/>
        <v>0</v>
      </c>
      <c r="BP8" s="254" t="str">
        <f t="shared" si="24"/>
        <v/>
      </c>
      <c r="BQ8" s="254" t="str">
        <f t="shared" si="25"/>
        <v/>
      </c>
      <c r="BR8" s="254"/>
      <c r="BS8" s="254" t="str">
        <f t="shared" si="38"/>
        <v/>
      </c>
      <c r="BT8" s="254" t="str">
        <f t="shared" si="26"/>
        <v/>
      </c>
      <c r="BU8" s="254" t="str">
        <f t="shared" si="27"/>
        <v/>
      </c>
      <c r="BV8" s="254"/>
      <c r="BW8" s="254" t="str">
        <f t="shared" si="39"/>
        <v/>
      </c>
      <c r="BX8" s="254" t="str">
        <f>IF($U8="","",SUM(BS8:BS$114)+SUM(BW8:BW$114))</f>
        <v/>
      </c>
      <c r="BY8" s="55"/>
      <c r="BZ8" s="55"/>
      <c r="CA8" s="55"/>
      <c r="CB8" s="55"/>
      <c r="CC8" s="390" t="str">
        <f t="shared" si="0"/>
        <v/>
      </c>
      <c r="CD8" s="254" t="str">
        <f t="shared" si="40"/>
        <v/>
      </c>
      <c r="CE8" s="254" t="str">
        <f t="shared" si="28"/>
        <v/>
      </c>
      <c r="CF8" s="254" t="str">
        <f t="shared" si="29"/>
        <v/>
      </c>
      <c r="CG8" s="254" t="str">
        <f t="shared" si="41"/>
        <v/>
      </c>
      <c r="CH8" s="254" t="str">
        <f t="shared" si="30"/>
        <v/>
      </c>
      <c r="CI8" s="58" t="str">
        <f t="shared" si="42"/>
        <v/>
      </c>
      <c r="CJ8" s="59" t="str">
        <f t="shared" si="31"/>
        <v/>
      </c>
      <c r="CK8" s="236"/>
      <c r="CL8" s="52" t="str">
        <f t="shared" si="32"/>
        <v/>
      </c>
      <c r="CM8" s="59" t="str">
        <f t="shared" si="48"/>
        <v/>
      </c>
      <c r="CN8" s="59" t="str">
        <f t="shared" si="43"/>
        <v/>
      </c>
      <c r="CO8" s="59" t="str">
        <f t="shared" si="33"/>
        <v/>
      </c>
      <c r="CP8" s="59" t="str">
        <f t="shared" si="44"/>
        <v/>
      </c>
      <c r="CQ8" s="236"/>
      <c r="CR8" s="236"/>
      <c r="CS8" s="236"/>
      <c r="CT8" s="236"/>
      <c r="CU8" s="236"/>
      <c r="CV8" s="236"/>
      <c r="CW8" s="478"/>
      <c r="CX8" s="478"/>
      <c r="CY8" s="478"/>
      <c r="CZ8" s="478"/>
      <c r="DA8" s="478"/>
      <c r="DB8" s="478"/>
      <c r="DC8" s="478"/>
      <c r="DD8" s="478"/>
      <c r="DE8" s="478"/>
      <c r="DF8" s="478"/>
      <c r="DG8" s="478"/>
      <c r="DH8" s="478"/>
      <c r="DI8" s="478"/>
      <c r="DJ8" s="478"/>
      <c r="DK8" s="478"/>
      <c r="DL8" s="478"/>
      <c r="DM8" s="478"/>
      <c r="DN8" s="478"/>
      <c r="DO8" s="478"/>
      <c r="DP8" s="478"/>
      <c r="DQ8" s="478"/>
      <c r="DR8" s="478"/>
      <c r="DS8" s="478"/>
      <c r="DT8" s="478"/>
      <c r="DU8" s="478"/>
      <c r="DV8" s="478"/>
      <c r="DW8" s="478"/>
      <c r="DX8" s="478"/>
      <c r="DY8" s="478"/>
      <c r="DZ8" s="478"/>
      <c r="EA8" s="478"/>
      <c r="EB8" s="478"/>
      <c r="EC8" s="478"/>
      <c r="ED8" s="478"/>
    </row>
    <row r="9" spans="1:874">
      <c r="C9" s="28"/>
      <c r="D9" s="29" t="s">
        <v>244</v>
      </c>
      <c r="E9" s="429" t="s">
        <v>227</v>
      </c>
      <c r="F9" s="306">
        <f>Main_무해지!F9</f>
        <v>0</v>
      </c>
      <c r="G9" s="30"/>
      <c r="H9" s="323"/>
      <c r="I9" s="48" t="str">
        <f>+I48</f>
        <v xml:space="preserve">  mP(β')(m')x:n</v>
      </c>
      <c r="J9" s="109" t="s">
        <v>257</v>
      </c>
      <c r="K9" s="226">
        <f>ROUND(K48,E18)*E19</f>
        <v>7</v>
      </c>
      <c r="L9" s="599"/>
      <c r="M9" s="146"/>
      <c r="N9" s="278" t="str">
        <f t="shared" si="52"/>
        <v/>
      </c>
      <c r="O9" s="279" t="str">
        <f t="shared" si="53"/>
        <v/>
      </c>
      <c r="P9" s="271" t="str">
        <f t="shared" si="49"/>
        <v/>
      </c>
      <c r="Q9" s="271" t="str">
        <f t="shared" si="50"/>
        <v/>
      </c>
      <c r="R9" s="271" t="str">
        <f t="shared" si="51"/>
        <v/>
      </c>
      <c r="S9" s="400" t="str">
        <f t="shared" si="54"/>
        <v/>
      </c>
      <c r="T9" s="419"/>
      <c r="U9" s="60" t="str">
        <f t="shared" si="45"/>
        <v/>
      </c>
      <c r="V9" s="61" t="str">
        <f>Main_무해지!AC9</f>
        <v/>
      </c>
      <c r="W9" s="64">
        <f>+Main_무해지!AD9</f>
        <v>0</v>
      </c>
      <c r="X9" s="64">
        <v>0</v>
      </c>
      <c r="Y9" s="255" t="str">
        <f t="shared" si="46"/>
        <v/>
      </c>
      <c r="Z9" s="255" t="str">
        <f t="shared" si="1"/>
        <v/>
      </c>
      <c r="AA9" s="62" t="str">
        <f>IF($U9="","",SUM(Z9:Z$114))</f>
        <v/>
      </c>
      <c r="AB9" s="255" t="str">
        <f t="shared" si="35"/>
        <v/>
      </c>
      <c r="AC9" s="255">
        <f t="shared" si="36"/>
        <v>0</v>
      </c>
      <c r="AD9" s="255" t="str">
        <f>Main_무해지!AJ9</f>
        <v/>
      </c>
      <c r="AE9" s="255">
        <f t="shared" si="2"/>
        <v>0</v>
      </c>
      <c r="AF9" s="255" t="str">
        <f t="shared" si="47"/>
        <v/>
      </c>
      <c r="AG9" s="255" t="str">
        <f t="shared" si="3"/>
        <v/>
      </c>
      <c r="AH9" s="62" t="str">
        <f>IF($U9="","",SUM(AG9:AG$114))</f>
        <v/>
      </c>
      <c r="AI9" s="255" t="str">
        <f>Main_무해지!AP9</f>
        <v/>
      </c>
      <c r="AJ9" s="255">
        <f t="shared" si="4"/>
        <v>0</v>
      </c>
      <c r="AK9" s="255" t="str">
        <f t="shared" si="5"/>
        <v/>
      </c>
      <c r="AL9" s="255" t="str">
        <f t="shared" si="6"/>
        <v/>
      </c>
      <c r="AM9" s="65" t="str">
        <f>IF($U9="","",SUM($AN9:$AN$114))</f>
        <v/>
      </c>
      <c r="AN9" s="255" t="str">
        <f t="shared" si="37"/>
        <v/>
      </c>
      <c r="AO9" s="65" t="str">
        <f t="shared" si="7"/>
        <v/>
      </c>
      <c r="AP9" s="61" t="str">
        <f>IF($U9="","",INDEX(#REF!,$U9+1))</f>
        <v/>
      </c>
      <c r="AQ9" s="255">
        <f t="shared" si="8"/>
        <v>0</v>
      </c>
      <c r="AR9" s="255" t="str">
        <f t="shared" si="9"/>
        <v/>
      </c>
      <c r="AS9" s="255" t="str">
        <f t="shared" si="10"/>
        <v/>
      </c>
      <c r="AT9" s="65" t="str">
        <f>IF($U9="","",SUM($AS9:$AS$114))</f>
        <v/>
      </c>
      <c r="AU9" s="61" t="str">
        <f>IF($U9="","",INDEX(#REF!,$U9+1))</f>
        <v/>
      </c>
      <c r="AV9" s="255">
        <f t="shared" si="11"/>
        <v>0</v>
      </c>
      <c r="AW9" s="255" t="str">
        <f t="shared" si="12"/>
        <v/>
      </c>
      <c r="AX9" s="255" t="str">
        <f t="shared" si="13"/>
        <v/>
      </c>
      <c r="AY9" s="65" t="str">
        <f>IF($U9="","",SUM($AX9:$AX$114))</f>
        <v/>
      </c>
      <c r="AZ9" s="61" t="str">
        <f>IF($U9="","",INDEX(#REF!,$U9+1))</f>
        <v/>
      </c>
      <c r="BA9" s="255">
        <f t="shared" si="14"/>
        <v>0</v>
      </c>
      <c r="BB9" s="255" t="str">
        <f t="shared" si="15"/>
        <v/>
      </c>
      <c r="BC9" s="255" t="str">
        <f t="shared" si="16"/>
        <v/>
      </c>
      <c r="BD9" s="65" t="str">
        <f>IF($U9="","",SUM($BC9:$BC$114))</f>
        <v/>
      </c>
      <c r="BE9" s="61" t="str">
        <f>IF($U9="","",INDEX(#REF!,$U9+1))</f>
        <v/>
      </c>
      <c r="BF9" s="255">
        <f t="shared" si="17"/>
        <v>0</v>
      </c>
      <c r="BG9" s="255" t="str">
        <f t="shared" si="18"/>
        <v/>
      </c>
      <c r="BH9" s="255" t="str">
        <f t="shared" si="19"/>
        <v/>
      </c>
      <c r="BI9" s="65" t="str">
        <f>IF($U9="","",SUM($BH9:$BH$114))</f>
        <v/>
      </c>
      <c r="BJ9" s="61" t="str">
        <f>IF($U9="","",INDEX(#REF!,$U9+1))</f>
        <v/>
      </c>
      <c r="BK9" s="255">
        <f t="shared" si="20"/>
        <v>0</v>
      </c>
      <c r="BL9" s="255" t="str">
        <f t="shared" si="21"/>
        <v/>
      </c>
      <c r="BM9" s="255" t="str">
        <f t="shared" si="22"/>
        <v/>
      </c>
      <c r="BN9" s="65" t="str">
        <f>IF($U9="","",SUM($BM9:$BM$114))</f>
        <v/>
      </c>
      <c r="BO9" s="61">
        <f t="shared" si="23"/>
        <v>0</v>
      </c>
      <c r="BP9" s="255" t="str">
        <f t="shared" si="24"/>
        <v/>
      </c>
      <c r="BQ9" s="255" t="str">
        <f t="shared" si="25"/>
        <v/>
      </c>
      <c r="BR9" s="255"/>
      <c r="BS9" s="255" t="str">
        <f t="shared" si="38"/>
        <v/>
      </c>
      <c r="BT9" s="255" t="str">
        <f t="shared" si="26"/>
        <v/>
      </c>
      <c r="BU9" s="255" t="str">
        <f t="shared" si="27"/>
        <v/>
      </c>
      <c r="BV9" s="255"/>
      <c r="BW9" s="255" t="str">
        <f t="shared" si="39"/>
        <v/>
      </c>
      <c r="BX9" s="255" t="str">
        <f>IF($U9="","",SUM(BS9:BS$114)+SUM(BW9:BW$114))</f>
        <v/>
      </c>
      <c r="BY9" s="63"/>
      <c r="BZ9" s="63"/>
      <c r="CA9" s="63"/>
      <c r="CB9" s="63"/>
      <c r="CC9" s="391" t="str">
        <f t="shared" si="0"/>
        <v/>
      </c>
      <c r="CD9" s="255" t="str">
        <f t="shared" si="40"/>
        <v/>
      </c>
      <c r="CE9" s="255" t="str">
        <f t="shared" si="28"/>
        <v/>
      </c>
      <c r="CF9" s="255" t="str">
        <f t="shared" si="29"/>
        <v/>
      </c>
      <c r="CG9" s="255" t="str">
        <f t="shared" si="41"/>
        <v/>
      </c>
      <c r="CH9" s="255" t="str">
        <f t="shared" si="30"/>
        <v/>
      </c>
      <c r="CI9" s="66" t="str">
        <f t="shared" si="42"/>
        <v/>
      </c>
      <c r="CJ9" s="67" t="str">
        <f t="shared" si="31"/>
        <v/>
      </c>
      <c r="CK9" s="237"/>
      <c r="CL9" s="60" t="str">
        <f t="shared" si="32"/>
        <v/>
      </c>
      <c r="CM9" s="67" t="str">
        <f t="shared" si="48"/>
        <v/>
      </c>
      <c r="CN9" s="67" t="str">
        <f t="shared" si="43"/>
        <v/>
      </c>
      <c r="CO9" s="67" t="str">
        <f t="shared" si="33"/>
        <v/>
      </c>
      <c r="CP9" s="67" t="str">
        <f t="shared" si="44"/>
        <v/>
      </c>
      <c r="CQ9" s="237"/>
      <c r="CR9" s="237"/>
      <c r="CS9" s="237"/>
      <c r="CT9" s="237"/>
      <c r="CU9" s="237"/>
      <c r="CV9" s="237"/>
      <c r="CW9" s="478"/>
      <c r="CX9" s="478"/>
      <c r="CY9" s="478"/>
      <c r="CZ9" s="478"/>
      <c r="DA9" s="478"/>
      <c r="DB9" s="478"/>
      <c r="DC9" s="478"/>
      <c r="DD9" s="478"/>
      <c r="DE9" s="478"/>
      <c r="DF9" s="478"/>
      <c r="DG9" s="478"/>
      <c r="DH9" s="478"/>
      <c r="DI9" s="478"/>
      <c r="DJ9" s="478"/>
      <c r="DK9" s="478"/>
      <c r="DL9" s="478"/>
      <c r="DM9" s="478"/>
      <c r="DN9" s="478"/>
      <c r="DO9" s="478"/>
      <c r="DP9" s="478"/>
      <c r="DQ9" s="478"/>
      <c r="DR9" s="478"/>
      <c r="DS9" s="478"/>
      <c r="DT9" s="478"/>
      <c r="DU9" s="478"/>
      <c r="DV9" s="478"/>
      <c r="DW9" s="478"/>
      <c r="DX9" s="478"/>
      <c r="DY9" s="478"/>
      <c r="DZ9" s="478"/>
      <c r="EA9" s="478"/>
      <c r="EB9" s="478"/>
      <c r="EC9" s="478"/>
      <c r="ED9" s="478"/>
    </row>
    <row r="10" spans="1:874">
      <c r="C10" s="28"/>
      <c r="D10" s="29" t="s">
        <v>99</v>
      </c>
      <c r="E10" s="430">
        <v>0</v>
      </c>
      <c r="F10" s="306">
        <f>Main_무해지!F10</f>
        <v>0</v>
      </c>
      <c r="G10" s="30"/>
      <c r="H10" s="372"/>
      <c r="I10" s="48" t="s">
        <v>75</v>
      </c>
      <c r="J10" s="109"/>
      <c r="K10" s="226">
        <f>+IF(F5=0,ROUND(E32*E19+K44*E33*E19,0),ROUND(E23*E19+E24*K41*E19,0))</f>
        <v>0</v>
      </c>
      <c r="L10" s="599"/>
      <c r="M10" s="33"/>
      <c r="N10" s="278" t="str">
        <f t="shared" si="52"/>
        <v/>
      </c>
      <c r="O10" s="279" t="str">
        <f t="shared" si="53"/>
        <v/>
      </c>
      <c r="P10" s="271" t="str">
        <f t="shared" si="49"/>
        <v/>
      </c>
      <c r="Q10" s="271" t="str">
        <f t="shared" si="50"/>
        <v/>
      </c>
      <c r="R10" s="271" t="str">
        <f t="shared" si="51"/>
        <v/>
      </c>
      <c r="S10" s="400" t="str">
        <f t="shared" si="54"/>
        <v/>
      </c>
      <c r="T10" s="419"/>
      <c r="U10" s="759" t="str">
        <f t="shared" si="45"/>
        <v/>
      </c>
      <c r="V10" s="761" t="str">
        <f>Main_무해지!AC10</f>
        <v/>
      </c>
      <c r="W10" s="639">
        <f>+Main_무해지!AD10</f>
        <v>0</v>
      </c>
      <c r="X10" s="639">
        <v>0</v>
      </c>
      <c r="Y10" s="409" t="str">
        <f t="shared" si="46"/>
        <v/>
      </c>
      <c r="Z10" s="409" t="str">
        <f t="shared" si="1"/>
        <v/>
      </c>
      <c r="AA10" s="760" t="str">
        <f>IF($U10="","",SUM(Z10:Z$114))</f>
        <v/>
      </c>
      <c r="AB10" s="409" t="str">
        <f t="shared" si="35"/>
        <v/>
      </c>
      <c r="AC10" s="409">
        <f t="shared" si="36"/>
        <v>0</v>
      </c>
      <c r="AD10" s="409" t="str">
        <f>Main_무해지!AJ10</f>
        <v/>
      </c>
      <c r="AE10" s="409">
        <f t="shared" si="2"/>
        <v>0</v>
      </c>
      <c r="AF10" s="409" t="str">
        <f t="shared" si="47"/>
        <v/>
      </c>
      <c r="AG10" s="409" t="str">
        <f t="shared" si="3"/>
        <v/>
      </c>
      <c r="AH10" s="760" t="str">
        <f>IF($U10="","",SUM(AG10:AG$114))</f>
        <v/>
      </c>
      <c r="AI10" s="409" t="str">
        <f>Main_무해지!AP10</f>
        <v/>
      </c>
      <c r="AJ10" s="409">
        <f t="shared" si="4"/>
        <v>0</v>
      </c>
      <c r="AK10" s="409" t="str">
        <f t="shared" si="5"/>
        <v/>
      </c>
      <c r="AL10" s="409" t="str">
        <f t="shared" si="6"/>
        <v/>
      </c>
      <c r="AM10" s="762" t="str">
        <f>IF($U10="","",SUM($AN10:$AN$114))</f>
        <v/>
      </c>
      <c r="AN10" s="409" t="str">
        <f t="shared" si="37"/>
        <v/>
      </c>
      <c r="AO10" s="762" t="str">
        <f t="shared" si="7"/>
        <v/>
      </c>
      <c r="AP10" s="761" t="str">
        <f>IF($U10="","",INDEX(#REF!,$U10+1))</f>
        <v/>
      </c>
      <c r="AQ10" s="409">
        <f t="shared" si="8"/>
        <v>0</v>
      </c>
      <c r="AR10" s="409" t="str">
        <f t="shared" si="9"/>
        <v/>
      </c>
      <c r="AS10" s="409" t="str">
        <f t="shared" si="10"/>
        <v/>
      </c>
      <c r="AT10" s="762" t="str">
        <f>IF($U10="","",SUM($AS10:$AS$114))</f>
        <v/>
      </c>
      <c r="AU10" s="761" t="str">
        <f>IF($U10="","",INDEX(#REF!,$U10+1))</f>
        <v/>
      </c>
      <c r="AV10" s="409">
        <f t="shared" si="11"/>
        <v>0</v>
      </c>
      <c r="AW10" s="409" t="str">
        <f t="shared" si="12"/>
        <v/>
      </c>
      <c r="AX10" s="409" t="str">
        <f t="shared" si="13"/>
        <v/>
      </c>
      <c r="AY10" s="762" t="str">
        <f>IF($U10="","",SUM($AX10:$AX$114))</f>
        <v/>
      </c>
      <c r="AZ10" s="761" t="str">
        <f>IF($U10="","",INDEX(#REF!,$U10+1))</f>
        <v/>
      </c>
      <c r="BA10" s="409">
        <f t="shared" si="14"/>
        <v>0</v>
      </c>
      <c r="BB10" s="409" t="str">
        <f t="shared" si="15"/>
        <v/>
      </c>
      <c r="BC10" s="409" t="str">
        <f t="shared" si="16"/>
        <v/>
      </c>
      <c r="BD10" s="762" t="str">
        <f>IF($U10="","",SUM($BC10:$BC$114))</f>
        <v/>
      </c>
      <c r="BE10" s="761" t="str">
        <f>IF($U10="","",INDEX(#REF!,$U10+1))</f>
        <v/>
      </c>
      <c r="BF10" s="409">
        <f t="shared" si="17"/>
        <v>0</v>
      </c>
      <c r="BG10" s="409" t="str">
        <f t="shared" si="18"/>
        <v/>
      </c>
      <c r="BH10" s="409" t="str">
        <f t="shared" si="19"/>
        <v/>
      </c>
      <c r="BI10" s="762" t="str">
        <f>IF($U10="","",SUM($BH10:$BH$114))</f>
        <v/>
      </c>
      <c r="BJ10" s="761" t="str">
        <f>IF($U10="","",INDEX(#REF!,$U10+1))</f>
        <v/>
      </c>
      <c r="BK10" s="409">
        <f t="shared" si="20"/>
        <v>0</v>
      </c>
      <c r="BL10" s="409" t="str">
        <f t="shared" si="21"/>
        <v/>
      </c>
      <c r="BM10" s="409" t="str">
        <f t="shared" si="22"/>
        <v/>
      </c>
      <c r="BN10" s="762" t="str">
        <f>IF($U10="","",SUM($BM10:$BM$114))</f>
        <v/>
      </c>
      <c r="BO10" s="761">
        <f t="shared" si="23"/>
        <v>0</v>
      </c>
      <c r="BP10" s="409" t="str">
        <f t="shared" si="24"/>
        <v/>
      </c>
      <c r="BQ10" s="409" t="str">
        <f t="shared" si="25"/>
        <v/>
      </c>
      <c r="BR10" s="409"/>
      <c r="BS10" s="409" t="str">
        <f t="shared" si="38"/>
        <v/>
      </c>
      <c r="BT10" s="409" t="str">
        <f t="shared" si="26"/>
        <v/>
      </c>
      <c r="BU10" s="409" t="str">
        <f t="shared" si="27"/>
        <v/>
      </c>
      <c r="BV10" s="409"/>
      <c r="BW10" s="409" t="str">
        <f t="shared" si="39"/>
        <v/>
      </c>
      <c r="BX10" s="409" t="str">
        <f>IF($U10="","",SUM(BS10:BS$114)+SUM(BW10:BW$114))</f>
        <v/>
      </c>
      <c r="BY10" s="763"/>
      <c r="BZ10" s="763"/>
      <c r="CA10" s="763"/>
      <c r="CB10" s="763"/>
      <c r="CC10" s="764" t="str">
        <f t="shared" si="0"/>
        <v/>
      </c>
      <c r="CD10" s="409" t="str">
        <f t="shared" si="40"/>
        <v/>
      </c>
      <c r="CE10" s="409" t="str">
        <f t="shared" si="28"/>
        <v/>
      </c>
      <c r="CF10" s="409" t="str">
        <f t="shared" si="29"/>
        <v/>
      </c>
      <c r="CG10" s="409" t="str">
        <f t="shared" si="41"/>
        <v/>
      </c>
      <c r="CH10" s="409" t="str">
        <f t="shared" si="30"/>
        <v/>
      </c>
      <c r="CI10" s="765" t="str">
        <f t="shared" si="42"/>
        <v/>
      </c>
      <c r="CJ10" s="766" t="str">
        <f t="shared" si="31"/>
        <v/>
      </c>
      <c r="CK10" s="414"/>
      <c r="CL10" s="759" t="str">
        <f t="shared" si="32"/>
        <v/>
      </c>
      <c r="CM10" s="766" t="str">
        <f t="shared" si="48"/>
        <v/>
      </c>
      <c r="CN10" s="766" t="str">
        <f t="shared" si="43"/>
        <v/>
      </c>
      <c r="CO10" s="766" t="str">
        <f t="shared" si="33"/>
        <v/>
      </c>
      <c r="CP10" s="766" t="str">
        <f t="shared" si="44"/>
        <v/>
      </c>
      <c r="CQ10" s="414"/>
      <c r="CR10" s="414"/>
      <c r="CS10" s="414"/>
      <c r="CT10" s="414"/>
      <c r="CU10" s="414"/>
      <c r="CV10" s="414"/>
      <c r="CW10" s="478"/>
      <c r="CX10" s="478"/>
      <c r="CY10" s="478"/>
      <c r="CZ10" s="478"/>
      <c r="DA10" s="478"/>
      <c r="DB10" s="478"/>
      <c r="DC10" s="478"/>
      <c r="DD10" s="478"/>
      <c r="DE10" s="478"/>
      <c r="DF10" s="478"/>
      <c r="DG10" s="478"/>
      <c r="DH10" s="478"/>
      <c r="DI10" s="478"/>
      <c r="DJ10" s="478"/>
      <c r="DK10" s="478"/>
      <c r="DL10" s="478"/>
      <c r="DM10" s="478"/>
      <c r="DN10" s="478"/>
      <c r="DO10" s="478"/>
      <c r="DP10" s="478"/>
      <c r="DQ10" s="478"/>
      <c r="DR10" s="478"/>
      <c r="DS10" s="478"/>
      <c r="DT10" s="478"/>
      <c r="DU10" s="478"/>
      <c r="DV10" s="478"/>
      <c r="DW10" s="478"/>
      <c r="DX10" s="478"/>
      <c r="DY10" s="478"/>
      <c r="DZ10" s="478"/>
      <c r="EA10" s="478"/>
      <c r="EB10" s="478"/>
      <c r="EC10" s="478"/>
      <c r="ED10" s="478"/>
    </row>
    <row r="11" spans="1:874" ht="17.25" thickBot="1">
      <c r="C11" s="28"/>
      <c r="D11" s="29" t="s">
        <v>100</v>
      </c>
      <c r="E11" s="431">
        <v>0</v>
      </c>
      <c r="F11" s="306">
        <f>Main_무해지!F11</f>
        <v>0</v>
      </c>
      <c r="G11" s="30"/>
      <c r="H11" s="322"/>
      <c r="I11" s="426" t="s">
        <v>229</v>
      </c>
      <c r="J11" s="427"/>
      <c r="K11" s="428">
        <f>+IF(F5=0,ROUND(F32*E19+K44*F33*E19,0),ROUND(F23*E19+F24*K41*E19,0))</f>
        <v>70</v>
      </c>
      <c r="L11" s="322"/>
      <c r="M11" s="33"/>
      <c r="N11" s="280" t="str">
        <f t="shared" si="52"/>
        <v/>
      </c>
      <c r="O11" s="281" t="str">
        <f t="shared" si="53"/>
        <v/>
      </c>
      <c r="P11" s="282" t="str">
        <f t="shared" si="49"/>
        <v/>
      </c>
      <c r="Q11" s="282" t="str">
        <f t="shared" si="50"/>
        <v/>
      </c>
      <c r="R11" s="282" t="str">
        <f t="shared" si="51"/>
        <v/>
      </c>
      <c r="S11" s="402" t="str">
        <f t="shared" si="54"/>
        <v/>
      </c>
      <c r="T11" s="419"/>
      <c r="U11" s="70" t="str">
        <f t="shared" si="45"/>
        <v/>
      </c>
      <c r="V11" s="71" t="str">
        <f>Main_무해지!AC11</f>
        <v/>
      </c>
      <c r="W11" s="74">
        <f>+Main_무해지!AD11</f>
        <v>0</v>
      </c>
      <c r="X11" s="74">
        <v>0</v>
      </c>
      <c r="Y11" s="256" t="str">
        <f t="shared" si="46"/>
        <v/>
      </c>
      <c r="Z11" s="256" t="str">
        <f t="shared" si="1"/>
        <v/>
      </c>
      <c r="AA11" s="72" t="str">
        <f>IF($U11="","",SUM(Z11:Z$114))</f>
        <v/>
      </c>
      <c r="AB11" s="256" t="str">
        <f t="shared" si="35"/>
        <v/>
      </c>
      <c r="AC11" s="256">
        <f t="shared" si="36"/>
        <v>0</v>
      </c>
      <c r="AD11" s="256" t="str">
        <f>Main_무해지!AJ11</f>
        <v/>
      </c>
      <c r="AE11" s="256">
        <f t="shared" si="2"/>
        <v>0</v>
      </c>
      <c r="AF11" s="256" t="str">
        <f t="shared" si="47"/>
        <v/>
      </c>
      <c r="AG11" s="256" t="str">
        <f t="shared" si="3"/>
        <v/>
      </c>
      <c r="AH11" s="72" t="str">
        <f>IF($U11="","",SUM(AG11:AG$114))</f>
        <v/>
      </c>
      <c r="AI11" s="256" t="str">
        <f>Main_무해지!AP11</f>
        <v/>
      </c>
      <c r="AJ11" s="256">
        <f t="shared" si="4"/>
        <v>0</v>
      </c>
      <c r="AK11" s="256" t="str">
        <f t="shared" si="5"/>
        <v/>
      </c>
      <c r="AL11" s="256" t="str">
        <f t="shared" si="6"/>
        <v/>
      </c>
      <c r="AM11" s="75" t="str">
        <f>IF($U11="","",SUM($AN11:$AN$114))</f>
        <v/>
      </c>
      <c r="AN11" s="256" t="str">
        <f t="shared" si="37"/>
        <v/>
      </c>
      <c r="AO11" s="75" t="str">
        <f t="shared" si="7"/>
        <v/>
      </c>
      <c r="AP11" s="71" t="str">
        <f>IF($U11="","",INDEX(#REF!,$U11+1))</f>
        <v/>
      </c>
      <c r="AQ11" s="256">
        <f t="shared" si="8"/>
        <v>0</v>
      </c>
      <c r="AR11" s="256" t="str">
        <f t="shared" si="9"/>
        <v/>
      </c>
      <c r="AS11" s="256" t="str">
        <f t="shared" si="10"/>
        <v/>
      </c>
      <c r="AT11" s="75" t="str">
        <f>IF($U11="","",SUM($AS11:$AS$114))</f>
        <v/>
      </c>
      <c r="AU11" s="71" t="str">
        <f>IF($U11="","",INDEX(#REF!,$U11+1))</f>
        <v/>
      </c>
      <c r="AV11" s="256">
        <f t="shared" si="11"/>
        <v>0</v>
      </c>
      <c r="AW11" s="256" t="str">
        <f t="shared" si="12"/>
        <v/>
      </c>
      <c r="AX11" s="256" t="str">
        <f t="shared" si="13"/>
        <v/>
      </c>
      <c r="AY11" s="75" t="str">
        <f>IF($U11="","",SUM($AX11:$AX$114))</f>
        <v/>
      </c>
      <c r="AZ11" s="71" t="str">
        <f>IF($U11="","",INDEX(#REF!,$U11+1))</f>
        <v/>
      </c>
      <c r="BA11" s="256">
        <f t="shared" si="14"/>
        <v>0</v>
      </c>
      <c r="BB11" s="256" t="str">
        <f t="shared" si="15"/>
        <v/>
      </c>
      <c r="BC11" s="256" t="str">
        <f t="shared" si="16"/>
        <v/>
      </c>
      <c r="BD11" s="75" t="str">
        <f>IF($U11="","",SUM($BC11:$BC$114))</f>
        <v/>
      </c>
      <c r="BE11" s="71" t="str">
        <f>IF($U11="","",INDEX(#REF!,$U11+1))</f>
        <v/>
      </c>
      <c r="BF11" s="256">
        <f t="shared" si="17"/>
        <v>0</v>
      </c>
      <c r="BG11" s="256" t="str">
        <f t="shared" si="18"/>
        <v/>
      </c>
      <c r="BH11" s="256" t="str">
        <f t="shared" si="19"/>
        <v/>
      </c>
      <c r="BI11" s="75" t="str">
        <f>IF($U11="","",SUM($BH11:$BH$114))</f>
        <v/>
      </c>
      <c r="BJ11" s="71" t="str">
        <f>IF($U11="","",INDEX(#REF!,$U11+1))</f>
        <v/>
      </c>
      <c r="BK11" s="256">
        <f t="shared" si="20"/>
        <v>0</v>
      </c>
      <c r="BL11" s="256" t="str">
        <f t="shared" si="21"/>
        <v/>
      </c>
      <c r="BM11" s="256" t="str">
        <f t="shared" si="22"/>
        <v/>
      </c>
      <c r="BN11" s="75" t="str">
        <f>IF($U11="","",SUM($BM11:$BM$114))</f>
        <v/>
      </c>
      <c r="BO11" s="71">
        <f t="shared" si="23"/>
        <v>0</v>
      </c>
      <c r="BP11" s="256" t="str">
        <f t="shared" si="24"/>
        <v/>
      </c>
      <c r="BQ11" s="256" t="str">
        <f t="shared" si="25"/>
        <v/>
      </c>
      <c r="BR11" s="256"/>
      <c r="BS11" s="256" t="str">
        <f t="shared" si="38"/>
        <v/>
      </c>
      <c r="BT11" s="256" t="str">
        <f t="shared" si="26"/>
        <v/>
      </c>
      <c r="BU11" s="256" t="str">
        <f t="shared" si="27"/>
        <v/>
      </c>
      <c r="BV11" s="256"/>
      <c r="BW11" s="256" t="str">
        <f t="shared" si="39"/>
        <v/>
      </c>
      <c r="BX11" s="256" t="str">
        <f>IF($U11="","",SUM(BS11:BS$114)+SUM(BW11:BW$114))</f>
        <v/>
      </c>
      <c r="BY11" s="73"/>
      <c r="BZ11" s="73"/>
      <c r="CA11" s="73"/>
      <c r="CB11" s="73"/>
      <c r="CC11" s="392" t="str">
        <f t="shared" si="0"/>
        <v/>
      </c>
      <c r="CD11" s="256" t="str">
        <f t="shared" si="40"/>
        <v/>
      </c>
      <c r="CE11" s="256" t="str">
        <f t="shared" si="28"/>
        <v/>
      </c>
      <c r="CF11" s="256" t="str">
        <f t="shared" si="29"/>
        <v/>
      </c>
      <c r="CG11" s="256" t="str">
        <f t="shared" si="41"/>
        <v/>
      </c>
      <c r="CH11" s="256" t="str">
        <f t="shared" si="30"/>
        <v/>
      </c>
      <c r="CI11" s="76" t="str">
        <f t="shared" si="42"/>
        <v/>
      </c>
      <c r="CJ11" s="77" t="str">
        <f t="shared" si="31"/>
        <v/>
      </c>
      <c r="CK11" s="238"/>
      <c r="CL11" s="70" t="str">
        <f t="shared" si="32"/>
        <v/>
      </c>
      <c r="CM11" s="77" t="str">
        <f t="shared" si="48"/>
        <v/>
      </c>
      <c r="CN11" s="77" t="str">
        <f t="shared" si="43"/>
        <v/>
      </c>
      <c r="CO11" s="77" t="str">
        <f t="shared" si="33"/>
        <v/>
      </c>
      <c r="CP11" s="77" t="str">
        <f t="shared" si="44"/>
        <v/>
      </c>
      <c r="CQ11" s="238"/>
      <c r="CR11" s="238"/>
      <c r="CS11" s="238"/>
      <c r="CT11" s="238"/>
      <c r="CU11" s="238"/>
      <c r="CV11" s="238"/>
      <c r="CW11" s="478"/>
      <c r="CX11" s="478"/>
      <c r="CY11" s="478"/>
      <c r="CZ11" s="478"/>
      <c r="DA11" s="478"/>
      <c r="DB11" s="478"/>
      <c r="DC11" s="478"/>
      <c r="DD11" s="478"/>
      <c r="DE11" s="478"/>
      <c r="DF11" s="478"/>
      <c r="DG11" s="478"/>
      <c r="DH11" s="478"/>
      <c r="DI11" s="478"/>
      <c r="DJ11" s="478"/>
      <c r="DK11" s="478"/>
      <c r="DL11" s="478"/>
      <c r="DM11" s="478"/>
      <c r="DN11" s="478"/>
      <c r="DO11" s="478"/>
      <c r="DP11" s="478"/>
      <c r="DQ11" s="478"/>
      <c r="DR11" s="478"/>
      <c r="DS11" s="478"/>
      <c r="DT11" s="478"/>
      <c r="DU11" s="478"/>
      <c r="DV11" s="478"/>
      <c r="DW11" s="478"/>
      <c r="DX11" s="478"/>
      <c r="DY11" s="478"/>
      <c r="DZ11" s="478"/>
      <c r="EA11" s="478"/>
      <c r="EB11" s="478"/>
      <c r="EC11" s="478"/>
      <c r="ED11" s="478"/>
    </row>
    <row r="12" spans="1:874" ht="18.75" thickTop="1" thickBot="1">
      <c r="C12" s="245"/>
      <c r="D12" s="246" t="s">
        <v>77</v>
      </c>
      <c r="E12" s="248">
        <f>Main_무해지!E12</f>
        <v>1000</v>
      </c>
      <c r="F12" s="247" t="s">
        <v>76</v>
      </c>
      <c r="G12" s="249"/>
      <c r="H12" s="322"/>
      <c r="I12" s="322"/>
      <c r="J12" s="322"/>
      <c r="K12" s="322"/>
      <c r="L12" s="322"/>
      <c r="M12" s="50"/>
      <c r="N12" s="275" t="str">
        <f t="shared" si="52"/>
        <v/>
      </c>
      <c r="O12" s="276" t="str">
        <f t="shared" si="53"/>
        <v/>
      </c>
      <c r="P12" s="277" t="str">
        <f t="shared" si="49"/>
        <v/>
      </c>
      <c r="Q12" s="277" t="str">
        <f t="shared" si="50"/>
        <v/>
      </c>
      <c r="R12" s="277" t="str">
        <f t="shared" si="51"/>
        <v/>
      </c>
      <c r="S12" s="401" t="str">
        <f t="shared" si="54"/>
        <v/>
      </c>
      <c r="T12" s="419"/>
      <c r="U12" s="70" t="str">
        <f t="shared" si="45"/>
        <v/>
      </c>
      <c r="V12" s="71" t="str">
        <f>Main_무해지!AC12</f>
        <v/>
      </c>
      <c r="W12" s="74">
        <f>+Main_무해지!AD12</f>
        <v>0</v>
      </c>
      <c r="X12" s="74">
        <v>0</v>
      </c>
      <c r="Y12" s="256" t="str">
        <f t="shared" si="46"/>
        <v/>
      </c>
      <c r="Z12" s="256" t="str">
        <f t="shared" si="1"/>
        <v/>
      </c>
      <c r="AA12" s="72" t="str">
        <f>IF($U12="","",SUM(Z12:Z$114))</f>
        <v/>
      </c>
      <c r="AB12" s="256" t="str">
        <f t="shared" si="35"/>
        <v/>
      </c>
      <c r="AC12" s="256">
        <f t="shared" si="36"/>
        <v>0</v>
      </c>
      <c r="AD12" s="256" t="str">
        <f>Main_무해지!AJ12</f>
        <v/>
      </c>
      <c r="AE12" s="256">
        <f t="shared" si="2"/>
        <v>0</v>
      </c>
      <c r="AF12" s="256" t="str">
        <f t="shared" si="47"/>
        <v/>
      </c>
      <c r="AG12" s="256" t="str">
        <f t="shared" si="3"/>
        <v/>
      </c>
      <c r="AH12" s="72" t="str">
        <f>IF($U12="","",SUM(AG12:AG$114))</f>
        <v/>
      </c>
      <c r="AI12" s="256" t="str">
        <f>Main_무해지!AP12</f>
        <v/>
      </c>
      <c r="AJ12" s="256">
        <f t="shared" si="4"/>
        <v>0</v>
      </c>
      <c r="AK12" s="256" t="str">
        <f t="shared" si="5"/>
        <v/>
      </c>
      <c r="AL12" s="256" t="str">
        <f t="shared" si="6"/>
        <v/>
      </c>
      <c r="AM12" s="75" t="str">
        <f>IF($U12="","",SUM($AN12:$AN$114))</f>
        <v/>
      </c>
      <c r="AN12" s="256" t="str">
        <f t="shared" si="37"/>
        <v/>
      </c>
      <c r="AO12" s="75" t="str">
        <f t="shared" si="7"/>
        <v/>
      </c>
      <c r="AP12" s="71" t="str">
        <f>IF($U12="","",INDEX(#REF!,$U12+1))</f>
        <v/>
      </c>
      <c r="AQ12" s="256">
        <f t="shared" si="8"/>
        <v>0</v>
      </c>
      <c r="AR12" s="256" t="str">
        <f t="shared" si="9"/>
        <v/>
      </c>
      <c r="AS12" s="256" t="str">
        <f t="shared" si="10"/>
        <v/>
      </c>
      <c r="AT12" s="75" t="str">
        <f>IF($U12="","",SUM($AS12:$AS$114))</f>
        <v/>
      </c>
      <c r="AU12" s="71" t="str">
        <f>IF($U12="","",INDEX(#REF!,$U12+1))</f>
        <v/>
      </c>
      <c r="AV12" s="256">
        <f t="shared" si="11"/>
        <v>0</v>
      </c>
      <c r="AW12" s="256" t="str">
        <f t="shared" si="12"/>
        <v/>
      </c>
      <c r="AX12" s="256" t="str">
        <f t="shared" si="13"/>
        <v/>
      </c>
      <c r="AY12" s="75" t="str">
        <f>IF($U12="","",SUM($AX12:$AX$114))</f>
        <v/>
      </c>
      <c r="AZ12" s="71" t="str">
        <f>IF($U12="","",INDEX(#REF!,$U12+1))</f>
        <v/>
      </c>
      <c r="BA12" s="256">
        <f t="shared" si="14"/>
        <v>0</v>
      </c>
      <c r="BB12" s="256" t="str">
        <f t="shared" si="15"/>
        <v/>
      </c>
      <c r="BC12" s="256" t="str">
        <f t="shared" si="16"/>
        <v/>
      </c>
      <c r="BD12" s="75" t="str">
        <f>IF($U12="","",SUM($BC12:$BC$114))</f>
        <v/>
      </c>
      <c r="BE12" s="71" t="str">
        <f>IF($U12="","",INDEX(#REF!,$U12+1))</f>
        <v/>
      </c>
      <c r="BF12" s="256">
        <f t="shared" si="17"/>
        <v>0</v>
      </c>
      <c r="BG12" s="256" t="str">
        <f t="shared" si="18"/>
        <v/>
      </c>
      <c r="BH12" s="256" t="str">
        <f t="shared" si="19"/>
        <v/>
      </c>
      <c r="BI12" s="75" t="str">
        <f>IF($U12="","",SUM($BH12:$BH$114))</f>
        <v/>
      </c>
      <c r="BJ12" s="71" t="str">
        <f>IF($U12="","",INDEX(#REF!,$U12+1))</f>
        <v/>
      </c>
      <c r="BK12" s="256">
        <f t="shared" si="20"/>
        <v>0</v>
      </c>
      <c r="BL12" s="256" t="str">
        <f t="shared" si="21"/>
        <v/>
      </c>
      <c r="BM12" s="256" t="str">
        <f t="shared" si="22"/>
        <v/>
      </c>
      <c r="BN12" s="75" t="str">
        <f>IF($U12="","",SUM($BM12:$BM$114))</f>
        <v/>
      </c>
      <c r="BO12" s="71">
        <f t="shared" si="23"/>
        <v>0</v>
      </c>
      <c r="BP12" s="256" t="str">
        <f t="shared" si="24"/>
        <v/>
      </c>
      <c r="BQ12" s="256" t="str">
        <f t="shared" si="25"/>
        <v/>
      </c>
      <c r="BR12" s="256"/>
      <c r="BS12" s="256" t="str">
        <f t="shared" si="38"/>
        <v/>
      </c>
      <c r="BT12" s="256" t="str">
        <f t="shared" si="26"/>
        <v/>
      </c>
      <c r="BU12" s="256" t="str">
        <f t="shared" si="27"/>
        <v/>
      </c>
      <c r="BV12" s="256"/>
      <c r="BW12" s="256" t="str">
        <f t="shared" si="39"/>
        <v/>
      </c>
      <c r="BX12" s="256" t="str">
        <f>IF($U12="","",SUM(BS12:BS$114)+SUM(BW12:BW$114))</f>
        <v/>
      </c>
      <c r="BY12" s="73"/>
      <c r="BZ12" s="73"/>
      <c r="CA12" s="73"/>
      <c r="CB12" s="73"/>
      <c r="CC12" s="392" t="str">
        <f t="shared" si="0"/>
        <v/>
      </c>
      <c r="CD12" s="256" t="str">
        <f t="shared" si="40"/>
        <v/>
      </c>
      <c r="CE12" s="256" t="str">
        <f t="shared" si="28"/>
        <v/>
      </c>
      <c r="CF12" s="256" t="str">
        <f t="shared" si="29"/>
        <v/>
      </c>
      <c r="CG12" s="256" t="str">
        <f t="shared" si="41"/>
        <v/>
      </c>
      <c r="CH12" s="256" t="str">
        <f t="shared" si="30"/>
        <v/>
      </c>
      <c r="CI12" s="76" t="str">
        <f t="shared" si="42"/>
        <v/>
      </c>
      <c r="CJ12" s="77" t="str">
        <f t="shared" si="31"/>
        <v/>
      </c>
      <c r="CK12" s="238"/>
      <c r="CL12" s="70" t="str">
        <f t="shared" si="32"/>
        <v/>
      </c>
      <c r="CM12" s="77" t="str">
        <f t="shared" si="48"/>
        <v/>
      </c>
      <c r="CN12" s="77" t="str">
        <f t="shared" si="43"/>
        <v/>
      </c>
      <c r="CO12" s="77" t="str">
        <f t="shared" si="33"/>
        <v/>
      </c>
      <c r="CP12" s="77" t="str">
        <f t="shared" si="44"/>
        <v/>
      </c>
      <c r="CQ12" s="238"/>
      <c r="CR12" s="238"/>
      <c r="CS12" s="238"/>
      <c r="CT12" s="238"/>
      <c r="CU12" s="238"/>
      <c r="CV12" s="238"/>
      <c r="CW12" s="478"/>
      <c r="CX12" s="478"/>
      <c r="CY12" s="478"/>
      <c r="CZ12" s="478"/>
      <c r="DA12" s="478"/>
      <c r="DB12" s="478"/>
      <c r="DC12" s="478"/>
      <c r="DD12" s="478"/>
      <c r="DE12" s="478"/>
      <c r="DF12" s="478"/>
      <c r="DG12" s="478"/>
      <c r="DH12" s="478"/>
      <c r="DI12" s="478"/>
      <c r="DJ12" s="478"/>
      <c r="DK12" s="478"/>
      <c r="DL12" s="478"/>
      <c r="DM12" s="478"/>
      <c r="DN12" s="478"/>
      <c r="DO12" s="478"/>
      <c r="DP12" s="478"/>
      <c r="DQ12" s="478"/>
      <c r="DR12" s="478"/>
      <c r="DS12" s="478"/>
      <c r="DT12" s="478"/>
      <c r="DU12" s="478"/>
      <c r="DV12" s="478"/>
      <c r="DW12" s="478"/>
      <c r="DX12" s="478"/>
      <c r="DY12" s="478"/>
      <c r="DZ12" s="478"/>
      <c r="EA12" s="478"/>
      <c r="EB12" s="478"/>
      <c r="EC12" s="478"/>
      <c r="ED12" s="478"/>
    </row>
    <row r="13" spans="1:874" ht="17.25" thickBot="1">
      <c r="F13" s="227"/>
      <c r="H13" s="321"/>
      <c r="I13" s="498"/>
      <c r="J13" s="499" t="s">
        <v>199</v>
      </c>
      <c r="K13" s="500">
        <f>MIN(20,F4)</f>
        <v>1</v>
      </c>
      <c r="M13" s="50"/>
      <c r="N13" s="278" t="str">
        <f t="shared" si="52"/>
        <v/>
      </c>
      <c r="O13" s="279" t="str">
        <f t="shared" si="53"/>
        <v/>
      </c>
      <c r="P13" s="271" t="str">
        <f t="shared" si="49"/>
        <v/>
      </c>
      <c r="Q13" s="271" t="str">
        <f t="shared" si="50"/>
        <v/>
      </c>
      <c r="R13" s="271" t="str">
        <f t="shared" si="51"/>
        <v/>
      </c>
      <c r="S13" s="400" t="str">
        <f t="shared" si="54"/>
        <v/>
      </c>
      <c r="T13" s="419"/>
      <c r="U13" s="70" t="str">
        <f t="shared" si="45"/>
        <v/>
      </c>
      <c r="V13" s="71" t="str">
        <f>Main_무해지!AC13</f>
        <v/>
      </c>
      <c r="W13" s="74">
        <f>+Main_무해지!AD13</f>
        <v>0</v>
      </c>
      <c r="X13" s="74">
        <v>0</v>
      </c>
      <c r="Y13" s="256" t="str">
        <f t="shared" si="46"/>
        <v/>
      </c>
      <c r="Z13" s="256" t="str">
        <f t="shared" si="1"/>
        <v/>
      </c>
      <c r="AA13" s="72" t="str">
        <f>IF($U13="","",SUM(Z13:Z$114))</f>
        <v/>
      </c>
      <c r="AB13" s="256" t="str">
        <f t="shared" si="35"/>
        <v/>
      </c>
      <c r="AC13" s="256">
        <f t="shared" si="36"/>
        <v>0</v>
      </c>
      <c r="AD13" s="256" t="str">
        <f>Main_무해지!AJ13</f>
        <v/>
      </c>
      <c r="AE13" s="256">
        <f t="shared" si="2"/>
        <v>0</v>
      </c>
      <c r="AF13" s="256" t="str">
        <f t="shared" si="47"/>
        <v/>
      </c>
      <c r="AG13" s="256" t="str">
        <f t="shared" si="3"/>
        <v/>
      </c>
      <c r="AH13" s="72" t="str">
        <f>IF($U13="","",SUM(AG13:AG$114))</f>
        <v/>
      </c>
      <c r="AI13" s="256" t="str">
        <f>Main_무해지!AP13</f>
        <v/>
      </c>
      <c r="AJ13" s="256">
        <f t="shared" si="4"/>
        <v>0</v>
      </c>
      <c r="AK13" s="256" t="str">
        <f t="shared" si="5"/>
        <v/>
      </c>
      <c r="AL13" s="256" t="str">
        <f t="shared" si="6"/>
        <v/>
      </c>
      <c r="AM13" s="75" t="str">
        <f>IF($U13="","",SUM($AN13:$AN$114))</f>
        <v/>
      </c>
      <c r="AN13" s="256" t="str">
        <f t="shared" si="37"/>
        <v/>
      </c>
      <c r="AO13" s="75" t="str">
        <f t="shared" si="7"/>
        <v/>
      </c>
      <c r="AP13" s="71" t="str">
        <f>IF($U13="","",INDEX(#REF!,$U13+1))</f>
        <v/>
      </c>
      <c r="AQ13" s="256">
        <f t="shared" si="8"/>
        <v>0</v>
      </c>
      <c r="AR13" s="256" t="str">
        <f t="shared" si="9"/>
        <v/>
      </c>
      <c r="AS13" s="256" t="str">
        <f t="shared" si="10"/>
        <v/>
      </c>
      <c r="AT13" s="75" t="str">
        <f>IF($U13="","",SUM($AS13:$AS$114))</f>
        <v/>
      </c>
      <c r="AU13" s="71" t="str">
        <f>IF($U13="","",INDEX(#REF!,$U13+1))</f>
        <v/>
      </c>
      <c r="AV13" s="256">
        <f t="shared" si="11"/>
        <v>0</v>
      </c>
      <c r="AW13" s="256" t="str">
        <f t="shared" si="12"/>
        <v/>
      </c>
      <c r="AX13" s="256" t="str">
        <f t="shared" si="13"/>
        <v/>
      </c>
      <c r="AY13" s="75" t="str">
        <f>IF($U13="","",SUM($AX13:$AX$114))</f>
        <v/>
      </c>
      <c r="AZ13" s="71" t="str">
        <f>IF($U13="","",INDEX(#REF!,$U13+1))</f>
        <v/>
      </c>
      <c r="BA13" s="256">
        <f t="shared" si="14"/>
        <v>0</v>
      </c>
      <c r="BB13" s="256" t="str">
        <f t="shared" si="15"/>
        <v/>
      </c>
      <c r="BC13" s="256" t="str">
        <f t="shared" si="16"/>
        <v/>
      </c>
      <c r="BD13" s="75" t="str">
        <f>IF($U13="","",SUM($BC13:$BC$114))</f>
        <v/>
      </c>
      <c r="BE13" s="71" t="str">
        <f>IF($U13="","",INDEX(#REF!,$U13+1))</f>
        <v/>
      </c>
      <c r="BF13" s="256">
        <f t="shared" si="17"/>
        <v>0</v>
      </c>
      <c r="BG13" s="256" t="str">
        <f t="shared" si="18"/>
        <v/>
      </c>
      <c r="BH13" s="256" t="str">
        <f t="shared" si="19"/>
        <v/>
      </c>
      <c r="BI13" s="75" t="str">
        <f>IF($U13="","",SUM($BH13:$BH$114))</f>
        <v/>
      </c>
      <c r="BJ13" s="71" t="str">
        <f>IF($U13="","",INDEX(#REF!,$U13+1))</f>
        <v/>
      </c>
      <c r="BK13" s="256">
        <f t="shared" si="20"/>
        <v>0</v>
      </c>
      <c r="BL13" s="256" t="str">
        <f t="shared" si="21"/>
        <v/>
      </c>
      <c r="BM13" s="256" t="str">
        <f t="shared" si="22"/>
        <v/>
      </c>
      <c r="BN13" s="75" t="str">
        <f>IF($U13="","",SUM($BM13:$BM$114))</f>
        <v/>
      </c>
      <c r="BO13" s="71">
        <f t="shared" si="23"/>
        <v>0</v>
      </c>
      <c r="BP13" s="256" t="str">
        <f t="shared" si="24"/>
        <v/>
      </c>
      <c r="BQ13" s="256" t="str">
        <f t="shared" si="25"/>
        <v/>
      </c>
      <c r="BR13" s="256"/>
      <c r="BS13" s="256" t="str">
        <f t="shared" si="38"/>
        <v/>
      </c>
      <c r="BT13" s="256" t="str">
        <f t="shared" si="26"/>
        <v/>
      </c>
      <c r="BU13" s="256" t="str">
        <f t="shared" si="27"/>
        <v/>
      </c>
      <c r="BV13" s="256"/>
      <c r="BW13" s="256" t="str">
        <f t="shared" si="39"/>
        <v/>
      </c>
      <c r="BX13" s="256" t="str">
        <f>IF($U13="","",SUM(BS13:BS$114)+SUM(BW13:BW$114))</f>
        <v/>
      </c>
      <c r="BY13" s="73"/>
      <c r="BZ13" s="73"/>
      <c r="CA13" s="73"/>
      <c r="CB13" s="73"/>
      <c r="CC13" s="392" t="str">
        <f t="shared" si="0"/>
        <v/>
      </c>
      <c r="CD13" s="256" t="str">
        <f t="shared" si="40"/>
        <v/>
      </c>
      <c r="CE13" s="256" t="str">
        <f t="shared" si="28"/>
        <v/>
      </c>
      <c r="CF13" s="256" t="str">
        <f t="shared" si="29"/>
        <v/>
      </c>
      <c r="CG13" s="256" t="str">
        <f t="shared" si="41"/>
        <v/>
      </c>
      <c r="CH13" s="256" t="str">
        <f t="shared" si="30"/>
        <v/>
      </c>
      <c r="CI13" s="76" t="str">
        <f t="shared" si="42"/>
        <v/>
      </c>
      <c r="CJ13" s="77" t="str">
        <f t="shared" si="31"/>
        <v/>
      </c>
      <c r="CK13" s="238"/>
      <c r="CL13" s="70" t="str">
        <f t="shared" si="32"/>
        <v/>
      </c>
      <c r="CM13" s="77" t="str">
        <f t="shared" si="48"/>
        <v/>
      </c>
      <c r="CN13" s="77" t="str">
        <f t="shared" si="43"/>
        <v/>
      </c>
      <c r="CO13" s="77" t="str">
        <f t="shared" si="33"/>
        <v/>
      </c>
      <c r="CP13" s="77" t="str">
        <f t="shared" si="44"/>
        <v/>
      </c>
      <c r="CQ13" s="238"/>
      <c r="CR13" s="238"/>
      <c r="CS13" s="238"/>
      <c r="CT13" s="238"/>
      <c r="CU13" s="238"/>
      <c r="CV13" s="238"/>
      <c r="CW13" s="478"/>
      <c r="CX13" s="478"/>
      <c r="CY13" s="478"/>
      <c r="CZ13" s="478"/>
      <c r="DA13" s="478"/>
      <c r="DB13" s="478"/>
      <c r="DC13" s="478"/>
      <c r="DD13" s="478"/>
      <c r="DE13" s="478"/>
      <c r="DF13" s="478"/>
      <c r="DG13" s="478"/>
      <c r="DH13" s="478"/>
      <c r="DI13" s="478"/>
      <c r="DJ13" s="478"/>
      <c r="DK13" s="478"/>
      <c r="DL13" s="478"/>
      <c r="DM13" s="478"/>
      <c r="DN13" s="478"/>
      <c r="DO13" s="478"/>
      <c r="DP13" s="478"/>
      <c r="DQ13" s="478"/>
      <c r="DR13" s="478"/>
      <c r="DS13" s="478"/>
      <c r="DT13" s="478"/>
      <c r="DU13" s="478"/>
      <c r="DV13" s="478"/>
      <c r="DW13" s="478"/>
      <c r="DX13" s="478"/>
      <c r="DY13" s="478"/>
      <c r="DZ13" s="478"/>
      <c r="EA13" s="478"/>
      <c r="EB13" s="478"/>
      <c r="EC13" s="478"/>
      <c r="ED13" s="478"/>
    </row>
    <row r="14" spans="1:874" ht="17.25" thickTop="1">
      <c r="C14" s="68"/>
      <c r="D14" s="17" t="s">
        <v>28</v>
      </c>
      <c r="E14" s="838">
        <f>Main_무해지!E14</f>
        <v>2.2499999999999999E-2</v>
      </c>
      <c r="F14" s="839"/>
      <c r="G14" s="69"/>
      <c r="H14" s="322"/>
      <c r="I14" s="48"/>
      <c r="J14" s="49" t="s">
        <v>86</v>
      </c>
      <c r="K14" s="483">
        <f>INDEX(AH4:AH114,1)</f>
        <v>197799.51100244501</v>
      </c>
      <c r="M14" s="50"/>
      <c r="N14" s="278" t="str">
        <f t="shared" si="52"/>
        <v/>
      </c>
      <c r="O14" s="279" t="str">
        <f t="shared" si="53"/>
        <v/>
      </c>
      <c r="P14" s="271" t="str">
        <f t="shared" si="49"/>
        <v/>
      </c>
      <c r="Q14" s="271" t="str">
        <f t="shared" si="50"/>
        <v/>
      </c>
      <c r="R14" s="271" t="str">
        <f t="shared" si="51"/>
        <v/>
      </c>
      <c r="S14" s="400" t="str">
        <f t="shared" si="54"/>
        <v/>
      </c>
      <c r="T14" s="419"/>
      <c r="U14" s="83" t="str">
        <f t="shared" si="45"/>
        <v/>
      </c>
      <c r="V14" s="84" t="str">
        <f>Main_무해지!AC14</f>
        <v/>
      </c>
      <c r="W14" s="87">
        <f>+Main_무해지!AD14</f>
        <v>0</v>
      </c>
      <c r="X14" s="87">
        <v>0</v>
      </c>
      <c r="Y14" s="257" t="str">
        <f t="shared" si="46"/>
        <v/>
      </c>
      <c r="Z14" s="257" t="str">
        <f t="shared" si="1"/>
        <v/>
      </c>
      <c r="AA14" s="85" t="str">
        <f>IF($U14="","",SUM(Z14:Z$114))</f>
        <v/>
      </c>
      <c r="AB14" s="257" t="str">
        <f t="shared" si="35"/>
        <v/>
      </c>
      <c r="AC14" s="257">
        <f t="shared" si="36"/>
        <v>0</v>
      </c>
      <c r="AD14" s="257" t="str">
        <f>Main_무해지!AJ14</f>
        <v/>
      </c>
      <c r="AE14" s="257">
        <f t="shared" si="2"/>
        <v>0</v>
      </c>
      <c r="AF14" s="257" t="str">
        <f t="shared" si="47"/>
        <v/>
      </c>
      <c r="AG14" s="257" t="str">
        <f t="shared" si="3"/>
        <v/>
      </c>
      <c r="AH14" s="85" t="str">
        <f>IF($U14="","",SUM(AG14:AG$114))</f>
        <v/>
      </c>
      <c r="AI14" s="257" t="str">
        <f>Main_무해지!AP14</f>
        <v/>
      </c>
      <c r="AJ14" s="257">
        <f t="shared" si="4"/>
        <v>0</v>
      </c>
      <c r="AK14" s="257" t="str">
        <f t="shared" si="5"/>
        <v/>
      </c>
      <c r="AL14" s="257" t="str">
        <f t="shared" si="6"/>
        <v/>
      </c>
      <c r="AM14" s="88" t="str">
        <f>IF($U14="","",SUM($AN14:$AN$114))</f>
        <v/>
      </c>
      <c r="AN14" s="257" t="str">
        <f t="shared" si="37"/>
        <v/>
      </c>
      <c r="AO14" s="88" t="str">
        <f t="shared" si="7"/>
        <v/>
      </c>
      <c r="AP14" s="84" t="str">
        <f>IF($U14="","",INDEX(#REF!,$U14+1))</f>
        <v/>
      </c>
      <c r="AQ14" s="257">
        <f t="shared" si="8"/>
        <v>0</v>
      </c>
      <c r="AR14" s="257" t="str">
        <f t="shared" si="9"/>
        <v/>
      </c>
      <c r="AS14" s="257" t="str">
        <f t="shared" si="10"/>
        <v/>
      </c>
      <c r="AT14" s="88" t="str">
        <f>IF($U14="","",SUM($AS14:$AS$114))</f>
        <v/>
      </c>
      <c r="AU14" s="84" t="str">
        <f>IF($U14="","",INDEX(#REF!,$U14+1))</f>
        <v/>
      </c>
      <c r="AV14" s="257">
        <f t="shared" si="11"/>
        <v>0</v>
      </c>
      <c r="AW14" s="257" t="str">
        <f t="shared" si="12"/>
        <v/>
      </c>
      <c r="AX14" s="257" t="str">
        <f t="shared" si="13"/>
        <v/>
      </c>
      <c r="AY14" s="88" t="str">
        <f>IF($U14="","",SUM($AX14:$AX$114))</f>
        <v/>
      </c>
      <c r="AZ14" s="84" t="str">
        <f>IF($U14="","",INDEX(#REF!,$U14+1))</f>
        <v/>
      </c>
      <c r="BA14" s="257">
        <f t="shared" si="14"/>
        <v>0</v>
      </c>
      <c r="BB14" s="257" t="str">
        <f t="shared" si="15"/>
        <v/>
      </c>
      <c r="BC14" s="257" t="str">
        <f t="shared" si="16"/>
        <v/>
      </c>
      <c r="BD14" s="88" t="str">
        <f>IF($U14="","",SUM($BC14:$BC$114))</f>
        <v/>
      </c>
      <c r="BE14" s="84" t="str">
        <f>IF($U14="","",INDEX(#REF!,$U14+1))</f>
        <v/>
      </c>
      <c r="BF14" s="257">
        <f t="shared" si="17"/>
        <v>0</v>
      </c>
      <c r="BG14" s="257" t="str">
        <f t="shared" si="18"/>
        <v/>
      </c>
      <c r="BH14" s="257" t="str">
        <f t="shared" si="19"/>
        <v/>
      </c>
      <c r="BI14" s="88" t="str">
        <f>IF($U14="","",SUM($BH14:$BH$114))</f>
        <v/>
      </c>
      <c r="BJ14" s="84" t="str">
        <f>IF($U14="","",INDEX(#REF!,$U14+1))</f>
        <v/>
      </c>
      <c r="BK14" s="257">
        <f t="shared" si="20"/>
        <v>0</v>
      </c>
      <c r="BL14" s="257" t="str">
        <f t="shared" si="21"/>
        <v/>
      </c>
      <c r="BM14" s="257" t="str">
        <f t="shared" si="22"/>
        <v/>
      </c>
      <c r="BN14" s="88" t="str">
        <f>IF($U14="","",SUM($BM14:$BM$114))</f>
        <v/>
      </c>
      <c r="BO14" s="84">
        <f t="shared" si="23"/>
        <v>0</v>
      </c>
      <c r="BP14" s="257" t="str">
        <f t="shared" si="24"/>
        <v/>
      </c>
      <c r="BQ14" s="257" t="str">
        <f t="shared" si="25"/>
        <v/>
      </c>
      <c r="BR14" s="257"/>
      <c r="BS14" s="257" t="str">
        <f t="shared" si="38"/>
        <v/>
      </c>
      <c r="BT14" s="257" t="str">
        <f t="shared" si="26"/>
        <v/>
      </c>
      <c r="BU14" s="257" t="str">
        <f t="shared" si="27"/>
        <v/>
      </c>
      <c r="BV14" s="257"/>
      <c r="BW14" s="257" t="str">
        <f t="shared" si="39"/>
        <v/>
      </c>
      <c r="BX14" s="257" t="str">
        <f>IF($U14="","",SUM(BS14:BS$114)+SUM(BW14:BW$114))</f>
        <v/>
      </c>
      <c r="BY14" s="86"/>
      <c r="BZ14" s="86"/>
      <c r="CA14" s="86"/>
      <c r="CB14" s="86"/>
      <c r="CC14" s="393" t="str">
        <f t="shared" si="0"/>
        <v/>
      </c>
      <c r="CD14" s="257" t="str">
        <f t="shared" si="40"/>
        <v/>
      </c>
      <c r="CE14" s="257" t="str">
        <f t="shared" si="28"/>
        <v/>
      </c>
      <c r="CF14" s="257" t="str">
        <f t="shared" si="29"/>
        <v/>
      </c>
      <c r="CG14" s="257" t="str">
        <f t="shared" si="41"/>
        <v/>
      </c>
      <c r="CH14" s="257" t="str">
        <f t="shared" si="30"/>
        <v/>
      </c>
      <c r="CI14" s="89" t="str">
        <f t="shared" si="42"/>
        <v/>
      </c>
      <c r="CJ14" s="90" t="str">
        <f t="shared" si="31"/>
        <v/>
      </c>
      <c r="CK14" s="239"/>
      <c r="CL14" s="83" t="str">
        <f t="shared" si="32"/>
        <v/>
      </c>
      <c r="CM14" s="90" t="str">
        <f t="shared" si="48"/>
        <v/>
      </c>
      <c r="CN14" s="90" t="str">
        <f t="shared" si="43"/>
        <v/>
      </c>
      <c r="CO14" s="90" t="str">
        <f t="shared" si="33"/>
        <v/>
      </c>
      <c r="CP14" s="90" t="str">
        <f t="shared" si="44"/>
        <v/>
      </c>
      <c r="CQ14" s="239"/>
      <c r="CR14" s="239"/>
      <c r="CS14" s="239"/>
      <c r="CT14" s="239"/>
      <c r="CU14" s="239"/>
      <c r="CV14" s="239"/>
      <c r="CW14" s="478"/>
      <c r="CX14" s="478"/>
      <c r="CY14" s="478"/>
      <c r="CZ14" s="478"/>
      <c r="DA14" s="478"/>
      <c r="DB14" s="478"/>
      <c r="DC14" s="478"/>
      <c r="DD14" s="478"/>
      <c r="DE14" s="478"/>
      <c r="DF14" s="478"/>
      <c r="DG14" s="478"/>
      <c r="DH14" s="478"/>
      <c r="DI14" s="478"/>
      <c r="DJ14" s="478"/>
      <c r="DK14" s="478"/>
      <c r="DL14" s="478"/>
      <c r="DM14" s="478"/>
      <c r="DN14" s="478"/>
      <c r="DO14" s="478"/>
      <c r="DP14" s="478"/>
      <c r="DQ14" s="478"/>
      <c r="DR14" s="478"/>
      <c r="DS14" s="478"/>
      <c r="DT14" s="478"/>
      <c r="DU14" s="478"/>
      <c r="DV14" s="478"/>
      <c r="DW14" s="478"/>
      <c r="DX14" s="478"/>
      <c r="DY14" s="478"/>
      <c r="DZ14" s="478"/>
      <c r="EA14" s="478"/>
      <c r="EB14" s="478"/>
      <c r="EC14" s="478"/>
      <c r="ED14" s="478"/>
    </row>
    <row r="15" spans="1:874">
      <c r="B15" s="373"/>
      <c r="C15" s="78"/>
      <c r="D15" s="29" t="s">
        <v>31</v>
      </c>
      <c r="E15" s="831" t="s">
        <v>228</v>
      </c>
      <c r="F15" s="832"/>
      <c r="G15" s="79"/>
      <c r="H15" s="372"/>
      <c r="I15" s="48" t="s">
        <v>22</v>
      </c>
      <c r="J15" s="49" t="s">
        <v>200</v>
      </c>
      <c r="K15" s="483">
        <f>INDEX(AH4:AH114,K13+1)</f>
        <v>97799.511002444997</v>
      </c>
      <c r="M15" s="50"/>
      <c r="N15" s="278" t="str">
        <f>IF(N14="","",IF(N14+1&gt;$F$4,"",N14+1))</f>
        <v/>
      </c>
      <c r="O15" s="279" t="str">
        <f t="shared" si="53"/>
        <v/>
      </c>
      <c r="P15" s="271" t="str">
        <f t="shared" si="49"/>
        <v/>
      </c>
      <c r="Q15" s="271" t="str">
        <f t="shared" si="50"/>
        <v/>
      </c>
      <c r="R15" s="271" t="str">
        <f t="shared" si="51"/>
        <v/>
      </c>
      <c r="S15" s="400" t="str">
        <f t="shared" si="54"/>
        <v/>
      </c>
      <c r="T15" s="419"/>
      <c r="U15" s="750" t="str">
        <f t="shared" si="45"/>
        <v/>
      </c>
      <c r="V15" s="752" t="str">
        <f>Main_무해지!AC15</f>
        <v/>
      </c>
      <c r="W15" s="638">
        <f>+Main_무해지!AD15</f>
        <v>0</v>
      </c>
      <c r="X15" s="638">
        <v>0</v>
      </c>
      <c r="Y15" s="408" t="str">
        <f t="shared" si="46"/>
        <v/>
      </c>
      <c r="Z15" s="408" t="str">
        <f t="shared" si="1"/>
        <v/>
      </c>
      <c r="AA15" s="751" t="str">
        <f>IF($U15="","",SUM(Z15:Z$114))</f>
        <v/>
      </c>
      <c r="AB15" s="408" t="str">
        <f t="shared" si="35"/>
        <v/>
      </c>
      <c r="AC15" s="408">
        <f t="shared" si="36"/>
        <v>0</v>
      </c>
      <c r="AD15" s="408" t="str">
        <f>Main_무해지!AJ15</f>
        <v/>
      </c>
      <c r="AE15" s="408">
        <f t="shared" si="2"/>
        <v>0</v>
      </c>
      <c r="AF15" s="408" t="str">
        <f t="shared" si="47"/>
        <v/>
      </c>
      <c r="AG15" s="408" t="str">
        <f t="shared" si="3"/>
        <v/>
      </c>
      <c r="AH15" s="751" t="str">
        <f>IF($U15="","",SUM(AG15:AG$114))</f>
        <v/>
      </c>
      <c r="AI15" s="408" t="str">
        <f>Main_무해지!AP15</f>
        <v/>
      </c>
      <c r="AJ15" s="408">
        <f t="shared" si="4"/>
        <v>0</v>
      </c>
      <c r="AK15" s="408" t="str">
        <f t="shared" si="5"/>
        <v/>
      </c>
      <c r="AL15" s="408" t="str">
        <f t="shared" si="6"/>
        <v/>
      </c>
      <c r="AM15" s="753" t="str">
        <f>IF($U15="","",SUM($AN15:$AN$114))</f>
        <v/>
      </c>
      <c r="AN15" s="408" t="str">
        <f t="shared" si="37"/>
        <v/>
      </c>
      <c r="AO15" s="753" t="str">
        <f t="shared" si="7"/>
        <v/>
      </c>
      <c r="AP15" s="752" t="str">
        <f>IF($U15="","",INDEX(#REF!,$U15+1))</f>
        <v/>
      </c>
      <c r="AQ15" s="408">
        <f t="shared" si="8"/>
        <v>0</v>
      </c>
      <c r="AR15" s="408" t="str">
        <f t="shared" si="9"/>
        <v/>
      </c>
      <c r="AS15" s="408" t="str">
        <f t="shared" si="10"/>
        <v/>
      </c>
      <c r="AT15" s="753" t="str">
        <f>IF($U15="","",SUM($AS15:$AS$114))</f>
        <v/>
      </c>
      <c r="AU15" s="752" t="str">
        <f>IF($U15="","",INDEX(#REF!,$U15+1))</f>
        <v/>
      </c>
      <c r="AV15" s="408">
        <f t="shared" si="11"/>
        <v>0</v>
      </c>
      <c r="AW15" s="408" t="str">
        <f t="shared" si="12"/>
        <v/>
      </c>
      <c r="AX15" s="408" t="str">
        <f t="shared" si="13"/>
        <v/>
      </c>
      <c r="AY15" s="753" t="str">
        <f>IF($U15="","",SUM($AX15:$AX$114))</f>
        <v/>
      </c>
      <c r="AZ15" s="752" t="str">
        <f>IF($U15="","",INDEX(#REF!,$U15+1))</f>
        <v/>
      </c>
      <c r="BA15" s="408">
        <f t="shared" si="14"/>
        <v>0</v>
      </c>
      <c r="BB15" s="408" t="str">
        <f t="shared" si="15"/>
        <v/>
      </c>
      <c r="BC15" s="408" t="str">
        <f t="shared" si="16"/>
        <v/>
      </c>
      <c r="BD15" s="753" t="str">
        <f>IF($U15="","",SUM($BC15:$BC$114))</f>
        <v/>
      </c>
      <c r="BE15" s="752" t="str">
        <f>IF($U15="","",INDEX(#REF!,$U15+1))</f>
        <v/>
      </c>
      <c r="BF15" s="408">
        <f t="shared" si="17"/>
        <v>0</v>
      </c>
      <c r="BG15" s="408" t="str">
        <f t="shared" si="18"/>
        <v/>
      </c>
      <c r="BH15" s="408" t="str">
        <f t="shared" si="19"/>
        <v/>
      </c>
      <c r="BI15" s="753" t="str">
        <f>IF($U15="","",SUM($BH15:$BH$114))</f>
        <v/>
      </c>
      <c r="BJ15" s="752" t="str">
        <f>IF($U15="","",INDEX(#REF!,$U15+1))</f>
        <v/>
      </c>
      <c r="BK15" s="408">
        <f t="shared" si="20"/>
        <v>0</v>
      </c>
      <c r="BL15" s="408" t="str">
        <f t="shared" si="21"/>
        <v/>
      </c>
      <c r="BM15" s="408" t="str">
        <f t="shared" si="22"/>
        <v/>
      </c>
      <c r="BN15" s="753" t="str">
        <f>IF($U15="","",SUM($BM15:$BM$114))</f>
        <v/>
      </c>
      <c r="BO15" s="752">
        <f t="shared" si="23"/>
        <v>0</v>
      </c>
      <c r="BP15" s="408" t="str">
        <f t="shared" si="24"/>
        <v/>
      </c>
      <c r="BQ15" s="408" t="str">
        <f t="shared" si="25"/>
        <v/>
      </c>
      <c r="BR15" s="408"/>
      <c r="BS15" s="408" t="str">
        <f t="shared" si="38"/>
        <v/>
      </c>
      <c r="BT15" s="408" t="str">
        <f t="shared" si="26"/>
        <v/>
      </c>
      <c r="BU15" s="408" t="str">
        <f t="shared" si="27"/>
        <v/>
      </c>
      <c r="BV15" s="408"/>
      <c r="BW15" s="408" t="str">
        <f t="shared" si="39"/>
        <v/>
      </c>
      <c r="BX15" s="408" t="str">
        <f>IF($U15="","",SUM(BS15:BS$114)+SUM(BW15:BW$114))</f>
        <v/>
      </c>
      <c r="BY15" s="754"/>
      <c r="BZ15" s="754"/>
      <c r="CA15" s="754"/>
      <c r="CB15" s="754"/>
      <c r="CC15" s="755" t="str">
        <f t="shared" si="0"/>
        <v/>
      </c>
      <c r="CD15" s="408" t="str">
        <f t="shared" si="40"/>
        <v/>
      </c>
      <c r="CE15" s="408" t="str">
        <f t="shared" si="28"/>
        <v/>
      </c>
      <c r="CF15" s="408" t="str">
        <f t="shared" si="29"/>
        <v/>
      </c>
      <c r="CG15" s="408" t="str">
        <f t="shared" si="41"/>
        <v/>
      </c>
      <c r="CH15" s="408" t="str">
        <f t="shared" si="30"/>
        <v/>
      </c>
      <c r="CI15" s="756" t="str">
        <f t="shared" si="42"/>
        <v/>
      </c>
      <c r="CJ15" s="757" t="str">
        <f t="shared" si="31"/>
        <v/>
      </c>
      <c r="CK15" s="413"/>
      <c r="CL15" s="750" t="str">
        <f t="shared" si="32"/>
        <v/>
      </c>
      <c r="CM15" s="757" t="str">
        <f t="shared" si="48"/>
        <v/>
      </c>
      <c r="CN15" s="757" t="str">
        <f t="shared" si="43"/>
        <v/>
      </c>
      <c r="CO15" s="757" t="str">
        <f t="shared" si="33"/>
        <v/>
      </c>
      <c r="CP15" s="757" t="str">
        <f t="shared" si="44"/>
        <v/>
      </c>
      <c r="CQ15" s="413"/>
      <c r="CR15" s="413"/>
      <c r="CS15" s="413"/>
      <c r="CT15" s="413"/>
      <c r="CU15" s="413"/>
      <c r="CV15" s="413"/>
      <c r="CW15" s="478"/>
      <c r="CX15" s="478"/>
      <c r="CY15" s="478"/>
      <c r="CZ15" s="478"/>
      <c r="DA15" s="478"/>
      <c r="DB15" s="478"/>
      <c r="DC15" s="478"/>
      <c r="DD15" s="478"/>
      <c r="DE15" s="478"/>
      <c r="DF15" s="478"/>
      <c r="DG15" s="478"/>
      <c r="DH15" s="478"/>
      <c r="DI15" s="478"/>
      <c r="DJ15" s="478"/>
      <c r="DK15" s="478"/>
      <c r="DL15" s="478"/>
      <c r="DM15" s="478"/>
      <c r="DN15" s="478"/>
      <c r="DO15" s="478"/>
      <c r="DP15" s="478"/>
      <c r="DQ15" s="478"/>
      <c r="DR15" s="478"/>
      <c r="DS15" s="478"/>
      <c r="DT15" s="478"/>
      <c r="DU15" s="478"/>
      <c r="DV15" s="478"/>
      <c r="DW15" s="478"/>
      <c r="DX15" s="478"/>
      <c r="DY15" s="478"/>
      <c r="DZ15" s="478"/>
      <c r="EA15" s="478"/>
      <c r="EB15" s="478"/>
      <c r="EC15" s="478"/>
      <c r="ED15" s="478"/>
    </row>
    <row r="16" spans="1:874">
      <c r="B16" s="373"/>
      <c r="C16" s="78"/>
      <c r="D16" s="29" t="s">
        <v>33</v>
      </c>
      <c r="E16" s="91">
        <v>1</v>
      </c>
      <c r="F16" s="92">
        <v>0</v>
      </c>
      <c r="G16" s="79"/>
      <c r="H16" s="372"/>
      <c r="I16" s="48" t="s">
        <v>24</v>
      </c>
      <c r="J16" s="51" t="s">
        <v>201</v>
      </c>
      <c r="K16" s="483">
        <f>INDEX(AA4:AA114,K13+1)</f>
        <v>97799.511002444997</v>
      </c>
      <c r="M16" s="50"/>
      <c r="N16" s="280" t="str">
        <f t="shared" si="52"/>
        <v/>
      </c>
      <c r="O16" s="281" t="str">
        <f t="shared" si="53"/>
        <v/>
      </c>
      <c r="P16" s="282" t="str">
        <f t="shared" si="49"/>
        <v/>
      </c>
      <c r="Q16" s="282" t="str">
        <f t="shared" si="50"/>
        <v/>
      </c>
      <c r="R16" s="282" t="str">
        <f t="shared" si="51"/>
        <v/>
      </c>
      <c r="S16" s="402" t="str">
        <f t="shared" si="54"/>
        <v/>
      </c>
      <c r="T16" s="419"/>
      <c r="U16" s="52" t="str">
        <f t="shared" si="45"/>
        <v/>
      </c>
      <c r="V16" s="53" t="str">
        <f>Main_무해지!AC16</f>
        <v/>
      </c>
      <c r="W16" s="56">
        <f>+Main_무해지!AD16</f>
        <v>0</v>
      </c>
      <c r="X16" s="56">
        <v>0</v>
      </c>
      <c r="Y16" s="254" t="str">
        <f t="shared" si="46"/>
        <v/>
      </c>
      <c r="Z16" s="254" t="str">
        <f t="shared" si="1"/>
        <v/>
      </c>
      <c r="AA16" s="54" t="str">
        <f>IF($U16="","",SUM(Z16:Z$114))</f>
        <v/>
      </c>
      <c r="AB16" s="254" t="str">
        <f t="shared" si="35"/>
        <v/>
      </c>
      <c r="AC16" s="254">
        <f t="shared" si="36"/>
        <v>0</v>
      </c>
      <c r="AD16" s="254" t="str">
        <f>Main_무해지!AJ16</f>
        <v/>
      </c>
      <c r="AE16" s="254">
        <f t="shared" si="2"/>
        <v>0</v>
      </c>
      <c r="AF16" s="254" t="str">
        <f t="shared" si="47"/>
        <v/>
      </c>
      <c r="AG16" s="254" t="str">
        <f t="shared" si="3"/>
        <v/>
      </c>
      <c r="AH16" s="54" t="str">
        <f>IF($U16="","",SUM(AG16:AG$114))</f>
        <v/>
      </c>
      <c r="AI16" s="254" t="str">
        <f>Main_무해지!AP16</f>
        <v/>
      </c>
      <c r="AJ16" s="254">
        <f t="shared" si="4"/>
        <v>0</v>
      </c>
      <c r="AK16" s="254" t="str">
        <f t="shared" si="5"/>
        <v/>
      </c>
      <c r="AL16" s="254" t="str">
        <f t="shared" si="6"/>
        <v/>
      </c>
      <c r="AM16" s="57" t="str">
        <f>IF($U16="","",SUM($AN16:$AN$114))</f>
        <v/>
      </c>
      <c r="AN16" s="254" t="str">
        <f t="shared" si="37"/>
        <v/>
      </c>
      <c r="AO16" s="57" t="str">
        <f t="shared" si="7"/>
        <v/>
      </c>
      <c r="AP16" s="53" t="str">
        <f>IF($U16="","",INDEX(#REF!,$U16+1))</f>
        <v/>
      </c>
      <c r="AQ16" s="254">
        <f t="shared" si="8"/>
        <v>0</v>
      </c>
      <c r="AR16" s="254" t="str">
        <f t="shared" si="9"/>
        <v/>
      </c>
      <c r="AS16" s="254" t="str">
        <f t="shared" si="10"/>
        <v/>
      </c>
      <c r="AT16" s="57" t="str">
        <f>IF($U16="","",SUM($AS16:$AS$114))</f>
        <v/>
      </c>
      <c r="AU16" s="53" t="str">
        <f>IF($U16="","",INDEX(#REF!,$U16+1))</f>
        <v/>
      </c>
      <c r="AV16" s="254">
        <f t="shared" si="11"/>
        <v>0</v>
      </c>
      <c r="AW16" s="254" t="str">
        <f t="shared" si="12"/>
        <v/>
      </c>
      <c r="AX16" s="254" t="str">
        <f t="shared" si="13"/>
        <v/>
      </c>
      <c r="AY16" s="57" t="str">
        <f>IF($U16="","",SUM($AX16:$AX$114))</f>
        <v/>
      </c>
      <c r="AZ16" s="53" t="str">
        <f>IF($U16="","",INDEX(#REF!,$U16+1))</f>
        <v/>
      </c>
      <c r="BA16" s="254">
        <f t="shared" si="14"/>
        <v>0</v>
      </c>
      <c r="BB16" s="254" t="str">
        <f t="shared" si="15"/>
        <v/>
      </c>
      <c r="BC16" s="254" t="str">
        <f t="shared" si="16"/>
        <v/>
      </c>
      <c r="BD16" s="57" t="str">
        <f>IF($U16="","",SUM($BC16:$BC$114))</f>
        <v/>
      </c>
      <c r="BE16" s="53" t="str">
        <f>IF($U16="","",INDEX(#REF!,$U16+1))</f>
        <v/>
      </c>
      <c r="BF16" s="254">
        <f t="shared" si="17"/>
        <v>0</v>
      </c>
      <c r="BG16" s="254" t="str">
        <f t="shared" si="18"/>
        <v/>
      </c>
      <c r="BH16" s="254" t="str">
        <f t="shared" si="19"/>
        <v/>
      </c>
      <c r="BI16" s="57" t="str">
        <f>IF($U16="","",SUM($BH16:$BH$114))</f>
        <v/>
      </c>
      <c r="BJ16" s="53" t="str">
        <f>IF($U16="","",INDEX(#REF!,$U16+1))</f>
        <v/>
      </c>
      <c r="BK16" s="254">
        <f t="shared" si="20"/>
        <v>0</v>
      </c>
      <c r="BL16" s="254" t="str">
        <f t="shared" si="21"/>
        <v/>
      </c>
      <c r="BM16" s="254" t="str">
        <f t="shared" si="22"/>
        <v/>
      </c>
      <c r="BN16" s="57" t="str">
        <f>IF($U16="","",SUM($BM16:$BM$114))</f>
        <v/>
      </c>
      <c r="BO16" s="53">
        <f t="shared" si="23"/>
        <v>0</v>
      </c>
      <c r="BP16" s="254" t="str">
        <f t="shared" si="24"/>
        <v/>
      </c>
      <c r="BQ16" s="254" t="str">
        <f t="shared" si="25"/>
        <v/>
      </c>
      <c r="BR16" s="254"/>
      <c r="BS16" s="254" t="str">
        <f t="shared" si="38"/>
        <v/>
      </c>
      <c r="BT16" s="254" t="str">
        <f t="shared" si="26"/>
        <v/>
      </c>
      <c r="BU16" s="254" t="str">
        <f t="shared" si="27"/>
        <v/>
      </c>
      <c r="BV16" s="254"/>
      <c r="BW16" s="254" t="str">
        <f t="shared" si="39"/>
        <v/>
      </c>
      <c r="BX16" s="254" t="str">
        <f>IF($U16="","",SUM(BS16:BS$114)+SUM(BW16:BW$114))</f>
        <v/>
      </c>
      <c r="BY16" s="55"/>
      <c r="BZ16" s="55"/>
      <c r="CA16" s="55"/>
      <c r="CB16" s="55"/>
      <c r="CC16" s="390" t="str">
        <f t="shared" si="0"/>
        <v/>
      </c>
      <c r="CD16" s="254" t="str">
        <f t="shared" si="40"/>
        <v/>
      </c>
      <c r="CE16" s="254" t="str">
        <f t="shared" si="28"/>
        <v/>
      </c>
      <c r="CF16" s="254" t="str">
        <f t="shared" si="29"/>
        <v/>
      </c>
      <c r="CG16" s="254" t="str">
        <f t="shared" si="41"/>
        <v/>
      </c>
      <c r="CH16" s="254" t="str">
        <f t="shared" si="30"/>
        <v/>
      </c>
      <c r="CI16" s="58" t="str">
        <f t="shared" si="42"/>
        <v/>
      </c>
      <c r="CJ16" s="59" t="str">
        <f t="shared" si="31"/>
        <v/>
      </c>
      <c r="CK16" s="236"/>
      <c r="CL16" s="52" t="str">
        <f t="shared" si="32"/>
        <v/>
      </c>
      <c r="CM16" s="59" t="str">
        <f t="shared" si="48"/>
        <v/>
      </c>
      <c r="CN16" s="59" t="str">
        <f t="shared" si="43"/>
        <v/>
      </c>
      <c r="CO16" s="59" t="str">
        <f t="shared" si="33"/>
        <v/>
      </c>
      <c r="CP16" s="59" t="str">
        <f t="shared" si="44"/>
        <v/>
      </c>
      <c r="CQ16" s="236"/>
      <c r="CR16" s="236"/>
      <c r="CS16" s="236"/>
      <c r="CT16" s="236"/>
      <c r="CU16" s="236"/>
      <c r="CV16" s="236"/>
      <c r="CW16" s="478"/>
      <c r="CX16" s="478"/>
      <c r="CY16" s="478"/>
      <c r="CZ16" s="478"/>
      <c r="DA16" s="478"/>
      <c r="DB16" s="478"/>
      <c r="DC16" s="478"/>
      <c r="DD16" s="478"/>
      <c r="DE16" s="478"/>
      <c r="DF16" s="478"/>
      <c r="DG16" s="478"/>
      <c r="DH16" s="478"/>
      <c r="DI16" s="478"/>
      <c r="DJ16" s="478"/>
      <c r="DK16" s="478"/>
      <c r="DL16" s="478"/>
      <c r="DM16" s="478"/>
      <c r="DN16" s="478"/>
      <c r="DO16" s="478"/>
      <c r="DP16" s="478"/>
      <c r="DQ16" s="478"/>
      <c r="DR16" s="478"/>
      <c r="DS16" s="478"/>
      <c r="DT16" s="478"/>
      <c r="DU16" s="478"/>
      <c r="DV16" s="478"/>
      <c r="DW16" s="478"/>
      <c r="DX16" s="478"/>
      <c r="DY16" s="478"/>
      <c r="DZ16" s="478"/>
      <c r="EA16" s="478"/>
      <c r="EB16" s="478"/>
      <c r="EC16" s="478"/>
      <c r="ED16" s="478"/>
    </row>
    <row r="17" spans="1:134">
      <c r="A17" s="305"/>
      <c r="B17" s="373"/>
      <c r="C17" s="78"/>
      <c r="D17" s="29" t="s">
        <v>37</v>
      </c>
      <c r="E17" s="822">
        <f>1/(1+E14)</f>
        <v>0.97799511002444994</v>
      </c>
      <c r="F17" s="823"/>
      <c r="G17" s="79"/>
      <c r="H17" s="372"/>
      <c r="I17" s="48" t="s">
        <v>26</v>
      </c>
      <c r="J17" s="49" t="s">
        <v>183</v>
      </c>
      <c r="K17" s="483">
        <f>K14-K15</f>
        <v>100000.00000000001</v>
      </c>
      <c r="M17" s="50"/>
      <c r="N17" s="275" t="str">
        <f t="shared" si="52"/>
        <v/>
      </c>
      <c r="O17" s="276" t="str">
        <f t="shared" si="53"/>
        <v/>
      </c>
      <c r="P17" s="277" t="str">
        <f t="shared" si="49"/>
        <v/>
      </c>
      <c r="Q17" s="277" t="str">
        <f t="shared" si="50"/>
        <v/>
      </c>
      <c r="R17" s="277" t="str">
        <f t="shared" si="51"/>
        <v/>
      </c>
      <c r="S17" s="401" t="str">
        <f t="shared" si="54"/>
        <v/>
      </c>
      <c r="T17" s="419"/>
      <c r="U17" s="52" t="str">
        <f t="shared" si="45"/>
        <v/>
      </c>
      <c r="V17" s="53" t="str">
        <f>Main_무해지!AC17</f>
        <v/>
      </c>
      <c r="W17" s="56">
        <f>+Main_무해지!AD17</f>
        <v>0</v>
      </c>
      <c r="X17" s="56">
        <v>0</v>
      </c>
      <c r="Y17" s="254" t="str">
        <f t="shared" si="46"/>
        <v/>
      </c>
      <c r="Z17" s="254" t="str">
        <f t="shared" si="1"/>
        <v/>
      </c>
      <c r="AA17" s="54" t="str">
        <f>IF($U17="","",SUM(Z17:Z$114))</f>
        <v/>
      </c>
      <c r="AB17" s="254" t="str">
        <f t="shared" si="35"/>
        <v/>
      </c>
      <c r="AC17" s="254">
        <f t="shared" si="36"/>
        <v>0</v>
      </c>
      <c r="AD17" s="254" t="str">
        <f>Main_무해지!AJ17</f>
        <v/>
      </c>
      <c r="AE17" s="254">
        <f t="shared" si="2"/>
        <v>0</v>
      </c>
      <c r="AF17" s="254" t="str">
        <f t="shared" si="47"/>
        <v/>
      </c>
      <c r="AG17" s="254" t="str">
        <f t="shared" si="3"/>
        <v/>
      </c>
      <c r="AH17" s="54" t="str">
        <f>IF($U17="","",SUM(AG17:AG$114))</f>
        <v/>
      </c>
      <c r="AI17" s="254" t="str">
        <f>Main_무해지!AP17</f>
        <v/>
      </c>
      <c r="AJ17" s="254">
        <f t="shared" si="4"/>
        <v>0</v>
      </c>
      <c r="AK17" s="254" t="str">
        <f t="shared" si="5"/>
        <v/>
      </c>
      <c r="AL17" s="254" t="str">
        <f t="shared" si="6"/>
        <v/>
      </c>
      <c r="AM17" s="57" t="str">
        <f>IF($U17="","",SUM($AN17:$AN$114))</f>
        <v/>
      </c>
      <c r="AN17" s="254" t="str">
        <f t="shared" si="37"/>
        <v/>
      </c>
      <c r="AO17" s="57" t="str">
        <f t="shared" si="7"/>
        <v/>
      </c>
      <c r="AP17" s="53" t="str">
        <f>IF($U17="","",INDEX(#REF!,$U17+1))</f>
        <v/>
      </c>
      <c r="AQ17" s="254">
        <f t="shared" si="8"/>
        <v>0</v>
      </c>
      <c r="AR17" s="254" t="str">
        <f t="shared" si="9"/>
        <v/>
      </c>
      <c r="AS17" s="254" t="str">
        <f t="shared" si="10"/>
        <v/>
      </c>
      <c r="AT17" s="57" t="str">
        <f>IF($U17="","",SUM($AS17:$AS$114))</f>
        <v/>
      </c>
      <c r="AU17" s="53" t="str">
        <f>IF($U17="","",INDEX(#REF!,$U17+1))</f>
        <v/>
      </c>
      <c r="AV17" s="254">
        <f t="shared" si="11"/>
        <v>0</v>
      </c>
      <c r="AW17" s="254" t="str">
        <f t="shared" si="12"/>
        <v/>
      </c>
      <c r="AX17" s="254" t="str">
        <f t="shared" si="13"/>
        <v/>
      </c>
      <c r="AY17" s="57" t="str">
        <f>IF($U17="","",SUM($AX17:$AX$114))</f>
        <v/>
      </c>
      <c r="AZ17" s="53" t="str">
        <f>IF($U17="","",INDEX(#REF!,$U17+1))</f>
        <v/>
      </c>
      <c r="BA17" s="254">
        <f t="shared" si="14"/>
        <v>0</v>
      </c>
      <c r="BB17" s="254" t="str">
        <f t="shared" si="15"/>
        <v/>
      </c>
      <c r="BC17" s="254" t="str">
        <f t="shared" si="16"/>
        <v/>
      </c>
      <c r="BD17" s="57" t="str">
        <f>IF($U17="","",SUM($BC17:$BC$114))</f>
        <v/>
      </c>
      <c r="BE17" s="53" t="str">
        <f>IF($U17="","",INDEX(#REF!,$U17+1))</f>
        <v/>
      </c>
      <c r="BF17" s="254">
        <f t="shared" si="17"/>
        <v>0</v>
      </c>
      <c r="BG17" s="254" t="str">
        <f t="shared" si="18"/>
        <v/>
      </c>
      <c r="BH17" s="254" t="str">
        <f t="shared" si="19"/>
        <v/>
      </c>
      <c r="BI17" s="57" t="str">
        <f>IF($U17="","",SUM($BH17:$BH$114))</f>
        <v/>
      </c>
      <c r="BJ17" s="53" t="str">
        <f>IF($U17="","",INDEX(#REF!,$U17+1))</f>
        <v/>
      </c>
      <c r="BK17" s="254">
        <f t="shared" si="20"/>
        <v>0</v>
      </c>
      <c r="BL17" s="254" t="str">
        <f t="shared" si="21"/>
        <v/>
      </c>
      <c r="BM17" s="254" t="str">
        <f t="shared" si="22"/>
        <v/>
      </c>
      <c r="BN17" s="57" t="str">
        <f>IF($U17="","",SUM($BM17:$BM$114))</f>
        <v/>
      </c>
      <c r="BO17" s="53">
        <f t="shared" si="23"/>
        <v>0</v>
      </c>
      <c r="BP17" s="254" t="str">
        <f t="shared" si="24"/>
        <v/>
      </c>
      <c r="BQ17" s="254" t="str">
        <f t="shared" si="25"/>
        <v/>
      </c>
      <c r="BR17" s="254"/>
      <c r="BS17" s="254" t="str">
        <f t="shared" si="38"/>
        <v/>
      </c>
      <c r="BT17" s="254" t="str">
        <f t="shared" si="26"/>
        <v/>
      </c>
      <c r="BU17" s="254" t="str">
        <f t="shared" si="27"/>
        <v/>
      </c>
      <c r="BV17" s="254"/>
      <c r="BW17" s="254" t="str">
        <f t="shared" si="39"/>
        <v/>
      </c>
      <c r="BX17" s="254" t="str">
        <f>IF($U17="","",SUM(BS17:BS$114)+SUM(BW17:BW$114))</f>
        <v/>
      </c>
      <c r="BY17" s="55"/>
      <c r="BZ17" s="55"/>
      <c r="CA17" s="55"/>
      <c r="CB17" s="55"/>
      <c r="CC17" s="390" t="str">
        <f t="shared" si="0"/>
        <v/>
      </c>
      <c r="CD17" s="254" t="str">
        <f t="shared" si="40"/>
        <v/>
      </c>
      <c r="CE17" s="254" t="str">
        <f t="shared" si="28"/>
        <v/>
      </c>
      <c r="CF17" s="254" t="str">
        <f t="shared" si="29"/>
        <v/>
      </c>
      <c r="CG17" s="254" t="str">
        <f t="shared" si="41"/>
        <v/>
      </c>
      <c r="CH17" s="254" t="str">
        <f t="shared" si="30"/>
        <v/>
      </c>
      <c r="CI17" s="58" t="str">
        <f t="shared" si="42"/>
        <v/>
      </c>
      <c r="CJ17" s="59" t="str">
        <f t="shared" si="31"/>
        <v/>
      </c>
      <c r="CK17" s="236"/>
      <c r="CL17" s="52" t="str">
        <f t="shared" si="32"/>
        <v/>
      </c>
      <c r="CM17" s="59" t="str">
        <f t="shared" si="48"/>
        <v/>
      </c>
      <c r="CN17" s="59" t="str">
        <f t="shared" si="43"/>
        <v/>
      </c>
      <c r="CO17" s="59" t="str">
        <f t="shared" si="33"/>
        <v/>
      </c>
      <c r="CP17" s="59" t="str">
        <f t="shared" si="44"/>
        <v/>
      </c>
      <c r="CQ17" s="236"/>
      <c r="CR17" s="236"/>
      <c r="CS17" s="236"/>
      <c r="CT17" s="236"/>
      <c r="CU17" s="236"/>
      <c r="CV17" s="236"/>
      <c r="CW17" s="478"/>
      <c r="CX17" s="478"/>
      <c r="CY17" s="478"/>
      <c r="CZ17" s="478"/>
      <c r="DA17" s="478"/>
      <c r="DB17" s="478"/>
      <c r="DC17" s="478"/>
      <c r="DD17" s="478"/>
      <c r="DE17" s="478"/>
      <c r="DF17" s="478"/>
      <c r="DG17" s="478"/>
      <c r="DH17" s="478"/>
      <c r="DI17" s="478"/>
      <c r="DJ17" s="478"/>
      <c r="DK17" s="478"/>
      <c r="DL17" s="478"/>
      <c r="DM17" s="478"/>
      <c r="DN17" s="478"/>
      <c r="DO17" s="478"/>
      <c r="DP17" s="478"/>
      <c r="DQ17" s="478"/>
      <c r="DR17" s="478"/>
      <c r="DS17" s="478"/>
      <c r="DT17" s="478"/>
      <c r="DU17" s="478"/>
      <c r="DV17" s="478"/>
      <c r="DW17" s="478"/>
      <c r="DX17" s="478"/>
      <c r="DY17" s="478"/>
      <c r="DZ17" s="478"/>
      <c r="EA17" s="478"/>
      <c r="EB17" s="478"/>
      <c r="EC17" s="478"/>
      <c r="ED17" s="478"/>
    </row>
    <row r="18" spans="1:134">
      <c r="A18" s="305"/>
      <c r="B18" s="373"/>
      <c r="C18" s="78"/>
      <c r="D18" s="29" t="s">
        <v>94</v>
      </c>
      <c r="E18" s="824">
        <f>Main_무해지!E18</f>
        <v>6</v>
      </c>
      <c r="F18" s="825"/>
      <c r="G18" s="79"/>
      <c r="H18" s="321"/>
      <c r="I18" s="48" t="s">
        <v>27</v>
      </c>
      <c r="J18" s="49" t="s">
        <v>181</v>
      </c>
      <c r="K18" s="483">
        <f>K16-K25</f>
        <v>0</v>
      </c>
      <c r="M18" s="50"/>
      <c r="N18" s="278" t="str">
        <f t="shared" si="52"/>
        <v/>
      </c>
      <c r="O18" s="279" t="str">
        <f t="shared" si="53"/>
        <v/>
      </c>
      <c r="P18" s="271" t="str">
        <f t="shared" si="49"/>
        <v/>
      </c>
      <c r="Q18" s="271" t="str">
        <f t="shared" si="50"/>
        <v/>
      </c>
      <c r="R18" s="271" t="str">
        <f t="shared" si="51"/>
        <v/>
      </c>
      <c r="S18" s="400" t="str">
        <f t="shared" si="54"/>
        <v/>
      </c>
      <c r="T18" s="419"/>
      <c r="U18" s="52" t="str">
        <f t="shared" si="45"/>
        <v/>
      </c>
      <c r="V18" s="53" t="str">
        <f>Main_무해지!AC18</f>
        <v/>
      </c>
      <c r="W18" s="56">
        <f>+Main_무해지!AD18</f>
        <v>0</v>
      </c>
      <c r="X18" s="56">
        <v>0</v>
      </c>
      <c r="Y18" s="254" t="str">
        <f t="shared" si="46"/>
        <v/>
      </c>
      <c r="Z18" s="254" t="str">
        <f t="shared" si="1"/>
        <v/>
      </c>
      <c r="AA18" s="54" t="str">
        <f>IF($U18="","",SUM(Z18:Z$114))</f>
        <v/>
      </c>
      <c r="AB18" s="254" t="str">
        <f t="shared" si="35"/>
        <v/>
      </c>
      <c r="AC18" s="254">
        <f t="shared" si="36"/>
        <v>0</v>
      </c>
      <c r="AD18" s="254" t="str">
        <f>Main_무해지!AJ18</f>
        <v/>
      </c>
      <c r="AE18" s="254">
        <f t="shared" si="2"/>
        <v>0</v>
      </c>
      <c r="AF18" s="254" t="str">
        <f t="shared" si="47"/>
        <v/>
      </c>
      <c r="AG18" s="254" t="str">
        <f t="shared" si="3"/>
        <v/>
      </c>
      <c r="AH18" s="54" t="str">
        <f>IF($U18="","",SUM(AG18:AG$114))</f>
        <v/>
      </c>
      <c r="AI18" s="254" t="str">
        <f>Main_무해지!AP18</f>
        <v/>
      </c>
      <c r="AJ18" s="254">
        <f t="shared" si="4"/>
        <v>0</v>
      </c>
      <c r="AK18" s="254" t="str">
        <f t="shared" si="5"/>
        <v/>
      </c>
      <c r="AL18" s="254" t="str">
        <f t="shared" si="6"/>
        <v/>
      </c>
      <c r="AM18" s="57" t="str">
        <f>IF($U18="","",SUM($AN18:$AN$114))</f>
        <v/>
      </c>
      <c r="AN18" s="254" t="str">
        <f t="shared" si="37"/>
        <v/>
      </c>
      <c r="AO18" s="57" t="str">
        <f t="shared" si="7"/>
        <v/>
      </c>
      <c r="AP18" s="53" t="str">
        <f>IF($U18="","",INDEX(#REF!,$U18+1))</f>
        <v/>
      </c>
      <c r="AQ18" s="254">
        <f t="shared" si="8"/>
        <v>0</v>
      </c>
      <c r="AR18" s="254" t="str">
        <f t="shared" si="9"/>
        <v/>
      </c>
      <c r="AS18" s="254" t="str">
        <f t="shared" si="10"/>
        <v/>
      </c>
      <c r="AT18" s="57" t="str">
        <f>IF($U18="","",SUM($AS18:$AS$114))</f>
        <v/>
      </c>
      <c r="AU18" s="53" t="str">
        <f>IF($U18="","",INDEX(#REF!,$U18+1))</f>
        <v/>
      </c>
      <c r="AV18" s="254">
        <f t="shared" si="11"/>
        <v>0</v>
      </c>
      <c r="AW18" s="254" t="str">
        <f t="shared" si="12"/>
        <v/>
      </c>
      <c r="AX18" s="254" t="str">
        <f t="shared" si="13"/>
        <v/>
      </c>
      <c r="AY18" s="57" t="str">
        <f>IF($U18="","",SUM($AX18:$AX$114))</f>
        <v/>
      </c>
      <c r="AZ18" s="53" t="str">
        <f>IF($U18="","",INDEX(#REF!,$U18+1))</f>
        <v/>
      </c>
      <c r="BA18" s="254">
        <f t="shared" si="14"/>
        <v>0</v>
      </c>
      <c r="BB18" s="254" t="str">
        <f t="shared" si="15"/>
        <v/>
      </c>
      <c r="BC18" s="254" t="str">
        <f t="shared" si="16"/>
        <v/>
      </c>
      <c r="BD18" s="57" t="str">
        <f>IF($U18="","",SUM($BC18:$BC$114))</f>
        <v/>
      </c>
      <c r="BE18" s="53" t="str">
        <f>IF($U18="","",INDEX(#REF!,$U18+1))</f>
        <v/>
      </c>
      <c r="BF18" s="254">
        <f t="shared" si="17"/>
        <v>0</v>
      </c>
      <c r="BG18" s="254" t="str">
        <f t="shared" si="18"/>
        <v/>
      </c>
      <c r="BH18" s="254" t="str">
        <f t="shared" si="19"/>
        <v/>
      </c>
      <c r="BI18" s="57" t="str">
        <f>IF($U18="","",SUM($BH18:$BH$114))</f>
        <v/>
      </c>
      <c r="BJ18" s="53" t="str">
        <f>IF($U18="","",INDEX(#REF!,$U18+1))</f>
        <v/>
      </c>
      <c r="BK18" s="254">
        <f t="shared" si="20"/>
        <v>0</v>
      </c>
      <c r="BL18" s="254" t="str">
        <f t="shared" si="21"/>
        <v/>
      </c>
      <c r="BM18" s="254" t="str">
        <f t="shared" si="22"/>
        <v/>
      </c>
      <c r="BN18" s="57" t="str">
        <f>IF($U18="","",SUM($BM18:$BM$114))</f>
        <v/>
      </c>
      <c r="BO18" s="53">
        <f t="shared" si="23"/>
        <v>0</v>
      </c>
      <c r="BP18" s="254" t="str">
        <f t="shared" si="24"/>
        <v/>
      </c>
      <c r="BQ18" s="254" t="str">
        <f t="shared" si="25"/>
        <v/>
      </c>
      <c r="BR18" s="254"/>
      <c r="BS18" s="254" t="str">
        <f t="shared" si="38"/>
        <v/>
      </c>
      <c r="BT18" s="254" t="str">
        <f t="shared" si="26"/>
        <v/>
      </c>
      <c r="BU18" s="254" t="str">
        <f t="shared" si="27"/>
        <v/>
      </c>
      <c r="BV18" s="254"/>
      <c r="BW18" s="254" t="str">
        <f t="shared" si="39"/>
        <v/>
      </c>
      <c r="BX18" s="254" t="str">
        <f>IF($U18="","",SUM(BS18:BS$114)+SUM(BW18:BW$114))</f>
        <v/>
      </c>
      <c r="BY18" s="55"/>
      <c r="BZ18" s="55"/>
      <c r="CA18" s="55"/>
      <c r="CB18" s="55"/>
      <c r="CC18" s="390" t="str">
        <f t="shared" si="0"/>
        <v/>
      </c>
      <c r="CD18" s="254" t="str">
        <f t="shared" si="40"/>
        <v/>
      </c>
      <c r="CE18" s="254" t="str">
        <f t="shared" si="28"/>
        <v/>
      </c>
      <c r="CF18" s="254" t="str">
        <f t="shared" si="29"/>
        <v/>
      </c>
      <c r="CG18" s="254" t="str">
        <f t="shared" si="41"/>
        <v/>
      </c>
      <c r="CH18" s="254" t="str">
        <f t="shared" si="30"/>
        <v/>
      </c>
      <c r="CI18" s="58" t="str">
        <f t="shared" si="42"/>
        <v/>
      </c>
      <c r="CJ18" s="59" t="str">
        <f t="shared" si="31"/>
        <v/>
      </c>
      <c r="CK18" s="236"/>
      <c r="CL18" s="52" t="str">
        <f t="shared" si="32"/>
        <v/>
      </c>
      <c r="CM18" s="59" t="str">
        <f t="shared" si="48"/>
        <v/>
      </c>
      <c r="CN18" s="59" t="str">
        <f t="shared" si="43"/>
        <v/>
      </c>
      <c r="CO18" s="59" t="str">
        <f t="shared" si="33"/>
        <v/>
      </c>
      <c r="CP18" s="59" t="str">
        <f t="shared" si="44"/>
        <v/>
      </c>
      <c r="CQ18" s="236"/>
      <c r="CR18" s="236"/>
      <c r="CS18" s="236"/>
      <c r="CT18" s="236"/>
      <c r="CU18" s="236"/>
      <c r="CV18" s="236"/>
      <c r="CW18" s="478"/>
      <c r="CX18" s="478"/>
      <c r="CY18" s="478"/>
      <c r="CZ18" s="478"/>
      <c r="DA18" s="478"/>
      <c r="DB18" s="478"/>
      <c r="DC18" s="478"/>
      <c r="DD18" s="478"/>
      <c r="DE18" s="478"/>
      <c r="DF18" s="478"/>
      <c r="DG18" s="478"/>
      <c r="DH18" s="478"/>
      <c r="DI18" s="478"/>
      <c r="DJ18" s="478"/>
      <c r="DK18" s="478"/>
      <c r="DL18" s="478"/>
      <c r="DM18" s="478"/>
      <c r="DN18" s="478"/>
      <c r="DO18" s="478"/>
      <c r="DP18" s="478"/>
      <c r="DQ18" s="478"/>
      <c r="DR18" s="478"/>
      <c r="DS18" s="478"/>
      <c r="DT18" s="478"/>
      <c r="DU18" s="478"/>
      <c r="DV18" s="478"/>
      <c r="DW18" s="478"/>
      <c r="DX18" s="478"/>
      <c r="DY18" s="478"/>
      <c r="DZ18" s="478"/>
      <c r="EA18" s="478"/>
      <c r="EB18" s="478"/>
      <c r="EC18" s="478"/>
      <c r="ED18" s="478"/>
    </row>
    <row r="19" spans="1:134" ht="17.25" thickBot="1">
      <c r="A19" s="305"/>
      <c r="B19" s="373"/>
      <c r="C19" s="93"/>
      <c r="D19" s="293"/>
      <c r="E19" s="826">
        <f>Main_무해지!E19</f>
        <v>1000000</v>
      </c>
      <c r="F19" s="827"/>
      <c r="G19" s="294"/>
      <c r="H19" s="323"/>
      <c r="I19" s="501"/>
      <c r="J19" s="100" t="s">
        <v>179</v>
      </c>
      <c r="K19" s="502">
        <f>K37*K13*K22</f>
        <v>0</v>
      </c>
      <c r="M19" s="50"/>
      <c r="N19" s="278" t="str">
        <f t="shared" si="52"/>
        <v/>
      </c>
      <c r="O19" s="279" t="str">
        <f t="shared" si="53"/>
        <v/>
      </c>
      <c r="P19" s="271" t="str">
        <f t="shared" si="49"/>
        <v/>
      </c>
      <c r="Q19" s="271" t="str">
        <f t="shared" si="50"/>
        <v/>
      </c>
      <c r="R19" s="271" t="str">
        <f t="shared" si="51"/>
        <v/>
      </c>
      <c r="S19" s="400" t="str">
        <f t="shared" si="54"/>
        <v/>
      </c>
      <c r="T19" s="419"/>
      <c r="U19" s="60" t="str">
        <f t="shared" si="45"/>
        <v/>
      </c>
      <c r="V19" s="61" t="str">
        <f>Main_무해지!AC19</f>
        <v/>
      </c>
      <c r="W19" s="64">
        <f>+Main_무해지!AD19</f>
        <v>0</v>
      </c>
      <c r="X19" s="64">
        <v>0</v>
      </c>
      <c r="Y19" s="255" t="str">
        <f t="shared" si="46"/>
        <v/>
      </c>
      <c r="Z19" s="255" t="str">
        <f t="shared" si="1"/>
        <v/>
      </c>
      <c r="AA19" s="62" t="str">
        <f>IF($U19="","",SUM(Z19:Z$114))</f>
        <v/>
      </c>
      <c r="AB19" s="255" t="str">
        <f t="shared" si="35"/>
        <v/>
      </c>
      <c r="AC19" s="255">
        <f t="shared" si="36"/>
        <v>0</v>
      </c>
      <c r="AD19" s="255" t="str">
        <f>Main_무해지!AJ19</f>
        <v/>
      </c>
      <c r="AE19" s="255">
        <f t="shared" si="2"/>
        <v>0</v>
      </c>
      <c r="AF19" s="255" t="str">
        <f t="shared" si="47"/>
        <v/>
      </c>
      <c r="AG19" s="255" t="str">
        <f t="shared" si="3"/>
        <v/>
      </c>
      <c r="AH19" s="62" t="str">
        <f>IF($U19="","",SUM(AG19:AG$114))</f>
        <v/>
      </c>
      <c r="AI19" s="255" t="str">
        <f>Main_무해지!AP19</f>
        <v/>
      </c>
      <c r="AJ19" s="255">
        <f t="shared" si="4"/>
        <v>0</v>
      </c>
      <c r="AK19" s="255" t="str">
        <f t="shared" si="5"/>
        <v/>
      </c>
      <c r="AL19" s="255" t="str">
        <f t="shared" si="6"/>
        <v/>
      </c>
      <c r="AM19" s="65" t="str">
        <f>IF($U19="","",SUM($AN19:$AN$114))</f>
        <v/>
      </c>
      <c r="AN19" s="255" t="str">
        <f t="shared" si="37"/>
        <v/>
      </c>
      <c r="AO19" s="65" t="str">
        <f t="shared" si="7"/>
        <v/>
      </c>
      <c r="AP19" s="61" t="str">
        <f>IF($U19="","",INDEX(#REF!,$U19+1))</f>
        <v/>
      </c>
      <c r="AQ19" s="255">
        <f t="shared" si="8"/>
        <v>0</v>
      </c>
      <c r="AR19" s="255" t="str">
        <f t="shared" si="9"/>
        <v/>
      </c>
      <c r="AS19" s="255" t="str">
        <f t="shared" si="10"/>
        <v/>
      </c>
      <c r="AT19" s="65" t="str">
        <f>IF($U19="","",SUM($AS19:$AS$114))</f>
        <v/>
      </c>
      <c r="AU19" s="61" t="str">
        <f>IF($U19="","",INDEX(#REF!,$U19+1))</f>
        <v/>
      </c>
      <c r="AV19" s="255">
        <f t="shared" si="11"/>
        <v>0</v>
      </c>
      <c r="AW19" s="255" t="str">
        <f t="shared" si="12"/>
        <v/>
      </c>
      <c r="AX19" s="255" t="str">
        <f t="shared" si="13"/>
        <v/>
      </c>
      <c r="AY19" s="65" t="str">
        <f>IF($U19="","",SUM($AX19:$AX$114))</f>
        <v/>
      </c>
      <c r="AZ19" s="61" t="str">
        <f>IF($U19="","",INDEX(#REF!,$U19+1))</f>
        <v/>
      </c>
      <c r="BA19" s="255">
        <f t="shared" si="14"/>
        <v>0</v>
      </c>
      <c r="BB19" s="255" t="str">
        <f t="shared" si="15"/>
        <v/>
      </c>
      <c r="BC19" s="255" t="str">
        <f t="shared" si="16"/>
        <v/>
      </c>
      <c r="BD19" s="65" t="str">
        <f>IF($U19="","",SUM($BC19:$BC$114))</f>
        <v/>
      </c>
      <c r="BE19" s="61" t="str">
        <f>IF($U19="","",INDEX(#REF!,$U19+1))</f>
        <v/>
      </c>
      <c r="BF19" s="255">
        <f t="shared" si="17"/>
        <v>0</v>
      </c>
      <c r="BG19" s="255" t="str">
        <f t="shared" si="18"/>
        <v/>
      </c>
      <c r="BH19" s="255" t="str">
        <f t="shared" si="19"/>
        <v/>
      </c>
      <c r="BI19" s="65" t="str">
        <f>IF($U19="","",SUM($BH19:$BH$114))</f>
        <v/>
      </c>
      <c r="BJ19" s="61" t="str">
        <f>IF($U19="","",INDEX(#REF!,$U19+1))</f>
        <v/>
      </c>
      <c r="BK19" s="255">
        <f t="shared" si="20"/>
        <v>0</v>
      </c>
      <c r="BL19" s="255" t="str">
        <f t="shared" si="21"/>
        <v/>
      </c>
      <c r="BM19" s="255" t="str">
        <f t="shared" si="22"/>
        <v/>
      </c>
      <c r="BN19" s="65" t="str">
        <f>IF($U19="","",SUM($BM19:$BM$114))</f>
        <v/>
      </c>
      <c r="BO19" s="61">
        <f t="shared" si="23"/>
        <v>0</v>
      </c>
      <c r="BP19" s="255" t="str">
        <f t="shared" si="24"/>
        <v/>
      </c>
      <c r="BQ19" s="255" t="str">
        <f t="shared" si="25"/>
        <v/>
      </c>
      <c r="BR19" s="255"/>
      <c r="BS19" s="255" t="str">
        <f t="shared" si="38"/>
        <v/>
      </c>
      <c r="BT19" s="255" t="str">
        <f t="shared" si="26"/>
        <v/>
      </c>
      <c r="BU19" s="255" t="str">
        <f t="shared" si="27"/>
        <v/>
      </c>
      <c r="BV19" s="255"/>
      <c r="BW19" s="255" t="str">
        <f t="shared" si="39"/>
        <v/>
      </c>
      <c r="BX19" s="255" t="str">
        <f>IF($U19="","",SUM(BS19:BS$114)+SUM(BW19:BW$114))</f>
        <v/>
      </c>
      <c r="BY19" s="63"/>
      <c r="BZ19" s="63"/>
      <c r="CA19" s="63"/>
      <c r="CB19" s="63"/>
      <c r="CC19" s="391" t="str">
        <f t="shared" si="0"/>
        <v/>
      </c>
      <c r="CD19" s="255" t="str">
        <f t="shared" si="40"/>
        <v/>
      </c>
      <c r="CE19" s="255" t="str">
        <f t="shared" si="28"/>
        <v/>
      </c>
      <c r="CF19" s="255" t="str">
        <f t="shared" si="29"/>
        <v/>
      </c>
      <c r="CG19" s="255" t="str">
        <f t="shared" si="41"/>
        <v/>
      </c>
      <c r="CH19" s="255" t="str">
        <f t="shared" si="30"/>
        <v/>
      </c>
      <c r="CI19" s="66" t="str">
        <f t="shared" si="42"/>
        <v/>
      </c>
      <c r="CJ19" s="67" t="str">
        <f t="shared" si="31"/>
        <v/>
      </c>
      <c r="CK19" s="237"/>
      <c r="CL19" s="60" t="str">
        <f t="shared" si="32"/>
        <v/>
      </c>
      <c r="CM19" s="67" t="str">
        <f t="shared" si="48"/>
        <v/>
      </c>
      <c r="CN19" s="67" t="str">
        <f t="shared" si="43"/>
        <v/>
      </c>
      <c r="CO19" s="67" t="str">
        <f t="shared" si="33"/>
        <v/>
      </c>
      <c r="CP19" s="67" t="str">
        <f t="shared" si="44"/>
        <v/>
      </c>
      <c r="CQ19" s="237"/>
      <c r="CR19" s="237"/>
      <c r="CS19" s="237"/>
      <c r="CT19" s="237"/>
      <c r="CU19" s="237"/>
      <c r="CV19" s="237"/>
      <c r="CW19" s="478"/>
      <c r="CX19" s="478"/>
      <c r="CY19" s="478"/>
      <c r="CZ19" s="478"/>
      <c r="DA19" s="478"/>
      <c r="DB19" s="478"/>
      <c r="DC19" s="478"/>
      <c r="DD19" s="478"/>
      <c r="DE19" s="478"/>
      <c r="DF19" s="478"/>
      <c r="DG19" s="478"/>
      <c r="DH19" s="478"/>
      <c r="DI19" s="478"/>
      <c r="DJ19" s="478"/>
      <c r="DK19" s="478"/>
      <c r="DL19" s="478"/>
      <c r="DM19" s="478"/>
      <c r="DN19" s="478"/>
      <c r="DO19" s="478"/>
      <c r="DP19" s="478"/>
      <c r="DQ19" s="478"/>
      <c r="DR19" s="478"/>
      <c r="DS19" s="478"/>
      <c r="DT19" s="478"/>
      <c r="DU19" s="478"/>
      <c r="DV19" s="478"/>
      <c r="DW19" s="478"/>
      <c r="DX19" s="478"/>
      <c r="DY19" s="478"/>
      <c r="DZ19" s="478"/>
      <c r="EA19" s="478"/>
      <c r="EB19" s="478"/>
      <c r="EC19" s="478"/>
      <c r="ED19" s="478"/>
    </row>
    <row r="20" spans="1:134" ht="17.25" thickTop="1">
      <c r="A20" s="305"/>
      <c r="B20" s="373"/>
      <c r="C20" s="373"/>
      <c r="D20" s="373"/>
      <c r="E20" s="373"/>
      <c r="F20" s="373"/>
      <c r="G20" s="373"/>
      <c r="H20" s="108"/>
      <c r="I20" s="80"/>
      <c r="J20" s="81" t="s">
        <v>202</v>
      </c>
      <c r="K20" s="484">
        <f>INDEX(Z4:Z115,1)</f>
        <v>100000</v>
      </c>
      <c r="M20" s="50"/>
      <c r="N20" s="278" t="str">
        <f t="shared" si="52"/>
        <v/>
      </c>
      <c r="O20" s="279" t="str">
        <f t="shared" si="53"/>
        <v/>
      </c>
      <c r="P20" s="271" t="str">
        <f t="shared" si="49"/>
        <v/>
      </c>
      <c r="Q20" s="271" t="str">
        <f t="shared" si="50"/>
        <v/>
      </c>
      <c r="R20" s="271" t="str">
        <f t="shared" si="51"/>
        <v/>
      </c>
      <c r="S20" s="400" t="str">
        <f t="shared" si="54"/>
        <v/>
      </c>
      <c r="T20" s="419"/>
      <c r="U20" s="759" t="str">
        <f t="shared" si="45"/>
        <v/>
      </c>
      <c r="V20" s="761" t="str">
        <f>Main_무해지!AC20</f>
        <v/>
      </c>
      <c r="W20" s="639">
        <f>+Main_무해지!AD20</f>
        <v>0</v>
      </c>
      <c r="X20" s="639">
        <v>0</v>
      </c>
      <c r="Y20" s="409" t="str">
        <f t="shared" si="46"/>
        <v/>
      </c>
      <c r="Z20" s="409" t="str">
        <f t="shared" si="1"/>
        <v/>
      </c>
      <c r="AA20" s="760" t="str">
        <f>IF($U20="","",SUM(Z20:Z$114))</f>
        <v/>
      </c>
      <c r="AB20" s="409" t="str">
        <f t="shared" si="35"/>
        <v/>
      </c>
      <c r="AC20" s="409">
        <f t="shared" si="36"/>
        <v>0</v>
      </c>
      <c r="AD20" s="409" t="str">
        <f>Main_무해지!AJ20</f>
        <v/>
      </c>
      <c r="AE20" s="409">
        <f t="shared" si="2"/>
        <v>0</v>
      </c>
      <c r="AF20" s="409" t="str">
        <f t="shared" si="47"/>
        <v/>
      </c>
      <c r="AG20" s="409" t="str">
        <f t="shared" si="3"/>
        <v/>
      </c>
      <c r="AH20" s="760" t="str">
        <f>IF($U20="","",SUM(AG20:AG$114))</f>
        <v/>
      </c>
      <c r="AI20" s="409" t="str">
        <f>Main_무해지!AP20</f>
        <v/>
      </c>
      <c r="AJ20" s="409">
        <f t="shared" si="4"/>
        <v>0</v>
      </c>
      <c r="AK20" s="409" t="str">
        <f t="shared" si="5"/>
        <v/>
      </c>
      <c r="AL20" s="409" t="str">
        <f t="shared" si="6"/>
        <v/>
      </c>
      <c r="AM20" s="762" t="str">
        <f>IF($U20="","",SUM($AN20:$AN$114))</f>
        <v/>
      </c>
      <c r="AN20" s="409" t="str">
        <f t="shared" si="37"/>
        <v/>
      </c>
      <c r="AO20" s="762" t="str">
        <f t="shared" si="7"/>
        <v/>
      </c>
      <c r="AP20" s="761" t="str">
        <f>IF($U20="","",INDEX(#REF!,$U20+1))</f>
        <v/>
      </c>
      <c r="AQ20" s="409">
        <f t="shared" si="8"/>
        <v>0</v>
      </c>
      <c r="AR20" s="409" t="str">
        <f t="shared" si="9"/>
        <v/>
      </c>
      <c r="AS20" s="409" t="str">
        <f t="shared" si="10"/>
        <v/>
      </c>
      <c r="AT20" s="762" t="str">
        <f>IF($U20="","",SUM($AS20:$AS$114))</f>
        <v/>
      </c>
      <c r="AU20" s="761" t="str">
        <f>IF($U20="","",INDEX(#REF!,$U20+1))</f>
        <v/>
      </c>
      <c r="AV20" s="409">
        <f t="shared" si="11"/>
        <v>0</v>
      </c>
      <c r="AW20" s="409" t="str">
        <f t="shared" si="12"/>
        <v/>
      </c>
      <c r="AX20" s="409" t="str">
        <f t="shared" si="13"/>
        <v/>
      </c>
      <c r="AY20" s="762" t="str">
        <f>IF($U20="","",SUM($AX20:$AX$114))</f>
        <v/>
      </c>
      <c r="AZ20" s="761" t="str">
        <f>IF($U20="","",INDEX(#REF!,$U20+1))</f>
        <v/>
      </c>
      <c r="BA20" s="409">
        <f t="shared" si="14"/>
        <v>0</v>
      </c>
      <c r="BB20" s="409" t="str">
        <f t="shared" si="15"/>
        <v/>
      </c>
      <c r="BC20" s="409" t="str">
        <f t="shared" si="16"/>
        <v/>
      </c>
      <c r="BD20" s="762" t="str">
        <f>IF($U20="","",SUM($BC20:$BC$114))</f>
        <v/>
      </c>
      <c r="BE20" s="761" t="str">
        <f>IF($U20="","",INDEX(#REF!,$U20+1))</f>
        <v/>
      </c>
      <c r="BF20" s="409">
        <f t="shared" si="17"/>
        <v>0</v>
      </c>
      <c r="BG20" s="409" t="str">
        <f t="shared" si="18"/>
        <v/>
      </c>
      <c r="BH20" s="409" t="str">
        <f t="shared" si="19"/>
        <v/>
      </c>
      <c r="BI20" s="762" t="str">
        <f>IF($U20="","",SUM($BH20:$BH$114))</f>
        <v/>
      </c>
      <c r="BJ20" s="761" t="str">
        <f>IF($U20="","",INDEX(#REF!,$U20+1))</f>
        <v/>
      </c>
      <c r="BK20" s="409">
        <f t="shared" si="20"/>
        <v>0</v>
      </c>
      <c r="BL20" s="409" t="str">
        <f t="shared" si="21"/>
        <v/>
      </c>
      <c r="BM20" s="409" t="str">
        <f t="shared" si="22"/>
        <v/>
      </c>
      <c r="BN20" s="762" t="str">
        <f>IF($U20="","",SUM($BM20:$BM$114))</f>
        <v/>
      </c>
      <c r="BO20" s="761">
        <f t="shared" si="23"/>
        <v>0</v>
      </c>
      <c r="BP20" s="409" t="str">
        <f t="shared" si="24"/>
        <v/>
      </c>
      <c r="BQ20" s="409" t="str">
        <f t="shared" si="25"/>
        <v/>
      </c>
      <c r="BR20" s="409"/>
      <c r="BS20" s="409" t="str">
        <f t="shared" si="38"/>
        <v/>
      </c>
      <c r="BT20" s="409" t="str">
        <f t="shared" si="26"/>
        <v/>
      </c>
      <c r="BU20" s="409" t="str">
        <f t="shared" si="27"/>
        <v/>
      </c>
      <c r="BV20" s="409"/>
      <c r="BW20" s="409" t="str">
        <f t="shared" si="39"/>
        <v/>
      </c>
      <c r="BX20" s="409" t="str">
        <f>IF($U20="","",SUM(BS20:BS$114)+SUM(BW20:BW$114))</f>
        <v/>
      </c>
      <c r="BY20" s="763"/>
      <c r="BZ20" s="763"/>
      <c r="CA20" s="763"/>
      <c r="CB20" s="763"/>
      <c r="CC20" s="764" t="str">
        <f t="shared" si="0"/>
        <v/>
      </c>
      <c r="CD20" s="409" t="str">
        <f t="shared" si="40"/>
        <v/>
      </c>
      <c r="CE20" s="409" t="str">
        <f t="shared" si="28"/>
        <v/>
      </c>
      <c r="CF20" s="409" t="str">
        <f t="shared" si="29"/>
        <v/>
      </c>
      <c r="CG20" s="409" t="str">
        <f t="shared" si="41"/>
        <v/>
      </c>
      <c r="CH20" s="409" t="str">
        <f t="shared" si="30"/>
        <v/>
      </c>
      <c r="CI20" s="765" t="str">
        <f t="shared" si="42"/>
        <v/>
      </c>
      <c r="CJ20" s="766" t="str">
        <f t="shared" si="31"/>
        <v/>
      </c>
      <c r="CK20" s="414"/>
      <c r="CL20" s="759" t="str">
        <f t="shared" si="32"/>
        <v/>
      </c>
      <c r="CM20" s="766" t="str">
        <f t="shared" si="48"/>
        <v/>
      </c>
      <c r="CN20" s="766" t="str">
        <f t="shared" si="43"/>
        <v/>
      </c>
      <c r="CO20" s="766" t="str">
        <f t="shared" si="33"/>
        <v/>
      </c>
      <c r="CP20" s="766" t="str">
        <f t="shared" si="44"/>
        <v/>
      </c>
      <c r="CQ20" s="414"/>
      <c r="CR20" s="414"/>
      <c r="CS20" s="414"/>
      <c r="CT20" s="414"/>
      <c r="CU20" s="414"/>
      <c r="CV20" s="414"/>
      <c r="CW20" s="478"/>
      <c r="CX20" s="478"/>
      <c r="CY20" s="478"/>
      <c r="CZ20" s="478"/>
      <c r="DA20" s="478"/>
      <c r="DB20" s="478"/>
      <c r="DC20" s="478"/>
      <c r="DD20" s="478"/>
      <c r="DE20" s="478"/>
      <c r="DF20" s="478"/>
      <c r="DG20" s="478"/>
      <c r="DH20" s="478"/>
      <c r="DI20" s="478"/>
      <c r="DJ20" s="478"/>
      <c r="DK20" s="478"/>
      <c r="DL20" s="478"/>
      <c r="DM20" s="478"/>
      <c r="DN20" s="478"/>
      <c r="DO20" s="478"/>
      <c r="DP20" s="478"/>
      <c r="DQ20" s="478"/>
      <c r="DR20" s="478"/>
      <c r="DS20" s="478"/>
      <c r="DT20" s="478"/>
      <c r="DU20" s="478"/>
      <c r="DV20" s="478"/>
      <c r="DW20" s="478"/>
      <c r="DX20" s="478"/>
      <c r="DY20" s="478"/>
      <c r="DZ20" s="478"/>
      <c r="EA20" s="478"/>
      <c r="EB20" s="478"/>
      <c r="EC20" s="478"/>
      <c r="ED20" s="478"/>
    </row>
    <row r="21" spans="1:134" ht="17.25" thickBot="1">
      <c r="A21" s="305"/>
      <c r="B21" s="373"/>
      <c r="C21" s="373"/>
      <c r="D21" s="373"/>
      <c r="E21" s="373"/>
      <c r="F21" s="373"/>
      <c r="G21" s="373"/>
      <c r="H21" s="108"/>
      <c r="I21" s="48"/>
      <c r="J21" s="49" t="s">
        <v>203</v>
      </c>
      <c r="K21" s="483">
        <f>INDEX(Z4:Z115,F5+1)</f>
        <v>97799.511002444997</v>
      </c>
      <c r="M21" s="50"/>
      <c r="N21" s="280" t="str">
        <f t="shared" si="52"/>
        <v/>
      </c>
      <c r="O21" s="281" t="str">
        <f t="shared" si="53"/>
        <v/>
      </c>
      <c r="P21" s="282" t="str">
        <f t="shared" si="49"/>
        <v/>
      </c>
      <c r="Q21" s="282" t="str">
        <f t="shared" si="50"/>
        <v/>
      </c>
      <c r="R21" s="282" t="str">
        <f t="shared" si="51"/>
        <v/>
      </c>
      <c r="S21" s="402" t="str">
        <f t="shared" si="54"/>
        <v/>
      </c>
      <c r="T21" s="419"/>
      <c r="U21" s="101" t="str">
        <f t="shared" si="45"/>
        <v/>
      </c>
      <c r="V21" s="285" t="str">
        <f>Main_무해지!AC21</f>
        <v/>
      </c>
      <c r="W21" s="308">
        <f>+Main_무해지!AD21</f>
        <v>0</v>
      </c>
      <c r="X21" s="308">
        <v>0</v>
      </c>
      <c r="Y21" s="258" t="str">
        <f t="shared" si="46"/>
        <v/>
      </c>
      <c r="Z21" s="258" t="str">
        <f t="shared" si="1"/>
        <v/>
      </c>
      <c r="AA21" s="102" t="str">
        <f>IF($U21="","",SUM(Z21:Z$114))</f>
        <v/>
      </c>
      <c r="AB21" s="258" t="str">
        <f t="shared" si="35"/>
        <v/>
      </c>
      <c r="AC21" s="258">
        <f t="shared" si="36"/>
        <v>0</v>
      </c>
      <c r="AD21" s="258" t="str">
        <f>Main_무해지!AJ21</f>
        <v/>
      </c>
      <c r="AE21" s="258">
        <f t="shared" si="2"/>
        <v>0</v>
      </c>
      <c r="AF21" s="258" t="str">
        <f t="shared" si="47"/>
        <v/>
      </c>
      <c r="AG21" s="258" t="str">
        <f t="shared" si="3"/>
        <v/>
      </c>
      <c r="AH21" s="102" t="str">
        <f>IF($U21="","",SUM(AG21:AG$114))</f>
        <v/>
      </c>
      <c r="AI21" s="258" t="str">
        <f>Main_무해지!AP21</f>
        <v/>
      </c>
      <c r="AJ21" s="258">
        <f t="shared" si="4"/>
        <v>0</v>
      </c>
      <c r="AK21" s="258" t="str">
        <f t="shared" si="5"/>
        <v/>
      </c>
      <c r="AL21" s="258" t="str">
        <f t="shared" si="6"/>
        <v/>
      </c>
      <c r="AM21" s="315" t="str">
        <f>IF($U21="","",SUM($AN21:$AN$114))</f>
        <v/>
      </c>
      <c r="AN21" s="258" t="str">
        <f t="shared" si="37"/>
        <v/>
      </c>
      <c r="AO21" s="315" t="str">
        <f t="shared" si="7"/>
        <v/>
      </c>
      <c r="AP21" s="285" t="str">
        <f>IF($U21="","",INDEX(#REF!,$U21+1))</f>
        <v/>
      </c>
      <c r="AQ21" s="258">
        <f t="shared" si="8"/>
        <v>0</v>
      </c>
      <c r="AR21" s="258" t="str">
        <f t="shared" si="9"/>
        <v/>
      </c>
      <c r="AS21" s="258" t="str">
        <f t="shared" si="10"/>
        <v/>
      </c>
      <c r="AT21" s="315" t="str">
        <f>IF($U21="","",SUM($AS21:$AS$114))</f>
        <v/>
      </c>
      <c r="AU21" s="285" t="str">
        <f>IF($U21="","",INDEX(#REF!,$U21+1))</f>
        <v/>
      </c>
      <c r="AV21" s="258">
        <f t="shared" si="11"/>
        <v>0</v>
      </c>
      <c r="AW21" s="258" t="str">
        <f t="shared" si="12"/>
        <v/>
      </c>
      <c r="AX21" s="258" t="str">
        <f t="shared" si="13"/>
        <v/>
      </c>
      <c r="AY21" s="315" t="str">
        <f>IF($U21="","",SUM($AX21:$AX$114))</f>
        <v/>
      </c>
      <c r="AZ21" s="285" t="str">
        <f>IF($U21="","",INDEX(#REF!,$U21+1))</f>
        <v/>
      </c>
      <c r="BA21" s="258">
        <f t="shared" si="14"/>
        <v>0</v>
      </c>
      <c r="BB21" s="258" t="str">
        <f t="shared" si="15"/>
        <v/>
      </c>
      <c r="BC21" s="258" t="str">
        <f t="shared" si="16"/>
        <v/>
      </c>
      <c r="BD21" s="315" t="str">
        <f>IF($U21="","",SUM($BC21:$BC$114))</f>
        <v/>
      </c>
      <c r="BE21" s="285" t="str">
        <f>IF($U21="","",INDEX(#REF!,$U21+1))</f>
        <v/>
      </c>
      <c r="BF21" s="258">
        <f t="shared" si="17"/>
        <v>0</v>
      </c>
      <c r="BG21" s="258" t="str">
        <f t="shared" si="18"/>
        <v/>
      </c>
      <c r="BH21" s="258" t="str">
        <f t="shared" si="19"/>
        <v/>
      </c>
      <c r="BI21" s="315" t="str">
        <f>IF($U21="","",SUM($BH21:$BH$114))</f>
        <v/>
      </c>
      <c r="BJ21" s="285" t="str">
        <f>IF($U21="","",INDEX(#REF!,$U21+1))</f>
        <v/>
      </c>
      <c r="BK21" s="258">
        <f t="shared" si="20"/>
        <v>0</v>
      </c>
      <c r="BL21" s="258" t="str">
        <f t="shared" si="21"/>
        <v/>
      </c>
      <c r="BM21" s="258" t="str">
        <f t="shared" si="22"/>
        <v/>
      </c>
      <c r="BN21" s="315" t="str">
        <f>IF($U21="","",SUM($BM21:$BM$114))</f>
        <v/>
      </c>
      <c r="BO21" s="285">
        <f t="shared" si="23"/>
        <v>0</v>
      </c>
      <c r="BP21" s="258" t="str">
        <f t="shared" si="24"/>
        <v/>
      </c>
      <c r="BQ21" s="258" t="str">
        <f t="shared" si="25"/>
        <v/>
      </c>
      <c r="BR21" s="258"/>
      <c r="BS21" s="258" t="str">
        <f t="shared" si="38"/>
        <v/>
      </c>
      <c r="BT21" s="258" t="str">
        <f t="shared" si="26"/>
        <v/>
      </c>
      <c r="BU21" s="258" t="str">
        <f t="shared" si="27"/>
        <v/>
      </c>
      <c r="BV21" s="258"/>
      <c r="BW21" s="258" t="str">
        <f t="shared" si="39"/>
        <v/>
      </c>
      <c r="BX21" s="258" t="str">
        <f>IF($U21="","",SUM(BS21:BS$114)+SUM(BW21:BW$114))</f>
        <v/>
      </c>
      <c r="BY21" s="103"/>
      <c r="BZ21" s="103"/>
      <c r="CA21" s="103"/>
      <c r="CB21" s="103"/>
      <c r="CC21" s="394" t="str">
        <f t="shared" si="0"/>
        <v/>
      </c>
      <c r="CD21" s="258" t="str">
        <f t="shared" si="40"/>
        <v/>
      </c>
      <c r="CE21" s="258" t="str">
        <f t="shared" si="28"/>
        <v/>
      </c>
      <c r="CF21" s="258" t="str">
        <f t="shared" si="29"/>
        <v/>
      </c>
      <c r="CG21" s="258" t="str">
        <f t="shared" si="41"/>
        <v/>
      </c>
      <c r="CH21" s="258" t="str">
        <f t="shared" si="30"/>
        <v/>
      </c>
      <c r="CI21" s="104" t="str">
        <f t="shared" si="42"/>
        <v/>
      </c>
      <c r="CJ21" s="105" t="str">
        <f t="shared" si="31"/>
        <v/>
      </c>
      <c r="CK21" s="240"/>
      <c r="CL21" s="101" t="str">
        <f t="shared" si="32"/>
        <v/>
      </c>
      <c r="CM21" s="105" t="str">
        <f t="shared" si="48"/>
        <v/>
      </c>
      <c r="CN21" s="105" t="str">
        <f t="shared" si="43"/>
        <v/>
      </c>
      <c r="CO21" s="105" t="str">
        <f t="shared" si="33"/>
        <v/>
      </c>
      <c r="CP21" s="105" t="str">
        <f t="shared" si="44"/>
        <v/>
      </c>
      <c r="CQ21" s="240"/>
      <c r="CR21" s="240"/>
      <c r="CS21" s="240"/>
      <c r="CT21" s="240"/>
      <c r="CU21" s="240"/>
      <c r="CV21" s="240"/>
      <c r="CW21" s="478"/>
      <c r="CX21" s="478"/>
      <c r="CY21" s="478"/>
      <c r="CZ21" s="478"/>
      <c r="DA21" s="478"/>
      <c r="DB21" s="478"/>
      <c r="DC21" s="478"/>
      <c r="DD21" s="478"/>
      <c r="DE21" s="478"/>
      <c r="DF21" s="478"/>
      <c r="DG21" s="478"/>
      <c r="DH21" s="478"/>
      <c r="DI21" s="478"/>
      <c r="DJ21" s="478"/>
      <c r="DK21" s="478"/>
      <c r="DL21" s="478"/>
      <c r="DM21" s="478"/>
      <c r="DN21" s="478"/>
      <c r="DO21" s="478"/>
      <c r="DP21" s="478"/>
      <c r="DQ21" s="478"/>
      <c r="DR21" s="478"/>
      <c r="DS21" s="478"/>
      <c r="DT21" s="478"/>
      <c r="DU21" s="478"/>
      <c r="DV21" s="478"/>
      <c r="DW21" s="478"/>
      <c r="DX21" s="478"/>
      <c r="DY21" s="478"/>
      <c r="DZ21" s="478"/>
      <c r="EA21" s="478"/>
      <c r="EB21" s="478"/>
      <c r="EC21" s="478"/>
      <c r="ED21" s="478"/>
    </row>
    <row r="22" spans="1:134" ht="17.25" thickTop="1">
      <c r="A22" s="305"/>
      <c r="B22" s="373"/>
      <c r="C22" s="68"/>
      <c r="D22" s="97" t="s">
        <v>38</v>
      </c>
      <c r="E22" s="98" t="s">
        <v>83</v>
      </c>
      <c r="F22" s="269" t="s">
        <v>84</v>
      </c>
      <c r="G22" s="69"/>
      <c r="H22" s="108"/>
      <c r="I22" s="48"/>
      <c r="J22" s="49" t="s">
        <v>204</v>
      </c>
      <c r="K22" s="600">
        <f>IF($E$3+$F$4&gt;100,0,INDEX(Z4:Z115,F4+1))</f>
        <v>97799.511002444997</v>
      </c>
      <c r="M22" s="50"/>
      <c r="N22" s="275" t="str">
        <f t="shared" si="52"/>
        <v/>
      </c>
      <c r="O22" s="276" t="str">
        <f t="shared" si="53"/>
        <v/>
      </c>
      <c r="P22" s="277" t="str">
        <f t="shared" si="49"/>
        <v/>
      </c>
      <c r="Q22" s="277" t="str">
        <f t="shared" si="50"/>
        <v/>
      </c>
      <c r="R22" s="277" t="str">
        <f t="shared" si="51"/>
        <v/>
      </c>
      <c r="S22" s="401" t="str">
        <f t="shared" si="54"/>
        <v/>
      </c>
      <c r="T22" s="419"/>
      <c r="U22" s="101" t="str">
        <f t="shared" si="45"/>
        <v/>
      </c>
      <c r="V22" s="285" t="str">
        <f>Main_무해지!AC22</f>
        <v/>
      </c>
      <c r="W22" s="308">
        <f>+Main_무해지!AD22</f>
        <v>0</v>
      </c>
      <c r="X22" s="308">
        <v>0</v>
      </c>
      <c r="Y22" s="258" t="str">
        <f t="shared" si="46"/>
        <v/>
      </c>
      <c r="Z22" s="258" t="str">
        <f t="shared" si="1"/>
        <v/>
      </c>
      <c r="AA22" s="102" t="str">
        <f>IF($U22="","",SUM(Z22:Z$114))</f>
        <v/>
      </c>
      <c r="AB22" s="258" t="str">
        <f t="shared" si="35"/>
        <v/>
      </c>
      <c r="AC22" s="258">
        <f t="shared" si="36"/>
        <v>0</v>
      </c>
      <c r="AD22" s="258" t="str">
        <f>Main_무해지!AJ22</f>
        <v/>
      </c>
      <c r="AE22" s="258">
        <f t="shared" si="2"/>
        <v>0</v>
      </c>
      <c r="AF22" s="258" t="str">
        <f t="shared" si="47"/>
        <v/>
      </c>
      <c r="AG22" s="258" t="str">
        <f t="shared" si="3"/>
        <v/>
      </c>
      <c r="AH22" s="102" t="str">
        <f>IF($U22="","",SUM(AG22:AG$114))</f>
        <v/>
      </c>
      <c r="AI22" s="258" t="str">
        <f>Main_무해지!AP22</f>
        <v/>
      </c>
      <c r="AJ22" s="258">
        <f t="shared" si="4"/>
        <v>0</v>
      </c>
      <c r="AK22" s="258" t="str">
        <f t="shared" si="5"/>
        <v/>
      </c>
      <c r="AL22" s="258" t="str">
        <f t="shared" si="6"/>
        <v/>
      </c>
      <c r="AM22" s="315" t="str">
        <f>IF($U22="","",SUM($AN22:$AN$114))</f>
        <v/>
      </c>
      <c r="AN22" s="258" t="str">
        <f t="shared" si="37"/>
        <v/>
      </c>
      <c r="AO22" s="315" t="str">
        <f t="shared" si="7"/>
        <v/>
      </c>
      <c r="AP22" s="285" t="str">
        <f>IF($U22="","",INDEX(#REF!,$U22+1))</f>
        <v/>
      </c>
      <c r="AQ22" s="258">
        <f t="shared" si="8"/>
        <v>0</v>
      </c>
      <c r="AR22" s="258" t="str">
        <f t="shared" si="9"/>
        <v/>
      </c>
      <c r="AS22" s="258" t="str">
        <f t="shared" si="10"/>
        <v/>
      </c>
      <c r="AT22" s="315" t="str">
        <f>IF($U22="","",SUM($AS22:$AS$114))</f>
        <v/>
      </c>
      <c r="AU22" s="285" t="str">
        <f>IF($U22="","",INDEX(#REF!,$U22+1))</f>
        <v/>
      </c>
      <c r="AV22" s="258">
        <f t="shared" si="11"/>
        <v>0</v>
      </c>
      <c r="AW22" s="258" t="str">
        <f t="shared" si="12"/>
        <v/>
      </c>
      <c r="AX22" s="258" t="str">
        <f t="shared" si="13"/>
        <v/>
      </c>
      <c r="AY22" s="315" t="str">
        <f>IF($U22="","",SUM($AX22:$AX$114))</f>
        <v/>
      </c>
      <c r="AZ22" s="285" t="str">
        <f>IF($U22="","",INDEX(#REF!,$U22+1))</f>
        <v/>
      </c>
      <c r="BA22" s="258">
        <f t="shared" si="14"/>
        <v>0</v>
      </c>
      <c r="BB22" s="258" t="str">
        <f t="shared" si="15"/>
        <v/>
      </c>
      <c r="BC22" s="258" t="str">
        <f t="shared" si="16"/>
        <v/>
      </c>
      <c r="BD22" s="315" t="str">
        <f>IF($U22="","",SUM($BC22:$BC$114))</f>
        <v/>
      </c>
      <c r="BE22" s="285" t="str">
        <f>IF($U22="","",INDEX(#REF!,$U22+1))</f>
        <v/>
      </c>
      <c r="BF22" s="258">
        <f t="shared" si="17"/>
        <v>0</v>
      </c>
      <c r="BG22" s="258" t="str">
        <f t="shared" si="18"/>
        <v/>
      </c>
      <c r="BH22" s="258" t="str">
        <f t="shared" si="19"/>
        <v/>
      </c>
      <c r="BI22" s="315" t="str">
        <f>IF($U22="","",SUM($BH22:$BH$114))</f>
        <v/>
      </c>
      <c r="BJ22" s="285" t="str">
        <f>IF($U22="","",INDEX(#REF!,$U22+1))</f>
        <v/>
      </c>
      <c r="BK22" s="258">
        <f t="shared" si="20"/>
        <v>0</v>
      </c>
      <c r="BL22" s="258" t="str">
        <f t="shared" si="21"/>
        <v/>
      </c>
      <c r="BM22" s="258" t="str">
        <f t="shared" si="22"/>
        <v/>
      </c>
      <c r="BN22" s="315" t="str">
        <f>IF($U22="","",SUM($BM22:$BM$114))</f>
        <v/>
      </c>
      <c r="BO22" s="285">
        <f t="shared" si="23"/>
        <v>0</v>
      </c>
      <c r="BP22" s="258" t="str">
        <f t="shared" si="24"/>
        <v/>
      </c>
      <c r="BQ22" s="258" t="str">
        <f t="shared" si="25"/>
        <v/>
      </c>
      <c r="BR22" s="258"/>
      <c r="BS22" s="258" t="str">
        <f t="shared" si="38"/>
        <v/>
      </c>
      <c r="BT22" s="258" t="str">
        <f t="shared" si="26"/>
        <v/>
      </c>
      <c r="BU22" s="258" t="str">
        <f t="shared" si="27"/>
        <v/>
      </c>
      <c r="BV22" s="258"/>
      <c r="BW22" s="258" t="str">
        <f t="shared" si="39"/>
        <v/>
      </c>
      <c r="BX22" s="258" t="str">
        <f>IF($U22="","",SUM(BS22:BS$114)+SUM(BW22:BW$114))</f>
        <v/>
      </c>
      <c r="BY22" s="103"/>
      <c r="BZ22" s="103"/>
      <c r="CA22" s="103"/>
      <c r="CB22" s="103"/>
      <c r="CC22" s="394" t="str">
        <f t="shared" si="0"/>
        <v/>
      </c>
      <c r="CD22" s="258" t="str">
        <f t="shared" si="40"/>
        <v/>
      </c>
      <c r="CE22" s="258" t="str">
        <f t="shared" si="28"/>
        <v/>
      </c>
      <c r="CF22" s="258" t="str">
        <f t="shared" si="29"/>
        <v/>
      </c>
      <c r="CG22" s="258" t="str">
        <f t="shared" si="41"/>
        <v/>
      </c>
      <c r="CH22" s="258" t="str">
        <f t="shared" si="30"/>
        <v/>
      </c>
      <c r="CI22" s="104" t="str">
        <f t="shared" si="42"/>
        <v/>
      </c>
      <c r="CJ22" s="105" t="str">
        <f t="shared" si="31"/>
        <v/>
      </c>
      <c r="CK22" s="240"/>
      <c r="CL22" s="101" t="str">
        <f t="shared" si="32"/>
        <v/>
      </c>
      <c r="CM22" s="105" t="str">
        <f t="shared" si="48"/>
        <v/>
      </c>
      <c r="CN22" s="105" t="str">
        <f t="shared" si="43"/>
        <v/>
      </c>
      <c r="CO22" s="105" t="str">
        <f t="shared" si="33"/>
        <v/>
      </c>
      <c r="CP22" s="105" t="str">
        <f t="shared" si="44"/>
        <v/>
      </c>
      <c r="CQ22" s="240"/>
      <c r="CR22" s="240"/>
      <c r="CS22" s="240"/>
      <c r="CT22" s="240"/>
      <c r="CU22" s="240"/>
      <c r="CV22" s="240"/>
      <c r="CW22" s="478"/>
      <c r="CX22" s="478"/>
      <c r="CY22" s="478"/>
      <c r="CZ22" s="478"/>
      <c r="DA22" s="478"/>
      <c r="DB22" s="478"/>
      <c r="DC22" s="478"/>
      <c r="DD22" s="478"/>
      <c r="DE22" s="478"/>
      <c r="DF22" s="478"/>
      <c r="DG22" s="478"/>
      <c r="DH22" s="478"/>
      <c r="DI22" s="478"/>
      <c r="DJ22" s="478"/>
      <c r="DK22" s="478"/>
      <c r="DL22" s="478"/>
      <c r="DM22" s="478"/>
      <c r="DN22" s="478"/>
      <c r="DO22" s="478"/>
      <c r="DP22" s="478"/>
      <c r="DQ22" s="478"/>
      <c r="DR22" s="478"/>
      <c r="DS22" s="478"/>
      <c r="DT22" s="478"/>
      <c r="DU22" s="478"/>
      <c r="DV22" s="478"/>
      <c r="DW22" s="478"/>
      <c r="DX22" s="478"/>
      <c r="DY22" s="478"/>
      <c r="DZ22" s="478"/>
      <c r="EA22" s="478"/>
      <c r="EB22" s="478"/>
      <c r="EC22" s="478"/>
      <c r="ED22" s="478"/>
    </row>
    <row r="23" spans="1:134">
      <c r="A23" s="305"/>
      <c r="B23" s="373"/>
      <c r="C23" s="78"/>
      <c r="D23" s="106" t="s">
        <v>40</v>
      </c>
      <c r="E23" s="250">
        <f>Main_무해지!E23</f>
        <v>0</v>
      </c>
      <c r="F23" s="780">
        <f>(IF(AND(G3=1,$F$4=1),S산출!$E$10*10,IF(E7="무해지",S산출!$C$10,S산출!$D$10)*10))/1000</f>
        <v>7.0000000000000007E-5</v>
      </c>
      <c r="G23" s="79"/>
      <c r="H23" s="108"/>
      <c r="I23" s="48"/>
      <c r="J23" s="49" t="s">
        <v>205</v>
      </c>
      <c r="K23" s="483">
        <f>INDEX(AA4:AA115,1)</f>
        <v>197799.51100244501</v>
      </c>
      <c r="M23" s="50"/>
      <c r="N23" s="278" t="str">
        <f t="shared" si="52"/>
        <v/>
      </c>
      <c r="O23" s="279" t="str">
        <f t="shared" si="53"/>
        <v/>
      </c>
      <c r="P23" s="271" t="str">
        <f t="shared" si="49"/>
        <v/>
      </c>
      <c r="Q23" s="271" t="str">
        <f t="shared" si="50"/>
        <v/>
      </c>
      <c r="R23" s="271" t="str">
        <f t="shared" si="51"/>
        <v/>
      </c>
      <c r="S23" s="400" t="str">
        <f t="shared" si="54"/>
        <v/>
      </c>
      <c r="T23" s="419"/>
      <c r="U23" s="101" t="str">
        <f t="shared" si="45"/>
        <v/>
      </c>
      <c r="V23" s="285" t="str">
        <f>Main_무해지!AC23</f>
        <v/>
      </c>
      <c r="W23" s="308">
        <f>+Main_무해지!AD23</f>
        <v>0</v>
      </c>
      <c r="X23" s="308">
        <v>0</v>
      </c>
      <c r="Y23" s="258" t="str">
        <f t="shared" si="46"/>
        <v/>
      </c>
      <c r="Z23" s="258" t="str">
        <f t="shared" si="1"/>
        <v/>
      </c>
      <c r="AA23" s="102" t="str">
        <f>IF($U23="","",SUM(Z23:Z$114))</f>
        <v/>
      </c>
      <c r="AB23" s="258" t="str">
        <f t="shared" si="35"/>
        <v/>
      </c>
      <c r="AC23" s="258">
        <f t="shared" si="36"/>
        <v>0</v>
      </c>
      <c r="AD23" s="258" t="str">
        <f>Main_무해지!AJ23</f>
        <v/>
      </c>
      <c r="AE23" s="258">
        <f t="shared" si="2"/>
        <v>0</v>
      </c>
      <c r="AF23" s="258" t="str">
        <f t="shared" si="47"/>
        <v/>
      </c>
      <c r="AG23" s="258" t="str">
        <f t="shared" si="3"/>
        <v/>
      </c>
      <c r="AH23" s="102" t="str">
        <f>IF($U23="","",SUM(AG23:AG$114))</f>
        <v/>
      </c>
      <c r="AI23" s="258" t="str">
        <f>Main_무해지!AP23</f>
        <v/>
      </c>
      <c r="AJ23" s="258">
        <f t="shared" si="4"/>
        <v>0</v>
      </c>
      <c r="AK23" s="258" t="str">
        <f t="shared" si="5"/>
        <v/>
      </c>
      <c r="AL23" s="258" t="str">
        <f t="shared" si="6"/>
        <v/>
      </c>
      <c r="AM23" s="315" t="str">
        <f>IF($U23="","",SUM($AN23:$AN$114))</f>
        <v/>
      </c>
      <c r="AN23" s="258" t="str">
        <f t="shared" si="37"/>
        <v/>
      </c>
      <c r="AO23" s="315" t="str">
        <f t="shared" si="7"/>
        <v/>
      </c>
      <c r="AP23" s="285" t="str">
        <f>IF($U23="","",INDEX(#REF!,$U23+1))</f>
        <v/>
      </c>
      <c r="AQ23" s="258">
        <f t="shared" si="8"/>
        <v>0</v>
      </c>
      <c r="AR23" s="258" t="str">
        <f t="shared" si="9"/>
        <v/>
      </c>
      <c r="AS23" s="258" t="str">
        <f t="shared" si="10"/>
        <v/>
      </c>
      <c r="AT23" s="315" t="str">
        <f>IF($U23="","",SUM($AS23:$AS$114))</f>
        <v/>
      </c>
      <c r="AU23" s="285" t="str">
        <f>IF($U23="","",INDEX(#REF!,$U23+1))</f>
        <v/>
      </c>
      <c r="AV23" s="258">
        <f t="shared" si="11"/>
        <v>0</v>
      </c>
      <c r="AW23" s="258" t="str">
        <f t="shared" si="12"/>
        <v/>
      </c>
      <c r="AX23" s="258" t="str">
        <f t="shared" si="13"/>
        <v/>
      </c>
      <c r="AY23" s="315" t="str">
        <f>IF($U23="","",SUM($AX23:$AX$114))</f>
        <v/>
      </c>
      <c r="AZ23" s="285" t="str">
        <f>IF($U23="","",INDEX(#REF!,$U23+1))</f>
        <v/>
      </c>
      <c r="BA23" s="258">
        <f t="shared" si="14"/>
        <v>0</v>
      </c>
      <c r="BB23" s="258" t="str">
        <f t="shared" si="15"/>
        <v/>
      </c>
      <c r="BC23" s="258" t="str">
        <f t="shared" si="16"/>
        <v/>
      </c>
      <c r="BD23" s="315" t="str">
        <f>IF($U23="","",SUM($BC23:$BC$114))</f>
        <v/>
      </c>
      <c r="BE23" s="285" t="str">
        <f>IF($U23="","",INDEX(#REF!,$U23+1))</f>
        <v/>
      </c>
      <c r="BF23" s="258">
        <f t="shared" si="17"/>
        <v>0</v>
      </c>
      <c r="BG23" s="258" t="str">
        <f t="shared" si="18"/>
        <v/>
      </c>
      <c r="BH23" s="258" t="str">
        <f t="shared" si="19"/>
        <v/>
      </c>
      <c r="BI23" s="315" t="str">
        <f>IF($U23="","",SUM($BH23:$BH$114))</f>
        <v/>
      </c>
      <c r="BJ23" s="285" t="str">
        <f>IF($U23="","",INDEX(#REF!,$U23+1))</f>
        <v/>
      </c>
      <c r="BK23" s="258">
        <f t="shared" si="20"/>
        <v>0</v>
      </c>
      <c r="BL23" s="258" t="str">
        <f t="shared" si="21"/>
        <v/>
      </c>
      <c r="BM23" s="258" t="str">
        <f t="shared" si="22"/>
        <v/>
      </c>
      <c r="BN23" s="315" t="str">
        <f>IF($U23="","",SUM($BM23:$BM$114))</f>
        <v/>
      </c>
      <c r="BO23" s="285">
        <f t="shared" si="23"/>
        <v>0</v>
      </c>
      <c r="BP23" s="258" t="str">
        <f t="shared" si="24"/>
        <v/>
      </c>
      <c r="BQ23" s="258" t="str">
        <f t="shared" si="25"/>
        <v/>
      </c>
      <c r="BR23" s="258"/>
      <c r="BS23" s="258" t="str">
        <f t="shared" si="38"/>
        <v/>
      </c>
      <c r="BT23" s="258" t="str">
        <f t="shared" si="26"/>
        <v/>
      </c>
      <c r="BU23" s="258" t="str">
        <f t="shared" si="27"/>
        <v/>
      </c>
      <c r="BV23" s="258"/>
      <c r="BW23" s="258" t="str">
        <f t="shared" si="39"/>
        <v/>
      </c>
      <c r="BX23" s="258" t="str">
        <f>IF($U23="","",SUM(BS23:BS$114)+SUM(BW23:BW$114))</f>
        <v/>
      </c>
      <c r="BY23" s="103"/>
      <c r="BZ23" s="103"/>
      <c r="CA23" s="103"/>
      <c r="CB23" s="103"/>
      <c r="CC23" s="394" t="str">
        <f t="shared" si="0"/>
        <v/>
      </c>
      <c r="CD23" s="258" t="str">
        <f t="shared" si="40"/>
        <v/>
      </c>
      <c r="CE23" s="258" t="str">
        <f t="shared" si="28"/>
        <v/>
      </c>
      <c r="CF23" s="258" t="str">
        <f t="shared" si="29"/>
        <v/>
      </c>
      <c r="CG23" s="258" t="str">
        <f t="shared" si="41"/>
        <v/>
      </c>
      <c r="CH23" s="258" t="str">
        <f t="shared" si="30"/>
        <v/>
      </c>
      <c r="CI23" s="104" t="str">
        <f t="shared" si="42"/>
        <v/>
      </c>
      <c r="CJ23" s="105" t="str">
        <f t="shared" si="31"/>
        <v/>
      </c>
      <c r="CK23" s="240"/>
      <c r="CL23" s="101" t="str">
        <f t="shared" si="32"/>
        <v/>
      </c>
      <c r="CM23" s="105" t="str">
        <f t="shared" si="48"/>
        <v/>
      </c>
      <c r="CN23" s="105" t="str">
        <f t="shared" si="43"/>
        <v/>
      </c>
      <c r="CO23" s="105" t="str">
        <f t="shared" si="33"/>
        <v/>
      </c>
      <c r="CP23" s="105" t="str">
        <f t="shared" si="44"/>
        <v/>
      </c>
      <c r="CQ23" s="240"/>
      <c r="CR23" s="240"/>
      <c r="CS23" s="240"/>
      <c r="CT23" s="240"/>
      <c r="CU23" s="240"/>
      <c r="CV23" s="240"/>
      <c r="CW23" s="478"/>
      <c r="CX23" s="478"/>
      <c r="CY23" s="478"/>
      <c r="CZ23" s="478"/>
      <c r="DA23" s="478"/>
      <c r="DB23" s="478"/>
      <c r="DC23" s="478"/>
      <c r="DD23" s="478"/>
      <c r="DE23" s="478"/>
      <c r="DF23" s="478"/>
      <c r="DG23" s="478"/>
      <c r="DH23" s="478"/>
      <c r="DI23" s="478"/>
      <c r="DJ23" s="478"/>
      <c r="DK23" s="478"/>
      <c r="DL23" s="478"/>
      <c r="DM23" s="478"/>
      <c r="DN23" s="478"/>
      <c r="DO23" s="478"/>
      <c r="DP23" s="478"/>
      <c r="DQ23" s="478"/>
      <c r="DR23" s="478"/>
      <c r="DS23" s="478"/>
      <c r="DT23" s="478"/>
      <c r="DU23" s="478"/>
      <c r="DV23" s="478"/>
      <c r="DW23" s="478"/>
      <c r="DX23" s="478"/>
      <c r="DY23" s="478"/>
      <c r="DZ23" s="478"/>
      <c r="EA23" s="478"/>
      <c r="EB23" s="478"/>
      <c r="EC23" s="478"/>
      <c r="ED23" s="478"/>
    </row>
    <row r="24" spans="1:134">
      <c r="A24" s="305"/>
      <c r="B24" s="373"/>
      <c r="C24" s="78"/>
      <c r="D24" s="107" t="s">
        <v>43</v>
      </c>
      <c r="E24" s="769">
        <f>+Main_무해지!E24</f>
        <v>3.9E-2</v>
      </c>
      <c r="F24" s="769">
        <f>5%*MIN(F4,20)</f>
        <v>0.05</v>
      </c>
      <c r="G24" s="79"/>
      <c r="H24" s="108"/>
      <c r="I24" s="48"/>
      <c r="J24" s="49" t="s">
        <v>206</v>
      </c>
      <c r="K24" s="483">
        <f>INDEX(AA4:AA115,F5+1)</f>
        <v>97799.511002444997</v>
      </c>
      <c r="M24" s="50"/>
      <c r="N24" s="278" t="str">
        <f t="shared" si="52"/>
        <v/>
      </c>
      <c r="O24" s="279" t="str">
        <f t="shared" si="53"/>
        <v/>
      </c>
      <c r="P24" s="271" t="str">
        <f t="shared" si="49"/>
        <v/>
      </c>
      <c r="Q24" s="271" t="str">
        <f t="shared" si="50"/>
        <v/>
      </c>
      <c r="R24" s="271" t="str">
        <f t="shared" si="51"/>
        <v/>
      </c>
      <c r="S24" s="400" t="str">
        <f t="shared" si="54"/>
        <v/>
      </c>
      <c r="T24" s="419"/>
      <c r="U24" s="110" t="str">
        <f t="shared" si="45"/>
        <v/>
      </c>
      <c r="V24" s="286" t="str">
        <f>Main_무해지!AC24</f>
        <v/>
      </c>
      <c r="W24" s="309">
        <f>+Main_무해지!AD24</f>
        <v>0</v>
      </c>
      <c r="X24" s="309">
        <v>0</v>
      </c>
      <c r="Y24" s="259" t="str">
        <f t="shared" si="46"/>
        <v/>
      </c>
      <c r="Z24" s="259" t="str">
        <f t="shared" si="1"/>
        <v/>
      </c>
      <c r="AA24" s="111" t="str">
        <f>IF($U24="","",SUM(Z24:Z$114))</f>
        <v/>
      </c>
      <c r="AB24" s="259" t="str">
        <f t="shared" si="35"/>
        <v/>
      </c>
      <c r="AC24" s="259">
        <f t="shared" si="36"/>
        <v>0</v>
      </c>
      <c r="AD24" s="259" t="str">
        <f>Main_무해지!AJ24</f>
        <v/>
      </c>
      <c r="AE24" s="259">
        <f t="shared" si="2"/>
        <v>0</v>
      </c>
      <c r="AF24" s="259" t="str">
        <f t="shared" si="47"/>
        <v/>
      </c>
      <c r="AG24" s="259" t="str">
        <f t="shared" si="3"/>
        <v/>
      </c>
      <c r="AH24" s="111" t="str">
        <f>IF($U24="","",SUM(AG24:AG$114))</f>
        <v/>
      </c>
      <c r="AI24" s="259" t="str">
        <f>Main_무해지!AP24</f>
        <v/>
      </c>
      <c r="AJ24" s="259">
        <f t="shared" si="4"/>
        <v>0</v>
      </c>
      <c r="AK24" s="259" t="str">
        <f t="shared" si="5"/>
        <v/>
      </c>
      <c r="AL24" s="259" t="str">
        <f t="shared" si="6"/>
        <v/>
      </c>
      <c r="AM24" s="316" t="str">
        <f>IF($U24="","",SUM($AN24:$AN$114))</f>
        <v/>
      </c>
      <c r="AN24" s="259" t="str">
        <f t="shared" si="37"/>
        <v/>
      </c>
      <c r="AO24" s="316" t="str">
        <f t="shared" si="7"/>
        <v/>
      </c>
      <c r="AP24" s="286" t="str">
        <f>IF($U24="","",INDEX(#REF!,$U24+1))</f>
        <v/>
      </c>
      <c r="AQ24" s="259">
        <f t="shared" si="8"/>
        <v>0</v>
      </c>
      <c r="AR24" s="259" t="str">
        <f t="shared" si="9"/>
        <v/>
      </c>
      <c r="AS24" s="259" t="str">
        <f t="shared" si="10"/>
        <v/>
      </c>
      <c r="AT24" s="316" t="str">
        <f>IF($U24="","",SUM($AS24:$AS$114))</f>
        <v/>
      </c>
      <c r="AU24" s="286" t="str">
        <f>IF($U24="","",INDEX(#REF!,$U24+1))</f>
        <v/>
      </c>
      <c r="AV24" s="259">
        <f t="shared" si="11"/>
        <v>0</v>
      </c>
      <c r="AW24" s="259" t="str">
        <f t="shared" si="12"/>
        <v/>
      </c>
      <c r="AX24" s="259" t="str">
        <f t="shared" si="13"/>
        <v/>
      </c>
      <c r="AY24" s="316" t="str">
        <f>IF($U24="","",SUM($AX24:$AX$114))</f>
        <v/>
      </c>
      <c r="AZ24" s="286" t="str">
        <f>IF($U24="","",INDEX(#REF!,$U24+1))</f>
        <v/>
      </c>
      <c r="BA24" s="259">
        <f t="shared" si="14"/>
        <v>0</v>
      </c>
      <c r="BB24" s="259" t="str">
        <f t="shared" si="15"/>
        <v/>
      </c>
      <c r="BC24" s="259" t="str">
        <f t="shared" si="16"/>
        <v/>
      </c>
      <c r="BD24" s="316" t="str">
        <f>IF($U24="","",SUM($BC24:$BC$114))</f>
        <v/>
      </c>
      <c r="BE24" s="286" t="str">
        <f>IF($U24="","",INDEX(#REF!,$U24+1))</f>
        <v/>
      </c>
      <c r="BF24" s="259">
        <f t="shared" si="17"/>
        <v>0</v>
      </c>
      <c r="BG24" s="259" t="str">
        <f t="shared" si="18"/>
        <v/>
      </c>
      <c r="BH24" s="259" t="str">
        <f t="shared" si="19"/>
        <v/>
      </c>
      <c r="BI24" s="316" t="str">
        <f>IF($U24="","",SUM($BH24:$BH$114))</f>
        <v/>
      </c>
      <c r="BJ24" s="286" t="str">
        <f>IF($U24="","",INDEX(#REF!,$U24+1))</f>
        <v/>
      </c>
      <c r="BK24" s="259">
        <f t="shared" si="20"/>
        <v>0</v>
      </c>
      <c r="BL24" s="259" t="str">
        <f t="shared" si="21"/>
        <v/>
      </c>
      <c r="BM24" s="259" t="str">
        <f t="shared" si="22"/>
        <v/>
      </c>
      <c r="BN24" s="316" t="str">
        <f>IF($U24="","",SUM($BM24:$BM$114))</f>
        <v/>
      </c>
      <c r="BO24" s="286">
        <f t="shared" si="23"/>
        <v>0</v>
      </c>
      <c r="BP24" s="259" t="str">
        <f t="shared" si="24"/>
        <v/>
      </c>
      <c r="BQ24" s="259" t="str">
        <f t="shared" si="25"/>
        <v/>
      </c>
      <c r="BR24" s="259"/>
      <c r="BS24" s="259" t="str">
        <f t="shared" si="38"/>
        <v/>
      </c>
      <c r="BT24" s="259" t="str">
        <f t="shared" si="26"/>
        <v/>
      </c>
      <c r="BU24" s="259" t="str">
        <f t="shared" si="27"/>
        <v/>
      </c>
      <c r="BV24" s="259"/>
      <c r="BW24" s="259" t="str">
        <f t="shared" si="39"/>
        <v/>
      </c>
      <c r="BX24" s="259" t="str">
        <f>IF($U24="","",SUM(BS24:BS$114)+SUM(BW24:BW$114))</f>
        <v/>
      </c>
      <c r="BY24" s="112"/>
      <c r="BZ24" s="112"/>
      <c r="CA24" s="112"/>
      <c r="CB24" s="112"/>
      <c r="CC24" s="395" t="str">
        <f t="shared" si="0"/>
        <v/>
      </c>
      <c r="CD24" s="259" t="str">
        <f t="shared" si="40"/>
        <v/>
      </c>
      <c r="CE24" s="259" t="str">
        <f t="shared" si="28"/>
        <v/>
      </c>
      <c r="CF24" s="259" t="str">
        <f t="shared" si="29"/>
        <v/>
      </c>
      <c r="CG24" s="259" t="str">
        <f t="shared" si="41"/>
        <v/>
      </c>
      <c r="CH24" s="259" t="str">
        <f t="shared" si="30"/>
        <v/>
      </c>
      <c r="CI24" s="113" t="str">
        <f t="shared" si="42"/>
        <v/>
      </c>
      <c r="CJ24" s="114" t="str">
        <f t="shared" si="31"/>
        <v/>
      </c>
      <c r="CK24" s="241"/>
      <c r="CL24" s="110" t="str">
        <f t="shared" si="32"/>
        <v/>
      </c>
      <c r="CM24" s="114" t="str">
        <f t="shared" si="48"/>
        <v/>
      </c>
      <c r="CN24" s="114" t="str">
        <f t="shared" si="43"/>
        <v/>
      </c>
      <c r="CO24" s="114" t="str">
        <f t="shared" si="33"/>
        <v/>
      </c>
      <c r="CP24" s="114" t="str">
        <f t="shared" si="44"/>
        <v/>
      </c>
      <c r="CQ24" s="241"/>
      <c r="CR24" s="241"/>
      <c r="CS24" s="241"/>
      <c r="CT24" s="241"/>
      <c r="CU24" s="241"/>
      <c r="CV24" s="241"/>
      <c r="CW24" s="478"/>
      <c r="CX24" s="478"/>
      <c r="CY24" s="478"/>
      <c r="CZ24" s="478"/>
      <c r="DA24" s="478"/>
      <c r="DB24" s="478"/>
      <c r="DC24" s="478"/>
      <c r="DD24" s="478"/>
      <c r="DE24" s="478"/>
      <c r="DF24" s="478"/>
      <c r="DG24" s="478"/>
      <c r="DH24" s="478"/>
      <c r="DI24" s="478"/>
      <c r="DJ24" s="478"/>
      <c r="DK24" s="478"/>
      <c r="DL24" s="478"/>
      <c r="DM24" s="478"/>
      <c r="DN24" s="478"/>
      <c r="DO24" s="478"/>
      <c r="DP24" s="478"/>
      <c r="DQ24" s="478"/>
      <c r="DR24" s="478"/>
      <c r="DS24" s="478"/>
      <c r="DT24" s="478"/>
      <c r="DU24" s="478"/>
      <c r="DV24" s="478"/>
      <c r="DW24" s="478"/>
      <c r="DX24" s="478"/>
      <c r="DY24" s="478"/>
      <c r="DZ24" s="478"/>
      <c r="EA24" s="478"/>
      <c r="EB24" s="478"/>
      <c r="EC24" s="478"/>
      <c r="ED24" s="478"/>
    </row>
    <row r="25" spans="1:134">
      <c r="A25" s="305"/>
      <c r="B25" s="373"/>
      <c r="C25" s="78"/>
      <c r="D25" s="107" t="s">
        <v>45</v>
      </c>
      <c r="E25" s="250"/>
      <c r="F25" s="176"/>
      <c r="G25" s="79"/>
      <c r="H25" s="108"/>
      <c r="I25" s="48"/>
      <c r="J25" s="49" t="s">
        <v>207</v>
      </c>
      <c r="K25" s="600">
        <f>IF($E$3+$F$4&gt;100,0,INDEX(AA4:AA115,F4+1))</f>
        <v>97799.511002444997</v>
      </c>
      <c r="M25" s="50"/>
      <c r="N25" s="278" t="str">
        <f t="shared" si="52"/>
        <v/>
      </c>
      <c r="O25" s="279" t="str">
        <f t="shared" si="53"/>
        <v/>
      </c>
      <c r="P25" s="271" t="str">
        <f t="shared" si="49"/>
        <v/>
      </c>
      <c r="Q25" s="271" t="str">
        <f t="shared" si="50"/>
        <v/>
      </c>
      <c r="R25" s="271" t="str">
        <f t="shared" si="51"/>
        <v/>
      </c>
      <c r="S25" s="400" t="str">
        <f t="shared" si="54"/>
        <v/>
      </c>
      <c r="T25" s="419"/>
      <c r="U25" s="770" t="str">
        <f t="shared" si="45"/>
        <v/>
      </c>
      <c r="V25" s="772" t="str">
        <f>Main_무해지!AC25</f>
        <v/>
      </c>
      <c r="W25" s="640">
        <f>+Main_무해지!AD25</f>
        <v>0</v>
      </c>
      <c r="X25" s="640">
        <v>0</v>
      </c>
      <c r="Y25" s="410" t="str">
        <f t="shared" si="46"/>
        <v/>
      </c>
      <c r="Z25" s="410" t="str">
        <f t="shared" si="1"/>
        <v/>
      </c>
      <c r="AA25" s="771" t="str">
        <f>IF($U25="","",SUM(Z25:Z$114))</f>
        <v/>
      </c>
      <c r="AB25" s="410" t="str">
        <f t="shared" si="35"/>
        <v/>
      </c>
      <c r="AC25" s="410">
        <f t="shared" si="36"/>
        <v>0</v>
      </c>
      <c r="AD25" s="410" t="str">
        <f>Main_무해지!AJ25</f>
        <v/>
      </c>
      <c r="AE25" s="410">
        <f t="shared" si="2"/>
        <v>0</v>
      </c>
      <c r="AF25" s="410" t="str">
        <f t="shared" si="47"/>
        <v/>
      </c>
      <c r="AG25" s="410" t="str">
        <f t="shared" si="3"/>
        <v/>
      </c>
      <c r="AH25" s="771" t="str">
        <f>IF($U25="","",SUM(AG25:AG$114))</f>
        <v/>
      </c>
      <c r="AI25" s="410" t="str">
        <f>Main_무해지!AP25</f>
        <v/>
      </c>
      <c r="AJ25" s="410">
        <f t="shared" si="4"/>
        <v>0</v>
      </c>
      <c r="AK25" s="410" t="str">
        <f t="shared" si="5"/>
        <v/>
      </c>
      <c r="AL25" s="410" t="str">
        <f t="shared" si="6"/>
        <v/>
      </c>
      <c r="AM25" s="773" t="str">
        <f>IF($U25="","",SUM($AN25:$AN$114))</f>
        <v/>
      </c>
      <c r="AN25" s="410" t="str">
        <f t="shared" si="37"/>
        <v/>
      </c>
      <c r="AO25" s="773" t="str">
        <f t="shared" si="7"/>
        <v/>
      </c>
      <c r="AP25" s="772" t="str">
        <f>IF($U25="","",INDEX(#REF!,$U25+1))</f>
        <v/>
      </c>
      <c r="AQ25" s="410">
        <f t="shared" si="8"/>
        <v>0</v>
      </c>
      <c r="AR25" s="410" t="str">
        <f t="shared" si="9"/>
        <v/>
      </c>
      <c r="AS25" s="410" t="str">
        <f t="shared" si="10"/>
        <v/>
      </c>
      <c r="AT25" s="773" t="str">
        <f>IF($U25="","",SUM($AS25:$AS$114))</f>
        <v/>
      </c>
      <c r="AU25" s="772" t="str">
        <f>IF($U25="","",INDEX(#REF!,$U25+1))</f>
        <v/>
      </c>
      <c r="AV25" s="410">
        <f t="shared" si="11"/>
        <v>0</v>
      </c>
      <c r="AW25" s="410" t="str">
        <f t="shared" si="12"/>
        <v/>
      </c>
      <c r="AX25" s="410" t="str">
        <f t="shared" si="13"/>
        <v/>
      </c>
      <c r="AY25" s="773" t="str">
        <f>IF($U25="","",SUM($AX25:$AX$114))</f>
        <v/>
      </c>
      <c r="AZ25" s="772" t="str">
        <f>IF($U25="","",INDEX(#REF!,$U25+1))</f>
        <v/>
      </c>
      <c r="BA25" s="410">
        <f t="shared" si="14"/>
        <v>0</v>
      </c>
      <c r="BB25" s="410" t="str">
        <f t="shared" si="15"/>
        <v/>
      </c>
      <c r="BC25" s="410" t="str">
        <f t="shared" si="16"/>
        <v/>
      </c>
      <c r="BD25" s="773" t="str">
        <f>IF($U25="","",SUM($BC25:$BC$114))</f>
        <v/>
      </c>
      <c r="BE25" s="772" t="str">
        <f>IF($U25="","",INDEX(#REF!,$U25+1))</f>
        <v/>
      </c>
      <c r="BF25" s="410">
        <f t="shared" si="17"/>
        <v>0</v>
      </c>
      <c r="BG25" s="410" t="str">
        <f t="shared" si="18"/>
        <v/>
      </c>
      <c r="BH25" s="410" t="str">
        <f t="shared" si="19"/>
        <v/>
      </c>
      <c r="BI25" s="773" t="str">
        <f>IF($U25="","",SUM($BH25:$BH$114))</f>
        <v/>
      </c>
      <c r="BJ25" s="772" t="str">
        <f>IF($U25="","",INDEX(#REF!,$U25+1))</f>
        <v/>
      </c>
      <c r="BK25" s="410">
        <f t="shared" si="20"/>
        <v>0</v>
      </c>
      <c r="BL25" s="410" t="str">
        <f t="shared" si="21"/>
        <v/>
      </c>
      <c r="BM25" s="410" t="str">
        <f t="shared" si="22"/>
        <v/>
      </c>
      <c r="BN25" s="773" t="str">
        <f>IF($U25="","",SUM($BM25:$BM$114))</f>
        <v/>
      </c>
      <c r="BO25" s="772">
        <f t="shared" si="23"/>
        <v>0</v>
      </c>
      <c r="BP25" s="410" t="str">
        <f t="shared" si="24"/>
        <v/>
      </c>
      <c r="BQ25" s="410" t="str">
        <f t="shared" si="25"/>
        <v/>
      </c>
      <c r="BR25" s="410"/>
      <c r="BS25" s="410" t="str">
        <f t="shared" si="38"/>
        <v/>
      </c>
      <c r="BT25" s="410" t="str">
        <f t="shared" si="26"/>
        <v/>
      </c>
      <c r="BU25" s="410" t="str">
        <f t="shared" si="27"/>
        <v/>
      </c>
      <c r="BV25" s="410"/>
      <c r="BW25" s="410" t="str">
        <f t="shared" si="39"/>
        <v/>
      </c>
      <c r="BX25" s="410" t="str">
        <f>IF($U25="","",SUM(BS25:BS$114)+SUM(BW25:BW$114))</f>
        <v/>
      </c>
      <c r="BY25" s="774"/>
      <c r="BZ25" s="774"/>
      <c r="CA25" s="774"/>
      <c r="CB25" s="774"/>
      <c r="CC25" s="775" t="str">
        <f t="shared" si="0"/>
        <v/>
      </c>
      <c r="CD25" s="410" t="str">
        <f t="shared" si="40"/>
        <v/>
      </c>
      <c r="CE25" s="410" t="str">
        <f t="shared" si="28"/>
        <v/>
      </c>
      <c r="CF25" s="410" t="str">
        <f t="shared" si="29"/>
        <v/>
      </c>
      <c r="CG25" s="410" t="str">
        <f t="shared" si="41"/>
        <v/>
      </c>
      <c r="CH25" s="410" t="str">
        <f t="shared" si="30"/>
        <v/>
      </c>
      <c r="CI25" s="776" t="str">
        <f t="shared" si="42"/>
        <v/>
      </c>
      <c r="CJ25" s="777" t="str">
        <f t="shared" si="31"/>
        <v/>
      </c>
      <c r="CK25" s="415"/>
      <c r="CL25" s="770" t="str">
        <f t="shared" si="32"/>
        <v/>
      </c>
      <c r="CM25" s="777" t="str">
        <f t="shared" si="48"/>
        <v/>
      </c>
      <c r="CN25" s="777" t="str">
        <f t="shared" si="43"/>
        <v/>
      </c>
      <c r="CO25" s="777" t="str">
        <f t="shared" si="33"/>
        <v/>
      </c>
      <c r="CP25" s="777" t="str">
        <f t="shared" si="44"/>
        <v/>
      </c>
      <c r="CQ25" s="415"/>
      <c r="CR25" s="415"/>
      <c r="CS25" s="415"/>
      <c r="CT25" s="415"/>
      <c r="CU25" s="415"/>
      <c r="CV25" s="415"/>
      <c r="CW25" s="478"/>
      <c r="CX25" s="478"/>
      <c r="CY25" s="478"/>
      <c r="CZ25" s="478"/>
      <c r="DA25" s="478"/>
      <c r="DB25" s="478"/>
      <c r="DC25" s="478"/>
      <c r="DD25" s="478"/>
      <c r="DE25" s="478"/>
      <c r="DF25" s="478"/>
      <c r="DG25" s="478"/>
      <c r="DH25" s="478"/>
      <c r="DI25" s="478"/>
      <c r="DJ25" s="478"/>
      <c r="DK25" s="478"/>
      <c r="DL25" s="478"/>
      <c r="DM25" s="478"/>
      <c r="DN25" s="478"/>
      <c r="DO25" s="478"/>
      <c r="DP25" s="478"/>
      <c r="DQ25" s="478"/>
      <c r="DR25" s="478"/>
      <c r="DS25" s="478"/>
      <c r="DT25" s="478"/>
      <c r="DU25" s="478"/>
      <c r="DV25" s="478"/>
      <c r="DW25" s="478"/>
      <c r="DX25" s="478"/>
      <c r="DY25" s="478"/>
      <c r="DZ25" s="478"/>
      <c r="EA25" s="478"/>
      <c r="EB25" s="478"/>
      <c r="EC25" s="478"/>
      <c r="ED25" s="478"/>
    </row>
    <row r="26" spans="1:134">
      <c r="A26" s="305"/>
      <c r="B26" s="373"/>
      <c r="C26" s="78"/>
      <c r="D26" s="107" t="s">
        <v>47</v>
      </c>
      <c r="E26" s="250">
        <f>Main_무해지!E26</f>
        <v>0</v>
      </c>
      <c r="F26" s="176"/>
      <c r="G26" s="79"/>
      <c r="H26" s="108"/>
      <c r="I26" s="82"/>
      <c r="J26" s="51" t="s">
        <v>208</v>
      </c>
      <c r="K26" s="483">
        <f>INDEX(AG4:AG115,1)</f>
        <v>100000</v>
      </c>
      <c r="M26" s="50"/>
      <c r="N26" s="280" t="str">
        <f t="shared" si="52"/>
        <v/>
      </c>
      <c r="O26" s="281" t="str">
        <f t="shared" si="53"/>
        <v/>
      </c>
      <c r="P26" s="282" t="str">
        <f t="shared" si="49"/>
        <v/>
      </c>
      <c r="Q26" s="282" t="str">
        <f t="shared" si="50"/>
        <v/>
      </c>
      <c r="R26" s="282" t="str">
        <f t="shared" si="51"/>
        <v/>
      </c>
      <c r="S26" s="402" t="str">
        <f t="shared" si="54"/>
        <v/>
      </c>
      <c r="T26" s="419"/>
      <c r="U26" s="120" t="str">
        <f t="shared" si="45"/>
        <v/>
      </c>
      <c r="V26" s="287" t="str">
        <f>Main_무해지!AC26</f>
        <v/>
      </c>
      <c r="W26" s="310">
        <f>+Main_무해지!AD26</f>
        <v>0</v>
      </c>
      <c r="X26" s="310">
        <v>0</v>
      </c>
      <c r="Y26" s="260" t="str">
        <f t="shared" si="46"/>
        <v/>
      </c>
      <c r="Z26" s="260" t="str">
        <f t="shared" si="1"/>
        <v/>
      </c>
      <c r="AA26" s="121" t="str">
        <f>IF($U26="","",SUM(Z26:Z$114))</f>
        <v/>
      </c>
      <c r="AB26" s="260" t="str">
        <f t="shared" si="35"/>
        <v/>
      </c>
      <c r="AC26" s="260">
        <f t="shared" si="36"/>
        <v>0</v>
      </c>
      <c r="AD26" s="260" t="str">
        <f>Main_무해지!AJ26</f>
        <v/>
      </c>
      <c r="AE26" s="260">
        <f t="shared" si="2"/>
        <v>0</v>
      </c>
      <c r="AF26" s="260" t="str">
        <f t="shared" si="47"/>
        <v/>
      </c>
      <c r="AG26" s="260" t="str">
        <f t="shared" si="3"/>
        <v/>
      </c>
      <c r="AH26" s="121" t="str">
        <f>IF($U26="","",SUM(AG26:AG$114))</f>
        <v/>
      </c>
      <c r="AI26" s="260" t="str">
        <f>Main_무해지!AP26</f>
        <v/>
      </c>
      <c r="AJ26" s="260">
        <f t="shared" si="4"/>
        <v>0</v>
      </c>
      <c r="AK26" s="260" t="str">
        <f t="shared" si="5"/>
        <v/>
      </c>
      <c r="AL26" s="260" t="str">
        <f t="shared" si="6"/>
        <v/>
      </c>
      <c r="AM26" s="317" t="str">
        <f>IF($U26="","",SUM($AN26:$AN$114))</f>
        <v/>
      </c>
      <c r="AN26" s="260" t="str">
        <f t="shared" si="37"/>
        <v/>
      </c>
      <c r="AO26" s="317" t="str">
        <f t="shared" si="7"/>
        <v/>
      </c>
      <c r="AP26" s="287" t="str">
        <f>IF($U26="","",INDEX(#REF!,$U26+1))</f>
        <v/>
      </c>
      <c r="AQ26" s="260">
        <f t="shared" si="8"/>
        <v>0</v>
      </c>
      <c r="AR26" s="260" t="str">
        <f t="shared" si="9"/>
        <v/>
      </c>
      <c r="AS26" s="260" t="str">
        <f t="shared" si="10"/>
        <v/>
      </c>
      <c r="AT26" s="317" t="str">
        <f>IF($U26="","",SUM($AS26:$AS$114))</f>
        <v/>
      </c>
      <c r="AU26" s="287" t="str">
        <f>IF($U26="","",INDEX(#REF!,$U26+1))</f>
        <v/>
      </c>
      <c r="AV26" s="260">
        <f t="shared" si="11"/>
        <v>0</v>
      </c>
      <c r="AW26" s="260" t="str">
        <f t="shared" si="12"/>
        <v/>
      </c>
      <c r="AX26" s="260" t="str">
        <f t="shared" si="13"/>
        <v/>
      </c>
      <c r="AY26" s="317" t="str">
        <f>IF($U26="","",SUM($AX26:$AX$114))</f>
        <v/>
      </c>
      <c r="AZ26" s="287" t="str">
        <f>IF($U26="","",INDEX(#REF!,$U26+1))</f>
        <v/>
      </c>
      <c r="BA26" s="260">
        <f t="shared" si="14"/>
        <v>0</v>
      </c>
      <c r="BB26" s="260" t="str">
        <f t="shared" si="15"/>
        <v/>
      </c>
      <c r="BC26" s="260" t="str">
        <f t="shared" si="16"/>
        <v/>
      </c>
      <c r="BD26" s="317" t="str">
        <f>IF($U26="","",SUM($BC26:$BC$114))</f>
        <v/>
      </c>
      <c r="BE26" s="287" t="str">
        <f>IF($U26="","",INDEX(#REF!,$U26+1))</f>
        <v/>
      </c>
      <c r="BF26" s="260">
        <f t="shared" si="17"/>
        <v>0</v>
      </c>
      <c r="BG26" s="260" t="str">
        <f t="shared" si="18"/>
        <v/>
      </c>
      <c r="BH26" s="260" t="str">
        <f t="shared" si="19"/>
        <v/>
      </c>
      <c r="BI26" s="317" t="str">
        <f>IF($U26="","",SUM($BH26:$BH$114))</f>
        <v/>
      </c>
      <c r="BJ26" s="287" t="str">
        <f>IF($U26="","",INDEX(#REF!,$U26+1))</f>
        <v/>
      </c>
      <c r="BK26" s="260">
        <f t="shared" si="20"/>
        <v>0</v>
      </c>
      <c r="BL26" s="260" t="str">
        <f t="shared" si="21"/>
        <v/>
      </c>
      <c r="BM26" s="260" t="str">
        <f t="shared" si="22"/>
        <v/>
      </c>
      <c r="BN26" s="317" t="str">
        <f>IF($U26="","",SUM($BM26:$BM$114))</f>
        <v/>
      </c>
      <c r="BO26" s="287">
        <f t="shared" si="23"/>
        <v>0</v>
      </c>
      <c r="BP26" s="260" t="str">
        <f t="shared" si="24"/>
        <v/>
      </c>
      <c r="BQ26" s="260" t="str">
        <f t="shared" si="25"/>
        <v/>
      </c>
      <c r="BR26" s="260"/>
      <c r="BS26" s="260" t="str">
        <f t="shared" si="38"/>
        <v/>
      </c>
      <c r="BT26" s="260" t="str">
        <f t="shared" si="26"/>
        <v/>
      </c>
      <c r="BU26" s="260" t="str">
        <f t="shared" si="27"/>
        <v/>
      </c>
      <c r="BV26" s="260"/>
      <c r="BW26" s="260" t="str">
        <f t="shared" si="39"/>
        <v/>
      </c>
      <c r="BX26" s="260" t="str">
        <f>IF($U26="","",SUM(BS26:BS$114)+SUM(BW26:BW$114))</f>
        <v/>
      </c>
      <c r="BY26" s="122"/>
      <c r="BZ26" s="122"/>
      <c r="CA26" s="122"/>
      <c r="CB26" s="122"/>
      <c r="CC26" s="396" t="str">
        <f t="shared" si="0"/>
        <v/>
      </c>
      <c r="CD26" s="260" t="str">
        <f t="shared" si="40"/>
        <v/>
      </c>
      <c r="CE26" s="260" t="str">
        <f t="shared" si="28"/>
        <v/>
      </c>
      <c r="CF26" s="260" t="str">
        <f t="shared" si="29"/>
        <v/>
      </c>
      <c r="CG26" s="260" t="str">
        <f t="shared" si="41"/>
        <v/>
      </c>
      <c r="CH26" s="260" t="str">
        <f t="shared" si="30"/>
        <v/>
      </c>
      <c r="CI26" s="123" t="str">
        <f t="shared" si="42"/>
        <v/>
      </c>
      <c r="CJ26" s="124" t="str">
        <f t="shared" si="31"/>
        <v/>
      </c>
      <c r="CK26" s="242"/>
      <c r="CL26" s="120" t="str">
        <f t="shared" si="32"/>
        <v/>
      </c>
      <c r="CM26" s="124" t="str">
        <f t="shared" si="48"/>
        <v/>
      </c>
      <c r="CN26" s="124" t="str">
        <f t="shared" si="43"/>
        <v/>
      </c>
      <c r="CO26" s="124" t="str">
        <f t="shared" si="33"/>
        <v/>
      </c>
      <c r="CP26" s="124" t="str">
        <f t="shared" si="44"/>
        <v/>
      </c>
      <c r="CQ26" s="242"/>
      <c r="CR26" s="242"/>
      <c r="CS26" s="242"/>
      <c r="CT26" s="242"/>
      <c r="CU26" s="242"/>
      <c r="CV26" s="242"/>
      <c r="CW26" s="478"/>
      <c r="CX26" s="478"/>
      <c r="CY26" s="478"/>
      <c r="CZ26" s="478"/>
      <c r="DA26" s="478"/>
      <c r="DB26" s="478"/>
      <c r="DC26" s="478"/>
      <c r="DD26" s="478"/>
      <c r="DE26" s="478"/>
      <c r="DF26" s="478"/>
      <c r="DG26" s="478"/>
      <c r="DH26" s="478"/>
      <c r="DI26" s="478"/>
      <c r="DJ26" s="478"/>
      <c r="DK26" s="478"/>
      <c r="DL26" s="478"/>
      <c r="DM26" s="478"/>
      <c r="DN26" s="478"/>
      <c r="DO26" s="478"/>
      <c r="DP26" s="478"/>
      <c r="DQ26" s="478"/>
      <c r="DR26" s="478"/>
      <c r="DS26" s="478"/>
      <c r="DT26" s="478"/>
      <c r="DU26" s="478"/>
      <c r="DV26" s="478"/>
      <c r="DW26" s="478"/>
      <c r="DX26" s="478"/>
      <c r="DY26" s="478"/>
      <c r="DZ26" s="478"/>
      <c r="EA26" s="478"/>
      <c r="EB26" s="478"/>
      <c r="EC26" s="478"/>
      <c r="ED26" s="478"/>
    </row>
    <row r="27" spans="1:134">
      <c r="A27" s="305"/>
      <c r="B27" s="373"/>
      <c r="C27" s="117"/>
      <c r="D27" s="118" t="s">
        <v>48</v>
      </c>
      <c r="E27" s="250">
        <f>Main_무해지!E27</f>
        <v>1.0000000000000001E-5</v>
      </c>
      <c r="F27" s="118"/>
      <c r="G27" s="119"/>
      <c r="H27" s="108"/>
      <c r="I27" s="48" t="s">
        <v>34</v>
      </c>
      <c r="J27" s="51" t="s">
        <v>209</v>
      </c>
      <c r="K27" s="483">
        <f>INDEX(AG4:AG115,F5+1)</f>
        <v>97799.511002444997</v>
      </c>
      <c r="M27" s="50"/>
      <c r="N27" s="275" t="str">
        <f t="shared" si="52"/>
        <v/>
      </c>
      <c r="O27" s="276" t="str">
        <f t="shared" si="53"/>
        <v/>
      </c>
      <c r="P27" s="277" t="str">
        <f t="shared" si="49"/>
        <v/>
      </c>
      <c r="Q27" s="277" t="str">
        <f t="shared" si="50"/>
        <v/>
      </c>
      <c r="R27" s="277" t="str">
        <f t="shared" si="51"/>
        <v/>
      </c>
      <c r="S27" s="401" t="str">
        <f t="shared" si="54"/>
        <v/>
      </c>
      <c r="T27" s="419"/>
      <c r="U27" s="120" t="str">
        <f t="shared" si="45"/>
        <v/>
      </c>
      <c r="V27" s="287" t="str">
        <f>Main_무해지!AC27</f>
        <v/>
      </c>
      <c r="W27" s="310">
        <f>+Main_무해지!AD27</f>
        <v>0</v>
      </c>
      <c r="X27" s="310">
        <v>0</v>
      </c>
      <c r="Y27" s="260" t="str">
        <f t="shared" si="46"/>
        <v/>
      </c>
      <c r="Z27" s="260" t="str">
        <f t="shared" si="1"/>
        <v/>
      </c>
      <c r="AA27" s="121" t="str">
        <f>IF($U27="","",SUM(Z27:Z$114))</f>
        <v/>
      </c>
      <c r="AB27" s="260" t="str">
        <f t="shared" si="35"/>
        <v/>
      </c>
      <c r="AC27" s="260">
        <f t="shared" si="36"/>
        <v>0</v>
      </c>
      <c r="AD27" s="260" t="str">
        <f>Main_무해지!AJ27</f>
        <v/>
      </c>
      <c r="AE27" s="260">
        <f t="shared" si="2"/>
        <v>0</v>
      </c>
      <c r="AF27" s="260" t="str">
        <f t="shared" si="47"/>
        <v/>
      </c>
      <c r="AG27" s="260" t="str">
        <f t="shared" si="3"/>
        <v/>
      </c>
      <c r="AH27" s="121" t="str">
        <f>IF($U27="","",SUM(AG27:AG$114))</f>
        <v/>
      </c>
      <c r="AI27" s="260" t="str">
        <f>Main_무해지!AP27</f>
        <v/>
      </c>
      <c r="AJ27" s="260">
        <f t="shared" si="4"/>
        <v>0</v>
      </c>
      <c r="AK27" s="260" t="str">
        <f t="shared" si="5"/>
        <v/>
      </c>
      <c r="AL27" s="260" t="str">
        <f t="shared" si="6"/>
        <v/>
      </c>
      <c r="AM27" s="317" t="str">
        <f>IF($U27="","",SUM($AN27:$AN$114))</f>
        <v/>
      </c>
      <c r="AN27" s="260" t="str">
        <f t="shared" si="37"/>
        <v/>
      </c>
      <c r="AO27" s="317" t="str">
        <f t="shared" si="7"/>
        <v/>
      </c>
      <c r="AP27" s="287" t="str">
        <f>IF($U27="","",INDEX(#REF!,$U27+1))</f>
        <v/>
      </c>
      <c r="AQ27" s="260">
        <f t="shared" si="8"/>
        <v>0</v>
      </c>
      <c r="AR27" s="260" t="str">
        <f t="shared" si="9"/>
        <v/>
      </c>
      <c r="AS27" s="260" t="str">
        <f t="shared" si="10"/>
        <v/>
      </c>
      <c r="AT27" s="317" t="str">
        <f>IF($U27="","",SUM($AS27:$AS$114))</f>
        <v/>
      </c>
      <c r="AU27" s="287" t="str">
        <f>IF($U27="","",INDEX(#REF!,$U27+1))</f>
        <v/>
      </c>
      <c r="AV27" s="260">
        <f t="shared" si="11"/>
        <v>0</v>
      </c>
      <c r="AW27" s="260" t="str">
        <f t="shared" si="12"/>
        <v/>
      </c>
      <c r="AX27" s="260" t="str">
        <f t="shared" si="13"/>
        <v/>
      </c>
      <c r="AY27" s="317" t="str">
        <f>IF($U27="","",SUM($AX27:$AX$114))</f>
        <v/>
      </c>
      <c r="AZ27" s="287" t="str">
        <f>IF($U27="","",INDEX(#REF!,$U27+1))</f>
        <v/>
      </c>
      <c r="BA27" s="260">
        <f t="shared" si="14"/>
        <v>0</v>
      </c>
      <c r="BB27" s="260" t="str">
        <f t="shared" si="15"/>
        <v/>
      </c>
      <c r="BC27" s="260" t="str">
        <f t="shared" si="16"/>
        <v/>
      </c>
      <c r="BD27" s="317" t="str">
        <f>IF($U27="","",SUM($BC27:$BC$114))</f>
        <v/>
      </c>
      <c r="BE27" s="287" t="str">
        <f>IF($U27="","",INDEX(#REF!,$U27+1))</f>
        <v/>
      </c>
      <c r="BF27" s="260">
        <f t="shared" si="17"/>
        <v>0</v>
      </c>
      <c r="BG27" s="260" t="str">
        <f t="shared" si="18"/>
        <v/>
      </c>
      <c r="BH27" s="260" t="str">
        <f t="shared" si="19"/>
        <v/>
      </c>
      <c r="BI27" s="317" t="str">
        <f>IF($U27="","",SUM($BH27:$BH$114))</f>
        <v/>
      </c>
      <c r="BJ27" s="287" t="str">
        <f>IF($U27="","",INDEX(#REF!,$U27+1))</f>
        <v/>
      </c>
      <c r="BK27" s="260">
        <f t="shared" si="20"/>
        <v>0</v>
      </c>
      <c r="BL27" s="260" t="str">
        <f t="shared" si="21"/>
        <v/>
      </c>
      <c r="BM27" s="260" t="str">
        <f t="shared" si="22"/>
        <v/>
      </c>
      <c r="BN27" s="317" t="str">
        <f>IF($U27="","",SUM($BM27:$BM$114))</f>
        <v/>
      </c>
      <c r="BO27" s="287">
        <f t="shared" si="23"/>
        <v>0</v>
      </c>
      <c r="BP27" s="260" t="str">
        <f t="shared" si="24"/>
        <v/>
      </c>
      <c r="BQ27" s="260" t="str">
        <f t="shared" si="25"/>
        <v/>
      </c>
      <c r="BR27" s="260"/>
      <c r="BS27" s="260" t="str">
        <f t="shared" si="38"/>
        <v/>
      </c>
      <c r="BT27" s="260" t="str">
        <f t="shared" si="26"/>
        <v/>
      </c>
      <c r="BU27" s="260" t="str">
        <f t="shared" si="27"/>
        <v/>
      </c>
      <c r="BV27" s="260"/>
      <c r="BW27" s="260" t="str">
        <f t="shared" si="39"/>
        <v/>
      </c>
      <c r="BX27" s="260" t="str">
        <f>IF($U27="","",SUM(BS27:BS$114)+SUM(BW27:BW$114))</f>
        <v/>
      </c>
      <c r="BY27" s="122"/>
      <c r="BZ27" s="122"/>
      <c r="CA27" s="122"/>
      <c r="CB27" s="122"/>
      <c r="CC27" s="396" t="str">
        <f t="shared" si="0"/>
        <v/>
      </c>
      <c r="CD27" s="260" t="str">
        <f t="shared" si="40"/>
        <v/>
      </c>
      <c r="CE27" s="260" t="str">
        <f t="shared" si="28"/>
        <v/>
      </c>
      <c r="CF27" s="260" t="str">
        <f t="shared" si="29"/>
        <v/>
      </c>
      <c r="CG27" s="260" t="str">
        <f t="shared" si="41"/>
        <v/>
      </c>
      <c r="CH27" s="260" t="str">
        <f t="shared" si="30"/>
        <v/>
      </c>
      <c r="CI27" s="123" t="str">
        <f t="shared" si="42"/>
        <v/>
      </c>
      <c r="CJ27" s="124" t="str">
        <f t="shared" si="31"/>
        <v/>
      </c>
      <c r="CK27" s="242"/>
      <c r="CL27" s="120" t="str">
        <f t="shared" si="32"/>
        <v/>
      </c>
      <c r="CM27" s="124" t="str">
        <f t="shared" si="48"/>
        <v/>
      </c>
      <c r="CN27" s="124" t="str">
        <f t="shared" si="43"/>
        <v/>
      </c>
      <c r="CO27" s="124" t="str">
        <f t="shared" si="33"/>
        <v/>
      </c>
      <c r="CP27" s="124" t="str">
        <f t="shared" si="44"/>
        <v/>
      </c>
      <c r="CQ27" s="242"/>
      <c r="CR27" s="242"/>
      <c r="CS27" s="242"/>
      <c r="CT27" s="242"/>
      <c r="CU27" s="242"/>
      <c r="CV27" s="242"/>
      <c r="CW27" s="478"/>
      <c r="CX27" s="478"/>
      <c r="CY27" s="478"/>
      <c r="CZ27" s="478"/>
      <c r="DA27" s="478"/>
      <c r="DB27" s="478"/>
      <c r="DC27" s="478"/>
      <c r="DD27" s="478"/>
      <c r="DE27" s="478"/>
      <c r="DF27" s="478"/>
      <c r="DG27" s="478"/>
      <c r="DH27" s="478"/>
      <c r="DI27" s="478"/>
      <c r="DJ27" s="478"/>
      <c r="DK27" s="478"/>
      <c r="DL27" s="478"/>
      <c r="DM27" s="478"/>
      <c r="DN27" s="478"/>
      <c r="DO27" s="478"/>
      <c r="DP27" s="478"/>
      <c r="DQ27" s="478"/>
      <c r="DR27" s="478"/>
      <c r="DS27" s="478"/>
      <c r="DT27" s="478"/>
      <c r="DU27" s="478"/>
      <c r="DV27" s="478"/>
      <c r="DW27" s="478"/>
      <c r="DX27" s="478"/>
      <c r="DY27" s="478"/>
      <c r="DZ27" s="478"/>
      <c r="EA27" s="478"/>
      <c r="EB27" s="478"/>
      <c r="EC27" s="478"/>
      <c r="ED27" s="478"/>
    </row>
    <row r="28" spans="1:134">
      <c r="A28" s="305"/>
      <c r="B28" s="373"/>
      <c r="C28" s="78"/>
      <c r="D28" s="107" t="s">
        <v>49</v>
      </c>
      <c r="E28" s="250">
        <f>Main_무해지!E28</f>
        <v>0.1</v>
      </c>
      <c r="F28" s="107"/>
      <c r="G28" s="79"/>
      <c r="H28" s="108"/>
      <c r="I28" s="48" t="s">
        <v>36</v>
      </c>
      <c r="J28" s="51" t="s">
        <v>210</v>
      </c>
      <c r="K28" s="483">
        <f>INDEX(AG4:AG115,F4+1)</f>
        <v>97799.511002444997</v>
      </c>
      <c r="M28" s="50"/>
      <c r="N28" s="278" t="str">
        <f t="shared" si="52"/>
        <v/>
      </c>
      <c r="O28" s="279" t="str">
        <f t="shared" si="53"/>
        <v/>
      </c>
      <c r="P28" s="271" t="str">
        <f t="shared" si="49"/>
        <v/>
      </c>
      <c r="Q28" s="271" t="str">
        <f t="shared" si="50"/>
        <v/>
      </c>
      <c r="R28" s="271" t="str">
        <f t="shared" si="51"/>
        <v/>
      </c>
      <c r="S28" s="400" t="str">
        <f t="shared" si="54"/>
        <v/>
      </c>
      <c r="T28" s="419"/>
      <c r="U28" s="120" t="str">
        <f t="shared" si="45"/>
        <v/>
      </c>
      <c r="V28" s="287" t="str">
        <f>Main_무해지!AC28</f>
        <v/>
      </c>
      <c r="W28" s="310">
        <f>+Main_무해지!AD28</f>
        <v>0</v>
      </c>
      <c r="X28" s="310">
        <v>0</v>
      </c>
      <c r="Y28" s="260" t="str">
        <f t="shared" si="46"/>
        <v/>
      </c>
      <c r="Z28" s="260" t="str">
        <f t="shared" si="1"/>
        <v/>
      </c>
      <c r="AA28" s="121" t="str">
        <f>IF($U28="","",SUM(Z28:Z$114))</f>
        <v/>
      </c>
      <c r="AB28" s="260" t="str">
        <f t="shared" si="35"/>
        <v/>
      </c>
      <c r="AC28" s="260">
        <f t="shared" si="36"/>
        <v>0</v>
      </c>
      <c r="AD28" s="260" t="str">
        <f>Main_무해지!AJ28</f>
        <v/>
      </c>
      <c r="AE28" s="260">
        <f t="shared" si="2"/>
        <v>0</v>
      </c>
      <c r="AF28" s="260" t="str">
        <f t="shared" si="47"/>
        <v/>
      </c>
      <c r="AG28" s="260" t="str">
        <f t="shared" si="3"/>
        <v/>
      </c>
      <c r="AH28" s="121" t="str">
        <f>IF($U28="","",SUM(AG28:AG$114))</f>
        <v/>
      </c>
      <c r="AI28" s="260" t="str">
        <f>Main_무해지!AP28</f>
        <v/>
      </c>
      <c r="AJ28" s="260">
        <f t="shared" si="4"/>
        <v>0</v>
      </c>
      <c r="AK28" s="260" t="str">
        <f t="shared" si="5"/>
        <v/>
      </c>
      <c r="AL28" s="260" t="str">
        <f t="shared" si="6"/>
        <v/>
      </c>
      <c r="AM28" s="317" t="str">
        <f>IF($U28="","",SUM($AN28:$AN$114))</f>
        <v/>
      </c>
      <c r="AN28" s="260" t="str">
        <f t="shared" si="37"/>
        <v/>
      </c>
      <c r="AO28" s="317" t="str">
        <f t="shared" si="7"/>
        <v/>
      </c>
      <c r="AP28" s="287" t="str">
        <f>IF($U28="","",INDEX(#REF!,$U28+1))</f>
        <v/>
      </c>
      <c r="AQ28" s="260">
        <f t="shared" si="8"/>
        <v>0</v>
      </c>
      <c r="AR28" s="260" t="str">
        <f t="shared" si="9"/>
        <v/>
      </c>
      <c r="AS28" s="260" t="str">
        <f t="shared" si="10"/>
        <v/>
      </c>
      <c r="AT28" s="317" t="str">
        <f>IF($U28="","",SUM($AS28:$AS$114))</f>
        <v/>
      </c>
      <c r="AU28" s="287" t="str">
        <f>IF($U28="","",INDEX(#REF!,$U28+1))</f>
        <v/>
      </c>
      <c r="AV28" s="260">
        <f t="shared" si="11"/>
        <v>0</v>
      </c>
      <c r="AW28" s="260" t="str">
        <f t="shared" si="12"/>
        <v/>
      </c>
      <c r="AX28" s="260" t="str">
        <f t="shared" si="13"/>
        <v/>
      </c>
      <c r="AY28" s="317" t="str">
        <f>IF($U28="","",SUM($AX28:$AX$114))</f>
        <v/>
      </c>
      <c r="AZ28" s="287" t="str">
        <f>IF($U28="","",INDEX(#REF!,$U28+1))</f>
        <v/>
      </c>
      <c r="BA28" s="260">
        <f t="shared" si="14"/>
        <v>0</v>
      </c>
      <c r="BB28" s="260" t="str">
        <f t="shared" si="15"/>
        <v/>
      </c>
      <c r="BC28" s="260" t="str">
        <f t="shared" si="16"/>
        <v/>
      </c>
      <c r="BD28" s="317" t="str">
        <f>IF($U28="","",SUM($BC28:$BC$114))</f>
        <v/>
      </c>
      <c r="BE28" s="287" t="str">
        <f>IF($U28="","",INDEX(#REF!,$U28+1))</f>
        <v/>
      </c>
      <c r="BF28" s="260">
        <f t="shared" si="17"/>
        <v>0</v>
      </c>
      <c r="BG28" s="260" t="str">
        <f t="shared" si="18"/>
        <v/>
      </c>
      <c r="BH28" s="260" t="str">
        <f t="shared" si="19"/>
        <v/>
      </c>
      <c r="BI28" s="317" t="str">
        <f>IF($U28="","",SUM($BH28:$BH$114))</f>
        <v/>
      </c>
      <c r="BJ28" s="287" t="str">
        <f>IF($U28="","",INDEX(#REF!,$U28+1))</f>
        <v/>
      </c>
      <c r="BK28" s="260">
        <f t="shared" si="20"/>
        <v>0</v>
      </c>
      <c r="BL28" s="260" t="str">
        <f t="shared" si="21"/>
        <v/>
      </c>
      <c r="BM28" s="260" t="str">
        <f t="shared" si="22"/>
        <v/>
      </c>
      <c r="BN28" s="317" t="str">
        <f>IF($U28="","",SUM($BM28:$BM$114))</f>
        <v/>
      </c>
      <c r="BO28" s="287">
        <f t="shared" si="23"/>
        <v>0</v>
      </c>
      <c r="BP28" s="260" t="str">
        <f t="shared" si="24"/>
        <v/>
      </c>
      <c r="BQ28" s="260" t="str">
        <f t="shared" si="25"/>
        <v/>
      </c>
      <c r="BR28" s="260"/>
      <c r="BS28" s="260" t="str">
        <f t="shared" si="38"/>
        <v/>
      </c>
      <c r="BT28" s="260" t="str">
        <f t="shared" si="26"/>
        <v/>
      </c>
      <c r="BU28" s="260" t="str">
        <f t="shared" si="27"/>
        <v/>
      </c>
      <c r="BV28" s="260"/>
      <c r="BW28" s="260" t="str">
        <f t="shared" si="39"/>
        <v/>
      </c>
      <c r="BX28" s="260" t="str">
        <f>IF($U28="","",SUM(BS28:BS$114)+SUM(BW28:BW$114))</f>
        <v/>
      </c>
      <c r="BY28" s="122"/>
      <c r="BZ28" s="122"/>
      <c r="CA28" s="122"/>
      <c r="CB28" s="122"/>
      <c r="CC28" s="396" t="str">
        <f t="shared" si="0"/>
        <v/>
      </c>
      <c r="CD28" s="260" t="str">
        <f t="shared" si="40"/>
        <v/>
      </c>
      <c r="CE28" s="260" t="str">
        <f t="shared" si="28"/>
        <v/>
      </c>
      <c r="CF28" s="260" t="str">
        <f t="shared" si="29"/>
        <v/>
      </c>
      <c r="CG28" s="260" t="str">
        <f t="shared" si="41"/>
        <v/>
      </c>
      <c r="CH28" s="260" t="str">
        <f t="shared" si="30"/>
        <v/>
      </c>
      <c r="CI28" s="123" t="str">
        <f t="shared" si="42"/>
        <v/>
      </c>
      <c r="CJ28" s="124" t="str">
        <f t="shared" si="31"/>
        <v/>
      </c>
      <c r="CK28" s="242"/>
      <c r="CL28" s="120" t="str">
        <f t="shared" si="32"/>
        <v/>
      </c>
      <c r="CM28" s="124" t="str">
        <f t="shared" si="48"/>
        <v/>
      </c>
      <c r="CN28" s="124" t="str">
        <f t="shared" si="43"/>
        <v/>
      </c>
      <c r="CO28" s="124" t="str">
        <f t="shared" si="33"/>
        <v/>
      </c>
      <c r="CP28" s="124" t="str">
        <f t="shared" si="44"/>
        <v/>
      </c>
      <c r="CQ28" s="242"/>
      <c r="CR28" s="242"/>
      <c r="CS28" s="242"/>
      <c r="CT28" s="242"/>
      <c r="CU28" s="242"/>
      <c r="CV28" s="242"/>
      <c r="CW28" s="478"/>
      <c r="CX28" s="478"/>
      <c r="CY28" s="478"/>
      <c r="CZ28" s="478"/>
      <c r="DA28" s="478"/>
      <c r="DB28" s="478"/>
      <c r="DC28" s="478"/>
      <c r="DD28" s="478"/>
      <c r="DE28" s="478"/>
      <c r="DF28" s="478"/>
      <c r="DG28" s="478"/>
      <c r="DH28" s="478"/>
      <c r="DI28" s="478"/>
      <c r="DJ28" s="478"/>
      <c r="DK28" s="478"/>
      <c r="DL28" s="478"/>
      <c r="DM28" s="478"/>
      <c r="DN28" s="478"/>
      <c r="DO28" s="478"/>
      <c r="DP28" s="478"/>
      <c r="DQ28" s="478"/>
      <c r="DR28" s="478"/>
      <c r="DS28" s="478"/>
      <c r="DT28" s="478"/>
      <c r="DU28" s="478"/>
      <c r="DV28" s="478"/>
      <c r="DW28" s="478"/>
      <c r="DX28" s="478"/>
      <c r="DY28" s="478"/>
      <c r="DZ28" s="478"/>
      <c r="EA28" s="478"/>
      <c r="EB28" s="478"/>
      <c r="EC28" s="478"/>
      <c r="ED28" s="478"/>
    </row>
    <row r="29" spans="1:134">
      <c r="A29" s="305"/>
      <c r="B29" s="373"/>
      <c r="C29" s="127"/>
      <c r="D29" s="128" t="s">
        <v>51</v>
      </c>
      <c r="E29" s="250">
        <f>Main_무해지!E29</f>
        <v>0</v>
      </c>
      <c r="F29" s="128"/>
      <c r="G29" s="129"/>
      <c r="H29" s="291"/>
      <c r="I29" s="48" t="s">
        <v>27</v>
      </c>
      <c r="J29" s="49" t="s">
        <v>86</v>
      </c>
      <c r="K29" s="483">
        <f>INDEX(AH4:AH115,1)</f>
        <v>197799.51100244501</v>
      </c>
      <c r="M29" s="50"/>
      <c r="N29" s="278" t="str">
        <f t="shared" si="52"/>
        <v/>
      </c>
      <c r="O29" s="279" t="str">
        <f t="shared" si="53"/>
        <v/>
      </c>
      <c r="P29" s="271" t="str">
        <f t="shared" si="49"/>
        <v/>
      </c>
      <c r="Q29" s="271" t="str">
        <f t="shared" si="50"/>
        <v/>
      </c>
      <c r="R29" s="271" t="str">
        <f t="shared" si="51"/>
        <v/>
      </c>
      <c r="S29" s="400" t="str">
        <f t="shared" si="54"/>
        <v/>
      </c>
      <c r="T29" s="419"/>
      <c r="U29" s="130" t="str">
        <f t="shared" si="45"/>
        <v/>
      </c>
      <c r="V29" s="288" t="str">
        <f>Main_무해지!AC29</f>
        <v/>
      </c>
      <c r="W29" s="311">
        <f>+Main_무해지!AD29</f>
        <v>0</v>
      </c>
      <c r="X29" s="311">
        <v>0</v>
      </c>
      <c r="Y29" s="261" t="str">
        <f t="shared" si="46"/>
        <v/>
      </c>
      <c r="Z29" s="261" t="str">
        <f t="shared" si="1"/>
        <v/>
      </c>
      <c r="AA29" s="131" t="str">
        <f>IF($U29="","",SUM(Z29:Z$114))</f>
        <v/>
      </c>
      <c r="AB29" s="261" t="str">
        <f t="shared" si="35"/>
        <v/>
      </c>
      <c r="AC29" s="261">
        <f t="shared" si="36"/>
        <v>0</v>
      </c>
      <c r="AD29" s="261" t="str">
        <f>Main_무해지!AJ29</f>
        <v/>
      </c>
      <c r="AE29" s="261">
        <f t="shared" si="2"/>
        <v>0</v>
      </c>
      <c r="AF29" s="261" t="str">
        <f t="shared" si="47"/>
        <v/>
      </c>
      <c r="AG29" s="261" t="str">
        <f t="shared" si="3"/>
        <v/>
      </c>
      <c r="AH29" s="131" t="str">
        <f>IF($U29="","",SUM(AG29:AG$114))</f>
        <v/>
      </c>
      <c r="AI29" s="261" t="str">
        <f>Main_무해지!AP29</f>
        <v/>
      </c>
      <c r="AJ29" s="261">
        <f t="shared" si="4"/>
        <v>0</v>
      </c>
      <c r="AK29" s="261" t="str">
        <f t="shared" si="5"/>
        <v/>
      </c>
      <c r="AL29" s="261" t="str">
        <f t="shared" si="6"/>
        <v/>
      </c>
      <c r="AM29" s="318" t="str">
        <f>IF($U29="","",SUM($AN29:$AN$114))</f>
        <v/>
      </c>
      <c r="AN29" s="261" t="str">
        <f t="shared" si="37"/>
        <v/>
      </c>
      <c r="AO29" s="318" t="str">
        <f t="shared" si="7"/>
        <v/>
      </c>
      <c r="AP29" s="288" t="str">
        <f>IF($U29="","",INDEX(#REF!,$U29+1))</f>
        <v/>
      </c>
      <c r="AQ29" s="261">
        <f t="shared" si="8"/>
        <v>0</v>
      </c>
      <c r="AR29" s="261" t="str">
        <f t="shared" si="9"/>
        <v/>
      </c>
      <c r="AS29" s="261" t="str">
        <f t="shared" si="10"/>
        <v/>
      </c>
      <c r="AT29" s="318" t="str">
        <f>IF($U29="","",SUM($AS29:$AS$114))</f>
        <v/>
      </c>
      <c r="AU29" s="288" t="str">
        <f>IF($U29="","",INDEX(#REF!,$U29+1))</f>
        <v/>
      </c>
      <c r="AV29" s="261">
        <f t="shared" si="11"/>
        <v>0</v>
      </c>
      <c r="AW29" s="261" t="str">
        <f t="shared" si="12"/>
        <v/>
      </c>
      <c r="AX29" s="261" t="str">
        <f t="shared" si="13"/>
        <v/>
      </c>
      <c r="AY29" s="318" t="str">
        <f>IF($U29="","",SUM($AX29:$AX$114))</f>
        <v/>
      </c>
      <c r="AZ29" s="288" t="str">
        <f>IF($U29="","",INDEX(#REF!,$U29+1))</f>
        <v/>
      </c>
      <c r="BA29" s="261">
        <f t="shared" si="14"/>
        <v>0</v>
      </c>
      <c r="BB29" s="261" t="str">
        <f t="shared" si="15"/>
        <v/>
      </c>
      <c r="BC29" s="261" t="str">
        <f t="shared" si="16"/>
        <v/>
      </c>
      <c r="BD29" s="318" t="str">
        <f>IF($U29="","",SUM($BC29:$BC$114))</f>
        <v/>
      </c>
      <c r="BE29" s="288" t="str">
        <f>IF($U29="","",INDEX(#REF!,$U29+1))</f>
        <v/>
      </c>
      <c r="BF29" s="261">
        <f t="shared" si="17"/>
        <v>0</v>
      </c>
      <c r="BG29" s="261" t="str">
        <f t="shared" si="18"/>
        <v/>
      </c>
      <c r="BH29" s="261" t="str">
        <f t="shared" si="19"/>
        <v/>
      </c>
      <c r="BI29" s="318" t="str">
        <f>IF($U29="","",SUM($BH29:$BH$114))</f>
        <v/>
      </c>
      <c r="BJ29" s="288" t="str">
        <f>IF($U29="","",INDEX(#REF!,$U29+1))</f>
        <v/>
      </c>
      <c r="BK29" s="261">
        <f t="shared" si="20"/>
        <v>0</v>
      </c>
      <c r="BL29" s="261" t="str">
        <f t="shared" si="21"/>
        <v/>
      </c>
      <c r="BM29" s="261" t="str">
        <f t="shared" si="22"/>
        <v/>
      </c>
      <c r="BN29" s="318" t="str">
        <f>IF($U29="","",SUM($BM29:$BM$114))</f>
        <v/>
      </c>
      <c r="BO29" s="288">
        <f t="shared" si="23"/>
        <v>0</v>
      </c>
      <c r="BP29" s="261" t="str">
        <f t="shared" si="24"/>
        <v/>
      </c>
      <c r="BQ29" s="261" t="str">
        <f t="shared" si="25"/>
        <v/>
      </c>
      <c r="BR29" s="261"/>
      <c r="BS29" s="261" t="str">
        <f t="shared" si="38"/>
        <v/>
      </c>
      <c r="BT29" s="261" t="str">
        <f t="shared" si="26"/>
        <v/>
      </c>
      <c r="BU29" s="261" t="str">
        <f t="shared" si="27"/>
        <v/>
      </c>
      <c r="BV29" s="261"/>
      <c r="BW29" s="261" t="str">
        <f t="shared" si="39"/>
        <v/>
      </c>
      <c r="BX29" s="261" t="str">
        <f>IF($U29="","",SUM(BS29:BS$114)+SUM(BW29:BW$114))</f>
        <v/>
      </c>
      <c r="BY29" s="132"/>
      <c r="BZ29" s="132"/>
      <c r="CA29" s="132"/>
      <c r="CB29" s="132"/>
      <c r="CC29" s="397" t="str">
        <f t="shared" si="0"/>
        <v/>
      </c>
      <c r="CD29" s="261" t="str">
        <f t="shared" si="40"/>
        <v/>
      </c>
      <c r="CE29" s="261" t="str">
        <f t="shared" si="28"/>
        <v/>
      </c>
      <c r="CF29" s="261" t="str">
        <f t="shared" si="29"/>
        <v/>
      </c>
      <c r="CG29" s="261" t="str">
        <f t="shared" si="41"/>
        <v/>
      </c>
      <c r="CH29" s="261" t="str">
        <f t="shared" si="30"/>
        <v/>
      </c>
      <c r="CI29" s="133" t="str">
        <f t="shared" si="42"/>
        <v/>
      </c>
      <c r="CJ29" s="134" t="str">
        <f t="shared" si="31"/>
        <v/>
      </c>
      <c r="CK29" s="243"/>
      <c r="CL29" s="130" t="str">
        <f t="shared" si="32"/>
        <v/>
      </c>
      <c r="CM29" s="134" t="str">
        <f t="shared" si="48"/>
        <v/>
      </c>
      <c r="CN29" s="134" t="str">
        <f t="shared" si="43"/>
        <v/>
      </c>
      <c r="CO29" s="134" t="str">
        <f t="shared" si="33"/>
        <v/>
      </c>
      <c r="CP29" s="134" t="str">
        <f t="shared" si="44"/>
        <v/>
      </c>
      <c r="CQ29" s="243"/>
      <c r="CR29" s="243"/>
      <c r="CS29" s="243"/>
      <c r="CT29" s="243"/>
      <c r="CU29" s="243"/>
      <c r="CV29" s="243"/>
      <c r="CW29" s="478"/>
      <c r="CX29" s="478"/>
      <c r="CY29" s="478"/>
      <c r="CZ29" s="478"/>
      <c r="DA29" s="478"/>
      <c r="DB29" s="478"/>
      <c r="DC29" s="478"/>
      <c r="DD29" s="478"/>
      <c r="DE29" s="478"/>
      <c r="DF29" s="478"/>
      <c r="DG29" s="478"/>
      <c r="DH29" s="478"/>
      <c r="DI29" s="478"/>
      <c r="DJ29" s="478"/>
      <c r="DK29" s="478"/>
      <c r="DL29" s="478"/>
      <c r="DM29" s="478"/>
      <c r="DN29" s="478"/>
      <c r="DO29" s="478"/>
      <c r="DP29" s="478"/>
      <c r="DQ29" s="478"/>
      <c r="DR29" s="478"/>
      <c r="DS29" s="478"/>
      <c r="DT29" s="478"/>
      <c r="DU29" s="478"/>
      <c r="DV29" s="478"/>
      <c r="DW29" s="478"/>
      <c r="DX29" s="478"/>
      <c r="DY29" s="478"/>
      <c r="DZ29" s="478"/>
      <c r="EA29" s="478"/>
      <c r="EB29" s="478"/>
      <c r="EC29" s="478"/>
      <c r="ED29" s="478"/>
    </row>
    <row r="30" spans="1:134" ht="17.25" thickBot="1">
      <c r="A30" s="305"/>
      <c r="B30" s="373"/>
      <c r="C30" s="78"/>
      <c r="D30" s="107" t="s">
        <v>52</v>
      </c>
      <c r="E30" s="250">
        <f>Main_무해지!E30</f>
        <v>2.5000000000000001E-2</v>
      </c>
      <c r="F30" s="107"/>
      <c r="G30" s="79"/>
      <c r="H30" s="291"/>
      <c r="I30" s="48"/>
      <c r="J30" s="49" t="s">
        <v>211</v>
      </c>
      <c r="K30" s="483">
        <f>INDEX(AH4:AH115,F5+1)</f>
        <v>97799.511002444997</v>
      </c>
      <c r="M30" s="50"/>
      <c r="N30" s="278" t="str">
        <f t="shared" si="52"/>
        <v/>
      </c>
      <c r="O30" s="279" t="str">
        <f t="shared" si="53"/>
        <v/>
      </c>
      <c r="P30" s="271" t="str">
        <f t="shared" si="49"/>
        <v/>
      </c>
      <c r="Q30" s="271" t="str">
        <f t="shared" si="50"/>
        <v/>
      </c>
      <c r="R30" s="271" t="str">
        <f t="shared" si="51"/>
        <v/>
      </c>
      <c r="S30" s="400" t="str">
        <f t="shared" si="54"/>
        <v/>
      </c>
      <c r="T30" s="419"/>
      <c r="U30" s="759" t="str">
        <f t="shared" si="45"/>
        <v/>
      </c>
      <c r="V30" s="761" t="str">
        <f>Main_무해지!AC30</f>
        <v/>
      </c>
      <c r="W30" s="639">
        <f>+Main_무해지!AD30</f>
        <v>0</v>
      </c>
      <c r="X30" s="639">
        <v>0</v>
      </c>
      <c r="Y30" s="409" t="str">
        <f t="shared" si="46"/>
        <v/>
      </c>
      <c r="Z30" s="409" t="str">
        <f t="shared" si="1"/>
        <v/>
      </c>
      <c r="AA30" s="760" t="str">
        <f>IF($U30="","",SUM(Z30:Z$114))</f>
        <v/>
      </c>
      <c r="AB30" s="409" t="str">
        <f t="shared" si="35"/>
        <v/>
      </c>
      <c r="AC30" s="409">
        <f t="shared" si="36"/>
        <v>0</v>
      </c>
      <c r="AD30" s="409" t="str">
        <f>Main_무해지!AJ30</f>
        <v/>
      </c>
      <c r="AE30" s="409">
        <f t="shared" si="2"/>
        <v>0</v>
      </c>
      <c r="AF30" s="409" t="str">
        <f t="shared" si="47"/>
        <v/>
      </c>
      <c r="AG30" s="409" t="str">
        <f t="shared" si="3"/>
        <v/>
      </c>
      <c r="AH30" s="760" t="str">
        <f>IF($U30="","",SUM(AG30:AG$114))</f>
        <v/>
      </c>
      <c r="AI30" s="409" t="str">
        <f>Main_무해지!AP30</f>
        <v/>
      </c>
      <c r="AJ30" s="409">
        <f t="shared" si="4"/>
        <v>0</v>
      </c>
      <c r="AK30" s="409" t="str">
        <f t="shared" si="5"/>
        <v/>
      </c>
      <c r="AL30" s="409" t="str">
        <f t="shared" si="6"/>
        <v/>
      </c>
      <c r="AM30" s="762" t="str">
        <f>IF($U30="","",SUM($AN30:$AN$114))</f>
        <v/>
      </c>
      <c r="AN30" s="409" t="str">
        <f t="shared" si="37"/>
        <v/>
      </c>
      <c r="AO30" s="762" t="str">
        <f t="shared" si="7"/>
        <v/>
      </c>
      <c r="AP30" s="761" t="str">
        <f>IF($U30="","",INDEX(#REF!,$U30+1))</f>
        <v/>
      </c>
      <c r="AQ30" s="409">
        <f t="shared" si="8"/>
        <v>0</v>
      </c>
      <c r="AR30" s="409" t="str">
        <f t="shared" si="9"/>
        <v/>
      </c>
      <c r="AS30" s="409" t="str">
        <f t="shared" si="10"/>
        <v/>
      </c>
      <c r="AT30" s="762" t="str">
        <f>IF($U30="","",SUM($AS30:$AS$114))</f>
        <v/>
      </c>
      <c r="AU30" s="761" t="str">
        <f>IF($U30="","",INDEX(#REF!,$U30+1))</f>
        <v/>
      </c>
      <c r="AV30" s="409">
        <f t="shared" si="11"/>
        <v>0</v>
      </c>
      <c r="AW30" s="409" t="str">
        <f t="shared" si="12"/>
        <v/>
      </c>
      <c r="AX30" s="409" t="str">
        <f t="shared" si="13"/>
        <v/>
      </c>
      <c r="AY30" s="762" t="str">
        <f>IF($U30="","",SUM($AX30:$AX$114))</f>
        <v/>
      </c>
      <c r="AZ30" s="761" t="str">
        <f>IF($U30="","",INDEX(#REF!,$U30+1))</f>
        <v/>
      </c>
      <c r="BA30" s="409">
        <f t="shared" si="14"/>
        <v>0</v>
      </c>
      <c r="BB30" s="409" t="str">
        <f t="shared" si="15"/>
        <v/>
      </c>
      <c r="BC30" s="409" t="str">
        <f t="shared" si="16"/>
        <v/>
      </c>
      <c r="BD30" s="762" t="str">
        <f>IF($U30="","",SUM($BC30:$BC$114))</f>
        <v/>
      </c>
      <c r="BE30" s="761" t="str">
        <f>IF($U30="","",INDEX(#REF!,$U30+1))</f>
        <v/>
      </c>
      <c r="BF30" s="409">
        <f t="shared" si="17"/>
        <v>0</v>
      </c>
      <c r="BG30" s="409" t="str">
        <f t="shared" si="18"/>
        <v/>
      </c>
      <c r="BH30" s="409" t="str">
        <f t="shared" si="19"/>
        <v/>
      </c>
      <c r="BI30" s="762" t="str">
        <f>IF($U30="","",SUM($BH30:$BH$114))</f>
        <v/>
      </c>
      <c r="BJ30" s="761" t="str">
        <f>IF($U30="","",INDEX(#REF!,$U30+1))</f>
        <v/>
      </c>
      <c r="BK30" s="409">
        <f t="shared" si="20"/>
        <v>0</v>
      </c>
      <c r="BL30" s="409" t="str">
        <f t="shared" si="21"/>
        <v/>
      </c>
      <c r="BM30" s="409" t="str">
        <f t="shared" si="22"/>
        <v/>
      </c>
      <c r="BN30" s="762" t="str">
        <f>IF($U30="","",SUM($BM30:$BM$114))</f>
        <v/>
      </c>
      <c r="BO30" s="761">
        <f t="shared" si="23"/>
        <v>0</v>
      </c>
      <c r="BP30" s="409" t="str">
        <f t="shared" si="24"/>
        <v/>
      </c>
      <c r="BQ30" s="409" t="str">
        <f t="shared" si="25"/>
        <v/>
      </c>
      <c r="BR30" s="409"/>
      <c r="BS30" s="409" t="str">
        <f t="shared" si="38"/>
        <v/>
      </c>
      <c r="BT30" s="409" t="str">
        <f t="shared" si="26"/>
        <v/>
      </c>
      <c r="BU30" s="409" t="str">
        <f t="shared" si="27"/>
        <v/>
      </c>
      <c r="BV30" s="409"/>
      <c r="BW30" s="409" t="str">
        <f t="shared" si="39"/>
        <v/>
      </c>
      <c r="BX30" s="409" t="str">
        <f>IF($U30="","",SUM(BS30:BS$114)+SUM(BW30:BW$114))</f>
        <v/>
      </c>
      <c r="BY30" s="763"/>
      <c r="BZ30" s="763"/>
      <c r="CA30" s="763"/>
      <c r="CB30" s="763"/>
      <c r="CC30" s="764" t="str">
        <f t="shared" si="0"/>
        <v/>
      </c>
      <c r="CD30" s="409" t="str">
        <f t="shared" si="40"/>
        <v/>
      </c>
      <c r="CE30" s="409" t="str">
        <f t="shared" si="28"/>
        <v/>
      </c>
      <c r="CF30" s="409" t="str">
        <f t="shared" si="29"/>
        <v/>
      </c>
      <c r="CG30" s="409" t="str">
        <f t="shared" si="41"/>
        <v/>
      </c>
      <c r="CH30" s="409" t="str">
        <f t="shared" si="30"/>
        <v/>
      </c>
      <c r="CI30" s="765" t="str">
        <f t="shared" si="42"/>
        <v/>
      </c>
      <c r="CJ30" s="766" t="str">
        <f t="shared" si="31"/>
        <v/>
      </c>
      <c r="CK30" s="414"/>
      <c r="CL30" s="759" t="str">
        <f t="shared" si="32"/>
        <v/>
      </c>
      <c r="CM30" s="766" t="str">
        <f t="shared" si="48"/>
        <v/>
      </c>
      <c r="CN30" s="766" t="str">
        <f t="shared" si="43"/>
        <v/>
      </c>
      <c r="CO30" s="766" t="str">
        <f t="shared" si="33"/>
        <v/>
      </c>
      <c r="CP30" s="766" t="str">
        <f t="shared" si="44"/>
        <v/>
      </c>
      <c r="CQ30" s="414"/>
      <c r="CR30" s="414"/>
      <c r="CS30" s="414"/>
      <c r="CT30" s="414"/>
      <c r="CU30" s="414"/>
      <c r="CV30" s="414"/>
      <c r="CW30" s="478"/>
      <c r="CX30" s="478"/>
      <c r="CY30" s="478"/>
      <c r="CZ30" s="478"/>
      <c r="DA30" s="478"/>
      <c r="DB30" s="478"/>
      <c r="DC30" s="478"/>
      <c r="DD30" s="478"/>
      <c r="DE30" s="478"/>
      <c r="DF30" s="478"/>
      <c r="DG30" s="478"/>
      <c r="DH30" s="478"/>
      <c r="DI30" s="478"/>
      <c r="DJ30" s="478"/>
      <c r="DK30" s="478"/>
      <c r="DL30" s="478"/>
      <c r="DM30" s="478"/>
      <c r="DN30" s="478"/>
      <c r="DO30" s="478"/>
      <c r="DP30" s="478"/>
      <c r="DQ30" s="478"/>
      <c r="DR30" s="478"/>
      <c r="DS30" s="478"/>
      <c r="DT30" s="478"/>
      <c r="DU30" s="478"/>
      <c r="DV30" s="478"/>
      <c r="DW30" s="478"/>
      <c r="DX30" s="478"/>
      <c r="DY30" s="478"/>
      <c r="DZ30" s="478"/>
      <c r="EA30" s="478"/>
      <c r="EB30" s="478"/>
      <c r="EC30" s="478"/>
      <c r="ED30" s="478"/>
    </row>
    <row r="31" spans="1:134">
      <c r="A31" s="305"/>
      <c r="B31" s="373"/>
      <c r="C31" s="135"/>
      <c r="D31" s="136" t="s">
        <v>53</v>
      </c>
      <c r="E31" s="179"/>
      <c r="F31" s="180"/>
      <c r="G31" s="137"/>
      <c r="H31" s="108"/>
      <c r="I31" s="48"/>
      <c r="J31" s="49" t="s">
        <v>175</v>
      </c>
      <c r="K31" s="483">
        <f>IF(F7=0,K29-K30,K32)</f>
        <v>100000.00000000001</v>
      </c>
      <c r="M31" s="50"/>
      <c r="N31" s="280" t="str">
        <f t="shared" si="52"/>
        <v/>
      </c>
      <c r="O31" s="281" t="str">
        <f t="shared" si="53"/>
        <v/>
      </c>
      <c r="P31" s="282" t="str">
        <f t="shared" si="49"/>
        <v/>
      </c>
      <c r="Q31" s="282" t="str">
        <f t="shared" si="50"/>
        <v/>
      </c>
      <c r="R31" s="282" t="str">
        <f t="shared" si="51"/>
        <v/>
      </c>
      <c r="S31" s="402" t="str">
        <f t="shared" si="54"/>
        <v/>
      </c>
      <c r="T31" s="419"/>
      <c r="U31" s="70" t="str">
        <f t="shared" si="45"/>
        <v/>
      </c>
      <c r="V31" s="71" t="str">
        <f>Main_무해지!AC31</f>
        <v/>
      </c>
      <c r="W31" s="74">
        <f>+Main_무해지!AD31</f>
        <v>0</v>
      </c>
      <c r="X31" s="74">
        <v>0</v>
      </c>
      <c r="Y31" s="256" t="str">
        <f t="shared" si="46"/>
        <v/>
      </c>
      <c r="Z31" s="256" t="str">
        <f t="shared" si="1"/>
        <v/>
      </c>
      <c r="AA31" s="72" t="str">
        <f>IF($U31="","",SUM(Z31:Z$114))</f>
        <v/>
      </c>
      <c r="AB31" s="256" t="str">
        <f t="shared" si="35"/>
        <v/>
      </c>
      <c r="AC31" s="256">
        <f t="shared" si="36"/>
        <v>0</v>
      </c>
      <c r="AD31" s="256" t="str">
        <f>Main_무해지!AJ31</f>
        <v/>
      </c>
      <c r="AE31" s="256">
        <f t="shared" si="2"/>
        <v>0</v>
      </c>
      <c r="AF31" s="256" t="str">
        <f t="shared" si="47"/>
        <v/>
      </c>
      <c r="AG31" s="256" t="str">
        <f t="shared" si="3"/>
        <v/>
      </c>
      <c r="AH31" s="72" t="str">
        <f>IF($U31="","",SUM(AG31:AG$114))</f>
        <v/>
      </c>
      <c r="AI31" s="256" t="str">
        <f>Main_무해지!AP31</f>
        <v/>
      </c>
      <c r="AJ31" s="256">
        <f t="shared" si="4"/>
        <v>0</v>
      </c>
      <c r="AK31" s="256" t="str">
        <f t="shared" si="5"/>
        <v/>
      </c>
      <c r="AL31" s="256" t="str">
        <f t="shared" si="6"/>
        <v/>
      </c>
      <c r="AM31" s="75" t="str">
        <f>IF($U31="","",SUM($AN31:$AN$114))</f>
        <v/>
      </c>
      <c r="AN31" s="256" t="str">
        <f t="shared" si="37"/>
        <v/>
      </c>
      <c r="AO31" s="75" t="str">
        <f t="shared" si="7"/>
        <v/>
      </c>
      <c r="AP31" s="71" t="str">
        <f>IF($U31="","",INDEX(#REF!,$U31+1))</f>
        <v/>
      </c>
      <c r="AQ31" s="256">
        <f t="shared" si="8"/>
        <v>0</v>
      </c>
      <c r="AR31" s="256" t="str">
        <f t="shared" si="9"/>
        <v/>
      </c>
      <c r="AS31" s="256" t="str">
        <f t="shared" si="10"/>
        <v/>
      </c>
      <c r="AT31" s="75" t="str">
        <f>IF($U31="","",SUM($AS31:$AS$114))</f>
        <v/>
      </c>
      <c r="AU31" s="71" t="str">
        <f>IF($U31="","",INDEX(#REF!,$U31+1))</f>
        <v/>
      </c>
      <c r="AV31" s="256">
        <f t="shared" si="11"/>
        <v>0</v>
      </c>
      <c r="AW31" s="256" t="str">
        <f t="shared" si="12"/>
        <v/>
      </c>
      <c r="AX31" s="256" t="str">
        <f t="shared" si="13"/>
        <v/>
      </c>
      <c r="AY31" s="75" t="str">
        <f>IF($U31="","",SUM($AX31:$AX$114))</f>
        <v/>
      </c>
      <c r="AZ31" s="71" t="str">
        <f>IF($U31="","",INDEX(#REF!,$U31+1))</f>
        <v/>
      </c>
      <c r="BA31" s="256">
        <f t="shared" si="14"/>
        <v>0</v>
      </c>
      <c r="BB31" s="256" t="str">
        <f t="shared" si="15"/>
        <v/>
      </c>
      <c r="BC31" s="256" t="str">
        <f t="shared" si="16"/>
        <v/>
      </c>
      <c r="BD31" s="75" t="str">
        <f>IF($U31="","",SUM($BC31:$BC$114))</f>
        <v/>
      </c>
      <c r="BE31" s="71" t="str">
        <f>IF($U31="","",INDEX(#REF!,$U31+1))</f>
        <v/>
      </c>
      <c r="BF31" s="256">
        <f t="shared" si="17"/>
        <v>0</v>
      </c>
      <c r="BG31" s="256" t="str">
        <f t="shared" si="18"/>
        <v/>
      </c>
      <c r="BH31" s="256" t="str">
        <f t="shared" si="19"/>
        <v/>
      </c>
      <c r="BI31" s="75" t="str">
        <f>IF($U31="","",SUM($BH31:$BH$114))</f>
        <v/>
      </c>
      <c r="BJ31" s="71" t="str">
        <f>IF($U31="","",INDEX(#REF!,$U31+1))</f>
        <v/>
      </c>
      <c r="BK31" s="256">
        <f t="shared" si="20"/>
        <v>0</v>
      </c>
      <c r="BL31" s="256" t="str">
        <f t="shared" si="21"/>
        <v/>
      </c>
      <c r="BM31" s="256" t="str">
        <f t="shared" si="22"/>
        <v/>
      </c>
      <c r="BN31" s="75" t="str">
        <f>IF($U31="","",SUM($BM31:$BM$114))</f>
        <v/>
      </c>
      <c r="BO31" s="71">
        <f t="shared" si="23"/>
        <v>0</v>
      </c>
      <c r="BP31" s="256" t="str">
        <f t="shared" si="24"/>
        <v/>
      </c>
      <c r="BQ31" s="256" t="str">
        <f t="shared" si="25"/>
        <v/>
      </c>
      <c r="BR31" s="256"/>
      <c r="BS31" s="256" t="str">
        <f t="shared" si="38"/>
        <v/>
      </c>
      <c r="BT31" s="256" t="str">
        <f t="shared" si="26"/>
        <v/>
      </c>
      <c r="BU31" s="256" t="str">
        <f t="shared" si="27"/>
        <v/>
      </c>
      <c r="BV31" s="256"/>
      <c r="BW31" s="256" t="str">
        <f t="shared" si="39"/>
        <v/>
      </c>
      <c r="BX31" s="256" t="str">
        <f>IF($U31="","",SUM(BS31:BS$114)+SUM(BW31:BW$114))</f>
        <v/>
      </c>
      <c r="BY31" s="73"/>
      <c r="BZ31" s="73"/>
      <c r="CA31" s="73"/>
      <c r="CB31" s="73"/>
      <c r="CC31" s="392" t="str">
        <f t="shared" si="0"/>
        <v/>
      </c>
      <c r="CD31" s="256" t="str">
        <f t="shared" si="40"/>
        <v/>
      </c>
      <c r="CE31" s="256" t="str">
        <f t="shared" si="28"/>
        <v/>
      </c>
      <c r="CF31" s="256" t="str">
        <f t="shared" si="29"/>
        <v/>
      </c>
      <c r="CG31" s="256" t="str">
        <f t="shared" si="41"/>
        <v/>
      </c>
      <c r="CH31" s="256" t="str">
        <f t="shared" si="30"/>
        <v/>
      </c>
      <c r="CI31" s="76" t="str">
        <f t="shared" si="42"/>
        <v/>
      </c>
      <c r="CJ31" s="77" t="str">
        <f t="shared" si="31"/>
        <v/>
      </c>
      <c r="CK31" s="238"/>
      <c r="CL31" s="70" t="str">
        <f t="shared" si="32"/>
        <v/>
      </c>
      <c r="CM31" s="77" t="str">
        <f t="shared" si="48"/>
        <v/>
      </c>
      <c r="CN31" s="77" t="str">
        <f t="shared" si="43"/>
        <v/>
      </c>
      <c r="CO31" s="77" t="str">
        <f t="shared" si="33"/>
        <v/>
      </c>
      <c r="CP31" s="77" t="str">
        <f t="shared" si="44"/>
        <v/>
      </c>
      <c r="CQ31" s="238"/>
      <c r="CR31" s="238"/>
      <c r="CS31" s="238"/>
      <c r="CT31" s="238"/>
      <c r="CU31" s="238"/>
      <c r="CV31" s="238"/>
      <c r="CW31" s="478"/>
      <c r="CX31" s="478"/>
      <c r="CY31" s="478"/>
      <c r="CZ31" s="478"/>
      <c r="DA31" s="478"/>
      <c r="DB31" s="478"/>
      <c r="DC31" s="478"/>
      <c r="DD31" s="478"/>
      <c r="DE31" s="478"/>
      <c r="DF31" s="478"/>
      <c r="DG31" s="478"/>
      <c r="DH31" s="478"/>
      <c r="DI31" s="478"/>
      <c r="DJ31" s="478"/>
      <c r="DK31" s="478"/>
      <c r="DL31" s="478"/>
      <c r="DM31" s="478"/>
      <c r="DN31" s="478"/>
      <c r="DO31" s="478"/>
      <c r="DP31" s="478"/>
      <c r="DQ31" s="478"/>
      <c r="DR31" s="478"/>
      <c r="DS31" s="478"/>
      <c r="DT31" s="478"/>
      <c r="DU31" s="478"/>
      <c r="DV31" s="478"/>
      <c r="DW31" s="478"/>
      <c r="DX31" s="478"/>
      <c r="DY31" s="478"/>
      <c r="DZ31" s="478"/>
      <c r="EA31" s="478"/>
      <c r="EB31" s="478"/>
      <c r="EC31" s="478"/>
      <c r="ED31" s="478"/>
    </row>
    <row r="32" spans="1:134">
      <c r="A32" s="305"/>
      <c r="B32" s="373"/>
      <c r="C32" s="78"/>
      <c r="D32" s="106" t="s">
        <v>40</v>
      </c>
      <c r="E32" s="250">
        <f>Main_무해지!E32</f>
        <v>0</v>
      </c>
      <c r="F32" s="176">
        <f>F23</f>
        <v>7.0000000000000007E-5</v>
      </c>
      <c r="G32" s="79"/>
      <c r="H32" s="292"/>
      <c r="I32" s="48"/>
      <c r="J32" s="49" t="s">
        <v>177</v>
      </c>
      <c r="K32" s="483">
        <f>(K29-K30)-(K38-1)/(2*K38)*(K26-K27)</f>
        <v>98991.442542787307</v>
      </c>
      <c r="M32" s="50"/>
      <c r="N32" s="275" t="str">
        <f t="shared" si="52"/>
        <v/>
      </c>
      <c r="O32" s="276" t="str">
        <f t="shared" si="53"/>
        <v/>
      </c>
      <c r="P32" s="277" t="str">
        <f t="shared" si="49"/>
        <v/>
      </c>
      <c r="Q32" s="277" t="str">
        <f t="shared" si="50"/>
        <v/>
      </c>
      <c r="R32" s="277" t="str">
        <f t="shared" si="51"/>
        <v/>
      </c>
      <c r="S32" s="401" t="str">
        <f t="shared" si="54"/>
        <v/>
      </c>
      <c r="T32" s="419"/>
      <c r="U32" s="70" t="str">
        <f t="shared" si="45"/>
        <v/>
      </c>
      <c r="V32" s="71" t="str">
        <f>Main_무해지!AC32</f>
        <v/>
      </c>
      <c r="W32" s="74">
        <f>+Main_무해지!AD32</f>
        <v>0</v>
      </c>
      <c r="X32" s="74">
        <v>0</v>
      </c>
      <c r="Y32" s="256" t="str">
        <f t="shared" si="46"/>
        <v/>
      </c>
      <c r="Z32" s="256" t="str">
        <f t="shared" si="1"/>
        <v/>
      </c>
      <c r="AA32" s="72" t="str">
        <f>IF($U32="","",SUM(Z32:Z$114))</f>
        <v/>
      </c>
      <c r="AB32" s="256" t="str">
        <f t="shared" si="35"/>
        <v/>
      </c>
      <c r="AC32" s="256">
        <f t="shared" si="36"/>
        <v>0</v>
      </c>
      <c r="AD32" s="256" t="str">
        <f>Main_무해지!AJ32</f>
        <v/>
      </c>
      <c r="AE32" s="256">
        <f t="shared" si="2"/>
        <v>0</v>
      </c>
      <c r="AF32" s="256" t="str">
        <f t="shared" si="47"/>
        <v/>
      </c>
      <c r="AG32" s="256" t="str">
        <f t="shared" si="3"/>
        <v/>
      </c>
      <c r="AH32" s="72" t="str">
        <f>IF($U32="","",SUM(AG32:AG$114))</f>
        <v/>
      </c>
      <c r="AI32" s="256" t="str">
        <f>Main_무해지!AP32</f>
        <v/>
      </c>
      <c r="AJ32" s="256">
        <f t="shared" si="4"/>
        <v>0</v>
      </c>
      <c r="AK32" s="256" t="str">
        <f t="shared" si="5"/>
        <v/>
      </c>
      <c r="AL32" s="256" t="str">
        <f t="shared" si="6"/>
        <v/>
      </c>
      <c r="AM32" s="75" t="str">
        <f>IF($U32="","",SUM($AN32:$AN$114))</f>
        <v/>
      </c>
      <c r="AN32" s="256" t="str">
        <f t="shared" si="37"/>
        <v/>
      </c>
      <c r="AO32" s="75" t="str">
        <f t="shared" si="7"/>
        <v/>
      </c>
      <c r="AP32" s="71" t="str">
        <f>IF($U32="","",INDEX(#REF!,$U32+1))</f>
        <v/>
      </c>
      <c r="AQ32" s="256">
        <f t="shared" si="8"/>
        <v>0</v>
      </c>
      <c r="AR32" s="256" t="str">
        <f t="shared" si="9"/>
        <v/>
      </c>
      <c r="AS32" s="256" t="str">
        <f t="shared" si="10"/>
        <v/>
      </c>
      <c r="AT32" s="75" t="str">
        <f>IF($U32="","",SUM($AS32:$AS$114))</f>
        <v/>
      </c>
      <c r="AU32" s="71" t="str">
        <f>IF($U32="","",INDEX(#REF!,$U32+1))</f>
        <v/>
      </c>
      <c r="AV32" s="256">
        <f t="shared" si="11"/>
        <v>0</v>
      </c>
      <c r="AW32" s="256" t="str">
        <f t="shared" si="12"/>
        <v/>
      </c>
      <c r="AX32" s="256" t="str">
        <f t="shared" si="13"/>
        <v/>
      </c>
      <c r="AY32" s="75" t="str">
        <f>IF($U32="","",SUM($AX32:$AX$114))</f>
        <v/>
      </c>
      <c r="AZ32" s="71" t="str">
        <f>IF($U32="","",INDEX(#REF!,$U32+1))</f>
        <v/>
      </c>
      <c r="BA32" s="256">
        <f t="shared" si="14"/>
        <v>0</v>
      </c>
      <c r="BB32" s="256" t="str">
        <f t="shared" si="15"/>
        <v/>
      </c>
      <c r="BC32" s="256" t="str">
        <f t="shared" si="16"/>
        <v/>
      </c>
      <c r="BD32" s="75" t="str">
        <f>IF($U32="","",SUM($BC32:$BC$114))</f>
        <v/>
      </c>
      <c r="BE32" s="71" t="str">
        <f>IF($U32="","",INDEX(#REF!,$U32+1))</f>
        <v/>
      </c>
      <c r="BF32" s="256">
        <f t="shared" si="17"/>
        <v>0</v>
      </c>
      <c r="BG32" s="256" t="str">
        <f t="shared" si="18"/>
        <v/>
      </c>
      <c r="BH32" s="256" t="str">
        <f t="shared" si="19"/>
        <v/>
      </c>
      <c r="BI32" s="75" t="str">
        <f>IF($U32="","",SUM($BH32:$BH$114))</f>
        <v/>
      </c>
      <c r="BJ32" s="71" t="str">
        <f>IF($U32="","",INDEX(#REF!,$U32+1))</f>
        <v/>
      </c>
      <c r="BK32" s="256">
        <f t="shared" si="20"/>
        <v>0</v>
      </c>
      <c r="BL32" s="256" t="str">
        <f t="shared" si="21"/>
        <v/>
      </c>
      <c r="BM32" s="256" t="str">
        <f t="shared" si="22"/>
        <v/>
      </c>
      <c r="BN32" s="75" t="str">
        <f>IF($U32="","",SUM($BM32:$BM$114))</f>
        <v/>
      </c>
      <c r="BO32" s="71">
        <f t="shared" si="23"/>
        <v>0</v>
      </c>
      <c r="BP32" s="256" t="str">
        <f t="shared" si="24"/>
        <v/>
      </c>
      <c r="BQ32" s="256" t="str">
        <f t="shared" si="25"/>
        <v/>
      </c>
      <c r="BR32" s="256"/>
      <c r="BS32" s="256" t="str">
        <f t="shared" si="38"/>
        <v/>
      </c>
      <c r="BT32" s="256" t="str">
        <f t="shared" si="26"/>
        <v/>
      </c>
      <c r="BU32" s="256" t="str">
        <f t="shared" si="27"/>
        <v/>
      </c>
      <c r="BV32" s="256"/>
      <c r="BW32" s="256" t="str">
        <f t="shared" si="39"/>
        <v/>
      </c>
      <c r="BX32" s="256" t="str">
        <f>IF($U32="","",SUM(BS32:BS$114)+SUM(BW32:BW$114))</f>
        <v/>
      </c>
      <c r="BY32" s="73"/>
      <c r="BZ32" s="73"/>
      <c r="CA32" s="73"/>
      <c r="CB32" s="73"/>
      <c r="CC32" s="392" t="str">
        <f t="shared" si="0"/>
        <v/>
      </c>
      <c r="CD32" s="256" t="str">
        <f t="shared" si="40"/>
        <v/>
      </c>
      <c r="CE32" s="256" t="str">
        <f t="shared" si="28"/>
        <v/>
      </c>
      <c r="CF32" s="256" t="str">
        <f t="shared" si="29"/>
        <v/>
      </c>
      <c r="CG32" s="256" t="str">
        <f t="shared" si="41"/>
        <v/>
      </c>
      <c r="CH32" s="256" t="str">
        <f t="shared" si="30"/>
        <v/>
      </c>
      <c r="CI32" s="76" t="str">
        <f t="shared" si="42"/>
        <v/>
      </c>
      <c r="CJ32" s="77" t="str">
        <f t="shared" si="31"/>
        <v/>
      </c>
      <c r="CK32" s="238"/>
      <c r="CL32" s="70" t="str">
        <f t="shared" si="32"/>
        <v/>
      </c>
      <c r="CM32" s="77" t="str">
        <f t="shared" si="48"/>
        <v/>
      </c>
      <c r="CN32" s="77" t="str">
        <f t="shared" si="43"/>
        <v/>
      </c>
      <c r="CO32" s="77" t="str">
        <f t="shared" si="33"/>
        <v/>
      </c>
      <c r="CP32" s="77" t="str">
        <f t="shared" si="44"/>
        <v/>
      </c>
      <c r="CQ32" s="238"/>
      <c r="CR32" s="238"/>
      <c r="CS32" s="238"/>
      <c r="CT32" s="238"/>
      <c r="CU32" s="238"/>
      <c r="CV32" s="238"/>
      <c r="CW32" s="478"/>
      <c r="CX32" s="478"/>
      <c r="CY32" s="478"/>
      <c r="CZ32" s="478"/>
      <c r="DA32" s="478"/>
      <c r="DB32" s="478"/>
      <c r="DC32" s="478"/>
      <c r="DD32" s="478"/>
      <c r="DE32" s="478"/>
      <c r="DF32" s="478"/>
      <c r="DG32" s="478"/>
      <c r="DH32" s="478"/>
      <c r="DI32" s="478"/>
      <c r="DJ32" s="478"/>
      <c r="DK32" s="478"/>
      <c r="DL32" s="478"/>
      <c r="DM32" s="478"/>
      <c r="DN32" s="478"/>
      <c r="DO32" s="478"/>
      <c r="DP32" s="478"/>
      <c r="DQ32" s="478"/>
      <c r="DR32" s="478"/>
      <c r="DS32" s="478"/>
      <c r="DT32" s="478"/>
      <c r="DU32" s="478"/>
      <c r="DV32" s="478"/>
      <c r="DW32" s="478"/>
      <c r="DX32" s="478"/>
      <c r="DY32" s="478"/>
      <c r="DZ32" s="478"/>
      <c r="EA32" s="478"/>
      <c r="EB32" s="478"/>
      <c r="EC32" s="478"/>
      <c r="ED32" s="478"/>
    </row>
    <row r="33" spans="1:134">
      <c r="A33" s="305"/>
      <c r="B33" s="373"/>
      <c r="C33" s="78"/>
      <c r="D33" s="106" t="s">
        <v>56</v>
      </c>
      <c r="E33" s="250">
        <f>Main_무해지!E33</f>
        <v>0</v>
      </c>
      <c r="F33" s="307">
        <f>E33</f>
        <v>0</v>
      </c>
      <c r="G33" s="79"/>
      <c r="H33" s="292"/>
      <c r="I33" s="48"/>
      <c r="J33" s="49" t="s">
        <v>173</v>
      </c>
      <c r="K33" s="483">
        <f>IF(F5=0,K23-K25,K24-K25)</f>
        <v>0</v>
      </c>
      <c r="M33" s="50"/>
      <c r="N33" s="278" t="str">
        <f t="shared" si="52"/>
        <v/>
      </c>
      <c r="O33" s="279" t="str">
        <f t="shared" si="53"/>
        <v/>
      </c>
      <c r="P33" s="271" t="str">
        <f t="shared" si="49"/>
        <v/>
      </c>
      <c r="Q33" s="271" t="str">
        <f t="shared" si="50"/>
        <v/>
      </c>
      <c r="R33" s="271" t="str">
        <f t="shared" si="51"/>
        <v/>
      </c>
      <c r="S33" s="400" t="str">
        <f t="shared" si="54"/>
        <v/>
      </c>
      <c r="T33" s="419"/>
      <c r="U33" s="70" t="str">
        <f t="shared" si="45"/>
        <v/>
      </c>
      <c r="V33" s="71" t="str">
        <f>Main_무해지!AC33</f>
        <v/>
      </c>
      <c r="W33" s="74">
        <f>+Main_무해지!AD33</f>
        <v>0</v>
      </c>
      <c r="X33" s="74">
        <v>0</v>
      </c>
      <c r="Y33" s="256" t="str">
        <f t="shared" si="46"/>
        <v/>
      </c>
      <c r="Z33" s="256" t="str">
        <f t="shared" si="1"/>
        <v/>
      </c>
      <c r="AA33" s="72" t="str">
        <f>IF($U33="","",SUM(Z33:Z$114))</f>
        <v/>
      </c>
      <c r="AB33" s="256" t="str">
        <f t="shared" si="35"/>
        <v/>
      </c>
      <c r="AC33" s="256">
        <f t="shared" si="36"/>
        <v>0</v>
      </c>
      <c r="AD33" s="256" t="str">
        <f>Main_무해지!AJ33</f>
        <v/>
      </c>
      <c r="AE33" s="256">
        <f t="shared" si="2"/>
        <v>0</v>
      </c>
      <c r="AF33" s="256" t="str">
        <f t="shared" si="47"/>
        <v/>
      </c>
      <c r="AG33" s="256" t="str">
        <f t="shared" si="3"/>
        <v/>
      </c>
      <c r="AH33" s="72" t="str">
        <f>IF($U33="","",SUM(AG33:AG$114))</f>
        <v/>
      </c>
      <c r="AI33" s="256" t="str">
        <f>Main_무해지!AP33</f>
        <v/>
      </c>
      <c r="AJ33" s="256">
        <f t="shared" si="4"/>
        <v>0</v>
      </c>
      <c r="AK33" s="256" t="str">
        <f t="shared" si="5"/>
        <v/>
      </c>
      <c r="AL33" s="256" t="str">
        <f t="shared" si="6"/>
        <v/>
      </c>
      <c r="AM33" s="75" t="str">
        <f>IF($U33="","",SUM($AN33:$AN$114))</f>
        <v/>
      </c>
      <c r="AN33" s="256" t="str">
        <f t="shared" si="37"/>
        <v/>
      </c>
      <c r="AO33" s="75" t="str">
        <f t="shared" si="7"/>
        <v/>
      </c>
      <c r="AP33" s="71" t="str">
        <f>IF($U33="","",INDEX(#REF!,$U33+1))</f>
        <v/>
      </c>
      <c r="AQ33" s="256">
        <f t="shared" si="8"/>
        <v>0</v>
      </c>
      <c r="AR33" s="256" t="str">
        <f t="shared" si="9"/>
        <v/>
      </c>
      <c r="AS33" s="256" t="str">
        <f t="shared" si="10"/>
        <v/>
      </c>
      <c r="AT33" s="75" t="str">
        <f>IF($U33="","",SUM($AS33:$AS$114))</f>
        <v/>
      </c>
      <c r="AU33" s="71" t="str">
        <f>IF($U33="","",INDEX(#REF!,$U33+1))</f>
        <v/>
      </c>
      <c r="AV33" s="256">
        <f t="shared" si="11"/>
        <v>0</v>
      </c>
      <c r="AW33" s="256" t="str">
        <f t="shared" si="12"/>
        <v/>
      </c>
      <c r="AX33" s="256" t="str">
        <f t="shared" si="13"/>
        <v/>
      </c>
      <c r="AY33" s="75" t="str">
        <f>IF($U33="","",SUM($AX33:$AX$114))</f>
        <v/>
      </c>
      <c r="AZ33" s="71" t="str">
        <f>IF($U33="","",INDEX(#REF!,$U33+1))</f>
        <v/>
      </c>
      <c r="BA33" s="256">
        <f t="shared" si="14"/>
        <v>0</v>
      </c>
      <c r="BB33" s="256" t="str">
        <f t="shared" si="15"/>
        <v/>
      </c>
      <c r="BC33" s="256" t="str">
        <f t="shared" si="16"/>
        <v/>
      </c>
      <c r="BD33" s="75" t="str">
        <f>IF($U33="","",SUM($BC33:$BC$114))</f>
        <v/>
      </c>
      <c r="BE33" s="71" t="str">
        <f>IF($U33="","",INDEX(#REF!,$U33+1))</f>
        <v/>
      </c>
      <c r="BF33" s="256">
        <f t="shared" si="17"/>
        <v>0</v>
      </c>
      <c r="BG33" s="256" t="str">
        <f t="shared" si="18"/>
        <v/>
      </c>
      <c r="BH33" s="256" t="str">
        <f t="shared" si="19"/>
        <v/>
      </c>
      <c r="BI33" s="75" t="str">
        <f>IF($U33="","",SUM($BH33:$BH$114))</f>
        <v/>
      </c>
      <c r="BJ33" s="71" t="str">
        <f>IF($U33="","",INDEX(#REF!,$U33+1))</f>
        <v/>
      </c>
      <c r="BK33" s="256">
        <f t="shared" si="20"/>
        <v>0</v>
      </c>
      <c r="BL33" s="256" t="str">
        <f t="shared" si="21"/>
        <v/>
      </c>
      <c r="BM33" s="256" t="str">
        <f t="shared" si="22"/>
        <v/>
      </c>
      <c r="BN33" s="75" t="str">
        <f>IF($U33="","",SUM($BM33:$BM$114))</f>
        <v/>
      </c>
      <c r="BO33" s="71">
        <f t="shared" si="23"/>
        <v>0</v>
      </c>
      <c r="BP33" s="256" t="str">
        <f t="shared" si="24"/>
        <v/>
      </c>
      <c r="BQ33" s="256" t="str">
        <f t="shared" si="25"/>
        <v/>
      </c>
      <c r="BR33" s="256"/>
      <c r="BS33" s="256" t="str">
        <f t="shared" si="38"/>
        <v/>
      </c>
      <c r="BT33" s="256" t="str">
        <f t="shared" si="26"/>
        <v/>
      </c>
      <c r="BU33" s="256" t="str">
        <f t="shared" si="27"/>
        <v/>
      </c>
      <c r="BV33" s="256"/>
      <c r="BW33" s="256" t="str">
        <f t="shared" si="39"/>
        <v/>
      </c>
      <c r="BX33" s="256" t="str">
        <f>IF($U33="","",SUM(BS33:BS$114)+SUM(BW33:BW$114))</f>
        <v/>
      </c>
      <c r="BY33" s="73"/>
      <c r="BZ33" s="73"/>
      <c r="CA33" s="73"/>
      <c r="CB33" s="73"/>
      <c r="CC33" s="392" t="str">
        <f t="shared" si="0"/>
        <v/>
      </c>
      <c r="CD33" s="256" t="str">
        <f t="shared" si="40"/>
        <v/>
      </c>
      <c r="CE33" s="256" t="str">
        <f t="shared" si="28"/>
        <v/>
      </c>
      <c r="CF33" s="256" t="str">
        <f t="shared" si="29"/>
        <v/>
      </c>
      <c r="CG33" s="256" t="str">
        <f t="shared" si="41"/>
        <v/>
      </c>
      <c r="CH33" s="256" t="str">
        <f t="shared" si="30"/>
        <v/>
      </c>
      <c r="CI33" s="76" t="str">
        <f t="shared" si="42"/>
        <v/>
      </c>
      <c r="CJ33" s="77" t="str">
        <f t="shared" si="31"/>
        <v/>
      </c>
      <c r="CK33" s="238"/>
      <c r="CL33" s="70" t="str">
        <f t="shared" si="32"/>
        <v/>
      </c>
      <c r="CM33" s="77" t="str">
        <f t="shared" si="48"/>
        <v/>
      </c>
      <c r="CN33" s="77" t="str">
        <f t="shared" si="43"/>
        <v/>
      </c>
      <c r="CO33" s="77" t="str">
        <f t="shared" si="33"/>
        <v/>
      </c>
      <c r="CP33" s="77" t="str">
        <f t="shared" si="44"/>
        <v/>
      </c>
      <c r="CQ33" s="238"/>
      <c r="CR33" s="238"/>
      <c r="CS33" s="238"/>
      <c r="CT33" s="238"/>
      <c r="CU33" s="238"/>
      <c r="CV33" s="238"/>
      <c r="CW33" s="478"/>
      <c r="CX33" s="478"/>
      <c r="CY33" s="478"/>
      <c r="CZ33" s="478"/>
      <c r="DA33" s="478"/>
      <c r="DB33" s="478"/>
      <c r="DC33" s="478"/>
      <c r="DD33" s="478"/>
      <c r="DE33" s="478"/>
      <c r="DF33" s="478"/>
      <c r="DG33" s="478"/>
      <c r="DH33" s="478"/>
      <c r="DI33" s="478"/>
      <c r="DJ33" s="478"/>
      <c r="DK33" s="478"/>
      <c r="DL33" s="478"/>
      <c r="DM33" s="478"/>
      <c r="DN33" s="478"/>
      <c r="DO33" s="478"/>
      <c r="DP33" s="478"/>
      <c r="DQ33" s="478"/>
      <c r="DR33" s="478"/>
      <c r="DS33" s="478"/>
      <c r="DT33" s="478"/>
      <c r="DU33" s="478"/>
      <c r="DV33" s="478"/>
      <c r="DW33" s="478"/>
      <c r="DX33" s="478"/>
      <c r="DY33" s="478"/>
      <c r="DZ33" s="478"/>
      <c r="EA33" s="478"/>
      <c r="EB33" s="478"/>
      <c r="EC33" s="478"/>
      <c r="ED33" s="478"/>
    </row>
    <row r="34" spans="1:134">
      <c r="A34" s="305"/>
      <c r="B34" s="373"/>
      <c r="C34" s="78"/>
      <c r="D34" s="107" t="s">
        <v>45</v>
      </c>
      <c r="E34" s="250">
        <f>Main_무해지!E34</f>
        <v>0</v>
      </c>
      <c r="F34" s="176"/>
      <c r="G34" s="79"/>
      <c r="H34" s="292"/>
      <c r="I34" s="48"/>
      <c r="J34" s="49" t="s">
        <v>171</v>
      </c>
      <c r="K34" s="483">
        <f>IF(F5=0,K37*K22,K37*F5*K22)</f>
        <v>0</v>
      </c>
      <c r="M34" s="50"/>
      <c r="N34" s="278" t="str">
        <f t="shared" si="52"/>
        <v/>
      </c>
      <c r="O34" s="279" t="str">
        <f t="shared" si="53"/>
        <v/>
      </c>
      <c r="P34" s="271" t="str">
        <f t="shared" si="49"/>
        <v/>
      </c>
      <c r="Q34" s="271" t="str">
        <f t="shared" si="50"/>
        <v/>
      </c>
      <c r="R34" s="271" t="str">
        <f t="shared" si="51"/>
        <v/>
      </c>
      <c r="S34" s="400" t="str">
        <f t="shared" si="54"/>
        <v/>
      </c>
      <c r="T34" s="419"/>
      <c r="U34" s="83" t="str">
        <f t="shared" si="45"/>
        <v/>
      </c>
      <c r="V34" s="84" t="str">
        <f>Main_무해지!AC34</f>
        <v/>
      </c>
      <c r="W34" s="87">
        <f>+Main_무해지!AD34</f>
        <v>0</v>
      </c>
      <c r="X34" s="87">
        <v>0</v>
      </c>
      <c r="Y34" s="257" t="str">
        <f t="shared" si="46"/>
        <v/>
      </c>
      <c r="Z34" s="257" t="str">
        <f t="shared" si="1"/>
        <v/>
      </c>
      <c r="AA34" s="85" t="str">
        <f>IF($U34="","",SUM(Z34:Z$114))</f>
        <v/>
      </c>
      <c r="AB34" s="257" t="str">
        <f t="shared" si="35"/>
        <v/>
      </c>
      <c r="AC34" s="257">
        <f t="shared" si="36"/>
        <v>0</v>
      </c>
      <c r="AD34" s="257" t="str">
        <f>Main_무해지!AJ34</f>
        <v/>
      </c>
      <c r="AE34" s="257">
        <f t="shared" si="2"/>
        <v>0</v>
      </c>
      <c r="AF34" s="257" t="str">
        <f t="shared" si="47"/>
        <v/>
      </c>
      <c r="AG34" s="257" t="str">
        <f t="shared" si="3"/>
        <v/>
      </c>
      <c r="AH34" s="85" t="str">
        <f>IF($U34="","",SUM(AG34:AG$114))</f>
        <v/>
      </c>
      <c r="AI34" s="257" t="str">
        <f>Main_무해지!AP34</f>
        <v/>
      </c>
      <c r="AJ34" s="257">
        <f t="shared" si="4"/>
        <v>0</v>
      </c>
      <c r="AK34" s="257" t="str">
        <f t="shared" si="5"/>
        <v/>
      </c>
      <c r="AL34" s="257" t="str">
        <f t="shared" si="6"/>
        <v/>
      </c>
      <c r="AM34" s="88" t="str">
        <f>IF($U34="","",SUM($AN34:$AN$114))</f>
        <v/>
      </c>
      <c r="AN34" s="257" t="str">
        <f t="shared" si="37"/>
        <v/>
      </c>
      <c r="AO34" s="88" t="str">
        <f t="shared" si="7"/>
        <v/>
      </c>
      <c r="AP34" s="84" t="str">
        <f>IF($U34="","",INDEX(#REF!,$U34+1))</f>
        <v/>
      </c>
      <c r="AQ34" s="257">
        <f t="shared" si="8"/>
        <v>0</v>
      </c>
      <c r="AR34" s="257" t="str">
        <f t="shared" si="9"/>
        <v/>
      </c>
      <c r="AS34" s="257" t="str">
        <f t="shared" si="10"/>
        <v/>
      </c>
      <c r="AT34" s="88" t="str">
        <f>IF($U34="","",SUM($AS34:$AS$114))</f>
        <v/>
      </c>
      <c r="AU34" s="84" t="str">
        <f>IF($U34="","",INDEX(#REF!,$U34+1))</f>
        <v/>
      </c>
      <c r="AV34" s="257">
        <f t="shared" si="11"/>
        <v>0</v>
      </c>
      <c r="AW34" s="257" t="str">
        <f t="shared" si="12"/>
        <v/>
      </c>
      <c r="AX34" s="257" t="str">
        <f t="shared" si="13"/>
        <v/>
      </c>
      <c r="AY34" s="88" t="str">
        <f>IF($U34="","",SUM($AX34:$AX$114))</f>
        <v/>
      </c>
      <c r="AZ34" s="84" t="str">
        <f>IF($U34="","",INDEX(#REF!,$U34+1))</f>
        <v/>
      </c>
      <c r="BA34" s="257">
        <f t="shared" si="14"/>
        <v>0</v>
      </c>
      <c r="BB34" s="257" t="str">
        <f t="shared" si="15"/>
        <v/>
      </c>
      <c r="BC34" s="257" t="str">
        <f t="shared" si="16"/>
        <v/>
      </c>
      <c r="BD34" s="88" t="str">
        <f>IF($U34="","",SUM($BC34:$BC$114))</f>
        <v/>
      </c>
      <c r="BE34" s="84" t="str">
        <f>IF($U34="","",INDEX(#REF!,$U34+1))</f>
        <v/>
      </c>
      <c r="BF34" s="257">
        <f t="shared" si="17"/>
        <v>0</v>
      </c>
      <c r="BG34" s="257" t="str">
        <f t="shared" si="18"/>
        <v/>
      </c>
      <c r="BH34" s="257" t="str">
        <f t="shared" si="19"/>
        <v/>
      </c>
      <c r="BI34" s="88" t="str">
        <f>IF($U34="","",SUM($BH34:$BH$114))</f>
        <v/>
      </c>
      <c r="BJ34" s="84" t="str">
        <f>IF($U34="","",INDEX(#REF!,$U34+1))</f>
        <v/>
      </c>
      <c r="BK34" s="257">
        <f t="shared" si="20"/>
        <v>0</v>
      </c>
      <c r="BL34" s="257" t="str">
        <f t="shared" si="21"/>
        <v/>
      </c>
      <c r="BM34" s="257" t="str">
        <f t="shared" si="22"/>
        <v/>
      </c>
      <c r="BN34" s="88" t="str">
        <f>IF($U34="","",SUM($BM34:$BM$114))</f>
        <v/>
      </c>
      <c r="BO34" s="84">
        <f t="shared" si="23"/>
        <v>0</v>
      </c>
      <c r="BP34" s="257" t="str">
        <f t="shared" si="24"/>
        <v/>
      </c>
      <c r="BQ34" s="257" t="str">
        <f t="shared" si="25"/>
        <v/>
      </c>
      <c r="BR34" s="257"/>
      <c r="BS34" s="257" t="str">
        <f t="shared" si="38"/>
        <v/>
      </c>
      <c r="BT34" s="257" t="str">
        <f t="shared" si="26"/>
        <v/>
      </c>
      <c r="BU34" s="257" t="str">
        <f t="shared" si="27"/>
        <v/>
      </c>
      <c r="BV34" s="257"/>
      <c r="BW34" s="257" t="str">
        <f t="shared" si="39"/>
        <v/>
      </c>
      <c r="BX34" s="257" t="str">
        <f>IF($U34="","",SUM(BS34:BS$114)+SUM(BW34:BW$114))</f>
        <v/>
      </c>
      <c r="BY34" s="86"/>
      <c r="BZ34" s="86"/>
      <c r="CA34" s="86"/>
      <c r="CB34" s="86"/>
      <c r="CC34" s="393" t="str">
        <f t="shared" si="0"/>
        <v/>
      </c>
      <c r="CD34" s="257" t="str">
        <f t="shared" si="40"/>
        <v/>
      </c>
      <c r="CE34" s="257" t="str">
        <f t="shared" si="28"/>
        <v/>
      </c>
      <c r="CF34" s="257" t="str">
        <f t="shared" si="29"/>
        <v/>
      </c>
      <c r="CG34" s="257" t="str">
        <f t="shared" si="41"/>
        <v/>
      </c>
      <c r="CH34" s="257" t="str">
        <f t="shared" si="30"/>
        <v/>
      </c>
      <c r="CI34" s="89" t="str">
        <f t="shared" si="42"/>
        <v/>
      </c>
      <c r="CJ34" s="90" t="str">
        <f t="shared" si="31"/>
        <v/>
      </c>
      <c r="CK34" s="239"/>
      <c r="CL34" s="83" t="str">
        <f t="shared" si="32"/>
        <v/>
      </c>
      <c r="CM34" s="90" t="str">
        <f t="shared" si="48"/>
        <v/>
      </c>
      <c r="CN34" s="90" t="str">
        <f t="shared" si="43"/>
        <v/>
      </c>
      <c r="CO34" s="90" t="str">
        <f t="shared" si="33"/>
        <v/>
      </c>
      <c r="CP34" s="90" t="str">
        <f t="shared" si="44"/>
        <v/>
      </c>
      <c r="CQ34" s="239"/>
      <c r="CR34" s="239"/>
      <c r="CS34" s="239"/>
      <c r="CT34" s="239"/>
      <c r="CU34" s="239"/>
      <c r="CV34" s="239"/>
      <c r="CW34" s="478"/>
      <c r="CX34" s="478"/>
      <c r="CY34" s="478"/>
      <c r="CZ34" s="478"/>
      <c r="DA34" s="478"/>
      <c r="DB34" s="478"/>
      <c r="DC34" s="478"/>
      <c r="DD34" s="478"/>
      <c r="DE34" s="478"/>
      <c r="DF34" s="478"/>
      <c r="DG34" s="478"/>
      <c r="DH34" s="478"/>
      <c r="DI34" s="478"/>
      <c r="DJ34" s="478"/>
      <c r="DK34" s="478"/>
      <c r="DL34" s="478"/>
      <c r="DM34" s="478"/>
      <c r="DN34" s="478"/>
      <c r="DO34" s="478"/>
      <c r="DP34" s="478"/>
      <c r="DQ34" s="478"/>
      <c r="DR34" s="478"/>
      <c r="DS34" s="478"/>
      <c r="DT34" s="478"/>
      <c r="DU34" s="478"/>
      <c r="DV34" s="478"/>
      <c r="DW34" s="478"/>
      <c r="DX34" s="478"/>
      <c r="DY34" s="478"/>
      <c r="DZ34" s="478"/>
      <c r="EA34" s="478"/>
      <c r="EB34" s="478"/>
      <c r="EC34" s="478"/>
      <c r="ED34" s="478"/>
    </row>
    <row r="35" spans="1:134">
      <c r="A35" s="305"/>
      <c r="B35" s="373"/>
      <c r="C35" s="78"/>
      <c r="D35" s="107" t="s">
        <v>47</v>
      </c>
      <c r="E35" s="250">
        <f>Main_무해지!E35</f>
        <v>0</v>
      </c>
      <c r="F35" s="176"/>
      <c r="G35" s="79"/>
      <c r="H35" s="292"/>
      <c r="I35" s="48"/>
      <c r="J35" s="95" t="s">
        <v>168</v>
      </c>
      <c r="K35" s="485">
        <f>CD4</f>
        <v>0.70461715141866199</v>
      </c>
      <c r="M35" s="50"/>
      <c r="N35" s="278" t="str">
        <f t="shared" si="52"/>
        <v/>
      </c>
      <c r="O35" s="279" t="str">
        <f t="shared" si="53"/>
        <v/>
      </c>
      <c r="P35" s="271" t="str">
        <f t="shared" si="49"/>
        <v/>
      </c>
      <c r="Q35" s="271" t="str">
        <f t="shared" si="50"/>
        <v/>
      </c>
      <c r="R35" s="271" t="str">
        <f t="shared" si="51"/>
        <v/>
      </c>
      <c r="S35" s="400" t="str">
        <f t="shared" si="54"/>
        <v/>
      </c>
      <c r="T35" s="419"/>
      <c r="U35" s="750" t="str">
        <f t="shared" si="45"/>
        <v/>
      </c>
      <c r="V35" s="752" t="str">
        <f>Main_무해지!AC35</f>
        <v/>
      </c>
      <c r="W35" s="638">
        <f>+Main_무해지!AD35</f>
        <v>0</v>
      </c>
      <c r="X35" s="638">
        <v>0</v>
      </c>
      <c r="Y35" s="408" t="str">
        <f t="shared" si="46"/>
        <v/>
      </c>
      <c r="Z35" s="408" t="str">
        <f t="shared" si="1"/>
        <v/>
      </c>
      <c r="AA35" s="751" t="str">
        <f>IF($U35="","",SUM(Z35:Z$114))</f>
        <v/>
      </c>
      <c r="AB35" s="408" t="str">
        <f t="shared" si="35"/>
        <v/>
      </c>
      <c r="AC35" s="408">
        <f t="shared" si="36"/>
        <v>0</v>
      </c>
      <c r="AD35" s="408" t="str">
        <f>Main_무해지!AJ35</f>
        <v/>
      </c>
      <c r="AE35" s="408">
        <f t="shared" si="2"/>
        <v>0</v>
      </c>
      <c r="AF35" s="408" t="str">
        <f t="shared" si="47"/>
        <v/>
      </c>
      <c r="AG35" s="408" t="str">
        <f t="shared" si="3"/>
        <v/>
      </c>
      <c r="AH35" s="751" t="str">
        <f>IF($U35="","",SUM(AG35:AG$114))</f>
        <v/>
      </c>
      <c r="AI35" s="408" t="str">
        <f>Main_무해지!AP35</f>
        <v/>
      </c>
      <c r="AJ35" s="408">
        <f t="shared" si="4"/>
        <v>0</v>
      </c>
      <c r="AK35" s="408" t="str">
        <f t="shared" si="5"/>
        <v/>
      </c>
      <c r="AL35" s="408" t="str">
        <f t="shared" si="6"/>
        <v/>
      </c>
      <c r="AM35" s="753" t="str">
        <f>IF($U35="","",SUM($AN35:$AN$114))</f>
        <v/>
      </c>
      <c r="AN35" s="408" t="str">
        <f t="shared" si="37"/>
        <v/>
      </c>
      <c r="AO35" s="753" t="str">
        <f t="shared" si="7"/>
        <v/>
      </c>
      <c r="AP35" s="752" t="str">
        <f>IF($U35="","",INDEX(#REF!,$U35+1))</f>
        <v/>
      </c>
      <c r="AQ35" s="408">
        <f t="shared" si="8"/>
        <v>0</v>
      </c>
      <c r="AR35" s="408" t="str">
        <f t="shared" si="9"/>
        <v/>
      </c>
      <c r="AS35" s="408" t="str">
        <f t="shared" si="10"/>
        <v/>
      </c>
      <c r="AT35" s="753" t="str">
        <f>IF($U35="","",SUM($AS35:$AS$114))</f>
        <v/>
      </c>
      <c r="AU35" s="752" t="str">
        <f>IF($U35="","",INDEX(#REF!,$U35+1))</f>
        <v/>
      </c>
      <c r="AV35" s="408">
        <f t="shared" si="11"/>
        <v>0</v>
      </c>
      <c r="AW35" s="408" t="str">
        <f t="shared" si="12"/>
        <v/>
      </c>
      <c r="AX35" s="408" t="str">
        <f t="shared" si="13"/>
        <v/>
      </c>
      <c r="AY35" s="753" t="str">
        <f>IF($U35="","",SUM($AX35:$AX$114))</f>
        <v/>
      </c>
      <c r="AZ35" s="752" t="str">
        <f>IF($U35="","",INDEX(#REF!,$U35+1))</f>
        <v/>
      </c>
      <c r="BA35" s="408">
        <f t="shared" si="14"/>
        <v>0</v>
      </c>
      <c r="BB35" s="408" t="str">
        <f t="shared" si="15"/>
        <v/>
      </c>
      <c r="BC35" s="408" t="str">
        <f t="shared" si="16"/>
        <v/>
      </c>
      <c r="BD35" s="753" t="str">
        <f>IF($U35="","",SUM($BC35:$BC$114))</f>
        <v/>
      </c>
      <c r="BE35" s="752" t="str">
        <f>IF($U35="","",INDEX(#REF!,$U35+1))</f>
        <v/>
      </c>
      <c r="BF35" s="408">
        <f t="shared" si="17"/>
        <v>0</v>
      </c>
      <c r="BG35" s="408" t="str">
        <f t="shared" si="18"/>
        <v/>
      </c>
      <c r="BH35" s="408" t="str">
        <f t="shared" si="19"/>
        <v/>
      </c>
      <c r="BI35" s="753" t="str">
        <f>IF($U35="","",SUM($BH35:$BH$114))</f>
        <v/>
      </c>
      <c r="BJ35" s="752" t="str">
        <f>IF($U35="","",INDEX(#REF!,$U35+1))</f>
        <v/>
      </c>
      <c r="BK35" s="408">
        <f t="shared" si="20"/>
        <v>0</v>
      </c>
      <c r="BL35" s="408" t="str">
        <f t="shared" si="21"/>
        <v/>
      </c>
      <c r="BM35" s="408" t="str">
        <f t="shared" si="22"/>
        <v/>
      </c>
      <c r="BN35" s="753" t="str">
        <f>IF($U35="","",SUM($BM35:$BM$114))</f>
        <v/>
      </c>
      <c r="BO35" s="752">
        <f t="shared" si="23"/>
        <v>0</v>
      </c>
      <c r="BP35" s="408" t="str">
        <f t="shared" si="24"/>
        <v/>
      </c>
      <c r="BQ35" s="408" t="str">
        <f t="shared" si="25"/>
        <v/>
      </c>
      <c r="BR35" s="408"/>
      <c r="BS35" s="408" t="str">
        <f t="shared" si="38"/>
        <v/>
      </c>
      <c r="BT35" s="408" t="str">
        <f t="shared" si="26"/>
        <v/>
      </c>
      <c r="BU35" s="408" t="str">
        <f t="shared" si="27"/>
        <v/>
      </c>
      <c r="BV35" s="408"/>
      <c r="BW35" s="408" t="str">
        <f t="shared" si="39"/>
        <v/>
      </c>
      <c r="BX35" s="408" t="str">
        <f>IF($U35="","",SUM(BS35:BS$114)+SUM(BW35:BW$114))</f>
        <v/>
      </c>
      <c r="BY35" s="754"/>
      <c r="BZ35" s="754"/>
      <c r="CA35" s="754"/>
      <c r="CB35" s="754"/>
      <c r="CC35" s="755" t="str">
        <f t="shared" si="0"/>
        <v/>
      </c>
      <c r="CD35" s="408" t="str">
        <f t="shared" si="40"/>
        <v/>
      </c>
      <c r="CE35" s="408" t="str">
        <f t="shared" si="28"/>
        <v/>
      </c>
      <c r="CF35" s="408" t="str">
        <f t="shared" si="29"/>
        <v/>
      </c>
      <c r="CG35" s="408" t="str">
        <f t="shared" si="41"/>
        <v/>
      </c>
      <c r="CH35" s="408" t="str">
        <f t="shared" si="30"/>
        <v/>
      </c>
      <c r="CI35" s="756" t="str">
        <f t="shared" si="42"/>
        <v/>
      </c>
      <c r="CJ35" s="757" t="str">
        <f t="shared" si="31"/>
        <v/>
      </c>
      <c r="CK35" s="413"/>
      <c r="CL35" s="750" t="str">
        <f t="shared" si="32"/>
        <v/>
      </c>
      <c r="CM35" s="757" t="str">
        <f t="shared" si="48"/>
        <v/>
      </c>
      <c r="CN35" s="757" t="str">
        <f t="shared" si="43"/>
        <v/>
      </c>
      <c r="CO35" s="757" t="str">
        <f t="shared" si="33"/>
        <v/>
      </c>
      <c r="CP35" s="757" t="str">
        <f t="shared" si="44"/>
        <v/>
      </c>
      <c r="CQ35" s="413"/>
      <c r="CR35" s="413"/>
      <c r="CS35" s="413"/>
      <c r="CT35" s="413"/>
      <c r="CU35" s="413"/>
      <c r="CV35" s="413"/>
      <c r="CW35" s="478"/>
      <c r="CX35" s="478"/>
      <c r="CY35" s="478"/>
      <c r="CZ35" s="478"/>
      <c r="DA35" s="478"/>
      <c r="DB35" s="478"/>
      <c r="DC35" s="478"/>
      <c r="DD35" s="478"/>
      <c r="DE35" s="478"/>
      <c r="DF35" s="478"/>
      <c r="DG35" s="478"/>
      <c r="DH35" s="478"/>
      <c r="DI35" s="478"/>
      <c r="DJ35" s="478"/>
      <c r="DK35" s="478"/>
      <c r="DL35" s="478"/>
      <c r="DM35" s="478"/>
      <c r="DN35" s="478"/>
      <c r="DO35" s="478"/>
      <c r="DP35" s="478"/>
      <c r="DQ35" s="478"/>
      <c r="DR35" s="478"/>
      <c r="DS35" s="478"/>
      <c r="DT35" s="478"/>
      <c r="DU35" s="478"/>
      <c r="DV35" s="478"/>
      <c r="DW35" s="478"/>
      <c r="DX35" s="478"/>
      <c r="DY35" s="478"/>
      <c r="DZ35" s="478"/>
      <c r="EA35" s="478"/>
      <c r="EB35" s="478"/>
      <c r="EC35" s="478"/>
      <c r="ED35" s="478"/>
    </row>
    <row r="36" spans="1:134">
      <c r="A36" s="305"/>
      <c r="B36" s="373"/>
      <c r="C36" s="117"/>
      <c r="D36" s="118" t="s">
        <v>57</v>
      </c>
      <c r="E36" s="250">
        <f>Main_무해지!E36</f>
        <v>0</v>
      </c>
      <c r="F36" s="118"/>
      <c r="G36" s="119"/>
      <c r="H36" s="292"/>
      <c r="I36" s="48"/>
      <c r="J36" s="95" t="s">
        <v>170</v>
      </c>
      <c r="K36" s="485">
        <f>CE4</f>
        <v>0</v>
      </c>
      <c r="M36" s="50"/>
      <c r="N36" s="280" t="str">
        <f t="shared" si="52"/>
        <v/>
      </c>
      <c r="O36" s="281" t="str">
        <f t="shared" si="53"/>
        <v/>
      </c>
      <c r="P36" s="282" t="str">
        <f t="shared" si="49"/>
        <v/>
      </c>
      <c r="Q36" s="282" t="str">
        <f t="shared" si="50"/>
        <v/>
      </c>
      <c r="R36" s="282" t="str">
        <f t="shared" si="51"/>
        <v/>
      </c>
      <c r="S36" s="402" t="str">
        <f t="shared" si="54"/>
        <v/>
      </c>
      <c r="T36" s="419"/>
      <c r="U36" s="52" t="str">
        <f t="shared" si="45"/>
        <v/>
      </c>
      <c r="V36" s="53" t="str">
        <f>Main_무해지!AC36</f>
        <v/>
      </c>
      <c r="W36" s="56">
        <f>+Main_무해지!AD36</f>
        <v>0</v>
      </c>
      <c r="X36" s="56">
        <v>0</v>
      </c>
      <c r="Y36" s="254" t="str">
        <f t="shared" si="46"/>
        <v/>
      </c>
      <c r="Z36" s="254" t="str">
        <f t="shared" si="1"/>
        <v/>
      </c>
      <c r="AA36" s="54" t="str">
        <f>IF($U36="","",SUM(Z36:Z$114))</f>
        <v/>
      </c>
      <c r="AB36" s="254" t="str">
        <f t="shared" si="35"/>
        <v/>
      </c>
      <c r="AC36" s="254">
        <f t="shared" si="36"/>
        <v>0</v>
      </c>
      <c r="AD36" s="254" t="str">
        <f>Main_무해지!AJ36</f>
        <v/>
      </c>
      <c r="AE36" s="254">
        <f t="shared" si="2"/>
        <v>0</v>
      </c>
      <c r="AF36" s="254" t="str">
        <f t="shared" si="47"/>
        <v/>
      </c>
      <c r="AG36" s="254" t="str">
        <f t="shared" si="3"/>
        <v/>
      </c>
      <c r="AH36" s="54" t="str">
        <f>IF($U36="","",SUM(AG36:AG$114))</f>
        <v/>
      </c>
      <c r="AI36" s="254" t="str">
        <f>Main_무해지!AP36</f>
        <v/>
      </c>
      <c r="AJ36" s="254">
        <f t="shared" si="4"/>
        <v>0</v>
      </c>
      <c r="AK36" s="254" t="str">
        <f t="shared" si="5"/>
        <v/>
      </c>
      <c r="AL36" s="254" t="str">
        <f t="shared" si="6"/>
        <v/>
      </c>
      <c r="AM36" s="57" t="str">
        <f>IF($U36="","",SUM($AN36:$AN$114))</f>
        <v/>
      </c>
      <c r="AN36" s="254" t="str">
        <f t="shared" si="37"/>
        <v/>
      </c>
      <c r="AO36" s="57" t="str">
        <f t="shared" si="7"/>
        <v/>
      </c>
      <c r="AP36" s="53" t="str">
        <f>IF($U36="","",INDEX(#REF!,$U36+1))</f>
        <v/>
      </c>
      <c r="AQ36" s="254">
        <f t="shared" si="8"/>
        <v>0</v>
      </c>
      <c r="AR36" s="254" t="str">
        <f t="shared" si="9"/>
        <v/>
      </c>
      <c r="AS36" s="254" t="str">
        <f t="shared" si="10"/>
        <v/>
      </c>
      <c r="AT36" s="57" t="str">
        <f>IF($U36="","",SUM($AS36:$AS$114))</f>
        <v/>
      </c>
      <c r="AU36" s="53" t="str">
        <f>IF($U36="","",INDEX(#REF!,$U36+1))</f>
        <v/>
      </c>
      <c r="AV36" s="254">
        <f t="shared" si="11"/>
        <v>0</v>
      </c>
      <c r="AW36" s="254" t="str">
        <f t="shared" si="12"/>
        <v/>
      </c>
      <c r="AX36" s="254" t="str">
        <f t="shared" si="13"/>
        <v/>
      </c>
      <c r="AY36" s="57" t="str">
        <f>IF($U36="","",SUM($AX36:$AX$114))</f>
        <v/>
      </c>
      <c r="AZ36" s="53" t="str">
        <f>IF($U36="","",INDEX(#REF!,$U36+1))</f>
        <v/>
      </c>
      <c r="BA36" s="254">
        <f t="shared" si="14"/>
        <v>0</v>
      </c>
      <c r="BB36" s="254" t="str">
        <f t="shared" si="15"/>
        <v/>
      </c>
      <c r="BC36" s="254" t="str">
        <f t="shared" si="16"/>
        <v/>
      </c>
      <c r="BD36" s="57" t="str">
        <f>IF($U36="","",SUM($BC36:$BC$114))</f>
        <v/>
      </c>
      <c r="BE36" s="53" t="str">
        <f>IF($U36="","",INDEX(#REF!,$U36+1))</f>
        <v/>
      </c>
      <c r="BF36" s="254">
        <f t="shared" si="17"/>
        <v>0</v>
      </c>
      <c r="BG36" s="254" t="str">
        <f t="shared" si="18"/>
        <v/>
      </c>
      <c r="BH36" s="254" t="str">
        <f t="shared" si="19"/>
        <v/>
      </c>
      <c r="BI36" s="57" t="str">
        <f>IF($U36="","",SUM($BH36:$BH$114))</f>
        <v/>
      </c>
      <c r="BJ36" s="53" t="str">
        <f>IF($U36="","",INDEX(#REF!,$U36+1))</f>
        <v/>
      </c>
      <c r="BK36" s="254">
        <f t="shared" si="20"/>
        <v>0</v>
      </c>
      <c r="BL36" s="254" t="str">
        <f t="shared" si="21"/>
        <v/>
      </c>
      <c r="BM36" s="254" t="str">
        <f t="shared" si="22"/>
        <v/>
      </c>
      <c r="BN36" s="57" t="str">
        <f>IF($U36="","",SUM($BM36:$BM$114))</f>
        <v/>
      </c>
      <c r="BO36" s="53">
        <f t="shared" si="23"/>
        <v>0</v>
      </c>
      <c r="BP36" s="254" t="str">
        <f t="shared" si="24"/>
        <v/>
      </c>
      <c r="BQ36" s="254" t="str">
        <f t="shared" si="25"/>
        <v/>
      </c>
      <c r="BR36" s="254"/>
      <c r="BS36" s="254" t="str">
        <f t="shared" si="38"/>
        <v/>
      </c>
      <c r="BT36" s="254" t="str">
        <f t="shared" si="26"/>
        <v/>
      </c>
      <c r="BU36" s="254" t="str">
        <f t="shared" si="27"/>
        <v/>
      </c>
      <c r="BV36" s="254"/>
      <c r="BW36" s="254" t="str">
        <f t="shared" si="39"/>
        <v/>
      </c>
      <c r="BX36" s="254" t="str">
        <f>IF($U36="","",SUM(BS36:BS$114)+SUM(BW36:BW$114))</f>
        <v/>
      </c>
      <c r="BY36" s="55"/>
      <c r="BZ36" s="55"/>
      <c r="CA36" s="55"/>
      <c r="CB36" s="55"/>
      <c r="CC36" s="390" t="str">
        <f t="shared" si="0"/>
        <v/>
      </c>
      <c r="CD36" s="254" t="str">
        <f t="shared" si="40"/>
        <v/>
      </c>
      <c r="CE36" s="254" t="str">
        <f t="shared" si="28"/>
        <v/>
      </c>
      <c r="CF36" s="254" t="str">
        <f t="shared" si="29"/>
        <v/>
      </c>
      <c r="CG36" s="254" t="str">
        <f t="shared" si="41"/>
        <v/>
      </c>
      <c r="CH36" s="254" t="str">
        <f t="shared" si="30"/>
        <v/>
      </c>
      <c r="CI36" s="58" t="str">
        <f t="shared" si="42"/>
        <v/>
      </c>
      <c r="CJ36" s="59" t="str">
        <f t="shared" si="31"/>
        <v/>
      </c>
      <c r="CK36" s="236"/>
      <c r="CL36" s="52" t="str">
        <f t="shared" si="32"/>
        <v/>
      </c>
      <c r="CM36" s="59" t="str">
        <f t="shared" si="48"/>
        <v/>
      </c>
      <c r="CN36" s="59" t="str">
        <f t="shared" si="43"/>
        <v/>
      </c>
      <c r="CO36" s="59" t="str">
        <f t="shared" si="33"/>
        <v/>
      </c>
      <c r="CP36" s="59" t="str">
        <f t="shared" si="44"/>
        <v/>
      </c>
      <c r="CQ36" s="236"/>
      <c r="CR36" s="236"/>
      <c r="CS36" s="236"/>
      <c r="CT36" s="236"/>
      <c r="CU36" s="236"/>
      <c r="CV36" s="236"/>
      <c r="CW36" s="478"/>
      <c r="CX36" s="478"/>
      <c r="CY36" s="478"/>
      <c r="CZ36" s="478"/>
      <c r="DA36" s="478"/>
      <c r="DB36" s="478"/>
      <c r="DC36" s="478"/>
      <c r="DD36" s="478"/>
      <c r="DE36" s="478"/>
      <c r="DF36" s="478"/>
      <c r="DG36" s="478"/>
      <c r="DH36" s="478"/>
      <c r="DI36" s="478"/>
      <c r="DJ36" s="478"/>
      <c r="DK36" s="478"/>
      <c r="DL36" s="478"/>
      <c r="DM36" s="478"/>
      <c r="DN36" s="478"/>
      <c r="DO36" s="478"/>
      <c r="DP36" s="478"/>
      <c r="DQ36" s="478"/>
      <c r="DR36" s="478"/>
      <c r="DS36" s="478"/>
      <c r="DT36" s="478"/>
      <c r="DU36" s="478"/>
      <c r="DV36" s="478"/>
      <c r="DW36" s="478"/>
      <c r="DX36" s="478"/>
      <c r="DY36" s="478"/>
      <c r="DZ36" s="478"/>
      <c r="EA36" s="478"/>
      <c r="EB36" s="478"/>
      <c r="EC36" s="478"/>
      <c r="ED36" s="478"/>
    </row>
    <row r="37" spans="1:134">
      <c r="A37" s="305"/>
      <c r="B37" s="373"/>
      <c r="C37" s="127"/>
      <c r="D37" s="128" t="s">
        <v>51</v>
      </c>
      <c r="E37" s="250">
        <f>Main_무해지!E37</f>
        <v>0</v>
      </c>
      <c r="F37" s="128"/>
      <c r="G37" s="129"/>
      <c r="H37" s="292"/>
      <c r="I37" s="82"/>
      <c r="J37" s="96" t="s">
        <v>212</v>
      </c>
      <c r="K37" s="296">
        <f>F7</f>
        <v>0</v>
      </c>
      <c r="M37" s="50"/>
      <c r="N37" s="275" t="str">
        <f t="shared" si="52"/>
        <v/>
      </c>
      <c r="O37" s="276" t="str">
        <f t="shared" si="53"/>
        <v/>
      </c>
      <c r="P37" s="277" t="str">
        <f t="shared" si="49"/>
        <v/>
      </c>
      <c r="Q37" s="277" t="str">
        <f t="shared" si="50"/>
        <v/>
      </c>
      <c r="R37" s="277" t="str">
        <f t="shared" si="51"/>
        <v/>
      </c>
      <c r="S37" s="401" t="str">
        <f t="shared" si="54"/>
        <v/>
      </c>
      <c r="T37" s="419"/>
      <c r="U37" s="52" t="str">
        <f t="shared" si="45"/>
        <v/>
      </c>
      <c r="V37" s="53" t="str">
        <f>Main_무해지!AC37</f>
        <v/>
      </c>
      <c r="W37" s="56">
        <f>+Main_무해지!AD37</f>
        <v>0</v>
      </c>
      <c r="X37" s="56">
        <v>0</v>
      </c>
      <c r="Y37" s="254" t="str">
        <f t="shared" si="46"/>
        <v/>
      </c>
      <c r="Z37" s="254" t="str">
        <f t="shared" si="1"/>
        <v/>
      </c>
      <c r="AA37" s="54" t="str">
        <f>IF($U37="","",SUM(Z37:Z$114))</f>
        <v/>
      </c>
      <c r="AB37" s="254" t="str">
        <f t="shared" si="35"/>
        <v/>
      </c>
      <c r="AC37" s="254">
        <f t="shared" si="36"/>
        <v>0</v>
      </c>
      <c r="AD37" s="254" t="str">
        <f>Main_무해지!AJ37</f>
        <v/>
      </c>
      <c r="AE37" s="254">
        <f t="shared" si="2"/>
        <v>0</v>
      </c>
      <c r="AF37" s="254" t="str">
        <f t="shared" si="47"/>
        <v/>
      </c>
      <c r="AG37" s="254" t="str">
        <f t="shared" si="3"/>
        <v/>
      </c>
      <c r="AH37" s="54" t="str">
        <f>IF($U37="","",SUM(AG37:AG$114))</f>
        <v/>
      </c>
      <c r="AI37" s="254" t="str">
        <f>Main_무해지!AP37</f>
        <v/>
      </c>
      <c r="AJ37" s="254">
        <f t="shared" si="4"/>
        <v>0</v>
      </c>
      <c r="AK37" s="254" t="str">
        <f t="shared" si="5"/>
        <v/>
      </c>
      <c r="AL37" s="254" t="str">
        <f t="shared" si="6"/>
        <v/>
      </c>
      <c r="AM37" s="57" t="str">
        <f>IF($U37="","",SUM($AN37:$AN$114))</f>
        <v/>
      </c>
      <c r="AN37" s="254" t="str">
        <f t="shared" si="37"/>
        <v/>
      </c>
      <c r="AO37" s="57" t="str">
        <f t="shared" si="7"/>
        <v/>
      </c>
      <c r="AP37" s="53" t="str">
        <f>IF($U37="","",INDEX(#REF!,$U37+1))</f>
        <v/>
      </c>
      <c r="AQ37" s="254">
        <f t="shared" si="8"/>
        <v>0</v>
      </c>
      <c r="AR37" s="254" t="str">
        <f t="shared" si="9"/>
        <v/>
      </c>
      <c r="AS37" s="254" t="str">
        <f t="shared" si="10"/>
        <v/>
      </c>
      <c r="AT37" s="57" t="str">
        <f>IF($U37="","",SUM($AS37:$AS$114))</f>
        <v/>
      </c>
      <c r="AU37" s="53" t="str">
        <f>IF($U37="","",INDEX(#REF!,$U37+1))</f>
        <v/>
      </c>
      <c r="AV37" s="254">
        <f t="shared" si="11"/>
        <v>0</v>
      </c>
      <c r="AW37" s="254" t="str">
        <f t="shared" si="12"/>
        <v/>
      </c>
      <c r="AX37" s="254" t="str">
        <f t="shared" si="13"/>
        <v/>
      </c>
      <c r="AY37" s="57" t="str">
        <f>IF($U37="","",SUM($AX37:$AX$114))</f>
        <v/>
      </c>
      <c r="AZ37" s="53" t="str">
        <f>IF($U37="","",INDEX(#REF!,$U37+1))</f>
        <v/>
      </c>
      <c r="BA37" s="254">
        <f t="shared" si="14"/>
        <v>0</v>
      </c>
      <c r="BB37" s="254" t="str">
        <f t="shared" si="15"/>
        <v/>
      </c>
      <c r="BC37" s="254" t="str">
        <f t="shared" si="16"/>
        <v/>
      </c>
      <c r="BD37" s="57" t="str">
        <f>IF($U37="","",SUM($BC37:$BC$114))</f>
        <v/>
      </c>
      <c r="BE37" s="53" t="str">
        <f>IF($U37="","",INDEX(#REF!,$U37+1))</f>
        <v/>
      </c>
      <c r="BF37" s="254">
        <f t="shared" si="17"/>
        <v>0</v>
      </c>
      <c r="BG37" s="254" t="str">
        <f t="shared" si="18"/>
        <v/>
      </c>
      <c r="BH37" s="254" t="str">
        <f t="shared" si="19"/>
        <v/>
      </c>
      <c r="BI37" s="57" t="str">
        <f>IF($U37="","",SUM($BH37:$BH$114))</f>
        <v/>
      </c>
      <c r="BJ37" s="53" t="str">
        <f>IF($U37="","",INDEX(#REF!,$U37+1))</f>
        <v/>
      </c>
      <c r="BK37" s="254">
        <f t="shared" si="20"/>
        <v>0</v>
      </c>
      <c r="BL37" s="254" t="str">
        <f t="shared" si="21"/>
        <v/>
      </c>
      <c r="BM37" s="254" t="str">
        <f t="shared" si="22"/>
        <v/>
      </c>
      <c r="BN37" s="57" t="str">
        <f>IF($U37="","",SUM($BM37:$BM$114))</f>
        <v/>
      </c>
      <c r="BO37" s="53">
        <f t="shared" si="23"/>
        <v>0</v>
      </c>
      <c r="BP37" s="254" t="str">
        <f t="shared" si="24"/>
        <v/>
      </c>
      <c r="BQ37" s="254" t="str">
        <f t="shared" si="25"/>
        <v/>
      </c>
      <c r="BR37" s="254"/>
      <c r="BS37" s="254" t="str">
        <f t="shared" si="38"/>
        <v/>
      </c>
      <c r="BT37" s="254" t="str">
        <f t="shared" si="26"/>
        <v/>
      </c>
      <c r="BU37" s="254" t="str">
        <f t="shared" si="27"/>
        <v/>
      </c>
      <c r="BV37" s="254"/>
      <c r="BW37" s="254" t="str">
        <f t="shared" si="39"/>
        <v/>
      </c>
      <c r="BX37" s="254" t="str">
        <f>IF($U37="","",SUM(BS37:BS$114)+SUM(BW37:BW$114))</f>
        <v/>
      </c>
      <c r="BY37" s="55"/>
      <c r="BZ37" s="55"/>
      <c r="CA37" s="55"/>
      <c r="CB37" s="55"/>
      <c r="CC37" s="390" t="str">
        <f t="shared" si="0"/>
        <v/>
      </c>
      <c r="CD37" s="254" t="str">
        <f t="shared" si="40"/>
        <v/>
      </c>
      <c r="CE37" s="254" t="str">
        <f t="shared" si="28"/>
        <v/>
      </c>
      <c r="CF37" s="254" t="str">
        <f t="shared" si="29"/>
        <v/>
      </c>
      <c r="CG37" s="254" t="str">
        <f t="shared" si="41"/>
        <v/>
      </c>
      <c r="CH37" s="254" t="str">
        <f t="shared" si="30"/>
        <v/>
      </c>
      <c r="CI37" s="58" t="str">
        <f t="shared" si="42"/>
        <v/>
      </c>
      <c r="CJ37" s="59" t="str">
        <f t="shared" si="31"/>
        <v/>
      </c>
      <c r="CK37" s="236"/>
      <c r="CL37" s="52" t="str">
        <f t="shared" si="32"/>
        <v/>
      </c>
      <c r="CM37" s="59" t="str">
        <f t="shared" si="48"/>
        <v/>
      </c>
      <c r="CN37" s="59" t="str">
        <f t="shared" si="43"/>
        <v/>
      </c>
      <c r="CO37" s="59" t="str">
        <f t="shared" si="33"/>
        <v/>
      </c>
      <c r="CP37" s="59" t="str">
        <f t="shared" si="44"/>
        <v/>
      </c>
      <c r="CQ37" s="236"/>
      <c r="CR37" s="236"/>
      <c r="CS37" s="236"/>
      <c r="CT37" s="236"/>
      <c r="CU37" s="236"/>
      <c r="CV37" s="236"/>
      <c r="CW37" s="478"/>
      <c r="CX37" s="478"/>
      <c r="CY37" s="478"/>
      <c r="CZ37" s="478"/>
      <c r="DA37" s="478"/>
      <c r="DB37" s="478"/>
      <c r="DC37" s="478"/>
      <c r="DD37" s="478"/>
      <c r="DE37" s="478"/>
      <c r="DF37" s="478"/>
      <c r="DG37" s="478"/>
      <c r="DH37" s="478"/>
      <c r="DI37" s="478"/>
      <c r="DJ37" s="478"/>
      <c r="DK37" s="478"/>
      <c r="DL37" s="478"/>
      <c r="DM37" s="478"/>
      <c r="DN37" s="478"/>
      <c r="DO37" s="478"/>
      <c r="DP37" s="478"/>
      <c r="DQ37" s="478"/>
      <c r="DR37" s="478"/>
      <c r="DS37" s="478"/>
      <c r="DT37" s="478"/>
      <c r="DU37" s="478"/>
      <c r="DV37" s="478"/>
      <c r="DW37" s="478"/>
      <c r="DX37" s="478"/>
      <c r="DY37" s="478"/>
      <c r="DZ37" s="478"/>
      <c r="EA37" s="478"/>
      <c r="EB37" s="478"/>
      <c r="EC37" s="478"/>
      <c r="ED37" s="478"/>
    </row>
    <row r="38" spans="1:134" ht="17.25" thickBot="1">
      <c r="A38" s="305"/>
      <c r="B38" s="373"/>
      <c r="C38" s="93"/>
      <c r="D38" s="143" t="s">
        <v>52</v>
      </c>
      <c r="E38" s="452">
        <f>Main_무해지!E38</f>
        <v>0</v>
      </c>
      <c r="F38" s="143"/>
      <c r="G38" s="94"/>
      <c r="H38" s="292"/>
      <c r="I38" s="99"/>
      <c r="J38" s="100" t="s">
        <v>213</v>
      </c>
      <c r="K38" s="297">
        <f>F6</f>
        <v>12</v>
      </c>
      <c r="M38" s="50"/>
      <c r="N38" s="278" t="str">
        <f t="shared" si="52"/>
        <v/>
      </c>
      <c r="O38" s="279" t="str">
        <f t="shared" si="53"/>
        <v/>
      </c>
      <c r="P38" s="271" t="str">
        <f t="shared" si="49"/>
        <v/>
      </c>
      <c r="Q38" s="271" t="str">
        <f t="shared" si="50"/>
        <v/>
      </c>
      <c r="R38" s="271" t="str">
        <f t="shared" si="51"/>
        <v/>
      </c>
      <c r="S38" s="400" t="str">
        <f t="shared" si="54"/>
        <v/>
      </c>
      <c r="T38" s="419"/>
      <c r="U38" s="52" t="str">
        <f t="shared" si="45"/>
        <v/>
      </c>
      <c r="V38" s="53" t="str">
        <f>Main_무해지!AC38</f>
        <v/>
      </c>
      <c r="W38" s="56">
        <f>+Main_무해지!AD38</f>
        <v>0</v>
      </c>
      <c r="X38" s="56">
        <v>0</v>
      </c>
      <c r="Y38" s="254" t="str">
        <f t="shared" si="46"/>
        <v/>
      </c>
      <c r="Z38" s="254" t="str">
        <f t="shared" si="1"/>
        <v/>
      </c>
      <c r="AA38" s="54" t="str">
        <f>IF($U38="","",SUM(Z38:Z$114))</f>
        <v/>
      </c>
      <c r="AB38" s="254" t="str">
        <f t="shared" si="35"/>
        <v/>
      </c>
      <c r="AC38" s="254">
        <f t="shared" si="36"/>
        <v>0</v>
      </c>
      <c r="AD38" s="254" t="str">
        <f>Main_무해지!AJ38</f>
        <v/>
      </c>
      <c r="AE38" s="254">
        <f t="shared" si="2"/>
        <v>0</v>
      </c>
      <c r="AF38" s="254" t="str">
        <f t="shared" si="47"/>
        <v/>
      </c>
      <c r="AG38" s="254" t="str">
        <f t="shared" si="3"/>
        <v/>
      </c>
      <c r="AH38" s="54" t="str">
        <f>IF($U38="","",SUM(AG38:AG$114))</f>
        <v/>
      </c>
      <c r="AI38" s="254" t="str">
        <f>Main_무해지!AP38</f>
        <v/>
      </c>
      <c r="AJ38" s="254">
        <f t="shared" si="4"/>
        <v>0</v>
      </c>
      <c r="AK38" s="254" t="str">
        <f t="shared" si="5"/>
        <v/>
      </c>
      <c r="AL38" s="254" t="str">
        <f t="shared" si="6"/>
        <v/>
      </c>
      <c r="AM38" s="57" t="str">
        <f>IF($U38="","",SUM($AN38:$AN$114))</f>
        <v/>
      </c>
      <c r="AN38" s="254" t="str">
        <f t="shared" si="37"/>
        <v/>
      </c>
      <c r="AO38" s="57" t="str">
        <f t="shared" si="7"/>
        <v/>
      </c>
      <c r="AP38" s="53" t="str">
        <f>IF($U38="","",INDEX(#REF!,$U38+1))</f>
        <v/>
      </c>
      <c r="AQ38" s="254">
        <f t="shared" si="8"/>
        <v>0</v>
      </c>
      <c r="AR38" s="254" t="str">
        <f t="shared" si="9"/>
        <v/>
      </c>
      <c r="AS38" s="254" t="str">
        <f t="shared" si="10"/>
        <v/>
      </c>
      <c r="AT38" s="57" t="str">
        <f>IF($U38="","",SUM($AS38:$AS$114))</f>
        <v/>
      </c>
      <c r="AU38" s="53" t="str">
        <f>IF($U38="","",INDEX(#REF!,$U38+1))</f>
        <v/>
      </c>
      <c r="AV38" s="254">
        <f t="shared" si="11"/>
        <v>0</v>
      </c>
      <c r="AW38" s="254" t="str">
        <f t="shared" si="12"/>
        <v/>
      </c>
      <c r="AX38" s="254" t="str">
        <f t="shared" si="13"/>
        <v/>
      </c>
      <c r="AY38" s="57" t="str">
        <f>IF($U38="","",SUM($AX38:$AX$114))</f>
        <v/>
      </c>
      <c r="AZ38" s="53" t="str">
        <f>IF($U38="","",INDEX(#REF!,$U38+1))</f>
        <v/>
      </c>
      <c r="BA38" s="254">
        <f t="shared" si="14"/>
        <v>0</v>
      </c>
      <c r="BB38" s="254" t="str">
        <f t="shared" si="15"/>
        <v/>
      </c>
      <c r="BC38" s="254" t="str">
        <f t="shared" si="16"/>
        <v/>
      </c>
      <c r="BD38" s="57" t="str">
        <f>IF($U38="","",SUM($BC38:$BC$114))</f>
        <v/>
      </c>
      <c r="BE38" s="53" t="str">
        <f>IF($U38="","",INDEX(#REF!,$U38+1))</f>
        <v/>
      </c>
      <c r="BF38" s="254">
        <f t="shared" si="17"/>
        <v>0</v>
      </c>
      <c r="BG38" s="254" t="str">
        <f t="shared" si="18"/>
        <v/>
      </c>
      <c r="BH38" s="254" t="str">
        <f t="shared" si="19"/>
        <v/>
      </c>
      <c r="BI38" s="57" t="str">
        <f>IF($U38="","",SUM($BH38:$BH$114))</f>
        <v/>
      </c>
      <c r="BJ38" s="53" t="str">
        <f>IF($U38="","",INDEX(#REF!,$U38+1))</f>
        <v/>
      </c>
      <c r="BK38" s="254">
        <f t="shared" si="20"/>
        <v>0</v>
      </c>
      <c r="BL38" s="254" t="str">
        <f t="shared" si="21"/>
        <v/>
      </c>
      <c r="BM38" s="254" t="str">
        <f t="shared" si="22"/>
        <v/>
      </c>
      <c r="BN38" s="57" t="str">
        <f>IF($U38="","",SUM($BM38:$BM$114))</f>
        <v/>
      </c>
      <c r="BO38" s="53">
        <f t="shared" si="23"/>
        <v>0</v>
      </c>
      <c r="BP38" s="254" t="str">
        <f t="shared" si="24"/>
        <v/>
      </c>
      <c r="BQ38" s="254" t="str">
        <f t="shared" si="25"/>
        <v/>
      </c>
      <c r="BR38" s="254"/>
      <c r="BS38" s="254" t="str">
        <f t="shared" si="38"/>
        <v/>
      </c>
      <c r="BT38" s="254" t="str">
        <f t="shared" si="26"/>
        <v/>
      </c>
      <c r="BU38" s="254" t="str">
        <f t="shared" si="27"/>
        <v/>
      </c>
      <c r="BV38" s="254"/>
      <c r="BW38" s="254" t="str">
        <f t="shared" si="39"/>
        <v/>
      </c>
      <c r="BX38" s="254" t="str">
        <f>IF($U38="","",SUM(BS38:BS$114)+SUM(BW38:BW$114))</f>
        <v/>
      </c>
      <c r="BY38" s="55"/>
      <c r="BZ38" s="55"/>
      <c r="CA38" s="55"/>
      <c r="CB38" s="55"/>
      <c r="CC38" s="390" t="str">
        <f t="shared" si="0"/>
        <v/>
      </c>
      <c r="CD38" s="254" t="str">
        <f t="shared" si="40"/>
        <v/>
      </c>
      <c r="CE38" s="254" t="str">
        <f t="shared" si="28"/>
        <v/>
      </c>
      <c r="CF38" s="254" t="str">
        <f t="shared" si="29"/>
        <v/>
      </c>
      <c r="CG38" s="254" t="str">
        <f t="shared" si="41"/>
        <v/>
      </c>
      <c r="CH38" s="254" t="str">
        <f t="shared" si="30"/>
        <v/>
      </c>
      <c r="CI38" s="58" t="str">
        <f t="shared" si="42"/>
        <v/>
      </c>
      <c r="CJ38" s="59" t="str">
        <f t="shared" si="31"/>
        <v/>
      </c>
      <c r="CK38" s="236"/>
      <c r="CL38" s="52" t="str">
        <f t="shared" si="32"/>
        <v/>
      </c>
      <c r="CM38" s="59" t="str">
        <f t="shared" si="48"/>
        <v/>
      </c>
      <c r="CN38" s="59" t="str">
        <f t="shared" si="43"/>
        <v/>
      </c>
      <c r="CO38" s="59" t="str">
        <f t="shared" si="33"/>
        <v/>
      </c>
      <c r="CP38" s="59" t="str">
        <f t="shared" si="44"/>
        <v/>
      </c>
      <c r="CQ38" s="236"/>
      <c r="CR38" s="236"/>
      <c r="CS38" s="236"/>
      <c r="CT38" s="236"/>
      <c r="CU38" s="236"/>
      <c r="CV38" s="236"/>
      <c r="CW38" s="478"/>
      <c r="CX38" s="478"/>
      <c r="CY38" s="478"/>
      <c r="CZ38" s="478"/>
      <c r="DA38" s="478"/>
      <c r="DB38" s="478"/>
      <c r="DC38" s="478"/>
      <c r="DD38" s="478"/>
      <c r="DE38" s="478"/>
      <c r="DF38" s="478"/>
      <c r="DG38" s="478"/>
      <c r="DH38" s="478"/>
      <c r="DI38" s="478"/>
      <c r="DJ38" s="478"/>
      <c r="DK38" s="478"/>
      <c r="DL38" s="478"/>
      <c r="DM38" s="478"/>
      <c r="DN38" s="478"/>
      <c r="DO38" s="478"/>
      <c r="DP38" s="478"/>
      <c r="DQ38" s="478"/>
      <c r="DR38" s="478"/>
      <c r="DS38" s="478"/>
      <c r="DT38" s="478"/>
      <c r="DU38" s="478"/>
      <c r="DV38" s="478"/>
      <c r="DW38" s="478"/>
      <c r="DX38" s="478"/>
      <c r="DY38" s="478"/>
      <c r="DZ38" s="478"/>
      <c r="EA38" s="478"/>
      <c r="EB38" s="478"/>
      <c r="EC38" s="478"/>
      <c r="ED38" s="478"/>
    </row>
    <row r="39" spans="1:134">
      <c r="A39" s="305"/>
      <c r="B39" s="373"/>
      <c r="H39" s="292"/>
      <c r="I39" s="48" t="s">
        <v>41</v>
      </c>
      <c r="J39" s="51" t="s">
        <v>42</v>
      </c>
      <c r="K39" s="486">
        <f>((K35+K36)*(1-E28-E30))+(E23*K20+E27*K17+E29*K18)*(K19)/K17</f>
        <v>0.6165400074913292</v>
      </c>
      <c r="M39" s="50"/>
      <c r="N39" s="278" t="str">
        <f t="shared" si="52"/>
        <v/>
      </c>
      <c r="O39" s="279" t="str">
        <f t="shared" si="53"/>
        <v/>
      </c>
      <c r="P39" s="271" t="str">
        <f t="shared" si="49"/>
        <v/>
      </c>
      <c r="Q39" s="271" t="str">
        <f t="shared" si="50"/>
        <v/>
      </c>
      <c r="R39" s="271" t="str">
        <f t="shared" si="51"/>
        <v/>
      </c>
      <c r="S39" s="400" t="str">
        <f t="shared" si="54"/>
        <v/>
      </c>
      <c r="T39" s="419"/>
      <c r="U39" s="60" t="str">
        <f t="shared" si="45"/>
        <v/>
      </c>
      <c r="V39" s="61" t="str">
        <f>Main_무해지!AC39</f>
        <v/>
      </c>
      <c r="W39" s="64">
        <f>+Main_무해지!AD39</f>
        <v>0</v>
      </c>
      <c r="X39" s="64">
        <v>0</v>
      </c>
      <c r="Y39" s="255" t="str">
        <f t="shared" si="46"/>
        <v/>
      </c>
      <c r="Z39" s="255" t="str">
        <f t="shared" si="1"/>
        <v/>
      </c>
      <c r="AA39" s="62" t="str">
        <f>IF($U39="","",SUM(Z39:Z$114))</f>
        <v/>
      </c>
      <c r="AB39" s="255" t="str">
        <f t="shared" si="35"/>
        <v/>
      </c>
      <c r="AC39" s="254">
        <f t="shared" si="36"/>
        <v>0</v>
      </c>
      <c r="AD39" s="254" t="str">
        <f>Main_무해지!AJ39</f>
        <v/>
      </c>
      <c r="AE39" s="255">
        <f t="shared" si="2"/>
        <v>0</v>
      </c>
      <c r="AF39" s="255" t="str">
        <f t="shared" si="47"/>
        <v/>
      </c>
      <c r="AG39" s="255" t="str">
        <f t="shared" si="3"/>
        <v/>
      </c>
      <c r="AH39" s="62" t="str">
        <f>IF($U39="","",SUM(AG39:AG$114))</f>
        <v/>
      </c>
      <c r="AI39" s="255" t="str">
        <f>Main_무해지!AP39</f>
        <v/>
      </c>
      <c r="AJ39" s="255">
        <f t="shared" si="4"/>
        <v>0</v>
      </c>
      <c r="AK39" s="255" t="str">
        <f t="shared" si="5"/>
        <v/>
      </c>
      <c r="AL39" s="255" t="str">
        <f t="shared" si="6"/>
        <v/>
      </c>
      <c r="AM39" s="65" t="str">
        <f>IF($U39="","",SUM($AN39:$AN$114))</f>
        <v/>
      </c>
      <c r="AN39" s="255" t="str">
        <f t="shared" si="37"/>
        <v/>
      </c>
      <c r="AO39" s="65" t="str">
        <f t="shared" si="7"/>
        <v/>
      </c>
      <c r="AP39" s="61" t="str">
        <f>IF($U39="","",INDEX(#REF!,$U39+1))</f>
        <v/>
      </c>
      <c r="AQ39" s="255">
        <f t="shared" si="8"/>
        <v>0</v>
      </c>
      <c r="AR39" s="255" t="str">
        <f t="shared" si="9"/>
        <v/>
      </c>
      <c r="AS39" s="255" t="str">
        <f t="shared" si="10"/>
        <v/>
      </c>
      <c r="AT39" s="65" t="str">
        <f>IF($U39="","",SUM($AS39:$AS$114))</f>
        <v/>
      </c>
      <c r="AU39" s="61" t="str">
        <f>IF($U39="","",INDEX(#REF!,$U39+1))</f>
        <v/>
      </c>
      <c r="AV39" s="255">
        <f t="shared" si="11"/>
        <v>0</v>
      </c>
      <c r="AW39" s="255" t="str">
        <f t="shared" si="12"/>
        <v/>
      </c>
      <c r="AX39" s="255" t="str">
        <f t="shared" si="13"/>
        <v/>
      </c>
      <c r="AY39" s="65" t="str">
        <f>IF($U39="","",SUM($AX39:$AX$114))</f>
        <v/>
      </c>
      <c r="AZ39" s="61" t="str">
        <f>IF($U39="","",INDEX(#REF!,$U39+1))</f>
        <v/>
      </c>
      <c r="BA39" s="255">
        <f t="shared" si="14"/>
        <v>0</v>
      </c>
      <c r="BB39" s="255" t="str">
        <f t="shared" si="15"/>
        <v/>
      </c>
      <c r="BC39" s="255" t="str">
        <f t="shared" si="16"/>
        <v/>
      </c>
      <c r="BD39" s="65" t="str">
        <f>IF($U39="","",SUM($BC39:$BC$114))</f>
        <v/>
      </c>
      <c r="BE39" s="61" t="str">
        <f>IF($U39="","",INDEX(#REF!,$U39+1))</f>
        <v/>
      </c>
      <c r="BF39" s="255">
        <f t="shared" si="17"/>
        <v>0</v>
      </c>
      <c r="BG39" s="255" t="str">
        <f t="shared" si="18"/>
        <v/>
      </c>
      <c r="BH39" s="255" t="str">
        <f t="shared" si="19"/>
        <v/>
      </c>
      <c r="BI39" s="65" t="str">
        <f>IF($U39="","",SUM($BH39:$BH$114))</f>
        <v/>
      </c>
      <c r="BJ39" s="61" t="str">
        <f>IF($U39="","",INDEX(#REF!,$U39+1))</f>
        <v/>
      </c>
      <c r="BK39" s="255">
        <f t="shared" si="20"/>
        <v>0</v>
      </c>
      <c r="BL39" s="255" t="str">
        <f t="shared" si="21"/>
        <v/>
      </c>
      <c r="BM39" s="255" t="str">
        <f t="shared" si="22"/>
        <v/>
      </c>
      <c r="BN39" s="65" t="str">
        <f>IF($U39="","",SUM($BM39:$BM$114))</f>
        <v/>
      </c>
      <c r="BO39" s="61">
        <f t="shared" si="23"/>
        <v>0</v>
      </c>
      <c r="BP39" s="255" t="str">
        <f t="shared" si="24"/>
        <v/>
      </c>
      <c r="BQ39" s="255" t="str">
        <f t="shared" si="25"/>
        <v/>
      </c>
      <c r="BR39" s="255"/>
      <c r="BS39" s="255" t="str">
        <f t="shared" si="38"/>
        <v/>
      </c>
      <c r="BT39" s="255" t="str">
        <f t="shared" si="26"/>
        <v/>
      </c>
      <c r="BU39" s="255" t="str">
        <f t="shared" si="27"/>
        <v/>
      </c>
      <c r="BV39" s="255"/>
      <c r="BW39" s="255" t="str">
        <f t="shared" si="39"/>
        <v/>
      </c>
      <c r="BX39" s="255" t="str">
        <f>IF($U39="","",SUM(BS39:BS$114)+SUM(BW39:BW$114))</f>
        <v/>
      </c>
      <c r="BY39" s="63"/>
      <c r="BZ39" s="63"/>
      <c r="CA39" s="63"/>
      <c r="CB39" s="63"/>
      <c r="CC39" s="391" t="str">
        <f t="shared" si="0"/>
        <v/>
      </c>
      <c r="CD39" s="255" t="str">
        <f t="shared" si="40"/>
        <v/>
      </c>
      <c r="CE39" s="255" t="str">
        <f t="shared" si="28"/>
        <v/>
      </c>
      <c r="CF39" s="255" t="str">
        <f t="shared" si="29"/>
        <v/>
      </c>
      <c r="CG39" s="255" t="str">
        <f t="shared" si="41"/>
        <v/>
      </c>
      <c r="CH39" s="255" t="str">
        <f t="shared" si="30"/>
        <v/>
      </c>
      <c r="CI39" s="66" t="str">
        <f t="shared" si="42"/>
        <v/>
      </c>
      <c r="CJ39" s="67" t="str">
        <f t="shared" si="31"/>
        <v/>
      </c>
      <c r="CK39" s="237"/>
      <c r="CL39" s="60" t="str">
        <f t="shared" si="32"/>
        <v/>
      </c>
      <c r="CM39" s="67" t="str">
        <f t="shared" si="48"/>
        <v/>
      </c>
      <c r="CN39" s="67" t="str">
        <f t="shared" si="43"/>
        <v/>
      </c>
      <c r="CO39" s="67" t="str">
        <f t="shared" si="33"/>
        <v/>
      </c>
      <c r="CP39" s="67" t="str">
        <f t="shared" si="44"/>
        <v/>
      </c>
      <c r="CQ39" s="237"/>
      <c r="CR39" s="237"/>
      <c r="CS39" s="237"/>
      <c r="CT39" s="237"/>
      <c r="CU39" s="237"/>
      <c r="CV39" s="237"/>
      <c r="CW39" s="478"/>
      <c r="CX39" s="478"/>
      <c r="CY39" s="478"/>
      <c r="CZ39" s="478"/>
      <c r="DA39" s="478"/>
      <c r="DB39" s="478"/>
      <c r="DC39" s="478"/>
      <c r="DD39" s="478"/>
      <c r="DE39" s="478"/>
      <c r="DF39" s="478"/>
      <c r="DG39" s="478"/>
      <c r="DH39" s="478"/>
      <c r="DI39" s="478"/>
      <c r="DJ39" s="478"/>
      <c r="DK39" s="478"/>
      <c r="DL39" s="478"/>
      <c r="DM39" s="478"/>
      <c r="DN39" s="478"/>
      <c r="DO39" s="478"/>
      <c r="DP39" s="478"/>
      <c r="DQ39" s="478"/>
      <c r="DR39" s="478"/>
      <c r="DS39" s="478"/>
      <c r="DT39" s="478"/>
      <c r="DU39" s="478"/>
      <c r="DV39" s="478"/>
      <c r="DW39" s="478"/>
      <c r="DX39" s="478"/>
      <c r="DY39" s="478"/>
      <c r="DZ39" s="478"/>
      <c r="EA39" s="478"/>
      <c r="EB39" s="478"/>
      <c r="EC39" s="478"/>
      <c r="ED39" s="478"/>
    </row>
    <row r="40" spans="1:134" ht="17.25" thickBot="1">
      <c r="A40" s="305"/>
      <c r="B40" s="373"/>
      <c r="H40" s="292"/>
      <c r="I40" s="48" t="s">
        <v>26</v>
      </c>
      <c r="J40" s="51" t="s">
        <v>44</v>
      </c>
      <c r="K40" s="486">
        <f>K17*(1-E28-E30)-(K19)*(1+E24*K20/K17)</f>
        <v>87500.000000000015</v>
      </c>
      <c r="M40" s="50"/>
      <c r="N40" s="278" t="str">
        <f t="shared" si="52"/>
        <v/>
      </c>
      <c r="O40" s="279" t="str">
        <f t="shared" si="53"/>
        <v/>
      </c>
      <c r="P40" s="271" t="str">
        <f t="shared" si="49"/>
        <v/>
      </c>
      <c r="Q40" s="271" t="str">
        <f t="shared" si="50"/>
        <v/>
      </c>
      <c r="R40" s="271" t="str">
        <f t="shared" si="51"/>
        <v/>
      </c>
      <c r="S40" s="400" t="str">
        <f t="shared" si="54"/>
        <v/>
      </c>
      <c r="T40" s="419"/>
      <c r="U40" s="759" t="str">
        <f t="shared" si="45"/>
        <v/>
      </c>
      <c r="V40" s="761" t="str">
        <f>Main_무해지!AC40</f>
        <v/>
      </c>
      <c r="W40" s="639">
        <f>+Main_무해지!AD40</f>
        <v>0</v>
      </c>
      <c r="X40" s="639">
        <v>0</v>
      </c>
      <c r="Y40" s="409" t="str">
        <f t="shared" si="46"/>
        <v/>
      </c>
      <c r="Z40" s="409" t="str">
        <f t="shared" si="1"/>
        <v/>
      </c>
      <c r="AA40" s="760" t="str">
        <f>IF($U40="","",SUM(Z40:Z$114))</f>
        <v/>
      </c>
      <c r="AB40" s="409" t="str">
        <f t="shared" si="35"/>
        <v/>
      </c>
      <c r="AC40" s="254">
        <f t="shared" si="36"/>
        <v>0</v>
      </c>
      <c r="AD40" s="254" t="str">
        <f>Main_무해지!AJ40</f>
        <v/>
      </c>
      <c r="AE40" s="409">
        <f t="shared" si="2"/>
        <v>0</v>
      </c>
      <c r="AF40" s="409" t="str">
        <f t="shared" si="47"/>
        <v/>
      </c>
      <c r="AG40" s="409" t="str">
        <f t="shared" si="3"/>
        <v/>
      </c>
      <c r="AH40" s="760" t="str">
        <f>IF($U40="","",SUM(AG40:AG$114))</f>
        <v/>
      </c>
      <c r="AI40" s="409" t="str">
        <f>Main_무해지!AP40</f>
        <v/>
      </c>
      <c r="AJ40" s="409">
        <f t="shared" si="4"/>
        <v>0</v>
      </c>
      <c r="AK40" s="409" t="str">
        <f t="shared" si="5"/>
        <v/>
      </c>
      <c r="AL40" s="409" t="str">
        <f t="shared" si="6"/>
        <v/>
      </c>
      <c r="AM40" s="762" t="str">
        <f>IF($U40="","",SUM($AN40:$AN$114))</f>
        <v/>
      </c>
      <c r="AN40" s="409" t="str">
        <f t="shared" si="37"/>
        <v/>
      </c>
      <c r="AO40" s="762" t="str">
        <f t="shared" si="7"/>
        <v/>
      </c>
      <c r="AP40" s="761" t="str">
        <f>IF($U40="","",INDEX(#REF!,$U40+1))</f>
        <v/>
      </c>
      <c r="AQ40" s="409">
        <f t="shared" si="8"/>
        <v>0</v>
      </c>
      <c r="AR40" s="409" t="str">
        <f t="shared" si="9"/>
        <v/>
      </c>
      <c r="AS40" s="409" t="str">
        <f t="shared" si="10"/>
        <v/>
      </c>
      <c r="AT40" s="762" t="str">
        <f>IF($U40="","",SUM($AS40:$AS$114))</f>
        <v/>
      </c>
      <c r="AU40" s="761" t="str">
        <f>IF($U40="","",INDEX(#REF!,$U40+1))</f>
        <v/>
      </c>
      <c r="AV40" s="409">
        <f t="shared" si="11"/>
        <v>0</v>
      </c>
      <c r="AW40" s="409" t="str">
        <f t="shared" si="12"/>
        <v/>
      </c>
      <c r="AX40" s="409" t="str">
        <f t="shared" si="13"/>
        <v/>
      </c>
      <c r="AY40" s="762" t="str">
        <f>IF($U40="","",SUM($AX40:$AX$114))</f>
        <v/>
      </c>
      <c r="AZ40" s="761" t="str">
        <f>IF($U40="","",INDEX(#REF!,$U40+1))</f>
        <v/>
      </c>
      <c r="BA40" s="409">
        <f t="shared" si="14"/>
        <v>0</v>
      </c>
      <c r="BB40" s="409" t="str">
        <f t="shared" si="15"/>
        <v/>
      </c>
      <c r="BC40" s="409" t="str">
        <f t="shared" si="16"/>
        <v/>
      </c>
      <c r="BD40" s="762" t="str">
        <f>IF($U40="","",SUM($BC40:$BC$114))</f>
        <v/>
      </c>
      <c r="BE40" s="761" t="str">
        <f>IF($U40="","",INDEX(#REF!,$U40+1))</f>
        <v/>
      </c>
      <c r="BF40" s="409">
        <f t="shared" si="17"/>
        <v>0</v>
      </c>
      <c r="BG40" s="409" t="str">
        <f t="shared" si="18"/>
        <v/>
      </c>
      <c r="BH40" s="409" t="str">
        <f t="shared" si="19"/>
        <v/>
      </c>
      <c r="BI40" s="762" t="str">
        <f>IF($U40="","",SUM($BH40:$BH$114))</f>
        <v/>
      </c>
      <c r="BJ40" s="761" t="str">
        <f>IF($U40="","",INDEX(#REF!,$U40+1))</f>
        <v/>
      </c>
      <c r="BK40" s="409">
        <f t="shared" si="20"/>
        <v>0</v>
      </c>
      <c r="BL40" s="409" t="str">
        <f t="shared" si="21"/>
        <v/>
      </c>
      <c r="BM40" s="409" t="str">
        <f t="shared" si="22"/>
        <v/>
      </c>
      <c r="BN40" s="762" t="str">
        <f>IF($U40="","",SUM($BM40:$BM$114))</f>
        <v/>
      </c>
      <c r="BO40" s="761">
        <f t="shared" si="23"/>
        <v>0</v>
      </c>
      <c r="BP40" s="409" t="str">
        <f t="shared" si="24"/>
        <v/>
      </c>
      <c r="BQ40" s="409" t="str">
        <f t="shared" si="25"/>
        <v/>
      </c>
      <c r="BR40" s="409"/>
      <c r="BS40" s="409" t="str">
        <f t="shared" si="38"/>
        <v/>
      </c>
      <c r="BT40" s="409" t="str">
        <f t="shared" si="26"/>
        <v/>
      </c>
      <c r="BU40" s="409" t="str">
        <f t="shared" si="27"/>
        <v/>
      </c>
      <c r="BV40" s="409"/>
      <c r="BW40" s="409" t="str">
        <f t="shared" si="39"/>
        <v/>
      </c>
      <c r="BX40" s="409" t="str">
        <f>IF($U40="","",SUM(BS40:BS$114)+SUM(BW40:BW$114))</f>
        <v/>
      </c>
      <c r="BY40" s="763"/>
      <c r="BZ40" s="763"/>
      <c r="CA40" s="763"/>
      <c r="CB40" s="763"/>
      <c r="CC40" s="764" t="str">
        <f t="shared" si="0"/>
        <v/>
      </c>
      <c r="CD40" s="409" t="str">
        <f t="shared" si="40"/>
        <v/>
      </c>
      <c r="CE40" s="409" t="str">
        <f t="shared" si="28"/>
        <v/>
      </c>
      <c r="CF40" s="409" t="str">
        <f t="shared" si="29"/>
        <v/>
      </c>
      <c r="CG40" s="409" t="str">
        <f t="shared" si="41"/>
        <v/>
      </c>
      <c r="CH40" s="409" t="str">
        <f t="shared" si="30"/>
        <v/>
      </c>
      <c r="CI40" s="765" t="str">
        <f t="shared" si="42"/>
        <v/>
      </c>
      <c r="CJ40" s="766" t="str">
        <f t="shared" si="31"/>
        <v/>
      </c>
      <c r="CK40" s="414"/>
      <c r="CL40" s="759" t="str">
        <f t="shared" si="32"/>
        <v/>
      </c>
      <c r="CM40" s="766" t="str">
        <f t="shared" si="48"/>
        <v/>
      </c>
      <c r="CN40" s="766" t="str">
        <f t="shared" si="43"/>
        <v/>
      </c>
      <c r="CO40" s="766" t="str">
        <f t="shared" si="33"/>
        <v/>
      </c>
      <c r="CP40" s="766" t="str">
        <f t="shared" si="44"/>
        <v/>
      </c>
      <c r="CQ40" s="414"/>
      <c r="CR40" s="414"/>
      <c r="CS40" s="414"/>
      <c r="CT40" s="414"/>
      <c r="CU40" s="414"/>
      <c r="CV40" s="414"/>
      <c r="CW40" s="478"/>
      <c r="CX40" s="478"/>
      <c r="CY40" s="478"/>
      <c r="CZ40" s="478"/>
      <c r="DA40" s="478"/>
      <c r="DB40" s="478"/>
      <c r="DC40" s="478"/>
      <c r="DD40" s="478"/>
      <c r="DE40" s="478"/>
      <c r="DF40" s="478"/>
      <c r="DG40" s="478"/>
      <c r="DH40" s="478"/>
      <c r="DI40" s="478"/>
      <c r="DJ40" s="478"/>
      <c r="DK40" s="478"/>
      <c r="DL40" s="478"/>
      <c r="DM40" s="478"/>
      <c r="DN40" s="478"/>
      <c r="DO40" s="478"/>
      <c r="DP40" s="478"/>
      <c r="DQ40" s="478"/>
      <c r="DR40" s="478"/>
      <c r="DS40" s="478"/>
      <c r="DT40" s="478"/>
      <c r="DU40" s="478"/>
      <c r="DV40" s="478"/>
      <c r="DW40" s="478"/>
      <c r="DX40" s="478"/>
      <c r="DY40" s="478"/>
      <c r="DZ40" s="478"/>
      <c r="EA40" s="478"/>
      <c r="EB40" s="478"/>
      <c r="EC40" s="478"/>
      <c r="ED40" s="478"/>
    </row>
    <row r="41" spans="1:134" ht="17.25" thickTop="1">
      <c r="A41" s="305"/>
      <c r="B41" s="373"/>
      <c r="C41" s="184"/>
      <c r="D41" s="185" t="s">
        <v>63</v>
      </c>
      <c r="E41" s="186"/>
      <c r="F41" s="187"/>
      <c r="G41" s="188"/>
      <c r="H41" s="292"/>
      <c r="I41" s="82"/>
      <c r="J41" s="109" t="s">
        <v>46</v>
      </c>
      <c r="K41" s="490">
        <f>K39/K40</f>
        <v>7.0461715141866185E-6</v>
      </c>
      <c r="M41" s="50"/>
      <c r="N41" s="280" t="str">
        <f t="shared" si="52"/>
        <v/>
      </c>
      <c r="O41" s="281" t="str">
        <f t="shared" si="53"/>
        <v/>
      </c>
      <c r="P41" s="282" t="str">
        <f t="shared" si="49"/>
        <v/>
      </c>
      <c r="Q41" s="282" t="str">
        <f t="shared" si="50"/>
        <v/>
      </c>
      <c r="R41" s="282" t="str">
        <f t="shared" si="51"/>
        <v/>
      </c>
      <c r="S41" s="402" t="str">
        <f t="shared" si="54"/>
        <v/>
      </c>
      <c r="T41" s="419"/>
      <c r="U41" s="101" t="str">
        <f t="shared" si="45"/>
        <v/>
      </c>
      <c r="V41" s="285" t="str">
        <f>Main_무해지!AC41</f>
        <v/>
      </c>
      <c r="W41" s="308">
        <f>+Main_무해지!AD41</f>
        <v>0</v>
      </c>
      <c r="X41" s="308">
        <v>0</v>
      </c>
      <c r="Y41" s="258" t="str">
        <f t="shared" si="46"/>
        <v/>
      </c>
      <c r="Z41" s="258" t="str">
        <f t="shared" si="1"/>
        <v/>
      </c>
      <c r="AA41" s="102" t="str">
        <f>IF($U41="","",SUM(Z41:Z$114))</f>
        <v/>
      </c>
      <c r="AB41" s="258" t="str">
        <f t="shared" si="35"/>
        <v/>
      </c>
      <c r="AC41" s="254">
        <f t="shared" si="36"/>
        <v>0</v>
      </c>
      <c r="AD41" s="254" t="str">
        <f>Main_무해지!AJ41</f>
        <v/>
      </c>
      <c r="AE41" s="258">
        <f t="shared" si="2"/>
        <v>0</v>
      </c>
      <c r="AF41" s="258" t="str">
        <f t="shared" si="47"/>
        <v/>
      </c>
      <c r="AG41" s="258" t="str">
        <f t="shared" si="3"/>
        <v/>
      </c>
      <c r="AH41" s="102" t="str">
        <f>IF($U41="","",SUM(AG41:AG$114))</f>
        <v/>
      </c>
      <c r="AI41" s="258" t="str">
        <f>Main_무해지!AP41</f>
        <v/>
      </c>
      <c r="AJ41" s="258">
        <f t="shared" si="4"/>
        <v>0</v>
      </c>
      <c r="AK41" s="258" t="str">
        <f t="shared" si="5"/>
        <v/>
      </c>
      <c r="AL41" s="258" t="str">
        <f t="shared" si="6"/>
        <v/>
      </c>
      <c r="AM41" s="315" t="str">
        <f>IF($U41="","",SUM($AN41:$AN$114))</f>
        <v/>
      </c>
      <c r="AN41" s="258" t="str">
        <f t="shared" si="37"/>
        <v/>
      </c>
      <c r="AO41" s="315" t="str">
        <f t="shared" si="7"/>
        <v/>
      </c>
      <c r="AP41" s="285" t="str">
        <f>IF($U41="","",INDEX(#REF!,$U41+1))</f>
        <v/>
      </c>
      <c r="AQ41" s="258">
        <f t="shared" si="8"/>
        <v>0</v>
      </c>
      <c r="AR41" s="258" t="str">
        <f t="shared" si="9"/>
        <v/>
      </c>
      <c r="AS41" s="258" t="str">
        <f t="shared" si="10"/>
        <v/>
      </c>
      <c r="AT41" s="315" t="str">
        <f>IF($U41="","",SUM($AS41:$AS$114))</f>
        <v/>
      </c>
      <c r="AU41" s="285" t="str">
        <f>IF($U41="","",INDEX(#REF!,$U41+1))</f>
        <v/>
      </c>
      <c r="AV41" s="258">
        <f t="shared" si="11"/>
        <v>0</v>
      </c>
      <c r="AW41" s="258" t="str">
        <f t="shared" si="12"/>
        <v/>
      </c>
      <c r="AX41" s="258" t="str">
        <f t="shared" si="13"/>
        <v/>
      </c>
      <c r="AY41" s="315" t="str">
        <f>IF($U41="","",SUM($AX41:$AX$114))</f>
        <v/>
      </c>
      <c r="AZ41" s="285" t="str">
        <f>IF($U41="","",INDEX(#REF!,$U41+1))</f>
        <v/>
      </c>
      <c r="BA41" s="258">
        <f t="shared" si="14"/>
        <v>0</v>
      </c>
      <c r="BB41" s="258" t="str">
        <f t="shared" si="15"/>
        <v/>
      </c>
      <c r="BC41" s="258" t="str">
        <f t="shared" si="16"/>
        <v/>
      </c>
      <c r="BD41" s="315" t="str">
        <f>IF($U41="","",SUM($BC41:$BC$114))</f>
        <v/>
      </c>
      <c r="BE41" s="285" t="str">
        <f>IF($U41="","",INDEX(#REF!,$U41+1))</f>
        <v/>
      </c>
      <c r="BF41" s="258">
        <f t="shared" si="17"/>
        <v>0</v>
      </c>
      <c r="BG41" s="258" t="str">
        <f t="shared" si="18"/>
        <v/>
      </c>
      <c r="BH41" s="258" t="str">
        <f t="shared" si="19"/>
        <v/>
      </c>
      <c r="BI41" s="315" t="str">
        <f>IF($U41="","",SUM($BH41:$BH$114))</f>
        <v/>
      </c>
      <c r="BJ41" s="285" t="str">
        <f>IF($U41="","",INDEX(#REF!,$U41+1))</f>
        <v/>
      </c>
      <c r="BK41" s="258">
        <f t="shared" si="20"/>
        <v>0</v>
      </c>
      <c r="BL41" s="258" t="str">
        <f t="shared" si="21"/>
        <v/>
      </c>
      <c r="BM41" s="258" t="str">
        <f t="shared" si="22"/>
        <v/>
      </c>
      <c r="BN41" s="315" t="str">
        <f>IF($U41="","",SUM($BM41:$BM$114))</f>
        <v/>
      </c>
      <c r="BO41" s="285">
        <f t="shared" si="23"/>
        <v>0</v>
      </c>
      <c r="BP41" s="258" t="str">
        <f t="shared" si="24"/>
        <v/>
      </c>
      <c r="BQ41" s="258" t="str">
        <f t="shared" si="25"/>
        <v/>
      </c>
      <c r="BR41" s="258"/>
      <c r="BS41" s="258" t="str">
        <f t="shared" si="38"/>
        <v/>
      </c>
      <c r="BT41" s="258" t="str">
        <f t="shared" si="26"/>
        <v/>
      </c>
      <c r="BU41" s="258" t="str">
        <f t="shared" si="27"/>
        <v/>
      </c>
      <c r="BV41" s="258"/>
      <c r="BW41" s="258" t="str">
        <f t="shared" si="39"/>
        <v/>
      </c>
      <c r="BX41" s="258" t="str">
        <f>IF($U41="","",SUM(BS41:BS$114)+SUM(BW41:BW$114))</f>
        <v/>
      </c>
      <c r="BY41" s="103"/>
      <c r="BZ41" s="103"/>
      <c r="CA41" s="103"/>
      <c r="CB41" s="103"/>
      <c r="CC41" s="394" t="str">
        <f t="shared" si="0"/>
        <v/>
      </c>
      <c r="CD41" s="258" t="str">
        <f t="shared" si="40"/>
        <v/>
      </c>
      <c r="CE41" s="258" t="str">
        <f t="shared" si="28"/>
        <v/>
      </c>
      <c r="CF41" s="258" t="str">
        <f t="shared" si="29"/>
        <v/>
      </c>
      <c r="CG41" s="258" t="str">
        <f t="shared" si="41"/>
        <v/>
      </c>
      <c r="CH41" s="258" t="str">
        <f t="shared" si="30"/>
        <v/>
      </c>
      <c r="CI41" s="104" t="str">
        <f t="shared" si="42"/>
        <v/>
      </c>
      <c r="CJ41" s="105" t="str">
        <f t="shared" si="31"/>
        <v/>
      </c>
      <c r="CK41" s="240"/>
      <c r="CL41" s="101" t="str">
        <f t="shared" si="32"/>
        <v/>
      </c>
      <c r="CM41" s="105" t="str">
        <f t="shared" si="48"/>
        <v/>
      </c>
      <c r="CN41" s="105" t="str">
        <f t="shared" si="43"/>
        <v/>
      </c>
      <c r="CO41" s="105" t="str">
        <f t="shared" si="33"/>
        <v/>
      </c>
      <c r="CP41" s="105" t="str">
        <f t="shared" si="44"/>
        <v/>
      </c>
      <c r="CQ41" s="240"/>
      <c r="CR41" s="240"/>
      <c r="CS41" s="240"/>
      <c r="CT41" s="240"/>
      <c r="CU41" s="240"/>
      <c r="CV41" s="240"/>
      <c r="CW41" s="478"/>
      <c r="CX41" s="478"/>
      <c r="CY41" s="478"/>
      <c r="CZ41" s="478"/>
      <c r="DA41" s="478"/>
      <c r="DB41" s="478"/>
      <c r="DC41" s="478"/>
      <c r="DD41" s="478"/>
      <c r="DE41" s="478"/>
      <c r="DF41" s="478"/>
      <c r="DG41" s="478"/>
      <c r="DH41" s="478"/>
      <c r="DI41" s="478"/>
      <c r="DJ41" s="478"/>
      <c r="DK41" s="478"/>
      <c r="DL41" s="478"/>
      <c r="DM41" s="478"/>
      <c r="DN41" s="478"/>
      <c r="DO41" s="478"/>
      <c r="DP41" s="478"/>
      <c r="DQ41" s="478"/>
      <c r="DR41" s="478"/>
      <c r="DS41" s="478"/>
      <c r="DT41" s="478"/>
      <c r="DU41" s="478"/>
      <c r="DV41" s="478"/>
      <c r="DW41" s="478"/>
      <c r="DX41" s="478"/>
      <c r="DY41" s="478"/>
      <c r="DZ41" s="478"/>
      <c r="EA41" s="478"/>
      <c r="EB41" s="478"/>
      <c r="EC41" s="478"/>
      <c r="ED41" s="478"/>
    </row>
    <row r="42" spans="1:134">
      <c r="A42" s="305"/>
      <c r="B42" s="373"/>
      <c r="C42" s="189"/>
      <c r="D42" s="190" t="s">
        <v>64</v>
      </c>
      <c r="E42" s="191"/>
      <c r="F42" s="176"/>
      <c r="G42" s="192"/>
      <c r="I42" s="115" t="str">
        <f>IF(F5=0,"일시납순보험료","연납순보험료")</f>
        <v>연납순보험료</v>
      </c>
      <c r="J42" s="116" t="s">
        <v>42</v>
      </c>
      <c r="K42" s="488">
        <f>IF($F$6=0,(1-$E$36-$E$38)*(K35+K36)+($E$32+$E$37*K33/K20)*K34,(1-$E$28-$E$30)*(K35+K36)+(($E$23+$E$24*K41)*K20+$E$27*K31+$E$29*K33)*K34/K31)</f>
        <v>0.6165400074913292</v>
      </c>
      <c r="M42" s="50"/>
      <c r="N42" s="275" t="str">
        <f t="shared" si="52"/>
        <v/>
      </c>
      <c r="O42" s="276" t="str">
        <f t="shared" si="53"/>
        <v/>
      </c>
      <c r="P42" s="277" t="str">
        <f t="shared" si="49"/>
        <v/>
      </c>
      <c r="Q42" s="277" t="str">
        <f t="shared" si="50"/>
        <v/>
      </c>
      <c r="R42" s="277" t="str">
        <f t="shared" si="51"/>
        <v/>
      </c>
      <c r="S42" s="401" t="str">
        <f t="shared" si="54"/>
        <v/>
      </c>
      <c r="T42" s="419"/>
      <c r="U42" s="101" t="str">
        <f t="shared" si="45"/>
        <v/>
      </c>
      <c r="V42" s="285" t="str">
        <f>Main_무해지!AC42</f>
        <v/>
      </c>
      <c r="W42" s="308">
        <f>+Main_무해지!AD42</f>
        <v>0</v>
      </c>
      <c r="X42" s="308">
        <v>0</v>
      </c>
      <c r="Y42" s="258" t="str">
        <f t="shared" si="46"/>
        <v/>
      </c>
      <c r="Z42" s="258" t="str">
        <f t="shared" si="1"/>
        <v/>
      </c>
      <c r="AA42" s="102" t="str">
        <f>IF($U42="","",SUM(Z42:Z$114))</f>
        <v/>
      </c>
      <c r="AB42" s="258" t="str">
        <f t="shared" si="35"/>
        <v/>
      </c>
      <c r="AC42" s="254">
        <f t="shared" si="36"/>
        <v>0</v>
      </c>
      <c r="AD42" s="254" t="str">
        <f>Main_무해지!AJ42</f>
        <v/>
      </c>
      <c r="AE42" s="258">
        <f t="shared" si="2"/>
        <v>0</v>
      </c>
      <c r="AF42" s="258" t="str">
        <f t="shared" si="47"/>
        <v/>
      </c>
      <c r="AG42" s="258" t="str">
        <f t="shared" si="3"/>
        <v/>
      </c>
      <c r="AH42" s="102" t="str">
        <f>IF($U42="","",SUM(AG42:AG$114))</f>
        <v/>
      </c>
      <c r="AI42" s="258" t="str">
        <f>Main_무해지!AP42</f>
        <v/>
      </c>
      <c r="AJ42" s="258">
        <f t="shared" si="4"/>
        <v>0</v>
      </c>
      <c r="AK42" s="258" t="str">
        <f t="shared" si="5"/>
        <v/>
      </c>
      <c r="AL42" s="258" t="str">
        <f t="shared" si="6"/>
        <v/>
      </c>
      <c r="AM42" s="315" t="str">
        <f>IF($U42="","",SUM($AN42:$AN$114))</f>
        <v/>
      </c>
      <c r="AN42" s="258" t="str">
        <f t="shared" si="37"/>
        <v/>
      </c>
      <c r="AO42" s="315" t="str">
        <f t="shared" si="7"/>
        <v/>
      </c>
      <c r="AP42" s="285" t="str">
        <f>IF($U42="","",INDEX(#REF!,$U42+1))</f>
        <v/>
      </c>
      <c r="AQ42" s="258">
        <f t="shared" si="8"/>
        <v>0</v>
      </c>
      <c r="AR42" s="258" t="str">
        <f t="shared" si="9"/>
        <v/>
      </c>
      <c r="AS42" s="258" t="str">
        <f t="shared" si="10"/>
        <v/>
      </c>
      <c r="AT42" s="315" t="str">
        <f>IF($U42="","",SUM($AS42:$AS$114))</f>
        <v/>
      </c>
      <c r="AU42" s="285" t="str">
        <f>IF($U42="","",INDEX(#REF!,$U42+1))</f>
        <v/>
      </c>
      <c r="AV42" s="258">
        <f t="shared" si="11"/>
        <v>0</v>
      </c>
      <c r="AW42" s="258" t="str">
        <f t="shared" si="12"/>
        <v/>
      </c>
      <c r="AX42" s="258" t="str">
        <f t="shared" si="13"/>
        <v/>
      </c>
      <c r="AY42" s="315" t="str">
        <f>IF($U42="","",SUM($AX42:$AX$114))</f>
        <v/>
      </c>
      <c r="AZ42" s="285" t="str">
        <f>IF($U42="","",INDEX(#REF!,$U42+1))</f>
        <v/>
      </c>
      <c r="BA42" s="258">
        <f t="shared" si="14"/>
        <v>0</v>
      </c>
      <c r="BB42" s="258" t="str">
        <f t="shared" si="15"/>
        <v/>
      </c>
      <c r="BC42" s="258" t="str">
        <f t="shared" si="16"/>
        <v/>
      </c>
      <c r="BD42" s="315" t="str">
        <f>IF($U42="","",SUM($BC42:$BC$114))</f>
        <v/>
      </c>
      <c r="BE42" s="285" t="str">
        <f>IF($U42="","",INDEX(#REF!,$U42+1))</f>
        <v/>
      </c>
      <c r="BF42" s="258">
        <f t="shared" si="17"/>
        <v>0</v>
      </c>
      <c r="BG42" s="258" t="str">
        <f t="shared" si="18"/>
        <v/>
      </c>
      <c r="BH42" s="258" t="str">
        <f t="shared" si="19"/>
        <v/>
      </c>
      <c r="BI42" s="315" t="str">
        <f>IF($U42="","",SUM($BH42:$BH$114))</f>
        <v/>
      </c>
      <c r="BJ42" s="285" t="str">
        <f>IF($U42="","",INDEX(#REF!,$U42+1))</f>
        <v/>
      </c>
      <c r="BK42" s="258">
        <f t="shared" si="20"/>
        <v>0</v>
      </c>
      <c r="BL42" s="258" t="str">
        <f t="shared" si="21"/>
        <v/>
      </c>
      <c r="BM42" s="258" t="str">
        <f t="shared" si="22"/>
        <v/>
      </c>
      <c r="BN42" s="315" t="str">
        <f>IF($U42="","",SUM($BM42:$BM$114))</f>
        <v/>
      </c>
      <c r="BO42" s="285">
        <f t="shared" si="23"/>
        <v>0</v>
      </c>
      <c r="BP42" s="258" t="str">
        <f t="shared" si="24"/>
        <v/>
      </c>
      <c r="BQ42" s="258" t="str">
        <f t="shared" si="25"/>
        <v/>
      </c>
      <c r="BR42" s="258"/>
      <c r="BS42" s="258" t="str">
        <f t="shared" si="38"/>
        <v/>
      </c>
      <c r="BT42" s="258" t="str">
        <f t="shared" si="26"/>
        <v/>
      </c>
      <c r="BU42" s="258" t="str">
        <f t="shared" si="27"/>
        <v/>
      </c>
      <c r="BV42" s="258"/>
      <c r="BW42" s="258" t="str">
        <f t="shared" si="39"/>
        <v/>
      </c>
      <c r="BX42" s="258" t="str">
        <f>IF($U42="","",SUM(BS42:BS$114)+SUM(BW42:BW$114))</f>
        <v/>
      </c>
      <c r="BY42" s="103"/>
      <c r="BZ42" s="103"/>
      <c r="CA42" s="103"/>
      <c r="CB42" s="103"/>
      <c r="CC42" s="394" t="str">
        <f t="shared" si="0"/>
        <v/>
      </c>
      <c r="CD42" s="258" t="str">
        <f t="shared" si="40"/>
        <v/>
      </c>
      <c r="CE42" s="258" t="str">
        <f t="shared" si="28"/>
        <v/>
      </c>
      <c r="CF42" s="258" t="str">
        <f t="shared" si="29"/>
        <v/>
      </c>
      <c r="CG42" s="258" t="str">
        <f t="shared" si="41"/>
        <v/>
      </c>
      <c r="CH42" s="258" t="str">
        <f t="shared" si="30"/>
        <v/>
      </c>
      <c r="CI42" s="104" t="str">
        <f t="shared" si="42"/>
        <v/>
      </c>
      <c r="CJ42" s="105" t="str">
        <f t="shared" si="31"/>
        <v/>
      </c>
      <c r="CK42" s="240"/>
      <c r="CL42" s="101" t="str">
        <f t="shared" si="32"/>
        <v/>
      </c>
      <c r="CM42" s="105" t="str">
        <f t="shared" si="48"/>
        <v/>
      </c>
      <c r="CN42" s="105" t="str">
        <f t="shared" si="43"/>
        <v/>
      </c>
      <c r="CO42" s="105" t="str">
        <f t="shared" si="33"/>
        <v/>
      </c>
      <c r="CP42" s="105" t="str">
        <f t="shared" si="44"/>
        <v/>
      </c>
      <c r="CQ42" s="240"/>
      <c r="CR42" s="240"/>
      <c r="CS42" s="240"/>
      <c r="CT42" s="240"/>
      <c r="CU42" s="240"/>
      <c r="CV42" s="240"/>
      <c r="CW42" s="478"/>
      <c r="CX42" s="478"/>
      <c r="CY42" s="478"/>
      <c r="CZ42" s="478"/>
      <c r="DA42" s="478"/>
      <c r="DB42" s="478"/>
      <c r="DC42" s="478"/>
      <c r="DD42" s="478"/>
      <c r="DE42" s="478"/>
      <c r="DF42" s="478"/>
      <c r="DG42" s="478"/>
      <c r="DH42" s="478"/>
      <c r="DI42" s="478"/>
      <c r="DJ42" s="478"/>
      <c r="DK42" s="478"/>
      <c r="DL42" s="478"/>
      <c r="DM42" s="478"/>
      <c r="DN42" s="478"/>
      <c r="DO42" s="478"/>
      <c r="DP42" s="478"/>
      <c r="DQ42" s="478"/>
      <c r="DR42" s="478"/>
      <c r="DS42" s="478"/>
      <c r="DT42" s="478"/>
      <c r="DU42" s="478"/>
      <c r="DV42" s="478"/>
      <c r="DW42" s="478"/>
      <c r="DX42" s="478"/>
      <c r="DY42" s="478"/>
      <c r="DZ42" s="478"/>
      <c r="EA42" s="478"/>
      <c r="EB42" s="478"/>
      <c r="EC42" s="478"/>
      <c r="ED42" s="478"/>
    </row>
    <row r="43" spans="1:134">
      <c r="A43" s="305"/>
      <c r="B43" s="373"/>
      <c r="C43" s="189"/>
      <c r="D43" s="190" t="s">
        <v>65</v>
      </c>
      <c r="E43" s="177"/>
      <c r="F43" s="176"/>
      <c r="G43" s="192"/>
      <c r="I43" s="48"/>
      <c r="J43" s="49" t="s">
        <v>44</v>
      </c>
      <c r="K43" s="486">
        <f>IF($F$6=0,(1-$E$36-$E$38)*K20-(1+$E$33)*K34,1*((1-$E$28-$E$30)*K31-K34))</f>
        <v>87500.000000000015</v>
      </c>
      <c r="M43" s="50"/>
      <c r="N43" s="278" t="str">
        <f t="shared" si="52"/>
        <v/>
      </c>
      <c r="O43" s="279" t="str">
        <f t="shared" si="53"/>
        <v/>
      </c>
      <c r="P43" s="271" t="str">
        <f t="shared" si="49"/>
        <v/>
      </c>
      <c r="Q43" s="271" t="str">
        <f t="shared" si="50"/>
        <v/>
      </c>
      <c r="R43" s="271" t="str">
        <f t="shared" si="51"/>
        <v/>
      </c>
      <c r="S43" s="400" t="str">
        <f t="shared" si="54"/>
        <v/>
      </c>
      <c r="T43" s="419"/>
      <c r="U43" s="101" t="str">
        <f t="shared" si="45"/>
        <v/>
      </c>
      <c r="V43" s="285" t="str">
        <f>Main_무해지!AC43</f>
        <v/>
      </c>
      <c r="W43" s="308">
        <f>+Main_무해지!AD43</f>
        <v>0</v>
      </c>
      <c r="X43" s="308">
        <v>0</v>
      </c>
      <c r="Y43" s="258" t="str">
        <f t="shared" si="46"/>
        <v/>
      </c>
      <c r="Z43" s="258" t="str">
        <f t="shared" si="1"/>
        <v/>
      </c>
      <c r="AA43" s="102" t="str">
        <f>IF($U43="","",SUM(Z43:Z$114))</f>
        <v/>
      </c>
      <c r="AB43" s="258" t="str">
        <f t="shared" si="35"/>
        <v/>
      </c>
      <c r="AC43" s="254">
        <f t="shared" si="36"/>
        <v>0</v>
      </c>
      <c r="AD43" s="254" t="str">
        <f>Main_무해지!AJ43</f>
        <v/>
      </c>
      <c r="AE43" s="258">
        <f t="shared" si="2"/>
        <v>0</v>
      </c>
      <c r="AF43" s="258" t="str">
        <f t="shared" si="47"/>
        <v/>
      </c>
      <c r="AG43" s="258" t="str">
        <f t="shared" si="3"/>
        <v/>
      </c>
      <c r="AH43" s="102" t="str">
        <f>IF($U43="","",SUM(AG43:AG$114))</f>
        <v/>
      </c>
      <c r="AI43" s="258" t="str">
        <f>Main_무해지!AP43</f>
        <v/>
      </c>
      <c r="AJ43" s="258">
        <f t="shared" si="4"/>
        <v>0</v>
      </c>
      <c r="AK43" s="258" t="str">
        <f t="shared" si="5"/>
        <v/>
      </c>
      <c r="AL43" s="258" t="str">
        <f t="shared" si="6"/>
        <v/>
      </c>
      <c r="AM43" s="315" t="str">
        <f>IF($U43="","",SUM($AN43:$AN$114))</f>
        <v/>
      </c>
      <c r="AN43" s="258" t="str">
        <f t="shared" si="37"/>
        <v/>
      </c>
      <c r="AO43" s="315" t="str">
        <f t="shared" si="7"/>
        <v/>
      </c>
      <c r="AP43" s="285" t="str">
        <f>IF($U43="","",INDEX(#REF!,$U43+1))</f>
        <v/>
      </c>
      <c r="AQ43" s="258">
        <f t="shared" si="8"/>
        <v>0</v>
      </c>
      <c r="AR43" s="258" t="str">
        <f t="shared" si="9"/>
        <v/>
      </c>
      <c r="AS43" s="258" t="str">
        <f t="shared" si="10"/>
        <v/>
      </c>
      <c r="AT43" s="315" t="str">
        <f>IF($U43="","",SUM($AS43:$AS$114))</f>
        <v/>
      </c>
      <c r="AU43" s="285" t="str">
        <f>IF($U43="","",INDEX(#REF!,$U43+1))</f>
        <v/>
      </c>
      <c r="AV43" s="258">
        <f t="shared" si="11"/>
        <v>0</v>
      </c>
      <c r="AW43" s="258" t="str">
        <f t="shared" si="12"/>
        <v/>
      </c>
      <c r="AX43" s="258" t="str">
        <f t="shared" si="13"/>
        <v/>
      </c>
      <c r="AY43" s="315" t="str">
        <f>IF($U43="","",SUM($AX43:$AX$114))</f>
        <v/>
      </c>
      <c r="AZ43" s="285" t="str">
        <f>IF($U43="","",INDEX(#REF!,$U43+1))</f>
        <v/>
      </c>
      <c r="BA43" s="258">
        <f t="shared" si="14"/>
        <v>0</v>
      </c>
      <c r="BB43" s="258" t="str">
        <f t="shared" si="15"/>
        <v/>
      </c>
      <c r="BC43" s="258" t="str">
        <f t="shared" si="16"/>
        <v/>
      </c>
      <c r="BD43" s="315" t="str">
        <f>IF($U43="","",SUM($BC43:$BC$114))</f>
        <v/>
      </c>
      <c r="BE43" s="285" t="str">
        <f>IF($U43="","",INDEX(#REF!,$U43+1))</f>
        <v/>
      </c>
      <c r="BF43" s="258">
        <f t="shared" si="17"/>
        <v>0</v>
      </c>
      <c r="BG43" s="258" t="str">
        <f t="shared" si="18"/>
        <v/>
      </c>
      <c r="BH43" s="258" t="str">
        <f t="shared" si="19"/>
        <v/>
      </c>
      <c r="BI43" s="315" t="str">
        <f>IF($U43="","",SUM($BH43:$BH$114))</f>
        <v/>
      </c>
      <c r="BJ43" s="285" t="str">
        <f>IF($U43="","",INDEX(#REF!,$U43+1))</f>
        <v/>
      </c>
      <c r="BK43" s="258">
        <f t="shared" si="20"/>
        <v>0</v>
      </c>
      <c r="BL43" s="258" t="str">
        <f t="shared" si="21"/>
        <v/>
      </c>
      <c r="BM43" s="258" t="str">
        <f t="shared" si="22"/>
        <v/>
      </c>
      <c r="BN43" s="315" t="str">
        <f>IF($U43="","",SUM($BM43:$BM$114))</f>
        <v/>
      </c>
      <c r="BO43" s="285">
        <f t="shared" si="23"/>
        <v>0</v>
      </c>
      <c r="BP43" s="258" t="str">
        <f t="shared" si="24"/>
        <v/>
      </c>
      <c r="BQ43" s="258" t="str">
        <f t="shared" si="25"/>
        <v/>
      </c>
      <c r="BR43" s="258"/>
      <c r="BS43" s="258" t="str">
        <f t="shared" si="38"/>
        <v/>
      </c>
      <c r="BT43" s="258" t="str">
        <f t="shared" si="26"/>
        <v/>
      </c>
      <c r="BU43" s="258" t="str">
        <f t="shared" si="27"/>
        <v/>
      </c>
      <c r="BV43" s="258"/>
      <c r="BW43" s="258" t="str">
        <f t="shared" si="39"/>
        <v/>
      </c>
      <c r="BX43" s="258" t="str">
        <f>IF($U43="","",SUM(BS43:BS$114)+SUM(BW43:BW$114))</f>
        <v/>
      </c>
      <c r="BY43" s="103"/>
      <c r="BZ43" s="103"/>
      <c r="CA43" s="103"/>
      <c r="CB43" s="103"/>
      <c r="CC43" s="394" t="str">
        <f t="shared" si="0"/>
        <v/>
      </c>
      <c r="CD43" s="258" t="str">
        <f t="shared" si="40"/>
        <v/>
      </c>
      <c r="CE43" s="258" t="str">
        <f t="shared" si="28"/>
        <v/>
      </c>
      <c r="CF43" s="258" t="str">
        <f t="shared" si="29"/>
        <v/>
      </c>
      <c r="CG43" s="258" t="str">
        <f t="shared" si="41"/>
        <v/>
      </c>
      <c r="CH43" s="258" t="str">
        <f t="shared" si="30"/>
        <v/>
      </c>
      <c r="CI43" s="104" t="str">
        <f t="shared" si="42"/>
        <v/>
      </c>
      <c r="CJ43" s="105" t="str">
        <f t="shared" si="31"/>
        <v/>
      </c>
      <c r="CK43" s="240"/>
      <c r="CL43" s="101" t="str">
        <f t="shared" si="32"/>
        <v/>
      </c>
      <c r="CM43" s="105" t="str">
        <f t="shared" si="48"/>
        <v/>
      </c>
      <c r="CN43" s="105" t="str">
        <f t="shared" si="43"/>
        <v/>
      </c>
      <c r="CO43" s="105" t="str">
        <f t="shared" si="33"/>
        <v/>
      </c>
      <c r="CP43" s="105" t="str">
        <f t="shared" si="44"/>
        <v/>
      </c>
      <c r="CQ43" s="240"/>
      <c r="CR43" s="240"/>
      <c r="CS43" s="240"/>
      <c r="CT43" s="240"/>
      <c r="CU43" s="240"/>
      <c r="CV43" s="240"/>
      <c r="CW43" s="478"/>
      <c r="CX43" s="478"/>
      <c r="CY43" s="478"/>
      <c r="CZ43" s="478"/>
      <c r="DA43" s="478"/>
      <c r="DB43" s="478"/>
      <c r="DC43" s="478"/>
      <c r="DD43" s="478"/>
      <c r="DE43" s="478"/>
      <c r="DF43" s="478"/>
      <c r="DG43" s="478"/>
      <c r="DH43" s="478"/>
      <c r="DI43" s="478"/>
      <c r="DJ43" s="478"/>
      <c r="DK43" s="478"/>
      <c r="DL43" s="478"/>
      <c r="DM43" s="478"/>
      <c r="DN43" s="478"/>
      <c r="DO43" s="478"/>
      <c r="DP43" s="478"/>
      <c r="DQ43" s="478"/>
      <c r="DR43" s="478"/>
      <c r="DS43" s="478"/>
      <c r="DT43" s="478"/>
      <c r="DU43" s="478"/>
      <c r="DV43" s="478"/>
      <c r="DW43" s="478"/>
      <c r="DX43" s="478"/>
      <c r="DY43" s="478"/>
      <c r="DZ43" s="478"/>
      <c r="EA43" s="478"/>
      <c r="EB43" s="478"/>
      <c r="EC43" s="478"/>
      <c r="ED43" s="478"/>
    </row>
    <row r="44" spans="1:134">
      <c r="A44" s="305"/>
      <c r="B44" s="373"/>
      <c r="C44" s="189"/>
      <c r="D44" s="193"/>
      <c r="E44" s="177"/>
      <c r="F44" s="176"/>
      <c r="G44" s="192"/>
      <c r="I44" s="125"/>
      <c r="J44" s="126" t="s">
        <v>50</v>
      </c>
      <c r="K44" s="489">
        <f>K42/K43</f>
        <v>7.0461715141866185E-6</v>
      </c>
      <c r="M44" s="50"/>
      <c r="N44" s="278" t="str">
        <f t="shared" si="52"/>
        <v/>
      </c>
      <c r="O44" s="279" t="str">
        <f t="shared" si="53"/>
        <v/>
      </c>
      <c r="P44" s="271" t="str">
        <f t="shared" si="49"/>
        <v/>
      </c>
      <c r="Q44" s="271" t="str">
        <f t="shared" si="50"/>
        <v/>
      </c>
      <c r="R44" s="271" t="str">
        <f t="shared" si="51"/>
        <v/>
      </c>
      <c r="S44" s="400" t="str">
        <f t="shared" si="54"/>
        <v/>
      </c>
      <c r="T44" s="419"/>
      <c r="U44" s="110" t="str">
        <f t="shared" si="45"/>
        <v/>
      </c>
      <c r="V44" s="286" t="str">
        <f>Main_무해지!AC44</f>
        <v/>
      </c>
      <c r="W44" s="309">
        <f>+Main_무해지!AD44</f>
        <v>0</v>
      </c>
      <c r="X44" s="309">
        <v>0</v>
      </c>
      <c r="Y44" s="259" t="str">
        <f t="shared" si="46"/>
        <v/>
      </c>
      <c r="Z44" s="259" t="str">
        <f t="shared" si="1"/>
        <v/>
      </c>
      <c r="AA44" s="111" t="str">
        <f>IF($U44="","",SUM(Z44:Z$114))</f>
        <v/>
      </c>
      <c r="AB44" s="259" t="str">
        <f t="shared" si="35"/>
        <v/>
      </c>
      <c r="AC44" s="254">
        <f t="shared" si="36"/>
        <v>0</v>
      </c>
      <c r="AD44" s="254" t="str">
        <f>Main_무해지!AJ44</f>
        <v/>
      </c>
      <c r="AE44" s="259">
        <f t="shared" si="2"/>
        <v>0</v>
      </c>
      <c r="AF44" s="259" t="str">
        <f t="shared" si="47"/>
        <v/>
      </c>
      <c r="AG44" s="259" t="str">
        <f t="shared" si="3"/>
        <v/>
      </c>
      <c r="AH44" s="111" t="str">
        <f>IF($U44="","",SUM(AG44:AG$114))</f>
        <v/>
      </c>
      <c r="AI44" s="259" t="str">
        <f>Main_무해지!AP44</f>
        <v/>
      </c>
      <c r="AJ44" s="259">
        <f t="shared" si="4"/>
        <v>0</v>
      </c>
      <c r="AK44" s="259" t="str">
        <f t="shared" si="5"/>
        <v/>
      </c>
      <c r="AL44" s="259" t="str">
        <f t="shared" si="6"/>
        <v/>
      </c>
      <c r="AM44" s="316" t="str">
        <f>IF($U44="","",SUM($AN44:$AN$114))</f>
        <v/>
      </c>
      <c r="AN44" s="259" t="str">
        <f t="shared" si="37"/>
        <v/>
      </c>
      <c r="AO44" s="316" t="str">
        <f t="shared" si="7"/>
        <v/>
      </c>
      <c r="AP44" s="286" t="str">
        <f>IF($U44="","",INDEX(#REF!,$U44+1))</f>
        <v/>
      </c>
      <c r="AQ44" s="259">
        <f t="shared" si="8"/>
        <v>0</v>
      </c>
      <c r="AR44" s="259" t="str">
        <f t="shared" si="9"/>
        <v/>
      </c>
      <c r="AS44" s="259" t="str">
        <f t="shared" si="10"/>
        <v/>
      </c>
      <c r="AT44" s="316" t="str">
        <f>IF($U44="","",SUM($AS44:$AS$114))</f>
        <v/>
      </c>
      <c r="AU44" s="286" t="str">
        <f>IF($U44="","",INDEX(#REF!,$U44+1))</f>
        <v/>
      </c>
      <c r="AV44" s="259">
        <f t="shared" si="11"/>
        <v>0</v>
      </c>
      <c r="AW44" s="259" t="str">
        <f t="shared" si="12"/>
        <v/>
      </c>
      <c r="AX44" s="259" t="str">
        <f t="shared" si="13"/>
        <v/>
      </c>
      <c r="AY44" s="316" t="str">
        <f>IF($U44="","",SUM($AX44:$AX$114))</f>
        <v/>
      </c>
      <c r="AZ44" s="286" t="str">
        <f>IF($U44="","",INDEX(#REF!,$U44+1))</f>
        <v/>
      </c>
      <c r="BA44" s="259">
        <f t="shared" si="14"/>
        <v>0</v>
      </c>
      <c r="BB44" s="259" t="str">
        <f t="shared" si="15"/>
        <v/>
      </c>
      <c r="BC44" s="259" t="str">
        <f t="shared" si="16"/>
        <v/>
      </c>
      <c r="BD44" s="316" t="str">
        <f>IF($U44="","",SUM($BC44:$BC$114))</f>
        <v/>
      </c>
      <c r="BE44" s="286" t="str">
        <f>IF($U44="","",INDEX(#REF!,$U44+1))</f>
        <v/>
      </c>
      <c r="BF44" s="259">
        <f t="shared" si="17"/>
        <v>0</v>
      </c>
      <c r="BG44" s="259" t="str">
        <f t="shared" si="18"/>
        <v/>
      </c>
      <c r="BH44" s="259" t="str">
        <f t="shared" si="19"/>
        <v/>
      </c>
      <c r="BI44" s="316" t="str">
        <f>IF($U44="","",SUM($BH44:$BH$114))</f>
        <v/>
      </c>
      <c r="BJ44" s="286" t="str">
        <f>IF($U44="","",INDEX(#REF!,$U44+1))</f>
        <v/>
      </c>
      <c r="BK44" s="259">
        <f t="shared" si="20"/>
        <v>0</v>
      </c>
      <c r="BL44" s="259" t="str">
        <f t="shared" si="21"/>
        <v/>
      </c>
      <c r="BM44" s="259" t="str">
        <f t="shared" si="22"/>
        <v/>
      </c>
      <c r="BN44" s="316" t="str">
        <f>IF($U44="","",SUM($BM44:$BM$114))</f>
        <v/>
      </c>
      <c r="BO44" s="286">
        <f t="shared" si="23"/>
        <v>0</v>
      </c>
      <c r="BP44" s="259" t="str">
        <f t="shared" si="24"/>
        <v/>
      </c>
      <c r="BQ44" s="259" t="str">
        <f t="shared" si="25"/>
        <v/>
      </c>
      <c r="BR44" s="259"/>
      <c r="BS44" s="259" t="str">
        <f t="shared" si="38"/>
        <v/>
      </c>
      <c r="BT44" s="259" t="str">
        <f t="shared" si="26"/>
        <v/>
      </c>
      <c r="BU44" s="259" t="str">
        <f t="shared" si="27"/>
        <v/>
      </c>
      <c r="BV44" s="259"/>
      <c r="BW44" s="259" t="str">
        <f t="shared" si="39"/>
        <v/>
      </c>
      <c r="BX44" s="259" t="str">
        <f>IF($U44="","",SUM(BS44:BS$114)+SUM(BW44:BW$114))</f>
        <v/>
      </c>
      <c r="BY44" s="112"/>
      <c r="BZ44" s="112"/>
      <c r="CA44" s="112"/>
      <c r="CB44" s="112"/>
      <c r="CC44" s="395" t="str">
        <f t="shared" si="0"/>
        <v/>
      </c>
      <c r="CD44" s="259" t="str">
        <f t="shared" si="40"/>
        <v/>
      </c>
      <c r="CE44" s="259" t="str">
        <f t="shared" si="28"/>
        <v/>
      </c>
      <c r="CF44" s="259" t="str">
        <f t="shared" si="29"/>
        <v/>
      </c>
      <c r="CG44" s="259" t="str">
        <f t="shared" si="41"/>
        <v/>
      </c>
      <c r="CH44" s="259" t="str">
        <f t="shared" si="30"/>
        <v/>
      </c>
      <c r="CI44" s="113" t="str">
        <f t="shared" si="42"/>
        <v/>
      </c>
      <c r="CJ44" s="114" t="str">
        <f t="shared" si="31"/>
        <v/>
      </c>
      <c r="CK44" s="241"/>
      <c r="CL44" s="110" t="str">
        <f t="shared" si="32"/>
        <v/>
      </c>
      <c r="CM44" s="114" t="str">
        <f t="shared" si="48"/>
        <v/>
      </c>
      <c r="CN44" s="114" t="str">
        <f t="shared" si="43"/>
        <v/>
      </c>
      <c r="CO44" s="114" t="str">
        <f t="shared" si="33"/>
        <v/>
      </c>
      <c r="CP44" s="114" t="str">
        <f t="shared" si="44"/>
        <v/>
      </c>
      <c r="CQ44" s="241"/>
      <c r="CR44" s="241"/>
      <c r="CS44" s="241"/>
      <c r="CT44" s="241"/>
      <c r="CU44" s="241"/>
      <c r="CV44" s="241"/>
      <c r="CW44" s="478"/>
      <c r="CX44" s="478"/>
      <c r="CY44" s="478"/>
      <c r="CZ44" s="478"/>
      <c r="DA44" s="478"/>
      <c r="DB44" s="478"/>
      <c r="DC44" s="478"/>
      <c r="DD44" s="478"/>
      <c r="DE44" s="478"/>
      <c r="DF44" s="478"/>
      <c r="DG44" s="478"/>
      <c r="DH44" s="478"/>
      <c r="DI44" s="478"/>
      <c r="DJ44" s="478"/>
      <c r="DK44" s="478"/>
      <c r="DL44" s="478"/>
      <c r="DM44" s="478"/>
      <c r="DN44" s="478"/>
      <c r="DO44" s="478"/>
      <c r="DP44" s="478"/>
      <c r="DQ44" s="478"/>
      <c r="DR44" s="478"/>
      <c r="DS44" s="478"/>
      <c r="DT44" s="478"/>
      <c r="DU44" s="478"/>
      <c r="DV44" s="478"/>
      <c r="DW44" s="478"/>
      <c r="DX44" s="478"/>
      <c r="DY44" s="478"/>
      <c r="DZ44" s="478"/>
      <c r="EA44" s="478"/>
      <c r="EB44" s="478"/>
      <c r="EC44" s="478"/>
      <c r="ED44" s="478"/>
    </row>
    <row r="45" spans="1:134" ht="17.25" thickBot="1">
      <c r="A45" s="305"/>
      <c r="B45" s="373"/>
      <c r="C45" s="194"/>
      <c r="D45" s="195"/>
      <c r="E45" s="196"/>
      <c r="F45" s="183"/>
      <c r="G45" s="197"/>
      <c r="H45" s="373"/>
      <c r="I45" s="48" t="str">
        <f>IF(F5=0,"일시납영업보험료","연납영업보험료")</f>
        <v>연납영업보험료</v>
      </c>
      <c r="J45" s="49" t="s">
        <v>42</v>
      </c>
      <c r="K45" s="486">
        <f>IF($F$6=0,(1+$E$33)*K44+$E$32+$E$37*K33/K20,K44+(($E$23+$E$24*K41)*K20+$E$27*K31+$E$29*K33)/(1*K31))</f>
        <v>1.73209722032399E-5</v>
      </c>
      <c r="M45" s="50"/>
      <c r="N45" s="278" t="str">
        <f t="shared" si="52"/>
        <v/>
      </c>
      <c r="O45" s="279" t="str">
        <f t="shared" si="53"/>
        <v/>
      </c>
      <c r="P45" s="271" t="str">
        <f t="shared" si="49"/>
        <v/>
      </c>
      <c r="Q45" s="271" t="str">
        <f t="shared" si="50"/>
        <v/>
      </c>
      <c r="R45" s="271" t="str">
        <f t="shared" si="51"/>
        <v/>
      </c>
      <c r="S45" s="400" t="str">
        <f t="shared" si="54"/>
        <v/>
      </c>
      <c r="T45" s="419"/>
      <c r="U45" s="770" t="str">
        <f t="shared" si="45"/>
        <v/>
      </c>
      <c r="V45" s="772" t="str">
        <f>Main_무해지!AC45</f>
        <v/>
      </c>
      <c r="W45" s="640">
        <f>+Main_무해지!AD45</f>
        <v>0</v>
      </c>
      <c r="X45" s="640">
        <v>0</v>
      </c>
      <c r="Y45" s="410" t="str">
        <f t="shared" si="46"/>
        <v/>
      </c>
      <c r="Z45" s="410" t="str">
        <f t="shared" si="1"/>
        <v/>
      </c>
      <c r="AA45" s="771" t="str">
        <f>IF($U45="","",SUM(Z45:Z$114))</f>
        <v/>
      </c>
      <c r="AB45" s="410" t="str">
        <f t="shared" si="35"/>
        <v/>
      </c>
      <c r="AC45" s="254">
        <f t="shared" si="36"/>
        <v>0</v>
      </c>
      <c r="AD45" s="254" t="str">
        <f>Main_무해지!AJ45</f>
        <v/>
      </c>
      <c r="AE45" s="410">
        <f t="shared" si="2"/>
        <v>0</v>
      </c>
      <c r="AF45" s="410" t="str">
        <f t="shared" si="47"/>
        <v/>
      </c>
      <c r="AG45" s="410" t="str">
        <f t="shared" si="3"/>
        <v/>
      </c>
      <c r="AH45" s="771" t="str">
        <f>IF($U45="","",SUM(AG45:AG$114))</f>
        <v/>
      </c>
      <c r="AI45" s="410" t="str">
        <f>Main_무해지!AP45</f>
        <v/>
      </c>
      <c r="AJ45" s="410">
        <f t="shared" si="4"/>
        <v>0</v>
      </c>
      <c r="AK45" s="410" t="str">
        <f t="shared" si="5"/>
        <v/>
      </c>
      <c r="AL45" s="410" t="str">
        <f t="shared" si="6"/>
        <v/>
      </c>
      <c r="AM45" s="773" t="str">
        <f>IF($U45="","",SUM($AN45:$AN$114))</f>
        <v/>
      </c>
      <c r="AN45" s="410" t="str">
        <f t="shared" si="37"/>
        <v/>
      </c>
      <c r="AO45" s="773" t="str">
        <f t="shared" si="7"/>
        <v/>
      </c>
      <c r="AP45" s="772" t="str">
        <f>IF($U45="","",INDEX(#REF!,$U45+1))</f>
        <v/>
      </c>
      <c r="AQ45" s="410">
        <f t="shared" si="8"/>
        <v>0</v>
      </c>
      <c r="AR45" s="410" t="str">
        <f t="shared" si="9"/>
        <v/>
      </c>
      <c r="AS45" s="410" t="str">
        <f t="shared" si="10"/>
        <v/>
      </c>
      <c r="AT45" s="773" t="str">
        <f>IF($U45="","",SUM($AS45:$AS$114))</f>
        <v/>
      </c>
      <c r="AU45" s="772" t="str">
        <f>IF($U45="","",INDEX(#REF!,$U45+1))</f>
        <v/>
      </c>
      <c r="AV45" s="410">
        <f t="shared" si="11"/>
        <v>0</v>
      </c>
      <c r="AW45" s="410" t="str">
        <f t="shared" si="12"/>
        <v/>
      </c>
      <c r="AX45" s="410" t="str">
        <f t="shared" si="13"/>
        <v/>
      </c>
      <c r="AY45" s="773" t="str">
        <f>IF($U45="","",SUM($AX45:$AX$114))</f>
        <v/>
      </c>
      <c r="AZ45" s="772" t="str">
        <f>IF($U45="","",INDEX(#REF!,$U45+1))</f>
        <v/>
      </c>
      <c r="BA45" s="410">
        <f t="shared" si="14"/>
        <v>0</v>
      </c>
      <c r="BB45" s="410" t="str">
        <f t="shared" si="15"/>
        <v/>
      </c>
      <c r="BC45" s="410" t="str">
        <f t="shared" si="16"/>
        <v/>
      </c>
      <c r="BD45" s="773" t="str">
        <f>IF($U45="","",SUM($BC45:$BC$114))</f>
        <v/>
      </c>
      <c r="BE45" s="772" t="str">
        <f>IF($U45="","",INDEX(#REF!,$U45+1))</f>
        <v/>
      </c>
      <c r="BF45" s="410">
        <f t="shared" si="17"/>
        <v>0</v>
      </c>
      <c r="BG45" s="410" t="str">
        <f t="shared" si="18"/>
        <v/>
      </c>
      <c r="BH45" s="410" t="str">
        <f t="shared" si="19"/>
        <v/>
      </c>
      <c r="BI45" s="773" t="str">
        <f>IF($U45="","",SUM($BH45:$BH$114))</f>
        <v/>
      </c>
      <c r="BJ45" s="772" t="str">
        <f>IF($U45="","",INDEX(#REF!,$U45+1))</f>
        <v/>
      </c>
      <c r="BK45" s="410">
        <f t="shared" si="20"/>
        <v>0</v>
      </c>
      <c r="BL45" s="410" t="str">
        <f t="shared" si="21"/>
        <v/>
      </c>
      <c r="BM45" s="410" t="str">
        <f t="shared" si="22"/>
        <v/>
      </c>
      <c r="BN45" s="773" t="str">
        <f>IF($U45="","",SUM($BM45:$BM$114))</f>
        <v/>
      </c>
      <c r="BO45" s="772">
        <f t="shared" si="23"/>
        <v>0</v>
      </c>
      <c r="BP45" s="410" t="str">
        <f t="shared" si="24"/>
        <v/>
      </c>
      <c r="BQ45" s="410" t="str">
        <f t="shared" si="25"/>
        <v/>
      </c>
      <c r="BR45" s="410"/>
      <c r="BS45" s="410" t="str">
        <f t="shared" si="38"/>
        <v/>
      </c>
      <c r="BT45" s="410" t="str">
        <f t="shared" si="26"/>
        <v/>
      </c>
      <c r="BU45" s="410" t="str">
        <f t="shared" si="27"/>
        <v/>
      </c>
      <c r="BV45" s="410"/>
      <c r="BW45" s="410" t="str">
        <f t="shared" si="39"/>
        <v/>
      </c>
      <c r="BX45" s="410" t="str">
        <f>IF($U45="","",SUM(BS45:BS$114)+SUM(BW45:BW$114))</f>
        <v/>
      </c>
      <c r="BY45" s="774"/>
      <c r="BZ45" s="774"/>
      <c r="CA45" s="774"/>
      <c r="CB45" s="774"/>
      <c r="CC45" s="775" t="str">
        <f t="shared" si="0"/>
        <v/>
      </c>
      <c r="CD45" s="410" t="str">
        <f t="shared" si="40"/>
        <v/>
      </c>
      <c r="CE45" s="410" t="str">
        <f t="shared" si="28"/>
        <v/>
      </c>
      <c r="CF45" s="410" t="str">
        <f t="shared" si="29"/>
        <v/>
      </c>
      <c r="CG45" s="410" t="str">
        <f t="shared" si="41"/>
        <v/>
      </c>
      <c r="CH45" s="410" t="str">
        <f t="shared" si="30"/>
        <v/>
      </c>
      <c r="CI45" s="776" t="str">
        <f t="shared" si="42"/>
        <v/>
      </c>
      <c r="CJ45" s="777" t="str">
        <f t="shared" si="31"/>
        <v/>
      </c>
      <c r="CK45" s="415"/>
      <c r="CL45" s="770" t="str">
        <f t="shared" si="32"/>
        <v/>
      </c>
      <c r="CM45" s="777" t="str">
        <f t="shared" si="48"/>
        <v/>
      </c>
      <c r="CN45" s="777" t="str">
        <f t="shared" si="43"/>
        <v/>
      </c>
      <c r="CO45" s="777" t="str">
        <f t="shared" si="33"/>
        <v/>
      </c>
      <c r="CP45" s="777" t="str">
        <f t="shared" si="44"/>
        <v/>
      </c>
      <c r="CQ45" s="415"/>
      <c r="CR45" s="415"/>
      <c r="CS45" s="415"/>
      <c r="CT45" s="415"/>
      <c r="CU45" s="415"/>
      <c r="CV45" s="415"/>
      <c r="CW45" s="478"/>
      <c r="CX45" s="478"/>
      <c r="CY45" s="478"/>
      <c r="CZ45" s="478"/>
      <c r="DA45" s="478"/>
      <c r="DB45" s="478"/>
      <c r="DC45" s="478"/>
      <c r="DD45" s="478"/>
      <c r="DE45" s="478"/>
      <c r="DF45" s="478"/>
      <c r="DG45" s="478"/>
      <c r="DH45" s="478"/>
      <c r="DI45" s="478"/>
      <c r="DJ45" s="478"/>
      <c r="DK45" s="478"/>
      <c r="DL45" s="478"/>
      <c r="DM45" s="478"/>
      <c r="DN45" s="478"/>
      <c r="DO45" s="478"/>
      <c r="DP45" s="478"/>
      <c r="DQ45" s="478"/>
      <c r="DR45" s="478"/>
      <c r="DS45" s="478"/>
      <c r="DT45" s="478"/>
      <c r="DU45" s="478"/>
      <c r="DV45" s="478"/>
      <c r="DW45" s="478"/>
      <c r="DX45" s="478"/>
      <c r="DY45" s="478"/>
      <c r="DZ45" s="478"/>
      <c r="EA45" s="478"/>
      <c r="EB45" s="478"/>
      <c r="EC45" s="478"/>
      <c r="ED45" s="478"/>
    </row>
    <row r="46" spans="1:134">
      <c r="A46" s="305"/>
      <c r="B46" s="373"/>
      <c r="C46" s="373"/>
      <c r="D46" s="373"/>
      <c r="E46" s="373"/>
      <c r="F46" s="373"/>
      <c r="G46" s="373"/>
      <c r="H46" s="373"/>
      <c r="I46" s="48"/>
      <c r="J46" s="51" t="s">
        <v>44</v>
      </c>
      <c r="K46" s="486">
        <f>IF($F$6=0,1-$E$36-$E$38,1-$E$28-$E$30)</f>
        <v>0.875</v>
      </c>
      <c r="M46" s="50"/>
      <c r="N46" s="278" t="str">
        <f t="shared" si="52"/>
        <v/>
      </c>
      <c r="O46" s="279" t="str">
        <f t="shared" si="53"/>
        <v/>
      </c>
      <c r="P46" s="271" t="str">
        <f t="shared" si="49"/>
        <v/>
      </c>
      <c r="Q46" s="271" t="str">
        <f t="shared" si="50"/>
        <v/>
      </c>
      <c r="R46" s="271" t="str">
        <f t="shared" si="51"/>
        <v/>
      </c>
      <c r="S46" s="400" t="str">
        <f t="shared" si="54"/>
        <v/>
      </c>
      <c r="T46" s="419"/>
      <c r="U46" s="120" t="str">
        <f t="shared" si="45"/>
        <v/>
      </c>
      <c r="V46" s="287" t="str">
        <f>Main_무해지!AC46</f>
        <v/>
      </c>
      <c r="W46" s="310">
        <f>+Main_무해지!AD46</f>
        <v>0</v>
      </c>
      <c r="X46" s="310">
        <v>0</v>
      </c>
      <c r="Y46" s="260" t="str">
        <f t="shared" si="46"/>
        <v/>
      </c>
      <c r="Z46" s="260" t="str">
        <f t="shared" si="1"/>
        <v/>
      </c>
      <c r="AA46" s="121" t="str">
        <f>IF($U46="","",SUM(Z46:Z$114))</f>
        <v/>
      </c>
      <c r="AB46" s="260" t="str">
        <f t="shared" si="35"/>
        <v/>
      </c>
      <c r="AC46" s="254">
        <f t="shared" si="36"/>
        <v>0</v>
      </c>
      <c r="AD46" s="254" t="str">
        <f>Main_무해지!AJ46</f>
        <v/>
      </c>
      <c r="AE46" s="260">
        <f t="shared" si="2"/>
        <v>0</v>
      </c>
      <c r="AF46" s="260" t="str">
        <f t="shared" si="47"/>
        <v/>
      </c>
      <c r="AG46" s="260" t="str">
        <f t="shared" si="3"/>
        <v/>
      </c>
      <c r="AH46" s="121" t="str">
        <f>IF($U46="","",SUM(AG46:AG$114))</f>
        <v/>
      </c>
      <c r="AI46" s="260" t="str">
        <f>Main_무해지!AP46</f>
        <v/>
      </c>
      <c r="AJ46" s="260">
        <f t="shared" si="4"/>
        <v>0</v>
      </c>
      <c r="AK46" s="260" t="str">
        <f t="shared" si="5"/>
        <v/>
      </c>
      <c r="AL46" s="260" t="str">
        <f t="shared" si="6"/>
        <v/>
      </c>
      <c r="AM46" s="317" t="str">
        <f>IF($U46="","",SUM($AN46:$AN$114))</f>
        <v/>
      </c>
      <c r="AN46" s="260" t="str">
        <f t="shared" si="37"/>
        <v/>
      </c>
      <c r="AO46" s="317" t="str">
        <f t="shared" si="7"/>
        <v/>
      </c>
      <c r="AP46" s="287" t="str">
        <f>IF($U46="","",INDEX(#REF!,$U46+1))</f>
        <v/>
      </c>
      <c r="AQ46" s="260">
        <f t="shared" si="8"/>
        <v>0</v>
      </c>
      <c r="AR46" s="260" t="str">
        <f t="shared" si="9"/>
        <v/>
      </c>
      <c r="AS46" s="260" t="str">
        <f t="shared" si="10"/>
        <v/>
      </c>
      <c r="AT46" s="317" t="str">
        <f>IF($U46="","",SUM($AS46:$AS$114))</f>
        <v/>
      </c>
      <c r="AU46" s="287" t="str">
        <f>IF($U46="","",INDEX(#REF!,$U46+1))</f>
        <v/>
      </c>
      <c r="AV46" s="260">
        <f t="shared" si="11"/>
        <v>0</v>
      </c>
      <c r="AW46" s="260" t="str">
        <f t="shared" si="12"/>
        <v/>
      </c>
      <c r="AX46" s="260" t="str">
        <f t="shared" si="13"/>
        <v/>
      </c>
      <c r="AY46" s="317" t="str">
        <f>IF($U46="","",SUM($AX46:$AX$114))</f>
        <v/>
      </c>
      <c r="AZ46" s="287" t="str">
        <f>IF($U46="","",INDEX(#REF!,$U46+1))</f>
        <v/>
      </c>
      <c r="BA46" s="260">
        <f t="shared" si="14"/>
        <v>0</v>
      </c>
      <c r="BB46" s="260" t="str">
        <f t="shared" si="15"/>
        <v/>
      </c>
      <c r="BC46" s="260" t="str">
        <f t="shared" si="16"/>
        <v/>
      </c>
      <c r="BD46" s="317" t="str">
        <f>IF($U46="","",SUM($BC46:$BC$114))</f>
        <v/>
      </c>
      <c r="BE46" s="287" t="str">
        <f>IF($U46="","",INDEX(#REF!,$U46+1))</f>
        <v/>
      </c>
      <c r="BF46" s="260">
        <f t="shared" si="17"/>
        <v>0</v>
      </c>
      <c r="BG46" s="260" t="str">
        <f t="shared" si="18"/>
        <v/>
      </c>
      <c r="BH46" s="260" t="str">
        <f t="shared" si="19"/>
        <v/>
      </c>
      <c r="BI46" s="317" t="str">
        <f>IF($U46="","",SUM($BH46:$BH$114))</f>
        <v/>
      </c>
      <c r="BJ46" s="287" t="str">
        <f>IF($U46="","",INDEX(#REF!,$U46+1))</f>
        <v/>
      </c>
      <c r="BK46" s="260">
        <f t="shared" si="20"/>
        <v>0</v>
      </c>
      <c r="BL46" s="260" t="str">
        <f t="shared" si="21"/>
        <v/>
      </c>
      <c r="BM46" s="260" t="str">
        <f t="shared" si="22"/>
        <v/>
      </c>
      <c r="BN46" s="317" t="str">
        <f>IF($U46="","",SUM($BM46:$BM$114))</f>
        <v/>
      </c>
      <c r="BO46" s="287">
        <f t="shared" si="23"/>
        <v>0</v>
      </c>
      <c r="BP46" s="260" t="str">
        <f t="shared" si="24"/>
        <v/>
      </c>
      <c r="BQ46" s="260" t="str">
        <f t="shared" si="25"/>
        <v/>
      </c>
      <c r="BR46" s="260"/>
      <c r="BS46" s="260" t="str">
        <f t="shared" si="38"/>
        <v/>
      </c>
      <c r="BT46" s="260" t="str">
        <f t="shared" si="26"/>
        <v/>
      </c>
      <c r="BU46" s="260" t="str">
        <f t="shared" si="27"/>
        <v/>
      </c>
      <c r="BV46" s="260"/>
      <c r="BW46" s="260" t="str">
        <f t="shared" si="39"/>
        <v/>
      </c>
      <c r="BX46" s="260" t="str">
        <f>IF($U46="","",SUM(BS46:BS$114)+SUM(BW46:BW$114))</f>
        <v/>
      </c>
      <c r="BY46" s="122"/>
      <c r="BZ46" s="122"/>
      <c r="CA46" s="122"/>
      <c r="CB46" s="122"/>
      <c r="CC46" s="396" t="str">
        <f t="shared" si="0"/>
        <v/>
      </c>
      <c r="CD46" s="260" t="str">
        <f t="shared" si="40"/>
        <v/>
      </c>
      <c r="CE46" s="260" t="str">
        <f t="shared" si="28"/>
        <v/>
      </c>
      <c r="CF46" s="260" t="str">
        <f t="shared" si="29"/>
        <v/>
      </c>
      <c r="CG46" s="260" t="str">
        <f t="shared" si="41"/>
        <v/>
      </c>
      <c r="CH46" s="260" t="str">
        <f t="shared" si="30"/>
        <v/>
      </c>
      <c r="CI46" s="123" t="str">
        <f t="shared" si="42"/>
        <v/>
      </c>
      <c r="CJ46" s="124" t="str">
        <f t="shared" si="31"/>
        <v/>
      </c>
      <c r="CK46" s="242"/>
      <c r="CL46" s="120" t="str">
        <f t="shared" si="32"/>
        <v/>
      </c>
      <c r="CM46" s="124" t="str">
        <f t="shared" si="48"/>
        <v/>
      </c>
      <c r="CN46" s="124" t="str">
        <f t="shared" si="43"/>
        <v/>
      </c>
      <c r="CO46" s="124" t="str">
        <f t="shared" si="33"/>
        <v/>
      </c>
      <c r="CP46" s="124" t="str">
        <f t="shared" si="44"/>
        <v/>
      </c>
      <c r="CQ46" s="242"/>
      <c r="CR46" s="242"/>
      <c r="CS46" s="242"/>
      <c r="CT46" s="242"/>
      <c r="CU46" s="242"/>
      <c r="CV46" s="242"/>
      <c r="CW46" s="478"/>
      <c r="CX46" s="478"/>
      <c r="CY46" s="478"/>
      <c r="CZ46" s="478"/>
      <c r="DA46" s="478"/>
      <c r="DB46" s="478"/>
      <c r="DC46" s="478"/>
      <c r="DD46" s="478"/>
      <c r="DE46" s="478"/>
      <c r="DF46" s="478"/>
      <c r="DG46" s="478"/>
      <c r="DH46" s="478"/>
      <c r="DI46" s="478"/>
      <c r="DJ46" s="478"/>
      <c r="DK46" s="478"/>
      <c r="DL46" s="478"/>
      <c r="DM46" s="478"/>
      <c r="DN46" s="478"/>
      <c r="DO46" s="478"/>
      <c r="DP46" s="478"/>
      <c r="DQ46" s="478"/>
      <c r="DR46" s="478"/>
      <c r="DS46" s="478"/>
      <c r="DT46" s="478"/>
      <c r="DU46" s="478"/>
      <c r="DV46" s="478"/>
      <c r="DW46" s="478"/>
      <c r="DX46" s="478"/>
      <c r="DY46" s="478"/>
      <c r="DZ46" s="478"/>
      <c r="EA46" s="478"/>
      <c r="EB46" s="478"/>
      <c r="EC46" s="478"/>
      <c r="ED46" s="478"/>
    </row>
    <row r="47" spans="1:134" ht="17.25" thickBot="1">
      <c r="A47" s="305"/>
      <c r="B47" s="373"/>
      <c r="C47" s="373"/>
      <c r="D47" s="373"/>
      <c r="E47" s="373"/>
      <c r="F47" s="373"/>
      <c r="G47" s="373"/>
      <c r="H47" s="373"/>
      <c r="I47" s="48"/>
      <c r="J47" s="109" t="s">
        <v>54</v>
      </c>
      <c r="K47" s="490">
        <f>K45/K46</f>
        <v>1.9795396803702742E-5</v>
      </c>
      <c r="M47" s="50"/>
      <c r="N47" s="275" t="str">
        <f t="shared" si="52"/>
        <v/>
      </c>
      <c r="O47" s="276" t="str">
        <f t="shared" si="53"/>
        <v/>
      </c>
      <c r="P47" s="277" t="str">
        <f t="shared" si="49"/>
        <v/>
      </c>
      <c r="Q47" s="277" t="str">
        <f t="shared" si="50"/>
        <v/>
      </c>
      <c r="R47" s="277" t="str">
        <f t="shared" si="51"/>
        <v/>
      </c>
      <c r="S47" s="401" t="str">
        <f t="shared" si="54"/>
        <v/>
      </c>
      <c r="T47" s="419"/>
      <c r="U47" s="120" t="str">
        <f t="shared" si="45"/>
        <v/>
      </c>
      <c r="V47" s="287" t="str">
        <f>Main_무해지!AC47</f>
        <v/>
      </c>
      <c r="W47" s="310">
        <f>+Main_무해지!AD47</f>
        <v>0</v>
      </c>
      <c r="X47" s="310">
        <v>0</v>
      </c>
      <c r="Y47" s="260" t="str">
        <f t="shared" si="46"/>
        <v/>
      </c>
      <c r="Z47" s="260" t="str">
        <f t="shared" si="1"/>
        <v/>
      </c>
      <c r="AA47" s="121" t="str">
        <f>IF($U47="","",SUM(Z47:Z$114))</f>
        <v/>
      </c>
      <c r="AB47" s="260" t="str">
        <f t="shared" si="35"/>
        <v/>
      </c>
      <c r="AC47" s="254">
        <f t="shared" si="36"/>
        <v>0</v>
      </c>
      <c r="AD47" s="254" t="str">
        <f>Main_무해지!AJ47</f>
        <v/>
      </c>
      <c r="AE47" s="260">
        <f t="shared" si="2"/>
        <v>0</v>
      </c>
      <c r="AF47" s="260" t="str">
        <f t="shared" si="47"/>
        <v/>
      </c>
      <c r="AG47" s="260" t="str">
        <f t="shared" si="3"/>
        <v/>
      </c>
      <c r="AH47" s="121" t="str">
        <f>IF($U47="","",SUM(AG47:AG$114))</f>
        <v/>
      </c>
      <c r="AI47" s="260" t="str">
        <f>Main_무해지!AP47</f>
        <v/>
      </c>
      <c r="AJ47" s="260">
        <f t="shared" si="4"/>
        <v>0</v>
      </c>
      <c r="AK47" s="260" t="str">
        <f t="shared" si="5"/>
        <v/>
      </c>
      <c r="AL47" s="260" t="str">
        <f t="shared" si="6"/>
        <v/>
      </c>
      <c r="AM47" s="317" t="str">
        <f>IF($U47="","",SUM($AN47:$AN$114))</f>
        <v/>
      </c>
      <c r="AN47" s="260" t="str">
        <f t="shared" si="37"/>
        <v/>
      </c>
      <c r="AO47" s="317" t="str">
        <f t="shared" si="7"/>
        <v/>
      </c>
      <c r="AP47" s="287" t="str">
        <f>IF($U47="","",INDEX(#REF!,$U47+1))</f>
        <v/>
      </c>
      <c r="AQ47" s="260">
        <f t="shared" si="8"/>
        <v>0</v>
      </c>
      <c r="AR47" s="260" t="str">
        <f t="shared" si="9"/>
        <v/>
      </c>
      <c r="AS47" s="260" t="str">
        <f t="shared" si="10"/>
        <v/>
      </c>
      <c r="AT47" s="317" t="str">
        <f>IF($U47="","",SUM($AS47:$AS$114))</f>
        <v/>
      </c>
      <c r="AU47" s="287" t="str">
        <f>IF($U47="","",INDEX(#REF!,$U47+1))</f>
        <v/>
      </c>
      <c r="AV47" s="260">
        <f t="shared" si="11"/>
        <v>0</v>
      </c>
      <c r="AW47" s="260" t="str">
        <f t="shared" si="12"/>
        <v/>
      </c>
      <c r="AX47" s="260" t="str">
        <f t="shared" si="13"/>
        <v/>
      </c>
      <c r="AY47" s="317" t="str">
        <f>IF($U47="","",SUM($AX47:$AX$114))</f>
        <v/>
      </c>
      <c r="AZ47" s="287" t="str">
        <f>IF($U47="","",INDEX(#REF!,$U47+1))</f>
        <v/>
      </c>
      <c r="BA47" s="260">
        <f t="shared" si="14"/>
        <v>0</v>
      </c>
      <c r="BB47" s="260" t="str">
        <f t="shared" si="15"/>
        <v/>
      </c>
      <c r="BC47" s="260" t="str">
        <f t="shared" si="16"/>
        <v/>
      </c>
      <c r="BD47" s="317" t="str">
        <f>IF($U47="","",SUM($BC47:$BC$114))</f>
        <v/>
      </c>
      <c r="BE47" s="287" t="str">
        <f>IF($U47="","",INDEX(#REF!,$U47+1))</f>
        <v/>
      </c>
      <c r="BF47" s="260">
        <f t="shared" si="17"/>
        <v>0</v>
      </c>
      <c r="BG47" s="260" t="str">
        <f t="shared" si="18"/>
        <v/>
      </c>
      <c r="BH47" s="260" t="str">
        <f t="shared" si="19"/>
        <v/>
      </c>
      <c r="BI47" s="317" t="str">
        <f>IF($U47="","",SUM($BH47:$BH$114))</f>
        <v/>
      </c>
      <c r="BJ47" s="287" t="str">
        <f>IF($U47="","",INDEX(#REF!,$U47+1))</f>
        <v/>
      </c>
      <c r="BK47" s="260">
        <f t="shared" si="20"/>
        <v>0</v>
      </c>
      <c r="BL47" s="260" t="str">
        <f t="shared" si="21"/>
        <v/>
      </c>
      <c r="BM47" s="260" t="str">
        <f t="shared" si="22"/>
        <v/>
      </c>
      <c r="BN47" s="317" t="str">
        <f>IF($U47="","",SUM($BM47:$BM$114))</f>
        <v/>
      </c>
      <c r="BO47" s="287">
        <f t="shared" si="23"/>
        <v>0</v>
      </c>
      <c r="BP47" s="260" t="str">
        <f t="shared" si="24"/>
        <v/>
      </c>
      <c r="BQ47" s="260" t="str">
        <f t="shared" si="25"/>
        <v/>
      </c>
      <c r="BR47" s="260"/>
      <c r="BS47" s="260" t="str">
        <f t="shared" si="38"/>
        <v/>
      </c>
      <c r="BT47" s="260" t="str">
        <f t="shared" si="26"/>
        <v/>
      </c>
      <c r="BU47" s="260" t="str">
        <f t="shared" si="27"/>
        <v/>
      </c>
      <c r="BV47" s="260"/>
      <c r="BW47" s="260" t="str">
        <f t="shared" si="39"/>
        <v/>
      </c>
      <c r="BX47" s="260" t="str">
        <f>IF($U47="","",SUM(BS47:BS$114)+SUM(BW47:BW$114))</f>
        <v/>
      </c>
      <c r="BY47" s="122"/>
      <c r="BZ47" s="122"/>
      <c r="CA47" s="122"/>
      <c r="CB47" s="122"/>
      <c r="CC47" s="396" t="str">
        <f t="shared" si="0"/>
        <v/>
      </c>
      <c r="CD47" s="260" t="str">
        <f t="shared" si="40"/>
        <v/>
      </c>
      <c r="CE47" s="260" t="str">
        <f t="shared" si="28"/>
        <v/>
      </c>
      <c r="CF47" s="260" t="str">
        <f t="shared" si="29"/>
        <v/>
      </c>
      <c r="CG47" s="260" t="str">
        <f t="shared" si="41"/>
        <v/>
      </c>
      <c r="CH47" s="260" t="str">
        <f t="shared" si="30"/>
        <v/>
      </c>
      <c r="CI47" s="123" t="str">
        <f t="shared" si="42"/>
        <v/>
      </c>
      <c r="CJ47" s="124" t="str">
        <f t="shared" si="31"/>
        <v/>
      </c>
      <c r="CK47" s="242"/>
      <c r="CL47" s="120" t="str">
        <f t="shared" si="32"/>
        <v/>
      </c>
      <c r="CM47" s="124" t="str">
        <f t="shared" si="48"/>
        <v/>
      </c>
      <c r="CN47" s="124" t="str">
        <f t="shared" si="43"/>
        <v/>
      </c>
      <c r="CO47" s="124" t="str">
        <f t="shared" si="33"/>
        <v/>
      </c>
      <c r="CP47" s="124" t="str">
        <f t="shared" si="44"/>
        <v/>
      </c>
      <c r="CQ47" s="242"/>
      <c r="CR47" s="242"/>
      <c r="CS47" s="242"/>
      <c r="CT47" s="242"/>
      <c r="CU47" s="242"/>
      <c r="CV47" s="242"/>
      <c r="CW47" s="478"/>
      <c r="CX47" s="478"/>
      <c r="CY47" s="478"/>
      <c r="CZ47" s="478"/>
      <c r="DA47" s="478"/>
      <c r="DB47" s="478"/>
      <c r="DC47" s="478"/>
      <c r="DD47" s="478"/>
      <c r="DE47" s="478"/>
      <c r="DF47" s="478"/>
      <c r="DG47" s="478"/>
      <c r="DH47" s="478"/>
      <c r="DI47" s="478"/>
      <c r="DJ47" s="478"/>
      <c r="DK47" s="478"/>
      <c r="DL47" s="478"/>
      <c r="DM47" s="478"/>
      <c r="DN47" s="478"/>
      <c r="DO47" s="478"/>
      <c r="DP47" s="478"/>
      <c r="DQ47" s="478"/>
      <c r="DR47" s="478"/>
      <c r="DS47" s="478"/>
      <c r="DT47" s="478"/>
      <c r="DU47" s="478"/>
      <c r="DV47" s="478"/>
      <c r="DW47" s="478"/>
      <c r="DX47" s="478"/>
      <c r="DY47" s="478"/>
      <c r="DZ47" s="478"/>
      <c r="EA47" s="478"/>
      <c r="EB47" s="478"/>
      <c r="EC47" s="478"/>
      <c r="ED47" s="478"/>
    </row>
    <row r="48" spans="1:134">
      <c r="A48" s="305"/>
      <c r="B48" s="373"/>
      <c r="C48" s="373"/>
      <c r="D48" s="828" t="s">
        <v>58</v>
      </c>
      <c r="E48" s="829"/>
      <c r="F48" s="828" t="s">
        <v>224</v>
      </c>
      <c r="G48" s="830"/>
      <c r="I48" s="138" t="str">
        <f>IF($F$5=0,"  A(β')x:n","  mP(β')(m')x:n")</f>
        <v xml:space="preserve">  mP(β')(m')x:n</v>
      </c>
      <c r="J48" s="139" t="s">
        <v>55</v>
      </c>
      <c r="K48" s="491">
        <f>IF($F$5=0,K52,IF($F$7=0,K44+$E$29*K33/1/(K29-K30),K52+$E$29*K33/K38/K32))</f>
        <v>7.0461715141866185E-6</v>
      </c>
      <c r="M48" s="50"/>
      <c r="N48" s="278" t="str">
        <f t="shared" si="52"/>
        <v/>
      </c>
      <c r="O48" s="279" t="str">
        <f t="shared" si="53"/>
        <v/>
      </c>
      <c r="P48" s="271" t="str">
        <f t="shared" si="49"/>
        <v/>
      </c>
      <c r="Q48" s="271" t="str">
        <f t="shared" si="50"/>
        <v/>
      </c>
      <c r="R48" s="271" t="str">
        <f t="shared" si="51"/>
        <v/>
      </c>
      <c r="S48" s="400" t="str">
        <f t="shared" si="54"/>
        <v/>
      </c>
      <c r="T48" s="419"/>
      <c r="U48" s="120" t="str">
        <f t="shared" si="45"/>
        <v/>
      </c>
      <c r="V48" s="287" t="str">
        <f>Main_무해지!AC48</f>
        <v/>
      </c>
      <c r="W48" s="310">
        <f>+Main_무해지!AD48</f>
        <v>0</v>
      </c>
      <c r="X48" s="310">
        <v>0</v>
      </c>
      <c r="Y48" s="260" t="str">
        <f t="shared" si="46"/>
        <v/>
      </c>
      <c r="Z48" s="260" t="str">
        <f t="shared" si="1"/>
        <v/>
      </c>
      <c r="AA48" s="121" t="str">
        <f>IF($U48="","",SUM(Z48:Z$114))</f>
        <v/>
      </c>
      <c r="AB48" s="260" t="str">
        <f t="shared" si="35"/>
        <v/>
      </c>
      <c r="AC48" s="254">
        <f t="shared" si="36"/>
        <v>0</v>
      </c>
      <c r="AD48" s="254" t="str">
        <f>Main_무해지!AJ48</f>
        <v/>
      </c>
      <c r="AE48" s="260">
        <f t="shared" si="2"/>
        <v>0</v>
      </c>
      <c r="AF48" s="260" t="str">
        <f t="shared" si="47"/>
        <v/>
      </c>
      <c r="AG48" s="260" t="str">
        <f t="shared" si="3"/>
        <v/>
      </c>
      <c r="AH48" s="121" t="str">
        <f>IF($U48="","",SUM(AG48:AG$114))</f>
        <v/>
      </c>
      <c r="AI48" s="260" t="str">
        <f>Main_무해지!AP48</f>
        <v/>
      </c>
      <c r="AJ48" s="260">
        <f t="shared" si="4"/>
        <v>0</v>
      </c>
      <c r="AK48" s="260" t="str">
        <f t="shared" si="5"/>
        <v/>
      </c>
      <c r="AL48" s="260" t="str">
        <f t="shared" si="6"/>
        <v/>
      </c>
      <c r="AM48" s="317" t="str">
        <f>IF($U48="","",SUM($AN48:$AN$114))</f>
        <v/>
      </c>
      <c r="AN48" s="260" t="str">
        <f t="shared" si="37"/>
        <v/>
      </c>
      <c r="AO48" s="317" t="str">
        <f t="shared" si="7"/>
        <v/>
      </c>
      <c r="AP48" s="287" t="str">
        <f>IF($U48="","",INDEX(#REF!,$U48+1))</f>
        <v/>
      </c>
      <c r="AQ48" s="260">
        <f t="shared" si="8"/>
        <v>0</v>
      </c>
      <c r="AR48" s="260" t="str">
        <f t="shared" si="9"/>
        <v/>
      </c>
      <c r="AS48" s="260" t="str">
        <f t="shared" si="10"/>
        <v/>
      </c>
      <c r="AT48" s="317" t="str">
        <f>IF($U48="","",SUM($AS48:$AS$114))</f>
        <v/>
      </c>
      <c r="AU48" s="287" t="str">
        <f>IF($U48="","",INDEX(#REF!,$U48+1))</f>
        <v/>
      </c>
      <c r="AV48" s="260">
        <f t="shared" si="11"/>
        <v>0</v>
      </c>
      <c r="AW48" s="260" t="str">
        <f t="shared" si="12"/>
        <v/>
      </c>
      <c r="AX48" s="260" t="str">
        <f t="shared" si="13"/>
        <v/>
      </c>
      <c r="AY48" s="317" t="str">
        <f>IF($U48="","",SUM($AX48:$AX$114))</f>
        <v/>
      </c>
      <c r="AZ48" s="287" t="str">
        <f>IF($U48="","",INDEX(#REF!,$U48+1))</f>
        <v/>
      </c>
      <c r="BA48" s="260">
        <f t="shared" si="14"/>
        <v>0</v>
      </c>
      <c r="BB48" s="260" t="str">
        <f t="shared" si="15"/>
        <v/>
      </c>
      <c r="BC48" s="260" t="str">
        <f t="shared" si="16"/>
        <v/>
      </c>
      <c r="BD48" s="317" t="str">
        <f>IF($U48="","",SUM($BC48:$BC$114))</f>
        <v/>
      </c>
      <c r="BE48" s="287" t="str">
        <f>IF($U48="","",INDEX(#REF!,$U48+1))</f>
        <v/>
      </c>
      <c r="BF48" s="260">
        <f t="shared" si="17"/>
        <v>0</v>
      </c>
      <c r="BG48" s="260" t="str">
        <f t="shared" si="18"/>
        <v/>
      </c>
      <c r="BH48" s="260" t="str">
        <f t="shared" si="19"/>
        <v/>
      </c>
      <c r="BI48" s="317" t="str">
        <f>IF($U48="","",SUM($BH48:$BH$114))</f>
        <v/>
      </c>
      <c r="BJ48" s="287" t="str">
        <f>IF($U48="","",INDEX(#REF!,$U48+1))</f>
        <v/>
      </c>
      <c r="BK48" s="260">
        <f t="shared" si="20"/>
        <v>0</v>
      </c>
      <c r="BL48" s="260" t="str">
        <f t="shared" si="21"/>
        <v/>
      </c>
      <c r="BM48" s="260" t="str">
        <f t="shared" si="22"/>
        <v/>
      </c>
      <c r="BN48" s="317" t="str">
        <f>IF($U48="","",SUM($BM48:$BM$114))</f>
        <v/>
      </c>
      <c r="BO48" s="287">
        <f t="shared" si="23"/>
        <v>0</v>
      </c>
      <c r="BP48" s="260" t="str">
        <f t="shared" si="24"/>
        <v/>
      </c>
      <c r="BQ48" s="260" t="str">
        <f t="shared" si="25"/>
        <v/>
      </c>
      <c r="BR48" s="260"/>
      <c r="BS48" s="260" t="str">
        <f t="shared" si="38"/>
        <v/>
      </c>
      <c r="BT48" s="260" t="str">
        <f t="shared" si="26"/>
        <v/>
      </c>
      <c r="BU48" s="260" t="str">
        <f t="shared" si="27"/>
        <v/>
      </c>
      <c r="BV48" s="260"/>
      <c r="BW48" s="260" t="str">
        <f t="shared" si="39"/>
        <v/>
      </c>
      <c r="BX48" s="260" t="str">
        <f>IF($U48="","",SUM(BS48:BS$114)+SUM(BW48:BW$114))</f>
        <v/>
      </c>
      <c r="BY48" s="122"/>
      <c r="BZ48" s="122"/>
      <c r="CA48" s="122"/>
      <c r="CB48" s="122"/>
      <c r="CC48" s="396" t="str">
        <f t="shared" si="0"/>
        <v/>
      </c>
      <c r="CD48" s="260" t="str">
        <f t="shared" si="40"/>
        <v/>
      </c>
      <c r="CE48" s="260" t="str">
        <f t="shared" si="28"/>
        <v/>
      </c>
      <c r="CF48" s="260" t="str">
        <f t="shared" si="29"/>
        <v/>
      </c>
      <c r="CG48" s="260" t="str">
        <f t="shared" si="41"/>
        <v/>
      </c>
      <c r="CH48" s="260" t="str">
        <f t="shared" si="30"/>
        <v/>
      </c>
      <c r="CI48" s="123" t="str">
        <f t="shared" si="42"/>
        <v/>
      </c>
      <c r="CJ48" s="124" t="str">
        <f t="shared" si="31"/>
        <v/>
      </c>
      <c r="CK48" s="242"/>
      <c r="CL48" s="120" t="str">
        <f t="shared" si="32"/>
        <v/>
      </c>
      <c r="CM48" s="124" t="str">
        <f t="shared" si="48"/>
        <v/>
      </c>
      <c r="CN48" s="124" t="str">
        <f t="shared" si="43"/>
        <v/>
      </c>
      <c r="CO48" s="124" t="str">
        <f t="shared" si="33"/>
        <v/>
      </c>
      <c r="CP48" s="124" t="str">
        <f t="shared" si="44"/>
        <v/>
      </c>
      <c r="CQ48" s="242"/>
      <c r="CR48" s="242"/>
      <c r="CS48" s="242"/>
      <c r="CT48" s="242"/>
      <c r="CU48" s="242"/>
      <c r="CV48" s="242"/>
      <c r="CW48" s="478"/>
      <c r="CX48" s="478"/>
      <c r="CY48" s="478"/>
      <c r="CZ48" s="478"/>
      <c r="DA48" s="478"/>
      <c r="DB48" s="478"/>
      <c r="DC48" s="478"/>
      <c r="DD48" s="478"/>
      <c r="DE48" s="478"/>
      <c r="DF48" s="478"/>
      <c r="DG48" s="478"/>
      <c r="DH48" s="478"/>
      <c r="DI48" s="478"/>
      <c r="DJ48" s="478"/>
      <c r="DK48" s="478"/>
      <c r="DL48" s="478"/>
      <c r="DM48" s="478"/>
      <c r="DN48" s="478"/>
      <c r="DO48" s="478"/>
      <c r="DP48" s="478"/>
      <c r="DQ48" s="478"/>
      <c r="DR48" s="478"/>
      <c r="DS48" s="478"/>
      <c r="DT48" s="478"/>
      <c r="DU48" s="478"/>
      <c r="DV48" s="478"/>
      <c r="DW48" s="478"/>
      <c r="DX48" s="478"/>
      <c r="DY48" s="478"/>
      <c r="DZ48" s="478"/>
      <c r="EA48" s="478"/>
      <c r="EB48" s="478"/>
      <c r="EC48" s="478"/>
      <c r="ED48" s="478"/>
    </row>
    <row r="49" spans="1:134">
      <c r="A49" s="305"/>
      <c r="B49" s="373"/>
      <c r="C49" s="373"/>
      <c r="D49" s="453" t="s">
        <v>238</v>
      </c>
      <c r="E49" s="454" t="s">
        <v>239</v>
      </c>
      <c r="F49" s="453" t="s">
        <v>242</v>
      </c>
      <c r="G49" s="455" t="s">
        <v>241</v>
      </c>
      <c r="I49" s="140"/>
      <c r="J49" s="141" t="s">
        <v>39</v>
      </c>
      <c r="K49" s="298">
        <v>1</v>
      </c>
      <c r="M49" s="50"/>
      <c r="N49" s="278" t="str">
        <f t="shared" si="52"/>
        <v/>
      </c>
      <c r="O49" s="279" t="str">
        <f t="shared" si="53"/>
        <v/>
      </c>
      <c r="P49" s="271" t="str">
        <f t="shared" si="49"/>
        <v/>
      </c>
      <c r="Q49" s="271" t="str">
        <f t="shared" si="50"/>
        <v/>
      </c>
      <c r="R49" s="271" t="str">
        <f t="shared" si="51"/>
        <v/>
      </c>
      <c r="S49" s="400" t="str">
        <f t="shared" si="54"/>
        <v/>
      </c>
      <c r="T49" s="419"/>
      <c r="U49" s="130" t="str">
        <f t="shared" si="45"/>
        <v/>
      </c>
      <c r="V49" s="288" t="str">
        <f>Main_무해지!AC49</f>
        <v/>
      </c>
      <c r="W49" s="311">
        <f>+Main_무해지!AD49</f>
        <v>0</v>
      </c>
      <c r="X49" s="311">
        <v>0</v>
      </c>
      <c r="Y49" s="261" t="str">
        <f t="shared" si="46"/>
        <v/>
      </c>
      <c r="Z49" s="261" t="str">
        <f t="shared" si="1"/>
        <v/>
      </c>
      <c r="AA49" s="131" t="str">
        <f>IF($U49="","",SUM(Z49:Z$114))</f>
        <v/>
      </c>
      <c r="AB49" s="261" t="str">
        <f t="shared" si="35"/>
        <v/>
      </c>
      <c r="AC49" s="254">
        <f t="shared" si="36"/>
        <v>0</v>
      </c>
      <c r="AD49" s="254" t="str">
        <f>Main_무해지!AJ49</f>
        <v/>
      </c>
      <c r="AE49" s="261">
        <f t="shared" si="2"/>
        <v>0</v>
      </c>
      <c r="AF49" s="261" t="str">
        <f t="shared" si="47"/>
        <v/>
      </c>
      <c r="AG49" s="261" t="str">
        <f t="shared" si="3"/>
        <v/>
      </c>
      <c r="AH49" s="131" t="str">
        <f>IF($U49="","",SUM(AG49:AG$114))</f>
        <v/>
      </c>
      <c r="AI49" s="261" t="str">
        <f>Main_무해지!AP49</f>
        <v/>
      </c>
      <c r="AJ49" s="261">
        <f t="shared" si="4"/>
        <v>0</v>
      </c>
      <c r="AK49" s="261" t="str">
        <f t="shared" si="5"/>
        <v/>
      </c>
      <c r="AL49" s="261" t="str">
        <f t="shared" si="6"/>
        <v/>
      </c>
      <c r="AM49" s="318" t="str">
        <f>IF($U49="","",SUM($AN49:$AN$114))</f>
        <v/>
      </c>
      <c r="AN49" s="261" t="str">
        <f t="shared" si="37"/>
        <v/>
      </c>
      <c r="AO49" s="318" t="str">
        <f t="shared" si="7"/>
        <v/>
      </c>
      <c r="AP49" s="288" t="str">
        <f>IF($U49="","",INDEX(#REF!,$U49+1))</f>
        <v/>
      </c>
      <c r="AQ49" s="261">
        <f t="shared" si="8"/>
        <v>0</v>
      </c>
      <c r="AR49" s="261" t="str">
        <f t="shared" si="9"/>
        <v/>
      </c>
      <c r="AS49" s="261" t="str">
        <f t="shared" si="10"/>
        <v/>
      </c>
      <c r="AT49" s="318" t="str">
        <f>IF($U49="","",SUM($AS49:$AS$114))</f>
        <v/>
      </c>
      <c r="AU49" s="288" t="str">
        <f>IF($U49="","",INDEX(#REF!,$U49+1))</f>
        <v/>
      </c>
      <c r="AV49" s="261">
        <f t="shared" si="11"/>
        <v>0</v>
      </c>
      <c r="AW49" s="261" t="str">
        <f t="shared" si="12"/>
        <v/>
      </c>
      <c r="AX49" s="261" t="str">
        <f t="shared" si="13"/>
        <v/>
      </c>
      <c r="AY49" s="318" t="str">
        <f>IF($U49="","",SUM($AX49:$AX$114))</f>
        <v/>
      </c>
      <c r="AZ49" s="288" t="str">
        <f>IF($U49="","",INDEX(#REF!,$U49+1))</f>
        <v/>
      </c>
      <c r="BA49" s="261">
        <f t="shared" si="14"/>
        <v>0</v>
      </c>
      <c r="BB49" s="261" t="str">
        <f t="shared" si="15"/>
        <v/>
      </c>
      <c r="BC49" s="261" t="str">
        <f t="shared" si="16"/>
        <v/>
      </c>
      <c r="BD49" s="318" t="str">
        <f>IF($U49="","",SUM($BC49:$BC$114))</f>
        <v/>
      </c>
      <c r="BE49" s="288" t="str">
        <f>IF($U49="","",INDEX(#REF!,$U49+1))</f>
        <v/>
      </c>
      <c r="BF49" s="261">
        <f t="shared" si="17"/>
        <v>0</v>
      </c>
      <c r="BG49" s="261" t="str">
        <f t="shared" si="18"/>
        <v/>
      </c>
      <c r="BH49" s="261" t="str">
        <f t="shared" si="19"/>
        <v/>
      </c>
      <c r="BI49" s="318" t="str">
        <f>IF($U49="","",SUM($BH49:$BH$114))</f>
        <v/>
      </c>
      <c r="BJ49" s="288" t="str">
        <f>IF($U49="","",INDEX(#REF!,$U49+1))</f>
        <v/>
      </c>
      <c r="BK49" s="261">
        <f t="shared" si="20"/>
        <v>0</v>
      </c>
      <c r="BL49" s="261" t="str">
        <f t="shared" si="21"/>
        <v/>
      </c>
      <c r="BM49" s="261" t="str">
        <f t="shared" si="22"/>
        <v/>
      </c>
      <c r="BN49" s="318" t="str">
        <f>IF($U49="","",SUM($BM49:$BM$114))</f>
        <v/>
      </c>
      <c r="BO49" s="288">
        <f t="shared" si="23"/>
        <v>0</v>
      </c>
      <c r="BP49" s="261" t="str">
        <f t="shared" si="24"/>
        <v/>
      </c>
      <c r="BQ49" s="261" t="str">
        <f t="shared" si="25"/>
        <v/>
      </c>
      <c r="BR49" s="261"/>
      <c r="BS49" s="261" t="str">
        <f t="shared" si="38"/>
        <v/>
      </c>
      <c r="BT49" s="261" t="str">
        <f t="shared" si="26"/>
        <v/>
      </c>
      <c r="BU49" s="261" t="str">
        <f t="shared" si="27"/>
        <v/>
      </c>
      <c r="BV49" s="261"/>
      <c r="BW49" s="261" t="str">
        <f t="shared" si="39"/>
        <v/>
      </c>
      <c r="BX49" s="261" t="str">
        <f>IF($U49="","",SUM(BS49:BS$114)+SUM(BW49:BW$114))</f>
        <v/>
      </c>
      <c r="BY49" s="132"/>
      <c r="BZ49" s="132"/>
      <c r="CA49" s="132"/>
      <c r="CB49" s="132"/>
      <c r="CC49" s="397" t="str">
        <f t="shared" si="0"/>
        <v/>
      </c>
      <c r="CD49" s="261" t="str">
        <f t="shared" si="40"/>
        <v/>
      </c>
      <c r="CE49" s="261" t="str">
        <f t="shared" si="28"/>
        <v/>
      </c>
      <c r="CF49" s="261" t="str">
        <f t="shared" si="29"/>
        <v/>
      </c>
      <c r="CG49" s="261" t="str">
        <f t="shared" si="41"/>
        <v/>
      </c>
      <c r="CH49" s="261" t="str">
        <f t="shared" si="30"/>
        <v/>
      </c>
      <c r="CI49" s="133" t="str">
        <f t="shared" si="42"/>
        <v/>
      </c>
      <c r="CJ49" s="134" t="str">
        <f t="shared" si="31"/>
        <v/>
      </c>
      <c r="CK49" s="243"/>
      <c r="CL49" s="130" t="str">
        <f t="shared" si="32"/>
        <v/>
      </c>
      <c r="CM49" s="134" t="str">
        <f t="shared" si="48"/>
        <v/>
      </c>
      <c r="CN49" s="134" t="str">
        <f t="shared" si="43"/>
        <v/>
      </c>
      <c r="CO49" s="134" t="str">
        <f t="shared" si="33"/>
        <v/>
      </c>
      <c r="CP49" s="134" t="str">
        <f t="shared" si="44"/>
        <v/>
      </c>
      <c r="CQ49" s="243"/>
      <c r="CR49" s="243"/>
      <c r="CS49" s="243"/>
      <c r="CT49" s="243"/>
      <c r="CU49" s="243"/>
      <c r="CV49" s="243"/>
      <c r="CW49" s="478"/>
      <c r="CX49" s="478"/>
      <c r="CY49" s="478"/>
      <c r="CZ49" s="478"/>
      <c r="DA49" s="478"/>
      <c r="DB49" s="478"/>
      <c r="DC49" s="478"/>
      <c r="DD49" s="478"/>
      <c r="DE49" s="478"/>
      <c r="DF49" s="478"/>
      <c r="DG49" s="478"/>
      <c r="DH49" s="478"/>
      <c r="DI49" s="478"/>
      <c r="DJ49" s="478"/>
      <c r="DK49" s="478"/>
      <c r="DL49" s="478"/>
      <c r="DM49" s="478"/>
      <c r="DN49" s="478"/>
      <c r="DO49" s="478"/>
      <c r="DP49" s="478"/>
      <c r="DQ49" s="478"/>
      <c r="DR49" s="478"/>
      <c r="DS49" s="478"/>
      <c r="DT49" s="478"/>
      <c r="DU49" s="478"/>
      <c r="DV49" s="478"/>
      <c r="DW49" s="478"/>
      <c r="DX49" s="478"/>
      <c r="DY49" s="478"/>
      <c r="DZ49" s="478"/>
      <c r="EA49" s="478"/>
      <c r="EB49" s="478"/>
      <c r="EC49" s="478"/>
      <c r="ED49" s="478"/>
    </row>
    <row r="50" spans="1:134">
      <c r="A50" s="305"/>
      <c r="B50" s="373"/>
      <c r="D50" s="456"/>
      <c r="E50" s="457"/>
      <c r="F50" s="456"/>
      <c r="G50" s="458"/>
      <c r="I50" s="115" t="str">
        <f>E6&amp;" 순보험료"</f>
        <v>월납 순보험료</v>
      </c>
      <c r="J50" s="116" t="s">
        <v>42</v>
      </c>
      <c r="K50" s="488">
        <f>IF($F$6=0,(1-$E$36-$E$38)*(K35+K36)+($E$32+$E$37*K33/K20)*K34,(1-$E$28-$E$30-$E$25*$K$20/$K$32)*(K35)+(($E$23+$E$24*K41)*K20+$E$27*K32+$E$29*K33)*K36/K32)</f>
        <v>0.6165400074913292</v>
      </c>
      <c r="M50" s="50"/>
      <c r="N50" s="278" t="str">
        <f t="shared" si="52"/>
        <v/>
      </c>
      <c r="O50" s="279" t="str">
        <f t="shared" si="53"/>
        <v/>
      </c>
      <c r="P50" s="271" t="str">
        <f t="shared" si="49"/>
        <v/>
      </c>
      <c r="Q50" s="271" t="str">
        <f t="shared" si="50"/>
        <v/>
      </c>
      <c r="R50" s="271" t="str">
        <f t="shared" si="51"/>
        <v/>
      </c>
      <c r="S50" s="400" t="str">
        <f t="shared" si="54"/>
        <v/>
      </c>
      <c r="T50" s="419"/>
      <c r="U50" s="759" t="str">
        <f t="shared" si="45"/>
        <v/>
      </c>
      <c r="V50" s="761" t="str">
        <f>Main_무해지!AC50</f>
        <v/>
      </c>
      <c r="W50" s="639">
        <f>+Main_무해지!AD50</f>
        <v>0</v>
      </c>
      <c r="X50" s="639">
        <v>0</v>
      </c>
      <c r="Y50" s="409" t="str">
        <f t="shared" si="46"/>
        <v/>
      </c>
      <c r="Z50" s="409" t="str">
        <f t="shared" si="1"/>
        <v/>
      </c>
      <c r="AA50" s="760" t="str">
        <f>IF($U50="","",SUM(Z50:Z$114))</f>
        <v/>
      </c>
      <c r="AB50" s="409" t="str">
        <f t="shared" si="35"/>
        <v/>
      </c>
      <c r="AC50" s="254">
        <f t="shared" si="36"/>
        <v>0</v>
      </c>
      <c r="AD50" s="254" t="str">
        <f>Main_무해지!AJ50</f>
        <v/>
      </c>
      <c r="AE50" s="409">
        <f t="shared" si="2"/>
        <v>0</v>
      </c>
      <c r="AF50" s="409" t="str">
        <f t="shared" si="47"/>
        <v/>
      </c>
      <c r="AG50" s="409" t="str">
        <f t="shared" si="3"/>
        <v/>
      </c>
      <c r="AH50" s="760" t="str">
        <f>IF($U50="","",SUM(AG50:AG$114))</f>
        <v/>
      </c>
      <c r="AI50" s="409" t="str">
        <f>Main_무해지!AP50</f>
        <v/>
      </c>
      <c r="AJ50" s="409">
        <f t="shared" si="4"/>
        <v>0</v>
      </c>
      <c r="AK50" s="409" t="str">
        <f t="shared" si="5"/>
        <v/>
      </c>
      <c r="AL50" s="409" t="str">
        <f t="shared" si="6"/>
        <v/>
      </c>
      <c r="AM50" s="762" t="str">
        <f>IF($U50="","",SUM($AN50:$AN$114))</f>
        <v/>
      </c>
      <c r="AN50" s="409" t="str">
        <f t="shared" si="37"/>
        <v/>
      </c>
      <c r="AO50" s="762" t="str">
        <f t="shared" si="7"/>
        <v/>
      </c>
      <c r="AP50" s="761" t="str">
        <f>IF($U50="","",INDEX(#REF!,$U50+1))</f>
        <v/>
      </c>
      <c r="AQ50" s="409">
        <f t="shared" si="8"/>
        <v>0</v>
      </c>
      <c r="AR50" s="409" t="str">
        <f t="shared" si="9"/>
        <v/>
      </c>
      <c r="AS50" s="409" t="str">
        <f t="shared" si="10"/>
        <v/>
      </c>
      <c r="AT50" s="762" t="str">
        <f>IF($U50="","",SUM($AS50:$AS$114))</f>
        <v/>
      </c>
      <c r="AU50" s="761" t="str">
        <f>IF($U50="","",INDEX(#REF!,$U50+1))</f>
        <v/>
      </c>
      <c r="AV50" s="409">
        <f t="shared" si="11"/>
        <v>0</v>
      </c>
      <c r="AW50" s="409" t="str">
        <f t="shared" si="12"/>
        <v/>
      </c>
      <c r="AX50" s="409" t="str">
        <f t="shared" si="13"/>
        <v/>
      </c>
      <c r="AY50" s="762" t="str">
        <f>IF($U50="","",SUM($AX50:$AX$114))</f>
        <v/>
      </c>
      <c r="AZ50" s="761" t="str">
        <f>IF($U50="","",INDEX(#REF!,$U50+1))</f>
        <v/>
      </c>
      <c r="BA50" s="409">
        <f t="shared" si="14"/>
        <v>0</v>
      </c>
      <c r="BB50" s="409" t="str">
        <f t="shared" si="15"/>
        <v/>
      </c>
      <c r="BC50" s="409" t="str">
        <f t="shared" si="16"/>
        <v/>
      </c>
      <c r="BD50" s="762" t="str">
        <f>IF($U50="","",SUM($BC50:$BC$114))</f>
        <v/>
      </c>
      <c r="BE50" s="761" t="str">
        <f>IF($U50="","",INDEX(#REF!,$U50+1))</f>
        <v/>
      </c>
      <c r="BF50" s="409">
        <f t="shared" si="17"/>
        <v>0</v>
      </c>
      <c r="BG50" s="409" t="str">
        <f t="shared" si="18"/>
        <v/>
      </c>
      <c r="BH50" s="409" t="str">
        <f t="shared" si="19"/>
        <v/>
      </c>
      <c r="BI50" s="762" t="str">
        <f>IF($U50="","",SUM($BH50:$BH$114))</f>
        <v/>
      </c>
      <c r="BJ50" s="761" t="str">
        <f>IF($U50="","",INDEX(#REF!,$U50+1))</f>
        <v/>
      </c>
      <c r="BK50" s="409">
        <f t="shared" si="20"/>
        <v>0</v>
      </c>
      <c r="BL50" s="409" t="str">
        <f t="shared" si="21"/>
        <v/>
      </c>
      <c r="BM50" s="409" t="str">
        <f t="shared" si="22"/>
        <v/>
      </c>
      <c r="BN50" s="762" t="str">
        <f>IF($U50="","",SUM($BM50:$BM$114))</f>
        <v/>
      </c>
      <c r="BO50" s="761">
        <f t="shared" si="23"/>
        <v>0</v>
      </c>
      <c r="BP50" s="409" t="str">
        <f t="shared" si="24"/>
        <v/>
      </c>
      <c r="BQ50" s="409" t="str">
        <f t="shared" si="25"/>
        <v/>
      </c>
      <c r="BR50" s="409"/>
      <c r="BS50" s="409" t="str">
        <f t="shared" si="38"/>
        <v/>
      </c>
      <c r="BT50" s="409" t="str">
        <f t="shared" si="26"/>
        <v/>
      </c>
      <c r="BU50" s="409" t="str">
        <f t="shared" si="27"/>
        <v/>
      </c>
      <c r="BV50" s="409"/>
      <c r="BW50" s="409" t="str">
        <f t="shared" si="39"/>
        <v/>
      </c>
      <c r="BX50" s="409" t="str">
        <f>IF($U50="","",SUM(BS50:BS$114)+SUM(BW50:BW$114))</f>
        <v/>
      </c>
      <c r="BY50" s="763"/>
      <c r="BZ50" s="763"/>
      <c r="CA50" s="763"/>
      <c r="CB50" s="763"/>
      <c r="CC50" s="764" t="str">
        <f t="shared" si="0"/>
        <v/>
      </c>
      <c r="CD50" s="409" t="str">
        <f t="shared" si="40"/>
        <v/>
      </c>
      <c r="CE50" s="409" t="str">
        <f t="shared" si="28"/>
        <v/>
      </c>
      <c r="CF50" s="409" t="str">
        <f t="shared" si="29"/>
        <v/>
      </c>
      <c r="CG50" s="409" t="str">
        <f t="shared" si="41"/>
        <v/>
      </c>
      <c r="CH50" s="409" t="str">
        <f t="shared" si="30"/>
        <v/>
      </c>
      <c r="CI50" s="765" t="str">
        <f t="shared" si="42"/>
        <v/>
      </c>
      <c r="CJ50" s="766" t="str">
        <f t="shared" si="31"/>
        <v/>
      </c>
      <c r="CK50" s="414"/>
      <c r="CL50" s="759" t="str">
        <f t="shared" si="32"/>
        <v/>
      </c>
      <c r="CM50" s="766" t="str">
        <f t="shared" si="48"/>
        <v/>
      </c>
      <c r="CN50" s="766" t="str">
        <f t="shared" si="43"/>
        <v/>
      </c>
      <c r="CO50" s="766" t="str">
        <f t="shared" si="33"/>
        <v/>
      </c>
      <c r="CP50" s="766" t="str">
        <f t="shared" si="44"/>
        <v/>
      </c>
      <c r="CQ50" s="414"/>
      <c r="CR50" s="414"/>
      <c r="CS50" s="414"/>
      <c r="CT50" s="414"/>
      <c r="CU50" s="414"/>
      <c r="CV50" s="414"/>
      <c r="CW50" s="478"/>
      <c r="CX50" s="478"/>
      <c r="CY50" s="478"/>
      <c r="CZ50" s="478"/>
      <c r="DA50" s="478"/>
      <c r="DB50" s="478"/>
      <c r="DC50" s="478"/>
      <c r="DD50" s="478"/>
      <c r="DE50" s="478"/>
      <c r="DF50" s="478"/>
      <c r="DG50" s="478"/>
      <c r="DH50" s="478"/>
      <c r="DI50" s="478"/>
      <c r="DJ50" s="478"/>
      <c r="DK50" s="478"/>
      <c r="DL50" s="478"/>
      <c r="DM50" s="478"/>
      <c r="DN50" s="478"/>
      <c r="DO50" s="478"/>
      <c r="DP50" s="478"/>
      <c r="DQ50" s="478"/>
      <c r="DR50" s="478"/>
      <c r="DS50" s="478"/>
      <c r="DT50" s="478"/>
      <c r="DU50" s="478"/>
      <c r="DV50" s="478"/>
      <c r="DW50" s="478"/>
      <c r="DX50" s="478"/>
      <c r="DY50" s="478"/>
      <c r="DZ50" s="478"/>
      <c r="EA50" s="478"/>
      <c r="EB50" s="478"/>
      <c r="EC50" s="478"/>
      <c r="ED50" s="478"/>
    </row>
    <row r="51" spans="1:134">
      <c r="A51" s="305"/>
      <c r="B51" s="373"/>
      <c r="D51" s="456"/>
      <c r="E51" s="457"/>
      <c r="F51" s="456"/>
      <c r="G51" s="458"/>
      <c r="I51" s="142"/>
      <c r="J51" s="49" t="s">
        <v>44</v>
      </c>
      <c r="K51" s="486">
        <f>IF($F$6=0,(1-$E$36-$E$38)*K20-(1+$E$33)*K34,K38*((1-$E$28-$E$30)*K32-$E$25*K20-K36))</f>
        <v>1039410.1466992667</v>
      </c>
      <c r="M51" s="50"/>
      <c r="N51" s="280" t="str">
        <f t="shared" si="52"/>
        <v/>
      </c>
      <c r="O51" s="281" t="str">
        <f t="shared" si="53"/>
        <v/>
      </c>
      <c r="P51" s="282" t="str">
        <f t="shared" si="49"/>
        <v/>
      </c>
      <c r="Q51" s="282" t="str">
        <f t="shared" si="50"/>
        <v/>
      </c>
      <c r="R51" s="282" t="str">
        <f t="shared" si="51"/>
        <v/>
      </c>
      <c r="S51" s="402" t="str">
        <f t="shared" si="54"/>
        <v/>
      </c>
      <c r="T51" s="419"/>
      <c r="U51" s="70" t="str">
        <f t="shared" si="45"/>
        <v/>
      </c>
      <c r="V51" s="71" t="str">
        <f>Main_무해지!AC51</f>
        <v/>
      </c>
      <c r="W51" s="74">
        <f>+Main_무해지!AD51</f>
        <v>0</v>
      </c>
      <c r="X51" s="74">
        <v>0</v>
      </c>
      <c r="Y51" s="256" t="str">
        <f t="shared" si="46"/>
        <v/>
      </c>
      <c r="Z51" s="256" t="str">
        <f t="shared" si="1"/>
        <v/>
      </c>
      <c r="AA51" s="72" t="str">
        <f>IF($U51="","",SUM(Z51:Z$114))</f>
        <v/>
      </c>
      <c r="AB51" s="256" t="str">
        <f t="shared" si="35"/>
        <v/>
      </c>
      <c r="AC51" s="254">
        <f t="shared" si="36"/>
        <v>0</v>
      </c>
      <c r="AD51" s="254" t="str">
        <f>Main_무해지!AJ51</f>
        <v/>
      </c>
      <c r="AE51" s="256">
        <f t="shared" si="2"/>
        <v>0</v>
      </c>
      <c r="AF51" s="256" t="str">
        <f t="shared" si="47"/>
        <v/>
      </c>
      <c r="AG51" s="256" t="str">
        <f t="shared" si="3"/>
        <v/>
      </c>
      <c r="AH51" s="72" t="str">
        <f>IF($U51="","",SUM(AG51:AG$114))</f>
        <v/>
      </c>
      <c r="AI51" s="256" t="str">
        <f>Main_무해지!AP51</f>
        <v/>
      </c>
      <c r="AJ51" s="256">
        <f t="shared" si="4"/>
        <v>0</v>
      </c>
      <c r="AK51" s="256" t="str">
        <f t="shared" si="5"/>
        <v/>
      </c>
      <c r="AL51" s="256" t="str">
        <f t="shared" si="6"/>
        <v/>
      </c>
      <c r="AM51" s="75" t="str">
        <f>IF($U51="","",SUM($AN51:$AN$114))</f>
        <v/>
      </c>
      <c r="AN51" s="256" t="str">
        <f t="shared" si="37"/>
        <v/>
      </c>
      <c r="AO51" s="75" t="str">
        <f t="shared" si="7"/>
        <v/>
      </c>
      <c r="AP51" s="71" t="str">
        <f>IF($U51="","",INDEX(#REF!,$U51+1))</f>
        <v/>
      </c>
      <c r="AQ51" s="256">
        <f t="shared" si="8"/>
        <v>0</v>
      </c>
      <c r="AR51" s="256" t="str">
        <f t="shared" si="9"/>
        <v/>
      </c>
      <c r="AS51" s="256" t="str">
        <f t="shared" si="10"/>
        <v/>
      </c>
      <c r="AT51" s="75" t="str">
        <f>IF($U51="","",SUM($AS51:$AS$114))</f>
        <v/>
      </c>
      <c r="AU51" s="71" t="str">
        <f>IF($U51="","",INDEX(#REF!,$U51+1))</f>
        <v/>
      </c>
      <c r="AV51" s="256">
        <f t="shared" si="11"/>
        <v>0</v>
      </c>
      <c r="AW51" s="256" t="str">
        <f t="shared" si="12"/>
        <v/>
      </c>
      <c r="AX51" s="256" t="str">
        <f t="shared" si="13"/>
        <v/>
      </c>
      <c r="AY51" s="75" t="str">
        <f>IF($U51="","",SUM($AX51:$AX$114))</f>
        <v/>
      </c>
      <c r="AZ51" s="71" t="str">
        <f>IF($U51="","",INDEX(#REF!,$U51+1))</f>
        <v/>
      </c>
      <c r="BA51" s="256">
        <f t="shared" si="14"/>
        <v>0</v>
      </c>
      <c r="BB51" s="256" t="str">
        <f t="shared" si="15"/>
        <v/>
      </c>
      <c r="BC51" s="256" t="str">
        <f t="shared" si="16"/>
        <v/>
      </c>
      <c r="BD51" s="75" t="str">
        <f>IF($U51="","",SUM($BC51:$BC$114))</f>
        <v/>
      </c>
      <c r="BE51" s="71" t="str">
        <f>IF($U51="","",INDEX(#REF!,$U51+1))</f>
        <v/>
      </c>
      <c r="BF51" s="256">
        <f t="shared" si="17"/>
        <v>0</v>
      </c>
      <c r="BG51" s="256" t="str">
        <f t="shared" si="18"/>
        <v/>
      </c>
      <c r="BH51" s="256" t="str">
        <f t="shared" si="19"/>
        <v/>
      </c>
      <c r="BI51" s="75" t="str">
        <f>IF($U51="","",SUM($BH51:$BH$114))</f>
        <v/>
      </c>
      <c r="BJ51" s="71" t="str">
        <f>IF($U51="","",INDEX(#REF!,$U51+1))</f>
        <v/>
      </c>
      <c r="BK51" s="256">
        <f t="shared" si="20"/>
        <v>0</v>
      </c>
      <c r="BL51" s="256" t="str">
        <f t="shared" si="21"/>
        <v/>
      </c>
      <c r="BM51" s="256" t="str">
        <f t="shared" si="22"/>
        <v/>
      </c>
      <c r="BN51" s="75" t="str">
        <f>IF($U51="","",SUM($BM51:$BM$114))</f>
        <v/>
      </c>
      <c r="BO51" s="71">
        <f t="shared" si="23"/>
        <v>0</v>
      </c>
      <c r="BP51" s="256" t="str">
        <f t="shared" si="24"/>
        <v/>
      </c>
      <c r="BQ51" s="256" t="str">
        <f t="shared" si="25"/>
        <v/>
      </c>
      <c r="BR51" s="256"/>
      <c r="BS51" s="256" t="str">
        <f t="shared" si="38"/>
        <v/>
      </c>
      <c r="BT51" s="256" t="str">
        <f t="shared" si="26"/>
        <v/>
      </c>
      <c r="BU51" s="256" t="str">
        <f t="shared" si="27"/>
        <v/>
      </c>
      <c r="BV51" s="256"/>
      <c r="BW51" s="256" t="str">
        <f t="shared" si="39"/>
        <v/>
      </c>
      <c r="BX51" s="256" t="str">
        <f>IF($U51="","",SUM(BS51:BS$114)+SUM(BW51:BW$114))</f>
        <v/>
      </c>
      <c r="BY51" s="73"/>
      <c r="BZ51" s="73"/>
      <c r="CA51" s="73"/>
      <c r="CB51" s="73"/>
      <c r="CC51" s="392" t="str">
        <f t="shared" si="0"/>
        <v/>
      </c>
      <c r="CD51" s="256" t="str">
        <f t="shared" si="40"/>
        <v/>
      </c>
      <c r="CE51" s="256" t="str">
        <f t="shared" si="28"/>
        <v/>
      </c>
      <c r="CF51" s="256" t="str">
        <f t="shared" si="29"/>
        <v/>
      </c>
      <c r="CG51" s="256" t="str">
        <f t="shared" si="41"/>
        <v/>
      </c>
      <c r="CH51" s="256" t="str">
        <f t="shared" si="30"/>
        <v/>
      </c>
      <c r="CI51" s="76" t="str">
        <f t="shared" si="42"/>
        <v/>
      </c>
      <c r="CJ51" s="77" t="str">
        <f t="shared" si="31"/>
        <v/>
      </c>
      <c r="CK51" s="238"/>
      <c r="CL51" s="70" t="str">
        <f t="shared" si="32"/>
        <v/>
      </c>
      <c r="CM51" s="77" t="str">
        <f t="shared" si="48"/>
        <v/>
      </c>
      <c r="CN51" s="77" t="str">
        <f t="shared" si="43"/>
        <v/>
      </c>
      <c r="CO51" s="77" t="str">
        <f t="shared" si="33"/>
        <v/>
      </c>
      <c r="CP51" s="77" t="str">
        <f t="shared" si="44"/>
        <v/>
      </c>
      <c r="CQ51" s="238"/>
      <c r="CR51" s="238"/>
      <c r="CS51" s="238"/>
      <c r="CT51" s="238"/>
      <c r="CU51" s="238"/>
      <c r="CV51" s="238"/>
      <c r="CW51" s="478"/>
      <c r="CX51" s="478"/>
      <c r="CY51" s="478"/>
      <c r="CZ51" s="478"/>
      <c r="DA51" s="478"/>
      <c r="DB51" s="478"/>
      <c r="DC51" s="478"/>
      <c r="DD51" s="478"/>
      <c r="DE51" s="478"/>
      <c r="DF51" s="478"/>
      <c r="DG51" s="478"/>
      <c r="DH51" s="478"/>
      <c r="DI51" s="478"/>
      <c r="DJ51" s="478"/>
      <c r="DK51" s="478"/>
      <c r="DL51" s="478"/>
      <c r="DM51" s="478"/>
      <c r="DN51" s="478"/>
      <c r="DO51" s="478"/>
      <c r="DP51" s="478"/>
      <c r="DQ51" s="478"/>
      <c r="DR51" s="478"/>
      <c r="DS51" s="478"/>
      <c r="DT51" s="478"/>
      <c r="DU51" s="478"/>
      <c r="DV51" s="478"/>
      <c r="DW51" s="478"/>
      <c r="DX51" s="478"/>
      <c r="DY51" s="478"/>
      <c r="DZ51" s="478"/>
      <c r="EA51" s="478"/>
      <c r="EB51" s="478"/>
      <c r="EC51" s="478"/>
      <c r="ED51" s="478"/>
    </row>
    <row r="52" spans="1:134">
      <c r="A52" s="305"/>
      <c r="B52" s="373"/>
      <c r="D52" s="456"/>
      <c r="E52" s="457"/>
      <c r="F52" s="456"/>
      <c r="G52" s="458"/>
      <c r="I52" s="125" t="str">
        <f>IF(F5=0,"  Ax:n","  mP(m')x:n")</f>
        <v xml:space="preserve">  mP(m')x:n</v>
      </c>
      <c r="J52" s="126" t="s">
        <v>50</v>
      </c>
      <c r="K52" s="657">
        <f>K50/K51</f>
        <v>5.9316335274309495E-7</v>
      </c>
      <c r="M52" s="50"/>
      <c r="N52" s="275" t="str">
        <f t="shared" si="52"/>
        <v/>
      </c>
      <c r="O52" s="276" t="str">
        <f t="shared" si="53"/>
        <v/>
      </c>
      <c r="P52" s="277" t="str">
        <f t="shared" si="49"/>
        <v/>
      </c>
      <c r="Q52" s="277" t="str">
        <f t="shared" si="50"/>
        <v/>
      </c>
      <c r="R52" s="277" t="str">
        <f t="shared" si="51"/>
        <v/>
      </c>
      <c r="S52" s="401" t="str">
        <f t="shared" si="54"/>
        <v/>
      </c>
      <c r="T52" s="419"/>
      <c r="U52" s="70" t="str">
        <f t="shared" si="45"/>
        <v/>
      </c>
      <c r="V52" s="71" t="str">
        <f>Main_무해지!AC52</f>
        <v/>
      </c>
      <c r="W52" s="74">
        <f>+Main_무해지!AD52</f>
        <v>0</v>
      </c>
      <c r="X52" s="74">
        <v>0</v>
      </c>
      <c r="Y52" s="256" t="str">
        <f t="shared" si="46"/>
        <v/>
      </c>
      <c r="Z52" s="256" t="str">
        <f t="shared" si="1"/>
        <v/>
      </c>
      <c r="AA52" s="72" t="str">
        <f>IF($U52="","",SUM(Z52:Z$114))</f>
        <v/>
      </c>
      <c r="AB52" s="256" t="str">
        <f t="shared" si="35"/>
        <v/>
      </c>
      <c r="AC52" s="254">
        <f t="shared" si="36"/>
        <v>0</v>
      </c>
      <c r="AD52" s="254" t="str">
        <f>Main_무해지!AJ52</f>
        <v/>
      </c>
      <c r="AE52" s="256">
        <f t="shared" si="2"/>
        <v>0</v>
      </c>
      <c r="AF52" s="256" t="str">
        <f t="shared" si="47"/>
        <v/>
      </c>
      <c r="AG52" s="256" t="str">
        <f t="shared" si="3"/>
        <v/>
      </c>
      <c r="AH52" s="72" t="str">
        <f>IF($U52="","",SUM(AG52:AG$114))</f>
        <v/>
      </c>
      <c r="AI52" s="256" t="str">
        <f>Main_무해지!AP52</f>
        <v/>
      </c>
      <c r="AJ52" s="256">
        <f t="shared" si="4"/>
        <v>0</v>
      </c>
      <c r="AK52" s="256" t="str">
        <f t="shared" si="5"/>
        <v/>
      </c>
      <c r="AL52" s="256" t="str">
        <f t="shared" si="6"/>
        <v/>
      </c>
      <c r="AM52" s="75" t="str">
        <f>IF($U52="","",SUM($AN52:$AN$114))</f>
        <v/>
      </c>
      <c r="AN52" s="256" t="str">
        <f t="shared" si="37"/>
        <v/>
      </c>
      <c r="AO52" s="75" t="str">
        <f t="shared" si="7"/>
        <v/>
      </c>
      <c r="AP52" s="71" t="str">
        <f>IF($U52="","",INDEX(#REF!,$U52+1))</f>
        <v/>
      </c>
      <c r="AQ52" s="256">
        <f t="shared" si="8"/>
        <v>0</v>
      </c>
      <c r="AR52" s="256" t="str">
        <f t="shared" si="9"/>
        <v/>
      </c>
      <c r="AS52" s="256" t="str">
        <f t="shared" si="10"/>
        <v/>
      </c>
      <c r="AT52" s="75" t="str">
        <f>IF($U52="","",SUM($AS52:$AS$114))</f>
        <v/>
      </c>
      <c r="AU52" s="71" t="str">
        <f>IF($U52="","",INDEX(#REF!,$U52+1))</f>
        <v/>
      </c>
      <c r="AV52" s="256">
        <f t="shared" si="11"/>
        <v>0</v>
      </c>
      <c r="AW52" s="256" t="str">
        <f t="shared" si="12"/>
        <v/>
      </c>
      <c r="AX52" s="256" t="str">
        <f t="shared" si="13"/>
        <v/>
      </c>
      <c r="AY52" s="75" t="str">
        <f>IF($U52="","",SUM($AX52:$AX$114))</f>
        <v/>
      </c>
      <c r="AZ52" s="71" t="str">
        <f>IF($U52="","",INDEX(#REF!,$U52+1))</f>
        <v/>
      </c>
      <c r="BA52" s="256">
        <f t="shared" si="14"/>
        <v>0</v>
      </c>
      <c r="BB52" s="256" t="str">
        <f t="shared" si="15"/>
        <v/>
      </c>
      <c r="BC52" s="256" t="str">
        <f t="shared" si="16"/>
        <v/>
      </c>
      <c r="BD52" s="75" t="str">
        <f>IF($U52="","",SUM($BC52:$BC$114))</f>
        <v/>
      </c>
      <c r="BE52" s="71" t="str">
        <f>IF($U52="","",INDEX(#REF!,$U52+1))</f>
        <v/>
      </c>
      <c r="BF52" s="256">
        <f t="shared" si="17"/>
        <v>0</v>
      </c>
      <c r="BG52" s="256" t="str">
        <f t="shared" si="18"/>
        <v/>
      </c>
      <c r="BH52" s="256" t="str">
        <f t="shared" si="19"/>
        <v/>
      </c>
      <c r="BI52" s="75" t="str">
        <f>IF($U52="","",SUM($BH52:$BH$114))</f>
        <v/>
      </c>
      <c r="BJ52" s="71" t="str">
        <f>IF($U52="","",INDEX(#REF!,$U52+1))</f>
        <v/>
      </c>
      <c r="BK52" s="256">
        <f t="shared" si="20"/>
        <v>0</v>
      </c>
      <c r="BL52" s="256" t="str">
        <f t="shared" si="21"/>
        <v/>
      </c>
      <c r="BM52" s="256" t="str">
        <f t="shared" si="22"/>
        <v/>
      </c>
      <c r="BN52" s="75" t="str">
        <f>IF($U52="","",SUM($BM52:$BM$114))</f>
        <v/>
      </c>
      <c r="BO52" s="71">
        <f t="shared" si="23"/>
        <v>0</v>
      </c>
      <c r="BP52" s="256" t="str">
        <f t="shared" si="24"/>
        <v/>
      </c>
      <c r="BQ52" s="256" t="str">
        <f t="shared" si="25"/>
        <v/>
      </c>
      <c r="BR52" s="256"/>
      <c r="BS52" s="256" t="str">
        <f t="shared" si="38"/>
        <v/>
      </c>
      <c r="BT52" s="256" t="str">
        <f t="shared" si="26"/>
        <v/>
      </c>
      <c r="BU52" s="256" t="str">
        <f t="shared" si="27"/>
        <v/>
      </c>
      <c r="BV52" s="256"/>
      <c r="BW52" s="256" t="str">
        <f t="shared" si="39"/>
        <v/>
      </c>
      <c r="BX52" s="256" t="str">
        <f>IF($U52="","",SUM(BS52:BS$114)+SUM(BW52:BW$114))</f>
        <v/>
      </c>
      <c r="BY52" s="73"/>
      <c r="BZ52" s="73"/>
      <c r="CA52" s="73"/>
      <c r="CB52" s="73"/>
      <c r="CC52" s="392" t="str">
        <f t="shared" si="0"/>
        <v/>
      </c>
      <c r="CD52" s="256" t="str">
        <f t="shared" si="40"/>
        <v/>
      </c>
      <c r="CE52" s="256" t="str">
        <f t="shared" si="28"/>
        <v/>
      </c>
      <c r="CF52" s="256" t="str">
        <f t="shared" si="29"/>
        <v/>
      </c>
      <c r="CG52" s="256" t="str">
        <f t="shared" si="41"/>
        <v/>
      </c>
      <c r="CH52" s="256" t="str">
        <f t="shared" si="30"/>
        <v/>
      </c>
      <c r="CI52" s="76" t="str">
        <f t="shared" si="42"/>
        <v/>
      </c>
      <c r="CJ52" s="77" t="str">
        <f t="shared" si="31"/>
        <v/>
      </c>
      <c r="CK52" s="238"/>
      <c r="CL52" s="70" t="str">
        <f t="shared" si="32"/>
        <v/>
      </c>
      <c r="CM52" s="77" t="str">
        <f t="shared" si="48"/>
        <v/>
      </c>
      <c r="CN52" s="77" t="str">
        <f t="shared" si="43"/>
        <v/>
      </c>
      <c r="CO52" s="77" t="str">
        <f t="shared" si="33"/>
        <v/>
      </c>
      <c r="CP52" s="77" t="str">
        <f t="shared" si="44"/>
        <v/>
      </c>
      <c r="CQ52" s="238"/>
      <c r="CR52" s="238"/>
      <c r="CS52" s="238"/>
      <c r="CT52" s="238"/>
      <c r="CU52" s="238"/>
      <c r="CV52" s="238"/>
      <c r="CW52" s="478"/>
      <c r="CX52" s="478"/>
      <c r="CY52" s="478"/>
      <c r="CZ52" s="478"/>
      <c r="DA52" s="478"/>
      <c r="DB52" s="478"/>
      <c r="DC52" s="478"/>
      <c r="DD52" s="478"/>
      <c r="DE52" s="478"/>
      <c r="DF52" s="478"/>
      <c r="DG52" s="478"/>
      <c r="DH52" s="478"/>
      <c r="DI52" s="478"/>
      <c r="DJ52" s="478"/>
      <c r="DK52" s="478"/>
      <c r="DL52" s="478"/>
      <c r="DM52" s="478"/>
      <c r="DN52" s="478"/>
      <c r="DO52" s="478"/>
      <c r="DP52" s="478"/>
      <c r="DQ52" s="478"/>
      <c r="DR52" s="478"/>
      <c r="DS52" s="478"/>
      <c r="DT52" s="478"/>
      <c r="DU52" s="478"/>
      <c r="DV52" s="478"/>
      <c r="DW52" s="478"/>
      <c r="DX52" s="478"/>
      <c r="DY52" s="478"/>
      <c r="DZ52" s="478"/>
      <c r="EA52" s="478"/>
      <c r="EB52" s="478"/>
      <c r="EC52" s="478"/>
      <c r="ED52" s="478"/>
    </row>
    <row r="53" spans="1:134">
      <c r="A53" s="305"/>
      <c r="B53" s="373"/>
      <c r="D53" s="456"/>
      <c r="E53" s="457"/>
      <c r="F53" s="456"/>
      <c r="G53" s="458"/>
      <c r="I53" s="115" t="str">
        <f>E6&amp;" 영업보험료"</f>
        <v>월납 영업보험료</v>
      </c>
      <c r="J53" s="116" t="s">
        <v>42</v>
      </c>
      <c r="K53" s="488">
        <f>IF($F$6=0,(1+$E$33)*K52+$E$32+$E$37*K33/K20,K52+(($E$23+$E$24*K41)*K20+$E$27*K32+$E$29*K33)/(K38*K32))</f>
        <v>1.4496300568334091E-6</v>
      </c>
      <c r="M53" s="50"/>
      <c r="N53" s="278" t="str">
        <f t="shared" si="52"/>
        <v/>
      </c>
      <c r="O53" s="279" t="str">
        <f t="shared" si="53"/>
        <v/>
      </c>
      <c r="P53" s="271" t="str">
        <f t="shared" si="49"/>
        <v/>
      </c>
      <c r="Q53" s="271" t="str">
        <f t="shared" si="50"/>
        <v/>
      </c>
      <c r="R53" s="271" t="str">
        <f t="shared" si="51"/>
        <v/>
      </c>
      <c r="S53" s="400" t="str">
        <f t="shared" si="54"/>
        <v/>
      </c>
      <c r="T53" s="419"/>
      <c r="U53" s="70" t="str">
        <f t="shared" si="45"/>
        <v/>
      </c>
      <c r="V53" s="71" t="str">
        <f>Main_무해지!AC53</f>
        <v/>
      </c>
      <c r="W53" s="74">
        <f>+Main_무해지!AD53</f>
        <v>0</v>
      </c>
      <c r="X53" s="74">
        <v>0</v>
      </c>
      <c r="Y53" s="256" t="str">
        <f t="shared" si="46"/>
        <v/>
      </c>
      <c r="Z53" s="256" t="str">
        <f t="shared" si="1"/>
        <v/>
      </c>
      <c r="AA53" s="72" t="str">
        <f>IF($U53="","",SUM(Z53:Z$114))</f>
        <v/>
      </c>
      <c r="AB53" s="256" t="str">
        <f t="shared" si="35"/>
        <v/>
      </c>
      <c r="AC53" s="254">
        <f t="shared" si="36"/>
        <v>0</v>
      </c>
      <c r="AD53" s="254" t="str">
        <f>Main_무해지!AJ53</f>
        <v/>
      </c>
      <c r="AE53" s="256">
        <f t="shared" si="2"/>
        <v>0</v>
      </c>
      <c r="AF53" s="256" t="str">
        <f t="shared" si="47"/>
        <v/>
      </c>
      <c r="AG53" s="256" t="str">
        <f t="shared" si="3"/>
        <v/>
      </c>
      <c r="AH53" s="72" t="str">
        <f>IF($U53="","",SUM(AG53:AG$114))</f>
        <v/>
      </c>
      <c r="AI53" s="256" t="str">
        <f>Main_무해지!AP53</f>
        <v/>
      </c>
      <c r="AJ53" s="256">
        <f t="shared" si="4"/>
        <v>0</v>
      </c>
      <c r="AK53" s="256" t="str">
        <f t="shared" si="5"/>
        <v/>
      </c>
      <c r="AL53" s="256" t="str">
        <f t="shared" si="6"/>
        <v/>
      </c>
      <c r="AM53" s="75" t="str">
        <f>IF($U53="","",SUM($AN53:$AN$114))</f>
        <v/>
      </c>
      <c r="AN53" s="256" t="str">
        <f t="shared" si="37"/>
        <v/>
      </c>
      <c r="AO53" s="75" t="str">
        <f t="shared" si="7"/>
        <v/>
      </c>
      <c r="AP53" s="71" t="str">
        <f>IF($U53="","",INDEX(#REF!,$U53+1))</f>
        <v/>
      </c>
      <c r="AQ53" s="256">
        <f t="shared" si="8"/>
        <v>0</v>
      </c>
      <c r="AR53" s="256" t="str">
        <f t="shared" si="9"/>
        <v/>
      </c>
      <c r="AS53" s="256" t="str">
        <f t="shared" si="10"/>
        <v/>
      </c>
      <c r="AT53" s="75" t="str">
        <f>IF($U53="","",SUM($AS53:$AS$114))</f>
        <v/>
      </c>
      <c r="AU53" s="71" t="str">
        <f>IF($U53="","",INDEX(#REF!,$U53+1))</f>
        <v/>
      </c>
      <c r="AV53" s="256">
        <f t="shared" si="11"/>
        <v>0</v>
      </c>
      <c r="AW53" s="256" t="str">
        <f t="shared" si="12"/>
        <v/>
      </c>
      <c r="AX53" s="256" t="str">
        <f t="shared" si="13"/>
        <v/>
      </c>
      <c r="AY53" s="75" t="str">
        <f>IF($U53="","",SUM($AX53:$AX$114))</f>
        <v/>
      </c>
      <c r="AZ53" s="71" t="str">
        <f>IF($U53="","",INDEX(#REF!,$U53+1))</f>
        <v/>
      </c>
      <c r="BA53" s="256">
        <f t="shared" si="14"/>
        <v>0</v>
      </c>
      <c r="BB53" s="256" t="str">
        <f t="shared" si="15"/>
        <v/>
      </c>
      <c r="BC53" s="256" t="str">
        <f t="shared" si="16"/>
        <v/>
      </c>
      <c r="BD53" s="75" t="str">
        <f>IF($U53="","",SUM($BC53:$BC$114))</f>
        <v/>
      </c>
      <c r="BE53" s="71" t="str">
        <f>IF($U53="","",INDEX(#REF!,$U53+1))</f>
        <v/>
      </c>
      <c r="BF53" s="256">
        <f t="shared" si="17"/>
        <v>0</v>
      </c>
      <c r="BG53" s="256" t="str">
        <f t="shared" si="18"/>
        <v/>
      </c>
      <c r="BH53" s="256" t="str">
        <f t="shared" si="19"/>
        <v/>
      </c>
      <c r="BI53" s="75" t="str">
        <f>IF($U53="","",SUM($BH53:$BH$114))</f>
        <v/>
      </c>
      <c r="BJ53" s="71" t="str">
        <f>IF($U53="","",INDEX(#REF!,$U53+1))</f>
        <v/>
      </c>
      <c r="BK53" s="256">
        <f t="shared" si="20"/>
        <v>0</v>
      </c>
      <c r="BL53" s="256" t="str">
        <f t="shared" si="21"/>
        <v/>
      </c>
      <c r="BM53" s="256" t="str">
        <f t="shared" si="22"/>
        <v/>
      </c>
      <c r="BN53" s="75" t="str">
        <f>IF($U53="","",SUM($BM53:$BM$114))</f>
        <v/>
      </c>
      <c r="BO53" s="71">
        <f t="shared" si="23"/>
        <v>0</v>
      </c>
      <c r="BP53" s="256" t="str">
        <f t="shared" si="24"/>
        <v/>
      </c>
      <c r="BQ53" s="256" t="str">
        <f t="shared" si="25"/>
        <v/>
      </c>
      <c r="BR53" s="256"/>
      <c r="BS53" s="256" t="str">
        <f t="shared" si="38"/>
        <v/>
      </c>
      <c r="BT53" s="256" t="str">
        <f t="shared" si="26"/>
        <v/>
      </c>
      <c r="BU53" s="256" t="str">
        <f t="shared" si="27"/>
        <v/>
      </c>
      <c r="BV53" s="256"/>
      <c r="BW53" s="256" t="str">
        <f t="shared" si="39"/>
        <v/>
      </c>
      <c r="BX53" s="256" t="str">
        <f>IF($U53="","",SUM(BS53:BS$114)+SUM(BW53:BW$114))</f>
        <v/>
      </c>
      <c r="BY53" s="73"/>
      <c r="BZ53" s="73"/>
      <c r="CA53" s="73"/>
      <c r="CB53" s="73"/>
      <c r="CC53" s="392" t="str">
        <f t="shared" si="0"/>
        <v/>
      </c>
      <c r="CD53" s="256" t="str">
        <f t="shared" si="40"/>
        <v/>
      </c>
      <c r="CE53" s="256" t="str">
        <f t="shared" si="28"/>
        <v/>
      </c>
      <c r="CF53" s="256" t="str">
        <f t="shared" si="29"/>
        <v/>
      </c>
      <c r="CG53" s="256" t="str">
        <f t="shared" si="41"/>
        <v/>
      </c>
      <c r="CH53" s="256" t="str">
        <f t="shared" si="30"/>
        <v/>
      </c>
      <c r="CI53" s="76" t="str">
        <f t="shared" si="42"/>
        <v/>
      </c>
      <c r="CJ53" s="77" t="str">
        <f t="shared" si="31"/>
        <v/>
      </c>
      <c r="CK53" s="238"/>
      <c r="CL53" s="70" t="str">
        <f t="shared" si="32"/>
        <v/>
      </c>
      <c r="CM53" s="77" t="str">
        <f t="shared" si="48"/>
        <v/>
      </c>
      <c r="CN53" s="77" t="str">
        <f t="shared" si="43"/>
        <v/>
      </c>
      <c r="CO53" s="77" t="str">
        <f t="shared" si="33"/>
        <v/>
      </c>
      <c r="CP53" s="77" t="str">
        <f t="shared" si="44"/>
        <v/>
      </c>
      <c r="CQ53" s="238"/>
      <c r="CR53" s="238"/>
      <c r="CS53" s="238"/>
      <c r="CT53" s="238"/>
      <c r="CU53" s="238"/>
      <c r="CV53" s="238"/>
      <c r="CW53" s="478"/>
      <c r="CX53" s="478"/>
      <c r="CY53" s="478"/>
      <c r="CZ53" s="478"/>
      <c r="DA53" s="478"/>
      <c r="DB53" s="478"/>
      <c r="DC53" s="478"/>
      <c r="DD53" s="478"/>
      <c r="DE53" s="478"/>
      <c r="DF53" s="478"/>
      <c r="DG53" s="478"/>
      <c r="DH53" s="478"/>
      <c r="DI53" s="478"/>
      <c r="DJ53" s="478"/>
      <c r="DK53" s="478"/>
      <c r="DL53" s="478"/>
      <c r="DM53" s="478"/>
      <c r="DN53" s="478"/>
      <c r="DO53" s="478"/>
      <c r="DP53" s="478"/>
      <c r="DQ53" s="478"/>
      <c r="DR53" s="478"/>
      <c r="DS53" s="478"/>
      <c r="DT53" s="478"/>
      <c r="DU53" s="478"/>
      <c r="DV53" s="478"/>
      <c r="DW53" s="478"/>
      <c r="DX53" s="478"/>
      <c r="DY53" s="478"/>
      <c r="DZ53" s="478"/>
      <c r="EA53" s="478"/>
      <c r="EB53" s="478"/>
      <c r="EC53" s="478"/>
      <c r="ED53" s="478"/>
    </row>
    <row r="54" spans="1:134">
      <c r="A54" s="305"/>
      <c r="B54" s="373"/>
      <c r="D54" s="456"/>
      <c r="E54" s="457"/>
      <c r="F54" s="456"/>
      <c r="G54" s="458"/>
      <c r="I54" s="142"/>
      <c r="J54" s="49" t="s">
        <v>44</v>
      </c>
      <c r="K54" s="486">
        <f>IF($F$6=0,1-$E$36-$E$38,1-$E$28-$E$30-$E$25*$K$20/$K$32)</f>
        <v>0.875</v>
      </c>
      <c r="M54" s="50"/>
      <c r="N54" s="278" t="str">
        <f t="shared" si="52"/>
        <v/>
      </c>
      <c r="O54" s="279" t="str">
        <f t="shared" si="53"/>
        <v/>
      </c>
      <c r="P54" s="271" t="str">
        <f t="shared" si="49"/>
        <v/>
      </c>
      <c r="Q54" s="271" t="str">
        <f t="shared" si="50"/>
        <v/>
      </c>
      <c r="R54" s="271" t="str">
        <f t="shared" si="51"/>
        <v/>
      </c>
      <c r="S54" s="400" t="str">
        <f t="shared" si="54"/>
        <v/>
      </c>
      <c r="T54" s="419"/>
      <c r="U54" s="83" t="str">
        <f t="shared" si="45"/>
        <v/>
      </c>
      <c r="V54" s="84" t="str">
        <f>Main_무해지!AC54</f>
        <v/>
      </c>
      <c r="W54" s="87">
        <f>+Main_무해지!AD54</f>
        <v>0</v>
      </c>
      <c r="X54" s="87">
        <v>0</v>
      </c>
      <c r="Y54" s="257" t="str">
        <f t="shared" si="46"/>
        <v/>
      </c>
      <c r="Z54" s="257" t="str">
        <f t="shared" si="1"/>
        <v/>
      </c>
      <c r="AA54" s="85" t="str">
        <f>IF($U54="","",SUM(Z54:Z$114))</f>
        <v/>
      </c>
      <c r="AB54" s="257" t="str">
        <f t="shared" si="35"/>
        <v/>
      </c>
      <c r="AC54" s="254">
        <f t="shared" si="36"/>
        <v>0</v>
      </c>
      <c r="AD54" s="254" t="str">
        <f>Main_무해지!AJ54</f>
        <v/>
      </c>
      <c r="AE54" s="257">
        <f t="shared" si="2"/>
        <v>0</v>
      </c>
      <c r="AF54" s="257" t="str">
        <f t="shared" si="47"/>
        <v/>
      </c>
      <c r="AG54" s="257" t="str">
        <f t="shared" si="3"/>
        <v/>
      </c>
      <c r="AH54" s="85" t="str">
        <f>IF($U54="","",SUM(AG54:AG$114))</f>
        <v/>
      </c>
      <c r="AI54" s="257" t="str">
        <f>Main_무해지!AP54</f>
        <v/>
      </c>
      <c r="AJ54" s="257">
        <f t="shared" si="4"/>
        <v>0</v>
      </c>
      <c r="AK54" s="257" t="str">
        <f t="shared" si="5"/>
        <v/>
      </c>
      <c r="AL54" s="257" t="str">
        <f t="shared" si="6"/>
        <v/>
      </c>
      <c r="AM54" s="88" t="str">
        <f>IF($U54="","",SUM($AN54:$AN$114))</f>
        <v/>
      </c>
      <c r="AN54" s="257" t="str">
        <f t="shared" si="37"/>
        <v/>
      </c>
      <c r="AO54" s="88" t="str">
        <f t="shared" si="7"/>
        <v/>
      </c>
      <c r="AP54" s="84" t="str">
        <f>IF($U54="","",INDEX(#REF!,$U54+1))</f>
        <v/>
      </c>
      <c r="AQ54" s="257">
        <f t="shared" si="8"/>
        <v>0</v>
      </c>
      <c r="AR54" s="257" t="str">
        <f t="shared" si="9"/>
        <v/>
      </c>
      <c r="AS54" s="257" t="str">
        <f t="shared" si="10"/>
        <v/>
      </c>
      <c r="AT54" s="88" t="str">
        <f>IF($U54="","",SUM($AS54:$AS$114))</f>
        <v/>
      </c>
      <c r="AU54" s="84" t="str">
        <f>IF($U54="","",INDEX(#REF!,$U54+1))</f>
        <v/>
      </c>
      <c r="AV54" s="257">
        <f t="shared" si="11"/>
        <v>0</v>
      </c>
      <c r="AW54" s="257" t="str">
        <f t="shared" si="12"/>
        <v/>
      </c>
      <c r="AX54" s="257" t="str">
        <f t="shared" si="13"/>
        <v/>
      </c>
      <c r="AY54" s="88" t="str">
        <f>IF($U54="","",SUM($AX54:$AX$114))</f>
        <v/>
      </c>
      <c r="AZ54" s="84" t="str">
        <f>IF($U54="","",INDEX(#REF!,$U54+1))</f>
        <v/>
      </c>
      <c r="BA54" s="257">
        <f t="shared" si="14"/>
        <v>0</v>
      </c>
      <c r="BB54" s="257" t="str">
        <f t="shared" si="15"/>
        <v/>
      </c>
      <c r="BC54" s="257" t="str">
        <f t="shared" si="16"/>
        <v/>
      </c>
      <c r="BD54" s="88" t="str">
        <f>IF($U54="","",SUM($BC54:$BC$114))</f>
        <v/>
      </c>
      <c r="BE54" s="84" t="str">
        <f>IF($U54="","",INDEX(#REF!,$U54+1))</f>
        <v/>
      </c>
      <c r="BF54" s="257">
        <f t="shared" si="17"/>
        <v>0</v>
      </c>
      <c r="BG54" s="257" t="str">
        <f t="shared" si="18"/>
        <v/>
      </c>
      <c r="BH54" s="257" t="str">
        <f t="shared" si="19"/>
        <v/>
      </c>
      <c r="BI54" s="88" t="str">
        <f>IF($U54="","",SUM($BH54:$BH$114))</f>
        <v/>
      </c>
      <c r="BJ54" s="84" t="str">
        <f>IF($U54="","",INDEX(#REF!,$U54+1))</f>
        <v/>
      </c>
      <c r="BK54" s="257">
        <f t="shared" si="20"/>
        <v>0</v>
      </c>
      <c r="BL54" s="257" t="str">
        <f t="shared" si="21"/>
        <v/>
      </c>
      <c r="BM54" s="257" t="str">
        <f t="shared" si="22"/>
        <v/>
      </c>
      <c r="BN54" s="88" t="str">
        <f>IF($U54="","",SUM($BM54:$BM$114))</f>
        <v/>
      </c>
      <c r="BO54" s="84">
        <f t="shared" si="23"/>
        <v>0</v>
      </c>
      <c r="BP54" s="257" t="str">
        <f t="shared" si="24"/>
        <v/>
      </c>
      <c r="BQ54" s="257" t="str">
        <f t="shared" si="25"/>
        <v/>
      </c>
      <c r="BR54" s="257"/>
      <c r="BS54" s="257" t="str">
        <f t="shared" si="38"/>
        <v/>
      </c>
      <c r="BT54" s="257" t="str">
        <f t="shared" si="26"/>
        <v/>
      </c>
      <c r="BU54" s="257" t="str">
        <f t="shared" si="27"/>
        <v/>
      </c>
      <c r="BV54" s="257"/>
      <c r="BW54" s="257" t="str">
        <f t="shared" si="39"/>
        <v/>
      </c>
      <c r="BX54" s="257" t="str">
        <f>IF($U54="","",SUM(BS54:BS$114)+SUM(BW54:BW$114))</f>
        <v/>
      </c>
      <c r="BY54" s="86"/>
      <c r="BZ54" s="86"/>
      <c r="CA54" s="86"/>
      <c r="CB54" s="86"/>
      <c r="CC54" s="393" t="str">
        <f t="shared" si="0"/>
        <v/>
      </c>
      <c r="CD54" s="257" t="str">
        <f t="shared" si="40"/>
        <v/>
      </c>
      <c r="CE54" s="257" t="str">
        <f t="shared" si="28"/>
        <v/>
      </c>
      <c r="CF54" s="257" t="str">
        <f t="shared" si="29"/>
        <v/>
      </c>
      <c r="CG54" s="257" t="str">
        <f t="shared" si="41"/>
        <v/>
      </c>
      <c r="CH54" s="257" t="str">
        <f t="shared" si="30"/>
        <v/>
      </c>
      <c r="CI54" s="89" t="str">
        <f t="shared" si="42"/>
        <v/>
      </c>
      <c r="CJ54" s="90" t="str">
        <f t="shared" si="31"/>
        <v/>
      </c>
      <c r="CK54" s="239"/>
      <c r="CL54" s="83" t="str">
        <f t="shared" si="32"/>
        <v/>
      </c>
      <c r="CM54" s="90" t="str">
        <f t="shared" si="48"/>
        <v/>
      </c>
      <c r="CN54" s="90" t="str">
        <f t="shared" si="43"/>
        <v/>
      </c>
      <c r="CO54" s="90" t="str">
        <f t="shared" si="33"/>
        <v/>
      </c>
      <c r="CP54" s="90" t="str">
        <f t="shared" si="44"/>
        <v/>
      </c>
      <c r="CQ54" s="239"/>
      <c r="CR54" s="239"/>
      <c r="CS54" s="239"/>
      <c r="CT54" s="239"/>
      <c r="CU54" s="239"/>
      <c r="CV54" s="239"/>
      <c r="CW54" s="478"/>
      <c r="CX54" s="478"/>
      <c r="CY54" s="478"/>
      <c r="CZ54" s="478"/>
      <c r="DA54" s="478"/>
      <c r="DB54" s="478"/>
      <c r="DC54" s="478"/>
      <c r="DD54" s="478"/>
      <c r="DE54" s="478"/>
      <c r="DF54" s="478"/>
      <c r="DG54" s="478"/>
      <c r="DH54" s="478"/>
      <c r="DI54" s="478"/>
      <c r="DJ54" s="478"/>
      <c r="DK54" s="478"/>
      <c r="DL54" s="478"/>
      <c r="DM54" s="478"/>
      <c r="DN54" s="478"/>
      <c r="DO54" s="478"/>
      <c r="DP54" s="478"/>
      <c r="DQ54" s="478"/>
      <c r="DR54" s="478"/>
      <c r="DS54" s="478"/>
      <c r="DT54" s="478"/>
      <c r="DU54" s="478"/>
      <c r="DV54" s="478"/>
      <c r="DW54" s="478"/>
      <c r="DX54" s="478"/>
      <c r="DY54" s="478"/>
      <c r="DZ54" s="478"/>
      <c r="EA54" s="478"/>
      <c r="EB54" s="478"/>
      <c r="EC54" s="478"/>
      <c r="ED54" s="478"/>
    </row>
    <row r="55" spans="1:134" ht="17.25" thickBot="1">
      <c r="A55" s="305"/>
      <c r="B55" s="373"/>
      <c r="D55" s="456"/>
      <c r="E55" s="457"/>
      <c r="F55" s="456"/>
      <c r="G55" s="458"/>
      <c r="I55" s="144" t="str">
        <f>IF(F5=0,"  A'x:n","  mP'(m')x:n")</f>
        <v xml:space="preserve">  mP'(m')x:n</v>
      </c>
      <c r="J55" s="145" t="s">
        <v>54</v>
      </c>
      <c r="K55" s="656">
        <f>K53/K54</f>
        <v>1.6567200649524675E-6</v>
      </c>
      <c r="M55" s="50"/>
      <c r="N55" s="278" t="str">
        <f t="shared" si="52"/>
        <v/>
      </c>
      <c r="O55" s="279" t="str">
        <f t="shared" si="53"/>
        <v/>
      </c>
      <c r="P55" s="271" t="str">
        <f t="shared" si="49"/>
        <v/>
      </c>
      <c r="Q55" s="271" t="str">
        <f t="shared" si="50"/>
        <v/>
      </c>
      <c r="R55" s="271" t="str">
        <f t="shared" si="51"/>
        <v/>
      </c>
      <c r="S55" s="400" t="str">
        <f t="shared" si="54"/>
        <v/>
      </c>
      <c r="T55" s="419"/>
      <c r="U55" s="750" t="str">
        <f t="shared" si="45"/>
        <v/>
      </c>
      <c r="V55" s="752" t="str">
        <f>Main_무해지!AC55</f>
        <v/>
      </c>
      <c r="W55" s="638">
        <f>+Main_무해지!AD55</f>
        <v>0</v>
      </c>
      <c r="X55" s="638">
        <v>0</v>
      </c>
      <c r="Y55" s="408" t="str">
        <f t="shared" si="46"/>
        <v/>
      </c>
      <c r="Z55" s="408" t="str">
        <f t="shared" si="1"/>
        <v/>
      </c>
      <c r="AA55" s="751" t="str">
        <f>IF($U55="","",SUM(Z55:Z$114))</f>
        <v/>
      </c>
      <c r="AB55" s="408" t="str">
        <f t="shared" si="35"/>
        <v/>
      </c>
      <c r="AC55" s="254">
        <f t="shared" si="36"/>
        <v>0</v>
      </c>
      <c r="AD55" s="254" t="str">
        <f>Main_무해지!AJ55</f>
        <v/>
      </c>
      <c r="AE55" s="408">
        <f t="shared" si="2"/>
        <v>0</v>
      </c>
      <c r="AF55" s="408" t="str">
        <f t="shared" si="47"/>
        <v/>
      </c>
      <c r="AG55" s="408" t="str">
        <f t="shared" si="3"/>
        <v/>
      </c>
      <c r="AH55" s="751" t="str">
        <f>IF($U55="","",SUM(AG55:AG$114))</f>
        <v/>
      </c>
      <c r="AI55" s="408" t="str">
        <f>Main_무해지!AP55</f>
        <v/>
      </c>
      <c r="AJ55" s="408">
        <f t="shared" si="4"/>
        <v>0</v>
      </c>
      <c r="AK55" s="408" t="str">
        <f t="shared" si="5"/>
        <v/>
      </c>
      <c r="AL55" s="408" t="str">
        <f t="shared" si="6"/>
        <v/>
      </c>
      <c r="AM55" s="753" t="str">
        <f>IF($U55="","",SUM($AN55:$AN$114))</f>
        <v/>
      </c>
      <c r="AN55" s="408" t="str">
        <f t="shared" si="37"/>
        <v/>
      </c>
      <c r="AO55" s="753" t="str">
        <f t="shared" si="7"/>
        <v/>
      </c>
      <c r="AP55" s="752" t="str">
        <f>IF($U55="","",INDEX(#REF!,$U55+1))</f>
        <v/>
      </c>
      <c r="AQ55" s="408">
        <f t="shared" si="8"/>
        <v>0</v>
      </c>
      <c r="AR55" s="408" t="str">
        <f t="shared" si="9"/>
        <v/>
      </c>
      <c r="AS55" s="408" t="str">
        <f t="shared" si="10"/>
        <v/>
      </c>
      <c r="AT55" s="753" t="str">
        <f>IF($U55="","",SUM($AS55:$AS$114))</f>
        <v/>
      </c>
      <c r="AU55" s="752" t="str">
        <f>IF($U55="","",INDEX(#REF!,$U55+1))</f>
        <v/>
      </c>
      <c r="AV55" s="408">
        <f t="shared" si="11"/>
        <v>0</v>
      </c>
      <c r="AW55" s="408" t="str">
        <f t="shared" si="12"/>
        <v/>
      </c>
      <c r="AX55" s="408" t="str">
        <f t="shared" si="13"/>
        <v/>
      </c>
      <c r="AY55" s="753" t="str">
        <f>IF($U55="","",SUM($AX55:$AX$114))</f>
        <v/>
      </c>
      <c r="AZ55" s="752" t="str">
        <f>IF($U55="","",INDEX(#REF!,$U55+1))</f>
        <v/>
      </c>
      <c r="BA55" s="408">
        <f t="shared" si="14"/>
        <v>0</v>
      </c>
      <c r="BB55" s="408" t="str">
        <f t="shared" si="15"/>
        <v/>
      </c>
      <c r="BC55" s="408" t="str">
        <f t="shared" si="16"/>
        <v/>
      </c>
      <c r="BD55" s="753" t="str">
        <f>IF($U55="","",SUM($BC55:$BC$114))</f>
        <v/>
      </c>
      <c r="BE55" s="752" t="str">
        <f>IF($U55="","",INDEX(#REF!,$U55+1))</f>
        <v/>
      </c>
      <c r="BF55" s="408">
        <f t="shared" si="17"/>
        <v>0</v>
      </c>
      <c r="BG55" s="408" t="str">
        <f t="shared" si="18"/>
        <v/>
      </c>
      <c r="BH55" s="408" t="str">
        <f t="shared" si="19"/>
        <v/>
      </c>
      <c r="BI55" s="753" t="str">
        <f>IF($U55="","",SUM($BH55:$BH$114))</f>
        <v/>
      </c>
      <c r="BJ55" s="752" t="str">
        <f>IF($U55="","",INDEX(#REF!,$U55+1))</f>
        <v/>
      </c>
      <c r="BK55" s="408">
        <f t="shared" si="20"/>
        <v>0</v>
      </c>
      <c r="BL55" s="408" t="str">
        <f t="shared" si="21"/>
        <v/>
      </c>
      <c r="BM55" s="408" t="str">
        <f t="shared" si="22"/>
        <v/>
      </c>
      <c r="BN55" s="753" t="str">
        <f>IF($U55="","",SUM($BM55:$BM$114))</f>
        <v/>
      </c>
      <c r="BO55" s="752">
        <f t="shared" si="23"/>
        <v>0</v>
      </c>
      <c r="BP55" s="408" t="str">
        <f t="shared" si="24"/>
        <v/>
      </c>
      <c r="BQ55" s="408" t="str">
        <f t="shared" si="25"/>
        <v/>
      </c>
      <c r="BR55" s="408"/>
      <c r="BS55" s="408" t="str">
        <f t="shared" si="38"/>
        <v/>
      </c>
      <c r="BT55" s="408" t="str">
        <f t="shared" si="26"/>
        <v/>
      </c>
      <c r="BU55" s="408" t="str">
        <f t="shared" si="27"/>
        <v/>
      </c>
      <c r="BV55" s="408"/>
      <c r="BW55" s="408" t="str">
        <f t="shared" si="39"/>
        <v/>
      </c>
      <c r="BX55" s="408" t="str">
        <f>IF($U55="","",SUM(BS55:BS$114)+SUM(BW55:BW$114))</f>
        <v/>
      </c>
      <c r="BY55" s="754"/>
      <c r="BZ55" s="754"/>
      <c r="CA55" s="754"/>
      <c r="CB55" s="754"/>
      <c r="CC55" s="755" t="str">
        <f t="shared" si="0"/>
        <v/>
      </c>
      <c r="CD55" s="408" t="str">
        <f t="shared" si="40"/>
        <v/>
      </c>
      <c r="CE55" s="408" t="str">
        <f t="shared" si="28"/>
        <v/>
      </c>
      <c r="CF55" s="408" t="str">
        <f t="shared" si="29"/>
        <v/>
      </c>
      <c r="CG55" s="408" t="str">
        <f t="shared" si="41"/>
        <v/>
      </c>
      <c r="CH55" s="408" t="str">
        <f t="shared" si="30"/>
        <v/>
      </c>
      <c r="CI55" s="756" t="str">
        <f t="shared" si="42"/>
        <v/>
      </c>
      <c r="CJ55" s="757" t="str">
        <f t="shared" si="31"/>
        <v/>
      </c>
      <c r="CK55" s="413"/>
      <c r="CL55" s="750" t="str">
        <f t="shared" si="32"/>
        <v/>
      </c>
      <c r="CM55" s="757" t="str">
        <f t="shared" si="48"/>
        <v/>
      </c>
      <c r="CN55" s="757" t="str">
        <f t="shared" si="43"/>
        <v/>
      </c>
      <c r="CO55" s="757" t="str">
        <f t="shared" si="33"/>
        <v/>
      </c>
      <c r="CP55" s="757" t="str">
        <f t="shared" si="44"/>
        <v/>
      </c>
      <c r="CQ55" s="413"/>
      <c r="CR55" s="413"/>
      <c r="CS55" s="413"/>
      <c r="CT55" s="413"/>
      <c r="CU55" s="413"/>
      <c r="CV55" s="413"/>
      <c r="CW55" s="478"/>
      <c r="CX55" s="478"/>
      <c r="CY55" s="478"/>
      <c r="CZ55" s="478"/>
      <c r="DA55" s="478"/>
      <c r="DB55" s="478"/>
      <c r="DC55" s="478"/>
      <c r="DD55" s="478"/>
      <c r="DE55" s="478"/>
      <c r="DF55" s="478"/>
      <c r="DG55" s="478"/>
      <c r="DH55" s="478"/>
      <c r="DI55" s="478"/>
      <c r="DJ55" s="478"/>
      <c r="DK55" s="478"/>
      <c r="DL55" s="478"/>
      <c r="DM55" s="478"/>
      <c r="DN55" s="478"/>
      <c r="DO55" s="478"/>
      <c r="DP55" s="478"/>
      <c r="DQ55" s="478"/>
      <c r="DR55" s="478"/>
      <c r="DS55" s="478"/>
      <c r="DT55" s="478"/>
      <c r="DU55" s="478"/>
      <c r="DV55" s="478"/>
      <c r="DW55" s="478"/>
      <c r="DX55" s="478"/>
      <c r="DY55" s="478"/>
      <c r="DZ55" s="478"/>
      <c r="EA55" s="478"/>
      <c r="EB55" s="478"/>
      <c r="EC55" s="478"/>
      <c r="ED55" s="478"/>
    </row>
    <row r="56" spans="1:134">
      <c r="A56" s="305"/>
      <c r="B56" s="373"/>
      <c r="D56" s="459"/>
      <c r="E56" s="457"/>
      <c r="F56" s="456"/>
      <c r="G56" s="460"/>
      <c r="M56" s="147"/>
      <c r="N56" s="280" t="str">
        <f t="shared" si="52"/>
        <v/>
      </c>
      <c r="O56" s="281" t="str">
        <f t="shared" si="53"/>
        <v/>
      </c>
      <c r="P56" s="282" t="str">
        <f t="shared" si="49"/>
        <v/>
      </c>
      <c r="Q56" s="282" t="str">
        <f t="shared" si="50"/>
        <v/>
      </c>
      <c r="R56" s="282" t="str">
        <f t="shared" si="51"/>
        <v/>
      </c>
      <c r="S56" s="402" t="str">
        <f t="shared" si="54"/>
        <v/>
      </c>
      <c r="T56" s="419"/>
      <c r="U56" s="52" t="str">
        <f t="shared" si="45"/>
        <v/>
      </c>
      <c r="V56" s="53" t="str">
        <f>Main_무해지!AC56</f>
        <v/>
      </c>
      <c r="W56" s="56">
        <f>+Main_무해지!AD56</f>
        <v>0</v>
      </c>
      <c r="X56" s="56">
        <v>0</v>
      </c>
      <c r="Y56" s="254" t="str">
        <f t="shared" si="46"/>
        <v/>
      </c>
      <c r="Z56" s="254" t="str">
        <f t="shared" si="1"/>
        <v/>
      </c>
      <c r="AA56" s="54" t="str">
        <f>IF($U56="","",SUM(Z56:Z$114))</f>
        <v/>
      </c>
      <c r="AB56" s="254" t="str">
        <f t="shared" si="35"/>
        <v/>
      </c>
      <c r="AC56" s="254">
        <f t="shared" si="36"/>
        <v>0</v>
      </c>
      <c r="AD56" s="254" t="str">
        <f>Main_무해지!AJ56</f>
        <v/>
      </c>
      <c r="AE56" s="254">
        <f t="shared" si="2"/>
        <v>0</v>
      </c>
      <c r="AF56" s="254" t="str">
        <f t="shared" si="47"/>
        <v/>
      </c>
      <c r="AG56" s="254" t="str">
        <f t="shared" si="3"/>
        <v/>
      </c>
      <c r="AH56" s="54" t="str">
        <f>IF($U56="","",SUM(AG56:AG$114))</f>
        <v/>
      </c>
      <c r="AI56" s="254" t="str">
        <f>Main_무해지!AP56</f>
        <v/>
      </c>
      <c r="AJ56" s="254">
        <f t="shared" si="4"/>
        <v>0</v>
      </c>
      <c r="AK56" s="254" t="str">
        <f t="shared" si="5"/>
        <v/>
      </c>
      <c r="AL56" s="254" t="str">
        <f t="shared" si="6"/>
        <v/>
      </c>
      <c r="AM56" s="57" t="str">
        <f>IF($U56="","",SUM($AN56:$AN$114))</f>
        <v/>
      </c>
      <c r="AN56" s="254" t="str">
        <f t="shared" si="37"/>
        <v/>
      </c>
      <c r="AO56" s="57" t="str">
        <f t="shared" si="7"/>
        <v/>
      </c>
      <c r="AP56" s="53" t="str">
        <f>IF($U56="","",INDEX(#REF!,$U56+1))</f>
        <v/>
      </c>
      <c r="AQ56" s="254">
        <f t="shared" si="8"/>
        <v>0</v>
      </c>
      <c r="AR56" s="254" t="str">
        <f t="shared" si="9"/>
        <v/>
      </c>
      <c r="AS56" s="254" t="str">
        <f t="shared" si="10"/>
        <v/>
      </c>
      <c r="AT56" s="57" t="str">
        <f>IF($U56="","",SUM($AS56:$AS$114))</f>
        <v/>
      </c>
      <c r="AU56" s="53" t="str">
        <f>IF($U56="","",INDEX(#REF!,$U56+1))</f>
        <v/>
      </c>
      <c r="AV56" s="254">
        <f t="shared" si="11"/>
        <v>0</v>
      </c>
      <c r="AW56" s="254" t="str">
        <f t="shared" si="12"/>
        <v/>
      </c>
      <c r="AX56" s="254" t="str">
        <f t="shared" si="13"/>
        <v/>
      </c>
      <c r="AY56" s="57" t="str">
        <f>IF($U56="","",SUM($AX56:$AX$114))</f>
        <v/>
      </c>
      <c r="AZ56" s="53" t="str">
        <f>IF($U56="","",INDEX(#REF!,$U56+1))</f>
        <v/>
      </c>
      <c r="BA56" s="254">
        <f t="shared" si="14"/>
        <v>0</v>
      </c>
      <c r="BB56" s="254" t="str">
        <f t="shared" si="15"/>
        <v/>
      </c>
      <c r="BC56" s="254" t="str">
        <f t="shared" si="16"/>
        <v/>
      </c>
      <c r="BD56" s="57" t="str">
        <f>IF($U56="","",SUM($BC56:$BC$114))</f>
        <v/>
      </c>
      <c r="BE56" s="53" t="str">
        <f>IF($U56="","",INDEX(#REF!,$U56+1))</f>
        <v/>
      </c>
      <c r="BF56" s="254">
        <f t="shared" si="17"/>
        <v>0</v>
      </c>
      <c r="BG56" s="254" t="str">
        <f t="shared" si="18"/>
        <v/>
      </c>
      <c r="BH56" s="254" t="str">
        <f t="shared" si="19"/>
        <v/>
      </c>
      <c r="BI56" s="57" t="str">
        <f>IF($U56="","",SUM($BH56:$BH$114))</f>
        <v/>
      </c>
      <c r="BJ56" s="53" t="str">
        <f>IF($U56="","",INDEX(#REF!,$U56+1))</f>
        <v/>
      </c>
      <c r="BK56" s="254">
        <f t="shared" si="20"/>
        <v>0</v>
      </c>
      <c r="BL56" s="254" t="str">
        <f t="shared" si="21"/>
        <v/>
      </c>
      <c r="BM56" s="254" t="str">
        <f t="shared" si="22"/>
        <v/>
      </c>
      <c r="BN56" s="57" t="str">
        <f>IF($U56="","",SUM($BM56:$BM$114))</f>
        <v/>
      </c>
      <c r="BO56" s="53">
        <f t="shared" si="23"/>
        <v>0</v>
      </c>
      <c r="BP56" s="254" t="str">
        <f t="shared" si="24"/>
        <v/>
      </c>
      <c r="BQ56" s="254" t="str">
        <f t="shared" si="25"/>
        <v/>
      </c>
      <c r="BR56" s="254"/>
      <c r="BS56" s="254" t="str">
        <f t="shared" si="38"/>
        <v/>
      </c>
      <c r="BT56" s="254" t="str">
        <f t="shared" si="26"/>
        <v/>
      </c>
      <c r="BU56" s="254" t="str">
        <f t="shared" si="27"/>
        <v/>
      </c>
      <c r="BV56" s="254"/>
      <c r="BW56" s="254" t="str">
        <f t="shared" si="39"/>
        <v/>
      </c>
      <c r="BX56" s="254" t="str">
        <f>IF($U56="","",SUM(BS56:BS$114)+SUM(BW56:BW$114))</f>
        <v/>
      </c>
      <c r="BY56" s="55"/>
      <c r="BZ56" s="55"/>
      <c r="CA56" s="55"/>
      <c r="CB56" s="55"/>
      <c r="CC56" s="390" t="str">
        <f t="shared" si="0"/>
        <v/>
      </c>
      <c r="CD56" s="254" t="str">
        <f t="shared" si="40"/>
        <v/>
      </c>
      <c r="CE56" s="254" t="str">
        <f t="shared" si="28"/>
        <v/>
      </c>
      <c r="CF56" s="254" t="str">
        <f t="shared" si="29"/>
        <v/>
      </c>
      <c r="CG56" s="254" t="str">
        <f t="shared" si="41"/>
        <v/>
      </c>
      <c r="CH56" s="254" t="str">
        <f t="shared" si="30"/>
        <v/>
      </c>
      <c r="CI56" s="58" t="str">
        <f t="shared" si="42"/>
        <v/>
      </c>
      <c r="CJ56" s="59" t="str">
        <f t="shared" si="31"/>
        <v/>
      </c>
      <c r="CK56" s="236"/>
      <c r="CL56" s="52" t="str">
        <f t="shared" si="32"/>
        <v/>
      </c>
      <c r="CM56" s="59" t="str">
        <f t="shared" si="48"/>
        <v/>
      </c>
      <c r="CN56" s="59" t="str">
        <f t="shared" si="43"/>
        <v/>
      </c>
      <c r="CO56" s="59" t="str">
        <f t="shared" si="33"/>
        <v/>
      </c>
      <c r="CP56" s="59" t="str">
        <f t="shared" si="44"/>
        <v/>
      </c>
      <c r="CQ56" s="236"/>
      <c r="CR56" s="236"/>
      <c r="CS56" s="236"/>
      <c r="CT56" s="236"/>
      <c r="CU56" s="236"/>
      <c r="CV56" s="236"/>
      <c r="CW56" s="478"/>
      <c r="CX56" s="478"/>
      <c r="CY56" s="478"/>
      <c r="CZ56" s="478"/>
      <c r="DA56" s="478"/>
      <c r="DB56" s="478"/>
      <c r="DC56" s="478"/>
      <c r="DD56" s="478"/>
      <c r="DE56" s="478"/>
      <c r="DF56" s="478"/>
      <c r="DG56" s="478"/>
      <c r="DH56" s="478"/>
      <c r="DI56" s="478"/>
      <c r="DJ56" s="478"/>
      <c r="DK56" s="478"/>
      <c r="DL56" s="478"/>
      <c r="DM56" s="478"/>
      <c r="DN56" s="478"/>
      <c r="DO56" s="478"/>
      <c r="DP56" s="478"/>
      <c r="DQ56" s="478"/>
      <c r="DR56" s="478"/>
      <c r="DS56" s="478"/>
      <c r="DT56" s="478"/>
      <c r="DU56" s="478"/>
      <c r="DV56" s="478"/>
      <c r="DW56" s="478"/>
      <c r="DX56" s="478"/>
      <c r="DY56" s="478"/>
      <c r="DZ56" s="478"/>
      <c r="EA56" s="478"/>
      <c r="EB56" s="478"/>
      <c r="EC56" s="478"/>
      <c r="ED56" s="478"/>
    </row>
    <row r="57" spans="1:134">
      <c r="A57" s="305"/>
      <c r="B57" s="373"/>
      <c r="D57" s="459"/>
      <c r="E57" s="457"/>
      <c r="F57" s="456"/>
      <c r="G57" s="460"/>
      <c r="M57" s="149"/>
      <c r="N57" s="275" t="str">
        <f t="shared" si="52"/>
        <v/>
      </c>
      <c r="O57" s="276" t="str">
        <f t="shared" si="53"/>
        <v/>
      </c>
      <c r="P57" s="277" t="str">
        <f t="shared" si="49"/>
        <v/>
      </c>
      <c r="Q57" s="277" t="str">
        <f t="shared" si="50"/>
        <v/>
      </c>
      <c r="R57" s="277" t="str">
        <f t="shared" si="51"/>
        <v/>
      </c>
      <c r="S57" s="401" t="str">
        <f t="shared" si="54"/>
        <v/>
      </c>
      <c r="T57" s="232"/>
      <c r="U57" s="52" t="str">
        <f t="shared" si="45"/>
        <v/>
      </c>
      <c r="V57" s="53" t="str">
        <f>Main_무해지!AC57</f>
        <v/>
      </c>
      <c r="W57" s="56">
        <f>+Main_무해지!AD57</f>
        <v>0</v>
      </c>
      <c r="X57" s="56">
        <v>0</v>
      </c>
      <c r="Y57" s="254" t="str">
        <f t="shared" si="46"/>
        <v/>
      </c>
      <c r="Z57" s="254" t="str">
        <f t="shared" si="1"/>
        <v/>
      </c>
      <c r="AA57" s="54" t="str">
        <f>IF($U57="","",SUM(Z57:Z$114))</f>
        <v/>
      </c>
      <c r="AB57" s="254" t="str">
        <f t="shared" si="35"/>
        <v/>
      </c>
      <c r="AC57" s="254">
        <f t="shared" si="36"/>
        <v>0</v>
      </c>
      <c r="AD57" s="254" t="str">
        <f>Main_무해지!AJ57</f>
        <v/>
      </c>
      <c r="AE57" s="254">
        <f t="shared" si="2"/>
        <v>0</v>
      </c>
      <c r="AF57" s="254" t="str">
        <f t="shared" si="47"/>
        <v/>
      </c>
      <c r="AG57" s="254" t="str">
        <f t="shared" si="3"/>
        <v/>
      </c>
      <c r="AH57" s="54" t="str">
        <f>IF($U57="","",SUM(AG57:AG$114))</f>
        <v/>
      </c>
      <c r="AI57" s="254" t="str">
        <f>Main_무해지!AP57</f>
        <v/>
      </c>
      <c r="AJ57" s="254">
        <f t="shared" si="4"/>
        <v>0</v>
      </c>
      <c r="AK57" s="254" t="str">
        <f t="shared" si="5"/>
        <v/>
      </c>
      <c r="AL57" s="254" t="str">
        <f t="shared" si="6"/>
        <v/>
      </c>
      <c r="AM57" s="57" t="str">
        <f>IF($U57="","",SUM($AN57:$AN$114))</f>
        <v/>
      </c>
      <c r="AN57" s="254" t="str">
        <f t="shared" si="37"/>
        <v/>
      </c>
      <c r="AO57" s="57" t="str">
        <f t="shared" si="7"/>
        <v/>
      </c>
      <c r="AP57" s="53" t="str">
        <f>IF($U57="","",INDEX(#REF!,$U57+1))</f>
        <v/>
      </c>
      <c r="AQ57" s="254">
        <f t="shared" si="8"/>
        <v>0</v>
      </c>
      <c r="AR57" s="254" t="str">
        <f t="shared" si="9"/>
        <v/>
      </c>
      <c r="AS57" s="254" t="str">
        <f t="shared" si="10"/>
        <v/>
      </c>
      <c r="AT57" s="57" t="str">
        <f>IF($U57="","",SUM($AS57:$AS$114))</f>
        <v/>
      </c>
      <c r="AU57" s="53" t="str">
        <f>IF($U57="","",INDEX(#REF!,$U57+1))</f>
        <v/>
      </c>
      <c r="AV57" s="254">
        <f t="shared" si="11"/>
        <v>0</v>
      </c>
      <c r="AW57" s="254" t="str">
        <f t="shared" si="12"/>
        <v/>
      </c>
      <c r="AX57" s="254" t="str">
        <f t="shared" si="13"/>
        <v/>
      </c>
      <c r="AY57" s="57" t="str">
        <f>IF($U57="","",SUM($AX57:$AX$114))</f>
        <v/>
      </c>
      <c r="AZ57" s="53" t="str">
        <f>IF($U57="","",INDEX(#REF!,$U57+1))</f>
        <v/>
      </c>
      <c r="BA57" s="254">
        <f t="shared" si="14"/>
        <v>0</v>
      </c>
      <c r="BB57" s="254" t="str">
        <f t="shared" si="15"/>
        <v/>
      </c>
      <c r="BC57" s="254" t="str">
        <f t="shared" si="16"/>
        <v/>
      </c>
      <c r="BD57" s="57" t="str">
        <f>IF($U57="","",SUM($BC57:$BC$114))</f>
        <v/>
      </c>
      <c r="BE57" s="53" t="str">
        <f>IF($U57="","",INDEX(#REF!,$U57+1))</f>
        <v/>
      </c>
      <c r="BF57" s="254">
        <f t="shared" si="17"/>
        <v>0</v>
      </c>
      <c r="BG57" s="254" t="str">
        <f t="shared" si="18"/>
        <v/>
      </c>
      <c r="BH57" s="254" t="str">
        <f t="shared" si="19"/>
        <v/>
      </c>
      <c r="BI57" s="57" t="str">
        <f>IF($U57="","",SUM($BH57:$BH$114))</f>
        <v/>
      </c>
      <c r="BJ57" s="53" t="str">
        <f>IF($U57="","",INDEX(#REF!,$U57+1))</f>
        <v/>
      </c>
      <c r="BK57" s="254">
        <f t="shared" si="20"/>
        <v>0</v>
      </c>
      <c r="BL57" s="254" t="str">
        <f t="shared" si="21"/>
        <v/>
      </c>
      <c r="BM57" s="254" t="str">
        <f t="shared" si="22"/>
        <v/>
      </c>
      <c r="BN57" s="57" t="str">
        <f>IF($U57="","",SUM($BM57:$BM$114))</f>
        <v/>
      </c>
      <c r="BO57" s="53">
        <f t="shared" si="23"/>
        <v>0</v>
      </c>
      <c r="BP57" s="254" t="str">
        <f t="shared" si="24"/>
        <v/>
      </c>
      <c r="BQ57" s="254" t="str">
        <f t="shared" si="25"/>
        <v/>
      </c>
      <c r="BR57" s="254"/>
      <c r="BS57" s="254" t="str">
        <f t="shared" si="38"/>
        <v/>
      </c>
      <c r="BT57" s="254" t="str">
        <f t="shared" si="26"/>
        <v/>
      </c>
      <c r="BU57" s="254" t="str">
        <f t="shared" si="27"/>
        <v/>
      </c>
      <c r="BV57" s="254"/>
      <c r="BW57" s="254" t="str">
        <f t="shared" si="39"/>
        <v/>
      </c>
      <c r="BX57" s="254" t="str">
        <f>IF($U57="","",SUM(BS57:BS$114)+SUM(BW57:BW$114))</f>
        <v/>
      </c>
      <c r="BY57" s="55"/>
      <c r="BZ57" s="55"/>
      <c r="CA57" s="55"/>
      <c r="CB57" s="55"/>
      <c r="CC57" s="390" t="str">
        <f t="shared" si="0"/>
        <v/>
      </c>
      <c r="CD57" s="254" t="str">
        <f t="shared" si="40"/>
        <v/>
      </c>
      <c r="CE57" s="254" t="str">
        <f t="shared" si="28"/>
        <v/>
      </c>
      <c r="CF57" s="254" t="str">
        <f t="shared" si="29"/>
        <v/>
      </c>
      <c r="CG57" s="254" t="str">
        <f t="shared" si="41"/>
        <v/>
      </c>
      <c r="CH57" s="254" t="str">
        <f t="shared" si="30"/>
        <v/>
      </c>
      <c r="CI57" s="58" t="str">
        <f t="shared" si="42"/>
        <v/>
      </c>
      <c r="CJ57" s="59" t="str">
        <f t="shared" si="31"/>
        <v/>
      </c>
      <c r="CK57" s="236"/>
      <c r="CL57" s="52" t="str">
        <f t="shared" si="32"/>
        <v/>
      </c>
      <c r="CM57" s="59" t="str">
        <f t="shared" si="48"/>
        <v/>
      </c>
      <c r="CN57" s="59" t="str">
        <f t="shared" si="43"/>
        <v/>
      </c>
      <c r="CO57" s="59" t="str">
        <f t="shared" si="33"/>
        <v/>
      </c>
      <c r="CP57" s="59" t="str">
        <f t="shared" si="44"/>
        <v/>
      </c>
      <c r="CQ57" s="236"/>
      <c r="CR57" s="236"/>
      <c r="CS57" s="236"/>
      <c r="CT57" s="236"/>
      <c r="CU57" s="236"/>
      <c r="CV57" s="236"/>
      <c r="CW57" s="478"/>
      <c r="CX57" s="478"/>
      <c r="CY57" s="478"/>
      <c r="CZ57" s="478"/>
      <c r="DA57" s="478"/>
      <c r="DB57" s="478"/>
      <c r="DC57" s="478"/>
      <c r="DD57" s="478"/>
      <c r="DE57" s="478"/>
      <c r="DF57" s="478"/>
      <c r="DG57" s="478"/>
      <c r="DH57" s="478"/>
      <c r="DI57" s="478"/>
      <c r="DJ57" s="478"/>
      <c r="DK57" s="478"/>
      <c r="DL57" s="478"/>
      <c r="DM57" s="478"/>
      <c r="DN57" s="478"/>
      <c r="DO57" s="478"/>
      <c r="DP57" s="478"/>
      <c r="DQ57" s="478"/>
      <c r="DR57" s="478"/>
      <c r="DS57" s="478"/>
      <c r="DT57" s="478"/>
      <c r="DU57" s="478"/>
      <c r="DV57" s="478"/>
      <c r="DW57" s="478"/>
      <c r="DX57" s="478"/>
      <c r="DY57" s="478"/>
      <c r="DZ57" s="478"/>
      <c r="EA57" s="478"/>
      <c r="EB57" s="478"/>
      <c r="EC57" s="478"/>
      <c r="ED57" s="478"/>
    </row>
    <row r="58" spans="1:134" ht="17.25" thickBot="1">
      <c r="A58" s="305"/>
      <c r="B58" s="373"/>
      <c r="D58" s="461"/>
      <c r="E58" s="462"/>
      <c r="F58" s="463"/>
      <c r="G58" s="464"/>
      <c r="M58" s="149"/>
      <c r="N58" s="278" t="str">
        <f t="shared" si="52"/>
        <v/>
      </c>
      <c r="O58" s="279" t="str">
        <f t="shared" si="53"/>
        <v/>
      </c>
      <c r="P58" s="271" t="str">
        <f t="shared" si="49"/>
        <v/>
      </c>
      <c r="Q58" s="271" t="str">
        <f t="shared" si="50"/>
        <v/>
      </c>
      <c r="R58" s="271" t="str">
        <f t="shared" si="51"/>
        <v/>
      </c>
      <c r="S58" s="400" t="str">
        <f t="shared" si="54"/>
        <v/>
      </c>
      <c r="T58" s="232"/>
      <c r="U58" s="52" t="str">
        <f t="shared" si="45"/>
        <v/>
      </c>
      <c r="V58" s="53" t="str">
        <f>Main_무해지!AC58</f>
        <v/>
      </c>
      <c r="W58" s="56">
        <f>+Main_무해지!AD58</f>
        <v>0</v>
      </c>
      <c r="X58" s="56">
        <v>0</v>
      </c>
      <c r="Y58" s="254" t="str">
        <f t="shared" si="46"/>
        <v/>
      </c>
      <c r="Z58" s="254" t="str">
        <f t="shared" si="1"/>
        <v/>
      </c>
      <c r="AA58" s="54" t="str">
        <f>IF($U58="","",SUM(Z58:Z$114))</f>
        <v/>
      </c>
      <c r="AB58" s="254" t="str">
        <f t="shared" si="35"/>
        <v/>
      </c>
      <c r="AC58" s="254">
        <f t="shared" si="36"/>
        <v>0</v>
      </c>
      <c r="AD58" s="254" t="str">
        <f>Main_무해지!AJ58</f>
        <v/>
      </c>
      <c r="AE58" s="254">
        <f t="shared" si="2"/>
        <v>0</v>
      </c>
      <c r="AF58" s="254" t="str">
        <f t="shared" si="47"/>
        <v/>
      </c>
      <c r="AG58" s="254" t="str">
        <f t="shared" si="3"/>
        <v/>
      </c>
      <c r="AH58" s="54" t="str">
        <f>IF($U58="","",SUM(AG58:AG$114))</f>
        <v/>
      </c>
      <c r="AI58" s="254" t="str">
        <f>Main_무해지!AP58</f>
        <v/>
      </c>
      <c r="AJ58" s="254">
        <f t="shared" si="4"/>
        <v>0</v>
      </c>
      <c r="AK58" s="254" t="str">
        <f t="shared" si="5"/>
        <v/>
      </c>
      <c r="AL58" s="254" t="str">
        <f t="shared" si="6"/>
        <v/>
      </c>
      <c r="AM58" s="57" t="str">
        <f>IF($U58="","",SUM($AN58:$AN$114))</f>
        <v/>
      </c>
      <c r="AN58" s="254" t="str">
        <f t="shared" si="37"/>
        <v/>
      </c>
      <c r="AO58" s="57" t="str">
        <f t="shared" si="7"/>
        <v/>
      </c>
      <c r="AP58" s="53" t="str">
        <f>IF($U58="","",INDEX(#REF!,$U58+1))</f>
        <v/>
      </c>
      <c r="AQ58" s="254">
        <f t="shared" si="8"/>
        <v>0</v>
      </c>
      <c r="AR58" s="254" t="str">
        <f t="shared" si="9"/>
        <v/>
      </c>
      <c r="AS58" s="254" t="str">
        <f t="shared" si="10"/>
        <v/>
      </c>
      <c r="AT58" s="57" t="str">
        <f>IF($U58="","",SUM($AS58:$AS$114))</f>
        <v/>
      </c>
      <c r="AU58" s="53" t="str">
        <f>IF($U58="","",INDEX(#REF!,$U58+1))</f>
        <v/>
      </c>
      <c r="AV58" s="254">
        <f t="shared" si="11"/>
        <v>0</v>
      </c>
      <c r="AW58" s="254" t="str">
        <f t="shared" si="12"/>
        <v/>
      </c>
      <c r="AX58" s="254" t="str">
        <f t="shared" si="13"/>
        <v/>
      </c>
      <c r="AY58" s="57" t="str">
        <f>IF($U58="","",SUM($AX58:$AX$114))</f>
        <v/>
      </c>
      <c r="AZ58" s="53" t="str">
        <f>IF($U58="","",INDEX(#REF!,$U58+1))</f>
        <v/>
      </c>
      <c r="BA58" s="254">
        <f t="shared" si="14"/>
        <v>0</v>
      </c>
      <c r="BB58" s="254" t="str">
        <f t="shared" si="15"/>
        <v/>
      </c>
      <c r="BC58" s="254" t="str">
        <f t="shared" si="16"/>
        <v/>
      </c>
      <c r="BD58" s="57" t="str">
        <f>IF($U58="","",SUM($BC58:$BC$114))</f>
        <v/>
      </c>
      <c r="BE58" s="53" t="str">
        <f>IF($U58="","",INDEX(#REF!,$U58+1))</f>
        <v/>
      </c>
      <c r="BF58" s="254">
        <f t="shared" si="17"/>
        <v>0</v>
      </c>
      <c r="BG58" s="254" t="str">
        <f t="shared" si="18"/>
        <v/>
      </c>
      <c r="BH58" s="254" t="str">
        <f t="shared" si="19"/>
        <v/>
      </c>
      <c r="BI58" s="57" t="str">
        <f>IF($U58="","",SUM($BH58:$BH$114))</f>
        <v/>
      </c>
      <c r="BJ58" s="53" t="str">
        <f>IF($U58="","",INDEX(#REF!,$U58+1))</f>
        <v/>
      </c>
      <c r="BK58" s="254">
        <f t="shared" si="20"/>
        <v>0</v>
      </c>
      <c r="BL58" s="254" t="str">
        <f t="shared" si="21"/>
        <v/>
      </c>
      <c r="BM58" s="254" t="str">
        <f t="shared" si="22"/>
        <v/>
      </c>
      <c r="BN58" s="57" t="str">
        <f>IF($U58="","",SUM($BM58:$BM$114))</f>
        <v/>
      </c>
      <c r="BO58" s="53">
        <f t="shared" si="23"/>
        <v>0</v>
      </c>
      <c r="BP58" s="254" t="str">
        <f t="shared" si="24"/>
        <v/>
      </c>
      <c r="BQ58" s="254" t="str">
        <f t="shared" si="25"/>
        <v/>
      </c>
      <c r="BR58" s="254"/>
      <c r="BS58" s="254" t="str">
        <f t="shared" si="38"/>
        <v/>
      </c>
      <c r="BT58" s="254" t="str">
        <f t="shared" si="26"/>
        <v/>
      </c>
      <c r="BU58" s="254" t="str">
        <f t="shared" si="27"/>
        <v/>
      </c>
      <c r="BV58" s="254"/>
      <c r="BW58" s="254" t="str">
        <f t="shared" si="39"/>
        <v/>
      </c>
      <c r="BX58" s="254" t="str">
        <f>IF($U58="","",SUM(BS58:BS$114)+SUM(BW58:BW$114))</f>
        <v/>
      </c>
      <c r="BY58" s="55"/>
      <c r="BZ58" s="55"/>
      <c r="CA58" s="55"/>
      <c r="CB58" s="55"/>
      <c r="CC58" s="390" t="str">
        <f t="shared" si="0"/>
        <v/>
      </c>
      <c r="CD58" s="254" t="str">
        <f t="shared" si="40"/>
        <v/>
      </c>
      <c r="CE58" s="254" t="str">
        <f t="shared" si="28"/>
        <v/>
      </c>
      <c r="CF58" s="254" t="str">
        <f t="shared" si="29"/>
        <v/>
      </c>
      <c r="CG58" s="254" t="str">
        <f t="shared" si="41"/>
        <v/>
      </c>
      <c r="CH58" s="254" t="str">
        <f t="shared" si="30"/>
        <v/>
      </c>
      <c r="CI58" s="58" t="str">
        <f t="shared" si="42"/>
        <v/>
      </c>
      <c r="CJ58" s="59" t="str">
        <f t="shared" si="31"/>
        <v/>
      </c>
      <c r="CK58" s="236"/>
      <c r="CL58" s="52" t="str">
        <f t="shared" si="32"/>
        <v/>
      </c>
      <c r="CM58" s="59" t="str">
        <f t="shared" si="48"/>
        <v/>
      </c>
      <c r="CN58" s="59" t="str">
        <f t="shared" si="43"/>
        <v/>
      </c>
      <c r="CO58" s="59" t="str">
        <f t="shared" si="33"/>
        <v/>
      </c>
      <c r="CP58" s="59" t="str">
        <f t="shared" si="44"/>
        <v/>
      </c>
      <c r="CQ58" s="236"/>
      <c r="CR58" s="236"/>
      <c r="CS58" s="236"/>
      <c r="CT58" s="236"/>
      <c r="CU58" s="236"/>
      <c r="CV58" s="236"/>
      <c r="CW58" s="478"/>
      <c r="CX58" s="478"/>
      <c r="CY58" s="478"/>
      <c r="CZ58" s="478"/>
      <c r="DA58" s="478"/>
      <c r="DB58" s="478"/>
      <c r="DC58" s="478"/>
      <c r="DD58" s="478"/>
      <c r="DE58" s="478"/>
      <c r="DF58" s="478"/>
      <c r="DG58" s="478"/>
      <c r="DH58" s="478"/>
      <c r="DI58" s="478"/>
      <c r="DJ58" s="478"/>
      <c r="DK58" s="478"/>
      <c r="DL58" s="478"/>
      <c r="DM58" s="478"/>
      <c r="DN58" s="478"/>
      <c r="DO58" s="478"/>
      <c r="DP58" s="478"/>
      <c r="DQ58" s="478"/>
      <c r="DR58" s="478"/>
      <c r="DS58" s="478"/>
      <c r="DT58" s="478"/>
      <c r="DU58" s="478"/>
      <c r="DV58" s="478"/>
      <c r="DW58" s="478"/>
      <c r="DX58" s="478"/>
      <c r="DY58" s="478"/>
      <c r="DZ58" s="478"/>
      <c r="EA58" s="478"/>
      <c r="EB58" s="478"/>
      <c r="EC58" s="478"/>
      <c r="ED58" s="478"/>
    </row>
    <row r="59" spans="1:134">
      <c r="A59" s="305"/>
      <c r="B59" s="373"/>
      <c r="M59" s="151"/>
      <c r="N59" s="278" t="str">
        <f t="shared" si="52"/>
        <v/>
      </c>
      <c r="O59" s="279" t="str">
        <f t="shared" si="53"/>
        <v/>
      </c>
      <c r="P59" s="271" t="str">
        <f t="shared" si="49"/>
        <v/>
      </c>
      <c r="Q59" s="271" t="str">
        <f t="shared" si="50"/>
        <v/>
      </c>
      <c r="R59" s="271" t="str">
        <f t="shared" si="51"/>
        <v/>
      </c>
      <c r="S59" s="400" t="str">
        <f t="shared" si="54"/>
        <v/>
      </c>
      <c r="T59" s="232"/>
      <c r="U59" s="60" t="str">
        <f t="shared" si="45"/>
        <v/>
      </c>
      <c r="V59" s="61" t="str">
        <f>Main_무해지!AC59</f>
        <v/>
      </c>
      <c r="W59" s="64">
        <f>+Main_무해지!AD59</f>
        <v>0</v>
      </c>
      <c r="X59" s="64">
        <v>0</v>
      </c>
      <c r="Y59" s="255" t="str">
        <f t="shared" si="46"/>
        <v/>
      </c>
      <c r="Z59" s="255" t="str">
        <f t="shared" si="1"/>
        <v/>
      </c>
      <c r="AA59" s="62" t="str">
        <f>IF($U59="","",SUM(Z59:Z$114))</f>
        <v/>
      </c>
      <c r="AB59" s="255" t="str">
        <f t="shared" si="35"/>
        <v/>
      </c>
      <c r="AC59" s="254">
        <f t="shared" si="36"/>
        <v>0</v>
      </c>
      <c r="AD59" s="254" t="str">
        <f>Main_무해지!AJ59</f>
        <v/>
      </c>
      <c r="AE59" s="255">
        <f t="shared" si="2"/>
        <v>0</v>
      </c>
      <c r="AF59" s="255" t="str">
        <f t="shared" si="47"/>
        <v/>
      </c>
      <c r="AG59" s="255" t="str">
        <f t="shared" si="3"/>
        <v/>
      </c>
      <c r="AH59" s="62" t="str">
        <f>IF($U59="","",SUM(AG59:AG$114))</f>
        <v/>
      </c>
      <c r="AI59" s="255" t="str">
        <f>Main_무해지!AP59</f>
        <v/>
      </c>
      <c r="AJ59" s="255">
        <f t="shared" si="4"/>
        <v>0</v>
      </c>
      <c r="AK59" s="255" t="str">
        <f t="shared" si="5"/>
        <v/>
      </c>
      <c r="AL59" s="255" t="str">
        <f t="shared" si="6"/>
        <v/>
      </c>
      <c r="AM59" s="65" t="str">
        <f>IF($U59="","",SUM($AN59:$AN$114))</f>
        <v/>
      </c>
      <c r="AN59" s="255" t="str">
        <f t="shared" si="37"/>
        <v/>
      </c>
      <c r="AO59" s="65" t="str">
        <f t="shared" si="7"/>
        <v/>
      </c>
      <c r="AP59" s="61" t="str">
        <f>IF($U59="","",INDEX(#REF!,$U59+1))</f>
        <v/>
      </c>
      <c r="AQ59" s="255">
        <f t="shared" si="8"/>
        <v>0</v>
      </c>
      <c r="AR59" s="255" t="str">
        <f t="shared" si="9"/>
        <v/>
      </c>
      <c r="AS59" s="255" t="str">
        <f t="shared" si="10"/>
        <v/>
      </c>
      <c r="AT59" s="65" t="str">
        <f>IF($U59="","",SUM($AS59:$AS$114))</f>
        <v/>
      </c>
      <c r="AU59" s="61" t="str">
        <f>IF($U59="","",INDEX(#REF!,$U59+1))</f>
        <v/>
      </c>
      <c r="AV59" s="255">
        <f t="shared" si="11"/>
        <v>0</v>
      </c>
      <c r="AW59" s="255" t="str">
        <f t="shared" si="12"/>
        <v/>
      </c>
      <c r="AX59" s="255" t="str">
        <f t="shared" si="13"/>
        <v/>
      </c>
      <c r="AY59" s="65" t="str">
        <f>IF($U59="","",SUM($AX59:$AX$114))</f>
        <v/>
      </c>
      <c r="AZ59" s="61" t="str">
        <f>IF($U59="","",INDEX(#REF!,$U59+1))</f>
        <v/>
      </c>
      <c r="BA59" s="255">
        <f t="shared" si="14"/>
        <v>0</v>
      </c>
      <c r="BB59" s="255" t="str">
        <f t="shared" si="15"/>
        <v/>
      </c>
      <c r="BC59" s="255" t="str">
        <f t="shared" si="16"/>
        <v/>
      </c>
      <c r="BD59" s="65" t="str">
        <f>IF($U59="","",SUM($BC59:$BC$114))</f>
        <v/>
      </c>
      <c r="BE59" s="61" t="str">
        <f>IF($U59="","",INDEX(#REF!,$U59+1))</f>
        <v/>
      </c>
      <c r="BF59" s="255">
        <f t="shared" si="17"/>
        <v>0</v>
      </c>
      <c r="BG59" s="255" t="str">
        <f t="shared" si="18"/>
        <v/>
      </c>
      <c r="BH59" s="255" t="str">
        <f t="shared" si="19"/>
        <v/>
      </c>
      <c r="BI59" s="65" t="str">
        <f>IF($U59="","",SUM($BH59:$BH$114))</f>
        <v/>
      </c>
      <c r="BJ59" s="61" t="str">
        <f>IF($U59="","",INDEX(#REF!,$U59+1))</f>
        <v/>
      </c>
      <c r="BK59" s="255">
        <f t="shared" si="20"/>
        <v>0</v>
      </c>
      <c r="BL59" s="255" t="str">
        <f t="shared" si="21"/>
        <v/>
      </c>
      <c r="BM59" s="255" t="str">
        <f t="shared" si="22"/>
        <v/>
      </c>
      <c r="BN59" s="65" t="str">
        <f>IF($U59="","",SUM($BM59:$BM$114))</f>
        <v/>
      </c>
      <c r="BO59" s="61">
        <f t="shared" si="23"/>
        <v>0</v>
      </c>
      <c r="BP59" s="255" t="str">
        <f t="shared" si="24"/>
        <v/>
      </c>
      <c r="BQ59" s="255" t="str">
        <f t="shared" si="25"/>
        <v/>
      </c>
      <c r="BR59" s="255"/>
      <c r="BS59" s="255" t="str">
        <f t="shared" si="38"/>
        <v/>
      </c>
      <c r="BT59" s="255" t="str">
        <f t="shared" si="26"/>
        <v/>
      </c>
      <c r="BU59" s="255" t="str">
        <f t="shared" si="27"/>
        <v/>
      </c>
      <c r="BV59" s="255"/>
      <c r="BW59" s="255" t="str">
        <f t="shared" si="39"/>
        <v/>
      </c>
      <c r="BX59" s="255" t="str">
        <f>IF($U59="","",SUM(BS59:BS$114)+SUM(BW59:BW$114))</f>
        <v/>
      </c>
      <c r="BY59" s="63"/>
      <c r="BZ59" s="63"/>
      <c r="CA59" s="63"/>
      <c r="CB59" s="63"/>
      <c r="CC59" s="391" t="str">
        <f t="shared" si="0"/>
        <v/>
      </c>
      <c r="CD59" s="255" t="str">
        <f t="shared" si="40"/>
        <v/>
      </c>
      <c r="CE59" s="255" t="str">
        <f t="shared" si="28"/>
        <v/>
      </c>
      <c r="CF59" s="255" t="str">
        <f t="shared" si="29"/>
        <v/>
      </c>
      <c r="CG59" s="255" t="str">
        <f t="shared" si="41"/>
        <v/>
      </c>
      <c r="CH59" s="255" t="str">
        <f t="shared" si="30"/>
        <v/>
      </c>
      <c r="CI59" s="66" t="str">
        <f t="shared" si="42"/>
        <v/>
      </c>
      <c r="CJ59" s="67" t="str">
        <f t="shared" si="31"/>
        <v/>
      </c>
      <c r="CK59" s="237"/>
      <c r="CL59" s="60" t="str">
        <f t="shared" si="32"/>
        <v/>
      </c>
      <c r="CM59" s="67" t="str">
        <f t="shared" si="48"/>
        <v/>
      </c>
      <c r="CN59" s="67" t="str">
        <f t="shared" si="43"/>
        <v/>
      </c>
      <c r="CO59" s="67" t="str">
        <f t="shared" si="33"/>
        <v/>
      </c>
      <c r="CP59" s="67" t="str">
        <f t="shared" si="44"/>
        <v/>
      </c>
      <c r="CQ59" s="237"/>
      <c r="CR59" s="237"/>
      <c r="CS59" s="237"/>
      <c r="CT59" s="237"/>
      <c r="CU59" s="237"/>
      <c r="CV59" s="237"/>
      <c r="CW59" s="478"/>
      <c r="CX59" s="478"/>
      <c r="CY59" s="478"/>
      <c r="CZ59" s="478"/>
      <c r="DA59" s="478"/>
      <c r="DB59" s="478"/>
      <c r="DC59" s="478"/>
      <c r="DD59" s="478"/>
      <c r="DE59" s="478"/>
      <c r="DF59" s="478"/>
      <c r="DG59" s="478"/>
      <c r="DH59" s="478"/>
      <c r="DI59" s="478"/>
      <c r="DJ59" s="478"/>
      <c r="DK59" s="478"/>
      <c r="DL59" s="478"/>
      <c r="DM59" s="478"/>
      <c r="DN59" s="478"/>
      <c r="DO59" s="478"/>
      <c r="DP59" s="478"/>
      <c r="DQ59" s="478"/>
      <c r="DR59" s="478"/>
      <c r="DS59" s="478"/>
      <c r="DT59" s="478"/>
      <c r="DU59" s="478"/>
      <c r="DV59" s="478"/>
      <c r="DW59" s="478"/>
      <c r="DX59" s="478"/>
      <c r="DY59" s="478"/>
      <c r="DZ59" s="478"/>
      <c r="EA59" s="478"/>
      <c r="EB59" s="478"/>
      <c r="EC59" s="478"/>
      <c r="ED59" s="478"/>
    </row>
    <row r="60" spans="1:134" ht="17.25" thickBot="1">
      <c r="A60" s="305"/>
      <c r="M60" s="151"/>
      <c r="N60" s="278" t="str">
        <f t="shared" si="52"/>
        <v/>
      </c>
      <c r="O60" s="279" t="str">
        <f t="shared" si="53"/>
        <v/>
      </c>
      <c r="P60" s="271" t="str">
        <f t="shared" si="49"/>
        <v/>
      </c>
      <c r="Q60" s="271" t="str">
        <f t="shared" si="50"/>
        <v/>
      </c>
      <c r="R60" s="271" t="str">
        <f t="shared" si="51"/>
        <v/>
      </c>
      <c r="S60" s="400" t="str">
        <f t="shared" si="54"/>
        <v/>
      </c>
      <c r="T60" s="232"/>
      <c r="U60" s="759" t="str">
        <f t="shared" si="45"/>
        <v/>
      </c>
      <c r="V60" s="761" t="str">
        <f>Main_무해지!AC60</f>
        <v/>
      </c>
      <c r="W60" s="639">
        <f>+Main_무해지!AD60</f>
        <v>0</v>
      </c>
      <c r="X60" s="639">
        <v>0</v>
      </c>
      <c r="Y60" s="409" t="str">
        <f t="shared" si="46"/>
        <v/>
      </c>
      <c r="Z60" s="409" t="str">
        <f t="shared" si="1"/>
        <v/>
      </c>
      <c r="AA60" s="760" t="str">
        <f>IF($U60="","",SUM(Z60:Z$114))</f>
        <v/>
      </c>
      <c r="AB60" s="409" t="str">
        <f t="shared" si="35"/>
        <v/>
      </c>
      <c r="AC60" s="254">
        <f t="shared" si="36"/>
        <v>0</v>
      </c>
      <c r="AD60" s="254" t="str">
        <f>Main_무해지!AJ60</f>
        <v/>
      </c>
      <c r="AE60" s="409">
        <f t="shared" si="2"/>
        <v>0</v>
      </c>
      <c r="AF60" s="409" t="str">
        <f t="shared" si="47"/>
        <v/>
      </c>
      <c r="AG60" s="409" t="str">
        <f t="shared" si="3"/>
        <v/>
      </c>
      <c r="AH60" s="760" t="str">
        <f>IF($U60="","",SUM(AG60:AG$114))</f>
        <v/>
      </c>
      <c r="AI60" s="409" t="str">
        <f>Main_무해지!AP60</f>
        <v/>
      </c>
      <c r="AJ60" s="409">
        <f t="shared" si="4"/>
        <v>0</v>
      </c>
      <c r="AK60" s="409" t="str">
        <f t="shared" si="5"/>
        <v/>
      </c>
      <c r="AL60" s="409" t="str">
        <f t="shared" si="6"/>
        <v/>
      </c>
      <c r="AM60" s="762" t="str">
        <f>IF($U60="","",SUM($AN60:$AN$114))</f>
        <v/>
      </c>
      <c r="AN60" s="409" t="str">
        <f t="shared" si="37"/>
        <v/>
      </c>
      <c r="AO60" s="762" t="str">
        <f t="shared" si="7"/>
        <v/>
      </c>
      <c r="AP60" s="761" t="str">
        <f>IF($U60="","",INDEX(#REF!,$U60+1))</f>
        <v/>
      </c>
      <c r="AQ60" s="409">
        <f t="shared" si="8"/>
        <v>0</v>
      </c>
      <c r="AR60" s="409" t="str">
        <f t="shared" si="9"/>
        <v/>
      </c>
      <c r="AS60" s="409" t="str">
        <f t="shared" si="10"/>
        <v/>
      </c>
      <c r="AT60" s="762" t="str">
        <f>IF($U60="","",SUM($AS60:$AS$114))</f>
        <v/>
      </c>
      <c r="AU60" s="761" t="str">
        <f>IF($U60="","",INDEX(#REF!,$U60+1))</f>
        <v/>
      </c>
      <c r="AV60" s="409">
        <f t="shared" si="11"/>
        <v>0</v>
      </c>
      <c r="AW60" s="409" t="str">
        <f t="shared" si="12"/>
        <v/>
      </c>
      <c r="AX60" s="409" t="str">
        <f t="shared" si="13"/>
        <v/>
      </c>
      <c r="AY60" s="762" t="str">
        <f>IF($U60="","",SUM($AX60:$AX$114))</f>
        <v/>
      </c>
      <c r="AZ60" s="761" t="str">
        <f>IF($U60="","",INDEX(#REF!,$U60+1))</f>
        <v/>
      </c>
      <c r="BA60" s="409">
        <f t="shared" si="14"/>
        <v>0</v>
      </c>
      <c r="BB60" s="409" t="str">
        <f t="shared" si="15"/>
        <v/>
      </c>
      <c r="BC60" s="409" t="str">
        <f t="shared" si="16"/>
        <v/>
      </c>
      <c r="BD60" s="762" t="str">
        <f>IF($U60="","",SUM($BC60:$BC$114))</f>
        <v/>
      </c>
      <c r="BE60" s="761" t="str">
        <f>IF($U60="","",INDEX(#REF!,$U60+1))</f>
        <v/>
      </c>
      <c r="BF60" s="409">
        <f t="shared" si="17"/>
        <v>0</v>
      </c>
      <c r="BG60" s="409" t="str">
        <f t="shared" si="18"/>
        <v/>
      </c>
      <c r="BH60" s="409" t="str">
        <f t="shared" si="19"/>
        <v/>
      </c>
      <c r="BI60" s="762" t="str">
        <f>IF($U60="","",SUM($BH60:$BH$114))</f>
        <v/>
      </c>
      <c r="BJ60" s="761" t="str">
        <f>IF($U60="","",INDEX(#REF!,$U60+1))</f>
        <v/>
      </c>
      <c r="BK60" s="409">
        <f t="shared" si="20"/>
        <v>0</v>
      </c>
      <c r="BL60" s="409" t="str">
        <f t="shared" si="21"/>
        <v/>
      </c>
      <c r="BM60" s="409" t="str">
        <f t="shared" si="22"/>
        <v/>
      </c>
      <c r="BN60" s="762" t="str">
        <f>IF($U60="","",SUM($BM60:$BM$114))</f>
        <v/>
      </c>
      <c r="BO60" s="761">
        <f t="shared" si="23"/>
        <v>0</v>
      </c>
      <c r="BP60" s="409" t="str">
        <f t="shared" si="24"/>
        <v/>
      </c>
      <c r="BQ60" s="409" t="str">
        <f t="shared" si="25"/>
        <v/>
      </c>
      <c r="BR60" s="409"/>
      <c r="BS60" s="409" t="str">
        <f t="shared" si="38"/>
        <v/>
      </c>
      <c r="BT60" s="409" t="str">
        <f t="shared" si="26"/>
        <v/>
      </c>
      <c r="BU60" s="409" t="str">
        <f t="shared" si="27"/>
        <v/>
      </c>
      <c r="BV60" s="409"/>
      <c r="BW60" s="409" t="str">
        <f t="shared" si="39"/>
        <v/>
      </c>
      <c r="BX60" s="409" t="str">
        <f>IF($U60="","",SUM(BS60:BS$114)+SUM(BW60:BW$114))</f>
        <v/>
      </c>
      <c r="BY60" s="763"/>
      <c r="BZ60" s="763"/>
      <c r="CA60" s="763"/>
      <c r="CB60" s="763"/>
      <c r="CC60" s="764" t="str">
        <f t="shared" si="0"/>
        <v/>
      </c>
      <c r="CD60" s="409" t="str">
        <f t="shared" si="40"/>
        <v/>
      </c>
      <c r="CE60" s="409" t="str">
        <f t="shared" si="28"/>
        <v/>
      </c>
      <c r="CF60" s="409" t="str">
        <f t="shared" si="29"/>
        <v/>
      </c>
      <c r="CG60" s="409" t="str">
        <f t="shared" si="41"/>
        <v/>
      </c>
      <c r="CH60" s="409" t="str">
        <f t="shared" si="30"/>
        <v/>
      </c>
      <c r="CI60" s="765" t="str">
        <f t="shared" si="42"/>
        <v/>
      </c>
      <c r="CJ60" s="766" t="str">
        <f t="shared" si="31"/>
        <v/>
      </c>
      <c r="CK60" s="414"/>
      <c r="CL60" s="759" t="str">
        <f t="shared" si="32"/>
        <v/>
      </c>
      <c r="CM60" s="766" t="str">
        <f t="shared" si="48"/>
        <v/>
      </c>
      <c r="CN60" s="766" t="str">
        <f t="shared" si="43"/>
        <v/>
      </c>
      <c r="CO60" s="766" t="str">
        <f t="shared" si="33"/>
        <v/>
      </c>
      <c r="CP60" s="766" t="str">
        <f t="shared" si="44"/>
        <v/>
      </c>
      <c r="CQ60" s="414"/>
      <c r="CR60" s="414"/>
      <c r="CS60" s="414"/>
      <c r="CT60" s="414"/>
      <c r="CU60" s="414"/>
      <c r="CV60" s="414"/>
      <c r="CW60" s="478"/>
      <c r="CX60" s="478"/>
      <c r="CY60" s="478"/>
      <c r="CZ60" s="478"/>
      <c r="DA60" s="478"/>
      <c r="DB60" s="478"/>
      <c r="DC60" s="478"/>
      <c r="DD60" s="478"/>
      <c r="DE60" s="478"/>
      <c r="DF60" s="478"/>
      <c r="DG60" s="478"/>
      <c r="DH60" s="478"/>
      <c r="DI60" s="478"/>
      <c r="DJ60" s="478"/>
      <c r="DK60" s="478"/>
      <c r="DL60" s="478"/>
      <c r="DM60" s="478"/>
      <c r="DN60" s="478"/>
      <c r="DO60" s="478"/>
      <c r="DP60" s="478"/>
      <c r="DQ60" s="478"/>
      <c r="DR60" s="478"/>
      <c r="DS60" s="478"/>
      <c r="DT60" s="478"/>
      <c r="DU60" s="478"/>
      <c r="DV60" s="478"/>
      <c r="DW60" s="478"/>
      <c r="DX60" s="478"/>
      <c r="DY60" s="478"/>
      <c r="DZ60" s="478"/>
      <c r="EA60" s="478"/>
      <c r="EB60" s="478"/>
      <c r="EC60" s="478"/>
      <c r="ED60" s="478"/>
    </row>
    <row r="61" spans="1:134">
      <c r="A61" s="305"/>
      <c r="D61" s="828" t="s">
        <v>101</v>
      </c>
      <c r="E61" s="829"/>
      <c r="F61" s="828" t="s">
        <v>245</v>
      </c>
      <c r="G61" s="830"/>
      <c r="M61" s="151"/>
      <c r="N61" s="280" t="str">
        <f t="shared" si="52"/>
        <v/>
      </c>
      <c r="O61" s="281" t="str">
        <f t="shared" si="53"/>
        <v/>
      </c>
      <c r="P61" s="282" t="str">
        <f t="shared" si="49"/>
        <v/>
      </c>
      <c r="Q61" s="282" t="str">
        <f t="shared" si="50"/>
        <v/>
      </c>
      <c r="R61" s="282" t="str">
        <f t="shared" si="51"/>
        <v/>
      </c>
      <c r="S61" s="402" t="str">
        <f t="shared" si="54"/>
        <v/>
      </c>
      <c r="T61" s="232"/>
      <c r="U61" s="101" t="str">
        <f t="shared" si="45"/>
        <v/>
      </c>
      <c r="V61" s="285" t="str">
        <f>Main_무해지!AC61</f>
        <v/>
      </c>
      <c r="W61" s="308">
        <f>+Main_무해지!AD61</f>
        <v>0</v>
      </c>
      <c r="X61" s="308">
        <v>0</v>
      </c>
      <c r="Y61" s="258" t="str">
        <f t="shared" si="46"/>
        <v/>
      </c>
      <c r="Z61" s="258" t="str">
        <f t="shared" si="1"/>
        <v/>
      </c>
      <c r="AA61" s="102" t="str">
        <f>IF($U61="","",SUM(Z61:Z$114))</f>
        <v/>
      </c>
      <c r="AB61" s="258" t="str">
        <f t="shared" si="35"/>
        <v/>
      </c>
      <c r="AC61" s="254">
        <f t="shared" si="36"/>
        <v>0</v>
      </c>
      <c r="AD61" s="254" t="str">
        <f>Main_무해지!AJ61</f>
        <v/>
      </c>
      <c r="AE61" s="258">
        <f t="shared" si="2"/>
        <v>0</v>
      </c>
      <c r="AF61" s="258" t="str">
        <f t="shared" si="47"/>
        <v/>
      </c>
      <c r="AG61" s="258" t="str">
        <f t="shared" si="3"/>
        <v/>
      </c>
      <c r="AH61" s="102" t="str">
        <f>IF($U61="","",SUM(AG61:AG$114))</f>
        <v/>
      </c>
      <c r="AI61" s="258" t="str">
        <f>Main_무해지!AP61</f>
        <v/>
      </c>
      <c r="AJ61" s="258">
        <f t="shared" si="4"/>
        <v>0</v>
      </c>
      <c r="AK61" s="258" t="str">
        <f t="shared" si="5"/>
        <v/>
      </c>
      <c r="AL61" s="258" t="str">
        <f t="shared" si="6"/>
        <v/>
      </c>
      <c r="AM61" s="315" t="str">
        <f>IF($U61="","",SUM($AN61:$AN$114))</f>
        <v/>
      </c>
      <c r="AN61" s="258" t="str">
        <f t="shared" si="37"/>
        <v/>
      </c>
      <c r="AO61" s="315" t="str">
        <f t="shared" si="7"/>
        <v/>
      </c>
      <c r="AP61" s="285" t="str">
        <f>IF($U61="","",INDEX(#REF!,$U61+1))</f>
        <v/>
      </c>
      <c r="AQ61" s="258">
        <f t="shared" si="8"/>
        <v>0</v>
      </c>
      <c r="AR61" s="258" t="str">
        <f t="shared" si="9"/>
        <v/>
      </c>
      <c r="AS61" s="258" t="str">
        <f t="shared" si="10"/>
        <v/>
      </c>
      <c r="AT61" s="315" t="str">
        <f>IF($U61="","",SUM($AS61:$AS$114))</f>
        <v/>
      </c>
      <c r="AU61" s="285" t="str">
        <f>IF($U61="","",INDEX(#REF!,$U61+1))</f>
        <v/>
      </c>
      <c r="AV61" s="258">
        <f t="shared" si="11"/>
        <v>0</v>
      </c>
      <c r="AW61" s="258" t="str">
        <f t="shared" si="12"/>
        <v/>
      </c>
      <c r="AX61" s="258" t="str">
        <f t="shared" si="13"/>
        <v/>
      </c>
      <c r="AY61" s="315" t="str">
        <f>IF($U61="","",SUM($AX61:$AX$114))</f>
        <v/>
      </c>
      <c r="AZ61" s="285" t="str">
        <f>IF($U61="","",INDEX(#REF!,$U61+1))</f>
        <v/>
      </c>
      <c r="BA61" s="258">
        <f t="shared" si="14"/>
        <v>0</v>
      </c>
      <c r="BB61" s="258" t="str">
        <f t="shared" si="15"/>
        <v/>
      </c>
      <c r="BC61" s="258" t="str">
        <f t="shared" si="16"/>
        <v/>
      </c>
      <c r="BD61" s="315" t="str">
        <f>IF($U61="","",SUM($BC61:$BC$114))</f>
        <v/>
      </c>
      <c r="BE61" s="285" t="str">
        <f>IF($U61="","",INDEX(#REF!,$U61+1))</f>
        <v/>
      </c>
      <c r="BF61" s="258">
        <f t="shared" si="17"/>
        <v>0</v>
      </c>
      <c r="BG61" s="258" t="str">
        <f t="shared" si="18"/>
        <v/>
      </c>
      <c r="BH61" s="258" t="str">
        <f t="shared" si="19"/>
        <v/>
      </c>
      <c r="BI61" s="315" t="str">
        <f>IF($U61="","",SUM($BH61:$BH$114))</f>
        <v/>
      </c>
      <c r="BJ61" s="285" t="str">
        <f>IF($U61="","",INDEX(#REF!,$U61+1))</f>
        <v/>
      </c>
      <c r="BK61" s="258">
        <f t="shared" si="20"/>
        <v>0</v>
      </c>
      <c r="BL61" s="258" t="str">
        <f t="shared" si="21"/>
        <v/>
      </c>
      <c r="BM61" s="258" t="str">
        <f t="shared" si="22"/>
        <v/>
      </c>
      <c r="BN61" s="315" t="str">
        <f>IF($U61="","",SUM($BM61:$BM$114))</f>
        <v/>
      </c>
      <c r="BO61" s="285">
        <f t="shared" si="23"/>
        <v>0</v>
      </c>
      <c r="BP61" s="258" t="str">
        <f t="shared" si="24"/>
        <v/>
      </c>
      <c r="BQ61" s="258" t="str">
        <f t="shared" si="25"/>
        <v/>
      </c>
      <c r="BR61" s="258"/>
      <c r="BS61" s="258" t="str">
        <f t="shared" si="38"/>
        <v/>
      </c>
      <c r="BT61" s="258" t="str">
        <f t="shared" si="26"/>
        <v/>
      </c>
      <c r="BU61" s="258" t="str">
        <f t="shared" si="27"/>
        <v/>
      </c>
      <c r="BV61" s="258"/>
      <c r="BW61" s="258" t="str">
        <f t="shared" si="39"/>
        <v/>
      </c>
      <c r="BX61" s="258" t="str">
        <f>IF($U61="","",SUM(BS61:BS$114)+SUM(BW61:BW$114))</f>
        <v/>
      </c>
      <c r="BY61" s="103"/>
      <c r="BZ61" s="103"/>
      <c r="CA61" s="103"/>
      <c r="CB61" s="103"/>
      <c r="CC61" s="394" t="str">
        <f t="shared" si="0"/>
        <v/>
      </c>
      <c r="CD61" s="258" t="str">
        <f t="shared" si="40"/>
        <v/>
      </c>
      <c r="CE61" s="258" t="str">
        <f t="shared" si="28"/>
        <v/>
      </c>
      <c r="CF61" s="258" t="str">
        <f t="shared" si="29"/>
        <v/>
      </c>
      <c r="CG61" s="258" t="str">
        <f t="shared" si="41"/>
        <v/>
      </c>
      <c r="CH61" s="258" t="str">
        <f t="shared" si="30"/>
        <v/>
      </c>
      <c r="CI61" s="104" t="str">
        <f t="shared" si="42"/>
        <v/>
      </c>
      <c r="CJ61" s="105" t="str">
        <f t="shared" si="31"/>
        <v/>
      </c>
      <c r="CK61" s="240"/>
      <c r="CL61" s="101" t="str">
        <f t="shared" si="32"/>
        <v/>
      </c>
      <c r="CM61" s="105" t="str">
        <f t="shared" si="48"/>
        <v/>
      </c>
      <c r="CN61" s="105" t="str">
        <f t="shared" si="43"/>
        <v/>
      </c>
      <c r="CO61" s="105" t="str">
        <f t="shared" si="33"/>
        <v/>
      </c>
      <c r="CP61" s="105" t="str">
        <f t="shared" si="44"/>
        <v/>
      </c>
      <c r="CQ61" s="240"/>
      <c r="CR61" s="240"/>
      <c r="CS61" s="240"/>
      <c r="CT61" s="240"/>
      <c r="CU61" s="240"/>
      <c r="CV61" s="240"/>
      <c r="CW61" s="478"/>
      <c r="CX61" s="478"/>
      <c r="CY61" s="478"/>
      <c r="CZ61" s="478"/>
      <c r="DA61" s="478"/>
      <c r="DB61" s="478"/>
      <c r="DC61" s="478"/>
      <c r="DD61" s="478"/>
      <c r="DE61" s="478"/>
      <c r="DF61" s="478"/>
      <c r="DG61" s="478"/>
      <c r="DH61" s="478"/>
      <c r="DI61" s="478"/>
      <c r="DJ61" s="478"/>
      <c r="DK61" s="478"/>
      <c r="DL61" s="478"/>
      <c r="DM61" s="478"/>
      <c r="DN61" s="478"/>
      <c r="DO61" s="478"/>
      <c r="DP61" s="478"/>
      <c r="DQ61" s="478"/>
      <c r="DR61" s="478"/>
      <c r="DS61" s="478"/>
      <c r="DT61" s="478"/>
      <c r="DU61" s="478"/>
      <c r="DV61" s="478"/>
      <c r="DW61" s="478"/>
      <c r="DX61" s="478"/>
      <c r="DY61" s="478"/>
      <c r="DZ61" s="478"/>
      <c r="EA61" s="478"/>
      <c r="EB61" s="478"/>
      <c r="EC61" s="478"/>
      <c r="ED61" s="478"/>
    </row>
    <row r="62" spans="1:134">
      <c r="A62" s="305"/>
      <c r="D62" s="453" t="s">
        <v>240</v>
      </c>
      <c r="E62" s="454" t="s">
        <v>241</v>
      </c>
      <c r="F62" s="453" t="s">
        <v>246</v>
      </c>
      <c r="G62" s="455" t="s">
        <v>247</v>
      </c>
      <c r="M62" s="151"/>
      <c r="N62" s="275" t="str">
        <f t="shared" si="52"/>
        <v/>
      </c>
      <c r="O62" s="276" t="str">
        <f t="shared" si="53"/>
        <v/>
      </c>
      <c r="P62" s="277" t="str">
        <f t="shared" si="49"/>
        <v/>
      </c>
      <c r="Q62" s="277" t="str">
        <f t="shared" si="50"/>
        <v/>
      </c>
      <c r="R62" s="277" t="str">
        <f t="shared" si="51"/>
        <v/>
      </c>
      <c r="S62" s="401" t="str">
        <f t="shared" si="54"/>
        <v/>
      </c>
      <c r="T62" s="232"/>
      <c r="U62" s="101" t="str">
        <f t="shared" si="45"/>
        <v/>
      </c>
      <c r="V62" s="285" t="str">
        <f>Main_무해지!AC62</f>
        <v/>
      </c>
      <c r="W62" s="308">
        <f>+Main_무해지!AD62</f>
        <v>0</v>
      </c>
      <c r="X62" s="308">
        <v>0</v>
      </c>
      <c r="Y62" s="258" t="str">
        <f t="shared" si="46"/>
        <v/>
      </c>
      <c r="Z62" s="258" t="str">
        <f t="shared" si="1"/>
        <v/>
      </c>
      <c r="AA62" s="102" t="str">
        <f>IF($U62="","",SUM(Z62:Z$114))</f>
        <v/>
      </c>
      <c r="AB62" s="258" t="str">
        <f t="shared" si="35"/>
        <v/>
      </c>
      <c r="AC62" s="254">
        <f t="shared" si="36"/>
        <v>0</v>
      </c>
      <c r="AD62" s="254" t="str">
        <f>Main_무해지!AJ62</f>
        <v/>
      </c>
      <c r="AE62" s="258">
        <f t="shared" si="2"/>
        <v>0</v>
      </c>
      <c r="AF62" s="258" t="str">
        <f t="shared" si="47"/>
        <v/>
      </c>
      <c r="AG62" s="258" t="str">
        <f t="shared" si="3"/>
        <v/>
      </c>
      <c r="AH62" s="102" t="str">
        <f>IF($U62="","",SUM(AG62:AG$114))</f>
        <v/>
      </c>
      <c r="AI62" s="258" t="str">
        <f>Main_무해지!AP62</f>
        <v/>
      </c>
      <c r="AJ62" s="258">
        <f t="shared" si="4"/>
        <v>0</v>
      </c>
      <c r="AK62" s="258" t="str">
        <f t="shared" si="5"/>
        <v/>
      </c>
      <c r="AL62" s="258" t="str">
        <f t="shared" si="6"/>
        <v/>
      </c>
      <c r="AM62" s="315" t="str">
        <f>IF($U62="","",SUM($AN62:$AN$114))</f>
        <v/>
      </c>
      <c r="AN62" s="258" t="str">
        <f t="shared" si="37"/>
        <v/>
      </c>
      <c r="AO62" s="315" t="str">
        <f t="shared" si="7"/>
        <v/>
      </c>
      <c r="AP62" s="285" t="str">
        <f>IF($U62="","",INDEX(#REF!,$U62+1))</f>
        <v/>
      </c>
      <c r="AQ62" s="258">
        <f t="shared" si="8"/>
        <v>0</v>
      </c>
      <c r="AR62" s="258" t="str">
        <f t="shared" si="9"/>
        <v/>
      </c>
      <c r="AS62" s="258" t="str">
        <f t="shared" si="10"/>
        <v/>
      </c>
      <c r="AT62" s="315" t="str">
        <f>IF($U62="","",SUM($AS62:$AS$114))</f>
        <v/>
      </c>
      <c r="AU62" s="285" t="str">
        <f>IF($U62="","",INDEX(#REF!,$U62+1))</f>
        <v/>
      </c>
      <c r="AV62" s="258">
        <f t="shared" si="11"/>
        <v>0</v>
      </c>
      <c r="AW62" s="258" t="str">
        <f t="shared" si="12"/>
        <v/>
      </c>
      <c r="AX62" s="258" t="str">
        <f t="shared" si="13"/>
        <v/>
      </c>
      <c r="AY62" s="315" t="str">
        <f>IF($U62="","",SUM($AX62:$AX$114))</f>
        <v/>
      </c>
      <c r="AZ62" s="285" t="str">
        <f>IF($U62="","",INDEX(#REF!,$U62+1))</f>
        <v/>
      </c>
      <c r="BA62" s="258">
        <f t="shared" si="14"/>
        <v>0</v>
      </c>
      <c r="BB62" s="258" t="str">
        <f t="shared" si="15"/>
        <v/>
      </c>
      <c r="BC62" s="258" t="str">
        <f t="shared" si="16"/>
        <v/>
      </c>
      <c r="BD62" s="315" t="str">
        <f>IF($U62="","",SUM($BC62:$BC$114))</f>
        <v/>
      </c>
      <c r="BE62" s="285" t="str">
        <f>IF($U62="","",INDEX(#REF!,$U62+1))</f>
        <v/>
      </c>
      <c r="BF62" s="258">
        <f t="shared" si="17"/>
        <v>0</v>
      </c>
      <c r="BG62" s="258" t="str">
        <f t="shared" si="18"/>
        <v/>
      </c>
      <c r="BH62" s="258" t="str">
        <f t="shared" si="19"/>
        <v/>
      </c>
      <c r="BI62" s="315" t="str">
        <f>IF($U62="","",SUM($BH62:$BH$114))</f>
        <v/>
      </c>
      <c r="BJ62" s="285" t="str">
        <f>IF($U62="","",INDEX(#REF!,$U62+1))</f>
        <v/>
      </c>
      <c r="BK62" s="258">
        <f t="shared" si="20"/>
        <v>0</v>
      </c>
      <c r="BL62" s="258" t="str">
        <f t="shared" si="21"/>
        <v/>
      </c>
      <c r="BM62" s="258" t="str">
        <f t="shared" si="22"/>
        <v/>
      </c>
      <c r="BN62" s="315" t="str">
        <f>IF($U62="","",SUM($BM62:$BM$114))</f>
        <v/>
      </c>
      <c r="BO62" s="285">
        <f t="shared" si="23"/>
        <v>0</v>
      </c>
      <c r="BP62" s="258" t="str">
        <f t="shared" si="24"/>
        <v/>
      </c>
      <c r="BQ62" s="258" t="str">
        <f t="shared" si="25"/>
        <v/>
      </c>
      <c r="BR62" s="258"/>
      <c r="BS62" s="258" t="str">
        <f t="shared" si="38"/>
        <v/>
      </c>
      <c r="BT62" s="258" t="str">
        <f t="shared" si="26"/>
        <v/>
      </c>
      <c r="BU62" s="258" t="str">
        <f t="shared" si="27"/>
        <v/>
      </c>
      <c r="BV62" s="258"/>
      <c r="BW62" s="258" t="str">
        <f t="shared" si="39"/>
        <v/>
      </c>
      <c r="BX62" s="258" t="str">
        <f>IF($U62="","",SUM(BS62:BS$114)+SUM(BW62:BW$114))</f>
        <v/>
      </c>
      <c r="BY62" s="103"/>
      <c r="BZ62" s="103"/>
      <c r="CA62" s="103"/>
      <c r="CB62" s="103"/>
      <c r="CC62" s="394" t="str">
        <f t="shared" si="0"/>
        <v/>
      </c>
      <c r="CD62" s="258" t="str">
        <f t="shared" si="40"/>
        <v/>
      </c>
      <c r="CE62" s="258" t="str">
        <f t="shared" si="28"/>
        <v/>
      </c>
      <c r="CF62" s="258" t="str">
        <f t="shared" si="29"/>
        <v/>
      </c>
      <c r="CG62" s="258" t="str">
        <f t="shared" si="41"/>
        <v/>
      </c>
      <c r="CH62" s="258" t="str">
        <f t="shared" si="30"/>
        <v/>
      </c>
      <c r="CI62" s="104" t="str">
        <f t="shared" si="42"/>
        <v/>
      </c>
      <c r="CJ62" s="105" t="str">
        <f t="shared" si="31"/>
        <v/>
      </c>
      <c r="CK62" s="240"/>
      <c r="CL62" s="101" t="str">
        <f t="shared" si="32"/>
        <v/>
      </c>
      <c r="CM62" s="105" t="str">
        <f t="shared" si="48"/>
        <v/>
      </c>
      <c r="CN62" s="105" t="str">
        <f t="shared" si="43"/>
        <v/>
      </c>
      <c r="CO62" s="105" t="str">
        <f t="shared" si="33"/>
        <v/>
      </c>
      <c r="CP62" s="105" t="str">
        <f t="shared" si="44"/>
        <v/>
      </c>
      <c r="CQ62" s="240"/>
      <c r="CR62" s="240"/>
      <c r="CS62" s="240"/>
      <c r="CT62" s="240"/>
      <c r="CU62" s="240"/>
      <c r="CV62" s="240"/>
      <c r="CW62" s="478"/>
      <c r="CX62" s="478"/>
      <c r="CY62" s="478"/>
      <c r="CZ62" s="478"/>
      <c r="DA62" s="478"/>
      <c r="DB62" s="478"/>
      <c r="DC62" s="478"/>
      <c r="DD62" s="478"/>
      <c r="DE62" s="478"/>
      <c r="DF62" s="478"/>
      <c r="DG62" s="478"/>
      <c r="DH62" s="478"/>
      <c r="DI62" s="478"/>
      <c r="DJ62" s="478"/>
      <c r="DK62" s="478"/>
      <c r="DL62" s="478"/>
      <c r="DM62" s="478"/>
      <c r="DN62" s="478"/>
      <c r="DO62" s="478"/>
      <c r="DP62" s="478"/>
      <c r="DQ62" s="478"/>
      <c r="DR62" s="478"/>
      <c r="DS62" s="478"/>
      <c r="DT62" s="478"/>
      <c r="DU62" s="478"/>
      <c r="DV62" s="478"/>
      <c r="DW62" s="478"/>
      <c r="DX62" s="478"/>
      <c r="DY62" s="478"/>
      <c r="DZ62" s="478"/>
      <c r="EA62" s="478"/>
      <c r="EB62" s="478"/>
      <c r="EC62" s="478"/>
      <c r="ED62" s="478"/>
    </row>
    <row r="63" spans="1:134">
      <c r="A63" s="305"/>
      <c r="D63" s="456"/>
      <c r="E63" s="457"/>
      <c r="F63" s="456"/>
      <c r="G63" s="465"/>
      <c r="M63" s="151"/>
      <c r="N63" s="278" t="str">
        <f t="shared" si="52"/>
        <v/>
      </c>
      <c r="O63" s="279" t="str">
        <f t="shared" si="53"/>
        <v/>
      </c>
      <c r="P63" s="271" t="str">
        <f t="shared" si="49"/>
        <v/>
      </c>
      <c r="Q63" s="271" t="str">
        <f t="shared" si="50"/>
        <v/>
      </c>
      <c r="R63" s="271" t="str">
        <f t="shared" si="51"/>
        <v/>
      </c>
      <c r="S63" s="400" t="str">
        <f t="shared" si="54"/>
        <v/>
      </c>
      <c r="T63" s="232"/>
      <c r="U63" s="101" t="str">
        <f t="shared" si="45"/>
        <v/>
      </c>
      <c r="V63" s="285" t="str">
        <f>Main_무해지!AC63</f>
        <v/>
      </c>
      <c r="W63" s="308">
        <f>+Main_무해지!AD63</f>
        <v>0</v>
      </c>
      <c r="X63" s="308">
        <v>0</v>
      </c>
      <c r="Y63" s="258" t="str">
        <f t="shared" si="46"/>
        <v/>
      </c>
      <c r="Z63" s="258" t="str">
        <f t="shared" si="1"/>
        <v/>
      </c>
      <c r="AA63" s="102" t="str">
        <f>IF($U63="","",SUM(Z63:Z$114))</f>
        <v/>
      </c>
      <c r="AB63" s="258" t="str">
        <f t="shared" si="35"/>
        <v/>
      </c>
      <c r="AC63" s="254">
        <f t="shared" si="36"/>
        <v>0</v>
      </c>
      <c r="AD63" s="254" t="str">
        <f>Main_무해지!AJ63</f>
        <v/>
      </c>
      <c r="AE63" s="258">
        <f t="shared" si="2"/>
        <v>0</v>
      </c>
      <c r="AF63" s="258" t="str">
        <f t="shared" si="47"/>
        <v/>
      </c>
      <c r="AG63" s="258" t="str">
        <f t="shared" si="3"/>
        <v/>
      </c>
      <c r="AH63" s="102" t="str">
        <f>IF($U63="","",SUM(AG63:AG$114))</f>
        <v/>
      </c>
      <c r="AI63" s="258" t="str">
        <f>Main_무해지!AP63</f>
        <v/>
      </c>
      <c r="AJ63" s="258">
        <f t="shared" si="4"/>
        <v>0</v>
      </c>
      <c r="AK63" s="258" t="str">
        <f t="shared" si="5"/>
        <v/>
      </c>
      <c r="AL63" s="258" t="str">
        <f t="shared" si="6"/>
        <v/>
      </c>
      <c r="AM63" s="315" t="str">
        <f>IF($U63="","",SUM($AN63:$AN$114))</f>
        <v/>
      </c>
      <c r="AN63" s="258" t="str">
        <f t="shared" si="37"/>
        <v/>
      </c>
      <c r="AO63" s="315" t="str">
        <f t="shared" si="7"/>
        <v/>
      </c>
      <c r="AP63" s="285" t="str">
        <f>IF($U63="","",INDEX(#REF!,$U63+1))</f>
        <v/>
      </c>
      <c r="AQ63" s="258">
        <f t="shared" si="8"/>
        <v>0</v>
      </c>
      <c r="AR63" s="258" t="str">
        <f t="shared" si="9"/>
        <v/>
      </c>
      <c r="AS63" s="258" t="str">
        <f t="shared" si="10"/>
        <v/>
      </c>
      <c r="AT63" s="315" t="str">
        <f>IF($U63="","",SUM($AS63:$AS$114))</f>
        <v/>
      </c>
      <c r="AU63" s="285" t="str">
        <f>IF($U63="","",INDEX(#REF!,$U63+1))</f>
        <v/>
      </c>
      <c r="AV63" s="258">
        <f t="shared" si="11"/>
        <v>0</v>
      </c>
      <c r="AW63" s="258" t="str">
        <f t="shared" si="12"/>
        <v/>
      </c>
      <c r="AX63" s="258" t="str">
        <f t="shared" si="13"/>
        <v/>
      </c>
      <c r="AY63" s="315" t="str">
        <f>IF($U63="","",SUM($AX63:$AX$114))</f>
        <v/>
      </c>
      <c r="AZ63" s="285" t="str">
        <f>IF($U63="","",INDEX(#REF!,$U63+1))</f>
        <v/>
      </c>
      <c r="BA63" s="258">
        <f t="shared" si="14"/>
        <v>0</v>
      </c>
      <c r="BB63" s="258" t="str">
        <f t="shared" si="15"/>
        <v/>
      </c>
      <c r="BC63" s="258" t="str">
        <f t="shared" si="16"/>
        <v/>
      </c>
      <c r="BD63" s="315" t="str">
        <f>IF($U63="","",SUM($BC63:$BC$114))</f>
        <v/>
      </c>
      <c r="BE63" s="285" t="str">
        <f>IF($U63="","",INDEX(#REF!,$U63+1))</f>
        <v/>
      </c>
      <c r="BF63" s="258">
        <f t="shared" si="17"/>
        <v>0</v>
      </c>
      <c r="BG63" s="258" t="str">
        <f t="shared" si="18"/>
        <v/>
      </c>
      <c r="BH63" s="258" t="str">
        <f t="shared" si="19"/>
        <v/>
      </c>
      <c r="BI63" s="315" t="str">
        <f>IF($U63="","",SUM($BH63:$BH$114))</f>
        <v/>
      </c>
      <c r="BJ63" s="285" t="str">
        <f>IF($U63="","",INDEX(#REF!,$U63+1))</f>
        <v/>
      </c>
      <c r="BK63" s="258">
        <f t="shared" si="20"/>
        <v>0</v>
      </c>
      <c r="BL63" s="258" t="str">
        <f t="shared" si="21"/>
        <v/>
      </c>
      <c r="BM63" s="258" t="str">
        <f t="shared" si="22"/>
        <v/>
      </c>
      <c r="BN63" s="315" t="str">
        <f>IF($U63="","",SUM($BM63:$BM$114))</f>
        <v/>
      </c>
      <c r="BO63" s="285">
        <f t="shared" si="23"/>
        <v>0</v>
      </c>
      <c r="BP63" s="258" t="str">
        <f t="shared" si="24"/>
        <v/>
      </c>
      <c r="BQ63" s="258" t="str">
        <f t="shared" si="25"/>
        <v/>
      </c>
      <c r="BR63" s="258"/>
      <c r="BS63" s="258" t="str">
        <f t="shared" si="38"/>
        <v/>
      </c>
      <c r="BT63" s="258" t="str">
        <f t="shared" si="26"/>
        <v/>
      </c>
      <c r="BU63" s="258" t="str">
        <f t="shared" si="27"/>
        <v/>
      </c>
      <c r="BV63" s="258"/>
      <c r="BW63" s="258" t="str">
        <f t="shared" si="39"/>
        <v/>
      </c>
      <c r="BX63" s="258" t="str">
        <f>IF($U63="","",SUM(BS63:BS$114)+SUM(BW63:BW$114))</f>
        <v/>
      </c>
      <c r="BY63" s="103"/>
      <c r="BZ63" s="103"/>
      <c r="CA63" s="103"/>
      <c r="CB63" s="103"/>
      <c r="CC63" s="394" t="str">
        <f t="shared" si="0"/>
        <v/>
      </c>
      <c r="CD63" s="258" t="str">
        <f t="shared" si="40"/>
        <v/>
      </c>
      <c r="CE63" s="258" t="str">
        <f t="shared" si="28"/>
        <v/>
      </c>
      <c r="CF63" s="258" t="str">
        <f t="shared" si="29"/>
        <v/>
      </c>
      <c r="CG63" s="258" t="str">
        <f t="shared" si="41"/>
        <v/>
      </c>
      <c r="CH63" s="258" t="str">
        <f t="shared" si="30"/>
        <v/>
      </c>
      <c r="CI63" s="104" t="str">
        <f t="shared" si="42"/>
        <v/>
      </c>
      <c r="CJ63" s="105" t="str">
        <f t="shared" si="31"/>
        <v/>
      </c>
      <c r="CK63" s="240"/>
      <c r="CL63" s="101" t="str">
        <f t="shared" si="32"/>
        <v/>
      </c>
      <c r="CM63" s="105" t="str">
        <f t="shared" si="48"/>
        <v/>
      </c>
      <c r="CN63" s="105" t="str">
        <f t="shared" si="43"/>
        <v/>
      </c>
      <c r="CO63" s="105" t="str">
        <f t="shared" si="33"/>
        <v/>
      </c>
      <c r="CP63" s="105" t="str">
        <f t="shared" si="44"/>
        <v/>
      </c>
      <c r="CQ63" s="240"/>
      <c r="CR63" s="240"/>
      <c r="CS63" s="240"/>
      <c r="CT63" s="240"/>
      <c r="CU63" s="240"/>
      <c r="CV63" s="240"/>
      <c r="CW63" s="478"/>
      <c r="CX63" s="478"/>
      <c r="CY63" s="478"/>
      <c r="CZ63" s="478"/>
      <c r="DA63" s="478"/>
      <c r="DB63" s="478"/>
      <c r="DC63" s="478"/>
      <c r="DD63" s="478"/>
      <c r="DE63" s="478"/>
      <c r="DF63" s="478"/>
      <c r="DG63" s="478"/>
      <c r="DH63" s="478"/>
      <c r="DI63" s="478"/>
      <c r="DJ63" s="478"/>
      <c r="DK63" s="478"/>
      <c r="DL63" s="478"/>
      <c r="DM63" s="478"/>
      <c r="DN63" s="478"/>
      <c r="DO63" s="478"/>
      <c r="DP63" s="478"/>
      <c r="DQ63" s="478"/>
      <c r="DR63" s="478"/>
      <c r="DS63" s="478"/>
      <c r="DT63" s="478"/>
      <c r="DU63" s="478"/>
      <c r="DV63" s="478"/>
      <c r="DW63" s="478"/>
      <c r="DX63" s="478"/>
      <c r="DY63" s="478"/>
      <c r="DZ63" s="478"/>
      <c r="EA63" s="478"/>
      <c r="EB63" s="478"/>
      <c r="EC63" s="478"/>
      <c r="ED63" s="478"/>
    </row>
    <row r="64" spans="1:134">
      <c r="A64" s="305"/>
      <c r="D64" s="456"/>
      <c r="E64" s="457"/>
      <c r="F64" s="456"/>
      <c r="G64" s="465"/>
      <c r="M64" s="151"/>
      <c r="N64" s="278" t="str">
        <f t="shared" si="52"/>
        <v/>
      </c>
      <c r="O64" s="279" t="str">
        <f t="shared" si="53"/>
        <v/>
      </c>
      <c r="P64" s="271" t="str">
        <f t="shared" si="49"/>
        <v/>
      </c>
      <c r="Q64" s="271" t="str">
        <f t="shared" si="50"/>
        <v/>
      </c>
      <c r="R64" s="271" t="str">
        <f t="shared" si="51"/>
        <v/>
      </c>
      <c r="S64" s="400" t="str">
        <f t="shared" si="54"/>
        <v/>
      </c>
      <c r="T64" s="405"/>
      <c r="U64" s="110" t="str">
        <f t="shared" si="45"/>
        <v/>
      </c>
      <c r="V64" s="286" t="str">
        <f>Main_무해지!AC64</f>
        <v/>
      </c>
      <c r="W64" s="309">
        <f>+Main_무해지!AD64</f>
        <v>0</v>
      </c>
      <c r="X64" s="309">
        <v>0</v>
      </c>
      <c r="Y64" s="259" t="str">
        <f t="shared" si="46"/>
        <v/>
      </c>
      <c r="Z64" s="259" t="str">
        <f t="shared" si="1"/>
        <v/>
      </c>
      <c r="AA64" s="111" t="str">
        <f>IF($U64="","",SUM(Z64:Z$114))</f>
        <v/>
      </c>
      <c r="AB64" s="259" t="str">
        <f t="shared" si="35"/>
        <v/>
      </c>
      <c r="AC64" s="254">
        <f t="shared" si="36"/>
        <v>0</v>
      </c>
      <c r="AD64" s="254" t="str">
        <f>Main_무해지!AJ64</f>
        <v/>
      </c>
      <c r="AE64" s="259">
        <f t="shared" si="2"/>
        <v>0</v>
      </c>
      <c r="AF64" s="259" t="str">
        <f t="shared" si="47"/>
        <v/>
      </c>
      <c r="AG64" s="259" t="str">
        <f t="shared" si="3"/>
        <v/>
      </c>
      <c r="AH64" s="111" t="str">
        <f>IF($U64="","",SUM(AG64:AG$114))</f>
        <v/>
      </c>
      <c r="AI64" s="259" t="str">
        <f>Main_무해지!AP64</f>
        <v/>
      </c>
      <c r="AJ64" s="259">
        <f t="shared" si="4"/>
        <v>0</v>
      </c>
      <c r="AK64" s="259" t="str">
        <f t="shared" si="5"/>
        <v/>
      </c>
      <c r="AL64" s="259" t="str">
        <f t="shared" si="6"/>
        <v/>
      </c>
      <c r="AM64" s="316" t="str">
        <f>IF($U64="","",SUM($AN64:$AN$114))</f>
        <v/>
      </c>
      <c r="AN64" s="259" t="str">
        <f t="shared" si="37"/>
        <v/>
      </c>
      <c r="AO64" s="316" t="str">
        <f t="shared" si="7"/>
        <v/>
      </c>
      <c r="AP64" s="286" t="str">
        <f>IF($U64="","",INDEX(#REF!,$U64+1))</f>
        <v/>
      </c>
      <c r="AQ64" s="259">
        <f t="shared" si="8"/>
        <v>0</v>
      </c>
      <c r="AR64" s="259" t="str">
        <f t="shared" si="9"/>
        <v/>
      </c>
      <c r="AS64" s="259" t="str">
        <f t="shared" si="10"/>
        <v/>
      </c>
      <c r="AT64" s="316" t="str">
        <f>IF($U64="","",SUM($AS64:$AS$114))</f>
        <v/>
      </c>
      <c r="AU64" s="286" t="str">
        <f>IF($U64="","",INDEX(#REF!,$U64+1))</f>
        <v/>
      </c>
      <c r="AV64" s="259">
        <f t="shared" si="11"/>
        <v>0</v>
      </c>
      <c r="AW64" s="259" t="str">
        <f t="shared" si="12"/>
        <v/>
      </c>
      <c r="AX64" s="259" t="str">
        <f t="shared" si="13"/>
        <v/>
      </c>
      <c r="AY64" s="316" t="str">
        <f>IF($U64="","",SUM($AX64:$AX$114))</f>
        <v/>
      </c>
      <c r="AZ64" s="286" t="str">
        <f>IF($U64="","",INDEX(#REF!,$U64+1))</f>
        <v/>
      </c>
      <c r="BA64" s="259">
        <f t="shared" si="14"/>
        <v>0</v>
      </c>
      <c r="BB64" s="259" t="str">
        <f t="shared" si="15"/>
        <v/>
      </c>
      <c r="BC64" s="259" t="str">
        <f t="shared" si="16"/>
        <v/>
      </c>
      <c r="BD64" s="316" t="str">
        <f>IF($U64="","",SUM($BC64:$BC$114))</f>
        <v/>
      </c>
      <c r="BE64" s="286" t="str">
        <f>IF($U64="","",INDEX(#REF!,$U64+1))</f>
        <v/>
      </c>
      <c r="BF64" s="259">
        <f t="shared" si="17"/>
        <v>0</v>
      </c>
      <c r="BG64" s="259" t="str">
        <f t="shared" si="18"/>
        <v/>
      </c>
      <c r="BH64" s="259" t="str">
        <f t="shared" si="19"/>
        <v/>
      </c>
      <c r="BI64" s="316" t="str">
        <f>IF($U64="","",SUM($BH64:$BH$114))</f>
        <v/>
      </c>
      <c r="BJ64" s="286" t="str">
        <f>IF($U64="","",INDEX(#REF!,$U64+1))</f>
        <v/>
      </c>
      <c r="BK64" s="259">
        <f t="shared" si="20"/>
        <v>0</v>
      </c>
      <c r="BL64" s="259" t="str">
        <f t="shared" si="21"/>
        <v/>
      </c>
      <c r="BM64" s="259" t="str">
        <f t="shared" si="22"/>
        <v/>
      </c>
      <c r="BN64" s="316" t="str">
        <f>IF($U64="","",SUM($BM64:$BM$114))</f>
        <v/>
      </c>
      <c r="BO64" s="286">
        <f t="shared" si="23"/>
        <v>0</v>
      </c>
      <c r="BP64" s="259" t="str">
        <f t="shared" si="24"/>
        <v/>
      </c>
      <c r="BQ64" s="259" t="str">
        <f t="shared" si="25"/>
        <v/>
      </c>
      <c r="BR64" s="259"/>
      <c r="BS64" s="259" t="str">
        <f t="shared" si="38"/>
        <v/>
      </c>
      <c r="BT64" s="259" t="str">
        <f t="shared" si="26"/>
        <v/>
      </c>
      <c r="BU64" s="259" t="str">
        <f t="shared" si="27"/>
        <v/>
      </c>
      <c r="BV64" s="259"/>
      <c r="BW64" s="259" t="str">
        <f t="shared" si="39"/>
        <v/>
      </c>
      <c r="BX64" s="259" t="str">
        <f>IF($U64="","",SUM(BS64:BS$114)+SUM(BW64:BW$114))</f>
        <v/>
      </c>
      <c r="BY64" s="112"/>
      <c r="BZ64" s="112"/>
      <c r="CA64" s="112"/>
      <c r="CB64" s="112"/>
      <c r="CC64" s="395" t="str">
        <f t="shared" si="0"/>
        <v/>
      </c>
      <c r="CD64" s="259" t="str">
        <f t="shared" si="40"/>
        <v/>
      </c>
      <c r="CE64" s="259" t="str">
        <f t="shared" si="28"/>
        <v/>
      </c>
      <c r="CF64" s="259" t="str">
        <f t="shared" si="29"/>
        <v/>
      </c>
      <c r="CG64" s="259" t="str">
        <f t="shared" si="41"/>
        <v/>
      </c>
      <c r="CH64" s="259" t="str">
        <f t="shared" si="30"/>
        <v/>
      </c>
      <c r="CI64" s="113" t="str">
        <f t="shared" si="42"/>
        <v/>
      </c>
      <c r="CJ64" s="114" t="str">
        <f t="shared" si="31"/>
        <v/>
      </c>
      <c r="CK64" s="241"/>
      <c r="CL64" s="110" t="str">
        <f t="shared" si="32"/>
        <v/>
      </c>
      <c r="CM64" s="114" t="str">
        <f t="shared" si="48"/>
        <v/>
      </c>
      <c r="CN64" s="114" t="str">
        <f t="shared" si="43"/>
        <v/>
      </c>
      <c r="CO64" s="114" t="str">
        <f t="shared" si="33"/>
        <v/>
      </c>
      <c r="CP64" s="114" t="str">
        <f t="shared" si="44"/>
        <v/>
      </c>
      <c r="CQ64" s="241"/>
      <c r="CR64" s="241"/>
      <c r="CS64" s="241"/>
      <c r="CT64" s="241"/>
      <c r="CU64" s="241"/>
      <c r="CV64" s="241"/>
      <c r="CW64" s="478"/>
      <c r="CX64" s="478"/>
      <c r="CY64" s="478"/>
      <c r="CZ64" s="478"/>
      <c r="DA64" s="478"/>
      <c r="DB64" s="478"/>
      <c r="DC64" s="478"/>
      <c r="DD64" s="478"/>
      <c r="DE64" s="478"/>
      <c r="DF64" s="478"/>
      <c r="DG64" s="478"/>
      <c r="DH64" s="478"/>
      <c r="DI64" s="478"/>
      <c r="DJ64" s="478"/>
      <c r="DK64" s="478"/>
      <c r="DL64" s="478"/>
      <c r="DM64" s="478"/>
      <c r="DN64" s="478"/>
      <c r="DO64" s="478"/>
      <c r="DP64" s="478"/>
      <c r="DQ64" s="478"/>
      <c r="DR64" s="478"/>
      <c r="DS64" s="478"/>
      <c r="DT64" s="478"/>
      <c r="DU64" s="478"/>
      <c r="DV64" s="478"/>
      <c r="DW64" s="478"/>
      <c r="DX64" s="478"/>
      <c r="DY64" s="478"/>
      <c r="DZ64" s="478"/>
      <c r="EA64" s="478"/>
      <c r="EB64" s="478"/>
      <c r="EC64" s="478"/>
      <c r="ED64" s="478"/>
    </row>
    <row r="65" spans="1:134">
      <c r="A65" s="305"/>
      <c r="D65" s="456"/>
      <c r="E65" s="457"/>
      <c r="F65" s="456"/>
      <c r="G65" s="465"/>
      <c r="M65" s="153"/>
      <c r="N65" s="278" t="str">
        <f t="shared" si="52"/>
        <v/>
      </c>
      <c r="O65" s="279" t="str">
        <f t="shared" si="53"/>
        <v/>
      </c>
      <c r="P65" s="271" t="str">
        <f t="shared" si="49"/>
        <v/>
      </c>
      <c r="Q65" s="271" t="str">
        <f t="shared" si="50"/>
        <v/>
      </c>
      <c r="R65" s="271" t="str">
        <f t="shared" si="51"/>
        <v/>
      </c>
      <c r="S65" s="400" t="str">
        <f t="shared" si="54"/>
        <v/>
      </c>
      <c r="T65" s="405"/>
      <c r="U65" s="770" t="str">
        <f t="shared" si="45"/>
        <v/>
      </c>
      <c r="V65" s="772" t="str">
        <f>Main_무해지!AC65</f>
        <v/>
      </c>
      <c r="W65" s="640">
        <f>+Main_무해지!AD65</f>
        <v>0</v>
      </c>
      <c r="X65" s="640">
        <v>0</v>
      </c>
      <c r="Y65" s="410" t="str">
        <f t="shared" si="46"/>
        <v/>
      </c>
      <c r="Z65" s="410" t="str">
        <f t="shared" si="1"/>
        <v/>
      </c>
      <c r="AA65" s="771" t="str">
        <f>IF($U65="","",SUM(Z65:Z$114))</f>
        <v/>
      </c>
      <c r="AB65" s="410" t="str">
        <f t="shared" si="35"/>
        <v/>
      </c>
      <c r="AC65" s="254">
        <f t="shared" si="36"/>
        <v>0</v>
      </c>
      <c r="AD65" s="254" t="str">
        <f>Main_무해지!AJ65</f>
        <v/>
      </c>
      <c r="AE65" s="410">
        <f t="shared" si="2"/>
        <v>0</v>
      </c>
      <c r="AF65" s="410" t="str">
        <f t="shared" si="47"/>
        <v/>
      </c>
      <c r="AG65" s="410" t="str">
        <f t="shared" si="3"/>
        <v/>
      </c>
      <c r="AH65" s="771" t="str">
        <f>IF($U65="","",SUM(AG65:AG$114))</f>
        <v/>
      </c>
      <c r="AI65" s="410" t="str">
        <f>Main_무해지!AP65</f>
        <v/>
      </c>
      <c r="AJ65" s="410">
        <f t="shared" si="4"/>
        <v>0</v>
      </c>
      <c r="AK65" s="410" t="str">
        <f t="shared" si="5"/>
        <v/>
      </c>
      <c r="AL65" s="410" t="str">
        <f t="shared" si="6"/>
        <v/>
      </c>
      <c r="AM65" s="773" t="str">
        <f>IF($U65="","",SUM($AN65:$AN$114))</f>
        <v/>
      </c>
      <c r="AN65" s="410" t="str">
        <f t="shared" si="37"/>
        <v/>
      </c>
      <c r="AO65" s="773" t="str">
        <f t="shared" si="7"/>
        <v/>
      </c>
      <c r="AP65" s="772" t="str">
        <f>IF($U65="","",INDEX(#REF!,$U65+1))</f>
        <v/>
      </c>
      <c r="AQ65" s="410">
        <f t="shared" si="8"/>
        <v>0</v>
      </c>
      <c r="AR65" s="410" t="str">
        <f t="shared" si="9"/>
        <v/>
      </c>
      <c r="AS65" s="410" t="str">
        <f t="shared" si="10"/>
        <v/>
      </c>
      <c r="AT65" s="773" t="str">
        <f>IF($U65="","",SUM($AS65:$AS$114))</f>
        <v/>
      </c>
      <c r="AU65" s="772" t="str">
        <f>IF($U65="","",INDEX(#REF!,$U65+1))</f>
        <v/>
      </c>
      <c r="AV65" s="410">
        <f t="shared" si="11"/>
        <v>0</v>
      </c>
      <c r="AW65" s="410" t="str">
        <f t="shared" si="12"/>
        <v/>
      </c>
      <c r="AX65" s="410" t="str">
        <f t="shared" si="13"/>
        <v/>
      </c>
      <c r="AY65" s="773" t="str">
        <f>IF($U65="","",SUM($AX65:$AX$114))</f>
        <v/>
      </c>
      <c r="AZ65" s="772" t="str">
        <f>IF($U65="","",INDEX(#REF!,$U65+1))</f>
        <v/>
      </c>
      <c r="BA65" s="410">
        <f t="shared" si="14"/>
        <v>0</v>
      </c>
      <c r="BB65" s="410" t="str">
        <f t="shared" si="15"/>
        <v/>
      </c>
      <c r="BC65" s="410" t="str">
        <f t="shared" si="16"/>
        <v/>
      </c>
      <c r="BD65" s="773" t="str">
        <f>IF($U65="","",SUM($BC65:$BC$114))</f>
        <v/>
      </c>
      <c r="BE65" s="772" t="str">
        <f>IF($U65="","",INDEX(#REF!,$U65+1))</f>
        <v/>
      </c>
      <c r="BF65" s="410">
        <f t="shared" si="17"/>
        <v>0</v>
      </c>
      <c r="BG65" s="410" t="str">
        <f t="shared" si="18"/>
        <v/>
      </c>
      <c r="BH65" s="410" t="str">
        <f t="shared" si="19"/>
        <v/>
      </c>
      <c r="BI65" s="773" t="str">
        <f>IF($U65="","",SUM($BH65:$BH$114))</f>
        <v/>
      </c>
      <c r="BJ65" s="772" t="str">
        <f>IF($U65="","",INDEX(#REF!,$U65+1))</f>
        <v/>
      </c>
      <c r="BK65" s="410">
        <f t="shared" si="20"/>
        <v>0</v>
      </c>
      <c r="BL65" s="410" t="str">
        <f t="shared" si="21"/>
        <v/>
      </c>
      <c r="BM65" s="410" t="str">
        <f t="shared" si="22"/>
        <v/>
      </c>
      <c r="BN65" s="773" t="str">
        <f>IF($U65="","",SUM($BM65:$BM$114))</f>
        <v/>
      </c>
      <c r="BO65" s="772">
        <f t="shared" si="23"/>
        <v>0</v>
      </c>
      <c r="BP65" s="410" t="str">
        <f t="shared" si="24"/>
        <v/>
      </c>
      <c r="BQ65" s="410" t="str">
        <f t="shared" si="25"/>
        <v/>
      </c>
      <c r="BR65" s="410"/>
      <c r="BS65" s="410" t="str">
        <f t="shared" si="38"/>
        <v/>
      </c>
      <c r="BT65" s="410" t="str">
        <f t="shared" si="26"/>
        <v/>
      </c>
      <c r="BU65" s="410" t="str">
        <f t="shared" si="27"/>
        <v/>
      </c>
      <c r="BV65" s="410"/>
      <c r="BW65" s="410" t="str">
        <f t="shared" si="39"/>
        <v/>
      </c>
      <c r="BX65" s="410" t="str">
        <f>IF($U65="","",SUM(BS65:BS$114)+SUM(BW65:BW$114))</f>
        <v/>
      </c>
      <c r="BY65" s="774"/>
      <c r="BZ65" s="774"/>
      <c r="CA65" s="774"/>
      <c r="CB65" s="774"/>
      <c r="CC65" s="775" t="str">
        <f t="shared" si="0"/>
        <v/>
      </c>
      <c r="CD65" s="410" t="str">
        <f t="shared" si="40"/>
        <v/>
      </c>
      <c r="CE65" s="410" t="str">
        <f t="shared" si="28"/>
        <v/>
      </c>
      <c r="CF65" s="410" t="str">
        <f t="shared" si="29"/>
        <v/>
      </c>
      <c r="CG65" s="410" t="str">
        <f t="shared" si="41"/>
        <v/>
      </c>
      <c r="CH65" s="410" t="str">
        <f t="shared" si="30"/>
        <v/>
      </c>
      <c r="CI65" s="776" t="str">
        <f t="shared" si="42"/>
        <v/>
      </c>
      <c r="CJ65" s="777" t="str">
        <f t="shared" si="31"/>
        <v/>
      </c>
      <c r="CK65" s="415"/>
      <c r="CL65" s="770" t="str">
        <f t="shared" si="32"/>
        <v/>
      </c>
      <c r="CM65" s="777" t="str">
        <f t="shared" si="48"/>
        <v/>
      </c>
      <c r="CN65" s="777" t="str">
        <f t="shared" si="43"/>
        <v/>
      </c>
      <c r="CO65" s="777" t="str">
        <f t="shared" si="33"/>
        <v/>
      </c>
      <c r="CP65" s="777" t="str">
        <f t="shared" si="44"/>
        <v/>
      </c>
      <c r="CQ65" s="415"/>
      <c r="CR65" s="415"/>
      <c r="CS65" s="415"/>
      <c r="CT65" s="415"/>
      <c r="CU65" s="415"/>
      <c r="CV65" s="415"/>
      <c r="CW65" s="478"/>
      <c r="CX65" s="478"/>
      <c r="CY65" s="478"/>
      <c r="CZ65" s="478"/>
      <c r="DA65" s="478"/>
      <c r="DB65" s="478"/>
      <c r="DC65" s="478"/>
      <c r="DD65" s="478"/>
      <c r="DE65" s="478"/>
      <c r="DF65" s="478"/>
      <c r="DG65" s="478"/>
      <c r="DH65" s="478"/>
      <c r="DI65" s="478"/>
      <c r="DJ65" s="478"/>
      <c r="DK65" s="478"/>
      <c r="DL65" s="478"/>
      <c r="DM65" s="478"/>
      <c r="DN65" s="478"/>
      <c r="DO65" s="478"/>
      <c r="DP65" s="478"/>
      <c r="DQ65" s="478"/>
      <c r="DR65" s="478"/>
      <c r="DS65" s="478"/>
      <c r="DT65" s="478"/>
      <c r="DU65" s="478"/>
      <c r="DV65" s="478"/>
      <c r="DW65" s="478"/>
      <c r="DX65" s="478"/>
      <c r="DY65" s="478"/>
      <c r="DZ65" s="478"/>
      <c r="EA65" s="478"/>
      <c r="EB65" s="478"/>
      <c r="EC65" s="478"/>
      <c r="ED65" s="478"/>
    </row>
    <row r="66" spans="1:134">
      <c r="A66" s="305"/>
      <c r="D66" s="456"/>
      <c r="E66" s="457"/>
      <c r="F66" s="456"/>
      <c r="G66" s="465"/>
      <c r="M66" s="153"/>
      <c r="N66" s="280" t="str">
        <f t="shared" si="52"/>
        <v/>
      </c>
      <c r="O66" s="281" t="str">
        <f t="shared" si="53"/>
        <v/>
      </c>
      <c r="P66" s="282" t="str">
        <f t="shared" si="49"/>
        <v/>
      </c>
      <c r="Q66" s="282" t="str">
        <f t="shared" si="50"/>
        <v/>
      </c>
      <c r="R66" s="282" t="str">
        <f t="shared" si="51"/>
        <v/>
      </c>
      <c r="S66" s="402" t="str">
        <f t="shared" si="54"/>
        <v/>
      </c>
      <c r="T66" s="405"/>
      <c r="U66" s="120" t="str">
        <f t="shared" si="45"/>
        <v/>
      </c>
      <c r="V66" s="287" t="str">
        <f>Main_무해지!AC66</f>
        <v/>
      </c>
      <c r="W66" s="310">
        <f>+Main_무해지!AD66</f>
        <v>0</v>
      </c>
      <c r="X66" s="310">
        <v>0</v>
      </c>
      <c r="Y66" s="260" t="str">
        <f t="shared" si="46"/>
        <v/>
      </c>
      <c r="Z66" s="260" t="str">
        <f t="shared" si="1"/>
        <v/>
      </c>
      <c r="AA66" s="121" t="str">
        <f>IF($U66="","",SUM(Z66:Z$114))</f>
        <v/>
      </c>
      <c r="AB66" s="260" t="str">
        <f t="shared" si="35"/>
        <v/>
      </c>
      <c r="AC66" s="254">
        <f t="shared" si="36"/>
        <v>0</v>
      </c>
      <c r="AD66" s="254" t="str">
        <f>Main_무해지!AJ66</f>
        <v/>
      </c>
      <c r="AE66" s="260">
        <f t="shared" si="2"/>
        <v>0</v>
      </c>
      <c r="AF66" s="260" t="str">
        <f t="shared" si="47"/>
        <v/>
      </c>
      <c r="AG66" s="260" t="str">
        <f t="shared" si="3"/>
        <v/>
      </c>
      <c r="AH66" s="121" t="str">
        <f>IF($U66="","",SUM(AG66:AG$114))</f>
        <v/>
      </c>
      <c r="AI66" s="260" t="str">
        <f>Main_무해지!AP66</f>
        <v/>
      </c>
      <c r="AJ66" s="260">
        <f t="shared" si="4"/>
        <v>0</v>
      </c>
      <c r="AK66" s="260" t="str">
        <f t="shared" si="5"/>
        <v/>
      </c>
      <c r="AL66" s="260" t="str">
        <f t="shared" si="6"/>
        <v/>
      </c>
      <c r="AM66" s="317" t="str">
        <f>IF($U66="","",SUM($AN66:$AN$114))</f>
        <v/>
      </c>
      <c r="AN66" s="260" t="str">
        <f t="shared" si="37"/>
        <v/>
      </c>
      <c r="AO66" s="317" t="str">
        <f t="shared" si="7"/>
        <v/>
      </c>
      <c r="AP66" s="287" t="str">
        <f>IF($U66="","",INDEX(#REF!,$U66+1))</f>
        <v/>
      </c>
      <c r="AQ66" s="260">
        <f t="shared" si="8"/>
        <v>0</v>
      </c>
      <c r="AR66" s="260" t="str">
        <f t="shared" si="9"/>
        <v/>
      </c>
      <c r="AS66" s="260" t="str">
        <f t="shared" si="10"/>
        <v/>
      </c>
      <c r="AT66" s="317" t="str">
        <f>IF($U66="","",SUM($AS66:$AS$114))</f>
        <v/>
      </c>
      <c r="AU66" s="287" t="str">
        <f>IF($U66="","",INDEX(#REF!,$U66+1))</f>
        <v/>
      </c>
      <c r="AV66" s="260">
        <f t="shared" si="11"/>
        <v>0</v>
      </c>
      <c r="AW66" s="260" t="str">
        <f t="shared" si="12"/>
        <v/>
      </c>
      <c r="AX66" s="260" t="str">
        <f t="shared" si="13"/>
        <v/>
      </c>
      <c r="AY66" s="317" t="str">
        <f>IF($U66="","",SUM($AX66:$AX$114))</f>
        <v/>
      </c>
      <c r="AZ66" s="287" t="str">
        <f>IF($U66="","",INDEX(#REF!,$U66+1))</f>
        <v/>
      </c>
      <c r="BA66" s="260">
        <f t="shared" si="14"/>
        <v>0</v>
      </c>
      <c r="BB66" s="260" t="str">
        <f t="shared" si="15"/>
        <v/>
      </c>
      <c r="BC66" s="260" t="str">
        <f t="shared" si="16"/>
        <v/>
      </c>
      <c r="BD66" s="317" t="str">
        <f>IF($U66="","",SUM($BC66:$BC$114))</f>
        <v/>
      </c>
      <c r="BE66" s="287" t="str">
        <f>IF($U66="","",INDEX(#REF!,$U66+1))</f>
        <v/>
      </c>
      <c r="BF66" s="260">
        <f t="shared" si="17"/>
        <v>0</v>
      </c>
      <c r="BG66" s="260" t="str">
        <f t="shared" si="18"/>
        <v/>
      </c>
      <c r="BH66" s="260" t="str">
        <f t="shared" si="19"/>
        <v/>
      </c>
      <c r="BI66" s="317" t="str">
        <f>IF($U66="","",SUM($BH66:$BH$114))</f>
        <v/>
      </c>
      <c r="BJ66" s="287" t="str">
        <f>IF($U66="","",INDEX(#REF!,$U66+1))</f>
        <v/>
      </c>
      <c r="BK66" s="260">
        <f t="shared" si="20"/>
        <v>0</v>
      </c>
      <c r="BL66" s="260" t="str">
        <f t="shared" si="21"/>
        <v/>
      </c>
      <c r="BM66" s="260" t="str">
        <f t="shared" si="22"/>
        <v/>
      </c>
      <c r="BN66" s="317" t="str">
        <f>IF($U66="","",SUM($BM66:$BM$114))</f>
        <v/>
      </c>
      <c r="BO66" s="287">
        <f t="shared" si="23"/>
        <v>0</v>
      </c>
      <c r="BP66" s="260" t="str">
        <f t="shared" si="24"/>
        <v/>
      </c>
      <c r="BQ66" s="260" t="str">
        <f t="shared" si="25"/>
        <v/>
      </c>
      <c r="BR66" s="260"/>
      <c r="BS66" s="260" t="str">
        <f t="shared" si="38"/>
        <v/>
      </c>
      <c r="BT66" s="260" t="str">
        <f t="shared" si="26"/>
        <v/>
      </c>
      <c r="BU66" s="260" t="str">
        <f t="shared" si="27"/>
        <v/>
      </c>
      <c r="BV66" s="260"/>
      <c r="BW66" s="260" t="str">
        <f t="shared" si="39"/>
        <v/>
      </c>
      <c r="BX66" s="260" t="str">
        <f>IF($U66="","",SUM(BS66:BS$114)+SUM(BW66:BW$114))</f>
        <v/>
      </c>
      <c r="BY66" s="122"/>
      <c r="BZ66" s="122"/>
      <c r="CA66" s="122"/>
      <c r="CB66" s="122"/>
      <c r="CC66" s="396" t="str">
        <f t="shared" si="0"/>
        <v/>
      </c>
      <c r="CD66" s="260" t="str">
        <f t="shared" si="40"/>
        <v/>
      </c>
      <c r="CE66" s="260" t="str">
        <f t="shared" si="28"/>
        <v/>
      </c>
      <c r="CF66" s="260" t="str">
        <f t="shared" si="29"/>
        <v/>
      </c>
      <c r="CG66" s="260" t="str">
        <f t="shared" si="41"/>
        <v/>
      </c>
      <c r="CH66" s="260" t="str">
        <f t="shared" si="30"/>
        <v/>
      </c>
      <c r="CI66" s="123" t="str">
        <f t="shared" si="42"/>
        <v/>
      </c>
      <c r="CJ66" s="124" t="str">
        <f t="shared" si="31"/>
        <v/>
      </c>
      <c r="CK66" s="242"/>
      <c r="CL66" s="120" t="str">
        <f t="shared" si="32"/>
        <v/>
      </c>
      <c r="CM66" s="124" t="str">
        <f t="shared" si="48"/>
        <v/>
      </c>
      <c r="CN66" s="124" t="str">
        <f t="shared" si="43"/>
        <v/>
      </c>
      <c r="CO66" s="124" t="str">
        <f t="shared" si="33"/>
        <v/>
      </c>
      <c r="CP66" s="124" t="str">
        <f t="shared" si="44"/>
        <v/>
      </c>
      <c r="CQ66" s="242"/>
      <c r="CR66" s="242"/>
      <c r="CS66" s="242"/>
      <c r="CT66" s="242"/>
      <c r="CU66" s="242"/>
      <c r="CV66" s="242"/>
      <c r="CW66" s="478"/>
      <c r="CX66" s="478"/>
      <c r="CY66" s="478"/>
      <c r="CZ66" s="478"/>
      <c r="DA66" s="478"/>
      <c r="DB66" s="478"/>
      <c r="DC66" s="478"/>
      <c r="DD66" s="478"/>
      <c r="DE66" s="478"/>
      <c r="DF66" s="478"/>
      <c r="DG66" s="478"/>
      <c r="DH66" s="478"/>
      <c r="DI66" s="478"/>
      <c r="DJ66" s="478"/>
      <c r="DK66" s="478"/>
      <c r="DL66" s="478"/>
      <c r="DM66" s="478"/>
      <c r="DN66" s="478"/>
      <c r="DO66" s="478"/>
      <c r="DP66" s="478"/>
      <c r="DQ66" s="478"/>
      <c r="DR66" s="478"/>
      <c r="DS66" s="478"/>
      <c r="DT66" s="478"/>
      <c r="DU66" s="478"/>
      <c r="DV66" s="478"/>
      <c r="DW66" s="478"/>
      <c r="DX66" s="478"/>
      <c r="DY66" s="478"/>
      <c r="DZ66" s="478"/>
      <c r="EA66" s="478"/>
      <c r="EB66" s="478"/>
      <c r="EC66" s="478"/>
      <c r="ED66" s="478"/>
    </row>
    <row r="67" spans="1:134">
      <c r="A67" s="305"/>
      <c r="D67" s="456"/>
      <c r="E67" s="457"/>
      <c r="F67" s="456"/>
      <c r="G67" s="465"/>
      <c r="I67" s="160"/>
      <c r="J67" s="148"/>
      <c r="K67" s="148"/>
      <c r="M67" s="153"/>
      <c r="N67" s="275" t="str">
        <f t="shared" si="52"/>
        <v/>
      </c>
      <c r="O67" s="276" t="str">
        <f t="shared" si="53"/>
        <v/>
      </c>
      <c r="P67" s="277" t="str">
        <f t="shared" si="49"/>
        <v/>
      </c>
      <c r="Q67" s="277" t="str">
        <f t="shared" si="50"/>
        <v/>
      </c>
      <c r="R67" s="277" t="str">
        <f t="shared" si="51"/>
        <v/>
      </c>
      <c r="S67" s="401" t="str">
        <f t="shared" si="54"/>
        <v/>
      </c>
      <c r="T67" s="405"/>
      <c r="U67" s="120" t="str">
        <f t="shared" si="45"/>
        <v/>
      </c>
      <c r="V67" s="287" t="str">
        <f>Main_무해지!AC67</f>
        <v/>
      </c>
      <c r="W67" s="310">
        <f>+Main_무해지!AD67</f>
        <v>0</v>
      </c>
      <c r="X67" s="310">
        <v>0</v>
      </c>
      <c r="Y67" s="260" t="str">
        <f t="shared" si="46"/>
        <v/>
      </c>
      <c r="Z67" s="260" t="str">
        <f t="shared" si="1"/>
        <v/>
      </c>
      <c r="AA67" s="121" t="str">
        <f>IF($U67="","",SUM(Z67:Z$114))</f>
        <v/>
      </c>
      <c r="AB67" s="260" t="str">
        <f t="shared" si="35"/>
        <v/>
      </c>
      <c r="AC67" s="254">
        <f t="shared" si="36"/>
        <v>0</v>
      </c>
      <c r="AD67" s="254" t="str">
        <f>Main_무해지!AJ67</f>
        <v/>
      </c>
      <c r="AE67" s="260">
        <f t="shared" si="2"/>
        <v>0</v>
      </c>
      <c r="AF67" s="260" t="str">
        <f t="shared" si="47"/>
        <v/>
      </c>
      <c r="AG67" s="260" t="str">
        <f t="shared" si="3"/>
        <v/>
      </c>
      <c r="AH67" s="121" t="str">
        <f>IF($U67="","",SUM(AG67:AG$114))</f>
        <v/>
      </c>
      <c r="AI67" s="260" t="str">
        <f>Main_무해지!AP67</f>
        <v/>
      </c>
      <c r="AJ67" s="260">
        <f t="shared" si="4"/>
        <v>0</v>
      </c>
      <c r="AK67" s="260" t="str">
        <f t="shared" si="5"/>
        <v/>
      </c>
      <c r="AL67" s="260" t="str">
        <f t="shared" si="6"/>
        <v/>
      </c>
      <c r="AM67" s="317" t="str">
        <f>IF($U67="","",SUM($AN67:$AN$114))</f>
        <v/>
      </c>
      <c r="AN67" s="260" t="str">
        <f t="shared" si="37"/>
        <v/>
      </c>
      <c r="AO67" s="317" t="str">
        <f t="shared" si="7"/>
        <v/>
      </c>
      <c r="AP67" s="287" t="str">
        <f>IF($U67="","",INDEX(#REF!,$U67+1))</f>
        <v/>
      </c>
      <c r="AQ67" s="260">
        <f t="shared" si="8"/>
        <v>0</v>
      </c>
      <c r="AR67" s="260" t="str">
        <f t="shared" si="9"/>
        <v/>
      </c>
      <c r="AS67" s="260" t="str">
        <f t="shared" si="10"/>
        <v/>
      </c>
      <c r="AT67" s="317" t="str">
        <f>IF($U67="","",SUM($AS67:$AS$114))</f>
        <v/>
      </c>
      <c r="AU67" s="287" t="str">
        <f>IF($U67="","",INDEX(#REF!,$U67+1))</f>
        <v/>
      </c>
      <c r="AV67" s="260">
        <f t="shared" si="11"/>
        <v>0</v>
      </c>
      <c r="AW67" s="260" t="str">
        <f t="shared" si="12"/>
        <v/>
      </c>
      <c r="AX67" s="260" t="str">
        <f t="shared" si="13"/>
        <v/>
      </c>
      <c r="AY67" s="317" t="str">
        <f>IF($U67="","",SUM($AX67:$AX$114))</f>
        <v/>
      </c>
      <c r="AZ67" s="287" t="str">
        <f>IF($U67="","",INDEX(#REF!,$U67+1))</f>
        <v/>
      </c>
      <c r="BA67" s="260">
        <f t="shared" si="14"/>
        <v>0</v>
      </c>
      <c r="BB67" s="260" t="str">
        <f t="shared" si="15"/>
        <v/>
      </c>
      <c r="BC67" s="260" t="str">
        <f t="shared" si="16"/>
        <v/>
      </c>
      <c r="BD67" s="317" t="str">
        <f>IF($U67="","",SUM($BC67:$BC$114))</f>
        <v/>
      </c>
      <c r="BE67" s="287" t="str">
        <f>IF($U67="","",INDEX(#REF!,$U67+1))</f>
        <v/>
      </c>
      <c r="BF67" s="260">
        <f t="shared" si="17"/>
        <v>0</v>
      </c>
      <c r="BG67" s="260" t="str">
        <f t="shared" si="18"/>
        <v/>
      </c>
      <c r="BH67" s="260" t="str">
        <f t="shared" si="19"/>
        <v/>
      </c>
      <c r="BI67" s="317" t="str">
        <f>IF($U67="","",SUM($BH67:$BH$114))</f>
        <v/>
      </c>
      <c r="BJ67" s="287" t="str">
        <f>IF($U67="","",INDEX(#REF!,$U67+1))</f>
        <v/>
      </c>
      <c r="BK67" s="260">
        <f t="shared" si="20"/>
        <v>0</v>
      </c>
      <c r="BL67" s="260" t="str">
        <f t="shared" si="21"/>
        <v/>
      </c>
      <c r="BM67" s="260" t="str">
        <f t="shared" si="22"/>
        <v/>
      </c>
      <c r="BN67" s="317" t="str">
        <f>IF($U67="","",SUM($BM67:$BM$114))</f>
        <v/>
      </c>
      <c r="BO67" s="287">
        <f t="shared" si="23"/>
        <v>0</v>
      </c>
      <c r="BP67" s="260" t="str">
        <f t="shared" si="24"/>
        <v/>
      </c>
      <c r="BQ67" s="260" t="str">
        <f t="shared" si="25"/>
        <v/>
      </c>
      <c r="BR67" s="260"/>
      <c r="BS67" s="260" t="str">
        <f t="shared" si="38"/>
        <v/>
      </c>
      <c r="BT67" s="260" t="str">
        <f t="shared" si="26"/>
        <v/>
      </c>
      <c r="BU67" s="260" t="str">
        <f t="shared" si="27"/>
        <v/>
      </c>
      <c r="BV67" s="260"/>
      <c r="BW67" s="260" t="str">
        <f t="shared" si="39"/>
        <v/>
      </c>
      <c r="BX67" s="260" t="str">
        <f>IF($U67="","",SUM(BS67:BS$114)+SUM(BW67:BW$114))</f>
        <v/>
      </c>
      <c r="BY67" s="122"/>
      <c r="BZ67" s="122"/>
      <c r="CA67" s="122"/>
      <c r="CB67" s="122"/>
      <c r="CC67" s="396" t="str">
        <f t="shared" ref="CC67:CC114" si="55">U67</f>
        <v/>
      </c>
      <c r="CD67" s="260" t="str">
        <f t="shared" si="40"/>
        <v/>
      </c>
      <c r="CE67" s="260" t="str">
        <f t="shared" si="28"/>
        <v/>
      </c>
      <c r="CF67" s="260" t="str">
        <f t="shared" si="29"/>
        <v/>
      </c>
      <c r="CG67" s="260" t="str">
        <f t="shared" si="41"/>
        <v/>
      </c>
      <c r="CH67" s="260" t="str">
        <f t="shared" si="30"/>
        <v/>
      </c>
      <c r="CI67" s="123" t="str">
        <f t="shared" si="42"/>
        <v/>
      </c>
      <c r="CJ67" s="124" t="str">
        <f t="shared" si="31"/>
        <v/>
      </c>
      <c r="CK67" s="242"/>
      <c r="CL67" s="120" t="str">
        <f t="shared" si="32"/>
        <v/>
      </c>
      <c r="CM67" s="124" t="str">
        <f t="shared" si="48"/>
        <v/>
      </c>
      <c r="CN67" s="124" t="str">
        <f t="shared" si="43"/>
        <v/>
      </c>
      <c r="CO67" s="124" t="str">
        <f t="shared" si="33"/>
        <v/>
      </c>
      <c r="CP67" s="124" t="str">
        <f t="shared" si="44"/>
        <v/>
      </c>
      <c r="CQ67" s="242"/>
      <c r="CR67" s="242"/>
      <c r="CS67" s="242"/>
      <c r="CT67" s="242"/>
      <c r="CU67" s="242"/>
      <c r="CV67" s="242"/>
      <c r="CW67" s="478"/>
      <c r="CX67" s="478"/>
      <c r="CY67" s="478"/>
      <c r="CZ67" s="478"/>
      <c r="DA67" s="478"/>
      <c r="DB67" s="478"/>
      <c r="DC67" s="478"/>
      <c r="DD67" s="478"/>
      <c r="DE67" s="478"/>
      <c r="DF67" s="478"/>
      <c r="DG67" s="478"/>
      <c r="DH67" s="478"/>
      <c r="DI67" s="478"/>
      <c r="DJ67" s="478"/>
      <c r="DK67" s="478"/>
      <c r="DL67" s="478"/>
      <c r="DM67" s="478"/>
      <c r="DN67" s="478"/>
      <c r="DO67" s="478"/>
      <c r="DP67" s="478"/>
      <c r="DQ67" s="478"/>
      <c r="DR67" s="478"/>
      <c r="DS67" s="478"/>
      <c r="DT67" s="478"/>
      <c r="DU67" s="478"/>
      <c r="DV67" s="478"/>
      <c r="DW67" s="478"/>
      <c r="DX67" s="478"/>
      <c r="DY67" s="478"/>
      <c r="DZ67" s="478"/>
      <c r="EA67" s="478"/>
      <c r="EB67" s="478"/>
      <c r="EC67" s="478"/>
      <c r="ED67" s="478"/>
    </row>
    <row r="68" spans="1:134">
      <c r="A68" s="305"/>
      <c r="D68" s="456"/>
      <c r="E68" s="457"/>
      <c r="F68" s="456"/>
      <c r="G68" s="465"/>
      <c r="I68" s="160"/>
      <c r="J68" s="148"/>
      <c r="K68" s="148"/>
      <c r="M68" s="153"/>
      <c r="N68" s="278" t="str">
        <f t="shared" si="52"/>
        <v/>
      </c>
      <c r="O68" s="279" t="str">
        <f t="shared" si="53"/>
        <v/>
      </c>
      <c r="P68" s="271" t="str">
        <f t="shared" si="49"/>
        <v/>
      </c>
      <c r="Q68" s="271" t="str">
        <f t="shared" si="50"/>
        <v/>
      </c>
      <c r="R68" s="271" t="str">
        <f t="shared" si="51"/>
        <v/>
      </c>
      <c r="S68" s="400" t="str">
        <f t="shared" si="54"/>
        <v/>
      </c>
      <c r="T68" s="405"/>
      <c r="U68" s="120" t="str">
        <f t="shared" si="45"/>
        <v/>
      </c>
      <c r="V68" s="287" t="str">
        <f>Main_무해지!AC68</f>
        <v/>
      </c>
      <c r="W68" s="310">
        <f>+Main_무해지!AD68</f>
        <v>0</v>
      </c>
      <c r="X68" s="310">
        <v>0</v>
      </c>
      <c r="Y68" s="260" t="str">
        <f t="shared" si="46"/>
        <v/>
      </c>
      <c r="Z68" s="260" t="str">
        <f t="shared" ref="Z68:Z114" si="56">IF($U68="","",Y68*$E$17^($U68-$U$4))</f>
        <v/>
      </c>
      <c r="AA68" s="121" t="str">
        <f>IF($U68="","",SUM(Z68:Z$114))</f>
        <v/>
      </c>
      <c r="AB68" s="260" t="str">
        <f t="shared" si="35"/>
        <v/>
      </c>
      <c r="AC68" s="254">
        <f t="shared" si="36"/>
        <v>0</v>
      </c>
      <c r="AD68" s="254" t="str">
        <f>Main_무해지!AJ68</f>
        <v/>
      </c>
      <c r="AE68" s="260">
        <f t="shared" ref="AE68:AE114" si="57">X68</f>
        <v>0</v>
      </c>
      <c r="AF68" s="260" t="str">
        <f t="shared" si="47"/>
        <v/>
      </c>
      <c r="AG68" s="260" t="str">
        <f t="shared" ref="AG68:AG114" si="58">IF($U68="","",AF68*$E$17^($U68-$U$4))</f>
        <v/>
      </c>
      <c r="AH68" s="121" t="str">
        <f>IF($U68="","",SUM(AG68:AG$114))</f>
        <v/>
      </c>
      <c r="AI68" s="260" t="str">
        <f>Main_무해지!AP68</f>
        <v/>
      </c>
      <c r="AJ68" s="260">
        <f t="shared" ref="AJ68:AJ114" si="59">X68</f>
        <v>0</v>
      </c>
      <c r="AK68" s="260" t="str">
        <f t="shared" ref="AK68:AK114" si="60">IF($U68="","",$Y68*$AI68*(1-0.5*AJ68))</f>
        <v/>
      </c>
      <c r="AL68" s="260" t="str">
        <f t="shared" ref="AL68:AL114" si="61">IF($U68="","",AK68*$E$17^($U68-$U$4+0.5))</f>
        <v/>
      </c>
      <c r="AM68" s="317" t="str">
        <f>IF($U68="","",SUM($AN68:$AN$114))</f>
        <v/>
      </c>
      <c r="AN68" s="260" t="str">
        <f t="shared" si="37"/>
        <v/>
      </c>
      <c r="AO68" s="317" t="str">
        <f t="shared" ref="AO68:AO114" si="62">IF($U68="","",1+$F$8*$E$11*MIN(MAX((U68-U$4)-($F$9-1),0),$E$10))</f>
        <v/>
      </c>
      <c r="AP68" s="287" t="str">
        <f>IF($U68="","",INDEX(#REF!,$U68+1))</f>
        <v/>
      </c>
      <c r="AQ68" s="260">
        <f t="shared" ref="AQ68:AQ114" si="63">X68</f>
        <v>0</v>
      </c>
      <c r="AR68" s="260" t="str">
        <f t="shared" ref="AR68:AR114" si="64">IF($U68="","",$Y68*$AP68*(1-0.5*AQ68))</f>
        <v/>
      </c>
      <c r="AS68" s="260" t="str">
        <f t="shared" ref="AS68:AS114" si="65">IF($U68="","",AR68*$E$17^($U68-$U$4+0.5))</f>
        <v/>
      </c>
      <c r="AT68" s="317" t="str">
        <f>IF($U68="","",SUM($AS68:$AS$114))</f>
        <v/>
      </c>
      <c r="AU68" s="287" t="str">
        <f>IF($U68="","",INDEX(#REF!,$U68+1))</f>
        <v/>
      </c>
      <c r="AV68" s="260">
        <f t="shared" ref="AV68:AV114" si="66">X68</f>
        <v>0</v>
      </c>
      <c r="AW68" s="260" t="str">
        <f t="shared" ref="AW68:AW114" si="67">IF($U68="","",$Y68*$AU68*(1-0.5*AV68))</f>
        <v/>
      </c>
      <c r="AX68" s="260" t="str">
        <f t="shared" ref="AX68:AX114" si="68">IF($U68="","",AW68*$E$17^($U68-$U$4+0.5))</f>
        <v/>
      </c>
      <c r="AY68" s="317" t="str">
        <f>IF($U68="","",SUM($AX68:$AX$114))</f>
        <v/>
      </c>
      <c r="AZ68" s="287" t="str">
        <f>IF($U68="","",INDEX(#REF!,$U68+1))</f>
        <v/>
      </c>
      <c r="BA68" s="260">
        <f t="shared" ref="BA68:BA114" si="69">X68</f>
        <v>0</v>
      </c>
      <c r="BB68" s="260" t="str">
        <f t="shared" ref="BB68:BB114" si="70">IF($U68="","",$Y68*$AZ68*(1-0.5*BA68))</f>
        <v/>
      </c>
      <c r="BC68" s="260" t="str">
        <f t="shared" ref="BC68:BC114" si="71">IF($U68="","",BB68*$E$17^($U68-$U$4+0.5))</f>
        <v/>
      </c>
      <c r="BD68" s="317" t="str">
        <f>IF($U68="","",SUM($BC68:$BC$114))</f>
        <v/>
      </c>
      <c r="BE68" s="287" t="str">
        <f>IF($U68="","",INDEX(#REF!,$U68+1))</f>
        <v/>
      </c>
      <c r="BF68" s="260">
        <f t="shared" ref="BF68:BF114" si="72">X68</f>
        <v>0</v>
      </c>
      <c r="BG68" s="260" t="str">
        <f t="shared" ref="BG68:BG114" si="73">IF($U68="","",$Y68*$BE68*(1-0.5*BF68))</f>
        <v/>
      </c>
      <c r="BH68" s="260" t="str">
        <f t="shared" ref="BH68:BH114" si="74">IF($U68="","",BG68*$E$17^($U68-$U$4+0.5))</f>
        <v/>
      </c>
      <c r="BI68" s="317" t="str">
        <f>IF($U68="","",SUM($BH68:$BH$114))</f>
        <v/>
      </c>
      <c r="BJ68" s="287" t="str">
        <f>IF($U68="","",INDEX(#REF!,$U68+1))</f>
        <v/>
      </c>
      <c r="BK68" s="260">
        <f t="shared" ref="BK68:BK114" si="75">X68</f>
        <v>0</v>
      </c>
      <c r="BL68" s="260" t="str">
        <f t="shared" ref="BL68:BL114" si="76">IF($U68="","",$Y68*$BJ68*(1-0.5*BK68))</f>
        <v/>
      </c>
      <c r="BM68" s="260" t="str">
        <f t="shared" ref="BM68:BM114" si="77">IF($U68="","",BL68*$E$17^($U68-$U$4+0.5))</f>
        <v/>
      </c>
      <c r="BN68" s="317" t="str">
        <f>IF($U68="","",SUM($BM68:$BM$114))</f>
        <v/>
      </c>
      <c r="BO68" s="287">
        <f t="shared" ref="BO68:BO114" si="78">X68</f>
        <v>0</v>
      </c>
      <c r="BP68" s="260" t="str">
        <f t="shared" ref="BP68:BP114" si="79">IF($U68="","",AF68*$BO68)</f>
        <v/>
      </c>
      <c r="BQ68" s="260" t="str">
        <f t="shared" ref="BQ68:BQ114" si="80">IF($U68="","",BP68*$E$17^($U68-$U$4+0.5))</f>
        <v/>
      </c>
      <c r="BR68" s="260"/>
      <c r="BS68" s="260" t="str">
        <f t="shared" si="38"/>
        <v/>
      </c>
      <c r="BT68" s="260" t="str">
        <f t="shared" ref="BT68:BT114" si="81">IF($U68="","",(Y68-AF68)*$BO68)</f>
        <v/>
      </c>
      <c r="BU68" s="260" t="str">
        <f t="shared" ref="BU68:BU114" si="82">IF($U68="","",BT68*$E$17^($U68-$U$4+0.5))</f>
        <v/>
      </c>
      <c r="BV68" s="260"/>
      <c r="BW68" s="260" t="str">
        <f t="shared" si="39"/>
        <v/>
      </c>
      <c r="BX68" s="260" t="str">
        <f>IF($U68="","",SUM(BS68:BS$114)+SUM(BW68:BW$114))</f>
        <v/>
      </c>
      <c r="BY68" s="122"/>
      <c r="BZ68" s="122"/>
      <c r="CA68" s="122"/>
      <c r="CB68" s="122"/>
      <c r="CC68" s="396" t="str">
        <f t="shared" si="55"/>
        <v/>
      </c>
      <c r="CD68" s="260" t="str">
        <f t="shared" si="40"/>
        <v/>
      </c>
      <c r="CE68" s="260" t="str">
        <f t="shared" ref="CE68:CE114" si="83">IF($U68="","",$BX$2*(BX68-$BX$117))</f>
        <v/>
      </c>
      <c r="CF68" s="260" t="str">
        <f t="shared" ref="CF68:CF114" si="84">IF($U68="","",MAX(($AH68-AH$116)-(($CE$2-1)/(2*$CE$2))*($AG68-$AG$116),0))</f>
        <v/>
      </c>
      <c r="CG68" s="260" t="str">
        <f t="shared" si="41"/>
        <v/>
      </c>
      <c r="CH68" s="260" t="str">
        <f t="shared" ref="CH68:CH114" si="85">IF($U68="","",$CE$2*$CF68*(-$K$48))</f>
        <v/>
      </c>
      <c r="CI68" s="123" t="str">
        <f t="shared" si="42"/>
        <v/>
      </c>
      <c r="CJ68" s="124" t="str">
        <f t="shared" ref="CJ68:CJ114" si="86">IF(U68="","",ROUND(CI68,$E$18)*$E$19)</f>
        <v/>
      </c>
      <c r="CK68" s="242"/>
      <c r="CL68" s="120" t="str">
        <f t="shared" ref="CL68:CL114" si="87">U68</f>
        <v/>
      </c>
      <c r="CM68" s="124" t="str">
        <f t="shared" si="48"/>
        <v/>
      </c>
      <c r="CN68" s="124" t="str">
        <f t="shared" si="43"/>
        <v/>
      </c>
      <c r="CO68" s="124" t="str">
        <f t="shared" ref="CO68:CO114" si="88">IF(CL68="","",MAX($CO$2*(MIN($F$5,7)-CM68)/MIN($F$5,7),0))</f>
        <v/>
      </c>
      <c r="CP68" s="124" t="str">
        <f t="shared" si="44"/>
        <v/>
      </c>
      <c r="CQ68" s="242"/>
      <c r="CR68" s="242"/>
      <c r="CS68" s="242"/>
      <c r="CT68" s="242"/>
      <c r="CU68" s="242"/>
      <c r="CV68" s="242"/>
      <c r="CW68" s="478"/>
      <c r="CX68" s="478"/>
      <c r="CY68" s="478"/>
      <c r="CZ68" s="478"/>
      <c r="DA68" s="478"/>
      <c r="DB68" s="478"/>
      <c r="DC68" s="478"/>
      <c r="DD68" s="478"/>
      <c r="DE68" s="478"/>
      <c r="DF68" s="478"/>
      <c r="DG68" s="478"/>
      <c r="DH68" s="478"/>
      <c r="DI68" s="478"/>
      <c r="DJ68" s="478"/>
      <c r="DK68" s="478"/>
      <c r="DL68" s="478"/>
      <c r="DM68" s="478"/>
      <c r="DN68" s="478"/>
      <c r="DO68" s="478"/>
      <c r="DP68" s="478"/>
      <c r="DQ68" s="478"/>
      <c r="DR68" s="478"/>
      <c r="DS68" s="478"/>
      <c r="DT68" s="478"/>
      <c r="DU68" s="478"/>
      <c r="DV68" s="478"/>
      <c r="DW68" s="478"/>
      <c r="DX68" s="478"/>
      <c r="DY68" s="478"/>
      <c r="DZ68" s="478"/>
      <c r="EA68" s="478"/>
      <c r="EB68" s="478"/>
      <c r="EC68" s="478"/>
      <c r="ED68" s="478"/>
    </row>
    <row r="69" spans="1:134">
      <c r="A69" s="305"/>
      <c r="D69" s="456"/>
      <c r="E69" s="457"/>
      <c r="F69" s="456"/>
      <c r="G69" s="465"/>
      <c r="I69" s="160"/>
      <c r="J69" s="148"/>
      <c r="K69" s="148"/>
      <c r="M69" s="153"/>
      <c r="N69" s="278" t="str">
        <f t="shared" si="52"/>
        <v/>
      </c>
      <c r="O69" s="279" t="str">
        <f t="shared" si="53"/>
        <v/>
      </c>
      <c r="P69" s="271" t="str">
        <f t="shared" si="49"/>
        <v/>
      </c>
      <c r="Q69" s="271" t="str">
        <f t="shared" si="50"/>
        <v/>
      </c>
      <c r="R69" s="271" t="str">
        <f t="shared" si="51"/>
        <v/>
      </c>
      <c r="S69" s="400" t="str">
        <f t="shared" si="54"/>
        <v/>
      </c>
      <c r="T69" s="405"/>
      <c r="U69" s="130" t="str">
        <f t="shared" si="45"/>
        <v/>
      </c>
      <c r="V69" s="288" t="str">
        <f>Main_무해지!AC69</f>
        <v/>
      </c>
      <c r="W69" s="311">
        <f>+Main_무해지!AD69</f>
        <v>0</v>
      </c>
      <c r="X69" s="311">
        <v>0</v>
      </c>
      <c r="Y69" s="261" t="str">
        <f t="shared" si="46"/>
        <v/>
      </c>
      <c r="Z69" s="261" t="str">
        <f t="shared" si="56"/>
        <v/>
      </c>
      <c r="AA69" s="131" t="str">
        <f>IF($U69="","",SUM(Z69:Z$114))</f>
        <v/>
      </c>
      <c r="AB69" s="261" t="str">
        <f t="shared" ref="AB69:AB114" si="89">V69</f>
        <v/>
      </c>
      <c r="AC69" s="254">
        <f t="shared" ref="AC69:AC114" si="90">+W69</f>
        <v>0</v>
      </c>
      <c r="AD69" s="254" t="str">
        <f>Main_무해지!AJ69</f>
        <v/>
      </c>
      <c r="AE69" s="261">
        <f t="shared" si="57"/>
        <v>0</v>
      </c>
      <c r="AF69" s="261" t="str">
        <f t="shared" si="47"/>
        <v/>
      </c>
      <c r="AG69" s="261" t="str">
        <f t="shared" si="58"/>
        <v/>
      </c>
      <c r="AH69" s="131" t="str">
        <f>IF($U69="","",SUM(AG69:AG$114))</f>
        <v/>
      </c>
      <c r="AI69" s="261" t="str">
        <f>Main_무해지!AP69</f>
        <v/>
      </c>
      <c r="AJ69" s="261">
        <f t="shared" si="59"/>
        <v>0</v>
      </c>
      <c r="AK69" s="261" t="str">
        <f t="shared" si="60"/>
        <v/>
      </c>
      <c r="AL69" s="261" t="str">
        <f t="shared" si="61"/>
        <v/>
      </c>
      <c r="AM69" s="318" t="str">
        <f>IF($U69="","",SUM($AN69:$AN$114))</f>
        <v/>
      </c>
      <c r="AN69" s="261" t="str">
        <f t="shared" ref="AN69:AN114" si="91">IF($U69="","",AL69*AO69)</f>
        <v/>
      </c>
      <c r="AO69" s="318" t="str">
        <f t="shared" si="62"/>
        <v/>
      </c>
      <c r="AP69" s="288" t="str">
        <f>IF($U69="","",INDEX(#REF!,$U69+1))</f>
        <v/>
      </c>
      <c r="AQ69" s="261">
        <f t="shared" si="63"/>
        <v>0</v>
      </c>
      <c r="AR69" s="261" t="str">
        <f t="shared" si="64"/>
        <v/>
      </c>
      <c r="AS69" s="261" t="str">
        <f t="shared" si="65"/>
        <v/>
      </c>
      <c r="AT69" s="318" t="str">
        <f>IF($U69="","",SUM($AS69:$AS$114))</f>
        <v/>
      </c>
      <c r="AU69" s="288" t="str">
        <f>IF($U69="","",INDEX(#REF!,$U69+1))</f>
        <v/>
      </c>
      <c r="AV69" s="261">
        <f t="shared" si="66"/>
        <v>0</v>
      </c>
      <c r="AW69" s="261" t="str">
        <f t="shared" si="67"/>
        <v/>
      </c>
      <c r="AX69" s="261" t="str">
        <f t="shared" si="68"/>
        <v/>
      </c>
      <c r="AY69" s="318" t="str">
        <f>IF($U69="","",SUM($AX69:$AX$114))</f>
        <v/>
      </c>
      <c r="AZ69" s="288" t="str">
        <f>IF($U69="","",INDEX(#REF!,$U69+1))</f>
        <v/>
      </c>
      <c r="BA69" s="261">
        <f t="shared" si="69"/>
        <v>0</v>
      </c>
      <c r="BB69" s="261" t="str">
        <f t="shared" si="70"/>
        <v/>
      </c>
      <c r="BC69" s="261" t="str">
        <f t="shared" si="71"/>
        <v/>
      </c>
      <c r="BD69" s="318" t="str">
        <f>IF($U69="","",SUM($BC69:$BC$114))</f>
        <v/>
      </c>
      <c r="BE69" s="288" t="str">
        <f>IF($U69="","",INDEX(#REF!,$U69+1))</f>
        <v/>
      </c>
      <c r="BF69" s="261">
        <f t="shared" si="72"/>
        <v>0</v>
      </c>
      <c r="BG69" s="261" t="str">
        <f t="shared" si="73"/>
        <v/>
      </c>
      <c r="BH69" s="261" t="str">
        <f t="shared" si="74"/>
        <v/>
      </c>
      <c r="BI69" s="318" t="str">
        <f>IF($U69="","",SUM($BH69:$BH$114))</f>
        <v/>
      </c>
      <c r="BJ69" s="288" t="str">
        <f>IF($U69="","",INDEX(#REF!,$U69+1))</f>
        <v/>
      </c>
      <c r="BK69" s="261">
        <f t="shared" si="75"/>
        <v>0</v>
      </c>
      <c r="BL69" s="261" t="str">
        <f t="shared" si="76"/>
        <v/>
      </c>
      <c r="BM69" s="261" t="str">
        <f t="shared" si="77"/>
        <v/>
      </c>
      <c r="BN69" s="318" t="str">
        <f>IF($U69="","",SUM($BM69:$BM$114))</f>
        <v/>
      </c>
      <c r="BO69" s="288">
        <f t="shared" si="78"/>
        <v>0</v>
      </c>
      <c r="BP69" s="261" t="str">
        <f t="shared" si="79"/>
        <v/>
      </c>
      <c r="BQ69" s="261" t="str">
        <f t="shared" si="80"/>
        <v/>
      </c>
      <c r="BR69" s="261"/>
      <c r="BS69" s="261" t="str">
        <f t="shared" ref="BS69:BS114" si="92">IF($U69="","",BQ69*BR69)</f>
        <v/>
      </c>
      <c r="BT69" s="261" t="str">
        <f t="shared" si="81"/>
        <v/>
      </c>
      <c r="BU69" s="261" t="str">
        <f t="shared" si="82"/>
        <v/>
      </c>
      <c r="BV69" s="261"/>
      <c r="BW69" s="261" t="str">
        <f t="shared" ref="BW69:BW114" si="93">IF($U69="","",BU69*BV69)</f>
        <v/>
      </c>
      <c r="BX69" s="261" t="str">
        <f>IF($U69="","",SUM(BS69:BS$114)+SUM(BW69:BW$114))</f>
        <v/>
      </c>
      <c r="BY69" s="132"/>
      <c r="BZ69" s="132"/>
      <c r="CA69" s="132"/>
      <c r="CB69" s="132"/>
      <c r="CC69" s="397" t="str">
        <f t="shared" si="55"/>
        <v/>
      </c>
      <c r="CD69" s="261" t="str">
        <f t="shared" ref="CD69:CD114" si="94">IF($U69="","",IF(AND($G$3=1,$F$4=1),0.475*$AM$2*(AM69-$AM$117),$AM$2*(AM69-$AM$117)))</f>
        <v/>
      </c>
      <c r="CE69" s="261" t="str">
        <f t="shared" si="83"/>
        <v/>
      </c>
      <c r="CF69" s="261" t="str">
        <f t="shared" si="84"/>
        <v/>
      </c>
      <c r="CG69" s="261" t="str">
        <f t="shared" ref="CG69:CG114" si="95">IF($U69="","",IF($F$5=0,AA69-AA$117,MIN(AA69,AA$116)-AA$117))</f>
        <v/>
      </c>
      <c r="CH69" s="261" t="str">
        <f t="shared" si="85"/>
        <v/>
      </c>
      <c r="CI69" s="133" t="str">
        <f t="shared" ref="CI69:CI114" si="96">IF($U69="","",IF($F$5=0,($CD69+$K$34*ROUND($K$55,$E$18)+$E$37*$CG69)/$Z69,($CD69+CE69+$CE$2*$K$34*(IF($F$7=0,ROUND($K$47,$E$18),ROUND($K$55,$E$18)))+$E$29*$CG69+$CH69)/$Z69))</f>
        <v/>
      </c>
      <c r="CJ69" s="134" t="str">
        <f t="shared" si="86"/>
        <v/>
      </c>
      <c r="CK69" s="243"/>
      <c r="CL69" s="130" t="str">
        <f t="shared" si="87"/>
        <v/>
      </c>
      <c r="CM69" s="134" t="str">
        <f t="shared" si="48"/>
        <v/>
      </c>
      <c r="CN69" s="134" t="str">
        <f t="shared" ref="CN69:CN114" si="97">CJ69</f>
        <v/>
      </c>
      <c r="CO69" s="134" t="str">
        <f t="shared" si="88"/>
        <v/>
      </c>
      <c r="CP69" s="134" t="str">
        <f t="shared" ref="CP69:CP114" si="98">IF(CM69="","",MAX(CN69-CO69,0))</f>
        <v/>
      </c>
      <c r="CQ69" s="243"/>
      <c r="CR69" s="243"/>
      <c r="CS69" s="243"/>
      <c r="CT69" s="243"/>
      <c r="CU69" s="243"/>
      <c r="CV69" s="243"/>
      <c r="CW69" s="478"/>
      <c r="CX69" s="478"/>
      <c r="CY69" s="478"/>
      <c r="CZ69" s="478"/>
      <c r="DA69" s="478"/>
      <c r="DB69" s="478"/>
      <c r="DC69" s="478"/>
      <c r="DD69" s="478"/>
      <c r="DE69" s="478"/>
      <c r="DF69" s="478"/>
      <c r="DG69" s="478"/>
      <c r="DH69" s="478"/>
      <c r="DI69" s="478"/>
      <c r="DJ69" s="478"/>
      <c r="DK69" s="478"/>
      <c r="DL69" s="478"/>
      <c r="DM69" s="478"/>
      <c r="DN69" s="478"/>
      <c r="DO69" s="478"/>
      <c r="DP69" s="478"/>
      <c r="DQ69" s="478"/>
      <c r="DR69" s="478"/>
      <c r="DS69" s="478"/>
      <c r="DT69" s="478"/>
      <c r="DU69" s="478"/>
      <c r="DV69" s="478"/>
      <c r="DW69" s="478"/>
      <c r="DX69" s="478"/>
      <c r="DY69" s="478"/>
      <c r="DZ69" s="478"/>
      <c r="EA69" s="478"/>
      <c r="EB69" s="478"/>
      <c r="EC69" s="478"/>
      <c r="ED69" s="478"/>
    </row>
    <row r="70" spans="1:134">
      <c r="A70" s="305"/>
      <c r="D70" s="456"/>
      <c r="E70" s="457"/>
      <c r="F70" s="456"/>
      <c r="G70" s="465"/>
      <c r="I70" s="2"/>
      <c r="M70" s="153"/>
      <c r="N70" s="278" t="str">
        <f t="shared" si="52"/>
        <v/>
      </c>
      <c r="O70" s="279" t="str">
        <f t="shared" si="53"/>
        <v/>
      </c>
      <c r="P70" s="271" t="str">
        <f t="shared" si="49"/>
        <v/>
      </c>
      <c r="Q70" s="271" t="str">
        <f t="shared" si="50"/>
        <v/>
      </c>
      <c r="R70" s="271" t="str">
        <f t="shared" si="51"/>
        <v/>
      </c>
      <c r="S70" s="400" t="str">
        <f t="shared" si="54"/>
        <v/>
      </c>
      <c r="T70" s="405"/>
      <c r="U70" s="759" t="str">
        <f t="shared" ref="U70:U114" si="99">IF(U69="","",(IF(U69=MIN(($E$3+$F$4),IF($F$2=1,110,112)),"",(U69+1))))</f>
        <v/>
      </c>
      <c r="V70" s="761" t="str">
        <f>Main_무해지!AC70</f>
        <v/>
      </c>
      <c r="W70" s="639">
        <f>+Main_무해지!AD70</f>
        <v>0</v>
      </c>
      <c r="X70" s="639">
        <v>0</v>
      </c>
      <c r="Y70" s="409" t="str">
        <f t="shared" ref="Y70:Y114" si="100">IF(U70="","",Y69*(1-X69))</f>
        <v/>
      </c>
      <c r="Z70" s="409" t="str">
        <f t="shared" si="56"/>
        <v/>
      </c>
      <c r="AA70" s="760" t="str">
        <f>IF($U70="","",SUM(Z70:Z$114))</f>
        <v/>
      </c>
      <c r="AB70" s="409" t="str">
        <f t="shared" si="89"/>
        <v/>
      </c>
      <c r="AC70" s="254">
        <f t="shared" si="90"/>
        <v>0</v>
      </c>
      <c r="AD70" s="254" t="str">
        <f>Main_무해지!AJ70</f>
        <v/>
      </c>
      <c r="AE70" s="409">
        <f t="shared" si="57"/>
        <v>0</v>
      </c>
      <c r="AF70" s="409" t="str">
        <f t="shared" ref="AF70:AF114" si="101">IF($U70="","",IF(AND($G$3=1,$F$4=1),AF69,AF69*(1-AD69)))</f>
        <v/>
      </c>
      <c r="AG70" s="409" t="str">
        <f t="shared" si="58"/>
        <v/>
      </c>
      <c r="AH70" s="760" t="str">
        <f>IF($U70="","",SUM(AG70:AG$114))</f>
        <v/>
      </c>
      <c r="AI70" s="409" t="str">
        <f>Main_무해지!AP70</f>
        <v/>
      </c>
      <c r="AJ70" s="409">
        <f t="shared" si="59"/>
        <v>0</v>
      </c>
      <c r="AK70" s="409" t="str">
        <f t="shared" si="60"/>
        <v/>
      </c>
      <c r="AL70" s="409" t="str">
        <f t="shared" si="61"/>
        <v/>
      </c>
      <c r="AM70" s="762" t="str">
        <f>IF($U70="","",SUM($AN70:$AN$114))</f>
        <v/>
      </c>
      <c r="AN70" s="409" t="str">
        <f t="shared" si="91"/>
        <v/>
      </c>
      <c r="AO70" s="762" t="str">
        <f t="shared" si="62"/>
        <v/>
      </c>
      <c r="AP70" s="761" t="str">
        <f>IF($U70="","",INDEX(#REF!,$U70+1))</f>
        <v/>
      </c>
      <c r="AQ70" s="409">
        <f t="shared" si="63"/>
        <v>0</v>
      </c>
      <c r="AR70" s="409" t="str">
        <f t="shared" si="64"/>
        <v/>
      </c>
      <c r="AS70" s="409" t="str">
        <f t="shared" si="65"/>
        <v/>
      </c>
      <c r="AT70" s="762" t="str">
        <f>IF($U70="","",SUM($AS70:$AS$114))</f>
        <v/>
      </c>
      <c r="AU70" s="761" t="str">
        <f>IF($U70="","",INDEX(#REF!,$U70+1))</f>
        <v/>
      </c>
      <c r="AV70" s="409">
        <f t="shared" si="66"/>
        <v>0</v>
      </c>
      <c r="AW70" s="409" t="str">
        <f t="shared" si="67"/>
        <v/>
      </c>
      <c r="AX70" s="409" t="str">
        <f t="shared" si="68"/>
        <v/>
      </c>
      <c r="AY70" s="762" t="str">
        <f>IF($U70="","",SUM($AX70:$AX$114))</f>
        <v/>
      </c>
      <c r="AZ70" s="761" t="str">
        <f>IF($U70="","",INDEX(#REF!,$U70+1))</f>
        <v/>
      </c>
      <c r="BA70" s="409">
        <f t="shared" si="69"/>
        <v>0</v>
      </c>
      <c r="BB70" s="409" t="str">
        <f t="shared" si="70"/>
        <v/>
      </c>
      <c r="BC70" s="409" t="str">
        <f t="shared" si="71"/>
        <v/>
      </c>
      <c r="BD70" s="762" t="str">
        <f>IF($U70="","",SUM($BC70:$BC$114))</f>
        <v/>
      </c>
      <c r="BE70" s="761" t="str">
        <f>IF($U70="","",INDEX(#REF!,$U70+1))</f>
        <v/>
      </c>
      <c r="BF70" s="409">
        <f t="shared" si="72"/>
        <v>0</v>
      </c>
      <c r="BG70" s="409" t="str">
        <f t="shared" si="73"/>
        <v/>
      </c>
      <c r="BH70" s="409" t="str">
        <f t="shared" si="74"/>
        <v/>
      </c>
      <c r="BI70" s="762" t="str">
        <f>IF($U70="","",SUM($BH70:$BH$114))</f>
        <v/>
      </c>
      <c r="BJ70" s="761" t="str">
        <f>IF($U70="","",INDEX(#REF!,$U70+1))</f>
        <v/>
      </c>
      <c r="BK70" s="409">
        <f t="shared" si="75"/>
        <v>0</v>
      </c>
      <c r="BL70" s="409" t="str">
        <f t="shared" si="76"/>
        <v/>
      </c>
      <c r="BM70" s="409" t="str">
        <f t="shared" si="77"/>
        <v/>
      </c>
      <c r="BN70" s="762" t="str">
        <f>IF($U70="","",SUM($BM70:$BM$114))</f>
        <v/>
      </c>
      <c r="BO70" s="761">
        <f t="shared" si="78"/>
        <v>0</v>
      </c>
      <c r="BP70" s="409" t="str">
        <f t="shared" si="79"/>
        <v/>
      </c>
      <c r="BQ70" s="409" t="str">
        <f t="shared" si="80"/>
        <v/>
      </c>
      <c r="BR70" s="409"/>
      <c r="BS70" s="409" t="str">
        <f t="shared" si="92"/>
        <v/>
      </c>
      <c r="BT70" s="409" t="str">
        <f t="shared" si="81"/>
        <v/>
      </c>
      <c r="BU70" s="409" t="str">
        <f t="shared" si="82"/>
        <v/>
      </c>
      <c r="BV70" s="409"/>
      <c r="BW70" s="409" t="str">
        <f t="shared" si="93"/>
        <v/>
      </c>
      <c r="BX70" s="409" t="str">
        <f>IF($U70="","",SUM(BS70:BS$114)+SUM(BW70:BW$114))</f>
        <v/>
      </c>
      <c r="BY70" s="763"/>
      <c r="BZ70" s="763"/>
      <c r="CA70" s="763"/>
      <c r="CB70" s="763"/>
      <c r="CC70" s="764" t="str">
        <f t="shared" si="55"/>
        <v/>
      </c>
      <c r="CD70" s="409" t="str">
        <f t="shared" si="94"/>
        <v/>
      </c>
      <c r="CE70" s="409" t="str">
        <f t="shared" si="83"/>
        <v/>
      </c>
      <c r="CF70" s="409" t="str">
        <f t="shared" si="84"/>
        <v/>
      </c>
      <c r="CG70" s="409" t="str">
        <f t="shared" si="95"/>
        <v/>
      </c>
      <c r="CH70" s="409" t="str">
        <f t="shared" si="85"/>
        <v/>
      </c>
      <c r="CI70" s="765" t="str">
        <f t="shared" si="96"/>
        <v/>
      </c>
      <c r="CJ70" s="766" t="str">
        <f t="shared" si="86"/>
        <v/>
      </c>
      <c r="CK70" s="414"/>
      <c r="CL70" s="759" t="str">
        <f t="shared" si="87"/>
        <v/>
      </c>
      <c r="CM70" s="766" t="str">
        <f t="shared" ref="CM70:CM114" si="102">IF(CM69&gt;=$F$4,"",CM69+1)</f>
        <v/>
      </c>
      <c r="CN70" s="766" t="str">
        <f t="shared" si="97"/>
        <v/>
      </c>
      <c r="CO70" s="766" t="str">
        <f t="shared" si="88"/>
        <v/>
      </c>
      <c r="CP70" s="766" t="str">
        <f t="shared" si="98"/>
        <v/>
      </c>
      <c r="CQ70" s="414"/>
      <c r="CR70" s="414"/>
      <c r="CS70" s="414"/>
      <c r="CT70" s="414"/>
      <c r="CU70" s="414"/>
      <c r="CV70" s="414"/>
      <c r="CW70" s="478"/>
      <c r="CX70" s="478"/>
      <c r="CY70" s="478"/>
      <c r="CZ70" s="478"/>
      <c r="DA70" s="478"/>
      <c r="DB70" s="478"/>
      <c r="DC70" s="478"/>
      <c r="DD70" s="478"/>
      <c r="DE70" s="478"/>
      <c r="DF70" s="478"/>
      <c r="DG70" s="478"/>
      <c r="DH70" s="478"/>
      <c r="DI70" s="478"/>
      <c r="DJ70" s="478"/>
      <c r="DK70" s="478"/>
      <c r="DL70" s="478"/>
      <c r="DM70" s="478"/>
      <c r="DN70" s="478"/>
      <c r="DO70" s="478"/>
      <c r="DP70" s="478"/>
      <c r="DQ70" s="478"/>
      <c r="DR70" s="478"/>
      <c r="DS70" s="478"/>
      <c r="DT70" s="478"/>
      <c r="DU70" s="478"/>
      <c r="DV70" s="478"/>
      <c r="DW70" s="478"/>
      <c r="DX70" s="478"/>
      <c r="DY70" s="478"/>
      <c r="DZ70" s="478"/>
      <c r="EA70" s="478"/>
      <c r="EB70" s="478"/>
      <c r="EC70" s="478"/>
      <c r="ED70" s="478"/>
    </row>
    <row r="71" spans="1:134" ht="17.25" thickBot="1">
      <c r="A71" s="305"/>
      <c r="D71" s="461"/>
      <c r="E71" s="462"/>
      <c r="F71" s="463"/>
      <c r="G71" s="466"/>
      <c r="I71" s="2"/>
      <c r="M71" s="154"/>
      <c r="N71" s="280" t="str">
        <f t="shared" si="52"/>
        <v/>
      </c>
      <c r="O71" s="281" t="str">
        <f t="shared" si="53"/>
        <v/>
      </c>
      <c r="P71" s="282" t="str">
        <f t="shared" ref="P71:P114" si="103">IF(N71="","",IF($F$5=0,$K$3,$K$3*$F$6*MIN($N71,F$5)))</f>
        <v/>
      </c>
      <c r="Q71" s="282" t="str">
        <f t="shared" ref="Q71:Q114" si="104">IF(N71="","",CJ69*$E$12/$E$19*10000)</f>
        <v/>
      </c>
      <c r="R71" s="282" t="str">
        <f t="shared" ref="R71:R114" si="105">IF(N71="","",ROUND(MAX(Q71-IF(N71&gt;=MIN(7,$F$5),0,((MIN(7,$F$5)-N71)/MIN(7,$F$5))*MIN($K$10,$K$11)*$E$12/$E$19*10000),0),0))</f>
        <v/>
      </c>
      <c r="S71" s="402" t="str">
        <f t="shared" si="54"/>
        <v/>
      </c>
      <c r="T71" s="405"/>
      <c r="U71" s="70" t="str">
        <f t="shared" si="99"/>
        <v/>
      </c>
      <c r="V71" s="71" t="str">
        <f>Main_무해지!AC71</f>
        <v/>
      </c>
      <c r="W71" s="74">
        <f>+Main_무해지!AD71</f>
        <v>0</v>
      </c>
      <c r="X71" s="74">
        <v>0</v>
      </c>
      <c r="Y71" s="256" t="str">
        <f t="shared" si="100"/>
        <v/>
      </c>
      <c r="Z71" s="256" t="str">
        <f t="shared" si="56"/>
        <v/>
      </c>
      <c r="AA71" s="72" t="str">
        <f>IF($U71="","",SUM(Z71:Z$114))</f>
        <v/>
      </c>
      <c r="AB71" s="256" t="str">
        <f t="shared" si="89"/>
        <v/>
      </c>
      <c r="AC71" s="254">
        <f t="shared" si="90"/>
        <v>0</v>
      </c>
      <c r="AD71" s="254" t="str">
        <f>Main_무해지!AJ71</f>
        <v/>
      </c>
      <c r="AE71" s="256">
        <f t="shared" si="57"/>
        <v>0</v>
      </c>
      <c r="AF71" s="256" t="str">
        <f t="shared" si="101"/>
        <v/>
      </c>
      <c r="AG71" s="256" t="str">
        <f t="shared" si="58"/>
        <v/>
      </c>
      <c r="AH71" s="72" t="str">
        <f>IF($U71="","",SUM(AG71:AG$114))</f>
        <v/>
      </c>
      <c r="AI71" s="256" t="str">
        <f>Main_무해지!AP71</f>
        <v/>
      </c>
      <c r="AJ71" s="256">
        <f t="shared" si="59"/>
        <v>0</v>
      </c>
      <c r="AK71" s="256" t="str">
        <f t="shared" si="60"/>
        <v/>
      </c>
      <c r="AL71" s="256" t="str">
        <f t="shared" si="61"/>
        <v/>
      </c>
      <c r="AM71" s="75" t="str">
        <f>IF($U71="","",SUM($AN71:$AN$114))</f>
        <v/>
      </c>
      <c r="AN71" s="256" t="str">
        <f t="shared" si="91"/>
        <v/>
      </c>
      <c r="AO71" s="75" t="str">
        <f t="shared" si="62"/>
        <v/>
      </c>
      <c r="AP71" s="71" t="str">
        <f>IF($U71="","",INDEX(#REF!,$U71+1))</f>
        <v/>
      </c>
      <c r="AQ71" s="256">
        <f t="shared" si="63"/>
        <v>0</v>
      </c>
      <c r="AR71" s="256" t="str">
        <f t="shared" si="64"/>
        <v/>
      </c>
      <c r="AS71" s="256" t="str">
        <f t="shared" si="65"/>
        <v/>
      </c>
      <c r="AT71" s="75" t="str">
        <f>IF($U71="","",SUM($AS71:$AS$114))</f>
        <v/>
      </c>
      <c r="AU71" s="71" t="str">
        <f>IF($U71="","",INDEX(#REF!,$U71+1))</f>
        <v/>
      </c>
      <c r="AV71" s="256">
        <f t="shared" si="66"/>
        <v>0</v>
      </c>
      <c r="AW71" s="256" t="str">
        <f t="shared" si="67"/>
        <v/>
      </c>
      <c r="AX71" s="256" t="str">
        <f t="shared" si="68"/>
        <v/>
      </c>
      <c r="AY71" s="75" t="str">
        <f>IF($U71="","",SUM($AX71:$AX$114))</f>
        <v/>
      </c>
      <c r="AZ71" s="71" t="str">
        <f>IF($U71="","",INDEX(#REF!,$U71+1))</f>
        <v/>
      </c>
      <c r="BA71" s="256">
        <f t="shared" si="69"/>
        <v>0</v>
      </c>
      <c r="BB71" s="256" t="str">
        <f t="shared" si="70"/>
        <v/>
      </c>
      <c r="BC71" s="256" t="str">
        <f t="shared" si="71"/>
        <v/>
      </c>
      <c r="BD71" s="75" t="str">
        <f>IF($U71="","",SUM($BC71:$BC$114))</f>
        <v/>
      </c>
      <c r="BE71" s="71" t="str">
        <f>IF($U71="","",INDEX(#REF!,$U71+1))</f>
        <v/>
      </c>
      <c r="BF71" s="256">
        <f t="shared" si="72"/>
        <v>0</v>
      </c>
      <c r="BG71" s="256" t="str">
        <f t="shared" si="73"/>
        <v/>
      </c>
      <c r="BH71" s="256" t="str">
        <f t="shared" si="74"/>
        <v/>
      </c>
      <c r="BI71" s="75" t="str">
        <f>IF($U71="","",SUM($BH71:$BH$114))</f>
        <v/>
      </c>
      <c r="BJ71" s="71" t="str">
        <f>IF($U71="","",INDEX(#REF!,$U71+1))</f>
        <v/>
      </c>
      <c r="BK71" s="256">
        <f t="shared" si="75"/>
        <v>0</v>
      </c>
      <c r="BL71" s="256" t="str">
        <f t="shared" si="76"/>
        <v/>
      </c>
      <c r="BM71" s="256" t="str">
        <f t="shared" si="77"/>
        <v/>
      </c>
      <c r="BN71" s="75" t="str">
        <f>IF($U71="","",SUM($BM71:$BM$114))</f>
        <v/>
      </c>
      <c r="BO71" s="71">
        <f t="shared" si="78"/>
        <v>0</v>
      </c>
      <c r="BP71" s="256" t="str">
        <f t="shared" si="79"/>
        <v/>
      </c>
      <c r="BQ71" s="256" t="str">
        <f t="shared" si="80"/>
        <v/>
      </c>
      <c r="BR71" s="256"/>
      <c r="BS71" s="256" t="str">
        <f t="shared" si="92"/>
        <v/>
      </c>
      <c r="BT71" s="256" t="str">
        <f t="shared" si="81"/>
        <v/>
      </c>
      <c r="BU71" s="256" t="str">
        <f t="shared" si="82"/>
        <v/>
      </c>
      <c r="BV71" s="256"/>
      <c r="BW71" s="256" t="str">
        <f t="shared" si="93"/>
        <v/>
      </c>
      <c r="BX71" s="256" t="str">
        <f>IF($U71="","",SUM(BS71:BS$114)+SUM(BW71:BW$114))</f>
        <v/>
      </c>
      <c r="BY71" s="73"/>
      <c r="BZ71" s="73"/>
      <c r="CA71" s="73"/>
      <c r="CB71" s="73"/>
      <c r="CC71" s="392" t="str">
        <f t="shared" si="55"/>
        <v/>
      </c>
      <c r="CD71" s="256" t="str">
        <f t="shared" si="94"/>
        <v/>
      </c>
      <c r="CE71" s="256" t="str">
        <f t="shared" si="83"/>
        <v/>
      </c>
      <c r="CF71" s="256" t="str">
        <f t="shared" si="84"/>
        <v/>
      </c>
      <c r="CG71" s="256" t="str">
        <f t="shared" si="95"/>
        <v/>
      </c>
      <c r="CH71" s="256" t="str">
        <f t="shared" si="85"/>
        <v/>
      </c>
      <c r="CI71" s="76" t="str">
        <f t="shared" si="96"/>
        <v/>
      </c>
      <c r="CJ71" s="77" t="str">
        <f t="shared" si="86"/>
        <v/>
      </c>
      <c r="CK71" s="238"/>
      <c r="CL71" s="70" t="str">
        <f t="shared" si="87"/>
        <v/>
      </c>
      <c r="CM71" s="77" t="str">
        <f t="shared" si="102"/>
        <v/>
      </c>
      <c r="CN71" s="77" t="str">
        <f t="shared" si="97"/>
        <v/>
      </c>
      <c r="CO71" s="77" t="str">
        <f t="shared" si="88"/>
        <v/>
      </c>
      <c r="CP71" s="77" t="str">
        <f t="shared" si="98"/>
        <v/>
      </c>
      <c r="CQ71" s="238"/>
      <c r="CR71" s="238"/>
      <c r="CS71" s="238"/>
      <c r="CT71" s="238"/>
      <c r="CU71" s="238"/>
      <c r="CV71" s="238"/>
      <c r="CW71" s="478"/>
      <c r="CX71" s="478"/>
      <c r="CY71" s="478"/>
      <c r="CZ71" s="478"/>
      <c r="DA71" s="478"/>
      <c r="DB71" s="478"/>
      <c r="DC71" s="478"/>
      <c r="DD71" s="478"/>
      <c r="DE71" s="478"/>
      <c r="DF71" s="478"/>
      <c r="DG71" s="478"/>
      <c r="DH71" s="478"/>
      <c r="DI71" s="478"/>
      <c r="DJ71" s="478"/>
      <c r="DK71" s="478"/>
      <c r="DL71" s="478"/>
      <c r="DM71" s="478"/>
      <c r="DN71" s="478"/>
      <c r="DO71" s="478"/>
      <c r="DP71" s="478"/>
      <c r="DQ71" s="478"/>
      <c r="DR71" s="478"/>
      <c r="DS71" s="478"/>
      <c r="DT71" s="478"/>
      <c r="DU71" s="478"/>
      <c r="DV71" s="478"/>
      <c r="DW71" s="478"/>
      <c r="DX71" s="478"/>
      <c r="DY71" s="478"/>
      <c r="DZ71" s="478"/>
      <c r="EA71" s="478"/>
      <c r="EB71" s="478"/>
      <c r="EC71" s="478"/>
      <c r="ED71" s="478"/>
    </row>
    <row r="72" spans="1:134">
      <c r="A72" s="305"/>
      <c r="I72" s="2"/>
      <c r="M72" s="154"/>
      <c r="N72" s="275" t="str">
        <f t="shared" ref="N72:N118" si="106">IF(N71="","",IF(N71+1&gt;$F$4,"",N71+1))</f>
        <v/>
      </c>
      <c r="O72" s="276" t="str">
        <f t="shared" ref="O72:O114" si="107">IF(N72="","",$E$3+N72)</f>
        <v/>
      </c>
      <c r="P72" s="277" t="str">
        <f t="shared" si="103"/>
        <v/>
      </c>
      <c r="Q72" s="277" t="str">
        <f t="shared" si="104"/>
        <v/>
      </c>
      <c r="R72" s="277" t="str">
        <f t="shared" si="105"/>
        <v/>
      </c>
      <c r="S72" s="401" t="str">
        <f t="shared" ref="S72:S114" si="108">IF(N72="","",IF(R72=0,0,ROUNDDOWN(R72/P72,3)))</f>
        <v/>
      </c>
      <c r="T72" s="405"/>
      <c r="U72" s="70" t="str">
        <f t="shared" si="99"/>
        <v/>
      </c>
      <c r="V72" s="71" t="str">
        <f>Main_무해지!AC72</f>
        <v/>
      </c>
      <c r="W72" s="74">
        <f>+Main_무해지!AD72</f>
        <v>0</v>
      </c>
      <c r="X72" s="74">
        <v>0</v>
      </c>
      <c r="Y72" s="256" t="str">
        <f t="shared" si="100"/>
        <v/>
      </c>
      <c r="Z72" s="256" t="str">
        <f t="shared" si="56"/>
        <v/>
      </c>
      <c r="AA72" s="72" t="str">
        <f>IF($U72="","",SUM(Z72:Z$114))</f>
        <v/>
      </c>
      <c r="AB72" s="256" t="str">
        <f t="shared" si="89"/>
        <v/>
      </c>
      <c r="AC72" s="254">
        <f t="shared" si="90"/>
        <v>0</v>
      </c>
      <c r="AD72" s="254" t="str">
        <f>Main_무해지!AJ72</f>
        <v/>
      </c>
      <c r="AE72" s="256">
        <f t="shared" si="57"/>
        <v>0</v>
      </c>
      <c r="AF72" s="256" t="str">
        <f t="shared" si="101"/>
        <v/>
      </c>
      <c r="AG72" s="256" t="str">
        <f t="shared" si="58"/>
        <v/>
      </c>
      <c r="AH72" s="72" t="str">
        <f>IF($U72="","",SUM(AG72:AG$114))</f>
        <v/>
      </c>
      <c r="AI72" s="256" t="str">
        <f>Main_무해지!AP72</f>
        <v/>
      </c>
      <c r="AJ72" s="256">
        <f t="shared" si="59"/>
        <v>0</v>
      </c>
      <c r="AK72" s="256" t="str">
        <f t="shared" si="60"/>
        <v/>
      </c>
      <c r="AL72" s="256" t="str">
        <f t="shared" si="61"/>
        <v/>
      </c>
      <c r="AM72" s="75" t="str">
        <f>IF($U72="","",SUM($AN72:$AN$114))</f>
        <v/>
      </c>
      <c r="AN72" s="256" t="str">
        <f t="shared" si="91"/>
        <v/>
      </c>
      <c r="AO72" s="75" t="str">
        <f t="shared" si="62"/>
        <v/>
      </c>
      <c r="AP72" s="71" t="str">
        <f>IF($U72="","",INDEX(#REF!,$U72+1))</f>
        <v/>
      </c>
      <c r="AQ72" s="256">
        <f t="shared" si="63"/>
        <v>0</v>
      </c>
      <c r="AR72" s="256" t="str">
        <f t="shared" si="64"/>
        <v/>
      </c>
      <c r="AS72" s="256" t="str">
        <f t="shared" si="65"/>
        <v/>
      </c>
      <c r="AT72" s="75" t="str">
        <f>IF($U72="","",SUM($AS72:$AS$114))</f>
        <v/>
      </c>
      <c r="AU72" s="71" t="str">
        <f>IF($U72="","",INDEX(#REF!,$U72+1))</f>
        <v/>
      </c>
      <c r="AV72" s="256">
        <f t="shared" si="66"/>
        <v>0</v>
      </c>
      <c r="AW72" s="256" t="str">
        <f t="shared" si="67"/>
        <v/>
      </c>
      <c r="AX72" s="256" t="str">
        <f t="shared" si="68"/>
        <v/>
      </c>
      <c r="AY72" s="75" t="str">
        <f>IF($U72="","",SUM($AX72:$AX$114))</f>
        <v/>
      </c>
      <c r="AZ72" s="71" t="str">
        <f>IF($U72="","",INDEX(#REF!,$U72+1))</f>
        <v/>
      </c>
      <c r="BA72" s="256">
        <f t="shared" si="69"/>
        <v>0</v>
      </c>
      <c r="BB72" s="256" t="str">
        <f t="shared" si="70"/>
        <v/>
      </c>
      <c r="BC72" s="256" t="str">
        <f t="shared" si="71"/>
        <v/>
      </c>
      <c r="BD72" s="75" t="str">
        <f>IF($U72="","",SUM($BC72:$BC$114))</f>
        <v/>
      </c>
      <c r="BE72" s="71" t="str">
        <f>IF($U72="","",INDEX(#REF!,$U72+1))</f>
        <v/>
      </c>
      <c r="BF72" s="256">
        <f t="shared" si="72"/>
        <v>0</v>
      </c>
      <c r="BG72" s="256" t="str">
        <f t="shared" si="73"/>
        <v/>
      </c>
      <c r="BH72" s="256" t="str">
        <f t="shared" si="74"/>
        <v/>
      </c>
      <c r="BI72" s="75" t="str">
        <f>IF($U72="","",SUM($BH72:$BH$114))</f>
        <v/>
      </c>
      <c r="BJ72" s="71" t="str">
        <f>IF($U72="","",INDEX(#REF!,$U72+1))</f>
        <v/>
      </c>
      <c r="BK72" s="256">
        <f t="shared" si="75"/>
        <v>0</v>
      </c>
      <c r="BL72" s="256" t="str">
        <f t="shared" si="76"/>
        <v/>
      </c>
      <c r="BM72" s="256" t="str">
        <f t="shared" si="77"/>
        <v/>
      </c>
      <c r="BN72" s="75" t="str">
        <f>IF($U72="","",SUM($BM72:$BM$114))</f>
        <v/>
      </c>
      <c r="BO72" s="71">
        <f t="shared" si="78"/>
        <v>0</v>
      </c>
      <c r="BP72" s="256" t="str">
        <f t="shared" si="79"/>
        <v/>
      </c>
      <c r="BQ72" s="256" t="str">
        <f t="shared" si="80"/>
        <v/>
      </c>
      <c r="BR72" s="256"/>
      <c r="BS72" s="256" t="str">
        <f t="shared" si="92"/>
        <v/>
      </c>
      <c r="BT72" s="256" t="str">
        <f t="shared" si="81"/>
        <v/>
      </c>
      <c r="BU72" s="256" t="str">
        <f t="shared" si="82"/>
        <v/>
      </c>
      <c r="BV72" s="256"/>
      <c r="BW72" s="256" t="str">
        <f t="shared" si="93"/>
        <v/>
      </c>
      <c r="BX72" s="256" t="str">
        <f>IF($U72="","",SUM(BS72:BS$114)+SUM(BW72:BW$114))</f>
        <v/>
      </c>
      <c r="BY72" s="73"/>
      <c r="BZ72" s="73"/>
      <c r="CA72" s="73"/>
      <c r="CB72" s="73"/>
      <c r="CC72" s="392" t="str">
        <f t="shared" si="55"/>
        <v/>
      </c>
      <c r="CD72" s="256" t="str">
        <f t="shared" si="94"/>
        <v/>
      </c>
      <c r="CE72" s="256" t="str">
        <f t="shared" si="83"/>
        <v/>
      </c>
      <c r="CF72" s="256" t="str">
        <f t="shared" si="84"/>
        <v/>
      </c>
      <c r="CG72" s="256" t="str">
        <f t="shared" si="95"/>
        <v/>
      </c>
      <c r="CH72" s="256" t="str">
        <f t="shared" si="85"/>
        <v/>
      </c>
      <c r="CI72" s="76" t="str">
        <f t="shared" si="96"/>
        <v/>
      </c>
      <c r="CJ72" s="77" t="str">
        <f t="shared" si="86"/>
        <v/>
      </c>
      <c r="CK72" s="238"/>
      <c r="CL72" s="70" t="str">
        <f t="shared" si="87"/>
        <v/>
      </c>
      <c r="CM72" s="77" t="str">
        <f t="shared" si="102"/>
        <v/>
      </c>
      <c r="CN72" s="77" t="str">
        <f t="shared" si="97"/>
        <v/>
      </c>
      <c r="CO72" s="77" t="str">
        <f t="shared" si="88"/>
        <v/>
      </c>
      <c r="CP72" s="77" t="str">
        <f t="shared" si="98"/>
        <v/>
      </c>
      <c r="CQ72" s="238"/>
      <c r="CR72" s="238"/>
      <c r="CS72" s="238"/>
      <c r="CT72" s="238"/>
      <c r="CU72" s="238"/>
      <c r="CV72" s="238"/>
      <c r="CW72" s="478"/>
      <c r="CX72" s="478"/>
      <c r="CY72" s="478"/>
      <c r="CZ72" s="478"/>
      <c r="DA72" s="478"/>
      <c r="DB72" s="478"/>
      <c r="DC72" s="478"/>
      <c r="DD72" s="478"/>
      <c r="DE72" s="478"/>
      <c r="DF72" s="478"/>
      <c r="DG72" s="478"/>
      <c r="DH72" s="478"/>
      <c r="DI72" s="478"/>
      <c r="DJ72" s="478"/>
      <c r="DK72" s="478"/>
      <c r="DL72" s="478"/>
      <c r="DM72" s="478"/>
      <c r="DN72" s="478"/>
      <c r="DO72" s="478"/>
      <c r="DP72" s="478"/>
      <c r="DQ72" s="478"/>
      <c r="DR72" s="478"/>
      <c r="DS72" s="478"/>
      <c r="DT72" s="478"/>
      <c r="DU72" s="478"/>
      <c r="DV72" s="478"/>
      <c r="DW72" s="478"/>
      <c r="DX72" s="478"/>
      <c r="DY72" s="478"/>
      <c r="DZ72" s="478"/>
      <c r="EA72" s="478"/>
      <c r="EB72" s="478"/>
      <c r="EC72" s="478"/>
      <c r="ED72" s="478"/>
    </row>
    <row r="73" spans="1:134" ht="17.25" thickBot="1">
      <c r="A73" s="305"/>
      <c r="B73" s="373"/>
      <c r="I73" s="2"/>
      <c r="M73" s="154"/>
      <c r="N73" s="278" t="str">
        <f t="shared" si="106"/>
        <v/>
      </c>
      <c r="O73" s="279" t="str">
        <f t="shared" si="107"/>
        <v/>
      </c>
      <c r="P73" s="271" t="str">
        <f t="shared" si="103"/>
        <v/>
      </c>
      <c r="Q73" s="271" t="str">
        <f t="shared" si="104"/>
        <v/>
      </c>
      <c r="R73" s="271" t="str">
        <f t="shared" si="105"/>
        <v/>
      </c>
      <c r="S73" s="400" t="str">
        <f t="shared" si="108"/>
        <v/>
      </c>
      <c r="T73" s="405"/>
      <c r="U73" s="70" t="str">
        <f t="shared" si="99"/>
        <v/>
      </c>
      <c r="V73" s="71" t="str">
        <f>Main_무해지!AC73</f>
        <v/>
      </c>
      <c r="W73" s="74">
        <f>+Main_무해지!AD73</f>
        <v>0</v>
      </c>
      <c r="X73" s="74">
        <v>0</v>
      </c>
      <c r="Y73" s="256" t="str">
        <f t="shared" si="100"/>
        <v/>
      </c>
      <c r="Z73" s="256" t="str">
        <f t="shared" si="56"/>
        <v/>
      </c>
      <c r="AA73" s="72" t="str">
        <f>IF($U73="","",SUM(Z73:Z$114))</f>
        <v/>
      </c>
      <c r="AB73" s="256" t="str">
        <f t="shared" si="89"/>
        <v/>
      </c>
      <c r="AC73" s="254">
        <f t="shared" si="90"/>
        <v>0</v>
      </c>
      <c r="AD73" s="254" t="str">
        <f>Main_무해지!AJ73</f>
        <v/>
      </c>
      <c r="AE73" s="256">
        <f t="shared" si="57"/>
        <v>0</v>
      </c>
      <c r="AF73" s="256" t="str">
        <f t="shared" si="101"/>
        <v/>
      </c>
      <c r="AG73" s="256" t="str">
        <f t="shared" si="58"/>
        <v/>
      </c>
      <c r="AH73" s="72" t="str">
        <f>IF($U73="","",SUM(AG73:AG$114))</f>
        <v/>
      </c>
      <c r="AI73" s="256" t="str">
        <f>Main_무해지!AP73</f>
        <v/>
      </c>
      <c r="AJ73" s="256">
        <f t="shared" si="59"/>
        <v>0</v>
      </c>
      <c r="AK73" s="256" t="str">
        <f t="shared" si="60"/>
        <v/>
      </c>
      <c r="AL73" s="256" t="str">
        <f t="shared" si="61"/>
        <v/>
      </c>
      <c r="AM73" s="75" t="str">
        <f>IF($U73="","",SUM($AN73:$AN$114))</f>
        <v/>
      </c>
      <c r="AN73" s="256" t="str">
        <f t="shared" si="91"/>
        <v/>
      </c>
      <c r="AO73" s="75" t="str">
        <f t="shared" si="62"/>
        <v/>
      </c>
      <c r="AP73" s="71" t="str">
        <f>IF($U73="","",INDEX(#REF!,$U73+1))</f>
        <v/>
      </c>
      <c r="AQ73" s="256">
        <f t="shared" si="63"/>
        <v>0</v>
      </c>
      <c r="AR73" s="256" t="str">
        <f t="shared" si="64"/>
        <v/>
      </c>
      <c r="AS73" s="256" t="str">
        <f t="shared" si="65"/>
        <v/>
      </c>
      <c r="AT73" s="75" t="str">
        <f>IF($U73="","",SUM($AS73:$AS$114))</f>
        <v/>
      </c>
      <c r="AU73" s="71" t="str">
        <f>IF($U73="","",INDEX(#REF!,$U73+1))</f>
        <v/>
      </c>
      <c r="AV73" s="256">
        <f t="shared" si="66"/>
        <v>0</v>
      </c>
      <c r="AW73" s="256" t="str">
        <f t="shared" si="67"/>
        <v/>
      </c>
      <c r="AX73" s="256" t="str">
        <f t="shared" si="68"/>
        <v/>
      </c>
      <c r="AY73" s="75" t="str">
        <f>IF($U73="","",SUM($AX73:$AX$114))</f>
        <v/>
      </c>
      <c r="AZ73" s="71" t="str">
        <f>IF($U73="","",INDEX(#REF!,$U73+1))</f>
        <v/>
      </c>
      <c r="BA73" s="256">
        <f t="shared" si="69"/>
        <v>0</v>
      </c>
      <c r="BB73" s="256" t="str">
        <f t="shared" si="70"/>
        <v/>
      </c>
      <c r="BC73" s="256" t="str">
        <f t="shared" si="71"/>
        <v/>
      </c>
      <c r="BD73" s="75" t="str">
        <f>IF($U73="","",SUM($BC73:$BC$114))</f>
        <v/>
      </c>
      <c r="BE73" s="71" t="str">
        <f>IF($U73="","",INDEX(#REF!,$U73+1))</f>
        <v/>
      </c>
      <c r="BF73" s="256">
        <f t="shared" si="72"/>
        <v>0</v>
      </c>
      <c r="BG73" s="256" t="str">
        <f t="shared" si="73"/>
        <v/>
      </c>
      <c r="BH73" s="256" t="str">
        <f t="shared" si="74"/>
        <v/>
      </c>
      <c r="BI73" s="75" t="str">
        <f>IF($U73="","",SUM($BH73:$BH$114))</f>
        <v/>
      </c>
      <c r="BJ73" s="71" t="str">
        <f>IF($U73="","",INDEX(#REF!,$U73+1))</f>
        <v/>
      </c>
      <c r="BK73" s="256">
        <f t="shared" si="75"/>
        <v>0</v>
      </c>
      <c r="BL73" s="256" t="str">
        <f t="shared" si="76"/>
        <v/>
      </c>
      <c r="BM73" s="256" t="str">
        <f t="shared" si="77"/>
        <v/>
      </c>
      <c r="BN73" s="75" t="str">
        <f>IF($U73="","",SUM($BM73:$BM$114))</f>
        <v/>
      </c>
      <c r="BO73" s="71">
        <f t="shared" si="78"/>
        <v>0</v>
      </c>
      <c r="BP73" s="256" t="str">
        <f t="shared" si="79"/>
        <v/>
      </c>
      <c r="BQ73" s="256" t="str">
        <f t="shared" si="80"/>
        <v/>
      </c>
      <c r="BR73" s="256"/>
      <c r="BS73" s="256" t="str">
        <f t="shared" si="92"/>
        <v/>
      </c>
      <c r="BT73" s="256" t="str">
        <f t="shared" si="81"/>
        <v/>
      </c>
      <c r="BU73" s="256" t="str">
        <f t="shared" si="82"/>
        <v/>
      </c>
      <c r="BV73" s="256"/>
      <c r="BW73" s="256" t="str">
        <f t="shared" si="93"/>
        <v/>
      </c>
      <c r="BX73" s="256" t="str">
        <f>IF($U73="","",SUM(BS73:BS$114)+SUM(BW73:BW$114))</f>
        <v/>
      </c>
      <c r="BY73" s="73"/>
      <c r="BZ73" s="73"/>
      <c r="CA73" s="73"/>
      <c r="CB73" s="73"/>
      <c r="CC73" s="392" t="str">
        <f t="shared" si="55"/>
        <v/>
      </c>
      <c r="CD73" s="256" t="str">
        <f t="shared" si="94"/>
        <v/>
      </c>
      <c r="CE73" s="256" t="str">
        <f t="shared" si="83"/>
        <v/>
      </c>
      <c r="CF73" s="256" t="str">
        <f t="shared" si="84"/>
        <v/>
      </c>
      <c r="CG73" s="256" t="str">
        <f t="shared" si="95"/>
        <v/>
      </c>
      <c r="CH73" s="256" t="str">
        <f t="shared" si="85"/>
        <v/>
      </c>
      <c r="CI73" s="76" t="str">
        <f t="shared" si="96"/>
        <v/>
      </c>
      <c r="CJ73" s="77" t="str">
        <f t="shared" si="86"/>
        <v/>
      </c>
      <c r="CK73" s="238"/>
      <c r="CL73" s="70" t="str">
        <f t="shared" si="87"/>
        <v/>
      </c>
      <c r="CM73" s="77" t="str">
        <f t="shared" si="102"/>
        <v/>
      </c>
      <c r="CN73" s="77" t="str">
        <f t="shared" si="97"/>
        <v/>
      </c>
      <c r="CO73" s="77" t="str">
        <f t="shared" si="88"/>
        <v/>
      </c>
      <c r="CP73" s="77" t="str">
        <f t="shared" si="98"/>
        <v/>
      </c>
      <c r="CQ73" s="238"/>
      <c r="CR73" s="238"/>
      <c r="CS73" s="238"/>
      <c r="CT73" s="238"/>
      <c r="CU73" s="238"/>
      <c r="CV73" s="238"/>
      <c r="CW73" s="478"/>
      <c r="CX73" s="478"/>
      <c r="CY73" s="478"/>
      <c r="CZ73" s="478"/>
      <c r="DA73" s="478"/>
      <c r="DB73" s="478"/>
      <c r="DC73" s="478"/>
      <c r="DD73" s="478"/>
      <c r="DE73" s="478"/>
      <c r="DF73" s="478"/>
      <c r="DG73" s="478"/>
      <c r="DH73" s="478"/>
      <c r="DI73" s="478"/>
      <c r="DJ73" s="478"/>
      <c r="DK73" s="478"/>
      <c r="DL73" s="478"/>
      <c r="DM73" s="478"/>
      <c r="DN73" s="478"/>
      <c r="DO73" s="478"/>
      <c r="DP73" s="478"/>
      <c r="DQ73" s="478"/>
      <c r="DR73" s="478"/>
      <c r="DS73" s="478"/>
      <c r="DT73" s="478"/>
      <c r="DU73" s="478"/>
      <c r="DV73" s="478"/>
      <c r="DW73" s="478"/>
      <c r="DX73" s="478"/>
      <c r="DY73" s="478"/>
      <c r="DZ73" s="478"/>
      <c r="EA73" s="478"/>
      <c r="EB73" s="478"/>
      <c r="EC73" s="478"/>
      <c r="ED73" s="478"/>
    </row>
    <row r="74" spans="1:134" ht="17.25" thickBot="1">
      <c r="A74" s="305"/>
      <c r="B74" s="373"/>
      <c r="F74" s="819" t="s">
        <v>167</v>
      </c>
      <c r="G74" s="820"/>
      <c r="H74" s="821"/>
      <c r="I74" s="2"/>
      <c r="M74" s="154"/>
      <c r="N74" s="278" t="str">
        <f t="shared" si="106"/>
        <v/>
      </c>
      <c r="O74" s="279" t="str">
        <f t="shared" si="107"/>
        <v/>
      </c>
      <c r="P74" s="271" t="str">
        <f t="shared" si="103"/>
        <v/>
      </c>
      <c r="Q74" s="271" t="str">
        <f t="shared" si="104"/>
        <v/>
      </c>
      <c r="R74" s="271" t="str">
        <f t="shared" si="105"/>
        <v/>
      </c>
      <c r="S74" s="400" t="str">
        <f t="shared" si="108"/>
        <v/>
      </c>
      <c r="T74" s="405"/>
      <c r="U74" s="83" t="str">
        <f t="shared" si="99"/>
        <v/>
      </c>
      <c r="V74" s="84" t="str">
        <f>Main_무해지!AC74</f>
        <v/>
      </c>
      <c r="W74" s="87">
        <f>+Main_무해지!AD74</f>
        <v>0</v>
      </c>
      <c r="X74" s="87">
        <v>0</v>
      </c>
      <c r="Y74" s="257" t="str">
        <f t="shared" si="100"/>
        <v/>
      </c>
      <c r="Z74" s="257" t="str">
        <f t="shared" si="56"/>
        <v/>
      </c>
      <c r="AA74" s="85" t="str">
        <f>IF($U74="","",SUM(Z74:Z$114))</f>
        <v/>
      </c>
      <c r="AB74" s="257" t="str">
        <f t="shared" si="89"/>
        <v/>
      </c>
      <c r="AC74" s="254">
        <f t="shared" si="90"/>
        <v>0</v>
      </c>
      <c r="AD74" s="254" t="str">
        <f>Main_무해지!AJ74</f>
        <v/>
      </c>
      <c r="AE74" s="257">
        <f t="shared" si="57"/>
        <v>0</v>
      </c>
      <c r="AF74" s="257" t="str">
        <f t="shared" si="101"/>
        <v/>
      </c>
      <c r="AG74" s="257" t="str">
        <f t="shared" si="58"/>
        <v/>
      </c>
      <c r="AH74" s="85" t="str">
        <f>IF($U74="","",SUM(AG74:AG$114))</f>
        <v/>
      </c>
      <c r="AI74" s="257" t="str">
        <f>Main_무해지!AP74</f>
        <v/>
      </c>
      <c r="AJ74" s="257">
        <f t="shared" si="59"/>
        <v>0</v>
      </c>
      <c r="AK74" s="257" t="str">
        <f t="shared" si="60"/>
        <v/>
      </c>
      <c r="AL74" s="257" t="str">
        <f t="shared" si="61"/>
        <v/>
      </c>
      <c r="AM74" s="88" t="str">
        <f>IF($U74="","",SUM($AN74:$AN$114))</f>
        <v/>
      </c>
      <c r="AN74" s="257" t="str">
        <f t="shared" si="91"/>
        <v/>
      </c>
      <c r="AO74" s="88" t="str">
        <f t="shared" si="62"/>
        <v/>
      </c>
      <c r="AP74" s="84" t="str">
        <f>IF($U74="","",INDEX(#REF!,$U74+1))</f>
        <v/>
      </c>
      <c r="AQ74" s="257">
        <f t="shared" si="63"/>
        <v>0</v>
      </c>
      <c r="AR74" s="257" t="str">
        <f t="shared" si="64"/>
        <v/>
      </c>
      <c r="AS74" s="257" t="str">
        <f t="shared" si="65"/>
        <v/>
      </c>
      <c r="AT74" s="88" t="str">
        <f>IF($U74="","",SUM($AS74:$AS$114))</f>
        <v/>
      </c>
      <c r="AU74" s="84" t="str">
        <f>IF($U74="","",INDEX(#REF!,$U74+1))</f>
        <v/>
      </c>
      <c r="AV74" s="257">
        <f t="shared" si="66"/>
        <v>0</v>
      </c>
      <c r="AW74" s="257" t="str">
        <f t="shared" si="67"/>
        <v/>
      </c>
      <c r="AX74" s="257" t="str">
        <f t="shared" si="68"/>
        <v/>
      </c>
      <c r="AY74" s="88" t="str">
        <f>IF($U74="","",SUM($AX74:$AX$114))</f>
        <v/>
      </c>
      <c r="AZ74" s="84" t="str">
        <f>IF($U74="","",INDEX(#REF!,$U74+1))</f>
        <v/>
      </c>
      <c r="BA74" s="257">
        <f t="shared" si="69"/>
        <v>0</v>
      </c>
      <c r="BB74" s="257" t="str">
        <f t="shared" si="70"/>
        <v/>
      </c>
      <c r="BC74" s="257" t="str">
        <f t="shared" si="71"/>
        <v/>
      </c>
      <c r="BD74" s="88" t="str">
        <f>IF($U74="","",SUM($BC74:$BC$114))</f>
        <v/>
      </c>
      <c r="BE74" s="84" t="str">
        <f>IF($U74="","",INDEX(#REF!,$U74+1))</f>
        <v/>
      </c>
      <c r="BF74" s="257">
        <f t="shared" si="72"/>
        <v>0</v>
      </c>
      <c r="BG74" s="257" t="str">
        <f t="shared" si="73"/>
        <v/>
      </c>
      <c r="BH74" s="257" t="str">
        <f t="shared" si="74"/>
        <v/>
      </c>
      <c r="BI74" s="88" t="str">
        <f>IF($U74="","",SUM($BH74:$BH$114))</f>
        <v/>
      </c>
      <c r="BJ74" s="84" t="str">
        <f>IF($U74="","",INDEX(#REF!,$U74+1))</f>
        <v/>
      </c>
      <c r="BK74" s="257">
        <f t="shared" si="75"/>
        <v>0</v>
      </c>
      <c r="BL74" s="257" t="str">
        <f t="shared" si="76"/>
        <v/>
      </c>
      <c r="BM74" s="257" t="str">
        <f t="shared" si="77"/>
        <v/>
      </c>
      <c r="BN74" s="88" t="str">
        <f>IF($U74="","",SUM($BM74:$BM$114))</f>
        <v/>
      </c>
      <c r="BO74" s="84">
        <f t="shared" si="78"/>
        <v>0</v>
      </c>
      <c r="BP74" s="257" t="str">
        <f t="shared" si="79"/>
        <v/>
      </c>
      <c r="BQ74" s="257" t="str">
        <f t="shared" si="80"/>
        <v/>
      </c>
      <c r="BR74" s="257"/>
      <c r="BS74" s="257" t="str">
        <f t="shared" si="92"/>
        <v/>
      </c>
      <c r="BT74" s="257" t="str">
        <f t="shared" si="81"/>
        <v/>
      </c>
      <c r="BU74" s="257" t="str">
        <f t="shared" si="82"/>
        <v/>
      </c>
      <c r="BV74" s="257"/>
      <c r="BW74" s="257" t="str">
        <f t="shared" si="93"/>
        <v/>
      </c>
      <c r="BX74" s="257" t="str">
        <f>IF($U74="","",SUM(BS74:BS$114)+SUM(BW74:BW$114))</f>
        <v/>
      </c>
      <c r="BY74" s="86"/>
      <c r="BZ74" s="86"/>
      <c r="CA74" s="86"/>
      <c r="CB74" s="86"/>
      <c r="CC74" s="393" t="str">
        <f t="shared" si="55"/>
        <v/>
      </c>
      <c r="CD74" s="257" t="str">
        <f t="shared" si="94"/>
        <v/>
      </c>
      <c r="CE74" s="257" t="str">
        <f t="shared" si="83"/>
        <v/>
      </c>
      <c r="CF74" s="257" t="str">
        <f t="shared" si="84"/>
        <v/>
      </c>
      <c r="CG74" s="257" t="str">
        <f t="shared" si="95"/>
        <v/>
      </c>
      <c r="CH74" s="257" t="str">
        <f t="shared" si="85"/>
        <v/>
      </c>
      <c r="CI74" s="89" t="str">
        <f t="shared" si="96"/>
        <v/>
      </c>
      <c r="CJ74" s="90" t="str">
        <f t="shared" si="86"/>
        <v/>
      </c>
      <c r="CK74" s="239"/>
      <c r="CL74" s="83" t="str">
        <f t="shared" si="87"/>
        <v/>
      </c>
      <c r="CM74" s="90" t="str">
        <f t="shared" si="102"/>
        <v/>
      </c>
      <c r="CN74" s="90" t="str">
        <f t="shared" si="97"/>
        <v/>
      </c>
      <c r="CO74" s="90" t="str">
        <f t="shared" si="88"/>
        <v/>
      </c>
      <c r="CP74" s="90" t="str">
        <f t="shared" si="98"/>
        <v/>
      </c>
      <c r="CQ74" s="239"/>
      <c r="CR74" s="239"/>
      <c r="CS74" s="239"/>
      <c r="CT74" s="239"/>
      <c r="CU74" s="239"/>
      <c r="CV74" s="239"/>
      <c r="CW74" s="478"/>
      <c r="CX74" s="478"/>
      <c r="CY74" s="478"/>
      <c r="CZ74" s="478"/>
      <c r="DA74" s="478"/>
      <c r="DB74" s="478"/>
      <c r="DC74" s="478"/>
      <c r="DD74" s="478"/>
      <c r="DE74" s="478"/>
      <c r="DF74" s="478"/>
      <c r="DG74" s="478"/>
      <c r="DH74" s="478"/>
      <c r="DI74" s="478"/>
      <c r="DJ74" s="478"/>
      <c r="DK74" s="478"/>
      <c r="DL74" s="478"/>
      <c r="DM74" s="478"/>
      <c r="DN74" s="478"/>
      <c r="DO74" s="478"/>
      <c r="DP74" s="478"/>
      <c r="DQ74" s="478"/>
      <c r="DR74" s="478"/>
      <c r="DS74" s="478"/>
      <c r="DT74" s="478"/>
      <c r="DU74" s="478"/>
      <c r="DV74" s="478"/>
      <c r="DW74" s="478"/>
      <c r="DX74" s="478"/>
      <c r="DY74" s="478"/>
      <c r="DZ74" s="478"/>
      <c r="EA74" s="478"/>
      <c r="EB74" s="478"/>
      <c r="EC74" s="478"/>
      <c r="ED74" s="478"/>
    </row>
    <row r="75" spans="1:134">
      <c r="A75" s="305"/>
      <c r="B75" s="373"/>
      <c r="D75" s="467" t="s">
        <v>60</v>
      </c>
      <c r="E75" s="467" t="s">
        <v>59</v>
      </c>
      <c r="F75" s="453" t="s">
        <v>235</v>
      </c>
      <c r="G75" s="468" t="s">
        <v>236</v>
      </c>
      <c r="H75" s="455" t="s">
        <v>237</v>
      </c>
      <c r="I75" s="2"/>
      <c r="M75" s="155"/>
      <c r="N75" s="278" t="str">
        <f t="shared" si="106"/>
        <v/>
      </c>
      <c r="O75" s="279" t="str">
        <f t="shared" si="107"/>
        <v/>
      </c>
      <c r="P75" s="271" t="str">
        <f t="shared" si="103"/>
        <v/>
      </c>
      <c r="Q75" s="271" t="str">
        <f t="shared" si="104"/>
        <v/>
      </c>
      <c r="R75" s="271" t="str">
        <f t="shared" si="105"/>
        <v/>
      </c>
      <c r="S75" s="400" t="str">
        <f t="shared" si="108"/>
        <v/>
      </c>
      <c r="T75" s="405"/>
      <c r="U75" s="750" t="str">
        <f t="shared" si="99"/>
        <v/>
      </c>
      <c r="V75" s="752" t="str">
        <f>Main_무해지!AC75</f>
        <v/>
      </c>
      <c r="W75" s="638">
        <f>+Main_무해지!AD75</f>
        <v>0</v>
      </c>
      <c r="X75" s="638">
        <v>0</v>
      </c>
      <c r="Y75" s="408" t="str">
        <f t="shared" si="100"/>
        <v/>
      </c>
      <c r="Z75" s="408" t="str">
        <f t="shared" si="56"/>
        <v/>
      </c>
      <c r="AA75" s="751" t="str">
        <f>IF($U75="","",SUM(Z75:Z$114))</f>
        <v/>
      </c>
      <c r="AB75" s="408" t="str">
        <f t="shared" si="89"/>
        <v/>
      </c>
      <c r="AC75" s="254">
        <f t="shared" si="90"/>
        <v>0</v>
      </c>
      <c r="AD75" s="254" t="str">
        <f>Main_무해지!AJ75</f>
        <v/>
      </c>
      <c r="AE75" s="408">
        <f t="shared" si="57"/>
        <v>0</v>
      </c>
      <c r="AF75" s="408" t="str">
        <f t="shared" si="101"/>
        <v/>
      </c>
      <c r="AG75" s="408" t="str">
        <f t="shared" si="58"/>
        <v/>
      </c>
      <c r="AH75" s="751" t="str">
        <f>IF($U75="","",SUM(AG75:AG$114))</f>
        <v/>
      </c>
      <c r="AI75" s="408" t="str">
        <f>Main_무해지!AP75</f>
        <v/>
      </c>
      <c r="AJ75" s="408">
        <f t="shared" si="59"/>
        <v>0</v>
      </c>
      <c r="AK75" s="408" t="str">
        <f t="shared" si="60"/>
        <v/>
      </c>
      <c r="AL75" s="408" t="str">
        <f t="shared" si="61"/>
        <v/>
      </c>
      <c r="AM75" s="753" t="str">
        <f>IF($U75="","",SUM($AN75:$AN$114))</f>
        <v/>
      </c>
      <c r="AN75" s="408" t="str">
        <f t="shared" si="91"/>
        <v/>
      </c>
      <c r="AO75" s="753" t="str">
        <f t="shared" si="62"/>
        <v/>
      </c>
      <c r="AP75" s="752" t="str">
        <f>IF($U75="","",INDEX(#REF!,$U75+1))</f>
        <v/>
      </c>
      <c r="AQ75" s="408">
        <f t="shared" si="63"/>
        <v>0</v>
      </c>
      <c r="AR75" s="408" t="str">
        <f t="shared" si="64"/>
        <v/>
      </c>
      <c r="AS75" s="408" t="str">
        <f t="shared" si="65"/>
        <v/>
      </c>
      <c r="AT75" s="753" t="str">
        <f>IF($U75="","",SUM($AS75:$AS$114))</f>
        <v/>
      </c>
      <c r="AU75" s="752" t="str">
        <f>IF($U75="","",INDEX(#REF!,$U75+1))</f>
        <v/>
      </c>
      <c r="AV75" s="408">
        <f t="shared" si="66"/>
        <v>0</v>
      </c>
      <c r="AW75" s="408" t="str">
        <f t="shared" si="67"/>
        <v/>
      </c>
      <c r="AX75" s="408" t="str">
        <f t="shared" si="68"/>
        <v/>
      </c>
      <c r="AY75" s="753" t="str">
        <f>IF($U75="","",SUM($AX75:$AX$114))</f>
        <v/>
      </c>
      <c r="AZ75" s="752" t="str">
        <f>IF($U75="","",INDEX(#REF!,$U75+1))</f>
        <v/>
      </c>
      <c r="BA75" s="408">
        <f t="shared" si="69"/>
        <v>0</v>
      </c>
      <c r="BB75" s="408" t="str">
        <f t="shared" si="70"/>
        <v/>
      </c>
      <c r="BC75" s="408" t="str">
        <f t="shared" si="71"/>
        <v/>
      </c>
      <c r="BD75" s="753" t="str">
        <f>IF($U75="","",SUM($BC75:$BC$114))</f>
        <v/>
      </c>
      <c r="BE75" s="752" t="str">
        <f>IF($U75="","",INDEX(#REF!,$U75+1))</f>
        <v/>
      </c>
      <c r="BF75" s="408">
        <f t="shared" si="72"/>
        <v>0</v>
      </c>
      <c r="BG75" s="408" t="str">
        <f t="shared" si="73"/>
        <v/>
      </c>
      <c r="BH75" s="408" t="str">
        <f t="shared" si="74"/>
        <v/>
      </c>
      <c r="BI75" s="753" t="str">
        <f>IF($U75="","",SUM($BH75:$BH$114))</f>
        <v/>
      </c>
      <c r="BJ75" s="752" t="str">
        <f>IF($U75="","",INDEX(#REF!,$U75+1))</f>
        <v/>
      </c>
      <c r="BK75" s="408">
        <f t="shared" si="75"/>
        <v>0</v>
      </c>
      <c r="BL75" s="408" t="str">
        <f t="shared" si="76"/>
        <v/>
      </c>
      <c r="BM75" s="408" t="str">
        <f t="shared" si="77"/>
        <v/>
      </c>
      <c r="BN75" s="753" t="str">
        <f>IF($U75="","",SUM($BM75:$BM$114))</f>
        <v/>
      </c>
      <c r="BO75" s="752">
        <f t="shared" si="78"/>
        <v>0</v>
      </c>
      <c r="BP75" s="408" t="str">
        <f t="shared" si="79"/>
        <v/>
      </c>
      <c r="BQ75" s="408" t="str">
        <f t="shared" si="80"/>
        <v/>
      </c>
      <c r="BR75" s="408"/>
      <c r="BS75" s="408" t="str">
        <f t="shared" si="92"/>
        <v/>
      </c>
      <c r="BT75" s="408" t="str">
        <f t="shared" si="81"/>
        <v/>
      </c>
      <c r="BU75" s="408" t="str">
        <f t="shared" si="82"/>
        <v/>
      </c>
      <c r="BV75" s="408"/>
      <c r="BW75" s="408" t="str">
        <f t="shared" si="93"/>
        <v/>
      </c>
      <c r="BX75" s="408" t="str">
        <f>IF($U75="","",SUM(BS75:BS$114)+SUM(BW75:BW$114))</f>
        <v/>
      </c>
      <c r="BY75" s="754"/>
      <c r="BZ75" s="754"/>
      <c r="CA75" s="754"/>
      <c r="CB75" s="754"/>
      <c r="CC75" s="755" t="str">
        <f t="shared" si="55"/>
        <v/>
      </c>
      <c r="CD75" s="408" t="str">
        <f t="shared" si="94"/>
        <v/>
      </c>
      <c r="CE75" s="408" t="str">
        <f t="shared" si="83"/>
        <v/>
      </c>
      <c r="CF75" s="408" t="str">
        <f t="shared" si="84"/>
        <v/>
      </c>
      <c r="CG75" s="408" t="str">
        <f t="shared" si="95"/>
        <v/>
      </c>
      <c r="CH75" s="408" t="str">
        <f t="shared" si="85"/>
        <v/>
      </c>
      <c r="CI75" s="756" t="str">
        <f t="shared" si="96"/>
        <v/>
      </c>
      <c r="CJ75" s="757" t="str">
        <f t="shared" si="86"/>
        <v/>
      </c>
      <c r="CK75" s="413"/>
      <c r="CL75" s="750" t="str">
        <f t="shared" si="87"/>
        <v/>
      </c>
      <c r="CM75" s="757" t="str">
        <f t="shared" si="102"/>
        <v/>
      </c>
      <c r="CN75" s="757" t="str">
        <f t="shared" si="97"/>
        <v/>
      </c>
      <c r="CO75" s="757" t="str">
        <f t="shared" si="88"/>
        <v/>
      </c>
      <c r="CP75" s="757" t="str">
        <f t="shared" si="98"/>
        <v/>
      </c>
      <c r="CQ75" s="413"/>
      <c r="CR75" s="413"/>
      <c r="CS75" s="413"/>
      <c r="CT75" s="413"/>
      <c r="CU75" s="413"/>
      <c r="CV75" s="413"/>
      <c r="CW75" s="478"/>
      <c r="CX75" s="478"/>
      <c r="CY75" s="478"/>
      <c r="CZ75" s="478"/>
      <c r="DA75" s="478"/>
      <c r="DB75" s="478"/>
      <c r="DC75" s="478"/>
      <c r="DD75" s="478"/>
      <c r="DE75" s="478"/>
      <c r="DF75" s="478"/>
      <c r="DG75" s="478"/>
      <c r="DH75" s="478"/>
      <c r="DI75" s="478"/>
      <c r="DJ75" s="478"/>
      <c r="DK75" s="478"/>
      <c r="DL75" s="478"/>
      <c r="DM75" s="478"/>
      <c r="DN75" s="478"/>
      <c r="DO75" s="478"/>
      <c r="DP75" s="478"/>
      <c r="DQ75" s="478"/>
      <c r="DR75" s="478"/>
      <c r="DS75" s="478"/>
      <c r="DT75" s="478"/>
      <c r="DU75" s="478"/>
      <c r="DV75" s="478"/>
      <c r="DW75" s="478"/>
      <c r="DX75" s="478"/>
      <c r="DY75" s="478"/>
      <c r="DZ75" s="478"/>
      <c r="EA75" s="478"/>
      <c r="EB75" s="478"/>
      <c r="EC75" s="478"/>
      <c r="ED75" s="478"/>
    </row>
    <row r="76" spans="1:134">
      <c r="A76" s="305"/>
      <c r="B76" s="373"/>
      <c r="D76" s="469"/>
      <c r="E76" s="469"/>
      <c r="F76" s="456">
        <f>+Main_무해지!F76</f>
        <v>1</v>
      </c>
      <c r="G76" s="470"/>
      <c r="H76" s="460"/>
      <c r="I76" s="2"/>
      <c r="M76" s="154"/>
      <c r="N76" s="280" t="str">
        <f t="shared" si="106"/>
        <v/>
      </c>
      <c r="O76" s="281" t="str">
        <f t="shared" si="107"/>
        <v/>
      </c>
      <c r="P76" s="282" t="str">
        <f t="shared" si="103"/>
        <v/>
      </c>
      <c r="Q76" s="282" t="str">
        <f t="shared" si="104"/>
        <v/>
      </c>
      <c r="R76" s="282" t="str">
        <f t="shared" si="105"/>
        <v/>
      </c>
      <c r="S76" s="402" t="str">
        <f t="shared" si="108"/>
        <v/>
      </c>
      <c r="T76" s="405"/>
      <c r="U76" s="52" t="str">
        <f t="shared" si="99"/>
        <v/>
      </c>
      <c r="V76" s="53" t="str">
        <f>Main_무해지!AC76</f>
        <v/>
      </c>
      <c r="W76" s="56">
        <f>+Main_무해지!AD76</f>
        <v>0</v>
      </c>
      <c r="X76" s="56">
        <v>0</v>
      </c>
      <c r="Y76" s="254" t="str">
        <f t="shared" si="100"/>
        <v/>
      </c>
      <c r="Z76" s="254" t="str">
        <f t="shared" si="56"/>
        <v/>
      </c>
      <c r="AA76" s="54" t="str">
        <f>IF($U76="","",SUM(Z76:Z$114))</f>
        <v/>
      </c>
      <c r="AB76" s="254" t="str">
        <f t="shared" si="89"/>
        <v/>
      </c>
      <c r="AC76" s="254">
        <f t="shared" si="90"/>
        <v>0</v>
      </c>
      <c r="AD76" s="254" t="str">
        <f>Main_무해지!AJ76</f>
        <v/>
      </c>
      <c r="AE76" s="254">
        <f t="shared" si="57"/>
        <v>0</v>
      </c>
      <c r="AF76" s="254" t="str">
        <f t="shared" si="101"/>
        <v/>
      </c>
      <c r="AG76" s="254" t="str">
        <f t="shared" si="58"/>
        <v/>
      </c>
      <c r="AH76" s="54" t="str">
        <f>IF($U76="","",SUM(AG76:AG$114))</f>
        <v/>
      </c>
      <c r="AI76" s="254" t="str">
        <f>Main_무해지!AP76</f>
        <v/>
      </c>
      <c r="AJ76" s="254">
        <f t="shared" si="59"/>
        <v>0</v>
      </c>
      <c r="AK76" s="254" t="str">
        <f t="shared" si="60"/>
        <v/>
      </c>
      <c r="AL76" s="254" t="str">
        <f t="shared" si="61"/>
        <v/>
      </c>
      <c r="AM76" s="57" t="str">
        <f>IF($U76="","",SUM($AN76:$AN$114))</f>
        <v/>
      </c>
      <c r="AN76" s="254" t="str">
        <f t="shared" si="91"/>
        <v/>
      </c>
      <c r="AO76" s="57" t="str">
        <f t="shared" si="62"/>
        <v/>
      </c>
      <c r="AP76" s="53" t="str">
        <f>IF($U76="","",INDEX(#REF!,$U76+1))</f>
        <v/>
      </c>
      <c r="AQ76" s="254">
        <f t="shared" si="63"/>
        <v>0</v>
      </c>
      <c r="AR76" s="254" t="str">
        <f t="shared" si="64"/>
        <v/>
      </c>
      <c r="AS76" s="254" t="str">
        <f t="shared" si="65"/>
        <v/>
      </c>
      <c r="AT76" s="57" t="str">
        <f>IF($U76="","",SUM($AS76:$AS$114))</f>
        <v/>
      </c>
      <c r="AU76" s="53" t="str">
        <f>IF($U76="","",INDEX(#REF!,$U76+1))</f>
        <v/>
      </c>
      <c r="AV76" s="254">
        <f t="shared" si="66"/>
        <v>0</v>
      </c>
      <c r="AW76" s="254" t="str">
        <f t="shared" si="67"/>
        <v/>
      </c>
      <c r="AX76" s="254" t="str">
        <f t="shared" si="68"/>
        <v/>
      </c>
      <c r="AY76" s="57" t="str">
        <f>IF($U76="","",SUM($AX76:$AX$114))</f>
        <v/>
      </c>
      <c r="AZ76" s="53" t="str">
        <f>IF($U76="","",INDEX(#REF!,$U76+1))</f>
        <v/>
      </c>
      <c r="BA76" s="254">
        <f t="shared" si="69"/>
        <v>0</v>
      </c>
      <c r="BB76" s="254" t="str">
        <f t="shared" si="70"/>
        <v/>
      </c>
      <c r="BC76" s="254" t="str">
        <f t="shared" si="71"/>
        <v/>
      </c>
      <c r="BD76" s="57" t="str">
        <f>IF($U76="","",SUM($BC76:$BC$114))</f>
        <v/>
      </c>
      <c r="BE76" s="53" t="str">
        <f>IF($U76="","",INDEX(#REF!,$U76+1))</f>
        <v/>
      </c>
      <c r="BF76" s="254">
        <f t="shared" si="72"/>
        <v>0</v>
      </c>
      <c r="BG76" s="254" t="str">
        <f t="shared" si="73"/>
        <v/>
      </c>
      <c r="BH76" s="254" t="str">
        <f t="shared" si="74"/>
        <v/>
      </c>
      <c r="BI76" s="57" t="str">
        <f>IF($U76="","",SUM($BH76:$BH$114))</f>
        <v/>
      </c>
      <c r="BJ76" s="53" t="str">
        <f>IF($U76="","",INDEX(#REF!,$U76+1))</f>
        <v/>
      </c>
      <c r="BK76" s="254">
        <f t="shared" si="75"/>
        <v>0</v>
      </c>
      <c r="BL76" s="254" t="str">
        <f t="shared" si="76"/>
        <v/>
      </c>
      <c r="BM76" s="254" t="str">
        <f t="shared" si="77"/>
        <v/>
      </c>
      <c r="BN76" s="57" t="str">
        <f>IF($U76="","",SUM($BM76:$BM$114))</f>
        <v/>
      </c>
      <c r="BO76" s="53">
        <f t="shared" si="78"/>
        <v>0</v>
      </c>
      <c r="BP76" s="254" t="str">
        <f t="shared" si="79"/>
        <v/>
      </c>
      <c r="BQ76" s="254" t="str">
        <f t="shared" si="80"/>
        <v/>
      </c>
      <c r="BR76" s="254"/>
      <c r="BS76" s="254" t="str">
        <f t="shared" si="92"/>
        <v/>
      </c>
      <c r="BT76" s="254" t="str">
        <f t="shared" si="81"/>
        <v/>
      </c>
      <c r="BU76" s="254" t="str">
        <f t="shared" si="82"/>
        <v/>
      </c>
      <c r="BV76" s="254"/>
      <c r="BW76" s="254" t="str">
        <f t="shared" si="93"/>
        <v/>
      </c>
      <c r="BX76" s="254" t="str">
        <f>IF($U76="","",SUM(BS76:BS$114)+SUM(BW76:BW$114))</f>
        <v/>
      </c>
      <c r="BY76" s="55"/>
      <c r="BZ76" s="55"/>
      <c r="CA76" s="55"/>
      <c r="CB76" s="55"/>
      <c r="CC76" s="390" t="str">
        <f t="shared" si="55"/>
        <v/>
      </c>
      <c r="CD76" s="254" t="str">
        <f t="shared" si="94"/>
        <v/>
      </c>
      <c r="CE76" s="254" t="str">
        <f t="shared" si="83"/>
        <v/>
      </c>
      <c r="CF76" s="254" t="str">
        <f t="shared" si="84"/>
        <v/>
      </c>
      <c r="CG76" s="254" t="str">
        <f t="shared" si="95"/>
        <v/>
      </c>
      <c r="CH76" s="254" t="str">
        <f t="shared" si="85"/>
        <v/>
      </c>
      <c r="CI76" s="58" t="str">
        <f t="shared" si="96"/>
        <v/>
      </c>
      <c r="CJ76" s="59" t="str">
        <f t="shared" si="86"/>
        <v/>
      </c>
      <c r="CK76" s="236"/>
      <c r="CL76" s="52" t="str">
        <f t="shared" si="87"/>
        <v/>
      </c>
      <c r="CM76" s="59" t="str">
        <f t="shared" si="102"/>
        <v/>
      </c>
      <c r="CN76" s="59" t="str">
        <f t="shared" si="97"/>
        <v/>
      </c>
      <c r="CO76" s="59" t="str">
        <f t="shared" si="88"/>
        <v/>
      </c>
      <c r="CP76" s="59" t="str">
        <f t="shared" si="98"/>
        <v/>
      </c>
      <c r="CQ76" s="236"/>
      <c r="CR76" s="236"/>
      <c r="CS76" s="236"/>
      <c r="CT76" s="236"/>
      <c r="CU76" s="236"/>
      <c r="CV76" s="236"/>
      <c r="CW76" s="478"/>
      <c r="CX76" s="478"/>
      <c r="CY76" s="478"/>
      <c r="CZ76" s="478"/>
      <c r="DA76" s="478"/>
      <c r="DB76" s="478"/>
      <c r="DC76" s="478"/>
      <c r="DD76" s="478"/>
      <c r="DE76" s="478"/>
      <c r="DF76" s="478"/>
      <c r="DG76" s="478"/>
      <c r="DH76" s="478"/>
      <c r="DI76" s="478"/>
      <c r="DJ76" s="478"/>
      <c r="DK76" s="478"/>
      <c r="DL76" s="478"/>
      <c r="DM76" s="478"/>
      <c r="DN76" s="478"/>
      <c r="DO76" s="478"/>
      <c r="DP76" s="478"/>
      <c r="DQ76" s="478"/>
      <c r="DR76" s="478"/>
      <c r="DS76" s="478"/>
      <c r="DT76" s="478"/>
      <c r="DU76" s="478"/>
      <c r="DV76" s="478"/>
      <c r="DW76" s="478"/>
      <c r="DX76" s="478"/>
      <c r="DY76" s="478"/>
      <c r="DZ76" s="478"/>
      <c r="EA76" s="478"/>
      <c r="EB76" s="478"/>
      <c r="EC76" s="478"/>
      <c r="ED76" s="478"/>
    </row>
    <row r="77" spans="1:134">
      <c r="A77" s="305"/>
      <c r="B77" s="373"/>
      <c r="D77" s="469"/>
      <c r="E77" s="469"/>
      <c r="F77" s="456">
        <f>+Main_무해지!F77</f>
        <v>2</v>
      </c>
      <c r="G77" s="470"/>
      <c r="H77" s="460"/>
      <c r="I77" s="2"/>
      <c r="M77" s="154"/>
      <c r="N77" s="275" t="str">
        <f t="shared" si="106"/>
        <v/>
      </c>
      <c r="O77" s="276" t="str">
        <f t="shared" si="107"/>
        <v/>
      </c>
      <c r="P77" s="277" t="str">
        <f t="shared" si="103"/>
        <v/>
      </c>
      <c r="Q77" s="277" t="str">
        <f t="shared" si="104"/>
        <v/>
      </c>
      <c r="R77" s="277" t="str">
        <f t="shared" si="105"/>
        <v/>
      </c>
      <c r="S77" s="401" t="str">
        <f t="shared" si="108"/>
        <v/>
      </c>
      <c r="T77" s="405"/>
      <c r="U77" s="52" t="str">
        <f t="shared" si="99"/>
        <v/>
      </c>
      <c r="V77" s="53" t="str">
        <f>Main_무해지!AC77</f>
        <v/>
      </c>
      <c r="W77" s="56">
        <f>+Main_무해지!AD77</f>
        <v>0</v>
      </c>
      <c r="X77" s="56">
        <v>0</v>
      </c>
      <c r="Y77" s="254" t="str">
        <f t="shared" si="100"/>
        <v/>
      </c>
      <c r="Z77" s="254" t="str">
        <f t="shared" si="56"/>
        <v/>
      </c>
      <c r="AA77" s="54" t="str">
        <f>IF($U77="","",SUM(Z77:Z$114))</f>
        <v/>
      </c>
      <c r="AB77" s="254" t="str">
        <f t="shared" si="89"/>
        <v/>
      </c>
      <c r="AC77" s="254">
        <f t="shared" si="90"/>
        <v>0</v>
      </c>
      <c r="AD77" s="254" t="str">
        <f>Main_무해지!AJ77</f>
        <v/>
      </c>
      <c r="AE77" s="254">
        <f t="shared" si="57"/>
        <v>0</v>
      </c>
      <c r="AF77" s="254" t="str">
        <f t="shared" si="101"/>
        <v/>
      </c>
      <c r="AG77" s="254" t="str">
        <f t="shared" si="58"/>
        <v/>
      </c>
      <c r="AH77" s="54" t="str">
        <f>IF($U77="","",SUM(AG77:AG$114))</f>
        <v/>
      </c>
      <c r="AI77" s="254" t="str">
        <f>Main_무해지!AP77</f>
        <v/>
      </c>
      <c r="AJ77" s="254">
        <f t="shared" si="59"/>
        <v>0</v>
      </c>
      <c r="AK77" s="254" t="str">
        <f t="shared" si="60"/>
        <v/>
      </c>
      <c r="AL77" s="254" t="str">
        <f t="shared" si="61"/>
        <v/>
      </c>
      <c r="AM77" s="57" t="str">
        <f>IF($U77="","",SUM($AN77:$AN$114))</f>
        <v/>
      </c>
      <c r="AN77" s="254" t="str">
        <f t="shared" si="91"/>
        <v/>
      </c>
      <c r="AO77" s="57" t="str">
        <f t="shared" si="62"/>
        <v/>
      </c>
      <c r="AP77" s="53" t="str">
        <f>IF($U77="","",INDEX(#REF!,$U77+1))</f>
        <v/>
      </c>
      <c r="AQ77" s="254">
        <f t="shared" si="63"/>
        <v>0</v>
      </c>
      <c r="AR77" s="254" t="str">
        <f t="shared" si="64"/>
        <v/>
      </c>
      <c r="AS77" s="254" t="str">
        <f t="shared" si="65"/>
        <v/>
      </c>
      <c r="AT77" s="57" t="str">
        <f>IF($U77="","",SUM($AS77:$AS$114))</f>
        <v/>
      </c>
      <c r="AU77" s="53" t="str">
        <f>IF($U77="","",INDEX(#REF!,$U77+1))</f>
        <v/>
      </c>
      <c r="AV77" s="254">
        <f t="shared" si="66"/>
        <v>0</v>
      </c>
      <c r="AW77" s="254" t="str">
        <f t="shared" si="67"/>
        <v/>
      </c>
      <c r="AX77" s="254" t="str">
        <f t="shared" si="68"/>
        <v/>
      </c>
      <c r="AY77" s="57" t="str">
        <f>IF($U77="","",SUM($AX77:$AX$114))</f>
        <v/>
      </c>
      <c r="AZ77" s="53" t="str">
        <f>IF($U77="","",INDEX(#REF!,$U77+1))</f>
        <v/>
      </c>
      <c r="BA77" s="254">
        <f t="shared" si="69"/>
        <v>0</v>
      </c>
      <c r="BB77" s="254" t="str">
        <f t="shared" si="70"/>
        <v/>
      </c>
      <c r="BC77" s="254" t="str">
        <f t="shared" si="71"/>
        <v/>
      </c>
      <c r="BD77" s="57" t="str">
        <f>IF($U77="","",SUM($BC77:$BC$114))</f>
        <v/>
      </c>
      <c r="BE77" s="53" t="str">
        <f>IF($U77="","",INDEX(#REF!,$U77+1))</f>
        <v/>
      </c>
      <c r="BF77" s="254">
        <f t="shared" si="72"/>
        <v>0</v>
      </c>
      <c r="BG77" s="254" t="str">
        <f t="shared" si="73"/>
        <v/>
      </c>
      <c r="BH77" s="254" t="str">
        <f t="shared" si="74"/>
        <v/>
      </c>
      <c r="BI77" s="57" t="str">
        <f>IF($U77="","",SUM($BH77:$BH$114))</f>
        <v/>
      </c>
      <c r="BJ77" s="53" t="str">
        <f>IF($U77="","",INDEX(#REF!,$U77+1))</f>
        <v/>
      </c>
      <c r="BK77" s="254">
        <f t="shared" si="75"/>
        <v>0</v>
      </c>
      <c r="BL77" s="254" t="str">
        <f t="shared" si="76"/>
        <v/>
      </c>
      <c r="BM77" s="254" t="str">
        <f t="shared" si="77"/>
        <v/>
      </c>
      <c r="BN77" s="57" t="str">
        <f>IF($U77="","",SUM($BM77:$BM$114))</f>
        <v/>
      </c>
      <c r="BO77" s="53">
        <f t="shared" si="78"/>
        <v>0</v>
      </c>
      <c r="BP77" s="254" t="str">
        <f t="shared" si="79"/>
        <v/>
      </c>
      <c r="BQ77" s="254" t="str">
        <f t="shared" si="80"/>
        <v/>
      </c>
      <c r="BR77" s="254"/>
      <c r="BS77" s="254" t="str">
        <f t="shared" si="92"/>
        <v/>
      </c>
      <c r="BT77" s="254" t="str">
        <f t="shared" si="81"/>
        <v/>
      </c>
      <c r="BU77" s="254" t="str">
        <f t="shared" si="82"/>
        <v/>
      </c>
      <c r="BV77" s="254"/>
      <c r="BW77" s="254" t="str">
        <f t="shared" si="93"/>
        <v/>
      </c>
      <c r="BX77" s="254" t="str">
        <f>IF($U77="","",SUM(BS77:BS$114)+SUM(BW77:BW$114))</f>
        <v/>
      </c>
      <c r="BY77" s="55"/>
      <c r="BZ77" s="55"/>
      <c r="CA77" s="55"/>
      <c r="CB77" s="55"/>
      <c r="CC77" s="390" t="str">
        <f t="shared" si="55"/>
        <v/>
      </c>
      <c r="CD77" s="254" t="str">
        <f t="shared" si="94"/>
        <v/>
      </c>
      <c r="CE77" s="254" t="str">
        <f t="shared" si="83"/>
        <v/>
      </c>
      <c r="CF77" s="254" t="str">
        <f t="shared" si="84"/>
        <v/>
      </c>
      <c r="CG77" s="254" t="str">
        <f t="shared" si="95"/>
        <v/>
      </c>
      <c r="CH77" s="254" t="str">
        <f t="shared" si="85"/>
        <v/>
      </c>
      <c r="CI77" s="58" t="str">
        <f t="shared" si="96"/>
        <v/>
      </c>
      <c r="CJ77" s="59" t="str">
        <f t="shared" si="86"/>
        <v/>
      </c>
      <c r="CK77" s="236"/>
      <c r="CL77" s="52" t="str">
        <f t="shared" si="87"/>
        <v/>
      </c>
      <c r="CM77" s="59" t="str">
        <f t="shared" si="102"/>
        <v/>
      </c>
      <c r="CN77" s="59" t="str">
        <f t="shared" si="97"/>
        <v/>
      </c>
      <c r="CO77" s="59" t="str">
        <f t="shared" si="88"/>
        <v/>
      </c>
      <c r="CP77" s="59" t="str">
        <f t="shared" si="98"/>
        <v/>
      </c>
      <c r="CQ77" s="236"/>
      <c r="CR77" s="236"/>
      <c r="CS77" s="236"/>
      <c r="CT77" s="236"/>
      <c r="CU77" s="236"/>
      <c r="CV77" s="236"/>
      <c r="CW77" s="478"/>
      <c r="CX77" s="478"/>
      <c r="CY77" s="478"/>
      <c r="CZ77" s="478"/>
      <c r="DA77" s="478"/>
      <c r="DB77" s="478"/>
      <c r="DC77" s="478"/>
      <c r="DD77" s="478"/>
      <c r="DE77" s="478"/>
      <c r="DF77" s="478"/>
      <c r="DG77" s="478"/>
      <c r="DH77" s="478"/>
      <c r="DI77" s="478"/>
      <c r="DJ77" s="478"/>
      <c r="DK77" s="478"/>
      <c r="DL77" s="478"/>
      <c r="DM77" s="478"/>
      <c r="DN77" s="478"/>
      <c r="DO77" s="478"/>
      <c r="DP77" s="478"/>
      <c r="DQ77" s="478"/>
      <c r="DR77" s="478"/>
      <c r="DS77" s="478"/>
      <c r="DT77" s="478"/>
      <c r="DU77" s="478"/>
      <c r="DV77" s="478"/>
      <c r="DW77" s="478"/>
      <c r="DX77" s="478"/>
      <c r="DY77" s="478"/>
      <c r="DZ77" s="478"/>
      <c r="EA77" s="478"/>
      <c r="EB77" s="478"/>
      <c r="EC77" s="478"/>
      <c r="ED77" s="478"/>
    </row>
    <row r="78" spans="1:134">
      <c r="A78" s="305"/>
      <c r="B78" s="373"/>
      <c r="D78" s="469"/>
      <c r="E78" s="469"/>
      <c r="F78" s="456">
        <f>+Main_무해지!F78</f>
        <v>3</v>
      </c>
      <c r="G78" s="470"/>
      <c r="H78" s="460"/>
      <c r="I78" s="2"/>
      <c r="M78" s="154"/>
      <c r="N78" s="278" t="str">
        <f t="shared" si="106"/>
        <v/>
      </c>
      <c r="O78" s="279" t="str">
        <f t="shared" si="107"/>
        <v/>
      </c>
      <c r="P78" s="271" t="str">
        <f t="shared" si="103"/>
        <v/>
      </c>
      <c r="Q78" s="271" t="str">
        <f t="shared" si="104"/>
        <v/>
      </c>
      <c r="R78" s="271" t="str">
        <f t="shared" si="105"/>
        <v/>
      </c>
      <c r="S78" s="400" t="str">
        <f t="shared" si="108"/>
        <v/>
      </c>
      <c r="T78" s="405"/>
      <c r="U78" s="52" t="str">
        <f t="shared" si="99"/>
        <v/>
      </c>
      <c r="V78" s="53" t="str">
        <f>Main_무해지!AC78</f>
        <v/>
      </c>
      <c r="W78" s="56">
        <f>+Main_무해지!AD78</f>
        <v>0</v>
      </c>
      <c r="X78" s="56">
        <v>0</v>
      </c>
      <c r="Y78" s="254" t="str">
        <f t="shared" si="100"/>
        <v/>
      </c>
      <c r="Z78" s="254" t="str">
        <f t="shared" si="56"/>
        <v/>
      </c>
      <c r="AA78" s="54" t="str">
        <f>IF($U78="","",SUM(Z78:Z$114))</f>
        <v/>
      </c>
      <c r="AB78" s="254" t="str">
        <f t="shared" si="89"/>
        <v/>
      </c>
      <c r="AC78" s="254">
        <f t="shared" si="90"/>
        <v>0</v>
      </c>
      <c r="AD78" s="254" t="str">
        <f>Main_무해지!AJ78</f>
        <v/>
      </c>
      <c r="AE78" s="254">
        <f t="shared" si="57"/>
        <v>0</v>
      </c>
      <c r="AF78" s="254" t="str">
        <f t="shared" si="101"/>
        <v/>
      </c>
      <c r="AG78" s="254" t="str">
        <f t="shared" si="58"/>
        <v/>
      </c>
      <c r="AH78" s="54" t="str">
        <f>IF($U78="","",SUM(AG78:AG$114))</f>
        <v/>
      </c>
      <c r="AI78" s="254" t="str">
        <f>Main_무해지!AP78</f>
        <v/>
      </c>
      <c r="AJ78" s="254">
        <f t="shared" si="59"/>
        <v>0</v>
      </c>
      <c r="AK78" s="254" t="str">
        <f t="shared" si="60"/>
        <v/>
      </c>
      <c r="AL78" s="254" t="str">
        <f t="shared" si="61"/>
        <v/>
      </c>
      <c r="AM78" s="57" t="str">
        <f>IF($U78="","",SUM($AN78:$AN$114))</f>
        <v/>
      </c>
      <c r="AN78" s="254" t="str">
        <f t="shared" si="91"/>
        <v/>
      </c>
      <c r="AO78" s="57" t="str">
        <f t="shared" si="62"/>
        <v/>
      </c>
      <c r="AP78" s="53" t="str">
        <f>IF($U78="","",INDEX(#REF!,$U78+1))</f>
        <v/>
      </c>
      <c r="AQ78" s="254">
        <f t="shared" si="63"/>
        <v>0</v>
      </c>
      <c r="AR78" s="254" t="str">
        <f t="shared" si="64"/>
        <v/>
      </c>
      <c r="AS78" s="254" t="str">
        <f t="shared" si="65"/>
        <v/>
      </c>
      <c r="AT78" s="57" t="str">
        <f>IF($U78="","",SUM($AS78:$AS$114))</f>
        <v/>
      </c>
      <c r="AU78" s="53" t="str">
        <f>IF($U78="","",INDEX(#REF!,$U78+1))</f>
        <v/>
      </c>
      <c r="AV78" s="254">
        <f t="shared" si="66"/>
        <v>0</v>
      </c>
      <c r="AW78" s="254" t="str">
        <f t="shared" si="67"/>
        <v/>
      </c>
      <c r="AX78" s="254" t="str">
        <f t="shared" si="68"/>
        <v/>
      </c>
      <c r="AY78" s="57" t="str">
        <f>IF($U78="","",SUM($AX78:$AX$114))</f>
        <v/>
      </c>
      <c r="AZ78" s="53" t="str">
        <f>IF($U78="","",INDEX(#REF!,$U78+1))</f>
        <v/>
      </c>
      <c r="BA78" s="254">
        <f t="shared" si="69"/>
        <v>0</v>
      </c>
      <c r="BB78" s="254" t="str">
        <f t="shared" si="70"/>
        <v/>
      </c>
      <c r="BC78" s="254" t="str">
        <f t="shared" si="71"/>
        <v/>
      </c>
      <c r="BD78" s="57" t="str">
        <f>IF($U78="","",SUM($BC78:$BC$114))</f>
        <v/>
      </c>
      <c r="BE78" s="53" t="str">
        <f>IF($U78="","",INDEX(#REF!,$U78+1))</f>
        <v/>
      </c>
      <c r="BF78" s="254">
        <f t="shared" si="72"/>
        <v>0</v>
      </c>
      <c r="BG78" s="254" t="str">
        <f t="shared" si="73"/>
        <v/>
      </c>
      <c r="BH78" s="254" t="str">
        <f t="shared" si="74"/>
        <v/>
      </c>
      <c r="BI78" s="57" t="str">
        <f>IF($U78="","",SUM($BH78:$BH$114))</f>
        <v/>
      </c>
      <c r="BJ78" s="53" t="str">
        <f>IF($U78="","",INDEX(#REF!,$U78+1))</f>
        <v/>
      </c>
      <c r="BK78" s="254">
        <f t="shared" si="75"/>
        <v>0</v>
      </c>
      <c r="BL78" s="254" t="str">
        <f t="shared" si="76"/>
        <v/>
      </c>
      <c r="BM78" s="254" t="str">
        <f t="shared" si="77"/>
        <v/>
      </c>
      <c r="BN78" s="57" t="str">
        <f>IF($U78="","",SUM($BM78:$BM$114))</f>
        <v/>
      </c>
      <c r="BO78" s="53">
        <f t="shared" si="78"/>
        <v>0</v>
      </c>
      <c r="BP78" s="254" t="str">
        <f t="shared" si="79"/>
        <v/>
      </c>
      <c r="BQ78" s="254" t="str">
        <f t="shared" si="80"/>
        <v/>
      </c>
      <c r="BR78" s="254"/>
      <c r="BS78" s="254" t="str">
        <f t="shared" si="92"/>
        <v/>
      </c>
      <c r="BT78" s="254" t="str">
        <f t="shared" si="81"/>
        <v/>
      </c>
      <c r="BU78" s="254" t="str">
        <f t="shared" si="82"/>
        <v/>
      </c>
      <c r="BV78" s="254"/>
      <c r="BW78" s="254" t="str">
        <f t="shared" si="93"/>
        <v/>
      </c>
      <c r="BX78" s="254" t="str">
        <f>IF($U78="","",SUM(BS78:BS$114)+SUM(BW78:BW$114))</f>
        <v/>
      </c>
      <c r="BY78" s="55"/>
      <c r="BZ78" s="55"/>
      <c r="CA78" s="55"/>
      <c r="CB78" s="55"/>
      <c r="CC78" s="390" t="str">
        <f t="shared" si="55"/>
        <v/>
      </c>
      <c r="CD78" s="254" t="str">
        <f t="shared" si="94"/>
        <v/>
      </c>
      <c r="CE78" s="254" t="str">
        <f t="shared" si="83"/>
        <v/>
      </c>
      <c r="CF78" s="254" t="str">
        <f t="shared" si="84"/>
        <v/>
      </c>
      <c r="CG78" s="254" t="str">
        <f t="shared" si="95"/>
        <v/>
      </c>
      <c r="CH78" s="254" t="str">
        <f t="shared" si="85"/>
        <v/>
      </c>
      <c r="CI78" s="58" t="str">
        <f t="shared" si="96"/>
        <v/>
      </c>
      <c r="CJ78" s="59" t="str">
        <f t="shared" si="86"/>
        <v/>
      </c>
      <c r="CK78" s="236"/>
      <c r="CL78" s="52" t="str">
        <f t="shared" si="87"/>
        <v/>
      </c>
      <c r="CM78" s="59" t="str">
        <f t="shared" si="102"/>
        <v/>
      </c>
      <c r="CN78" s="59" t="str">
        <f t="shared" si="97"/>
        <v/>
      </c>
      <c r="CO78" s="59" t="str">
        <f t="shared" si="88"/>
        <v/>
      </c>
      <c r="CP78" s="59" t="str">
        <f t="shared" si="98"/>
        <v/>
      </c>
      <c r="CQ78" s="236"/>
      <c r="CR78" s="236"/>
      <c r="CS78" s="236"/>
      <c r="CT78" s="236"/>
      <c r="CU78" s="236"/>
      <c r="CV78" s="236"/>
      <c r="CW78" s="478"/>
      <c r="CX78" s="478"/>
      <c r="CY78" s="478"/>
      <c r="CZ78" s="478"/>
      <c r="DA78" s="478"/>
      <c r="DB78" s="478"/>
      <c r="DC78" s="478"/>
      <c r="DD78" s="478"/>
      <c r="DE78" s="478"/>
      <c r="DF78" s="478"/>
      <c r="DG78" s="478"/>
      <c r="DH78" s="478"/>
      <c r="DI78" s="478"/>
      <c r="DJ78" s="478"/>
      <c r="DK78" s="478"/>
      <c r="DL78" s="478"/>
      <c r="DM78" s="478"/>
      <c r="DN78" s="478"/>
      <c r="DO78" s="478"/>
      <c r="DP78" s="478"/>
      <c r="DQ78" s="478"/>
      <c r="DR78" s="478"/>
      <c r="DS78" s="478"/>
      <c r="DT78" s="478"/>
      <c r="DU78" s="478"/>
      <c r="DV78" s="478"/>
      <c r="DW78" s="478"/>
      <c r="DX78" s="478"/>
      <c r="DY78" s="478"/>
      <c r="DZ78" s="478"/>
      <c r="EA78" s="478"/>
      <c r="EB78" s="478"/>
      <c r="EC78" s="478"/>
      <c r="ED78" s="478"/>
    </row>
    <row r="79" spans="1:134">
      <c r="A79" s="305"/>
      <c r="B79" s="373"/>
      <c r="D79" s="469"/>
      <c r="E79" s="469"/>
      <c r="F79" s="456">
        <f>+Main_무해지!F79</f>
        <v>4</v>
      </c>
      <c r="G79" s="470"/>
      <c r="H79" s="460"/>
      <c r="I79" s="2"/>
      <c r="M79" s="154"/>
      <c r="N79" s="278" t="str">
        <f t="shared" si="106"/>
        <v/>
      </c>
      <c r="O79" s="279" t="str">
        <f t="shared" si="107"/>
        <v/>
      </c>
      <c r="P79" s="271" t="str">
        <f t="shared" si="103"/>
        <v/>
      </c>
      <c r="Q79" s="271" t="str">
        <f t="shared" si="104"/>
        <v/>
      </c>
      <c r="R79" s="271" t="str">
        <f t="shared" si="105"/>
        <v/>
      </c>
      <c r="S79" s="400" t="str">
        <f t="shared" si="108"/>
        <v/>
      </c>
      <c r="T79" s="231"/>
      <c r="U79" s="60" t="str">
        <f t="shared" si="99"/>
        <v/>
      </c>
      <c r="V79" s="61" t="str">
        <f>Main_무해지!AC79</f>
        <v/>
      </c>
      <c r="W79" s="64">
        <f>+Main_무해지!AD79</f>
        <v>0</v>
      </c>
      <c r="X79" s="64">
        <v>0</v>
      </c>
      <c r="Y79" s="255" t="str">
        <f t="shared" si="100"/>
        <v/>
      </c>
      <c r="Z79" s="255" t="str">
        <f t="shared" si="56"/>
        <v/>
      </c>
      <c r="AA79" s="62" t="str">
        <f>IF($U79="","",SUM(Z79:Z$114))</f>
        <v/>
      </c>
      <c r="AB79" s="255" t="str">
        <f t="shared" si="89"/>
        <v/>
      </c>
      <c r="AC79" s="254">
        <f t="shared" si="90"/>
        <v>0</v>
      </c>
      <c r="AD79" s="254" t="str">
        <f>Main_무해지!AJ79</f>
        <v/>
      </c>
      <c r="AE79" s="255">
        <f t="shared" si="57"/>
        <v>0</v>
      </c>
      <c r="AF79" s="255" t="str">
        <f t="shared" si="101"/>
        <v/>
      </c>
      <c r="AG79" s="255" t="str">
        <f t="shared" si="58"/>
        <v/>
      </c>
      <c r="AH79" s="62" t="str">
        <f>IF($U79="","",SUM(AG79:AG$114))</f>
        <v/>
      </c>
      <c r="AI79" s="255" t="str">
        <f>Main_무해지!AP79</f>
        <v/>
      </c>
      <c r="AJ79" s="255">
        <f t="shared" si="59"/>
        <v>0</v>
      </c>
      <c r="AK79" s="255" t="str">
        <f t="shared" si="60"/>
        <v/>
      </c>
      <c r="AL79" s="255" t="str">
        <f t="shared" si="61"/>
        <v/>
      </c>
      <c r="AM79" s="65" t="str">
        <f>IF($U79="","",SUM($AN79:$AN$114))</f>
        <v/>
      </c>
      <c r="AN79" s="255" t="str">
        <f t="shared" si="91"/>
        <v/>
      </c>
      <c r="AO79" s="65" t="str">
        <f t="shared" si="62"/>
        <v/>
      </c>
      <c r="AP79" s="61" t="str">
        <f>IF($U79="","",INDEX(#REF!,$U79+1))</f>
        <v/>
      </c>
      <c r="AQ79" s="255">
        <f t="shared" si="63"/>
        <v>0</v>
      </c>
      <c r="AR79" s="255" t="str">
        <f t="shared" si="64"/>
        <v/>
      </c>
      <c r="AS79" s="255" t="str">
        <f t="shared" si="65"/>
        <v/>
      </c>
      <c r="AT79" s="65" t="str">
        <f>IF($U79="","",SUM($AS79:$AS$114))</f>
        <v/>
      </c>
      <c r="AU79" s="61" t="str">
        <f>IF($U79="","",INDEX(#REF!,$U79+1))</f>
        <v/>
      </c>
      <c r="AV79" s="255">
        <f t="shared" si="66"/>
        <v>0</v>
      </c>
      <c r="AW79" s="255" t="str">
        <f t="shared" si="67"/>
        <v/>
      </c>
      <c r="AX79" s="255" t="str">
        <f t="shared" si="68"/>
        <v/>
      </c>
      <c r="AY79" s="65" t="str">
        <f>IF($U79="","",SUM($AX79:$AX$114))</f>
        <v/>
      </c>
      <c r="AZ79" s="61" t="str">
        <f>IF($U79="","",INDEX(#REF!,$U79+1))</f>
        <v/>
      </c>
      <c r="BA79" s="255">
        <f t="shared" si="69"/>
        <v>0</v>
      </c>
      <c r="BB79" s="255" t="str">
        <f t="shared" si="70"/>
        <v/>
      </c>
      <c r="BC79" s="255" t="str">
        <f t="shared" si="71"/>
        <v/>
      </c>
      <c r="BD79" s="65" t="str">
        <f>IF($U79="","",SUM($BC79:$BC$114))</f>
        <v/>
      </c>
      <c r="BE79" s="61" t="str">
        <f>IF($U79="","",INDEX(#REF!,$U79+1))</f>
        <v/>
      </c>
      <c r="BF79" s="255">
        <f t="shared" si="72"/>
        <v>0</v>
      </c>
      <c r="BG79" s="255" t="str">
        <f t="shared" si="73"/>
        <v/>
      </c>
      <c r="BH79" s="255" t="str">
        <f t="shared" si="74"/>
        <v/>
      </c>
      <c r="BI79" s="65" t="str">
        <f>IF($U79="","",SUM($BH79:$BH$114))</f>
        <v/>
      </c>
      <c r="BJ79" s="61" t="str">
        <f>IF($U79="","",INDEX(#REF!,$U79+1))</f>
        <v/>
      </c>
      <c r="BK79" s="255">
        <f t="shared" si="75"/>
        <v>0</v>
      </c>
      <c r="BL79" s="255" t="str">
        <f t="shared" si="76"/>
        <v/>
      </c>
      <c r="BM79" s="255" t="str">
        <f t="shared" si="77"/>
        <v/>
      </c>
      <c r="BN79" s="65" t="str">
        <f>IF($U79="","",SUM($BM79:$BM$114))</f>
        <v/>
      </c>
      <c r="BO79" s="61">
        <f t="shared" si="78"/>
        <v>0</v>
      </c>
      <c r="BP79" s="255" t="str">
        <f t="shared" si="79"/>
        <v/>
      </c>
      <c r="BQ79" s="255" t="str">
        <f t="shared" si="80"/>
        <v/>
      </c>
      <c r="BR79" s="255"/>
      <c r="BS79" s="255" t="str">
        <f t="shared" si="92"/>
        <v/>
      </c>
      <c r="BT79" s="255" t="str">
        <f t="shared" si="81"/>
        <v/>
      </c>
      <c r="BU79" s="255" t="str">
        <f t="shared" si="82"/>
        <v/>
      </c>
      <c r="BV79" s="255"/>
      <c r="BW79" s="255" t="str">
        <f t="shared" si="93"/>
        <v/>
      </c>
      <c r="BX79" s="255" t="str">
        <f>IF($U79="","",SUM(BS79:BS$114)+SUM(BW79:BW$114))</f>
        <v/>
      </c>
      <c r="BY79" s="63"/>
      <c r="BZ79" s="63"/>
      <c r="CA79" s="63"/>
      <c r="CB79" s="63"/>
      <c r="CC79" s="391" t="str">
        <f t="shared" si="55"/>
        <v/>
      </c>
      <c r="CD79" s="255" t="str">
        <f t="shared" si="94"/>
        <v/>
      </c>
      <c r="CE79" s="255" t="str">
        <f t="shared" si="83"/>
        <v/>
      </c>
      <c r="CF79" s="255" t="str">
        <f t="shared" si="84"/>
        <v/>
      </c>
      <c r="CG79" s="255" t="str">
        <f t="shared" si="95"/>
        <v/>
      </c>
      <c r="CH79" s="255" t="str">
        <f t="shared" si="85"/>
        <v/>
      </c>
      <c r="CI79" s="66" t="str">
        <f t="shared" si="96"/>
        <v/>
      </c>
      <c r="CJ79" s="67" t="str">
        <f t="shared" si="86"/>
        <v/>
      </c>
      <c r="CK79" s="237"/>
      <c r="CL79" s="60" t="str">
        <f t="shared" si="87"/>
        <v/>
      </c>
      <c r="CM79" s="67" t="str">
        <f t="shared" si="102"/>
        <v/>
      </c>
      <c r="CN79" s="67" t="str">
        <f t="shared" si="97"/>
        <v/>
      </c>
      <c r="CO79" s="67" t="str">
        <f t="shared" si="88"/>
        <v/>
      </c>
      <c r="CP79" s="67" t="str">
        <f t="shared" si="98"/>
        <v/>
      </c>
      <c r="CQ79" s="237"/>
      <c r="CR79" s="237"/>
      <c r="CS79" s="237"/>
      <c r="CT79" s="237"/>
      <c r="CU79" s="237"/>
      <c r="CV79" s="237"/>
      <c r="CW79" s="478"/>
      <c r="CX79" s="478"/>
      <c r="CY79" s="478"/>
      <c r="CZ79" s="478"/>
      <c r="DA79" s="478"/>
      <c r="DB79" s="478"/>
      <c r="DC79" s="478"/>
      <c r="DD79" s="478"/>
      <c r="DE79" s="478"/>
      <c r="DF79" s="478"/>
      <c r="DG79" s="478"/>
      <c r="DH79" s="478"/>
      <c r="DI79" s="478"/>
      <c r="DJ79" s="478"/>
      <c r="DK79" s="478"/>
      <c r="DL79" s="478"/>
      <c r="DM79" s="478"/>
      <c r="DN79" s="478"/>
      <c r="DO79" s="478"/>
      <c r="DP79" s="478"/>
      <c r="DQ79" s="478"/>
      <c r="DR79" s="478"/>
      <c r="DS79" s="478"/>
      <c r="DT79" s="478"/>
      <c r="DU79" s="478"/>
      <c r="DV79" s="478"/>
      <c r="DW79" s="478"/>
      <c r="DX79" s="478"/>
      <c r="DY79" s="478"/>
      <c r="DZ79" s="478"/>
      <c r="EA79" s="478"/>
      <c r="EB79" s="478"/>
      <c r="EC79" s="478"/>
      <c r="ED79" s="478"/>
    </row>
    <row r="80" spans="1:134">
      <c r="A80" s="305"/>
      <c r="B80" s="373"/>
      <c r="D80" s="469"/>
      <c r="E80" s="469"/>
      <c r="F80" s="456">
        <f>+Main_무해지!F80</f>
        <v>5</v>
      </c>
      <c r="G80" s="470"/>
      <c r="H80" s="460"/>
      <c r="I80" s="2"/>
      <c r="M80" s="154"/>
      <c r="N80" s="278" t="str">
        <f t="shared" si="106"/>
        <v/>
      </c>
      <c r="O80" s="279" t="str">
        <f t="shared" si="107"/>
        <v/>
      </c>
      <c r="P80" s="271" t="str">
        <f t="shared" si="103"/>
        <v/>
      </c>
      <c r="Q80" s="271" t="str">
        <f t="shared" si="104"/>
        <v/>
      </c>
      <c r="R80" s="271" t="str">
        <f t="shared" si="105"/>
        <v/>
      </c>
      <c r="S80" s="400" t="str">
        <f t="shared" si="108"/>
        <v/>
      </c>
      <c r="T80" s="231"/>
      <c r="U80" s="759" t="str">
        <f t="shared" si="99"/>
        <v/>
      </c>
      <c r="V80" s="761" t="str">
        <f>Main_무해지!AC80</f>
        <v/>
      </c>
      <c r="W80" s="639">
        <f>+Main_무해지!AD80</f>
        <v>0</v>
      </c>
      <c r="X80" s="639">
        <v>0</v>
      </c>
      <c r="Y80" s="409" t="str">
        <f t="shared" si="100"/>
        <v/>
      </c>
      <c r="Z80" s="409" t="str">
        <f t="shared" si="56"/>
        <v/>
      </c>
      <c r="AA80" s="760" t="str">
        <f>IF($U80="","",SUM(Z80:Z$114))</f>
        <v/>
      </c>
      <c r="AB80" s="409" t="str">
        <f t="shared" si="89"/>
        <v/>
      </c>
      <c r="AC80" s="254">
        <f t="shared" si="90"/>
        <v>0</v>
      </c>
      <c r="AD80" s="254" t="str">
        <f>Main_무해지!AJ80</f>
        <v/>
      </c>
      <c r="AE80" s="409">
        <f t="shared" si="57"/>
        <v>0</v>
      </c>
      <c r="AF80" s="409" t="str">
        <f t="shared" si="101"/>
        <v/>
      </c>
      <c r="AG80" s="409" t="str">
        <f t="shared" si="58"/>
        <v/>
      </c>
      <c r="AH80" s="760" t="str">
        <f>IF($U80="","",SUM(AG80:AG$114))</f>
        <v/>
      </c>
      <c r="AI80" s="409" t="str">
        <f>Main_무해지!AP80</f>
        <v/>
      </c>
      <c r="AJ80" s="409">
        <f t="shared" si="59"/>
        <v>0</v>
      </c>
      <c r="AK80" s="409" t="str">
        <f t="shared" si="60"/>
        <v/>
      </c>
      <c r="AL80" s="409" t="str">
        <f t="shared" si="61"/>
        <v/>
      </c>
      <c r="AM80" s="762" t="str">
        <f>IF($U80="","",SUM($AN80:$AN$114))</f>
        <v/>
      </c>
      <c r="AN80" s="409" t="str">
        <f t="shared" si="91"/>
        <v/>
      </c>
      <c r="AO80" s="762" t="str">
        <f t="shared" si="62"/>
        <v/>
      </c>
      <c r="AP80" s="761" t="str">
        <f>IF($U80="","",INDEX(#REF!,$U80+1))</f>
        <v/>
      </c>
      <c r="AQ80" s="409">
        <f t="shared" si="63"/>
        <v>0</v>
      </c>
      <c r="AR80" s="409" t="str">
        <f t="shared" si="64"/>
        <v/>
      </c>
      <c r="AS80" s="409" t="str">
        <f t="shared" si="65"/>
        <v/>
      </c>
      <c r="AT80" s="762" t="str">
        <f>IF($U80="","",SUM($AS80:$AS$114))</f>
        <v/>
      </c>
      <c r="AU80" s="761" t="str">
        <f>IF($U80="","",INDEX(#REF!,$U80+1))</f>
        <v/>
      </c>
      <c r="AV80" s="409">
        <f t="shared" si="66"/>
        <v>0</v>
      </c>
      <c r="AW80" s="409" t="str">
        <f t="shared" si="67"/>
        <v/>
      </c>
      <c r="AX80" s="409" t="str">
        <f t="shared" si="68"/>
        <v/>
      </c>
      <c r="AY80" s="762" t="str">
        <f>IF($U80="","",SUM($AX80:$AX$114))</f>
        <v/>
      </c>
      <c r="AZ80" s="761" t="str">
        <f>IF($U80="","",INDEX(#REF!,$U80+1))</f>
        <v/>
      </c>
      <c r="BA80" s="409">
        <f t="shared" si="69"/>
        <v>0</v>
      </c>
      <c r="BB80" s="409" t="str">
        <f t="shared" si="70"/>
        <v/>
      </c>
      <c r="BC80" s="409" t="str">
        <f t="shared" si="71"/>
        <v/>
      </c>
      <c r="BD80" s="762" t="str">
        <f>IF($U80="","",SUM($BC80:$BC$114))</f>
        <v/>
      </c>
      <c r="BE80" s="761" t="str">
        <f>IF($U80="","",INDEX(#REF!,$U80+1))</f>
        <v/>
      </c>
      <c r="BF80" s="409">
        <f t="shared" si="72"/>
        <v>0</v>
      </c>
      <c r="BG80" s="409" t="str">
        <f t="shared" si="73"/>
        <v/>
      </c>
      <c r="BH80" s="409" t="str">
        <f t="shared" si="74"/>
        <v/>
      </c>
      <c r="BI80" s="762" t="str">
        <f>IF($U80="","",SUM($BH80:$BH$114))</f>
        <v/>
      </c>
      <c r="BJ80" s="761" t="str">
        <f>IF($U80="","",INDEX(#REF!,$U80+1))</f>
        <v/>
      </c>
      <c r="BK80" s="409">
        <f t="shared" si="75"/>
        <v>0</v>
      </c>
      <c r="BL80" s="409" t="str">
        <f t="shared" si="76"/>
        <v/>
      </c>
      <c r="BM80" s="409" t="str">
        <f t="shared" si="77"/>
        <v/>
      </c>
      <c r="BN80" s="762" t="str">
        <f>IF($U80="","",SUM($BM80:$BM$114))</f>
        <v/>
      </c>
      <c r="BO80" s="761">
        <f t="shared" si="78"/>
        <v>0</v>
      </c>
      <c r="BP80" s="409" t="str">
        <f t="shared" si="79"/>
        <v/>
      </c>
      <c r="BQ80" s="409" t="str">
        <f t="shared" si="80"/>
        <v/>
      </c>
      <c r="BR80" s="409"/>
      <c r="BS80" s="409" t="str">
        <f t="shared" si="92"/>
        <v/>
      </c>
      <c r="BT80" s="409" t="str">
        <f t="shared" si="81"/>
        <v/>
      </c>
      <c r="BU80" s="409" t="str">
        <f t="shared" si="82"/>
        <v/>
      </c>
      <c r="BV80" s="409"/>
      <c r="BW80" s="409" t="str">
        <f t="shared" si="93"/>
        <v/>
      </c>
      <c r="BX80" s="409" t="str">
        <f>IF($U80="","",SUM(BS80:BS$114)+SUM(BW80:BW$114))</f>
        <v/>
      </c>
      <c r="BY80" s="763"/>
      <c r="BZ80" s="763"/>
      <c r="CA80" s="763"/>
      <c r="CB80" s="763"/>
      <c r="CC80" s="764" t="str">
        <f t="shared" si="55"/>
        <v/>
      </c>
      <c r="CD80" s="409" t="str">
        <f t="shared" si="94"/>
        <v/>
      </c>
      <c r="CE80" s="409" t="str">
        <f t="shared" si="83"/>
        <v/>
      </c>
      <c r="CF80" s="409" t="str">
        <f t="shared" si="84"/>
        <v/>
      </c>
      <c r="CG80" s="409" t="str">
        <f t="shared" si="95"/>
        <v/>
      </c>
      <c r="CH80" s="409" t="str">
        <f t="shared" si="85"/>
        <v/>
      </c>
      <c r="CI80" s="765" t="str">
        <f t="shared" si="96"/>
        <v/>
      </c>
      <c r="CJ80" s="766" t="str">
        <f t="shared" si="86"/>
        <v/>
      </c>
      <c r="CK80" s="414"/>
      <c r="CL80" s="759" t="str">
        <f t="shared" si="87"/>
        <v/>
      </c>
      <c r="CM80" s="766" t="str">
        <f t="shared" si="102"/>
        <v/>
      </c>
      <c r="CN80" s="766" t="str">
        <f t="shared" si="97"/>
        <v/>
      </c>
      <c r="CO80" s="766" t="str">
        <f t="shared" si="88"/>
        <v/>
      </c>
      <c r="CP80" s="766" t="str">
        <f t="shared" si="98"/>
        <v/>
      </c>
      <c r="CQ80" s="414"/>
      <c r="CR80" s="414"/>
      <c r="CS80" s="414"/>
      <c r="CT80" s="414"/>
      <c r="CU80" s="414"/>
      <c r="CV80" s="414"/>
      <c r="CW80" s="478"/>
      <c r="CX80" s="478"/>
      <c r="CY80" s="478"/>
      <c r="CZ80" s="478"/>
      <c r="DA80" s="478"/>
      <c r="DB80" s="478"/>
      <c r="DC80" s="478"/>
      <c r="DD80" s="478"/>
      <c r="DE80" s="478"/>
      <c r="DF80" s="478"/>
      <c r="DG80" s="478"/>
      <c r="DH80" s="478"/>
      <c r="DI80" s="478"/>
      <c r="DJ80" s="478"/>
      <c r="DK80" s="478"/>
      <c r="DL80" s="478"/>
      <c r="DM80" s="478"/>
      <c r="DN80" s="478"/>
      <c r="DO80" s="478"/>
      <c r="DP80" s="478"/>
      <c r="DQ80" s="478"/>
      <c r="DR80" s="478"/>
      <c r="DS80" s="478"/>
      <c r="DT80" s="478"/>
      <c r="DU80" s="478"/>
      <c r="DV80" s="478"/>
      <c r="DW80" s="478"/>
      <c r="DX80" s="478"/>
      <c r="DY80" s="478"/>
      <c r="DZ80" s="478"/>
      <c r="EA80" s="478"/>
      <c r="EB80" s="478"/>
      <c r="EC80" s="478"/>
      <c r="ED80" s="478"/>
    </row>
    <row r="81" spans="1:134">
      <c r="A81" s="305"/>
      <c r="B81" s="373"/>
      <c r="D81" s="469"/>
      <c r="E81" s="469"/>
      <c r="F81" s="456">
        <f>+Main_무해지!F81</f>
        <v>6</v>
      </c>
      <c r="G81" s="470"/>
      <c r="H81" s="460"/>
      <c r="I81" s="2"/>
      <c r="M81" s="154"/>
      <c r="N81" s="280" t="str">
        <f t="shared" si="106"/>
        <v/>
      </c>
      <c r="O81" s="281" t="str">
        <f t="shared" si="107"/>
        <v/>
      </c>
      <c r="P81" s="282" t="str">
        <f t="shared" si="103"/>
        <v/>
      </c>
      <c r="Q81" s="282" t="str">
        <f t="shared" si="104"/>
        <v/>
      </c>
      <c r="R81" s="282" t="str">
        <f t="shared" si="105"/>
        <v/>
      </c>
      <c r="S81" s="402" t="str">
        <f t="shared" si="108"/>
        <v/>
      </c>
      <c r="T81" s="231"/>
      <c r="U81" s="101" t="str">
        <f t="shared" si="99"/>
        <v/>
      </c>
      <c r="V81" s="285" t="str">
        <f>Main_무해지!AC81</f>
        <v/>
      </c>
      <c r="W81" s="308">
        <f>+Main_무해지!AD81</f>
        <v>0</v>
      </c>
      <c r="X81" s="308">
        <v>0</v>
      </c>
      <c r="Y81" s="258" t="str">
        <f t="shared" si="100"/>
        <v/>
      </c>
      <c r="Z81" s="258" t="str">
        <f t="shared" si="56"/>
        <v/>
      </c>
      <c r="AA81" s="102" t="str">
        <f>IF($U81="","",SUM(Z81:Z$114))</f>
        <v/>
      </c>
      <c r="AB81" s="258" t="str">
        <f t="shared" si="89"/>
        <v/>
      </c>
      <c r="AC81" s="254">
        <f t="shared" si="90"/>
        <v>0</v>
      </c>
      <c r="AD81" s="254" t="str">
        <f>Main_무해지!AJ81</f>
        <v/>
      </c>
      <c r="AE81" s="258">
        <f t="shared" si="57"/>
        <v>0</v>
      </c>
      <c r="AF81" s="258" t="str">
        <f t="shared" si="101"/>
        <v/>
      </c>
      <c r="AG81" s="258" t="str">
        <f t="shared" si="58"/>
        <v/>
      </c>
      <c r="AH81" s="102" t="str">
        <f>IF($U81="","",SUM(AG81:AG$114))</f>
        <v/>
      </c>
      <c r="AI81" s="258" t="str">
        <f>Main_무해지!AP81</f>
        <v/>
      </c>
      <c r="AJ81" s="258">
        <f t="shared" si="59"/>
        <v>0</v>
      </c>
      <c r="AK81" s="258" t="str">
        <f t="shared" si="60"/>
        <v/>
      </c>
      <c r="AL81" s="258" t="str">
        <f t="shared" si="61"/>
        <v/>
      </c>
      <c r="AM81" s="315" t="str">
        <f>IF($U81="","",SUM($AN81:$AN$114))</f>
        <v/>
      </c>
      <c r="AN81" s="258" t="str">
        <f t="shared" si="91"/>
        <v/>
      </c>
      <c r="AO81" s="315" t="str">
        <f t="shared" si="62"/>
        <v/>
      </c>
      <c r="AP81" s="285" t="str">
        <f>IF($U81="","",INDEX(#REF!,$U81+1))</f>
        <v/>
      </c>
      <c r="AQ81" s="258">
        <f t="shared" si="63"/>
        <v>0</v>
      </c>
      <c r="AR81" s="258" t="str">
        <f t="shared" si="64"/>
        <v/>
      </c>
      <c r="AS81" s="258" t="str">
        <f t="shared" si="65"/>
        <v/>
      </c>
      <c r="AT81" s="315" t="str">
        <f>IF($U81="","",SUM($AS81:$AS$114))</f>
        <v/>
      </c>
      <c r="AU81" s="285" t="str">
        <f>IF($U81="","",INDEX(#REF!,$U81+1))</f>
        <v/>
      </c>
      <c r="AV81" s="258">
        <f t="shared" si="66"/>
        <v>0</v>
      </c>
      <c r="AW81" s="258" t="str">
        <f t="shared" si="67"/>
        <v/>
      </c>
      <c r="AX81" s="258" t="str">
        <f t="shared" si="68"/>
        <v/>
      </c>
      <c r="AY81" s="315" t="str">
        <f>IF($U81="","",SUM($AX81:$AX$114))</f>
        <v/>
      </c>
      <c r="AZ81" s="285" t="str">
        <f>IF($U81="","",INDEX(#REF!,$U81+1))</f>
        <v/>
      </c>
      <c r="BA81" s="258">
        <f t="shared" si="69"/>
        <v>0</v>
      </c>
      <c r="BB81" s="258" t="str">
        <f t="shared" si="70"/>
        <v/>
      </c>
      <c r="BC81" s="258" t="str">
        <f t="shared" si="71"/>
        <v/>
      </c>
      <c r="BD81" s="315" t="str">
        <f>IF($U81="","",SUM($BC81:$BC$114))</f>
        <v/>
      </c>
      <c r="BE81" s="285" t="str">
        <f>IF($U81="","",INDEX(#REF!,$U81+1))</f>
        <v/>
      </c>
      <c r="BF81" s="258">
        <f t="shared" si="72"/>
        <v>0</v>
      </c>
      <c r="BG81" s="258" t="str">
        <f t="shared" si="73"/>
        <v/>
      </c>
      <c r="BH81" s="258" t="str">
        <f t="shared" si="74"/>
        <v/>
      </c>
      <c r="BI81" s="315" t="str">
        <f>IF($U81="","",SUM($BH81:$BH$114))</f>
        <v/>
      </c>
      <c r="BJ81" s="285" t="str">
        <f>IF($U81="","",INDEX(#REF!,$U81+1))</f>
        <v/>
      </c>
      <c r="BK81" s="258">
        <f t="shared" si="75"/>
        <v>0</v>
      </c>
      <c r="BL81" s="258" t="str">
        <f t="shared" si="76"/>
        <v/>
      </c>
      <c r="BM81" s="258" t="str">
        <f t="shared" si="77"/>
        <v/>
      </c>
      <c r="BN81" s="315" t="str">
        <f>IF($U81="","",SUM($BM81:$BM$114))</f>
        <v/>
      </c>
      <c r="BO81" s="285">
        <f t="shared" si="78"/>
        <v>0</v>
      </c>
      <c r="BP81" s="258" t="str">
        <f t="shared" si="79"/>
        <v/>
      </c>
      <c r="BQ81" s="258" t="str">
        <f t="shared" si="80"/>
        <v/>
      </c>
      <c r="BR81" s="258"/>
      <c r="BS81" s="258" t="str">
        <f t="shared" si="92"/>
        <v/>
      </c>
      <c r="BT81" s="258" t="str">
        <f t="shared" si="81"/>
        <v/>
      </c>
      <c r="BU81" s="258" t="str">
        <f t="shared" si="82"/>
        <v/>
      </c>
      <c r="BV81" s="258"/>
      <c r="BW81" s="258" t="str">
        <f t="shared" si="93"/>
        <v/>
      </c>
      <c r="BX81" s="258" t="str">
        <f>IF($U81="","",SUM(BS81:BS$114)+SUM(BW81:BW$114))</f>
        <v/>
      </c>
      <c r="BY81" s="103"/>
      <c r="BZ81" s="103"/>
      <c r="CA81" s="103"/>
      <c r="CB81" s="103"/>
      <c r="CC81" s="394" t="str">
        <f t="shared" si="55"/>
        <v/>
      </c>
      <c r="CD81" s="258" t="str">
        <f t="shared" si="94"/>
        <v/>
      </c>
      <c r="CE81" s="258" t="str">
        <f t="shared" si="83"/>
        <v/>
      </c>
      <c r="CF81" s="258" t="str">
        <f t="shared" si="84"/>
        <v/>
      </c>
      <c r="CG81" s="258" t="str">
        <f t="shared" si="95"/>
        <v/>
      </c>
      <c r="CH81" s="258" t="str">
        <f t="shared" si="85"/>
        <v/>
      </c>
      <c r="CI81" s="104" t="str">
        <f t="shared" si="96"/>
        <v/>
      </c>
      <c r="CJ81" s="105" t="str">
        <f t="shared" si="86"/>
        <v/>
      </c>
      <c r="CK81" s="240"/>
      <c r="CL81" s="101" t="str">
        <f t="shared" si="87"/>
        <v/>
      </c>
      <c r="CM81" s="105" t="str">
        <f t="shared" si="102"/>
        <v/>
      </c>
      <c r="CN81" s="105" t="str">
        <f t="shared" si="97"/>
        <v/>
      </c>
      <c r="CO81" s="105" t="str">
        <f t="shared" si="88"/>
        <v/>
      </c>
      <c r="CP81" s="105" t="str">
        <f t="shared" si="98"/>
        <v/>
      </c>
      <c r="CQ81" s="240"/>
      <c r="CR81" s="240"/>
      <c r="CS81" s="240"/>
      <c r="CT81" s="240"/>
      <c r="CU81" s="240"/>
      <c r="CV81" s="240"/>
      <c r="CW81" s="478"/>
      <c r="CX81" s="478"/>
      <c r="CY81" s="478"/>
      <c r="CZ81" s="478"/>
      <c r="DA81" s="478"/>
      <c r="DB81" s="478"/>
      <c r="DC81" s="478"/>
      <c r="DD81" s="478"/>
      <c r="DE81" s="478"/>
      <c r="DF81" s="478"/>
      <c r="DG81" s="478"/>
      <c r="DH81" s="478"/>
      <c r="DI81" s="478"/>
      <c r="DJ81" s="478"/>
      <c r="DK81" s="478"/>
      <c r="DL81" s="478"/>
      <c r="DM81" s="478"/>
      <c r="DN81" s="478"/>
      <c r="DO81" s="478"/>
      <c r="DP81" s="478"/>
      <c r="DQ81" s="478"/>
      <c r="DR81" s="478"/>
      <c r="DS81" s="478"/>
      <c r="DT81" s="478"/>
      <c r="DU81" s="478"/>
      <c r="DV81" s="478"/>
      <c r="DW81" s="478"/>
      <c r="DX81" s="478"/>
      <c r="DY81" s="478"/>
      <c r="DZ81" s="478"/>
      <c r="EA81" s="478"/>
      <c r="EB81" s="478"/>
      <c r="EC81" s="478"/>
      <c r="ED81" s="478"/>
    </row>
    <row r="82" spans="1:134">
      <c r="A82" s="305"/>
      <c r="B82" s="373"/>
      <c r="D82" s="469"/>
      <c r="E82" s="469"/>
      <c r="F82" s="456">
        <f>+Main_무해지!F82</f>
        <v>7</v>
      </c>
      <c r="G82" s="470"/>
      <c r="H82" s="460"/>
      <c r="I82" s="2"/>
      <c r="M82" s="154"/>
      <c r="N82" s="275" t="str">
        <f t="shared" si="106"/>
        <v/>
      </c>
      <c r="O82" s="276" t="str">
        <f t="shared" si="107"/>
        <v/>
      </c>
      <c r="P82" s="277" t="str">
        <f t="shared" si="103"/>
        <v/>
      </c>
      <c r="Q82" s="277" t="str">
        <f t="shared" si="104"/>
        <v/>
      </c>
      <c r="R82" s="277" t="str">
        <f t="shared" si="105"/>
        <v/>
      </c>
      <c r="S82" s="401" t="str">
        <f t="shared" si="108"/>
        <v/>
      </c>
      <c r="T82" s="231"/>
      <c r="U82" s="101" t="str">
        <f t="shared" si="99"/>
        <v/>
      </c>
      <c r="V82" s="285" t="str">
        <f>Main_무해지!AC82</f>
        <v/>
      </c>
      <c r="W82" s="308">
        <f>+Main_무해지!AD82</f>
        <v>0</v>
      </c>
      <c r="X82" s="308">
        <v>0</v>
      </c>
      <c r="Y82" s="258" t="str">
        <f t="shared" si="100"/>
        <v/>
      </c>
      <c r="Z82" s="258" t="str">
        <f t="shared" si="56"/>
        <v/>
      </c>
      <c r="AA82" s="102" t="str">
        <f>IF($U82="","",SUM(Z82:Z$114))</f>
        <v/>
      </c>
      <c r="AB82" s="258" t="str">
        <f t="shared" si="89"/>
        <v/>
      </c>
      <c r="AC82" s="254">
        <f t="shared" si="90"/>
        <v>0</v>
      </c>
      <c r="AD82" s="254" t="str">
        <f>Main_무해지!AJ82</f>
        <v/>
      </c>
      <c r="AE82" s="258">
        <f t="shared" si="57"/>
        <v>0</v>
      </c>
      <c r="AF82" s="258" t="str">
        <f t="shared" si="101"/>
        <v/>
      </c>
      <c r="AG82" s="258" t="str">
        <f t="shared" si="58"/>
        <v/>
      </c>
      <c r="AH82" s="102" t="str">
        <f>IF($U82="","",SUM(AG82:AG$114))</f>
        <v/>
      </c>
      <c r="AI82" s="258" t="str">
        <f>Main_무해지!AP82</f>
        <v/>
      </c>
      <c r="AJ82" s="258">
        <f t="shared" si="59"/>
        <v>0</v>
      </c>
      <c r="AK82" s="258" t="str">
        <f t="shared" si="60"/>
        <v/>
      </c>
      <c r="AL82" s="258" t="str">
        <f t="shared" si="61"/>
        <v/>
      </c>
      <c r="AM82" s="315" t="str">
        <f>IF($U82="","",SUM($AN82:$AN$114))</f>
        <v/>
      </c>
      <c r="AN82" s="258" t="str">
        <f t="shared" si="91"/>
        <v/>
      </c>
      <c r="AO82" s="315" t="str">
        <f t="shared" si="62"/>
        <v/>
      </c>
      <c r="AP82" s="285" t="str">
        <f>IF($U82="","",INDEX(#REF!,$U82+1))</f>
        <v/>
      </c>
      <c r="AQ82" s="258">
        <f t="shared" si="63"/>
        <v>0</v>
      </c>
      <c r="AR82" s="258" t="str">
        <f t="shared" si="64"/>
        <v/>
      </c>
      <c r="AS82" s="258" t="str">
        <f t="shared" si="65"/>
        <v/>
      </c>
      <c r="AT82" s="315" t="str">
        <f>IF($U82="","",SUM($AS82:$AS$114))</f>
        <v/>
      </c>
      <c r="AU82" s="285" t="str">
        <f>IF($U82="","",INDEX(#REF!,$U82+1))</f>
        <v/>
      </c>
      <c r="AV82" s="258">
        <f t="shared" si="66"/>
        <v>0</v>
      </c>
      <c r="AW82" s="258" t="str">
        <f t="shared" si="67"/>
        <v/>
      </c>
      <c r="AX82" s="258" t="str">
        <f t="shared" si="68"/>
        <v/>
      </c>
      <c r="AY82" s="315" t="str">
        <f>IF($U82="","",SUM($AX82:$AX$114))</f>
        <v/>
      </c>
      <c r="AZ82" s="285" t="str">
        <f>IF($U82="","",INDEX(#REF!,$U82+1))</f>
        <v/>
      </c>
      <c r="BA82" s="258">
        <f t="shared" si="69"/>
        <v>0</v>
      </c>
      <c r="BB82" s="258" t="str">
        <f t="shared" si="70"/>
        <v/>
      </c>
      <c r="BC82" s="258" t="str">
        <f t="shared" si="71"/>
        <v/>
      </c>
      <c r="BD82" s="315" t="str">
        <f>IF($U82="","",SUM($BC82:$BC$114))</f>
        <v/>
      </c>
      <c r="BE82" s="285" t="str">
        <f>IF($U82="","",INDEX(#REF!,$U82+1))</f>
        <v/>
      </c>
      <c r="BF82" s="258">
        <f t="shared" si="72"/>
        <v>0</v>
      </c>
      <c r="BG82" s="258" t="str">
        <f t="shared" si="73"/>
        <v/>
      </c>
      <c r="BH82" s="258" t="str">
        <f t="shared" si="74"/>
        <v/>
      </c>
      <c r="BI82" s="315" t="str">
        <f>IF($U82="","",SUM($BH82:$BH$114))</f>
        <v/>
      </c>
      <c r="BJ82" s="285" t="str">
        <f>IF($U82="","",INDEX(#REF!,$U82+1))</f>
        <v/>
      </c>
      <c r="BK82" s="258">
        <f t="shared" si="75"/>
        <v>0</v>
      </c>
      <c r="BL82" s="258" t="str">
        <f t="shared" si="76"/>
        <v/>
      </c>
      <c r="BM82" s="258" t="str">
        <f t="shared" si="77"/>
        <v/>
      </c>
      <c r="BN82" s="315" t="str">
        <f>IF($U82="","",SUM($BM82:$BM$114))</f>
        <v/>
      </c>
      <c r="BO82" s="285">
        <f t="shared" si="78"/>
        <v>0</v>
      </c>
      <c r="BP82" s="258" t="str">
        <f t="shared" si="79"/>
        <v/>
      </c>
      <c r="BQ82" s="258" t="str">
        <f t="shared" si="80"/>
        <v/>
      </c>
      <c r="BR82" s="258"/>
      <c r="BS82" s="258" t="str">
        <f t="shared" si="92"/>
        <v/>
      </c>
      <c r="BT82" s="258" t="str">
        <f t="shared" si="81"/>
        <v/>
      </c>
      <c r="BU82" s="258" t="str">
        <f t="shared" si="82"/>
        <v/>
      </c>
      <c r="BV82" s="258"/>
      <c r="BW82" s="258" t="str">
        <f t="shared" si="93"/>
        <v/>
      </c>
      <c r="BX82" s="258" t="str">
        <f>IF($U82="","",SUM(BS82:BS$114)+SUM(BW82:BW$114))</f>
        <v/>
      </c>
      <c r="BY82" s="103"/>
      <c r="BZ82" s="103"/>
      <c r="CA82" s="103"/>
      <c r="CB82" s="103"/>
      <c r="CC82" s="394" t="str">
        <f t="shared" si="55"/>
        <v/>
      </c>
      <c r="CD82" s="258" t="str">
        <f t="shared" si="94"/>
        <v/>
      </c>
      <c r="CE82" s="258" t="str">
        <f t="shared" si="83"/>
        <v/>
      </c>
      <c r="CF82" s="258" t="str">
        <f t="shared" si="84"/>
        <v/>
      </c>
      <c r="CG82" s="258" t="str">
        <f t="shared" si="95"/>
        <v/>
      </c>
      <c r="CH82" s="258" t="str">
        <f t="shared" si="85"/>
        <v/>
      </c>
      <c r="CI82" s="104" t="str">
        <f t="shared" si="96"/>
        <v/>
      </c>
      <c r="CJ82" s="105" t="str">
        <f t="shared" si="86"/>
        <v/>
      </c>
      <c r="CK82" s="240"/>
      <c r="CL82" s="101" t="str">
        <f t="shared" si="87"/>
        <v/>
      </c>
      <c r="CM82" s="105" t="str">
        <f t="shared" si="102"/>
        <v/>
      </c>
      <c r="CN82" s="105" t="str">
        <f t="shared" si="97"/>
        <v/>
      </c>
      <c r="CO82" s="105" t="str">
        <f t="shared" si="88"/>
        <v/>
      </c>
      <c r="CP82" s="105" t="str">
        <f t="shared" si="98"/>
        <v/>
      </c>
      <c r="CQ82" s="240"/>
      <c r="CR82" s="240"/>
      <c r="CS82" s="240"/>
      <c r="CT82" s="240"/>
      <c r="CU82" s="240"/>
      <c r="CV82" s="240"/>
      <c r="CW82" s="478"/>
      <c r="CX82" s="478"/>
      <c r="CY82" s="478"/>
      <c r="CZ82" s="478"/>
      <c r="DA82" s="478"/>
      <c r="DB82" s="478"/>
      <c r="DC82" s="478"/>
      <c r="DD82" s="478"/>
      <c r="DE82" s="478"/>
      <c r="DF82" s="478"/>
      <c r="DG82" s="478"/>
      <c r="DH82" s="478"/>
      <c r="DI82" s="478"/>
      <c r="DJ82" s="478"/>
      <c r="DK82" s="478"/>
      <c r="DL82" s="478"/>
      <c r="DM82" s="478"/>
      <c r="DN82" s="478"/>
      <c r="DO82" s="478"/>
      <c r="DP82" s="478"/>
      <c r="DQ82" s="478"/>
      <c r="DR82" s="478"/>
      <c r="DS82" s="478"/>
      <c r="DT82" s="478"/>
      <c r="DU82" s="478"/>
      <c r="DV82" s="478"/>
      <c r="DW82" s="478"/>
      <c r="DX82" s="478"/>
      <c r="DY82" s="478"/>
      <c r="DZ82" s="478"/>
      <c r="EA82" s="478"/>
      <c r="EB82" s="478"/>
      <c r="EC82" s="478"/>
      <c r="ED82" s="478"/>
    </row>
    <row r="83" spans="1:134">
      <c r="A83" s="305"/>
      <c r="B83" s="373"/>
      <c r="D83" s="469"/>
      <c r="E83" s="469"/>
      <c r="F83" s="456">
        <f>+Main_무해지!F83</f>
        <v>8</v>
      </c>
      <c r="G83" s="470"/>
      <c r="H83" s="460"/>
      <c r="I83" s="2"/>
      <c r="M83" s="154"/>
      <c r="N83" s="278" t="str">
        <f t="shared" si="106"/>
        <v/>
      </c>
      <c r="O83" s="279" t="str">
        <f t="shared" si="107"/>
        <v/>
      </c>
      <c r="P83" s="271" t="str">
        <f t="shared" si="103"/>
        <v/>
      </c>
      <c r="Q83" s="271" t="str">
        <f t="shared" si="104"/>
        <v/>
      </c>
      <c r="R83" s="271" t="str">
        <f t="shared" si="105"/>
        <v/>
      </c>
      <c r="S83" s="400" t="str">
        <f t="shared" si="108"/>
        <v/>
      </c>
      <c r="T83" s="231"/>
      <c r="U83" s="101" t="str">
        <f t="shared" si="99"/>
        <v/>
      </c>
      <c r="V83" s="285" t="str">
        <f>Main_무해지!AC83</f>
        <v/>
      </c>
      <c r="W83" s="308">
        <f>+Main_무해지!AD83</f>
        <v>0</v>
      </c>
      <c r="X83" s="308">
        <v>0</v>
      </c>
      <c r="Y83" s="258" t="str">
        <f t="shared" si="100"/>
        <v/>
      </c>
      <c r="Z83" s="258" t="str">
        <f t="shared" si="56"/>
        <v/>
      </c>
      <c r="AA83" s="102" t="str">
        <f>IF($U83="","",SUM(Z83:Z$114))</f>
        <v/>
      </c>
      <c r="AB83" s="258" t="str">
        <f t="shared" si="89"/>
        <v/>
      </c>
      <c r="AC83" s="254">
        <f t="shared" si="90"/>
        <v>0</v>
      </c>
      <c r="AD83" s="254" t="str">
        <f>Main_무해지!AJ83</f>
        <v/>
      </c>
      <c r="AE83" s="258">
        <f t="shared" si="57"/>
        <v>0</v>
      </c>
      <c r="AF83" s="258" t="str">
        <f t="shared" si="101"/>
        <v/>
      </c>
      <c r="AG83" s="258" t="str">
        <f t="shared" si="58"/>
        <v/>
      </c>
      <c r="AH83" s="102" t="str">
        <f>IF($U83="","",SUM(AG83:AG$114))</f>
        <v/>
      </c>
      <c r="AI83" s="258" t="str">
        <f>Main_무해지!AP83</f>
        <v/>
      </c>
      <c r="AJ83" s="258">
        <f t="shared" si="59"/>
        <v>0</v>
      </c>
      <c r="AK83" s="258" t="str">
        <f t="shared" si="60"/>
        <v/>
      </c>
      <c r="AL83" s="258" t="str">
        <f t="shared" si="61"/>
        <v/>
      </c>
      <c r="AM83" s="315" t="str">
        <f>IF($U83="","",SUM($AN83:$AN$114))</f>
        <v/>
      </c>
      <c r="AN83" s="258" t="str">
        <f t="shared" si="91"/>
        <v/>
      </c>
      <c r="AO83" s="315" t="str">
        <f t="shared" si="62"/>
        <v/>
      </c>
      <c r="AP83" s="285" t="str">
        <f>IF($U83="","",INDEX(#REF!,$U83+1))</f>
        <v/>
      </c>
      <c r="AQ83" s="258">
        <f t="shared" si="63"/>
        <v>0</v>
      </c>
      <c r="AR83" s="258" t="str">
        <f t="shared" si="64"/>
        <v/>
      </c>
      <c r="AS83" s="258" t="str">
        <f t="shared" si="65"/>
        <v/>
      </c>
      <c r="AT83" s="315" t="str">
        <f>IF($U83="","",SUM($AS83:$AS$114))</f>
        <v/>
      </c>
      <c r="AU83" s="285" t="str">
        <f>IF($U83="","",INDEX(#REF!,$U83+1))</f>
        <v/>
      </c>
      <c r="AV83" s="258">
        <f t="shared" si="66"/>
        <v>0</v>
      </c>
      <c r="AW83" s="258" t="str">
        <f t="shared" si="67"/>
        <v/>
      </c>
      <c r="AX83" s="258" t="str">
        <f t="shared" si="68"/>
        <v/>
      </c>
      <c r="AY83" s="315" t="str">
        <f>IF($U83="","",SUM($AX83:$AX$114))</f>
        <v/>
      </c>
      <c r="AZ83" s="285" t="str">
        <f>IF($U83="","",INDEX(#REF!,$U83+1))</f>
        <v/>
      </c>
      <c r="BA83" s="258">
        <f t="shared" si="69"/>
        <v>0</v>
      </c>
      <c r="BB83" s="258" t="str">
        <f t="shared" si="70"/>
        <v/>
      </c>
      <c r="BC83" s="258" t="str">
        <f t="shared" si="71"/>
        <v/>
      </c>
      <c r="BD83" s="315" t="str">
        <f>IF($U83="","",SUM($BC83:$BC$114))</f>
        <v/>
      </c>
      <c r="BE83" s="285" t="str">
        <f>IF($U83="","",INDEX(#REF!,$U83+1))</f>
        <v/>
      </c>
      <c r="BF83" s="258">
        <f t="shared" si="72"/>
        <v>0</v>
      </c>
      <c r="BG83" s="258" t="str">
        <f t="shared" si="73"/>
        <v/>
      </c>
      <c r="BH83" s="258" t="str">
        <f t="shared" si="74"/>
        <v/>
      </c>
      <c r="BI83" s="315" t="str">
        <f>IF($U83="","",SUM($BH83:$BH$114))</f>
        <v/>
      </c>
      <c r="BJ83" s="285" t="str">
        <f>IF($U83="","",INDEX(#REF!,$U83+1))</f>
        <v/>
      </c>
      <c r="BK83" s="258">
        <f t="shared" si="75"/>
        <v>0</v>
      </c>
      <c r="BL83" s="258" t="str">
        <f t="shared" si="76"/>
        <v/>
      </c>
      <c r="BM83" s="258" t="str">
        <f t="shared" si="77"/>
        <v/>
      </c>
      <c r="BN83" s="315" t="str">
        <f>IF($U83="","",SUM($BM83:$BM$114))</f>
        <v/>
      </c>
      <c r="BO83" s="285">
        <f t="shared" si="78"/>
        <v>0</v>
      </c>
      <c r="BP83" s="258" t="str">
        <f t="shared" si="79"/>
        <v/>
      </c>
      <c r="BQ83" s="258" t="str">
        <f t="shared" si="80"/>
        <v/>
      </c>
      <c r="BR83" s="258"/>
      <c r="BS83" s="258" t="str">
        <f t="shared" si="92"/>
        <v/>
      </c>
      <c r="BT83" s="258" t="str">
        <f t="shared" si="81"/>
        <v/>
      </c>
      <c r="BU83" s="258" t="str">
        <f t="shared" si="82"/>
        <v/>
      </c>
      <c r="BV83" s="258"/>
      <c r="BW83" s="258" t="str">
        <f t="shared" si="93"/>
        <v/>
      </c>
      <c r="BX83" s="258" t="str">
        <f>IF($U83="","",SUM(BS83:BS$114)+SUM(BW83:BW$114))</f>
        <v/>
      </c>
      <c r="BY83" s="103"/>
      <c r="BZ83" s="103"/>
      <c r="CA83" s="103"/>
      <c r="CB83" s="103"/>
      <c r="CC83" s="394" t="str">
        <f t="shared" si="55"/>
        <v/>
      </c>
      <c r="CD83" s="258" t="str">
        <f t="shared" si="94"/>
        <v/>
      </c>
      <c r="CE83" s="258" t="str">
        <f t="shared" si="83"/>
        <v/>
      </c>
      <c r="CF83" s="258" t="str">
        <f t="shared" si="84"/>
        <v/>
      </c>
      <c r="CG83" s="258" t="str">
        <f t="shared" si="95"/>
        <v/>
      </c>
      <c r="CH83" s="258" t="str">
        <f t="shared" si="85"/>
        <v/>
      </c>
      <c r="CI83" s="104" t="str">
        <f t="shared" si="96"/>
        <v/>
      </c>
      <c r="CJ83" s="105" t="str">
        <f t="shared" si="86"/>
        <v/>
      </c>
      <c r="CK83" s="240"/>
      <c r="CL83" s="101" t="str">
        <f t="shared" si="87"/>
        <v/>
      </c>
      <c r="CM83" s="105" t="str">
        <f t="shared" si="102"/>
        <v/>
      </c>
      <c r="CN83" s="105" t="str">
        <f t="shared" si="97"/>
        <v/>
      </c>
      <c r="CO83" s="105" t="str">
        <f t="shared" si="88"/>
        <v/>
      </c>
      <c r="CP83" s="105" t="str">
        <f t="shared" si="98"/>
        <v/>
      </c>
      <c r="CQ83" s="240"/>
      <c r="CR83" s="240"/>
      <c r="CS83" s="240"/>
      <c r="CT83" s="240"/>
      <c r="CU83" s="240"/>
      <c r="CV83" s="240"/>
      <c r="CW83" s="478"/>
      <c r="CX83" s="478"/>
      <c r="CY83" s="478"/>
      <c r="CZ83" s="478"/>
      <c r="DA83" s="478"/>
      <c r="DB83" s="478"/>
      <c r="DC83" s="478"/>
      <c r="DD83" s="478"/>
      <c r="DE83" s="478"/>
      <c r="DF83" s="478"/>
      <c r="DG83" s="478"/>
      <c r="DH83" s="478"/>
      <c r="DI83" s="478"/>
      <c r="DJ83" s="478"/>
      <c r="DK83" s="478"/>
      <c r="DL83" s="478"/>
      <c r="DM83" s="478"/>
      <c r="DN83" s="478"/>
      <c r="DO83" s="478"/>
      <c r="DP83" s="478"/>
      <c r="DQ83" s="478"/>
      <c r="DR83" s="478"/>
      <c r="DS83" s="478"/>
      <c r="DT83" s="478"/>
      <c r="DU83" s="478"/>
      <c r="DV83" s="478"/>
      <c r="DW83" s="478"/>
      <c r="DX83" s="478"/>
      <c r="DY83" s="478"/>
      <c r="DZ83" s="478"/>
      <c r="EA83" s="478"/>
      <c r="EB83" s="478"/>
      <c r="EC83" s="478"/>
      <c r="ED83" s="478"/>
    </row>
    <row r="84" spans="1:134">
      <c r="A84" s="305"/>
      <c r="B84" s="373"/>
      <c r="D84" s="469"/>
      <c r="E84" s="469"/>
      <c r="F84" s="456">
        <f>+Main_무해지!F84</f>
        <v>9</v>
      </c>
      <c r="G84" s="470"/>
      <c r="H84" s="460"/>
      <c r="I84" s="2"/>
      <c r="M84" s="154"/>
      <c r="N84" s="278" t="str">
        <f t="shared" si="106"/>
        <v/>
      </c>
      <c r="O84" s="279" t="str">
        <f t="shared" si="107"/>
        <v/>
      </c>
      <c r="P84" s="271" t="str">
        <f t="shared" si="103"/>
        <v/>
      </c>
      <c r="Q84" s="271" t="str">
        <f t="shared" si="104"/>
        <v/>
      </c>
      <c r="R84" s="271" t="str">
        <f t="shared" si="105"/>
        <v/>
      </c>
      <c r="S84" s="400" t="str">
        <f t="shared" si="108"/>
        <v/>
      </c>
      <c r="T84" s="231"/>
      <c r="U84" s="110" t="str">
        <f t="shared" si="99"/>
        <v/>
      </c>
      <c r="V84" s="286" t="str">
        <f>Main_무해지!AC84</f>
        <v/>
      </c>
      <c r="W84" s="309">
        <f>+Main_무해지!AD84</f>
        <v>0</v>
      </c>
      <c r="X84" s="309">
        <v>0</v>
      </c>
      <c r="Y84" s="259" t="str">
        <f t="shared" si="100"/>
        <v/>
      </c>
      <c r="Z84" s="259" t="str">
        <f t="shared" si="56"/>
        <v/>
      </c>
      <c r="AA84" s="111" t="str">
        <f>IF($U84="","",SUM(Z84:Z$114))</f>
        <v/>
      </c>
      <c r="AB84" s="259" t="str">
        <f t="shared" si="89"/>
        <v/>
      </c>
      <c r="AC84" s="254">
        <f t="shared" si="90"/>
        <v>0</v>
      </c>
      <c r="AD84" s="254" t="str">
        <f>Main_무해지!AJ84</f>
        <v/>
      </c>
      <c r="AE84" s="259">
        <f t="shared" si="57"/>
        <v>0</v>
      </c>
      <c r="AF84" s="259" t="str">
        <f t="shared" si="101"/>
        <v/>
      </c>
      <c r="AG84" s="259" t="str">
        <f t="shared" si="58"/>
        <v/>
      </c>
      <c r="AH84" s="111" t="str">
        <f>IF($U84="","",SUM(AG84:AG$114))</f>
        <v/>
      </c>
      <c r="AI84" s="259" t="str">
        <f>Main_무해지!AP84</f>
        <v/>
      </c>
      <c r="AJ84" s="259">
        <f t="shared" si="59"/>
        <v>0</v>
      </c>
      <c r="AK84" s="259" t="str">
        <f t="shared" si="60"/>
        <v/>
      </c>
      <c r="AL84" s="259" t="str">
        <f t="shared" si="61"/>
        <v/>
      </c>
      <c r="AM84" s="316" t="str">
        <f>IF($U84="","",SUM($AN84:$AN$114))</f>
        <v/>
      </c>
      <c r="AN84" s="259" t="str">
        <f t="shared" si="91"/>
        <v/>
      </c>
      <c r="AO84" s="316" t="str">
        <f t="shared" si="62"/>
        <v/>
      </c>
      <c r="AP84" s="286" t="str">
        <f>IF($U84="","",INDEX(#REF!,$U84+1))</f>
        <v/>
      </c>
      <c r="AQ84" s="259">
        <f t="shared" si="63"/>
        <v>0</v>
      </c>
      <c r="AR84" s="259" t="str">
        <f t="shared" si="64"/>
        <v/>
      </c>
      <c r="AS84" s="259" t="str">
        <f t="shared" si="65"/>
        <v/>
      </c>
      <c r="AT84" s="316" t="str">
        <f>IF($U84="","",SUM($AS84:$AS$114))</f>
        <v/>
      </c>
      <c r="AU84" s="286" t="str">
        <f>IF($U84="","",INDEX(#REF!,$U84+1))</f>
        <v/>
      </c>
      <c r="AV84" s="259">
        <f t="shared" si="66"/>
        <v>0</v>
      </c>
      <c r="AW84" s="259" t="str">
        <f t="shared" si="67"/>
        <v/>
      </c>
      <c r="AX84" s="259" t="str">
        <f t="shared" si="68"/>
        <v/>
      </c>
      <c r="AY84" s="316" t="str">
        <f>IF($U84="","",SUM($AX84:$AX$114))</f>
        <v/>
      </c>
      <c r="AZ84" s="286" t="str">
        <f>IF($U84="","",INDEX(#REF!,$U84+1))</f>
        <v/>
      </c>
      <c r="BA84" s="259">
        <f t="shared" si="69"/>
        <v>0</v>
      </c>
      <c r="BB84" s="259" t="str">
        <f t="shared" si="70"/>
        <v/>
      </c>
      <c r="BC84" s="259" t="str">
        <f t="shared" si="71"/>
        <v/>
      </c>
      <c r="BD84" s="316" t="str">
        <f>IF($U84="","",SUM($BC84:$BC$114))</f>
        <v/>
      </c>
      <c r="BE84" s="286" t="str">
        <f>IF($U84="","",INDEX(#REF!,$U84+1))</f>
        <v/>
      </c>
      <c r="BF84" s="259">
        <f t="shared" si="72"/>
        <v>0</v>
      </c>
      <c r="BG84" s="259" t="str">
        <f t="shared" si="73"/>
        <v/>
      </c>
      <c r="BH84" s="259" t="str">
        <f t="shared" si="74"/>
        <v/>
      </c>
      <c r="BI84" s="316" t="str">
        <f>IF($U84="","",SUM($BH84:$BH$114))</f>
        <v/>
      </c>
      <c r="BJ84" s="286" t="str">
        <f>IF($U84="","",INDEX(#REF!,$U84+1))</f>
        <v/>
      </c>
      <c r="BK84" s="259">
        <f t="shared" si="75"/>
        <v>0</v>
      </c>
      <c r="BL84" s="259" t="str">
        <f t="shared" si="76"/>
        <v/>
      </c>
      <c r="BM84" s="259" t="str">
        <f t="shared" si="77"/>
        <v/>
      </c>
      <c r="BN84" s="316" t="str">
        <f>IF($U84="","",SUM($BM84:$BM$114))</f>
        <v/>
      </c>
      <c r="BO84" s="286">
        <f t="shared" si="78"/>
        <v>0</v>
      </c>
      <c r="BP84" s="259" t="str">
        <f t="shared" si="79"/>
        <v/>
      </c>
      <c r="BQ84" s="259" t="str">
        <f t="shared" si="80"/>
        <v/>
      </c>
      <c r="BR84" s="259"/>
      <c r="BS84" s="259" t="str">
        <f t="shared" si="92"/>
        <v/>
      </c>
      <c r="BT84" s="259" t="str">
        <f t="shared" si="81"/>
        <v/>
      </c>
      <c r="BU84" s="259" t="str">
        <f t="shared" si="82"/>
        <v/>
      </c>
      <c r="BV84" s="259"/>
      <c r="BW84" s="259" t="str">
        <f t="shared" si="93"/>
        <v/>
      </c>
      <c r="BX84" s="259" t="str">
        <f>IF($U84="","",SUM(BS84:BS$114)+SUM(BW84:BW$114))</f>
        <v/>
      </c>
      <c r="BY84" s="112"/>
      <c r="BZ84" s="112"/>
      <c r="CA84" s="112"/>
      <c r="CB84" s="112"/>
      <c r="CC84" s="395" t="str">
        <f t="shared" si="55"/>
        <v/>
      </c>
      <c r="CD84" s="259" t="str">
        <f t="shared" si="94"/>
        <v/>
      </c>
      <c r="CE84" s="259" t="str">
        <f t="shared" si="83"/>
        <v/>
      </c>
      <c r="CF84" s="259" t="str">
        <f t="shared" si="84"/>
        <v/>
      </c>
      <c r="CG84" s="259" t="str">
        <f t="shared" si="95"/>
        <v/>
      </c>
      <c r="CH84" s="259" t="str">
        <f t="shared" si="85"/>
        <v/>
      </c>
      <c r="CI84" s="113" t="str">
        <f t="shared" si="96"/>
        <v/>
      </c>
      <c r="CJ84" s="114" t="str">
        <f t="shared" si="86"/>
        <v/>
      </c>
      <c r="CK84" s="241"/>
      <c r="CL84" s="110" t="str">
        <f t="shared" si="87"/>
        <v/>
      </c>
      <c r="CM84" s="114" t="str">
        <f t="shared" si="102"/>
        <v/>
      </c>
      <c r="CN84" s="114" t="str">
        <f t="shared" si="97"/>
        <v/>
      </c>
      <c r="CO84" s="114" t="str">
        <f t="shared" si="88"/>
        <v/>
      </c>
      <c r="CP84" s="114" t="str">
        <f t="shared" si="98"/>
        <v/>
      </c>
      <c r="CQ84" s="241"/>
      <c r="CR84" s="241"/>
      <c r="CS84" s="241"/>
      <c r="CT84" s="241"/>
      <c r="CU84" s="241"/>
      <c r="CV84" s="241"/>
      <c r="CW84" s="478"/>
      <c r="CX84" s="478"/>
      <c r="CY84" s="478"/>
      <c r="CZ84" s="478"/>
      <c r="DA84" s="478"/>
      <c r="DB84" s="478"/>
      <c r="DC84" s="478"/>
      <c r="DD84" s="478"/>
      <c r="DE84" s="478"/>
      <c r="DF84" s="478"/>
      <c r="DG84" s="478"/>
      <c r="DH84" s="478"/>
      <c r="DI84" s="478"/>
      <c r="DJ84" s="478"/>
      <c r="DK84" s="478"/>
      <c r="DL84" s="478"/>
      <c r="DM84" s="478"/>
      <c r="DN84" s="478"/>
      <c r="DO84" s="478"/>
      <c r="DP84" s="478"/>
      <c r="DQ84" s="478"/>
      <c r="DR84" s="478"/>
      <c r="DS84" s="478"/>
      <c r="DT84" s="478"/>
      <c r="DU84" s="478"/>
      <c r="DV84" s="478"/>
      <c r="DW84" s="478"/>
      <c r="DX84" s="478"/>
      <c r="DY84" s="478"/>
      <c r="DZ84" s="478"/>
      <c r="EA84" s="478"/>
      <c r="EB84" s="478"/>
      <c r="EC84" s="478"/>
      <c r="ED84" s="478"/>
    </row>
    <row r="85" spans="1:134">
      <c r="A85" s="305"/>
      <c r="B85" s="373"/>
      <c r="D85" s="469"/>
      <c r="E85" s="469"/>
      <c r="F85" s="456">
        <f>+Main_무해지!F85</f>
        <v>10</v>
      </c>
      <c r="G85" s="470"/>
      <c r="H85" s="460"/>
      <c r="I85" s="2"/>
      <c r="M85" s="154"/>
      <c r="N85" s="278" t="str">
        <f t="shared" si="106"/>
        <v/>
      </c>
      <c r="O85" s="279" t="str">
        <f t="shared" si="107"/>
        <v/>
      </c>
      <c r="P85" s="271" t="str">
        <f t="shared" si="103"/>
        <v/>
      </c>
      <c r="Q85" s="271" t="str">
        <f t="shared" si="104"/>
        <v/>
      </c>
      <c r="R85" s="271" t="str">
        <f t="shared" si="105"/>
        <v/>
      </c>
      <c r="S85" s="400" t="str">
        <f t="shared" si="108"/>
        <v/>
      </c>
      <c r="T85" s="231"/>
      <c r="U85" s="770" t="str">
        <f t="shared" si="99"/>
        <v/>
      </c>
      <c r="V85" s="772" t="str">
        <f>Main_무해지!AC85</f>
        <v/>
      </c>
      <c r="W85" s="640">
        <f>+Main_무해지!AD85</f>
        <v>0</v>
      </c>
      <c r="X85" s="640">
        <v>0</v>
      </c>
      <c r="Y85" s="410" t="str">
        <f t="shared" si="100"/>
        <v/>
      </c>
      <c r="Z85" s="410" t="str">
        <f t="shared" si="56"/>
        <v/>
      </c>
      <c r="AA85" s="771" t="str">
        <f>IF($U85="","",SUM(Z85:Z$114))</f>
        <v/>
      </c>
      <c r="AB85" s="410" t="str">
        <f t="shared" si="89"/>
        <v/>
      </c>
      <c r="AC85" s="254">
        <f t="shared" si="90"/>
        <v>0</v>
      </c>
      <c r="AD85" s="254" t="str">
        <f>Main_무해지!AJ85</f>
        <v/>
      </c>
      <c r="AE85" s="410">
        <f t="shared" si="57"/>
        <v>0</v>
      </c>
      <c r="AF85" s="410" t="str">
        <f t="shared" si="101"/>
        <v/>
      </c>
      <c r="AG85" s="410" t="str">
        <f t="shared" si="58"/>
        <v/>
      </c>
      <c r="AH85" s="771" t="str">
        <f>IF($U85="","",SUM(AG85:AG$114))</f>
        <v/>
      </c>
      <c r="AI85" s="410" t="str">
        <f>Main_무해지!AP85</f>
        <v/>
      </c>
      <c r="AJ85" s="410">
        <f t="shared" si="59"/>
        <v>0</v>
      </c>
      <c r="AK85" s="410" t="str">
        <f t="shared" si="60"/>
        <v/>
      </c>
      <c r="AL85" s="410" t="str">
        <f t="shared" si="61"/>
        <v/>
      </c>
      <c r="AM85" s="773" t="str">
        <f>IF($U85="","",SUM($AN85:$AN$114))</f>
        <v/>
      </c>
      <c r="AN85" s="410" t="str">
        <f t="shared" si="91"/>
        <v/>
      </c>
      <c r="AO85" s="773" t="str">
        <f t="shared" si="62"/>
        <v/>
      </c>
      <c r="AP85" s="772" t="str">
        <f>IF($U85="","",INDEX(#REF!,$U85+1))</f>
        <v/>
      </c>
      <c r="AQ85" s="410">
        <f t="shared" si="63"/>
        <v>0</v>
      </c>
      <c r="AR85" s="410" t="str">
        <f t="shared" si="64"/>
        <v/>
      </c>
      <c r="AS85" s="410" t="str">
        <f t="shared" si="65"/>
        <v/>
      </c>
      <c r="AT85" s="773" t="str">
        <f>IF($U85="","",SUM($AS85:$AS$114))</f>
        <v/>
      </c>
      <c r="AU85" s="772" t="str">
        <f>IF($U85="","",INDEX(#REF!,$U85+1))</f>
        <v/>
      </c>
      <c r="AV85" s="410">
        <f t="shared" si="66"/>
        <v>0</v>
      </c>
      <c r="AW85" s="410" t="str">
        <f t="shared" si="67"/>
        <v/>
      </c>
      <c r="AX85" s="410" t="str">
        <f t="shared" si="68"/>
        <v/>
      </c>
      <c r="AY85" s="773" t="str">
        <f>IF($U85="","",SUM($AX85:$AX$114))</f>
        <v/>
      </c>
      <c r="AZ85" s="772" t="str">
        <f>IF($U85="","",INDEX(#REF!,$U85+1))</f>
        <v/>
      </c>
      <c r="BA85" s="410">
        <f t="shared" si="69"/>
        <v>0</v>
      </c>
      <c r="BB85" s="410" t="str">
        <f t="shared" si="70"/>
        <v/>
      </c>
      <c r="BC85" s="410" t="str">
        <f t="shared" si="71"/>
        <v/>
      </c>
      <c r="BD85" s="773" t="str">
        <f>IF($U85="","",SUM($BC85:$BC$114))</f>
        <v/>
      </c>
      <c r="BE85" s="772" t="str">
        <f>IF($U85="","",INDEX(#REF!,$U85+1))</f>
        <v/>
      </c>
      <c r="BF85" s="410">
        <f t="shared" si="72"/>
        <v>0</v>
      </c>
      <c r="BG85" s="410" t="str">
        <f t="shared" si="73"/>
        <v/>
      </c>
      <c r="BH85" s="410" t="str">
        <f t="shared" si="74"/>
        <v/>
      </c>
      <c r="BI85" s="773" t="str">
        <f>IF($U85="","",SUM($BH85:$BH$114))</f>
        <v/>
      </c>
      <c r="BJ85" s="772" t="str">
        <f>IF($U85="","",INDEX(#REF!,$U85+1))</f>
        <v/>
      </c>
      <c r="BK85" s="410">
        <f t="shared" si="75"/>
        <v>0</v>
      </c>
      <c r="BL85" s="410" t="str">
        <f t="shared" si="76"/>
        <v/>
      </c>
      <c r="BM85" s="410" t="str">
        <f t="shared" si="77"/>
        <v/>
      </c>
      <c r="BN85" s="773" t="str">
        <f>IF($U85="","",SUM($BM85:$BM$114))</f>
        <v/>
      </c>
      <c r="BO85" s="772">
        <f t="shared" si="78"/>
        <v>0</v>
      </c>
      <c r="BP85" s="410" t="str">
        <f t="shared" si="79"/>
        <v/>
      </c>
      <c r="BQ85" s="410" t="str">
        <f t="shared" si="80"/>
        <v/>
      </c>
      <c r="BR85" s="410"/>
      <c r="BS85" s="410" t="str">
        <f t="shared" si="92"/>
        <v/>
      </c>
      <c r="BT85" s="410" t="str">
        <f t="shared" si="81"/>
        <v/>
      </c>
      <c r="BU85" s="410" t="str">
        <f t="shared" si="82"/>
        <v/>
      </c>
      <c r="BV85" s="410"/>
      <c r="BW85" s="410" t="str">
        <f t="shared" si="93"/>
        <v/>
      </c>
      <c r="BX85" s="410" t="str">
        <f>IF($U85="","",SUM(BS85:BS$114)+SUM(BW85:BW$114))</f>
        <v/>
      </c>
      <c r="BY85" s="774"/>
      <c r="BZ85" s="774"/>
      <c r="CA85" s="774"/>
      <c r="CB85" s="774"/>
      <c r="CC85" s="775" t="str">
        <f t="shared" si="55"/>
        <v/>
      </c>
      <c r="CD85" s="410" t="str">
        <f t="shared" si="94"/>
        <v/>
      </c>
      <c r="CE85" s="410" t="str">
        <f t="shared" si="83"/>
        <v/>
      </c>
      <c r="CF85" s="410" t="str">
        <f t="shared" si="84"/>
        <v/>
      </c>
      <c r="CG85" s="410" t="str">
        <f t="shared" si="95"/>
        <v/>
      </c>
      <c r="CH85" s="410" t="str">
        <f t="shared" si="85"/>
        <v/>
      </c>
      <c r="CI85" s="776" t="str">
        <f t="shared" si="96"/>
        <v/>
      </c>
      <c r="CJ85" s="777" t="str">
        <f t="shared" si="86"/>
        <v/>
      </c>
      <c r="CK85" s="415"/>
      <c r="CL85" s="770" t="str">
        <f t="shared" si="87"/>
        <v/>
      </c>
      <c r="CM85" s="777" t="str">
        <f t="shared" si="102"/>
        <v/>
      </c>
      <c r="CN85" s="777" t="str">
        <f t="shared" si="97"/>
        <v/>
      </c>
      <c r="CO85" s="777" t="str">
        <f t="shared" si="88"/>
        <v/>
      </c>
      <c r="CP85" s="777" t="str">
        <f t="shared" si="98"/>
        <v/>
      </c>
      <c r="CQ85" s="415"/>
      <c r="CR85" s="415"/>
      <c r="CS85" s="415"/>
      <c r="CT85" s="415"/>
      <c r="CU85" s="415"/>
      <c r="CV85" s="415"/>
      <c r="CW85" s="478"/>
      <c r="CX85" s="478"/>
      <c r="CY85" s="478"/>
      <c r="CZ85" s="478"/>
      <c r="DA85" s="478"/>
      <c r="DB85" s="478"/>
      <c r="DC85" s="478"/>
      <c r="DD85" s="478"/>
      <c r="DE85" s="478"/>
      <c r="DF85" s="478"/>
      <c r="DG85" s="478"/>
      <c r="DH85" s="478"/>
      <c r="DI85" s="478"/>
      <c r="DJ85" s="478"/>
      <c r="DK85" s="478"/>
      <c r="DL85" s="478"/>
      <c r="DM85" s="478"/>
      <c r="DN85" s="478"/>
      <c r="DO85" s="478"/>
      <c r="DP85" s="478"/>
      <c r="DQ85" s="478"/>
      <c r="DR85" s="478"/>
      <c r="DS85" s="478"/>
      <c r="DT85" s="478"/>
      <c r="DU85" s="478"/>
      <c r="DV85" s="478"/>
      <c r="DW85" s="478"/>
      <c r="DX85" s="478"/>
      <c r="DY85" s="478"/>
      <c r="DZ85" s="478"/>
      <c r="EA85" s="478"/>
      <c r="EB85" s="478"/>
      <c r="EC85" s="478"/>
      <c r="ED85" s="478"/>
    </row>
    <row r="86" spans="1:134">
      <c r="A86" s="305"/>
      <c r="B86" s="373"/>
      <c r="D86" s="469"/>
      <c r="E86" s="469"/>
      <c r="F86" s="456">
        <f>+Main_무해지!F86</f>
        <v>11</v>
      </c>
      <c r="G86" s="470"/>
      <c r="H86" s="460"/>
      <c r="I86" s="158"/>
      <c r="J86" s="376"/>
      <c r="K86" s="376"/>
      <c r="M86" s="154"/>
      <c r="N86" s="280" t="str">
        <f t="shared" si="106"/>
        <v/>
      </c>
      <c r="O86" s="281" t="str">
        <f t="shared" si="107"/>
        <v/>
      </c>
      <c r="P86" s="282" t="str">
        <f t="shared" si="103"/>
        <v/>
      </c>
      <c r="Q86" s="282" t="str">
        <f t="shared" si="104"/>
        <v/>
      </c>
      <c r="R86" s="282" t="str">
        <f t="shared" si="105"/>
        <v/>
      </c>
      <c r="S86" s="402" t="str">
        <f t="shared" si="108"/>
        <v/>
      </c>
      <c r="T86" s="231"/>
      <c r="U86" s="120" t="str">
        <f t="shared" si="99"/>
        <v/>
      </c>
      <c r="V86" s="287" t="str">
        <f>Main_무해지!AC86</f>
        <v/>
      </c>
      <c r="W86" s="310">
        <f>+Main_무해지!AD86</f>
        <v>0</v>
      </c>
      <c r="X86" s="310">
        <v>0</v>
      </c>
      <c r="Y86" s="260" t="str">
        <f t="shared" si="100"/>
        <v/>
      </c>
      <c r="Z86" s="260" t="str">
        <f t="shared" si="56"/>
        <v/>
      </c>
      <c r="AA86" s="121" t="str">
        <f>IF($U86="","",SUM(Z86:Z$114))</f>
        <v/>
      </c>
      <c r="AB86" s="260" t="str">
        <f t="shared" si="89"/>
        <v/>
      </c>
      <c r="AC86" s="254">
        <f t="shared" si="90"/>
        <v>0</v>
      </c>
      <c r="AD86" s="254" t="str">
        <f>Main_무해지!AJ86</f>
        <v/>
      </c>
      <c r="AE86" s="260">
        <f t="shared" si="57"/>
        <v>0</v>
      </c>
      <c r="AF86" s="260" t="str">
        <f t="shared" si="101"/>
        <v/>
      </c>
      <c r="AG86" s="260" t="str">
        <f t="shared" si="58"/>
        <v/>
      </c>
      <c r="AH86" s="121" t="str">
        <f>IF($U86="","",SUM(AG86:AG$114))</f>
        <v/>
      </c>
      <c r="AI86" s="260" t="str">
        <f>Main_무해지!AP86</f>
        <v/>
      </c>
      <c r="AJ86" s="260">
        <f t="shared" si="59"/>
        <v>0</v>
      </c>
      <c r="AK86" s="260" t="str">
        <f t="shared" si="60"/>
        <v/>
      </c>
      <c r="AL86" s="260" t="str">
        <f t="shared" si="61"/>
        <v/>
      </c>
      <c r="AM86" s="317" t="str">
        <f>IF($U86="","",SUM($AN86:$AN$114))</f>
        <v/>
      </c>
      <c r="AN86" s="260" t="str">
        <f t="shared" si="91"/>
        <v/>
      </c>
      <c r="AO86" s="317" t="str">
        <f t="shared" si="62"/>
        <v/>
      </c>
      <c r="AP86" s="287" t="str">
        <f>IF($U86="","",INDEX(#REF!,$U86+1))</f>
        <v/>
      </c>
      <c r="AQ86" s="260">
        <f t="shared" si="63"/>
        <v>0</v>
      </c>
      <c r="AR86" s="260" t="str">
        <f t="shared" si="64"/>
        <v/>
      </c>
      <c r="AS86" s="260" t="str">
        <f t="shared" si="65"/>
        <v/>
      </c>
      <c r="AT86" s="317" t="str">
        <f>IF($U86="","",SUM($AS86:$AS$114))</f>
        <v/>
      </c>
      <c r="AU86" s="287" t="str">
        <f>IF($U86="","",INDEX(#REF!,$U86+1))</f>
        <v/>
      </c>
      <c r="AV86" s="260">
        <f t="shared" si="66"/>
        <v>0</v>
      </c>
      <c r="AW86" s="260" t="str">
        <f t="shared" si="67"/>
        <v/>
      </c>
      <c r="AX86" s="260" t="str">
        <f t="shared" si="68"/>
        <v/>
      </c>
      <c r="AY86" s="317" t="str">
        <f>IF($U86="","",SUM($AX86:$AX$114))</f>
        <v/>
      </c>
      <c r="AZ86" s="287" t="str">
        <f>IF($U86="","",INDEX(#REF!,$U86+1))</f>
        <v/>
      </c>
      <c r="BA86" s="260">
        <f t="shared" si="69"/>
        <v>0</v>
      </c>
      <c r="BB86" s="260" t="str">
        <f t="shared" si="70"/>
        <v/>
      </c>
      <c r="BC86" s="260" t="str">
        <f t="shared" si="71"/>
        <v/>
      </c>
      <c r="BD86" s="317" t="str">
        <f>IF($U86="","",SUM($BC86:$BC$114))</f>
        <v/>
      </c>
      <c r="BE86" s="287" t="str">
        <f>IF($U86="","",INDEX(#REF!,$U86+1))</f>
        <v/>
      </c>
      <c r="BF86" s="260">
        <f t="shared" si="72"/>
        <v>0</v>
      </c>
      <c r="BG86" s="260" t="str">
        <f t="shared" si="73"/>
        <v/>
      </c>
      <c r="BH86" s="260" t="str">
        <f t="shared" si="74"/>
        <v/>
      </c>
      <c r="BI86" s="317" t="str">
        <f>IF($U86="","",SUM($BH86:$BH$114))</f>
        <v/>
      </c>
      <c r="BJ86" s="287" t="str">
        <f>IF($U86="","",INDEX(#REF!,$U86+1))</f>
        <v/>
      </c>
      <c r="BK86" s="260">
        <f t="shared" si="75"/>
        <v>0</v>
      </c>
      <c r="BL86" s="260" t="str">
        <f t="shared" si="76"/>
        <v/>
      </c>
      <c r="BM86" s="260" t="str">
        <f t="shared" si="77"/>
        <v/>
      </c>
      <c r="BN86" s="317" t="str">
        <f>IF($U86="","",SUM($BM86:$BM$114))</f>
        <v/>
      </c>
      <c r="BO86" s="287">
        <f t="shared" si="78"/>
        <v>0</v>
      </c>
      <c r="BP86" s="260" t="str">
        <f t="shared" si="79"/>
        <v/>
      </c>
      <c r="BQ86" s="260" t="str">
        <f t="shared" si="80"/>
        <v/>
      </c>
      <c r="BR86" s="260"/>
      <c r="BS86" s="260" t="str">
        <f t="shared" si="92"/>
        <v/>
      </c>
      <c r="BT86" s="260" t="str">
        <f t="shared" si="81"/>
        <v/>
      </c>
      <c r="BU86" s="260" t="str">
        <f t="shared" si="82"/>
        <v/>
      </c>
      <c r="BV86" s="260"/>
      <c r="BW86" s="260" t="str">
        <f t="shared" si="93"/>
        <v/>
      </c>
      <c r="BX86" s="260" t="str">
        <f>IF($U86="","",SUM(BS86:BS$114)+SUM(BW86:BW$114))</f>
        <v/>
      </c>
      <c r="BY86" s="122"/>
      <c r="BZ86" s="122"/>
      <c r="CA86" s="122"/>
      <c r="CB86" s="122"/>
      <c r="CC86" s="396" t="str">
        <f t="shared" si="55"/>
        <v/>
      </c>
      <c r="CD86" s="260" t="str">
        <f t="shared" si="94"/>
        <v/>
      </c>
      <c r="CE86" s="260" t="str">
        <f t="shared" si="83"/>
        <v/>
      </c>
      <c r="CF86" s="260" t="str">
        <f t="shared" si="84"/>
        <v/>
      </c>
      <c r="CG86" s="260" t="str">
        <f t="shared" si="95"/>
        <v/>
      </c>
      <c r="CH86" s="260" t="str">
        <f t="shared" si="85"/>
        <v/>
      </c>
      <c r="CI86" s="123" t="str">
        <f t="shared" si="96"/>
        <v/>
      </c>
      <c r="CJ86" s="124" t="str">
        <f t="shared" si="86"/>
        <v/>
      </c>
      <c r="CK86" s="242"/>
      <c r="CL86" s="120" t="str">
        <f t="shared" si="87"/>
        <v/>
      </c>
      <c r="CM86" s="124" t="str">
        <f t="shared" si="102"/>
        <v/>
      </c>
      <c r="CN86" s="124" t="str">
        <f t="shared" si="97"/>
        <v/>
      </c>
      <c r="CO86" s="124" t="str">
        <f t="shared" si="88"/>
        <v/>
      </c>
      <c r="CP86" s="124" t="str">
        <f t="shared" si="98"/>
        <v/>
      </c>
      <c r="CQ86" s="242"/>
      <c r="CR86" s="242"/>
      <c r="CS86" s="242"/>
      <c r="CT86" s="242"/>
      <c r="CU86" s="242"/>
      <c r="CV86" s="242"/>
      <c r="CW86" s="478"/>
      <c r="CX86" s="478"/>
      <c r="CY86" s="478"/>
      <c r="CZ86" s="478"/>
      <c r="DA86" s="478"/>
      <c r="DB86" s="478"/>
      <c r="DC86" s="478"/>
      <c r="DD86" s="478"/>
      <c r="DE86" s="478"/>
      <c r="DF86" s="478"/>
      <c r="DG86" s="478"/>
      <c r="DH86" s="478"/>
      <c r="DI86" s="478"/>
      <c r="DJ86" s="478"/>
      <c r="DK86" s="478"/>
      <c r="DL86" s="478"/>
      <c r="DM86" s="478"/>
      <c r="DN86" s="478"/>
      <c r="DO86" s="478"/>
      <c r="DP86" s="478"/>
      <c r="DQ86" s="478"/>
      <c r="DR86" s="478"/>
      <c r="DS86" s="478"/>
      <c r="DT86" s="478"/>
      <c r="DU86" s="478"/>
      <c r="DV86" s="478"/>
      <c r="DW86" s="478"/>
      <c r="DX86" s="478"/>
      <c r="DY86" s="478"/>
      <c r="DZ86" s="478"/>
      <c r="EA86" s="478"/>
      <c r="EB86" s="478"/>
      <c r="EC86" s="478"/>
      <c r="ED86" s="478"/>
    </row>
    <row r="87" spans="1:134">
      <c r="A87" s="305"/>
      <c r="B87" s="373"/>
      <c r="D87" s="469"/>
      <c r="E87" s="471"/>
      <c r="F87" s="456">
        <f>+Main_무해지!F87</f>
        <v>12</v>
      </c>
      <c r="G87" s="470"/>
      <c r="H87" s="460"/>
      <c r="I87" s="158"/>
      <c r="J87" s="376"/>
      <c r="K87" s="376"/>
      <c r="M87" s="154"/>
      <c r="N87" s="278" t="str">
        <f t="shared" si="106"/>
        <v/>
      </c>
      <c r="O87" s="279" t="str">
        <f t="shared" si="107"/>
        <v/>
      </c>
      <c r="P87" s="271" t="str">
        <f t="shared" si="103"/>
        <v/>
      </c>
      <c r="Q87" s="271" t="str">
        <f t="shared" si="104"/>
        <v/>
      </c>
      <c r="R87" s="271" t="str">
        <f t="shared" si="105"/>
        <v/>
      </c>
      <c r="S87" s="400" t="str">
        <f t="shared" si="108"/>
        <v/>
      </c>
      <c r="T87" s="231"/>
      <c r="U87" s="120" t="str">
        <f t="shared" si="99"/>
        <v/>
      </c>
      <c r="V87" s="287" t="str">
        <f>Main_무해지!AC87</f>
        <v/>
      </c>
      <c r="W87" s="310">
        <f>+Main_무해지!AD87</f>
        <v>0</v>
      </c>
      <c r="X87" s="310">
        <v>0</v>
      </c>
      <c r="Y87" s="260" t="str">
        <f t="shared" si="100"/>
        <v/>
      </c>
      <c r="Z87" s="260" t="str">
        <f t="shared" si="56"/>
        <v/>
      </c>
      <c r="AA87" s="121" t="str">
        <f>IF($U87="","",SUM(Z87:Z$114))</f>
        <v/>
      </c>
      <c r="AB87" s="260" t="str">
        <f t="shared" si="89"/>
        <v/>
      </c>
      <c r="AC87" s="254">
        <f t="shared" si="90"/>
        <v>0</v>
      </c>
      <c r="AD87" s="254" t="str">
        <f>Main_무해지!AJ87</f>
        <v/>
      </c>
      <c r="AE87" s="260">
        <f t="shared" si="57"/>
        <v>0</v>
      </c>
      <c r="AF87" s="260" t="str">
        <f t="shared" si="101"/>
        <v/>
      </c>
      <c r="AG87" s="260" t="str">
        <f t="shared" si="58"/>
        <v/>
      </c>
      <c r="AH87" s="121" t="str">
        <f>IF($U87="","",SUM(AG87:AG$114))</f>
        <v/>
      </c>
      <c r="AI87" s="260" t="str">
        <f>Main_무해지!AP87</f>
        <v/>
      </c>
      <c r="AJ87" s="260">
        <f t="shared" si="59"/>
        <v>0</v>
      </c>
      <c r="AK87" s="260" t="str">
        <f t="shared" si="60"/>
        <v/>
      </c>
      <c r="AL87" s="260" t="str">
        <f t="shared" si="61"/>
        <v/>
      </c>
      <c r="AM87" s="317" t="str">
        <f>IF($U87="","",SUM($AN87:$AN$114))</f>
        <v/>
      </c>
      <c r="AN87" s="260" t="str">
        <f t="shared" si="91"/>
        <v/>
      </c>
      <c r="AO87" s="317" t="str">
        <f t="shared" si="62"/>
        <v/>
      </c>
      <c r="AP87" s="287" t="str">
        <f>IF($U87="","",INDEX(#REF!,$U87+1))</f>
        <v/>
      </c>
      <c r="AQ87" s="260">
        <f t="shared" si="63"/>
        <v>0</v>
      </c>
      <c r="AR87" s="260" t="str">
        <f t="shared" si="64"/>
        <v/>
      </c>
      <c r="AS87" s="260" t="str">
        <f t="shared" si="65"/>
        <v/>
      </c>
      <c r="AT87" s="317" t="str">
        <f>IF($U87="","",SUM($AS87:$AS$114))</f>
        <v/>
      </c>
      <c r="AU87" s="287" t="str">
        <f>IF($U87="","",INDEX(#REF!,$U87+1))</f>
        <v/>
      </c>
      <c r="AV87" s="260">
        <f t="shared" si="66"/>
        <v>0</v>
      </c>
      <c r="AW87" s="260" t="str">
        <f t="shared" si="67"/>
        <v/>
      </c>
      <c r="AX87" s="260" t="str">
        <f t="shared" si="68"/>
        <v/>
      </c>
      <c r="AY87" s="317" t="str">
        <f>IF($U87="","",SUM($AX87:$AX$114))</f>
        <v/>
      </c>
      <c r="AZ87" s="287" t="str">
        <f>IF($U87="","",INDEX(#REF!,$U87+1))</f>
        <v/>
      </c>
      <c r="BA87" s="260">
        <f t="shared" si="69"/>
        <v>0</v>
      </c>
      <c r="BB87" s="260" t="str">
        <f t="shared" si="70"/>
        <v/>
      </c>
      <c r="BC87" s="260" t="str">
        <f t="shared" si="71"/>
        <v/>
      </c>
      <c r="BD87" s="317" t="str">
        <f>IF($U87="","",SUM($BC87:$BC$114))</f>
        <v/>
      </c>
      <c r="BE87" s="287" t="str">
        <f>IF($U87="","",INDEX(#REF!,$U87+1))</f>
        <v/>
      </c>
      <c r="BF87" s="260">
        <f t="shared" si="72"/>
        <v>0</v>
      </c>
      <c r="BG87" s="260" t="str">
        <f t="shared" si="73"/>
        <v/>
      </c>
      <c r="BH87" s="260" t="str">
        <f t="shared" si="74"/>
        <v/>
      </c>
      <c r="BI87" s="317" t="str">
        <f>IF($U87="","",SUM($BH87:$BH$114))</f>
        <v/>
      </c>
      <c r="BJ87" s="287" t="str">
        <f>IF($U87="","",INDEX(#REF!,$U87+1))</f>
        <v/>
      </c>
      <c r="BK87" s="260">
        <f t="shared" si="75"/>
        <v>0</v>
      </c>
      <c r="BL87" s="260" t="str">
        <f t="shared" si="76"/>
        <v/>
      </c>
      <c r="BM87" s="260" t="str">
        <f t="shared" si="77"/>
        <v/>
      </c>
      <c r="BN87" s="317" t="str">
        <f>IF($U87="","",SUM($BM87:$BM$114))</f>
        <v/>
      </c>
      <c r="BO87" s="287">
        <f t="shared" si="78"/>
        <v>0</v>
      </c>
      <c r="BP87" s="260" t="str">
        <f t="shared" si="79"/>
        <v/>
      </c>
      <c r="BQ87" s="260" t="str">
        <f t="shared" si="80"/>
        <v/>
      </c>
      <c r="BR87" s="260"/>
      <c r="BS87" s="260" t="str">
        <f t="shared" si="92"/>
        <v/>
      </c>
      <c r="BT87" s="260" t="str">
        <f t="shared" si="81"/>
        <v/>
      </c>
      <c r="BU87" s="260" t="str">
        <f t="shared" si="82"/>
        <v/>
      </c>
      <c r="BV87" s="260"/>
      <c r="BW87" s="260" t="str">
        <f t="shared" si="93"/>
        <v/>
      </c>
      <c r="BX87" s="260" t="str">
        <f>IF($U87="","",SUM(BS87:BS$114)+SUM(BW87:BW$114))</f>
        <v/>
      </c>
      <c r="BY87" s="122"/>
      <c r="BZ87" s="122"/>
      <c r="CA87" s="122"/>
      <c r="CB87" s="122"/>
      <c r="CC87" s="396" t="str">
        <f t="shared" si="55"/>
        <v/>
      </c>
      <c r="CD87" s="260" t="str">
        <f t="shared" si="94"/>
        <v/>
      </c>
      <c r="CE87" s="260" t="str">
        <f t="shared" si="83"/>
        <v/>
      </c>
      <c r="CF87" s="260" t="str">
        <f t="shared" si="84"/>
        <v/>
      </c>
      <c r="CG87" s="260" t="str">
        <f t="shared" si="95"/>
        <v/>
      </c>
      <c r="CH87" s="260" t="str">
        <f t="shared" si="85"/>
        <v/>
      </c>
      <c r="CI87" s="123" t="str">
        <f t="shared" si="96"/>
        <v/>
      </c>
      <c r="CJ87" s="124" t="str">
        <f t="shared" si="86"/>
        <v/>
      </c>
      <c r="CK87" s="242"/>
      <c r="CL87" s="120" t="str">
        <f t="shared" si="87"/>
        <v/>
      </c>
      <c r="CM87" s="124" t="str">
        <f t="shared" si="102"/>
        <v/>
      </c>
      <c r="CN87" s="124" t="str">
        <f t="shared" si="97"/>
        <v/>
      </c>
      <c r="CO87" s="124" t="str">
        <f t="shared" si="88"/>
        <v/>
      </c>
      <c r="CP87" s="124" t="str">
        <f t="shared" si="98"/>
        <v/>
      </c>
      <c r="CQ87" s="242"/>
      <c r="CR87" s="242"/>
      <c r="CS87" s="242"/>
      <c r="CT87" s="242"/>
      <c r="CU87" s="242"/>
      <c r="CV87" s="242"/>
      <c r="CW87" s="478"/>
      <c r="CX87" s="478"/>
      <c r="CY87" s="478"/>
      <c r="CZ87" s="478"/>
      <c r="DA87" s="478"/>
      <c r="DB87" s="478"/>
      <c r="DC87" s="478"/>
      <c r="DD87" s="478"/>
      <c r="DE87" s="478"/>
      <c r="DF87" s="478"/>
      <c r="DG87" s="478"/>
      <c r="DH87" s="478"/>
      <c r="DI87" s="478"/>
      <c r="DJ87" s="478"/>
      <c r="DK87" s="478"/>
      <c r="DL87" s="478"/>
      <c r="DM87" s="478"/>
      <c r="DN87" s="478"/>
      <c r="DO87" s="478"/>
      <c r="DP87" s="478"/>
      <c r="DQ87" s="478"/>
      <c r="DR87" s="478"/>
      <c r="DS87" s="478"/>
      <c r="DT87" s="478"/>
      <c r="DU87" s="478"/>
      <c r="DV87" s="478"/>
      <c r="DW87" s="478"/>
      <c r="DX87" s="478"/>
      <c r="DY87" s="478"/>
      <c r="DZ87" s="478"/>
      <c r="EA87" s="478"/>
      <c r="EB87" s="478"/>
      <c r="EC87" s="478"/>
      <c r="ED87" s="478"/>
    </row>
    <row r="88" spans="1:134">
      <c r="A88" s="305"/>
      <c r="B88" s="373"/>
      <c r="D88" s="469"/>
      <c r="E88" s="469"/>
      <c r="F88" s="456">
        <f>+Main_무해지!F88</f>
        <v>0</v>
      </c>
      <c r="G88" s="470"/>
      <c r="H88" s="460"/>
      <c r="I88" s="158"/>
      <c r="J88" s="376"/>
      <c r="K88" s="376"/>
      <c r="M88" s="156"/>
      <c r="N88" s="278" t="str">
        <f t="shared" si="106"/>
        <v/>
      </c>
      <c r="O88" s="279" t="str">
        <f t="shared" si="107"/>
        <v/>
      </c>
      <c r="P88" s="271" t="str">
        <f t="shared" si="103"/>
        <v/>
      </c>
      <c r="Q88" s="271" t="str">
        <f t="shared" si="104"/>
        <v/>
      </c>
      <c r="R88" s="271" t="str">
        <f t="shared" si="105"/>
        <v/>
      </c>
      <c r="S88" s="400" t="str">
        <f t="shared" si="108"/>
        <v/>
      </c>
      <c r="T88" s="231"/>
      <c r="U88" s="120" t="str">
        <f t="shared" si="99"/>
        <v/>
      </c>
      <c r="V88" s="287" t="str">
        <f>Main_무해지!AC88</f>
        <v/>
      </c>
      <c r="W88" s="310">
        <f>+Main_무해지!AD88</f>
        <v>0</v>
      </c>
      <c r="X88" s="310">
        <v>0</v>
      </c>
      <c r="Y88" s="260" t="str">
        <f t="shared" si="100"/>
        <v/>
      </c>
      <c r="Z88" s="260" t="str">
        <f t="shared" si="56"/>
        <v/>
      </c>
      <c r="AA88" s="121" t="str">
        <f>IF($U88="","",SUM(Z88:Z$114))</f>
        <v/>
      </c>
      <c r="AB88" s="260" t="str">
        <f t="shared" si="89"/>
        <v/>
      </c>
      <c r="AC88" s="254">
        <f t="shared" si="90"/>
        <v>0</v>
      </c>
      <c r="AD88" s="254" t="str">
        <f>Main_무해지!AJ88</f>
        <v/>
      </c>
      <c r="AE88" s="260">
        <f t="shared" si="57"/>
        <v>0</v>
      </c>
      <c r="AF88" s="260" t="str">
        <f t="shared" si="101"/>
        <v/>
      </c>
      <c r="AG88" s="260" t="str">
        <f t="shared" si="58"/>
        <v/>
      </c>
      <c r="AH88" s="121" t="str">
        <f>IF($U88="","",SUM(AG88:AG$114))</f>
        <v/>
      </c>
      <c r="AI88" s="260" t="str">
        <f>Main_무해지!AP88</f>
        <v/>
      </c>
      <c r="AJ88" s="260">
        <f t="shared" si="59"/>
        <v>0</v>
      </c>
      <c r="AK88" s="260" t="str">
        <f t="shared" si="60"/>
        <v/>
      </c>
      <c r="AL88" s="260" t="str">
        <f t="shared" si="61"/>
        <v/>
      </c>
      <c r="AM88" s="317" t="str">
        <f>IF($U88="","",SUM($AN88:$AN$114))</f>
        <v/>
      </c>
      <c r="AN88" s="260" t="str">
        <f t="shared" si="91"/>
        <v/>
      </c>
      <c r="AO88" s="317" t="str">
        <f t="shared" si="62"/>
        <v/>
      </c>
      <c r="AP88" s="287" t="str">
        <f>IF($U88="","",INDEX(#REF!,$U88+1))</f>
        <v/>
      </c>
      <c r="AQ88" s="260">
        <f t="shared" si="63"/>
        <v>0</v>
      </c>
      <c r="AR88" s="260" t="str">
        <f t="shared" si="64"/>
        <v/>
      </c>
      <c r="AS88" s="260" t="str">
        <f t="shared" si="65"/>
        <v/>
      </c>
      <c r="AT88" s="317" t="str">
        <f>IF($U88="","",SUM($AS88:$AS$114))</f>
        <v/>
      </c>
      <c r="AU88" s="287" t="str">
        <f>IF($U88="","",INDEX(#REF!,$U88+1))</f>
        <v/>
      </c>
      <c r="AV88" s="260">
        <f t="shared" si="66"/>
        <v>0</v>
      </c>
      <c r="AW88" s="260" t="str">
        <f t="shared" si="67"/>
        <v/>
      </c>
      <c r="AX88" s="260" t="str">
        <f t="shared" si="68"/>
        <v/>
      </c>
      <c r="AY88" s="317" t="str">
        <f>IF($U88="","",SUM($AX88:$AX$114))</f>
        <v/>
      </c>
      <c r="AZ88" s="287" t="str">
        <f>IF($U88="","",INDEX(#REF!,$U88+1))</f>
        <v/>
      </c>
      <c r="BA88" s="260">
        <f t="shared" si="69"/>
        <v>0</v>
      </c>
      <c r="BB88" s="260" t="str">
        <f t="shared" si="70"/>
        <v/>
      </c>
      <c r="BC88" s="260" t="str">
        <f t="shared" si="71"/>
        <v/>
      </c>
      <c r="BD88" s="317" t="str">
        <f>IF($U88="","",SUM($BC88:$BC$114))</f>
        <v/>
      </c>
      <c r="BE88" s="287" t="str">
        <f>IF($U88="","",INDEX(#REF!,$U88+1))</f>
        <v/>
      </c>
      <c r="BF88" s="260">
        <f t="shared" si="72"/>
        <v>0</v>
      </c>
      <c r="BG88" s="260" t="str">
        <f t="shared" si="73"/>
        <v/>
      </c>
      <c r="BH88" s="260" t="str">
        <f t="shared" si="74"/>
        <v/>
      </c>
      <c r="BI88" s="317" t="str">
        <f>IF($U88="","",SUM($BH88:$BH$114))</f>
        <v/>
      </c>
      <c r="BJ88" s="287" t="str">
        <f>IF($U88="","",INDEX(#REF!,$U88+1))</f>
        <v/>
      </c>
      <c r="BK88" s="260">
        <f t="shared" si="75"/>
        <v>0</v>
      </c>
      <c r="BL88" s="260" t="str">
        <f t="shared" si="76"/>
        <v/>
      </c>
      <c r="BM88" s="260" t="str">
        <f t="shared" si="77"/>
        <v/>
      </c>
      <c r="BN88" s="317" t="str">
        <f>IF($U88="","",SUM($BM88:$BM$114))</f>
        <v/>
      </c>
      <c r="BO88" s="287">
        <f t="shared" si="78"/>
        <v>0</v>
      </c>
      <c r="BP88" s="260" t="str">
        <f t="shared" si="79"/>
        <v/>
      </c>
      <c r="BQ88" s="260" t="str">
        <f t="shared" si="80"/>
        <v/>
      </c>
      <c r="BR88" s="260"/>
      <c r="BS88" s="260" t="str">
        <f t="shared" si="92"/>
        <v/>
      </c>
      <c r="BT88" s="260" t="str">
        <f t="shared" si="81"/>
        <v/>
      </c>
      <c r="BU88" s="260" t="str">
        <f t="shared" si="82"/>
        <v/>
      </c>
      <c r="BV88" s="260"/>
      <c r="BW88" s="260" t="str">
        <f t="shared" si="93"/>
        <v/>
      </c>
      <c r="BX88" s="260" t="str">
        <f>IF($U88="","",SUM(BS88:BS$114)+SUM(BW88:BW$114))</f>
        <v/>
      </c>
      <c r="BY88" s="122"/>
      <c r="BZ88" s="122"/>
      <c r="CA88" s="122"/>
      <c r="CB88" s="122"/>
      <c r="CC88" s="396" t="str">
        <f t="shared" si="55"/>
        <v/>
      </c>
      <c r="CD88" s="260" t="str">
        <f t="shared" si="94"/>
        <v/>
      </c>
      <c r="CE88" s="260" t="str">
        <f t="shared" si="83"/>
        <v/>
      </c>
      <c r="CF88" s="260" t="str">
        <f t="shared" si="84"/>
        <v/>
      </c>
      <c r="CG88" s="260" t="str">
        <f t="shared" si="95"/>
        <v/>
      </c>
      <c r="CH88" s="260" t="str">
        <f t="shared" si="85"/>
        <v/>
      </c>
      <c r="CI88" s="123" t="str">
        <f t="shared" si="96"/>
        <v/>
      </c>
      <c r="CJ88" s="124" t="str">
        <f t="shared" si="86"/>
        <v/>
      </c>
      <c r="CK88" s="242"/>
      <c r="CL88" s="120" t="str">
        <f t="shared" si="87"/>
        <v/>
      </c>
      <c r="CM88" s="124" t="str">
        <f t="shared" si="102"/>
        <v/>
      </c>
      <c r="CN88" s="124" t="str">
        <f t="shared" si="97"/>
        <v/>
      </c>
      <c r="CO88" s="124" t="str">
        <f t="shared" si="88"/>
        <v/>
      </c>
      <c r="CP88" s="124" t="str">
        <f t="shared" si="98"/>
        <v/>
      </c>
      <c r="CQ88" s="242"/>
      <c r="CR88" s="242"/>
      <c r="CS88" s="242"/>
      <c r="CT88" s="242"/>
      <c r="CU88" s="242"/>
      <c r="CV88" s="242"/>
      <c r="CW88" s="478"/>
      <c r="CX88" s="478"/>
      <c r="CY88" s="478"/>
      <c r="CZ88" s="478"/>
      <c r="DA88" s="478"/>
      <c r="DB88" s="478"/>
      <c r="DC88" s="478"/>
      <c r="DD88" s="478"/>
      <c r="DE88" s="478"/>
      <c r="DF88" s="478"/>
      <c r="DG88" s="478"/>
      <c r="DH88" s="478"/>
      <c r="DI88" s="478"/>
      <c r="DJ88" s="478"/>
      <c r="DK88" s="478"/>
      <c r="DL88" s="478"/>
      <c r="DM88" s="478"/>
      <c r="DN88" s="478"/>
      <c r="DO88" s="478"/>
      <c r="DP88" s="478"/>
      <c r="DQ88" s="478"/>
      <c r="DR88" s="478"/>
      <c r="DS88" s="478"/>
      <c r="DT88" s="478"/>
      <c r="DU88" s="478"/>
      <c r="DV88" s="478"/>
      <c r="DW88" s="478"/>
      <c r="DX88" s="478"/>
      <c r="DY88" s="478"/>
      <c r="DZ88" s="478"/>
      <c r="EA88" s="478"/>
      <c r="EB88" s="478"/>
      <c r="EC88" s="478"/>
      <c r="ED88" s="478"/>
    </row>
    <row r="89" spans="1:134">
      <c r="A89" s="305"/>
      <c r="B89" s="373"/>
      <c r="D89" s="469"/>
      <c r="E89" s="469"/>
      <c r="F89" s="456">
        <f>+Main_무해지!F89</f>
        <v>0</v>
      </c>
      <c r="G89" s="470"/>
      <c r="H89" s="460"/>
      <c r="I89" s="158"/>
      <c r="J89" s="376"/>
      <c r="K89" s="376"/>
      <c r="M89" s="156"/>
      <c r="N89" s="278" t="str">
        <f t="shared" si="106"/>
        <v/>
      </c>
      <c r="O89" s="279" t="str">
        <f t="shared" si="107"/>
        <v/>
      </c>
      <c r="P89" s="271" t="str">
        <f t="shared" si="103"/>
        <v/>
      </c>
      <c r="Q89" s="271" t="str">
        <f t="shared" si="104"/>
        <v/>
      </c>
      <c r="R89" s="271" t="str">
        <f t="shared" si="105"/>
        <v/>
      </c>
      <c r="S89" s="400" t="str">
        <f t="shared" si="108"/>
        <v/>
      </c>
      <c r="T89" s="231"/>
      <c r="U89" s="130" t="str">
        <f t="shared" si="99"/>
        <v/>
      </c>
      <c r="V89" s="288" t="str">
        <f>Main_무해지!AC89</f>
        <v/>
      </c>
      <c r="W89" s="311">
        <f>+Main_무해지!AD89</f>
        <v>0</v>
      </c>
      <c r="X89" s="311">
        <v>0</v>
      </c>
      <c r="Y89" s="261" t="str">
        <f t="shared" si="100"/>
        <v/>
      </c>
      <c r="Z89" s="261" t="str">
        <f t="shared" si="56"/>
        <v/>
      </c>
      <c r="AA89" s="131" t="str">
        <f>IF($U89="","",SUM(Z89:Z$114))</f>
        <v/>
      </c>
      <c r="AB89" s="261" t="str">
        <f t="shared" si="89"/>
        <v/>
      </c>
      <c r="AC89" s="254">
        <f t="shared" si="90"/>
        <v>0</v>
      </c>
      <c r="AD89" s="254" t="str">
        <f>Main_무해지!AJ89</f>
        <v/>
      </c>
      <c r="AE89" s="261">
        <f t="shared" si="57"/>
        <v>0</v>
      </c>
      <c r="AF89" s="261" t="str">
        <f t="shared" si="101"/>
        <v/>
      </c>
      <c r="AG89" s="261" t="str">
        <f t="shared" si="58"/>
        <v/>
      </c>
      <c r="AH89" s="131" t="str">
        <f>IF($U89="","",SUM(AG89:AG$114))</f>
        <v/>
      </c>
      <c r="AI89" s="261" t="str">
        <f>Main_무해지!AP89</f>
        <v/>
      </c>
      <c r="AJ89" s="261">
        <f t="shared" si="59"/>
        <v>0</v>
      </c>
      <c r="AK89" s="261" t="str">
        <f t="shared" si="60"/>
        <v/>
      </c>
      <c r="AL89" s="261" t="str">
        <f t="shared" si="61"/>
        <v/>
      </c>
      <c r="AM89" s="318" t="str">
        <f>IF($U89="","",SUM($AN89:$AN$114))</f>
        <v/>
      </c>
      <c r="AN89" s="261" t="str">
        <f t="shared" si="91"/>
        <v/>
      </c>
      <c r="AO89" s="318" t="str">
        <f t="shared" si="62"/>
        <v/>
      </c>
      <c r="AP89" s="288" t="str">
        <f>IF($U89="","",INDEX(#REF!,$U89+1))</f>
        <v/>
      </c>
      <c r="AQ89" s="261">
        <f t="shared" si="63"/>
        <v>0</v>
      </c>
      <c r="AR89" s="261" t="str">
        <f t="shared" si="64"/>
        <v/>
      </c>
      <c r="AS89" s="261" t="str">
        <f t="shared" si="65"/>
        <v/>
      </c>
      <c r="AT89" s="318" t="str">
        <f>IF($U89="","",SUM($AS89:$AS$114))</f>
        <v/>
      </c>
      <c r="AU89" s="288" t="str">
        <f>IF($U89="","",INDEX(#REF!,$U89+1))</f>
        <v/>
      </c>
      <c r="AV89" s="261">
        <f t="shared" si="66"/>
        <v>0</v>
      </c>
      <c r="AW89" s="261" t="str">
        <f t="shared" si="67"/>
        <v/>
      </c>
      <c r="AX89" s="261" t="str">
        <f t="shared" si="68"/>
        <v/>
      </c>
      <c r="AY89" s="318" t="str">
        <f>IF($U89="","",SUM($AX89:$AX$114))</f>
        <v/>
      </c>
      <c r="AZ89" s="288" t="str">
        <f>IF($U89="","",INDEX(#REF!,$U89+1))</f>
        <v/>
      </c>
      <c r="BA89" s="261">
        <f t="shared" si="69"/>
        <v>0</v>
      </c>
      <c r="BB89" s="261" t="str">
        <f t="shared" si="70"/>
        <v/>
      </c>
      <c r="BC89" s="261" t="str">
        <f t="shared" si="71"/>
        <v/>
      </c>
      <c r="BD89" s="318" t="str">
        <f>IF($U89="","",SUM($BC89:$BC$114))</f>
        <v/>
      </c>
      <c r="BE89" s="288" t="str">
        <f>IF($U89="","",INDEX(#REF!,$U89+1))</f>
        <v/>
      </c>
      <c r="BF89" s="261">
        <f t="shared" si="72"/>
        <v>0</v>
      </c>
      <c r="BG89" s="261" t="str">
        <f t="shared" si="73"/>
        <v/>
      </c>
      <c r="BH89" s="261" t="str">
        <f t="shared" si="74"/>
        <v/>
      </c>
      <c r="BI89" s="318" t="str">
        <f>IF($U89="","",SUM($BH89:$BH$114))</f>
        <v/>
      </c>
      <c r="BJ89" s="288" t="str">
        <f>IF($U89="","",INDEX(#REF!,$U89+1))</f>
        <v/>
      </c>
      <c r="BK89" s="261">
        <f t="shared" si="75"/>
        <v>0</v>
      </c>
      <c r="BL89" s="261" t="str">
        <f t="shared" si="76"/>
        <v/>
      </c>
      <c r="BM89" s="261" t="str">
        <f t="shared" si="77"/>
        <v/>
      </c>
      <c r="BN89" s="318" t="str">
        <f>IF($U89="","",SUM($BM89:$BM$114))</f>
        <v/>
      </c>
      <c r="BO89" s="288">
        <f t="shared" si="78"/>
        <v>0</v>
      </c>
      <c r="BP89" s="261" t="str">
        <f t="shared" si="79"/>
        <v/>
      </c>
      <c r="BQ89" s="261" t="str">
        <f t="shared" si="80"/>
        <v/>
      </c>
      <c r="BR89" s="261"/>
      <c r="BS89" s="261" t="str">
        <f t="shared" si="92"/>
        <v/>
      </c>
      <c r="BT89" s="261" t="str">
        <f t="shared" si="81"/>
        <v/>
      </c>
      <c r="BU89" s="261" t="str">
        <f t="shared" si="82"/>
        <v/>
      </c>
      <c r="BV89" s="261"/>
      <c r="BW89" s="261" t="str">
        <f t="shared" si="93"/>
        <v/>
      </c>
      <c r="BX89" s="261" t="str">
        <f>IF($U89="","",SUM(BS89:BS$114)+SUM(BW89:BW$114))</f>
        <v/>
      </c>
      <c r="BY89" s="132"/>
      <c r="BZ89" s="132"/>
      <c r="CA89" s="132"/>
      <c r="CB89" s="132"/>
      <c r="CC89" s="397" t="str">
        <f t="shared" si="55"/>
        <v/>
      </c>
      <c r="CD89" s="261" t="str">
        <f t="shared" si="94"/>
        <v/>
      </c>
      <c r="CE89" s="261" t="str">
        <f t="shared" si="83"/>
        <v/>
      </c>
      <c r="CF89" s="261" t="str">
        <f t="shared" si="84"/>
        <v/>
      </c>
      <c r="CG89" s="261" t="str">
        <f t="shared" si="95"/>
        <v/>
      </c>
      <c r="CH89" s="261" t="str">
        <f t="shared" si="85"/>
        <v/>
      </c>
      <c r="CI89" s="133" t="str">
        <f t="shared" si="96"/>
        <v/>
      </c>
      <c r="CJ89" s="134" t="str">
        <f t="shared" si="86"/>
        <v/>
      </c>
      <c r="CK89" s="243"/>
      <c r="CL89" s="130" t="str">
        <f t="shared" si="87"/>
        <v/>
      </c>
      <c r="CM89" s="134" t="str">
        <f t="shared" si="102"/>
        <v/>
      </c>
      <c r="CN89" s="134" t="str">
        <f t="shared" si="97"/>
        <v/>
      </c>
      <c r="CO89" s="134" t="str">
        <f t="shared" si="88"/>
        <v/>
      </c>
      <c r="CP89" s="134" t="str">
        <f t="shared" si="98"/>
        <v/>
      </c>
      <c r="CQ89" s="243"/>
      <c r="CR89" s="243"/>
      <c r="CS89" s="243"/>
      <c r="CT89" s="243"/>
      <c r="CU89" s="243"/>
      <c r="CV89" s="243"/>
      <c r="CW89" s="478"/>
      <c r="CX89" s="478"/>
      <c r="CY89" s="478"/>
      <c r="CZ89" s="478"/>
      <c r="DA89" s="478"/>
      <c r="DB89" s="478"/>
      <c r="DC89" s="478"/>
      <c r="DD89" s="478"/>
      <c r="DE89" s="478"/>
      <c r="DF89" s="478"/>
      <c r="DG89" s="478"/>
      <c r="DH89" s="478"/>
      <c r="DI89" s="478"/>
      <c r="DJ89" s="478"/>
      <c r="DK89" s="478"/>
      <c r="DL89" s="478"/>
      <c r="DM89" s="478"/>
      <c r="DN89" s="478"/>
      <c r="DO89" s="478"/>
      <c r="DP89" s="478"/>
      <c r="DQ89" s="478"/>
      <c r="DR89" s="478"/>
      <c r="DS89" s="478"/>
      <c r="DT89" s="478"/>
      <c r="DU89" s="478"/>
      <c r="DV89" s="478"/>
      <c r="DW89" s="478"/>
      <c r="DX89" s="478"/>
      <c r="DY89" s="478"/>
      <c r="DZ89" s="478"/>
      <c r="EA89" s="478"/>
      <c r="EB89" s="478"/>
      <c r="EC89" s="478"/>
      <c r="ED89" s="478"/>
    </row>
    <row r="90" spans="1:134">
      <c r="A90" s="305"/>
      <c r="B90" s="373"/>
      <c r="D90" s="469"/>
      <c r="E90" s="469"/>
      <c r="F90" s="456">
        <f>+Main_무해지!F90</f>
        <v>0</v>
      </c>
      <c r="G90" s="470"/>
      <c r="H90" s="460"/>
      <c r="I90" s="158"/>
      <c r="J90" s="376"/>
      <c r="K90" s="376"/>
      <c r="M90" s="156"/>
      <c r="N90" s="278" t="str">
        <f t="shared" si="106"/>
        <v/>
      </c>
      <c r="O90" s="279" t="str">
        <f t="shared" si="107"/>
        <v/>
      </c>
      <c r="P90" s="271" t="str">
        <f t="shared" si="103"/>
        <v/>
      </c>
      <c r="Q90" s="271" t="str">
        <f t="shared" si="104"/>
        <v/>
      </c>
      <c r="R90" s="271" t="str">
        <f t="shared" si="105"/>
        <v/>
      </c>
      <c r="S90" s="400" t="str">
        <f t="shared" si="108"/>
        <v/>
      </c>
      <c r="T90" s="231"/>
      <c r="U90" s="759" t="str">
        <f t="shared" si="99"/>
        <v/>
      </c>
      <c r="V90" s="761" t="str">
        <f>Main_무해지!AC90</f>
        <v/>
      </c>
      <c r="W90" s="639">
        <f>+Main_무해지!AD90</f>
        <v>0</v>
      </c>
      <c r="X90" s="639">
        <v>0</v>
      </c>
      <c r="Y90" s="409" t="str">
        <f t="shared" si="100"/>
        <v/>
      </c>
      <c r="Z90" s="409" t="str">
        <f t="shared" si="56"/>
        <v/>
      </c>
      <c r="AA90" s="760" t="str">
        <f>IF($U90="","",SUM(Z90:Z$114))</f>
        <v/>
      </c>
      <c r="AB90" s="409" t="str">
        <f t="shared" si="89"/>
        <v/>
      </c>
      <c r="AC90" s="254">
        <f t="shared" si="90"/>
        <v>0</v>
      </c>
      <c r="AD90" s="254" t="str">
        <f>Main_무해지!AJ90</f>
        <v/>
      </c>
      <c r="AE90" s="409">
        <f t="shared" si="57"/>
        <v>0</v>
      </c>
      <c r="AF90" s="409" t="str">
        <f t="shared" si="101"/>
        <v/>
      </c>
      <c r="AG90" s="409" t="str">
        <f t="shared" si="58"/>
        <v/>
      </c>
      <c r="AH90" s="760" t="str">
        <f>IF($U90="","",SUM(AG90:AG$114))</f>
        <v/>
      </c>
      <c r="AI90" s="409" t="str">
        <f>Main_무해지!AP90</f>
        <v/>
      </c>
      <c r="AJ90" s="409">
        <f t="shared" si="59"/>
        <v>0</v>
      </c>
      <c r="AK90" s="409" t="str">
        <f t="shared" si="60"/>
        <v/>
      </c>
      <c r="AL90" s="409" t="str">
        <f t="shared" si="61"/>
        <v/>
      </c>
      <c r="AM90" s="762" t="str">
        <f>IF($U90="","",SUM($AN90:$AN$114))</f>
        <v/>
      </c>
      <c r="AN90" s="409" t="str">
        <f t="shared" si="91"/>
        <v/>
      </c>
      <c r="AO90" s="762" t="str">
        <f t="shared" si="62"/>
        <v/>
      </c>
      <c r="AP90" s="761" t="str">
        <f>IF($U90="","",INDEX(#REF!,$U90+1))</f>
        <v/>
      </c>
      <c r="AQ90" s="409">
        <f t="shared" si="63"/>
        <v>0</v>
      </c>
      <c r="AR90" s="409" t="str">
        <f t="shared" si="64"/>
        <v/>
      </c>
      <c r="AS90" s="409" t="str">
        <f t="shared" si="65"/>
        <v/>
      </c>
      <c r="AT90" s="762" t="str">
        <f>IF($U90="","",SUM($AS90:$AS$114))</f>
        <v/>
      </c>
      <c r="AU90" s="761" t="str">
        <f>IF($U90="","",INDEX(#REF!,$U90+1))</f>
        <v/>
      </c>
      <c r="AV90" s="409">
        <f t="shared" si="66"/>
        <v>0</v>
      </c>
      <c r="AW90" s="409" t="str">
        <f t="shared" si="67"/>
        <v/>
      </c>
      <c r="AX90" s="409" t="str">
        <f t="shared" si="68"/>
        <v/>
      </c>
      <c r="AY90" s="762" t="str">
        <f>IF($U90="","",SUM($AX90:$AX$114))</f>
        <v/>
      </c>
      <c r="AZ90" s="761" t="str">
        <f>IF($U90="","",INDEX(#REF!,$U90+1))</f>
        <v/>
      </c>
      <c r="BA90" s="409">
        <f t="shared" si="69"/>
        <v>0</v>
      </c>
      <c r="BB90" s="409" t="str">
        <f t="shared" si="70"/>
        <v/>
      </c>
      <c r="BC90" s="409" t="str">
        <f t="shared" si="71"/>
        <v/>
      </c>
      <c r="BD90" s="762" t="str">
        <f>IF($U90="","",SUM($BC90:$BC$114))</f>
        <v/>
      </c>
      <c r="BE90" s="761" t="str">
        <f>IF($U90="","",INDEX(#REF!,$U90+1))</f>
        <v/>
      </c>
      <c r="BF90" s="409">
        <f t="shared" si="72"/>
        <v>0</v>
      </c>
      <c r="BG90" s="409" t="str">
        <f t="shared" si="73"/>
        <v/>
      </c>
      <c r="BH90" s="409" t="str">
        <f t="shared" si="74"/>
        <v/>
      </c>
      <c r="BI90" s="762" t="str">
        <f>IF($U90="","",SUM($BH90:$BH$114))</f>
        <v/>
      </c>
      <c r="BJ90" s="761" t="str">
        <f>IF($U90="","",INDEX(#REF!,$U90+1))</f>
        <v/>
      </c>
      <c r="BK90" s="409">
        <f t="shared" si="75"/>
        <v>0</v>
      </c>
      <c r="BL90" s="409" t="str">
        <f t="shared" si="76"/>
        <v/>
      </c>
      <c r="BM90" s="409" t="str">
        <f t="shared" si="77"/>
        <v/>
      </c>
      <c r="BN90" s="762" t="str">
        <f>IF($U90="","",SUM($BM90:$BM$114))</f>
        <v/>
      </c>
      <c r="BO90" s="761">
        <f t="shared" si="78"/>
        <v>0</v>
      </c>
      <c r="BP90" s="409" t="str">
        <f t="shared" si="79"/>
        <v/>
      </c>
      <c r="BQ90" s="409" t="str">
        <f t="shared" si="80"/>
        <v/>
      </c>
      <c r="BR90" s="409"/>
      <c r="BS90" s="409" t="str">
        <f t="shared" si="92"/>
        <v/>
      </c>
      <c r="BT90" s="409" t="str">
        <f t="shared" si="81"/>
        <v/>
      </c>
      <c r="BU90" s="409" t="str">
        <f t="shared" si="82"/>
        <v/>
      </c>
      <c r="BV90" s="409"/>
      <c r="BW90" s="409" t="str">
        <f t="shared" si="93"/>
        <v/>
      </c>
      <c r="BX90" s="409" t="str">
        <f>IF($U90="","",SUM(BS90:BS$114)+SUM(BW90:BW$114))</f>
        <v/>
      </c>
      <c r="BY90" s="763"/>
      <c r="BZ90" s="763"/>
      <c r="CA90" s="763"/>
      <c r="CB90" s="763"/>
      <c r="CC90" s="764" t="str">
        <f t="shared" si="55"/>
        <v/>
      </c>
      <c r="CD90" s="409" t="str">
        <f t="shared" si="94"/>
        <v/>
      </c>
      <c r="CE90" s="409" t="str">
        <f t="shared" si="83"/>
        <v/>
      </c>
      <c r="CF90" s="409" t="str">
        <f t="shared" si="84"/>
        <v/>
      </c>
      <c r="CG90" s="409" t="str">
        <f t="shared" si="95"/>
        <v/>
      </c>
      <c r="CH90" s="409" t="str">
        <f t="shared" si="85"/>
        <v/>
      </c>
      <c r="CI90" s="765" t="str">
        <f t="shared" si="96"/>
        <v/>
      </c>
      <c r="CJ90" s="766" t="str">
        <f t="shared" si="86"/>
        <v/>
      </c>
      <c r="CK90" s="414"/>
      <c r="CL90" s="759" t="str">
        <f t="shared" si="87"/>
        <v/>
      </c>
      <c r="CM90" s="766" t="str">
        <f t="shared" si="102"/>
        <v/>
      </c>
      <c r="CN90" s="766" t="str">
        <f t="shared" si="97"/>
        <v/>
      </c>
      <c r="CO90" s="766" t="str">
        <f t="shared" si="88"/>
        <v/>
      </c>
      <c r="CP90" s="766" t="str">
        <f t="shared" si="98"/>
        <v/>
      </c>
      <c r="CQ90" s="414"/>
      <c r="CR90" s="414"/>
      <c r="CS90" s="414"/>
      <c r="CT90" s="414"/>
      <c r="CU90" s="414"/>
      <c r="CV90" s="414"/>
      <c r="CW90" s="478"/>
      <c r="CX90" s="478"/>
      <c r="CY90" s="478"/>
      <c r="CZ90" s="478"/>
      <c r="DA90" s="478"/>
      <c r="DB90" s="478"/>
      <c r="DC90" s="478"/>
      <c r="DD90" s="478"/>
      <c r="DE90" s="478"/>
      <c r="DF90" s="478"/>
      <c r="DG90" s="478"/>
      <c r="DH90" s="478"/>
      <c r="DI90" s="478"/>
      <c r="DJ90" s="478"/>
      <c r="DK90" s="478"/>
      <c r="DL90" s="478"/>
      <c r="DM90" s="478"/>
      <c r="DN90" s="478"/>
      <c r="DO90" s="478"/>
      <c r="DP90" s="478"/>
      <c r="DQ90" s="478"/>
      <c r="DR90" s="478"/>
      <c r="DS90" s="478"/>
      <c r="DT90" s="478"/>
      <c r="DU90" s="478"/>
      <c r="DV90" s="478"/>
      <c r="DW90" s="478"/>
      <c r="DX90" s="478"/>
      <c r="DY90" s="478"/>
      <c r="DZ90" s="478"/>
      <c r="EA90" s="478"/>
      <c r="EB90" s="478"/>
      <c r="EC90" s="478"/>
      <c r="ED90" s="478"/>
    </row>
    <row r="91" spans="1:134">
      <c r="A91" s="305"/>
      <c r="B91" s="373"/>
      <c r="D91" s="469"/>
      <c r="E91" s="469"/>
      <c r="F91" s="459">
        <f>+Main_무해지!F91</f>
        <v>0</v>
      </c>
      <c r="G91" s="470"/>
      <c r="H91" s="460"/>
      <c r="I91" s="158"/>
      <c r="J91" s="376"/>
      <c r="K91" s="376"/>
      <c r="M91" s="158"/>
      <c r="N91" s="278" t="str">
        <f t="shared" si="106"/>
        <v/>
      </c>
      <c r="O91" s="279" t="str">
        <f t="shared" si="107"/>
        <v/>
      </c>
      <c r="P91" s="271" t="str">
        <f t="shared" si="103"/>
        <v/>
      </c>
      <c r="Q91" s="271" t="str">
        <f t="shared" si="104"/>
        <v/>
      </c>
      <c r="R91" s="271" t="str">
        <f t="shared" si="105"/>
        <v/>
      </c>
      <c r="S91" s="400" t="str">
        <f t="shared" si="108"/>
        <v/>
      </c>
      <c r="T91" s="231"/>
      <c r="U91" s="70" t="str">
        <f t="shared" si="99"/>
        <v/>
      </c>
      <c r="V91" s="71" t="str">
        <f>Main_무해지!AC91</f>
        <v/>
      </c>
      <c r="W91" s="74">
        <f>+Main_무해지!AD91</f>
        <v>0</v>
      </c>
      <c r="X91" s="74">
        <v>0</v>
      </c>
      <c r="Y91" s="256" t="str">
        <f t="shared" si="100"/>
        <v/>
      </c>
      <c r="Z91" s="256" t="str">
        <f t="shared" si="56"/>
        <v/>
      </c>
      <c r="AA91" s="72" t="str">
        <f>IF($U91="","",SUM(Z91:Z$114))</f>
        <v/>
      </c>
      <c r="AB91" s="256" t="str">
        <f t="shared" si="89"/>
        <v/>
      </c>
      <c r="AC91" s="254">
        <f t="shared" si="90"/>
        <v>0</v>
      </c>
      <c r="AD91" s="254" t="str">
        <f>Main_무해지!AJ91</f>
        <v/>
      </c>
      <c r="AE91" s="256">
        <f t="shared" si="57"/>
        <v>0</v>
      </c>
      <c r="AF91" s="256" t="str">
        <f t="shared" si="101"/>
        <v/>
      </c>
      <c r="AG91" s="256" t="str">
        <f t="shared" si="58"/>
        <v/>
      </c>
      <c r="AH91" s="72" t="str">
        <f>IF($U91="","",SUM(AG91:AG$114))</f>
        <v/>
      </c>
      <c r="AI91" s="256" t="str">
        <f>Main_무해지!AP91</f>
        <v/>
      </c>
      <c r="AJ91" s="256">
        <f t="shared" si="59"/>
        <v>0</v>
      </c>
      <c r="AK91" s="256" t="str">
        <f t="shared" si="60"/>
        <v/>
      </c>
      <c r="AL91" s="256" t="str">
        <f t="shared" si="61"/>
        <v/>
      </c>
      <c r="AM91" s="75" t="str">
        <f>IF($U91="","",SUM($AN91:$AN$114))</f>
        <v/>
      </c>
      <c r="AN91" s="256" t="str">
        <f t="shared" si="91"/>
        <v/>
      </c>
      <c r="AO91" s="75" t="str">
        <f t="shared" si="62"/>
        <v/>
      </c>
      <c r="AP91" s="71" t="str">
        <f>IF($U91="","",INDEX(#REF!,$U91+1))</f>
        <v/>
      </c>
      <c r="AQ91" s="256">
        <f t="shared" si="63"/>
        <v>0</v>
      </c>
      <c r="AR91" s="256" t="str">
        <f t="shared" si="64"/>
        <v/>
      </c>
      <c r="AS91" s="256" t="str">
        <f t="shared" si="65"/>
        <v/>
      </c>
      <c r="AT91" s="75" t="str">
        <f>IF($U91="","",SUM($AS91:$AS$114))</f>
        <v/>
      </c>
      <c r="AU91" s="71" t="str">
        <f>IF($U91="","",INDEX(#REF!,$U91+1))</f>
        <v/>
      </c>
      <c r="AV91" s="256">
        <f t="shared" si="66"/>
        <v>0</v>
      </c>
      <c r="AW91" s="256" t="str">
        <f t="shared" si="67"/>
        <v/>
      </c>
      <c r="AX91" s="256" t="str">
        <f t="shared" si="68"/>
        <v/>
      </c>
      <c r="AY91" s="75" t="str">
        <f>IF($U91="","",SUM($AX91:$AX$114))</f>
        <v/>
      </c>
      <c r="AZ91" s="71" t="str">
        <f>IF($U91="","",INDEX(#REF!,$U91+1))</f>
        <v/>
      </c>
      <c r="BA91" s="256">
        <f t="shared" si="69"/>
        <v>0</v>
      </c>
      <c r="BB91" s="256" t="str">
        <f t="shared" si="70"/>
        <v/>
      </c>
      <c r="BC91" s="256" t="str">
        <f t="shared" si="71"/>
        <v/>
      </c>
      <c r="BD91" s="75" t="str">
        <f>IF($U91="","",SUM($BC91:$BC$114))</f>
        <v/>
      </c>
      <c r="BE91" s="71" t="str">
        <f>IF($U91="","",INDEX(#REF!,$U91+1))</f>
        <v/>
      </c>
      <c r="BF91" s="256">
        <f t="shared" si="72"/>
        <v>0</v>
      </c>
      <c r="BG91" s="256" t="str">
        <f t="shared" si="73"/>
        <v/>
      </c>
      <c r="BH91" s="256" t="str">
        <f t="shared" si="74"/>
        <v/>
      </c>
      <c r="BI91" s="75" t="str">
        <f>IF($U91="","",SUM($BH91:$BH$114))</f>
        <v/>
      </c>
      <c r="BJ91" s="71" t="str">
        <f>IF($U91="","",INDEX(#REF!,$U91+1))</f>
        <v/>
      </c>
      <c r="BK91" s="256">
        <f t="shared" si="75"/>
        <v>0</v>
      </c>
      <c r="BL91" s="256" t="str">
        <f t="shared" si="76"/>
        <v/>
      </c>
      <c r="BM91" s="256" t="str">
        <f t="shared" si="77"/>
        <v/>
      </c>
      <c r="BN91" s="75" t="str">
        <f>IF($U91="","",SUM($BM91:$BM$114))</f>
        <v/>
      </c>
      <c r="BO91" s="71">
        <f t="shared" si="78"/>
        <v>0</v>
      </c>
      <c r="BP91" s="256" t="str">
        <f t="shared" si="79"/>
        <v/>
      </c>
      <c r="BQ91" s="256" t="str">
        <f t="shared" si="80"/>
        <v/>
      </c>
      <c r="BR91" s="256"/>
      <c r="BS91" s="256" t="str">
        <f t="shared" si="92"/>
        <v/>
      </c>
      <c r="BT91" s="256" t="str">
        <f t="shared" si="81"/>
        <v/>
      </c>
      <c r="BU91" s="256" t="str">
        <f t="shared" si="82"/>
        <v/>
      </c>
      <c r="BV91" s="256"/>
      <c r="BW91" s="256" t="str">
        <f t="shared" si="93"/>
        <v/>
      </c>
      <c r="BX91" s="256" t="str">
        <f>IF($U91="","",SUM(BS91:BS$114)+SUM(BW91:BW$114))</f>
        <v/>
      </c>
      <c r="BY91" s="73"/>
      <c r="BZ91" s="73"/>
      <c r="CA91" s="73"/>
      <c r="CB91" s="73"/>
      <c r="CC91" s="392" t="str">
        <f t="shared" si="55"/>
        <v/>
      </c>
      <c r="CD91" s="256" t="str">
        <f t="shared" si="94"/>
        <v/>
      </c>
      <c r="CE91" s="256" t="str">
        <f t="shared" si="83"/>
        <v/>
      </c>
      <c r="CF91" s="256" t="str">
        <f t="shared" si="84"/>
        <v/>
      </c>
      <c r="CG91" s="256" t="str">
        <f t="shared" si="95"/>
        <v/>
      </c>
      <c r="CH91" s="256" t="str">
        <f t="shared" si="85"/>
        <v/>
      </c>
      <c r="CI91" s="76" t="str">
        <f t="shared" si="96"/>
        <v/>
      </c>
      <c r="CJ91" s="77" t="str">
        <f t="shared" si="86"/>
        <v/>
      </c>
      <c r="CK91" s="238"/>
      <c r="CL91" s="70" t="str">
        <f t="shared" si="87"/>
        <v/>
      </c>
      <c r="CM91" s="77" t="str">
        <f t="shared" si="102"/>
        <v/>
      </c>
      <c r="CN91" s="77" t="str">
        <f t="shared" si="97"/>
        <v/>
      </c>
      <c r="CO91" s="77" t="str">
        <f t="shared" si="88"/>
        <v/>
      </c>
      <c r="CP91" s="77" t="str">
        <f t="shared" si="98"/>
        <v/>
      </c>
      <c r="CQ91" s="238"/>
      <c r="CR91" s="238"/>
      <c r="CS91" s="238"/>
      <c r="CT91" s="238"/>
      <c r="CU91" s="238"/>
      <c r="CV91" s="238"/>
      <c r="CW91" s="478"/>
      <c r="CX91" s="478"/>
      <c r="CY91" s="478"/>
      <c r="CZ91" s="478"/>
      <c r="DA91" s="478"/>
      <c r="DB91" s="478"/>
      <c r="DC91" s="478"/>
      <c r="DD91" s="478"/>
      <c r="DE91" s="478"/>
      <c r="DF91" s="478"/>
      <c r="DG91" s="478"/>
      <c r="DH91" s="478"/>
      <c r="DI91" s="478"/>
      <c r="DJ91" s="478"/>
      <c r="DK91" s="478"/>
      <c r="DL91" s="478"/>
      <c r="DM91" s="478"/>
      <c r="DN91" s="478"/>
      <c r="DO91" s="478"/>
      <c r="DP91" s="478"/>
      <c r="DQ91" s="478"/>
      <c r="DR91" s="478"/>
      <c r="DS91" s="478"/>
      <c r="DT91" s="478"/>
      <c r="DU91" s="478"/>
      <c r="DV91" s="478"/>
      <c r="DW91" s="478"/>
      <c r="DX91" s="478"/>
      <c r="DY91" s="478"/>
      <c r="DZ91" s="478"/>
      <c r="EA91" s="478"/>
      <c r="EB91" s="478"/>
      <c r="EC91" s="478"/>
      <c r="ED91" s="478"/>
    </row>
    <row r="92" spans="1:134">
      <c r="A92" s="305"/>
      <c r="B92" s="373"/>
      <c r="D92" s="469"/>
      <c r="E92" s="469"/>
      <c r="F92" s="459">
        <f>+Main_무해지!F92</f>
        <v>0</v>
      </c>
      <c r="G92" s="470"/>
      <c r="H92" s="460"/>
      <c r="I92" s="158"/>
      <c r="J92" s="376"/>
      <c r="K92" s="376"/>
      <c r="M92" s="158"/>
      <c r="N92" s="278" t="str">
        <f t="shared" si="106"/>
        <v/>
      </c>
      <c r="O92" s="279" t="str">
        <f t="shared" si="107"/>
        <v/>
      </c>
      <c r="P92" s="271" t="str">
        <f t="shared" si="103"/>
        <v/>
      </c>
      <c r="Q92" s="271" t="str">
        <f t="shared" si="104"/>
        <v/>
      </c>
      <c r="R92" s="271" t="str">
        <f t="shared" si="105"/>
        <v/>
      </c>
      <c r="S92" s="400" t="str">
        <f t="shared" si="108"/>
        <v/>
      </c>
      <c r="T92" s="231"/>
      <c r="U92" s="70" t="str">
        <f t="shared" si="99"/>
        <v/>
      </c>
      <c r="V92" s="71" t="str">
        <f>Main_무해지!AC92</f>
        <v/>
      </c>
      <c r="W92" s="74">
        <f>+Main_무해지!AD92</f>
        <v>0</v>
      </c>
      <c r="X92" s="74">
        <v>0</v>
      </c>
      <c r="Y92" s="256" t="str">
        <f t="shared" si="100"/>
        <v/>
      </c>
      <c r="Z92" s="256" t="str">
        <f t="shared" si="56"/>
        <v/>
      </c>
      <c r="AA92" s="72" t="str">
        <f>IF($U92="","",SUM(Z92:Z$114))</f>
        <v/>
      </c>
      <c r="AB92" s="256" t="str">
        <f t="shared" si="89"/>
        <v/>
      </c>
      <c r="AC92" s="254">
        <f t="shared" si="90"/>
        <v>0</v>
      </c>
      <c r="AD92" s="254" t="str">
        <f>Main_무해지!AJ92</f>
        <v/>
      </c>
      <c r="AE92" s="256">
        <f t="shared" si="57"/>
        <v>0</v>
      </c>
      <c r="AF92" s="256" t="str">
        <f t="shared" si="101"/>
        <v/>
      </c>
      <c r="AG92" s="256" t="str">
        <f t="shared" si="58"/>
        <v/>
      </c>
      <c r="AH92" s="72" t="str">
        <f>IF($U92="","",SUM(AG92:AG$114))</f>
        <v/>
      </c>
      <c r="AI92" s="256" t="str">
        <f>Main_무해지!AP92</f>
        <v/>
      </c>
      <c r="AJ92" s="256">
        <f t="shared" si="59"/>
        <v>0</v>
      </c>
      <c r="AK92" s="256" t="str">
        <f t="shared" si="60"/>
        <v/>
      </c>
      <c r="AL92" s="256" t="str">
        <f t="shared" si="61"/>
        <v/>
      </c>
      <c r="AM92" s="75" t="str">
        <f>IF($U92="","",SUM($AN92:$AN$114))</f>
        <v/>
      </c>
      <c r="AN92" s="256" t="str">
        <f t="shared" si="91"/>
        <v/>
      </c>
      <c r="AO92" s="75" t="str">
        <f t="shared" si="62"/>
        <v/>
      </c>
      <c r="AP92" s="71" t="str">
        <f>IF($U92="","",INDEX(#REF!,$U92+1))</f>
        <v/>
      </c>
      <c r="AQ92" s="256">
        <f t="shared" si="63"/>
        <v>0</v>
      </c>
      <c r="AR92" s="256" t="str">
        <f t="shared" si="64"/>
        <v/>
      </c>
      <c r="AS92" s="256" t="str">
        <f t="shared" si="65"/>
        <v/>
      </c>
      <c r="AT92" s="75" t="str">
        <f>IF($U92="","",SUM($AS92:$AS$114))</f>
        <v/>
      </c>
      <c r="AU92" s="71" t="str">
        <f>IF($U92="","",INDEX(#REF!,$U92+1))</f>
        <v/>
      </c>
      <c r="AV92" s="256">
        <f t="shared" si="66"/>
        <v>0</v>
      </c>
      <c r="AW92" s="256" t="str">
        <f t="shared" si="67"/>
        <v/>
      </c>
      <c r="AX92" s="256" t="str">
        <f t="shared" si="68"/>
        <v/>
      </c>
      <c r="AY92" s="75" t="str">
        <f>IF($U92="","",SUM($AX92:$AX$114))</f>
        <v/>
      </c>
      <c r="AZ92" s="71" t="str">
        <f>IF($U92="","",INDEX(#REF!,$U92+1))</f>
        <v/>
      </c>
      <c r="BA92" s="256">
        <f t="shared" si="69"/>
        <v>0</v>
      </c>
      <c r="BB92" s="256" t="str">
        <f t="shared" si="70"/>
        <v/>
      </c>
      <c r="BC92" s="256" t="str">
        <f t="shared" si="71"/>
        <v/>
      </c>
      <c r="BD92" s="75" t="str">
        <f>IF($U92="","",SUM($BC92:$BC$114))</f>
        <v/>
      </c>
      <c r="BE92" s="71" t="str">
        <f>IF($U92="","",INDEX(#REF!,$U92+1))</f>
        <v/>
      </c>
      <c r="BF92" s="256">
        <f t="shared" si="72"/>
        <v>0</v>
      </c>
      <c r="BG92" s="256" t="str">
        <f t="shared" si="73"/>
        <v/>
      </c>
      <c r="BH92" s="256" t="str">
        <f t="shared" si="74"/>
        <v/>
      </c>
      <c r="BI92" s="75" t="str">
        <f>IF($U92="","",SUM($BH92:$BH$114))</f>
        <v/>
      </c>
      <c r="BJ92" s="71" t="str">
        <f>IF($U92="","",INDEX(#REF!,$U92+1))</f>
        <v/>
      </c>
      <c r="BK92" s="256">
        <f t="shared" si="75"/>
        <v>0</v>
      </c>
      <c r="BL92" s="256" t="str">
        <f t="shared" si="76"/>
        <v/>
      </c>
      <c r="BM92" s="256" t="str">
        <f t="shared" si="77"/>
        <v/>
      </c>
      <c r="BN92" s="75" t="str">
        <f>IF($U92="","",SUM($BM92:$BM$114))</f>
        <v/>
      </c>
      <c r="BO92" s="71">
        <f t="shared" si="78"/>
        <v>0</v>
      </c>
      <c r="BP92" s="256" t="str">
        <f t="shared" si="79"/>
        <v/>
      </c>
      <c r="BQ92" s="256" t="str">
        <f t="shared" si="80"/>
        <v/>
      </c>
      <c r="BR92" s="256"/>
      <c r="BS92" s="256" t="str">
        <f t="shared" si="92"/>
        <v/>
      </c>
      <c r="BT92" s="256" t="str">
        <f t="shared" si="81"/>
        <v/>
      </c>
      <c r="BU92" s="256" t="str">
        <f t="shared" si="82"/>
        <v/>
      </c>
      <c r="BV92" s="256"/>
      <c r="BW92" s="256" t="str">
        <f t="shared" si="93"/>
        <v/>
      </c>
      <c r="BX92" s="256" t="str">
        <f>IF($U92="","",SUM(BS92:BS$114)+SUM(BW92:BW$114))</f>
        <v/>
      </c>
      <c r="BY92" s="73"/>
      <c r="BZ92" s="73"/>
      <c r="CA92" s="73"/>
      <c r="CB92" s="73"/>
      <c r="CC92" s="392" t="str">
        <f t="shared" si="55"/>
        <v/>
      </c>
      <c r="CD92" s="256" t="str">
        <f t="shared" si="94"/>
        <v/>
      </c>
      <c r="CE92" s="256" t="str">
        <f t="shared" si="83"/>
        <v/>
      </c>
      <c r="CF92" s="256" t="str">
        <f t="shared" si="84"/>
        <v/>
      </c>
      <c r="CG92" s="256" t="str">
        <f t="shared" si="95"/>
        <v/>
      </c>
      <c r="CH92" s="256" t="str">
        <f t="shared" si="85"/>
        <v/>
      </c>
      <c r="CI92" s="76" t="str">
        <f t="shared" si="96"/>
        <v/>
      </c>
      <c r="CJ92" s="77" t="str">
        <f t="shared" si="86"/>
        <v/>
      </c>
      <c r="CK92" s="238"/>
      <c r="CL92" s="70" t="str">
        <f t="shared" si="87"/>
        <v/>
      </c>
      <c r="CM92" s="77" t="str">
        <f t="shared" si="102"/>
        <v/>
      </c>
      <c r="CN92" s="77" t="str">
        <f t="shared" si="97"/>
        <v/>
      </c>
      <c r="CO92" s="77" t="str">
        <f t="shared" si="88"/>
        <v/>
      </c>
      <c r="CP92" s="77" t="str">
        <f t="shared" si="98"/>
        <v/>
      </c>
      <c r="CQ92" s="238"/>
      <c r="CR92" s="238"/>
      <c r="CS92" s="238"/>
      <c r="CT92" s="238"/>
      <c r="CU92" s="238"/>
      <c r="CV92" s="238"/>
      <c r="CW92" s="478"/>
      <c r="CX92" s="478"/>
      <c r="CY92" s="478"/>
      <c r="CZ92" s="478"/>
      <c r="DA92" s="478"/>
      <c r="DB92" s="478"/>
      <c r="DC92" s="478"/>
      <c r="DD92" s="478"/>
      <c r="DE92" s="478"/>
      <c r="DF92" s="478"/>
      <c r="DG92" s="478"/>
      <c r="DH92" s="478"/>
      <c r="DI92" s="478"/>
      <c r="DJ92" s="478"/>
      <c r="DK92" s="478"/>
      <c r="DL92" s="478"/>
      <c r="DM92" s="478"/>
      <c r="DN92" s="478"/>
      <c r="DO92" s="478"/>
      <c r="DP92" s="478"/>
      <c r="DQ92" s="478"/>
      <c r="DR92" s="478"/>
      <c r="DS92" s="478"/>
      <c r="DT92" s="478"/>
      <c r="DU92" s="478"/>
      <c r="DV92" s="478"/>
      <c r="DW92" s="478"/>
      <c r="DX92" s="478"/>
      <c r="DY92" s="478"/>
      <c r="DZ92" s="478"/>
      <c r="EA92" s="478"/>
      <c r="EB92" s="478"/>
      <c r="EC92" s="478"/>
      <c r="ED92" s="478"/>
    </row>
    <row r="93" spans="1:134">
      <c r="A93" s="305"/>
      <c r="B93" s="373"/>
      <c r="D93" s="469"/>
      <c r="E93" s="469"/>
      <c r="F93" s="459">
        <f>+Main_무해지!F93</f>
        <v>0</v>
      </c>
      <c r="G93" s="470"/>
      <c r="H93" s="460"/>
      <c r="I93" s="158"/>
      <c r="J93" s="376"/>
      <c r="K93" s="376"/>
      <c r="M93" s="158"/>
      <c r="N93" s="278" t="str">
        <f t="shared" si="106"/>
        <v/>
      </c>
      <c r="O93" s="279" t="str">
        <f t="shared" si="107"/>
        <v/>
      </c>
      <c r="P93" s="271" t="str">
        <f t="shared" si="103"/>
        <v/>
      </c>
      <c r="Q93" s="271" t="str">
        <f t="shared" si="104"/>
        <v/>
      </c>
      <c r="R93" s="271" t="str">
        <f t="shared" si="105"/>
        <v/>
      </c>
      <c r="S93" s="400" t="str">
        <f t="shared" si="108"/>
        <v/>
      </c>
      <c r="T93" s="231"/>
      <c r="U93" s="70" t="str">
        <f t="shared" si="99"/>
        <v/>
      </c>
      <c r="V93" s="71" t="str">
        <f>Main_무해지!AC93</f>
        <v/>
      </c>
      <c r="W93" s="74">
        <f>+Main_무해지!AD93</f>
        <v>0</v>
      </c>
      <c r="X93" s="74">
        <v>0</v>
      </c>
      <c r="Y93" s="256" t="str">
        <f t="shared" si="100"/>
        <v/>
      </c>
      <c r="Z93" s="256" t="str">
        <f t="shared" si="56"/>
        <v/>
      </c>
      <c r="AA93" s="72" t="str">
        <f>IF($U93="","",SUM(Z93:Z$114))</f>
        <v/>
      </c>
      <c r="AB93" s="256" t="str">
        <f t="shared" si="89"/>
        <v/>
      </c>
      <c r="AC93" s="254">
        <f t="shared" si="90"/>
        <v>0</v>
      </c>
      <c r="AD93" s="254" t="str">
        <f>Main_무해지!AJ93</f>
        <v/>
      </c>
      <c r="AE93" s="256">
        <f t="shared" si="57"/>
        <v>0</v>
      </c>
      <c r="AF93" s="256" t="str">
        <f t="shared" si="101"/>
        <v/>
      </c>
      <c r="AG93" s="256" t="str">
        <f t="shared" si="58"/>
        <v/>
      </c>
      <c r="AH93" s="72" t="str">
        <f>IF($U93="","",SUM(AG93:AG$114))</f>
        <v/>
      </c>
      <c r="AI93" s="256" t="str">
        <f>Main_무해지!AP93</f>
        <v/>
      </c>
      <c r="AJ93" s="256">
        <f t="shared" si="59"/>
        <v>0</v>
      </c>
      <c r="AK93" s="256" t="str">
        <f t="shared" si="60"/>
        <v/>
      </c>
      <c r="AL93" s="256" t="str">
        <f t="shared" si="61"/>
        <v/>
      </c>
      <c r="AM93" s="75" t="str">
        <f>IF($U93="","",SUM($AN93:$AN$114))</f>
        <v/>
      </c>
      <c r="AN93" s="256" t="str">
        <f t="shared" si="91"/>
        <v/>
      </c>
      <c r="AO93" s="75" t="str">
        <f t="shared" si="62"/>
        <v/>
      </c>
      <c r="AP93" s="71" t="str">
        <f>IF($U93="","",INDEX(#REF!,$U93+1))</f>
        <v/>
      </c>
      <c r="AQ93" s="256">
        <f t="shared" si="63"/>
        <v>0</v>
      </c>
      <c r="AR93" s="256" t="str">
        <f t="shared" si="64"/>
        <v/>
      </c>
      <c r="AS93" s="256" t="str">
        <f t="shared" si="65"/>
        <v/>
      </c>
      <c r="AT93" s="75" t="str">
        <f>IF($U93="","",SUM($AS93:$AS$114))</f>
        <v/>
      </c>
      <c r="AU93" s="71" t="str">
        <f>IF($U93="","",INDEX(#REF!,$U93+1))</f>
        <v/>
      </c>
      <c r="AV93" s="256">
        <f t="shared" si="66"/>
        <v>0</v>
      </c>
      <c r="AW93" s="256" t="str">
        <f t="shared" si="67"/>
        <v/>
      </c>
      <c r="AX93" s="256" t="str">
        <f t="shared" si="68"/>
        <v/>
      </c>
      <c r="AY93" s="75" t="str">
        <f>IF($U93="","",SUM($AX93:$AX$114))</f>
        <v/>
      </c>
      <c r="AZ93" s="71" t="str">
        <f>IF($U93="","",INDEX(#REF!,$U93+1))</f>
        <v/>
      </c>
      <c r="BA93" s="256">
        <f t="shared" si="69"/>
        <v>0</v>
      </c>
      <c r="BB93" s="256" t="str">
        <f t="shared" si="70"/>
        <v/>
      </c>
      <c r="BC93" s="256" t="str">
        <f t="shared" si="71"/>
        <v/>
      </c>
      <c r="BD93" s="75" t="str">
        <f>IF($U93="","",SUM($BC93:$BC$114))</f>
        <v/>
      </c>
      <c r="BE93" s="71" t="str">
        <f>IF($U93="","",INDEX(#REF!,$U93+1))</f>
        <v/>
      </c>
      <c r="BF93" s="256">
        <f t="shared" si="72"/>
        <v>0</v>
      </c>
      <c r="BG93" s="256" t="str">
        <f t="shared" si="73"/>
        <v/>
      </c>
      <c r="BH93" s="256" t="str">
        <f t="shared" si="74"/>
        <v/>
      </c>
      <c r="BI93" s="75" t="str">
        <f>IF($U93="","",SUM($BH93:$BH$114))</f>
        <v/>
      </c>
      <c r="BJ93" s="71" t="str">
        <f>IF($U93="","",INDEX(#REF!,$U93+1))</f>
        <v/>
      </c>
      <c r="BK93" s="256">
        <f t="shared" si="75"/>
        <v>0</v>
      </c>
      <c r="BL93" s="256" t="str">
        <f t="shared" si="76"/>
        <v/>
      </c>
      <c r="BM93" s="256" t="str">
        <f t="shared" si="77"/>
        <v/>
      </c>
      <c r="BN93" s="75" t="str">
        <f>IF($U93="","",SUM($BM93:$BM$114))</f>
        <v/>
      </c>
      <c r="BO93" s="71">
        <f t="shared" si="78"/>
        <v>0</v>
      </c>
      <c r="BP93" s="256" t="str">
        <f t="shared" si="79"/>
        <v/>
      </c>
      <c r="BQ93" s="256" t="str">
        <f t="shared" si="80"/>
        <v/>
      </c>
      <c r="BR93" s="256"/>
      <c r="BS93" s="256" t="str">
        <f t="shared" si="92"/>
        <v/>
      </c>
      <c r="BT93" s="256" t="str">
        <f t="shared" si="81"/>
        <v/>
      </c>
      <c r="BU93" s="256" t="str">
        <f t="shared" si="82"/>
        <v/>
      </c>
      <c r="BV93" s="256"/>
      <c r="BW93" s="256" t="str">
        <f t="shared" si="93"/>
        <v/>
      </c>
      <c r="BX93" s="256" t="str">
        <f>IF($U93="","",SUM(BS93:BS$114)+SUM(BW93:BW$114))</f>
        <v/>
      </c>
      <c r="BY93" s="73"/>
      <c r="BZ93" s="73"/>
      <c r="CA93" s="73"/>
      <c r="CB93" s="73"/>
      <c r="CC93" s="392" t="str">
        <f t="shared" si="55"/>
        <v/>
      </c>
      <c r="CD93" s="256" t="str">
        <f t="shared" si="94"/>
        <v/>
      </c>
      <c r="CE93" s="256" t="str">
        <f t="shared" si="83"/>
        <v/>
      </c>
      <c r="CF93" s="256" t="str">
        <f t="shared" si="84"/>
        <v/>
      </c>
      <c r="CG93" s="256" t="str">
        <f t="shared" si="95"/>
        <v/>
      </c>
      <c r="CH93" s="256" t="str">
        <f t="shared" si="85"/>
        <v/>
      </c>
      <c r="CI93" s="76" t="str">
        <f t="shared" si="96"/>
        <v/>
      </c>
      <c r="CJ93" s="77" t="str">
        <f t="shared" si="86"/>
        <v/>
      </c>
      <c r="CK93" s="238"/>
      <c r="CL93" s="70" t="str">
        <f t="shared" si="87"/>
        <v/>
      </c>
      <c r="CM93" s="77" t="str">
        <f t="shared" si="102"/>
        <v/>
      </c>
      <c r="CN93" s="77" t="str">
        <f t="shared" si="97"/>
        <v/>
      </c>
      <c r="CO93" s="77" t="str">
        <f t="shared" si="88"/>
        <v/>
      </c>
      <c r="CP93" s="77" t="str">
        <f t="shared" si="98"/>
        <v/>
      </c>
      <c r="CQ93" s="238"/>
      <c r="CR93" s="238"/>
      <c r="CS93" s="238"/>
      <c r="CT93" s="238"/>
      <c r="CU93" s="238"/>
      <c r="CV93" s="238"/>
      <c r="CW93" s="478"/>
      <c r="CX93" s="478"/>
      <c r="CY93" s="478"/>
      <c r="CZ93" s="478"/>
      <c r="DA93" s="478"/>
      <c r="DB93" s="478"/>
      <c r="DC93" s="478"/>
      <c r="DD93" s="478"/>
      <c r="DE93" s="478"/>
      <c r="DF93" s="478"/>
      <c r="DG93" s="478"/>
      <c r="DH93" s="478"/>
      <c r="DI93" s="478"/>
      <c r="DJ93" s="478"/>
      <c r="DK93" s="478"/>
      <c r="DL93" s="478"/>
      <c r="DM93" s="478"/>
      <c r="DN93" s="478"/>
      <c r="DO93" s="478"/>
      <c r="DP93" s="478"/>
      <c r="DQ93" s="478"/>
      <c r="DR93" s="478"/>
      <c r="DS93" s="478"/>
      <c r="DT93" s="478"/>
      <c r="DU93" s="478"/>
      <c r="DV93" s="478"/>
      <c r="DW93" s="478"/>
      <c r="DX93" s="478"/>
      <c r="DY93" s="478"/>
      <c r="DZ93" s="478"/>
      <c r="EA93" s="478"/>
      <c r="EB93" s="478"/>
      <c r="EC93" s="478"/>
      <c r="ED93" s="478"/>
    </row>
    <row r="94" spans="1:134">
      <c r="A94" s="305"/>
      <c r="B94" s="373"/>
      <c r="D94" s="469"/>
      <c r="E94" s="469"/>
      <c r="F94" s="459">
        <f>+Main_무해지!F94</f>
        <v>0</v>
      </c>
      <c r="G94" s="470"/>
      <c r="H94" s="460"/>
      <c r="I94" s="158"/>
      <c r="J94" s="376"/>
      <c r="K94" s="376"/>
      <c r="M94" s="158"/>
      <c r="N94" s="278" t="str">
        <f t="shared" si="106"/>
        <v/>
      </c>
      <c r="O94" s="279" t="str">
        <f t="shared" si="107"/>
        <v/>
      </c>
      <c r="P94" s="271" t="str">
        <f t="shared" si="103"/>
        <v/>
      </c>
      <c r="Q94" s="271" t="str">
        <f t="shared" si="104"/>
        <v/>
      </c>
      <c r="R94" s="271" t="str">
        <f t="shared" si="105"/>
        <v/>
      </c>
      <c r="S94" s="400" t="str">
        <f t="shared" si="108"/>
        <v/>
      </c>
      <c r="T94" s="231"/>
      <c r="U94" s="83" t="str">
        <f t="shared" si="99"/>
        <v/>
      </c>
      <c r="V94" s="84" t="str">
        <f>Main_무해지!AC94</f>
        <v/>
      </c>
      <c r="W94" s="87">
        <f>+Main_무해지!AD94</f>
        <v>0</v>
      </c>
      <c r="X94" s="87">
        <v>0</v>
      </c>
      <c r="Y94" s="257" t="str">
        <f t="shared" si="100"/>
        <v/>
      </c>
      <c r="Z94" s="257" t="str">
        <f t="shared" si="56"/>
        <v/>
      </c>
      <c r="AA94" s="85" t="str">
        <f>IF($U94="","",SUM(Z94:Z$114))</f>
        <v/>
      </c>
      <c r="AB94" s="257" t="str">
        <f t="shared" si="89"/>
        <v/>
      </c>
      <c r="AC94" s="254">
        <f t="shared" si="90"/>
        <v>0</v>
      </c>
      <c r="AD94" s="254" t="str">
        <f>Main_무해지!AJ94</f>
        <v/>
      </c>
      <c r="AE94" s="257">
        <f t="shared" si="57"/>
        <v>0</v>
      </c>
      <c r="AF94" s="257" t="str">
        <f t="shared" si="101"/>
        <v/>
      </c>
      <c r="AG94" s="257" t="str">
        <f t="shared" si="58"/>
        <v/>
      </c>
      <c r="AH94" s="85" t="str">
        <f>IF($U94="","",SUM(AG94:AG$114))</f>
        <v/>
      </c>
      <c r="AI94" s="257" t="str">
        <f>Main_무해지!AP94</f>
        <v/>
      </c>
      <c r="AJ94" s="257">
        <f t="shared" si="59"/>
        <v>0</v>
      </c>
      <c r="AK94" s="257" t="str">
        <f t="shared" si="60"/>
        <v/>
      </c>
      <c r="AL94" s="257" t="str">
        <f t="shared" si="61"/>
        <v/>
      </c>
      <c r="AM94" s="88" t="str">
        <f>IF($U94="","",SUM($AN94:$AN$114))</f>
        <v/>
      </c>
      <c r="AN94" s="257" t="str">
        <f t="shared" si="91"/>
        <v/>
      </c>
      <c r="AO94" s="88" t="str">
        <f t="shared" si="62"/>
        <v/>
      </c>
      <c r="AP94" s="84" t="str">
        <f>IF($U94="","",INDEX(#REF!,$U94+1))</f>
        <v/>
      </c>
      <c r="AQ94" s="257">
        <f t="shared" si="63"/>
        <v>0</v>
      </c>
      <c r="AR94" s="257" t="str">
        <f t="shared" si="64"/>
        <v/>
      </c>
      <c r="AS94" s="257" t="str">
        <f t="shared" si="65"/>
        <v/>
      </c>
      <c r="AT94" s="88" t="str">
        <f>IF($U94="","",SUM($AS94:$AS$114))</f>
        <v/>
      </c>
      <c r="AU94" s="84" t="str">
        <f>IF($U94="","",INDEX(#REF!,$U94+1))</f>
        <v/>
      </c>
      <c r="AV94" s="257">
        <f t="shared" si="66"/>
        <v>0</v>
      </c>
      <c r="AW94" s="257" t="str">
        <f t="shared" si="67"/>
        <v/>
      </c>
      <c r="AX94" s="257" t="str">
        <f t="shared" si="68"/>
        <v/>
      </c>
      <c r="AY94" s="88" t="str">
        <f>IF($U94="","",SUM($AX94:$AX$114))</f>
        <v/>
      </c>
      <c r="AZ94" s="84" t="str">
        <f>IF($U94="","",INDEX(#REF!,$U94+1))</f>
        <v/>
      </c>
      <c r="BA94" s="257">
        <f t="shared" si="69"/>
        <v>0</v>
      </c>
      <c r="BB94" s="257" t="str">
        <f t="shared" si="70"/>
        <v/>
      </c>
      <c r="BC94" s="257" t="str">
        <f t="shared" si="71"/>
        <v/>
      </c>
      <c r="BD94" s="88" t="str">
        <f>IF($U94="","",SUM($BC94:$BC$114))</f>
        <v/>
      </c>
      <c r="BE94" s="84" t="str">
        <f>IF($U94="","",INDEX(#REF!,$U94+1))</f>
        <v/>
      </c>
      <c r="BF94" s="257">
        <f t="shared" si="72"/>
        <v>0</v>
      </c>
      <c r="BG94" s="257" t="str">
        <f t="shared" si="73"/>
        <v/>
      </c>
      <c r="BH94" s="257" t="str">
        <f t="shared" si="74"/>
        <v/>
      </c>
      <c r="BI94" s="88" t="str">
        <f>IF($U94="","",SUM($BH94:$BH$114))</f>
        <v/>
      </c>
      <c r="BJ94" s="84" t="str">
        <f>IF($U94="","",INDEX(#REF!,$U94+1))</f>
        <v/>
      </c>
      <c r="BK94" s="257">
        <f t="shared" si="75"/>
        <v>0</v>
      </c>
      <c r="BL94" s="257" t="str">
        <f t="shared" si="76"/>
        <v/>
      </c>
      <c r="BM94" s="257" t="str">
        <f t="shared" si="77"/>
        <v/>
      </c>
      <c r="BN94" s="88" t="str">
        <f>IF($U94="","",SUM($BM94:$BM$114))</f>
        <v/>
      </c>
      <c r="BO94" s="84">
        <f t="shared" si="78"/>
        <v>0</v>
      </c>
      <c r="BP94" s="257" t="str">
        <f t="shared" si="79"/>
        <v/>
      </c>
      <c r="BQ94" s="257" t="str">
        <f t="shared" si="80"/>
        <v/>
      </c>
      <c r="BR94" s="257"/>
      <c r="BS94" s="257" t="str">
        <f t="shared" si="92"/>
        <v/>
      </c>
      <c r="BT94" s="257" t="str">
        <f t="shared" si="81"/>
        <v/>
      </c>
      <c r="BU94" s="257" t="str">
        <f t="shared" si="82"/>
        <v/>
      </c>
      <c r="BV94" s="257"/>
      <c r="BW94" s="257" t="str">
        <f t="shared" si="93"/>
        <v/>
      </c>
      <c r="BX94" s="257" t="str">
        <f>IF($U94="","",SUM(BS94:BS$114)+SUM(BW94:BW$114))</f>
        <v/>
      </c>
      <c r="BY94" s="86"/>
      <c r="BZ94" s="86"/>
      <c r="CA94" s="86"/>
      <c r="CB94" s="86"/>
      <c r="CC94" s="393" t="str">
        <f t="shared" si="55"/>
        <v/>
      </c>
      <c r="CD94" s="257" t="str">
        <f t="shared" si="94"/>
        <v/>
      </c>
      <c r="CE94" s="257" t="str">
        <f t="shared" si="83"/>
        <v/>
      </c>
      <c r="CF94" s="257" t="str">
        <f t="shared" si="84"/>
        <v/>
      </c>
      <c r="CG94" s="257" t="str">
        <f t="shared" si="95"/>
        <v/>
      </c>
      <c r="CH94" s="257" t="str">
        <f t="shared" si="85"/>
        <v/>
      </c>
      <c r="CI94" s="89" t="str">
        <f t="shared" si="96"/>
        <v/>
      </c>
      <c r="CJ94" s="90" t="str">
        <f t="shared" si="86"/>
        <v/>
      </c>
      <c r="CK94" s="239"/>
      <c r="CL94" s="83" t="str">
        <f t="shared" si="87"/>
        <v/>
      </c>
      <c r="CM94" s="90" t="str">
        <f t="shared" si="102"/>
        <v/>
      </c>
      <c r="CN94" s="90" t="str">
        <f t="shared" si="97"/>
        <v/>
      </c>
      <c r="CO94" s="90" t="str">
        <f t="shared" si="88"/>
        <v/>
      </c>
      <c r="CP94" s="90" t="str">
        <f t="shared" si="98"/>
        <v/>
      </c>
      <c r="CQ94" s="239"/>
      <c r="CR94" s="239"/>
      <c r="CS94" s="239"/>
      <c r="CT94" s="239"/>
      <c r="CU94" s="239"/>
      <c r="CV94" s="239"/>
      <c r="CW94" s="478"/>
      <c r="CX94" s="478"/>
      <c r="CY94" s="478"/>
      <c r="CZ94" s="478"/>
      <c r="DA94" s="478"/>
      <c r="DB94" s="478"/>
      <c r="DC94" s="478"/>
      <c r="DD94" s="478"/>
      <c r="DE94" s="478"/>
      <c r="DF94" s="478"/>
      <c r="DG94" s="478"/>
      <c r="DH94" s="478"/>
      <c r="DI94" s="478"/>
      <c r="DJ94" s="478"/>
      <c r="DK94" s="478"/>
      <c r="DL94" s="478"/>
      <c r="DM94" s="478"/>
      <c r="DN94" s="478"/>
      <c r="DO94" s="478"/>
      <c r="DP94" s="478"/>
      <c r="DQ94" s="478"/>
      <c r="DR94" s="478"/>
      <c r="DS94" s="478"/>
      <c r="DT94" s="478"/>
      <c r="DU94" s="478"/>
      <c r="DV94" s="478"/>
      <c r="DW94" s="478"/>
      <c r="DX94" s="478"/>
      <c r="DY94" s="478"/>
      <c r="DZ94" s="478"/>
      <c r="EA94" s="478"/>
      <c r="EB94" s="478"/>
      <c r="EC94" s="478"/>
      <c r="ED94" s="478"/>
    </row>
    <row r="95" spans="1:134">
      <c r="A95" s="305"/>
      <c r="B95" s="373"/>
      <c r="D95" s="469"/>
      <c r="E95" s="469"/>
      <c r="F95" s="459">
        <f>+Main_무해지!F95</f>
        <v>0</v>
      </c>
      <c r="G95" s="470"/>
      <c r="H95" s="460"/>
      <c r="I95" s="158"/>
      <c r="J95" s="376"/>
      <c r="K95" s="376"/>
      <c r="L95" s="376"/>
      <c r="M95" s="158"/>
      <c r="N95" s="278" t="str">
        <f t="shared" si="106"/>
        <v/>
      </c>
      <c r="O95" s="279" t="str">
        <f t="shared" si="107"/>
        <v/>
      </c>
      <c r="P95" s="271" t="str">
        <f t="shared" si="103"/>
        <v/>
      </c>
      <c r="Q95" s="271" t="str">
        <f t="shared" si="104"/>
        <v/>
      </c>
      <c r="R95" s="271" t="str">
        <f t="shared" si="105"/>
        <v/>
      </c>
      <c r="S95" s="400" t="str">
        <f t="shared" si="108"/>
        <v/>
      </c>
      <c r="T95" s="231"/>
      <c r="U95" s="750" t="str">
        <f t="shared" si="99"/>
        <v/>
      </c>
      <c r="V95" s="752" t="str">
        <f>Main_무해지!AC95</f>
        <v/>
      </c>
      <c r="W95" s="638">
        <f>+Main_무해지!AD95</f>
        <v>0</v>
      </c>
      <c r="X95" s="638">
        <v>0</v>
      </c>
      <c r="Y95" s="408" t="str">
        <f t="shared" si="100"/>
        <v/>
      </c>
      <c r="Z95" s="408" t="str">
        <f t="shared" si="56"/>
        <v/>
      </c>
      <c r="AA95" s="751" t="str">
        <f>IF($U95="","",SUM(Z95:Z$114))</f>
        <v/>
      </c>
      <c r="AB95" s="408" t="str">
        <f t="shared" si="89"/>
        <v/>
      </c>
      <c r="AC95" s="254">
        <f t="shared" si="90"/>
        <v>0</v>
      </c>
      <c r="AD95" s="254" t="str">
        <f>Main_무해지!AJ95</f>
        <v/>
      </c>
      <c r="AE95" s="408">
        <f t="shared" si="57"/>
        <v>0</v>
      </c>
      <c r="AF95" s="408" t="str">
        <f t="shared" si="101"/>
        <v/>
      </c>
      <c r="AG95" s="408" t="str">
        <f t="shared" si="58"/>
        <v/>
      </c>
      <c r="AH95" s="751" t="str">
        <f>IF($U95="","",SUM(AG95:AG$114))</f>
        <v/>
      </c>
      <c r="AI95" s="408" t="str">
        <f>Main_무해지!AP95</f>
        <v/>
      </c>
      <c r="AJ95" s="408">
        <f t="shared" si="59"/>
        <v>0</v>
      </c>
      <c r="AK95" s="408" t="str">
        <f t="shared" si="60"/>
        <v/>
      </c>
      <c r="AL95" s="408" t="str">
        <f t="shared" si="61"/>
        <v/>
      </c>
      <c r="AM95" s="753" t="str">
        <f>IF($U95="","",SUM($AN95:$AN$114))</f>
        <v/>
      </c>
      <c r="AN95" s="408" t="str">
        <f t="shared" si="91"/>
        <v/>
      </c>
      <c r="AO95" s="753" t="str">
        <f t="shared" si="62"/>
        <v/>
      </c>
      <c r="AP95" s="752" t="str">
        <f>IF($U95="","",INDEX(#REF!,$U95+1))</f>
        <v/>
      </c>
      <c r="AQ95" s="408">
        <f t="shared" si="63"/>
        <v>0</v>
      </c>
      <c r="AR95" s="408" t="str">
        <f t="shared" si="64"/>
        <v/>
      </c>
      <c r="AS95" s="408" t="str">
        <f t="shared" si="65"/>
        <v/>
      </c>
      <c r="AT95" s="753" t="str">
        <f>IF($U95="","",SUM($AS95:$AS$114))</f>
        <v/>
      </c>
      <c r="AU95" s="752" t="str">
        <f>IF($U95="","",INDEX(#REF!,$U95+1))</f>
        <v/>
      </c>
      <c r="AV95" s="408">
        <f t="shared" si="66"/>
        <v>0</v>
      </c>
      <c r="AW95" s="408" t="str">
        <f t="shared" si="67"/>
        <v/>
      </c>
      <c r="AX95" s="408" t="str">
        <f t="shared" si="68"/>
        <v/>
      </c>
      <c r="AY95" s="753" t="str">
        <f>IF($U95="","",SUM($AX95:$AX$114))</f>
        <v/>
      </c>
      <c r="AZ95" s="752" t="str">
        <f>IF($U95="","",INDEX(#REF!,$U95+1))</f>
        <v/>
      </c>
      <c r="BA95" s="408">
        <f t="shared" si="69"/>
        <v>0</v>
      </c>
      <c r="BB95" s="408" t="str">
        <f t="shared" si="70"/>
        <v/>
      </c>
      <c r="BC95" s="408" t="str">
        <f t="shared" si="71"/>
        <v/>
      </c>
      <c r="BD95" s="753" t="str">
        <f>IF($U95="","",SUM($BC95:$BC$114))</f>
        <v/>
      </c>
      <c r="BE95" s="752" t="str">
        <f>IF($U95="","",INDEX(#REF!,$U95+1))</f>
        <v/>
      </c>
      <c r="BF95" s="408">
        <f t="shared" si="72"/>
        <v>0</v>
      </c>
      <c r="BG95" s="408" t="str">
        <f t="shared" si="73"/>
        <v/>
      </c>
      <c r="BH95" s="408" t="str">
        <f t="shared" si="74"/>
        <v/>
      </c>
      <c r="BI95" s="753" t="str">
        <f>IF($U95="","",SUM($BH95:$BH$114))</f>
        <v/>
      </c>
      <c r="BJ95" s="752" t="str">
        <f>IF($U95="","",INDEX(#REF!,$U95+1))</f>
        <v/>
      </c>
      <c r="BK95" s="408">
        <f t="shared" si="75"/>
        <v>0</v>
      </c>
      <c r="BL95" s="408" t="str">
        <f t="shared" si="76"/>
        <v/>
      </c>
      <c r="BM95" s="408" t="str">
        <f t="shared" si="77"/>
        <v/>
      </c>
      <c r="BN95" s="753" t="str">
        <f>IF($U95="","",SUM($BM95:$BM$114))</f>
        <v/>
      </c>
      <c r="BO95" s="752">
        <f t="shared" si="78"/>
        <v>0</v>
      </c>
      <c r="BP95" s="408" t="str">
        <f t="shared" si="79"/>
        <v/>
      </c>
      <c r="BQ95" s="408" t="str">
        <f t="shared" si="80"/>
        <v/>
      </c>
      <c r="BR95" s="408"/>
      <c r="BS95" s="408" t="str">
        <f t="shared" si="92"/>
        <v/>
      </c>
      <c r="BT95" s="408" t="str">
        <f t="shared" si="81"/>
        <v/>
      </c>
      <c r="BU95" s="408" t="str">
        <f t="shared" si="82"/>
        <v/>
      </c>
      <c r="BV95" s="408"/>
      <c r="BW95" s="408" t="str">
        <f t="shared" si="93"/>
        <v/>
      </c>
      <c r="BX95" s="408" t="str">
        <f>IF($U95="","",SUM(BS95:BS$114)+SUM(BW95:BW$114))</f>
        <v/>
      </c>
      <c r="BY95" s="754"/>
      <c r="BZ95" s="754"/>
      <c r="CA95" s="754"/>
      <c r="CB95" s="754"/>
      <c r="CC95" s="755" t="str">
        <f t="shared" si="55"/>
        <v/>
      </c>
      <c r="CD95" s="408" t="str">
        <f t="shared" si="94"/>
        <v/>
      </c>
      <c r="CE95" s="408" t="str">
        <f t="shared" si="83"/>
        <v/>
      </c>
      <c r="CF95" s="408" t="str">
        <f t="shared" si="84"/>
        <v/>
      </c>
      <c r="CG95" s="408" t="str">
        <f t="shared" si="95"/>
        <v/>
      </c>
      <c r="CH95" s="408" t="str">
        <f t="shared" si="85"/>
        <v/>
      </c>
      <c r="CI95" s="756" t="str">
        <f t="shared" si="96"/>
        <v/>
      </c>
      <c r="CJ95" s="757" t="str">
        <f t="shared" si="86"/>
        <v/>
      </c>
      <c r="CK95" s="413"/>
      <c r="CL95" s="750" t="str">
        <f t="shared" si="87"/>
        <v/>
      </c>
      <c r="CM95" s="757" t="str">
        <f t="shared" si="102"/>
        <v/>
      </c>
      <c r="CN95" s="757" t="str">
        <f t="shared" si="97"/>
        <v/>
      </c>
      <c r="CO95" s="757" t="str">
        <f t="shared" si="88"/>
        <v/>
      </c>
      <c r="CP95" s="757" t="str">
        <f t="shared" si="98"/>
        <v/>
      </c>
      <c r="CQ95" s="413"/>
      <c r="CR95" s="413"/>
      <c r="CS95" s="413"/>
      <c r="CT95" s="413"/>
      <c r="CU95" s="413"/>
      <c r="CV95" s="413"/>
      <c r="CW95" s="478"/>
      <c r="CX95" s="478"/>
      <c r="CY95" s="478"/>
      <c r="CZ95" s="478"/>
      <c r="DA95" s="478"/>
      <c r="DB95" s="478"/>
      <c r="DC95" s="478"/>
      <c r="DD95" s="478"/>
      <c r="DE95" s="478"/>
      <c r="DF95" s="478"/>
      <c r="DG95" s="478"/>
      <c r="DH95" s="478"/>
      <c r="DI95" s="478"/>
      <c r="DJ95" s="478"/>
      <c r="DK95" s="478"/>
      <c r="DL95" s="478"/>
      <c r="DM95" s="478"/>
      <c r="DN95" s="478"/>
      <c r="DO95" s="478"/>
      <c r="DP95" s="478"/>
      <c r="DQ95" s="478"/>
      <c r="DR95" s="478"/>
      <c r="DS95" s="478"/>
      <c r="DT95" s="478"/>
      <c r="DU95" s="478"/>
      <c r="DV95" s="478"/>
      <c r="DW95" s="478"/>
      <c r="DX95" s="478"/>
      <c r="DY95" s="478"/>
      <c r="DZ95" s="478"/>
      <c r="EA95" s="478"/>
      <c r="EB95" s="478"/>
      <c r="EC95" s="478"/>
      <c r="ED95" s="478"/>
    </row>
    <row r="96" spans="1:134">
      <c r="A96" s="305"/>
      <c r="B96" s="373"/>
      <c r="D96" s="469"/>
      <c r="E96" s="469"/>
      <c r="F96" s="459">
        <f>+Main_무해지!F96</f>
        <v>0</v>
      </c>
      <c r="G96" s="470"/>
      <c r="H96" s="460"/>
      <c r="I96" s="158"/>
      <c r="J96" s="376"/>
      <c r="K96" s="376"/>
      <c r="L96" s="376"/>
      <c r="M96" s="158"/>
      <c r="N96" s="278" t="str">
        <f t="shared" si="106"/>
        <v/>
      </c>
      <c r="O96" s="279" t="str">
        <f t="shared" si="107"/>
        <v/>
      </c>
      <c r="P96" s="271" t="str">
        <f t="shared" si="103"/>
        <v/>
      </c>
      <c r="Q96" s="271" t="str">
        <f t="shared" si="104"/>
        <v/>
      </c>
      <c r="R96" s="271" t="str">
        <f t="shared" si="105"/>
        <v/>
      </c>
      <c r="S96" s="400" t="str">
        <f t="shared" si="108"/>
        <v/>
      </c>
      <c r="T96" s="231"/>
      <c r="U96" s="52" t="str">
        <f t="shared" si="99"/>
        <v/>
      </c>
      <c r="V96" s="53" t="str">
        <f>Main_무해지!AC96</f>
        <v/>
      </c>
      <c r="W96" s="56">
        <f>+Main_무해지!AD96</f>
        <v>0</v>
      </c>
      <c r="X96" s="56">
        <v>0</v>
      </c>
      <c r="Y96" s="254" t="str">
        <f t="shared" si="100"/>
        <v/>
      </c>
      <c r="Z96" s="254" t="str">
        <f t="shared" si="56"/>
        <v/>
      </c>
      <c r="AA96" s="54" t="str">
        <f>IF($U96="","",SUM(Z96:Z$114))</f>
        <v/>
      </c>
      <c r="AB96" s="254" t="str">
        <f t="shared" si="89"/>
        <v/>
      </c>
      <c r="AC96" s="254">
        <f t="shared" si="90"/>
        <v>0</v>
      </c>
      <c r="AD96" s="254" t="str">
        <f>Main_무해지!AJ96</f>
        <v/>
      </c>
      <c r="AE96" s="254">
        <f t="shared" si="57"/>
        <v>0</v>
      </c>
      <c r="AF96" s="254" t="str">
        <f t="shared" si="101"/>
        <v/>
      </c>
      <c r="AG96" s="254" t="str">
        <f t="shared" si="58"/>
        <v/>
      </c>
      <c r="AH96" s="54" t="str">
        <f>IF($U96="","",SUM(AG96:AG$114))</f>
        <v/>
      </c>
      <c r="AI96" s="254" t="str">
        <f>Main_무해지!AP96</f>
        <v/>
      </c>
      <c r="AJ96" s="254">
        <f t="shared" si="59"/>
        <v>0</v>
      </c>
      <c r="AK96" s="254" t="str">
        <f t="shared" si="60"/>
        <v/>
      </c>
      <c r="AL96" s="254" t="str">
        <f t="shared" si="61"/>
        <v/>
      </c>
      <c r="AM96" s="57" t="str">
        <f>IF($U96="","",SUM($AN96:$AN$114))</f>
        <v/>
      </c>
      <c r="AN96" s="254" t="str">
        <f t="shared" si="91"/>
        <v/>
      </c>
      <c r="AO96" s="57" t="str">
        <f t="shared" si="62"/>
        <v/>
      </c>
      <c r="AP96" s="53" t="str">
        <f>IF($U96="","",INDEX(#REF!,$U96+1))</f>
        <v/>
      </c>
      <c r="AQ96" s="254">
        <f t="shared" si="63"/>
        <v>0</v>
      </c>
      <c r="AR96" s="254" t="str">
        <f t="shared" si="64"/>
        <v/>
      </c>
      <c r="AS96" s="254" t="str">
        <f t="shared" si="65"/>
        <v/>
      </c>
      <c r="AT96" s="57" t="str">
        <f>IF($U96="","",SUM($AS96:$AS$114))</f>
        <v/>
      </c>
      <c r="AU96" s="53" t="str">
        <f>IF($U96="","",INDEX(#REF!,$U96+1))</f>
        <v/>
      </c>
      <c r="AV96" s="254">
        <f t="shared" si="66"/>
        <v>0</v>
      </c>
      <c r="AW96" s="254" t="str">
        <f t="shared" si="67"/>
        <v/>
      </c>
      <c r="AX96" s="254" t="str">
        <f t="shared" si="68"/>
        <v/>
      </c>
      <c r="AY96" s="57" t="str">
        <f>IF($U96="","",SUM($AX96:$AX$114))</f>
        <v/>
      </c>
      <c r="AZ96" s="53" t="str">
        <f>IF($U96="","",INDEX(#REF!,$U96+1))</f>
        <v/>
      </c>
      <c r="BA96" s="254">
        <f t="shared" si="69"/>
        <v>0</v>
      </c>
      <c r="BB96" s="254" t="str">
        <f t="shared" si="70"/>
        <v/>
      </c>
      <c r="BC96" s="254" t="str">
        <f t="shared" si="71"/>
        <v/>
      </c>
      <c r="BD96" s="57" t="str">
        <f>IF($U96="","",SUM($BC96:$BC$114))</f>
        <v/>
      </c>
      <c r="BE96" s="53" t="str">
        <f>IF($U96="","",INDEX(#REF!,$U96+1))</f>
        <v/>
      </c>
      <c r="BF96" s="254">
        <f t="shared" si="72"/>
        <v>0</v>
      </c>
      <c r="BG96" s="254" t="str">
        <f t="shared" si="73"/>
        <v/>
      </c>
      <c r="BH96" s="254" t="str">
        <f t="shared" si="74"/>
        <v/>
      </c>
      <c r="BI96" s="57" t="str">
        <f>IF($U96="","",SUM($BH96:$BH$114))</f>
        <v/>
      </c>
      <c r="BJ96" s="53" t="str">
        <f>IF($U96="","",INDEX(#REF!,$U96+1))</f>
        <v/>
      </c>
      <c r="BK96" s="254">
        <f t="shared" si="75"/>
        <v>0</v>
      </c>
      <c r="BL96" s="254" t="str">
        <f t="shared" si="76"/>
        <v/>
      </c>
      <c r="BM96" s="254" t="str">
        <f t="shared" si="77"/>
        <v/>
      </c>
      <c r="BN96" s="57" t="str">
        <f>IF($U96="","",SUM($BM96:$BM$114))</f>
        <v/>
      </c>
      <c r="BO96" s="53">
        <f t="shared" si="78"/>
        <v>0</v>
      </c>
      <c r="BP96" s="254" t="str">
        <f t="shared" si="79"/>
        <v/>
      </c>
      <c r="BQ96" s="254" t="str">
        <f t="shared" si="80"/>
        <v/>
      </c>
      <c r="BR96" s="254"/>
      <c r="BS96" s="254" t="str">
        <f t="shared" si="92"/>
        <v/>
      </c>
      <c r="BT96" s="254" t="str">
        <f t="shared" si="81"/>
        <v/>
      </c>
      <c r="BU96" s="254" t="str">
        <f t="shared" si="82"/>
        <v/>
      </c>
      <c r="BV96" s="254"/>
      <c r="BW96" s="254" t="str">
        <f t="shared" si="93"/>
        <v/>
      </c>
      <c r="BX96" s="254" t="str">
        <f>IF($U96="","",SUM(BS96:BS$114)+SUM(BW96:BW$114))</f>
        <v/>
      </c>
      <c r="BY96" s="55"/>
      <c r="BZ96" s="55"/>
      <c r="CA96" s="55"/>
      <c r="CB96" s="55"/>
      <c r="CC96" s="390" t="str">
        <f t="shared" si="55"/>
        <v/>
      </c>
      <c r="CD96" s="254" t="str">
        <f t="shared" si="94"/>
        <v/>
      </c>
      <c r="CE96" s="254" t="str">
        <f t="shared" si="83"/>
        <v/>
      </c>
      <c r="CF96" s="254" t="str">
        <f t="shared" si="84"/>
        <v/>
      </c>
      <c r="CG96" s="254" t="str">
        <f t="shared" si="95"/>
        <v/>
      </c>
      <c r="CH96" s="254" t="str">
        <f t="shared" si="85"/>
        <v/>
      </c>
      <c r="CI96" s="58" t="str">
        <f t="shared" si="96"/>
        <v/>
      </c>
      <c r="CJ96" s="59" t="str">
        <f t="shared" si="86"/>
        <v/>
      </c>
      <c r="CK96" s="236"/>
      <c r="CL96" s="52" t="str">
        <f t="shared" si="87"/>
        <v/>
      </c>
      <c r="CM96" s="59" t="str">
        <f t="shared" si="102"/>
        <v/>
      </c>
      <c r="CN96" s="59" t="str">
        <f t="shared" si="97"/>
        <v/>
      </c>
      <c r="CO96" s="59" t="str">
        <f t="shared" si="88"/>
        <v/>
      </c>
      <c r="CP96" s="59" t="str">
        <f t="shared" si="98"/>
        <v/>
      </c>
      <c r="CQ96" s="236"/>
      <c r="CR96" s="236"/>
      <c r="CS96" s="236"/>
      <c r="CT96" s="236"/>
      <c r="CU96" s="236"/>
      <c r="CV96" s="236"/>
      <c r="CW96" s="478"/>
      <c r="CX96" s="478"/>
      <c r="CY96" s="478"/>
      <c r="CZ96" s="478"/>
      <c r="DA96" s="478"/>
      <c r="DB96" s="478"/>
      <c r="DC96" s="478"/>
      <c r="DD96" s="478"/>
      <c r="DE96" s="478"/>
      <c r="DF96" s="478"/>
      <c r="DG96" s="478"/>
      <c r="DH96" s="478"/>
      <c r="DI96" s="478"/>
      <c r="DJ96" s="478"/>
      <c r="DK96" s="478"/>
      <c r="DL96" s="478"/>
      <c r="DM96" s="478"/>
      <c r="DN96" s="478"/>
      <c r="DO96" s="478"/>
      <c r="DP96" s="478"/>
      <c r="DQ96" s="478"/>
      <c r="DR96" s="478"/>
      <c r="DS96" s="478"/>
      <c r="DT96" s="478"/>
      <c r="DU96" s="478"/>
      <c r="DV96" s="478"/>
      <c r="DW96" s="478"/>
      <c r="DX96" s="478"/>
      <c r="DY96" s="478"/>
      <c r="DZ96" s="478"/>
      <c r="EA96" s="478"/>
      <c r="EB96" s="478"/>
      <c r="EC96" s="478"/>
      <c r="ED96" s="478"/>
    </row>
    <row r="97" spans="1:134">
      <c r="A97" s="305"/>
      <c r="B97" s="373"/>
      <c r="D97" s="469"/>
      <c r="E97" s="469"/>
      <c r="F97" s="459">
        <f>+Main_무해지!F97</f>
        <v>0</v>
      </c>
      <c r="G97" s="470"/>
      <c r="H97" s="460"/>
      <c r="I97" s="158"/>
      <c r="J97" s="376"/>
      <c r="K97" s="376"/>
      <c r="L97" s="376"/>
      <c r="M97" s="158"/>
      <c r="N97" s="278" t="str">
        <f t="shared" si="106"/>
        <v/>
      </c>
      <c r="O97" s="279" t="str">
        <f t="shared" si="107"/>
        <v/>
      </c>
      <c r="P97" s="271" t="str">
        <f t="shared" si="103"/>
        <v/>
      </c>
      <c r="Q97" s="271" t="str">
        <f t="shared" si="104"/>
        <v/>
      </c>
      <c r="R97" s="271" t="str">
        <f t="shared" si="105"/>
        <v/>
      </c>
      <c r="S97" s="400" t="str">
        <f t="shared" si="108"/>
        <v/>
      </c>
      <c r="T97" s="231"/>
      <c r="U97" s="52" t="str">
        <f t="shared" si="99"/>
        <v/>
      </c>
      <c r="V97" s="53" t="str">
        <f>Main_무해지!AC97</f>
        <v/>
      </c>
      <c r="W97" s="56">
        <f>+Main_무해지!AD97</f>
        <v>0</v>
      </c>
      <c r="X97" s="56">
        <v>0</v>
      </c>
      <c r="Y97" s="254" t="str">
        <f t="shared" si="100"/>
        <v/>
      </c>
      <c r="Z97" s="254" t="str">
        <f t="shared" si="56"/>
        <v/>
      </c>
      <c r="AA97" s="54" t="str">
        <f>IF($U97="","",SUM(Z97:Z$114))</f>
        <v/>
      </c>
      <c r="AB97" s="254" t="str">
        <f t="shared" si="89"/>
        <v/>
      </c>
      <c r="AC97" s="254">
        <f t="shared" si="90"/>
        <v>0</v>
      </c>
      <c r="AD97" s="254" t="str">
        <f>Main_무해지!AJ97</f>
        <v/>
      </c>
      <c r="AE97" s="254">
        <f t="shared" si="57"/>
        <v>0</v>
      </c>
      <c r="AF97" s="254" t="str">
        <f t="shared" si="101"/>
        <v/>
      </c>
      <c r="AG97" s="254" t="str">
        <f t="shared" si="58"/>
        <v/>
      </c>
      <c r="AH97" s="54" t="str">
        <f>IF($U97="","",SUM(AG97:AG$114))</f>
        <v/>
      </c>
      <c r="AI97" s="254" t="str">
        <f>Main_무해지!AP97</f>
        <v/>
      </c>
      <c r="AJ97" s="254">
        <f t="shared" si="59"/>
        <v>0</v>
      </c>
      <c r="AK97" s="254" t="str">
        <f t="shared" si="60"/>
        <v/>
      </c>
      <c r="AL97" s="254" t="str">
        <f t="shared" si="61"/>
        <v/>
      </c>
      <c r="AM97" s="57" t="str">
        <f>IF($U97="","",SUM($AN97:$AN$114))</f>
        <v/>
      </c>
      <c r="AN97" s="254" t="str">
        <f t="shared" si="91"/>
        <v/>
      </c>
      <c r="AO97" s="57" t="str">
        <f t="shared" si="62"/>
        <v/>
      </c>
      <c r="AP97" s="53" t="str">
        <f>IF($U97="","",INDEX(#REF!,$U97+1))</f>
        <v/>
      </c>
      <c r="AQ97" s="254">
        <f t="shared" si="63"/>
        <v>0</v>
      </c>
      <c r="AR97" s="254" t="str">
        <f t="shared" si="64"/>
        <v/>
      </c>
      <c r="AS97" s="254" t="str">
        <f t="shared" si="65"/>
        <v/>
      </c>
      <c r="AT97" s="57" t="str">
        <f>IF($U97="","",SUM($AS97:$AS$114))</f>
        <v/>
      </c>
      <c r="AU97" s="53" t="str">
        <f>IF($U97="","",INDEX(#REF!,$U97+1))</f>
        <v/>
      </c>
      <c r="AV97" s="254">
        <f t="shared" si="66"/>
        <v>0</v>
      </c>
      <c r="AW97" s="254" t="str">
        <f t="shared" si="67"/>
        <v/>
      </c>
      <c r="AX97" s="254" t="str">
        <f t="shared" si="68"/>
        <v/>
      </c>
      <c r="AY97" s="57" t="str">
        <f>IF($U97="","",SUM($AX97:$AX$114))</f>
        <v/>
      </c>
      <c r="AZ97" s="53" t="str">
        <f>IF($U97="","",INDEX(#REF!,$U97+1))</f>
        <v/>
      </c>
      <c r="BA97" s="254">
        <f t="shared" si="69"/>
        <v>0</v>
      </c>
      <c r="BB97" s="254" t="str">
        <f t="shared" si="70"/>
        <v/>
      </c>
      <c r="BC97" s="254" t="str">
        <f t="shared" si="71"/>
        <v/>
      </c>
      <c r="BD97" s="57" t="str">
        <f>IF($U97="","",SUM($BC97:$BC$114))</f>
        <v/>
      </c>
      <c r="BE97" s="53" t="str">
        <f>IF($U97="","",INDEX(#REF!,$U97+1))</f>
        <v/>
      </c>
      <c r="BF97" s="254">
        <f t="shared" si="72"/>
        <v>0</v>
      </c>
      <c r="BG97" s="254" t="str">
        <f t="shared" si="73"/>
        <v/>
      </c>
      <c r="BH97" s="254" t="str">
        <f t="shared" si="74"/>
        <v/>
      </c>
      <c r="BI97" s="57" t="str">
        <f>IF($U97="","",SUM($BH97:$BH$114))</f>
        <v/>
      </c>
      <c r="BJ97" s="53" t="str">
        <f>IF($U97="","",INDEX(#REF!,$U97+1))</f>
        <v/>
      </c>
      <c r="BK97" s="254">
        <f t="shared" si="75"/>
        <v>0</v>
      </c>
      <c r="BL97" s="254" t="str">
        <f t="shared" si="76"/>
        <v/>
      </c>
      <c r="BM97" s="254" t="str">
        <f t="shared" si="77"/>
        <v/>
      </c>
      <c r="BN97" s="57" t="str">
        <f>IF($U97="","",SUM($BM97:$BM$114))</f>
        <v/>
      </c>
      <c r="BO97" s="53">
        <f t="shared" si="78"/>
        <v>0</v>
      </c>
      <c r="BP97" s="254" t="str">
        <f t="shared" si="79"/>
        <v/>
      </c>
      <c r="BQ97" s="254" t="str">
        <f t="shared" si="80"/>
        <v/>
      </c>
      <c r="BR97" s="254"/>
      <c r="BS97" s="254" t="str">
        <f t="shared" si="92"/>
        <v/>
      </c>
      <c r="BT97" s="254" t="str">
        <f t="shared" si="81"/>
        <v/>
      </c>
      <c r="BU97" s="254" t="str">
        <f t="shared" si="82"/>
        <v/>
      </c>
      <c r="BV97" s="254"/>
      <c r="BW97" s="254" t="str">
        <f t="shared" si="93"/>
        <v/>
      </c>
      <c r="BX97" s="254" t="str">
        <f>IF($U97="","",SUM(BS97:BS$114)+SUM(BW97:BW$114))</f>
        <v/>
      </c>
      <c r="BY97" s="55"/>
      <c r="BZ97" s="55"/>
      <c r="CA97" s="55"/>
      <c r="CB97" s="55"/>
      <c r="CC97" s="390" t="str">
        <f t="shared" si="55"/>
        <v/>
      </c>
      <c r="CD97" s="254" t="str">
        <f t="shared" si="94"/>
        <v/>
      </c>
      <c r="CE97" s="254" t="str">
        <f t="shared" si="83"/>
        <v/>
      </c>
      <c r="CF97" s="254" t="str">
        <f t="shared" si="84"/>
        <v/>
      </c>
      <c r="CG97" s="254" t="str">
        <f t="shared" si="95"/>
        <v/>
      </c>
      <c r="CH97" s="254" t="str">
        <f t="shared" si="85"/>
        <v/>
      </c>
      <c r="CI97" s="58" t="str">
        <f t="shared" si="96"/>
        <v/>
      </c>
      <c r="CJ97" s="59" t="str">
        <f t="shared" si="86"/>
        <v/>
      </c>
      <c r="CK97" s="236"/>
      <c r="CL97" s="52" t="str">
        <f t="shared" si="87"/>
        <v/>
      </c>
      <c r="CM97" s="59" t="str">
        <f t="shared" si="102"/>
        <v/>
      </c>
      <c r="CN97" s="59" t="str">
        <f t="shared" si="97"/>
        <v/>
      </c>
      <c r="CO97" s="59" t="str">
        <f t="shared" si="88"/>
        <v/>
      </c>
      <c r="CP97" s="59" t="str">
        <f t="shared" si="98"/>
        <v/>
      </c>
      <c r="CQ97" s="236"/>
      <c r="CR97" s="236"/>
      <c r="CS97" s="236"/>
      <c r="CT97" s="236"/>
      <c r="CU97" s="236"/>
      <c r="CV97" s="236"/>
      <c r="CW97" s="478"/>
      <c r="CX97" s="478"/>
      <c r="CY97" s="478"/>
      <c r="CZ97" s="478"/>
      <c r="DA97" s="478"/>
      <c r="DB97" s="478"/>
      <c r="DC97" s="478"/>
      <c r="DD97" s="478"/>
      <c r="DE97" s="478"/>
      <c r="DF97" s="478"/>
      <c r="DG97" s="478"/>
      <c r="DH97" s="478"/>
      <c r="DI97" s="478"/>
      <c r="DJ97" s="478"/>
      <c r="DK97" s="478"/>
      <c r="DL97" s="478"/>
      <c r="DM97" s="478"/>
      <c r="DN97" s="478"/>
      <c r="DO97" s="478"/>
      <c r="DP97" s="478"/>
      <c r="DQ97" s="478"/>
      <c r="DR97" s="478"/>
      <c r="DS97" s="478"/>
      <c r="DT97" s="478"/>
      <c r="DU97" s="478"/>
      <c r="DV97" s="478"/>
      <c r="DW97" s="478"/>
      <c r="DX97" s="478"/>
      <c r="DY97" s="478"/>
      <c r="DZ97" s="478"/>
      <c r="EA97" s="478"/>
      <c r="EB97" s="478"/>
      <c r="EC97" s="478"/>
      <c r="ED97" s="478"/>
    </row>
    <row r="98" spans="1:134">
      <c r="A98" s="305"/>
      <c r="B98" s="373"/>
      <c r="C98" s="373"/>
      <c r="D98" s="469"/>
      <c r="E98" s="469"/>
      <c r="F98" s="459">
        <f>+Main_무해지!F98</f>
        <v>0</v>
      </c>
      <c r="G98" s="470"/>
      <c r="H98" s="460"/>
      <c r="I98" s="158"/>
      <c r="J98" s="376"/>
      <c r="K98" s="376"/>
      <c r="L98" s="376"/>
      <c r="M98" s="158"/>
      <c r="N98" s="278" t="str">
        <f t="shared" si="106"/>
        <v/>
      </c>
      <c r="O98" s="279" t="str">
        <f t="shared" si="107"/>
        <v/>
      </c>
      <c r="P98" s="271" t="str">
        <f t="shared" si="103"/>
        <v/>
      </c>
      <c r="Q98" s="271" t="str">
        <f t="shared" si="104"/>
        <v/>
      </c>
      <c r="R98" s="271" t="str">
        <f t="shared" si="105"/>
        <v/>
      </c>
      <c r="S98" s="400" t="str">
        <f t="shared" si="108"/>
        <v/>
      </c>
      <c r="T98" s="231"/>
      <c r="U98" s="52" t="str">
        <f t="shared" si="99"/>
        <v/>
      </c>
      <c r="V98" s="53" t="str">
        <f>Main_무해지!AC98</f>
        <v/>
      </c>
      <c r="W98" s="56">
        <f>+Main_무해지!AD98</f>
        <v>0</v>
      </c>
      <c r="X98" s="56">
        <v>0</v>
      </c>
      <c r="Y98" s="254" t="str">
        <f t="shared" si="100"/>
        <v/>
      </c>
      <c r="Z98" s="254" t="str">
        <f t="shared" si="56"/>
        <v/>
      </c>
      <c r="AA98" s="54" t="str">
        <f>IF($U98="","",SUM(Z98:Z$114))</f>
        <v/>
      </c>
      <c r="AB98" s="254" t="str">
        <f t="shared" si="89"/>
        <v/>
      </c>
      <c r="AC98" s="254">
        <f t="shared" si="90"/>
        <v>0</v>
      </c>
      <c r="AD98" s="254" t="str">
        <f>Main_무해지!AJ98</f>
        <v/>
      </c>
      <c r="AE98" s="254">
        <f t="shared" si="57"/>
        <v>0</v>
      </c>
      <c r="AF98" s="254" t="str">
        <f t="shared" si="101"/>
        <v/>
      </c>
      <c r="AG98" s="254" t="str">
        <f t="shared" si="58"/>
        <v/>
      </c>
      <c r="AH98" s="54" t="str">
        <f>IF($U98="","",SUM(AG98:AG$114))</f>
        <v/>
      </c>
      <c r="AI98" s="254" t="str">
        <f>Main_무해지!AP98</f>
        <v/>
      </c>
      <c r="AJ98" s="254">
        <f t="shared" si="59"/>
        <v>0</v>
      </c>
      <c r="AK98" s="254" t="str">
        <f t="shared" si="60"/>
        <v/>
      </c>
      <c r="AL98" s="254" t="str">
        <f t="shared" si="61"/>
        <v/>
      </c>
      <c r="AM98" s="57" t="str">
        <f>IF($U98="","",SUM($AN98:$AN$114))</f>
        <v/>
      </c>
      <c r="AN98" s="254" t="str">
        <f t="shared" si="91"/>
        <v/>
      </c>
      <c r="AO98" s="57" t="str">
        <f t="shared" si="62"/>
        <v/>
      </c>
      <c r="AP98" s="53" t="str">
        <f>IF($U98="","",INDEX(#REF!,$U98+1))</f>
        <v/>
      </c>
      <c r="AQ98" s="254">
        <f t="shared" si="63"/>
        <v>0</v>
      </c>
      <c r="AR98" s="254" t="str">
        <f t="shared" si="64"/>
        <v/>
      </c>
      <c r="AS98" s="254" t="str">
        <f t="shared" si="65"/>
        <v/>
      </c>
      <c r="AT98" s="57" t="str">
        <f>IF($U98="","",SUM($AS98:$AS$114))</f>
        <v/>
      </c>
      <c r="AU98" s="53" t="str">
        <f>IF($U98="","",INDEX(#REF!,$U98+1))</f>
        <v/>
      </c>
      <c r="AV98" s="254">
        <f t="shared" si="66"/>
        <v>0</v>
      </c>
      <c r="AW98" s="254" t="str">
        <f t="shared" si="67"/>
        <v/>
      </c>
      <c r="AX98" s="254" t="str">
        <f t="shared" si="68"/>
        <v/>
      </c>
      <c r="AY98" s="57" t="str">
        <f>IF($U98="","",SUM($AX98:$AX$114))</f>
        <v/>
      </c>
      <c r="AZ98" s="53" t="str">
        <f>IF($U98="","",INDEX(#REF!,$U98+1))</f>
        <v/>
      </c>
      <c r="BA98" s="254">
        <f t="shared" si="69"/>
        <v>0</v>
      </c>
      <c r="BB98" s="254" t="str">
        <f t="shared" si="70"/>
        <v/>
      </c>
      <c r="BC98" s="254" t="str">
        <f t="shared" si="71"/>
        <v/>
      </c>
      <c r="BD98" s="57" t="str">
        <f>IF($U98="","",SUM($BC98:$BC$114))</f>
        <v/>
      </c>
      <c r="BE98" s="53" t="str">
        <f>IF($U98="","",INDEX(#REF!,$U98+1))</f>
        <v/>
      </c>
      <c r="BF98" s="254">
        <f t="shared" si="72"/>
        <v>0</v>
      </c>
      <c r="BG98" s="254" t="str">
        <f t="shared" si="73"/>
        <v/>
      </c>
      <c r="BH98" s="254" t="str">
        <f t="shared" si="74"/>
        <v/>
      </c>
      <c r="BI98" s="57" t="str">
        <f>IF($U98="","",SUM($BH98:$BH$114))</f>
        <v/>
      </c>
      <c r="BJ98" s="53" t="str">
        <f>IF($U98="","",INDEX(#REF!,$U98+1))</f>
        <v/>
      </c>
      <c r="BK98" s="254">
        <f t="shared" si="75"/>
        <v>0</v>
      </c>
      <c r="BL98" s="254" t="str">
        <f t="shared" si="76"/>
        <v/>
      </c>
      <c r="BM98" s="254" t="str">
        <f t="shared" si="77"/>
        <v/>
      </c>
      <c r="BN98" s="57" t="str">
        <f>IF($U98="","",SUM($BM98:$BM$114))</f>
        <v/>
      </c>
      <c r="BO98" s="53">
        <f t="shared" si="78"/>
        <v>0</v>
      </c>
      <c r="BP98" s="254" t="str">
        <f t="shared" si="79"/>
        <v/>
      </c>
      <c r="BQ98" s="254" t="str">
        <f t="shared" si="80"/>
        <v/>
      </c>
      <c r="BR98" s="254"/>
      <c r="BS98" s="254" t="str">
        <f t="shared" si="92"/>
        <v/>
      </c>
      <c r="BT98" s="254" t="str">
        <f t="shared" si="81"/>
        <v/>
      </c>
      <c r="BU98" s="254" t="str">
        <f t="shared" si="82"/>
        <v/>
      </c>
      <c r="BV98" s="254"/>
      <c r="BW98" s="254" t="str">
        <f t="shared" si="93"/>
        <v/>
      </c>
      <c r="BX98" s="254" t="str">
        <f>IF($U98="","",SUM(BS98:BS$114)+SUM(BW98:BW$114))</f>
        <v/>
      </c>
      <c r="BY98" s="55"/>
      <c r="BZ98" s="55"/>
      <c r="CA98" s="55"/>
      <c r="CB98" s="55"/>
      <c r="CC98" s="390" t="str">
        <f t="shared" si="55"/>
        <v/>
      </c>
      <c r="CD98" s="254" t="str">
        <f t="shared" si="94"/>
        <v/>
      </c>
      <c r="CE98" s="254" t="str">
        <f t="shared" si="83"/>
        <v/>
      </c>
      <c r="CF98" s="254" t="str">
        <f t="shared" si="84"/>
        <v/>
      </c>
      <c r="CG98" s="254" t="str">
        <f t="shared" si="95"/>
        <v/>
      </c>
      <c r="CH98" s="254" t="str">
        <f t="shared" si="85"/>
        <v/>
      </c>
      <c r="CI98" s="58" t="str">
        <f t="shared" si="96"/>
        <v/>
      </c>
      <c r="CJ98" s="59" t="str">
        <f t="shared" si="86"/>
        <v/>
      </c>
      <c r="CK98" s="236"/>
      <c r="CL98" s="52" t="str">
        <f t="shared" si="87"/>
        <v/>
      </c>
      <c r="CM98" s="59" t="str">
        <f t="shared" si="102"/>
        <v/>
      </c>
      <c r="CN98" s="59" t="str">
        <f t="shared" si="97"/>
        <v/>
      </c>
      <c r="CO98" s="59" t="str">
        <f t="shared" si="88"/>
        <v/>
      </c>
      <c r="CP98" s="59" t="str">
        <f t="shared" si="98"/>
        <v/>
      </c>
      <c r="CQ98" s="236"/>
      <c r="CR98" s="236"/>
      <c r="CS98" s="236"/>
      <c r="CT98" s="236"/>
      <c r="CU98" s="236"/>
      <c r="CV98" s="236"/>
      <c r="CW98" s="478"/>
      <c r="CX98" s="478"/>
      <c r="CY98" s="478"/>
      <c r="CZ98" s="478"/>
      <c r="DA98" s="478"/>
      <c r="DB98" s="478"/>
      <c r="DC98" s="478"/>
      <c r="DD98" s="478"/>
      <c r="DE98" s="478"/>
      <c r="DF98" s="478"/>
      <c r="DG98" s="478"/>
      <c r="DH98" s="478"/>
      <c r="DI98" s="478"/>
      <c r="DJ98" s="478"/>
      <c r="DK98" s="478"/>
      <c r="DL98" s="478"/>
      <c r="DM98" s="478"/>
      <c r="DN98" s="478"/>
      <c r="DO98" s="478"/>
      <c r="DP98" s="478"/>
      <c r="DQ98" s="478"/>
      <c r="DR98" s="478"/>
      <c r="DS98" s="478"/>
      <c r="DT98" s="478"/>
      <c r="DU98" s="478"/>
      <c r="DV98" s="478"/>
      <c r="DW98" s="478"/>
      <c r="DX98" s="478"/>
      <c r="DY98" s="478"/>
      <c r="DZ98" s="478"/>
      <c r="EA98" s="478"/>
      <c r="EB98" s="478"/>
      <c r="EC98" s="478"/>
      <c r="ED98" s="478"/>
    </row>
    <row r="99" spans="1:134">
      <c r="A99" s="305"/>
      <c r="B99" s="373"/>
      <c r="C99" s="373"/>
      <c r="D99" s="469"/>
      <c r="E99" s="469"/>
      <c r="F99" s="459">
        <f>+Main_무해지!F99</f>
        <v>0</v>
      </c>
      <c r="G99" s="470"/>
      <c r="H99" s="460"/>
      <c r="I99" s="158"/>
      <c r="J99" s="376"/>
      <c r="K99" s="376"/>
      <c r="L99" s="376"/>
      <c r="M99" s="158"/>
      <c r="N99" s="278" t="str">
        <f t="shared" si="106"/>
        <v/>
      </c>
      <c r="O99" s="279" t="str">
        <f t="shared" si="107"/>
        <v/>
      </c>
      <c r="P99" s="271" t="str">
        <f t="shared" si="103"/>
        <v/>
      </c>
      <c r="Q99" s="271" t="str">
        <f t="shared" si="104"/>
        <v/>
      </c>
      <c r="R99" s="271" t="str">
        <f t="shared" si="105"/>
        <v/>
      </c>
      <c r="S99" s="400" t="str">
        <f t="shared" si="108"/>
        <v/>
      </c>
      <c r="T99" s="231"/>
      <c r="U99" s="60" t="str">
        <f t="shared" si="99"/>
        <v/>
      </c>
      <c r="V99" s="61" t="str">
        <f>Main_무해지!AC99</f>
        <v/>
      </c>
      <c r="W99" s="64">
        <f>+Main_무해지!AD99</f>
        <v>0</v>
      </c>
      <c r="X99" s="64">
        <v>0</v>
      </c>
      <c r="Y99" s="255" t="str">
        <f t="shared" si="100"/>
        <v/>
      </c>
      <c r="Z99" s="255" t="str">
        <f t="shared" si="56"/>
        <v/>
      </c>
      <c r="AA99" s="62" t="str">
        <f>IF($U99="","",SUM(Z99:Z$114))</f>
        <v/>
      </c>
      <c r="AB99" s="255" t="str">
        <f t="shared" si="89"/>
        <v/>
      </c>
      <c r="AC99" s="254">
        <f t="shared" si="90"/>
        <v>0</v>
      </c>
      <c r="AD99" s="254" t="str">
        <f>Main_무해지!AJ99</f>
        <v/>
      </c>
      <c r="AE99" s="255">
        <f t="shared" si="57"/>
        <v>0</v>
      </c>
      <c r="AF99" s="255" t="str">
        <f t="shared" si="101"/>
        <v/>
      </c>
      <c r="AG99" s="255" t="str">
        <f t="shared" si="58"/>
        <v/>
      </c>
      <c r="AH99" s="62" t="str">
        <f>IF($U99="","",SUM(AG99:AG$114))</f>
        <v/>
      </c>
      <c r="AI99" s="255" t="str">
        <f>Main_무해지!AP99</f>
        <v/>
      </c>
      <c r="AJ99" s="255">
        <f t="shared" si="59"/>
        <v>0</v>
      </c>
      <c r="AK99" s="255" t="str">
        <f t="shared" si="60"/>
        <v/>
      </c>
      <c r="AL99" s="255" t="str">
        <f t="shared" si="61"/>
        <v/>
      </c>
      <c r="AM99" s="65" t="str">
        <f>IF($U99="","",SUM($AN99:$AN$114))</f>
        <v/>
      </c>
      <c r="AN99" s="255" t="str">
        <f t="shared" si="91"/>
        <v/>
      </c>
      <c r="AO99" s="65" t="str">
        <f t="shared" si="62"/>
        <v/>
      </c>
      <c r="AP99" s="61" t="str">
        <f>IF($U99="","",INDEX(#REF!,$U99+1))</f>
        <v/>
      </c>
      <c r="AQ99" s="255">
        <f t="shared" si="63"/>
        <v>0</v>
      </c>
      <c r="AR99" s="255" t="str">
        <f t="shared" si="64"/>
        <v/>
      </c>
      <c r="AS99" s="255" t="str">
        <f t="shared" si="65"/>
        <v/>
      </c>
      <c r="AT99" s="65" t="str">
        <f>IF($U99="","",SUM($AS99:$AS$114))</f>
        <v/>
      </c>
      <c r="AU99" s="61" t="str">
        <f>IF($U99="","",INDEX(#REF!,$U99+1))</f>
        <v/>
      </c>
      <c r="AV99" s="255">
        <f t="shared" si="66"/>
        <v>0</v>
      </c>
      <c r="AW99" s="255" t="str">
        <f t="shared" si="67"/>
        <v/>
      </c>
      <c r="AX99" s="255" t="str">
        <f t="shared" si="68"/>
        <v/>
      </c>
      <c r="AY99" s="65" t="str">
        <f>IF($U99="","",SUM($AX99:$AX$114))</f>
        <v/>
      </c>
      <c r="AZ99" s="61" t="str">
        <f>IF($U99="","",INDEX(#REF!,$U99+1))</f>
        <v/>
      </c>
      <c r="BA99" s="255">
        <f t="shared" si="69"/>
        <v>0</v>
      </c>
      <c r="BB99" s="255" t="str">
        <f t="shared" si="70"/>
        <v/>
      </c>
      <c r="BC99" s="255" t="str">
        <f t="shared" si="71"/>
        <v/>
      </c>
      <c r="BD99" s="65" t="str">
        <f>IF($U99="","",SUM($BC99:$BC$114))</f>
        <v/>
      </c>
      <c r="BE99" s="61" t="str">
        <f>IF($U99="","",INDEX(#REF!,$U99+1))</f>
        <v/>
      </c>
      <c r="BF99" s="255">
        <f t="shared" si="72"/>
        <v>0</v>
      </c>
      <c r="BG99" s="255" t="str">
        <f t="shared" si="73"/>
        <v/>
      </c>
      <c r="BH99" s="255" t="str">
        <f t="shared" si="74"/>
        <v/>
      </c>
      <c r="BI99" s="65" t="str">
        <f>IF($U99="","",SUM($BH99:$BH$114))</f>
        <v/>
      </c>
      <c r="BJ99" s="61" t="str">
        <f>IF($U99="","",INDEX(#REF!,$U99+1))</f>
        <v/>
      </c>
      <c r="BK99" s="255">
        <f t="shared" si="75"/>
        <v>0</v>
      </c>
      <c r="BL99" s="255" t="str">
        <f t="shared" si="76"/>
        <v/>
      </c>
      <c r="BM99" s="255" t="str">
        <f t="shared" si="77"/>
        <v/>
      </c>
      <c r="BN99" s="65" t="str">
        <f>IF($U99="","",SUM($BM99:$BM$114))</f>
        <v/>
      </c>
      <c r="BO99" s="61">
        <f t="shared" si="78"/>
        <v>0</v>
      </c>
      <c r="BP99" s="255" t="str">
        <f t="shared" si="79"/>
        <v/>
      </c>
      <c r="BQ99" s="255" t="str">
        <f t="shared" si="80"/>
        <v/>
      </c>
      <c r="BR99" s="255"/>
      <c r="BS99" s="255" t="str">
        <f t="shared" si="92"/>
        <v/>
      </c>
      <c r="BT99" s="255" t="str">
        <f t="shared" si="81"/>
        <v/>
      </c>
      <c r="BU99" s="255" t="str">
        <f t="shared" si="82"/>
        <v/>
      </c>
      <c r="BV99" s="255"/>
      <c r="BW99" s="255" t="str">
        <f t="shared" si="93"/>
        <v/>
      </c>
      <c r="BX99" s="255" t="str">
        <f>IF($U99="","",SUM(BS99:BS$114)+SUM(BW99:BW$114))</f>
        <v/>
      </c>
      <c r="BY99" s="63"/>
      <c r="BZ99" s="63"/>
      <c r="CA99" s="63"/>
      <c r="CB99" s="63"/>
      <c r="CC99" s="391" t="str">
        <f t="shared" si="55"/>
        <v/>
      </c>
      <c r="CD99" s="255" t="str">
        <f t="shared" si="94"/>
        <v/>
      </c>
      <c r="CE99" s="255" t="str">
        <f t="shared" si="83"/>
        <v/>
      </c>
      <c r="CF99" s="255" t="str">
        <f t="shared" si="84"/>
        <v/>
      </c>
      <c r="CG99" s="255" t="str">
        <f t="shared" si="95"/>
        <v/>
      </c>
      <c r="CH99" s="255" t="str">
        <f t="shared" si="85"/>
        <v/>
      </c>
      <c r="CI99" s="66" t="str">
        <f t="shared" si="96"/>
        <v/>
      </c>
      <c r="CJ99" s="67" t="str">
        <f t="shared" si="86"/>
        <v/>
      </c>
      <c r="CK99" s="237"/>
      <c r="CL99" s="60" t="str">
        <f t="shared" si="87"/>
        <v/>
      </c>
      <c r="CM99" s="67" t="str">
        <f t="shared" si="102"/>
        <v/>
      </c>
      <c r="CN99" s="67" t="str">
        <f t="shared" si="97"/>
        <v/>
      </c>
      <c r="CO99" s="67" t="str">
        <f t="shared" si="88"/>
        <v/>
      </c>
      <c r="CP99" s="67" t="str">
        <f t="shared" si="98"/>
        <v/>
      </c>
      <c r="CQ99" s="237"/>
      <c r="CR99" s="237"/>
      <c r="CS99" s="237"/>
      <c r="CT99" s="237"/>
      <c r="CU99" s="237"/>
      <c r="CV99" s="237"/>
      <c r="CW99" s="478"/>
      <c r="CX99" s="478"/>
      <c r="CY99" s="478"/>
      <c r="CZ99" s="478"/>
      <c r="DA99" s="478"/>
      <c r="DB99" s="478"/>
      <c r="DC99" s="478"/>
      <c r="DD99" s="478"/>
      <c r="DE99" s="478"/>
      <c r="DF99" s="478"/>
      <c r="DG99" s="478"/>
      <c r="DH99" s="478"/>
      <c r="DI99" s="478"/>
      <c r="DJ99" s="478"/>
      <c r="DK99" s="478"/>
      <c r="DL99" s="478"/>
      <c r="DM99" s="478"/>
      <c r="DN99" s="478"/>
      <c r="DO99" s="478"/>
      <c r="DP99" s="478"/>
      <c r="DQ99" s="478"/>
      <c r="DR99" s="478"/>
      <c r="DS99" s="478"/>
      <c r="DT99" s="478"/>
      <c r="DU99" s="478"/>
      <c r="DV99" s="478"/>
      <c r="DW99" s="478"/>
      <c r="DX99" s="478"/>
      <c r="DY99" s="478"/>
      <c r="DZ99" s="478"/>
      <c r="EA99" s="478"/>
      <c r="EB99" s="478"/>
      <c r="EC99" s="478"/>
      <c r="ED99" s="478"/>
    </row>
    <row r="100" spans="1:134">
      <c r="A100" s="305"/>
      <c r="B100" s="373"/>
      <c r="C100" s="373"/>
      <c r="D100" s="469"/>
      <c r="E100" s="469"/>
      <c r="F100" s="459">
        <f>+Main_무해지!F100</f>
        <v>0</v>
      </c>
      <c r="G100" s="470"/>
      <c r="H100" s="460"/>
      <c r="I100" s="158"/>
      <c r="J100" s="376"/>
      <c r="K100" s="376"/>
      <c r="L100" s="376"/>
      <c r="M100" s="158"/>
      <c r="N100" s="278" t="str">
        <f t="shared" si="106"/>
        <v/>
      </c>
      <c r="O100" s="279" t="str">
        <f t="shared" si="107"/>
        <v/>
      </c>
      <c r="P100" s="271" t="str">
        <f t="shared" si="103"/>
        <v/>
      </c>
      <c r="Q100" s="271" t="str">
        <f t="shared" si="104"/>
        <v/>
      </c>
      <c r="R100" s="271" t="str">
        <f t="shared" si="105"/>
        <v/>
      </c>
      <c r="S100" s="400" t="str">
        <f t="shared" si="108"/>
        <v/>
      </c>
      <c r="T100" s="231"/>
      <c r="U100" s="759" t="str">
        <f t="shared" si="99"/>
        <v/>
      </c>
      <c r="V100" s="761" t="str">
        <f>Main_무해지!AC100</f>
        <v/>
      </c>
      <c r="W100" s="639">
        <f>+Main_무해지!AD100</f>
        <v>0</v>
      </c>
      <c r="X100" s="639">
        <v>0</v>
      </c>
      <c r="Y100" s="409" t="str">
        <f t="shared" si="100"/>
        <v/>
      </c>
      <c r="Z100" s="409" t="str">
        <f t="shared" si="56"/>
        <v/>
      </c>
      <c r="AA100" s="760" t="str">
        <f>IF($U100="","",SUM(Z100:Z$114))</f>
        <v/>
      </c>
      <c r="AB100" s="409" t="str">
        <f t="shared" si="89"/>
        <v/>
      </c>
      <c r="AC100" s="254">
        <f t="shared" si="90"/>
        <v>0</v>
      </c>
      <c r="AD100" s="254" t="str">
        <f>Main_무해지!AJ100</f>
        <v/>
      </c>
      <c r="AE100" s="409">
        <f t="shared" si="57"/>
        <v>0</v>
      </c>
      <c r="AF100" s="409" t="str">
        <f t="shared" si="101"/>
        <v/>
      </c>
      <c r="AG100" s="409" t="str">
        <f t="shared" si="58"/>
        <v/>
      </c>
      <c r="AH100" s="760" t="str">
        <f>IF($U100="","",SUM(AG100:AG$114))</f>
        <v/>
      </c>
      <c r="AI100" s="409" t="str">
        <f>Main_무해지!AP100</f>
        <v/>
      </c>
      <c r="AJ100" s="409">
        <f t="shared" si="59"/>
        <v>0</v>
      </c>
      <c r="AK100" s="409" t="str">
        <f t="shared" si="60"/>
        <v/>
      </c>
      <c r="AL100" s="409" t="str">
        <f t="shared" si="61"/>
        <v/>
      </c>
      <c r="AM100" s="762" t="str">
        <f>IF($U100="","",SUM($AN100:$AN$114))</f>
        <v/>
      </c>
      <c r="AN100" s="409" t="str">
        <f t="shared" si="91"/>
        <v/>
      </c>
      <c r="AO100" s="762" t="str">
        <f t="shared" si="62"/>
        <v/>
      </c>
      <c r="AP100" s="761" t="str">
        <f>IF($U100="","",INDEX(#REF!,$U100+1))</f>
        <v/>
      </c>
      <c r="AQ100" s="409">
        <f t="shared" si="63"/>
        <v>0</v>
      </c>
      <c r="AR100" s="409" t="str">
        <f t="shared" si="64"/>
        <v/>
      </c>
      <c r="AS100" s="409" t="str">
        <f t="shared" si="65"/>
        <v/>
      </c>
      <c r="AT100" s="762" t="str">
        <f>IF($U100="","",SUM($AS100:$AS$114))</f>
        <v/>
      </c>
      <c r="AU100" s="761" t="str">
        <f>IF($U100="","",INDEX(#REF!,$U100+1))</f>
        <v/>
      </c>
      <c r="AV100" s="409">
        <f t="shared" si="66"/>
        <v>0</v>
      </c>
      <c r="AW100" s="409" t="str">
        <f t="shared" si="67"/>
        <v/>
      </c>
      <c r="AX100" s="409" t="str">
        <f t="shared" si="68"/>
        <v/>
      </c>
      <c r="AY100" s="762" t="str">
        <f>IF($U100="","",SUM($AX100:$AX$114))</f>
        <v/>
      </c>
      <c r="AZ100" s="761" t="str">
        <f>IF($U100="","",INDEX(#REF!,$U100+1))</f>
        <v/>
      </c>
      <c r="BA100" s="409">
        <f t="shared" si="69"/>
        <v>0</v>
      </c>
      <c r="BB100" s="409" t="str">
        <f t="shared" si="70"/>
        <v/>
      </c>
      <c r="BC100" s="409" t="str">
        <f t="shared" si="71"/>
        <v/>
      </c>
      <c r="BD100" s="762" t="str">
        <f>IF($U100="","",SUM($BC100:$BC$114))</f>
        <v/>
      </c>
      <c r="BE100" s="761" t="str">
        <f>IF($U100="","",INDEX(#REF!,$U100+1))</f>
        <v/>
      </c>
      <c r="BF100" s="409">
        <f t="shared" si="72"/>
        <v>0</v>
      </c>
      <c r="BG100" s="409" t="str">
        <f t="shared" si="73"/>
        <v/>
      </c>
      <c r="BH100" s="409" t="str">
        <f t="shared" si="74"/>
        <v/>
      </c>
      <c r="BI100" s="762" t="str">
        <f>IF($U100="","",SUM($BH100:$BH$114))</f>
        <v/>
      </c>
      <c r="BJ100" s="761" t="str">
        <f>IF($U100="","",INDEX(#REF!,$U100+1))</f>
        <v/>
      </c>
      <c r="BK100" s="409">
        <f t="shared" si="75"/>
        <v>0</v>
      </c>
      <c r="BL100" s="409" t="str">
        <f t="shared" si="76"/>
        <v/>
      </c>
      <c r="BM100" s="409" t="str">
        <f t="shared" si="77"/>
        <v/>
      </c>
      <c r="BN100" s="762" t="str">
        <f>IF($U100="","",SUM($BM100:$BM$114))</f>
        <v/>
      </c>
      <c r="BO100" s="761">
        <f t="shared" si="78"/>
        <v>0</v>
      </c>
      <c r="BP100" s="409" t="str">
        <f t="shared" si="79"/>
        <v/>
      </c>
      <c r="BQ100" s="409" t="str">
        <f t="shared" si="80"/>
        <v/>
      </c>
      <c r="BR100" s="409"/>
      <c r="BS100" s="409" t="str">
        <f t="shared" si="92"/>
        <v/>
      </c>
      <c r="BT100" s="409" t="str">
        <f t="shared" si="81"/>
        <v/>
      </c>
      <c r="BU100" s="409" t="str">
        <f t="shared" si="82"/>
        <v/>
      </c>
      <c r="BV100" s="409"/>
      <c r="BW100" s="409" t="str">
        <f t="shared" si="93"/>
        <v/>
      </c>
      <c r="BX100" s="409" t="str">
        <f>IF($U100="","",SUM(BS100:BS$114)+SUM(BW100:BW$114))</f>
        <v/>
      </c>
      <c r="BY100" s="763"/>
      <c r="BZ100" s="763"/>
      <c r="CA100" s="763"/>
      <c r="CB100" s="763"/>
      <c r="CC100" s="764" t="str">
        <f t="shared" si="55"/>
        <v/>
      </c>
      <c r="CD100" s="409" t="str">
        <f t="shared" si="94"/>
        <v/>
      </c>
      <c r="CE100" s="409" t="str">
        <f t="shared" si="83"/>
        <v/>
      </c>
      <c r="CF100" s="409" t="str">
        <f t="shared" si="84"/>
        <v/>
      </c>
      <c r="CG100" s="409" t="str">
        <f t="shared" si="95"/>
        <v/>
      </c>
      <c r="CH100" s="409" t="str">
        <f t="shared" si="85"/>
        <v/>
      </c>
      <c r="CI100" s="765" t="str">
        <f t="shared" si="96"/>
        <v/>
      </c>
      <c r="CJ100" s="766" t="str">
        <f t="shared" si="86"/>
        <v/>
      </c>
      <c r="CK100" s="414"/>
      <c r="CL100" s="759" t="str">
        <f t="shared" si="87"/>
        <v/>
      </c>
      <c r="CM100" s="766" t="str">
        <f t="shared" si="102"/>
        <v/>
      </c>
      <c r="CN100" s="766" t="str">
        <f t="shared" si="97"/>
        <v/>
      </c>
      <c r="CO100" s="766" t="str">
        <f t="shared" si="88"/>
        <v/>
      </c>
      <c r="CP100" s="766" t="str">
        <f t="shared" si="98"/>
        <v/>
      </c>
      <c r="CQ100" s="414"/>
      <c r="CR100" s="414"/>
      <c r="CS100" s="414"/>
      <c r="CT100" s="414"/>
      <c r="CU100" s="414"/>
      <c r="CV100" s="414"/>
      <c r="CW100" s="478"/>
      <c r="CX100" s="478"/>
      <c r="CY100" s="478"/>
      <c r="CZ100" s="478"/>
      <c r="DA100" s="478"/>
      <c r="DB100" s="478"/>
      <c r="DC100" s="478"/>
      <c r="DD100" s="478"/>
      <c r="DE100" s="478"/>
      <c r="DF100" s="478"/>
      <c r="DG100" s="478"/>
      <c r="DH100" s="478"/>
      <c r="DI100" s="478"/>
      <c r="DJ100" s="478"/>
      <c r="DK100" s="478"/>
      <c r="DL100" s="478"/>
      <c r="DM100" s="478"/>
      <c r="DN100" s="478"/>
      <c r="DO100" s="478"/>
      <c r="DP100" s="478"/>
      <c r="DQ100" s="478"/>
      <c r="DR100" s="478"/>
      <c r="DS100" s="478"/>
      <c r="DT100" s="478"/>
      <c r="DU100" s="478"/>
      <c r="DV100" s="478"/>
      <c r="DW100" s="478"/>
      <c r="DX100" s="478"/>
      <c r="DY100" s="478"/>
      <c r="DZ100" s="478"/>
      <c r="EA100" s="478"/>
      <c r="EB100" s="478"/>
      <c r="EC100" s="478"/>
      <c r="ED100" s="478"/>
    </row>
    <row r="101" spans="1:134">
      <c r="A101" s="305"/>
      <c r="B101" s="373"/>
      <c r="C101" s="373"/>
      <c r="D101" s="469"/>
      <c r="E101" s="469"/>
      <c r="F101" s="459">
        <f>+Main_무해지!F101</f>
        <v>0</v>
      </c>
      <c r="G101" s="470"/>
      <c r="H101" s="460"/>
      <c r="I101" s="158"/>
      <c r="J101" s="376"/>
      <c r="K101" s="376"/>
      <c r="L101" s="376"/>
      <c r="M101" s="158"/>
      <c r="N101" s="278" t="str">
        <f t="shared" si="106"/>
        <v/>
      </c>
      <c r="O101" s="279" t="str">
        <f t="shared" si="107"/>
        <v/>
      </c>
      <c r="P101" s="271" t="str">
        <f t="shared" si="103"/>
        <v/>
      </c>
      <c r="Q101" s="271" t="str">
        <f t="shared" si="104"/>
        <v/>
      </c>
      <c r="R101" s="271" t="str">
        <f t="shared" si="105"/>
        <v/>
      </c>
      <c r="S101" s="400" t="str">
        <f t="shared" si="108"/>
        <v/>
      </c>
      <c r="T101" s="231"/>
      <c r="U101" s="101" t="str">
        <f t="shared" si="99"/>
        <v/>
      </c>
      <c r="V101" s="285" t="str">
        <f>Main_무해지!AC101</f>
        <v/>
      </c>
      <c r="W101" s="308">
        <f>+Main_무해지!AD101</f>
        <v>0</v>
      </c>
      <c r="X101" s="308">
        <v>0</v>
      </c>
      <c r="Y101" s="258" t="str">
        <f t="shared" si="100"/>
        <v/>
      </c>
      <c r="Z101" s="258" t="str">
        <f t="shared" si="56"/>
        <v/>
      </c>
      <c r="AA101" s="102" t="str">
        <f>IF($U101="","",SUM(Z101:Z$114))</f>
        <v/>
      </c>
      <c r="AB101" s="258" t="str">
        <f t="shared" si="89"/>
        <v/>
      </c>
      <c r="AC101" s="254">
        <f t="shared" si="90"/>
        <v>0</v>
      </c>
      <c r="AD101" s="254" t="str">
        <f>Main_무해지!AJ101</f>
        <v/>
      </c>
      <c r="AE101" s="258">
        <f t="shared" si="57"/>
        <v>0</v>
      </c>
      <c r="AF101" s="258" t="str">
        <f t="shared" si="101"/>
        <v/>
      </c>
      <c r="AG101" s="258" t="str">
        <f t="shared" si="58"/>
        <v/>
      </c>
      <c r="AH101" s="102" t="str">
        <f>IF($U101="","",SUM(AG101:AG$114))</f>
        <v/>
      </c>
      <c r="AI101" s="258" t="str">
        <f>Main_무해지!AP101</f>
        <v/>
      </c>
      <c r="AJ101" s="258">
        <f t="shared" si="59"/>
        <v>0</v>
      </c>
      <c r="AK101" s="258" t="str">
        <f t="shared" si="60"/>
        <v/>
      </c>
      <c r="AL101" s="258" t="str">
        <f t="shared" si="61"/>
        <v/>
      </c>
      <c r="AM101" s="315" t="str">
        <f>IF($U101="","",SUM($AN101:$AN$114))</f>
        <v/>
      </c>
      <c r="AN101" s="258" t="str">
        <f t="shared" si="91"/>
        <v/>
      </c>
      <c r="AO101" s="315" t="str">
        <f t="shared" si="62"/>
        <v/>
      </c>
      <c r="AP101" s="285" t="str">
        <f>IF($U101="","",INDEX(#REF!,$U101+1))</f>
        <v/>
      </c>
      <c r="AQ101" s="258">
        <f t="shared" si="63"/>
        <v>0</v>
      </c>
      <c r="AR101" s="258" t="str">
        <f t="shared" si="64"/>
        <v/>
      </c>
      <c r="AS101" s="258" t="str">
        <f t="shared" si="65"/>
        <v/>
      </c>
      <c r="AT101" s="315" t="str">
        <f>IF($U101="","",SUM($AS101:$AS$114))</f>
        <v/>
      </c>
      <c r="AU101" s="285" t="str">
        <f>IF($U101="","",INDEX(#REF!,$U101+1))</f>
        <v/>
      </c>
      <c r="AV101" s="258">
        <f t="shared" si="66"/>
        <v>0</v>
      </c>
      <c r="AW101" s="258" t="str">
        <f t="shared" si="67"/>
        <v/>
      </c>
      <c r="AX101" s="258" t="str">
        <f t="shared" si="68"/>
        <v/>
      </c>
      <c r="AY101" s="315" t="str">
        <f>IF($U101="","",SUM($AX101:$AX$114))</f>
        <v/>
      </c>
      <c r="AZ101" s="285" t="str">
        <f>IF($U101="","",INDEX(#REF!,$U101+1))</f>
        <v/>
      </c>
      <c r="BA101" s="258">
        <f t="shared" si="69"/>
        <v>0</v>
      </c>
      <c r="BB101" s="258" t="str">
        <f t="shared" si="70"/>
        <v/>
      </c>
      <c r="BC101" s="258" t="str">
        <f t="shared" si="71"/>
        <v/>
      </c>
      <c r="BD101" s="315" t="str">
        <f>IF($U101="","",SUM($BC101:$BC$114))</f>
        <v/>
      </c>
      <c r="BE101" s="285" t="str">
        <f>IF($U101="","",INDEX(#REF!,$U101+1))</f>
        <v/>
      </c>
      <c r="BF101" s="258">
        <f t="shared" si="72"/>
        <v>0</v>
      </c>
      <c r="BG101" s="258" t="str">
        <f t="shared" si="73"/>
        <v/>
      </c>
      <c r="BH101" s="258" t="str">
        <f t="shared" si="74"/>
        <v/>
      </c>
      <c r="BI101" s="315" t="str">
        <f>IF($U101="","",SUM($BH101:$BH$114))</f>
        <v/>
      </c>
      <c r="BJ101" s="285" t="str">
        <f>IF($U101="","",INDEX(#REF!,$U101+1))</f>
        <v/>
      </c>
      <c r="BK101" s="258">
        <f t="shared" si="75"/>
        <v>0</v>
      </c>
      <c r="BL101" s="258" t="str">
        <f t="shared" si="76"/>
        <v/>
      </c>
      <c r="BM101" s="258" t="str">
        <f t="shared" si="77"/>
        <v/>
      </c>
      <c r="BN101" s="315" t="str">
        <f>IF($U101="","",SUM($BM101:$BM$114))</f>
        <v/>
      </c>
      <c r="BO101" s="285">
        <f t="shared" si="78"/>
        <v>0</v>
      </c>
      <c r="BP101" s="258" t="str">
        <f t="shared" si="79"/>
        <v/>
      </c>
      <c r="BQ101" s="258" t="str">
        <f t="shared" si="80"/>
        <v/>
      </c>
      <c r="BR101" s="258"/>
      <c r="BS101" s="258" t="str">
        <f t="shared" si="92"/>
        <v/>
      </c>
      <c r="BT101" s="258" t="str">
        <f t="shared" si="81"/>
        <v/>
      </c>
      <c r="BU101" s="258" t="str">
        <f t="shared" si="82"/>
        <v/>
      </c>
      <c r="BV101" s="258"/>
      <c r="BW101" s="258" t="str">
        <f t="shared" si="93"/>
        <v/>
      </c>
      <c r="BX101" s="258" t="str">
        <f>IF($U101="","",SUM(BS101:BS$114)+SUM(BW101:BW$114))</f>
        <v/>
      </c>
      <c r="BY101" s="103"/>
      <c r="BZ101" s="103"/>
      <c r="CA101" s="103"/>
      <c r="CB101" s="103"/>
      <c r="CC101" s="394" t="str">
        <f t="shared" si="55"/>
        <v/>
      </c>
      <c r="CD101" s="258" t="str">
        <f t="shared" si="94"/>
        <v/>
      </c>
      <c r="CE101" s="258" t="str">
        <f t="shared" si="83"/>
        <v/>
      </c>
      <c r="CF101" s="258" t="str">
        <f t="shared" si="84"/>
        <v/>
      </c>
      <c r="CG101" s="258" t="str">
        <f t="shared" si="95"/>
        <v/>
      </c>
      <c r="CH101" s="258" t="str">
        <f t="shared" si="85"/>
        <v/>
      </c>
      <c r="CI101" s="104" t="str">
        <f t="shared" si="96"/>
        <v/>
      </c>
      <c r="CJ101" s="105" t="str">
        <f t="shared" si="86"/>
        <v/>
      </c>
      <c r="CK101" s="240"/>
      <c r="CL101" s="101" t="str">
        <f t="shared" si="87"/>
        <v/>
      </c>
      <c r="CM101" s="105" t="str">
        <f t="shared" si="102"/>
        <v/>
      </c>
      <c r="CN101" s="105" t="str">
        <f t="shared" si="97"/>
        <v/>
      </c>
      <c r="CO101" s="105" t="str">
        <f t="shared" si="88"/>
        <v/>
      </c>
      <c r="CP101" s="105" t="str">
        <f t="shared" si="98"/>
        <v/>
      </c>
      <c r="CQ101" s="240"/>
      <c r="CR101" s="240"/>
      <c r="CS101" s="240"/>
      <c r="CT101" s="240"/>
      <c r="CU101" s="240"/>
      <c r="CV101" s="240"/>
      <c r="CW101" s="478"/>
      <c r="CX101" s="478"/>
      <c r="CY101" s="478"/>
      <c r="CZ101" s="478"/>
      <c r="DA101" s="478"/>
      <c r="DB101" s="478"/>
      <c r="DC101" s="478"/>
      <c r="DD101" s="478"/>
      <c r="DE101" s="478"/>
      <c r="DF101" s="478"/>
      <c r="DG101" s="478"/>
      <c r="DH101" s="478"/>
      <c r="DI101" s="478"/>
      <c r="DJ101" s="478"/>
      <c r="DK101" s="478"/>
      <c r="DL101" s="478"/>
      <c r="DM101" s="478"/>
      <c r="DN101" s="478"/>
      <c r="DO101" s="478"/>
      <c r="DP101" s="478"/>
      <c r="DQ101" s="478"/>
      <c r="DR101" s="478"/>
      <c r="DS101" s="478"/>
      <c r="DT101" s="478"/>
      <c r="DU101" s="478"/>
      <c r="DV101" s="478"/>
      <c r="DW101" s="478"/>
      <c r="DX101" s="478"/>
      <c r="DY101" s="478"/>
      <c r="DZ101" s="478"/>
      <c r="EA101" s="478"/>
      <c r="EB101" s="478"/>
      <c r="EC101" s="478"/>
      <c r="ED101" s="478"/>
    </row>
    <row r="102" spans="1:134">
      <c r="A102" s="305"/>
      <c r="B102" s="373"/>
      <c r="C102" s="373"/>
      <c r="D102" s="469"/>
      <c r="E102" s="469"/>
      <c r="F102" s="459">
        <f>+Main_무해지!F102</f>
        <v>0</v>
      </c>
      <c r="G102" s="470"/>
      <c r="H102" s="460"/>
      <c r="I102" s="158"/>
      <c r="J102" s="376"/>
      <c r="K102" s="376"/>
      <c r="L102" s="376"/>
      <c r="M102" s="158"/>
      <c r="N102" s="278" t="str">
        <f t="shared" si="106"/>
        <v/>
      </c>
      <c r="O102" s="279" t="str">
        <f t="shared" si="107"/>
        <v/>
      </c>
      <c r="P102" s="271" t="str">
        <f t="shared" si="103"/>
        <v/>
      </c>
      <c r="Q102" s="271" t="str">
        <f t="shared" si="104"/>
        <v/>
      </c>
      <c r="R102" s="271" t="str">
        <f t="shared" si="105"/>
        <v/>
      </c>
      <c r="S102" s="400" t="str">
        <f t="shared" si="108"/>
        <v/>
      </c>
      <c r="T102" s="231"/>
      <c r="U102" s="101" t="str">
        <f t="shared" si="99"/>
        <v/>
      </c>
      <c r="V102" s="285" t="str">
        <f>Main_무해지!AC102</f>
        <v/>
      </c>
      <c r="W102" s="308">
        <f>+Main_무해지!AD102</f>
        <v>0</v>
      </c>
      <c r="X102" s="308">
        <v>0</v>
      </c>
      <c r="Y102" s="258" t="str">
        <f t="shared" si="100"/>
        <v/>
      </c>
      <c r="Z102" s="258" t="str">
        <f t="shared" si="56"/>
        <v/>
      </c>
      <c r="AA102" s="102" t="str">
        <f>IF($U102="","",SUM(Z102:Z$114))</f>
        <v/>
      </c>
      <c r="AB102" s="258" t="str">
        <f t="shared" si="89"/>
        <v/>
      </c>
      <c r="AC102" s="254">
        <f t="shared" si="90"/>
        <v>0</v>
      </c>
      <c r="AD102" s="254" t="str">
        <f>Main_무해지!AJ102</f>
        <v/>
      </c>
      <c r="AE102" s="258">
        <f t="shared" si="57"/>
        <v>0</v>
      </c>
      <c r="AF102" s="258" t="str">
        <f t="shared" si="101"/>
        <v/>
      </c>
      <c r="AG102" s="258" t="str">
        <f t="shared" si="58"/>
        <v/>
      </c>
      <c r="AH102" s="102" t="str">
        <f>IF($U102="","",SUM(AG102:AG$114))</f>
        <v/>
      </c>
      <c r="AI102" s="258" t="str">
        <f>Main_무해지!AP102</f>
        <v/>
      </c>
      <c r="AJ102" s="258">
        <f t="shared" si="59"/>
        <v>0</v>
      </c>
      <c r="AK102" s="258" t="str">
        <f t="shared" si="60"/>
        <v/>
      </c>
      <c r="AL102" s="258" t="str">
        <f t="shared" si="61"/>
        <v/>
      </c>
      <c r="AM102" s="315" t="str">
        <f>IF($U102="","",SUM($AN102:$AN$114))</f>
        <v/>
      </c>
      <c r="AN102" s="258" t="str">
        <f t="shared" si="91"/>
        <v/>
      </c>
      <c r="AO102" s="315" t="str">
        <f t="shared" si="62"/>
        <v/>
      </c>
      <c r="AP102" s="285" t="str">
        <f>IF($U102="","",INDEX(#REF!,$U102+1))</f>
        <v/>
      </c>
      <c r="AQ102" s="258">
        <f t="shared" si="63"/>
        <v>0</v>
      </c>
      <c r="AR102" s="258" t="str">
        <f t="shared" si="64"/>
        <v/>
      </c>
      <c r="AS102" s="258" t="str">
        <f t="shared" si="65"/>
        <v/>
      </c>
      <c r="AT102" s="315" t="str">
        <f>IF($U102="","",SUM($AS102:$AS$114))</f>
        <v/>
      </c>
      <c r="AU102" s="285" t="str">
        <f>IF($U102="","",INDEX(#REF!,$U102+1))</f>
        <v/>
      </c>
      <c r="AV102" s="258">
        <f t="shared" si="66"/>
        <v>0</v>
      </c>
      <c r="AW102" s="258" t="str">
        <f t="shared" si="67"/>
        <v/>
      </c>
      <c r="AX102" s="258" t="str">
        <f t="shared" si="68"/>
        <v/>
      </c>
      <c r="AY102" s="315" t="str">
        <f>IF($U102="","",SUM($AX102:$AX$114))</f>
        <v/>
      </c>
      <c r="AZ102" s="285" t="str">
        <f>IF($U102="","",INDEX(#REF!,$U102+1))</f>
        <v/>
      </c>
      <c r="BA102" s="258">
        <f t="shared" si="69"/>
        <v>0</v>
      </c>
      <c r="BB102" s="258" t="str">
        <f t="shared" si="70"/>
        <v/>
      </c>
      <c r="BC102" s="258" t="str">
        <f t="shared" si="71"/>
        <v/>
      </c>
      <c r="BD102" s="315" t="str">
        <f>IF($U102="","",SUM($BC102:$BC$114))</f>
        <v/>
      </c>
      <c r="BE102" s="285" t="str">
        <f>IF($U102="","",INDEX(#REF!,$U102+1))</f>
        <v/>
      </c>
      <c r="BF102" s="258">
        <f t="shared" si="72"/>
        <v>0</v>
      </c>
      <c r="BG102" s="258" t="str">
        <f t="shared" si="73"/>
        <v/>
      </c>
      <c r="BH102" s="258" t="str">
        <f t="shared" si="74"/>
        <v/>
      </c>
      <c r="BI102" s="315" t="str">
        <f>IF($U102="","",SUM($BH102:$BH$114))</f>
        <v/>
      </c>
      <c r="BJ102" s="285" t="str">
        <f>IF($U102="","",INDEX(#REF!,$U102+1))</f>
        <v/>
      </c>
      <c r="BK102" s="258">
        <f t="shared" si="75"/>
        <v>0</v>
      </c>
      <c r="BL102" s="258" t="str">
        <f t="shared" si="76"/>
        <v/>
      </c>
      <c r="BM102" s="258" t="str">
        <f t="shared" si="77"/>
        <v/>
      </c>
      <c r="BN102" s="315" t="str">
        <f>IF($U102="","",SUM($BM102:$BM$114))</f>
        <v/>
      </c>
      <c r="BO102" s="285">
        <f t="shared" si="78"/>
        <v>0</v>
      </c>
      <c r="BP102" s="258" t="str">
        <f t="shared" si="79"/>
        <v/>
      </c>
      <c r="BQ102" s="258" t="str">
        <f t="shared" si="80"/>
        <v/>
      </c>
      <c r="BR102" s="258"/>
      <c r="BS102" s="258" t="str">
        <f t="shared" si="92"/>
        <v/>
      </c>
      <c r="BT102" s="258" t="str">
        <f t="shared" si="81"/>
        <v/>
      </c>
      <c r="BU102" s="258" t="str">
        <f t="shared" si="82"/>
        <v/>
      </c>
      <c r="BV102" s="258"/>
      <c r="BW102" s="258" t="str">
        <f t="shared" si="93"/>
        <v/>
      </c>
      <c r="BX102" s="258" t="str">
        <f>IF($U102="","",SUM(BS102:BS$114)+SUM(BW102:BW$114))</f>
        <v/>
      </c>
      <c r="BY102" s="103"/>
      <c r="BZ102" s="103"/>
      <c r="CA102" s="103"/>
      <c r="CB102" s="103"/>
      <c r="CC102" s="394" t="str">
        <f t="shared" si="55"/>
        <v/>
      </c>
      <c r="CD102" s="258" t="str">
        <f t="shared" si="94"/>
        <v/>
      </c>
      <c r="CE102" s="258" t="str">
        <f t="shared" si="83"/>
        <v/>
      </c>
      <c r="CF102" s="258" t="str">
        <f t="shared" si="84"/>
        <v/>
      </c>
      <c r="CG102" s="258" t="str">
        <f t="shared" si="95"/>
        <v/>
      </c>
      <c r="CH102" s="258" t="str">
        <f t="shared" si="85"/>
        <v/>
      </c>
      <c r="CI102" s="104" t="str">
        <f t="shared" si="96"/>
        <v/>
      </c>
      <c r="CJ102" s="105" t="str">
        <f t="shared" si="86"/>
        <v/>
      </c>
      <c r="CK102" s="240"/>
      <c r="CL102" s="101" t="str">
        <f t="shared" si="87"/>
        <v/>
      </c>
      <c r="CM102" s="105" t="str">
        <f t="shared" si="102"/>
        <v/>
      </c>
      <c r="CN102" s="105" t="str">
        <f t="shared" si="97"/>
        <v/>
      </c>
      <c r="CO102" s="105" t="str">
        <f t="shared" si="88"/>
        <v/>
      </c>
      <c r="CP102" s="105" t="str">
        <f t="shared" si="98"/>
        <v/>
      </c>
      <c r="CQ102" s="240"/>
      <c r="CR102" s="240"/>
      <c r="CS102" s="240"/>
      <c r="CT102" s="240"/>
      <c r="CU102" s="240"/>
      <c r="CV102" s="240"/>
      <c r="CW102" s="478"/>
      <c r="CX102" s="478"/>
      <c r="CY102" s="478"/>
      <c r="CZ102" s="478"/>
      <c r="DA102" s="478"/>
      <c r="DB102" s="478"/>
      <c r="DC102" s="478"/>
      <c r="DD102" s="478"/>
      <c r="DE102" s="478"/>
      <c r="DF102" s="478"/>
      <c r="DG102" s="478"/>
      <c r="DH102" s="478"/>
      <c r="DI102" s="478"/>
      <c r="DJ102" s="478"/>
      <c r="DK102" s="478"/>
      <c r="DL102" s="478"/>
      <c r="DM102" s="478"/>
      <c r="DN102" s="478"/>
      <c r="DO102" s="478"/>
      <c r="DP102" s="478"/>
      <c r="DQ102" s="478"/>
      <c r="DR102" s="478"/>
      <c r="DS102" s="478"/>
      <c r="DT102" s="478"/>
      <c r="DU102" s="478"/>
      <c r="DV102" s="478"/>
      <c r="DW102" s="478"/>
      <c r="DX102" s="478"/>
      <c r="DY102" s="478"/>
      <c r="DZ102" s="478"/>
      <c r="EA102" s="478"/>
      <c r="EB102" s="478"/>
      <c r="EC102" s="478"/>
      <c r="ED102" s="478"/>
    </row>
    <row r="103" spans="1:134">
      <c r="A103" s="305"/>
      <c r="B103" s="373"/>
      <c r="C103" s="373"/>
      <c r="D103" s="469"/>
      <c r="E103" s="469"/>
      <c r="F103" s="459">
        <f>+Main_무해지!F103</f>
        <v>0</v>
      </c>
      <c r="G103" s="470"/>
      <c r="H103" s="460"/>
      <c r="I103" s="158"/>
      <c r="J103" s="378"/>
      <c r="K103" s="378"/>
      <c r="L103" s="378"/>
      <c r="M103" s="158"/>
      <c r="N103" s="278" t="str">
        <f t="shared" si="106"/>
        <v/>
      </c>
      <c r="O103" s="279" t="str">
        <f t="shared" si="107"/>
        <v/>
      </c>
      <c r="P103" s="271" t="str">
        <f t="shared" si="103"/>
        <v/>
      </c>
      <c r="Q103" s="271" t="str">
        <f t="shared" si="104"/>
        <v/>
      </c>
      <c r="R103" s="271" t="str">
        <f t="shared" si="105"/>
        <v/>
      </c>
      <c r="S103" s="400" t="str">
        <f t="shared" si="108"/>
        <v/>
      </c>
      <c r="T103" s="231"/>
      <c r="U103" s="101" t="str">
        <f t="shared" si="99"/>
        <v/>
      </c>
      <c r="V103" s="285" t="str">
        <f>Main_무해지!AC103</f>
        <v/>
      </c>
      <c r="W103" s="308">
        <f>+Main_무해지!AD103</f>
        <v>0</v>
      </c>
      <c r="X103" s="308">
        <v>0</v>
      </c>
      <c r="Y103" s="258" t="str">
        <f t="shared" si="100"/>
        <v/>
      </c>
      <c r="Z103" s="258" t="str">
        <f t="shared" si="56"/>
        <v/>
      </c>
      <c r="AA103" s="102" t="str">
        <f>IF($U103="","",SUM(Z103:Z$114))</f>
        <v/>
      </c>
      <c r="AB103" s="258" t="str">
        <f t="shared" si="89"/>
        <v/>
      </c>
      <c r="AC103" s="254">
        <f t="shared" si="90"/>
        <v>0</v>
      </c>
      <c r="AD103" s="254" t="str">
        <f>Main_무해지!AJ103</f>
        <v/>
      </c>
      <c r="AE103" s="258">
        <f t="shared" si="57"/>
        <v>0</v>
      </c>
      <c r="AF103" s="258" t="str">
        <f t="shared" si="101"/>
        <v/>
      </c>
      <c r="AG103" s="258" t="str">
        <f t="shared" si="58"/>
        <v/>
      </c>
      <c r="AH103" s="102" t="str">
        <f>IF($U103="","",SUM(AG103:AG$114))</f>
        <v/>
      </c>
      <c r="AI103" s="258" t="str">
        <f>Main_무해지!AP103</f>
        <v/>
      </c>
      <c r="AJ103" s="258">
        <f t="shared" si="59"/>
        <v>0</v>
      </c>
      <c r="AK103" s="258" t="str">
        <f t="shared" si="60"/>
        <v/>
      </c>
      <c r="AL103" s="258" t="str">
        <f t="shared" si="61"/>
        <v/>
      </c>
      <c r="AM103" s="315" t="str">
        <f>IF($U103="","",SUM($AN103:$AN$114))</f>
        <v/>
      </c>
      <c r="AN103" s="258" t="str">
        <f t="shared" si="91"/>
        <v/>
      </c>
      <c r="AO103" s="315" t="str">
        <f t="shared" si="62"/>
        <v/>
      </c>
      <c r="AP103" s="285" t="str">
        <f>IF($U103="","",INDEX(#REF!,$U103+1))</f>
        <v/>
      </c>
      <c r="AQ103" s="258">
        <f t="shared" si="63"/>
        <v>0</v>
      </c>
      <c r="AR103" s="258" t="str">
        <f t="shared" si="64"/>
        <v/>
      </c>
      <c r="AS103" s="258" t="str">
        <f t="shared" si="65"/>
        <v/>
      </c>
      <c r="AT103" s="315" t="str">
        <f>IF($U103="","",SUM($AS103:$AS$114))</f>
        <v/>
      </c>
      <c r="AU103" s="285" t="str">
        <f>IF($U103="","",INDEX(#REF!,$U103+1))</f>
        <v/>
      </c>
      <c r="AV103" s="258">
        <f t="shared" si="66"/>
        <v>0</v>
      </c>
      <c r="AW103" s="258" t="str">
        <f t="shared" si="67"/>
        <v/>
      </c>
      <c r="AX103" s="258" t="str">
        <f t="shared" si="68"/>
        <v/>
      </c>
      <c r="AY103" s="315" t="str">
        <f>IF($U103="","",SUM($AX103:$AX$114))</f>
        <v/>
      </c>
      <c r="AZ103" s="285" t="str">
        <f>IF($U103="","",INDEX(#REF!,$U103+1))</f>
        <v/>
      </c>
      <c r="BA103" s="258">
        <f t="shared" si="69"/>
        <v>0</v>
      </c>
      <c r="BB103" s="258" t="str">
        <f t="shared" si="70"/>
        <v/>
      </c>
      <c r="BC103" s="258" t="str">
        <f t="shared" si="71"/>
        <v/>
      </c>
      <c r="BD103" s="315" t="str">
        <f>IF($U103="","",SUM($BC103:$BC$114))</f>
        <v/>
      </c>
      <c r="BE103" s="285" t="str">
        <f>IF($U103="","",INDEX(#REF!,$U103+1))</f>
        <v/>
      </c>
      <c r="BF103" s="258">
        <f t="shared" si="72"/>
        <v>0</v>
      </c>
      <c r="BG103" s="258" t="str">
        <f t="shared" si="73"/>
        <v/>
      </c>
      <c r="BH103" s="258" t="str">
        <f t="shared" si="74"/>
        <v/>
      </c>
      <c r="BI103" s="315" t="str">
        <f>IF($U103="","",SUM($BH103:$BH$114))</f>
        <v/>
      </c>
      <c r="BJ103" s="285" t="str">
        <f>IF($U103="","",INDEX(#REF!,$U103+1))</f>
        <v/>
      </c>
      <c r="BK103" s="258">
        <f t="shared" si="75"/>
        <v>0</v>
      </c>
      <c r="BL103" s="258" t="str">
        <f t="shared" si="76"/>
        <v/>
      </c>
      <c r="BM103" s="258" t="str">
        <f t="shared" si="77"/>
        <v/>
      </c>
      <c r="BN103" s="315" t="str">
        <f>IF($U103="","",SUM($BM103:$BM$114))</f>
        <v/>
      </c>
      <c r="BO103" s="285">
        <f t="shared" si="78"/>
        <v>0</v>
      </c>
      <c r="BP103" s="258" t="str">
        <f t="shared" si="79"/>
        <v/>
      </c>
      <c r="BQ103" s="258" t="str">
        <f t="shared" si="80"/>
        <v/>
      </c>
      <c r="BR103" s="258"/>
      <c r="BS103" s="258" t="str">
        <f t="shared" si="92"/>
        <v/>
      </c>
      <c r="BT103" s="258" t="str">
        <f t="shared" si="81"/>
        <v/>
      </c>
      <c r="BU103" s="258" t="str">
        <f t="shared" si="82"/>
        <v/>
      </c>
      <c r="BV103" s="258"/>
      <c r="BW103" s="258" t="str">
        <f t="shared" si="93"/>
        <v/>
      </c>
      <c r="BX103" s="258" t="str">
        <f>IF($U103="","",SUM(BS103:BS$114)+SUM(BW103:BW$114))</f>
        <v/>
      </c>
      <c r="BY103" s="103"/>
      <c r="BZ103" s="103"/>
      <c r="CA103" s="103"/>
      <c r="CB103" s="103"/>
      <c r="CC103" s="394" t="str">
        <f t="shared" si="55"/>
        <v/>
      </c>
      <c r="CD103" s="258" t="str">
        <f t="shared" si="94"/>
        <v/>
      </c>
      <c r="CE103" s="258" t="str">
        <f t="shared" si="83"/>
        <v/>
      </c>
      <c r="CF103" s="258" t="str">
        <f t="shared" si="84"/>
        <v/>
      </c>
      <c r="CG103" s="258" t="str">
        <f t="shared" si="95"/>
        <v/>
      </c>
      <c r="CH103" s="258" t="str">
        <f t="shared" si="85"/>
        <v/>
      </c>
      <c r="CI103" s="104" t="str">
        <f t="shared" si="96"/>
        <v/>
      </c>
      <c r="CJ103" s="105" t="str">
        <f t="shared" si="86"/>
        <v/>
      </c>
      <c r="CK103" s="240"/>
      <c r="CL103" s="101" t="str">
        <f t="shared" si="87"/>
        <v/>
      </c>
      <c r="CM103" s="105" t="str">
        <f t="shared" si="102"/>
        <v/>
      </c>
      <c r="CN103" s="105" t="str">
        <f t="shared" si="97"/>
        <v/>
      </c>
      <c r="CO103" s="105" t="str">
        <f t="shared" si="88"/>
        <v/>
      </c>
      <c r="CP103" s="105" t="str">
        <f t="shared" si="98"/>
        <v/>
      </c>
      <c r="CQ103" s="240"/>
      <c r="CR103" s="240"/>
      <c r="CS103" s="240"/>
      <c r="CT103" s="240"/>
      <c r="CU103" s="240"/>
      <c r="CV103" s="240"/>
      <c r="CW103" s="478"/>
      <c r="CX103" s="478"/>
      <c r="CY103" s="478"/>
      <c r="CZ103" s="478"/>
      <c r="DA103" s="478"/>
      <c r="DB103" s="478"/>
      <c r="DC103" s="478"/>
      <c r="DD103" s="478"/>
      <c r="DE103" s="478"/>
      <c r="DF103" s="478"/>
      <c r="DG103" s="478"/>
      <c r="DH103" s="478"/>
      <c r="DI103" s="478"/>
      <c r="DJ103" s="478"/>
      <c r="DK103" s="478"/>
      <c r="DL103" s="478"/>
      <c r="DM103" s="478"/>
      <c r="DN103" s="478"/>
      <c r="DO103" s="478"/>
      <c r="DP103" s="478"/>
      <c r="DQ103" s="478"/>
      <c r="DR103" s="478"/>
      <c r="DS103" s="478"/>
      <c r="DT103" s="478"/>
      <c r="DU103" s="478"/>
      <c r="DV103" s="478"/>
      <c r="DW103" s="478"/>
      <c r="DX103" s="478"/>
      <c r="DY103" s="478"/>
      <c r="DZ103" s="478"/>
      <c r="EA103" s="478"/>
      <c r="EB103" s="478"/>
      <c r="EC103" s="478"/>
      <c r="ED103" s="478"/>
    </row>
    <row r="104" spans="1:134" ht="17.25" thickBot="1">
      <c r="A104" s="305"/>
      <c r="B104" s="373"/>
      <c r="C104" s="373"/>
      <c r="D104" s="472"/>
      <c r="E104" s="472"/>
      <c r="F104" s="461">
        <f>+Main_무해지!F104</f>
        <v>0</v>
      </c>
      <c r="G104" s="473"/>
      <c r="H104" s="464"/>
      <c r="I104" s="158"/>
      <c r="J104" s="378"/>
      <c r="K104" s="378"/>
      <c r="L104" s="378"/>
      <c r="M104" s="158"/>
      <c r="N104" s="278" t="str">
        <f t="shared" si="106"/>
        <v/>
      </c>
      <c r="O104" s="279" t="str">
        <f t="shared" si="107"/>
        <v/>
      </c>
      <c r="P104" s="271" t="str">
        <f t="shared" si="103"/>
        <v/>
      </c>
      <c r="Q104" s="271" t="str">
        <f t="shared" si="104"/>
        <v/>
      </c>
      <c r="R104" s="271" t="str">
        <f t="shared" si="105"/>
        <v/>
      </c>
      <c r="S104" s="400" t="str">
        <f t="shared" si="108"/>
        <v/>
      </c>
      <c r="T104" s="231"/>
      <c r="U104" s="110" t="str">
        <f t="shared" si="99"/>
        <v/>
      </c>
      <c r="V104" s="286" t="str">
        <f>Main_무해지!AC104</f>
        <v/>
      </c>
      <c r="W104" s="309">
        <f>+Main_무해지!AD104</f>
        <v>0</v>
      </c>
      <c r="X104" s="309">
        <v>0</v>
      </c>
      <c r="Y104" s="259" t="str">
        <f t="shared" si="100"/>
        <v/>
      </c>
      <c r="Z104" s="259" t="str">
        <f t="shared" si="56"/>
        <v/>
      </c>
      <c r="AA104" s="111" t="str">
        <f>IF($U104="","",SUM(Z104:Z$114))</f>
        <v/>
      </c>
      <c r="AB104" s="259" t="str">
        <f t="shared" si="89"/>
        <v/>
      </c>
      <c r="AC104" s="254">
        <f t="shared" si="90"/>
        <v>0</v>
      </c>
      <c r="AD104" s="254" t="str">
        <f>Main_무해지!AJ104</f>
        <v/>
      </c>
      <c r="AE104" s="259">
        <f t="shared" si="57"/>
        <v>0</v>
      </c>
      <c r="AF104" s="259" t="str">
        <f t="shared" si="101"/>
        <v/>
      </c>
      <c r="AG104" s="259" t="str">
        <f t="shared" si="58"/>
        <v/>
      </c>
      <c r="AH104" s="111" t="str">
        <f>IF($U104="","",SUM(AG104:AG$114))</f>
        <v/>
      </c>
      <c r="AI104" s="259" t="str">
        <f>Main_무해지!AP104</f>
        <v/>
      </c>
      <c r="AJ104" s="259">
        <f t="shared" si="59"/>
        <v>0</v>
      </c>
      <c r="AK104" s="259" t="str">
        <f t="shared" si="60"/>
        <v/>
      </c>
      <c r="AL104" s="259" t="str">
        <f t="shared" si="61"/>
        <v/>
      </c>
      <c r="AM104" s="316" t="str">
        <f>IF($U104="","",SUM($AN104:$AN$114))</f>
        <v/>
      </c>
      <c r="AN104" s="259" t="str">
        <f t="shared" si="91"/>
        <v/>
      </c>
      <c r="AO104" s="316" t="str">
        <f t="shared" si="62"/>
        <v/>
      </c>
      <c r="AP104" s="286" t="str">
        <f>IF($U104="","",INDEX(#REF!,$U104+1))</f>
        <v/>
      </c>
      <c r="AQ104" s="259">
        <f t="shared" si="63"/>
        <v>0</v>
      </c>
      <c r="AR104" s="259" t="str">
        <f t="shared" si="64"/>
        <v/>
      </c>
      <c r="AS104" s="259" t="str">
        <f t="shared" si="65"/>
        <v/>
      </c>
      <c r="AT104" s="316" t="str">
        <f>IF($U104="","",SUM($AS104:$AS$114))</f>
        <v/>
      </c>
      <c r="AU104" s="286" t="str">
        <f>IF($U104="","",INDEX(#REF!,$U104+1))</f>
        <v/>
      </c>
      <c r="AV104" s="259">
        <f t="shared" si="66"/>
        <v>0</v>
      </c>
      <c r="AW104" s="259" t="str">
        <f t="shared" si="67"/>
        <v/>
      </c>
      <c r="AX104" s="259" t="str">
        <f t="shared" si="68"/>
        <v/>
      </c>
      <c r="AY104" s="316" t="str">
        <f>IF($U104="","",SUM($AX104:$AX$114))</f>
        <v/>
      </c>
      <c r="AZ104" s="286" t="str">
        <f>IF($U104="","",INDEX(#REF!,$U104+1))</f>
        <v/>
      </c>
      <c r="BA104" s="259">
        <f t="shared" si="69"/>
        <v>0</v>
      </c>
      <c r="BB104" s="259" t="str">
        <f t="shared" si="70"/>
        <v/>
      </c>
      <c r="BC104" s="259" t="str">
        <f t="shared" si="71"/>
        <v/>
      </c>
      <c r="BD104" s="316" t="str">
        <f>IF($U104="","",SUM($BC104:$BC$114))</f>
        <v/>
      </c>
      <c r="BE104" s="286" t="str">
        <f>IF($U104="","",INDEX(#REF!,$U104+1))</f>
        <v/>
      </c>
      <c r="BF104" s="259">
        <f t="shared" si="72"/>
        <v>0</v>
      </c>
      <c r="BG104" s="259" t="str">
        <f t="shared" si="73"/>
        <v/>
      </c>
      <c r="BH104" s="259" t="str">
        <f t="shared" si="74"/>
        <v/>
      </c>
      <c r="BI104" s="316" t="str">
        <f>IF($U104="","",SUM($BH104:$BH$114))</f>
        <v/>
      </c>
      <c r="BJ104" s="286" t="str">
        <f>IF($U104="","",INDEX(#REF!,$U104+1))</f>
        <v/>
      </c>
      <c r="BK104" s="259">
        <f t="shared" si="75"/>
        <v>0</v>
      </c>
      <c r="BL104" s="259" t="str">
        <f t="shared" si="76"/>
        <v/>
      </c>
      <c r="BM104" s="259" t="str">
        <f t="shared" si="77"/>
        <v/>
      </c>
      <c r="BN104" s="316" t="str">
        <f>IF($U104="","",SUM($BM104:$BM$114))</f>
        <v/>
      </c>
      <c r="BO104" s="286">
        <f t="shared" si="78"/>
        <v>0</v>
      </c>
      <c r="BP104" s="259" t="str">
        <f t="shared" si="79"/>
        <v/>
      </c>
      <c r="BQ104" s="259" t="str">
        <f t="shared" si="80"/>
        <v/>
      </c>
      <c r="BR104" s="259"/>
      <c r="BS104" s="259" t="str">
        <f t="shared" si="92"/>
        <v/>
      </c>
      <c r="BT104" s="259" t="str">
        <f t="shared" si="81"/>
        <v/>
      </c>
      <c r="BU104" s="259" t="str">
        <f t="shared" si="82"/>
        <v/>
      </c>
      <c r="BV104" s="259"/>
      <c r="BW104" s="259" t="str">
        <f t="shared" si="93"/>
        <v/>
      </c>
      <c r="BX104" s="259" t="str">
        <f>IF($U104="","",SUM(BS104:BS$114)+SUM(BW104:BW$114))</f>
        <v/>
      </c>
      <c r="BY104" s="112"/>
      <c r="BZ104" s="112"/>
      <c r="CA104" s="112"/>
      <c r="CB104" s="112"/>
      <c r="CC104" s="395" t="str">
        <f t="shared" si="55"/>
        <v/>
      </c>
      <c r="CD104" s="259" t="str">
        <f t="shared" si="94"/>
        <v/>
      </c>
      <c r="CE104" s="259" t="str">
        <f t="shared" si="83"/>
        <v/>
      </c>
      <c r="CF104" s="259" t="str">
        <f t="shared" si="84"/>
        <v/>
      </c>
      <c r="CG104" s="259" t="str">
        <f t="shared" si="95"/>
        <v/>
      </c>
      <c r="CH104" s="259" t="str">
        <f t="shared" si="85"/>
        <v/>
      </c>
      <c r="CI104" s="113" t="str">
        <f t="shared" si="96"/>
        <v/>
      </c>
      <c r="CJ104" s="114" t="str">
        <f t="shared" si="86"/>
        <v/>
      </c>
      <c r="CK104" s="241"/>
      <c r="CL104" s="110" t="str">
        <f t="shared" si="87"/>
        <v/>
      </c>
      <c r="CM104" s="114" t="str">
        <f t="shared" si="102"/>
        <v/>
      </c>
      <c r="CN104" s="114" t="str">
        <f t="shared" si="97"/>
        <v/>
      </c>
      <c r="CO104" s="114" t="str">
        <f t="shared" si="88"/>
        <v/>
      </c>
      <c r="CP104" s="114" t="str">
        <f t="shared" si="98"/>
        <v/>
      </c>
      <c r="CQ104" s="241"/>
      <c r="CR104" s="241"/>
      <c r="CS104" s="241"/>
      <c r="CT104" s="241"/>
      <c r="CU104" s="241"/>
      <c r="CV104" s="241"/>
      <c r="CW104" s="478"/>
      <c r="CX104" s="478"/>
      <c r="CY104" s="478"/>
      <c r="CZ104" s="478"/>
      <c r="DA104" s="478"/>
      <c r="DB104" s="478"/>
      <c r="DC104" s="478"/>
      <c r="DD104" s="478"/>
      <c r="DE104" s="478"/>
      <c r="DF104" s="478"/>
      <c r="DG104" s="478"/>
      <c r="DH104" s="478"/>
      <c r="DI104" s="478"/>
      <c r="DJ104" s="478"/>
      <c r="DK104" s="478"/>
      <c r="DL104" s="478"/>
      <c r="DM104" s="478"/>
      <c r="DN104" s="478"/>
      <c r="DO104" s="478"/>
      <c r="DP104" s="478"/>
      <c r="DQ104" s="478"/>
      <c r="DR104" s="478"/>
      <c r="DS104" s="478"/>
      <c r="DT104" s="478"/>
      <c r="DU104" s="478"/>
      <c r="DV104" s="478"/>
      <c r="DW104" s="478"/>
      <c r="DX104" s="478"/>
      <c r="DY104" s="478"/>
      <c r="DZ104" s="478"/>
      <c r="EA104" s="478"/>
      <c r="EB104" s="478"/>
      <c r="EC104" s="478"/>
      <c r="ED104" s="478"/>
    </row>
    <row r="105" spans="1:134">
      <c r="A105" s="305"/>
      <c r="B105" s="373"/>
      <c r="C105" s="373"/>
      <c r="D105" s="373"/>
      <c r="E105" s="373"/>
      <c r="F105" s="373"/>
      <c r="G105" s="373"/>
      <c r="I105" s="158"/>
      <c r="J105" s="378"/>
      <c r="K105" s="378"/>
      <c r="L105" s="378"/>
      <c r="M105" s="158"/>
      <c r="N105" s="278" t="str">
        <f t="shared" si="106"/>
        <v/>
      </c>
      <c r="O105" s="279" t="str">
        <f t="shared" si="107"/>
        <v/>
      </c>
      <c r="P105" s="271" t="str">
        <f t="shared" si="103"/>
        <v/>
      </c>
      <c r="Q105" s="271" t="str">
        <f t="shared" si="104"/>
        <v/>
      </c>
      <c r="R105" s="271" t="str">
        <f t="shared" si="105"/>
        <v/>
      </c>
      <c r="S105" s="400" t="str">
        <f t="shared" si="108"/>
        <v/>
      </c>
      <c r="T105" s="231"/>
      <c r="U105" s="770" t="str">
        <f t="shared" si="99"/>
        <v/>
      </c>
      <c r="V105" s="772" t="str">
        <f>Main_무해지!AC105</f>
        <v/>
      </c>
      <c r="W105" s="640">
        <f>+Main_무해지!AD105</f>
        <v>0</v>
      </c>
      <c r="X105" s="640">
        <v>0</v>
      </c>
      <c r="Y105" s="410" t="str">
        <f t="shared" si="100"/>
        <v/>
      </c>
      <c r="Z105" s="410" t="str">
        <f t="shared" si="56"/>
        <v/>
      </c>
      <c r="AA105" s="771" t="str">
        <f>IF($U105="","",SUM(Z105:Z$114))</f>
        <v/>
      </c>
      <c r="AB105" s="410" t="str">
        <f t="shared" si="89"/>
        <v/>
      </c>
      <c r="AC105" s="254">
        <f t="shared" si="90"/>
        <v>0</v>
      </c>
      <c r="AD105" s="254" t="str">
        <f>Main_무해지!AJ105</f>
        <v/>
      </c>
      <c r="AE105" s="410">
        <f t="shared" si="57"/>
        <v>0</v>
      </c>
      <c r="AF105" s="410" t="str">
        <f t="shared" si="101"/>
        <v/>
      </c>
      <c r="AG105" s="410" t="str">
        <f t="shared" si="58"/>
        <v/>
      </c>
      <c r="AH105" s="771" t="str">
        <f>IF($U105="","",SUM(AG105:AG$114))</f>
        <v/>
      </c>
      <c r="AI105" s="410" t="str">
        <f>Main_무해지!AP105</f>
        <v/>
      </c>
      <c r="AJ105" s="410">
        <f t="shared" si="59"/>
        <v>0</v>
      </c>
      <c r="AK105" s="410" t="str">
        <f t="shared" si="60"/>
        <v/>
      </c>
      <c r="AL105" s="410" t="str">
        <f t="shared" si="61"/>
        <v/>
      </c>
      <c r="AM105" s="773" t="str">
        <f>IF($U105="","",SUM($AN105:$AN$114))</f>
        <v/>
      </c>
      <c r="AN105" s="410" t="str">
        <f t="shared" si="91"/>
        <v/>
      </c>
      <c r="AO105" s="773" t="str">
        <f t="shared" si="62"/>
        <v/>
      </c>
      <c r="AP105" s="772" t="str">
        <f>IF($U105="","",INDEX(#REF!,$U105+1))</f>
        <v/>
      </c>
      <c r="AQ105" s="410">
        <f t="shared" si="63"/>
        <v>0</v>
      </c>
      <c r="AR105" s="410" t="str">
        <f t="shared" si="64"/>
        <v/>
      </c>
      <c r="AS105" s="410" t="str">
        <f t="shared" si="65"/>
        <v/>
      </c>
      <c r="AT105" s="773" t="str">
        <f>IF($U105="","",SUM($AS105:$AS$114))</f>
        <v/>
      </c>
      <c r="AU105" s="772" t="str">
        <f>IF($U105="","",INDEX(#REF!,$U105+1))</f>
        <v/>
      </c>
      <c r="AV105" s="410">
        <f t="shared" si="66"/>
        <v>0</v>
      </c>
      <c r="AW105" s="410" t="str">
        <f t="shared" si="67"/>
        <v/>
      </c>
      <c r="AX105" s="410" t="str">
        <f t="shared" si="68"/>
        <v/>
      </c>
      <c r="AY105" s="773" t="str">
        <f>IF($U105="","",SUM($AX105:$AX$114))</f>
        <v/>
      </c>
      <c r="AZ105" s="772" t="str">
        <f>IF($U105="","",INDEX(#REF!,$U105+1))</f>
        <v/>
      </c>
      <c r="BA105" s="410">
        <f t="shared" si="69"/>
        <v>0</v>
      </c>
      <c r="BB105" s="410" t="str">
        <f t="shared" si="70"/>
        <v/>
      </c>
      <c r="BC105" s="410" t="str">
        <f t="shared" si="71"/>
        <v/>
      </c>
      <c r="BD105" s="773" t="str">
        <f>IF($U105="","",SUM($BC105:$BC$114))</f>
        <v/>
      </c>
      <c r="BE105" s="772" t="str">
        <f>IF($U105="","",INDEX(#REF!,$U105+1))</f>
        <v/>
      </c>
      <c r="BF105" s="410">
        <f t="shared" si="72"/>
        <v>0</v>
      </c>
      <c r="BG105" s="410" t="str">
        <f t="shared" si="73"/>
        <v/>
      </c>
      <c r="BH105" s="410" t="str">
        <f t="shared" si="74"/>
        <v/>
      </c>
      <c r="BI105" s="773" t="str">
        <f>IF($U105="","",SUM($BH105:$BH$114))</f>
        <v/>
      </c>
      <c r="BJ105" s="772" t="str">
        <f>IF($U105="","",INDEX(#REF!,$U105+1))</f>
        <v/>
      </c>
      <c r="BK105" s="410">
        <f t="shared" si="75"/>
        <v>0</v>
      </c>
      <c r="BL105" s="410" t="str">
        <f t="shared" si="76"/>
        <v/>
      </c>
      <c r="BM105" s="410" t="str">
        <f t="shared" si="77"/>
        <v/>
      </c>
      <c r="BN105" s="773" t="str">
        <f>IF($U105="","",SUM($BM105:$BM$114))</f>
        <v/>
      </c>
      <c r="BO105" s="772">
        <f t="shared" si="78"/>
        <v>0</v>
      </c>
      <c r="BP105" s="410" t="str">
        <f t="shared" si="79"/>
        <v/>
      </c>
      <c r="BQ105" s="410" t="str">
        <f t="shared" si="80"/>
        <v/>
      </c>
      <c r="BR105" s="410"/>
      <c r="BS105" s="410" t="str">
        <f t="shared" si="92"/>
        <v/>
      </c>
      <c r="BT105" s="410" t="str">
        <f t="shared" si="81"/>
        <v/>
      </c>
      <c r="BU105" s="410" t="str">
        <f t="shared" si="82"/>
        <v/>
      </c>
      <c r="BV105" s="410"/>
      <c r="BW105" s="410" t="str">
        <f t="shared" si="93"/>
        <v/>
      </c>
      <c r="BX105" s="410" t="str">
        <f>IF($U105="","",SUM(BS105:BS$114)+SUM(BW105:BW$114))</f>
        <v/>
      </c>
      <c r="BY105" s="774"/>
      <c r="BZ105" s="774"/>
      <c r="CA105" s="774"/>
      <c r="CB105" s="774"/>
      <c r="CC105" s="775" t="str">
        <f t="shared" si="55"/>
        <v/>
      </c>
      <c r="CD105" s="410" t="str">
        <f t="shared" si="94"/>
        <v/>
      </c>
      <c r="CE105" s="410" t="str">
        <f t="shared" si="83"/>
        <v/>
      </c>
      <c r="CF105" s="410" t="str">
        <f t="shared" si="84"/>
        <v/>
      </c>
      <c r="CG105" s="410" t="str">
        <f t="shared" si="95"/>
        <v/>
      </c>
      <c r="CH105" s="410" t="str">
        <f t="shared" si="85"/>
        <v/>
      </c>
      <c r="CI105" s="776" t="str">
        <f t="shared" si="96"/>
        <v/>
      </c>
      <c r="CJ105" s="777" t="str">
        <f t="shared" si="86"/>
        <v/>
      </c>
      <c r="CK105" s="415"/>
      <c r="CL105" s="770" t="str">
        <f t="shared" si="87"/>
        <v/>
      </c>
      <c r="CM105" s="777" t="str">
        <f t="shared" si="102"/>
        <v/>
      </c>
      <c r="CN105" s="777" t="str">
        <f t="shared" si="97"/>
        <v/>
      </c>
      <c r="CO105" s="777" t="str">
        <f t="shared" si="88"/>
        <v/>
      </c>
      <c r="CP105" s="777" t="str">
        <f t="shared" si="98"/>
        <v/>
      </c>
      <c r="CQ105" s="415"/>
      <c r="CR105" s="415"/>
      <c r="CS105" s="415"/>
      <c r="CT105" s="415"/>
      <c r="CU105" s="415"/>
      <c r="CV105" s="415"/>
      <c r="CW105" s="478"/>
      <c r="CX105" s="478"/>
      <c r="CY105" s="478"/>
      <c r="CZ105" s="478"/>
      <c r="DA105" s="478"/>
      <c r="DB105" s="478"/>
      <c r="DC105" s="478"/>
      <c r="DD105" s="478"/>
      <c r="DE105" s="478"/>
      <c r="DF105" s="478"/>
      <c r="DG105" s="478"/>
      <c r="DH105" s="478"/>
      <c r="DI105" s="478"/>
      <c r="DJ105" s="478"/>
      <c r="DK105" s="478"/>
      <c r="DL105" s="478"/>
      <c r="DM105" s="478"/>
      <c r="DN105" s="478"/>
      <c r="DO105" s="478"/>
      <c r="DP105" s="478"/>
      <c r="DQ105" s="478"/>
      <c r="DR105" s="478"/>
      <c r="DS105" s="478"/>
      <c r="DT105" s="478"/>
      <c r="DU105" s="478"/>
      <c r="DV105" s="478"/>
      <c r="DW105" s="478"/>
      <c r="DX105" s="478"/>
      <c r="DY105" s="478"/>
      <c r="DZ105" s="478"/>
      <c r="EA105" s="478"/>
      <c r="EB105" s="478"/>
      <c r="EC105" s="478"/>
      <c r="ED105" s="478"/>
    </row>
    <row r="106" spans="1:134">
      <c r="A106" s="305"/>
      <c r="B106" s="373"/>
      <c r="C106" s="373"/>
      <c r="D106" s="373"/>
      <c r="E106" s="373"/>
      <c r="F106" s="373"/>
      <c r="G106" s="373"/>
      <c r="H106" s="373"/>
      <c r="I106" s="158"/>
      <c r="J106" s="379"/>
      <c r="K106" s="379"/>
      <c r="L106" s="379"/>
      <c r="M106" s="158"/>
      <c r="N106" s="278" t="str">
        <f t="shared" si="106"/>
        <v/>
      </c>
      <c r="O106" s="279" t="str">
        <f t="shared" si="107"/>
        <v/>
      </c>
      <c r="P106" s="271" t="str">
        <f t="shared" si="103"/>
        <v/>
      </c>
      <c r="Q106" s="271" t="str">
        <f t="shared" si="104"/>
        <v/>
      </c>
      <c r="R106" s="271" t="str">
        <f t="shared" si="105"/>
        <v/>
      </c>
      <c r="S106" s="400" t="str">
        <f t="shared" si="108"/>
        <v/>
      </c>
      <c r="T106" s="231"/>
      <c r="U106" s="120" t="str">
        <f t="shared" si="99"/>
        <v/>
      </c>
      <c r="V106" s="287" t="str">
        <f>Main_무해지!AC106</f>
        <v/>
      </c>
      <c r="W106" s="310">
        <f>+Main_무해지!AD106</f>
        <v>0</v>
      </c>
      <c r="X106" s="310">
        <v>0</v>
      </c>
      <c r="Y106" s="260" t="str">
        <f t="shared" si="100"/>
        <v/>
      </c>
      <c r="Z106" s="260" t="str">
        <f t="shared" si="56"/>
        <v/>
      </c>
      <c r="AA106" s="121" t="str">
        <f>IF($U106="","",SUM(Z106:Z$114))</f>
        <v/>
      </c>
      <c r="AB106" s="260" t="str">
        <f t="shared" si="89"/>
        <v/>
      </c>
      <c r="AC106" s="254">
        <f t="shared" si="90"/>
        <v>0</v>
      </c>
      <c r="AD106" s="254" t="str">
        <f>Main_무해지!AJ106</f>
        <v/>
      </c>
      <c r="AE106" s="260">
        <f t="shared" si="57"/>
        <v>0</v>
      </c>
      <c r="AF106" s="260" t="str">
        <f t="shared" si="101"/>
        <v/>
      </c>
      <c r="AG106" s="260" t="str">
        <f t="shared" si="58"/>
        <v/>
      </c>
      <c r="AH106" s="121" t="str">
        <f>IF($U106="","",SUM(AG106:AG$114))</f>
        <v/>
      </c>
      <c r="AI106" s="260" t="str">
        <f>Main_무해지!AP106</f>
        <v/>
      </c>
      <c r="AJ106" s="260">
        <f t="shared" si="59"/>
        <v>0</v>
      </c>
      <c r="AK106" s="260" t="str">
        <f t="shared" si="60"/>
        <v/>
      </c>
      <c r="AL106" s="260" t="str">
        <f t="shared" si="61"/>
        <v/>
      </c>
      <c r="AM106" s="317" t="str">
        <f>IF($U106="","",SUM($AN106:$AN$114))</f>
        <v/>
      </c>
      <c r="AN106" s="260" t="str">
        <f t="shared" si="91"/>
        <v/>
      </c>
      <c r="AO106" s="317" t="str">
        <f t="shared" si="62"/>
        <v/>
      </c>
      <c r="AP106" s="287" t="str">
        <f>IF($U106="","",INDEX(#REF!,$U106+1))</f>
        <v/>
      </c>
      <c r="AQ106" s="260">
        <f t="shared" si="63"/>
        <v>0</v>
      </c>
      <c r="AR106" s="260" t="str">
        <f t="shared" si="64"/>
        <v/>
      </c>
      <c r="AS106" s="260" t="str">
        <f t="shared" si="65"/>
        <v/>
      </c>
      <c r="AT106" s="317" t="str">
        <f>IF($U106="","",SUM($AS106:$AS$114))</f>
        <v/>
      </c>
      <c r="AU106" s="287" t="str">
        <f>IF($U106="","",INDEX(#REF!,$U106+1))</f>
        <v/>
      </c>
      <c r="AV106" s="260">
        <f t="shared" si="66"/>
        <v>0</v>
      </c>
      <c r="AW106" s="260" t="str">
        <f t="shared" si="67"/>
        <v/>
      </c>
      <c r="AX106" s="260" t="str">
        <f t="shared" si="68"/>
        <v/>
      </c>
      <c r="AY106" s="317" t="str">
        <f>IF($U106="","",SUM($AX106:$AX$114))</f>
        <v/>
      </c>
      <c r="AZ106" s="287" t="str">
        <f>IF($U106="","",INDEX(#REF!,$U106+1))</f>
        <v/>
      </c>
      <c r="BA106" s="260">
        <f t="shared" si="69"/>
        <v>0</v>
      </c>
      <c r="BB106" s="260" t="str">
        <f t="shared" si="70"/>
        <v/>
      </c>
      <c r="BC106" s="260" t="str">
        <f t="shared" si="71"/>
        <v/>
      </c>
      <c r="BD106" s="317" t="str">
        <f>IF($U106="","",SUM($BC106:$BC$114))</f>
        <v/>
      </c>
      <c r="BE106" s="287" t="str">
        <f>IF($U106="","",INDEX(#REF!,$U106+1))</f>
        <v/>
      </c>
      <c r="BF106" s="260">
        <f t="shared" si="72"/>
        <v>0</v>
      </c>
      <c r="BG106" s="260" t="str">
        <f t="shared" si="73"/>
        <v/>
      </c>
      <c r="BH106" s="260" t="str">
        <f t="shared" si="74"/>
        <v/>
      </c>
      <c r="BI106" s="317" t="str">
        <f>IF($U106="","",SUM($BH106:$BH$114))</f>
        <v/>
      </c>
      <c r="BJ106" s="287" t="str">
        <f>IF($U106="","",INDEX(#REF!,$U106+1))</f>
        <v/>
      </c>
      <c r="BK106" s="260">
        <f t="shared" si="75"/>
        <v>0</v>
      </c>
      <c r="BL106" s="260" t="str">
        <f t="shared" si="76"/>
        <v/>
      </c>
      <c r="BM106" s="260" t="str">
        <f t="shared" si="77"/>
        <v/>
      </c>
      <c r="BN106" s="317" t="str">
        <f>IF($U106="","",SUM($BM106:$BM$114))</f>
        <v/>
      </c>
      <c r="BO106" s="287">
        <f t="shared" si="78"/>
        <v>0</v>
      </c>
      <c r="BP106" s="260" t="str">
        <f t="shared" si="79"/>
        <v/>
      </c>
      <c r="BQ106" s="260" t="str">
        <f t="shared" si="80"/>
        <v/>
      </c>
      <c r="BR106" s="260"/>
      <c r="BS106" s="260" t="str">
        <f t="shared" si="92"/>
        <v/>
      </c>
      <c r="BT106" s="260" t="str">
        <f t="shared" si="81"/>
        <v/>
      </c>
      <c r="BU106" s="260" t="str">
        <f t="shared" si="82"/>
        <v/>
      </c>
      <c r="BV106" s="260"/>
      <c r="BW106" s="260" t="str">
        <f t="shared" si="93"/>
        <v/>
      </c>
      <c r="BX106" s="260" t="str">
        <f>IF($U106="","",SUM(BS106:BS$114)+SUM(BW106:BW$114))</f>
        <v/>
      </c>
      <c r="BY106" s="122"/>
      <c r="BZ106" s="122"/>
      <c r="CA106" s="122"/>
      <c r="CB106" s="122"/>
      <c r="CC106" s="396" t="str">
        <f t="shared" si="55"/>
        <v/>
      </c>
      <c r="CD106" s="260" t="str">
        <f t="shared" si="94"/>
        <v/>
      </c>
      <c r="CE106" s="260" t="str">
        <f t="shared" si="83"/>
        <v/>
      </c>
      <c r="CF106" s="260" t="str">
        <f t="shared" si="84"/>
        <v/>
      </c>
      <c r="CG106" s="260" t="str">
        <f t="shared" si="95"/>
        <v/>
      </c>
      <c r="CH106" s="260" t="str">
        <f t="shared" si="85"/>
        <v/>
      </c>
      <c r="CI106" s="123" t="str">
        <f t="shared" si="96"/>
        <v/>
      </c>
      <c r="CJ106" s="124" t="str">
        <f t="shared" si="86"/>
        <v/>
      </c>
      <c r="CK106" s="242"/>
      <c r="CL106" s="120" t="str">
        <f t="shared" si="87"/>
        <v/>
      </c>
      <c r="CM106" s="124" t="str">
        <f t="shared" si="102"/>
        <v/>
      </c>
      <c r="CN106" s="124" t="str">
        <f t="shared" si="97"/>
        <v/>
      </c>
      <c r="CO106" s="124" t="str">
        <f t="shared" si="88"/>
        <v/>
      </c>
      <c r="CP106" s="124" t="str">
        <f t="shared" si="98"/>
        <v/>
      </c>
      <c r="CQ106" s="242"/>
      <c r="CR106" s="242"/>
      <c r="CS106" s="242"/>
      <c r="CT106" s="242"/>
      <c r="CU106" s="242"/>
      <c r="CV106" s="242"/>
      <c r="CW106" s="478"/>
      <c r="CX106" s="478"/>
      <c r="CY106" s="478"/>
      <c r="CZ106" s="478"/>
      <c r="DA106" s="478"/>
      <c r="DB106" s="478"/>
      <c r="DC106" s="478"/>
      <c r="DD106" s="478"/>
      <c r="DE106" s="478"/>
      <c r="DF106" s="478"/>
      <c r="DG106" s="478"/>
      <c r="DH106" s="478"/>
      <c r="DI106" s="478"/>
      <c r="DJ106" s="478"/>
      <c r="DK106" s="478"/>
      <c r="DL106" s="478"/>
      <c r="DM106" s="478"/>
      <c r="DN106" s="478"/>
      <c r="DO106" s="478"/>
      <c r="DP106" s="478"/>
      <c r="DQ106" s="478"/>
      <c r="DR106" s="478"/>
      <c r="DS106" s="478"/>
      <c r="DT106" s="478"/>
      <c r="DU106" s="478"/>
      <c r="DV106" s="478"/>
      <c r="DW106" s="478"/>
      <c r="DX106" s="478"/>
      <c r="DY106" s="478"/>
      <c r="DZ106" s="478"/>
      <c r="EA106" s="478"/>
      <c r="EB106" s="478"/>
      <c r="EC106" s="478"/>
      <c r="ED106" s="478"/>
    </row>
    <row r="107" spans="1:134">
      <c r="A107" s="305"/>
      <c r="B107" s="373"/>
      <c r="C107" s="373"/>
      <c r="D107" s="373"/>
      <c r="E107" s="373"/>
      <c r="F107" s="373"/>
      <c r="G107" s="373"/>
      <c r="H107" s="373"/>
      <c r="I107" s="158"/>
      <c r="J107" s="379"/>
      <c r="K107" s="379"/>
      <c r="L107" s="379"/>
      <c r="M107" s="158"/>
      <c r="N107" s="278" t="str">
        <f t="shared" si="106"/>
        <v/>
      </c>
      <c r="O107" s="279" t="str">
        <f t="shared" si="107"/>
        <v/>
      </c>
      <c r="P107" s="271" t="str">
        <f t="shared" si="103"/>
        <v/>
      </c>
      <c r="Q107" s="271" t="str">
        <f t="shared" si="104"/>
        <v/>
      </c>
      <c r="R107" s="271" t="str">
        <f t="shared" si="105"/>
        <v/>
      </c>
      <c r="S107" s="400" t="str">
        <f t="shared" si="108"/>
        <v/>
      </c>
      <c r="T107" s="231"/>
      <c r="U107" s="120" t="str">
        <f t="shared" si="99"/>
        <v/>
      </c>
      <c r="V107" s="287" t="str">
        <f>Main_무해지!AC107</f>
        <v/>
      </c>
      <c r="W107" s="310">
        <f>+Main_무해지!AD107</f>
        <v>0</v>
      </c>
      <c r="X107" s="310">
        <v>0</v>
      </c>
      <c r="Y107" s="260" t="str">
        <f t="shared" si="100"/>
        <v/>
      </c>
      <c r="Z107" s="260" t="str">
        <f t="shared" si="56"/>
        <v/>
      </c>
      <c r="AA107" s="121" t="str">
        <f>IF($U107="","",SUM(Z107:Z$114))</f>
        <v/>
      </c>
      <c r="AB107" s="260" t="str">
        <f t="shared" si="89"/>
        <v/>
      </c>
      <c r="AC107" s="254">
        <f t="shared" si="90"/>
        <v>0</v>
      </c>
      <c r="AD107" s="254" t="str">
        <f>Main_무해지!AJ107</f>
        <v/>
      </c>
      <c r="AE107" s="260">
        <f t="shared" si="57"/>
        <v>0</v>
      </c>
      <c r="AF107" s="260" t="str">
        <f t="shared" si="101"/>
        <v/>
      </c>
      <c r="AG107" s="260" t="str">
        <f t="shared" si="58"/>
        <v/>
      </c>
      <c r="AH107" s="121" t="str">
        <f>IF($U107="","",SUM(AG107:AG$114))</f>
        <v/>
      </c>
      <c r="AI107" s="260" t="str">
        <f>Main_무해지!AP107</f>
        <v/>
      </c>
      <c r="AJ107" s="260">
        <f t="shared" si="59"/>
        <v>0</v>
      </c>
      <c r="AK107" s="260" t="str">
        <f t="shared" si="60"/>
        <v/>
      </c>
      <c r="AL107" s="260" t="str">
        <f t="shared" si="61"/>
        <v/>
      </c>
      <c r="AM107" s="317" t="str">
        <f>IF($U107="","",SUM($AN107:$AN$114))</f>
        <v/>
      </c>
      <c r="AN107" s="260" t="str">
        <f t="shared" si="91"/>
        <v/>
      </c>
      <c r="AO107" s="317" t="str">
        <f t="shared" si="62"/>
        <v/>
      </c>
      <c r="AP107" s="287" t="str">
        <f>IF($U107="","",INDEX(#REF!,$U107+1))</f>
        <v/>
      </c>
      <c r="AQ107" s="260">
        <f t="shared" si="63"/>
        <v>0</v>
      </c>
      <c r="AR107" s="260" t="str">
        <f t="shared" si="64"/>
        <v/>
      </c>
      <c r="AS107" s="260" t="str">
        <f t="shared" si="65"/>
        <v/>
      </c>
      <c r="AT107" s="317" t="str">
        <f>IF($U107="","",SUM($AS107:$AS$114))</f>
        <v/>
      </c>
      <c r="AU107" s="287" t="str">
        <f>IF($U107="","",INDEX(#REF!,$U107+1))</f>
        <v/>
      </c>
      <c r="AV107" s="260">
        <f t="shared" si="66"/>
        <v>0</v>
      </c>
      <c r="AW107" s="260" t="str">
        <f t="shared" si="67"/>
        <v/>
      </c>
      <c r="AX107" s="260" t="str">
        <f t="shared" si="68"/>
        <v/>
      </c>
      <c r="AY107" s="317" t="str">
        <f>IF($U107="","",SUM($AX107:$AX$114))</f>
        <v/>
      </c>
      <c r="AZ107" s="287" t="str">
        <f>IF($U107="","",INDEX(#REF!,$U107+1))</f>
        <v/>
      </c>
      <c r="BA107" s="260">
        <f t="shared" si="69"/>
        <v>0</v>
      </c>
      <c r="BB107" s="260" t="str">
        <f t="shared" si="70"/>
        <v/>
      </c>
      <c r="BC107" s="260" t="str">
        <f t="shared" si="71"/>
        <v/>
      </c>
      <c r="BD107" s="317" t="str">
        <f>IF($U107="","",SUM($BC107:$BC$114))</f>
        <v/>
      </c>
      <c r="BE107" s="287" t="str">
        <f>IF($U107="","",INDEX(#REF!,$U107+1))</f>
        <v/>
      </c>
      <c r="BF107" s="260">
        <f t="shared" si="72"/>
        <v>0</v>
      </c>
      <c r="BG107" s="260" t="str">
        <f t="shared" si="73"/>
        <v/>
      </c>
      <c r="BH107" s="260" t="str">
        <f t="shared" si="74"/>
        <v/>
      </c>
      <c r="BI107" s="317" t="str">
        <f>IF($U107="","",SUM($BH107:$BH$114))</f>
        <v/>
      </c>
      <c r="BJ107" s="287" t="str">
        <f>IF($U107="","",INDEX(#REF!,$U107+1))</f>
        <v/>
      </c>
      <c r="BK107" s="260">
        <f t="shared" si="75"/>
        <v>0</v>
      </c>
      <c r="BL107" s="260" t="str">
        <f t="shared" si="76"/>
        <v/>
      </c>
      <c r="BM107" s="260" t="str">
        <f t="shared" si="77"/>
        <v/>
      </c>
      <c r="BN107" s="317" t="str">
        <f>IF($U107="","",SUM($BM107:$BM$114))</f>
        <v/>
      </c>
      <c r="BO107" s="287">
        <f t="shared" si="78"/>
        <v>0</v>
      </c>
      <c r="BP107" s="260" t="str">
        <f t="shared" si="79"/>
        <v/>
      </c>
      <c r="BQ107" s="260" t="str">
        <f t="shared" si="80"/>
        <v/>
      </c>
      <c r="BR107" s="260"/>
      <c r="BS107" s="260" t="str">
        <f t="shared" si="92"/>
        <v/>
      </c>
      <c r="BT107" s="260" t="str">
        <f t="shared" si="81"/>
        <v/>
      </c>
      <c r="BU107" s="260" t="str">
        <f t="shared" si="82"/>
        <v/>
      </c>
      <c r="BV107" s="260"/>
      <c r="BW107" s="260" t="str">
        <f t="shared" si="93"/>
        <v/>
      </c>
      <c r="BX107" s="260" t="str">
        <f>IF($U107="","",SUM(BS107:BS$114)+SUM(BW107:BW$114))</f>
        <v/>
      </c>
      <c r="BY107" s="122"/>
      <c r="BZ107" s="122"/>
      <c r="CA107" s="122"/>
      <c r="CB107" s="122"/>
      <c r="CC107" s="396" t="str">
        <f t="shared" si="55"/>
        <v/>
      </c>
      <c r="CD107" s="260" t="str">
        <f t="shared" si="94"/>
        <v/>
      </c>
      <c r="CE107" s="260" t="str">
        <f t="shared" si="83"/>
        <v/>
      </c>
      <c r="CF107" s="260" t="str">
        <f t="shared" si="84"/>
        <v/>
      </c>
      <c r="CG107" s="260" t="str">
        <f t="shared" si="95"/>
        <v/>
      </c>
      <c r="CH107" s="260" t="str">
        <f t="shared" si="85"/>
        <v/>
      </c>
      <c r="CI107" s="123" t="str">
        <f t="shared" si="96"/>
        <v/>
      </c>
      <c r="CJ107" s="124" t="str">
        <f t="shared" si="86"/>
        <v/>
      </c>
      <c r="CK107" s="242"/>
      <c r="CL107" s="120" t="str">
        <f t="shared" si="87"/>
        <v/>
      </c>
      <c r="CM107" s="124" t="str">
        <f t="shared" si="102"/>
        <v/>
      </c>
      <c r="CN107" s="124" t="str">
        <f t="shared" si="97"/>
        <v/>
      </c>
      <c r="CO107" s="124" t="str">
        <f t="shared" si="88"/>
        <v/>
      </c>
      <c r="CP107" s="124" t="str">
        <f t="shared" si="98"/>
        <v/>
      </c>
      <c r="CQ107" s="242"/>
      <c r="CR107" s="242"/>
      <c r="CS107" s="242"/>
      <c r="CT107" s="242"/>
      <c r="CU107" s="242"/>
      <c r="CV107" s="242"/>
      <c r="CW107" s="478"/>
      <c r="CX107" s="478"/>
      <c r="CY107" s="478"/>
      <c r="CZ107" s="478"/>
      <c r="DA107" s="478"/>
      <c r="DB107" s="478"/>
      <c r="DC107" s="478"/>
      <c r="DD107" s="478"/>
      <c r="DE107" s="478"/>
      <c r="DF107" s="478"/>
      <c r="DG107" s="478"/>
      <c r="DH107" s="478"/>
      <c r="DI107" s="478"/>
      <c r="DJ107" s="478"/>
      <c r="DK107" s="478"/>
      <c r="DL107" s="478"/>
      <c r="DM107" s="478"/>
      <c r="DN107" s="478"/>
      <c r="DO107" s="478"/>
      <c r="DP107" s="478"/>
      <c r="DQ107" s="478"/>
      <c r="DR107" s="478"/>
      <c r="DS107" s="478"/>
      <c r="DT107" s="478"/>
      <c r="DU107" s="478"/>
      <c r="DV107" s="478"/>
      <c r="DW107" s="478"/>
      <c r="DX107" s="478"/>
      <c r="DY107" s="478"/>
      <c r="DZ107" s="478"/>
      <c r="EA107" s="478"/>
      <c r="EB107" s="478"/>
      <c r="EC107" s="478"/>
      <c r="ED107" s="478"/>
    </row>
    <row r="108" spans="1:134">
      <c r="A108" s="305"/>
      <c r="B108" s="373"/>
      <c r="C108" s="373"/>
      <c r="D108" s="373"/>
      <c r="E108" s="373"/>
      <c r="F108" s="373"/>
      <c r="G108" s="373"/>
      <c r="H108" s="373"/>
      <c r="I108" s="158"/>
      <c r="J108" s="379"/>
      <c r="K108" s="379"/>
      <c r="L108" s="379"/>
      <c r="M108" s="158"/>
      <c r="N108" s="278" t="str">
        <f t="shared" si="106"/>
        <v/>
      </c>
      <c r="O108" s="279" t="str">
        <f t="shared" si="107"/>
        <v/>
      </c>
      <c r="P108" s="271" t="str">
        <f t="shared" si="103"/>
        <v/>
      </c>
      <c r="Q108" s="271" t="str">
        <f t="shared" si="104"/>
        <v/>
      </c>
      <c r="R108" s="271" t="str">
        <f t="shared" si="105"/>
        <v/>
      </c>
      <c r="S108" s="400" t="str">
        <f t="shared" si="108"/>
        <v/>
      </c>
      <c r="T108" s="231"/>
      <c r="U108" s="120" t="str">
        <f t="shared" si="99"/>
        <v/>
      </c>
      <c r="V108" s="287" t="str">
        <f>Main_무해지!AC108</f>
        <v/>
      </c>
      <c r="W108" s="310">
        <f>+Main_무해지!AD108</f>
        <v>0</v>
      </c>
      <c r="X108" s="310">
        <v>0</v>
      </c>
      <c r="Y108" s="260" t="str">
        <f t="shared" si="100"/>
        <v/>
      </c>
      <c r="Z108" s="260" t="str">
        <f t="shared" si="56"/>
        <v/>
      </c>
      <c r="AA108" s="121" t="str">
        <f>IF($U108="","",SUM(Z108:Z$114))</f>
        <v/>
      </c>
      <c r="AB108" s="260" t="str">
        <f t="shared" si="89"/>
        <v/>
      </c>
      <c r="AC108" s="254">
        <f t="shared" si="90"/>
        <v>0</v>
      </c>
      <c r="AD108" s="254" t="str">
        <f>Main_무해지!AJ108</f>
        <v/>
      </c>
      <c r="AE108" s="260">
        <f t="shared" si="57"/>
        <v>0</v>
      </c>
      <c r="AF108" s="260" t="str">
        <f t="shared" si="101"/>
        <v/>
      </c>
      <c r="AG108" s="260" t="str">
        <f t="shared" si="58"/>
        <v/>
      </c>
      <c r="AH108" s="121" t="str">
        <f>IF($U108="","",SUM(AG108:AG$114))</f>
        <v/>
      </c>
      <c r="AI108" s="260" t="str">
        <f>Main_무해지!AP108</f>
        <v/>
      </c>
      <c r="AJ108" s="260">
        <f t="shared" si="59"/>
        <v>0</v>
      </c>
      <c r="AK108" s="260" t="str">
        <f t="shared" si="60"/>
        <v/>
      </c>
      <c r="AL108" s="260" t="str">
        <f t="shared" si="61"/>
        <v/>
      </c>
      <c r="AM108" s="317" t="str">
        <f>IF($U108="","",SUM($AN108:$AN$114))</f>
        <v/>
      </c>
      <c r="AN108" s="260" t="str">
        <f t="shared" si="91"/>
        <v/>
      </c>
      <c r="AO108" s="317" t="str">
        <f t="shared" si="62"/>
        <v/>
      </c>
      <c r="AP108" s="287" t="str">
        <f>IF($U108="","",INDEX(#REF!,$U108+1))</f>
        <v/>
      </c>
      <c r="AQ108" s="260">
        <f t="shared" si="63"/>
        <v>0</v>
      </c>
      <c r="AR108" s="260" t="str">
        <f t="shared" si="64"/>
        <v/>
      </c>
      <c r="AS108" s="260" t="str">
        <f t="shared" si="65"/>
        <v/>
      </c>
      <c r="AT108" s="317" t="str">
        <f>IF($U108="","",SUM($AS108:$AS$114))</f>
        <v/>
      </c>
      <c r="AU108" s="287" t="str">
        <f>IF($U108="","",INDEX(#REF!,$U108+1))</f>
        <v/>
      </c>
      <c r="AV108" s="260">
        <f t="shared" si="66"/>
        <v>0</v>
      </c>
      <c r="AW108" s="260" t="str">
        <f t="shared" si="67"/>
        <v/>
      </c>
      <c r="AX108" s="260" t="str">
        <f t="shared" si="68"/>
        <v/>
      </c>
      <c r="AY108" s="317" t="str">
        <f>IF($U108="","",SUM($AX108:$AX$114))</f>
        <v/>
      </c>
      <c r="AZ108" s="287" t="str">
        <f>IF($U108="","",INDEX(#REF!,$U108+1))</f>
        <v/>
      </c>
      <c r="BA108" s="260">
        <f t="shared" si="69"/>
        <v>0</v>
      </c>
      <c r="BB108" s="260" t="str">
        <f t="shared" si="70"/>
        <v/>
      </c>
      <c r="BC108" s="260" t="str">
        <f t="shared" si="71"/>
        <v/>
      </c>
      <c r="BD108" s="317" t="str">
        <f>IF($U108="","",SUM($BC108:$BC$114))</f>
        <v/>
      </c>
      <c r="BE108" s="287" t="str">
        <f>IF($U108="","",INDEX(#REF!,$U108+1))</f>
        <v/>
      </c>
      <c r="BF108" s="260">
        <f t="shared" si="72"/>
        <v>0</v>
      </c>
      <c r="BG108" s="260" t="str">
        <f t="shared" si="73"/>
        <v/>
      </c>
      <c r="BH108" s="260" t="str">
        <f t="shared" si="74"/>
        <v/>
      </c>
      <c r="BI108" s="317" t="str">
        <f>IF($U108="","",SUM($BH108:$BH$114))</f>
        <v/>
      </c>
      <c r="BJ108" s="287" t="str">
        <f>IF($U108="","",INDEX(#REF!,$U108+1))</f>
        <v/>
      </c>
      <c r="BK108" s="260">
        <f t="shared" si="75"/>
        <v>0</v>
      </c>
      <c r="BL108" s="260" t="str">
        <f t="shared" si="76"/>
        <v/>
      </c>
      <c r="BM108" s="260" t="str">
        <f t="shared" si="77"/>
        <v/>
      </c>
      <c r="BN108" s="317" t="str">
        <f>IF($U108="","",SUM($BM108:$BM$114))</f>
        <v/>
      </c>
      <c r="BO108" s="287">
        <f t="shared" si="78"/>
        <v>0</v>
      </c>
      <c r="BP108" s="260" t="str">
        <f t="shared" si="79"/>
        <v/>
      </c>
      <c r="BQ108" s="260" t="str">
        <f t="shared" si="80"/>
        <v/>
      </c>
      <c r="BR108" s="260"/>
      <c r="BS108" s="260" t="str">
        <f t="shared" si="92"/>
        <v/>
      </c>
      <c r="BT108" s="260" t="str">
        <f t="shared" si="81"/>
        <v/>
      </c>
      <c r="BU108" s="260" t="str">
        <f t="shared" si="82"/>
        <v/>
      </c>
      <c r="BV108" s="260"/>
      <c r="BW108" s="260" t="str">
        <f t="shared" si="93"/>
        <v/>
      </c>
      <c r="BX108" s="260" t="str">
        <f>IF($U108="","",SUM(BS108:BS$114)+SUM(BW108:BW$114))</f>
        <v/>
      </c>
      <c r="BY108" s="122"/>
      <c r="BZ108" s="122"/>
      <c r="CA108" s="122"/>
      <c r="CB108" s="122"/>
      <c r="CC108" s="396" t="str">
        <f t="shared" si="55"/>
        <v/>
      </c>
      <c r="CD108" s="260" t="str">
        <f t="shared" si="94"/>
        <v/>
      </c>
      <c r="CE108" s="260" t="str">
        <f t="shared" si="83"/>
        <v/>
      </c>
      <c r="CF108" s="260" t="str">
        <f t="shared" si="84"/>
        <v/>
      </c>
      <c r="CG108" s="260" t="str">
        <f t="shared" si="95"/>
        <v/>
      </c>
      <c r="CH108" s="260" t="str">
        <f t="shared" si="85"/>
        <v/>
      </c>
      <c r="CI108" s="123" t="str">
        <f t="shared" si="96"/>
        <v/>
      </c>
      <c r="CJ108" s="124" t="str">
        <f t="shared" si="86"/>
        <v/>
      </c>
      <c r="CK108" s="242"/>
      <c r="CL108" s="120" t="str">
        <f t="shared" si="87"/>
        <v/>
      </c>
      <c r="CM108" s="124" t="str">
        <f t="shared" si="102"/>
        <v/>
      </c>
      <c r="CN108" s="124" t="str">
        <f t="shared" si="97"/>
        <v/>
      </c>
      <c r="CO108" s="124" t="str">
        <f t="shared" si="88"/>
        <v/>
      </c>
      <c r="CP108" s="124" t="str">
        <f t="shared" si="98"/>
        <v/>
      </c>
      <c r="CQ108" s="242"/>
      <c r="CR108" s="242"/>
      <c r="CS108" s="242"/>
      <c r="CT108" s="242"/>
      <c r="CU108" s="242"/>
      <c r="CV108" s="242"/>
      <c r="CW108" s="478"/>
      <c r="CX108" s="478"/>
      <c r="CY108" s="478"/>
      <c r="CZ108" s="478"/>
      <c r="DA108" s="478"/>
      <c r="DB108" s="478"/>
      <c r="DC108" s="478"/>
      <c r="DD108" s="478"/>
      <c r="DE108" s="478"/>
      <c r="DF108" s="478"/>
      <c r="DG108" s="478"/>
      <c r="DH108" s="478"/>
      <c r="DI108" s="478"/>
      <c r="DJ108" s="478"/>
      <c r="DK108" s="478"/>
      <c r="DL108" s="478"/>
      <c r="DM108" s="478"/>
      <c r="DN108" s="478"/>
      <c r="DO108" s="478"/>
      <c r="DP108" s="478"/>
      <c r="DQ108" s="478"/>
      <c r="DR108" s="478"/>
      <c r="DS108" s="478"/>
      <c r="DT108" s="478"/>
      <c r="DU108" s="478"/>
      <c r="DV108" s="478"/>
      <c r="DW108" s="478"/>
      <c r="DX108" s="478"/>
      <c r="DY108" s="478"/>
      <c r="DZ108" s="478"/>
      <c r="EA108" s="478"/>
      <c r="EB108" s="478"/>
      <c r="EC108" s="478"/>
      <c r="ED108" s="478"/>
    </row>
    <row r="109" spans="1:134">
      <c r="A109" s="305"/>
      <c r="B109" s="373"/>
      <c r="C109" s="373"/>
      <c r="D109" s="373"/>
      <c r="E109" s="373"/>
      <c r="F109" s="373"/>
      <c r="G109" s="373"/>
      <c r="H109" s="373"/>
      <c r="I109" s="158"/>
      <c r="J109" s="379"/>
      <c r="K109" s="379"/>
      <c r="L109" s="379"/>
      <c r="M109" s="158"/>
      <c r="N109" s="278" t="str">
        <f t="shared" si="106"/>
        <v/>
      </c>
      <c r="O109" s="279" t="str">
        <f t="shared" si="107"/>
        <v/>
      </c>
      <c r="P109" s="271" t="str">
        <f t="shared" si="103"/>
        <v/>
      </c>
      <c r="Q109" s="271" t="str">
        <f t="shared" si="104"/>
        <v/>
      </c>
      <c r="R109" s="271" t="str">
        <f t="shared" si="105"/>
        <v/>
      </c>
      <c r="S109" s="400" t="str">
        <f t="shared" si="108"/>
        <v/>
      </c>
      <c r="T109" s="231"/>
      <c r="U109" s="130" t="str">
        <f t="shared" si="99"/>
        <v/>
      </c>
      <c r="V109" s="288" t="str">
        <f>Main_무해지!AC109</f>
        <v/>
      </c>
      <c r="W109" s="311">
        <f>+Main_무해지!AD109</f>
        <v>0</v>
      </c>
      <c r="X109" s="311">
        <v>0</v>
      </c>
      <c r="Y109" s="261" t="str">
        <f t="shared" si="100"/>
        <v/>
      </c>
      <c r="Z109" s="261" t="str">
        <f t="shared" si="56"/>
        <v/>
      </c>
      <c r="AA109" s="131" t="str">
        <f>IF($U109="","",SUM(Z109:Z$114))</f>
        <v/>
      </c>
      <c r="AB109" s="261" t="str">
        <f t="shared" si="89"/>
        <v/>
      </c>
      <c r="AC109" s="254">
        <f t="shared" si="90"/>
        <v>0</v>
      </c>
      <c r="AD109" s="254" t="str">
        <f>Main_무해지!AJ109</f>
        <v/>
      </c>
      <c r="AE109" s="261">
        <f t="shared" si="57"/>
        <v>0</v>
      </c>
      <c r="AF109" s="261" t="str">
        <f t="shared" si="101"/>
        <v/>
      </c>
      <c r="AG109" s="261" t="str">
        <f t="shared" si="58"/>
        <v/>
      </c>
      <c r="AH109" s="131" t="str">
        <f>IF($U109="","",SUM(AG109:AG$114))</f>
        <v/>
      </c>
      <c r="AI109" s="261" t="str">
        <f>Main_무해지!AP109</f>
        <v/>
      </c>
      <c r="AJ109" s="261">
        <f t="shared" si="59"/>
        <v>0</v>
      </c>
      <c r="AK109" s="261" t="str">
        <f t="shared" si="60"/>
        <v/>
      </c>
      <c r="AL109" s="261" t="str">
        <f t="shared" si="61"/>
        <v/>
      </c>
      <c r="AM109" s="318" t="str">
        <f>IF($U109="","",SUM($AN109:$AN$114))</f>
        <v/>
      </c>
      <c r="AN109" s="261" t="str">
        <f t="shared" si="91"/>
        <v/>
      </c>
      <c r="AO109" s="318" t="str">
        <f t="shared" si="62"/>
        <v/>
      </c>
      <c r="AP109" s="288" t="str">
        <f>IF($U109="","",INDEX(#REF!,$U109+1))</f>
        <v/>
      </c>
      <c r="AQ109" s="261">
        <f t="shared" si="63"/>
        <v>0</v>
      </c>
      <c r="AR109" s="261" t="str">
        <f t="shared" si="64"/>
        <v/>
      </c>
      <c r="AS109" s="261" t="str">
        <f t="shared" si="65"/>
        <v/>
      </c>
      <c r="AT109" s="318" t="str">
        <f>IF($U109="","",SUM($AS109:$AS$114))</f>
        <v/>
      </c>
      <c r="AU109" s="288" t="str">
        <f>IF($U109="","",INDEX(#REF!,$U109+1))</f>
        <v/>
      </c>
      <c r="AV109" s="261">
        <f t="shared" si="66"/>
        <v>0</v>
      </c>
      <c r="AW109" s="261" t="str">
        <f t="shared" si="67"/>
        <v/>
      </c>
      <c r="AX109" s="261" t="str">
        <f t="shared" si="68"/>
        <v/>
      </c>
      <c r="AY109" s="318" t="str">
        <f>IF($U109="","",SUM($AX109:$AX$114))</f>
        <v/>
      </c>
      <c r="AZ109" s="288" t="str">
        <f>IF($U109="","",INDEX(#REF!,$U109+1))</f>
        <v/>
      </c>
      <c r="BA109" s="261">
        <f t="shared" si="69"/>
        <v>0</v>
      </c>
      <c r="BB109" s="261" t="str">
        <f t="shared" si="70"/>
        <v/>
      </c>
      <c r="BC109" s="261" t="str">
        <f t="shared" si="71"/>
        <v/>
      </c>
      <c r="BD109" s="318" t="str">
        <f>IF($U109="","",SUM($BC109:$BC$114))</f>
        <v/>
      </c>
      <c r="BE109" s="288" t="str">
        <f>IF($U109="","",INDEX(#REF!,$U109+1))</f>
        <v/>
      </c>
      <c r="BF109" s="261">
        <f t="shared" si="72"/>
        <v>0</v>
      </c>
      <c r="BG109" s="261" t="str">
        <f t="shared" si="73"/>
        <v/>
      </c>
      <c r="BH109" s="261" t="str">
        <f t="shared" si="74"/>
        <v/>
      </c>
      <c r="BI109" s="318" t="str">
        <f>IF($U109="","",SUM($BH109:$BH$114))</f>
        <v/>
      </c>
      <c r="BJ109" s="288" t="str">
        <f>IF($U109="","",INDEX(#REF!,$U109+1))</f>
        <v/>
      </c>
      <c r="BK109" s="261">
        <f t="shared" si="75"/>
        <v>0</v>
      </c>
      <c r="BL109" s="261" t="str">
        <f t="shared" si="76"/>
        <v/>
      </c>
      <c r="BM109" s="261" t="str">
        <f t="shared" si="77"/>
        <v/>
      </c>
      <c r="BN109" s="318" t="str">
        <f>IF($U109="","",SUM($BM109:$BM$114))</f>
        <v/>
      </c>
      <c r="BO109" s="288">
        <f t="shared" si="78"/>
        <v>0</v>
      </c>
      <c r="BP109" s="261" t="str">
        <f t="shared" si="79"/>
        <v/>
      </c>
      <c r="BQ109" s="261" t="str">
        <f t="shared" si="80"/>
        <v/>
      </c>
      <c r="BR109" s="261"/>
      <c r="BS109" s="261" t="str">
        <f t="shared" si="92"/>
        <v/>
      </c>
      <c r="BT109" s="261" t="str">
        <f t="shared" si="81"/>
        <v/>
      </c>
      <c r="BU109" s="261" t="str">
        <f t="shared" si="82"/>
        <v/>
      </c>
      <c r="BV109" s="261"/>
      <c r="BW109" s="261" t="str">
        <f t="shared" si="93"/>
        <v/>
      </c>
      <c r="BX109" s="261" t="str">
        <f>IF($U109="","",SUM(BS109:BS$114)+SUM(BW109:BW$114))</f>
        <v/>
      </c>
      <c r="BY109" s="132"/>
      <c r="BZ109" s="132"/>
      <c r="CA109" s="132"/>
      <c r="CB109" s="132"/>
      <c r="CC109" s="397" t="str">
        <f t="shared" si="55"/>
        <v/>
      </c>
      <c r="CD109" s="261" t="str">
        <f t="shared" si="94"/>
        <v/>
      </c>
      <c r="CE109" s="261" t="str">
        <f t="shared" si="83"/>
        <v/>
      </c>
      <c r="CF109" s="261" t="str">
        <f t="shared" si="84"/>
        <v/>
      </c>
      <c r="CG109" s="261" t="str">
        <f t="shared" si="95"/>
        <v/>
      </c>
      <c r="CH109" s="261" t="str">
        <f t="shared" si="85"/>
        <v/>
      </c>
      <c r="CI109" s="133" t="str">
        <f t="shared" si="96"/>
        <v/>
      </c>
      <c r="CJ109" s="134" t="str">
        <f t="shared" si="86"/>
        <v/>
      </c>
      <c r="CK109" s="243"/>
      <c r="CL109" s="130" t="str">
        <f t="shared" si="87"/>
        <v/>
      </c>
      <c r="CM109" s="134" t="str">
        <f t="shared" si="102"/>
        <v/>
      </c>
      <c r="CN109" s="134" t="str">
        <f t="shared" si="97"/>
        <v/>
      </c>
      <c r="CO109" s="134" t="str">
        <f t="shared" si="88"/>
        <v/>
      </c>
      <c r="CP109" s="134" t="str">
        <f t="shared" si="98"/>
        <v/>
      </c>
      <c r="CQ109" s="243"/>
      <c r="CR109" s="243"/>
      <c r="CS109" s="243"/>
      <c r="CT109" s="243"/>
      <c r="CU109" s="243"/>
      <c r="CV109" s="243"/>
      <c r="CW109" s="478"/>
      <c r="CX109" s="478"/>
      <c r="CY109" s="478"/>
      <c r="CZ109" s="478"/>
      <c r="DA109" s="478"/>
      <c r="DB109" s="478"/>
      <c r="DC109" s="478"/>
      <c r="DD109" s="478"/>
      <c r="DE109" s="478"/>
      <c r="DF109" s="478"/>
      <c r="DG109" s="478"/>
      <c r="DH109" s="478"/>
      <c r="DI109" s="478"/>
      <c r="DJ109" s="478"/>
      <c r="DK109" s="478"/>
      <c r="DL109" s="478"/>
      <c r="DM109" s="478"/>
      <c r="DN109" s="478"/>
      <c r="DO109" s="478"/>
      <c r="DP109" s="478"/>
      <c r="DQ109" s="478"/>
      <c r="DR109" s="478"/>
      <c r="DS109" s="478"/>
      <c r="DT109" s="478"/>
      <c r="DU109" s="478"/>
      <c r="DV109" s="478"/>
      <c r="DW109" s="478"/>
      <c r="DX109" s="478"/>
      <c r="DY109" s="478"/>
      <c r="DZ109" s="478"/>
      <c r="EA109" s="478"/>
      <c r="EB109" s="478"/>
      <c r="EC109" s="478"/>
      <c r="ED109" s="478"/>
    </row>
    <row r="110" spans="1:134">
      <c r="A110" s="305"/>
      <c r="B110" s="373"/>
      <c r="C110" s="373"/>
      <c r="D110" s="373"/>
      <c r="E110" s="373"/>
      <c r="F110" s="373"/>
      <c r="G110" s="373"/>
      <c r="H110" s="373"/>
      <c r="I110" s="158"/>
      <c r="J110" s="379"/>
      <c r="K110" s="379"/>
      <c r="L110" s="379"/>
      <c r="M110" s="158"/>
      <c r="N110" s="278" t="str">
        <f t="shared" si="106"/>
        <v/>
      </c>
      <c r="O110" s="279" t="str">
        <f t="shared" si="107"/>
        <v/>
      </c>
      <c r="P110" s="271" t="str">
        <f t="shared" si="103"/>
        <v/>
      </c>
      <c r="Q110" s="271" t="str">
        <f t="shared" si="104"/>
        <v/>
      </c>
      <c r="R110" s="271" t="str">
        <f t="shared" si="105"/>
        <v/>
      </c>
      <c r="S110" s="400" t="str">
        <f t="shared" si="108"/>
        <v/>
      </c>
      <c r="T110" s="231"/>
      <c r="U110" s="759" t="str">
        <f t="shared" si="99"/>
        <v/>
      </c>
      <c r="V110" s="761" t="str">
        <f>Main_무해지!AC110</f>
        <v/>
      </c>
      <c r="W110" s="639">
        <f>+Main_무해지!AD110</f>
        <v>0</v>
      </c>
      <c r="X110" s="639">
        <v>0</v>
      </c>
      <c r="Y110" s="409" t="str">
        <f t="shared" si="100"/>
        <v/>
      </c>
      <c r="Z110" s="409" t="str">
        <f t="shared" si="56"/>
        <v/>
      </c>
      <c r="AA110" s="760" t="str">
        <f>IF($U110="","",SUM(Z110:Z$114))</f>
        <v/>
      </c>
      <c r="AB110" s="409" t="str">
        <f t="shared" si="89"/>
        <v/>
      </c>
      <c r="AC110" s="254">
        <f t="shared" si="90"/>
        <v>0</v>
      </c>
      <c r="AD110" s="254" t="str">
        <f>Main_무해지!AJ110</f>
        <v/>
      </c>
      <c r="AE110" s="409">
        <f t="shared" si="57"/>
        <v>0</v>
      </c>
      <c r="AF110" s="409" t="str">
        <f t="shared" si="101"/>
        <v/>
      </c>
      <c r="AG110" s="409" t="str">
        <f t="shared" si="58"/>
        <v/>
      </c>
      <c r="AH110" s="760" t="str">
        <f>IF($U110="","",SUM(AG110:AG$114))</f>
        <v/>
      </c>
      <c r="AI110" s="409" t="str">
        <f>Main_무해지!AP110</f>
        <v/>
      </c>
      <c r="AJ110" s="409">
        <f t="shared" si="59"/>
        <v>0</v>
      </c>
      <c r="AK110" s="409" t="str">
        <f t="shared" si="60"/>
        <v/>
      </c>
      <c r="AL110" s="409" t="str">
        <f t="shared" si="61"/>
        <v/>
      </c>
      <c r="AM110" s="762" t="str">
        <f>IF($U110="","",SUM($AN110:$AN$114))</f>
        <v/>
      </c>
      <c r="AN110" s="409" t="str">
        <f t="shared" si="91"/>
        <v/>
      </c>
      <c r="AO110" s="762" t="str">
        <f t="shared" si="62"/>
        <v/>
      </c>
      <c r="AP110" s="761" t="str">
        <f>IF($U110="","",INDEX(#REF!,$U110+1))</f>
        <v/>
      </c>
      <c r="AQ110" s="409">
        <f t="shared" si="63"/>
        <v>0</v>
      </c>
      <c r="AR110" s="409" t="str">
        <f t="shared" si="64"/>
        <v/>
      </c>
      <c r="AS110" s="409" t="str">
        <f t="shared" si="65"/>
        <v/>
      </c>
      <c r="AT110" s="762" t="str">
        <f>IF($U110="","",SUM($AS110:$AS$114))</f>
        <v/>
      </c>
      <c r="AU110" s="761" t="str">
        <f>IF($U110="","",INDEX(#REF!,$U110+1))</f>
        <v/>
      </c>
      <c r="AV110" s="409">
        <f t="shared" si="66"/>
        <v>0</v>
      </c>
      <c r="AW110" s="409" t="str">
        <f t="shared" si="67"/>
        <v/>
      </c>
      <c r="AX110" s="409" t="str">
        <f t="shared" si="68"/>
        <v/>
      </c>
      <c r="AY110" s="762" t="str">
        <f>IF($U110="","",SUM($AX110:$AX$114))</f>
        <v/>
      </c>
      <c r="AZ110" s="761" t="str">
        <f>IF($U110="","",INDEX(#REF!,$U110+1))</f>
        <v/>
      </c>
      <c r="BA110" s="409">
        <f t="shared" si="69"/>
        <v>0</v>
      </c>
      <c r="BB110" s="409" t="str">
        <f t="shared" si="70"/>
        <v/>
      </c>
      <c r="BC110" s="409" t="str">
        <f t="shared" si="71"/>
        <v/>
      </c>
      <c r="BD110" s="762" t="str">
        <f>IF($U110="","",SUM($BC110:$BC$114))</f>
        <v/>
      </c>
      <c r="BE110" s="761" t="str">
        <f>IF($U110="","",INDEX(#REF!,$U110+1))</f>
        <v/>
      </c>
      <c r="BF110" s="409">
        <f t="shared" si="72"/>
        <v>0</v>
      </c>
      <c r="BG110" s="409" t="str">
        <f t="shared" si="73"/>
        <v/>
      </c>
      <c r="BH110" s="409" t="str">
        <f t="shared" si="74"/>
        <v/>
      </c>
      <c r="BI110" s="762" t="str">
        <f>IF($U110="","",SUM($BH110:$BH$114))</f>
        <v/>
      </c>
      <c r="BJ110" s="761" t="str">
        <f>IF($U110="","",INDEX(#REF!,$U110+1))</f>
        <v/>
      </c>
      <c r="BK110" s="409">
        <f t="shared" si="75"/>
        <v>0</v>
      </c>
      <c r="BL110" s="409" t="str">
        <f t="shared" si="76"/>
        <v/>
      </c>
      <c r="BM110" s="409" t="str">
        <f t="shared" si="77"/>
        <v/>
      </c>
      <c r="BN110" s="762" t="str">
        <f>IF($U110="","",SUM($BM110:$BM$114))</f>
        <v/>
      </c>
      <c r="BO110" s="761">
        <f t="shared" si="78"/>
        <v>0</v>
      </c>
      <c r="BP110" s="409" t="str">
        <f t="shared" si="79"/>
        <v/>
      </c>
      <c r="BQ110" s="409" t="str">
        <f t="shared" si="80"/>
        <v/>
      </c>
      <c r="BR110" s="409"/>
      <c r="BS110" s="409" t="str">
        <f t="shared" si="92"/>
        <v/>
      </c>
      <c r="BT110" s="409" t="str">
        <f t="shared" si="81"/>
        <v/>
      </c>
      <c r="BU110" s="409" t="str">
        <f t="shared" si="82"/>
        <v/>
      </c>
      <c r="BV110" s="409"/>
      <c r="BW110" s="409" t="str">
        <f t="shared" si="93"/>
        <v/>
      </c>
      <c r="BX110" s="409" t="str">
        <f>IF($U110="","",SUM(BS110:BS$114)+SUM(BW110:BW$114))</f>
        <v/>
      </c>
      <c r="BY110" s="763"/>
      <c r="BZ110" s="763"/>
      <c r="CA110" s="763"/>
      <c r="CB110" s="763"/>
      <c r="CC110" s="764" t="str">
        <f t="shared" si="55"/>
        <v/>
      </c>
      <c r="CD110" s="409" t="str">
        <f t="shared" si="94"/>
        <v/>
      </c>
      <c r="CE110" s="409" t="str">
        <f t="shared" si="83"/>
        <v/>
      </c>
      <c r="CF110" s="409" t="str">
        <f t="shared" si="84"/>
        <v/>
      </c>
      <c r="CG110" s="409" t="str">
        <f t="shared" si="95"/>
        <v/>
      </c>
      <c r="CH110" s="409" t="str">
        <f t="shared" si="85"/>
        <v/>
      </c>
      <c r="CI110" s="765" t="str">
        <f t="shared" si="96"/>
        <v/>
      </c>
      <c r="CJ110" s="766" t="str">
        <f t="shared" si="86"/>
        <v/>
      </c>
      <c r="CK110" s="414"/>
      <c r="CL110" s="759" t="str">
        <f t="shared" si="87"/>
        <v/>
      </c>
      <c r="CM110" s="766" t="str">
        <f t="shared" si="102"/>
        <v/>
      </c>
      <c r="CN110" s="766" t="str">
        <f t="shared" si="97"/>
        <v/>
      </c>
      <c r="CO110" s="766" t="str">
        <f t="shared" si="88"/>
        <v/>
      </c>
      <c r="CP110" s="766" t="str">
        <f t="shared" si="98"/>
        <v/>
      </c>
      <c r="CQ110" s="414"/>
      <c r="CR110" s="414"/>
      <c r="CS110" s="414"/>
      <c r="CT110" s="414"/>
      <c r="CU110" s="414"/>
      <c r="CV110" s="414"/>
      <c r="CW110" s="478"/>
      <c r="CX110" s="478"/>
      <c r="CY110" s="478"/>
      <c r="CZ110" s="478"/>
      <c r="DA110" s="478"/>
      <c r="DB110" s="478"/>
      <c r="DC110" s="478"/>
      <c r="DD110" s="478"/>
      <c r="DE110" s="478"/>
      <c r="DF110" s="478"/>
      <c r="DG110" s="478"/>
      <c r="DH110" s="478"/>
      <c r="DI110" s="478"/>
      <c r="DJ110" s="478"/>
      <c r="DK110" s="478"/>
      <c r="DL110" s="478"/>
      <c r="DM110" s="478"/>
      <c r="DN110" s="478"/>
      <c r="DO110" s="478"/>
      <c r="DP110" s="478"/>
      <c r="DQ110" s="478"/>
      <c r="DR110" s="478"/>
      <c r="DS110" s="478"/>
      <c r="DT110" s="478"/>
      <c r="DU110" s="478"/>
      <c r="DV110" s="478"/>
      <c r="DW110" s="478"/>
      <c r="DX110" s="478"/>
      <c r="DY110" s="478"/>
      <c r="DZ110" s="478"/>
      <c r="EA110" s="478"/>
      <c r="EB110" s="478"/>
      <c r="EC110" s="478"/>
      <c r="ED110" s="478"/>
    </row>
    <row r="111" spans="1:134">
      <c r="A111" s="305"/>
      <c r="B111" s="373"/>
      <c r="C111" s="373"/>
      <c r="D111" s="373"/>
      <c r="E111" s="373"/>
      <c r="F111" s="373"/>
      <c r="G111" s="373"/>
      <c r="H111" s="373"/>
      <c r="I111" s="158"/>
      <c r="J111" s="379"/>
      <c r="K111" s="379"/>
      <c r="L111" s="379"/>
      <c r="M111" s="158"/>
      <c r="N111" s="278" t="str">
        <f t="shared" si="106"/>
        <v/>
      </c>
      <c r="O111" s="279" t="str">
        <f t="shared" si="107"/>
        <v/>
      </c>
      <c r="P111" s="271" t="str">
        <f t="shared" si="103"/>
        <v/>
      </c>
      <c r="Q111" s="271" t="str">
        <f t="shared" si="104"/>
        <v/>
      </c>
      <c r="R111" s="271" t="str">
        <f t="shared" si="105"/>
        <v/>
      </c>
      <c r="S111" s="400" t="str">
        <f t="shared" si="108"/>
        <v/>
      </c>
      <c r="T111" s="231"/>
      <c r="U111" s="101" t="str">
        <f t="shared" si="99"/>
        <v/>
      </c>
      <c r="V111" s="285" t="str">
        <f>Main_무해지!AC111</f>
        <v/>
      </c>
      <c r="W111" s="308">
        <f>+Main_무해지!AD111</f>
        <v>0</v>
      </c>
      <c r="X111" s="308">
        <v>0</v>
      </c>
      <c r="Y111" s="258" t="str">
        <f t="shared" si="100"/>
        <v/>
      </c>
      <c r="Z111" s="258" t="str">
        <f t="shared" si="56"/>
        <v/>
      </c>
      <c r="AA111" s="102" t="str">
        <f>IF($U111="","",SUM(Z111:Z$114))</f>
        <v/>
      </c>
      <c r="AB111" s="258" t="str">
        <f t="shared" si="89"/>
        <v/>
      </c>
      <c r="AC111" s="254">
        <f t="shared" si="90"/>
        <v>0</v>
      </c>
      <c r="AD111" s="254" t="str">
        <f>Main_무해지!AJ111</f>
        <v/>
      </c>
      <c r="AE111" s="258">
        <f t="shared" si="57"/>
        <v>0</v>
      </c>
      <c r="AF111" s="258" t="str">
        <f t="shared" si="101"/>
        <v/>
      </c>
      <c r="AG111" s="258" t="str">
        <f t="shared" si="58"/>
        <v/>
      </c>
      <c r="AH111" s="102" t="str">
        <f>IF($U111="","",SUM(AG111:AG$114))</f>
        <v/>
      </c>
      <c r="AI111" s="258" t="str">
        <f>Main_무해지!AP111</f>
        <v/>
      </c>
      <c r="AJ111" s="258">
        <f t="shared" si="59"/>
        <v>0</v>
      </c>
      <c r="AK111" s="258" t="str">
        <f t="shared" si="60"/>
        <v/>
      </c>
      <c r="AL111" s="258" t="str">
        <f t="shared" si="61"/>
        <v/>
      </c>
      <c r="AM111" s="315" t="str">
        <f>IF($U111="","",SUM($AN111:$AN$114))</f>
        <v/>
      </c>
      <c r="AN111" s="258" t="str">
        <f t="shared" si="91"/>
        <v/>
      </c>
      <c r="AO111" s="315" t="str">
        <f t="shared" si="62"/>
        <v/>
      </c>
      <c r="AP111" s="285" t="str">
        <f>IF($U111="","",INDEX(#REF!,$U111+1))</f>
        <v/>
      </c>
      <c r="AQ111" s="258">
        <f t="shared" si="63"/>
        <v>0</v>
      </c>
      <c r="AR111" s="258" t="str">
        <f t="shared" si="64"/>
        <v/>
      </c>
      <c r="AS111" s="258" t="str">
        <f t="shared" si="65"/>
        <v/>
      </c>
      <c r="AT111" s="315" t="str">
        <f>IF($U111="","",SUM($AS111:$AS$114))</f>
        <v/>
      </c>
      <c r="AU111" s="285" t="str">
        <f>IF($U111="","",INDEX(#REF!,$U111+1))</f>
        <v/>
      </c>
      <c r="AV111" s="258">
        <f t="shared" si="66"/>
        <v>0</v>
      </c>
      <c r="AW111" s="258" t="str">
        <f t="shared" si="67"/>
        <v/>
      </c>
      <c r="AX111" s="258" t="str">
        <f t="shared" si="68"/>
        <v/>
      </c>
      <c r="AY111" s="315" t="str">
        <f>IF($U111="","",SUM($AX111:$AX$114))</f>
        <v/>
      </c>
      <c r="AZ111" s="285" t="str">
        <f>IF($U111="","",INDEX(#REF!,$U111+1))</f>
        <v/>
      </c>
      <c r="BA111" s="258">
        <f t="shared" si="69"/>
        <v>0</v>
      </c>
      <c r="BB111" s="258" t="str">
        <f t="shared" si="70"/>
        <v/>
      </c>
      <c r="BC111" s="258" t="str">
        <f t="shared" si="71"/>
        <v/>
      </c>
      <c r="BD111" s="315" t="str">
        <f>IF($U111="","",SUM($BC111:$BC$114))</f>
        <v/>
      </c>
      <c r="BE111" s="285" t="str">
        <f>IF($U111="","",INDEX(#REF!,$U111+1))</f>
        <v/>
      </c>
      <c r="BF111" s="258">
        <f t="shared" si="72"/>
        <v>0</v>
      </c>
      <c r="BG111" s="258" t="str">
        <f t="shared" si="73"/>
        <v/>
      </c>
      <c r="BH111" s="258" t="str">
        <f t="shared" si="74"/>
        <v/>
      </c>
      <c r="BI111" s="315" t="str">
        <f>IF($U111="","",SUM($BH111:$BH$114))</f>
        <v/>
      </c>
      <c r="BJ111" s="285" t="str">
        <f>IF($U111="","",INDEX(#REF!,$U111+1))</f>
        <v/>
      </c>
      <c r="BK111" s="258">
        <f t="shared" si="75"/>
        <v>0</v>
      </c>
      <c r="BL111" s="258" t="str">
        <f t="shared" si="76"/>
        <v/>
      </c>
      <c r="BM111" s="258" t="str">
        <f t="shared" si="77"/>
        <v/>
      </c>
      <c r="BN111" s="315" t="str">
        <f>IF($U111="","",SUM($BM111:$BM$114))</f>
        <v/>
      </c>
      <c r="BO111" s="285">
        <f t="shared" si="78"/>
        <v>0</v>
      </c>
      <c r="BP111" s="258" t="str">
        <f t="shared" si="79"/>
        <v/>
      </c>
      <c r="BQ111" s="258" t="str">
        <f t="shared" si="80"/>
        <v/>
      </c>
      <c r="BR111" s="258"/>
      <c r="BS111" s="258" t="str">
        <f t="shared" si="92"/>
        <v/>
      </c>
      <c r="BT111" s="258" t="str">
        <f t="shared" si="81"/>
        <v/>
      </c>
      <c r="BU111" s="258" t="str">
        <f t="shared" si="82"/>
        <v/>
      </c>
      <c r="BV111" s="258"/>
      <c r="BW111" s="258" t="str">
        <f t="shared" si="93"/>
        <v/>
      </c>
      <c r="BX111" s="258" t="str">
        <f>IF($U111="","",SUM(BS111:BS$114)+SUM(BW111:BW$114))</f>
        <v/>
      </c>
      <c r="BY111" s="103"/>
      <c r="BZ111" s="103"/>
      <c r="CA111" s="103"/>
      <c r="CB111" s="103"/>
      <c r="CC111" s="394" t="str">
        <f t="shared" si="55"/>
        <v/>
      </c>
      <c r="CD111" s="258" t="str">
        <f t="shared" si="94"/>
        <v/>
      </c>
      <c r="CE111" s="258" t="str">
        <f t="shared" si="83"/>
        <v/>
      </c>
      <c r="CF111" s="258" t="str">
        <f t="shared" si="84"/>
        <v/>
      </c>
      <c r="CG111" s="258" t="str">
        <f t="shared" si="95"/>
        <v/>
      </c>
      <c r="CH111" s="258" t="str">
        <f t="shared" si="85"/>
        <v/>
      </c>
      <c r="CI111" s="104" t="str">
        <f t="shared" si="96"/>
        <v/>
      </c>
      <c r="CJ111" s="105" t="str">
        <f t="shared" si="86"/>
        <v/>
      </c>
      <c r="CK111" s="240"/>
      <c r="CL111" s="101" t="str">
        <f t="shared" si="87"/>
        <v/>
      </c>
      <c r="CM111" s="105" t="str">
        <f t="shared" si="102"/>
        <v/>
      </c>
      <c r="CN111" s="105" t="str">
        <f t="shared" si="97"/>
        <v/>
      </c>
      <c r="CO111" s="105" t="str">
        <f t="shared" si="88"/>
        <v/>
      </c>
      <c r="CP111" s="105" t="str">
        <f t="shared" si="98"/>
        <v/>
      </c>
      <c r="CQ111" s="240"/>
      <c r="CR111" s="240"/>
      <c r="CS111" s="240"/>
      <c r="CT111" s="240"/>
      <c r="CU111" s="240"/>
      <c r="CV111" s="240"/>
      <c r="CW111" s="478"/>
      <c r="CX111" s="478"/>
      <c r="CY111" s="478"/>
      <c r="CZ111" s="478"/>
      <c r="DA111" s="478"/>
      <c r="DB111" s="478"/>
      <c r="DC111" s="478"/>
      <c r="DD111" s="478"/>
      <c r="DE111" s="478"/>
      <c r="DF111" s="478"/>
      <c r="DG111" s="478"/>
      <c r="DH111" s="478"/>
      <c r="DI111" s="478"/>
      <c r="DJ111" s="478"/>
      <c r="DK111" s="478"/>
      <c r="DL111" s="478"/>
      <c r="DM111" s="478"/>
      <c r="DN111" s="478"/>
      <c r="DO111" s="478"/>
      <c r="DP111" s="478"/>
      <c r="DQ111" s="478"/>
      <c r="DR111" s="478"/>
      <c r="DS111" s="478"/>
      <c r="DT111" s="478"/>
      <c r="DU111" s="478"/>
      <c r="DV111" s="478"/>
      <c r="DW111" s="478"/>
      <c r="DX111" s="478"/>
      <c r="DY111" s="478"/>
      <c r="DZ111" s="478"/>
      <c r="EA111" s="478"/>
      <c r="EB111" s="478"/>
      <c r="EC111" s="478"/>
      <c r="ED111" s="478"/>
    </row>
    <row r="112" spans="1:134">
      <c r="A112" s="305"/>
      <c r="B112" s="373"/>
      <c r="C112" s="373"/>
      <c r="D112" s="373"/>
      <c r="E112" s="373"/>
      <c r="F112" s="373"/>
      <c r="G112" s="373"/>
      <c r="H112" s="373"/>
      <c r="I112" s="158"/>
      <c r="J112" s="379"/>
      <c r="K112" s="379"/>
      <c r="L112" s="379"/>
      <c r="M112" s="158"/>
      <c r="N112" s="278" t="str">
        <f t="shared" si="106"/>
        <v/>
      </c>
      <c r="O112" s="279" t="str">
        <f t="shared" si="107"/>
        <v/>
      </c>
      <c r="P112" s="271" t="str">
        <f t="shared" si="103"/>
        <v/>
      </c>
      <c r="Q112" s="271" t="str">
        <f t="shared" si="104"/>
        <v/>
      </c>
      <c r="R112" s="271" t="str">
        <f t="shared" si="105"/>
        <v/>
      </c>
      <c r="S112" s="400" t="str">
        <f t="shared" si="108"/>
        <v/>
      </c>
      <c r="T112" s="231"/>
      <c r="U112" s="101" t="str">
        <f t="shared" si="99"/>
        <v/>
      </c>
      <c r="V112" s="285" t="str">
        <f>Main_무해지!AC112</f>
        <v/>
      </c>
      <c r="W112" s="308">
        <f>+Main_무해지!AD112</f>
        <v>0</v>
      </c>
      <c r="X112" s="308">
        <v>0</v>
      </c>
      <c r="Y112" s="258" t="str">
        <f t="shared" si="100"/>
        <v/>
      </c>
      <c r="Z112" s="258" t="str">
        <f t="shared" si="56"/>
        <v/>
      </c>
      <c r="AA112" s="102" t="str">
        <f>IF($U112="","",SUM(Z112:Z$114))</f>
        <v/>
      </c>
      <c r="AB112" s="258" t="str">
        <f t="shared" si="89"/>
        <v/>
      </c>
      <c r="AC112" s="254">
        <f t="shared" si="90"/>
        <v>0</v>
      </c>
      <c r="AD112" s="254" t="str">
        <f>Main_무해지!AJ112</f>
        <v/>
      </c>
      <c r="AE112" s="258">
        <f t="shared" si="57"/>
        <v>0</v>
      </c>
      <c r="AF112" s="258" t="str">
        <f t="shared" si="101"/>
        <v/>
      </c>
      <c r="AG112" s="258" t="str">
        <f t="shared" si="58"/>
        <v/>
      </c>
      <c r="AH112" s="102" t="str">
        <f>IF($U112="","",SUM(AG112:AG$114))</f>
        <v/>
      </c>
      <c r="AI112" s="258" t="str">
        <f>Main_무해지!AP112</f>
        <v/>
      </c>
      <c r="AJ112" s="258">
        <f t="shared" si="59"/>
        <v>0</v>
      </c>
      <c r="AK112" s="258" t="str">
        <f t="shared" si="60"/>
        <v/>
      </c>
      <c r="AL112" s="258" t="str">
        <f t="shared" si="61"/>
        <v/>
      </c>
      <c r="AM112" s="315" t="str">
        <f>IF($U112="","",SUM($AN112:$AN$114))</f>
        <v/>
      </c>
      <c r="AN112" s="258" t="str">
        <f t="shared" si="91"/>
        <v/>
      </c>
      <c r="AO112" s="315" t="str">
        <f t="shared" si="62"/>
        <v/>
      </c>
      <c r="AP112" s="285" t="str">
        <f>IF($U112="","",INDEX(#REF!,$U112+1))</f>
        <v/>
      </c>
      <c r="AQ112" s="258">
        <f t="shared" si="63"/>
        <v>0</v>
      </c>
      <c r="AR112" s="258" t="str">
        <f t="shared" si="64"/>
        <v/>
      </c>
      <c r="AS112" s="258" t="str">
        <f t="shared" si="65"/>
        <v/>
      </c>
      <c r="AT112" s="315" t="str">
        <f>IF($U112="","",SUM($AS112:$AS$114))</f>
        <v/>
      </c>
      <c r="AU112" s="285" t="str">
        <f>IF($U112="","",INDEX(#REF!,$U112+1))</f>
        <v/>
      </c>
      <c r="AV112" s="258">
        <f t="shared" si="66"/>
        <v>0</v>
      </c>
      <c r="AW112" s="258" t="str">
        <f t="shared" si="67"/>
        <v/>
      </c>
      <c r="AX112" s="258" t="str">
        <f t="shared" si="68"/>
        <v/>
      </c>
      <c r="AY112" s="315" t="str">
        <f>IF($U112="","",SUM($AX112:$AX$114))</f>
        <v/>
      </c>
      <c r="AZ112" s="285" t="str">
        <f>IF($U112="","",INDEX(#REF!,$U112+1))</f>
        <v/>
      </c>
      <c r="BA112" s="258">
        <f t="shared" si="69"/>
        <v>0</v>
      </c>
      <c r="BB112" s="258" t="str">
        <f t="shared" si="70"/>
        <v/>
      </c>
      <c r="BC112" s="258" t="str">
        <f t="shared" si="71"/>
        <v/>
      </c>
      <c r="BD112" s="315" t="str">
        <f>IF($U112="","",SUM($BC112:$BC$114))</f>
        <v/>
      </c>
      <c r="BE112" s="285" t="str">
        <f>IF($U112="","",INDEX(#REF!,$U112+1))</f>
        <v/>
      </c>
      <c r="BF112" s="258">
        <f t="shared" si="72"/>
        <v>0</v>
      </c>
      <c r="BG112" s="258" t="str">
        <f t="shared" si="73"/>
        <v/>
      </c>
      <c r="BH112" s="258" t="str">
        <f t="shared" si="74"/>
        <v/>
      </c>
      <c r="BI112" s="315" t="str">
        <f>IF($U112="","",SUM($BH112:$BH$114))</f>
        <v/>
      </c>
      <c r="BJ112" s="285" t="str">
        <f>IF($U112="","",INDEX(#REF!,$U112+1))</f>
        <v/>
      </c>
      <c r="BK112" s="258">
        <f t="shared" si="75"/>
        <v>0</v>
      </c>
      <c r="BL112" s="258" t="str">
        <f t="shared" si="76"/>
        <v/>
      </c>
      <c r="BM112" s="258" t="str">
        <f t="shared" si="77"/>
        <v/>
      </c>
      <c r="BN112" s="315" t="str">
        <f>IF($U112="","",SUM($BM112:$BM$114))</f>
        <v/>
      </c>
      <c r="BO112" s="285">
        <f t="shared" si="78"/>
        <v>0</v>
      </c>
      <c r="BP112" s="258" t="str">
        <f t="shared" si="79"/>
        <v/>
      </c>
      <c r="BQ112" s="258" t="str">
        <f t="shared" si="80"/>
        <v/>
      </c>
      <c r="BR112" s="258"/>
      <c r="BS112" s="258" t="str">
        <f t="shared" si="92"/>
        <v/>
      </c>
      <c r="BT112" s="258" t="str">
        <f t="shared" si="81"/>
        <v/>
      </c>
      <c r="BU112" s="258" t="str">
        <f t="shared" si="82"/>
        <v/>
      </c>
      <c r="BV112" s="258"/>
      <c r="BW112" s="258" t="str">
        <f t="shared" si="93"/>
        <v/>
      </c>
      <c r="BX112" s="258" t="str">
        <f>IF($U112="","",SUM(BS112:BS$114)+SUM(BW112:BW$114))</f>
        <v/>
      </c>
      <c r="BY112" s="103"/>
      <c r="BZ112" s="103"/>
      <c r="CA112" s="103"/>
      <c r="CB112" s="103"/>
      <c r="CC112" s="394" t="str">
        <f t="shared" si="55"/>
        <v/>
      </c>
      <c r="CD112" s="258" t="str">
        <f t="shared" si="94"/>
        <v/>
      </c>
      <c r="CE112" s="258" t="str">
        <f t="shared" si="83"/>
        <v/>
      </c>
      <c r="CF112" s="258" t="str">
        <f t="shared" si="84"/>
        <v/>
      </c>
      <c r="CG112" s="258" t="str">
        <f t="shared" si="95"/>
        <v/>
      </c>
      <c r="CH112" s="258" t="str">
        <f t="shared" si="85"/>
        <v/>
      </c>
      <c r="CI112" s="104" t="str">
        <f t="shared" si="96"/>
        <v/>
      </c>
      <c r="CJ112" s="105" t="str">
        <f t="shared" si="86"/>
        <v/>
      </c>
      <c r="CK112" s="240"/>
      <c r="CL112" s="101" t="str">
        <f t="shared" si="87"/>
        <v/>
      </c>
      <c r="CM112" s="105" t="str">
        <f t="shared" si="102"/>
        <v/>
      </c>
      <c r="CN112" s="105" t="str">
        <f t="shared" si="97"/>
        <v/>
      </c>
      <c r="CO112" s="105" t="str">
        <f t="shared" si="88"/>
        <v/>
      </c>
      <c r="CP112" s="105" t="str">
        <f t="shared" si="98"/>
        <v/>
      </c>
      <c r="CQ112" s="240"/>
      <c r="CR112" s="240"/>
      <c r="CS112" s="240"/>
      <c r="CT112" s="240"/>
      <c r="CU112" s="240"/>
      <c r="CV112" s="240"/>
      <c r="CW112" s="478"/>
      <c r="CX112" s="478"/>
      <c r="CY112" s="478"/>
      <c r="CZ112" s="478"/>
      <c r="DA112" s="478"/>
      <c r="DB112" s="478"/>
      <c r="DC112" s="478"/>
      <c r="DD112" s="478"/>
      <c r="DE112" s="478"/>
      <c r="DF112" s="478"/>
      <c r="DG112" s="478"/>
      <c r="DH112" s="478"/>
      <c r="DI112" s="478"/>
      <c r="DJ112" s="478"/>
      <c r="DK112" s="478"/>
      <c r="DL112" s="478"/>
      <c r="DM112" s="478"/>
      <c r="DN112" s="478"/>
      <c r="DO112" s="478"/>
      <c r="DP112" s="478"/>
      <c r="DQ112" s="478"/>
      <c r="DR112" s="478"/>
      <c r="DS112" s="478"/>
      <c r="DT112" s="478"/>
      <c r="DU112" s="478"/>
      <c r="DV112" s="478"/>
      <c r="DW112" s="478"/>
      <c r="DX112" s="478"/>
      <c r="DY112" s="478"/>
      <c r="DZ112" s="478"/>
      <c r="EA112" s="478"/>
      <c r="EB112" s="478"/>
      <c r="EC112" s="478"/>
      <c r="ED112" s="478"/>
    </row>
    <row r="113" spans="9:134" s="373" customFormat="1">
      <c r="I113" s="158"/>
      <c r="J113" s="379"/>
      <c r="K113" s="379"/>
      <c r="L113" s="379"/>
      <c r="M113" s="158"/>
      <c r="N113" s="278" t="str">
        <f t="shared" si="106"/>
        <v/>
      </c>
      <c r="O113" s="279" t="str">
        <f t="shared" si="107"/>
        <v/>
      </c>
      <c r="P113" s="271" t="str">
        <f t="shared" si="103"/>
        <v/>
      </c>
      <c r="Q113" s="271" t="str">
        <f t="shared" si="104"/>
        <v/>
      </c>
      <c r="R113" s="271" t="str">
        <f t="shared" si="105"/>
        <v/>
      </c>
      <c r="S113" s="400" t="str">
        <f t="shared" si="108"/>
        <v/>
      </c>
      <c r="T113" s="231"/>
      <c r="U113" s="101" t="str">
        <f t="shared" si="99"/>
        <v/>
      </c>
      <c r="V113" s="285" t="str">
        <f>Main_무해지!AC113</f>
        <v/>
      </c>
      <c r="W113" s="308">
        <f>+Main_무해지!AD113</f>
        <v>0</v>
      </c>
      <c r="X113" s="308">
        <v>0</v>
      </c>
      <c r="Y113" s="258" t="str">
        <f t="shared" si="100"/>
        <v/>
      </c>
      <c r="Z113" s="258" t="str">
        <f t="shared" si="56"/>
        <v/>
      </c>
      <c r="AA113" s="102" t="str">
        <f>IF($U113="","",SUM(Z113:Z$114))</f>
        <v/>
      </c>
      <c r="AB113" s="258" t="str">
        <f t="shared" si="89"/>
        <v/>
      </c>
      <c r="AC113" s="254">
        <f t="shared" si="90"/>
        <v>0</v>
      </c>
      <c r="AD113" s="254" t="str">
        <f>Main_무해지!AJ113</f>
        <v/>
      </c>
      <c r="AE113" s="258">
        <f t="shared" si="57"/>
        <v>0</v>
      </c>
      <c r="AF113" s="258" t="str">
        <f t="shared" si="101"/>
        <v/>
      </c>
      <c r="AG113" s="258" t="str">
        <f t="shared" si="58"/>
        <v/>
      </c>
      <c r="AH113" s="102" t="str">
        <f>IF($U113="","",SUM(AG113:AG$114))</f>
        <v/>
      </c>
      <c r="AI113" s="258" t="str">
        <f>Main_무해지!AP113</f>
        <v/>
      </c>
      <c r="AJ113" s="258">
        <f t="shared" si="59"/>
        <v>0</v>
      </c>
      <c r="AK113" s="258" t="str">
        <f t="shared" si="60"/>
        <v/>
      </c>
      <c r="AL113" s="258" t="str">
        <f t="shared" si="61"/>
        <v/>
      </c>
      <c r="AM113" s="315" t="str">
        <f>IF($U113="","",SUM($AN113:$AN$114))</f>
        <v/>
      </c>
      <c r="AN113" s="258" t="str">
        <f t="shared" si="91"/>
        <v/>
      </c>
      <c r="AO113" s="315" t="str">
        <f t="shared" si="62"/>
        <v/>
      </c>
      <c r="AP113" s="285" t="str">
        <f>IF($U113="","",INDEX(#REF!,$U113+1))</f>
        <v/>
      </c>
      <c r="AQ113" s="258">
        <f t="shared" si="63"/>
        <v>0</v>
      </c>
      <c r="AR113" s="258" t="str">
        <f t="shared" si="64"/>
        <v/>
      </c>
      <c r="AS113" s="258" t="str">
        <f t="shared" si="65"/>
        <v/>
      </c>
      <c r="AT113" s="315" t="str">
        <f>IF($U113="","",SUM($AS113:$AS$114))</f>
        <v/>
      </c>
      <c r="AU113" s="285" t="str">
        <f>IF($U113="","",INDEX(#REF!,$U113+1))</f>
        <v/>
      </c>
      <c r="AV113" s="258">
        <f t="shared" si="66"/>
        <v>0</v>
      </c>
      <c r="AW113" s="258" t="str">
        <f t="shared" si="67"/>
        <v/>
      </c>
      <c r="AX113" s="258" t="str">
        <f t="shared" si="68"/>
        <v/>
      </c>
      <c r="AY113" s="315" t="str">
        <f>IF($U113="","",SUM($AX113:$AX$114))</f>
        <v/>
      </c>
      <c r="AZ113" s="285" t="str">
        <f>IF($U113="","",INDEX(#REF!,$U113+1))</f>
        <v/>
      </c>
      <c r="BA113" s="258">
        <f t="shared" si="69"/>
        <v>0</v>
      </c>
      <c r="BB113" s="258" t="str">
        <f t="shared" si="70"/>
        <v/>
      </c>
      <c r="BC113" s="258" t="str">
        <f t="shared" si="71"/>
        <v/>
      </c>
      <c r="BD113" s="315" t="str">
        <f>IF($U113="","",SUM($BC113:$BC$114))</f>
        <v/>
      </c>
      <c r="BE113" s="285" t="str">
        <f>IF($U113="","",INDEX(#REF!,$U113+1))</f>
        <v/>
      </c>
      <c r="BF113" s="258">
        <f t="shared" si="72"/>
        <v>0</v>
      </c>
      <c r="BG113" s="258" t="str">
        <f t="shared" si="73"/>
        <v/>
      </c>
      <c r="BH113" s="258" t="str">
        <f t="shared" si="74"/>
        <v/>
      </c>
      <c r="BI113" s="315" t="str">
        <f>IF($U113="","",SUM($BH113:$BH$114))</f>
        <v/>
      </c>
      <c r="BJ113" s="285" t="str">
        <f>IF($U113="","",INDEX(#REF!,$U113+1))</f>
        <v/>
      </c>
      <c r="BK113" s="258">
        <f t="shared" si="75"/>
        <v>0</v>
      </c>
      <c r="BL113" s="258" t="str">
        <f t="shared" si="76"/>
        <v/>
      </c>
      <c r="BM113" s="258" t="str">
        <f t="shared" si="77"/>
        <v/>
      </c>
      <c r="BN113" s="315" t="str">
        <f>IF($U113="","",SUM($BM113:$BM$114))</f>
        <v/>
      </c>
      <c r="BO113" s="285">
        <f t="shared" si="78"/>
        <v>0</v>
      </c>
      <c r="BP113" s="258" t="str">
        <f t="shared" si="79"/>
        <v/>
      </c>
      <c r="BQ113" s="258" t="str">
        <f t="shared" si="80"/>
        <v/>
      </c>
      <c r="BR113" s="258"/>
      <c r="BS113" s="258" t="str">
        <f t="shared" si="92"/>
        <v/>
      </c>
      <c r="BT113" s="258" t="str">
        <f t="shared" si="81"/>
        <v/>
      </c>
      <c r="BU113" s="258" t="str">
        <f t="shared" si="82"/>
        <v/>
      </c>
      <c r="BV113" s="258"/>
      <c r="BW113" s="258" t="str">
        <f t="shared" si="93"/>
        <v/>
      </c>
      <c r="BX113" s="258" t="str">
        <f>IF($U113="","",SUM(BS113:BS$114)+SUM(BW113:BW$114))</f>
        <v/>
      </c>
      <c r="BY113" s="103"/>
      <c r="BZ113" s="103"/>
      <c r="CA113" s="103"/>
      <c r="CB113" s="103"/>
      <c r="CC113" s="394" t="str">
        <f t="shared" si="55"/>
        <v/>
      </c>
      <c r="CD113" s="258" t="str">
        <f t="shared" si="94"/>
        <v/>
      </c>
      <c r="CE113" s="258" t="str">
        <f t="shared" si="83"/>
        <v/>
      </c>
      <c r="CF113" s="258" t="str">
        <f t="shared" si="84"/>
        <v/>
      </c>
      <c r="CG113" s="258" t="str">
        <f t="shared" si="95"/>
        <v/>
      </c>
      <c r="CH113" s="258" t="str">
        <f t="shared" si="85"/>
        <v/>
      </c>
      <c r="CI113" s="104" t="str">
        <f t="shared" si="96"/>
        <v/>
      </c>
      <c r="CJ113" s="105" t="str">
        <f t="shared" si="86"/>
        <v/>
      </c>
      <c r="CK113" s="240"/>
      <c r="CL113" s="101" t="str">
        <f t="shared" si="87"/>
        <v/>
      </c>
      <c r="CM113" s="105" t="str">
        <f t="shared" si="102"/>
        <v/>
      </c>
      <c r="CN113" s="105" t="str">
        <f t="shared" si="97"/>
        <v/>
      </c>
      <c r="CO113" s="105" t="str">
        <f t="shared" si="88"/>
        <v/>
      </c>
      <c r="CP113" s="105" t="str">
        <f t="shared" si="98"/>
        <v/>
      </c>
      <c r="CQ113" s="240"/>
      <c r="CR113" s="240"/>
      <c r="CS113" s="240"/>
      <c r="CT113" s="240"/>
      <c r="CU113" s="240"/>
      <c r="CV113" s="240"/>
      <c r="CW113" s="478"/>
      <c r="CX113" s="478"/>
      <c r="CY113" s="478"/>
      <c r="CZ113" s="478"/>
      <c r="DA113" s="478"/>
      <c r="DB113" s="478"/>
      <c r="DC113" s="478"/>
      <c r="DD113" s="478"/>
      <c r="DE113" s="478"/>
      <c r="DF113" s="478"/>
      <c r="DG113" s="478"/>
      <c r="DH113" s="478"/>
      <c r="DI113" s="478"/>
      <c r="DJ113" s="478"/>
      <c r="DK113" s="478"/>
      <c r="DL113" s="478"/>
      <c r="DM113" s="478"/>
      <c r="DN113" s="478"/>
      <c r="DO113" s="478"/>
      <c r="DP113" s="478"/>
      <c r="DQ113" s="478"/>
      <c r="DR113" s="478"/>
      <c r="DS113" s="478"/>
      <c r="DT113" s="478"/>
      <c r="DU113" s="478"/>
      <c r="DV113" s="478"/>
      <c r="DW113" s="478"/>
      <c r="DX113" s="478"/>
      <c r="DY113" s="478"/>
      <c r="DZ113" s="478"/>
      <c r="EA113" s="478"/>
      <c r="EB113" s="478"/>
      <c r="EC113" s="478"/>
      <c r="ED113" s="478"/>
    </row>
    <row r="114" spans="9:134" s="373" customFormat="1">
      <c r="I114" s="158"/>
      <c r="J114" s="379"/>
      <c r="K114" s="379"/>
      <c r="L114" s="379"/>
      <c r="M114" s="158"/>
      <c r="N114" s="278" t="str">
        <f t="shared" si="106"/>
        <v/>
      </c>
      <c r="O114" s="279" t="str">
        <f t="shared" si="107"/>
        <v/>
      </c>
      <c r="P114" s="271" t="str">
        <f t="shared" si="103"/>
        <v/>
      </c>
      <c r="Q114" s="271" t="str">
        <f t="shared" si="104"/>
        <v/>
      </c>
      <c r="R114" s="271" t="str">
        <f t="shared" si="105"/>
        <v/>
      </c>
      <c r="S114" s="400" t="str">
        <f t="shared" si="108"/>
        <v/>
      </c>
      <c r="T114" s="231"/>
      <c r="U114" s="161" t="str">
        <f t="shared" si="99"/>
        <v/>
      </c>
      <c r="V114" s="289" t="str">
        <f>Main_무해지!AC114</f>
        <v/>
      </c>
      <c r="W114" s="312">
        <f>+Main_무해지!AD114</f>
        <v>0</v>
      </c>
      <c r="X114" s="312">
        <v>0</v>
      </c>
      <c r="Y114" s="252" t="str">
        <f t="shared" si="100"/>
        <v/>
      </c>
      <c r="Z114" s="252" t="str">
        <f t="shared" si="56"/>
        <v/>
      </c>
      <c r="AA114" s="162" t="str">
        <f>IF($U114="","",SUM(Z114:Z$114))</f>
        <v/>
      </c>
      <c r="AB114" s="252" t="str">
        <f t="shared" si="89"/>
        <v/>
      </c>
      <c r="AC114" s="254">
        <f t="shared" si="90"/>
        <v>0</v>
      </c>
      <c r="AD114" s="254" t="str">
        <f>Main_무해지!AJ114</f>
        <v/>
      </c>
      <c r="AE114" s="252">
        <f t="shared" si="57"/>
        <v>0</v>
      </c>
      <c r="AF114" s="252" t="str">
        <f t="shared" si="101"/>
        <v/>
      </c>
      <c r="AG114" s="252" t="str">
        <f t="shared" si="58"/>
        <v/>
      </c>
      <c r="AH114" s="162" t="str">
        <f>IF($U114="","",SUM(AG114:AG$114))</f>
        <v/>
      </c>
      <c r="AI114" s="252" t="str">
        <f>Main_무해지!AP114</f>
        <v/>
      </c>
      <c r="AJ114" s="252">
        <f t="shared" si="59"/>
        <v>0</v>
      </c>
      <c r="AK114" s="252" t="str">
        <f t="shared" si="60"/>
        <v/>
      </c>
      <c r="AL114" s="252" t="str">
        <f t="shared" si="61"/>
        <v/>
      </c>
      <c r="AM114" s="319" t="str">
        <f>IF($U114="","",SUM($AN114:$AN$114))</f>
        <v/>
      </c>
      <c r="AN114" s="252" t="str">
        <f t="shared" si="91"/>
        <v/>
      </c>
      <c r="AO114" s="319" t="str">
        <f t="shared" si="62"/>
        <v/>
      </c>
      <c r="AP114" s="289" t="str">
        <f>IF($U114="","",INDEX(#REF!,$U114+1))</f>
        <v/>
      </c>
      <c r="AQ114" s="252">
        <f t="shared" si="63"/>
        <v>0</v>
      </c>
      <c r="AR114" s="252" t="str">
        <f t="shared" si="64"/>
        <v/>
      </c>
      <c r="AS114" s="252" t="str">
        <f t="shared" si="65"/>
        <v/>
      </c>
      <c r="AT114" s="319" t="str">
        <f>IF($U114="","",SUM($AS114:$AS$114))</f>
        <v/>
      </c>
      <c r="AU114" s="289" t="str">
        <f>IF($U114="","",INDEX(#REF!,$U114+1))</f>
        <v/>
      </c>
      <c r="AV114" s="252">
        <f t="shared" si="66"/>
        <v>0</v>
      </c>
      <c r="AW114" s="252" t="str">
        <f t="shared" si="67"/>
        <v/>
      </c>
      <c r="AX114" s="252" t="str">
        <f t="shared" si="68"/>
        <v/>
      </c>
      <c r="AY114" s="319" t="str">
        <f>IF($U114="","",SUM($AX114:$AX$114))</f>
        <v/>
      </c>
      <c r="AZ114" s="289" t="str">
        <f>IF($U114="","",INDEX(#REF!,$U114+1))</f>
        <v/>
      </c>
      <c r="BA114" s="252">
        <f t="shared" si="69"/>
        <v>0</v>
      </c>
      <c r="BB114" s="252" t="str">
        <f t="shared" si="70"/>
        <v/>
      </c>
      <c r="BC114" s="252" t="str">
        <f t="shared" si="71"/>
        <v/>
      </c>
      <c r="BD114" s="319" t="str">
        <f>IF($U114="","",SUM($BC114:$BC$114))</f>
        <v/>
      </c>
      <c r="BE114" s="289" t="str">
        <f>IF($U114="","",INDEX(#REF!,$U114+1))</f>
        <v/>
      </c>
      <c r="BF114" s="252">
        <f t="shared" si="72"/>
        <v>0</v>
      </c>
      <c r="BG114" s="252" t="str">
        <f t="shared" si="73"/>
        <v/>
      </c>
      <c r="BH114" s="252" t="str">
        <f t="shared" si="74"/>
        <v/>
      </c>
      <c r="BI114" s="319" t="str">
        <f>IF($U114="","",SUM($BH114:$BH$114))</f>
        <v/>
      </c>
      <c r="BJ114" s="289" t="str">
        <f>IF($U114="","",INDEX(#REF!,$U114+1))</f>
        <v/>
      </c>
      <c r="BK114" s="252">
        <f t="shared" si="75"/>
        <v>0</v>
      </c>
      <c r="BL114" s="252" t="str">
        <f t="shared" si="76"/>
        <v/>
      </c>
      <c r="BM114" s="252" t="str">
        <f t="shared" si="77"/>
        <v/>
      </c>
      <c r="BN114" s="319" t="str">
        <f>IF($U114="","",SUM($BM114:$BM$114))</f>
        <v/>
      </c>
      <c r="BO114" s="289">
        <f t="shared" si="78"/>
        <v>0</v>
      </c>
      <c r="BP114" s="252" t="str">
        <f t="shared" si="79"/>
        <v/>
      </c>
      <c r="BQ114" s="252" t="str">
        <f t="shared" si="80"/>
        <v/>
      </c>
      <c r="BR114" s="252"/>
      <c r="BS114" s="252" t="str">
        <f t="shared" si="92"/>
        <v/>
      </c>
      <c r="BT114" s="252" t="str">
        <f t="shared" si="81"/>
        <v/>
      </c>
      <c r="BU114" s="252" t="str">
        <f t="shared" si="82"/>
        <v/>
      </c>
      <c r="BV114" s="252"/>
      <c r="BW114" s="252" t="str">
        <f t="shared" si="93"/>
        <v/>
      </c>
      <c r="BX114" s="252" t="str">
        <f>IF($U114="","",SUM(BS114:BS$114)+SUM(BW114:BW$114))</f>
        <v/>
      </c>
      <c r="BY114" s="163"/>
      <c r="BZ114" s="163"/>
      <c r="CA114" s="163"/>
      <c r="CB114" s="163"/>
      <c r="CC114" s="398" t="str">
        <f t="shared" si="55"/>
        <v/>
      </c>
      <c r="CD114" s="252" t="str">
        <f t="shared" si="94"/>
        <v/>
      </c>
      <c r="CE114" s="252" t="str">
        <f t="shared" si="83"/>
        <v/>
      </c>
      <c r="CF114" s="252" t="str">
        <f t="shared" si="84"/>
        <v/>
      </c>
      <c r="CG114" s="252" t="str">
        <f t="shared" si="95"/>
        <v/>
      </c>
      <c r="CH114" s="252" t="str">
        <f t="shared" si="85"/>
        <v/>
      </c>
      <c r="CI114" s="164" t="str">
        <f t="shared" si="96"/>
        <v/>
      </c>
      <c r="CJ114" s="165" t="str">
        <f t="shared" si="86"/>
        <v/>
      </c>
      <c r="CK114" s="244"/>
      <c r="CL114" s="161" t="str">
        <f t="shared" si="87"/>
        <v/>
      </c>
      <c r="CM114" s="165" t="str">
        <f t="shared" si="102"/>
        <v/>
      </c>
      <c r="CN114" s="165" t="str">
        <f t="shared" si="97"/>
        <v/>
      </c>
      <c r="CO114" s="165" t="str">
        <f t="shared" si="88"/>
        <v/>
      </c>
      <c r="CP114" s="165" t="str">
        <f t="shared" si="98"/>
        <v/>
      </c>
      <c r="CQ114" s="244"/>
      <c r="CR114" s="244"/>
      <c r="CS114" s="244"/>
      <c r="CT114" s="244"/>
      <c r="CU114" s="244"/>
      <c r="CV114" s="244"/>
      <c r="CW114" s="478"/>
      <c r="CX114" s="478"/>
      <c r="CY114" s="478"/>
      <c r="CZ114" s="478"/>
      <c r="DA114" s="478"/>
      <c r="DB114" s="478"/>
      <c r="DC114" s="478"/>
      <c r="DD114" s="478"/>
      <c r="DE114" s="478"/>
      <c r="DF114" s="478"/>
      <c r="DG114" s="478"/>
      <c r="DH114" s="478"/>
      <c r="DI114" s="478"/>
      <c r="DJ114" s="478"/>
      <c r="DK114" s="478"/>
      <c r="DL114" s="478"/>
      <c r="DM114" s="478"/>
      <c r="DN114" s="478"/>
      <c r="DO114" s="478"/>
      <c r="DP114" s="478"/>
      <c r="DQ114" s="478"/>
      <c r="DR114" s="478"/>
      <c r="DS114" s="478"/>
      <c r="DT114" s="478"/>
      <c r="DU114" s="478"/>
      <c r="DV114" s="478"/>
      <c r="DW114" s="478"/>
      <c r="DX114" s="478"/>
      <c r="DY114" s="478"/>
      <c r="DZ114" s="478"/>
      <c r="EA114" s="478"/>
      <c r="EB114" s="478"/>
      <c r="EC114" s="478"/>
      <c r="ED114" s="478"/>
    </row>
    <row r="115" spans="9:134" s="373" customFormat="1">
      <c r="I115" s="158"/>
      <c r="J115" s="379"/>
      <c r="K115" s="379"/>
      <c r="L115" s="379"/>
      <c r="M115" s="158"/>
      <c r="N115" s="217"/>
      <c r="O115" s="217"/>
      <c r="P115" s="218"/>
      <c r="Q115" s="218"/>
      <c r="R115" s="218"/>
      <c r="S115" s="219"/>
      <c r="T115" s="219"/>
      <c r="U115" s="166"/>
      <c r="V115" s="168"/>
      <c r="W115" s="168"/>
      <c r="X115" s="168"/>
      <c r="Y115" s="168"/>
      <c r="Z115" s="168"/>
      <c r="AA115" s="263"/>
      <c r="AB115" s="263"/>
      <c r="AC115" s="263"/>
      <c r="AD115" s="263"/>
      <c r="AE115" s="267"/>
      <c r="AF115" s="168"/>
      <c r="AG115" s="168"/>
      <c r="AH115" s="263"/>
      <c r="AI115" s="263"/>
      <c r="AJ115" s="263"/>
      <c r="AK115" s="263"/>
      <c r="AL115" s="263"/>
      <c r="AM115" s="263"/>
      <c r="AN115" s="263"/>
      <c r="AO115" s="263"/>
      <c r="AP115" s="263"/>
      <c r="AQ115" s="263"/>
      <c r="AR115" s="263"/>
      <c r="AS115" s="263"/>
      <c r="AT115" s="263"/>
      <c r="AU115" s="263"/>
      <c r="AV115" s="263"/>
      <c r="AW115" s="263"/>
      <c r="AX115" s="263"/>
      <c r="AY115" s="263"/>
      <c r="AZ115" s="263"/>
      <c r="BA115" s="263"/>
      <c r="BB115" s="263"/>
      <c r="BC115" s="263"/>
      <c r="BD115" s="263"/>
      <c r="BE115" s="263"/>
      <c r="BF115" s="263"/>
      <c r="BG115" s="263"/>
      <c r="BH115" s="263"/>
      <c r="BI115" s="263"/>
      <c r="BJ115" s="263"/>
      <c r="BK115" s="263"/>
      <c r="BL115" s="263"/>
      <c r="BM115" s="263"/>
      <c r="BN115" s="263"/>
      <c r="BO115" s="263"/>
      <c r="BP115" s="263"/>
      <c r="BQ115" s="263"/>
      <c r="BR115" s="263"/>
      <c r="BS115" s="263"/>
      <c r="BT115" s="263"/>
      <c r="BU115" s="263"/>
      <c r="BV115" s="263"/>
      <c r="BW115" s="263"/>
      <c r="BX115" s="263"/>
      <c r="BY115" s="263"/>
      <c r="BZ115" s="263"/>
      <c r="CA115" s="263"/>
      <c r="CB115" s="263"/>
      <c r="CC115" s="263"/>
      <c r="CD115" s="263"/>
      <c r="CE115" s="263"/>
      <c r="CF115" s="263"/>
      <c r="CG115" s="263"/>
      <c r="CH115" s="263"/>
      <c r="CI115" s="263"/>
      <c r="CJ115" s="251"/>
      <c r="CK115" s="169"/>
      <c r="CL115" s="169"/>
      <c r="CM115" s="169"/>
      <c r="CN115" s="169"/>
      <c r="CO115" s="169"/>
      <c r="CP115" s="169"/>
      <c r="CQ115" s="169"/>
      <c r="CR115" s="169"/>
      <c r="CS115" s="169"/>
      <c r="CT115" s="169"/>
      <c r="CU115" s="169"/>
      <c r="CV115" s="169"/>
      <c r="CW115" s="478"/>
      <c r="CX115" s="478"/>
      <c r="CY115" s="478"/>
      <c r="CZ115" s="478"/>
      <c r="DA115" s="478"/>
      <c r="DB115" s="478"/>
      <c r="DC115" s="478"/>
      <c r="DD115" s="478"/>
      <c r="DE115" s="478"/>
      <c r="DF115" s="478"/>
      <c r="DG115" s="478"/>
      <c r="DH115" s="478"/>
      <c r="DI115" s="478"/>
      <c r="DJ115" s="478"/>
      <c r="DK115" s="478"/>
      <c r="DL115" s="478"/>
      <c r="DM115" s="478"/>
      <c r="DN115" s="478"/>
      <c r="DO115" s="478"/>
      <c r="DP115" s="478"/>
      <c r="DQ115" s="478"/>
      <c r="DR115" s="478"/>
      <c r="DS115" s="478"/>
      <c r="DT115" s="478"/>
      <c r="DU115" s="478"/>
      <c r="DV115" s="478"/>
      <c r="DW115" s="478"/>
      <c r="DX115" s="478"/>
      <c r="DY115" s="478"/>
      <c r="DZ115" s="478"/>
      <c r="EA115" s="478"/>
      <c r="EB115" s="478"/>
      <c r="EC115" s="478"/>
      <c r="ED115" s="478"/>
    </row>
    <row r="116" spans="9:134" s="373" customFormat="1">
      <c r="I116" s="158"/>
      <c r="J116" s="379"/>
      <c r="K116" s="379"/>
      <c r="L116" s="379"/>
      <c r="M116" s="167"/>
      <c r="N116" s="215" t="str">
        <f t="shared" si="106"/>
        <v/>
      </c>
      <c r="O116" s="159">
        <f>MAX($O$4:$O$114)</f>
        <v>1</v>
      </c>
      <c r="P116" s="216" t="str">
        <f>IF(N116="","",IF($F$5=0,$K$3,$K$3*$K$38*MIN($N116,F$5)))</f>
        <v/>
      </c>
      <c r="Q116" s="216" t="str">
        <f>IF(N116="","",CJ114*$E$12/100)</f>
        <v/>
      </c>
      <c r="R116" s="214" t="str">
        <f>IF(N116="","",MAX(Q116-IF(N116&gt;=MIN(7,$F$5),0,((MIN(7,$F$5)-N116)/MIN(7,$F$5))*MIN($K$10,$K$11)*$E$12/100),0))</f>
        <v/>
      </c>
      <c r="S116" s="221"/>
      <c r="T116" s="228"/>
      <c r="U116" s="223" t="s">
        <v>61</v>
      </c>
      <c r="V116" s="372">
        <f>INDEX(V4:V114,$F$5+1)</f>
        <v>0</v>
      </c>
      <c r="W116" s="372"/>
      <c r="X116" s="372">
        <f t="shared" ref="X116:BX116" si="109">INDEX(X4:X114,$F$5+1)</f>
        <v>0</v>
      </c>
      <c r="Y116" s="372">
        <f t="shared" si="109"/>
        <v>100000</v>
      </c>
      <c r="Z116" s="372">
        <f t="shared" si="109"/>
        <v>97799.511002444997</v>
      </c>
      <c r="AA116" s="372">
        <f t="shared" si="109"/>
        <v>97799.511002444997</v>
      </c>
      <c r="AB116" s="372">
        <f t="shared" si="109"/>
        <v>0</v>
      </c>
      <c r="AC116" s="372"/>
      <c r="AD116" s="372">
        <f t="shared" si="109"/>
        <v>2.9999999999999997E-5</v>
      </c>
      <c r="AE116" s="372">
        <f t="shared" si="109"/>
        <v>0</v>
      </c>
      <c r="AF116" s="372">
        <f t="shared" si="109"/>
        <v>100000</v>
      </c>
      <c r="AG116" s="372">
        <f t="shared" si="109"/>
        <v>97799.511002444997</v>
      </c>
      <c r="AH116" s="372">
        <f t="shared" si="109"/>
        <v>97799.511002444997</v>
      </c>
      <c r="AI116" s="372">
        <f t="shared" si="109"/>
        <v>1.5E-5</v>
      </c>
      <c r="AJ116" s="372">
        <f t="shared" si="109"/>
        <v>0</v>
      </c>
      <c r="AK116" s="372">
        <f t="shared" si="109"/>
        <v>1.5</v>
      </c>
      <c r="AL116" s="372">
        <f t="shared" si="109"/>
        <v>1.4507623758459134</v>
      </c>
      <c r="AM116" s="372">
        <f t="shared" si="109"/>
        <v>1.4507623758459134</v>
      </c>
      <c r="AN116" s="372">
        <f t="shared" si="109"/>
        <v>1.4507623758459134</v>
      </c>
      <c r="AO116" s="372">
        <f t="shared" si="109"/>
        <v>1</v>
      </c>
      <c r="AP116" s="372" t="e">
        <f t="shared" si="109"/>
        <v>#REF!</v>
      </c>
      <c r="AQ116" s="372">
        <f t="shared" si="109"/>
        <v>0</v>
      </c>
      <c r="AR116" s="372" t="e">
        <f t="shared" si="109"/>
        <v>#REF!</v>
      </c>
      <c r="AS116" s="372" t="e">
        <f t="shared" si="109"/>
        <v>#REF!</v>
      </c>
      <c r="AT116" s="372" t="e">
        <f t="shared" si="109"/>
        <v>#REF!</v>
      </c>
      <c r="AU116" s="372" t="e">
        <f t="shared" si="109"/>
        <v>#REF!</v>
      </c>
      <c r="AV116" s="372">
        <f t="shared" si="109"/>
        <v>0</v>
      </c>
      <c r="AW116" s="372" t="e">
        <f t="shared" si="109"/>
        <v>#REF!</v>
      </c>
      <c r="AX116" s="372" t="e">
        <f t="shared" si="109"/>
        <v>#REF!</v>
      </c>
      <c r="AY116" s="372" t="e">
        <f t="shared" si="109"/>
        <v>#REF!</v>
      </c>
      <c r="AZ116" s="372" t="e">
        <f t="shared" si="109"/>
        <v>#REF!</v>
      </c>
      <c r="BA116" s="372">
        <f t="shared" si="109"/>
        <v>0</v>
      </c>
      <c r="BB116" s="372" t="e">
        <f t="shared" si="109"/>
        <v>#REF!</v>
      </c>
      <c r="BC116" s="372" t="e">
        <f t="shared" si="109"/>
        <v>#REF!</v>
      </c>
      <c r="BD116" s="372" t="e">
        <f t="shared" si="109"/>
        <v>#REF!</v>
      </c>
      <c r="BE116" s="372" t="e">
        <f t="shared" si="109"/>
        <v>#REF!</v>
      </c>
      <c r="BF116" s="372">
        <f t="shared" si="109"/>
        <v>0</v>
      </c>
      <c r="BG116" s="372" t="e">
        <f t="shared" si="109"/>
        <v>#REF!</v>
      </c>
      <c r="BH116" s="372" t="e">
        <f t="shared" si="109"/>
        <v>#REF!</v>
      </c>
      <c r="BI116" s="372" t="e">
        <f t="shared" si="109"/>
        <v>#REF!</v>
      </c>
      <c r="BJ116" s="372" t="e">
        <f t="shared" si="109"/>
        <v>#REF!</v>
      </c>
      <c r="BK116" s="372">
        <f t="shared" si="109"/>
        <v>0</v>
      </c>
      <c r="BL116" s="372" t="e">
        <f t="shared" si="109"/>
        <v>#REF!</v>
      </c>
      <c r="BM116" s="372" t="e">
        <f t="shared" si="109"/>
        <v>#REF!</v>
      </c>
      <c r="BN116" s="372" t="e">
        <f t="shared" si="109"/>
        <v>#REF!</v>
      </c>
      <c r="BO116" s="372">
        <f t="shared" si="109"/>
        <v>0</v>
      </c>
      <c r="BP116" s="372">
        <f t="shared" si="109"/>
        <v>0</v>
      </c>
      <c r="BQ116" s="372">
        <f t="shared" si="109"/>
        <v>0</v>
      </c>
      <c r="BR116" s="372">
        <f t="shared" si="109"/>
        <v>0</v>
      </c>
      <c r="BS116" s="372">
        <f t="shared" si="109"/>
        <v>0</v>
      </c>
      <c r="BT116" s="372">
        <f t="shared" si="109"/>
        <v>0</v>
      </c>
      <c r="BU116" s="372">
        <f t="shared" si="109"/>
        <v>0</v>
      </c>
      <c r="BV116" s="372">
        <f t="shared" si="109"/>
        <v>0</v>
      </c>
      <c r="BW116" s="372">
        <f t="shared" si="109"/>
        <v>0</v>
      </c>
      <c r="BX116" s="372">
        <f t="shared" si="109"/>
        <v>0</v>
      </c>
      <c r="BY116" s="372"/>
      <c r="BZ116" s="372"/>
      <c r="CA116" s="372"/>
      <c r="CB116" s="372"/>
      <c r="CC116" s="372"/>
      <c r="CD116" s="372"/>
      <c r="CE116" s="372"/>
      <c r="CF116" s="372"/>
      <c r="CG116" s="372"/>
      <c r="CH116" s="372"/>
      <c r="CI116" s="372"/>
      <c r="CJ116" s="264"/>
      <c r="CK116" s="170"/>
      <c r="CL116" s="170"/>
      <c r="CM116" s="170"/>
      <c r="CN116" s="170"/>
      <c r="CO116" s="170"/>
      <c r="CP116" s="170"/>
      <c r="CQ116" s="170"/>
      <c r="CR116" s="170"/>
      <c r="CS116" s="170"/>
      <c r="CT116" s="170"/>
      <c r="CU116" s="170"/>
      <c r="CV116" s="170"/>
      <c r="CW116" s="478"/>
      <c r="CX116" s="478"/>
      <c r="CY116" s="478"/>
      <c r="CZ116" s="478"/>
      <c r="DA116" s="478"/>
      <c r="DB116" s="478"/>
      <c r="DC116" s="478"/>
      <c r="DD116" s="478"/>
      <c r="DE116" s="478"/>
      <c r="DF116" s="478"/>
      <c r="DG116" s="478"/>
      <c r="DH116" s="478"/>
      <c r="DI116" s="478"/>
      <c r="DJ116" s="478"/>
      <c r="DK116" s="478"/>
      <c r="DL116" s="478"/>
      <c r="DM116" s="478"/>
      <c r="DN116" s="478"/>
      <c r="DO116" s="478"/>
      <c r="DP116" s="478"/>
      <c r="DQ116" s="478"/>
      <c r="DR116" s="478"/>
      <c r="DS116" s="478"/>
      <c r="DT116" s="478"/>
      <c r="DU116" s="478"/>
      <c r="DV116" s="478"/>
      <c r="DW116" s="478"/>
      <c r="DX116" s="478"/>
      <c r="DY116" s="478"/>
      <c r="DZ116" s="478"/>
      <c r="EA116" s="478"/>
      <c r="EB116" s="478"/>
      <c r="EC116" s="478"/>
      <c r="ED116" s="478"/>
    </row>
    <row r="117" spans="9:134" s="373" customFormat="1">
      <c r="I117" s="158"/>
      <c r="J117" s="379"/>
      <c r="K117" s="379"/>
      <c r="L117" s="379"/>
      <c r="M117" s="158"/>
      <c r="N117" s="215" t="str">
        <f t="shared" si="106"/>
        <v/>
      </c>
      <c r="O117" s="159">
        <f>MAX($O$4:$O$114)</f>
        <v>1</v>
      </c>
      <c r="P117" s="216" t="str">
        <f>IF(N117="","",IF($F$5=0,$K$3,$K$3*$K$38*MIN($N117,F$5)))</f>
        <v/>
      </c>
      <c r="Q117" s="216" t="str">
        <f>IF(N117="","",#REF!*$E$12/100)</f>
        <v/>
      </c>
      <c r="R117" s="214" t="str">
        <f>IF(N117="","",MAX(Q117-IF(N117&gt;=MIN(7,$F$5),0,((MIN(7,$F$5)-N117)/MIN(7,$F$5))*MIN($K$10,$K$11)*$E$12/100),0))</f>
        <v/>
      </c>
      <c r="S117" s="221"/>
      <c r="T117" s="229"/>
      <c r="U117" s="223" t="s">
        <v>62</v>
      </c>
      <c r="V117" s="372">
        <f>INDEX(V4:V114,$F$4+1)</f>
        <v>0</v>
      </c>
      <c r="W117" s="372"/>
      <c r="X117" s="372">
        <f t="shared" ref="X117:BX117" si="110">INDEX(X4:X114,$F$4+1)</f>
        <v>0</v>
      </c>
      <c r="Y117" s="372">
        <f t="shared" si="110"/>
        <v>100000</v>
      </c>
      <c r="Z117" s="372">
        <f t="shared" si="110"/>
        <v>97799.511002444997</v>
      </c>
      <c r="AA117" s="406">
        <f>IF($O117&gt;100,0,INDEX(AA4:AA114,$F$4+1))</f>
        <v>97799.511002444997</v>
      </c>
      <c r="AB117" s="372">
        <f t="shared" si="110"/>
        <v>0</v>
      </c>
      <c r="AC117" s="372"/>
      <c r="AD117" s="372">
        <f t="shared" si="110"/>
        <v>2.9999999999999997E-5</v>
      </c>
      <c r="AE117" s="372">
        <f t="shared" si="110"/>
        <v>0</v>
      </c>
      <c r="AF117" s="372">
        <f t="shared" si="110"/>
        <v>100000</v>
      </c>
      <c r="AG117" s="372">
        <f t="shared" si="110"/>
        <v>97799.511002444997</v>
      </c>
      <c r="AH117" s="372">
        <f t="shared" si="110"/>
        <v>97799.511002444997</v>
      </c>
      <c r="AI117" s="372">
        <f t="shared" si="110"/>
        <v>1.5E-5</v>
      </c>
      <c r="AJ117" s="372">
        <f t="shared" si="110"/>
        <v>0</v>
      </c>
      <c r="AK117" s="372">
        <f t="shared" si="110"/>
        <v>1.5</v>
      </c>
      <c r="AL117" s="372">
        <f t="shared" si="110"/>
        <v>1.4507623758459134</v>
      </c>
      <c r="AM117" s="372">
        <f t="shared" si="110"/>
        <v>1.4507623758459134</v>
      </c>
      <c r="AN117" s="372">
        <f t="shared" si="110"/>
        <v>1.4507623758459134</v>
      </c>
      <c r="AO117" s="372">
        <f t="shared" si="110"/>
        <v>1</v>
      </c>
      <c r="AP117" s="372" t="e">
        <f t="shared" si="110"/>
        <v>#REF!</v>
      </c>
      <c r="AQ117" s="372">
        <f t="shared" si="110"/>
        <v>0</v>
      </c>
      <c r="AR117" s="372" t="e">
        <f t="shared" si="110"/>
        <v>#REF!</v>
      </c>
      <c r="AS117" s="372" t="e">
        <f t="shared" si="110"/>
        <v>#REF!</v>
      </c>
      <c r="AT117" s="372" t="e">
        <f t="shared" si="110"/>
        <v>#REF!</v>
      </c>
      <c r="AU117" s="372" t="e">
        <f t="shared" si="110"/>
        <v>#REF!</v>
      </c>
      <c r="AV117" s="372">
        <f t="shared" si="110"/>
        <v>0</v>
      </c>
      <c r="AW117" s="372" t="e">
        <f t="shared" si="110"/>
        <v>#REF!</v>
      </c>
      <c r="AX117" s="372" t="e">
        <f t="shared" si="110"/>
        <v>#REF!</v>
      </c>
      <c r="AY117" s="372" t="e">
        <f t="shared" si="110"/>
        <v>#REF!</v>
      </c>
      <c r="AZ117" s="372" t="e">
        <f t="shared" si="110"/>
        <v>#REF!</v>
      </c>
      <c r="BA117" s="372">
        <f t="shared" si="110"/>
        <v>0</v>
      </c>
      <c r="BB117" s="372" t="e">
        <f t="shared" si="110"/>
        <v>#REF!</v>
      </c>
      <c r="BC117" s="372" t="e">
        <f t="shared" si="110"/>
        <v>#REF!</v>
      </c>
      <c r="BD117" s="372" t="e">
        <f t="shared" si="110"/>
        <v>#REF!</v>
      </c>
      <c r="BE117" s="372" t="e">
        <f t="shared" si="110"/>
        <v>#REF!</v>
      </c>
      <c r="BF117" s="372">
        <f t="shared" si="110"/>
        <v>0</v>
      </c>
      <c r="BG117" s="372" t="e">
        <f t="shared" si="110"/>
        <v>#REF!</v>
      </c>
      <c r="BH117" s="372" t="e">
        <f t="shared" si="110"/>
        <v>#REF!</v>
      </c>
      <c r="BI117" s="372" t="e">
        <f t="shared" si="110"/>
        <v>#REF!</v>
      </c>
      <c r="BJ117" s="372" t="e">
        <f t="shared" si="110"/>
        <v>#REF!</v>
      </c>
      <c r="BK117" s="372">
        <f t="shared" si="110"/>
        <v>0</v>
      </c>
      <c r="BL117" s="372" t="e">
        <f t="shared" si="110"/>
        <v>#REF!</v>
      </c>
      <c r="BM117" s="372" t="e">
        <f t="shared" si="110"/>
        <v>#REF!</v>
      </c>
      <c r="BN117" s="372" t="e">
        <f t="shared" si="110"/>
        <v>#REF!</v>
      </c>
      <c r="BO117" s="372">
        <f t="shared" si="110"/>
        <v>0</v>
      </c>
      <c r="BP117" s="372">
        <f t="shared" si="110"/>
        <v>0</v>
      </c>
      <c r="BQ117" s="372">
        <f t="shared" si="110"/>
        <v>0</v>
      </c>
      <c r="BR117" s="372">
        <f t="shared" si="110"/>
        <v>0</v>
      </c>
      <c r="BS117" s="372">
        <f t="shared" si="110"/>
        <v>0</v>
      </c>
      <c r="BT117" s="372">
        <f t="shared" si="110"/>
        <v>0</v>
      </c>
      <c r="BU117" s="372">
        <f t="shared" si="110"/>
        <v>0</v>
      </c>
      <c r="BV117" s="372">
        <f t="shared" si="110"/>
        <v>0</v>
      </c>
      <c r="BW117" s="372">
        <f t="shared" si="110"/>
        <v>0</v>
      </c>
      <c r="BX117" s="372">
        <f t="shared" si="110"/>
        <v>0</v>
      </c>
      <c r="BY117" s="372"/>
      <c r="BZ117" s="372"/>
      <c r="CA117" s="372"/>
      <c r="CB117" s="372"/>
      <c r="CC117" s="372"/>
      <c r="CD117" s="372"/>
      <c r="CE117" s="372"/>
      <c r="CF117" s="372"/>
      <c r="CG117" s="372"/>
      <c r="CH117" s="372"/>
      <c r="CI117" s="372"/>
      <c r="CJ117" s="264"/>
      <c r="CK117" s="170"/>
      <c r="CL117" s="170"/>
      <c r="CM117" s="170"/>
      <c r="CN117" s="170"/>
      <c r="CO117" s="170"/>
      <c r="CP117" s="170"/>
      <c r="CQ117" s="170"/>
      <c r="CR117" s="170"/>
      <c r="CS117" s="170"/>
      <c r="CT117" s="170"/>
      <c r="CU117" s="170"/>
      <c r="CV117" s="170"/>
    </row>
    <row r="118" spans="9:134" s="373" customFormat="1">
      <c r="I118" s="158"/>
      <c r="J118" s="379"/>
      <c r="K118" s="379"/>
      <c r="L118" s="379"/>
      <c r="M118" s="158"/>
      <c r="N118" s="215" t="str">
        <f t="shared" si="106"/>
        <v/>
      </c>
      <c r="O118" s="270"/>
      <c r="P118" s="216" t="str">
        <f>IF(N118="","",IF($F$5=0,$K$3,$K$3*$K$38*MIN($N118,F$5)))</f>
        <v/>
      </c>
      <c r="Q118" s="216" t="str">
        <f>IF(N118="","",#REF!*$E$12/100)</f>
        <v/>
      </c>
      <c r="R118" s="214" t="str">
        <f>IF(N118="","",MAX(Q118-IF(N118&gt;=MIN(7,$F$5),0,((MIN(7,$F$5)-N118)/MIN(7,$F$5))*MIN($K$10,$K$11)*$E$12/100),0))</f>
        <v/>
      </c>
      <c r="S118" s="221"/>
      <c r="T118" s="230"/>
      <c r="U118" s="6"/>
      <c r="V118" s="372"/>
      <c r="W118" s="372"/>
      <c r="X118" s="372"/>
      <c r="Y118" s="372"/>
      <c r="Z118" s="372"/>
      <c r="AA118" s="7"/>
      <c r="AB118" s="7"/>
      <c r="AC118" s="7"/>
      <c r="AD118" s="7"/>
      <c r="AE118" s="7"/>
      <c r="AF118" s="171"/>
      <c r="AG118" s="171"/>
      <c r="AH118" s="172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7"/>
      <c r="BV118" s="7"/>
      <c r="BW118" s="7"/>
      <c r="BX118" s="7"/>
      <c r="BY118" s="7"/>
      <c r="BZ118" s="7"/>
      <c r="CA118" s="7"/>
      <c r="CB118" s="7"/>
      <c r="CC118" s="7"/>
      <c r="CD118" s="7"/>
      <c r="CE118" s="7"/>
      <c r="CF118" s="7"/>
      <c r="CG118" s="7"/>
      <c r="CH118" s="7"/>
      <c r="CI118" s="7"/>
      <c r="CJ118" s="265"/>
      <c r="CK118" s="12"/>
      <c r="CL118" s="12"/>
      <c r="CM118" s="12"/>
      <c r="CN118" s="12"/>
      <c r="CO118" s="12"/>
      <c r="CP118" s="12"/>
      <c r="CQ118" s="12"/>
      <c r="CR118" s="12"/>
      <c r="CS118" s="12"/>
      <c r="CT118" s="12"/>
      <c r="CU118" s="12"/>
      <c r="CV118" s="12"/>
    </row>
    <row r="119" spans="9:134" s="373" customFormat="1">
      <c r="I119" s="158"/>
      <c r="J119" s="379"/>
      <c r="K119" s="379"/>
      <c r="L119" s="379"/>
      <c r="M119" s="158"/>
      <c r="N119" s="215"/>
      <c r="O119" s="270"/>
      <c r="P119" s="216"/>
      <c r="Q119" s="216"/>
      <c r="R119" s="214"/>
      <c r="S119" s="221"/>
      <c r="T119" s="230"/>
      <c r="U119" s="6"/>
      <c r="V119" s="372"/>
      <c r="W119" s="372"/>
      <c r="X119" s="372"/>
      <c r="Y119" s="372"/>
      <c r="Z119" s="372"/>
      <c r="AA119" s="7"/>
      <c r="AB119" s="7"/>
      <c r="AC119" s="7"/>
      <c r="AD119" s="7"/>
      <c r="AE119" s="7"/>
      <c r="AF119" s="372"/>
      <c r="AG119" s="372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7"/>
      <c r="CD119" s="7"/>
      <c r="CE119" s="7"/>
      <c r="CF119" s="7"/>
      <c r="CG119" s="7"/>
      <c r="CH119" s="7"/>
      <c r="CI119" s="7"/>
      <c r="CJ119" s="265"/>
      <c r="CK119" s="12"/>
      <c r="CL119" s="12"/>
      <c r="CM119" s="12"/>
      <c r="CN119" s="12"/>
      <c r="CO119" s="12"/>
      <c r="CP119" s="12"/>
      <c r="CQ119" s="12"/>
      <c r="CR119" s="12"/>
      <c r="CS119" s="12"/>
      <c r="CT119" s="12"/>
      <c r="CU119" s="12"/>
      <c r="CV119" s="12"/>
    </row>
    <row r="120" spans="9:134" s="373" customFormat="1">
      <c r="I120" s="158"/>
      <c r="J120" s="379"/>
      <c r="K120" s="379"/>
      <c r="L120" s="379"/>
      <c r="M120" s="158"/>
      <c r="N120" s="215"/>
      <c r="O120" s="270"/>
      <c r="P120" s="216"/>
      <c r="Q120" s="216"/>
      <c r="R120" s="214"/>
      <c r="S120" s="221"/>
      <c r="T120" s="230"/>
      <c r="U120" s="6"/>
      <c r="V120" s="372"/>
      <c r="W120" s="372"/>
      <c r="X120" s="372"/>
      <c r="Y120" s="372"/>
      <c r="Z120" s="372"/>
      <c r="AA120" s="7"/>
      <c r="AB120" s="7"/>
      <c r="AC120" s="7"/>
      <c r="AD120" s="7"/>
      <c r="AE120" s="7"/>
      <c r="AF120" s="372"/>
      <c r="AG120" s="372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7"/>
      <c r="CD120" s="7"/>
      <c r="CE120" s="7"/>
      <c r="CF120" s="7"/>
      <c r="CG120" s="7"/>
      <c r="CH120" s="7"/>
      <c r="CI120" s="7"/>
      <c r="CJ120" s="265"/>
      <c r="CK120" s="12"/>
      <c r="CL120" s="12"/>
      <c r="CM120" s="12"/>
      <c r="CN120" s="12"/>
      <c r="CO120" s="12"/>
      <c r="CP120" s="12"/>
      <c r="CQ120" s="12"/>
      <c r="CR120" s="12"/>
      <c r="CS120" s="12"/>
      <c r="CT120" s="12"/>
      <c r="CU120" s="12"/>
      <c r="CV120" s="12"/>
    </row>
    <row r="121" spans="9:134" s="373" customFormat="1">
      <c r="I121" s="158"/>
      <c r="J121" s="379"/>
      <c r="K121" s="379"/>
      <c r="L121" s="379"/>
      <c r="M121" s="158"/>
      <c r="N121" s="158"/>
      <c r="O121" s="157"/>
      <c r="P121" s="220"/>
      <c r="Q121" s="221"/>
      <c r="R121" s="221"/>
      <c r="S121" s="221"/>
      <c r="T121" s="221"/>
      <c r="U121" s="6"/>
      <c r="V121" s="372"/>
      <c r="W121" s="372"/>
      <c r="X121" s="372"/>
      <c r="Y121" s="372"/>
      <c r="Z121" s="372"/>
      <c r="AA121" s="7"/>
      <c r="AB121" s="7"/>
      <c r="AC121" s="7"/>
      <c r="AD121" s="7"/>
      <c r="AE121" s="7"/>
      <c r="AF121" s="372"/>
      <c r="AG121" s="372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7"/>
      <c r="BW121" s="7"/>
      <c r="BX121" s="7"/>
      <c r="BY121" s="7"/>
      <c r="BZ121" s="7"/>
      <c r="CA121" s="7"/>
      <c r="CB121" s="7"/>
      <c r="CC121" s="7"/>
      <c r="CD121" s="7"/>
      <c r="CE121" s="7"/>
      <c r="CF121" s="7"/>
      <c r="CG121" s="7"/>
      <c r="CH121" s="7"/>
      <c r="CI121" s="7"/>
      <c r="CJ121" s="265"/>
      <c r="CK121" s="12"/>
      <c r="CL121" s="12"/>
      <c r="CM121" s="12"/>
      <c r="CN121" s="12"/>
      <c r="CO121" s="12"/>
      <c r="CP121" s="12"/>
      <c r="CQ121" s="12"/>
      <c r="CR121" s="12"/>
      <c r="CS121" s="12"/>
      <c r="CT121" s="12"/>
      <c r="CU121" s="12"/>
      <c r="CV121" s="12"/>
    </row>
    <row r="122" spans="9:134" s="373" customFormat="1">
      <c r="I122" s="158"/>
      <c r="J122" s="379"/>
      <c r="K122" s="379"/>
      <c r="L122" s="379"/>
      <c r="M122" s="158"/>
      <c r="N122" s="376"/>
      <c r="O122" s="157"/>
      <c r="P122" s="220"/>
      <c r="Q122" s="221"/>
      <c r="R122" s="221"/>
      <c r="S122" s="221"/>
      <c r="T122" s="221"/>
      <c r="U122" s="6"/>
      <c r="V122" s="372"/>
      <c r="W122" s="372"/>
      <c r="X122" s="372"/>
      <c r="Y122" s="372"/>
      <c r="Z122" s="372"/>
      <c r="AA122" s="7"/>
      <c r="AB122" s="7"/>
      <c r="AC122" s="7"/>
      <c r="AD122" s="7"/>
      <c r="AE122" s="7"/>
      <c r="AF122" s="372"/>
      <c r="AG122" s="372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7"/>
      <c r="CD122" s="7"/>
      <c r="CE122" s="7"/>
      <c r="CF122" s="7"/>
      <c r="CG122" s="7"/>
      <c r="CH122" s="7"/>
      <c r="CI122" s="7"/>
      <c r="CJ122" s="265"/>
      <c r="CK122" s="12"/>
      <c r="CL122" s="12"/>
      <c r="CM122" s="12"/>
      <c r="CN122" s="12"/>
      <c r="CO122" s="12"/>
      <c r="CP122" s="12"/>
      <c r="CQ122" s="12"/>
      <c r="CR122" s="12"/>
      <c r="CS122" s="12"/>
      <c r="CT122" s="12"/>
      <c r="CU122" s="12"/>
      <c r="CV122" s="12"/>
    </row>
    <row r="123" spans="9:134" s="373" customFormat="1">
      <c r="J123" s="379"/>
      <c r="K123" s="379"/>
      <c r="L123" s="379"/>
      <c r="M123" s="374"/>
      <c r="N123" s="376"/>
      <c r="O123" s="157"/>
      <c r="P123" s="220"/>
      <c r="Q123" s="221"/>
      <c r="R123" s="221"/>
      <c r="S123" s="221"/>
      <c r="T123" s="221"/>
      <c r="U123" s="6"/>
      <c r="V123" s="372"/>
      <c r="W123" s="372"/>
      <c r="X123" s="372"/>
      <c r="Y123" s="372"/>
      <c r="Z123" s="372"/>
      <c r="AA123" s="7"/>
      <c r="AB123" s="7"/>
      <c r="AC123" s="7"/>
      <c r="AD123" s="7"/>
      <c r="AE123" s="7"/>
      <c r="AF123" s="372"/>
      <c r="AG123" s="372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7"/>
      <c r="CD123" s="7"/>
      <c r="CE123" s="7"/>
      <c r="CF123" s="7"/>
      <c r="CG123" s="7"/>
      <c r="CH123" s="7"/>
      <c r="CI123" s="7"/>
      <c r="CJ123" s="265"/>
      <c r="CK123" s="12"/>
      <c r="CL123" s="12"/>
      <c r="CM123" s="12"/>
      <c r="CN123" s="12"/>
      <c r="CO123" s="12"/>
      <c r="CP123" s="12"/>
      <c r="CQ123" s="12"/>
      <c r="CR123" s="12"/>
      <c r="CS123" s="12"/>
      <c r="CT123" s="12"/>
      <c r="CU123" s="12"/>
      <c r="CV123" s="12"/>
    </row>
    <row r="124" spans="9:134" s="373" customFormat="1">
      <c r="J124" s="379"/>
      <c r="K124" s="379"/>
      <c r="L124" s="379"/>
      <c r="M124" s="374"/>
      <c r="N124" s="376"/>
      <c r="O124" s="157"/>
      <c r="P124" s="220"/>
      <c r="Q124" s="221"/>
      <c r="R124" s="221"/>
      <c r="S124" s="221"/>
      <c r="T124" s="221"/>
      <c r="U124" s="6"/>
      <c r="V124" s="372"/>
      <c r="W124" s="372"/>
      <c r="X124" s="372"/>
      <c r="Y124" s="372"/>
      <c r="Z124" s="372"/>
      <c r="AA124" s="7"/>
      <c r="AB124" s="7"/>
      <c r="AC124" s="7"/>
      <c r="AD124" s="7"/>
      <c r="AE124" s="7"/>
      <c r="AF124" s="372"/>
      <c r="AG124" s="372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7"/>
      <c r="BW124" s="7"/>
      <c r="BX124" s="7"/>
      <c r="BY124" s="7"/>
      <c r="BZ124" s="7"/>
      <c r="CA124" s="7"/>
      <c r="CB124" s="7"/>
      <c r="CC124" s="7"/>
      <c r="CD124" s="7"/>
      <c r="CE124" s="7"/>
      <c r="CF124" s="7"/>
      <c r="CG124" s="7"/>
      <c r="CH124" s="7"/>
      <c r="CI124" s="7"/>
      <c r="CJ124" s="265"/>
      <c r="CK124" s="12"/>
      <c r="CL124" s="12"/>
      <c r="CM124" s="12"/>
      <c r="CN124" s="12"/>
      <c r="CO124" s="12"/>
      <c r="CP124" s="12"/>
      <c r="CQ124" s="12"/>
      <c r="CR124" s="12"/>
      <c r="CS124" s="12"/>
      <c r="CT124" s="12"/>
      <c r="CU124" s="12"/>
      <c r="CV124" s="12"/>
    </row>
    <row r="125" spans="9:134" s="373" customFormat="1">
      <c r="J125" s="379"/>
      <c r="K125" s="379"/>
      <c r="L125" s="379"/>
      <c r="M125" s="374"/>
      <c r="N125" s="376"/>
      <c r="O125" s="157"/>
      <c r="P125" s="220"/>
      <c r="Q125" s="221"/>
      <c r="R125" s="221"/>
      <c r="S125" s="221"/>
      <c r="T125" s="221"/>
      <c r="U125" s="6"/>
      <c r="V125" s="372"/>
      <c r="W125" s="372"/>
      <c r="X125" s="372"/>
      <c r="Y125" s="372"/>
      <c r="Z125" s="372"/>
      <c r="AA125" s="7"/>
      <c r="AB125" s="7"/>
      <c r="AC125" s="7"/>
      <c r="AD125" s="7"/>
      <c r="AE125" s="7"/>
      <c r="AF125" s="372"/>
      <c r="AG125" s="372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7"/>
      <c r="CJ125" s="265"/>
      <c r="CK125" s="12"/>
      <c r="CL125" s="12"/>
      <c r="CM125" s="12"/>
      <c r="CN125" s="12"/>
      <c r="CO125" s="12"/>
      <c r="CP125" s="12"/>
      <c r="CQ125" s="12"/>
      <c r="CR125" s="12"/>
      <c r="CS125" s="12"/>
      <c r="CT125" s="12"/>
      <c r="CU125" s="12"/>
      <c r="CV125" s="12"/>
    </row>
    <row r="126" spans="9:134" s="373" customFormat="1">
      <c r="J126" s="379"/>
      <c r="K126" s="379"/>
      <c r="L126" s="379"/>
      <c r="M126" s="374"/>
      <c r="N126" s="376"/>
      <c r="O126" s="157"/>
      <c r="P126" s="220"/>
      <c r="Q126" s="221"/>
      <c r="R126" s="221"/>
      <c r="S126" s="221"/>
      <c r="T126" s="221"/>
      <c r="U126" s="6"/>
      <c r="V126" s="372"/>
      <c r="W126" s="372"/>
      <c r="X126" s="372"/>
      <c r="Y126" s="372"/>
      <c r="Z126" s="372"/>
      <c r="AA126" s="7"/>
      <c r="AB126" s="7"/>
      <c r="AC126" s="7"/>
      <c r="AD126" s="7"/>
      <c r="AE126" s="7"/>
      <c r="AF126" s="372"/>
      <c r="AG126" s="372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7"/>
      <c r="CD126" s="7"/>
      <c r="CE126" s="7"/>
      <c r="CF126" s="7"/>
      <c r="CG126" s="7"/>
      <c r="CH126" s="7"/>
      <c r="CI126" s="7"/>
      <c r="CJ126" s="265"/>
      <c r="CK126" s="12"/>
      <c r="CL126" s="12"/>
      <c r="CM126" s="12"/>
      <c r="CN126" s="12"/>
      <c r="CO126" s="12"/>
      <c r="CP126" s="12"/>
      <c r="CQ126" s="12"/>
      <c r="CR126" s="12"/>
      <c r="CS126" s="12"/>
      <c r="CT126" s="12"/>
      <c r="CU126" s="12"/>
      <c r="CV126" s="12"/>
    </row>
    <row r="127" spans="9:134" s="373" customFormat="1">
      <c r="J127" s="379"/>
      <c r="K127" s="379"/>
      <c r="L127" s="379"/>
      <c r="M127" s="374"/>
      <c r="N127" s="376"/>
      <c r="O127" s="157"/>
      <c r="P127" s="220"/>
      <c r="Q127" s="221"/>
      <c r="R127" s="221"/>
      <c r="S127" s="221"/>
      <c r="T127" s="221"/>
      <c r="U127" s="6"/>
      <c r="V127" s="372"/>
      <c r="W127" s="372"/>
      <c r="X127" s="372"/>
      <c r="Y127" s="372"/>
      <c r="Z127" s="372"/>
      <c r="AA127" s="7"/>
      <c r="AB127" s="7"/>
      <c r="AC127" s="7"/>
      <c r="AD127" s="7"/>
      <c r="AE127" s="7"/>
      <c r="AF127" s="372"/>
      <c r="AG127" s="372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7"/>
      <c r="CD127" s="7"/>
      <c r="CE127" s="7"/>
      <c r="CF127" s="7"/>
      <c r="CG127" s="7"/>
      <c r="CH127" s="7"/>
      <c r="CI127" s="7"/>
      <c r="CJ127" s="265"/>
      <c r="CK127" s="12"/>
      <c r="CL127" s="12"/>
      <c r="CM127" s="12"/>
      <c r="CN127" s="12"/>
      <c r="CO127" s="12"/>
      <c r="CP127" s="12"/>
      <c r="CQ127" s="12"/>
      <c r="CR127" s="12"/>
      <c r="CS127" s="12"/>
      <c r="CT127" s="12"/>
      <c r="CU127" s="12"/>
      <c r="CV127" s="12"/>
    </row>
    <row r="128" spans="9:134" s="373" customFormat="1">
      <c r="J128" s="379"/>
      <c r="K128" s="379"/>
      <c r="L128" s="379"/>
      <c r="M128" s="374"/>
      <c r="N128" s="376"/>
      <c r="O128" s="157"/>
      <c r="P128" s="220"/>
      <c r="Q128" s="221"/>
      <c r="R128" s="221"/>
      <c r="S128" s="221"/>
      <c r="T128" s="221"/>
      <c r="U128" s="6"/>
      <c r="V128" s="372"/>
      <c r="W128" s="372"/>
      <c r="X128" s="372"/>
      <c r="Y128" s="372"/>
      <c r="Z128" s="372"/>
      <c r="AA128" s="7"/>
      <c r="AB128" s="7"/>
      <c r="AC128" s="7"/>
      <c r="AD128" s="7"/>
      <c r="AE128" s="7"/>
      <c r="AF128" s="372"/>
      <c r="AG128" s="372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  <c r="CH128" s="7"/>
      <c r="CI128" s="7"/>
      <c r="CJ128" s="265"/>
      <c r="CK128" s="12"/>
      <c r="CL128" s="12"/>
      <c r="CM128" s="12"/>
      <c r="CN128" s="12"/>
      <c r="CO128" s="12"/>
      <c r="CP128" s="12"/>
      <c r="CQ128" s="12"/>
      <c r="CR128" s="12"/>
      <c r="CS128" s="12"/>
      <c r="CT128" s="12"/>
      <c r="CU128" s="12"/>
      <c r="CV128" s="12"/>
    </row>
    <row r="129" spans="2:16" s="373" customFormat="1">
      <c r="J129" s="379"/>
      <c r="K129" s="379"/>
      <c r="L129" s="379"/>
      <c r="M129" s="374"/>
      <c r="N129" s="376"/>
      <c r="O129" s="157"/>
      <c r="P129" s="220"/>
    </row>
    <row r="130" spans="2:16" s="373" customFormat="1">
      <c r="J130" s="379"/>
      <c r="K130" s="379"/>
      <c r="L130" s="379"/>
      <c r="M130" s="374"/>
      <c r="N130" s="376"/>
      <c r="O130" s="157"/>
      <c r="P130" s="220"/>
    </row>
    <row r="131" spans="2:16" s="373" customFormat="1">
      <c r="J131" s="379"/>
      <c r="K131" s="379"/>
      <c r="L131" s="379"/>
      <c r="M131" s="374"/>
      <c r="N131" s="376"/>
      <c r="O131" s="157"/>
      <c r="P131" s="220"/>
    </row>
    <row r="132" spans="2:16" s="373" customFormat="1">
      <c r="J132" s="379"/>
      <c r="K132" s="379"/>
      <c r="L132" s="379"/>
      <c r="M132" s="374"/>
      <c r="N132" s="376"/>
      <c r="O132" s="157"/>
      <c r="P132" s="220"/>
    </row>
    <row r="133" spans="2:16" s="373" customFormat="1">
      <c r="J133" s="379"/>
      <c r="K133" s="379"/>
      <c r="L133" s="379"/>
      <c r="M133" s="374"/>
      <c r="N133" s="376"/>
      <c r="O133" s="157"/>
      <c r="P133" s="220"/>
    </row>
    <row r="134" spans="2:16" s="373" customFormat="1">
      <c r="J134" s="379"/>
      <c r="K134" s="379"/>
      <c r="L134" s="379"/>
      <c r="M134" s="374"/>
      <c r="N134" s="376"/>
      <c r="O134" s="157"/>
      <c r="P134" s="220"/>
    </row>
    <row r="135" spans="2:16" s="373" customFormat="1">
      <c r="J135" s="379"/>
      <c r="K135" s="379"/>
      <c r="L135" s="379"/>
      <c r="M135" s="374"/>
      <c r="N135" s="376"/>
      <c r="O135" s="157"/>
      <c r="P135" s="220"/>
    </row>
    <row r="136" spans="2:16" s="373" customFormat="1">
      <c r="F136" s="173"/>
      <c r="J136" s="379"/>
      <c r="K136" s="379"/>
      <c r="L136" s="379"/>
      <c r="M136" s="374"/>
      <c r="N136" s="376"/>
      <c r="O136" s="157"/>
      <c r="P136" s="220"/>
    </row>
    <row r="137" spans="2:16" s="373" customFormat="1">
      <c r="B137" s="2"/>
      <c r="C137" s="2"/>
      <c r="D137" s="2"/>
      <c r="E137" s="2"/>
      <c r="F137" s="2"/>
      <c r="G137" s="2"/>
      <c r="J137" s="379"/>
      <c r="K137" s="379"/>
      <c r="L137" s="379"/>
      <c r="M137" s="374"/>
      <c r="N137" s="376"/>
      <c r="O137" s="157"/>
      <c r="P137" s="220"/>
    </row>
    <row r="138" spans="2:16" s="373" customFormat="1">
      <c r="B138" s="2"/>
      <c r="C138" s="2"/>
      <c r="D138" s="2"/>
      <c r="E138" s="2"/>
      <c r="F138" s="2"/>
      <c r="G138" s="2"/>
      <c r="H138" s="2"/>
      <c r="J138" s="379"/>
      <c r="K138" s="379"/>
      <c r="L138" s="379"/>
      <c r="M138" s="374"/>
      <c r="N138" s="376"/>
      <c r="O138" s="157"/>
      <c r="P138" s="220"/>
    </row>
    <row r="139" spans="2:16" s="373" customFormat="1">
      <c r="B139" s="2"/>
      <c r="C139" s="2"/>
      <c r="D139" s="2"/>
      <c r="E139" s="2"/>
      <c r="F139" s="2"/>
      <c r="G139" s="2"/>
      <c r="H139" s="2"/>
      <c r="J139" s="379"/>
      <c r="K139" s="379"/>
      <c r="L139" s="379"/>
      <c r="M139" s="374"/>
      <c r="N139" s="376"/>
      <c r="O139" s="157"/>
      <c r="P139" s="220"/>
    </row>
    <row r="140" spans="2:16" s="373" customFormat="1">
      <c r="B140" s="2"/>
      <c r="C140" s="2"/>
      <c r="D140" s="2"/>
      <c r="E140" s="2"/>
      <c r="F140" s="2"/>
      <c r="G140" s="2"/>
      <c r="H140" s="2"/>
      <c r="J140" s="379"/>
      <c r="K140" s="379"/>
      <c r="L140" s="379"/>
      <c r="M140" s="374"/>
      <c r="N140" s="376"/>
      <c r="O140" s="157"/>
      <c r="P140" s="220"/>
    </row>
    <row r="141" spans="2:16" s="373" customFormat="1">
      <c r="B141" s="2"/>
      <c r="C141" s="2"/>
      <c r="D141" s="2"/>
      <c r="E141" s="2"/>
      <c r="F141" s="2"/>
      <c r="G141" s="2"/>
      <c r="H141" s="2"/>
      <c r="J141" s="379"/>
      <c r="K141" s="379"/>
      <c r="L141" s="379"/>
      <c r="M141" s="374"/>
      <c r="N141" s="376"/>
      <c r="O141" s="157"/>
      <c r="P141" s="220"/>
    </row>
    <row r="142" spans="2:16" s="373" customFormat="1">
      <c r="B142" s="2"/>
      <c r="C142" s="2"/>
      <c r="D142" s="2"/>
      <c r="E142" s="2"/>
      <c r="F142" s="2"/>
      <c r="G142" s="2"/>
      <c r="H142" s="2"/>
      <c r="J142" s="379"/>
      <c r="K142" s="379"/>
      <c r="L142" s="379"/>
      <c r="M142" s="374"/>
      <c r="N142" s="376"/>
      <c r="O142" s="157"/>
      <c r="P142" s="220"/>
    </row>
    <row r="143" spans="2:16" s="373" customFormat="1">
      <c r="B143" s="2"/>
      <c r="C143" s="2"/>
      <c r="D143" s="2"/>
      <c r="E143" s="2"/>
      <c r="F143" s="2"/>
      <c r="G143" s="2"/>
      <c r="H143" s="2"/>
      <c r="I143" s="5"/>
      <c r="J143" s="379"/>
      <c r="K143" s="379"/>
      <c r="L143" s="379"/>
      <c r="M143" s="374"/>
      <c r="N143" s="376"/>
      <c r="O143" s="157"/>
      <c r="P143" s="220"/>
    </row>
    <row r="144" spans="2:16" s="373" customFormat="1">
      <c r="B144" s="2"/>
      <c r="C144" s="2"/>
      <c r="D144" s="2"/>
      <c r="E144" s="2"/>
      <c r="F144" s="2"/>
      <c r="G144" s="2"/>
      <c r="H144" s="2"/>
      <c r="I144" s="5"/>
      <c r="J144" s="379"/>
      <c r="K144" s="379"/>
      <c r="L144" s="379"/>
      <c r="M144" s="374"/>
      <c r="N144" s="376"/>
      <c r="O144" s="157"/>
      <c r="P144" s="220"/>
    </row>
    <row r="145" spans="2:16" s="373" customFormat="1">
      <c r="H145" s="2"/>
      <c r="I145" s="5"/>
      <c r="J145" s="379"/>
      <c r="K145" s="379"/>
      <c r="L145" s="379"/>
      <c r="M145" s="374"/>
      <c r="N145" s="376"/>
      <c r="O145" s="157"/>
      <c r="P145" s="220"/>
    </row>
    <row r="146" spans="2:16" s="373" customFormat="1">
      <c r="B146" s="2"/>
      <c r="C146" s="2"/>
      <c r="D146" s="2"/>
      <c r="E146" s="2"/>
      <c r="F146" s="2"/>
      <c r="G146" s="2"/>
      <c r="I146" s="5"/>
      <c r="J146" s="379"/>
      <c r="K146" s="379"/>
      <c r="L146" s="379"/>
      <c r="M146" s="374"/>
      <c r="N146" s="376"/>
      <c r="O146" s="157"/>
      <c r="P146" s="220"/>
    </row>
    <row r="147" spans="2:16" s="373" customFormat="1">
      <c r="B147" s="2"/>
      <c r="C147" s="2"/>
      <c r="D147" s="2"/>
      <c r="E147" s="2"/>
      <c r="F147" s="2"/>
      <c r="G147" s="2"/>
      <c r="H147" s="2"/>
      <c r="I147" s="5"/>
      <c r="J147" s="379"/>
      <c r="K147" s="379"/>
      <c r="L147" s="379"/>
      <c r="M147" s="374"/>
      <c r="N147" s="376"/>
      <c r="O147" s="157"/>
      <c r="P147" s="220"/>
    </row>
    <row r="148" spans="2:16" s="373" customFormat="1">
      <c r="B148" s="2"/>
      <c r="C148" s="2"/>
      <c r="D148" s="2"/>
      <c r="E148" s="2"/>
      <c r="F148" s="2"/>
      <c r="G148" s="2"/>
      <c r="H148" s="2"/>
      <c r="I148" s="5"/>
      <c r="J148" s="379"/>
      <c r="K148" s="379"/>
      <c r="L148" s="379"/>
      <c r="M148" s="374"/>
      <c r="N148" s="376"/>
      <c r="O148" s="157"/>
      <c r="P148" s="220"/>
    </row>
    <row r="149" spans="2:16" s="373" customFormat="1">
      <c r="B149" s="2"/>
      <c r="C149" s="2"/>
      <c r="D149" s="2"/>
      <c r="E149" s="2"/>
      <c r="F149" s="2"/>
      <c r="G149" s="2"/>
      <c r="H149" s="2"/>
      <c r="I149" s="5"/>
      <c r="J149" s="379"/>
      <c r="K149" s="379"/>
      <c r="L149" s="379"/>
      <c r="M149" s="374"/>
      <c r="N149" s="376"/>
      <c r="O149" s="157"/>
      <c r="P149" s="220"/>
    </row>
    <row r="150" spans="2:16" s="373" customFormat="1">
      <c r="B150" s="2"/>
      <c r="C150" s="2"/>
      <c r="D150" s="2"/>
      <c r="E150" s="2"/>
      <c r="F150" s="2"/>
      <c r="G150" s="2"/>
      <c r="H150" s="2"/>
      <c r="I150" s="5"/>
      <c r="J150" s="379"/>
      <c r="K150" s="379"/>
      <c r="L150" s="379"/>
      <c r="M150" s="374"/>
      <c r="N150" s="376"/>
      <c r="O150" s="157"/>
      <c r="P150" s="220"/>
    </row>
    <row r="151" spans="2:16" s="373" customFormat="1">
      <c r="B151" s="2"/>
      <c r="C151" s="2"/>
      <c r="D151" s="2"/>
      <c r="E151" s="2"/>
      <c r="F151" s="2"/>
      <c r="G151" s="2"/>
      <c r="H151" s="2"/>
      <c r="I151" s="175"/>
      <c r="J151" s="379"/>
      <c r="K151" s="379"/>
      <c r="L151" s="379"/>
      <c r="M151" s="374"/>
      <c r="N151" s="376"/>
      <c r="O151" s="157"/>
      <c r="P151" s="220"/>
    </row>
    <row r="152" spans="2:16" s="373" customFormat="1">
      <c r="B152" s="2"/>
      <c r="C152" s="2"/>
      <c r="D152" s="2"/>
      <c r="E152" s="2"/>
      <c r="F152" s="2"/>
      <c r="G152" s="2"/>
      <c r="H152" s="2"/>
      <c r="I152" s="5"/>
      <c r="J152" s="379"/>
      <c r="K152" s="379"/>
      <c r="L152" s="379"/>
      <c r="M152" s="374"/>
      <c r="N152" s="376"/>
      <c r="O152" s="157"/>
      <c r="P152" s="220"/>
    </row>
    <row r="153" spans="2:16" s="373" customFormat="1">
      <c r="B153" s="2"/>
      <c r="C153" s="2"/>
      <c r="D153" s="2"/>
      <c r="E153" s="2"/>
      <c r="F153" s="2"/>
      <c r="G153" s="2"/>
      <c r="H153" s="2"/>
      <c r="I153" s="5"/>
      <c r="J153" s="379"/>
      <c r="K153" s="379"/>
      <c r="L153" s="379"/>
      <c r="M153" s="374"/>
      <c r="N153" s="378"/>
      <c r="O153" s="157"/>
      <c r="P153" s="220"/>
    </row>
    <row r="154" spans="2:16" s="373" customFormat="1">
      <c r="B154" s="2"/>
      <c r="C154" s="2"/>
      <c r="D154" s="2"/>
      <c r="E154" s="2"/>
      <c r="F154" s="2"/>
      <c r="G154" s="2"/>
      <c r="H154" s="2"/>
      <c r="I154" s="5"/>
      <c r="J154" s="379"/>
      <c r="K154" s="379"/>
      <c r="L154" s="379"/>
      <c r="M154" s="378"/>
      <c r="N154" s="378"/>
      <c r="O154" s="157"/>
      <c r="P154" s="220"/>
    </row>
    <row r="155" spans="2:16" s="373" customFormat="1">
      <c r="B155" s="2"/>
      <c r="C155" s="2"/>
      <c r="D155" s="2"/>
      <c r="E155" s="2"/>
      <c r="F155" s="2"/>
      <c r="G155" s="2"/>
      <c r="H155" s="2"/>
      <c r="I155" s="5"/>
      <c r="J155" s="379"/>
      <c r="K155" s="379"/>
      <c r="L155" s="379"/>
      <c r="M155" s="378"/>
      <c r="N155" s="378"/>
      <c r="O155" s="157"/>
      <c r="P155" s="221"/>
    </row>
    <row r="156" spans="2:16" s="373" customFormat="1">
      <c r="B156" s="2"/>
      <c r="C156" s="2"/>
      <c r="D156" s="2"/>
      <c r="E156" s="2"/>
      <c r="F156" s="2"/>
      <c r="G156" s="2"/>
      <c r="H156" s="2"/>
      <c r="I156" s="5"/>
      <c r="J156" s="379"/>
      <c r="K156" s="379"/>
      <c r="L156" s="379"/>
      <c r="M156" s="378"/>
      <c r="N156" s="378"/>
      <c r="O156" s="157"/>
      <c r="P156" s="221"/>
    </row>
    <row r="157" spans="2:16" s="373" customFormat="1">
      <c r="B157" s="2"/>
      <c r="C157" s="2"/>
      <c r="D157" s="2"/>
      <c r="E157" s="2"/>
      <c r="F157" s="2"/>
      <c r="G157" s="2"/>
      <c r="H157" s="2"/>
      <c r="I157" s="5"/>
      <c r="J157" s="2"/>
      <c r="K157" s="2"/>
      <c r="L157" s="2"/>
      <c r="M157" s="378"/>
      <c r="N157" s="378"/>
      <c r="O157" s="221"/>
      <c r="P157" s="221"/>
    </row>
    <row r="158" spans="2:16" s="373" customFormat="1">
      <c r="B158" s="2"/>
      <c r="C158" s="2"/>
      <c r="D158" s="2"/>
      <c r="E158" s="2"/>
      <c r="F158" s="2"/>
      <c r="G158" s="2"/>
      <c r="H158" s="2"/>
      <c r="I158" s="5"/>
      <c r="J158" s="2"/>
      <c r="K158" s="2"/>
      <c r="L158" s="2"/>
      <c r="M158" s="378"/>
      <c r="N158" s="378"/>
      <c r="O158" s="221"/>
      <c r="P158" s="221"/>
    </row>
    <row r="159" spans="2:16" s="373" customFormat="1">
      <c r="B159" s="2"/>
      <c r="C159" s="2"/>
      <c r="D159" s="2"/>
      <c r="E159" s="2"/>
      <c r="F159" s="2"/>
      <c r="G159" s="2"/>
      <c r="H159" s="2"/>
      <c r="I159" s="5"/>
      <c r="J159" s="2"/>
      <c r="K159" s="2"/>
      <c r="L159" s="2"/>
      <c r="M159" s="378"/>
      <c r="N159" s="378"/>
      <c r="O159" s="221"/>
      <c r="P159" s="221"/>
    </row>
    <row r="160" spans="2:16" s="373" customFormat="1">
      <c r="B160" s="2"/>
      <c r="C160" s="2"/>
      <c r="D160" s="2"/>
      <c r="E160" s="2"/>
      <c r="F160" s="2"/>
      <c r="G160" s="2"/>
      <c r="H160" s="2"/>
      <c r="I160" s="5"/>
      <c r="J160" s="2"/>
      <c r="K160" s="2"/>
      <c r="L160" s="2"/>
      <c r="M160" s="378"/>
      <c r="N160" s="378"/>
      <c r="O160" s="221"/>
      <c r="P160" s="221"/>
    </row>
    <row r="161" spans="2:14" s="373" customFormat="1">
      <c r="B161" s="2"/>
      <c r="C161" s="2"/>
      <c r="D161" s="2"/>
      <c r="E161" s="2"/>
      <c r="F161" s="2"/>
      <c r="G161" s="2"/>
      <c r="H161" s="2"/>
      <c r="I161" s="5"/>
      <c r="J161" s="2"/>
      <c r="K161" s="2"/>
      <c r="L161" s="2"/>
      <c r="M161" s="378"/>
      <c r="N161" s="379"/>
    </row>
    <row r="162" spans="2:14" s="373" customFormat="1">
      <c r="H162" s="2"/>
      <c r="I162" s="5"/>
      <c r="J162" s="2"/>
      <c r="K162" s="2"/>
      <c r="L162" s="2"/>
      <c r="M162" s="379"/>
      <c r="N162" s="379"/>
    </row>
    <row r="163" spans="2:14" s="373" customFormat="1">
      <c r="B163" s="2"/>
      <c r="C163" s="2"/>
      <c r="D163" s="2"/>
      <c r="E163" s="2"/>
      <c r="F163" s="2"/>
      <c r="G163" s="2"/>
      <c r="I163" s="5"/>
      <c r="J163" s="2"/>
      <c r="K163" s="2"/>
      <c r="L163" s="2"/>
      <c r="M163" s="379"/>
      <c r="N163" s="379"/>
    </row>
    <row r="164" spans="2:14" s="373" customFormat="1">
      <c r="B164" s="2"/>
      <c r="C164" s="2"/>
      <c r="D164" s="2"/>
      <c r="E164" s="2"/>
      <c r="F164" s="2"/>
      <c r="G164" s="2"/>
      <c r="H164" s="2"/>
      <c r="I164" s="5"/>
      <c r="J164" s="2"/>
      <c r="K164" s="2"/>
      <c r="L164" s="2"/>
      <c r="M164" s="379"/>
      <c r="N164" s="379"/>
    </row>
    <row r="165" spans="2:14" s="373" customFormat="1">
      <c r="B165" s="2"/>
      <c r="C165" s="2"/>
      <c r="D165" s="2"/>
      <c r="E165" s="2"/>
      <c r="F165" s="2"/>
      <c r="G165" s="2"/>
      <c r="H165" s="2"/>
      <c r="I165" s="5"/>
      <c r="J165" s="2"/>
      <c r="K165" s="2"/>
      <c r="L165" s="2"/>
      <c r="M165" s="379"/>
      <c r="N165" s="379"/>
    </row>
    <row r="166" spans="2:14" s="373" customFormat="1">
      <c r="B166" s="2"/>
      <c r="C166" s="2"/>
      <c r="D166" s="2"/>
      <c r="E166" s="2"/>
      <c r="F166" s="2"/>
      <c r="G166" s="2"/>
      <c r="H166" s="2"/>
      <c r="I166" s="5"/>
      <c r="J166" s="2"/>
      <c r="K166" s="2"/>
      <c r="L166" s="2"/>
      <c r="M166" s="379"/>
      <c r="N166" s="379"/>
    </row>
    <row r="167" spans="2:14" s="373" customFormat="1">
      <c r="B167" s="2"/>
      <c r="C167" s="2"/>
      <c r="D167" s="2"/>
      <c r="E167" s="2"/>
      <c r="F167" s="2"/>
      <c r="G167" s="2"/>
      <c r="H167" s="2"/>
      <c r="I167" s="5"/>
      <c r="J167" s="2"/>
      <c r="K167" s="2"/>
      <c r="L167" s="2"/>
      <c r="M167" s="379"/>
      <c r="N167" s="379"/>
    </row>
    <row r="168" spans="2:14" s="373" customFormat="1">
      <c r="B168" s="2"/>
      <c r="C168" s="2"/>
      <c r="D168" s="2"/>
      <c r="E168" s="2"/>
      <c r="F168" s="2"/>
      <c r="G168" s="2"/>
      <c r="H168" s="2"/>
      <c r="M168" s="380"/>
      <c r="N168" s="379"/>
    </row>
    <row r="169" spans="2:14" s="373" customFormat="1">
      <c r="B169" s="2"/>
      <c r="C169" s="2"/>
      <c r="D169" s="2"/>
      <c r="E169" s="2"/>
      <c r="F169" s="2"/>
      <c r="G169" s="2"/>
      <c r="H169" s="2"/>
      <c r="I169" s="5"/>
      <c r="J169" s="2"/>
      <c r="K169" s="2"/>
      <c r="L169" s="2"/>
      <c r="M169" s="379"/>
      <c r="N169" s="379"/>
    </row>
    <row r="170" spans="2:14" s="373" customFormat="1">
      <c r="B170" s="2"/>
      <c r="C170" s="2"/>
      <c r="D170" s="2"/>
      <c r="E170" s="2"/>
      <c r="F170" s="2"/>
      <c r="G170" s="2"/>
      <c r="H170" s="2"/>
      <c r="I170" s="5"/>
      <c r="J170" s="2"/>
      <c r="K170" s="2"/>
      <c r="L170" s="2"/>
      <c r="M170" s="379"/>
      <c r="N170" s="379"/>
    </row>
    <row r="171" spans="2:14" s="373" customFormat="1">
      <c r="B171" s="2"/>
      <c r="C171" s="2"/>
      <c r="D171" s="2"/>
      <c r="E171" s="2"/>
      <c r="F171" s="2"/>
      <c r="G171" s="2"/>
      <c r="H171" s="2"/>
      <c r="I171" s="5"/>
      <c r="J171" s="2"/>
      <c r="K171" s="2"/>
      <c r="L171" s="2"/>
      <c r="M171" s="379"/>
      <c r="N171" s="379"/>
    </row>
    <row r="172" spans="2:14" s="373" customFormat="1">
      <c r="B172" s="2"/>
      <c r="C172" s="2"/>
      <c r="D172" s="2"/>
      <c r="E172" s="2"/>
      <c r="F172" s="2"/>
      <c r="G172" s="2"/>
      <c r="H172" s="2"/>
      <c r="I172" s="5"/>
      <c r="J172" s="2"/>
      <c r="K172" s="2"/>
      <c r="L172" s="2"/>
      <c r="M172" s="379"/>
      <c r="N172" s="379"/>
    </row>
    <row r="173" spans="2:14" s="373" customFormat="1">
      <c r="B173" s="2"/>
      <c r="C173" s="2"/>
      <c r="D173" s="2"/>
      <c r="E173" s="2"/>
      <c r="F173" s="2"/>
      <c r="G173" s="2"/>
      <c r="H173" s="2"/>
      <c r="I173" s="5"/>
      <c r="J173" s="2"/>
      <c r="K173" s="2"/>
      <c r="L173" s="2"/>
      <c r="M173" s="379"/>
    </row>
    <row r="174" spans="2:14" s="373" customFormat="1">
      <c r="B174" s="2"/>
      <c r="C174" s="2"/>
      <c r="D174" s="2"/>
      <c r="E174" s="2"/>
      <c r="F174" s="2"/>
      <c r="G174" s="2"/>
      <c r="H174" s="2"/>
      <c r="I174" s="5"/>
      <c r="J174" s="2"/>
      <c r="K174" s="2"/>
      <c r="L174" s="2"/>
    </row>
    <row r="175" spans="2:14" s="373" customFormat="1">
      <c r="B175" s="2"/>
      <c r="C175" s="2"/>
      <c r="D175" s="2"/>
      <c r="E175" s="2"/>
      <c r="F175" s="2"/>
      <c r="G175" s="2"/>
      <c r="H175" s="2"/>
      <c r="I175" s="5"/>
      <c r="J175" s="2"/>
      <c r="K175" s="2"/>
      <c r="L175" s="2"/>
    </row>
    <row r="176" spans="2:14" s="373" customFormat="1">
      <c r="B176" s="2"/>
      <c r="C176" s="2"/>
      <c r="D176" s="2"/>
      <c r="E176" s="2"/>
      <c r="F176" s="2"/>
      <c r="G176" s="2"/>
      <c r="H176" s="2"/>
      <c r="I176" s="5"/>
      <c r="J176" s="2"/>
      <c r="K176" s="2"/>
      <c r="L176" s="2"/>
    </row>
    <row r="177" spans="2:12" s="373" customFormat="1">
      <c r="B177" s="2"/>
      <c r="C177" s="2"/>
      <c r="D177" s="2"/>
      <c r="E177" s="2"/>
      <c r="F177" s="2"/>
      <c r="G177" s="2"/>
      <c r="H177" s="2"/>
      <c r="I177" s="5"/>
      <c r="J177" s="2"/>
      <c r="K177" s="2"/>
      <c r="L177" s="2"/>
    </row>
    <row r="178" spans="2:12" s="373" customFormat="1">
      <c r="B178" s="2"/>
      <c r="C178" s="2"/>
      <c r="D178" s="2"/>
      <c r="E178" s="2"/>
      <c r="F178" s="2"/>
      <c r="G178" s="2"/>
      <c r="H178" s="2"/>
      <c r="I178" s="5"/>
      <c r="J178" s="2"/>
      <c r="K178" s="2"/>
      <c r="L178" s="2"/>
    </row>
    <row r="179" spans="2:12" s="373" customFormat="1">
      <c r="B179" s="2"/>
      <c r="C179" s="2"/>
      <c r="D179" s="2"/>
      <c r="E179" s="2"/>
      <c r="F179" s="2"/>
      <c r="G179" s="2"/>
      <c r="H179" s="2"/>
      <c r="I179" s="5"/>
      <c r="J179" s="2"/>
      <c r="K179" s="2"/>
      <c r="L179" s="2"/>
    </row>
    <row r="180" spans="2:12" s="373" customFormat="1">
      <c r="B180" s="2"/>
      <c r="C180" s="2"/>
      <c r="D180" s="2"/>
      <c r="E180" s="2"/>
      <c r="F180" s="2"/>
      <c r="G180" s="2"/>
      <c r="H180" s="2"/>
      <c r="I180" s="5"/>
      <c r="J180" s="2"/>
      <c r="K180" s="2"/>
      <c r="L180" s="2"/>
    </row>
    <row r="181" spans="2:12" s="373" customFormat="1">
      <c r="B181" s="2"/>
      <c r="C181" s="2"/>
      <c r="D181" s="2"/>
      <c r="E181" s="2"/>
      <c r="F181" s="2"/>
      <c r="G181" s="2"/>
      <c r="H181" s="2"/>
      <c r="I181" s="5"/>
      <c r="J181" s="2"/>
      <c r="K181" s="2"/>
      <c r="L181" s="2"/>
    </row>
    <row r="182" spans="2:12" s="373" customFormat="1">
      <c r="B182" s="2"/>
      <c r="C182" s="2"/>
      <c r="D182" s="2"/>
      <c r="E182" s="2"/>
      <c r="F182" s="2"/>
      <c r="G182" s="2"/>
      <c r="H182" s="2"/>
      <c r="I182" s="5"/>
      <c r="J182" s="2"/>
      <c r="K182" s="2"/>
      <c r="L182" s="2"/>
    </row>
    <row r="183" spans="2:12" s="373" customFormat="1">
      <c r="B183" s="2"/>
      <c r="C183" s="2"/>
      <c r="D183" s="2"/>
      <c r="E183" s="2"/>
      <c r="F183" s="2"/>
      <c r="G183" s="2"/>
      <c r="H183" s="2"/>
      <c r="I183" s="5"/>
      <c r="J183" s="2"/>
      <c r="K183" s="2"/>
      <c r="L183" s="2"/>
    </row>
    <row r="184" spans="2:12" s="373" customFormat="1">
      <c r="B184" s="2"/>
      <c r="C184" s="2"/>
      <c r="D184" s="2"/>
      <c r="E184" s="2"/>
      <c r="F184" s="2"/>
      <c r="G184" s="2"/>
      <c r="H184" s="2"/>
      <c r="I184" s="5"/>
      <c r="J184" s="2"/>
      <c r="K184" s="2"/>
      <c r="L184" s="2"/>
    </row>
    <row r="185" spans="2:12" s="373" customFormat="1">
      <c r="B185" s="2"/>
      <c r="C185" s="2"/>
      <c r="D185" s="2"/>
      <c r="E185" s="2"/>
      <c r="F185" s="2"/>
      <c r="G185" s="2"/>
      <c r="H185" s="2"/>
      <c r="I185" s="5"/>
      <c r="J185" s="2"/>
      <c r="K185" s="2"/>
      <c r="L185" s="2"/>
    </row>
    <row r="186" spans="2:12" s="373" customFormat="1">
      <c r="B186" s="2"/>
      <c r="C186" s="2"/>
      <c r="D186" s="2"/>
      <c r="E186" s="2"/>
      <c r="F186" s="2"/>
      <c r="G186" s="2"/>
      <c r="H186" s="2"/>
      <c r="I186" s="5"/>
      <c r="J186" s="2"/>
      <c r="K186" s="2"/>
      <c r="L186" s="2"/>
    </row>
    <row r="187" spans="2:12" s="373" customFormat="1">
      <c r="B187" s="2"/>
      <c r="C187" s="2"/>
      <c r="D187" s="2"/>
      <c r="E187" s="2"/>
      <c r="F187" s="2"/>
      <c r="G187" s="2"/>
      <c r="H187" s="2"/>
      <c r="I187" s="5"/>
      <c r="J187" s="2"/>
      <c r="K187" s="2"/>
      <c r="L187" s="2"/>
    </row>
    <row r="188" spans="2:12" s="373" customFormat="1">
      <c r="B188" s="2"/>
      <c r="C188" s="2"/>
      <c r="D188" s="2"/>
      <c r="E188" s="2"/>
      <c r="F188" s="2"/>
      <c r="G188" s="2"/>
      <c r="H188" s="2"/>
      <c r="I188" s="5"/>
      <c r="J188" s="2"/>
      <c r="K188" s="2"/>
      <c r="L188" s="2"/>
    </row>
    <row r="189" spans="2:12" s="373" customFormat="1">
      <c r="B189" s="2"/>
      <c r="C189" s="2"/>
      <c r="D189" s="2"/>
      <c r="E189" s="2"/>
      <c r="F189" s="2"/>
      <c r="G189" s="2"/>
      <c r="H189" s="2"/>
      <c r="I189" s="5"/>
      <c r="J189" s="2"/>
      <c r="K189" s="2"/>
      <c r="L189" s="2"/>
    </row>
    <row r="190" spans="2:12" s="373" customFormat="1">
      <c r="B190" s="2"/>
      <c r="C190" s="2"/>
      <c r="D190" s="2"/>
      <c r="E190" s="2"/>
      <c r="F190" s="2"/>
      <c r="G190" s="2"/>
      <c r="H190" s="2"/>
      <c r="I190" s="5"/>
      <c r="J190" s="2"/>
      <c r="K190" s="2"/>
      <c r="L190" s="2"/>
    </row>
    <row r="191" spans="2:12" s="373" customFormat="1">
      <c r="B191" s="2"/>
      <c r="C191" s="2"/>
      <c r="D191" s="2"/>
      <c r="E191" s="2"/>
      <c r="F191" s="2"/>
      <c r="G191" s="2"/>
      <c r="H191" s="2"/>
      <c r="I191" s="5"/>
      <c r="J191" s="2"/>
      <c r="K191" s="2"/>
      <c r="L191" s="2"/>
    </row>
    <row r="192" spans="2:12" s="373" customFormat="1">
      <c r="B192" s="2"/>
      <c r="C192" s="2"/>
      <c r="D192" s="2"/>
      <c r="E192" s="2"/>
      <c r="F192" s="2"/>
      <c r="G192" s="2"/>
      <c r="H192" s="2"/>
      <c r="I192" s="5"/>
      <c r="J192" s="2"/>
      <c r="K192" s="2"/>
      <c r="L192" s="2"/>
    </row>
    <row r="193" spans="2:13">
      <c r="M193" s="373"/>
    </row>
    <row r="201" spans="2:13" s="373" customFormat="1">
      <c r="B201" s="2"/>
      <c r="C201" s="2"/>
      <c r="D201" s="2"/>
      <c r="E201" s="2"/>
      <c r="F201" s="2"/>
      <c r="G201" s="2"/>
      <c r="H201" s="2"/>
      <c r="I201" s="5"/>
      <c r="J201" s="2"/>
      <c r="K201" s="2"/>
      <c r="L201" s="2"/>
      <c r="M201" s="2"/>
    </row>
    <row r="202" spans="2:13">
      <c r="M202" s="175"/>
    </row>
    <row r="218" spans="2:20" s="373" customFormat="1">
      <c r="B218" s="2"/>
      <c r="C218" s="2"/>
      <c r="D218" s="2"/>
      <c r="E218" s="2"/>
      <c r="F218" s="2"/>
      <c r="G218" s="2"/>
      <c r="H218" s="2"/>
      <c r="I218" s="5"/>
      <c r="J218" s="2"/>
      <c r="K218" s="2"/>
      <c r="L218" s="2"/>
      <c r="M218" s="2"/>
      <c r="N218" s="222"/>
      <c r="O218" s="222"/>
      <c r="P218" s="222"/>
      <c r="Q218" s="223"/>
      <c r="R218" s="222"/>
      <c r="S218" s="222"/>
      <c r="T218" s="222"/>
    </row>
    <row r="219" spans="2:20">
      <c r="M219" s="373"/>
    </row>
  </sheetData>
  <mergeCells count="10">
    <mergeCell ref="D61:E61"/>
    <mergeCell ref="F61:G61"/>
    <mergeCell ref="F74:H74"/>
    <mergeCell ref="E14:F14"/>
    <mergeCell ref="E15:F15"/>
    <mergeCell ref="E17:F17"/>
    <mergeCell ref="E18:F18"/>
    <mergeCell ref="E19:F19"/>
    <mergeCell ref="D48:E48"/>
    <mergeCell ref="F48:G48"/>
  </mergeCells>
  <phoneticPr fontId="3" type="noConversion"/>
  <conditionalFormatting sqref="N46:T113 CK2:CL2 U75:W114 AM4:AN114 AM3 BY3:CB114 CF3:CL114 CN2:CV114 AJ3:AK114 AG3:AH114 U3:V74 Y3:AE114">
    <cfRule type="cellIs" dxfId="237" priority="82" stopIfTrue="1" operator="equal">
      <formula>""</formula>
    </cfRule>
    <cfRule type="expression" dxfId="236" priority="83">
      <formula>""""""</formula>
    </cfRule>
  </conditionalFormatting>
  <conditionalFormatting sqref="AG85">
    <cfRule type="expression" dxfId="235" priority="81">
      <formula>""</formula>
    </cfRule>
  </conditionalFormatting>
  <conditionalFormatting sqref="CK2:CL2 U3:V3 AM3 BY3:CB3 CF3:CL3 CN2:CV3 AJ3:AK3 AG3:AH3 Y3:AE3">
    <cfRule type="cellIs" dxfId="234" priority="80" operator="equal">
      <formula>""""""</formula>
    </cfRule>
  </conditionalFormatting>
  <conditionalFormatting sqref="T116:T120 N2:T114">
    <cfRule type="containsBlanks" dxfId="233" priority="79" stopIfTrue="1">
      <formula>LEN(TRIM(N2))=0</formula>
    </cfRule>
  </conditionalFormatting>
  <conditionalFormatting sqref="N118:R120 N116:N117 P116:R117">
    <cfRule type="containsBlanks" dxfId="232" priority="78" stopIfTrue="1">
      <formula>LEN(TRIM(N116))=0</formula>
    </cfRule>
  </conditionalFormatting>
  <conditionalFormatting sqref="X3:X114">
    <cfRule type="cellIs" dxfId="231" priority="76" stopIfTrue="1" operator="equal">
      <formula>""</formula>
    </cfRule>
    <cfRule type="expression" dxfId="230" priority="77">
      <formula>""""""</formula>
    </cfRule>
  </conditionalFormatting>
  <conditionalFormatting sqref="X3">
    <cfRule type="cellIs" dxfId="229" priority="75" operator="equal">
      <formula>""""""</formula>
    </cfRule>
  </conditionalFormatting>
  <conditionalFormatting sqref="AL3:AL114">
    <cfRule type="cellIs" dxfId="228" priority="73" stopIfTrue="1" operator="equal">
      <formula>""</formula>
    </cfRule>
    <cfRule type="expression" dxfId="227" priority="74">
      <formula>""""""</formula>
    </cfRule>
  </conditionalFormatting>
  <conditionalFormatting sqref="AL3">
    <cfRule type="cellIs" dxfId="226" priority="72" operator="equal">
      <formula>""""""</formula>
    </cfRule>
  </conditionalFormatting>
  <conditionalFormatting sqref="AO4:AO114">
    <cfRule type="cellIs" dxfId="225" priority="70" stopIfTrue="1" operator="equal">
      <formula>""</formula>
    </cfRule>
    <cfRule type="expression" dxfId="224" priority="71">
      <formula>""""""</formula>
    </cfRule>
  </conditionalFormatting>
  <conditionalFormatting sqref="BQ3:BX3">
    <cfRule type="cellIs" dxfId="223" priority="58" operator="equal">
      <formula>""""""</formula>
    </cfRule>
  </conditionalFormatting>
  <conditionalFormatting sqref="AN3:AO3">
    <cfRule type="cellIs" dxfId="222" priority="68" stopIfTrue="1" operator="equal">
      <formula>""</formula>
    </cfRule>
    <cfRule type="expression" dxfId="221" priority="69">
      <formula>""""""</formula>
    </cfRule>
  </conditionalFormatting>
  <conditionalFormatting sqref="AN3:AO3">
    <cfRule type="cellIs" dxfId="220" priority="67" operator="equal">
      <formula>""""""</formula>
    </cfRule>
  </conditionalFormatting>
  <conditionalFormatting sqref="BO3:BO114">
    <cfRule type="cellIs" dxfId="219" priority="65" stopIfTrue="1" operator="equal">
      <formula>""</formula>
    </cfRule>
    <cfRule type="expression" dxfId="218" priority="66">
      <formula>""""""</formula>
    </cfRule>
  </conditionalFormatting>
  <conditionalFormatting sqref="BO3">
    <cfRule type="cellIs" dxfId="217" priority="64" operator="equal">
      <formula>""""""</formula>
    </cfRule>
  </conditionalFormatting>
  <conditionalFormatting sqref="BP3:BP114">
    <cfRule type="cellIs" dxfId="216" priority="62" stopIfTrue="1" operator="equal">
      <formula>""</formula>
    </cfRule>
    <cfRule type="expression" dxfId="215" priority="63">
      <formula>""""""</formula>
    </cfRule>
  </conditionalFormatting>
  <conditionalFormatting sqref="BP3">
    <cfRule type="cellIs" dxfId="214" priority="61" operator="equal">
      <formula>""""""</formula>
    </cfRule>
  </conditionalFormatting>
  <conditionalFormatting sqref="BQ3:BX114">
    <cfRule type="cellIs" dxfId="213" priority="59" stopIfTrue="1" operator="equal">
      <formula>""</formula>
    </cfRule>
    <cfRule type="expression" dxfId="212" priority="60">
      <formula>""""""</formula>
    </cfRule>
  </conditionalFormatting>
  <conditionalFormatting sqref="CE3:CE114">
    <cfRule type="cellIs" dxfId="211" priority="56" stopIfTrue="1" operator="equal">
      <formula>""</formula>
    </cfRule>
    <cfRule type="expression" dxfId="210" priority="57">
      <formula>""""""</formula>
    </cfRule>
  </conditionalFormatting>
  <conditionalFormatting sqref="CE3">
    <cfRule type="cellIs" dxfId="209" priority="55" operator="equal">
      <formula>""""""</formula>
    </cfRule>
  </conditionalFormatting>
  <conditionalFormatting sqref="CM2:CM3">
    <cfRule type="cellIs" dxfId="208" priority="53" stopIfTrue="1" operator="equal">
      <formula>""</formula>
    </cfRule>
    <cfRule type="expression" dxfId="207" priority="54">
      <formula>""""""</formula>
    </cfRule>
  </conditionalFormatting>
  <conditionalFormatting sqref="CM2:CM3">
    <cfRule type="cellIs" dxfId="206" priority="52" operator="equal">
      <formula>""""""</formula>
    </cfRule>
  </conditionalFormatting>
  <conditionalFormatting sqref="CM4:CM114">
    <cfRule type="cellIs" dxfId="205" priority="50" stopIfTrue="1" operator="equal">
      <formula>""</formula>
    </cfRule>
    <cfRule type="expression" dxfId="204" priority="51">
      <formula>""""""</formula>
    </cfRule>
  </conditionalFormatting>
  <conditionalFormatting sqref="BD3:BD114 AZ3:BB114">
    <cfRule type="cellIs" dxfId="203" priority="36" stopIfTrue="1" operator="equal">
      <formula>""</formula>
    </cfRule>
    <cfRule type="expression" dxfId="202" priority="37">
      <formula>""""""</formula>
    </cfRule>
  </conditionalFormatting>
  <conditionalFormatting sqref="BH3:BH114">
    <cfRule type="cellIs" dxfId="201" priority="27" stopIfTrue="1" operator="equal">
      <formula>""</formula>
    </cfRule>
    <cfRule type="expression" dxfId="200" priority="28">
      <formula>""""""</formula>
    </cfRule>
  </conditionalFormatting>
  <conditionalFormatting sqref="BH3">
    <cfRule type="cellIs" dxfId="199" priority="26" operator="equal">
      <formula>""""""</formula>
    </cfRule>
  </conditionalFormatting>
  <conditionalFormatting sqref="BN3:BN114 BJ3:BL114">
    <cfRule type="cellIs" dxfId="198" priority="24" stopIfTrue="1" operator="equal">
      <formula>""</formula>
    </cfRule>
    <cfRule type="expression" dxfId="197" priority="25">
      <formula>""""""</formula>
    </cfRule>
  </conditionalFormatting>
  <conditionalFormatting sqref="BJ3:BL3 BN3">
    <cfRule type="cellIs" dxfId="196" priority="23" operator="equal">
      <formula>""""""</formula>
    </cfRule>
  </conditionalFormatting>
  <conditionalFormatting sqref="BM3:BM114">
    <cfRule type="cellIs" dxfId="195" priority="21" stopIfTrue="1" operator="equal">
      <formula>""</formula>
    </cfRule>
    <cfRule type="expression" dxfId="194" priority="22">
      <formula>""""""</formula>
    </cfRule>
  </conditionalFormatting>
  <conditionalFormatting sqref="BM3">
    <cfRule type="cellIs" dxfId="193" priority="20" operator="equal">
      <formula>""""""</formula>
    </cfRule>
  </conditionalFormatting>
  <conditionalFormatting sqref="CC3:CC114">
    <cfRule type="cellIs" dxfId="192" priority="18" stopIfTrue="1" operator="equal">
      <formula>""</formula>
    </cfRule>
    <cfRule type="expression" dxfId="191" priority="19">
      <formula>""""""</formula>
    </cfRule>
  </conditionalFormatting>
  <conditionalFormatting sqref="CC3">
    <cfRule type="cellIs" dxfId="190" priority="17" operator="equal">
      <formula>""""""</formula>
    </cfRule>
  </conditionalFormatting>
  <conditionalFormatting sqref="AX3">
    <cfRule type="cellIs" dxfId="189" priority="38" operator="equal">
      <formula>""""""</formula>
    </cfRule>
  </conditionalFormatting>
  <conditionalFormatting sqref="AT3:AT114 AP3:AR114">
    <cfRule type="cellIs" dxfId="188" priority="48" stopIfTrue="1" operator="equal">
      <formula>""</formula>
    </cfRule>
    <cfRule type="expression" dxfId="187" priority="49">
      <formula>""""""</formula>
    </cfRule>
  </conditionalFormatting>
  <conditionalFormatting sqref="AP3:AR3 AT3">
    <cfRule type="cellIs" dxfId="186" priority="47" operator="equal">
      <formula>""""""</formula>
    </cfRule>
  </conditionalFormatting>
  <conditionalFormatting sqref="AS3:AS114">
    <cfRule type="cellIs" dxfId="185" priority="45" stopIfTrue="1" operator="equal">
      <formula>""</formula>
    </cfRule>
    <cfRule type="expression" dxfId="184" priority="46">
      <formula>""""""</formula>
    </cfRule>
  </conditionalFormatting>
  <conditionalFormatting sqref="AS3">
    <cfRule type="cellIs" dxfId="183" priority="44" operator="equal">
      <formula>""""""</formula>
    </cfRule>
  </conditionalFormatting>
  <conditionalFormatting sqref="AY3:AY114 AU3:AW114">
    <cfRule type="cellIs" dxfId="182" priority="42" stopIfTrue="1" operator="equal">
      <formula>""</formula>
    </cfRule>
    <cfRule type="expression" dxfId="181" priority="43">
      <formula>""""""</formula>
    </cfRule>
  </conditionalFormatting>
  <conditionalFormatting sqref="AU3:AW3 AY3">
    <cfRule type="cellIs" dxfId="180" priority="41" operator="equal">
      <formula>""""""</formula>
    </cfRule>
  </conditionalFormatting>
  <conditionalFormatting sqref="AX3:AX114">
    <cfRule type="cellIs" dxfId="179" priority="39" stopIfTrue="1" operator="equal">
      <formula>""</formula>
    </cfRule>
    <cfRule type="expression" dxfId="178" priority="40">
      <formula>""""""</formula>
    </cfRule>
  </conditionalFormatting>
  <conditionalFormatting sqref="BC3">
    <cfRule type="cellIs" dxfId="177" priority="32" operator="equal">
      <formula>""""""</formula>
    </cfRule>
  </conditionalFormatting>
  <conditionalFormatting sqref="AZ3:BB3 BD3">
    <cfRule type="cellIs" dxfId="176" priority="35" operator="equal">
      <formula>""""""</formula>
    </cfRule>
  </conditionalFormatting>
  <conditionalFormatting sqref="BC3:BC114">
    <cfRule type="cellIs" dxfId="175" priority="33" stopIfTrue="1" operator="equal">
      <formula>""</formula>
    </cfRule>
    <cfRule type="expression" dxfId="174" priority="34">
      <formula>""""""</formula>
    </cfRule>
  </conditionalFormatting>
  <conditionalFormatting sqref="BI3:BI114 BE3:BG114">
    <cfRule type="cellIs" dxfId="173" priority="30" stopIfTrue="1" operator="equal">
      <formula>""</formula>
    </cfRule>
    <cfRule type="expression" dxfId="172" priority="31">
      <formula>""""""</formula>
    </cfRule>
  </conditionalFormatting>
  <conditionalFormatting sqref="BE3:BG3 BI3">
    <cfRule type="cellIs" dxfId="171" priority="29" operator="equal">
      <formula>""""""</formula>
    </cfRule>
  </conditionalFormatting>
  <conditionalFormatting sqref="AI3:AI114">
    <cfRule type="cellIs" dxfId="170" priority="15" stopIfTrue="1" operator="equal">
      <formula>""</formula>
    </cfRule>
    <cfRule type="expression" dxfId="169" priority="16">
      <formula>""""""</formula>
    </cfRule>
  </conditionalFormatting>
  <conditionalFormatting sqref="AI3">
    <cfRule type="cellIs" dxfId="168" priority="14" operator="equal">
      <formula>""""""</formula>
    </cfRule>
  </conditionalFormatting>
  <conditionalFormatting sqref="AF3:AF114">
    <cfRule type="cellIs" dxfId="167" priority="12" stopIfTrue="1" operator="equal">
      <formula>""</formula>
    </cfRule>
    <cfRule type="expression" dxfId="166" priority="13">
      <formula>""""""</formula>
    </cfRule>
  </conditionalFormatting>
  <conditionalFormatting sqref="AF85">
    <cfRule type="expression" dxfId="165" priority="11">
      <formula>""</formula>
    </cfRule>
  </conditionalFormatting>
  <conditionalFormatting sqref="AF3">
    <cfRule type="cellIs" dxfId="164" priority="10" operator="equal">
      <formula>""""""</formula>
    </cfRule>
  </conditionalFormatting>
  <conditionalFormatting sqref="CD3">
    <cfRule type="cellIs" dxfId="163" priority="7" operator="equal">
      <formula>""""""</formula>
    </cfRule>
  </conditionalFormatting>
  <conditionalFormatting sqref="CD3 CD5:CD114">
    <cfRule type="cellIs" dxfId="162" priority="8" stopIfTrue="1" operator="equal">
      <formula>""</formula>
    </cfRule>
    <cfRule type="expression" dxfId="161" priority="9">
      <formula>""""""</formula>
    </cfRule>
  </conditionalFormatting>
  <conditionalFormatting sqref="O116:O117">
    <cfRule type="containsBlanks" dxfId="160" priority="6" stopIfTrue="1">
      <formula>LEN(TRIM(O116))=0</formula>
    </cfRule>
  </conditionalFormatting>
  <conditionalFormatting sqref="W3:W74">
    <cfRule type="cellIs" dxfId="159" priority="4" stopIfTrue="1" operator="equal">
      <formula>""</formula>
    </cfRule>
    <cfRule type="expression" dxfId="158" priority="5">
      <formula>""""""</formula>
    </cfRule>
  </conditionalFormatting>
  <conditionalFormatting sqref="W3">
    <cfRule type="cellIs" dxfId="157" priority="3" operator="equal">
      <formula>""""""</formula>
    </cfRule>
  </conditionalFormatting>
  <conditionalFormatting sqref="CD4">
    <cfRule type="cellIs" dxfId="156" priority="1" stopIfTrue="1" operator="equal">
      <formula>""</formula>
    </cfRule>
    <cfRule type="expression" dxfId="155" priority="2">
      <formula>""""""</formula>
    </cfRule>
  </conditionalFormatting>
  <dataValidations disablePrompts="1" count="7">
    <dataValidation type="list" showInputMessage="1" showErrorMessage="1" sqref="E4" xr:uid="{00000000-0002-0000-0500-000000000000}">
      <formula1>OFFSET($D$75,1,0,COUNTA($D$76:$D$104))</formula1>
    </dataValidation>
    <dataValidation type="list" allowBlank="1" showInputMessage="1" showErrorMessage="1" sqref="E8" xr:uid="{00000000-0002-0000-0500-000001000000}">
      <formula1>OFFSET($D$62,1,0,COUNTA($D$63:$D$71))</formula1>
    </dataValidation>
    <dataValidation type="list" allowBlank="1" showInputMessage="1" showErrorMessage="1" sqref="E7" xr:uid="{00000000-0002-0000-0500-000002000000}">
      <formula1>OFFSET($F$49,1,0,COUNTA($F$50:$F$58))</formula1>
    </dataValidation>
    <dataValidation type="list" allowBlank="1" showInputMessage="1" showErrorMessage="1" sqref="E6" xr:uid="{00000000-0002-0000-0500-000003000000}">
      <formula1>OFFSET($D$49,1,0,COUNTA($D$50:$D$58))</formula1>
    </dataValidation>
    <dataValidation type="list" allowBlank="1" showInputMessage="1" showErrorMessage="1" sqref="E5" xr:uid="{00000000-0002-0000-0500-000004000000}">
      <formula1>OFFSET($E$75,1,0,COUNTA($E$76:$E$104))</formula1>
    </dataValidation>
    <dataValidation type="list" allowBlank="1" showInputMessage="1" showErrorMessage="1" sqref="E15:F15" xr:uid="{00000000-0002-0000-0500-000005000000}">
      <formula1>"반영,미반영"</formula1>
    </dataValidation>
    <dataValidation type="list" allowBlank="1" showInputMessage="1" showErrorMessage="1" sqref="E9" xr:uid="{00000000-0002-0000-0500-000006000000}">
      <formula1>OFFSET(#REF!,1,0,COUNTA(#REF!))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HM219"/>
  <sheetViews>
    <sheetView zoomScale="70" zoomScaleNormal="70" zoomScaleSheetLayoutView="100" workbookViewId="0"/>
  </sheetViews>
  <sheetFormatPr defaultColWidth="9" defaultRowHeight="16.5"/>
  <cols>
    <col min="1" max="1" width="11" style="1" customWidth="1"/>
    <col min="2" max="2" width="2" style="2" customWidth="1"/>
    <col min="3" max="3" width="3.125" style="2" customWidth="1"/>
    <col min="4" max="4" width="13.375" style="2" customWidth="1"/>
    <col min="5" max="6" width="11.75" style="2" bestFit="1" customWidth="1"/>
    <col min="7" max="7" width="8.25" style="2" bestFit="1" customWidth="1"/>
    <col min="8" max="8" width="6.625" style="2" customWidth="1"/>
    <col min="9" max="9" width="16.75" style="5" customWidth="1"/>
    <col min="10" max="10" width="17.875" style="2" customWidth="1"/>
    <col min="11" max="11" width="26.125" style="2" bestFit="1" customWidth="1"/>
    <col min="12" max="13" width="3.75" style="2" customWidth="1"/>
    <col min="14" max="14" width="18.5" style="221" customWidth="1"/>
    <col min="15" max="15" width="9.875" style="221" customWidth="1"/>
    <col min="16" max="16" width="13.75" style="221" customWidth="1"/>
    <col min="17" max="17" width="15" style="221" customWidth="1"/>
    <col min="18" max="18" width="13.875" style="221" bestFit="1" customWidth="1"/>
    <col min="19" max="19" width="10" style="6" bestFit="1" customWidth="1"/>
    <col min="20" max="20" width="16.625" style="372" bestFit="1" customWidth="1"/>
    <col min="21" max="21" width="16.625" style="372" customWidth="1"/>
    <col min="22" max="24" width="14.125" style="372" bestFit="1" customWidth="1"/>
    <col min="25" max="25" width="14.25" style="7" bestFit="1" customWidth="1"/>
    <col min="26" max="27" width="13.25" style="7" customWidth="1"/>
    <col min="28" max="28" width="14.625" style="7" customWidth="1"/>
    <col min="29" max="30" width="13.25" style="7" customWidth="1"/>
    <col min="31" max="31" width="13.125" style="372" bestFit="1" customWidth="1"/>
    <col min="32" max="32" width="14.125" style="7" bestFit="1" customWidth="1"/>
    <col min="33" max="36" width="14.125" style="7" customWidth="1"/>
    <col min="37" max="37" width="15" style="7" customWidth="1"/>
    <col min="38" max="38" width="14.125" style="7" customWidth="1"/>
    <col min="39" max="39" width="9.125" style="7" bestFit="1" customWidth="1"/>
    <col min="40" max="40" width="14.75" style="7" hidden="1" customWidth="1"/>
    <col min="41" max="41" width="5.5" style="7" hidden="1" customWidth="1"/>
    <col min="42" max="43" width="7.125" style="7" hidden="1" customWidth="1"/>
    <col min="44" max="44" width="9.125" style="7" hidden="1" customWidth="1"/>
    <col min="45" max="45" width="11.25" style="7" hidden="1" customWidth="1"/>
    <col min="46" max="46" width="5.5" style="7" hidden="1" customWidth="1"/>
    <col min="47" max="48" width="7.125" style="7" hidden="1" customWidth="1"/>
    <col min="49" max="49" width="9.125" style="7" hidden="1" customWidth="1"/>
    <col min="50" max="50" width="20.125" style="7" hidden="1" customWidth="1"/>
    <col min="51" max="51" width="5.5" style="7" hidden="1" customWidth="1"/>
    <col min="52" max="53" width="7.125" style="7" hidden="1" customWidth="1"/>
    <col min="54" max="54" width="9.125" style="7" hidden="1" customWidth="1"/>
    <col min="55" max="55" width="16.5" style="7" hidden="1" customWidth="1"/>
    <col min="56" max="56" width="5.5" style="7" hidden="1" customWidth="1"/>
    <col min="57" max="58" width="7.125" style="7" hidden="1" customWidth="1"/>
    <col min="59" max="59" width="9.125" style="7" hidden="1" customWidth="1"/>
    <col min="60" max="60" width="16.5" style="7" hidden="1" customWidth="1"/>
    <col min="61" max="61" width="5.5" style="7" hidden="1" customWidth="1"/>
    <col min="62" max="63" width="7.125" style="7" hidden="1" customWidth="1"/>
    <col min="64" max="64" width="9.125" style="7" hidden="1" customWidth="1"/>
    <col min="65" max="65" width="5.5" style="7" bestFit="1" customWidth="1"/>
    <col min="66" max="68" width="14.125" style="7" customWidth="1"/>
    <col min="69" max="69" width="20.25" style="7" customWidth="1"/>
    <col min="70" max="74" width="14.125" style="7" customWidth="1"/>
    <col min="75" max="79" width="13.125" style="7" customWidth="1"/>
    <col min="80" max="85" width="14.125" style="7" customWidth="1"/>
    <col min="86" max="86" width="14.125" style="265" customWidth="1"/>
    <col min="87" max="92" width="14.125" style="12" customWidth="1"/>
    <col min="93" max="98" width="9.75" style="373" bestFit="1" customWidth="1"/>
    <col min="99" max="100" width="10.5" style="373" bestFit="1" customWidth="1"/>
    <col min="101" max="123" width="9.75" style="373" bestFit="1" customWidth="1"/>
    <col min="124" max="134" width="9.125" style="373" bestFit="1" customWidth="1"/>
    <col min="135" max="16384" width="9" style="373"/>
  </cols>
  <sheetData>
    <row r="1" spans="1:897" ht="17.25" thickBot="1">
      <c r="C1" s="3"/>
      <c r="D1" s="4"/>
      <c r="E1" s="4"/>
      <c r="F1" s="4"/>
      <c r="G1" s="4"/>
      <c r="H1" s="4"/>
      <c r="K1" s="4"/>
      <c r="L1" s="4"/>
      <c r="Q1" s="299"/>
      <c r="R1" s="300"/>
      <c r="Z1" s="8"/>
      <c r="AA1" s="8"/>
      <c r="AC1" s="10"/>
      <c r="AD1" s="9"/>
      <c r="AE1" s="11"/>
      <c r="AK1" s="199" t="s">
        <v>66</v>
      </c>
      <c r="AN1" s="504"/>
      <c r="AO1" s="504"/>
      <c r="AP1" s="504"/>
      <c r="AQ1" s="504"/>
      <c r="AR1" s="505" t="s">
        <v>66</v>
      </c>
      <c r="AS1" s="504" t="s">
        <v>162</v>
      </c>
      <c r="AT1" s="504"/>
      <c r="AU1" s="504"/>
      <c r="AV1" s="504"/>
      <c r="AW1" s="505" t="s">
        <v>66</v>
      </c>
      <c r="AX1" s="504" t="s">
        <v>163</v>
      </c>
      <c r="AY1" s="504"/>
      <c r="AZ1" s="504"/>
      <c r="BA1" s="504"/>
      <c r="BB1" s="505" t="s">
        <v>66</v>
      </c>
      <c r="BC1" s="504" t="s">
        <v>164</v>
      </c>
      <c r="BD1" s="504"/>
      <c r="BE1" s="504"/>
      <c r="BF1" s="504"/>
      <c r="BG1" s="505" t="s">
        <v>66</v>
      </c>
      <c r="BH1" s="504" t="s">
        <v>165</v>
      </c>
      <c r="BI1" s="504"/>
      <c r="BJ1" s="504"/>
      <c r="BK1" s="504"/>
      <c r="BL1" s="505" t="s">
        <v>66</v>
      </c>
      <c r="CB1" s="200" t="s">
        <v>67</v>
      </c>
      <c r="CI1" s="13"/>
      <c r="CJ1" s="13"/>
      <c r="CK1" s="13"/>
      <c r="CL1" s="13"/>
      <c r="CM1" s="13"/>
      <c r="CN1" s="13"/>
    </row>
    <row r="2" spans="1:897" ht="18" thickTop="1" thickBot="1">
      <c r="A2" s="14"/>
      <c r="B2" s="15"/>
      <c r="C2" s="16"/>
      <c r="D2" s="17" t="s">
        <v>0</v>
      </c>
      <c r="E2" s="630" t="str">
        <f>Main_무해지!E2</f>
        <v>남자</v>
      </c>
      <c r="F2" s="422">
        <f>Main_무해지!F2</f>
        <v>1</v>
      </c>
      <c r="G2" s="18"/>
      <c r="H2" s="321"/>
      <c r="I2" s="19" t="s">
        <v>1</v>
      </c>
      <c r="J2" s="20"/>
      <c r="K2" s="424">
        <f>K7*$E$12/E19*10000</f>
        <v>70</v>
      </c>
      <c r="L2" s="597"/>
      <c r="M2" s="21"/>
      <c r="N2" s="301" t="s">
        <v>70</v>
      </c>
      <c r="O2" s="302" t="s">
        <v>95</v>
      </c>
      <c r="P2" s="302" t="s">
        <v>71</v>
      </c>
      <c r="Q2" s="303" t="s">
        <v>223</v>
      </c>
      <c r="R2" s="303"/>
      <c r="T2" s="15" t="s">
        <v>105</v>
      </c>
      <c r="U2" s="15"/>
      <c r="V2" s="15" t="s">
        <v>107</v>
      </c>
      <c r="W2" s="15" t="s">
        <v>108</v>
      </c>
      <c r="X2" s="22" t="s">
        <v>109</v>
      </c>
      <c r="Y2" s="22" t="s">
        <v>110</v>
      </c>
      <c r="Z2" s="23" t="s">
        <v>104</v>
      </c>
      <c r="AA2" s="23"/>
      <c r="AB2" s="23" t="s">
        <v>114</v>
      </c>
      <c r="AC2" s="23" t="s">
        <v>106</v>
      </c>
      <c r="AD2" s="23" t="s">
        <v>2</v>
      </c>
      <c r="AE2" s="23" t="s">
        <v>87</v>
      </c>
      <c r="AF2" s="22" t="s">
        <v>3</v>
      </c>
      <c r="AG2" s="22"/>
      <c r="AH2" s="22" t="s">
        <v>118</v>
      </c>
      <c r="AI2" s="22"/>
      <c r="AJ2" s="22"/>
      <c r="AK2" s="198">
        <f>+Main_무해지!AT2</f>
        <v>1</v>
      </c>
      <c r="AL2" s="22"/>
      <c r="AM2" s="22"/>
      <c r="AN2" s="506" t="s">
        <v>220</v>
      </c>
      <c r="AO2" s="506" t="s">
        <v>118</v>
      </c>
      <c r="AP2" s="506"/>
      <c r="AQ2" s="506"/>
      <c r="AR2" s="507">
        <v>0</v>
      </c>
      <c r="AS2" s="506" t="s">
        <v>117</v>
      </c>
      <c r="AT2" s="506" t="s">
        <v>118</v>
      </c>
      <c r="AU2" s="506"/>
      <c r="AV2" s="506"/>
      <c r="AW2" s="507">
        <v>1</v>
      </c>
      <c r="AX2" s="506" t="s">
        <v>117</v>
      </c>
      <c r="AY2" s="506" t="s">
        <v>118</v>
      </c>
      <c r="AZ2" s="506"/>
      <c r="BA2" s="506"/>
      <c r="BB2" s="507">
        <v>0</v>
      </c>
      <c r="BC2" s="506" t="s">
        <v>117</v>
      </c>
      <c r="BD2" s="506" t="s">
        <v>118</v>
      </c>
      <c r="BE2" s="506"/>
      <c r="BF2" s="506"/>
      <c r="BG2" s="507">
        <v>0</v>
      </c>
      <c r="BH2" s="506" t="s">
        <v>117</v>
      </c>
      <c r="BI2" s="506" t="s">
        <v>118</v>
      </c>
      <c r="BJ2" s="506"/>
      <c r="BK2" s="506"/>
      <c r="BL2" s="507">
        <v>0</v>
      </c>
      <c r="BM2" s="22" t="s">
        <v>118</v>
      </c>
      <c r="BN2" s="371" t="s">
        <v>158</v>
      </c>
      <c r="BO2" s="22" t="s">
        <v>159</v>
      </c>
      <c r="BP2" s="22"/>
      <c r="BQ2" s="22" t="s">
        <v>160</v>
      </c>
      <c r="BR2" s="22" t="s">
        <v>126</v>
      </c>
      <c r="BS2" s="22"/>
      <c r="BT2" s="22"/>
      <c r="BU2" s="22"/>
      <c r="BV2" s="320">
        <v>1</v>
      </c>
      <c r="BW2" s="24"/>
      <c r="BX2" s="24"/>
      <c r="BY2" s="24"/>
      <c r="BZ2" s="24"/>
      <c r="CA2" s="24"/>
      <c r="CB2" s="25" t="s">
        <v>4</v>
      </c>
      <c r="CC2" s="26">
        <f>IF(F7=0,1,K38)</f>
        <v>1</v>
      </c>
      <c r="CE2" s="24"/>
      <c r="CF2" s="24"/>
      <c r="CG2" s="24"/>
      <c r="CH2" s="266"/>
      <c r="CI2" s="233"/>
      <c r="CJ2" s="233"/>
      <c r="CK2" s="233"/>
      <c r="CL2" s="233"/>
      <c r="CM2" s="233"/>
      <c r="CN2" s="233"/>
    </row>
    <row r="3" spans="1:897" ht="18" thickTop="1" thickBot="1">
      <c r="A3" s="14"/>
      <c r="B3" s="15"/>
      <c r="C3" s="28"/>
      <c r="D3" s="29" t="s">
        <v>6</v>
      </c>
      <c r="E3" s="631">
        <f>Main_무해지!E3</f>
        <v>0</v>
      </c>
      <c r="F3" s="676" t="s">
        <v>398</v>
      </c>
      <c r="G3" s="678">
        <f>+Main_무해지!G3</f>
        <v>1</v>
      </c>
      <c r="H3" s="322"/>
      <c r="I3" s="31" t="s">
        <v>7</v>
      </c>
      <c r="J3" s="32"/>
      <c r="K3" s="425">
        <f>K8*$E$12/E19*10000</f>
        <v>200</v>
      </c>
      <c r="L3" s="597"/>
      <c r="M3" s="33"/>
      <c r="N3" s="284" t="s">
        <v>74</v>
      </c>
      <c r="O3" s="283">
        <f>E3</f>
        <v>0</v>
      </c>
      <c r="P3" s="213">
        <v>0</v>
      </c>
      <c r="Q3" s="213">
        <f>+CH4*E12/$E$19*10000</f>
        <v>0</v>
      </c>
      <c r="R3" s="213"/>
      <c r="S3" s="34" t="s">
        <v>8</v>
      </c>
      <c r="T3" s="35" t="s">
        <v>9</v>
      </c>
      <c r="U3" s="36" t="s">
        <v>13</v>
      </c>
      <c r="V3" s="36" t="s">
        <v>161</v>
      </c>
      <c r="W3" s="36" t="s">
        <v>111</v>
      </c>
      <c r="X3" s="36" t="s">
        <v>112</v>
      </c>
      <c r="Y3" s="37" t="s">
        <v>113</v>
      </c>
      <c r="Z3" s="36" t="s">
        <v>115</v>
      </c>
      <c r="AA3" s="36" t="s">
        <v>13</v>
      </c>
      <c r="AB3" s="36" t="s">
        <v>116</v>
      </c>
      <c r="AC3" s="36" t="s">
        <v>122</v>
      </c>
      <c r="AD3" s="36" t="s">
        <v>10</v>
      </c>
      <c r="AE3" s="36" t="s">
        <v>11</v>
      </c>
      <c r="AF3" s="37" t="s">
        <v>12</v>
      </c>
      <c r="AG3" s="35" t="s">
        <v>13</v>
      </c>
      <c r="AH3" s="36" t="s">
        <v>122</v>
      </c>
      <c r="AI3" s="36" t="s">
        <v>119</v>
      </c>
      <c r="AJ3" s="36" t="s">
        <v>120</v>
      </c>
      <c r="AK3" s="290" t="s">
        <v>121</v>
      </c>
      <c r="AL3" s="313" t="s">
        <v>123</v>
      </c>
      <c r="AM3" s="314" t="s">
        <v>124</v>
      </c>
      <c r="AN3" s="35" t="s">
        <v>13</v>
      </c>
      <c r="AO3" s="36" t="s">
        <v>122</v>
      </c>
      <c r="AP3" s="36" t="s">
        <v>119</v>
      </c>
      <c r="AQ3" s="36" t="s">
        <v>120</v>
      </c>
      <c r="AR3" s="290" t="s">
        <v>121</v>
      </c>
      <c r="AS3" s="35" t="s">
        <v>13</v>
      </c>
      <c r="AT3" s="36" t="s">
        <v>122</v>
      </c>
      <c r="AU3" s="36" t="s">
        <v>119</v>
      </c>
      <c r="AV3" s="36" t="s">
        <v>120</v>
      </c>
      <c r="AW3" s="290" t="s">
        <v>121</v>
      </c>
      <c r="AX3" s="35" t="s">
        <v>13</v>
      </c>
      <c r="AY3" s="36" t="s">
        <v>122</v>
      </c>
      <c r="AZ3" s="36" t="s">
        <v>119</v>
      </c>
      <c r="BA3" s="36" t="s">
        <v>120</v>
      </c>
      <c r="BB3" s="290" t="s">
        <v>121</v>
      </c>
      <c r="BC3" s="35" t="s">
        <v>13</v>
      </c>
      <c r="BD3" s="36" t="s">
        <v>122</v>
      </c>
      <c r="BE3" s="36" t="s">
        <v>119</v>
      </c>
      <c r="BF3" s="36" t="s">
        <v>120</v>
      </c>
      <c r="BG3" s="290" t="s">
        <v>121</v>
      </c>
      <c r="BH3" s="35" t="s">
        <v>13</v>
      </c>
      <c r="BI3" s="36" t="s">
        <v>122</v>
      </c>
      <c r="BJ3" s="36" t="s">
        <v>119</v>
      </c>
      <c r="BK3" s="36" t="s">
        <v>120</v>
      </c>
      <c r="BL3" s="290" t="s">
        <v>121</v>
      </c>
      <c r="BM3" s="35" t="s">
        <v>122</v>
      </c>
      <c r="BN3" s="36" t="s">
        <v>127</v>
      </c>
      <c r="BO3" s="36" t="s">
        <v>128</v>
      </c>
      <c r="BP3" s="36" t="s">
        <v>129</v>
      </c>
      <c r="BQ3" s="36" t="s">
        <v>130</v>
      </c>
      <c r="BR3" s="36" t="s">
        <v>131</v>
      </c>
      <c r="BS3" s="36" t="s">
        <v>132</v>
      </c>
      <c r="BT3" s="36" t="s">
        <v>133</v>
      </c>
      <c r="BU3" s="36" t="s">
        <v>134</v>
      </c>
      <c r="BV3" s="36" t="s">
        <v>135</v>
      </c>
      <c r="BW3" s="38" t="s">
        <v>214</v>
      </c>
      <c r="BX3" s="38"/>
      <c r="BY3" s="38"/>
      <c r="BZ3" s="38"/>
      <c r="CA3" s="38"/>
      <c r="CB3" s="35" t="s">
        <v>185</v>
      </c>
      <c r="CC3" s="36" t="s">
        <v>187</v>
      </c>
      <c r="CD3" s="36" t="s">
        <v>189</v>
      </c>
      <c r="CE3" s="36" t="s">
        <v>191</v>
      </c>
      <c r="CF3" s="36" t="s">
        <v>193</v>
      </c>
      <c r="CG3" s="37" t="s">
        <v>195</v>
      </c>
      <c r="CH3" s="27" t="s">
        <v>197</v>
      </c>
      <c r="CI3" s="234"/>
      <c r="CJ3" s="234"/>
      <c r="CK3" s="234"/>
      <c r="CL3" s="234"/>
      <c r="CM3" s="234"/>
      <c r="CN3" s="234"/>
    </row>
    <row r="4" spans="1:897" ht="17.25" customHeight="1">
      <c r="A4" s="14"/>
      <c r="B4" s="15"/>
      <c r="C4" s="28"/>
      <c r="D4" s="29" t="s">
        <v>17</v>
      </c>
      <c r="E4" s="632">
        <f>Main_무해지!E4</f>
        <v>1</v>
      </c>
      <c r="F4" s="40">
        <f>Main_무해지!F4</f>
        <v>1</v>
      </c>
      <c r="G4" s="30"/>
      <c r="H4" s="321"/>
      <c r="I4" s="31" t="s">
        <v>230</v>
      </c>
      <c r="J4" s="585"/>
      <c r="K4" s="425">
        <f>K3-K2</f>
        <v>130</v>
      </c>
      <c r="L4" s="598"/>
      <c r="M4" s="33"/>
      <c r="N4" s="272">
        <v>3</v>
      </c>
      <c r="O4" s="273">
        <f>E3</f>
        <v>0</v>
      </c>
      <c r="P4" s="271">
        <f>IF(N4="","",IF(F5=0,K3,IF(F6=12,K3*N4,K3)))</f>
        <v>200</v>
      </c>
      <c r="Q4" s="271">
        <f>Q3+(Q$7-Q$3)*$N4/12</f>
        <v>0</v>
      </c>
      <c r="R4" s="271"/>
      <c r="S4" s="41" t="str">
        <f>IF(E3=0,"0",E3)</f>
        <v>0</v>
      </c>
      <c r="T4" s="42">
        <f>Main_무해지!AC4</f>
        <v>0</v>
      </c>
      <c r="U4" s="262">
        <f>+Main_무해지!AD4</f>
        <v>0</v>
      </c>
      <c r="V4" s="262">
        <f>IF(S4="","",IF(S4-$S$4&lt;$F$5-1,INDEX($G$76:$G$87,MIN(S4-$S$4+1,12)),IF(S4-$S$4=$F$5-1,0,IF(AND($F$2=1,S4&gt;109),0,IF(AND($F$2=2,S4&gt;111),0,INDEX($H$76:$H$82,MIN(S4-$S$4-$F$5+1,7)))))))</f>
        <v>0</v>
      </c>
      <c r="W4" s="262">
        <v>100000</v>
      </c>
      <c r="X4" s="262">
        <f t="shared" ref="X4:X67" si="0">IF($S4="","",W4*$E$17^($S4-$S$4))</f>
        <v>100000</v>
      </c>
      <c r="Y4" s="43">
        <f>IF($S4="","",SUM(X4:X$114))</f>
        <v>197799.51100244501</v>
      </c>
      <c r="Z4" s="262">
        <f>T4</f>
        <v>0</v>
      </c>
      <c r="AA4" s="262">
        <f>+U4</f>
        <v>0</v>
      </c>
      <c r="AB4" s="262">
        <f>Main_무해지!AJ4</f>
        <v>9.2999999999999997E-5</v>
      </c>
      <c r="AC4" s="262">
        <f t="shared" ref="AC4:AC67" si="1">V4</f>
        <v>0</v>
      </c>
      <c r="AD4" s="262">
        <v>100000</v>
      </c>
      <c r="AE4" s="262">
        <f t="shared" ref="AE4:AE67" si="2">IF($S4="","",AD4*$E$17^($S4-$S$4))</f>
        <v>100000</v>
      </c>
      <c r="AF4" s="43">
        <f>IF($S4="","",SUM(AE4:AE$114))</f>
        <v>197799.51100244501</v>
      </c>
      <c r="AG4" s="42">
        <f>Main_무해지!AP4</f>
        <v>1.5E-5</v>
      </c>
      <c r="AH4" s="262">
        <f t="shared" ref="AH4:AH67" si="3">V4</f>
        <v>0</v>
      </c>
      <c r="AI4" s="262">
        <f t="shared" ref="AI4:AI67" si="4">IF($S4="","",$W4*$AG4*(1-0.5*AH4))</f>
        <v>1.5</v>
      </c>
      <c r="AJ4" s="262">
        <f t="shared" ref="AJ4:AJ67" si="5">IF($S4="","",AI4*$E$17^($S4-$S$4+0.5))</f>
        <v>1.4834045293024463</v>
      </c>
      <c r="AK4" s="46">
        <f>IF($S4="","",SUM($AL4:$AL$114))</f>
        <v>2.778209949744924</v>
      </c>
      <c r="AL4" s="262">
        <f>IF($S4="","",AJ4*AM4)</f>
        <v>1.4834045293024463</v>
      </c>
      <c r="AM4" s="46">
        <f t="shared" ref="AM4:AM67" si="6">IF($S4="","",1+$F$8*$E$11*MIN(MAX((S4-S$4)-($F$9-1),0),$E$10))</f>
        <v>1</v>
      </c>
      <c r="AN4" s="42" t="e">
        <f>IF($S4="","",INDEX(#REF!,$S4+1))</f>
        <v>#REF!</v>
      </c>
      <c r="AO4" s="262">
        <f t="shared" ref="AO4:AO67" si="7">V4</f>
        <v>0</v>
      </c>
      <c r="AP4" s="262" t="e">
        <f t="shared" ref="AP4:AP67" si="8">IF($S4="","",$W4*$AN4*(1-0.5*AO4))</f>
        <v>#REF!</v>
      </c>
      <c r="AQ4" s="262" t="e">
        <f t="shared" ref="AQ4:AQ67" si="9">IF($S4="","",AP4*$E$17^($S4-$S$4+0.5))</f>
        <v>#REF!</v>
      </c>
      <c r="AR4" s="46" t="e">
        <f>IF($S4="","",SUM($AQ4:$AQ$114))</f>
        <v>#REF!</v>
      </c>
      <c r="AS4" s="42" t="e">
        <f>IF($S4="","",INDEX(#REF!,$S4+1))</f>
        <v>#REF!</v>
      </c>
      <c r="AT4" s="262">
        <f t="shared" ref="AT4:AT67" si="10">V4</f>
        <v>0</v>
      </c>
      <c r="AU4" s="262" t="e">
        <f t="shared" ref="AU4:AU67" si="11">IF($S4="","",$W4*$AS4*(1-0.5*AT4))</f>
        <v>#REF!</v>
      </c>
      <c r="AV4" s="262" t="e">
        <f t="shared" ref="AV4:AV67" si="12">IF($S4="","",AU4*$E$17^($S4-$S$4+0.5))</f>
        <v>#REF!</v>
      </c>
      <c r="AW4" s="46" t="e">
        <f>IF($S4="","",SUM($AV4:$AV$114))</f>
        <v>#REF!</v>
      </c>
      <c r="AX4" s="42" t="e">
        <f>IF($S4="","",INDEX(#REF!,$S4+1))</f>
        <v>#REF!</v>
      </c>
      <c r="AY4" s="262">
        <f t="shared" ref="AY4:AY67" si="13">V4</f>
        <v>0</v>
      </c>
      <c r="AZ4" s="262" t="e">
        <f t="shared" ref="AZ4:AZ67" si="14">IF($S4="","",$W4*$AX4*(1-0.5*AY4))</f>
        <v>#REF!</v>
      </c>
      <c r="BA4" s="262" t="e">
        <f t="shared" ref="BA4:BA67" si="15">IF($S4="","",AZ4*$E$17^($S4-$S$4+0.5))</f>
        <v>#REF!</v>
      </c>
      <c r="BB4" s="46" t="e">
        <f>IF($S4="","",SUM($BA4:$BA$114))</f>
        <v>#REF!</v>
      </c>
      <c r="BC4" s="42" t="e">
        <f>IF($S4="","",INDEX(#REF!,$S4+1))</f>
        <v>#REF!</v>
      </c>
      <c r="BD4" s="262">
        <f t="shared" ref="BD4:BD67" si="16">V4</f>
        <v>0</v>
      </c>
      <c r="BE4" s="262" t="e">
        <f t="shared" ref="BE4:BE67" si="17">IF($S4="","",$W4*$BC4*(1-0.5*BD4))</f>
        <v>#REF!</v>
      </c>
      <c r="BF4" s="262" t="e">
        <f t="shared" ref="BF4:BF67" si="18">IF($S4="","",BE4*$E$17^($S4-$S$4+0.5))</f>
        <v>#REF!</v>
      </c>
      <c r="BG4" s="46" t="e">
        <f>IF($S4="","",SUM($BF4:$BF$114))</f>
        <v>#REF!</v>
      </c>
      <c r="BH4" s="42" t="e">
        <f>IF($S4="","",INDEX(#REF!,$S4+1))</f>
        <v>#REF!</v>
      </c>
      <c r="BI4" s="262">
        <f t="shared" ref="BI4:BI67" si="19">V4</f>
        <v>0</v>
      </c>
      <c r="BJ4" s="262" t="e">
        <f t="shared" ref="BJ4:BJ67" si="20">IF($S4="","",$W4*$BH4*(1-0.5*BI4))</f>
        <v>#REF!</v>
      </c>
      <c r="BK4" s="262" t="e">
        <f t="shared" ref="BK4:BK67" si="21">IF($S4="","",BJ4*$E$17^($S4-$S$4+0.5))</f>
        <v>#REF!</v>
      </c>
      <c r="BL4" s="46" t="e">
        <f>IF($S4="","",SUM($BK4:$BK$114))</f>
        <v>#REF!</v>
      </c>
      <c r="BM4" s="42">
        <f t="shared" ref="BM4:BM67" si="22">V4</f>
        <v>0</v>
      </c>
      <c r="BN4" s="262">
        <f>IF($S4="","",W4*$BM4)</f>
        <v>0</v>
      </c>
      <c r="BO4" s="262">
        <f t="shared" ref="BO4:BO67" si="23">IF($S4="","",BN4*$E$17^($S4-$S$4+0.5))</f>
        <v>0</v>
      </c>
      <c r="BP4" s="262">
        <f t="shared" ref="BP4:BP67" si="24">IF(S4="","",IF(S4-$S$4&gt;=$F$4,0,IF(S4-$S$4&gt;=$F$5,(BW4+BW5)/2,0)))</f>
        <v>0</v>
      </c>
      <c r="BQ4" s="262">
        <f>IFERROR(IF($S4="","",BO4*BP4),0)</f>
        <v>0</v>
      </c>
      <c r="BR4" s="262"/>
      <c r="BS4" s="262"/>
      <c r="BT4" s="262"/>
      <c r="BU4" s="262"/>
      <c r="BV4" s="262">
        <f>IF($S4="","",SUM(BQ4:BQ$114))</f>
        <v>0</v>
      </c>
      <c r="BW4" s="44">
        <f>IF(S4&lt;$E$3+$F$5,0,IFERROR(일반형_연납순보험료!S6,0))</f>
        <v>0</v>
      </c>
      <c r="BX4" s="44"/>
      <c r="BY4" s="44"/>
      <c r="BZ4" s="44"/>
      <c r="CA4" s="44"/>
      <c r="CB4" s="262">
        <f>IF($S4="","",IF(AND($F$4=1,$G$3=1),0.475*$AK$2*(AK4-$AK$117),$AK$2*(AK4-$AK$117)))</f>
        <v>0.7046171514186621</v>
      </c>
      <c r="CC4" s="262">
        <f t="shared" ref="CC4:CC67" si="25">IF($S4="","",(BV4-$BV$117))</f>
        <v>0</v>
      </c>
      <c r="CD4" s="262">
        <f t="shared" ref="CD4:CD67" si="26">IF($S4="","",MAX(($AF4-AF$116)-(($CC$2-1)/(2*$CC$2))*($AE4-$AE$116),0))</f>
        <v>100000.00000000001</v>
      </c>
      <c r="CE4" s="262">
        <f>IF($S4="","",IF($F$5=0,$Y4-Y$117,MIN($Y4,$Y$116)-$Y$117))</f>
        <v>0</v>
      </c>
      <c r="CF4" s="262">
        <f t="shared" ref="CF4:CF67" si="27">IF($S4="","",$CC$2*$CD4*(-$K$48))</f>
        <v>-0.70461715141866199</v>
      </c>
      <c r="CG4" s="225">
        <f>IF($S4="","",IF($F$5=0,($CB4+$K$34*$K$55+$E$37*$CE4)/$X4,($CB4+CC4+$CC$2*$K$34*(IF($F$7=0,$K$47,$K$55))+$E$29*$CE4+$CF4)/$X4))</f>
        <v>1.1102230246251566E-21</v>
      </c>
      <c r="CH4" s="47">
        <f t="shared" ref="CH4:CH67" si="28">IF(S4="","",ROUND(CG4,$E$18)*$E$19)</f>
        <v>0</v>
      </c>
      <c r="CI4" s="235"/>
      <c r="CJ4" s="235"/>
      <c r="CK4" s="235"/>
      <c r="CL4" s="235"/>
      <c r="CM4" s="235"/>
      <c r="CN4" s="235"/>
      <c r="CO4" s="479"/>
      <c r="CP4" s="479"/>
      <c r="CQ4" s="479"/>
      <c r="CR4" s="479"/>
      <c r="CS4" s="479"/>
      <c r="CU4" s="479"/>
      <c r="CV4" s="479"/>
      <c r="CW4" s="479"/>
      <c r="CX4" s="479"/>
      <c r="CY4" s="479"/>
      <c r="CZ4" s="479"/>
      <c r="DA4" s="479"/>
      <c r="DB4" s="479"/>
      <c r="DC4" s="478"/>
      <c r="DD4" s="478"/>
      <c r="DE4" s="478"/>
      <c r="DF4" s="478"/>
      <c r="DG4" s="479"/>
      <c r="DH4" s="479"/>
      <c r="DI4" s="478"/>
      <c r="DJ4" s="478"/>
      <c r="DK4" s="479"/>
      <c r="DL4" s="479"/>
      <c r="DM4" s="478"/>
      <c r="DN4" s="478"/>
      <c r="DO4" s="479"/>
      <c r="DP4" s="479"/>
      <c r="DQ4" s="479"/>
      <c r="DR4" s="479"/>
      <c r="DS4" s="479"/>
      <c r="DT4" s="479"/>
      <c r="DU4" s="479"/>
      <c r="DV4" s="479"/>
      <c r="DW4" s="479"/>
      <c r="DX4" s="479"/>
      <c r="DY4" s="479"/>
      <c r="DZ4" s="479"/>
      <c r="EA4" s="479"/>
      <c r="EB4" s="479"/>
      <c r="EC4" s="479"/>
      <c r="ED4" s="479"/>
      <c r="FF4" s="373" ph="1"/>
      <c r="FG4" s="373" ph="1"/>
      <c r="GS4" s="373" ph="1"/>
      <c r="GT4" s="373" ph="1"/>
      <c r="GX4" s="373" ph="1"/>
      <c r="GY4" s="373" ph="1"/>
      <c r="HA4" s="373" ph="1"/>
      <c r="HB4" s="373" ph="1"/>
      <c r="HC4" s="373" ph="1"/>
      <c r="HD4" s="373" ph="1"/>
      <c r="HF4" s="373" ph="1"/>
      <c r="HG4" s="373" ph="1"/>
      <c r="HH4" s="373" ph="1"/>
      <c r="HI4" s="373" ph="1"/>
      <c r="HJ4" s="373" ph="1"/>
      <c r="HK4" s="373" ph="1"/>
      <c r="HL4" s="373" ph="1"/>
      <c r="HM4" s="373" ph="1"/>
      <c r="HN4" s="373" ph="1"/>
      <c r="HO4" s="373" ph="1"/>
      <c r="HP4" s="373" ph="1"/>
      <c r="HQ4" s="373" ph="1"/>
      <c r="HR4" s="373" ph="1"/>
      <c r="HS4" s="373" ph="1"/>
      <c r="HT4" s="373" ph="1"/>
      <c r="HU4" s="373" ph="1"/>
      <c r="HV4" s="373" ph="1"/>
      <c r="HX4" s="373" ph="1"/>
      <c r="HY4" s="373" ph="1"/>
      <c r="HZ4" s="373" ph="1"/>
      <c r="IA4" s="373" ph="1"/>
      <c r="IC4" s="373" ph="1"/>
      <c r="ID4" s="373" ph="1"/>
      <c r="IE4" s="373" ph="1"/>
      <c r="IF4" s="373" ph="1"/>
      <c r="IG4" s="373" ph="1"/>
      <c r="IH4" s="373" ph="1"/>
      <c r="II4" s="373" ph="1"/>
      <c r="IJ4" s="373" ph="1"/>
      <c r="IK4" s="373" ph="1"/>
      <c r="IL4" s="373" ph="1"/>
      <c r="IM4" s="373" ph="1"/>
      <c r="IN4" s="373" ph="1"/>
      <c r="IO4" s="373" ph="1"/>
      <c r="IP4" s="373" ph="1"/>
      <c r="IQ4" s="373" ph="1"/>
      <c r="IT4" s="373" ph="1"/>
      <c r="IU4" s="373" ph="1"/>
      <c r="IW4" s="373" ph="1"/>
      <c r="IX4" s="373" ph="1"/>
      <c r="IY4" s="373" ph="1"/>
      <c r="IZ4" s="373" ph="1"/>
      <c r="JB4" s="373" ph="1"/>
      <c r="JC4" s="373" ph="1"/>
      <c r="JD4" s="373" ph="1"/>
      <c r="JE4" s="373" ph="1"/>
      <c r="JF4" s="373" ph="1"/>
      <c r="JG4" s="373" ph="1"/>
      <c r="JH4" s="373" ph="1"/>
      <c r="JI4" s="373" ph="1"/>
      <c r="JJ4" s="373" ph="1"/>
      <c r="JK4" s="373" ph="1"/>
      <c r="JL4" s="373" ph="1"/>
      <c r="JM4" s="373" ph="1"/>
      <c r="JN4" s="373" ph="1"/>
      <c r="JO4" s="373" ph="1"/>
      <c r="JP4" s="373" ph="1"/>
      <c r="JQ4" s="373" ph="1"/>
      <c r="JR4" s="373" ph="1"/>
      <c r="JT4" s="373" ph="1"/>
      <c r="JU4" s="373" ph="1"/>
      <c r="JV4" s="373" ph="1"/>
      <c r="JW4" s="373" ph="1"/>
      <c r="JY4" s="373" ph="1"/>
      <c r="JZ4" s="373" ph="1"/>
      <c r="KA4" s="373" ph="1"/>
      <c r="KB4" s="373" ph="1"/>
      <c r="KC4" s="373" ph="1"/>
      <c r="KD4" s="373" ph="1"/>
      <c r="KE4" s="373" ph="1"/>
      <c r="KF4" s="373" ph="1"/>
      <c r="KG4" s="373" ph="1"/>
      <c r="KH4" s="373" ph="1"/>
      <c r="KI4" s="373" ph="1"/>
      <c r="KJ4" s="373" ph="1"/>
      <c r="KK4" s="373" ph="1"/>
      <c r="KL4" s="373" ph="1"/>
      <c r="KM4" s="373" ph="1"/>
      <c r="KN4" s="373" ph="1"/>
      <c r="KO4" s="373" ph="1"/>
      <c r="KP4" s="373" ph="1"/>
      <c r="KQ4" s="373" ph="1"/>
      <c r="KR4" s="373" ph="1"/>
      <c r="KS4" s="373" ph="1"/>
      <c r="KT4" s="373" ph="1"/>
      <c r="KU4" s="373" ph="1"/>
      <c r="KV4" s="373" ph="1"/>
      <c r="KW4" s="373" ph="1"/>
      <c r="KX4" s="373" ph="1"/>
      <c r="KY4" s="373" ph="1"/>
      <c r="KZ4" s="373" ph="1"/>
      <c r="LA4" s="373" ph="1"/>
      <c r="LB4" s="373" ph="1"/>
      <c r="LC4" s="373" ph="1"/>
      <c r="LD4" s="373" ph="1"/>
      <c r="LE4" s="373" ph="1"/>
      <c r="LF4" s="373" ph="1"/>
      <c r="LI4" s="373" ph="1"/>
      <c r="LJ4" s="373" ph="1"/>
      <c r="MV4" s="373" ph="1"/>
      <c r="MW4" s="373" ph="1"/>
      <c r="NA4" s="373" ph="1"/>
      <c r="NB4" s="373" ph="1"/>
      <c r="ND4" s="373" ph="1"/>
      <c r="NE4" s="373" ph="1"/>
      <c r="NF4" s="373" ph="1"/>
      <c r="NG4" s="373" ph="1"/>
      <c r="NI4" s="373" ph="1"/>
      <c r="NJ4" s="373" ph="1"/>
      <c r="NK4" s="373" ph="1"/>
      <c r="NL4" s="373" ph="1"/>
      <c r="NM4" s="373" ph="1"/>
      <c r="NN4" s="373" ph="1"/>
      <c r="NO4" s="373" ph="1"/>
      <c r="NP4" s="373" ph="1"/>
      <c r="NQ4" s="373" ph="1"/>
      <c r="NR4" s="373" ph="1"/>
      <c r="NS4" s="373" ph="1"/>
      <c r="NT4" s="373" ph="1"/>
      <c r="NU4" s="373" ph="1"/>
      <c r="NV4" s="373" ph="1"/>
      <c r="NW4" s="373" ph="1"/>
      <c r="NX4" s="373" ph="1"/>
      <c r="NY4" s="373" ph="1"/>
      <c r="OA4" s="373" ph="1"/>
      <c r="OB4" s="373" ph="1"/>
      <c r="OC4" s="373" ph="1"/>
      <c r="OD4" s="373" ph="1"/>
      <c r="OF4" s="373" ph="1"/>
      <c r="OG4" s="373" ph="1"/>
      <c r="OH4" s="373" ph="1"/>
      <c r="OI4" s="373" ph="1"/>
      <c r="OJ4" s="373" ph="1"/>
      <c r="OK4" s="373" ph="1"/>
      <c r="OL4" s="373" ph="1"/>
      <c r="OM4" s="373" ph="1"/>
      <c r="ON4" s="373" ph="1"/>
      <c r="OO4" s="373" ph="1"/>
      <c r="OP4" s="373" ph="1"/>
      <c r="OQ4" s="373" ph="1"/>
      <c r="OR4" s="373" ph="1"/>
      <c r="OS4" s="373" ph="1"/>
      <c r="OT4" s="373" ph="1"/>
      <c r="OW4" s="373" ph="1"/>
      <c r="OX4" s="373" ph="1"/>
      <c r="OZ4" s="373" ph="1"/>
      <c r="PA4" s="373" ph="1"/>
      <c r="PB4" s="373" ph="1"/>
      <c r="PC4" s="373" ph="1"/>
      <c r="PE4" s="373" ph="1"/>
      <c r="PF4" s="373" ph="1"/>
      <c r="PG4" s="373" ph="1"/>
      <c r="PH4" s="373" ph="1"/>
      <c r="PI4" s="373" ph="1"/>
      <c r="PJ4" s="373" ph="1"/>
      <c r="PK4" s="373" ph="1"/>
      <c r="PL4" s="373" ph="1"/>
      <c r="PM4" s="373" ph="1"/>
      <c r="PN4" s="373" ph="1"/>
      <c r="PO4" s="373" ph="1"/>
      <c r="PP4" s="373" ph="1"/>
      <c r="PQ4" s="373" ph="1"/>
      <c r="PR4" s="373" ph="1"/>
      <c r="PS4" s="373" ph="1"/>
      <c r="PT4" s="373" ph="1"/>
      <c r="PU4" s="373" ph="1"/>
      <c r="PW4" s="373" ph="1"/>
      <c r="PX4" s="373" ph="1"/>
      <c r="PY4" s="373" ph="1"/>
      <c r="PZ4" s="373" ph="1"/>
      <c r="QB4" s="373" ph="1"/>
      <c r="QC4" s="373" ph="1"/>
      <c r="QD4" s="373" ph="1"/>
      <c r="QE4" s="373" ph="1"/>
      <c r="QF4" s="373" ph="1"/>
      <c r="QG4" s="373" ph="1"/>
      <c r="QH4" s="373" ph="1"/>
      <c r="QI4" s="373" ph="1"/>
      <c r="QJ4" s="373" ph="1"/>
      <c r="QK4" s="373" ph="1"/>
      <c r="QL4" s="373" ph="1"/>
      <c r="QM4" s="373" ph="1"/>
      <c r="QN4" s="373" ph="1"/>
      <c r="QO4" s="373" ph="1"/>
      <c r="QP4" s="373" ph="1"/>
      <c r="QQ4" s="373" ph="1"/>
      <c r="QR4" s="373" ph="1"/>
      <c r="QS4" s="373" ph="1"/>
      <c r="QT4" s="373" ph="1"/>
      <c r="QU4" s="373" ph="1"/>
      <c r="QV4" s="373" ph="1"/>
      <c r="QW4" s="373" ph="1"/>
      <c r="QX4" s="373" ph="1"/>
      <c r="QY4" s="373" ph="1"/>
      <c r="QZ4" s="373" ph="1"/>
      <c r="RA4" s="373" ph="1"/>
      <c r="RB4" s="373" ph="1"/>
      <c r="RC4" s="373" ph="1"/>
      <c r="RD4" s="373" ph="1"/>
      <c r="RE4" s="373" ph="1"/>
      <c r="RF4" s="373" ph="1"/>
      <c r="RG4" s="373" ph="1"/>
      <c r="RH4" s="373" ph="1"/>
      <c r="RI4" s="373" ph="1"/>
      <c r="RJ4" s="373" ph="1"/>
      <c r="RK4" s="373" ph="1"/>
      <c r="RN4" s="373" ph="1"/>
      <c r="RO4" s="373" ph="1"/>
      <c r="TA4" s="373" ph="1"/>
      <c r="TB4" s="373" ph="1"/>
      <c r="TF4" s="373" ph="1"/>
      <c r="TG4" s="373" ph="1"/>
      <c r="TI4" s="373" ph="1"/>
      <c r="TJ4" s="373" ph="1"/>
      <c r="TK4" s="373" ph="1"/>
      <c r="TL4" s="373" ph="1"/>
      <c r="TN4" s="373" ph="1"/>
      <c r="TO4" s="373" ph="1"/>
      <c r="TP4" s="373" ph="1"/>
      <c r="TQ4" s="373" ph="1"/>
      <c r="TR4" s="373" ph="1"/>
      <c r="TS4" s="373" ph="1"/>
      <c r="TT4" s="373" ph="1"/>
      <c r="TU4" s="373" ph="1"/>
      <c r="TV4" s="373" ph="1"/>
      <c r="TW4" s="373" ph="1"/>
      <c r="TX4" s="373" ph="1"/>
      <c r="TY4" s="373" ph="1"/>
      <c r="TZ4" s="373" ph="1"/>
      <c r="UA4" s="373" ph="1"/>
      <c r="UB4" s="373" ph="1"/>
      <c r="UC4" s="373" ph="1"/>
      <c r="UD4" s="373" ph="1"/>
      <c r="UF4" s="373" ph="1"/>
      <c r="UG4" s="373" ph="1"/>
      <c r="UH4" s="373" ph="1"/>
      <c r="UI4" s="373" ph="1"/>
      <c r="UK4" s="373" ph="1"/>
      <c r="UL4" s="373" ph="1"/>
      <c r="UM4" s="373" ph="1"/>
      <c r="UN4" s="373" ph="1"/>
      <c r="UO4" s="373" ph="1"/>
      <c r="UP4" s="373" ph="1"/>
      <c r="UQ4" s="373" ph="1"/>
      <c r="UR4" s="373" ph="1"/>
      <c r="US4" s="373" ph="1"/>
      <c r="UT4" s="373" ph="1"/>
      <c r="UU4" s="373" ph="1"/>
      <c r="UV4" s="373" ph="1"/>
      <c r="UW4" s="373" ph="1"/>
      <c r="UX4" s="373" ph="1"/>
      <c r="UY4" s="373" ph="1"/>
      <c r="VB4" s="373" ph="1"/>
      <c r="VC4" s="373" ph="1"/>
      <c r="VE4" s="373" ph="1"/>
      <c r="VF4" s="373" ph="1"/>
      <c r="VG4" s="373" ph="1"/>
      <c r="VH4" s="373" ph="1"/>
      <c r="VJ4" s="373" ph="1"/>
      <c r="VK4" s="373" ph="1"/>
      <c r="VL4" s="373" ph="1"/>
      <c r="VM4" s="373" ph="1"/>
      <c r="VN4" s="373" ph="1"/>
      <c r="VO4" s="373" ph="1"/>
      <c r="VP4" s="373" ph="1"/>
      <c r="VQ4" s="373" ph="1"/>
      <c r="VR4" s="373" ph="1"/>
      <c r="VS4" s="373" ph="1"/>
      <c r="VT4" s="373" ph="1"/>
      <c r="VU4" s="373" ph="1"/>
      <c r="VV4" s="373" ph="1"/>
      <c r="VW4" s="373" ph="1"/>
      <c r="VX4" s="373" ph="1"/>
      <c r="VY4" s="373" ph="1"/>
      <c r="VZ4" s="373" ph="1"/>
      <c r="WB4" s="373" ph="1"/>
      <c r="WC4" s="373" ph="1"/>
      <c r="WD4" s="373" ph="1"/>
      <c r="WE4" s="373" ph="1"/>
      <c r="WG4" s="373" ph="1"/>
      <c r="WH4" s="373" ph="1"/>
      <c r="WI4" s="373" ph="1"/>
      <c r="WJ4" s="373" ph="1"/>
      <c r="WK4" s="373" ph="1"/>
      <c r="WL4" s="373" ph="1"/>
      <c r="WM4" s="373" ph="1"/>
      <c r="WN4" s="373" ph="1"/>
      <c r="WO4" s="373" ph="1"/>
      <c r="WP4" s="373" ph="1"/>
      <c r="WQ4" s="373" ph="1"/>
      <c r="WR4" s="373" ph="1"/>
      <c r="WS4" s="373" ph="1"/>
      <c r="WT4" s="373" ph="1"/>
      <c r="WU4" s="373" ph="1"/>
      <c r="WV4" s="373" ph="1"/>
      <c r="WW4" s="373" ph="1"/>
      <c r="WX4" s="373" ph="1"/>
      <c r="WY4" s="373" ph="1"/>
      <c r="WZ4" s="373" ph="1"/>
      <c r="XA4" s="373" ph="1"/>
      <c r="XB4" s="373" ph="1"/>
      <c r="XC4" s="373" ph="1"/>
      <c r="XD4" s="373" ph="1"/>
      <c r="XE4" s="373" ph="1"/>
      <c r="XF4" s="373" ph="1"/>
      <c r="XG4" s="373" ph="1"/>
      <c r="XH4" s="373" ph="1"/>
      <c r="XI4" s="373" ph="1"/>
      <c r="XJ4" s="373" ph="1"/>
      <c r="XK4" s="373" ph="1"/>
      <c r="XL4" s="373" ph="1"/>
      <c r="XM4" s="373" ph="1"/>
      <c r="XN4" s="373" ph="1"/>
      <c r="XO4" s="373" ph="1"/>
      <c r="XP4" s="373" ph="1"/>
      <c r="XQ4" s="373" ph="1"/>
      <c r="XR4" s="373" ph="1"/>
      <c r="XS4" s="373" ph="1"/>
      <c r="XT4" s="373" ph="1"/>
      <c r="XU4" s="373" ph="1"/>
      <c r="XV4" s="373" ph="1"/>
      <c r="XW4" s="373" ph="1"/>
      <c r="XX4" s="373" ph="1"/>
      <c r="XY4" s="373" ph="1"/>
      <c r="XZ4" s="373" ph="1"/>
      <c r="YA4" s="373" ph="1"/>
      <c r="YB4" s="373" ph="1"/>
      <c r="YC4" s="373" ph="1"/>
      <c r="YD4" s="373" ph="1"/>
      <c r="YE4" s="373" ph="1"/>
      <c r="YF4" s="373" ph="1"/>
      <c r="YG4" s="373" ph="1"/>
      <c r="YH4" s="373" ph="1"/>
      <c r="YI4" s="373" ph="1"/>
      <c r="YJ4" s="373" ph="1"/>
      <c r="YK4" s="373" ph="1"/>
      <c r="YL4" s="373" ph="1"/>
      <c r="YM4" s="373" ph="1"/>
      <c r="YN4" s="373" ph="1"/>
      <c r="YO4" s="373" ph="1"/>
      <c r="YP4" s="373" ph="1"/>
      <c r="YQ4" s="373" ph="1"/>
      <c r="YR4" s="373" ph="1"/>
      <c r="YS4" s="373" ph="1"/>
      <c r="YT4" s="373" ph="1"/>
      <c r="YU4" s="373" ph="1"/>
      <c r="YV4" s="373" ph="1"/>
      <c r="YW4" s="373" ph="1"/>
      <c r="YX4" s="373" ph="1"/>
      <c r="YY4" s="373" ph="1"/>
      <c r="YZ4" s="373" ph="1"/>
      <c r="ZA4" s="373" ph="1"/>
      <c r="ZB4" s="373" ph="1"/>
      <c r="ZC4" s="373" ph="1"/>
      <c r="ZD4" s="373" ph="1"/>
      <c r="ZE4" s="373" ph="1"/>
      <c r="ZF4" s="373" ph="1"/>
      <c r="ZG4" s="373" ph="1"/>
      <c r="ZH4" s="373" ph="1"/>
      <c r="ZI4" s="373" ph="1"/>
      <c r="ZJ4" s="373" ph="1"/>
      <c r="ZK4" s="373" ph="1"/>
      <c r="ZL4" s="373" ph="1"/>
      <c r="ZM4" s="373" ph="1"/>
      <c r="ZN4" s="373" ph="1"/>
      <c r="ZO4" s="373" ph="1"/>
      <c r="ZP4" s="373" ph="1"/>
      <c r="ZQ4" s="373" ph="1"/>
      <c r="ZR4" s="373" ph="1"/>
      <c r="ZS4" s="373" ph="1"/>
      <c r="ZT4" s="373" ph="1"/>
      <c r="ZU4" s="373" ph="1"/>
      <c r="ZV4" s="373" ph="1"/>
      <c r="ZW4" s="373" ph="1"/>
      <c r="ZX4" s="373" ph="1"/>
      <c r="ZY4" s="373" ph="1"/>
      <c r="ZZ4" s="373" ph="1"/>
      <c r="AAA4" s="373" ph="1"/>
      <c r="AAB4" s="373" ph="1"/>
      <c r="AAC4" s="373" ph="1"/>
      <c r="AAD4" s="373" ph="1"/>
      <c r="AAE4" s="373" ph="1"/>
      <c r="AAF4" s="373" ph="1"/>
      <c r="AAG4" s="373" ph="1"/>
      <c r="AAH4" s="373" ph="1"/>
      <c r="AAI4" s="373" ph="1"/>
      <c r="AAJ4" s="373" ph="1"/>
      <c r="AAK4" s="373" ph="1"/>
      <c r="AAL4" s="373" ph="1"/>
      <c r="AAM4" s="373" ph="1"/>
      <c r="AAN4" s="373" ph="1"/>
      <c r="AAO4" s="373" ph="1"/>
      <c r="AAP4" s="373" ph="1"/>
      <c r="AAQ4" s="373" ph="1"/>
      <c r="AAR4" s="373" ph="1"/>
      <c r="AAS4" s="373" ph="1"/>
      <c r="AAT4" s="373" ph="1"/>
      <c r="AAU4" s="373" ph="1"/>
      <c r="AAV4" s="373" ph="1"/>
      <c r="AAW4" s="373" ph="1"/>
      <c r="AAX4" s="373" ph="1"/>
      <c r="AAY4" s="373" ph="1"/>
      <c r="AAZ4" s="373" ph="1"/>
      <c r="ABA4" s="373" ph="1"/>
      <c r="ABB4" s="373" ph="1"/>
      <c r="ABC4" s="373" ph="1"/>
      <c r="ABD4" s="373" ph="1"/>
      <c r="ABE4" s="373" ph="1"/>
      <c r="ABF4" s="373" ph="1"/>
      <c r="ABG4" s="373" ph="1"/>
      <c r="ABH4" s="373" ph="1"/>
      <c r="ABI4" s="373" ph="1"/>
      <c r="ABJ4" s="373" ph="1"/>
      <c r="ABK4" s="373" ph="1"/>
      <c r="ABL4" s="373" ph="1"/>
      <c r="ABM4" s="373" ph="1"/>
      <c r="ABN4" s="373" ph="1"/>
      <c r="ABO4" s="373" ph="1"/>
      <c r="ABP4" s="373" ph="1"/>
      <c r="ABQ4" s="373" ph="1"/>
      <c r="ABR4" s="373" ph="1"/>
      <c r="ABS4" s="373" ph="1"/>
      <c r="ABT4" s="373" ph="1"/>
      <c r="ABU4" s="373" ph="1"/>
      <c r="ABV4" s="373" ph="1"/>
      <c r="ABW4" s="373" ph="1"/>
      <c r="ABX4" s="373" ph="1"/>
      <c r="ABY4" s="373" ph="1"/>
      <c r="ABZ4" s="373" ph="1"/>
      <c r="ACA4" s="373" ph="1"/>
      <c r="ACB4" s="373" ph="1"/>
      <c r="ACC4" s="373" ph="1"/>
      <c r="ACD4" s="373" ph="1"/>
      <c r="ACE4" s="373" ph="1"/>
      <c r="ACF4" s="373" ph="1"/>
      <c r="ACG4" s="373" ph="1"/>
      <c r="ACH4" s="373" ph="1"/>
      <c r="ACI4" s="373" ph="1"/>
      <c r="ACJ4" s="373" ph="1"/>
      <c r="ACK4" s="373" ph="1"/>
      <c r="ACL4" s="373" ph="1"/>
      <c r="ACM4" s="373" ph="1"/>
      <c r="ACN4" s="373" ph="1"/>
      <c r="ACO4" s="373" ph="1"/>
      <c r="ACP4" s="373" ph="1"/>
      <c r="ACQ4" s="373" ph="1"/>
      <c r="ACR4" s="373" ph="1"/>
      <c r="ACS4" s="373" ph="1"/>
      <c r="ACT4" s="373" ph="1"/>
      <c r="ACU4" s="373" ph="1"/>
      <c r="ACV4" s="373" ph="1"/>
      <c r="ACW4" s="373" ph="1"/>
      <c r="ACX4" s="373" ph="1"/>
      <c r="ACY4" s="373" ph="1"/>
      <c r="ACZ4" s="373" ph="1"/>
      <c r="ADA4" s="373" ph="1"/>
      <c r="ADB4" s="373" ph="1"/>
      <c r="ADC4" s="373" ph="1"/>
      <c r="ADD4" s="373" ph="1"/>
      <c r="ADE4" s="373" ph="1"/>
      <c r="ADF4" s="373" ph="1"/>
      <c r="ADG4" s="373" ph="1"/>
      <c r="ADH4" s="373" ph="1"/>
      <c r="ADI4" s="373" ph="1"/>
      <c r="ADJ4" s="373" ph="1"/>
      <c r="ADK4" s="373" ph="1"/>
      <c r="ADL4" s="373" ph="1"/>
      <c r="ADM4" s="373" ph="1"/>
      <c r="ADN4" s="373" ph="1"/>
      <c r="ADO4" s="373" ph="1"/>
      <c r="ADP4" s="373" ph="1"/>
      <c r="ADQ4" s="373" ph="1"/>
      <c r="ADR4" s="373" ph="1"/>
      <c r="ADS4" s="373" ph="1"/>
      <c r="ADT4" s="373" ph="1"/>
      <c r="ADU4" s="373" ph="1"/>
      <c r="ADV4" s="373" ph="1"/>
      <c r="ADW4" s="373" ph="1"/>
      <c r="ADX4" s="373" ph="1"/>
      <c r="ADY4" s="373" ph="1"/>
      <c r="ADZ4" s="373" ph="1"/>
      <c r="AEA4" s="373" ph="1"/>
      <c r="AEB4" s="373" ph="1"/>
      <c r="AEC4" s="373" ph="1"/>
      <c r="AED4" s="373" ph="1"/>
      <c r="AEE4" s="373" ph="1"/>
      <c r="AEF4" s="373" ph="1"/>
      <c r="AEG4" s="373" ph="1"/>
      <c r="AEH4" s="373" ph="1"/>
      <c r="AEI4" s="373" ph="1"/>
      <c r="AEJ4" s="373" ph="1"/>
      <c r="AEK4" s="373" ph="1"/>
      <c r="AEL4" s="373" ph="1"/>
      <c r="AEM4" s="373" ph="1"/>
      <c r="AEN4" s="373" ph="1"/>
      <c r="AEO4" s="373" ph="1"/>
      <c r="AEP4" s="373" ph="1"/>
      <c r="AEQ4" s="373" ph="1"/>
      <c r="AER4" s="373" ph="1"/>
      <c r="AES4" s="373" ph="1"/>
      <c r="AET4" s="373" ph="1"/>
      <c r="AEU4" s="373" ph="1"/>
      <c r="AEV4" s="373" ph="1"/>
      <c r="AEW4" s="373" ph="1"/>
      <c r="AEX4" s="373" ph="1"/>
      <c r="AEY4" s="373" ph="1"/>
      <c r="AEZ4" s="373" ph="1"/>
      <c r="AFA4" s="373" ph="1"/>
      <c r="AFB4" s="373" ph="1"/>
      <c r="AFC4" s="373" ph="1"/>
      <c r="AFD4" s="373" ph="1"/>
      <c r="AFE4" s="373" ph="1"/>
      <c r="AFF4" s="373" ph="1"/>
      <c r="AFG4" s="373" ph="1"/>
      <c r="AFH4" s="373" ph="1"/>
      <c r="AFI4" s="373" ph="1"/>
      <c r="AFJ4" s="373" ph="1"/>
      <c r="AFK4" s="373" ph="1"/>
      <c r="AFL4" s="373" ph="1"/>
      <c r="AFM4" s="373" ph="1"/>
      <c r="AFN4" s="373" ph="1"/>
      <c r="AFO4" s="373" ph="1"/>
      <c r="AFP4" s="373" ph="1"/>
      <c r="AFQ4" s="373" ph="1"/>
      <c r="AFR4" s="373" ph="1"/>
      <c r="AFS4" s="373" ph="1"/>
      <c r="AFT4" s="373" ph="1"/>
      <c r="AFU4" s="373" ph="1"/>
      <c r="AFV4" s="373" ph="1"/>
      <c r="AFW4" s="373" ph="1"/>
      <c r="AFX4" s="373" ph="1"/>
      <c r="AFY4" s="373" ph="1"/>
      <c r="AFZ4" s="373" ph="1"/>
      <c r="AGA4" s="373" ph="1"/>
      <c r="AGB4" s="373" ph="1"/>
      <c r="AGC4" s="373" ph="1"/>
      <c r="AGD4" s="373" ph="1"/>
      <c r="AGE4" s="373" ph="1"/>
      <c r="AGF4" s="373" ph="1"/>
      <c r="AGG4" s="373" ph="1"/>
      <c r="AGH4" s="373" ph="1"/>
      <c r="AGI4" s="373" ph="1"/>
      <c r="AGJ4" s="373" ph="1"/>
      <c r="AGK4" s="373" ph="1"/>
      <c r="AGL4" s="373" ph="1"/>
      <c r="AGM4" s="373" ph="1"/>
      <c r="AGN4" s="373" ph="1"/>
      <c r="AGO4" s="373" ph="1"/>
      <c r="AGP4" s="373" ph="1"/>
      <c r="AGQ4" s="373" ph="1"/>
      <c r="AGR4" s="373" ph="1"/>
      <c r="AGS4" s="373" ph="1"/>
      <c r="AGT4" s="373" ph="1"/>
      <c r="AGU4" s="373" ph="1"/>
      <c r="AGV4" s="373" ph="1"/>
      <c r="AGW4" s="373" ph="1"/>
      <c r="AGX4" s="373" ph="1"/>
      <c r="AGY4" s="373" ph="1"/>
      <c r="AGZ4" s="373" ph="1"/>
      <c r="AHA4" s="373" ph="1"/>
      <c r="AHB4" s="373" ph="1"/>
      <c r="AHC4" s="373" ph="1"/>
      <c r="AHD4" s="373" ph="1"/>
      <c r="AHE4" s="373" ph="1"/>
      <c r="AHF4" s="373" ph="1"/>
      <c r="AHG4" s="373" ph="1"/>
      <c r="AHH4" s="373" ph="1"/>
      <c r="AHI4" s="373" ph="1"/>
      <c r="AHJ4" s="373" ph="1"/>
      <c r="AHK4" s="373" ph="1"/>
      <c r="AHL4" s="373" ph="1"/>
      <c r="AHM4" s="373" ph="1"/>
    </row>
    <row r="5" spans="1:897" ht="17.25" thickBot="1">
      <c r="A5" s="14"/>
      <c r="B5" s="15"/>
      <c r="C5" s="28"/>
      <c r="D5" s="29" t="s">
        <v>19</v>
      </c>
      <c r="E5" s="632">
        <f>Main_무해지!E5</f>
        <v>1</v>
      </c>
      <c r="F5" s="40">
        <f>+MIN(F4,20)</f>
        <v>1</v>
      </c>
      <c r="G5" s="30"/>
      <c r="H5" s="322"/>
      <c r="I5" s="31" t="s">
        <v>374</v>
      </c>
      <c r="J5" s="585"/>
      <c r="K5" s="604">
        <f>K4/K3</f>
        <v>0.65</v>
      </c>
      <c r="L5" s="7"/>
      <c r="M5" s="33"/>
      <c r="N5" s="272">
        <v>6</v>
      </c>
      <c r="O5" s="274">
        <f>E3</f>
        <v>0</v>
      </c>
      <c r="P5" s="271">
        <f>IF(N5="","",IF(F5=0,K3,IF(F6=12,K3*N5,IF(F6=4,K3*2,K3))))</f>
        <v>200</v>
      </c>
      <c r="Q5" s="271">
        <f>Q3+(Q$7-Q$3)*$N5/12</f>
        <v>0</v>
      </c>
      <c r="R5" s="271"/>
      <c r="S5" s="750">
        <f>IF(S4="","",(IF(S4=MIN(($E$3+$F$4),IF($F$2=1,110,112)),"",(S4+1))))</f>
        <v>1</v>
      </c>
      <c r="T5" s="752">
        <f>Main_무해지!AC5</f>
        <v>0</v>
      </c>
      <c r="U5" s="408">
        <f>+Main_무해지!AD5</f>
        <v>0</v>
      </c>
      <c r="V5" s="408">
        <f t="shared" ref="V5:V68" si="29">IF(S5="","",IF(S5-$S$4&lt;$F$5-1,INDEX($G$76:$G$87,MIN(S5-$S$4+1,12)),IF(S5-$S$4=$F$5-1,0,IF(AND($F$2=1,S5&gt;109),0,IF(AND($F$2=2,S5&gt;111),0,INDEX($H$76:$H$82,MIN(S5-$S$4-$F$5+1,7)))))))</f>
        <v>0.21500000000000002</v>
      </c>
      <c r="W5" s="408">
        <f>IF(S5="","",W4*(1-V4))</f>
        <v>100000</v>
      </c>
      <c r="X5" s="408">
        <f t="shared" si="0"/>
        <v>97799.511002444997</v>
      </c>
      <c r="Y5" s="751">
        <f>IF($S5="","",SUM(X5:X$114))</f>
        <v>97799.511002444997</v>
      </c>
      <c r="Z5" s="408">
        <f t="shared" ref="Z5:Z68" si="30">T5</f>
        <v>0</v>
      </c>
      <c r="AA5" s="408">
        <f t="shared" ref="AA5:AA68" si="31">+U5</f>
        <v>0</v>
      </c>
      <c r="AB5" s="408">
        <f>Main_무해지!AJ5</f>
        <v>2.9999999999999997E-5</v>
      </c>
      <c r="AC5" s="408">
        <f t="shared" si="1"/>
        <v>0.21500000000000002</v>
      </c>
      <c r="AD5" s="408">
        <f>IF($S5="","",IF(AND($G$3=1,$F$4=1),AD4*(1-AC4),AD4*(1-AB4)*(1-AC4)))</f>
        <v>100000</v>
      </c>
      <c r="AE5" s="408">
        <f t="shared" si="2"/>
        <v>97799.511002444997</v>
      </c>
      <c r="AF5" s="751">
        <f>IF($S5="","",SUM(AE5:AE$114))</f>
        <v>97799.511002444997</v>
      </c>
      <c r="AG5" s="752">
        <f>Main_무해지!AP5</f>
        <v>1.5E-5</v>
      </c>
      <c r="AH5" s="408">
        <f t="shared" si="3"/>
        <v>0.21500000000000002</v>
      </c>
      <c r="AI5" s="408">
        <f t="shared" si="4"/>
        <v>1.3387499999999999</v>
      </c>
      <c r="AJ5" s="408">
        <f t="shared" si="5"/>
        <v>1.2948054204424775</v>
      </c>
      <c r="AK5" s="753">
        <f>IF($S5="","",SUM($AL5:$AL$114))</f>
        <v>1.2948054204424775</v>
      </c>
      <c r="AL5" s="408">
        <f t="shared" ref="AL5:AL68" si="32">IF($S5="","",AJ5*AM5)</f>
        <v>1.2948054204424775</v>
      </c>
      <c r="AM5" s="753">
        <f t="shared" si="6"/>
        <v>1</v>
      </c>
      <c r="AN5" s="752" t="e">
        <f>IF($S5="","",INDEX(#REF!,$S5+1))</f>
        <v>#REF!</v>
      </c>
      <c r="AO5" s="408">
        <f t="shared" si="7"/>
        <v>0.21500000000000002</v>
      </c>
      <c r="AP5" s="408" t="e">
        <f t="shared" si="8"/>
        <v>#REF!</v>
      </c>
      <c r="AQ5" s="408" t="e">
        <f t="shared" si="9"/>
        <v>#REF!</v>
      </c>
      <c r="AR5" s="753" t="e">
        <f>IF($S5="","",SUM($AQ5:$AQ$114))</f>
        <v>#REF!</v>
      </c>
      <c r="AS5" s="752" t="e">
        <f>IF($S5="","",INDEX(#REF!,$S5+1))</f>
        <v>#REF!</v>
      </c>
      <c r="AT5" s="408">
        <f t="shared" si="10"/>
        <v>0.21500000000000002</v>
      </c>
      <c r="AU5" s="408" t="e">
        <f t="shared" si="11"/>
        <v>#REF!</v>
      </c>
      <c r="AV5" s="408" t="e">
        <f t="shared" si="12"/>
        <v>#REF!</v>
      </c>
      <c r="AW5" s="753" t="e">
        <f>IF($S5="","",SUM($AV5:$AV$114))</f>
        <v>#REF!</v>
      </c>
      <c r="AX5" s="752" t="e">
        <f>IF($S5="","",INDEX(#REF!,$S5+1))</f>
        <v>#REF!</v>
      </c>
      <c r="AY5" s="408">
        <f t="shared" si="13"/>
        <v>0.21500000000000002</v>
      </c>
      <c r="AZ5" s="408" t="e">
        <f t="shared" si="14"/>
        <v>#REF!</v>
      </c>
      <c r="BA5" s="408" t="e">
        <f t="shared" si="15"/>
        <v>#REF!</v>
      </c>
      <c r="BB5" s="753" t="e">
        <f>IF($S5="","",SUM($BA5:$BA$114))</f>
        <v>#REF!</v>
      </c>
      <c r="BC5" s="752" t="e">
        <f>IF($S5="","",INDEX(#REF!,$S5+1))</f>
        <v>#REF!</v>
      </c>
      <c r="BD5" s="408">
        <f t="shared" si="16"/>
        <v>0.21500000000000002</v>
      </c>
      <c r="BE5" s="408" t="e">
        <f t="shared" si="17"/>
        <v>#REF!</v>
      </c>
      <c r="BF5" s="408" t="e">
        <f t="shared" si="18"/>
        <v>#REF!</v>
      </c>
      <c r="BG5" s="753" t="e">
        <f>IF($S5="","",SUM($BF5:$BF$114))</f>
        <v>#REF!</v>
      </c>
      <c r="BH5" s="752" t="e">
        <f>IF($S5="","",INDEX(#REF!,$S5+1))</f>
        <v>#REF!</v>
      </c>
      <c r="BI5" s="408">
        <f t="shared" si="19"/>
        <v>0.21500000000000002</v>
      </c>
      <c r="BJ5" s="408" t="e">
        <f t="shared" si="20"/>
        <v>#REF!</v>
      </c>
      <c r="BK5" s="408" t="e">
        <f t="shared" si="21"/>
        <v>#REF!</v>
      </c>
      <c r="BL5" s="753" t="e">
        <f>IF($S5="","",SUM($BK5:$BK$114))</f>
        <v>#REF!</v>
      </c>
      <c r="BM5" s="752">
        <f t="shared" si="22"/>
        <v>0.21500000000000002</v>
      </c>
      <c r="BN5" s="408">
        <f t="shared" ref="BN5:BN68" si="33">IF($S5="","",W5*$BM5)</f>
        <v>21500.000000000004</v>
      </c>
      <c r="BO5" s="408">
        <f t="shared" si="23"/>
        <v>20794.260720458096</v>
      </c>
      <c r="BP5" s="408">
        <f t="shared" si="24"/>
        <v>0</v>
      </c>
      <c r="BQ5" s="408">
        <f t="shared" ref="BQ5:BQ68" si="34">IFERROR(IF($S5="","",BO5*BP5),0)</f>
        <v>0</v>
      </c>
      <c r="BR5" s="408"/>
      <c r="BS5" s="408"/>
      <c r="BT5" s="408"/>
      <c r="BU5" s="408"/>
      <c r="BV5" s="408">
        <f>IF($S5="","",SUM(BQ5:BQ$114))</f>
        <v>0</v>
      </c>
      <c r="BW5" s="754">
        <f>IF(S5&lt;$E$3+$F$5,0,IFERROR(일반형_연납순보험료!S7,0))</f>
        <v>0</v>
      </c>
      <c r="BX5" s="754"/>
      <c r="BY5" s="754"/>
      <c r="BZ5" s="754"/>
      <c r="CA5" s="754"/>
      <c r="CB5" s="408">
        <f t="shared" ref="CB5:CB68" si="35">IF($S5="","",IF(AND($F$4=1,$G$3=1),0.475*$AK$2*(AK5-$AK$117),$AK$2*(AK5-$AK$117)))</f>
        <v>0</v>
      </c>
      <c r="CC5" s="408">
        <f t="shared" si="25"/>
        <v>0</v>
      </c>
      <c r="CD5" s="408">
        <f t="shared" si="26"/>
        <v>0</v>
      </c>
      <c r="CE5" s="408">
        <f t="shared" ref="CE5:CE68" si="36">IF($S5="","",IF($F$5=0,Y5-Y$117,MIN(Y5,Y$116)-Y$117))</f>
        <v>0</v>
      </c>
      <c r="CF5" s="408">
        <f t="shared" si="27"/>
        <v>0</v>
      </c>
      <c r="CG5" s="756">
        <f t="shared" ref="CG5:CG68" si="37">IF($S5="","",IF($F$5=0,($CB5+$K$34*ROUND($K$55,$E$18)+$E$37*$CE5)/$X5,($CB5+CC5+$CC$2*$K$34*(IF($F$7=0,ROUND($K$47,$E$18),ROUND($K$55,$E$18)))+$E$29*$CE5+$CF5)/$X5))</f>
        <v>0</v>
      </c>
      <c r="CH5" s="757">
        <f t="shared" si="28"/>
        <v>0</v>
      </c>
      <c r="CI5" s="413"/>
      <c r="CJ5" s="413"/>
      <c r="CK5" s="413"/>
      <c r="CL5" s="413"/>
      <c r="CM5" s="413"/>
      <c r="CN5" s="413"/>
      <c r="CO5" s="479"/>
      <c r="CP5" s="479"/>
      <c r="CQ5" s="479"/>
      <c r="CR5" s="479"/>
      <c r="CS5" s="479"/>
      <c r="CT5" s="479"/>
      <c r="CU5" s="479"/>
      <c r="CV5" s="479"/>
      <c r="CW5" s="479"/>
      <c r="CX5" s="479"/>
      <c r="CY5" s="479"/>
      <c r="CZ5" s="479"/>
      <c r="DA5" s="479"/>
      <c r="DB5" s="479"/>
      <c r="DC5" s="478"/>
      <c r="DD5" s="479"/>
      <c r="DE5" s="479"/>
      <c r="DF5" s="478"/>
      <c r="DG5" s="479"/>
      <c r="DH5" s="479"/>
      <c r="DI5" s="478"/>
      <c r="DJ5" s="479"/>
      <c r="DK5" s="479"/>
      <c r="DL5" s="479"/>
      <c r="DM5" s="479"/>
      <c r="DN5" s="478"/>
      <c r="DO5" s="479"/>
      <c r="DP5" s="479"/>
      <c r="DQ5" s="479"/>
      <c r="DR5" s="479"/>
      <c r="DS5" s="479"/>
      <c r="DT5" s="479"/>
      <c r="DU5" s="479"/>
      <c r="DV5" s="479"/>
      <c r="DW5" s="479"/>
      <c r="DX5" s="479"/>
      <c r="DY5" s="479"/>
      <c r="DZ5" s="479"/>
      <c r="EA5" s="479"/>
      <c r="EB5" s="479"/>
      <c r="EC5" s="479"/>
      <c r="ED5" s="479"/>
    </row>
    <row r="6" spans="1:897">
      <c r="A6" s="14"/>
      <c r="B6" s="15"/>
      <c r="C6" s="28"/>
      <c r="D6" s="29" t="s">
        <v>21</v>
      </c>
      <c r="E6" s="633" t="s">
        <v>254</v>
      </c>
      <c r="F6" s="508">
        <v>1</v>
      </c>
      <c r="G6" s="30"/>
      <c r="H6" s="321"/>
      <c r="I6" s="434" t="str">
        <f>+IF(E18=5,"10만당","100만당")</f>
        <v>100만당</v>
      </c>
      <c r="J6" s="224"/>
      <c r="K6" s="212"/>
      <c r="L6" s="599"/>
      <c r="M6" s="50"/>
      <c r="N6" s="272">
        <v>9</v>
      </c>
      <c r="O6" s="274">
        <f>E3</f>
        <v>0</v>
      </c>
      <c r="P6" s="271">
        <f>IF(N6="","",IF(F5=0,K3,IF(F6=12,K3*N6,IF(F6=4,K3*3,IF(F6=2,K3*2,K3)))))</f>
        <v>200</v>
      </c>
      <c r="Q6" s="271">
        <f>+Q3+(Q$7-Q$3)*$N6/12</f>
        <v>0</v>
      </c>
      <c r="R6" s="271"/>
      <c r="S6" s="52" t="str">
        <f t="shared" ref="S6:S69" si="38">IF(S5="","",(IF(S5=MIN(($E$3+$F$4),IF($F$2=1,110,112)),"",(S5+1))))</f>
        <v/>
      </c>
      <c r="T6" s="53" t="str">
        <f>Main_무해지!AC6</f>
        <v/>
      </c>
      <c r="U6" s="254">
        <f>+Main_무해지!AD6</f>
        <v>0</v>
      </c>
      <c r="V6" s="254" t="str">
        <f t="shared" si="29"/>
        <v/>
      </c>
      <c r="W6" s="254" t="str">
        <f t="shared" ref="W6:W69" si="39">IF(S6="","",W5*(1-V5))</f>
        <v/>
      </c>
      <c r="X6" s="254" t="str">
        <f t="shared" si="0"/>
        <v/>
      </c>
      <c r="Y6" s="54" t="str">
        <f>IF($S6="","",SUM(X6:X$114))</f>
        <v/>
      </c>
      <c r="Z6" s="254" t="str">
        <f t="shared" si="30"/>
        <v/>
      </c>
      <c r="AA6" s="254">
        <f t="shared" si="31"/>
        <v>0</v>
      </c>
      <c r="AB6" s="254" t="str">
        <f>Main_무해지!AJ6</f>
        <v/>
      </c>
      <c r="AC6" s="254" t="str">
        <f t="shared" si="1"/>
        <v/>
      </c>
      <c r="AD6" s="254" t="str">
        <f t="shared" ref="AD6:AD69" si="40">IF($S6="","",IF(AND($G$3=1,$F$4=1),AD5*(1-AC5),AD5*(1-AB5)*(1-AC5)))</f>
        <v/>
      </c>
      <c r="AE6" s="254" t="str">
        <f t="shared" si="2"/>
        <v/>
      </c>
      <c r="AF6" s="54" t="str">
        <f>IF($S6="","",SUM(AE6:AE$114))</f>
        <v/>
      </c>
      <c r="AG6" s="53" t="str">
        <f>Main_무해지!AP6</f>
        <v/>
      </c>
      <c r="AH6" s="254" t="str">
        <f t="shared" si="3"/>
        <v/>
      </c>
      <c r="AI6" s="254" t="str">
        <f t="shared" si="4"/>
        <v/>
      </c>
      <c r="AJ6" s="254" t="str">
        <f t="shared" si="5"/>
        <v/>
      </c>
      <c r="AK6" s="57" t="str">
        <f>IF($S6="","",SUM($AL6:$AL$114))</f>
        <v/>
      </c>
      <c r="AL6" s="254" t="str">
        <f t="shared" si="32"/>
        <v/>
      </c>
      <c r="AM6" s="57" t="str">
        <f t="shared" si="6"/>
        <v/>
      </c>
      <c r="AN6" s="53" t="str">
        <f>IF($S6="","",INDEX(#REF!,$S6+1))</f>
        <v/>
      </c>
      <c r="AO6" s="254" t="str">
        <f t="shared" si="7"/>
        <v/>
      </c>
      <c r="AP6" s="254" t="str">
        <f t="shared" si="8"/>
        <v/>
      </c>
      <c r="AQ6" s="254" t="str">
        <f t="shared" si="9"/>
        <v/>
      </c>
      <c r="AR6" s="57" t="str">
        <f>IF($S6="","",SUM($AQ6:$AQ$114))</f>
        <v/>
      </c>
      <c r="AS6" s="53" t="str">
        <f>IF($S6="","",INDEX(#REF!,$S6+1))</f>
        <v/>
      </c>
      <c r="AT6" s="254" t="str">
        <f t="shared" si="10"/>
        <v/>
      </c>
      <c r="AU6" s="254" t="str">
        <f t="shared" si="11"/>
        <v/>
      </c>
      <c r="AV6" s="254" t="str">
        <f t="shared" si="12"/>
        <v/>
      </c>
      <c r="AW6" s="57" t="str">
        <f>IF($S6="","",SUM($AV6:$AV$114))</f>
        <v/>
      </c>
      <c r="AX6" s="53" t="str">
        <f>IF($S6="","",INDEX(#REF!,$S6+1))</f>
        <v/>
      </c>
      <c r="AY6" s="254" t="str">
        <f t="shared" si="13"/>
        <v/>
      </c>
      <c r="AZ6" s="254" t="str">
        <f t="shared" si="14"/>
        <v/>
      </c>
      <c r="BA6" s="254" t="str">
        <f t="shared" si="15"/>
        <v/>
      </c>
      <c r="BB6" s="57" t="str">
        <f>IF($S6="","",SUM($BA6:$BA$114))</f>
        <v/>
      </c>
      <c r="BC6" s="53" t="str">
        <f>IF($S6="","",INDEX(#REF!,$S6+1))</f>
        <v/>
      </c>
      <c r="BD6" s="254" t="str">
        <f t="shared" si="16"/>
        <v/>
      </c>
      <c r="BE6" s="254" t="str">
        <f t="shared" si="17"/>
        <v/>
      </c>
      <c r="BF6" s="254" t="str">
        <f t="shared" si="18"/>
        <v/>
      </c>
      <c r="BG6" s="57" t="str">
        <f>IF($S6="","",SUM($BF6:$BF$114))</f>
        <v/>
      </c>
      <c r="BH6" s="53" t="str">
        <f>IF($S6="","",INDEX(#REF!,$S6+1))</f>
        <v/>
      </c>
      <c r="BI6" s="254" t="str">
        <f t="shared" si="19"/>
        <v/>
      </c>
      <c r="BJ6" s="254" t="str">
        <f t="shared" si="20"/>
        <v/>
      </c>
      <c r="BK6" s="254" t="str">
        <f t="shared" si="21"/>
        <v/>
      </c>
      <c r="BL6" s="57" t="str">
        <f>IF($S6="","",SUM($BK6:$BK$114))</f>
        <v/>
      </c>
      <c r="BM6" s="53" t="str">
        <f t="shared" si="22"/>
        <v/>
      </c>
      <c r="BN6" s="254" t="str">
        <f t="shared" si="33"/>
        <v/>
      </c>
      <c r="BO6" s="254" t="str">
        <f t="shared" si="23"/>
        <v/>
      </c>
      <c r="BP6" s="254" t="str">
        <f t="shared" si="24"/>
        <v/>
      </c>
      <c r="BQ6" s="254" t="str">
        <f t="shared" si="34"/>
        <v/>
      </c>
      <c r="BR6" s="254"/>
      <c r="BS6" s="254"/>
      <c r="BT6" s="254"/>
      <c r="BU6" s="254"/>
      <c r="BV6" s="254" t="str">
        <f>IF($S6="","",SUM(BQ6:BQ$114))</f>
        <v/>
      </c>
      <c r="BW6" s="55" t="str">
        <f>IF(S6&lt;$E$3+$F$5,0,IFERROR(일반형_연납순보험료!S8,0))</f>
        <v/>
      </c>
      <c r="BX6" s="55"/>
      <c r="BY6" s="55"/>
      <c r="BZ6" s="55"/>
      <c r="CA6" s="55"/>
      <c r="CB6" s="254" t="str">
        <f t="shared" si="35"/>
        <v/>
      </c>
      <c r="CC6" s="254" t="str">
        <f t="shared" si="25"/>
        <v/>
      </c>
      <c r="CD6" s="254" t="str">
        <f t="shared" si="26"/>
        <v/>
      </c>
      <c r="CE6" s="254" t="str">
        <f t="shared" si="36"/>
        <v/>
      </c>
      <c r="CF6" s="254" t="str">
        <f t="shared" si="27"/>
        <v/>
      </c>
      <c r="CG6" s="58" t="str">
        <f t="shared" si="37"/>
        <v/>
      </c>
      <c r="CH6" s="59" t="str">
        <f t="shared" si="28"/>
        <v/>
      </c>
      <c r="CI6" s="236"/>
      <c r="CJ6" s="236"/>
      <c r="CK6" s="236"/>
      <c r="CL6" s="236"/>
      <c r="CM6" s="236"/>
      <c r="CN6" s="236"/>
      <c r="CO6" s="479"/>
      <c r="CP6" s="479"/>
      <c r="CQ6" s="479"/>
      <c r="CR6" s="479"/>
      <c r="CS6" s="479"/>
      <c r="CT6" s="479"/>
      <c r="CU6" s="479"/>
      <c r="CV6" s="479"/>
      <c r="CW6" s="479"/>
      <c r="CX6" s="479"/>
      <c r="CY6" s="479"/>
      <c r="CZ6" s="479"/>
      <c r="DA6" s="479"/>
      <c r="DB6" s="479"/>
      <c r="DC6" s="478"/>
      <c r="DD6" s="479"/>
      <c r="DE6" s="479"/>
      <c r="DF6" s="478"/>
      <c r="DG6" s="479"/>
      <c r="DH6" s="479"/>
      <c r="DI6" s="479"/>
      <c r="DJ6" s="479"/>
      <c r="DK6" s="479"/>
      <c r="DL6" s="479"/>
      <c r="DM6" s="479"/>
      <c r="DN6" s="478"/>
      <c r="DO6" s="479"/>
      <c r="DP6" s="479"/>
      <c r="DQ6" s="479"/>
      <c r="DR6" s="479"/>
      <c r="DS6" s="479"/>
      <c r="DT6" s="479"/>
      <c r="DU6" s="479"/>
      <c r="DV6" s="479"/>
      <c r="DW6" s="479"/>
      <c r="DX6" s="479"/>
      <c r="DY6" s="479"/>
      <c r="DZ6" s="479"/>
      <c r="EA6" s="479"/>
      <c r="EB6" s="479"/>
      <c r="EC6" s="479"/>
      <c r="ED6" s="479"/>
    </row>
    <row r="7" spans="1:897">
      <c r="A7" s="14"/>
      <c r="B7" s="15"/>
      <c r="C7" s="28"/>
      <c r="D7" s="29" t="s">
        <v>96</v>
      </c>
      <c r="E7" s="633" t="s">
        <v>276</v>
      </c>
      <c r="F7" s="432">
        <f>Main_무해지!F7</f>
        <v>0</v>
      </c>
      <c r="G7" s="30"/>
      <c r="H7" s="322"/>
      <c r="I7" s="48" t="str">
        <f>+I52</f>
        <v xml:space="preserve">  mP(m')x:n</v>
      </c>
      <c r="J7" s="95" t="str">
        <f>E6&amp;"P"</f>
        <v>연납P</v>
      </c>
      <c r="K7" s="226">
        <f>ROUND(K52,E18)*E19</f>
        <v>7</v>
      </c>
      <c r="L7" s="599"/>
      <c r="M7" s="50"/>
      <c r="N7" s="275">
        <v>1</v>
      </c>
      <c r="O7" s="276">
        <f>IF(N7="","",$E$3+N7)</f>
        <v>1</v>
      </c>
      <c r="P7" s="277">
        <f t="shared" ref="P7:P70" si="41">IF(N7="","",IF($F$5=0,$K$3,$K$3*$F$6*MIN($N7,F$5)))</f>
        <v>200</v>
      </c>
      <c r="Q7" s="277">
        <f t="shared" ref="Q7:Q70" si="42">IF(N7="","",CH5*$E$12/$E$19*10000)</f>
        <v>0</v>
      </c>
      <c r="R7" s="277"/>
      <c r="S7" s="52" t="str">
        <f t="shared" si="38"/>
        <v/>
      </c>
      <c r="T7" s="53" t="str">
        <f>Main_무해지!AC7</f>
        <v/>
      </c>
      <c r="U7" s="254">
        <f>+Main_무해지!AD7</f>
        <v>0</v>
      </c>
      <c r="V7" s="254" t="str">
        <f t="shared" si="29"/>
        <v/>
      </c>
      <c r="W7" s="254" t="str">
        <f t="shared" si="39"/>
        <v/>
      </c>
      <c r="X7" s="254" t="str">
        <f t="shared" si="0"/>
        <v/>
      </c>
      <c r="Y7" s="54" t="str">
        <f>IF($S7="","",SUM(X7:X$114))</f>
        <v/>
      </c>
      <c r="Z7" s="254" t="str">
        <f t="shared" si="30"/>
        <v/>
      </c>
      <c r="AA7" s="254">
        <f t="shared" si="31"/>
        <v>0</v>
      </c>
      <c r="AB7" s="254" t="str">
        <f>Main_무해지!AJ7</f>
        <v/>
      </c>
      <c r="AC7" s="254" t="str">
        <f t="shared" si="1"/>
        <v/>
      </c>
      <c r="AD7" s="254" t="str">
        <f t="shared" si="40"/>
        <v/>
      </c>
      <c r="AE7" s="254" t="str">
        <f t="shared" si="2"/>
        <v/>
      </c>
      <c r="AF7" s="54" t="str">
        <f>IF($S7="","",SUM(AE7:AE$114))</f>
        <v/>
      </c>
      <c r="AG7" s="53" t="str">
        <f>Main_무해지!AP7</f>
        <v/>
      </c>
      <c r="AH7" s="254" t="str">
        <f t="shared" si="3"/>
        <v/>
      </c>
      <c r="AI7" s="254" t="str">
        <f t="shared" si="4"/>
        <v/>
      </c>
      <c r="AJ7" s="254" t="str">
        <f t="shared" si="5"/>
        <v/>
      </c>
      <c r="AK7" s="57" t="str">
        <f>IF($S7="","",SUM($AL7:$AL$114))</f>
        <v/>
      </c>
      <c r="AL7" s="254" t="str">
        <f t="shared" si="32"/>
        <v/>
      </c>
      <c r="AM7" s="57" t="str">
        <f t="shared" si="6"/>
        <v/>
      </c>
      <c r="AN7" s="53" t="str">
        <f>IF($S7="","",INDEX(#REF!,$S7+1))</f>
        <v/>
      </c>
      <c r="AO7" s="254" t="str">
        <f t="shared" si="7"/>
        <v/>
      </c>
      <c r="AP7" s="254" t="str">
        <f t="shared" si="8"/>
        <v/>
      </c>
      <c r="AQ7" s="254" t="str">
        <f t="shared" si="9"/>
        <v/>
      </c>
      <c r="AR7" s="57" t="str">
        <f>IF($S7="","",SUM($AQ7:$AQ$114))</f>
        <v/>
      </c>
      <c r="AS7" s="53" t="str">
        <f>IF($S7="","",INDEX(#REF!,$S7+1))</f>
        <v/>
      </c>
      <c r="AT7" s="254" t="str">
        <f t="shared" si="10"/>
        <v/>
      </c>
      <c r="AU7" s="254" t="str">
        <f t="shared" si="11"/>
        <v/>
      </c>
      <c r="AV7" s="254" t="str">
        <f t="shared" si="12"/>
        <v/>
      </c>
      <c r="AW7" s="57" t="str">
        <f>IF($S7="","",SUM($AV7:$AV$114))</f>
        <v/>
      </c>
      <c r="AX7" s="53" t="str">
        <f>IF($S7="","",INDEX(#REF!,$S7+1))</f>
        <v/>
      </c>
      <c r="AY7" s="254" t="str">
        <f t="shared" si="13"/>
        <v/>
      </c>
      <c r="AZ7" s="254" t="str">
        <f t="shared" si="14"/>
        <v/>
      </c>
      <c r="BA7" s="254" t="str">
        <f t="shared" si="15"/>
        <v/>
      </c>
      <c r="BB7" s="57" t="str">
        <f>IF($S7="","",SUM($BA7:$BA$114))</f>
        <v/>
      </c>
      <c r="BC7" s="53" t="str">
        <f>IF($S7="","",INDEX(#REF!,$S7+1))</f>
        <v/>
      </c>
      <c r="BD7" s="254" t="str">
        <f t="shared" si="16"/>
        <v/>
      </c>
      <c r="BE7" s="254" t="str">
        <f t="shared" si="17"/>
        <v/>
      </c>
      <c r="BF7" s="254" t="str">
        <f t="shared" si="18"/>
        <v/>
      </c>
      <c r="BG7" s="57" t="str">
        <f>IF($S7="","",SUM($BF7:$BF$114))</f>
        <v/>
      </c>
      <c r="BH7" s="53" t="str">
        <f>IF($S7="","",INDEX(#REF!,$S7+1))</f>
        <v/>
      </c>
      <c r="BI7" s="254" t="str">
        <f t="shared" si="19"/>
        <v/>
      </c>
      <c r="BJ7" s="254" t="str">
        <f t="shared" si="20"/>
        <v/>
      </c>
      <c r="BK7" s="254" t="str">
        <f t="shared" si="21"/>
        <v/>
      </c>
      <c r="BL7" s="57" t="str">
        <f>IF($S7="","",SUM($BK7:$BK$114))</f>
        <v/>
      </c>
      <c r="BM7" s="53" t="str">
        <f t="shared" si="22"/>
        <v/>
      </c>
      <c r="BN7" s="254" t="str">
        <f t="shared" si="33"/>
        <v/>
      </c>
      <c r="BO7" s="254" t="str">
        <f t="shared" si="23"/>
        <v/>
      </c>
      <c r="BP7" s="254" t="str">
        <f t="shared" si="24"/>
        <v/>
      </c>
      <c r="BQ7" s="254" t="str">
        <f t="shared" si="34"/>
        <v/>
      </c>
      <c r="BR7" s="254"/>
      <c r="BS7" s="254"/>
      <c r="BT7" s="254"/>
      <c r="BU7" s="254"/>
      <c r="BV7" s="254" t="str">
        <f>IF($S7="","",SUM(BQ7:BQ$114))</f>
        <v/>
      </c>
      <c r="BW7" s="55" t="str">
        <f>IF(S7&lt;$E$3+$F$5,0,IFERROR(일반형_연납순보험료!S9,0))</f>
        <v/>
      </c>
      <c r="BX7" s="55"/>
      <c r="BY7" s="55"/>
      <c r="BZ7" s="55"/>
      <c r="CA7" s="55"/>
      <c r="CB7" s="254" t="str">
        <f t="shared" si="35"/>
        <v/>
      </c>
      <c r="CC7" s="254" t="str">
        <f t="shared" si="25"/>
        <v/>
      </c>
      <c r="CD7" s="254" t="str">
        <f t="shared" si="26"/>
        <v/>
      </c>
      <c r="CE7" s="254" t="str">
        <f t="shared" si="36"/>
        <v/>
      </c>
      <c r="CF7" s="254" t="str">
        <f t="shared" si="27"/>
        <v/>
      </c>
      <c r="CG7" s="58" t="str">
        <f t="shared" si="37"/>
        <v/>
      </c>
      <c r="CH7" s="59" t="str">
        <f t="shared" si="28"/>
        <v/>
      </c>
      <c r="CI7" s="236"/>
      <c r="CJ7" s="236"/>
      <c r="CK7" s="236"/>
      <c r="CL7" s="236"/>
      <c r="CM7" s="236"/>
      <c r="CN7" s="236"/>
      <c r="CO7" s="479"/>
      <c r="CP7" s="479"/>
      <c r="CQ7" s="479"/>
      <c r="CR7" s="479"/>
      <c r="CS7" s="479"/>
      <c r="CT7" s="479"/>
      <c r="CU7" s="479"/>
      <c r="CV7" s="479"/>
      <c r="CW7" s="479"/>
      <c r="CX7" s="479"/>
      <c r="CY7" s="479"/>
      <c r="CZ7" s="479"/>
      <c r="DA7" s="479"/>
      <c r="DB7" s="479"/>
      <c r="DC7" s="478"/>
      <c r="DD7" s="479"/>
      <c r="DE7" s="479"/>
      <c r="DF7" s="478"/>
      <c r="DG7" s="479"/>
      <c r="DH7" s="479"/>
      <c r="DI7" s="479"/>
      <c r="DJ7" s="479"/>
      <c r="DK7" s="479"/>
      <c r="DL7" s="479"/>
      <c r="DM7" s="479"/>
      <c r="DN7" s="478"/>
      <c r="DO7" s="479"/>
      <c r="DP7" s="479"/>
      <c r="DQ7" s="479"/>
      <c r="DR7" s="479"/>
      <c r="DS7" s="479"/>
      <c r="DT7" s="479"/>
      <c r="DU7" s="479"/>
      <c r="DV7" s="479"/>
      <c r="DW7" s="479"/>
      <c r="DX7" s="479"/>
      <c r="DY7" s="479"/>
      <c r="DZ7" s="479"/>
      <c r="EA7" s="479"/>
      <c r="EB7" s="479"/>
      <c r="EC7" s="479"/>
      <c r="ED7" s="479"/>
    </row>
    <row r="8" spans="1:897">
      <c r="C8" s="28"/>
      <c r="D8" s="29" t="s">
        <v>97</v>
      </c>
      <c r="E8" s="633" t="s">
        <v>226</v>
      </c>
      <c r="F8" s="306">
        <f>Main_무해지!F8</f>
        <v>0</v>
      </c>
      <c r="G8" s="30"/>
      <c r="H8" s="323"/>
      <c r="I8" s="48" t="str">
        <f>+I55</f>
        <v xml:space="preserve">  mP'(m')x:n</v>
      </c>
      <c r="J8" s="109" t="str">
        <f>E6&amp;"P'"</f>
        <v>연납P'</v>
      </c>
      <c r="K8" s="226">
        <f>ROUND(K55,E18)*E19</f>
        <v>20</v>
      </c>
      <c r="L8" s="599"/>
      <c r="M8" s="50"/>
      <c r="N8" s="278" t="str">
        <f t="shared" ref="N8:N71" si="43">IF(N7="","",IF(N7+1&gt;$F$4,"",N7+1))</f>
        <v/>
      </c>
      <c r="O8" s="279" t="str">
        <f t="shared" ref="O8:O71" si="44">IF(N8="","",$E$3+N8)</f>
        <v/>
      </c>
      <c r="P8" s="271" t="str">
        <f t="shared" si="41"/>
        <v/>
      </c>
      <c r="Q8" s="271" t="str">
        <f t="shared" si="42"/>
        <v/>
      </c>
      <c r="R8" s="271"/>
      <c r="S8" s="52" t="str">
        <f t="shared" si="38"/>
        <v/>
      </c>
      <c r="T8" s="53" t="str">
        <f>Main_무해지!AC8</f>
        <v/>
      </c>
      <c r="U8" s="254">
        <f>+Main_무해지!AD8</f>
        <v>0</v>
      </c>
      <c r="V8" s="254" t="str">
        <f t="shared" si="29"/>
        <v/>
      </c>
      <c r="W8" s="254" t="str">
        <f t="shared" si="39"/>
        <v/>
      </c>
      <c r="X8" s="254" t="str">
        <f t="shared" si="0"/>
        <v/>
      </c>
      <c r="Y8" s="54" t="str">
        <f>IF($S8="","",SUM(X8:X$114))</f>
        <v/>
      </c>
      <c r="Z8" s="254" t="str">
        <f t="shared" si="30"/>
        <v/>
      </c>
      <c r="AA8" s="254">
        <f t="shared" si="31"/>
        <v>0</v>
      </c>
      <c r="AB8" s="254" t="str">
        <f>Main_무해지!AJ8</f>
        <v/>
      </c>
      <c r="AC8" s="254" t="str">
        <f t="shared" si="1"/>
        <v/>
      </c>
      <c r="AD8" s="254" t="str">
        <f t="shared" si="40"/>
        <v/>
      </c>
      <c r="AE8" s="254" t="str">
        <f t="shared" si="2"/>
        <v/>
      </c>
      <c r="AF8" s="54" t="str">
        <f>IF($S8="","",SUM(AE8:AE$114))</f>
        <v/>
      </c>
      <c r="AG8" s="53" t="str">
        <f>Main_무해지!AP8</f>
        <v/>
      </c>
      <c r="AH8" s="254" t="str">
        <f t="shared" si="3"/>
        <v/>
      </c>
      <c r="AI8" s="254" t="str">
        <f t="shared" si="4"/>
        <v/>
      </c>
      <c r="AJ8" s="254" t="str">
        <f t="shared" si="5"/>
        <v/>
      </c>
      <c r="AK8" s="57" t="str">
        <f>IF($S8="","",SUM($AL8:$AL$114))</f>
        <v/>
      </c>
      <c r="AL8" s="254" t="str">
        <f t="shared" si="32"/>
        <v/>
      </c>
      <c r="AM8" s="57" t="str">
        <f t="shared" si="6"/>
        <v/>
      </c>
      <c r="AN8" s="53" t="str">
        <f>IF($S8="","",INDEX(#REF!,$S8+1))</f>
        <v/>
      </c>
      <c r="AO8" s="254" t="str">
        <f t="shared" si="7"/>
        <v/>
      </c>
      <c r="AP8" s="254" t="str">
        <f t="shared" si="8"/>
        <v/>
      </c>
      <c r="AQ8" s="254" t="str">
        <f t="shared" si="9"/>
        <v/>
      </c>
      <c r="AR8" s="57" t="str">
        <f>IF($S8="","",SUM($AQ8:$AQ$114))</f>
        <v/>
      </c>
      <c r="AS8" s="53" t="str">
        <f>IF($S8="","",INDEX(#REF!,$S8+1))</f>
        <v/>
      </c>
      <c r="AT8" s="254" t="str">
        <f t="shared" si="10"/>
        <v/>
      </c>
      <c r="AU8" s="254" t="str">
        <f t="shared" si="11"/>
        <v/>
      </c>
      <c r="AV8" s="254" t="str">
        <f t="shared" si="12"/>
        <v/>
      </c>
      <c r="AW8" s="57" t="str">
        <f>IF($S8="","",SUM($AV8:$AV$114))</f>
        <v/>
      </c>
      <c r="AX8" s="53" t="str">
        <f>IF($S8="","",INDEX(#REF!,$S8+1))</f>
        <v/>
      </c>
      <c r="AY8" s="254" t="str">
        <f t="shared" si="13"/>
        <v/>
      </c>
      <c r="AZ8" s="254" t="str">
        <f t="shared" si="14"/>
        <v/>
      </c>
      <c r="BA8" s="254" t="str">
        <f t="shared" si="15"/>
        <v/>
      </c>
      <c r="BB8" s="57" t="str">
        <f>IF($S8="","",SUM($BA8:$BA$114))</f>
        <v/>
      </c>
      <c r="BC8" s="53" t="str">
        <f>IF($S8="","",INDEX(#REF!,$S8+1))</f>
        <v/>
      </c>
      <c r="BD8" s="254" t="str">
        <f t="shared" si="16"/>
        <v/>
      </c>
      <c r="BE8" s="254" t="str">
        <f t="shared" si="17"/>
        <v/>
      </c>
      <c r="BF8" s="254" t="str">
        <f t="shared" si="18"/>
        <v/>
      </c>
      <c r="BG8" s="57" t="str">
        <f>IF($S8="","",SUM($BF8:$BF$114))</f>
        <v/>
      </c>
      <c r="BH8" s="53" t="str">
        <f>IF($S8="","",INDEX(#REF!,$S8+1))</f>
        <v/>
      </c>
      <c r="BI8" s="254" t="str">
        <f t="shared" si="19"/>
        <v/>
      </c>
      <c r="BJ8" s="254" t="str">
        <f t="shared" si="20"/>
        <v/>
      </c>
      <c r="BK8" s="254" t="str">
        <f t="shared" si="21"/>
        <v/>
      </c>
      <c r="BL8" s="57" t="str">
        <f>IF($S8="","",SUM($BK8:$BK$114))</f>
        <v/>
      </c>
      <c r="BM8" s="53" t="str">
        <f t="shared" si="22"/>
        <v/>
      </c>
      <c r="BN8" s="254" t="str">
        <f t="shared" si="33"/>
        <v/>
      </c>
      <c r="BO8" s="254" t="str">
        <f t="shared" si="23"/>
        <v/>
      </c>
      <c r="BP8" s="254" t="str">
        <f t="shared" si="24"/>
        <v/>
      </c>
      <c r="BQ8" s="254" t="str">
        <f t="shared" si="34"/>
        <v/>
      </c>
      <c r="BR8" s="254"/>
      <c r="BS8" s="254"/>
      <c r="BT8" s="254"/>
      <c r="BU8" s="254"/>
      <c r="BV8" s="254" t="str">
        <f>IF($S8="","",SUM(BQ8:BQ$114))</f>
        <v/>
      </c>
      <c r="BW8" s="55" t="str">
        <f>IF(S8&lt;$E$3+$F$5,0,IFERROR(일반형_연납순보험료!S10,0))</f>
        <v/>
      </c>
      <c r="BX8" s="55"/>
      <c r="BY8" s="55"/>
      <c r="BZ8" s="55"/>
      <c r="CA8" s="55"/>
      <c r="CB8" s="254" t="str">
        <f t="shared" si="35"/>
        <v/>
      </c>
      <c r="CC8" s="254" t="str">
        <f t="shared" si="25"/>
        <v/>
      </c>
      <c r="CD8" s="254" t="str">
        <f t="shared" si="26"/>
        <v/>
      </c>
      <c r="CE8" s="254" t="str">
        <f t="shared" si="36"/>
        <v/>
      </c>
      <c r="CF8" s="254" t="str">
        <f t="shared" si="27"/>
        <v/>
      </c>
      <c r="CG8" s="58" t="str">
        <f t="shared" si="37"/>
        <v/>
      </c>
      <c r="CH8" s="59" t="str">
        <f t="shared" si="28"/>
        <v/>
      </c>
      <c r="CI8" s="236"/>
      <c r="CJ8" s="236"/>
      <c r="CK8" s="236"/>
      <c r="CL8" s="236"/>
      <c r="CM8" s="236"/>
      <c r="CN8" s="236"/>
      <c r="CO8" s="479"/>
      <c r="CP8" s="479"/>
      <c r="CQ8" s="479"/>
      <c r="CR8" s="479"/>
      <c r="CS8" s="479"/>
      <c r="CT8" s="479"/>
      <c r="CU8" s="479"/>
      <c r="CV8" s="479"/>
      <c r="CW8" s="479"/>
      <c r="CX8" s="479"/>
      <c r="CY8" s="479"/>
      <c r="CZ8" s="479"/>
      <c r="DA8" s="479"/>
      <c r="DB8" s="479"/>
      <c r="DC8" s="478"/>
      <c r="DD8" s="479"/>
      <c r="DE8" s="479"/>
      <c r="DF8" s="478"/>
      <c r="DG8" s="479"/>
      <c r="DH8" s="479"/>
      <c r="DI8" s="479"/>
      <c r="DJ8" s="479"/>
      <c r="DK8" s="479"/>
      <c r="DL8" s="479"/>
      <c r="DM8" s="479"/>
      <c r="DN8" s="478"/>
      <c r="DO8" s="479"/>
      <c r="DP8" s="479"/>
      <c r="DQ8" s="479"/>
      <c r="DR8" s="479"/>
      <c r="DS8" s="479"/>
      <c r="DT8" s="479"/>
      <c r="DU8" s="479"/>
      <c r="DV8" s="479"/>
      <c r="DW8" s="479"/>
      <c r="DX8" s="479"/>
      <c r="DY8" s="479"/>
      <c r="DZ8" s="479"/>
      <c r="EA8" s="479"/>
      <c r="EB8" s="479"/>
      <c r="EC8" s="479"/>
      <c r="ED8" s="479"/>
    </row>
    <row r="9" spans="1:897">
      <c r="C9" s="28"/>
      <c r="D9" s="29" t="s">
        <v>98</v>
      </c>
      <c r="E9" s="429" t="s">
        <v>227</v>
      </c>
      <c r="F9" s="306">
        <f>Main_무해지!F9</f>
        <v>0</v>
      </c>
      <c r="G9" s="30"/>
      <c r="H9" s="372"/>
      <c r="I9" s="48" t="str">
        <f>+I48</f>
        <v xml:space="preserve">  mP(β')(m')x:n</v>
      </c>
      <c r="J9" s="109" t="s">
        <v>257</v>
      </c>
      <c r="K9" s="226">
        <f>ROUND(K48,E18)*E19</f>
        <v>7</v>
      </c>
      <c r="L9" s="599"/>
      <c r="M9" s="50"/>
      <c r="N9" s="278" t="str">
        <f t="shared" si="43"/>
        <v/>
      </c>
      <c r="O9" s="279" t="str">
        <f t="shared" si="44"/>
        <v/>
      </c>
      <c r="P9" s="271" t="str">
        <f t="shared" si="41"/>
        <v/>
      </c>
      <c r="Q9" s="271" t="str">
        <f t="shared" si="42"/>
        <v/>
      </c>
      <c r="R9" s="271"/>
      <c r="S9" s="60" t="str">
        <f t="shared" si="38"/>
        <v/>
      </c>
      <c r="T9" s="61" t="str">
        <f>Main_무해지!AC9</f>
        <v/>
      </c>
      <c r="U9" s="255">
        <f>+Main_무해지!AD9</f>
        <v>0</v>
      </c>
      <c r="V9" s="255" t="str">
        <f t="shared" si="29"/>
        <v/>
      </c>
      <c r="W9" s="255" t="str">
        <f t="shared" si="39"/>
        <v/>
      </c>
      <c r="X9" s="255" t="str">
        <f t="shared" si="0"/>
        <v/>
      </c>
      <c r="Y9" s="62" t="str">
        <f>IF($S9="","",SUM(X9:X$114))</f>
        <v/>
      </c>
      <c r="Z9" s="255" t="str">
        <f t="shared" si="30"/>
        <v/>
      </c>
      <c r="AA9" s="255">
        <f t="shared" si="31"/>
        <v>0</v>
      </c>
      <c r="AB9" s="255" t="str">
        <f>Main_무해지!AJ9</f>
        <v/>
      </c>
      <c r="AC9" s="255" t="str">
        <f t="shared" si="1"/>
        <v/>
      </c>
      <c r="AD9" s="255" t="str">
        <f t="shared" si="40"/>
        <v/>
      </c>
      <c r="AE9" s="255" t="str">
        <f t="shared" si="2"/>
        <v/>
      </c>
      <c r="AF9" s="62" t="str">
        <f>IF($S9="","",SUM(AE9:AE$114))</f>
        <v/>
      </c>
      <c r="AG9" s="61" t="str">
        <f>Main_무해지!AP9</f>
        <v/>
      </c>
      <c r="AH9" s="255" t="str">
        <f t="shared" si="3"/>
        <v/>
      </c>
      <c r="AI9" s="255" t="str">
        <f t="shared" si="4"/>
        <v/>
      </c>
      <c r="AJ9" s="255" t="str">
        <f t="shared" si="5"/>
        <v/>
      </c>
      <c r="AK9" s="65" t="str">
        <f>IF($S9="","",SUM($AL9:$AL$114))</f>
        <v/>
      </c>
      <c r="AL9" s="255" t="str">
        <f t="shared" si="32"/>
        <v/>
      </c>
      <c r="AM9" s="65" t="str">
        <f t="shared" si="6"/>
        <v/>
      </c>
      <c r="AN9" s="61" t="str">
        <f>IF($S9="","",INDEX(#REF!,$S9+1))</f>
        <v/>
      </c>
      <c r="AO9" s="255" t="str">
        <f t="shared" si="7"/>
        <v/>
      </c>
      <c r="AP9" s="255" t="str">
        <f t="shared" si="8"/>
        <v/>
      </c>
      <c r="AQ9" s="255" t="str">
        <f t="shared" si="9"/>
        <v/>
      </c>
      <c r="AR9" s="65" t="str">
        <f>IF($S9="","",SUM($AQ9:$AQ$114))</f>
        <v/>
      </c>
      <c r="AS9" s="61" t="str">
        <f>IF($S9="","",INDEX(#REF!,$S9+1))</f>
        <v/>
      </c>
      <c r="AT9" s="255" t="str">
        <f t="shared" si="10"/>
        <v/>
      </c>
      <c r="AU9" s="255" t="str">
        <f t="shared" si="11"/>
        <v/>
      </c>
      <c r="AV9" s="255" t="str">
        <f t="shared" si="12"/>
        <v/>
      </c>
      <c r="AW9" s="65" t="str">
        <f>IF($S9="","",SUM($AV9:$AV$114))</f>
        <v/>
      </c>
      <c r="AX9" s="61" t="str">
        <f>IF($S9="","",INDEX(#REF!,$S9+1))</f>
        <v/>
      </c>
      <c r="AY9" s="255" t="str">
        <f t="shared" si="13"/>
        <v/>
      </c>
      <c r="AZ9" s="255" t="str">
        <f t="shared" si="14"/>
        <v/>
      </c>
      <c r="BA9" s="255" t="str">
        <f t="shared" si="15"/>
        <v/>
      </c>
      <c r="BB9" s="65" t="str">
        <f>IF($S9="","",SUM($BA9:$BA$114))</f>
        <v/>
      </c>
      <c r="BC9" s="61" t="str">
        <f>IF($S9="","",INDEX(#REF!,$S9+1))</f>
        <v/>
      </c>
      <c r="BD9" s="255" t="str">
        <f t="shared" si="16"/>
        <v/>
      </c>
      <c r="BE9" s="255" t="str">
        <f t="shared" si="17"/>
        <v/>
      </c>
      <c r="BF9" s="255" t="str">
        <f t="shared" si="18"/>
        <v/>
      </c>
      <c r="BG9" s="65" t="str">
        <f>IF($S9="","",SUM($BF9:$BF$114))</f>
        <v/>
      </c>
      <c r="BH9" s="61" t="str">
        <f>IF($S9="","",INDEX(#REF!,$S9+1))</f>
        <v/>
      </c>
      <c r="BI9" s="255" t="str">
        <f t="shared" si="19"/>
        <v/>
      </c>
      <c r="BJ9" s="255" t="str">
        <f t="shared" si="20"/>
        <v/>
      </c>
      <c r="BK9" s="255" t="str">
        <f t="shared" si="21"/>
        <v/>
      </c>
      <c r="BL9" s="65" t="str">
        <f>IF($S9="","",SUM($BK9:$BK$114))</f>
        <v/>
      </c>
      <c r="BM9" s="61" t="str">
        <f t="shared" si="22"/>
        <v/>
      </c>
      <c r="BN9" s="255" t="str">
        <f t="shared" si="33"/>
        <v/>
      </c>
      <c r="BO9" s="255" t="str">
        <f t="shared" si="23"/>
        <v/>
      </c>
      <c r="BP9" s="255" t="str">
        <f t="shared" si="24"/>
        <v/>
      </c>
      <c r="BQ9" s="255" t="str">
        <f t="shared" si="34"/>
        <v/>
      </c>
      <c r="BR9" s="255"/>
      <c r="BS9" s="255"/>
      <c r="BT9" s="255"/>
      <c r="BU9" s="255"/>
      <c r="BV9" s="255" t="str">
        <f>IF($S9="","",SUM(BQ9:BQ$114))</f>
        <v/>
      </c>
      <c r="BW9" s="63" t="str">
        <f>IF(S9&lt;$E$3+$F$5,0,IFERROR(일반형_연납순보험료!S11,0))</f>
        <v/>
      </c>
      <c r="BX9" s="63"/>
      <c r="BY9" s="63"/>
      <c r="BZ9" s="63"/>
      <c r="CA9" s="63"/>
      <c r="CB9" s="255" t="str">
        <f t="shared" si="35"/>
        <v/>
      </c>
      <c r="CC9" s="255" t="str">
        <f t="shared" si="25"/>
        <v/>
      </c>
      <c r="CD9" s="255" t="str">
        <f t="shared" si="26"/>
        <v/>
      </c>
      <c r="CE9" s="255" t="str">
        <f t="shared" si="36"/>
        <v/>
      </c>
      <c r="CF9" s="255" t="str">
        <f t="shared" si="27"/>
        <v/>
      </c>
      <c r="CG9" s="66" t="str">
        <f t="shared" si="37"/>
        <v/>
      </c>
      <c r="CH9" s="67" t="str">
        <f t="shared" si="28"/>
        <v/>
      </c>
      <c r="CI9" s="237"/>
      <c r="CJ9" s="237"/>
      <c r="CK9" s="237"/>
      <c r="CL9" s="237"/>
      <c r="CM9" s="237"/>
      <c r="CN9" s="237"/>
      <c r="CO9" s="479"/>
      <c r="CP9" s="479"/>
      <c r="CQ9" s="479"/>
      <c r="CR9" s="479"/>
      <c r="CS9" s="479"/>
      <c r="CT9" s="479"/>
      <c r="CU9" s="479"/>
      <c r="CV9" s="479"/>
      <c r="CW9" s="479"/>
      <c r="CX9" s="479"/>
      <c r="CY9" s="479"/>
      <c r="CZ9" s="479"/>
      <c r="DA9" s="479"/>
      <c r="DB9" s="479"/>
      <c r="DC9" s="478"/>
      <c r="DD9" s="479"/>
      <c r="DE9" s="479"/>
      <c r="DF9" s="478"/>
      <c r="DG9" s="479"/>
      <c r="DH9" s="479"/>
      <c r="DI9" s="479"/>
      <c r="DJ9" s="479"/>
      <c r="DK9" s="479"/>
      <c r="DL9" s="479"/>
      <c r="DM9" s="479"/>
      <c r="DN9" s="478"/>
      <c r="DO9" s="479"/>
      <c r="DP9" s="479"/>
      <c r="DQ9" s="479"/>
      <c r="DR9" s="479"/>
      <c r="DS9" s="479"/>
      <c r="DT9" s="479"/>
      <c r="DU9" s="479"/>
      <c r="DV9" s="479"/>
      <c r="DW9" s="479"/>
      <c r="DX9" s="479"/>
      <c r="DY9" s="479"/>
      <c r="DZ9" s="479"/>
      <c r="EA9" s="479"/>
      <c r="EB9" s="479"/>
      <c r="EC9" s="479"/>
      <c r="ED9" s="479"/>
    </row>
    <row r="10" spans="1:897">
      <c r="C10" s="28"/>
      <c r="D10" s="29" t="s">
        <v>99</v>
      </c>
      <c r="E10" s="430">
        <v>0</v>
      </c>
      <c r="F10" s="306">
        <f>Main_무해지!F10</f>
        <v>0</v>
      </c>
      <c r="G10" s="30"/>
      <c r="H10" s="321"/>
      <c r="I10" s="48" t="s">
        <v>75</v>
      </c>
      <c r="J10" s="109"/>
      <c r="K10" s="226">
        <f>+IF(F5=0,ROUND(E32*E19+K44*E33*E19,0),ROUND(E23*E19+E24*K41*E19,0))</f>
        <v>0</v>
      </c>
      <c r="L10" s="599"/>
      <c r="M10" s="50"/>
      <c r="N10" s="278" t="str">
        <f t="shared" si="43"/>
        <v/>
      </c>
      <c r="O10" s="279" t="str">
        <f t="shared" si="44"/>
        <v/>
      </c>
      <c r="P10" s="271" t="str">
        <f t="shared" si="41"/>
        <v/>
      </c>
      <c r="Q10" s="271" t="str">
        <f t="shared" si="42"/>
        <v/>
      </c>
      <c r="R10" s="271"/>
      <c r="S10" s="759" t="str">
        <f t="shared" si="38"/>
        <v/>
      </c>
      <c r="T10" s="761" t="str">
        <f>Main_무해지!AC10</f>
        <v/>
      </c>
      <c r="U10" s="409">
        <f>+Main_무해지!AD10</f>
        <v>0</v>
      </c>
      <c r="V10" s="409" t="str">
        <f t="shared" si="29"/>
        <v/>
      </c>
      <c r="W10" s="409" t="str">
        <f t="shared" si="39"/>
        <v/>
      </c>
      <c r="X10" s="409" t="str">
        <f t="shared" si="0"/>
        <v/>
      </c>
      <c r="Y10" s="760" t="str">
        <f>IF($S10="","",SUM(X10:X$114))</f>
        <v/>
      </c>
      <c r="Z10" s="409" t="str">
        <f t="shared" si="30"/>
        <v/>
      </c>
      <c r="AA10" s="409">
        <f t="shared" si="31"/>
        <v>0</v>
      </c>
      <c r="AB10" s="409" t="str">
        <f>Main_무해지!AJ10</f>
        <v/>
      </c>
      <c r="AC10" s="409" t="str">
        <f t="shared" si="1"/>
        <v/>
      </c>
      <c r="AD10" s="409" t="str">
        <f t="shared" si="40"/>
        <v/>
      </c>
      <c r="AE10" s="409" t="str">
        <f t="shared" si="2"/>
        <v/>
      </c>
      <c r="AF10" s="760" t="str">
        <f>IF($S10="","",SUM(AE10:AE$114))</f>
        <v/>
      </c>
      <c r="AG10" s="761" t="str">
        <f>Main_무해지!AP10</f>
        <v/>
      </c>
      <c r="AH10" s="409" t="str">
        <f t="shared" si="3"/>
        <v/>
      </c>
      <c r="AI10" s="409" t="str">
        <f t="shared" si="4"/>
        <v/>
      </c>
      <c r="AJ10" s="409" t="str">
        <f t="shared" si="5"/>
        <v/>
      </c>
      <c r="AK10" s="762" t="str">
        <f>IF($S10="","",SUM($AL10:$AL$114))</f>
        <v/>
      </c>
      <c r="AL10" s="409" t="str">
        <f t="shared" si="32"/>
        <v/>
      </c>
      <c r="AM10" s="762" t="str">
        <f t="shared" si="6"/>
        <v/>
      </c>
      <c r="AN10" s="761" t="str">
        <f>IF($S10="","",INDEX(#REF!,$S10+1))</f>
        <v/>
      </c>
      <c r="AO10" s="409" t="str">
        <f t="shared" si="7"/>
        <v/>
      </c>
      <c r="AP10" s="409" t="str">
        <f t="shared" si="8"/>
        <v/>
      </c>
      <c r="AQ10" s="409" t="str">
        <f t="shared" si="9"/>
        <v/>
      </c>
      <c r="AR10" s="762" t="str">
        <f>IF($S10="","",SUM($AQ10:$AQ$114))</f>
        <v/>
      </c>
      <c r="AS10" s="761" t="str">
        <f>IF($S10="","",INDEX(#REF!,$S10+1))</f>
        <v/>
      </c>
      <c r="AT10" s="409" t="str">
        <f t="shared" si="10"/>
        <v/>
      </c>
      <c r="AU10" s="409" t="str">
        <f t="shared" si="11"/>
        <v/>
      </c>
      <c r="AV10" s="409" t="str">
        <f t="shared" si="12"/>
        <v/>
      </c>
      <c r="AW10" s="762" t="str">
        <f>IF($S10="","",SUM($AV10:$AV$114))</f>
        <v/>
      </c>
      <c r="AX10" s="761" t="str">
        <f>IF($S10="","",INDEX(#REF!,$S10+1))</f>
        <v/>
      </c>
      <c r="AY10" s="409" t="str">
        <f t="shared" si="13"/>
        <v/>
      </c>
      <c r="AZ10" s="409" t="str">
        <f t="shared" si="14"/>
        <v/>
      </c>
      <c r="BA10" s="409" t="str">
        <f t="shared" si="15"/>
        <v/>
      </c>
      <c r="BB10" s="762" t="str">
        <f>IF($S10="","",SUM($BA10:$BA$114))</f>
        <v/>
      </c>
      <c r="BC10" s="761" t="str">
        <f>IF($S10="","",INDEX(#REF!,$S10+1))</f>
        <v/>
      </c>
      <c r="BD10" s="409" t="str">
        <f t="shared" si="16"/>
        <v/>
      </c>
      <c r="BE10" s="409" t="str">
        <f t="shared" si="17"/>
        <v/>
      </c>
      <c r="BF10" s="409" t="str">
        <f t="shared" si="18"/>
        <v/>
      </c>
      <c r="BG10" s="762" t="str">
        <f>IF($S10="","",SUM($BF10:$BF$114))</f>
        <v/>
      </c>
      <c r="BH10" s="761" t="str">
        <f>IF($S10="","",INDEX(#REF!,$S10+1))</f>
        <v/>
      </c>
      <c r="BI10" s="409" t="str">
        <f t="shared" si="19"/>
        <v/>
      </c>
      <c r="BJ10" s="409" t="str">
        <f t="shared" si="20"/>
        <v/>
      </c>
      <c r="BK10" s="409" t="str">
        <f t="shared" si="21"/>
        <v/>
      </c>
      <c r="BL10" s="762" t="str">
        <f>IF($S10="","",SUM($BK10:$BK$114))</f>
        <v/>
      </c>
      <c r="BM10" s="761" t="str">
        <f t="shared" si="22"/>
        <v/>
      </c>
      <c r="BN10" s="409" t="str">
        <f t="shared" si="33"/>
        <v/>
      </c>
      <c r="BO10" s="409" t="str">
        <f t="shared" si="23"/>
        <v/>
      </c>
      <c r="BP10" s="409" t="str">
        <f t="shared" si="24"/>
        <v/>
      </c>
      <c r="BQ10" s="409" t="str">
        <f t="shared" si="34"/>
        <v/>
      </c>
      <c r="BR10" s="409"/>
      <c r="BS10" s="409"/>
      <c r="BT10" s="409"/>
      <c r="BU10" s="409"/>
      <c r="BV10" s="409" t="str">
        <f>IF($S10="","",SUM(BQ10:BQ$114))</f>
        <v/>
      </c>
      <c r="BW10" s="763" t="str">
        <f>IF(S10&lt;$E$3+$F$5,0,IFERROR(일반형_연납순보험료!S12,0))</f>
        <v/>
      </c>
      <c r="BX10" s="763"/>
      <c r="BY10" s="763"/>
      <c r="BZ10" s="763"/>
      <c r="CA10" s="763"/>
      <c r="CB10" s="409" t="str">
        <f t="shared" si="35"/>
        <v/>
      </c>
      <c r="CC10" s="409" t="str">
        <f t="shared" si="25"/>
        <v/>
      </c>
      <c r="CD10" s="409" t="str">
        <f t="shared" si="26"/>
        <v/>
      </c>
      <c r="CE10" s="409" t="str">
        <f t="shared" si="36"/>
        <v/>
      </c>
      <c r="CF10" s="409" t="str">
        <f t="shared" si="27"/>
        <v/>
      </c>
      <c r="CG10" s="765" t="str">
        <f t="shared" si="37"/>
        <v/>
      </c>
      <c r="CH10" s="766" t="str">
        <f t="shared" si="28"/>
        <v/>
      </c>
      <c r="CI10" s="414"/>
      <c r="CJ10" s="414"/>
      <c r="CK10" s="414"/>
      <c r="CL10" s="414"/>
      <c r="CM10" s="414"/>
      <c r="CN10" s="414"/>
      <c r="CO10" s="479"/>
      <c r="CP10" s="479"/>
      <c r="CQ10" s="479"/>
      <c r="CR10" s="479"/>
      <c r="CS10" s="479"/>
      <c r="CT10" s="479"/>
      <c r="CU10" s="479"/>
      <c r="CV10" s="479"/>
      <c r="CW10" s="479"/>
      <c r="CX10" s="479"/>
      <c r="CY10" s="479"/>
      <c r="CZ10" s="479"/>
      <c r="DA10" s="479"/>
      <c r="DB10" s="479"/>
      <c r="DC10" s="479"/>
      <c r="DD10" s="479"/>
      <c r="DE10" s="479"/>
      <c r="DF10" s="479"/>
      <c r="DG10" s="479"/>
      <c r="DH10" s="479"/>
      <c r="DI10" s="479"/>
      <c r="DJ10" s="479"/>
      <c r="DK10" s="479"/>
      <c r="DL10" s="479"/>
      <c r="DM10" s="479"/>
      <c r="DN10" s="479"/>
      <c r="DO10" s="479"/>
      <c r="DP10" s="479"/>
      <c r="DQ10" s="479"/>
      <c r="DR10" s="479"/>
      <c r="DS10" s="479"/>
      <c r="DT10" s="479"/>
      <c r="DU10" s="479"/>
      <c r="DV10" s="479"/>
      <c r="DW10" s="479"/>
      <c r="DX10" s="479"/>
      <c r="DY10" s="479"/>
      <c r="DZ10" s="479"/>
      <c r="EA10" s="479"/>
      <c r="EB10" s="479"/>
      <c r="EC10" s="479"/>
      <c r="ED10" s="479"/>
    </row>
    <row r="11" spans="1:897" ht="17.25" thickBot="1">
      <c r="C11" s="28"/>
      <c r="D11" s="29" t="s">
        <v>100</v>
      </c>
      <c r="E11" s="431">
        <v>0</v>
      </c>
      <c r="F11" s="306">
        <f>Main_무해지!F11</f>
        <v>0</v>
      </c>
      <c r="G11" s="30"/>
      <c r="H11" s="322"/>
      <c r="I11" s="426" t="s">
        <v>229</v>
      </c>
      <c r="J11" s="427"/>
      <c r="K11" s="428">
        <f>+IF(F5=0,ROUND(F32*E19+K44*F33*E19,0),ROUND(F23*E19+F24*K41*E19,0))</f>
        <v>70</v>
      </c>
      <c r="L11" s="50"/>
      <c r="M11" s="503"/>
      <c r="N11" s="280" t="str">
        <f t="shared" si="43"/>
        <v/>
      </c>
      <c r="O11" s="281" t="str">
        <f t="shared" si="44"/>
        <v/>
      </c>
      <c r="P11" s="282" t="str">
        <f t="shared" si="41"/>
        <v/>
      </c>
      <c r="Q11" s="282" t="str">
        <f t="shared" si="42"/>
        <v/>
      </c>
      <c r="R11" s="282"/>
      <c r="S11" s="70" t="str">
        <f t="shared" si="38"/>
        <v/>
      </c>
      <c r="T11" s="71" t="str">
        <f>Main_무해지!AC11</f>
        <v/>
      </c>
      <c r="U11" s="256">
        <f>+Main_무해지!AD11</f>
        <v>0</v>
      </c>
      <c r="V11" s="256" t="str">
        <f t="shared" si="29"/>
        <v/>
      </c>
      <c r="W11" s="256" t="str">
        <f t="shared" si="39"/>
        <v/>
      </c>
      <c r="X11" s="256" t="str">
        <f t="shared" si="0"/>
        <v/>
      </c>
      <c r="Y11" s="72" t="str">
        <f>IF($S11="","",SUM(X11:X$114))</f>
        <v/>
      </c>
      <c r="Z11" s="256" t="str">
        <f t="shared" si="30"/>
        <v/>
      </c>
      <c r="AA11" s="256">
        <f t="shared" si="31"/>
        <v>0</v>
      </c>
      <c r="AB11" s="256" t="str">
        <f>Main_무해지!AJ11</f>
        <v/>
      </c>
      <c r="AC11" s="256" t="str">
        <f t="shared" si="1"/>
        <v/>
      </c>
      <c r="AD11" s="256" t="str">
        <f t="shared" si="40"/>
        <v/>
      </c>
      <c r="AE11" s="256" t="str">
        <f t="shared" si="2"/>
        <v/>
      </c>
      <c r="AF11" s="72" t="str">
        <f>IF($S11="","",SUM(AE11:AE$114))</f>
        <v/>
      </c>
      <c r="AG11" s="71" t="str">
        <f>Main_무해지!AP11</f>
        <v/>
      </c>
      <c r="AH11" s="256" t="str">
        <f t="shared" si="3"/>
        <v/>
      </c>
      <c r="AI11" s="256" t="str">
        <f t="shared" si="4"/>
        <v/>
      </c>
      <c r="AJ11" s="256" t="str">
        <f t="shared" si="5"/>
        <v/>
      </c>
      <c r="AK11" s="75" t="str">
        <f>IF($S11="","",SUM($AL11:$AL$114))</f>
        <v/>
      </c>
      <c r="AL11" s="256" t="str">
        <f t="shared" si="32"/>
        <v/>
      </c>
      <c r="AM11" s="75" t="str">
        <f t="shared" si="6"/>
        <v/>
      </c>
      <c r="AN11" s="71" t="str">
        <f>IF($S11="","",INDEX(#REF!,$S11+1))</f>
        <v/>
      </c>
      <c r="AO11" s="256" t="str">
        <f t="shared" si="7"/>
        <v/>
      </c>
      <c r="AP11" s="256" t="str">
        <f t="shared" si="8"/>
        <v/>
      </c>
      <c r="AQ11" s="256" t="str">
        <f t="shared" si="9"/>
        <v/>
      </c>
      <c r="AR11" s="75" t="str">
        <f>IF($S11="","",SUM($AQ11:$AQ$114))</f>
        <v/>
      </c>
      <c r="AS11" s="71" t="str">
        <f>IF($S11="","",INDEX(#REF!,$S11+1))</f>
        <v/>
      </c>
      <c r="AT11" s="256" t="str">
        <f t="shared" si="10"/>
        <v/>
      </c>
      <c r="AU11" s="256" t="str">
        <f t="shared" si="11"/>
        <v/>
      </c>
      <c r="AV11" s="256" t="str">
        <f t="shared" si="12"/>
        <v/>
      </c>
      <c r="AW11" s="75" t="str">
        <f>IF($S11="","",SUM($AV11:$AV$114))</f>
        <v/>
      </c>
      <c r="AX11" s="71" t="str">
        <f>IF($S11="","",INDEX(#REF!,$S11+1))</f>
        <v/>
      </c>
      <c r="AY11" s="256" t="str">
        <f t="shared" si="13"/>
        <v/>
      </c>
      <c r="AZ11" s="256" t="str">
        <f t="shared" si="14"/>
        <v/>
      </c>
      <c r="BA11" s="256" t="str">
        <f t="shared" si="15"/>
        <v/>
      </c>
      <c r="BB11" s="75" t="str">
        <f>IF($S11="","",SUM($BA11:$BA$114))</f>
        <v/>
      </c>
      <c r="BC11" s="71" t="str">
        <f>IF($S11="","",INDEX(#REF!,$S11+1))</f>
        <v/>
      </c>
      <c r="BD11" s="256" t="str">
        <f t="shared" si="16"/>
        <v/>
      </c>
      <c r="BE11" s="256" t="str">
        <f t="shared" si="17"/>
        <v/>
      </c>
      <c r="BF11" s="256" t="str">
        <f t="shared" si="18"/>
        <v/>
      </c>
      <c r="BG11" s="75" t="str">
        <f>IF($S11="","",SUM($BF11:$BF$114))</f>
        <v/>
      </c>
      <c r="BH11" s="71" t="str">
        <f>IF($S11="","",INDEX(#REF!,$S11+1))</f>
        <v/>
      </c>
      <c r="BI11" s="256" t="str">
        <f t="shared" si="19"/>
        <v/>
      </c>
      <c r="BJ11" s="256" t="str">
        <f t="shared" si="20"/>
        <v/>
      </c>
      <c r="BK11" s="256" t="str">
        <f t="shared" si="21"/>
        <v/>
      </c>
      <c r="BL11" s="75" t="str">
        <f>IF($S11="","",SUM($BK11:$BK$114))</f>
        <v/>
      </c>
      <c r="BM11" s="71" t="str">
        <f t="shared" si="22"/>
        <v/>
      </c>
      <c r="BN11" s="256" t="str">
        <f t="shared" si="33"/>
        <v/>
      </c>
      <c r="BO11" s="256" t="str">
        <f t="shared" si="23"/>
        <v/>
      </c>
      <c r="BP11" s="256" t="str">
        <f t="shared" si="24"/>
        <v/>
      </c>
      <c r="BQ11" s="256" t="str">
        <f t="shared" si="34"/>
        <v/>
      </c>
      <c r="BR11" s="256"/>
      <c r="BS11" s="256"/>
      <c r="BT11" s="256"/>
      <c r="BU11" s="256"/>
      <c r="BV11" s="256" t="str">
        <f>IF($S11="","",SUM(BQ11:BQ$114))</f>
        <v/>
      </c>
      <c r="BW11" s="73" t="str">
        <f>IF(S11&lt;$E$3+$F$5,0,IFERROR(일반형_연납순보험료!S13,0))</f>
        <v/>
      </c>
      <c r="BX11" s="73"/>
      <c r="BY11" s="73"/>
      <c r="BZ11" s="73"/>
      <c r="CA11" s="73"/>
      <c r="CB11" s="256" t="str">
        <f t="shared" si="35"/>
        <v/>
      </c>
      <c r="CC11" s="256" t="str">
        <f t="shared" si="25"/>
        <v/>
      </c>
      <c r="CD11" s="256" t="str">
        <f t="shared" si="26"/>
        <v/>
      </c>
      <c r="CE11" s="256" t="str">
        <f t="shared" si="36"/>
        <v/>
      </c>
      <c r="CF11" s="256" t="str">
        <f t="shared" si="27"/>
        <v/>
      </c>
      <c r="CG11" s="76" t="str">
        <f t="shared" si="37"/>
        <v/>
      </c>
      <c r="CH11" s="77" t="str">
        <f t="shared" si="28"/>
        <v/>
      </c>
      <c r="CI11" s="238"/>
      <c r="CJ11" s="238"/>
      <c r="CK11" s="238"/>
      <c r="CL11" s="238"/>
      <c r="CM11" s="238"/>
      <c r="CN11" s="238"/>
      <c r="CO11" s="479"/>
      <c r="CP11" s="479"/>
      <c r="CQ11" s="479"/>
      <c r="CR11" s="479"/>
      <c r="CS11" s="479"/>
      <c r="CT11" s="479"/>
      <c r="CU11" s="479"/>
      <c r="CV11" s="479"/>
      <c r="CW11" s="479"/>
      <c r="CX11" s="479"/>
      <c r="CY11" s="479"/>
      <c r="CZ11" s="479"/>
      <c r="DA11" s="479"/>
      <c r="DB11" s="479"/>
      <c r="DC11" s="479"/>
      <c r="DD11" s="479"/>
      <c r="DE11" s="479"/>
      <c r="DF11" s="479"/>
      <c r="DG11" s="479"/>
      <c r="DH11" s="479"/>
      <c r="DI11" s="479"/>
      <c r="DJ11" s="479"/>
      <c r="DK11" s="479"/>
      <c r="DL11" s="479"/>
      <c r="DM11" s="479"/>
      <c r="DN11" s="479"/>
      <c r="DO11" s="479"/>
      <c r="DP11" s="479"/>
      <c r="DQ11" s="479"/>
      <c r="DR11" s="479"/>
      <c r="DS11" s="479"/>
      <c r="DT11" s="479"/>
      <c r="DU11" s="479"/>
      <c r="DV11" s="479"/>
      <c r="DW11" s="479"/>
      <c r="DX11" s="479"/>
      <c r="DY11" s="479"/>
      <c r="DZ11" s="479"/>
      <c r="EA11" s="479"/>
      <c r="EB11" s="479"/>
      <c r="EC11" s="479"/>
      <c r="ED11" s="479"/>
    </row>
    <row r="12" spans="1:897" ht="18.75" thickTop="1" thickBot="1">
      <c r="C12" s="245"/>
      <c r="D12" s="246" t="s">
        <v>77</v>
      </c>
      <c r="E12" s="248">
        <f>Main_무해지!E12</f>
        <v>1000</v>
      </c>
      <c r="F12" s="247" t="s">
        <v>76</v>
      </c>
      <c r="G12" s="249"/>
      <c r="H12" s="321"/>
      <c r="I12" s="495"/>
      <c r="J12" s="496"/>
      <c r="K12" s="497"/>
      <c r="L12" s="363"/>
      <c r="M12" s="50"/>
      <c r="N12" s="275" t="str">
        <f t="shared" si="43"/>
        <v/>
      </c>
      <c r="O12" s="276" t="str">
        <f t="shared" si="44"/>
        <v/>
      </c>
      <c r="P12" s="277" t="str">
        <f t="shared" si="41"/>
        <v/>
      </c>
      <c r="Q12" s="277" t="str">
        <f t="shared" si="42"/>
        <v/>
      </c>
      <c r="R12" s="277"/>
      <c r="S12" s="70" t="str">
        <f t="shared" si="38"/>
        <v/>
      </c>
      <c r="T12" s="71" t="str">
        <f>Main_무해지!AC12</f>
        <v/>
      </c>
      <c r="U12" s="256">
        <f>+Main_무해지!AD12</f>
        <v>0</v>
      </c>
      <c r="V12" s="256" t="str">
        <f t="shared" si="29"/>
        <v/>
      </c>
      <c r="W12" s="256" t="str">
        <f t="shared" si="39"/>
        <v/>
      </c>
      <c r="X12" s="256" t="str">
        <f t="shared" si="0"/>
        <v/>
      </c>
      <c r="Y12" s="72" t="str">
        <f>IF($S12="","",SUM(X12:X$114))</f>
        <v/>
      </c>
      <c r="Z12" s="256" t="str">
        <f t="shared" si="30"/>
        <v/>
      </c>
      <c r="AA12" s="256">
        <f t="shared" si="31"/>
        <v>0</v>
      </c>
      <c r="AB12" s="256" t="str">
        <f>Main_무해지!AJ12</f>
        <v/>
      </c>
      <c r="AC12" s="256" t="str">
        <f t="shared" si="1"/>
        <v/>
      </c>
      <c r="AD12" s="256" t="str">
        <f t="shared" si="40"/>
        <v/>
      </c>
      <c r="AE12" s="256" t="str">
        <f t="shared" si="2"/>
        <v/>
      </c>
      <c r="AF12" s="72" t="str">
        <f>IF($S12="","",SUM(AE12:AE$114))</f>
        <v/>
      </c>
      <c r="AG12" s="71" t="str">
        <f>Main_무해지!AP12</f>
        <v/>
      </c>
      <c r="AH12" s="256" t="str">
        <f t="shared" si="3"/>
        <v/>
      </c>
      <c r="AI12" s="256" t="str">
        <f t="shared" si="4"/>
        <v/>
      </c>
      <c r="AJ12" s="256" t="str">
        <f t="shared" si="5"/>
        <v/>
      </c>
      <c r="AK12" s="75" t="str">
        <f>IF($S12="","",SUM($AL12:$AL$114))</f>
        <v/>
      </c>
      <c r="AL12" s="256" t="str">
        <f t="shared" si="32"/>
        <v/>
      </c>
      <c r="AM12" s="75" t="str">
        <f t="shared" si="6"/>
        <v/>
      </c>
      <c r="AN12" s="71" t="str">
        <f>IF($S12="","",INDEX(#REF!,$S12+1))</f>
        <v/>
      </c>
      <c r="AO12" s="256" t="str">
        <f t="shared" si="7"/>
        <v/>
      </c>
      <c r="AP12" s="256" t="str">
        <f t="shared" si="8"/>
        <v/>
      </c>
      <c r="AQ12" s="256" t="str">
        <f t="shared" si="9"/>
        <v/>
      </c>
      <c r="AR12" s="75" t="str">
        <f>IF($S12="","",SUM($AQ12:$AQ$114))</f>
        <v/>
      </c>
      <c r="AS12" s="71" t="str">
        <f>IF($S12="","",INDEX(#REF!,$S12+1))</f>
        <v/>
      </c>
      <c r="AT12" s="256" t="str">
        <f t="shared" si="10"/>
        <v/>
      </c>
      <c r="AU12" s="256" t="str">
        <f t="shared" si="11"/>
        <v/>
      </c>
      <c r="AV12" s="256" t="str">
        <f t="shared" si="12"/>
        <v/>
      </c>
      <c r="AW12" s="75" t="str">
        <f>IF($S12="","",SUM($AV12:$AV$114))</f>
        <v/>
      </c>
      <c r="AX12" s="71" t="str">
        <f>IF($S12="","",INDEX(#REF!,$S12+1))</f>
        <v/>
      </c>
      <c r="AY12" s="256" t="str">
        <f t="shared" si="13"/>
        <v/>
      </c>
      <c r="AZ12" s="256" t="str">
        <f t="shared" si="14"/>
        <v/>
      </c>
      <c r="BA12" s="256" t="str">
        <f t="shared" si="15"/>
        <v/>
      </c>
      <c r="BB12" s="75" t="str">
        <f>IF($S12="","",SUM($BA12:$BA$114))</f>
        <v/>
      </c>
      <c r="BC12" s="71" t="str">
        <f>IF($S12="","",INDEX(#REF!,$S12+1))</f>
        <v/>
      </c>
      <c r="BD12" s="256" t="str">
        <f t="shared" si="16"/>
        <v/>
      </c>
      <c r="BE12" s="256" t="str">
        <f t="shared" si="17"/>
        <v/>
      </c>
      <c r="BF12" s="256" t="str">
        <f t="shared" si="18"/>
        <v/>
      </c>
      <c r="BG12" s="75" t="str">
        <f>IF($S12="","",SUM($BF12:$BF$114))</f>
        <v/>
      </c>
      <c r="BH12" s="71" t="str">
        <f>IF($S12="","",INDEX(#REF!,$S12+1))</f>
        <v/>
      </c>
      <c r="BI12" s="256" t="str">
        <f t="shared" si="19"/>
        <v/>
      </c>
      <c r="BJ12" s="256" t="str">
        <f t="shared" si="20"/>
        <v/>
      </c>
      <c r="BK12" s="256" t="str">
        <f t="shared" si="21"/>
        <v/>
      </c>
      <c r="BL12" s="75" t="str">
        <f>IF($S12="","",SUM($BK12:$BK$114))</f>
        <v/>
      </c>
      <c r="BM12" s="71" t="str">
        <f t="shared" si="22"/>
        <v/>
      </c>
      <c r="BN12" s="256" t="str">
        <f t="shared" si="33"/>
        <v/>
      </c>
      <c r="BO12" s="256" t="str">
        <f t="shared" si="23"/>
        <v/>
      </c>
      <c r="BP12" s="256" t="str">
        <f t="shared" si="24"/>
        <v/>
      </c>
      <c r="BQ12" s="256" t="str">
        <f t="shared" si="34"/>
        <v/>
      </c>
      <c r="BR12" s="256"/>
      <c r="BS12" s="256"/>
      <c r="BT12" s="256"/>
      <c r="BU12" s="256"/>
      <c r="BV12" s="256" t="str">
        <f>IF($S12="","",SUM(BQ12:BQ$114))</f>
        <v/>
      </c>
      <c r="BW12" s="73" t="str">
        <f>IF(S12&lt;$E$3+$F$5,0,IFERROR(일반형_연납순보험료!S14,0))</f>
        <v/>
      </c>
      <c r="BX12" s="73"/>
      <c r="BY12" s="73"/>
      <c r="BZ12" s="73"/>
      <c r="CA12" s="73"/>
      <c r="CB12" s="256" t="str">
        <f t="shared" si="35"/>
        <v/>
      </c>
      <c r="CC12" s="256" t="str">
        <f t="shared" si="25"/>
        <v/>
      </c>
      <c r="CD12" s="256" t="str">
        <f t="shared" si="26"/>
        <v/>
      </c>
      <c r="CE12" s="256" t="str">
        <f t="shared" si="36"/>
        <v/>
      </c>
      <c r="CF12" s="256" t="str">
        <f t="shared" si="27"/>
        <v/>
      </c>
      <c r="CG12" s="76" t="str">
        <f t="shared" si="37"/>
        <v/>
      </c>
      <c r="CH12" s="77" t="str">
        <f t="shared" si="28"/>
        <v/>
      </c>
      <c r="CI12" s="238"/>
      <c r="CJ12" s="238"/>
      <c r="CK12" s="238"/>
      <c r="CL12" s="238"/>
      <c r="CM12" s="238"/>
      <c r="CN12" s="238"/>
      <c r="CO12" s="479"/>
      <c r="CP12" s="479"/>
      <c r="CQ12" s="479"/>
      <c r="CR12" s="479"/>
      <c r="CS12" s="479"/>
      <c r="CT12" s="479"/>
      <c r="CU12" s="479"/>
      <c r="CV12" s="479"/>
      <c r="CW12" s="479"/>
      <c r="CX12" s="479"/>
      <c r="CY12" s="479"/>
      <c r="CZ12" s="479"/>
      <c r="DA12" s="479"/>
      <c r="DB12" s="479"/>
      <c r="DC12" s="479"/>
      <c r="DD12" s="479"/>
      <c r="DE12" s="479"/>
      <c r="DF12" s="479"/>
      <c r="DG12" s="479"/>
      <c r="DH12" s="479"/>
      <c r="DI12" s="479"/>
      <c r="DJ12" s="479"/>
      <c r="DK12" s="479"/>
      <c r="DL12" s="479"/>
      <c r="DM12" s="479"/>
      <c r="DN12" s="479"/>
      <c r="DO12" s="479"/>
      <c r="DP12" s="479"/>
      <c r="DQ12" s="479"/>
      <c r="DR12" s="479"/>
      <c r="DS12" s="479"/>
      <c r="DT12" s="479"/>
      <c r="DU12" s="479"/>
      <c r="DV12" s="479"/>
      <c r="DW12" s="479"/>
      <c r="DX12" s="479"/>
      <c r="DY12" s="479"/>
      <c r="DZ12" s="479"/>
      <c r="EA12" s="479"/>
      <c r="EB12" s="479"/>
      <c r="EC12" s="479"/>
      <c r="ED12" s="479"/>
    </row>
    <row r="13" spans="1:897" ht="18" thickTop="1" thickBot="1">
      <c r="F13" s="403"/>
      <c r="G13" s="227"/>
      <c r="H13" s="372"/>
      <c r="I13" s="48"/>
      <c r="J13" s="49" t="s">
        <v>199</v>
      </c>
      <c r="K13" s="295">
        <f>+F5</f>
        <v>1</v>
      </c>
      <c r="N13" s="278" t="str">
        <f t="shared" si="43"/>
        <v/>
      </c>
      <c r="O13" s="279" t="str">
        <f t="shared" si="44"/>
        <v/>
      </c>
      <c r="P13" s="271" t="str">
        <f t="shared" si="41"/>
        <v/>
      </c>
      <c r="Q13" s="271" t="str">
        <f t="shared" si="42"/>
        <v/>
      </c>
      <c r="R13" s="271"/>
      <c r="S13" s="70" t="str">
        <f t="shared" si="38"/>
        <v/>
      </c>
      <c r="T13" s="71" t="str">
        <f>Main_무해지!AC13</f>
        <v/>
      </c>
      <c r="U13" s="256">
        <f>+Main_무해지!AD13</f>
        <v>0</v>
      </c>
      <c r="V13" s="256" t="str">
        <f t="shared" si="29"/>
        <v/>
      </c>
      <c r="W13" s="256" t="str">
        <f t="shared" si="39"/>
        <v/>
      </c>
      <c r="X13" s="256" t="str">
        <f t="shared" si="0"/>
        <v/>
      </c>
      <c r="Y13" s="72" t="str">
        <f>IF($S13="","",SUM(X13:X$114))</f>
        <v/>
      </c>
      <c r="Z13" s="256" t="str">
        <f t="shared" si="30"/>
        <v/>
      </c>
      <c r="AA13" s="256">
        <f t="shared" si="31"/>
        <v>0</v>
      </c>
      <c r="AB13" s="256" t="str">
        <f>Main_무해지!AJ13</f>
        <v/>
      </c>
      <c r="AC13" s="256" t="str">
        <f t="shared" si="1"/>
        <v/>
      </c>
      <c r="AD13" s="256" t="str">
        <f t="shared" si="40"/>
        <v/>
      </c>
      <c r="AE13" s="256" t="str">
        <f t="shared" si="2"/>
        <v/>
      </c>
      <c r="AF13" s="72" t="str">
        <f>IF($S13="","",SUM(AE13:AE$114))</f>
        <v/>
      </c>
      <c r="AG13" s="71" t="str">
        <f>Main_무해지!AP13</f>
        <v/>
      </c>
      <c r="AH13" s="256" t="str">
        <f t="shared" si="3"/>
        <v/>
      </c>
      <c r="AI13" s="256" t="str">
        <f t="shared" si="4"/>
        <v/>
      </c>
      <c r="AJ13" s="256" t="str">
        <f t="shared" si="5"/>
        <v/>
      </c>
      <c r="AK13" s="75" t="str">
        <f>IF($S13="","",SUM($AL13:$AL$114))</f>
        <v/>
      </c>
      <c r="AL13" s="256" t="str">
        <f t="shared" si="32"/>
        <v/>
      </c>
      <c r="AM13" s="75" t="str">
        <f t="shared" si="6"/>
        <v/>
      </c>
      <c r="AN13" s="71" t="str">
        <f>IF($S13="","",INDEX(#REF!,$S13+1))</f>
        <v/>
      </c>
      <c r="AO13" s="256" t="str">
        <f t="shared" si="7"/>
        <v/>
      </c>
      <c r="AP13" s="256" t="str">
        <f t="shared" si="8"/>
        <v/>
      </c>
      <c r="AQ13" s="256" t="str">
        <f t="shared" si="9"/>
        <v/>
      </c>
      <c r="AR13" s="75" t="str">
        <f>IF($S13="","",SUM($AQ13:$AQ$114))</f>
        <v/>
      </c>
      <c r="AS13" s="71" t="str">
        <f>IF($S13="","",INDEX(#REF!,$S13+1))</f>
        <v/>
      </c>
      <c r="AT13" s="256" t="str">
        <f t="shared" si="10"/>
        <v/>
      </c>
      <c r="AU13" s="256" t="str">
        <f t="shared" si="11"/>
        <v/>
      </c>
      <c r="AV13" s="256" t="str">
        <f t="shared" si="12"/>
        <v/>
      </c>
      <c r="AW13" s="75" t="str">
        <f>IF($S13="","",SUM($AV13:$AV$114))</f>
        <v/>
      </c>
      <c r="AX13" s="71" t="str">
        <f>IF($S13="","",INDEX(#REF!,$S13+1))</f>
        <v/>
      </c>
      <c r="AY13" s="256" t="str">
        <f t="shared" si="13"/>
        <v/>
      </c>
      <c r="AZ13" s="256" t="str">
        <f t="shared" si="14"/>
        <v/>
      </c>
      <c r="BA13" s="256" t="str">
        <f t="shared" si="15"/>
        <v/>
      </c>
      <c r="BB13" s="75" t="str">
        <f>IF($S13="","",SUM($BA13:$BA$114))</f>
        <v/>
      </c>
      <c r="BC13" s="71" t="str">
        <f>IF($S13="","",INDEX(#REF!,$S13+1))</f>
        <v/>
      </c>
      <c r="BD13" s="256" t="str">
        <f t="shared" si="16"/>
        <v/>
      </c>
      <c r="BE13" s="256" t="str">
        <f t="shared" si="17"/>
        <v/>
      </c>
      <c r="BF13" s="256" t="str">
        <f t="shared" si="18"/>
        <v/>
      </c>
      <c r="BG13" s="75" t="str">
        <f>IF($S13="","",SUM($BF13:$BF$114))</f>
        <v/>
      </c>
      <c r="BH13" s="71" t="str">
        <f>IF($S13="","",INDEX(#REF!,$S13+1))</f>
        <v/>
      </c>
      <c r="BI13" s="256" t="str">
        <f t="shared" si="19"/>
        <v/>
      </c>
      <c r="BJ13" s="256" t="str">
        <f t="shared" si="20"/>
        <v/>
      </c>
      <c r="BK13" s="256" t="str">
        <f t="shared" si="21"/>
        <v/>
      </c>
      <c r="BL13" s="75" t="str">
        <f>IF($S13="","",SUM($BK13:$BK$114))</f>
        <v/>
      </c>
      <c r="BM13" s="71" t="str">
        <f t="shared" si="22"/>
        <v/>
      </c>
      <c r="BN13" s="256" t="str">
        <f t="shared" si="33"/>
        <v/>
      </c>
      <c r="BO13" s="256" t="str">
        <f t="shared" si="23"/>
        <v/>
      </c>
      <c r="BP13" s="256" t="str">
        <f t="shared" si="24"/>
        <v/>
      </c>
      <c r="BQ13" s="256" t="str">
        <f t="shared" si="34"/>
        <v/>
      </c>
      <c r="BR13" s="256"/>
      <c r="BS13" s="256"/>
      <c r="BT13" s="256"/>
      <c r="BU13" s="256"/>
      <c r="BV13" s="256" t="str">
        <f>IF($S13="","",SUM(BQ13:BQ$114))</f>
        <v/>
      </c>
      <c r="BW13" s="73" t="str">
        <f>IF(S13&lt;$E$3+$F$5,0,IFERROR(일반형_연납순보험료!S15,0))</f>
        <v/>
      </c>
      <c r="BX13" s="73"/>
      <c r="BY13" s="73"/>
      <c r="BZ13" s="73"/>
      <c r="CA13" s="73"/>
      <c r="CB13" s="256" t="str">
        <f t="shared" si="35"/>
        <v/>
      </c>
      <c r="CC13" s="256" t="str">
        <f t="shared" si="25"/>
        <v/>
      </c>
      <c r="CD13" s="256" t="str">
        <f t="shared" si="26"/>
        <v/>
      </c>
      <c r="CE13" s="256" t="str">
        <f t="shared" si="36"/>
        <v/>
      </c>
      <c r="CF13" s="256" t="str">
        <f t="shared" si="27"/>
        <v/>
      </c>
      <c r="CG13" s="76" t="str">
        <f t="shared" si="37"/>
        <v/>
      </c>
      <c r="CH13" s="77" t="str">
        <f t="shared" si="28"/>
        <v/>
      </c>
      <c r="CI13" s="238"/>
      <c r="CJ13" s="238"/>
      <c r="CK13" s="238"/>
      <c r="CL13" s="238"/>
      <c r="CM13" s="238"/>
      <c r="CN13" s="238"/>
      <c r="CO13" s="478"/>
      <c r="CP13" s="479"/>
      <c r="CQ13" s="479"/>
      <c r="CR13" s="479"/>
      <c r="CS13" s="479"/>
      <c r="CT13" s="479"/>
      <c r="CU13" s="479"/>
      <c r="CV13" s="479"/>
      <c r="CW13" s="479"/>
      <c r="CX13" s="479"/>
      <c r="CY13" s="479"/>
      <c r="CZ13" s="479"/>
      <c r="DA13" s="479"/>
      <c r="DB13" s="479"/>
      <c r="DC13" s="479"/>
      <c r="DD13" s="479"/>
      <c r="DE13" s="479"/>
      <c r="DF13" s="479"/>
      <c r="DG13" s="479"/>
      <c r="DH13" s="479"/>
      <c r="DI13" s="479"/>
      <c r="DJ13" s="479"/>
      <c r="DK13" s="479"/>
      <c r="DL13" s="479"/>
      <c r="DM13" s="479"/>
      <c r="DN13" s="479"/>
      <c r="DO13" s="479"/>
      <c r="DP13" s="479"/>
      <c r="DQ13" s="479"/>
      <c r="DR13" s="479"/>
      <c r="DS13" s="479"/>
      <c r="DT13" s="479"/>
      <c r="DU13" s="479"/>
      <c r="DV13" s="479"/>
      <c r="DW13" s="479"/>
      <c r="DX13" s="479"/>
      <c r="DY13" s="479"/>
      <c r="DZ13" s="479"/>
      <c r="EA13" s="479"/>
      <c r="EB13" s="479"/>
      <c r="EC13" s="479"/>
      <c r="ED13" s="479"/>
    </row>
    <row r="14" spans="1:897" ht="17.25" thickTop="1">
      <c r="C14" s="68"/>
      <c r="D14" s="17" t="s">
        <v>28</v>
      </c>
      <c r="E14" s="838">
        <v>2.2499999999999999E-2</v>
      </c>
      <c r="F14" s="839"/>
      <c r="G14" s="69"/>
      <c r="H14" s="372"/>
      <c r="I14" s="48"/>
      <c r="J14" s="49" t="s">
        <v>86</v>
      </c>
      <c r="K14" s="483">
        <f>INDEX(AF4:AF114,1)</f>
        <v>197799.51100244501</v>
      </c>
      <c r="N14" s="278" t="str">
        <f t="shared" si="43"/>
        <v/>
      </c>
      <c r="O14" s="279" t="str">
        <f t="shared" si="44"/>
        <v/>
      </c>
      <c r="P14" s="271" t="str">
        <f t="shared" si="41"/>
        <v/>
      </c>
      <c r="Q14" s="271" t="str">
        <f t="shared" si="42"/>
        <v/>
      </c>
      <c r="R14" s="271"/>
      <c r="S14" s="83" t="str">
        <f t="shared" si="38"/>
        <v/>
      </c>
      <c r="T14" s="84" t="str">
        <f>Main_무해지!AC14</f>
        <v/>
      </c>
      <c r="U14" s="257">
        <f>+Main_무해지!AD14</f>
        <v>0</v>
      </c>
      <c r="V14" s="257" t="str">
        <f t="shared" si="29"/>
        <v/>
      </c>
      <c r="W14" s="257" t="str">
        <f t="shared" si="39"/>
        <v/>
      </c>
      <c r="X14" s="257" t="str">
        <f t="shared" si="0"/>
        <v/>
      </c>
      <c r="Y14" s="85" t="str">
        <f>IF($S14="","",SUM(X14:X$114))</f>
        <v/>
      </c>
      <c r="Z14" s="257" t="str">
        <f t="shared" si="30"/>
        <v/>
      </c>
      <c r="AA14" s="257">
        <f t="shared" si="31"/>
        <v>0</v>
      </c>
      <c r="AB14" s="257" t="str">
        <f>Main_무해지!AJ14</f>
        <v/>
      </c>
      <c r="AC14" s="257" t="str">
        <f t="shared" si="1"/>
        <v/>
      </c>
      <c r="AD14" s="257" t="str">
        <f t="shared" si="40"/>
        <v/>
      </c>
      <c r="AE14" s="257" t="str">
        <f t="shared" si="2"/>
        <v/>
      </c>
      <c r="AF14" s="85" t="str">
        <f>IF($S14="","",SUM(AE14:AE$114))</f>
        <v/>
      </c>
      <c r="AG14" s="84" t="str">
        <f>Main_무해지!AP14</f>
        <v/>
      </c>
      <c r="AH14" s="257" t="str">
        <f t="shared" si="3"/>
        <v/>
      </c>
      <c r="AI14" s="257" t="str">
        <f t="shared" si="4"/>
        <v/>
      </c>
      <c r="AJ14" s="257" t="str">
        <f t="shared" si="5"/>
        <v/>
      </c>
      <c r="AK14" s="88" t="str">
        <f>IF($S14="","",SUM($AL14:$AL$114))</f>
        <v/>
      </c>
      <c r="AL14" s="257" t="str">
        <f t="shared" si="32"/>
        <v/>
      </c>
      <c r="AM14" s="88" t="str">
        <f t="shared" si="6"/>
        <v/>
      </c>
      <c r="AN14" s="84" t="str">
        <f>IF($S14="","",INDEX(#REF!,$S14+1))</f>
        <v/>
      </c>
      <c r="AO14" s="257" t="str">
        <f t="shared" si="7"/>
        <v/>
      </c>
      <c r="AP14" s="257" t="str">
        <f t="shared" si="8"/>
        <v/>
      </c>
      <c r="AQ14" s="257" t="str">
        <f t="shared" si="9"/>
        <v/>
      </c>
      <c r="AR14" s="88" t="str">
        <f>IF($S14="","",SUM($AQ14:$AQ$114))</f>
        <v/>
      </c>
      <c r="AS14" s="84" t="str">
        <f>IF($S14="","",INDEX(#REF!,$S14+1))</f>
        <v/>
      </c>
      <c r="AT14" s="257" t="str">
        <f t="shared" si="10"/>
        <v/>
      </c>
      <c r="AU14" s="257" t="str">
        <f t="shared" si="11"/>
        <v/>
      </c>
      <c r="AV14" s="257" t="str">
        <f t="shared" si="12"/>
        <v/>
      </c>
      <c r="AW14" s="88" t="str">
        <f>IF($S14="","",SUM($AV14:$AV$114))</f>
        <v/>
      </c>
      <c r="AX14" s="84" t="str">
        <f>IF($S14="","",INDEX(#REF!,$S14+1))</f>
        <v/>
      </c>
      <c r="AY14" s="257" t="str">
        <f t="shared" si="13"/>
        <v/>
      </c>
      <c r="AZ14" s="257" t="str">
        <f t="shared" si="14"/>
        <v/>
      </c>
      <c r="BA14" s="257" t="str">
        <f t="shared" si="15"/>
        <v/>
      </c>
      <c r="BB14" s="88" t="str">
        <f>IF($S14="","",SUM($BA14:$BA$114))</f>
        <v/>
      </c>
      <c r="BC14" s="84" t="str">
        <f>IF($S14="","",INDEX(#REF!,$S14+1))</f>
        <v/>
      </c>
      <c r="BD14" s="257" t="str">
        <f t="shared" si="16"/>
        <v/>
      </c>
      <c r="BE14" s="257" t="str">
        <f t="shared" si="17"/>
        <v/>
      </c>
      <c r="BF14" s="257" t="str">
        <f t="shared" si="18"/>
        <v/>
      </c>
      <c r="BG14" s="88" t="str">
        <f>IF($S14="","",SUM($BF14:$BF$114))</f>
        <v/>
      </c>
      <c r="BH14" s="84" t="str">
        <f>IF($S14="","",INDEX(#REF!,$S14+1))</f>
        <v/>
      </c>
      <c r="BI14" s="257" t="str">
        <f t="shared" si="19"/>
        <v/>
      </c>
      <c r="BJ14" s="257" t="str">
        <f t="shared" si="20"/>
        <v/>
      </c>
      <c r="BK14" s="257" t="str">
        <f t="shared" si="21"/>
        <v/>
      </c>
      <c r="BL14" s="88" t="str">
        <f>IF($S14="","",SUM($BK14:$BK$114))</f>
        <v/>
      </c>
      <c r="BM14" s="84" t="str">
        <f t="shared" si="22"/>
        <v/>
      </c>
      <c r="BN14" s="257" t="str">
        <f t="shared" si="33"/>
        <v/>
      </c>
      <c r="BO14" s="257" t="str">
        <f t="shared" si="23"/>
        <v/>
      </c>
      <c r="BP14" s="257" t="str">
        <f t="shared" si="24"/>
        <v/>
      </c>
      <c r="BQ14" s="257" t="str">
        <f t="shared" si="34"/>
        <v/>
      </c>
      <c r="BR14" s="257"/>
      <c r="BS14" s="257"/>
      <c r="BT14" s="257"/>
      <c r="BU14" s="257"/>
      <c r="BV14" s="257" t="str">
        <f>IF($S14="","",SUM(BQ14:BQ$114))</f>
        <v/>
      </c>
      <c r="BW14" s="86" t="str">
        <f>IF(S14&lt;$E$3+$F$5,0,IFERROR(일반형_연납순보험료!S16,0))</f>
        <v/>
      </c>
      <c r="BX14" s="86"/>
      <c r="BY14" s="86"/>
      <c r="BZ14" s="86"/>
      <c r="CA14" s="86"/>
      <c r="CB14" s="257" t="str">
        <f t="shared" si="35"/>
        <v/>
      </c>
      <c r="CC14" s="257" t="str">
        <f t="shared" si="25"/>
        <v/>
      </c>
      <c r="CD14" s="257" t="str">
        <f t="shared" si="26"/>
        <v/>
      </c>
      <c r="CE14" s="257" t="str">
        <f t="shared" si="36"/>
        <v/>
      </c>
      <c r="CF14" s="257" t="str">
        <f t="shared" si="27"/>
        <v/>
      </c>
      <c r="CG14" s="89" t="str">
        <f t="shared" si="37"/>
        <v/>
      </c>
      <c r="CH14" s="90" t="str">
        <f t="shared" si="28"/>
        <v/>
      </c>
      <c r="CI14" s="239"/>
      <c r="CJ14" s="239"/>
      <c r="CK14" s="239"/>
      <c r="CL14" s="239"/>
      <c r="CM14" s="239"/>
      <c r="CN14" s="239"/>
      <c r="CO14" s="479"/>
      <c r="CP14" s="479"/>
      <c r="CQ14" s="479"/>
      <c r="CR14" s="479"/>
      <c r="CS14" s="479"/>
      <c r="CT14" s="479"/>
      <c r="CU14" s="479"/>
      <c r="CV14" s="479"/>
      <c r="CW14" s="479"/>
      <c r="CX14" s="479"/>
      <c r="CY14" s="479"/>
      <c r="CZ14" s="479"/>
      <c r="DA14" s="479"/>
      <c r="DB14" s="479"/>
      <c r="DC14" s="479"/>
      <c r="DD14" s="479"/>
      <c r="DE14" s="479"/>
      <c r="DF14" s="479"/>
      <c r="DG14" s="479"/>
      <c r="DH14" s="479"/>
      <c r="DI14" s="479"/>
      <c r="DJ14" s="479"/>
      <c r="DK14" s="479"/>
      <c r="DL14" s="479"/>
      <c r="DM14" s="479"/>
      <c r="DN14" s="479"/>
      <c r="DO14" s="478"/>
      <c r="DP14" s="479"/>
      <c r="DQ14" s="479"/>
      <c r="DR14" s="479"/>
      <c r="DS14" s="479"/>
      <c r="DT14" s="479"/>
      <c r="DU14" s="479"/>
      <c r="DV14" s="479"/>
      <c r="DW14" s="479"/>
      <c r="DX14" s="479"/>
      <c r="DY14" s="479"/>
      <c r="DZ14" s="479"/>
      <c r="EA14" s="479"/>
      <c r="EB14" s="479"/>
      <c r="EC14" s="479"/>
      <c r="ED14" s="479"/>
    </row>
    <row r="15" spans="1:897">
      <c r="B15" s="373"/>
      <c r="C15" s="78"/>
      <c r="D15" s="29" t="s">
        <v>31</v>
      </c>
      <c r="E15" s="840">
        <v>2</v>
      </c>
      <c r="F15" s="841"/>
      <c r="G15" s="79"/>
      <c r="H15" s="372"/>
      <c r="I15" s="48" t="s">
        <v>22</v>
      </c>
      <c r="J15" s="49" t="s">
        <v>200</v>
      </c>
      <c r="K15" s="483">
        <f>INDEX(AF4:AF114,K13+1)</f>
        <v>97799.511002444997</v>
      </c>
      <c r="N15" s="278" t="str">
        <f>IF(N14="","",IF(N14+1&gt;$F$4,"",N14+1))</f>
        <v/>
      </c>
      <c r="O15" s="279" t="str">
        <f t="shared" si="44"/>
        <v/>
      </c>
      <c r="P15" s="271" t="str">
        <f t="shared" si="41"/>
        <v/>
      </c>
      <c r="Q15" s="271" t="str">
        <f t="shared" si="42"/>
        <v/>
      </c>
      <c r="R15" s="271"/>
      <c r="S15" s="750" t="str">
        <f t="shared" si="38"/>
        <v/>
      </c>
      <c r="T15" s="752" t="str">
        <f>Main_무해지!AC15</f>
        <v/>
      </c>
      <c r="U15" s="408">
        <f>+Main_무해지!AD15</f>
        <v>0</v>
      </c>
      <c r="V15" s="408" t="str">
        <f t="shared" si="29"/>
        <v/>
      </c>
      <c r="W15" s="408" t="str">
        <f t="shared" si="39"/>
        <v/>
      </c>
      <c r="X15" s="408" t="str">
        <f t="shared" si="0"/>
        <v/>
      </c>
      <c r="Y15" s="751" t="str">
        <f>IF($S15="","",SUM(X15:X$114))</f>
        <v/>
      </c>
      <c r="Z15" s="408" t="str">
        <f t="shared" si="30"/>
        <v/>
      </c>
      <c r="AA15" s="408">
        <f t="shared" si="31"/>
        <v>0</v>
      </c>
      <c r="AB15" s="408" t="str">
        <f>Main_무해지!AJ15</f>
        <v/>
      </c>
      <c r="AC15" s="408" t="str">
        <f t="shared" si="1"/>
        <v/>
      </c>
      <c r="AD15" s="408" t="str">
        <f t="shared" si="40"/>
        <v/>
      </c>
      <c r="AE15" s="408" t="str">
        <f t="shared" si="2"/>
        <v/>
      </c>
      <c r="AF15" s="751" t="str">
        <f>IF($S15="","",SUM(AE15:AE$114))</f>
        <v/>
      </c>
      <c r="AG15" s="752" t="str">
        <f>Main_무해지!AP15</f>
        <v/>
      </c>
      <c r="AH15" s="408" t="str">
        <f t="shared" si="3"/>
        <v/>
      </c>
      <c r="AI15" s="408" t="str">
        <f t="shared" si="4"/>
        <v/>
      </c>
      <c r="AJ15" s="408" t="str">
        <f t="shared" si="5"/>
        <v/>
      </c>
      <c r="AK15" s="753" t="str">
        <f>IF($S15="","",SUM($AL15:$AL$114))</f>
        <v/>
      </c>
      <c r="AL15" s="408" t="str">
        <f t="shared" si="32"/>
        <v/>
      </c>
      <c r="AM15" s="753" t="str">
        <f t="shared" si="6"/>
        <v/>
      </c>
      <c r="AN15" s="752" t="str">
        <f>IF($S15="","",INDEX(#REF!,$S15+1))</f>
        <v/>
      </c>
      <c r="AO15" s="408" t="str">
        <f t="shared" si="7"/>
        <v/>
      </c>
      <c r="AP15" s="408" t="str">
        <f t="shared" si="8"/>
        <v/>
      </c>
      <c r="AQ15" s="408" t="str">
        <f t="shared" si="9"/>
        <v/>
      </c>
      <c r="AR15" s="753" t="str">
        <f>IF($S15="","",SUM($AQ15:$AQ$114))</f>
        <v/>
      </c>
      <c r="AS15" s="752" t="str">
        <f>IF($S15="","",INDEX(#REF!,$S15+1))</f>
        <v/>
      </c>
      <c r="AT15" s="408" t="str">
        <f t="shared" si="10"/>
        <v/>
      </c>
      <c r="AU15" s="408" t="str">
        <f t="shared" si="11"/>
        <v/>
      </c>
      <c r="AV15" s="408" t="str">
        <f t="shared" si="12"/>
        <v/>
      </c>
      <c r="AW15" s="753" t="str">
        <f>IF($S15="","",SUM($AV15:$AV$114))</f>
        <v/>
      </c>
      <c r="AX15" s="752" t="str">
        <f>IF($S15="","",INDEX(#REF!,$S15+1))</f>
        <v/>
      </c>
      <c r="AY15" s="408" t="str">
        <f t="shared" si="13"/>
        <v/>
      </c>
      <c r="AZ15" s="408" t="str">
        <f t="shared" si="14"/>
        <v/>
      </c>
      <c r="BA15" s="408" t="str">
        <f t="shared" si="15"/>
        <v/>
      </c>
      <c r="BB15" s="753" t="str">
        <f>IF($S15="","",SUM($BA15:$BA$114))</f>
        <v/>
      </c>
      <c r="BC15" s="752" t="str">
        <f>IF($S15="","",INDEX(#REF!,$S15+1))</f>
        <v/>
      </c>
      <c r="BD15" s="408" t="str">
        <f t="shared" si="16"/>
        <v/>
      </c>
      <c r="BE15" s="408" t="str">
        <f t="shared" si="17"/>
        <v/>
      </c>
      <c r="BF15" s="408" t="str">
        <f t="shared" si="18"/>
        <v/>
      </c>
      <c r="BG15" s="753" t="str">
        <f>IF($S15="","",SUM($BF15:$BF$114))</f>
        <v/>
      </c>
      <c r="BH15" s="752" t="str">
        <f>IF($S15="","",INDEX(#REF!,$S15+1))</f>
        <v/>
      </c>
      <c r="BI15" s="408" t="str">
        <f t="shared" si="19"/>
        <v/>
      </c>
      <c r="BJ15" s="408" t="str">
        <f t="shared" si="20"/>
        <v/>
      </c>
      <c r="BK15" s="408" t="str">
        <f t="shared" si="21"/>
        <v/>
      </c>
      <c r="BL15" s="753" t="str">
        <f>IF($S15="","",SUM($BK15:$BK$114))</f>
        <v/>
      </c>
      <c r="BM15" s="752" t="str">
        <f t="shared" si="22"/>
        <v/>
      </c>
      <c r="BN15" s="408" t="str">
        <f t="shared" si="33"/>
        <v/>
      </c>
      <c r="BO15" s="408" t="str">
        <f t="shared" si="23"/>
        <v/>
      </c>
      <c r="BP15" s="408" t="str">
        <f t="shared" si="24"/>
        <v/>
      </c>
      <c r="BQ15" s="408" t="str">
        <f t="shared" si="34"/>
        <v/>
      </c>
      <c r="BR15" s="408"/>
      <c r="BS15" s="408"/>
      <c r="BT15" s="408"/>
      <c r="BU15" s="408"/>
      <c r="BV15" s="408" t="str">
        <f>IF($S15="","",SUM(BQ15:BQ$114))</f>
        <v/>
      </c>
      <c r="BW15" s="754" t="str">
        <f>IF(S15&lt;$E$3+$F$5,0,IFERROR(일반형_연납순보험료!S17,0))</f>
        <v/>
      </c>
      <c r="BX15" s="754"/>
      <c r="BY15" s="754"/>
      <c r="BZ15" s="754"/>
      <c r="CA15" s="754"/>
      <c r="CB15" s="408" t="str">
        <f t="shared" si="35"/>
        <v/>
      </c>
      <c r="CC15" s="408" t="str">
        <f t="shared" si="25"/>
        <v/>
      </c>
      <c r="CD15" s="408" t="str">
        <f t="shared" si="26"/>
        <v/>
      </c>
      <c r="CE15" s="408" t="str">
        <f t="shared" si="36"/>
        <v/>
      </c>
      <c r="CF15" s="408" t="str">
        <f t="shared" si="27"/>
        <v/>
      </c>
      <c r="CG15" s="756" t="str">
        <f t="shared" si="37"/>
        <v/>
      </c>
      <c r="CH15" s="757" t="str">
        <f t="shared" si="28"/>
        <v/>
      </c>
      <c r="CI15" s="413"/>
      <c r="CJ15" s="413"/>
      <c r="CK15" s="413"/>
      <c r="CL15" s="413"/>
      <c r="CM15" s="413"/>
      <c r="CN15" s="413"/>
      <c r="CO15" s="479"/>
      <c r="CP15" s="479"/>
      <c r="CQ15" s="479"/>
      <c r="CR15" s="479"/>
      <c r="CS15" s="479"/>
      <c r="CT15" s="479"/>
      <c r="CU15" s="479"/>
      <c r="CV15" s="479"/>
      <c r="CW15" s="479"/>
      <c r="CX15" s="479"/>
      <c r="CY15" s="479"/>
      <c r="CZ15" s="479"/>
      <c r="DA15" s="479"/>
      <c r="DB15" s="479"/>
      <c r="DC15" s="479"/>
      <c r="DD15" s="479"/>
      <c r="DE15" s="479"/>
      <c r="DF15" s="479"/>
      <c r="DG15" s="479"/>
      <c r="DH15" s="479"/>
      <c r="DI15" s="479"/>
      <c r="DJ15" s="479"/>
      <c r="DK15" s="479"/>
      <c r="DL15" s="479"/>
      <c r="DM15" s="479"/>
      <c r="DN15" s="479"/>
      <c r="DO15" s="479"/>
      <c r="DP15" s="479"/>
      <c r="DQ15" s="479"/>
      <c r="DR15" s="479"/>
      <c r="DS15" s="479"/>
      <c r="DT15" s="479"/>
      <c r="DU15" s="479"/>
      <c r="DV15" s="479"/>
      <c r="DW15" s="479"/>
      <c r="DX15" s="479"/>
      <c r="DY15" s="479"/>
      <c r="DZ15" s="479"/>
      <c r="EA15" s="479"/>
      <c r="EB15" s="479"/>
      <c r="EC15" s="479"/>
      <c r="ED15" s="479"/>
    </row>
    <row r="16" spans="1:897">
      <c r="B16" s="373"/>
      <c r="C16" s="78"/>
      <c r="D16" s="29" t="s">
        <v>33</v>
      </c>
      <c r="E16" s="91">
        <v>1</v>
      </c>
      <c r="F16" s="92">
        <f>INDEX(J71:J73,E16)</f>
        <v>0</v>
      </c>
      <c r="G16" s="79"/>
      <c r="H16" s="372"/>
      <c r="I16" s="48" t="s">
        <v>24</v>
      </c>
      <c r="J16" s="51" t="s">
        <v>201</v>
      </c>
      <c r="K16" s="483">
        <f>INDEX(Y4:Y114,K13+1)</f>
        <v>97799.511002444997</v>
      </c>
      <c r="N16" s="280" t="str">
        <f t="shared" si="43"/>
        <v/>
      </c>
      <c r="O16" s="281" t="str">
        <f t="shared" si="44"/>
        <v/>
      </c>
      <c r="P16" s="282" t="str">
        <f t="shared" si="41"/>
        <v/>
      </c>
      <c r="Q16" s="282" t="str">
        <f t="shared" si="42"/>
        <v/>
      </c>
      <c r="R16" s="282"/>
      <c r="S16" s="52" t="str">
        <f t="shared" si="38"/>
        <v/>
      </c>
      <c r="T16" s="53" t="str">
        <f>Main_무해지!AC16</f>
        <v/>
      </c>
      <c r="U16" s="254">
        <f>+Main_무해지!AD16</f>
        <v>0</v>
      </c>
      <c r="V16" s="254" t="str">
        <f t="shared" si="29"/>
        <v/>
      </c>
      <c r="W16" s="254" t="str">
        <f t="shared" si="39"/>
        <v/>
      </c>
      <c r="X16" s="254" t="str">
        <f t="shared" si="0"/>
        <v/>
      </c>
      <c r="Y16" s="54" t="str">
        <f>IF($S16="","",SUM(X16:X$114))</f>
        <v/>
      </c>
      <c r="Z16" s="254" t="str">
        <f t="shared" si="30"/>
        <v/>
      </c>
      <c r="AA16" s="254">
        <f t="shared" si="31"/>
        <v>0</v>
      </c>
      <c r="AB16" s="254" t="str">
        <f>Main_무해지!AJ16</f>
        <v/>
      </c>
      <c r="AC16" s="254" t="str">
        <f t="shared" si="1"/>
        <v/>
      </c>
      <c r="AD16" s="254" t="str">
        <f t="shared" si="40"/>
        <v/>
      </c>
      <c r="AE16" s="254" t="str">
        <f t="shared" si="2"/>
        <v/>
      </c>
      <c r="AF16" s="54" t="str">
        <f>IF($S16="","",SUM(AE16:AE$114))</f>
        <v/>
      </c>
      <c r="AG16" s="53" t="str">
        <f>Main_무해지!AP16</f>
        <v/>
      </c>
      <c r="AH16" s="254" t="str">
        <f t="shared" si="3"/>
        <v/>
      </c>
      <c r="AI16" s="254" t="str">
        <f t="shared" si="4"/>
        <v/>
      </c>
      <c r="AJ16" s="254" t="str">
        <f t="shared" si="5"/>
        <v/>
      </c>
      <c r="AK16" s="57" t="str">
        <f>IF($S16="","",SUM($AL16:$AL$114))</f>
        <v/>
      </c>
      <c r="AL16" s="254" t="str">
        <f t="shared" si="32"/>
        <v/>
      </c>
      <c r="AM16" s="57" t="str">
        <f t="shared" si="6"/>
        <v/>
      </c>
      <c r="AN16" s="53" t="str">
        <f>IF($S16="","",INDEX(#REF!,$S16+1))</f>
        <v/>
      </c>
      <c r="AO16" s="254" t="str">
        <f t="shared" si="7"/>
        <v/>
      </c>
      <c r="AP16" s="254" t="str">
        <f t="shared" si="8"/>
        <v/>
      </c>
      <c r="AQ16" s="254" t="str">
        <f t="shared" si="9"/>
        <v/>
      </c>
      <c r="AR16" s="57" t="str">
        <f>IF($S16="","",SUM($AQ16:$AQ$114))</f>
        <v/>
      </c>
      <c r="AS16" s="53" t="str">
        <f>IF($S16="","",INDEX(#REF!,$S16+1))</f>
        <v/>
      </c>
      <c r="AT16" s="254" t="str">
        <f t="shared" si="10"/>
        <v/>
      </c>
      <c r="AU16" s="254" t="str">
        <f t="shared" si="11"/>
        <v/>
      </c>
      <c r="AV16" s="254" t="str">
        <f t="shared" si="12"/>
        <v/>
      </c>
      <c r="AW16" s="57" t="str">
        <f>IF($S16="","",SUM($AV16:$AV$114))</f>
        <v/>
      </c>
      <c r="AX16" s="53" t="str">
        <f>IF($S16="","",INDEX(#REF!,$S16+1))</f>
        <v/>
      </c>
      <c r="AY16" s="254" t="str">
        <f t="shared" si="13"/>
        <v/>
      </c>
      <c r="AZ16" s="254" t="str">
        <f t="shared" si="14"/>
        <v/>
      </c>
      <c r="BA16" s="254" t="str">
        <f t="shared" si="15"/>
        <v/>
      </c>
      <c r="BB16" s="57" t="str">
        <f>IF($S16="","",SUM($BA16:$BA$114))</f>
        <v/>
      </c>
      <c r="BC16" s="53" t="str">
        <f>IF($S16="","",INDEX(#REF!,$S16+1))</f>
        <v/>
      </c>
      <c r="BD16" s="254" t="str">
        <f t="shared" si="16"/>
        <v/>
      </c>
      <c r="BE16" s="254" t="str">
        <f t="shared" si="17"/>
        <v/>
      </c>
      <c r="BF16" s="254" t="str">
        <f t="shared" si="18"/>
        <v/>
      </c>
      <c r="BG16" s="57" t="str">
        <f>IF($S16="","",SUM($BF16:$BF$114))</f>
        <v/>
      </c>
      <c r="BH16" s="53" t="str">
        <f>IF($S16="","",INDEX(#REF!,$S16+1))</f>
        <v/>
      </c>
      <c r="BI16" s="254" t="str">
        <f t="shared" si="19"/>
        <v/>
      </c>
      <c r="BJ16" s="254" t="str">
        <f t="shared" si="20"/>
        <v/>
      </c>
      <c r="BK16" s="254" t="str">
        <f t="shared" si="21"/>
        <v/>
      </c>
      <c r="BL16" s="57" t="str">
        <f>IF($S16="","",SUM($BK16:$BK$114))</f>
        <v/>
      </c>
      <c r="BM16" s="53" t="str">
        <f t="shared" si="22"/>
        <v/>
      </c>
      <c r="BN16" s="254" t="str">
        <f t="shared" si="33"/>
        <v/>
      </c>
      <c r="BO16" s="254" t="str">
        <f t="shared" si="23"/>
        <v/>
      </c>
      <c r="BP16" s="254" t="str">
        <f t="shared" si="24"/>
        <v/>
      </c>
      <c r="BQ16" s="254" t="str">
        <f t="shared" si="34"/>
        <v/>
      </c>
      <c r="BR16" s="254"/>
      <c r="BS16" s="254"/>
      <c r="BT16" s="254"/>
      <c r="BU16" s="254"/>
      <c r="BV16" s="254" t="str">
        <f>IF($S16="","",SUM(BQ16:BQ$114))</f>
        <v/>
      </c>
      <c r="BW16" s="55" t="str">
        <f>IF(S16&lt;$E$3+$F$5,0,IFERROR(일반형_연납순보험료!S18,0))</f>
        <v/>
      </c>
      <c r="BX16" s="55"/>
      <c r="BY16" s="55"/>
      <c r="BZ16" s="55"/>
      <c r="CA16" s="55"/>
      <c r="CB16" s="254" t="str">
        <f t="shared" si="35"/>
        <v/>
      </c>
      <c r="CC16" s="254" t="str">
        <f t="shared" si="25"/>
        <v/>
      </c>
      <c r="CD16" s="254" t="str">
        <f t="shared" si="26"/>
        <v/>
      </c>
      <c r="CE16" s="254" t="str">
        <f t="shared" si="36"/>
        <v/>
      </c>
      <c r="CF16" s="254" t="str">
        <f t="shared" si="27"/>
        <v/>
      </c>
      <c r="CG16" s="58" t="str">
        <f t="shared" si="37"/>
        <v/>
      </c>
      <c r="CH16" s="59" t="str">
        <f t="shared" si="28"/>
        <v/>
      </c>
      <c r="CI16" s="236"/>
      <c r="CJ16" s="236"/>
      <c r="CK16" s="236"/>
      <c r="CL16" s="236"/>
      <c r="CM16" s="236"/>
      <c r="CN16" s="236"/>
      <c r="CO16" s="479"/>
      <c r="CP16" s="479"/>
      <c r="CQ16" s="479"/>
      <c r="CR16" s="479"/>
      <c r="CS16" s="479"/>
      <c r="CT16" s="479"/>
      <c r="CU16" s="479"/>
      <c r="CV16" s="479"/>
      <c r="CW16" s="479"/>
      <c r="CX16" s="479"/>
      <c r="CY16" s="479"/>
      <c r="CZ16" s="479"/>
      <c r="DA16" s="479"/>
      <c r="DB16" s="479"/>
      <c r="DC16" s="479"/>
      <c r="DD16" s="479"/>
      <c r="DE16" s="479"/>
      <c r="DF16" s="479"/>
      <c r="DG16" s="479"/>
      <c r="DH16" s="479"/>
      <c r="DI16" s="479"/>
      <c r="DJ16" s="479"/>
      <c r="DK16" s="479"/>
      <c r="DL16" s="479"/>
      <c r="DM16" s="479"/>
      <c r="DN16" s="479"/>
      <c r="DO16" s="479"/>
      <c r="DP16" s="479"/>
      <c r="DQ16" s="479"/>
      <c r="DR16" s="479"/>
      <c r="DS16" s="479"/>
      <c r="DT16" s="479"/>
      <c r="DU16" s="479"/>
      <c r="DV16" s="479"/>
      <c r="DW16" s="479"/>
      <c r="DX16" s="479"/>
      <c r="DY16" s="479"/>
      <c r="DZ16" s="479"/>
      <c r="EA16" s="479"/>
      <c r="EB16" s="479"/>
      <c r="EC16" s="479"/>
      <c r="ED16" s="479"/>
    </row>
    <row r="17" spans="1:134">
      <c r="A17" s="305"/>
      <c r="B17" s="373"/>
      <c r="C17" s="78"/>
      <c r="D17" s="29" t="s">
        <v>37</v>
      </c>
      <c r="E17" s="822">
        <f>1/(1+E14)</f>
        <v>0.97799511002444994</v>
      </c>
      <c r="F17" s="823"/>
      <c r="G17" s="79"/>
      <c r="H17" s="372"/>
      <c r="I17" s="48" t="s">
        <v>26</v>
      </c>
      <c r="J17" s="49" t="s">
        <v>183</v>
      </c>
      <c r="K17" s="483">
        <f>K14-K15</f>
        <v>100000.00000000001</v>
      </c>
      <c r="N17" s="275" t="str">
        <f t="shared" si="43"/>
        <v/>
      </c>
      <c r="O17" s="276" t="str">
        <f t="shared" si="44"/>
        <v/>
      </c>
      <c r="P17" s="277" t="str">
        <f t="shared" si="41"/>
        <v/>
      </c>
      <c r="Q17" s="277" t="str">
        <f t="shared" si="42"/>
        <v/>
      </c>
      <c r="R17" s="277"/>
      <c r="S17" s="52" t="str">
        <f t="shared" si="38"/>
        <v/>
      </c>
      <c r="T17" s="53" t="str">
        <f>Main_무해지!AC17</f>
        <v/>
      </c>
      <c r="U17" s="254">
        <f>+Main_무해지!AD17</f>
        <v>0</v>
      </c>
      <c r="V17" s="254" t="str">
        <f t="shared" si="29"/>
        <v/>
      </c>
      <c r="W17" s="254" t="str">
        <f t="shared" si="39"/>
        <v/>
      </c>
      <c r="X17" s="254" t="str">
        <f t="shared" si="0"/>
        <v/>
      </c>
      <c r="Y17" s="54" t="str">
        <f>IF($S17="","",SUM(X17:X$114))</f>
        <v/>
      </c>
      <c r="Z17" s="254" t="str">
        <f t="shared" si="30"/>
        <v/>
      </c>
      <c r="AA17" s="254">
        <f t="shared" si="31"/>
        <v>0</v>
      </c>
      <c r="AB17" s="254" t="str">
        <f>Main_무해지!AJ17</f>
        <v/>
      </c>
      <c r="AC17" s="254" t="str">
        <f t="shared" si="1"/>
        <v/>
      </c>
      <c r="AD17" s="254" t="str">
        <f t="shared" si="40"/>
        <v/>
      </c>
      <c r="AE17" s="254" t="str">
        <f t="shared" si="2"/>
        <v/>
      </c>
      <c r="AF17" s="54" t="str">
        <f>IF($S17="","",SUM(AE17:AE$114))</f>
        <v/>
      </c>
      <c r="AG17" s="53" t="str">
        <f>Main_무해지!AP17</f>
        <v/>
      </c>
      <c r="AH17" s="254" t="str">
        <f t="shared" si="3"/>
        <v/>
      </c>
      <c r="AI17" s="254" t="str">
        <f t="shared" si="4"/>
        <v/>
      </c>
      <c r="AJ17" s="254" t="str">
        <f t="shared" si="5"/>
        <v/>
      </c>
      <c r="AK17" s="57" t="str">
        <f>IF($S17="","",SUM($AL17:$AL$114))</f>
        <v/>
      </c>
      <c r="AL17" s="254" t="str">
        <f t="shared" si="32"/>
        <v/>
      </c>
      <c r="AM17" s="57" t="str">
        <f t="shared" si="6"/>
        <v/>
      </c>
      <c r="AN17" s="53" t="str">
        <f>IF($S17="","",INDEX(#REF!,$S17+1))</f>
        <v/>
      </c>
      <c r="AO17" s="254" t="str">
        <f t="shared" si="7"/>
        <v/>
      </c>
      <c r="AP17" s="254" t="str">
        <f t="shared" si="8"/>
        <v/>
      </c>
      <c r="AQ17" s="254" t="str">
        <f t="shared" si="9"/>
        <v/>
      </c>
      <c r="AR17" s="57" t="str">
        <f>IF($S17="","",SUM($AQ17:$AQ$114))</f>
        <v/>
      </c>
      <c r="AS17" s="53" t="str">
        <f>IF($S17="","",INDEX(#REF!,$S17+1))</f>
        <v/>
      </c>
      <c r="AT17" s="254" t="str">
        <f t="shared" si="10"/>
        <v/>
      </c>
      <c r="AU17" s="254" t="str">
        <f t="shared" si="11"/>
        <v/>
      </c>
      <c r="AV17" s="254" t="str">
        <f t="shared" si="12"/>
        <v/>
      </c>
      <c r="AW17" s="57" t="str">
        <f>IF($S17="","",SUM($AV17:$AV$114))</f>
        <v/>
      </c>
      <c r="AX17" s="53" t="str">
        <f>IF($S17="","",INDEX(#REF!,$S17+1))</f>
        <v/>
      </c>
      <c r="AY17" s="254" t="str">
        <f t="shared" si="13"/>
        <v/>
      </c>
      <c r="AZ17" s="254" t="str">
        <f t="shared" si="14"/>
        <v/>
      </c>
      <c r="BA17" s="254" t="str">
        <f t="shared" si="15"/>
        <v/>
      </c>
      <c r="BB17" s="57" t="str">
        <f>IF($S17="","",SUM($BA17:$BA$114))</f>
        <v/>
      </c>
      <c r="BC17" s="53" t="str">
        <f>IF($S17="","",INDEX(#REF!,$S17+1))</f>
        <v/>
      </c>
      <c r="BD17" s="254" t="str">
        <f t="shared" si="16"/>
        <v/>
      </c>
      <c r="BE17" s="254" t="str">
        <f t="shared" si="17"/>
        <v/>
      </c>
      <c r="BF17" s="254" t="str">
        <f t="shared" si="18"/>
        <v/>
      </c>
      <c r="BG17" s="57" t="str">
        <f>IF($S17="","",SUM($BF17:$BF$114))</f>
        <v/>
      </c>
      <c r="BH17" s="53" t="str">
        <f>IF($S17="","",INDEX(#REF!,$S17+1))</f>
        <v/>
      </c>
      <c r="BI17" s="254" t="str">
        <f t="shared" si="19"/>
        <v/>
      </c>
      <c r="BJ17" s="254" t="str">
        <f t="shared" si="20"/>
        <v/>
      </c>
      <c r="BK17" s="254" t="str">
        <f t="shared" si="21"/>
        <v/>
      </c>
      <c r="BL17" s="57" t="str">
        <f>IF($S17="","",SUM($BK17:$BK$114))</f>
        <v/>
      </c>
      <c r="BM17" s="53" t="str">
        <f t="shared" si="22"/>
        <v/>
      </c>
      <c r="BN17" s="254" t="str">
        <f t="shared" si="33"/>
        <v/>
      </c>
      <c r="BO17" s="254" t="str">
        <f t="shared" si="23"/>
        <v/>
      </c>
      <c r="BP17" s="254" t="str">
        <f t="shared" si="24"/>
        <v/>
      </c>
      <c r="BQ17" s="254" t="str">
        <f t="shared" si="34"/>
        <v/>
      </c>
      <c r="BR17" s="254"/>
      <c r="BS17" s="254"/>
      <c r="BT17" s="254"/>
      <c r="BU17" s="254"/>
      <c r="BV17" s="254" t="str">
        <f>IF($S17="","",SUM(BQ17:BQ$114))</f>
        <v/>
      </c>
      <c r="BW17" s="55" t="str">
        <f>IF(S17&lt;$E$3+$F$5,0,IFERROR(일반형_연납순보험료!S19,0))</f>
        <v/>
      </c>
      <c r="BX17" s="55"/>
      <c r="BY17" s="55"/>
      <c r="BZ17" s="55"/>
      <c r="CA17" s="55"/>
      <c r="CB17" s="254" t="str">
        <f t="shared" si="35"/>
        <v/>
      </c>
      <c r="CC17" s="254" t="str">
        <f t="shared" si="25"/>
        <v/>
      </c>
      <c r="CD17" s="254" t="str">
        <f t="shared" si="26"/>
        <v/>
      </c>
      <c r="CE17" s="254" t="str">
        <f t="shared" si="36"/>
        <v/>
      </c>
      <c r="CF17" s="254" t="str">
        <f t="shared" si="27"/>
        <v/>
      </c>
      <c r="CG17" s="58" t="str">
        <f t="shared" si="37"/>
        <v/>
      </c>
      <c r="CH17" s="59" t="str">
        <f t="shared" si="28"/>
        <v/>
      </c>
      <c r="CI17" s="236"/>
      <c r="CJ17" s="236"/>
      <c r="CK17" s="236"/>
      <c r="CL17" s="236"/>
      <c r="CM17" s="236"/>
      <c r="CN17" s="236"/>
      <c r="CO17" s="479"/>
      <c r="CP17" s="479"/>
      <c r="CQ17" s="479"/>
      <c r="CR17" s="479"/>
      <c r="CS17" s="479"/>
      <c r="CT17" s="479"/>
      <c r="CU17" s="479"/>
      <c r="CV17" s="479"/>
      <c r="CW17" s="479"/>
      <c r="CX17" s="479"/>
      <c r="CY17" s="479"/>
      <c r="CZ17" s="479"/>
      <c r="DA17" s="479"/>
      <c r="DB17" s="479"/>
      <c r="DC17" s="479"/>
      <c r="DD17" s="479"/>
      <c r="DE17" s="479"/>
      <c r="DF17" s="479"/>
      <c r="DG17" s="479"/>
      <c r="DH17" s="479"/>
      <c r="DI17" s="479"/>
      <c r="DJ17" s="479"/>
      <c r="DK17" s="479"/>
      <c r="DL17" s="479"/>
      <c r="DM17" s="479"/>
      <c r="DN17" s="479"/>
      <c r="DO17" s="479"/>
      <c r="DP17" s="479"/>
      <c r="DQ17" s="479"/>
      <c r="DR17" s="479"/>
      <c r="DS17" s="479"/>
      <c r="DT17" s="479"/>
      <c r="DU17" s="479"/>
      <c r="DV17" s="479"/>
      <c r="DW17" s="479"/>
      <c r="DX17" s="479"/>
      <c r="DY17" s="479"/>
      <c r="DZ17" s="479"/>
      <c r="EA17" s="479"/>
      <c r="EB17" s="479"/>
      <c r="EC17" s="479"/>
      <c r="ED17" s="479"/>
    </row>
    <row r="18" spans="1:134">
      <c r="A18" s="305"/>
      <c r="B18" s="373"/>
      <c r="C18" s="78"/>
      <c r="D18" s="29" t="s">
        <v>94</v>
      </c>
      <c r="E18" s="824">
        <f>Main_무해지!E18</f>
        <v>6</v>
      </c>
      <c r="F18" s="825"/>
      <c r="G18" s="79"/>
      <c r="H18" s="372"/>
      <c r="I18" s="48" t="s">
        <v>27</v>
      </c>
      <c r="J18" s="49" t="s">
        <v>181</v>
      </c>
      <c r="K18" s="600">
        <f>K16-K25</f>
        <v>0</v>
      </c>
      <c r="N18" s="278" t="str">
        <f t="shared" si="43"/>
        <v/>
      </c>
      <c r="O18" s="279" t="str">
        <f t="shared" si="44"/>
        <v/>
      </c>
      <c r="P18" s="271" t="str">
        <f t="shared" si="41"/>
        <v/>
      </c>
      <c r="Q18" s="271" t="str">
        <f t="shared" si="42"/>
        <v/>
      </c>
      <c r="R18" s="271"/>
      <c r="S18" s="52" t="str">
        <f t="shared" si="38"/>
        <v/>
      </c>
      <c r="T18" s="53" t="str">
        <f>Main_무해지!AC18</f>
        <v/>
      </c>
      <c r="U18" s="254">
        <f>+Main_무해지!AD18</f>
        <v>0</v>
      </c>
      <c r="V18" s="254" t="str">
        <f t="shared" si="29"/>
        <v/>
      </c>
      <c r="W18" s="254" t="str">
        <f t="shared" si="39"/>
        <v/>
      </c>
      <c r="X18" s="254" t="str">
        <f t="shared" si="0"/>
        <v/>
      </c>
      <c r="Y18" s="54" t="str">
        <f>IF($S18="","",SUM(X18:X$114))</f>
        <v/>
      </c>
      <c r="Z18" s="254" t="str">
        <f t="shared" si="30"/>
        <v/>
      </c>
      <c r="AA18" s="254">
        <f t="shared" si="31"/>
        <v>0</v>
      </c>
      <c r="AB18" s="254" t="str">
        <f>Main_무해지!AJ18</f>
        <v/>
      </c>
      <c r="AC18" s="254" t="str">
        <f t="shared" si="1"/>
        <v/>
      </c>
      <c r="AD18" s="254" t="str">
        <f t="shared" si="40"/>
        <v/>
      </c>
      <c r="AE18" s="254" t="str">
        <f t="shared" si="2"/>
        <v/>
      </c>
      <c r="AF18" s="54" t="str">
        <f>IF($S18="","",SUM(AE18:AE$114))</f>
        <v/>
      </c>
      <c r="AG18" s="53" t="str">
        <f>Main_무해지!AP18</f>
        <v/>
      </c>
      <c r="AH18" s="254" t="str">
        <f t="shared" si="3"/>
        <v/>
      </c>
      <c r="AI18" s="254" t="str">
        <f t="shared" si="4"/>
        <v/>
      </c>
      <c r="AJ18" s="254" t="str">
        <f t="shared" si="5"/>
        <v/>
      </c>
      <c r="AK18" s="57" t="str">
        <f>IF($S18="","",SUM($AL18:$AL$114))</f>
        <v/>
      </c>
      <c r="AL18" s="254" t="str">
        <f t="shared" si="32"/>
        <v/>
      </c>
      <c r="AM18" s="57" t="str">
        <f t="shared" si="6"/>
        <v/>
      </c>
      <c r="AN18" s="53" t="str">
        <f>IF($S18="","",INDEX(#REF!,$S18+1))</f>
        <v/>
      </c>
      <c r="AO18" s="254" t="str">
        <f t="shared" si="7"/>
        <v/>
      </c>
      <c r="AP18" s="254" t="str">
        <f t="shared" si="8"/>
        <v/>
      </c>
      <c r="AQ18" s="254" t="str">
        <f t="shared" si="9"/>
        <v/>
      </c>
      <c r="AR18" s="57" t="str">
        <f>IF($S18="","",SUM($AQ18:$AQ$114))</f>
        <v/>
      </c>
      <c r="AS18" s="53" t="str">
        <f>IF($S18="","",INDEX(#REF!,$S18+1))</f>
        <v/>
      </c>
      <c r="AT18" s="254" t="str">
        <f t="shared" si="10"/>
        <v/>
      </c>
      <c r="AU18" s="254" t="str">
        <f t="shared" si="11"/>
        <v/>
      </c>
      <c r="AV18" s="254" t="str">
        <f t="shared" si="12"/>
        <v/>
      </c>
      <c r="AW18" s="57" t="str">
        <f>IF($S18="","",SUM($AV18:$AV$114))</f>
        <v/>
      </c>
      <c r="AX18" s="53" t="str">
        <f>IF($S18="","",INDEX(#REF!,$S18+1))</f>
        <v/>
      </c>
      <c r="AY18" s="254" t="str">
        <f t="shared" si="13"/>
        <v/>
      </c>
      <c r="AZ18" s="254" t="str">
        <f t="shared" si="14"/>
        <v/>
      </c>
      <c r="BA18" s="254" t="str">
        <f t="shared" si="15"/>
        <v/>
      </c>
      <c r="BB18" s="57" t="str">
        <f>IF($S18="","",SUM($BA18:$BA$114))</f>
        <v/>
      </c>
      <c r="BC18" s="53" t="str">
        <f>IF($S18="","",INDEX(#REF!,$S18+1))</f>
        <v/>
      </c>
      <c r="BD18" s="254" t="str">
        <f t="shared" si="16"/>
        <v/>
      </c>
      <c r="BE18" s="254" t="str">
        <f t="shared" si="17"/>
        <v/>
      </c>
      <c r="BF18" s="254" t="str">
        <f t="shared" si="18"/>
        <v/>
      </c>
      <c r="BG18" s="57" t="str">
        <f>IF($S18="","",SUM($BF18:$BF$114))</f>
        <v/>
      </c>
      <c r="BH18" s="53" t="str">
        <f>IF($S18="","",INDEX(#REF!,$S18+1))</f>
        <v/>
      </c>
      <c r="BI18" s="254" t="str">
        <f t="shared" si="19"/>
        <v/>
      </c>
      <c r="BJ18" s="254" t="str">
        <f t="shared" si="20"/>
        <v/>
      </c>
      <c r="BK18" s="254" t="str">
        <f t="shared" si="21"/>
        <v/>
      </c>
      <c r="BL18" s="57" t="str">
        <f>IF($S18="","",SUM($BK18:$BK$114))</f>
        <v/>
      </c>
      <c r="BM18" s="53" t="str">
        <f t="shared" si="22"/>
        <v/>
      </c>
      <c r="BN18" s="254" t="str">
        <f t="shared" si="33"/>
        <v/>
      </c>
      <c r="BO18" s="254" t="str">
        <f t="shared" si="23"/>
        <v/>
      </c>
      <c r="BP18" s="254" t="str">
        <f t="shared" si="24"/>
        <v/>
      </c>
      <c r="BQ18" s="254" t="str">
        <f t="shared" si="34"/>
        <v/>
      </c>
      <c r="BR18" s="254"/>
      <c r="BS18" s="254"/>
      <c r="BT18" s="254"/>
      <c r="BU18" s="254"/>
      <c r="BV18" s="254" t="str">
        <f>IF($S18="","",SUM(BQ18:BQ$114))</f>
        <v/>
      </c>
      <c r="BW18" s="55" t="str">
        <f>IF(S18&lt;$E$3+$F$5,0,IFERROR(일반형_연납순보험료!S20,0))</f>
        <v/>
      </c>
      <c r="BX18" s="55"/>
      <c r="BY18" s="55"/>
      <c r="BZ18" s="55"/>
      <c r="CA18" s="55"/>
      <c r="CB18" s="254" t="str">
        <f t="shared" si="35"/>
        <v/>
      </c>
      <c r="CC18" s="254" t="str">
        <f t="shared" si="25"/>
        <v/>
      </c>
      <c r="CD18" s="254" t="str">
        <f t="shared" si="26"/>
        <v/>
      </c>
      <c r="CE18" s="254" t="str">
        <f t="shared" si="36"/>
        <v/>
      </c>
      <c r="CF18" s="254" t="str">
        <f t="shared" si="27"/>
        <v/>
      </c>
      <c r="CG18" s="58" t="str">
        <f t="shared" si="37"/>
        <v/>
      </c>
      <c r="CH18" s="59" t="str">
        <f t="shared" si="28"/>
        <v/>
      </c>
      <c r="CI18" s="236"/>
      <c r="CJ18" s="236"/>
      <c r="CK18" s="236"/>
      <c r="CL18" s="236"/>
      <c r="CM18" s="236"/>
      <c r="CN18" s="236"/>
      <c r="CO18" s="479"/>
      <c r="CP18" s="479"/>
      <c r="CQ18" s="479"/>
      <c r="CR18" s="479"/>
      <c r="CS18" s="479"/>
      <c r="CT18" s="479"/>
      <c r="CU18" s="479"/>
      <c r="CV18" s="479"/>
      <c r="CW18" s="479"/>
      <c r="CX18" s="479"/>
      <c r="CY18" s="479"/>
      <c r="CZ18" s="479"/>
      <c r="DA18" s="479"/>
      <c r="DB18" s="479"/>
      <c r="DC18" s="479"/>
      <c r="DD18" s="479"/>
      <c r="DE18" s="479"/>
      <c r="DF18" s="479"/>
      <c r="DG18" s="479"/>
      <c r="DH18" s="479"/>
      <c r="DI18" s="479"/>
      <c r="DJ18" s="479"/>
      <c r="DK18" s="479"/>
      <c r="DL18" s="479"/>
      <c r="DM18" s="479"/>
      <c r="DN18" s="479"/>
      <c r="DO18" s="479"/>
      <c r="DP18" s="479"/>
      <c r="DQ18" s="479"/>
      <c r="DR18" s="479"/>
      <c r="DS18" s="479"/>
      <c r="DT18" s="479"/>
      <c r="DU18" s="479"/>
      <c r="DV18" s="479"/>
      <c r="DW18" s="479"/>
      <c r="DX18" s="479"/>
      <c r="DY18" s="479"/>
      <c r="DZ18" s="479"/>
      <c r="EA18" s="479"/>
      <c r="EB18" s="479"/>
      <c r="EC18" s="479"/>
      <c r="ED18" s="479"/>
    </row>
    <row r="19" spans="1:134" ht="17.25" thickBot="1">
      <c r="A19" s="305"/>
      <c r="B19" s="373"/>
      <c r="C19" s="93"/>
      <c r="D19" s="293"/>
      <c r="E19" s="826">
        <f>Main_무해지!E19</f>
        <v>1000000</v>
      </c>
      <c r="F19" s="827"/>
      <c r="G19" s="294"/>
      <c r="H19" s="372"/>
      <c r="I19" s="48"/>
      <c r="J19" s="49" t="s">
        <v>179</v>
      </c>
      <c r="K19" s="483">
        <f>K37*K13*K22</f>
        <v>0</v>
      </c>
      <c r="N19" s="278" t="str">
        <f t="shared" si="43"/>
        <v/>
      </c>
      <c r="O19" s="279" t="str">
        <f t="shared" si="44"/>
        <v/>
      </c>
      <c r="P19" s="271" t="str">
        <f t="shared" si="41"/>
        <v/>
      </c>
      <c r="Q19" s="271" t="str">
        <f t="shared" si="42"/>
        <v/>
      </c>
      <c r="R19" s="271"/>
      <c r="S19" s="60" t="str">
        <f t="shared" si="38"/>
        <v/>
      </c>
      <c r="T19" s="61" t="str">
        <f>Main_무해지!AC19</f>
        <v/>
      </c>
      <c r="U19" s="255">
        <f>+Main_무해지!AD19</f>
        <v>0</v>
      </c>
      <c r="V19" s="255" t="str">
        <f t="shared" si="29"/>
        <v/>
      </c>
      <c r="W19" s="255" t="str">
        <f t="shared" si="39"/>
        <v/>
      </c>
      <c r="X19" s="255" t="str">
        <f t="shared" si="0"/>
        <v/>
      </c>
      <c r="Y19" s="62" t="str">
        <f>IF($S19="","",SUM(X19:X$114))</f>
        <v/>
      </c>
      <c r="Z19" s="255" t="str">
        <f t="shared" si="30"/>
        <v/>
      </c>
      <c r="AA19" s="255">
        <f t="shared" si="31"/>
        <v>0</v>
      </c>
      <c r="AB19" s="255" t="str">
        <f>Main_무해지!AJ19</f>
        <v/>
      </c>
      <c r="AC19" s="255" t="str">
        <f t="shared" si="1"/>
        <v/>
      </c>
      <c r="AD19" s="255" t="str">
        <f t="shared" si="40"/>
        <v/>
      </c>
      <c r="AE19" s="255" t="str">
        <f t="shared" si="2"/>
        <v/>
      </c>
      <c r="AF19" s="62" t="str">
        <f>IF($S19="","",SUM(AE19:AE$114))</f>
        <v/>
      </c>
      <c r="AG19" s="61" t="str">
        <f>Main_무해지!AP19</f>
        <v/>
      </c>
      <c r="AH19" s="255" t="str">
        <f t="shared" si="3"/>
        <v/>
      </c>
      <c r="AI19" s="255" t="str">
        <f t="shared" si="4"/>
        <v/>
      </c>
      <c r="AJ19" s="255" t="str">
        <f t="shared" si="5"/>
        <v/>
      </c>
      <c r="AK19" s="65" t="str">
        <f>IF($S19="","",SUM($AL19:$AL$114))</f>
        <v/>
      </c>
      <c r="AL19" s="255" t="str">
        <f t="shared" si="32"/>
        <v/>
      </c>
      <c r="AM19" s="65" t="str">
        <f t="shared" si="6"/>
        <v/>
      </c>
      <c r="AN19" s="61" t="str">
        <f>IF($S19="","",INDEX(#REF!,$S19+1))</f>
        <v/>
      </c>
      <c r="AO19" s="255" t="str">
        <f t="shared" si="7"/>
        <v/>
      </c>
      <c r="AP19" s="255" t="str">
        <f t="shared" si="8"/>
        <v/>
      </c>
      <c r="AQ19" s="255" t="str">
        <f t="shared" si="9"/>
        <v/>
      </c>
      <c r="AR19" s="65" t="str">
        <f>IF($S19="","",SUM($AQ19:$AQ$114))</f>
        <v/>
      </c>
      <c r="AS19" s="61" t="str">
        <f>IF($S19="","",INDEX(#REF!,$S19+1))</f>
        <v/>
      </c>
      <c r="AT19" s="255" t="str">
        <f t="shared" si="10"/>
        <v/>
      </c>
      <c r="AU19" s="255" t="str">
        <f t="shared" si="11"/>
        <v/>
      </c>
      <c r="AV19" s="255" t="str">
        <f t="shared" si="12"/>
        <v/>
      </c>
      <c r="AW19" s="65" t="str">
        <f>IF($S19="","",SUM($AV19:$AV$114))</f>
        <v/>
      </c>
      <c r="AX19" s="61" t="str">
        <f>IF($S19="","",INDEX(#REF!,$S19+1))</f>
        <v/>
      </c>
      <c r="AY19" s="255" t="str">
        <f t="shared" si="13"/>
        <v/>
      </c>
      <c r="AZ19" s="255" t="str">
        <f t="shared" si="14"/>
        <v/>
      </c>
      <c r="BA19" s="255" t="str">
        <f t="shared" si="15"/>
        <v/>
      </c>
      <c r="BB19" s="65" t="str">
        <f>IF($S19="","",SUM($BA19:$BA$114))</f>
        <v/>
      </c>
      <c r="BC19" s="61" t="str">
        <f>IF($S19="","",INDEX(#REF!,$S19+1))</f>
        <v/>
      </c>
      <c r="BD19" s="255" t="str">
        <f t="shared" si="16"/>
        <v/>
      </c>
      <c r="BE19" s="255" t="str">
        <f t="shared" si="17"/>
        <v/>
      </c>
      <c r="BF19" s="255" t="str">
        <f t="shared" si="18"/>
        <v/>
      </c>
      <c r="BG19" s="65" t="str">
        <f>IF($S19="","",SUM($BF19:$BF$114))</f>
        <v/>
      </c>
      <c r="BH19" s="61" t="str">
        <f>IF($S19="","",INDEX(#REF!,$S19+1))</f>
        <v/>
      </c>
      <c r="BI19" s="255" t="str">
        <f t="shared" si="19"/>
        <v/>
      </c>
      <c r="BJ19" s="255" t="str">
        <f t="shared" si="20"/>
        <v/>
      </c>
      <c r="BK19" s="255" t="str">
        <f t="shared" si="21"/>
        <v/>
      </c>
      <c r="BL19" s="65" t="str">
        <f>IF($S19="","",SUM($BK19:$BK$114))</f>
        <v/>
      </c>
      <c r="BM19" s="61" t="str">
        <f t="shared" si="22"/>
        <v/>
      </c>
      <c r="BN19" s="255" t="str">
        <f t="shared" si="33"/>
        <v/>
      </c>
      <c r="BO19" s="255" t="str">
        <f t="shared" si="23"/>
        <v/>
      </c>
      <c r="BP19" s="255" t="str">
        <f t="shared" si="24"/>
        <v/>
      </c>
      <c r="BQ19" s="255" t="str">
        <f t="shared" si="34"/>
        <v/>
      </c>
      <c r="BR19" s="255"/>
      <c r="BS19" s="255"/>
      <c r="BT19" s="255"/>
      <c r="BU19" s="255"/>
      <c r="BV19" s="255" t="str">
        <f>IF($S19="","",SUM(BQ19:BQ$114))</f>
        <v/>
      </c>
      <c r="BW19" s="63" t="str">
        <f>IF(S19&lt;$E$3+$F$5,0,IFERROR(일반형_연납순보험료!S21,0))</f>
        <v/>
      </c>
      <c r="BX19" s="63"/>
      <c r="BY19" s="63"/>
      <c r="BZ19" s="63"/>
      <c r="CA19" s="63"/>
      <c r="CB19" s="255" t="str">
        <f t="shared" si="35"/>
        <v/>
      </c>
      <c r="CC19" s="255" t="str">
        <f t="shared" si="25"/>
        <v/>
      </c>
      <c r="CD19" s="255" t="str">
        <f t="shared" si="26"/>
        <v/>
      </c>
      <c r="CE19" s="255" t="str">
        <f t="shared" si="36"/>
        <v/>
      </c>
      <c r="CF19" s="255" t="str">
        <f t="shared" si="27"/>
        <v/>
      </c>
      <c r="CG19" s="66" t="str">
        <f t="shared" si="37"/>
        <v/>
      </c>
      <c r="CH19" s="67" t="str">
        <f t="shared" si="28"/>
        <v/>
      </c>
      <c r="CI19" s="237"/>
      <c r="CJ19" s="237"/>
      <c r="CK19" s="237"/>
      <c r="CL19" s="237"/>
      <c r="CM19" s="237"/>
      <c r="CN19" s="237"/>
      <c r="CO19" s="479"/>
      <c r="CP19" s="479"/>
      <c r="CQ19" s="479"/>
      <c r="CR19" s="479"/>
      <c r="CS19" s="479"/>
      <c r="CT19" s="479"/>
      <c r="CU19" s="479"/>
      <c r="CV19" s="479"/>
      <c r="CW19" s="479"/>
      <c r="CX19" s="479"/>
      <c r="CY19" s="479"/>
      <c r="CZ19" s="479"/>
      <c r="DA19" s="479"/>
      <c r="DB19" s="479"/>
      <c r="DC19" s="479"/>
      <c r="DD19" s="479"/>
      <c r="DE19" s="479"/>
      <c r="DF19" s="479"/>
      <c r="DG19" s="479"/>
      <c r="DH19" s="479"/>
      <c r="DI19" s="479"/>
      <c r="DJ19" s="479"/>
      <c r="DK19" s="479"/>
      <c r="DL19" s="479"/>
      <c r="DM19" s="479"/>
      <c r="DN19" s="479"/>
      <c r="DO19" s="479"/>
      <c r="DP19" s="479"/>
      <c r="DQ19" s="479"/>
      <c r="DR19" s="479"/>
      <c r="DS19" s="479"/>
      <c r="DT19" s="479"/>
      <c r="DU19" s="479"/>
      <c r="DV19" s="479"/>
      <c r="DW19" s="479"/>
      <c r="DX19" s="479"/>
      <c r="DY19" s="479"/>
      <c r="DZ19" s="479"/>
      <c r="EA19" s="479"/>
      <c r="EB19" s="479"/>
      <c r="EC19" s="479"/>
      <c r="ED19" s="479"/>
    </row>
    <row r="20" spans="1:134" ht="17.25" thickTop="1">
      <c r="A20" s="305"/>
      <c r="B20" s="373"/>
      <c r="C20" s="373"/>
      <c r="D20" s="373"/>
      <c r="E20" s="373"/>
      <c r="F20" s="373"/>
      <c r="G20" s="373"/>
      <c r="H20" s="372"/>
      <c r="I20" s="80"/>
      <c r="J20" s="81" t="s">
        <v>202</v>
      </c>
      <c r="K20" s="484">
        <f>INDEX(X4:X115,1)</f>
        <v>100000</v>
      </c>
      <c r="N20" s="278" t="str">
        <f t="shared" si="43"/>
        <v/>
      </c>
      <c r="O20" s="279" t="str">
        <f t="shared" si="44"/>
        <v/>
      </c>
      <c r="P20" s="271" t="str">
        <f t="shared" si="41"/>
        <v/>
      </c>
      <c r="Q20" s="271" t="str">
        <f t="shared" si="42"/>
        <v/>
      </c>
      <c r="R20" s="271"/>
      <c r="S20" s="759" t="str">
        <f t="shared" si="38"/>
        <v/>
      </c>
      <c r="T20" s="761" t="str">
        <f>Main_무해지!AC20</f>
        <v/>
      </c>
      <c r="U20" s="409">
        <f>+Main_무해지!AD20</f>
        <v>0</v>
      </c>
      <c r="V20" s="409" t="str">
        <f t="shared" si="29"/>
        <v/>
      </c>
      <c r="W20" s="409" t="str">
        <f t="shared" si="39"/>
        <v/>
      </c>
      <c r="X20" s="409" t="str">
        <f t="shared" si="0"/>
        <v/>
      </c>
      <c r="Y20" s="760" t="str">
        <f>IF($S20="","",SUM(X20:X$114))</f>
        <v/>
      </c>
      <c r="Z20" s="409" t="str">
        <f t="shared" si="30"/>
        <v/>
      </c>
      <c r="AA20" s="409">
        <f t="shared" si="31"/>
        <v>0</v>
      </c>
      <c r="AB20" s="409" t="str">
        <f>Main_무해지!AJ20</f>
        <v/>
      </c>
      <c r="AC20" s="409" t="str">
        <f t="shared" si="1"/>
        <v/>
      </c>
      <c r="AD20" s="409" t="str">
        <f t="shared" si="40"/>
        <v/>
      </c>
      <c r="AE20" s="409" t="str">
        <f t="shared" si="2"/>
        <v/>
      </c>
      <c r="AF20" s="760" t="str">
        <f>IF($S20="","",SUM(AE20:AE$114))</f>
        <v/>
      </c>
      <c r="AG20" s="761" t="str">
        <f>Main_무해지!AP20</f>
        <v/>
      </c>
      <c r="AH20" s="409" t="str">
        <f t="shared" si="3"/>
        <v/>
      </c>
      <c r="AI20" s="409" t="str">
        <f t="shared" si="4"/>
        <v/>
      </c>
      <c r="AJ20" s="409" t="str">
        <f t="shared" si="5"/>
        <v/>
      </c>
      <c r="AK20" s="762" t="str">
        <f>IF($S20="","",SUM($AL20:$AL$114))</f>
        <v/>
      </c>
      <c r="AL20" s="409" t="str">
        <f t="shared" si="32"/>
        <v/>
      </c>
      <c r="AM20" s="762" t="str">
        <f t="shared" si="6"/>
        <v/>
      </c>
      <c r="AN20" s="761" t="str">
        <f>IF($S20="","",INDEX(#REF!,$S20+1))</f>
        <v/>
      </c>
      <c r="AO20" s="409" t="str">
        <f t="shared" si="7"/>
        <v/>
      </c>
      <c r="AP20" s="409" t="str">
        <f t="shared" si="8"/>
        <v/>
      </c>
      <c r="AQ20" s="409" t="str">
        <f t="shared" si="9"/>
        <v/>
      </c>
      <c r="AR20" s="762" t="str">
        <f>IF($S20="","",SUM($AQ20:$AQ$114))</f>
        <v/>
      </c>
      <c r="AS20" s="761" t="str">
        <f>IF($S20="","",INDEX(#REF!,$S20+1))</f>
        <v/>
      </c>
      <c r="AT20" s="409" t="str">
        <f t="shared" si="10"/>
        <v/>
      </c>
      <c r="AU20" s="409" t="str">
        <f t="shared" si="11"/>
        <v/>
      </c>
      <c r="AV20" s="409" t="str">
        <f t="shared" si="12"/>
        <v/>
      </c>
      <c r="AW20" s="762" t="str">
        <f>IF($S20="","",SUM($AV20:$AV$114))</f>
        <v/>
      </c>
      <c r="AX20" s="761" t="str">
        <f>IF($S20="","",INDEX(#REF!,$S20+1))</f>
        <v/>
      </c>
      <c r="AY20" s="409" t="str">
        <f t="shared" si="13"/>
        <v/>
      </c>
      <c r="AZ20" s="409" t="str">
        <f t="shared" si="14"/>
        <v/>
      </c>
      <c r="BA20" s="409" t="str">
        <f t="shared" si="15"/>
        <v/>
      </c>
      <c r="BB20" s="762" t="str">
        <f>IF($S20="","",SUM($BA20:$BA$114))</f>
        <v/>
      </c>
      <c r="BC20" s="761" t="str">
        <f>IF($S20="","",INDEX(#REF!,$S20+1))</f>
        <v/>
      </c>
      <c r="BD20" s="409" t="str">
        <f t="shared" si="16"/>
        <v/>
      </c>
      <c r="BE20" s="409" t="str">
        <f t="shared" si="17"/>
        <v/>
      </c>
      <c r="BF20" s="409" t="str">
        <f t="shared" si="18"/>
        <v/>
      </c>
      <c r="BG20" s="762" t="str">
        <f>IF($S20="","",SUM($BF20:$BF$114))</f>
        <v/>
      </c>
      <c r="BH20" s="761" t="str">
        <f>IF($S20="","",INDEX(#REF!,$S20+1))</f>
        <v/>
      </c>
      <c r="BI20" s="409" t="str">
        <f t="shared" si="19"/>
        <v/>
      </c>
      <c r="BJ20" s="409" t="str">
        <f t="shared" si="20"/>
        <v/>
      </c>
      <c r="BK20" s="409" t="str">
        <f t="shared" si="21"/>
        <v/>
      </c>
      <c r="BL20" s="762" t="str">
        <f>IF($S20="","",SUM($BK20:$BK$114))</f>
        <v/>
      </c>
      <c r="BM20" s="761" t="str">
        <f t="shared" si="22"/>
        <v/>
      </c>
      <c r="BN20" s="409" t="str">
        <f t="shared" si="33"/>
        <v/>
      </c>
      <c r="BO20" s="409" t="str">
        <f t="shared" si="23"/>
        <v/>
      </c>
      <c r="BP20" s="409" t="str">
        <f t="shared" si="24"/>
        <v/>
      </c>
      <c r="BQ20" s="409" t="str">
        <f t="shared" si="34"/>
        <v/>
      </c>
      <c r="BR20" s="409"/>
      <c r="BS20" s="409"/>
      <c r="BT20" s="409"/>
      <c r="BU20" s="409"/>
      <c r="BV20" s="409" t="str">
        <f>IF($S20="","",SUM(BQ20:BQ$114))</f>
        <v/>
      </c>
      <c r="BW20" s="763" t="str">
        <f>IF(S20&lt;$E$3+$F$5,0,IFERROR(일반형_연납순보험료!S22,0))</f>
        <v/>
      </c>
      <c r="BX20" s="763"/>
      <c r="BY20" s="763"/>
      <c r="BZ20" s="763"/>
      <c r="CA20" s="763"/>
      <c r="CB20" s="409" t="str">
        <f t="shared" si="35"/>
        <v/>
      </c>
      <c r="CC20" s="409" t="str">
        <f t="shared" si="25"/>
        <v/>
      </c>
      <c r="CD20" s="409" t="str">
        <f t="shared" si="26"/>
        <v/>
      </c>
      <c r="CE20" s="409" t="str">
        <f t="shared" si="36"/>
        <v/>
      </c>
      <c r="CF20" s="409" t="str">
        <f t="shared" si="27"/>
        <v/>
      </c>
      <c r="CG20" s="765" t="str">
        <f t="shared" si="37"/>
        <v/>
      </c>
      <c r="CH20" s="766" t="str">
        <f t="shared" si="28"/>
        <v/>
      </c>
      <c r="CI20" s="414"/>
      <c r="CJ20" s="414"/>
      <c r="CK20" s="414"/>
      <c r="CL20" s="414"/>
      <c r="CM20" s="414"/>
      <c r="CN20" s="414"/>
      <c r="CO20" s="479"/>
      <c r="CP20" s="479"/>
      <c r="CQ20" s="479"/>
      <c r="CR20" s="479"/>
      <c r="CS20" s="479"/>
      <c r="CT20" s="479"/>
      <c r="CU20" s="479"/>
      <c r="CV20" s="479"/>
      <c r="CW20" s="479"/>
      <c r="CX20" s="479"/>
      <c r="CY20" s="479"/>
      <c r="CZ20" s="479"/>
      <c r="DA20" s="479"/>
      <c r="DB20" s="479"/>
      <c r="DC20" s="479"/>
      <c r="DD20" s="479"/>
      <c r="DE20" s="479"/>
      <c r="DF20" s="479"/>
      <c r="DG20" s="479"/>
      <c r="DH20" s="479"/>
      <c r="DI20" s="479"/>
      <c r="DJ20" s="479"/>
      <c r="DK20" s="479"/>
      <c r="DL20" s="479"/>
      <c r="DM20" s="479"/>
      <c r="DN20" s="479"/>
      <c r="DO20" s="479"/>
      <c r="DP20" s="479"/>
      <c r="DQ20" s="479"/>
      <c r="DR20" s="479"/>
      <c r="DS20" s="479"/>
      <c r="DT20" s="479"/>
      <c r="DU20" s="479"/>
      <c r="DV20" s="479"/>
      <c r="DW20" s="479"/>
      <c r="DX20" s="479"/>
      <c r="DY20" s="479"/>
      <c r="DZ20" s="479"/>
      <c r="EA20" s="479"/>
      <c r="EB20" s="479"/>
      <c r="EC20" s="479"/>
      <c r="ED20" s="479"/>
    </row>
    <row r="21" spans="1:134" ht="17.25" thickBot="1">
      <c r="A21" s="305"/>
      <c r="B21" s="373"/>
      <c r="C21" s="373"/>
      <c r="D21" s="373"/>
      <c r="E21" s="373"/>
      <c r="F21" s="373"/>
      <c r="G21" s="373"/>
      <c r="H21" s="372"/>
      <c r="I21" s="48"/>
      <c r="J21" s="49" t="s">
        <v>203</v>
      </c>
      <c r="K21" s="483">
        <f>INDEX(X4:X115,F5+1)</f>
        <v>97799.511002444997</v>
      </c>
      <c r="N21" s="280" t="str">
        <f t="shared" si="43"/>
        <v/>
      </c>
      <c r="O21" s="281" t="str">
        <f t="shared" si="44"/>
        <v/>
      </c>
      <c r="P21" s="282" t="str">
        <f t="shared" si="41"/>
        <v/>
      </c>
      <c r="Q21" s="282" t="str">
        <f t="shared" si="42"/>
        <v/>
      </c>
      <c r="R21" s="282"/>
      <c r="S21" s="101" t="str">
        <f t="shared" si="38"/>
        <v/>
      </c>
      <c r="T21" s="285" t="str">
        <f>Main_무해지!AC21</f>
        <v/>
      </c>
      <c r="U21" s="258">
        <f>+Main_무해지!AD21</f>
        <v>0</v>
      </c>
      <c r="V21" s="258" t="str">
        <f t="shared" si="29"/>
        <v/>
      </c>
      <c r="W21" s="258" t="str">
        <f t="shared" si="39"/>
        <v/>
      </c>
      <c r="X21" s="258" t="str">
        <f t="shared" si="0"/>
        <v/>
      </c>
      <c r="Y21" s="102" t="str">
        <f>IF($S21="","",SUM(X21:X$114))</f>
        <v/>
      </c>
      <c r="Z21" s="258" t="str">
        <f t="shared" si="30"/>
        <v/>
      </c>
      <c r="AA21" s="258">
        <f t="shared" si="31"/>
        <v>0</v>
      </c>
      <c r="AB21" s="258" t="str">
        <f>Main_무해지!AJ21</f>
        <v/>
      </c>
      <c r="AC21" s="258" t="str">
        <f t="shared" si="1"/>
        <v/>
      </c>
      <c r="AD21" s="258" t="str">
        <f t="shared" si="40"/>
        <v/>
      </c>
      <c r="AE21" s="258" t="str">
        <f t="shared" si="2"/>
        <v/>
      </c>
      <c r="AF21" s="102" t="str">
        <f>IF($S21="","",SUM(AE21:AE$114))</f>
        <v/>
      </c>
      <c r="AG21" s="285" t="str">
        <f>Main_무해지!AP21</f>
        <v/>
      </c>
      <c r="AH21" s="258" t="str">
        <f t="shared" si="3"/>
        <v/>
      </c>
      <c r="AI21" s="258" t="str">
        <f t="shared" si="4"/>
        <v/>
      </c>
      <c r="AJ21" s="258" t="str">
        <f t="shared" si="5"/>
        <v/>
      </c>
      <c r="AK21" s="315" t="str">
        <f>IF($S21="","",SUM($AL21:$AL$114))</f>
        <v/>
      </c>
      <c r="AL21" s="258" t="str">
        <f t="shared" si="32"/>
        <v/>
      </c>
      <c r="AM21" s="315" t="str">
        <f t="shared" si="6"/>
        <v/>
      </c>
      <c r="AN21" s="285" t="str">
        <f>IF($S21="","",INDEX(#REF!,$S21+1))</f>
        <v/>
      </c>
      <c r="AO21" s="258" t="str">
        <f t="shared" si="7"/>
        <v/>
      </c>
      <c r="AP21" s="258" t="str">
        <f t="shared" si="8"/>
        <v/>
      </c>
      <c r="AQ21" s="258" t="str">
        <f t="shared" si="9"/>
        <v/>
      </c>
      <c r="AR21" s="315" t="str">
        <f>IF($S21="","",SUM($AQ21:$AQ$114))</f>
        <v/>
      </c>
      <c r="AS21" s="285" t="str">
        <f>IF($S21="","",INDEX(#REF!,$S21+1))</f>
        <v/>
      </c>
      <c r="AT21" s="258" t="str">
        <f t="shared" si="10"/>
        <v/>
      </c>
      <c r="AU21" s="258" t="str">
        <f t="shared" si="11"/>
        <v/>
      </c>
      <c r="AV21" s="258" t="str">
        <f t="shared" si="12"/>
        <v/>
      </c>
      <c r="AW21" s="315" t="str">
        <f>IF($S21="","",SUM($AV21:$AV$114))</f>
        <v/>
      </c>
      <c r="AX21" s="285" t="str">
        <f>IF($S21="","",INDEX(#REF!,$S21+1))</f>
        <v/>
      </c>
      <c r="AY21" s="258" t="str">
        <f t="shared" si="13"/>
        <v/>
      </c>
      <c r="AZ21" s="258" t="str">
        <f t="shared" si="14"/>
        <v/>
      </c>
      <c r="BA21" s="258" t="str">
        <f t="shared" si="15"/>
        <v/>
      </c>
      <c r="BB21" s="315" t="str">
        <f>IF($S21="","",SUM($BA21:$BA$114))</f>
        <v/>
      </c>
      <c r="BC21" s="285" t="str">
        <f>IF($S21="","",INDEX(#REF!,$S21+1))</f>
        <v/>
      </c>
      <c r="BD21" s="258" t="str">
        <f t="shared" si="16"/>
        <v/>
      </c>
      <c r="BE21" s="258" t="str">
        <f t="shared" si="17"/>
        <v/>
      </c>
      <c r="BF21" s="258" t="str">
        <f t="shared" si="18"/>
        <v/>
      </c>
      <c r="BG21" s="315" t="str">
        <f>IF($S21="","",SUM($BF21:$BF$114))</f>
        <v/>
      </c>
      <c r="BH21" s="285" t="str">
        <f>IF($S21="","",INDEX(#REF!,$S21+1))</f>
        <v/>
      </c>
      <c r="BI21" s="258" t="str">
        <f t="shared" si="19"/>
        <v/>
      </c>
      <c r="BJ21" s="258" t="str">
        <f t="shared" si="20"/>
        <v/>
      </c>
      <c r="BK21" s="258" t="str">
        <f t="shared" si="21"/>
        <v/>
      </c>
      <c r="BL21" s="315" t="str">
        <f>IF($S21="","",SUM($BK21:$BK$114))</f>
        <v/>
      </c>
      <c r="BM21" s="285" t="str">
        <f t="shared" si="22"/>
        <v/>
      </c>
      <c r="BN21" s="258" t="str">
        <f t="shared" si="33"/>
        <v/>
      </c>
      <c r="BO21" s="258" t="str">
        <f t="shared" si="23"/>
        <v/>
      </c>
      <c r="BP21" s="258" t="str">
        <f t="shared" si="24"/>
        <v/>
      </c>
      <c r="BQ21" s="258" t="str">
        <f t="shared" si="34"/>
        <v/>
      </c>
      <c r="BR21" s="258"/>
      <c r="BS21" s="258"/>
      <c r="BT21" s="258"/>
      <c r="BU21" s="258"/>
      <c r="BV21" s="258" t="str">
        <f>IF($S21="","",SUM(BQ21:BQ$114))</f>
        <v/>
      </c>
      <c r="BW21" s="103" t="str">
        <f>IF(S21&lt;$E$3+$F$5,0,IFERROR(일반형_연납순보험료!S23,0))</f>
        <v/>
      </c>
      <c r="BX21" s="103"/>
      <c r="BY21" s="103"/>
      <c r="BZ21" s="103"/>
      <c r="CA21" s="103"/>
      <c r="CB21" s="258" t="str">
        <f t="shared" si="35"/>
        <v/>
      </c>
      <c r="CC21" s="258" t="str">
        <f t="shared" si="25"/>
        <v/>
      </c>
      <c r="CD21" s="258" t="str">
        <f t="shared" si="26"/>
        <v/>
      </c>
      <c r="CE21" s="258" t="str">
        <f t="shared" si="36"/>
        <v/>
      </c>
      <c r="CF21" s="258" t="str">
        <f t="shared" si="27"/>
        <v/>
      </c>
      <c r="CG21" s="104" t="str">
        <f t="shared" si="37"/>
        <v/>
      </c>
      <c r="CH21" s="105" t="str">
        <f t="shared" si="28"/>
        <v/>
      </c>
      <c r="CI21" s="240"/>
      <c r="CJ21" s="240"/>
      <c r="CK21" s="240"/>
      <c r="CL21" s="240"/>
      <c r="CM21" s="240"/>
      <c r="CN21" s="240"/>
      <c r="CO21" s="479"/>
      <c r="CP21" s="479"/>
      <c r="CQ21" s="479"/>
      <c r="CR21" s="479"/>
      <c r="CS21" s="479"/>
      <c r="CT21" s="479"/>
      <c r="CU21" s="479"/>
      <c r="CV21" s="479"/>
      <c r="CW21" s="479"/>
      <c r="CX21" s="479"/>
      <c r="CY21" s="479"/>
      <c r="CZ21" s="479"/>
      <c r="DA21" s="479"/>
      <c r="DB21" s="479"/>
      <c r="DC21" s="479"/>
      <c r="DD21" s="479"/>
      <c r="DE21" s="479"/>
      <c r="DF21" s="479"/>
      <c r="DG21" s="479"/>
      <c r="DH21" s="479"/>
      <c r="DI21" s="479"/>
      <c r="DJ21" s="479"/>
      <c r="DK21" s="479"/>
      <c r="DL21" s="479"/>
      <c r="DM21" s="479"/>
      <c r="DN21" s="479"/>
      <c r="DO21" s="479"/>
      <c r="DP21" s="479"/>
      <c r="DQ21" s="479"/>
      <c r="DR21" s="479"/>
      <c r="DS21" s="479"/>
      <c r="DT21" s="479"/>
      <c r="DU21" s="479"/>
      <c r="DV21" s="479"/>
      <c r="DW21" s="479"/>
      <c r="DX21" s="479"/>
      <c r="DY21" s="479"/>
      <c r="DZ21" s="479"/>
      <c r="EA21" s="479"/>
      <c r="EB21" s="479"/>
      <c r="EC21" s="479"/>
      <c r="ED21" s="479"/>
    </row>
    <row r="22" spans="1:134" ht="17.25" thickTop="1">
      <c r="A22" s="305"/>
      <c r="B22" s="373"/>
      <c r="C22" s="68"/>
      <c r="D22" s="97" t="s">
        <v>38</v>
      </c>
      <c r="E22" s="98" t="s">
        <v>83</v>
      </c>
      <c r="F22" s="269" t="s">
        <v>84</v>
      </c>
      <c r="G22" s="69"/>
      <c r="H22" s="372"/>
      <c r="I22" s="48"/>
      <c r="J22" s="49" t="s">
        <v>204</v>
      </c>
      <c r="K22" s="600">
        <f>IF($E$3+$F$4&gt;100,0,INDEX(X4:X115,F4+1))</f>
        <v>97799.511002444997</v>
      </c>
      <c r="N22" s="275" t="str">
        <f t="shared" si="43"/>
        <v/>
      </c>
      <c r="O22" s="276" t="str">
        <f t="shared" si="44"/>
        <v/>
      </c>
      <c r="P22" s="277" t="str">
        <f t="shared" si="41"/>
        <v/>
      </c>
      <c r="Q22" s="277" t="str">
        <f t="shared" si="42"/>
        <v/>
      </c>
      <c r="R22" s="277"/>
      <c r="S22" s="101" t="str">
        <f t="shared" si="38"/>
        <v/>
      </c>
      <c r="T22" s="285" t="str">
        <f>Main_무해지!AC22</f>
        <v/>
      </c>
      <c r="U22" s="258">
        <f>+Main_무해지!AD22</f>
        <v>0</v>
      </c>
      <c r="V22" s="258" t="str">
        <f t="shared" si="29"/>
        <v/>
      </c>
      <c r="W22" s="258" t="str">
        <f t="shared" si="39"/>
        <v/>
      </c>
      <c r="X22" s="258" t="str">
        <f t="shared" si="0"/>
        <v/>
      </c>
      <c r="Y22" s="102" t="str">
        <f>IF($S22="","",SUM(X22:X$114))</f>
        <v/>
      </c>
      <c r="Z22" s="258" t="str">
        <f t="shared" si="30"/>
        <v/>
      </c>
      <c r="AA22" s="258">
        <f t="shared" si="31"/>
        <v>0</v>
      </c>
      <c r="AB22" s="258" t="str">
        <f>Main_무해지!AJ22</f>
        <v/>
      </c>
      <c r="AC22" s="258" t="str">
        <f t="shared" si="1"/>
        <v/>
      </c>
      <c r="AD22" s="258" t="str">
        <f t="shared" si="40"/>
        <v/>
      </c>
      <c r="AE22" s="258" t="str">
        <f t="shared" si="2"/>
        <v/>
      </c>
      <c r="AF22" s="102" t="str">
        <f>IF($S22="","",SUM(AE22:AE$114))</f>
        <v/>
      </c>
      <c r="AG22" s="285" t="str">
        <f>Main_무해지!AP22</f>
        <v/>
      </c>
      <c r="AH22" s="258" t="str">
        <f t="shared" si="3"/>
        <v/>
      </c>
      <c r="AI22" s="258" t="str">
        <f t="shared" si="4"/>
        <v/>
      </c>
      <c r="AJ22" s="258" t="str">
        <f t="shared" si="5"/>
        <v/>
      </c>
      <c r="AK22" s="315" t="str">
        <f>IF($S22="","",SUM($AL22:$AL$114))</f>
        <v/>
      </c>
      <c r="AL22" s="258" t="str">
        <f t="shared" si="32"/>
        <v/>
      </c>
      <c r="AM22" s="315" t="str">
        <f t="shared" si="6"/>
        <v/>
      </c>
      <c r="AN22" s="285" t="str">
        <f>IF($S22="","",INDEX(#REF!,$S22+1))</f>
        <v/>
      </c>
      <c r="AO22" s="258" t="str">
        <f t="shared" si="7"/>
        <v/>
      </c>
      <c r="AP22" s="258" t="str">
        <f t="shared" si="8"/>
        <v/>
      </c>
      <c r="AQ22" s="258" t="str">
        <f t="shared" si="9"/>
        <v/>
      </c>
      <c r="AR22" s="315" t="str">
        <f>IF($S22="","",SUM($AQ22:$AQ$114))</f>
        <v/>
      </c>
      <c r="AS22" s="285" t="str">
        <f>IF($S22="","",INDEX(#REF!,$S22+1))</f>
        <v/>
      </c>
      <c r="AT22" s="258" t="str">
        <f t="shared" si="10"/>
        <v/>
      </c>
      <c r="AU22" s="258" t="str">
        <f t="shared" si="11"/>
        <v/>
      </c>
      <c r="AV22" s="258" t="str">
        <f t="shared" si="12"/>
        <v/>
      </c>
      <c r="AW22" s="315" t="str">
        <f>IF($S22="","",SUM($AV22:$AV$114))</f>
        <v/>
      </c>
      <c r="AX22" s="285" t="str">
        <f>IF($S22="","",INDEX(#REF!,$S22+1))</f>
        <v/>
      </c>
      <c r="AY22" s="258" t="str">
        <f t="shared" si="13"/>
        <v/>
      </c>
      <c r="AZ22" s="258" t="str">
        <f t="shared" si="14"/>
        <v/>
      </c>
      <c r="BA22" s="258" t="str">
        <f t="shared" si="15"/>
        <v/>
      </c>
      <c r="BB22" s="315" t="str">
        <f>IF($S22="","",SUM($BA22:$BA$114))</f>
        <v/>
      </c>
      <c r="BC22" s="285" t="str">
        <f>IF($S22="","",INDEX(#REF!,$S22+1))</f>
        <v/>
      </c>
      <c r="BD22" s="258" t="str">
        <f t="shared" si="16"/>
        <v/>
      </c>
      <c r="BE22" s="258" t="str">
        <f t="shared" si="17"/>
        <v/>
      </c>
      <c r="BF22" s="258" t="str">
        <f t="shared" si="18"/>
        <v/>
      </c>
      <c r="BG22" s="315" t="str">
        <f>IF($S22="","",SUM($BF22:$BF$114))</f>
        <v/>
      </c>
      <c r="BH22" s="285" t="str">
        <f>IF($S22="","",INDEX(#REF!,$S22+1))</f>
        <v/>
      </c>
      <c r="BI22" s="258" t="str">
        <f t="shared" si="19"/>
        <v/>
      </c>
      <c r="BJ22" s="258" t="str">
        <f t="shared" si="20"/>
        <v/>
      </c>
      <c r="BK22" s="258" t="str">
        <f t="shared" si="21"/>
        <v/>
      </c>
      <c r="BL22" s="315" t="str">
        <f>IF($S22="","",SUM($BK22:$BK$114))</f>
        <v/>
      </c>
      <c r="BM22" s="285" t="str">
        <f t="shared" si="22"/>
        <v/>
      </c>
      <c r="BN22" s="258" t="str">
        <f t="shared" si="33"/>
        <v/>
      </c>
      <c r="BO22" s="258" t="str">
        <f t="shared" si="23"/>
        <v/>
      </c>
      <c r="BP22" s="258" t="str">
        <f t="shared" si="24"/>
        <v/>
      </c>
      <c r="BQ22" s="258" t="str">
        <f t="shared" si="34"/>
        <v/>
      </c>
      <c r="BR22" s="258"/>
      <c r="BS22" s="258"/>
      <c r="BT22" s="258"/>
      <c r="BU22" s="258"/>
      <c r="BV22" s="258" t="str">
        <f>IF($S22="","",SUM(BQ22:BQ$114))</f>
        <v/>
      </c>
      <c r="BW22" s="103" t="str">
        <f>IF(S22&lt;$E$3+$F$5,0,IFERROR(일반형_연납순보험료!S24,0))</f>
        <v/>
      </c>
      <c r="BX22" s="103"/>
      <c r="BY22" s="103"/>
      <c r="BZ22" s="103"/>
      <c r="CA22" s="103"/>
      <c r="CB22" s="258" t="str">
        <f t="shared" si="35"/>
        <v/>
      </c>
      <c r="CC22" s="258" t="str">
        <f t="shared" si="25"/>
        <v/>
      </c>
      <c r="CD22" s="258" t="str">
        <f t="shared" si="26"/>
        <v/>
      </c>
      <c r="CE22" s="258" t="str">
        <f t="shared" si="36"/>
        <v/>
      </c>
      <c r="CF22" s="258" t="str">
        <f t="shared" si="27"/>
        <v/>
      </c>
      <c r="CG22" s="104" t="str">
        <f t="shared" si="37"/>
        <v/>
      </c>
      <c r="CH22" s="105" t="str">
        <f t="shared" si="28"/>
        <v/>
      </c>
      <c r="CI22" s="240"/>
      <c r="CJ22" s="240"/>
      <c r="CK22" s="240"/>
      <c r="CL22" s="240"/>
      <c r="CM22" s="240"/>
      <c r="CN22" s="240"/>
      <c r="CO22" s="479"/>
      <c r="CP22" s="479"/>
      <c r="CQ22" s="479"/>
      <c r="CR22" s="479"/>
      <c r="CS22" s="479"/>
      <c r="CT22" s="479"/>
      <c r="CU22" s="479"/>
      <c r="CV22" s="479"/>
      <c r="CW22" s="479"/>
      <c r="CX22" s="479"/>
      <c r="CY22" s="479"/>
      <c r="CZ22" s="479"/>
      <c r="DA22" s="479"/>
      <c r="DB22" s="479"/>
      <c r="DC22" s="479"/>
      <c r="DD22" s="479"/>
      <c r="DE22" s="479"/>
      <c r="DF22" s="479"/>
      <c r="DG22" s="479"/>
      <c r="DH22" s="479"/>
      <c r="DI22" s="479"/>
      <c r="DJ22" s="479"/>
      <c r="DK22" s="479"/>
      <c r="DL22" s="479"/>
      <c r="DM22" s="479"/>
      <c r="DN22" s="479"/>
      <c r="DO22" s="479"/>
      <c r="DP22" s="479"/>
      <c r="DQ22" s="479"/>
      <c r="DR22" s="479"/>
      <c r="DS22" s="479"/>
      <c r="DT22" s="479"/>
      <c r="DU22" s="479"/>
      <c r="DV22" s="479"/>
      <c r="DW22" s="479"/>
      <c r="DX22" s="479"/>
      <c r="DY22" s="479"/>
      <c r="DZ22" s="479"/>
      <c r="EA22" s="479"/>
      <c r="EB22" s="479"/>
      <c r="EC22" s="479"/>
      <c r="ED22" s="479"/>
    </row>
    <row r="23" spans="1:134">
      <c r="A23" s="305"/>
      <c r="B23" s="373"/>
      <c r="C23" s="78"/>
      <c r="D23" s="106" t="s">
        <v>40</v>
      </c>
      <c r="E23" s="250">
        <f>Main_무해지!E23</f>
        <v>0</v>
      </c>
      <c r="F23" s="176">
        <f>Main_무해지!F23</f>
        <v>7.0000000000000007E-5</v>
      </c>
      <c r="G23" s="79"/>
      <c r="H23" s="108"/>
      <c r="I23" s="48"/>
      <c r="J23" s="49" t="s">
        <v>205</v>
      </c>
      <c r="K23" s="483">
        <f>INDEX(Y4:Y115,1)</f>
        <v>197799.51100244501</v>
      </c>
      <c r="N23" s="278" t="str">
        <f t="shared" si="43"/>
        <v/>
      </c>
      <c r="O23" s="279" t="str">
        <f t="shared" si="44"/>
        <v/>
      </c>
      <c r="P23" s="271" t="str">
        <f t="shared" si="41"/>
        <v/>
      </c>
      <c r="Q23" s="271" t="str">
        <f t="shared" si="42"/>
        <v/>
      </c>
      <c r="R23" s="271"/>
      <c r="S23" s="101" t="str">
        <f t="shared" si="38"/>
        <v/>
      </c>
      <c r="T23" s="285" t="str">
        <f>Main_무해지!AC23</f>
        <v/>
      </c>
      <c r="U23" s="258">
        <f>+Main_무해지!AD23</f>
        <v>0</v>
      </c>
      <c r="V23" s="258" t="str">
        <f t="shared" si="29"/>
        <v/>
      </c>
      <c r="W23" s="258" t="str">
        <f t="shared" si="39"/>
        <v/>
      </c>
      <c r="X23" s="258" t="str">
        <f t="shared" si="0"/>
        <v/>
      </c>
      <c r="Y23" s="102" t="str">
        <f>IF($S23="","",SUM(X23:X$114))</f>
        <v/>
      </c>
      <c r="Z23" s="258" t="str">
        <f t="shared" si="30"/>
        <v/>
      </c>
      <c r="AA23" s="258">
        <f t="shared" si="31"/>
        <v>0</v>
      </c>
      <c r="AB23" s="258" t="str">
        <f>Main_무해지!AJ23</f>
        <v/>
      </c>
      <c r="AC23" s="258" t="str">
        <f t="shared" si="1"/>
        <v/>
      </c>
      <c r="AD23" s="258" t="str">
        <f t="shared" si="40"/>
        <v/>
      </c>
      <c r="AE23" s="258" t="str">
        <f t="shared" si="2"/>
        <v/>
      </c>
      <c r="AF23" s="102" t="str">
        <f>IF($S23="","",SUM(AE23:AE$114))</f>
        <v/>
      </c>
      <c r="AG23" s="285" t="str">
        <f>Main_무해지!AP23</f>
        <v/>
      </c>
      <c r="AH23" s="258" t="str">
        <f t="shared" si="3"/>
        <v/>
      </c>
      <c r="AI23" s="258" t="str">
        <f t="shared" si="4"/>
        <v/>
      </c>
      <c r="AJ23" s="258" t="str">
        <f t="shared" si="5"/>
        <v/>
      </c>
      <c r="AK23" s="315" t="str">
        <f>IF($S23="","",SUM($AL23:$AL$114))</f>
        <v/>
      </c>
      <c r="AL23" s="258" t="str">
        <f t="shared" si="32"/>
        <v/>
      </c>
      <c r="AM23" s="315" t="str">
        <f t="shared" si="6"/>
        <v/>
      </c>
      <c r="AN23" s="285" t="str">
        <f>IF($S23="","",INDEX(#REF!,$S23+1))</f>
        <v/>
      </c>
      <c r="AO23" s="258" t="str">
        <f t="shared" si="7"/>
        <v/>
      </c>
      <c r="AP23" s="258" t="str">
        <f t="shared" si="8"/>
        <v/>
      </c>
      <c r="AQ23" s="258" t="str">
        <f t="shared" si="9"/>
        <v/>
      </c>
      <c r="AR23" s="315" t="str">
        <f>IF($S23="","",SUM($AQ23:$AQ$114))</f>
        <v/>
      </c>
      <c r="AS23" s="285" t="str">
        <f>IF($S23="","",INDEX(#REF!,$S23+1))</f>
        <v/>
      </c>
      <c r="AT23" s="258" t="str">
        <f t="shared" si="10"/>
        <v/>
      </c>
      <c r="AU23" s="258" t="str">
        <f t="shared" si="11"/>
        <v/>
      </c>
      <c r="AV23" s="258" t="str">
        <f t="shared" si="12"/>
        <v/>
      </c>
      <c r="AW23" s="315" t="str">
        <f>IF($S23="","",SUM($AV23:$AV$114))</f>
        <v/>
      </c>
      <c r="AX23" s="285" t="str">
        <f>IF($S23="","",INDEX(#REF!,$S23+1))</f>
        <v/>
      </c>
      <c r="AY23" s="258" t="str">
        <f t="shared" si="13"/>
        <v/>
      </c>
      <c r="AZ23" s="258" t="str">
        <f t="shared" si="14"/>
        <v/>
      </c>
      <c r="BA23" s="258" t="str">
        <f t="shared" si="15"/>
        <v/>
      </c>
      <c r="BB23" s="315" t="str">
        <f>IF($S23="","",SUM($BA23:$BA$114))</f>
        <v/>
      </c>
      <c r="BC23" s="285" t="str">
        <f>IF($S23="","",INDEX(#REF!,$S23+1))</f>
        <v/>
      </c>
      <c r="BD23" s="258" t="str">
        <f t="shared" si="16"/>
        <v/>
      </c>
      <c r="BE23" s="258" t="str">
        <f t="shared" si="17"/>
        <v/>
      </c>
      <c r="BF23" s="258" t="str">
        <f t="shared" si="18"/>
        <v/>
      </c>
      <c r="BG23" s="315" t="str">
        <f>IF($S23="","",SUM($BF23:$BF$114))</f>
        <v/>
      </c>
      <c r="BH23" s="285" t="str">
        <f>IF($S23="","",INDEX(#REF!,$S23+1))</f>
        <v/>
      </c>
      <c r="BI23" s="258" t="str">
        <f t="shared" si="19"/>
        <v/>
      </c>
      <c r="BJ23" s="258" t="str">
        <f t="shared" si="20"/>
        <v/>
      </c>
      <c r="BK23" s="258" t="str">
        <f t="shared" si="21"/>
        <v/>
      </c>
      <c r="BL23" s="315" t="str">
        <f>IF($S23="","",SUM($BK23:$BK$114))</f>
        <v/>
      </c>
      <c r="BM23" s="285" t="str">
        <f t="shared" si="22"/>
        <v/>
      </c>
      <c r="BN23" s="258" t="str">
        <f t="shared" si="33"/>
        <v/>
      </c>
      <c r="BO23" s="258" t="str">
        <f t="shared" si="23"/>
        <v/>
      </c>
      <c r="BP23" s="258" t="str">
        <f t="shared" si="24"/>
        <v/>
      </c>
      <c r="BQ23" s="258" t="str">
        <f t="shared" si="34"/>
        <v/>
      </c>
      <c r="BR23" s="258"/>
      <c r="BS23" s="258"/>
      <c r="BT23" s="258"/>
      <c r="BU23" s="258"/>
      <c r="BV23" s="258" t="str">
        <f>IF($S23="","",SUM(BQ23:BQ$114))</f>
        <v/>
      </c>
      <c r="BW23" s="103" t="str">
        <f>IF(S23&lt;$E$3+$F$5,0,IFERROR(일반형_연납순보험료!S25,0))</f>
        <v/>
      </c>
      <c r="BX23" s="103"/>
      <c r="BY23" s="103"/>
      <c r="BZ23" s="103"/>
      <c r="CA23" s="103"/>
      <c r="CB23" s="258" t="str">
        <f t="shared" si="35"/>
        <v/>
      </c>
      <c r="CC23" s="258" t="str">
        <f t="shared" si="25"/>
        <v/>
      </c>
      <c r="CD23" s="258" t="str">
        <f t="shared" si="26"/>
        <v/>
      </c>
      <c r="CE23" s="258" t="str">
        <f t="shared" si="36"/>
        <v/>
      </c>
      <c r="CF23" s="258" t="str">
        <f t="shared" si="27"/>
        <v/>
      </c>
      <c r="CG23" s="104" t="str">
        <f t="shared" si="37"/>
        <v/>
      </c>
      <c r="CH23" s="105" t="str">
        <f t="shared" si="28"/>
        <v/>
      </c>
      <c r="CI23" s="240"/>
      <c r="CJ23" s="240"/>
      <c r="CK23" s="240"/>
      <c r="CL23" s="240"/>
      <c r="CM23" s="240"/>
      <c r="CN23" s="240"/>
      <c r="CO23" s="479"/>
      <c r="CP23" s="479"/>
      <c r="CQ23" s="479"/>
      <c r="CR23" s="479"/>
      <c r="CS23" s="479"/>
      <c r="CT23" s="479"/>
      <c r="CU23" s="479"/>
      <c r="CV23" s="479"/>
      <c r="CW23" s="479"/>
      <c r="CX23" s="479"/>
      <c r="CY23" s="479"/>
      <c r="CZ23" s="479"/>
      <c r="DA23" s="479"/>
      <c r="DB23" s="479"/>
      <c r="DC23" s="479"/>
      <c r="DD23" s="479"/>
      <c r="DE23" s="479"/>
      <c r="DF23" s="479"/>
      <c r="DG23" s="479"/>
      <c r="DH23" s="479"/>
      <c r="DI23" s="479"/>
      <c r="DJ23" s="479"/>
      <c r="DK23" s="479"/>
      <c r="DL23" s="479"/>
      <c r="DM23" s="479"/>
      <c r="DN23" s="479"/>
      <c r="DO23" s="479"/>
      <c r="DP23" s="479"/>
      <c r="DQ23" s="479"/>
      <c r="DR23" s="479"/>
      <c r="DS23" s="479"/>
      <c r="DT23" s="479"/>
      <c r="DU23" s="479"/>
      <c r="DV23" s="479"/>
      <c r="DW23" s="479"/>
      <c r="DX23" s="479"/>
      <c r="DY23" s="479"/>
      <c r="DZ23" s="479"/>
      <c r="EA23" s="479"/>
      <c r="EB23" s="479"/>
      <c r="EC23" s="479"/>
      <c r="ED23" s="479"/>
    </row>
    <row r="24" spans="1:134">
      <c r="A24" s="305"/>
      <c r="B24" s="373"/>
      <c r="C24" s="78"/>
      <c r="D24" s="107" t="s">
        <v>43</v>
      </c>
      <c r="E24" s="769">
        <f>+Main_무해지!E24</f>
        <v>3.9E-2</v>
      </c>
      <c r="F24" s="769">
        <f>Main_무해지!F24</f>
        <v>0.05</v>
      </c>
      <c r="G24" s="79"/>
      <c r="H24" s="108"/>
      <c r="I24" s="48"/>
      <c r="J24" s="49" t="s">
        <v>206</v>
      </c>
      <c r="K24" s="483">
        <f>INDEX(Y4:Y115,F5+1)</f>
        <v>97799.511002444997</v>
      </c>
      <c r="N24" s="278" t="str">
        <f t="shared" si="43"/>
        <v/>
      </c>
      <c r="O24" s="279" t="str">
        <f t="shared" si="44"/>
        <v/>
      </c>
      <c r="P24" s="271" t="str">
        <f t="shared" si="41"/>
        <v/>
      </c>
      <c r="Q24" s="271" t="str">
        <f t="shared" si="42"/>
        <v/>
      </c>
      <c r="R24" s="271"/>
      <c r="S24" s="110" t="str">
        <f t="shared" si="38"/>
        <v/>
      </c>
      <c r="T24" s="286" t="str">
        <f>Main_무해지!AC24</f>
        <v/>
      </c>
      <c r="U24" s="259">
        <f>+Main_무해지!AD24</f>
        <v>0</v>
      </c>
      <c r="V24" s="259" t="str">
        <f t="shared" si="29"/>
        <v/>
      </c>
      <c r="W24" s="259" t="str">
        <f t="shared" si="39"/>
        <v/>
      </c>
      <c r="X24" s="259" t="str">
        <f t="shared" si="0"/>
        <v/>
      </c>
      <c r="Y24" s="111" t="str">
        <f>IF($S24="","",SUM(X24:X$114))</f>
        <v/>
      </c>
      <c r="Z24" s="259" t="str">
        <f t="shared" si="30"/>
        <v/>
      </c>
      <c r="AA24" s="259">
        <f t="shared" si="31"/>
        <v>0</v>
      </c>
      <c r="AB24" s="259" t="str">
        <f>Main_무해지!AJ24</f>
        <v/>
      </c>
      <c r="AC24" s="259" t="str">
        <f t="shared" si="1"/>
        <v/>
      </c>
      <c r="AD24" s="259" t="str">
        <f t="shared" si="40"/>
        <v/>
      </c>
      <c r="AE24" s="259" t="str">
        <f t="shared" si="2"/>
        <v/>
      </c>
      <c r="AF24" s="111" t="str">
        <f>IF($S24="","",SUM(AE24:AE$114))</f>
        <v/>
      </c>
      <c r="AG24" s="286" t="str">
        <f>Main_무해지!AP24</f>
        <v/>
      </c>
      <c r="AH24" s="259" t="str">
        <f t="shared" si="3"/>
        <v/>
      </c>
      <c r="AI24" s="259" t="str">
        <f t="shared" si="4"/>
        <v/>
      </c>
      <c r="AJ24" s="259" t="str">
        <f t="shared" si="5"/>
        <v/>
      </c>
      <c r="AK24" s="316" t="str">
        <f>IF($S24="","",SUM($AL24:$AL$114))</f>
        <v/>
      </c>
      <c r="AL24" s="259" t="str">
        <f t="shared" si="32"/>
        <v/>
      </c>
      <c r="AM24" s="316" t="str">
        <f t="shared" si="6"/>
        <v/>
      </c>
      <c r="AN24" s="286" t="str">
        <f>IF($S24="","",INDEX(#REF!,$S24+1))</f>
        <v/>
      </c>
      <c r="AO24" s="259" t="str">
        <f t="shared" si="7"/>
        <v/>
      </c>
      <c r="AP24" s="259" t="str">
        <f t="shared" si="8"/>
        <v/>
      </c>
      <c r="AQ24" s="259" t="str">
        <f t="shared" si="9"/>
        <v/>
      </c>
      <c r="AR24" s="316" t="str">
        <f>IF($S24="","",SUM($AQ24:$AQ$114))</f>
        <v/>
      </c>
      <c r="AS24" s="286" t="str">
        <f>IF($S24="","",INDEX(#REF!,$S24+1))</f>
        <v/>
      </c>
      <c r="AT24" s="259" t="str">
        <f t="shared" si="10"/>
        <v/>
      </c>
      <c r="AU24" s="259" t="str">
        <f t="shared" si="11"/>
        <v/>
      </c>
      <c r="AV24" s="259" t="str">
        <f t="shared" si="12"/>
        <v/>
      </c>
      <c r="AW24" s="316" t="str">
        <f>IF($S24="","",SUM($AV24:$AV$114))</f>
        <v/>
      </c>
      <c r="AX24" s="286" t="str">
        <f>IF($S24="","",INDEX(#REF!,$S24+1))</f>
        <v/>
      </c>
      <c r="AY24" s="259" t="str">
        <f t="shared" si="13"/>
        <v/>
      </c>
      <c r="AZ24" s="259" t="str">
        <f t="shared" si="14"/>
        <v/>
      </c>
      <c r="BA24" s="259" t="str">
        <f t="shared" si="15"/>
        <v/>
      </c>
      <c r="BB24" s="316" t="str">
        <f>IF($S24="","",SUM($BA24:$BA$114))</f>
        <v/>
      </c>
      <c r="BC24" s="286" t="str">
        <f>IF($S24="","",INDEX(#REF!,$S24+1))</f>
        <v/>
      </c>
      <c r="BD24" s="259" t="str">
        <f t="shared" si="16"/>
        <v/>
      </c>
      <c r="BE24" s="259" t="str">
        <f t="shared" si="17"/>
        <v/>
      </c>
      <c r="BF24" s="259" t="str">
        <f t="shared" si="18"/>
        <v/>
      </c>
      <c r="BG24" s="316" t="str">
        <f>IF($S24="","",SUM($BF24:$BF$114))</f>
        <v/>
      </c>
      <c r="BH24" s="286" t="str">
        <f>IF($S24="","",INDEX(#REF!,$S24+1))</f>
        <v/>
      </c>
      <c r="BI24" s="259" t="str">
        <f t="shared" si="19"/>
        <v/>
      </c>
      <c r="BJ24" s="259" t="str">
        <f t="shared" si="20"/>
        <v/>
      </c>
      <c r="BK24" s="259" t="str">
        <f t="shared" si="21"/>
        <v/>
      </c>
      <c r="BL24" s="316" t="str">
        <f>IF($S24="","",SUM($BK24:$BK$114))</f>
        <v/>
      </c>
      <c r="BM24" s="286" t="str">
        <f t="shared" si="22"/>
        <v/>
      </c>
      <c r="BN24" s="259" t="str">
        <f t="shared" si="33"/>
        <v/>
      </c>
      <c r="BO24" s="259" t="str">
        <f t="shared" si="23"/>
        <v/>
      </c>
      <c r="BP24" s="259" t="str">
        <f t="shared" si="24"/>
        <v/>
      </c>
      <c r="BQ24" s="259" t="str">
        <f t="shared" si="34"/>
        <v/>
      </c>
      <c r="BR24" s="259"/>
      <c r="BS24" s="259"/>
      <c r="BT24" s="259"/>
      <c r="BU24" s="259"/>
      <c r="BV24" s="259" t="str">
        <f>IF($S24="","",SUM(BQ24:BQ$114))</f>
        <v/>
      </c>
      <c r="BW24" s="112" t="str">
        <f>IF(S24&lt;$E$3+$F$5,0,IFERROR(일반형_연납순보험료!S26,0))</f>
        <v/>
      </c>
      <c r="BX24" s="112"/>
      <c r="BY24" s="112"/>
      <c r="BZ24" s="112"/>
      <c r="CA24" s="112"/>
      <c r="CB24" s="259" t="str">
        <f t="shared" si="35"/>
        <v/>
      </c>
      <c r="CC24" s="259" t="str">
        <f t="shared" si="25"/>
        <v/>
      </c>
      <c r="CD24" s="259" t="str">
        <f t="shared" si="26"/>
        <v/>
      </c>
      <c r="CE24" s="259" t="str">
        <f t="shared" si="36"/>
        <v/>
      </c>
      <c r="CF24" s="259" t="str">
        <f t="shared" si="27"/>
        <v/>
      </c>
      <c r="CG24" s="113" t="str">
        <f t="shared" si="37"/>
        <v/>
      </c>
      <c r="CH24" s="114" t="str">
        <f t="shared" si="28"/>
        <v/>
      </c>
      <c r="CI24" s="241"/>
      <c r="CJ24" s="241"/>
      <c r="CK24" s="241"/>
      <c r="CL24" s="241"/>
      <c r="CM24" s="241"/>
      <c r="CN24" s="241"/>
      <c r="CO24" s="479"/>
      <c r="CP24" s="479"/>
      <c r="CQ24" s="479"/>
      <c r="CR24" s="479"/>
      <c r="CS24" s="479"/>
      <c r="CT24" s="479"/>
      <c r="CU24" s="479"/>
      <c r="CV24" s="479"/>
      <c r="CW24" s="479"/>
      <c r="CX24" s="479"/>
      <c r="CY24" s="479"/>
      <c r="CZ24" s="479"/>
      <c r="DA24" s="479"/>
      <c r="DB24" s="479"/>
      <c r="DC24" s="479"/>
      <c r="DD24" s="479"/>
      <c r="DE24" s="479"/>
      <c r="DF24" s="479"/>
      <c r="DG24" s="479"/>
      <c r="DH24" s="479"/>
      <c r="DI24" s="479"/>
      <c r="DJ24" s="479"/>
      <c r="DK24" s="479"/>
      <c r="DL24" s="479"/>
      <c r="DM24" s="479"/>
      <c r="DN24" s="479"/>
      <c r="DO24" s="479"/>
      <c r="DP24" s="479"/>
      <c r="DQ24" s="479"/>
      <c r="DR24" s="479"/>
      <c r="DS24" s="479"/>
      <c r="DT24" s="479"/>
      <c r="DU24" s="479"/>
      <c r="DV24" s="479"/>
      <c r="DW24" s="479"/>
      <c r="DX24" s="479"/>
      <c r="DY24" s="479"/>
      <c r="DZ24" s="479"/>
      <c r="EA24" s="479"/>
      <c r="EB24" s="479"/>
      <c r="EC24" s="479"/>
      <c r="ED24" s="479"/>
    </row>
    <row r="25" spans="1:134">
      <c r="A25" s="305"/>
      <c r="B25" s="373"/>
      <c r="C25" s="78"/>
      <c r="D25" s="107" t="s">
        <v>45</v>
      </c>
      <c r="E25" s="250"/>
      <c r="F25" s="176"/>
      <c r="G25" s="79"/>
      <c r="H25" s="108"/>
      <c r="I25" s="48"/>
      <c r="J25" s="49" t="s">
        <v>207</v>
      </c>
      <c r="K25" s="600">
        <f>IF($E$3+$F$4&gt;100,0,INDEX(Y4:Y115,F4+1))</f>
        <v>97799.511002444997</v>
      </c>
      <c r="N25" s="278" t="str">
        <f t="shared" si="43"/>
        <v/>
      </c>
      <c r="O25" s="279" t="str">
        <f t="shared" si="44"/>
        <v/>
      </c>
      <c r="P25" s="271" t="str">
        <f t="shared" si="41"/>
        <v/>
      </c>
      <c r="Q25" s="271" t="str">
        <f t="shared" si="42"/>
        <v/>
      </c>
      <c r="R25" s="271"/>
      <c r="S25" s="770" t="str">
        <f t="shared" si="38"/>
        <v/>
      </c>
      <c r="T25" s="772" t="str">
        <f>Main_무해지!AC25</f>
        <v/>
      </c>
      <c r="U25" s="410">
        <f>+Main_무해지!AD25</f>
        <v>0</v>
      </c>
      <c r="V25" s="410" t="str">
        <f t="shared" si="29"/>
        <v/>
      </c>
      <c r="W25" s="410" t="str">
        <f t="shared" si="39"/>
        <v/>
      </c>
      <c r="X25" s="410" t="str">
        <f t="shared" si="0"/>
        <v/>
      </c>
      <c r="Y25" s="771" t="str">
        <f>IF($S25="","",SUM(X25:X$114))</f>
        <v/>
      </c>
      <c r="Z25" s="410" t="str">
        <f t="shared" si="30"/>
        <v/>
      </c>
      <c r="AA25" s="410">
        <f t="shared" si="31"/>
        <v>0</v>
      </c>
      <c r="AB25" s="410" t="str">
        <f>Main_무해지!AJ25</f>
        <v/>
      </c>
      <c r="AC25" s="410" t="str">
        <f t="shared" si="1"/>
        <v/>
      </c>
      <c r="AD25" s="410" t="str">
        <f t="shared" si="40"/>
        <v/>
      </c>
      <c r="AE25" s="410" t="str">
        <f t="shared" si="2"/>
        <v/>
      </c>
      <c r="AF25" s="771" t="str">
        <f>IF($S25="","",SUM(AE25:AE$114))</f>
        <v/>
      </c>
      <c r="AG25" s="772" t="str">
        <f>Main_무해지!AP25</f>
        <v/>
      </c>
      <c r="AH25" s="410" t="str">
        <f t="shared" si="3"/>
        <v/>
      </c>
      <c r="AI25" s="410" t="str">
        <f t="shared" si="4"/>
        <v/>
      </c>
      <c r="AJ25" s="410" t="str">
        <f t="shared" si="5"/>
        <v/>
      </c>
      <c r="AK25" s="773" t="str">
        <f>IF($S25="","",SUM($AL25:$AL$114))</f>
        <v/>
      </c>
      <c r="AL25" s="410" t="str">
        <f t="shared" si="32"/>
        <v/>
      </c>
      <c r="AM25" s="773" t="str">
        <f t="shared" si="6"/>
        <v/>
      </c>
      <c r="AN25" s="772" t="str">
        <f>IF($S25="","",INDEX(#REF!,$S25+1))</f>
        <v/>
      </c>
      <c r="AO25" s="410" t="str">
        <f t="shared" si="7"/>
        <v/>
      </c>
      <c r="AP25" s="410" t="str">
        <f t="shared" si="8"/>
        <v/>
      </c>
      <c r="AQ25" s="410" t="str">
        <f t="shared" si="9"/>
        <v/>
      </c>
      <c r="AR25" s="773" t="str">
        <f>IF($S25="","",SUM($AQ25:$AQ$114))</f>
        <v/>
      </c>
      <c r="AS25" s="772" t="str">
        <f>IF($S25="","",INDEX(#REF!,$S25+1))</f>
        <v/>
      </c>
      <c r="AT25" s="410" t="str">
        <f t="shared" si="10"/>
        <v/>
      </c>
      <c r="AU25" s="410" t="str">
        <f t="shared" si="11"/>
        <v/>
      </c>
      <c r="AV25" s="410" t="str">
        <f t="shared" si="12"/>
        <v/>
      </c>
      <c r="AW25" s="773" t="str">
        <f>IF($S25="","",SUM($AV25:$AV$114))</f>
        <v/>
      </c>
      <c r="AX25" s="772" t="str">
        <f>IF($S25="","",INDEX(#REF!,$S25+1))</f>
        <v/>
      </c>
      <c r="AY25" s="410" t="str">
        <f t="shared" si="13"/>
        <v/>
      </c>
      <c r="AZ25" s="410" t="str">
        <f t="shared" si="14"/>
        <v/>
      </c>
      <c r="BA25" s="410" t="str">
        <f t="shared" si="15"/>
        <v/>
      </c>
      <c r="BB25" s="773" t="str">
        <f>IF($S25="","",SUM($BA25:$BA$114))</f>
        <v/>
      </c>
      <c r="BC25" s="772" t="str">
        <f>IF($S25="","",INDEX(#REF!,$S25+1))</f>
        <v/>
      </c>
      <c r="BD25" s="410" t="str">
        <f t="shared" si="16"/>
        <v/>
      </c>
      <c r="BE25" s="410" t="str">
        <f t="shared" si="17"/>
        <v/>
      </c>
      <c r="BF25" s="410" t="str">
        <f t="shared" si="18"/>
        <v/>
      </c>
      <c r="BG25" s="773" t="str">
        <f>IF($S25="","",SUM($BF25:$BF$114))</f>
        <v/>
      </c>
      <c r="BH25" s="772" t="str">
        <f>IF($S25="","",INDEX(#REF!,$S25+1))</f>
        <v/>
      </c>
      <c r="BI25" s="410" t="str">
        <f t="shared" si="19"/>
        <v/>
      </c>
      <c r="BJ25" s="410" t="str">
        <f t="shared" si="20"/>
        <v/>
      </c>
      <c r="BK25" s="410" t="str">
        <f t="shared" si="21"/>
        <v/>
      </c>
      <c r="BL25" s="773" t="str">
        <f>IF($S25="","",SUM($BK25:$BK$114))</f>
        <v/>
      </c>
      <c r="BM25" s="772" t="str">
        <f t="shared" si="22"/>
        <v/>
      </c>
      <c r="BN25" s="410" t="str">
        <f t="shared" si="33"/>
        <v/>
      </c>
      <c r="BO25" s="410" t="str">
        <f t="shared" si="23"/>
        <v/>
      </c>
      <c r="BP25" s="410" t="str">
        <f t="shared" si="24"/>
        <v/>
      </c>
      <c r="BQ25" s="410" t="str">
        <f t="shared" si="34"/>
        <v/>
      </c>
      <c r="BR25" s="410"/>
      <c r="BS25" s="410"/>
      <c r="BT25" s="410"/>
      <c r="BU25" s="410"/>
      <c r="BV25" s="410" t="str">
        <f>IF($S25="","",SUM(BQ25:BQ$114))</f>
        <v/>
      </c>
      <c r="BW25" s="774" t="str">
        <f>IF(S25&lt;$E$3+$F$5,0,IFERROR(일반형_연납순보험료!S27,0))</f>
        <v/>
      </c>
      <c r="BX25" s="774"/>
      <c r="BY25" s="774"/>
      <c r="BZ25" s="774"/>
      <c r="CA25" s="774"/>
      <c r="CB25" s="410" t="str">
        <f t="shared" si="35"/>
        <v/>
      </c>
      <c r="CC25" s="410" t="str">
        <f t="shared" si="25"/>
        <v/>
      </c>
      <c r="CD25" s="410" t="str">
        <f t="shared" si="26"/>
        <v/>
      </c>
      <c r="CE25" s="410" t="str">
        <f t="shared" si="36"/>
        <v/>
      </c>
      <c r="CF25" s="410" t="str">
        <f t="shared" si="27"/>
        <v/>
      </c>
      <c r="CG25" s="776" t="str">
        <f t="shared" si="37"/>
        <v/>
      </c>
      <c r="CH25" s="777" t="str">
        <f t="shared" si="28"/>
        <v/>
      </c>
      <c r="CI25" s="415"/>
      <c r="CJ25" s="415"/>
      <c r="CK25" s="415"/>
      <c r="CL25" s="415"/>
      <c r="CM25" s="415"/>
      <c r="CN25" s="415"/>
      <c r="CO25" s="479"/>
      <c r="CP25" s="479"/>
      <c r="CQ25" s="479"/>
      <c r="CR25" s="479"/>
      <c r="CS25" s="479"/>
      <c r="CT25" s="479"/>
      <c r="CU25" s="479"/>
      <c r="CV25" s="479"/>
      <c r="CW25" s="479"/>
      <c r="CX25" s="479"/>
      <c r="CY25" s="479"/>
      <c r="CZ25" s="479"/>
      <c r="DA25" s="479"/>
      <c r="DB25" s="479"/>
      <c r="DC25" s="479"/>
      <c r="DD25" s="479"/>
      <c r="DE25" s="479"/>
      <c r="DF25" s="479"/>
      <c r="DG25" s="479"/>
      <c r="DH25" s="479"/>
      <c r="DI25" s="479"/>
      <c r="DJ25" s="479"/>
      <c r="DK25" s="479"/>
      <c r="DL25" s="479"/>
      <c r="DM25" s="479"/>
      <c r="DN25" s="479"/>
      <c r="DO25" s="479"/>
      <c r="DP25" s="479"/>
      <c r="DQ25" s="479"/>
      <c r="DR25" s="479"/>
      <c r="DS25" s="479"/>
      <c r="DT25" s="479"/>
      <c r="DU25" s="479"/>
      <c r="DV25" s="479"/>
      <c r="DW25" s="479"/>
      <c r="DX25" s="479"/>
      <c r="DY25" s="479"/>
      <c r="DZ25" s="479"/>
      <c r="EA25" s="479"/>
      <c r="EB25" s="479"/>
      <c r="EC25" s="479"/>
      <c r="ED25" s="479"/>
    </row>
    <row r="26" spans="1:134">
      <c r="A26" s="305"/>
      <c r="B26" s="373"/>
      <c r="C26" s="78"/>
      <c r="D26" s="107" t="s">
        <v>47</v>
      </c>
      <c r="E26" s="250">
        <f>Main_무해지!E26</f>
        <v>0</v>
      </c>
      <c r="F26" s="176"/>
      <c r="G26" s="79"/>
      <c r="H26" s="108"/>
      <c r="I26" s="82"/>
      <c r="J26" s="51" t="s">
        <v>208</v>
      </c>
      <c r="K26" s="483">
        <f>INDEX(AE4:AE115,1)</f>
        <v>100000</v>
      </c>
      <c r="N26" s="280" t="str">
        <f t="shared" si="43"/>
        <v/>
      </c>
      <c r="O26" s="281" t="str">
        <f t="shared" si="44"/>
        <v/>
      </c>
      <c r="P26" s="282" t="str">
        <f t="shared" si="41"/>
        <v/>
      </c>
      <c r="Q26" s="282" t="str">
        <f t="shared" si="42"/>
        <v/>
      </c>
      <c r="R26" s="282"/>
      <c r="S26" s="120" t="str">
        <f t="shared" si="38"/>
        <v/>
      </c>
      <c r="T26" s="287" t="str">
        <f>Main_무해지!AC26</f>
        <v/>
      </c>
      <c r="U26" s="260">
        <f>+Main_무해지!AD26</f>
        <v>0</v>
      </c>
      <c r="V26" s="260" t="str">
        <f t="shared" si="29"/>
        <v/>
      </c>
      <c r="W26" s="260" t="str">
        <f t="shared" si="39"/>
        <v/>
      </c>
      <c r="X26" s="260" t="str">
        <f t="shared" si="0"/>
        <v/>
      </c>
      <c r="Y26" s="121" t="str">
        <f>IF($S26="","",SUM(X26:X$114))</f>
        <v/>
      </c>
      <c r="Z26" s="260" t="str">
        <f t="shared" si="30"/>
        <v/>
      </c>
      <c r="AA26" s="260">
        <f t="shared" si="31"/>
        <v>0</v>
      </c>
      <c r="AB26" s="260" t="str">
        <f>Main_무해지!AJ26</f>
        <v/>
      </c>
      <c r="AC26" s="260" t="str">
        <f t="shared" si="1"/>
        <v/>
      </c>
      <c r="AD26" s="260" t="str">
        <f t="shared" si="40"/>
        <v/>
      </c>
      <c r="AE26" s="260" t="str">
        <f t="shared" si="2"/>
        <v/>
      </c>
      <c r="AF26" s="121" t="str">
        <f>IF($S26="","",SUM(AE26:AE$114))</f>
        <v/>
      </c>
      <c r="AG26" s="287" t="str">
        <f>Main_무해지!AP26</f>
        <v/>
      </c>
      <c r="AH26" s="260" t="str">
        <f t="shared" si="3"/>
        <v/>
      </c>
      <c r="AI26" s="260" t="str">
        <f t="shared" si="4"/>
        <v/>
      </c>
      <c r="AJ26" s="260" t="str">
        <f t="shared" si="5"/>
        <v/>
      </c>
      <c r="AK26" s="317" t="str">
        <f>IF($S26="","",SUM($AL26:$AL$114))</f>
        <v/>
      </c>
      <c r="AL26" s="260" t="str">
        <f t="shared" si="32"/>
        <v/>
      </c>
      <c r="AM26" s="317" t="str">
        <f t="shared" si="6"/>
        <v/>
      </c>
      <c r="AN26" s="287" t="str">
        <f>IF($S26="","",INDEX(#REF!,$S26+1))</f>
        <v/>
      </c>
      <c r="AO26" s="260" t="str">
        <f t="shared" si="7"/>
        <v/>
      </c>
      <c r="AP26" s="260" t="str">
        <f t="shared" si="8"/>
        <v/>
      </c>
      <c r="AQ26" s="260" t="str">
        <f t="shared" si="9"/>
        <v/>
      </c>
      <c r="AR26" s="317" t="str">
        <f>IF($S26="","",SUM($AQ26:$AQ$114))</f>
        <v/>
      </c>
      <c r="AS26" s="287" t="str">
        <f>IF($S26="","",INDEX(#REF!,$S26+1))</f>
        <v/>
      </c>
      <c r="AT26" s="260" t="str">
        <f t="shared" si="10"/>
        <v/>
      </c>
      <c r="AU26" s="260" t="str">
        <f t="shared" si="11"/>
        <v/>
      </c>
      <c r="AV26" s="260" t="str">
        <f t="shared" si="12"/>
        <v/>
      </c>
      <c r="AW26" s="317" t="str">
        <f>IF($S26="","",SUM($AV26:$AV$114))</f>
        <v/>
      </c>
      <c r="AX26" s="287" t="str">
        <f>IF($S26="","",INDEX(#REF!,$S26+1))</f>
        <v/>
      </c>
      <c r="AY26" s="260" t="str">
        <f t="shared" si="13"/>
        <v/>
      </c>
      <c r="AZ26" s="260" t="str">
        <f t="shared" si="14"/>
        <v/>
      </c>
      <c r="BA26" s="260" t="str">
        <f t="shared" si="15"/>
        <v/>
      </c>
      <c r="BB26" s="317" t="str">
        <f>IF($S26="","",SUM($BA26:$BA$114))</f>
        <v/>
      </c>
      <c r="BC26" s="287" t="str">
        <f>IF($S26="","",INDEX(#REF!,$S26+1))</f>
        <v/>
      </c>
      <c r="BD26" s="260" t="str">
        <f t="shared" si="16"/>
        <v/>
      </c>
      <c r="BE26" s="260" t="str">
        <f t="shared" si="17"/>
        <v/>
      </c>
      <c r="BF26" s="260" t="str">
        <f t="shared" si="18"/>
        <v/>
      </c>
      <c r="BG26" s="317" t="str">
        <f>IF($S26="","",SUM($BF26:$BF$114))</f>
        <v/>
      </c>
      <c r="BH26" s="287" t="str">
        <f>IF($S26="","",INDEX(#REF!,$S26+1))</f>
        <v/>
      </c>
      <c r="BI26" s="260" t="str">
        <f t="shared" si="19"/>
        <v/>
      </c>
      <c r="BJ26" s="260" t="str">
        <f t="shared" si="20"/>
        <v/>
      </c>
      <c r="BK26" s="260" t="str">
        <f t="shared" si="21"/>
        <v/>
      </c>
      <c r="BL26" s="317" t="str">
        <f>IF($S26="","",SUM($BK26:$BK$114))</f>
        <v/>
      </c>
      <c r="BM26" s="287" t="str">
        <f t="shared" si="22"/>
        <v/>
      </c>
      <c r="BN26" s="260" t="str">
        <f t="shared" si="33"/>
        <v/>
      </c>
      <c r="BO26" s="260" t="str">
        <f t="shared" si="23"/>
        <v/>
      </c>
      <c r="BP26" s="260" t="str">
        <f t="shared" si="24"/>
        <v/>
      </c>
      <c r="BQ26" s="260" t="str">
        <f t="shared" si="34"/>
        <v/>
      </c>
      <c r="BR26" s="260"/>
      <c r="BS26" s="260"/>
      <c r="BT26" s="260"/>
      <c r="BU26" s="260"/>
      <c r="BV26" s="260" t="str">
        <f>IF($S26="","",SUM(BQ26:BQ$114))</f>
        <v/>
      </c>
      <c r="BW26" s="122" t="str">
        <f>IF(S26&lt;$E$3+$F$5,0,IFERROR(일반형_연납순보험료!S28,0))</f>
        <v/>
      </c>
      <c r="BX26" s="122"/>
      <c r="BY26" s="122"/>
      <c r="BZ26" s="122"/>
      <c r="CA26" s="122"/>
      <c r="CB26" s="260" t="str">
        <f t="shared" si="35"/>
        <v/>
      </c>
      <c r="CC26" s="260" t="str">
        <f t="shared" si="25"/>
        <v/>
      </c>
      <c r="CD26" s="260" t="str">
        <f t="shared" si="26"/>
        <v/>
      </c>
      <c r="CE26" s="260" t="str">
        <f t="shared" si="36"/>
        <v/>
      </c>
      <c r="CF26" s="260" t="str">
        <f t="shared" si="27"/>
        <v/>
      </c>
      <c r="CG26" s="123" t="str">
        <f t="shared" si="37"/>
        <v/>
      </c>
      <c r="CH26" s="124" t="str">
        <f t="shared" si="28"/>
        <v/>
      </c>
      <c r="CI26" s="242"/>
      <c r="CJ26" s="242"/>
      <c r="CK26" s="242"/>
      <c r="CL26" s="242"/>
      <c r="CM26" s="242"/>
      <c r="CN26" s="242"/>
      <c r="CO26" s="479"/>
      <c r="CP26" s="479"/>
      <c r="CQ26" s="479"/>
      <c r="CR26" s="479"/>
      <c r="CS26" s="479"/>
      <c r="CT26" s="479"/>
      <c r="CU26" s="479"/>
      <c r="CV26" s="479"/>
      <c r="CW26" s="479"/>
      <c r="CX26" s="479"/>
      <c r="CY26" s="479"/>
      <c r="CZ26" s="479"/>
      <c r="DA26" s="479"/>
      <c r="DB26" s="479"/>
      <c r="DC26" s="479"/>
      <c r="DD26" s="479"/>
      <c r="DE26" s="479"/>
      <c r="DF26" s="479"/>
      <c r="DG26" s="479"/>
      <c r="DH26" s="479"/>
      <c r="DI26" s="479"/>
      <c r="DJ26" s="479"/>
      <c r="DK26" s="479"/>
      <c r="DL26" s="479"/>
      <c r="DM26" s="479"/>
      <c r="DN26" s="479"/>
      <c r="DO26" s="479"/>
      <c r="DP26" s="479"/>
      <c r="DQ26" s="479"/>
      <c r="DR26" s="479"/>
      <c r="DS26" s="479"/>
      <c r="DT26" s="479"/>
      <c r="DU26" s="479"/>
      <c r="DV26" s="479"/>
      <c r="DW26" s="479"/>
      <c r="DX26" s="479"/>
      <c r="DY26" s="479"/>
      <c r="DZ26" s="479"/>
      <c r="EA26" s="479"/>
      <c r="EB26" s="479"/>
      <c r="EC26" s="479"/>
      <c r="ED26" s="479"/>
    </row>
    <row r="27" spans="1:134">
      <c r="A27" s="305"/>
      <c r="B27" s="373"/>
      <c r="C27" s="117"/>
      <c r="D27" s="118" t="s">
        <v>48</v>
      </c>
      <c r="E27" s="250">
        <f>Main_무해지!E27</f>
        <v>1.0000000000000001E-5</v>
      </c>
      <c r="F27" s="118"/>
      <c r="G27" s="119"/>
      <c r="H27" s="108"/>
      <c r="I27" s="48" t="s">
        <v>34</v>
      </c>
      <c r="J27" s="51" t="s">
        <v>209</v>
      </c>
      <c r="K27" s="483">
        <f>INDEX(AE4:AE115,F5+1)</f>
        <v>97799.511002444997</v>
      </c>
      <c r="N27" s="275" t="str">
        <f t="shared" si="43"/>
        <v/>
      </c>
      <c r="O27" s="276" t="str">
        <f t="shared" si="44"/>
        <v/>
      </c>
      <c r="P27" s="277" t="str">
        <f t="shared" si="41"/>
        <v/>
      </c>
      <c r="Q27" s="277" t="str">
        <f t="shared" si="42"/>
        <v/>
      </c>
      <c r="R27" s="277"/>
      <c r="S27" s="120" t="str">
        <f t="shared" si="38"/>
        <v/>
      </c>
      <c r="T27" s="287" t="str">
        <f>Main_무해지!AC27</f>
        <v/>
      </c>
      <c r="U27" s="260">
        <f>+Main_무해지!AD27</f>
        <v>0</v>
      </c>
      <c r="V27" s="260" t="str">
        <f t="shared" si="29"/>
        <v/>
      </c>
      <c r="W27" s="260" t="str">
        <f t="shared" si="39"/>
        <v/>
      </c>
      <c r="X27" s="260" t="str">
        <f t="shared" si="0"/>
        <v/>
      </c>
      <c r="Y27" s="121" t="str">
        <f>IF($S27="","",SUM(X27:X$114))</f>
        <v/>
      </c>
      <c r="Z27" s="260" t="str">
        <f t="shared" si="30"/>
        <v/>
      </c>
      <c r="AA27" s="260">
        <f t="shared" si="31"/>
        <v>0</v>
      </c>
      <c r="AB27" s="260" t="str">
        <f>Main_무해지!AJ27</f>
        <v/>
      </c>
      <c r="AC27" s="260" t="str">
        <f t="shared" si="1"/>
        <v/>
      </c>
      <c r="AD27" s="260" t="str">
        <f t="shared" si="40"/>
        <v/>
      </c>
      <c r="AE27" s="260" t="str">
        <f t="shared" si="2"/>
        <v/>
      </c>
      <c r="AF27" s="121" t="str">
        <f>IF($S27="","",SUM(AE27:AE$114))</f>
        <v/>
      </c>
      <c r="AG27" s="287" t="str">
        <f>Main_무해지!AP27</f>
        <v/>
      </c>
      <c r="AH27" s="260" t="str">
        <f t="shared" si="3"/>
        <v/>
      </c>
      <c r="AI27" s="260" t="str">
        <f t="shared" si="4"/>
        <v/>
      </c>
      <c r="AJ27" s="260" t="str">
        <f t="shared" si="5"/>
        <v/>
      </c>
      <c r="AK27" s="317" t="str">
        <f>IF($S27="","",SUM($AL27:$AL$114))</f>
        <v/>
      </c>
      <c r="AL27" s="260" t="str">
        <f t="shared" si="32"/>
        <v/>
      </c>
      <c r="AM27" s="317" t="str">
        <f t="shared" si="6"/>
        <v/>
      </c>
      <c r="AN27" s="287" t="str">
        <f>IF($S27="","",INDEX(#REF!,$S27+1))</f>
        <v/>
      </c>
      <c r="AO27" s="260" t="str">
        <f t="shared" si="7"/>
        <v/>
      </c>
      <c r="AP27" s="260" t="str">
        <f t="shared" si="8"/>
        <v/>
      </c>
      <c r="AQ27" s="260" t="str">
        <f t="shared" si="9"/>
        <v/>
      </c>
      <c r="AR27" s="317" t="str">
        <f>IF($S27="","",SUM($AQ27:$AQ$114))</f>
        <v/>
      </c>
      <c r="AS27" s="287" t="str">
        <f>IF($S27="","",INDEX(#REF!,$S27+1))</f>
        <v/>
      </c>
      <c r="AT27" s="260" t="str">
        <f t="shared" si="10"/>
        <v/>
      </c>
      <c r="AU27" s="260" t="str">
        <f t="shared" si="11"/>
        <v/>
      </c>
      <c r="AV27" s="260" t="str">
        <f t="shared" si="12"/>
        <v/>
      </c>
      <c r="AW27" s="317" t="str">
        <f>IF($S27="","",SUM($AV27:$AV$114))</f>
        <v/>
      </c>
      <c r="AX27" s="287" t="str">
        <f>IF($S27="","",INDEX(#REF!,$S27+1))</f>
        <v/>
      </c>
      <c r="AY27" s="260" t="str">
        <f t="shared" si="13"/>
        <v/>
      </c>
      <c r="AZ27" s="260" t="str">
        <f t="shared" si="14"/>
        <v/>
      </c>
      <c r="BA27" s="260" t="str">
        <f t="shared" si="15"/>
        <v/>
      </c>
      <c r="BB27" s="317" t="str">
        <f>IF($S27="","",SUM($BA27:$BA$114))</f>
        <v/>
      </c>
      <c r="BC27" s="287" t="str">
        <f>IF($S27="","",INDEX(#REF!,$S27+1))</f>
        <v/>
      </c>
      <c r="BD27" s="260" t="str">
        <f t="shared" si="16"/>
        <v/>
      </c>
      <c r="BE27" s="260" t="str">
        <f t="shared" si="17"/>
        <v/>
      </c>
      <c r="BF27" s="260" t="str">
        <f t="shared" si="18"/>
        <v/>
      </c>
      <c r="BG27" s="317" t="str">
        <f>IF($S27="","",SUM($BF27:$BF$114))</f>
        <v/>
      </c>
      <c r="BH27" s="287" t="str">
        <f>IF($S27="","",INDEX(#REF!,$S27+1))</f>
        <v/>
      </c>
      <c r="BI27" s="260" t="str">
        <f t="shared" si="19"/>
        <v/>
      </c>
      <c r="BJ27" s="260" t="str">
        <f t="shared" si="20"/>
        <v/>
      </c>
      <c r="BK27" s="260" t="str">
        <f t="shared" si="21"/>
        <v/>
      </c>
      <c r="BL27" s="317" t="str">
        <f>IF($S27="","",SUM($BK27:$BK$114))</f>
        <v/>
      </c>
      <c r="BM27" s="287" t="str">
        <f t="shared" si="22"/>
        <v/>
      </c>
      <c r="BN27" s="260" t="str">
        <f t="shared" si="33"/>
        <v/>
      </c>
      <c r="BO27" s="260" t="str">
        <f t="shared" si="23"/>
        <v/>
      </c>
      <c r="BP27" s="260" t="str">
        <f t="shared" si="24"/>
        <v/>
      </c>
      <c r="BQ27" s="260" t="str">
        <f t="shared" si="34"/>
        <v/>
      </c>
      <c r="BR27" s="260"/>
      <c r="BS27" s="260"/>
      <c r="BT27" s="260"/>
      <c r="BU27" s="260"/>
      <c r="BV27" s="260" t="str">
        <f>IF($S27="","",SUM(BQ27:BQ$114))</f>
        <v/>
      </c>
      <c r="BW27" s="122" t="str">
        <f>IF(S27&lt;$E$3+$F$5,0,IFERROR(일반형_연납순보험료!S29,0))</f>
        <v/>
      </c>
      <c r="BX27" s="122"/>
      <c r="BY27" s="122"/>
      <c r="BZ27" s="122"/>
      <c r="CA27" s="122"/>
      <c r="CB27" s="260" t="str">
        <f t="shared" si="35"/>
        <v/>
      </c>
      <c r="CC27" s="260" t="str">
        <f t="shared" si="25"/>
        <v/>
      </c>
      <c r="CD27" s="260" t="str">
        <f t="shared" si="26"/>
        <v/>
      </c>
      <c r="CE27" s="260" t="str">
        <f t="shared" si="36"/>
        <v/>
      </c>
      <c r="CF27" s="260" t="str">
        <f t="shared" si="27"/>
        <v/>
      </c>
      <c r="CG27" s="123" t="str">
        <f t="shared" si="37"/>
        <v/>
      </c>
      <c r="CH27" s="124" t="str">
        <f t="shared" si="28"/>
        <v/>
      </c>
      <c r="CI27" s="242"/>
      <c r="CJ27" s="242"/>
      <c r="CK27" s="242"/>
      <c r="CL27" s="242"/>
      <c r="CM27" s="242"/>
      <c r="CN27" s="242"/>
      <c r="CO27" s="479"/>
      <c r="CP27" s="479"/>
      <c r="CQ27" s="479"/>
      <c r="CR27" s="479"/>
      <c r="CS27" s="479"/>
      <c r="CT27" s="479"/>
      <c r="CU27" s="479"/>
      <c r="CV27" s="479"/>
      <c r="CW27" s="479"/>
      <c r="CX27" s="479"/>
      <c r="CY27" s="479"/>
      <c r="CZ27" s="479"/>
      <c r="DA27" s="479"/>
      <c r="DB27" s="479"/>
      <c r="DC27" s="479"/>
      <c r="DD27" s="479"/>
      <c r="DE27" s="479"/>
      <c r="DF27" s="479"/>
      <c r="DG27" s="479"/>
      <c r="DH27" s="479"/>
      <c r="DI27" s="479"/>
      <c r="DJ27" s="479"/>
      <c r="DK27" s="479"/>
      <c r="DL27" s="479"/>
      <c r="DM27" s="479"/>
      <c r="DN27" s="479"/>
      <c r="DO27" s="479"/>
      <c r="DP27" s="479"/>
      <c r="DQ27" s="479"/>
      <c r="DR27" s="479"/>
      <c r="DS27" s="479"/>
      <c r="DT27" s="479"/>
      <c r="DU27" s="479"/>
      <c r="DV27" s="479"/>
      <c r="DW27" s="479"/>
      <c r="DX27" s="479"/>
      <c r="DY27" s="479"/>
      <c r="DZ27" s="479"/>
      <c r="EA27" s="479"/>
      <c r="EB27" s="479"/>
      <c r="EC27" s="479"/>
      <c r="ED27" s="479"/>
    </row>
    <row r="28" spans="1:134">
      <c r="A28" s="305"/>
      <c r="B28" s="373"/>
      <c r="C28" s="78"/>
      <c r="D28" s="107" t="s">
        <v>49</v>
      </c>
      <c r="E28" s="250">
        <f>Main_무해지!E28</f>
        <v>0.1</v>
      </c>
      <c r="F28" s="107"/>
      <c r="G28" s="79"/>
      <c r="H28" s="291"/>
      <c r="I28" s="48" t="s">
        <v>36</v>
      </c>
      <c r="J28" s="51" t="s">
        <v>210</v>
      </c>
      <c r="K28" s="483">
        <f>INDEX(AE4:AE115,F4+1)</f>
        <v>97799.511002444997</v>
      </c>
      <c r="N28" s="278" t="str">
        <f t="shared" si="43"/>
        <v/>
      </c>
      <c r="O28" s="279" t="str">
        <f t="shared" si="44"/>
        <v/>
      </c>
      <c r="P28" s="271" t="str">
        <f t="shared" si="41"/>
        <v/>
      </c>
      <c r="Q28" s="271" t="str">
        <f t="shared" si="42"/>
        <v/>
      </c>
      <c r="R28" s="271"/>
      <c r="S28" s="120" t="str">
        <f t="shared" si="38"/>
        <v/>
      </c>
      <c r="T28" s="287" t="str">
        <f>Main_무해지!AC28</f>
        <v/>
      </c>
      <c r="U28" s="260">
        <f>+Main_무해지!AD28</f>
        <v>0</v>
      </c>
      <c r="V28" s="260" t="str">
        <f t="shared" si="29"/>
        <v/>
      </c>
      <c r="W28" s="260" t="str">
        <f t="shared" si="39"/>
        <v/>
      </c>
      <c r="X28" s="260" t="str">
        <f t="shared" si="0"/>
        <v/>
      </c>
      <c r="Y28" s="121" t="str">
        <f>IF($S28="","",SUM(X28:X$114))</f>
        <v/>
      </c>
      <c r="Z28" s="260" t="str">
        <f t="shared" si="30"/>
        <v/>
      </c>
      <c r="AA28" s="260">
        <f t="shared" si="31"/>
        <v>0</v>
      </c>
      <c r="AB28" s="260" t="str">
        <f>Main_무해지!AJ28</f>
        <v/>
      </c>
      <c r="AC28" s="260" t="str">
        <f t="shared" si="1"/>
        <v/>
      </c>
      <c r="AD28" s="260" t="str">
        <f t="shared" si="40"/>
        <v/>
      </c>
      <c r="AE28" s="260" t="str">
        <f t="shared" si="2"/>
        <v/>
      </c>
      <c r="AF28" s="121" t="str">
        <f>IF($S28="","",SUM(AE28:AE$114))</f>
        <v/>
      </c>
      <c r="AG28" s="287" t="str">
        <f>Main_무해지!AP28</f>
        <v/>
      </c>
      <c r="AH28" s="260" t="str">
        <f t="shared" si="3"/>
        <v/>
      </c>
      <c r="AI28" s="260" t="str">
        <f t="shared" si="4"/>
        <v/>
      </c>
      <c r="AJ28" s="260" t="str">
        <f t="shared" si="5"/>
        <v/>
      </c>
      <c r="AK28" s="317" t="str">
        <f>IF($S28="","",SUM($AL28:$AL$114))</f>
        <v/>
      </c>
      <c r="AL28" s="260" t="str">
        <f t="shared" si="32"/>
        <v/>
      </c>
      <c r="AM28" s="317" t="str">
        <f t="shared" si="6"/>
        <v/>
      </c>
      <c r="AN28" s="287" t="str">
        <f>IF($S28="","",INDEX(#REF!,$S28+1))</f>
        <v/>
      </c>
      <c r="AO28" s="260" t="str">
        <f t="shared" si="7"/>
        <v/>
      </c>
      <c r="AP28" s="260" t="str">
        <f t="shared" si="8"/>
        <v/>
      </c>
      <c r="AQ28" s="260" t="str">
        <f t="shared" si="9"/>
        <v/>
      </c>
      <c r="AR28" s="317" t="str">
        <f>IF($S28="","",SUM($AQ28:$AQ$114))</f>
        <v/>
      </c>
      <c r="AS28" s="287" t="str">
        <f>IF($S28="","",INDEX(#REF!,$S28+1))</f>
        <v/>
      </c>
      <c r="AT28" s="260" t="str">
        <f t="shared" si="10"/>
        <v/>
      </c>
      <c r="AU28" s="260" t="str">
        <f t="shared" si="11"/>
        <v/>
      </c>
      <c r="AV28" s="260" t="str">
        <f t="shared" si="12"/>
        <v/>
      </c>
      <c r="AW28" s="317" t="str">
        <f>IF($S28="","",SUM($AV28:$AV$114))</f>
        <v/>
      </c>
      <c r="AX28" s="287" t="str">
        <f>IF($S28="","",INDEX(#REF!,$S28+1))</f>
        <v/>
      </c>
      <c r="AY28" s="260" t="str">
        <f t="shared" si="13"/>
        <v/>
      </c>
      <c r="AZ28" s="260" t="str">
        <f t="shared" si="14"/>
        <v/>
      </c>
      <c r="BA28" s="260" t="str">
        <f t="shared" si="15"/>
        <v/>
      </c>
      <c r="BB28" s="317" t="str">
        <f>IF($S28="","",SUM($BA28:$BA$114))</f>
        <v/>
      </c>
      <c r="BC28" s="287" t="str">
        <f>IF($S28="","",INDEX(#REF!,$S28+1))</f>
        <v/>
      </c>
      <c r="BD28" s="260" t="str">
        <f t="shared" si="16"/>
        <v/>
      </c>
      <c r="BE28" s="260" t="str">
        <f t="shared" si="17"/>
        <v/>
      </c>
      <c r="BF28" s="260" t="str">
        <f t="shared" si="18"/>
        <v/>
      </c>
      <c r="BG28" s="317" t="str">
        <f>IF($S28="","",SUM($BF28:$BF$114))</f>
        <v/>
      </c>
      <c r="BH28" s="287" t="str">
        <f>IF($S28="","",INDEX(#REF!,$S28+1))</f>
        <v/>
      </c>
      <c r="BI28" s="260" t="str">
        <f t="shared" si="19"/>
        <v/>
      </c>
      <c r="BJ28" s="260" t="str">
        <f t="shared" si="20"/>
        <v/>
      </c>
      <c r="BK28" s="260" t="str">
        <f t="shared" si="21"/>
        <v/>
      </c>
      <c r="BL28" s="317" t="str">
        <f>IF($S28="","",SUM($BK28:$BK$114))</f>
        <v/>
      </c>
      <c r="BM28" s="287" t="str">
        <f t="shared" si="22"/>
        <v/>
      </c>
      <c r="BN28" s="260" t="str">
        <f t="shared" si="33"/>
        <v/>
      </c>
      <c r="BO28" s="260" t="str">
        <f t="shared" si="23"/>
        <v/>
      </c>
      <c r="BP28" s="260" t="str">
        <f t="shared" si="24"/>
        <v/>
      </c>
      <c r="BQ28" s="260" t="str">
        <f t="shared" si="34"/>
        <v/>
      </c>
      <c r="BR28" s="260"/>
      <c r="BS28" s="260"/>
      <c r="BT28" s="260"/>
      <c r="BU28" s="260"/>
      <c r="BV28" s="260" t="str">
        <f>IF($S28="","",SUM(BQ28:BQ$114))</f>
        <v/>
      </c>
      <c r="BW28" s="122" t="str">
        <f>IF(S28&lt;$E$3+$F$5,0,IFERROR(일반형_연납순보험료!S30,0))</f>
        <v/>
      </c>
      <c r="BX28" s="122"/>
      <c r="BY28" s="122"/>
      <c r="BZ28" s="122"/>
      <c r="CA28" s="122"/>
      <c r="CB28" s="260" t="str">
        <f t="shared" si="35"/>
        <v/>
      </c>
      <c r="CC28" s="260" t="str">
        <f t="shared" si="25"/>
        <v/>
      </c>
      <c r="CD28" s="260" t="str">
        <f t="shared" si="26"/>
        <v/>
      </c>
      <c r="CE28" s="260" t="str">
        <f t="shared" si="36"/>
        <v/>
      </c>
      <c r="CF28" s="260" t="str">
        <f t="shared" si="27"/>
        <v/>
      </c>
      <c r="CG28" s="123" t="str">
        <f t="shared" si="37"/>
        <v/>
      </c>
      <c r="CH28" s="124" t="str">
        <f t="shared" si="28"/>
        <v/>
      </c>
      <c r="CI28" s="242"/>
      <c r="CJ28" s="242"/>
      <c r="CK28" s="242"/>
      <c r="CL28" s="242"/>
      <c r="CM28" s="242"/>
      <c r="CN28" s="242"/>
      <c r="CO28" s="479"/>
      <c r="CP28" s="479"/>
      <c r="CQ28" s="479"/>
      <c r="CR28" s="479"/>
      <c r="CS28" s="479"/>
      <c r="CT28" s="479"/>
      <c r="CU28" s="479"/>
      <c r="CV28" s="479"/>
      <c r="CW28" s="479"/>
      <c r="CX28" s="479"/>
      <c r="CY28" s="479"/>
      <c r="CZ28" s="479"/>
      <c r="DA28" s="479"/>
      <c r="DB28" s="479"/>
      <c r="DC28" s="479"/>
      <c r="DD28" s="479"/>
      <c r="DE28" s="479"/>
      <c r="DF28" s="479"/>
      <c r="DG28" s="479"/>
      <c r="DH28" s="479"/>
      <c r="DI28" s="479"/>
      <c r="DJ28" s="479"/>
      <c r="DK28" s="479"/>
      <c r="DL28" s="479"/>
      <c r="DM28" s="479"/>
      <c r="DN28" s="479"/>
      <c r="DO28" s="479"/>
      <c r="DP28" s="479"/>
      <c r="DQ28" s="479"/>
      <c r="DR28" s="479"/>
      <c r="DS28" s="479"/>
      <c r="DT28" s="479"/>
      <c r="DU28" s="479"/>
      <c r="DV28" s="479"/>
      <c r="DW28" s="479"/>
      <c r="DX28" s="479"/>
      <c r="DY28" s="479"/>
      <c r="DZ28" s="479"/>
      <c r="EA28" s="479"/>
      <c r="EB28" s="479"/>
      <c r="EC28" s="479"/>
      <c r="ED28" s="479"/>
    </row>
    <row r="29" spans="1:134">
      <c r="A29" s="305"/>
      <c r="B29" s="373"/>
      <c r="C29" s="127"/>
      <c r="D29" s="128" t="s">
        <v>51</v>
      </c>
      <c r="E29" s="250">
        <f>Main_무해지!E29</f>
        <v>0</v>
      </c>
      <c r="F29" s="128"/>
      <c r="G29" s="129"/>
      <c r="H29" s="291"/>
      <c r="I29" s="48" t="s">
        <v>27</v>
      </c>
      <c r="J29" s="49" t="s">
        <v>86</v>
      </c>
      <c r="K29" s="483">
        <f>INDEX(AF4:AF115,1)</f>
        <v>197799.51100244501</v>
      </c>
      <c r="N29" s="278" t="str">
        <f t="shared" si="43"/>
        <v/>
      </c>
      <c r="O29" s="279" t="str">
        <f t="shared" si="44"/>
        <v/>
      </c>
      <c r="P29" s="271" t="str">
        <f t="shared" si="41"/>
        <v/>
      </c>
      <c r="Q29" s="271" t="str">
        <f t="shared" si="42"/>
        <v/>
      </c>
      <c r="R29" s="271"/>
      <c r="S29" s="130" t="str">
        <f t="shared" si="38"/>
        <v/>
      </c>
      <c r="T29" s="288" t="str">
        <f>Main_무해지!AC29</f>
        <v/>
      </c>
      <c r="U29" s="261">
        <f>+Main_무해지!AD29</f>
        <v>0</v>
      </c>
      <c r="V29" s="261" t="str">
        <f t="shared" si="29"/>
        <v/>
      </c>
      <c r="W29" s="261" t="str">
        <f t="shared" si="39"/>
        <v/>
      </c>
      <c r="X29" s="261" t="str">
        <f t="shared" si="0"/>
        <v/>
      </c>
      <c r="Y29" s="131" t="str">
        <f>IF($S29="","",SUM(X29:X$114))</f>
        <v/>
      </c>
      <c r="Z29" s="261" t="str">
        <f t="shared" si="30"/>
        <v/>
      </c>
      <c r="AA29" s="261">
        <f t="shared" si="31"/>
        <v>0</v>
      </c>
      <c r="AB29" s="261" t="str">
        <f>Main_무해지!AJ29</f>
        <v/>
      </c>
      <c r="AC29" s="261" t="str">
        <f t="shared" si="1"/>
        <v/>
      </c>
      <c r="AD29" s="261" t="str">
        <f t="shared" si="40"/>
        <v/>
      </c>
      <c r="AE29" s="261" t="str">
        <f t="shared" si="2"/>
        <v/>
      </c>
      <c r="AF29" s="131" t="str">
        <f>IF($S29="","",SUM(AE29:AE$114))</f>
        <v/>
      </c>
      <c r="AG29" s="288" t="str">
        <f>Main_무해지!AP29</f>
        <v/>
      </c>
      <c r="AH29" s="261" t="str">
        <f t="shared" si="3"/>
        <v/>
      </c>
      <c r="AI29" s="261" t="str">
        <f t="shared" si="4"/>
        <v/>
      </c>
      <c r="AJ29" s="261" t="str">
        <f t="shared" si="5"/>
        <v/>
      </c>
      <c r="AK29" s="318" t="str">
        <f>IF($S29="","",SUM($AL29:$AL$114))</f>
        <v/>
      </c>
      <c r="AL29" s="261" t="str">
        <f t="shared" si="32"/>
        <v/>
      </c>
      <c r="AM29" s="318" t="str">
        <f t="shared" si="6"/>
        <v/>
      </c>
      <c r="AN29" s="288" t="str">
        <f>IF($S29="","",INDEX(#REF!,$S29+1))</f>
        <v/>
      </c>
      <c r="AO29" s="261" t="str">
        <f t="shared" si="7"/>
        <v/>
      </c>
      <c r="AP29" s="261" t="str">
        <f t="shared" si="8"/>
        <v/>
      </c>
      <c r="AQ29" s="261" t="str">
        <f t="shared" si="9"/>
        <v/>
      </c>
      <c r="AR29" s="318" t="str">
        <f>IF($S29="","",SUM($AQ29:$AQ$114))</f>
        <v/>
      </c>
      <c r="AS29" s="288" t="str">
        <f>IF($S29="","",INDEX(#REF!,$S29+1))</f>
        <v/>
      </c>
      <c r="AT29" s="261" t="str">
        <f t="shared" si="10"/>
        <v/>
      </c>
      <c r="AU29" s="261" t="str">
        <f t="shared" si="11"/>
        <v/>
      </c>
      <c r="AV29" s="261" t="str">
        <f t="shared" si="12"/>
        <v/>
      </c>
      <c r="AW29" s="318" t="str">
        <f>IF($S29="","",SUM($AV29:$AV$114))</f>
        <v/>
      </c>
      <c r="AX29" s="288" t="str">
        <f>IF($S29="","",INDEX(#REF!,$S29+1))</f>
        <v/>
      </c>
      <c r="AY29" s="261" t="str">
        <f t="shared" si="13"/>
        <v/>
      </c>
      <c r="AZ29" s="261" t="str">
        <f t="shared" si="14"/>
        <v/>
      </c>
      <c r="BA29" s="261" t="str">
        <f t="shared" si="15"/>
        <v/>
      </c>
      <c r="BB29" s="318" t="str">
        <f>IF($S29="","",SUM($BA29:$BA$114))</f>
        <v/>
      </c>
      <c r="BC29" s="288" t="str">
        <f>IF($S29="","",INDEX(#REF!,$S29+1))</f>
        <v/>
      </c>
      <c r="BD29" s="261" t="str">
        <f t="shared" si="16"/>
        <v/>
      </c>
      <c r="BE29" s="261" t="str">
        <f t="shared" si="17"/>
        <v/>
      </c>
      <c r="BF29" s="261" t="str">
        <f t="shared" si="18"/>
        <v/>
      </c>
      <c r="BG29" s="318" t="str">
        <f>IF($S29="","",SUM($BF29:$BF$114))</f>
        <v/>
      </c>
      <c r="BH29" s="288" t="str">
        <f>IF($S29="","",INDEX(#REF!,$S29+1))</f>
        <v/>
      </c>
      <c r="BI29" s="261" t="str">
        <f t="shared" si="19"/>
        <v/>
      </c>
      <c r="BJ29" s="261" t="str">
        <f t="shared" si="20"/>
        <v/>
      </c>
      <c r="BK29" s="261" t="str">
        <f t="shared" si="21"/>
        <v/>
      </c>
      <c r="BL29" s="318" t="str">
        <f>IF($S29="","",SUM($BK29:$BK$114))</f>
        <v/>
      </c>
      <c r="BM29" s="288" t="str">
        <f t="shared" si="22"/>
        <v/>
      </c>
      <c r="BN29" s="261" t="str">
        <f t="shared" si="33"/>
        <v/>
      </c>
      <c r="BO29" s="261" t="str">
        <f t="shared" si="23"/>
        <v/>
      </c>
      <c r="BP29" s="261" t="str">
        <f t="shared" si="24"/>
        <v/>
      </c>
      <c r="BQ29" s="261" t="str">
        <f t="shared" si="34"/>
        <v/>
      </c>
      <c r="BR29" s="261"/>
      <c r="BS29" s="261"/>
      <c r="BT29" s="261"/>
      <c r="BU29" s="261"/>
      <c r="BV29" s="261" t="str">
        <f>IF($S29="","",SUM(BQ29:BQ$114))</f>
        <v/>
      </c>
      <c r="BW29" s="132" t="str">
        <f>IF(S29&lt;$E$3+$F$5,0,IFERROR(일반형_연납순보험료!S31,0))</f>
        <v/>
      </c>
      <c r="BX29" s="132"/>
      <c r="BY29" s="132"/>
      <c r="BZ29" s="132"/>
      <c r="CA29" s="132"/>
      <c r="CB29" s="261" t="str">
        <f t="shared" si="35"/>
        <v/>
      </c>
      <c r="CC29" s="261" t="str">
        <f t="shared" si="25"/>
        <v/>
      </c>
      <c r="CD29" s="261" t="str">
        <f t="shared" si="26"/>
        <v/>
      </c>
      <c r="CE29" s="261" t="str">
        <f t="shared" si="36"/>
        <v/>
      </c>
      <c r="CF29" s="261" t="str">
        <f t="shared" si="27"/>
        <v/>
      </c>
      <c r="CG29" s="133" t="str">
        <f t="shared" si="37"/>
        <v/>
      </c>
      <c r="CH29" s="134" t="str">
        <f t="shared" si="28"/>
        <v/>
      </c>
      <c r="CI29" s="243"/>
      <c r="CJ29" s="243"/>
      <c r="CK29" s="243"/>
      <c r="CL29" s="243"/>
      <c r="CM29" s="243"/>
      <c r="CN29" s="243"/>
      <c r="CO29" s="479"/>
      <c r="CP29" s="479"/>
      <c r="CQ29" s="479"/>
      <c r="CR29" s="479"/>
      <c r="CS29" s="479"/>
      <c r="CT29" s="479"/>
      <c r="CU29" s="479"/>
      <c r="CV29" s="479"/>
      <c r="CW29" s="479"/>
      <c r="CX29" s="479"/>
      <c r="CY29" s="479"/>
      <c r="CZ29" s="479"/>
      <c r="DA29" s="479"/>
      <c r="DB29" s="479"/>
      <c r="DC29" s="479"/>
      <c r="DD29" s="479"/>
      <c r="DE29" s="479"/>
      <c r="DF29" s="479"/>
      <c r="DG29" s="479"/>
      <c r="DH29" s="479"/>
      <c r="DI29" s="479"/>
      <c r="DJ29" s="479"/>
      <c r="DK29" s="479"/>
      <c r="DL29" s="479"/>
      <c r="DM29" s="479"/>
      <c r="DN29" s="479"/>
      <c r="DO29" s="479"/>
      <c r="DP29" s="479"/>
      <c r="DQ29" s="479"/>
      <c r="DR29" s="479"/>
      <c r="DS29" s="479"/>
      <c r="DT29" s="479"/>
      <c r="DU29" s="479"/>
      <c r="DV29" s="479"/>
      <c r="DW29" s="479"/>
      <c r="DX29" s="479"/>
      <c r="DY29" s="479"/>
      <c r="DZ29" s="479"/>
      <c r="EA29" s="479"/>
      <c r="EB29" s="479"/>
      <c r="EC29" s="479"/>
      <c r="ED29" s="479"/>
    </row>
    <row r="30" spans="1:134" ht="17.25" thickBot="1">
      <c r="A30" s="305"/>
      <c r="B30" s="373"/>
      <c r="C30" s="78"/>
      <c r="D30" s="107" t="s">
        <v>52</v>
      </c>
      <c r="E30" s="250">
        <f>Main_무해지!E30</f>
        <v>2.5000000000000001E-2</v>
      </c>
      <c r="F30" s="107"/>
      <c r="G30" s="79"/>
      <c r="H30" s="108"/>
      <c r="I30" s="48"/>
      <c r="J30" s="49" t="s">
        <v>211</v>
      </c>
      <c r="K30" s="483">
        <f>INDEX(AF4:AF115,F5+1)</f>
        <v>97799.511002444997</v>
      </c>
      <c r="N30" s="278" t="str">
        <f t="shared" si="43"/>
        <v/>
      </c>
      <c r="O30" s="279" t="str">
        <f t="shared" si="44"/>
        <v/>
      </c>
      <c r="P30" s="271" t="str">
        <f t="shared" si="41"/>
        <v/>
      </c>
      <c r="Q30" s="271" t="str">
        <f t="shared" si="42"/>
        <v/>
      </c>
      <c r="R30" s="271"/>
      <c r="S30" s="759" t="str">
        <f t="shared" si="38"/>
        <v/>
      </c>
      <c r="T30" s="761" t="str">
        <f>Main_무해지!AC30</f>
        <v/>
      </c>
      <c r="U30" s="409">
        <f>+Main_무해지!AD30</f>
        <v>0</v>
      </c>
      <c r="V30" s="409" t="str">
        <f t="shared" si="29"/>
        <v/>
      </c>
      <c r="W30" s="409" t="str">
        <f t="shared" si="39"/>
        <v/>
      </c>
      <c r="X30" s="409" t="str">
        <f t="shared" si="0"/>
        <v/>
      </c>
      <c r="Y30" s="760" t="str">
        <f>IF($S30="","",SUM(X30:X$114))</f>
        <v/>
      </c>
      <c r="Z30" s="409" t="str">
        <f t="shared" si="30"/>
        <v/>
      </c>
      <c r="AA30" s="409">
        <f t="shared" si="31"/>
        <v>0</v>
      </c>
      <c r="AB30" s="409" t="str">
        <f>Main_무해지!AJ30</f>
        <v/>
      </c>
      <c r="AC30" s="409" t="str">
        <f t="shared" si="1"/>
        <v/>
      </c>
      <c r="AD30" s="409" t="str">
        <f t="shared" si="40"/>
        <v/>
      </c>
      <c r="AE30" s="409" t="str">
        <f t="shared" si="2"/>
        <v/>
      </c>
      <c r="AF30" s="760" t="str">
        <f>IF($S30="","",SUM(AE30:AE$114))</f>
        <v/>
      </c>
      <c r="AG30" s="761" t="str">
        <f>Main_무해지!AP30</f>
        <v/>
      </c>
      <c r="AH30" s="409" t="str">
        <f t="shared" si="3"/>
        <v/>
      </c>
      <c r="AI30" s="409" t="str">
        <f t="shared" si="4"/>
        <v/>
      </c>
      <c r="AJ30" s="409" t="str">
        <f t="shared" si="5"/>
        <v/>
      </c>
      <c r="AK30" s="762" t="str">
        <f>IF($S30="","",SUM($AL30:$AL$114))</f>
        <v/>
      </c>
      <c r="AL30" s="409" t="str">
        <f t="shared" si="32"/>
        <v/>
      </c>
      <c r="AM30" s="762" t="str">
        <f t="shared" si="6"/>
        <v/>
      </c>
      <c r="AN30" s="761" t="str">
        <f>IF($S30="","",INDEX(#REF!,$S30+1))</f>
        <v/>
      </c>
      <c r="AO30" s="409" t="str">
        <f t="shared" si="7"/>
        <v/>
      </c>
      <c r="AP30" s="409" t="str">
        <f t="shared" si="8"/>
        <v/>
      </c>
      <c r="AQ30" s="409" t="str">
        <f t="shared" si="9"/>
        <v/>
      </c>
      <c r="AR30" s="762" t="str">
        <f>IF($S30="","",SUM($AQ30:$AQ$114))</f>
        <v/>
      </c>
      <c r="AS30" s="761" t="str">
        <f>IF($S30="","",INDEX(#REF!,$S30+1))</f>
        <v/>
      </c>
      <c r="AT30" s="409" t="str">
        <f t="shared" si="10"/>
        <v/>
      </c>
      <c r="AU30" s="409" t="str">
        <f t="shared" si="11"/>
        <v/>
      </c>
      <c r="AV30" s="409" t="str">
        <f t="shared" si="12"/>
        <v/>
      </c>
      <c r="AW30" s="762" t="str">
        <f>IF($S30="","",SUM($AV30:$AV$114))</f>
        <v/>
      </c>
      <c r="AX30" s="761" t="str">
        <f>IF($S30="","",INDEX(#REF!,$S30+1))</f>
        <v/>
      </c>
      <c r="AY30" s="409" t="str">
        <f t="shared" si="13"/>
        <v/>
      </c>
      <c r="AZ30" s="409" t="str">
        <f t="shared" si="14"/>
        <v/>
      </c>
      <c r="BA30" s="409" t="str">
        <f t="shared" si="15"/>
        <v/>
      </c>
      <c r="BB30" s="762" t="str">
        <f>IF($S30="","",SUM($BA30:$BA$114))</f>
        <v/>
      </c>
      <c r="BC30" s="761" t="str">
        <f>IF($S30="","",INDEX(#REF!,$S30+1))</f>
        <v/>
      </c>
      <c r="BD30" s="409" t="str">
        <f t="shared" si="16"/>
        <v/>
      </c>
      <c r="BE30" s="409" t="str">
        <f t="shared" si="17"/>
        <v/>
      </c>
      <c r="BF30" s="409" t="str">
        <f t="shared" si="18"/>
        <v/>
      </c>
      <c r="BG30" s="762" t="str">
        <f>IF($S30="","",SUM($BF30:$BF$114))</f>
        <v/>
      </c>
      <c r="BH30" s="761" t="str">
        <f>IF($S30="","",INDEX(#REF!,$S30+1))</f>
        <v/>
      </c>
      <c r="BI30" s="409" t="str">
        <f t="shared" si="19"/>
        <v/>
      </c>
      <c r="BJ30" s="409" t="str">
        <f t="shared" si="20"/>
        <v/>
      </c>
      <c r="BK30" s="409" t="str">
        <f t="shared" si="21"/>
        <v/>
      </c>
      <c r="BL30" s="762" t="str">
        <f>IF($S30="","",SUM($BK30:$BK$114))</f>
        <v/>
      </c>
      <c r="BM30" s="761" t="str">
        <f t="shared" si="22"/>
        <v/>
      </c>
      <c r="BN30" s="409" t="str">
        <f t="shared" si="33"/>
        <v/>
      </c>
      <c r="BO30" s="409" t="str">
        <f t="shared" si="23"/>
        <v/>
      </c>
      <c r="BP30" s="409" t="str">
        <f t="shared" si="24"/>
        <v/>
      </c>
      <c r="BQ30" s="409" t="str">
        <f t="shared" si="34"/>
        <v/>
      </c>
      <c r="BR30" s="409"/>
      <c r="BS30" s="409"/>
      <c r="BT30" s="409"/>
      <c r="BU30" s="409"/>
      <c r="BV30" s="409" t="str">
        <f>IF($S30="","",SUM(BQ30:BQ$114))</f>
        <v/>
      </c>
      <c r="BW30" s="763" t="str">
        <f>IF(S30&lt;$E$3+$F$5,0,IFERROR(일반형_연납순보험료!S32,0))</f>
        <v/>
      </c>
      <c r="BX30" s="763"/>
      <c r="BY30" s="763"/>
      <c r="BZ30" s="763"/>
      <c r="CA30" s="763"/>
      <c r="CB30" s="409" t="str">
        <f t="shared" si="35"/>
        <v/>
      </c>
      <c r="CC30" s="409" t="str">
        <f t="shared" si="25"/>
        <v/>
      </c>
      <c r="CD30" s="409" t="str">
        <f t="shared" si="26"/>
        <v/>
      </c>
      <c r="CE30" s="409" t="str">
        <f t="shared" si="36"/>
        <v/>
      </c>
      <c r="CF30" s="409" t="str">
        <f t="shared" si="27"/>
        <v/>
      </c>
      <c r="CG30" s="765" t="str">
        <f t="shared" si="37"/>
        <v/>
      </c>
      <c r="CH30" s="766" t="str">
        <f t="shared" si="28"/>
        <v/>
      </c>
      <c r="CI30" s="414"/>
      <c r="CJ30" s="414"/>
      <c r="CK30" s="414"/>
      <c r="CL30" s="414"/>
      <c r="CM30" s="414"/>
      <c r="CN30" s="414"/>
      <c r="CO30" s="479"/>
      <c r="CP30" s="479"/>
      <c r="CQ30" s="479"/>
      <c r="CR30" s="479"/>
      <c r="CS30" s="479"/>
      <c r="CT30" s="479"/>
      <c r="CU30" s="479"/>
      <c r="CV30" s="479"/>
      <c r="CW30" s="479"/>
      <c r="CX30" s="479"/>
      <c r="CY30" s="479"/>
      <c r="CZ30" s="479"/>
      <c r="DA30" s="479"/>
      <c r="DB30" s="479"/>
      <c r="DC30" s="479"/>
      <c r="DD30" s="479"/>
      <c r="DE30" s="479"/>
      <c r="DF30" s="479"/>
      <c r="DG30" s="479"/>
      <c r="DH30" s="479"/>
      <c r="DI30" s="479"/>
      <c r="DJ30" s="479"/>
      <c r="DK30" s="479"/>
      <c r="DL30" s="479"/>
      <c r="DM30" s="479"/>
      <c r="DN30" s="479"/>
      <c r="DO30" s="479"/>
      <c r="DP30" s="479"/>
      <c r="DQ30" s="479"/>
      <c r="DR30" s="479"/>
      <c r="DS30" s="479"/>
      <c r="DT30" s="479"/>
      <c r="DU30" s="479"/>
      <c r="DV30" s="479"/>
      <c r="DW30" s="479"/>
      <c r="DX30" s="479"/>
      <c r="DY30" s="479"/>
      <c r="DZ30" s="479"/>
      <c r="EA30" s="479"/>
      <c r="EB30" s="479"/>
      <c r="EC30" s="479"/>
      <c r="ED30" s="479"/>
    </row>
    <row r="31" spans="1:134">
      <c r="A31" s="305"/>
      <c r="B31" s="373"/>
      <c r="C31" s="135"/>
      <c r="D31" s="136" t="s">
        <v>53</v>
      </c>
      <c r="E31" s="179"/>
      <c r="F31" s="180"/>
      <c r="G31" s="137"/>
      <c r="H31" s="292"/>
      <c r="I31" s="48"/>
      <c r="J31" s="49" t="s">
        <v>175</v>
      </c>
      <c r="K31" s="483">
        <f>IF(F7=0,K29-K30,K32)</f>
        <v>100000.00000000001</v>
      </c>
      <c r="N31" s="280" t="str">
        <f t="shared" si="43"/>
        <v/>
      </c>
      <c r="O31" s="281" t="str">
        <f t="shared" si="44"/>
        <v/>
      </c>
      <c r="P31" s="282" t="str">
        <f t="shared" si="41"/>
        <v/>
      </c>
      <c r="Q31" s="282" t="str">
        <f t="shared" si="42"/>
        <v/>
      </c>
      <c r="R31" s="282"/>
      <c r="S31" s="70" t="str">
        <f t="shared" si="38"/>
        <v/>
      </c>
      <c r="T31" s="71" t="str">
        <f>Main_무해지!AC31</f>
        <v/>
      </c>
      <c r="U31" s="256">
        <f>+Main_무해지!AD31</f>
        <v>0</v>
      </c>
      <c r="V31" s="256" t="str">
        <f t="shared" si="29"/>
        <v/>
      </c>
      <c r="W31" s="256" t="str">
        <f t="shared" si="39"/>
        <v/>
      </c>
      <c r="X31" s="256" t="str">
        <f t="shared" si="0"/>
        <v/>
      </c>
      <c r="Y31" s="72" t="str">
        <f>IF($S31="","",SUM(X31:X$114))</f>
        <v/>
      </c>
      <c r="Z31" s="256" t="str">
        <f t="shared" si="30"/>
        <v/>
      </c>
      <c r="AA31" s="256">
        <f t="shared" si="31"/>
        <v>0</v>
      </c>
      <c r="AB31" s="256" t="str">
        <f>Main_무해지!AJ31</f>
        <v/>
      </c>
      <c r="AC31" s="256" t="str">
        <f t="shared" si="1"/>
        <v/>
      </c>
      <c r="AD31" s="256" t="str">
        <f t="shared" si="40"/>
        <v/>
      </c>
      <c r="AE31" s="256" t="str">
        <f t="shared" si="2"/>
        <v/>
      </c>
      <c r="AF31" s="72" t="str">
        <f>IF($S31="","",SUM(AE31:AE$114))</f>
        <v/>
      </c>
      <c r="AG31" s="71" t="str">
        <f>Main_무해지!AP31</f>
        <v/>
      </c>
      <c r="AH31" s="256" t="str">
        <f t="shared" si="3"/>
        <v/>
      </c>
      <c r="AI31" s="256" t="str">
        <f t="shared" si="4"/>
        <v/>
      </c>
      <c r="AJ31" s="256" t="str">
        <f t="shared" si="5"/>
        <v/>
      </c>
      <c r="AK31" s="75" t="str">
        <f>IF($S31="","",SUM($AL31:$AL$114))</f>
        <v/>
      </c>
      <c r="AL31" s="256" t="str">
        <f t="shared" si="32"/>
        <v/>
      </c>
      <c r="AM31" s="75" t="str">
        <f t="shared" si="6"/>
        <v/>
      </c>
      <c r="AN31" s="71" t="str">
        <f>IF($S31="","",INDEX(#REF!,$S31+1))</f>
        <v/>
      </c>
      <c r="AO31" s="256" t="str">
        <f t="shared" si="7"/>
        <v/>
      </c>
      <c r="AP31" s="256" t="str">
        <f t="shared" si="8"/>
        <v/>
      </c>
      <c r="AQ31" s="256" t="str">
        <f t="shared" si="9"/>
        <v/>
      </c>
      <c r="AR31" s="75" t="str">
        <f>IF($S31="","",SUM($AQ31:$AQ$114))</f>
        <v/>
      </c>
      <c r="AS31" s="71" t="str">
        <f>IF($S31="","",INDEX(#REF!,$S31+1))</f>
        <v/>
      </c>
      <c r="AT31" s="256" t="str">
        <f t="shared" si="10"/>
        <v/>
      </c>
      <c r="AU31" s="256" t="str">
        <f t="shared" si="11"/>
        <v/>
      </c>
      <c r="AV31" s="256" t="str">
        <f t="shared" si="12"/>
        <v/>
      </c>
      <c r="AW31" s="75" t="str">
        <f>IF($S31="","",SUM($AV31:$AV$114))</f>
        <v/>
      </c>
      <c r="AX31" s="71" t="str">
        <f>IF($S31="","",INDEX(#REF!,$S31+1))</f>
        <v/>
      </c>
      <c r="AY31" s="256" t="str">
        <f t="shared" si="13"/>
        <v/>
      </c>
      <c r="AZ31" s="256" t="str">
        <f t="shared" si="14"/>
        <v/>
      </c>
      <c r="BA31" s="256" t="str">
        <f t="shared" si="15"/>
        <v/>
      </c>
      <c r="BB31" s="75" t="str">
        <f>IF($S31="","",SUM($BA31:$BA$114))</f>
        <v/>
      </c>
      <c r="BC31" s="71" t="str">
        <f>IF($S31="","",INDEX(#REF!,$S31+1))</f>
        <v/>
      </c>
      <c r="BD31" s="256" t="str">
        <f t="shared" si="16"/>
        <v/>
      </c>
      <c r="BE31" s="256" t="str">
        <f t="shared" si="17"/>
        <v/>
      </c>
      <c r="BF31" s="256" t="str">
        <f t="shared" si="18"/>
        <v/>
      </c>
      <c r="BG31" s="75" t="str">
        <f>IF($S31="","",SUM($BF31:$BF$114))</f>
        <v/>
      </c>
      <c r="BH31" s="71" t="str">
        <f>IF($S31="","",INDEX(#REF!,$S31+1))</f>
        <v/>
      </c>
      <c r="BI31" s="256" t="str">
        <f t="shared" si="19"/>
        <v/>
      </c>
      <c r="BJ31" s="256" t="str">
        <f t="shared" si="20"/>
        <v/>
      </c>
      <c r="BK31" s="256" t="str">
        <f t="shared" si="21"/>
        <v/>
      </c>
      <c r="BL31" s="75" t="str">
        <f>IF($S31="","",SUM($BK31:$BK$114))</f>
        <v/>
      </c>
      <c r="BM31" s="71" t="str">
        <f t="shared" si="22"/>
        <v/>
      </c>
      <c r="BN31" s="256" t="str">
        <f t="shared" si="33"/>
        <v/>
      </c>
      <c r="BO31" s="256" t="str">
        <f t="shared" si="23"/>
        <v/>
      </c>
      <c r="BP31" s="256" t="str">
        <f t="shared" si="24"/>
        <v/>
      </c>
      <c r="BQ31" s="256" t="str">
        <f t="shared" si="34"/>
        <v/>
      </c>
      <c r="BR31" s="256"/>
      <c r="BS31" s="256"/>
      <c r="BT31" s="256"/>
      <c r="BU31" s="256"/>
      <c r="BV31" s="256" t="str">
        <f>IF($S31="","",SUM(BQ31:BQ$114))</f>
        <v/>
      </c>
      <c r="BW31" s="73" t="str">
        <f>IF(S31&lt;$E$3+$F$5,0,IFERROR(일반형_연납순보험료!S33,0))</f>
        <v/>
      </c>
      <c r="BX31" s="73"/>
      <c r="BY31" s="73"/>
      <c r="BZ31" s="73"/>
      <c r="CA31" s="73"/>
      <c r="CB31" s="256" t="str">
        <f t="shared" si="35"/>
        <v/>
      </c>
      <c r="CC31" s="256" t="str">
        <f t="shared" si="25"/>
        <v/>
      </c>
      <c r="CD31" s="256" t="str">
        <f t="shared" si="26"/>
        <v/>
      </c>
      <c r="CE31" s="256" t="str">
        <f t="shared" si="36"/>
        <v/>
      </c>
      <c r="CF31" s="256" t="str">
        <f t="shared" si="27"/>
        <v/>
      </c>
      <c r="CG31" s="76" t="str">
        <f t="shared" si="37"/>
        <v/>
      </c>
      <c r="CH31" s="77" t="str">
        <f t="shared" si="28"/>
        <v/>
      </c>
      <c r="CI31" s="238"/>
      <c r="CJ31" s="238"/>
      <c r="CK31" s="238"/>
      <c r="CL31" s="238"/>
      <c r="CM31" s="238"/>
      <c r="CN31" s="238"/>
      <c r="CO31" s="479"/>
      <c r="CP31" s="479"/>
      <c r="CQ31" s="479"/>
      <c r="CR31" s="479"/>
      <c r="CS31" s="479"/>
      <c r="CT31" s="479"/>
      <c r="CU31" s="479"/>
      <c r="CV31" s="479"/>
      <c r="CW31" s="479"/>
      <c r="CX31" s="479"/>
      <c r="CY31" s="479"/>
      <c r="CZ31" s="479"/>
      <c r="DA31" s="479"/>
      <c r="DB31" s="479"/>
      <c r="DC31" s="479"/>
      <c r="DD31" s="479"/>
      <c r="DE31" s="479"/>
      <c r="DF31" s="479"/>
      <c r="DG31" s="479"/>
      <c r="DH31" s="479"/>
      <c r="DI31" s="479"/>
      <c r="DJ31" s="479"/>
      <c r="DK31" s="479"/>
      <c r="DL31" s="479"/>
      <c r="DM31" s="479"/>
      <c r="DN31" s="479"/>
      <c r="DO31" s="479"/>
      <c r="DP31" s="479"/>
      <c r="DQ31" s="479"/>
      <c r="DR31" s="479"/>
      <c r="DS31" s="479"/>
      <c r="DT31" s="479"/>
      <c r="DU31" s="479"/>
      <c r="DV31" s="479"/>
      <c r="DW31" s="479"/>
      <c r="DX31" s="479"/>
      <c r="DY31" s="479"/>
      <c r="DZ31" s="479"/>
      <c r="EA31" s="479"/>
      <c r="EB31" s="479"/>
      <c r="EC31" s="479"/>
      <c r="ED31" s="479"/>
    </row>
    <row r="32" spans="1:134">
      <c r="A32" s="305"/>
      <c r="B32" s="373"/>
      <c r="C32" s="78"/>
      <c r="D32" s="106" t="s">
        <v>40</v>
      </c>
      <c r="E32" s="250">
        <f>Main_무해지!E32</f>
        <v>0</v>
      </c>
      <c r="F32" s="176">
        <f>F23</f>
        <v>7.0000000000000007E-5</v>
      </c>
      <c r="G32" s="79"/>
      <c r="H32" s="292"/>
      <c r="I32" s="48"/>
      <c r="J32" s="49" t="s">
        <v>177</v>
      </c>
      <c r="K32" s="483">
        <f>(K29-K30)-(K38-1)/(2*K38)*(K26-K27)</f>
        <v>100000.00000000001</v>
      </c>
      <c r="N32" s="275" t="str">
        <f t="shared" si="43"/>
        <v/>
      </c>
      <c r="O32" s="276" t="str">
        <f t="shared" si="44"/>
        <v/>
      </c>
      <c r="P32" s="277" t="str">
        <f t="shared" si="41"/>
        <v/>
      </c>
      <c r="Q32" s="277" t="str">
        <f t="shared" si="42"/>
        <v/>
      </c>
      <c r="R32" s="277"/>
      <c r="S32" s="70" t="str">
        <f t="shared" si="38"/>
        <v/>
      </c>
      <c r="T32" s="71" t="str">
        <f>Main_무해지!AC32</f>
        <v/>
      </c>
      <c r="U32" s="256">
        <f>+Main_무해지!AD32</f>
        <v>0</v>
      </c>
      <c r="V32" s="256" t="str">
        <f t="shared" si="29"/>
        <v/>
      </c>
      <c r="W32" s="256" t="str">
        <f t="shared" si="39"/>
        <v/>
      </c>
      <c r="X32" s="256" t="str">
        <f t="shared" si="0"/>
        <v/>
      </c>
      <c r="Y32" s="72" t="str">
        <f>IF($S32="","",SUM(X32:X$114))</f>
        <v/>
      </c>
      <c r="Z32" s="256" t="str">
        <f t="shared" si="30"/>
        <v/>
      </c>
      <c r="AA32" s="256">
        <f t="shared" si="31"/>
        <v>0</v>
      </c>
      <c r="AB32" s="256" t="str">
        <f>Main_무해지!AJ32</f>
        <v/>
      </c>
      <c r="AC32" s="256" t="str">
        <f t="shared" si="1"/>
        <v/>
      </c>
      <c r="AD32" s="256" t="str">
        <f t="shared" si="40"/>
        <v/>
      </c>
      <c r="AE32" s="256" t="str">
        <f t="shared" si="2"/>
        <v/>
      </c>
      <c r="AF32" s="72" t="str">
        <f>IF($S32="","",SUM(AE32:AE$114))</f>
        <v/>
      </c>
      <c r="AG32" s="71" t="str">
        <f>Main_무해지!AP32</f>
        <v/>
      </c>
      <c r="AH32" s="256" t="str">
        <f t="shared" si="3"/>
        <v/>
      </c>
      <c r="AI32" s="256" t="str">
        <f t="shared" si="4"/>
        <v/>
      </c>
      <c r="AJ32" s="256" t="str">
        <f t="shared" si="5"/>
        <v/>
      </c>
      <c r="AK32" s="75" t="str">
        <f>IF($S32="","",SUM($AL32:$AL$114))</f>
        <v/>
      </c>
      <c r="AL32" s="256" t="str">
        <f t="shared" si="32"/>
        <v/>
      </c>
      <c r="AM32" s="75" t="str">
        <f t="shared" si="6"/>
        <v/>
      </c>
      <c r="AN32" s="71" t="str">
        <f>IF($S32="","",INDEX(#REF!,$S32+1))</f>
        <v/>
      </c>
      <c r="AO32" s="256" t="str">
        <f t="shared" si="7"/>
        <v/>
      </c>
      <c r="AP32" s="256" t="str">
        <f t="shared" si="8"/>
        <v/>
      </c>
      <c r="AQ32" s="256" t="str">
        <f t="shared" si="9"/>
        <v/>
      </c>
      <c r="AR32" s="75" t="str">
        <f>IF($S32="","",SUM($AQ32:$AQ$114))</f>
        <v/>
      </c>
      <c r="AS32" s="71" t="str">
        <f>IF($S32="","",INDEX(#REF!,$S32+1))</f>
        <v/>
      </c>
      <c r="AT32" s="256" t="str">
        <f t="shared" si="10"/>
        <v/>
      </c>
      <c r="AU32" s="256" t="str">
        <f t="shared" si="11"/>
        <v/>
      </c>
      <c r="AV32" s="256" t="str">
        <f t="shared" si="12"/>
        <v/>
      </c>
      <c r="AW32" s="75" t="str">
        <f>IF($S32="","",SUM($AV32:$AV$114))</f>
        <v/>
      </c>
      <c r="AX32" s="71" t="str">
        <f>IF($S32="","",INDEX(#REF!,$S32+1))</f>
        <v/>
      </c>
      <c r="AY32" s="256" t="str">
        <f t="shared" si="13"/>
        <v/>
      </c>
      <c r="AZ32" s="256" t="str">
        <f t="shared" si="14"/>
        <v/>
      </c>
      <c r="BA32" s="256" t="str">
        <f t="shared" si="15"/>
        <v/>
      </c>
      <c r="BB32" s="75" t="str">
        <f>IF($S32="","",SUM($BA32:$BA$114))</f>
        <v/>
      </c>
      <c r="BC32" s="71" t="str">
        <f>IF($S32="","",INDEX(#REF!,$S32+1))</f>
        <v/>
      </c>
      <c r="BD32" s="256" t="str">
        <f t="shared" si="16"/>
        <v/>
      </c>
      <c r="BE32" s="256" t="str">
        <f t="shared" si="17"/>
        <v/>
      </c>
      <c r="BF32" s="256" t="str">
        <f t="shared" si="18"/>
        <v/>
      </c>
      <c r="BG32" s="75" t="str">
        <f>IF($S32="","",SUM($BF32:$BF$114))</f>
        <v/>
      </c>
      <c r="BH32" s="71" t="str">
        <f>IF($S32="","",INDEX(#REF!,$S32+1))</f>
        <v/>
      </c>
      <c r="BI32" s="256" t="str">
        <f t="shared" si="19"/>
        <v/>
      </c>
      <c r="BJ32" s="256" t="str">
        <f t="shared" si="20"/>
        <v/>
      </c>
      <c r="BK32" s="256" t="str">
        <f t="shared" si="21"/>
        <v/>
      </c>
      <c r="BL32" s="75" t="str">
        <f>IF($S32="","",SUM($BK32:$BK$114))</f>
        <v/>
      </c>
      <c r="BM32" s="71" t="str">
        <f t="shared" si="22"/>
        <v/>
      </c>
      <c r="BN32" s="256" t="str">
        <f t="shared" si="33"/>
        <v/>
      </c>
      <c r="BO32" s="256" t="str">
        <f t="shared" si="23"/>
        <v/>
      </c>
      <c r="BP32" s="256" t="str">
        <f t="shared" si="24"/>
        <v/>
      </c>
      <c r="BQ32" s="256" t="str">
        <f t="shared" si="34"/>
        <v/>
      </c>
      <c r="BR32" s="256"/>
      <c r="BS32" s="256"/>
      <c r="BT32" s="256"/>
      <c r="BU32" s="256"/>
      <c r="BV32" s="256" t="str">
        <f>IF($S32="","",SUM(BQ32:BQ$114))</f>
        <v/>
      </c>
      <c r="BW32" s="73" t="str">
        <f>IF(S32&lt;$E$3+$F$5,0,IFERROR(일반형_연납순보험료!S34,0))</f>
        <v/>
      </c>
      <c r="BX32" s="73"/>
      <c r="BY32" s="73"/>
      <c r="BZ32" s="73"/>
      <c r="CA32" s="73"/>
      <c r="CB32" s="256" t="str">
        <f t="shared" si="35"/>
        <v/>
      </c>
      <c r="CC32" s="256" t="str">
        <f t="shared" si="25"/>
        <v/>
      </c>
      <c r="CD32" s="256" t="str">
        <f t="shared" si="26"/>
        <v/>
      </c>
      <c r="CE32" s="256" t="str">
        <f t="shared" si="36"/>
        <v/>
      </c>
      <c r="CF32" s="256" t="str">
        <f t="shared" si="27"/>
        <v/>
      </c>
      <c r="CG32" s="76" t="str">
        <f t="shared" si="37"/>
        <v/>
      </c>
      <c r="CH32" s="77" t="str">
        <f t="shared" si="28"/>
        <v/>
      </c>
      <c r="CI32" s="238"/>
      <c r="CJ32" s="238"/>
      <c r="CK32" s="238"/>
      <c r="CL32" s="238"/>
      <c r="CM32" s="238"/>
      <c r="CN32" s="238"/>
      <c r="CO32" s="479"/>
      <c r="CP32" s="479"/>
      <c r="CQ32" s="479"/>
      <c r="CR32" s="479"/>
      <c r="CS32" s="479"/>
      <c r="CT32" s="479"/>
      <c r="CU32" s="479"/>
      <c r="CV32" s="479"/>
      <c r="CW32" s="479"/>
      <c r="CX32" s="479"/>
      <c r="CY32" s="479"/>
      <c r="CZ32" s="479"/>
      <c r="DA32" s="479"/>
      <c r="DB32" s="479"/>
      <c r="DC32" s="479"/>
      <c r="DD32" s="479"/>
      <c r="DE32" s="479"/>
      <c r="DF32" s="479"/>
      <c r="DG32" s="479"/>
      <c r="DH32" s="479"/>
      <c r="DI32" s="479"/>
      <c r="DJ32" s="479"/>
      <c r="DK32" s="479"/>
      <c r="DL32" s="479"/>
      <c r="DM32" s="479"/>
      <c r="DN32" s="479"/>
      <c r="DO32" s="479"/>
      <c r="DP32" s="479"/>
      <c r="DQ32" s="479"/>
      <c r="DR32" s="479"/>
      <c r="DS32" s="479"/>
      <c r="DT32" s="479"/>
      <c r="DU32" s="479"/>
      <c r="DV32" s="479"/>
      <c r="DW32" s="479"/>
      <c r="DX32" s="479"/>
      <c r="DY32" s="479"/>
      <c r="DZ32" s="479"/>
      <c r="EA32" s="479"/>
      <c r="EB32" s="479"/>
      <c r="EC32" s="479"/>
      <c r="ED32" s="479"/>
    </row>
    <row r="33" spans="1:134">
      <c r="A33" s="305"/>
      <c r="B33" s="373"/>
      <c r="C33" s="78"/>
      <c r="D33" s="106" t="s">
        <v>56</v>
      </c>
      <c r="E33" s="250">
        <f>Main_무해지!E33</f>
        <v>0</v>
      </c>
      <c r="F33" s="307">
        <f>E33</f>
        <v>0</v>
      </c>
      <c r="G33" s="79"/>
      <c r="H33" s="292"/>
      <c r="I33" s="48"/>
      <c r="J33" s="49" t="s">
        <v>173</v>
      </c>
      <c r="K33" s="483">
        <f>IF(F5=0,K23-K25,K24-K25)</f>
        <v>0</v>
      </c>
      <c r="N33" s="278" t="str">
        <f t="shared" si="43"/>
        <v/>
      </c>
      <c r="O33" s="279" t="str">
        <f t="shared" si="44"/>
        <v/>
      </c>
      <c r="P33" s="271" t="str">
        <f t="shared" si="41"/>
        <v/>
      </c>
      <c r="Q33" s="271" t="str">
        <f t="shared" si="42"/>
        <v/>
      </c>
      <c r="R33" s="271"/>
      <c r="S33" s="70" t="str">
        <f t="shared" si="38"/>
        <v/>
      </c>
      <c r="T33" s="71" t="str">
        <f>Main_무해지!AC33</f>
        <v/>
      </c>
      <c r="U33" s="256">
        <f>+Main_무해지!AD33</f>
        <v>0</v>
      </c>
      <c r="V33" s="256" t="str">
        <f t="shared" si="29"/>
        <v/>
      </c>
      <c r="W33" s="256" t="str">
        <f t="shared" si="39"/>
        <v/>
      </c>
      <c r="X33" s="256" t="str">
        <f t="shared" si="0"/>
        <v/>
      </c>
      <c r="Y33" s="72" t="str">
        <f>IF($S33="","",SUM(X33:X$114))</f>
        <v/>
      </c>
      <c r="Z33" s="256" t="str">
        <f t="shared" si="30"/>
        <v/>
      </c>
      <c r="AA33" s="256">
        <f t="shared" si="31"/>
        <v>0</v>
      </c>
      <c r="AB33" s="256" t="str">
        <f>Main_무해지!AJ33</f>
        <v/>
      </c>
      <c r="AC33" s="256" t="str">
        <f t="shared" si="1"/>
        <v/>
      </c>
      <c r="AD33" s="256" t="str">
        <f t="shared" si="40"/>
        <v/>
      </c>
      <c r="AE33" s="256" t="str">
        <f t="shared" si="2"/>
        <v/>
      </c>
      <c r="AF33" s="72" t="str">
        <f>IF($S33="","",SUM(AE33:AE$114))</f>
        <v/>
      </c>
      <c r="AG33" s="71" t="str">
        <f>Main_무해지!AP33</f>
        <v/>
      </c>
      <c r="AH33" s="256" t="str">
        <f t="shared" si="3"/>
        <v/>
      </c>
      <c r="AI33" s="256" t="str">
        <f t="shared" si="4"/>
        <v/>
      </c>
      <c r="AJ33" s="256" t="str">
        <f t="shared" si="5"/>
        <v/>
      </c>
      <c r="AK33" s="75" t="str">
        <f>IF($S33="","",SUM($AL33:$AL$114))</f>
        <v/>
      </c>
      <c r="AL33" s="256" t="str">
        <f t="shared" si="32"/>
        <v/>
      </c>
      <c r="AM33" s="75" t="str">
        <f t="shared" si="6"/>
        <v/>
      </c>
      <c r="AN33" s="71" t="str">
        <f>IF($S33="","",INDEX(#REF!,$S33+1))</f>
        <v/>
      </c>
      <c r="AO33" s="256" t="str">
        <f t="shared" si="7"/>
        <v/>
      </c>
      <c r="AP33" s="256" t="str">
        <f t="shared" si="8"/>
        <v/>
      </c>
      <c r="AQ33" s="256" t="str">
        <f t="shared" si="9"/>
        <v/>
      </c>
      <c r="AR33" s="75" t="str">
        <f>IF($S33="","",SUM($AQ33:$AQ$114))</f>
        <v/>
      </c>
      <c r="AS33" s="71" t="str">
        <f>IF($S33="","",INDEX(#REF!,$S33+1))</f>
        <v/>
      </c>
      <c r="AT33" s="256" t="str">
        <f t="shared" si="10"/>
        <v/>
      </c>
      <c r="AU33" s="256" t="str">
        <f t="shared" si="11"/>
        <v/>
      </c>
      <c r="AV33" s="256" t="str">
        <f t="shared" si="12"/>
        <v/>
      </c>
      <c r="AW33" s="75" t="str">
        <f>IF($S33="","",SUM($AV33:$AV$114))</f>
        <v/>
      </c>
      <c r="AX33" s="71" t="str">
        <f>IF($S33="","",INDEX(#REF!,$S33+1))</f>
        <v/>
      </c>
      <c r="AY33" s="256" t="str">
        <f t="shared" si="13"/>
        <v/>
      </c>
      <c r="AZ33" s="256" t="str">
        <f t="shared" si="14"/>
        <v/>
      </c>
      <c r="BA33" s="256" t="str">
        <f t="shared" si="15"/>
        <v/>
      </c>
      <c r="BB33" s="75" t="str">
        <f>IF($S33="","",SUM($BA33:$BA$114))</f>
        <v/>
      </c>
      <c r="BC33" s="71" t="str">
        <f>IF($S33="","",INDEX(#REF!,$S33+1))</f>
        <v/>
      </c>
      <c r="BD33" s="256" t="str">
        <f t="shared" si="16"/>
        <v/>
      </c>
      <c r="BE33" s="256" t="str">
        <f t="shared" si="17"/>
        <v/>
      </c>
      <c r="BF33" s="256" t="str">
        <f t="shared" si="18"/>
        <v/>
      </c>
      <c r="BG33" s="75" t="str">
        <f>IF($S33="","",SUM($BF33:$BF$114))</f>
        <v/>
      </c>
      <c r="BH33" s="71" t="str">
        <f>IF($S33="","",INDEX(#REF!,$S33+1))</f>
        <v/>
      </c>
      <c r="BI33" s="256" t="str">
        <f t="shared" si="19"/>
        <v/>
      </c>
      <c r="BJ33" s="256" t="str">
        <f t="shared" si="20"/>
        <v/>
      </c>
      <c r="BK33" s="256" t="str">
        <f t="shared" si="21"/>
        <v/>
      </c>
      <c r="BL33" s="75" t="str">
        <f>IF($S33="","",SUM($BK33:$BK$114))</f>
        <v/>
      </c>
      <c r="BM33" s="71" t="str">
        <f t="shared" si="22"/>
        <v/>
      </c>
      <c r="BN33" s="256" t="str">
        <f t="shared" si="33"/>
        <v/>
      </c>
      <c r="BO33" s="256" t="str">
        <f t="shared" si="23"/>
        <v/>
      </c>
      <c r="BP33" s="256" t="str">
        <f t="shared" si="24"/>
        <v/>
      </c>
      <c r="BQ33" s="256" t="str">
        <f t="shared" si="34"/>
        <v/>
      </c>
      <c r="BR33" s="256"/>
      <c r="BS33" s="256"/>
      <c r="BT33" s="256"/>
      <c r="BU33" s="256"/>
      <c r="BV33" s="256" t="str">
        <f>IF($S33="","",SUM(BQ33:BQ$114))</f>
        <v/>
      </c>
      <c r="BW33" s="73" t="str">
        <f>IF(S33&lt;$E$3+$F$5,0,IFERROR(일반형_연납순보험료!S35,0))</f>
        <v/>
      </c>
      <c r="BX33" s="73"/>
      <c r="BY33" s="73"/>
      <c r="BZ33" s="73"/>
      <c r="CA33" s="73"/>
      <c r="CB33" s="256" t="str">
        <f t="shared" si="35"/>
        <v/>
      </c>
      <c r="CC33" s="256" t="str">
        <f t="shared" si="25"/>
        <v/>
      </c>
      <c r="CD33" s="256" t="str">
        <f t="shared" si="26"/>
        <v/>
      </c>
      <c r="CE33" s="256" t="str">
        <f t="shared" si="36"/>
        <v/>
      </c>
      <c r="CF33" s="256" t="str">
        <f t="shared" si="27"/>
        <v/>
      </c>
      <c r="CG33" s="76" t="str">
        <f t="shared" si="37"/>
        <v/>
      </c>
      <c r="CH33" s="77" t="str">
        <f t="shared" si="28"/>
        <v/>
      </c>
      <c r="CI33" s="238"/>
      <c r="CJ33" s="238"/>
      <c r="CK33" s="238"/>
      <c r="CL33" s="238"/>
      <c r="CM33" s="238"/>
      <c r="CN33" s="238"/>
      <c r="CO33" s="479"/>
      <c r="CP33" s="479"/>
      <c r="CQ33" s="479"/>
      <c r="CR33" s="479"/>
      <c r="CS33" s="479"/>
      <c r="CT33" s="479"/>
      <c r="CU33" s="479"/>
      <c r="CV33" s="479"/>
      <c r="CW33" s="479"/>
      <c r="CX33" s="479"/>
      <c r="CY33" s="479"/>
      <c r="CZ33" s="479"/>
      <c r="DA33" s="479"/>
      <c r="DB33" s="479"/>
      <c r="DC33" s="479"/>
      <c r="DD33" s="479"/>
      <c r="DE33" s="479"/>
      <c r="DF33" s="479"/>
      <c r="DG33" s="479"/>
      <c r="DH33" s="479"/>
      <c r="DI33" s="479"/>
      <c r="DJ33" s="479"/>
      <c r="DK33" s="479"/>
      <c r="DL33" s="479"/>
      <c r="DM33" s="479"/>
      <c r="DN33" s="479"/>
      <c r="DO33" s="479"/>
      <c r="DP33" s="479"/>
      <c r="DQ33" s="479"/>
      <c r="DR33" s="479"/>
      <c r="DS33" s="479"/>
      <c r="DT33" s="479"/>
      <c r="DU33" s="479"/>
      <c r="DV33" s="479"/>
      <c r="DW33" s="479"/>
      <c r="DX33" s="479"/>
      <c r="DY33" s="479"/>
      <c r="DZ33" s="479"/>
      <c r="EA33" s="479"/>
      <c r="EB33" s="479"/>
      <c r="EC33" s="479"/>
      <c r="ED33" s="479"/>
    </row>
    <row r="34" spans="1:134">
      <c r="A34" s="305"/>
      <c r="B34" s="373"/>
      <c r="C34" s="78"/>
      <c r="D34" s="107" t="s">
        <v>45</v>
      </c>
      <c r="E34" s="250">
        <f>Main_무해지!E34</f>
        <v>0</v>
      </c>
      <c r="F34" s="176"/>
      <c r="G34" s="79"/>
      <c r="H34" s="292"/>
      <c r="I34" s="48"/>
      <c r="J34" s="49" t="s">
        <v>171</v>
      </c>
      <c r="K34" s="483">
        <f>IF(F5=0,K37*K22,K37*F5*K22)</f>
        <v>0</v>
      </c>
      <c r="N34" s="278" t="str">
        <f t="shared" si="43"/>
        <v/>
      </c>
      <c r="O34" s="279" t="str">
        <f t="shared" si="44"/>
        <v/>
      </c>
      <c r="P34" s="271" t="str">
        <f t="shared" si="41"/>
        <v/>
      </c>
      <c r="Q34" s="271" t="str">
        <f t="shared" si="42"/>
        <v/>
      </c>
      <c r="R34" s="271"/>
      <c r="S34" s="83" t="str">
        <f t="shared" si="38"/>
        <v/>
      </c>
      <c r="T34" s="84" t="str">
        <f>Main_무해지!AC34</f>
        <v/>
      </c>
      <c r="U34" s="257">
        <f>+Main_무해지!AD34</f>
        <v>0</v>
      </c>
      <c r="V34" s="257" t="str">
        <f t="shared" si="29"/>
        <v/>
      </c>
      <c r="W34" s="257" t="str">
        <f t="shared" si="39"/>
        <v/>
      </c>
      <c r="X34" s="257" t="str">
        <f t="shared" si="0"/>
        <v/>
      </c>
      <c r="Y34" s="85" t="str">
        <f>IF($S34="","",SUM(X34:X$114))</f>
        <v/>
      </c>
      <c r="Z34" s="257" t="str">
        <f t="shared" si="30"/>
        <v/>
      </c>
      <c r="AA34" s="257">
        <f t="shared" si="31"/>
        <v>0</v>
      </c>
      <c r="AB34" s="257" t="str">
        <f>Main_무해지!AJ34</f>
        <v/>
      </c>
      <c r="AC34" s="257" t="str">
        <f t="shared" si="1"/>
        <v/>
      </c>
      <c r="AD34" s="257" t="str">
        <f t="shared" si="40"/>
        <v/>
      </c>
      <c r="AE34" s="257" t="str">
        <f t="shared" si="2"/>
        <v/>
      </c>
      <c r="AF34" s="85" t="str">
        <f>IF($S34="","",SUM(AE34:AE$114))</f>
        <v/>
      </c>
      <c r="AG34" s="84" t="str">
        <f>Main_무해지!AP34</f>
        <v/>
      </c>
      <c r="AH34" s="257" t="str">
        <f t="shared" si="3"/>
        <v/>
      </c>
      <c r="AI34" s="257" t="str">
        <f t="shared" si="4"/>
        <v/>
      </c>
      <c r="AJ34" s="257" t="str">
        <f t="shared" si="5"/>
        <v/>
      </c>
      <c r="AK34" s="88" t="str">
        <f>IF($S34="","",SUM($AL34:$AL$114))</f>
        <v/>
      </c>
      <c r="AL34" s="257" t="str">
        <f t="shared" si="32"/>
        <v/>
      </c>
      <c r="AM34" s="88" t="str">
        <f t="shared" si="6"/>
        <v/>
      </c>
      <c r="AN34" s="84" t="str">
        <f>IF($S34="","",INDEX(#REF!,$S34+1))</f>
        <v/>
      </c>
      <c r="AO34" s="257" t="str">
        <f t="shared" si="7"/>
        <v/>
      </c>
      <c r="AP34" s="257" t="str">
        <f t="shared" si="8"/>
        <v/>
      </c>
      <c r="AQ34" s="257" t="str">
        <f t="shared" si="9"/>
        <v/>
      </c>
      <c r="AR34" s="88" t="str">
        <f>IF($S34="","",SUM($AQ34:$AQ$114))</f>
        <v/>
      </c>
      <c r="AS34" s="84" t="str">
        <f>IF($S34="","",INDEX(#REF!,$S34+1))</f>
        <v/>
      </c>
      <c r="AT34" s="257" t="str">
        <f t="shared" si="10"/>
        <v/>
      </c>
      <c r="AU34" s="257" t="str">
        <f t="shared" si="11"/>
        <v/>
      </c>
      <c r="AV34" s="257" t="str">
        <f t="shared" si="12"/>
        <v/>
      </c>
      <c r="AW34" s="88" t="str">
        <f>IF($S34="","",SUM($AV34:$AV$114))</f>
        <v/>
      </c>
      <c r="AX34" s="84" t="str">
        <f>IF($S34="","",INDEX(#REF!,$S34+1))</f>
        <v/>
      </c>
      <c r="AY34" s="257" t="str">
        <f t="shared" si="13"/>
        <v/>
      </c>
      <c r="AZ34" s="257" t="str">
        <f t="shared" si="14"/>
        <v/>
      </c>
      <c r="BA34" s="257" t="str">
        <f t="shared" si="15"/>
        <v/>
      </c>
      <c r="BB34" s="88" t="str">
        <f>IF($S34="","",SUM($BA34:$BA$114))</f>
        <v/>
      </c>
      <c r="BC34" s="84" t="str">
        <f>IF($S34="","",INDEX(#REF!,$S34+1))</f>
        <v/>
      </c>
      <c r="BD34" s="257" t="str">
        <f t="shared" si="16"/>
        <v/>
      </c>
      <c r="BE34" s="257" t="str">
        <f t="shared" si="17"/>
        <v/>
      </c>
      <c r="BF34" s="257" t="str">
        <f t="shared" si="18"/>
        <v/>
      </c>
      <c r="BG34" s="88" t="str">
        <f>IF($S34="","",SUM($BF34:$BF$114))</f>
        <v/>
      </c>
      <c r="BH34" s="84" t="str">
        <f>IF($S34="","",INDEX(#REF!,$S34+1))</f>
        <v/>
      </c>
      <c r="BI34" s="257" t="str">
        <f t="shared" si="19"/>
        <v/>
      </c>
      <c r="BJ34" s="257" t="str">
        <f t="shared" si="20"/>
        <v/>
      </c>
      <c r="BK34" s="257" t="str">
        <f t="shared" si="21"/>
        <v/>
      </c>
      <c r="BL34" s="88" t="str">
        <f>IF($S34="","",SUM($BK34:$BK$114))</f>
        <v/>
      </c>
      <c r="BM34" s="84" t="str">
        <f t="shared" si="22"/>
        <v/>
      </c>
      <c r="BN34" s="257" t="str">
        <f t="shared" si="33"/>
        <v/>
      </c>
      <c r="BO34" s="257" t="str">
        <f t="shared" si="23"/>
        <v/>
      </c>
      <c r="BP34" s="257" t="str">
        <f t="shared" si="24"/>
        <v/>
      </c>
      <c r="BQ34" s="257" t="str">
        <f t="shared" si="34"/>
        <v/>
      </c>
      <c r="BR34" s="257"/>
      <c r="BS34" s="257"/>
      <c r="BT34" s="257"/>
      <c r="BU34" s="257"/>
      <c r="BV34" s="257" t="str">
        <f>IF($S34="","",SUM(BQ34:BQ$114))</f>
        <v/>
      </c>
      <c r="BW34" s="86" t="str">
        <f>IF(S34&lt;$E$3+$F$5,0,IFERROR(일반형_연납순보험료!S36,0))</f>
        <v/>
      </c>
      <c r="BX34" s="86"/>
      <c r="BY34" s="86"/>
      <c r="BZ34" s="86"/>
      <c r="CA34" s="86"/>
      <c r="CB34" s="257" t="str">
        <f t="shared" si="35"/>
        <v/>
      </c>
      <c r="CC34" s="257" t="str">
        <f t="shared" si="25"/>
        <v/>
      </c>
      <c r="CD34" s="257" t="str">
        <f t="shared" si="26"/>
        <v/>
      </c>
      <c r="CE34" s="257" t="str">
        <f t="shared" si="36"/>
        <v/>
      </c>
      <c r="CF34" s="257" t="str">
        <f t="shared" si="27"/>
        <v/>
      </c>
      <c r="CG34" s="89" t="str">
        <f t="shared" si="37"/>
        <v/>
      </c>
      <c r="CH34" s="90" t="str">
        <f t="shared" si="28"/>
        <v/>
      </c>
      <c r="CI34" s="239"/>
      <c r="CJ34" s="239"/>
      <c r="CK34" s="239"/>
      <c r="CL34" s="239"/>
      <c r="CM34" s="239"/>
      <c r="CN34" s="239"/>
      <c r="CO34" s="479"/>
      <c r="CP34" s="479"/>
      <c r="CQ34" s="479"/>
      <c r="CR34" s="479"/>
      <c r="CS34" s="479"/>
      <c r="CT34" s="479"/>
      <c r="CU34" s="479"/>
      <c r="CV34" s="479"/>
      <c r="CW34" s="479"/>
      <c r="CX34" s="479"/>
      <c r="CY34" s="479"/>
      <c r="CZ34" s="479"/>
      <c r="DA34" s="479"/>
      <c r="DB34" s="479"/>
      <c r="DC34" s="479"/>
      <c r="DD34" s="479"/>
      <c r="DE34" s="479"/>
      <c r="DF34" s="479"/>
      <c r="DG34" s="479"/>
      <c r="DH34" s="479"/>
      <c r="DI34" s="479"/>
      <c r="DJ34" s="479"/>
      <c r="DK34" s="479"/>
      <c r="DL34" s="479"/>
      <c r="DM34" s="479"/>
      <c r="DN34" s="479"/>
      <c r="DO34" s="479"/>
      <c r="DP34" s="479"/>
      <c r="DQ34" s="479"/>
      <c r="DR34" s="479"/>
      <c r="DS34" s="479"/>
      <c r="DT34" s="479"/>
      <c r="DU34" s="479"/>
      <c r="DV34" s="479"/>
      <c r="DW34" s="479"/>
      <c r="DX34" s="479"/>
      <c r="DY34" s="479"/>
      <c r="DZ34" s="479"/>
      <c r="EA34" s="479"/>
      <c r="EB34" s="479"/>
      <c r="EC34" s="479"/>
      <c r="ED34" s="479"/>
    </row>
    <row r="35" spans="1:134">
      <c r="A35" s="305"/>
      <c r="B35" s="373"/>
      <c r="C35" s="78"/>
      <c r="D35" s="107" t="s">
        <v>47</v>
      </c>
      <c r="E35" s="250">
        <f>Main_무해지!E35</f>
        <v>0</v>
      </c>
      <c r="F35" s="176"/>
      <c r="G35" s="79"/>
      <c r="H35" s="292"/>
      <c r="I35" s="48"/>
      <c r="J35" s="95" t="s">
        <v>168</v>
      </c>
      <c r="K35" s="485">
        <f>CB4</f>
        <v>0.7046171514186621</v>
      </c>
      <c r="N35" s="278" t="str">
        <f t="shared" si="43"/>
        <v/>
      </c>
      <c r="O35" s="279" t="str">
        <f t="shared" si="44"/>
        <v/>
      </c>
      <c r="P35" s="271" t="str">
        <f t="shared" si="41"/>
        <v/>
      </c>
      <c r="Q35" s="271" t="str">
        <f t="shared" si="42"/>
        <v/>
      </c>
      <c r="R35" s="271"/>
      <c r="S35" s="750" t="str">
        <f t="shared" si="38"/>
        <v/>
      </c>
      <c r="T35" s="752" t="str">
        <f>Main_무해지!AC35</f>
        <v/>
      </c>
      <c r="U35" s="408">
        <f>+Main_무해지!AD35</f>
        <v>0</v>
      </c>
      <c r="V35" s="408" t="str">
        <f t="shared" si="29"/>
        <v/>
      </c>
      <c r="W35" s="408" t="str">
        <f t="shared" si="39"/>
        <v/>
      </c>
      <c r="X35" s="408" t="str">
        <f t="shared" si="0"/>
        <v/>
      </c>
      <c r="Y35" s="751" t="str">
        <f>IF($S35="","",SUM(X35:X$114))</f>
        <v/>
      </c>
      <c r="Z35" s="408" t="str">
        <f t="shared" si="30"/>
        <v/>
      </c>
      <c r="AA35" s="408">
        <f t="shared" si="31"/>
        <v>0</v>
      </c>
      <c r="AB35" s="408" t="str">
        <f>Main_무해지!AJ35</f>
        <v/>
      </c>
      <c r="AC35" s="408" t="str">
        <f t="shared" si="1"/>
        <v/>
      </c>
      <c r="AD35" s="408" t="str">
        <f t="shared" si="40"/>
        <v/>
      </c>
      <c r="AE35" s="408" t="str">
        <f t="shared" si="2"/>
        <v/>
      </c>
      <c r="AF35" s="751" t="str">
        <f>IF($S35="","",SUM(AE35:AE$114))</f>
        <v/>
      </c>
      <c r="AG35" s="752" t="str">
        <f>Main_무해지!AP35</f>
        <v/>
      </c>
      <c r="AH35" s="408" t="str">
        <f t="shared" si="3"/>
        <v/>
      </c>
      <c r="AI35" s="408" t="str">
        <f t="shared" si="4"/>
        <v/>
      </c>
      <c r="AJ35" s="408" t="str">
        <f t="shared" si="5"/>
        <v/>
      </c>
      <c r="AK35" s="753" t="str">
        <f>IF($S35="","",SUM($AL35:$AL$114))</f>
        <v/>
      </c>
      <c r="AL35" s="408" t="str">
        <f t="shared" si="32"/>
        <v/>
      </c>
      <c r="AM35" s="753" t="str">
        <f t="shared" si="6"/>
        <v/>
      </c>
      <c r="AN35" s="752" t="str">
        <f>IF($S35="","",INDEX(#REF!,$S35+1))</f>
        <v/>
      </c>
      <c r="AO35" s="408" t="str">
        <f t="shared" si="7"/>
        <v/>
      </c>
      <c r="AP35" s="408" t="str">
        <f t="shared" si="8"/>
        <v/>
      </c>
      <c r="AQ35" s="408" t="str">
        <f t="shared" si="9"/>
        <v/>
      </c>
      <c r="AR35" s="753" t="str">
        <f>IF($S35="","",SUM($AQ35:$AQ$114))</f>
        <v/>
      </c>
      <c r="AS35" s="752" t="str">
        <f>IF($S35="","",INDEX(#REF!,$S35+1))</f>
        <v/>
      </c>
      <c r="AT35" s="408" t="str">
        <f t="shared" si="10"/>
        <v/>
      </c>
      <c r="AU35" s="408" t="str">
        <f t="shared" si="11"/>
        <v/>
      </c>
      <c r="AV35" s="408" t="str">
        <f t="shared" si="12"/>
        <v/>
      </c>
      <c r="AW35" s="753" t="str">
        <f>IF($S35="","",SUM($AV35:$AV$114))</f>
        <v/>
      </c>
      <c r="AX35" s="752" t="str">
        <f>IF($S35="","",INDEX(#REF!,$S35+1))</f>
        <v/>
      </c>
      <c r="AY35" s="408" t="str">
        <f t="shared" si="13"/>
        <v/>
      </c>
      <c r="AZ35" s="408" t="str">
        <f t="shared" si="14"/>
        <v/>
      </c>
      <c r="BA35" s="408" t="str">
        <f t="shared" si="15"/>
        <v/>
      </c>
      <c r="BB35" s="753" t="str">
        <f>IF($S35="","",SUM($BA35:$BA$114))</f>
        <v/>
      </c>
      <c r="BC35" s="752" t="str">
        <f>IF($S35="","",INDEX(#REF!,$S35+1))</f>
        <v/>
      </c>
      <c r="BD35" s="408" t="str">
        <f t="shared" si="16"/>
        <v/>
      </c>
      <c r="BE35" s="408" t="str">
        <f t="shared" si="17"/>
        <v/>
      </c>
      <c r="BF35" s="408" t="str">
        <f t="shared" si="18"/>
        <v/>
      </c>
      <c r="BG35" s="753" t="str">
        <f>IF($S35="","",SUM($BF35:$BF$114))</f>
        <v/>
      </c>
      <c r="BH35" s="752" t="str">
        <f>IF($S35="","",INDEX(#REF!,$S35+1))</f>
        <v/>
      </c>
      <c r="BI35" s="408" t="str">
        <f t="shared" si="19"/>
        <v/>
      </c>
      <c r="BJ35" s="408" t="str">
        <f t="shared" si="20"/>
        <v/>
      </c>
      <c r="BK35" s="408" t="str">
        <f t="shared" si="21"/>
        <v/>
      </c>
      <c r="BL35" s="753" t="str">
        <f>IF($S35="","",SUM($BK35:$BK$114))</f>
        <v/>
      </c>
      <c r="BM35" s="752" t="str">
        <f t="shared" si="22"/>
        <v/>
      </c>
      <c r="BN35" s="408" t="str">
        <f t="shared" si="33"/>
        <v/>
      </c>
      <c r="BO35" s="408" t="str">
        <f t="shared" si="23"/>
        <v/>
      </c>
      <c r="BP35" s="408" t="str">
        <f t="shared" si="24"/>
        <v/>
      </c>
      <c r="BQ35" s="408" t="str">
        <f t="shared" si="34"/>
        <v/>
      </c>
      <c r="BR35" s="408"/>
      <c r="BS35" s="408"/>
      <c r="BT35" s="408"/>
      <c r="BU35" s="408"/>
      <c r="BV35" s="408" t="str">
        <f>IF($S35="","",SUM(BQ35:BQ$114))</f>
        <v/>
      </c>
      <c r="BW35" s="754" t="str">
        <f>IF(S35&lt;$E$3+$F$5,0,IFERROR(일반형_연납순보험료!S37,0))</f>
        <v/>
      </c>
      <c r="BX35" s="754"/>
      <c r="BY35" s="754"/>
      <c r="BZ35" s="754"/>
      <c r="CA35" s="754"/>
      <c r="CB35" s="408" t="str">
        <f t="shared" si="35"/>
        <v/>
      </c>
      <c r="CC35" s="408" t="str">
        <f t="shared" si="25"/>
        <v/>
      </c>
      <c r="CD35" s="408" t="str">
        <f t="shared" si="26"/>
        <v/>
      </c>
      <c r="CE35" s="408" t="str">
        <f t="shared" si="36"/>
        <v/>
      </c>
      <c r="CF35" s="408" t="str">
        <f t="shared" si="27"/>
        <v/>
      </c>
      <c r="CG35" s="756" t="str">
        <f t="shared" si="37"/>
        <v/>
      </c>
      <c r="CH35" s="757" t="str">
        <f t="shared" si="28"/>
        <v/>
      </c>
      <c r="CI35" s="413"/>
      <c r="CJ35" s="413"/>
      <c r="CK35" s="413"/>
      <c r="CL35" s="413"/>
      <c r="CM35" s="413"/>
      <c r="CN35" s="413"/>
      <c r="CO35" s="479"/>
      <c r="CP35" s="479"/>
      <c r="CQ35" s="479"/>
      <c r="CR35" s="479"/>
      <c r="CS35" s="479"/>
      <c r="CT35" s="479"/>
      <c r="CU35" s="479"/>
      <c r="CV35" s="479"/>
      <c r="CW35" s="479"/>
      <c r="CX35" s="479"/>
      <c r="CY35" s="479"/>
      <c r="CZ35" s="479"/>
      <c r="DA35" s="479"/>
      <c r="DB35" s="479"/>
      <c r="DC35" s="479"/>
      <c r="DD35" s="479"/>
      <c r="DE35" s="479"/>
      <c r="DF35" s="479"/>
      <c r="DG35" s="479"/>
      <c r="DH35" s="479"/>
      <c r="DI35" s="479"/>
      <c r="DJ35" s="479"/>
      <c r="DK35" s="479"/>
      <c r="DL35" s="479"/>
      <c r="DM35" s="479"/>
      <c r="DN35" s="479"/>
      <c r="DO35" s="479"/>
      <c r="DP35" s="479"/>
      <c r="DQ35" s="479"/>
      <c r="DR35" s="479"/>
      <c r="DS35" s="479"/>
      <c r="DT35" s="479"/>
      <c r="DU35" s="479"/>
      <c r="DV35" s="479"/>
      <c r="DW35" s="479"/>
      <c r="DX35" s="479"/>
      <c r="DY35" s="479"/>
      <c r="DZ35" s="479"/>
      <c r="EA35" s="479"/>
      <c r="EB35" s="479"/>
      <c r="EC35" s="479"/>
      <c r="ED35" s="479"/>
    </row>
    <row r="36" spans="1:134">
      <c r="A36" s="305"/>
      <c r="B36" s="373"/>
      <c r="C36" s="117"/>
      <c r="D36" s="118" t="s">
        <v>57</v>
      </c>
      <c r="E36" s="250">
        <f>Main_무해지!E36</f>
        <v>0</v>
      </c>
      <c r="F36" s="118"/>
      <c r="G36" s="119"/>
      <c r="H36" s="292"/>
      <c r="I36" s="48"/>
      <c r="J36" s="95" t="s">
        <v>215</v>
      </c>
      <c r="K36" s="485">
        <f>$F$5*(BV4-BV117)</f>
        <v>0</v>
      </c>
      <c r="N36" s="280" t="str">
        <f t="shared" si="43"/>
        <v/>
      </c>
      <c r="O36" s="281" t="str">
        <f t="shared" si="44"/>
        <v/>
      </c>
      <c r="P36" s="282" t="str">
        <f t="shared" si="41"/>
        <v/>
      </c>
      <c r="Q36" s="282" t="str">
        <f t="shared" si="42"/>
        <v/>
      </c>
      <c r="R36" s="282"/>
      <c r="S36" s="52" t="str">
        <f t="shared" si="38"/>
        <v/>
      </c>
      <c r="T36" s="53" t="str">
        <f>Main_무해지!AC36</f>
        <v/>
      </c>
      <c r="U36" s="254">
        <f>+Main_무해지!AD36</f>
        <v>0</v>
      </c>
      <c r="V36" s="254" t="str">
        <f t="shared" si="29"/>
        <v/>
      </c>
      <c r="W36" s="254" t="str">
        <f t="shared" si="39"/>
        <v/>
      </c>
      <c r="X36" s="254" t="str">
        <f t="shared" si="0"/>
        <v/>
      </c>
      <c r="Y36" s="54" t="str">
        <f>IF($S36="","",SUM(X36:X$114))</f>
        <v/>
      </c>
      <c r="Z36" s="254" t="str">
        <f t="shared" si="30"/>
        <v/>
      </c>
      <c r="AA36" s="254">
        <f t="shared" si="31"/>
        <v>0</v>
      </c>
      <c r="AB36" s="254" t="str">
        <f>Main_무해지!AJ36</f>
        <v/>
      </c>
      <c r="AC36" s="254" t="str">
        <f t="shared" si="1"/>
        <v/>
      </c>
      <c r="AD36" s="254" t="str">
        <f t="shared" si="40"/>
        <v/>
      </c>
      <c r="AE36" s="254" t="str">
        <f t="shared" si="2"/>
        <v/>
      </c>
      <c r="AF36" s="54" t="str">
        <f>IF($S36="","",SUM(AE36:AE$114))</f>
        <v/>
      </c>
      <c r="AG36" s="53" t="str">
        <f>Main_무해지!AP36</f>
        <v/>
      </c>
      <c r="AH36" s="254" t="str">
        <f t="shared" si="3"/>
        <v/>
      </c>
      <c r="AI36" s="254" t="str">
        <f t="shared" si="4"/>
        <v/>
      </c>
      <c r="AJ36" s="254" t="str">
        <f t="shared" si="5"/>
        <v/>
      </c>
      <c r="AK36" s="57" t="str">
        <f>IF($S36="","",SUM($AL36:$AL$114))</f>
        <v/>
      </c>
      <c r="AL36" s="254" t="str">
        <f t="shared" si="32"/>
        <v/>
      </c>
      <c r="AM36" s="57" t="str">
        <f t="shared" si="6"/>
        <v/>
      </c>
      <c r="AN36" s="53" t="str">
        <f>IF($S36="","",INDEX(#REF!,$S36+1))</f>
        <v/>
      </c>
      <c r="AO36" s="254" t="str">
        <f t="shared" si="7"/>
        <v/>
      </c>
      <c r="AP36" s="254" t="str">
        <f t="shared" si="8"/>
        <v/>
      </c>
      <c r="AQ36" s="254" t="str">
        <f t="shared" si="9"/>
        <v/>
      </c>
      <c r="AR36" s="57" t="str">
        <f>IF($S36="","",SUM($AQ36:$AQ$114))</f>
        <v/>
      </c>
      <c r="AS36" s="53" t="str">
        <f>IF($S36="","",INDEX(#REF!,$S36+1))</f>
        <v/>
      </c>
      <c r="AT36" s="254" t="str">
        <f t="shared" si="10"/>
        <v/>
      </c>
      <c r="AU36" s="254" t="str">
        <f t="shared" si="11"/>
        <v/>
      </c>
      <c r="AV36" s="254" t="str">
        <f t="shared" si="12"/>
        <v/>
      </c>
      <c r="AW36" s="57" t="str">
        <f>IF($S36="","",SUM($AV36:$AV$114))</f>
        <v/>
      </c>
      <c r="AX36" s="53" t="str">
        <f>IF($S36="","",INDEX(#REF!,$S36+1))</f>
        <v/>
      </c>
      <c r="AY36" s="254" t="str">
        <f t="shared" si="13"/>
        <v/>
      </c>
      <c r="AZ36" s="254" t="str">
        <f t="shared" si="14"/>
        <v/>
      </c>
      <c r="BA36" s="254" t="str">
        <f t="shared" si="15"/>
        <v/>
      </c>
      <c r="BB36" s="57" t="str">
        <f>IF($S36="","",SUM($BA36:$BA$114))</f>
        <v/>
      </c>
      <c r="BC36" s="53" t="str">
        <f>IF($S36="","",INDEX(#REF!,$S36+1))</f>
        <v/>
      </c>
      <c r="BD36" s="254" t="str">
        <f t="shared" si="16"/>
        <v/>
      </c>
      <c r="BE36" s="254" t="str">
        <f t="shared" si="17"/>
        <v/>
      </c>
      <c r="BF36" s="254" t="str">
        <f t="shared" si="18"/>
        <v/>
      </c>
      <c r="BG36" s="57" t="str">
        <f>IF($S36="","",SUM($BF36:$BF$114))</f>
        <v/>
      </c>
      <c r="BH36" s="53" t="str">
        <f>IF($S36="","",INDEX(#REF!,$S36+1))</f>
        <v/>
      </c>
      <c r="BI36" s="254" t="str">
        <f t="shared" si="19"/>
        <v/>
      </c>
      <c r="BJ36" s="254" t="str">
        <f t="shared" si="20"/>
        <v/>
      </c>
      <c r="BK36" s="254" t="str">
        <f t="shared" si="21"/>
        <v/>
      </c>
      <c r="BL36" s="57" t="str">
        <f>IF($S36="","",SUM($BK36:$BK$114))</f>
        <v/>
      </c>
      <c r="BM36" s="53" t="str">
        <f t="shared" si="22"/>
        <v/>
      </c>
      <c r="BN36" s="254" t="str">
        <f t="shared" si="33"/>
        <v/>
      </c>
      <c r="BO36" s="254" t="str">
        <f t="shared" si="23"/>
        <v/>
      </c>
      <c r="BP36" s="254" t="str">
        <f t="shared" si="24"/>
        <v/>
      </c>
      <c r="BQ36" s="254" t="str">
        <f t="shared" si="34"/>
        <v/>
      </c>
      <c r="BR36" s="254"/>
      <c r="BS36" s="254"/>
      <c r="BT36" s="254"/>
      <c r="BU36" s="254"/>
      <c r="BV36" s="254" t="str">
        <f>IF($S36="","",SUM(BQ36:BQ$114))</f>
        <v/>
      </c>
      <c r="BW36" s="55" t="str">
        <f>IF(S36&lt;$E$3+$F$5,0,IFERROR(일반형_연납순보험료!S38,0))</f>
        <v/>
      </c>
      <c r="BX36" s="55"/>
      <c r="BY36" s="55"/>
      <c r="BZ36" s="55"/>
      <c r="CA36" s="55"/>
      <c r="CB36" s="254" t="str">
        <f t="shared" si="35"/>
        <v/>
      </c>
      <c r="CC36" s="254" t="str">
        <f t="shared" si="25"/>
        <v/>
      </c>
      <c r="CD36" s="254" t="str">
        <f t="shared" si="26"/>
        <v/>
      </c>
      <c r="CE36" s="254" t="str">
        <f t="shared" si="36"/>
        <v/>
      </c>
      <c r="CF36" s="254" t="str">
        <f t="shared" si="27"/>
        <v/>
      </c>
      <c r="CG36" s="58" t="str">
        <f t="shared" si="37"/>
        <v/>
      </c>
      <c r="CH36" s="59" t="str">
        <f t="shared" si="28"/>
        <v/>
      </c>
      <c r="CI36" s="236"/>
      <c r="CJ36" s="236"/>
      <c r="CK36" s="236"/>
      <c r="CL36" s="236"/>
      <c r="CM36" s="236"/>
      <c r="CN36" s="236"/>
      <c r="CO36" s="479"/>
      <c r="CP36" s="479"/>
      <c r="CQ36" s="479"/>
      <c r="CR36" s="479"/>
      <c r="CS36" s="479"/>
      <c r="CT36" s="479"/>
      <c r="CU36" s="479"/>
      <c r="CV36" s="479"/>
      <c r="CW36" s="479"/>
      <c r="CX36" s="479"/>
      <c r="CY36" s="479"/>
      <c r="CZ36" s="479"/>
      <c r="DA36" s="479"/>
      <c r="DB36" s="479"/>
      <c r="DC36" s="479"/>
      <c r="DD36" s="479"/>
      <c r="DE36" s="479"/>
      <c r="DF36" s="479"/>
      <c r="DG36" s="479"/>
      <c r="DH36" s="479"/>
      <c r="DI36" s="479"/>
      <c r="DJ36" s="479"/>
      <c r="DK36" s="479"/>
      <c r="DL36" s="479"/>
      <c r="DM36" s="479"/>
      <c r="DN36" s="479"/>
      <c r="DO36" s="479"/>
      <c r="DP36" s="479"/>
      <c r="DQ36" s="479"/>
      <c r="DR36" s="479"/>
      <c r="DS36" s="479"/>
      <c r="DT36" s="479"/>
      <c r="DU36" s="479"/>
      <c r="DV36" s="479"/>
      <c r="DW36" s="479"/>
      <c r="DX36" s="479"/>
      <c r="DY36" s="479"/>
      <c r="DZ36" s="479"/>
      <c r="EA36" s="479"/>
      <c r="EB36" s="479"/>
      <c r="EC36" s="479"/>
      <c r="ED36" s="479"/>
    </row>
    <row r="37" spans="1:134">
      <c r="A37" s="305"/>
      <c r="B37" s="373"/>
      <c r="C37" s="127"/>
      <c r="D37" s="128" t="s">
        <v>51</v>
      </c>
      <c r="E37" s="250">
        <f>Main_무해지!E37</f>
        <v>0</v>
      </c>
      <c r="F37" s="128"/>
      <c r="G37" s="129"/>
      <c r="H37" s="292"/>
      <c r="I37" s="82"/>
      <c r="J37" s="96" t="s">
        <v>212</v>
      </c>
      <c r="K37" s="296">
        <f>F7</f>
        <v>0</v>
      </c>
      <c r="N37" s="275" t="str">
        <f t="shared" si="43"/>
        <v/>
      </c>
      <c r="O37" s="276" t="str">
        <f t="shared" si="44"/>
        <v/>
      </c>
      <c r="P37" s="277" t="str">
        <f t="shared" si="41"/>
        <v/>
      </c>
      <c r="Q37" s="381" t="str">
        <f t="shared" si="42"/>
        <v/>
      </c>
      <c r="R37" s="277"/>
      <c r="S37" s="52" t="str">
        <f t="shared" si="38"/>
        <v/>
      </c>
      <c r="T37" s="53" t="str">
        <f>Main_무해지!AC37</f>
        <v/>
      </c>
      <c r="U37" s="254">
        <f>+Main_무해지!AD37</f>
        <v>0</v>
      </c>
      <c r="V37" s="254" t="str">
        <f t="shared" si="29"/>
        <v/>
      </c>
      <c r="W37" s="254" t="str">
        <f t="shared" si="39"/>
        <v/>
      </c>
      <c r="X37" s="254" t="str">
        <f t="shared" si="0"/>
        <v/>
      </c>
      <c r="Y37" s="54" t="str">
        <f>IF($S37="","",SUM(X37:X$114))</f>
        <v/>
      </c>
      <c r="Z37" s="254" t="str">
        <f t="shared" si="30"/>
        <v/>
      </c>
      <c r="AA37" s="254">
        <f t="shared" si="31"/>
        <v>0</v>
      </c>
      <c r="AB37" s="254" t="str">
        <f>Main_무해지!AJ37</f>
        <v/>
      </c>
      <c r="AC37" s="254" t="str">
        <f t="shared" si="1"/>
        <v/>
      </c>
      <c r="AD37" s="254" t="str">
        <f t="shared" si="40"/>
        <v/>
      </c>
      <c r="AE37" s="254" t="str">
        <f t="shared" si="2"/>
        <v/>
      </c>
      <c r="AF37" s="54" t="str">
        <f>IF($S37="","",SUM(AE37:AE$114))</f>
        <v/>
      </c>
      <c r="AG37" s="53" t="str">
        <f>Main_무해지!AP37</f>
        <v/>
      </c>
      <c r="AH37" s="254" t="str">
        <f t="shared" si="3"/>
        <v/>
      </c>
      <c r="AI37" s="254" t="str">
        <f t="shared" si="4"/>
        <v/>
      </c>
      <c r="AJ37" s="254" t="str">
        <f t="shared" si="5"/>
        <v/>
      </c>
      <c r="AK37" s="57" t="str">
        <f>IF($S37="","",SUM($AL37:$AL$114))</f>
        <v/>
      </c>
      <c r="AL37" s="254" t="str">
        <f t="shared" si="32"/>
        <v/>
      </c>
      <c r="AM37" s="57" t="str">
        <f t="shared" si="6"/>
        <v/>
      </c>
      <c r="AN37" s="53" t="str">
        <f>IF($S37="","",INDEX(#REF!,$S37+1))</f>
        <v/>
      </c>
      <c r="AO37" s="254" t="str">
        <f t="shared" si="7"/>
        <v/>
      </c>
      <c r="AP37" s="254" t="str">
        <f t="shared" si="8"/>
        <v/>
      </c>
      <c r="AQ37" s="254" t="str">
        <f t="shared" si="9"/>
        <v/>
      </c>
      <c r="AR37" s="57" t="str">
        <f>IF($S37="","",SUM($AQ37:$AQ$114))</f>
        <v/>
      </c>
      <c r="AS37" s="53" t="str">
        <f>IF($S37="","",INDEX(#REF!,$S37+1))</f>
        <v/>
      </c>
      <c r="AT37" s="254" t="str">
        <f t="shared" si="10"/>
        <v/>
      </c>
      <c r="AU37" s="254" t="str">
        <f t="shared" si="11"/>
        <v/>
      </c>
      <c r="AV37" s="254" t="str">
        <f t="shared" si="12"/>
        <v/>
      </c>
      <c r="AW37" s="57" t="str">
        <f>IF($S37="","",SUM($AV37:$AV$114))</f>
        <v/>
      </c>
      <c r="AX37" s="53" t="str">
        <f>IF($S37="","",INDEX(#REF!,$S37+1))</f>
        <v/>
      </c>
      <c r="AY37" s="254" t="str">
        <f t="shared" si="13"/>
        <v/>
      </c>
      <c r="AZ37" s="254" t="str">
        <f t="shared" si="14"/>
        <v/>
      </c>
      <c r="BA37" s="254" t="str">
        <f t="shared" si="15"/>
        <v/>
      </c>
      <c r="BB37" s="57" t="str">
        <f>IF($S37="","",SUM($BA37:$BA$114))</f>
        <v/>
      </c>
      <c r="BC37" s="53" t="str">
        <f>IF($S37="","",INDEX(#REF!,$S37+1))</f>
        <v/>
      </c>
      <c r="BD37" s="254" t="str">
        <f t="shared" si="16"/>
        <v/>
      </c>
      <c r="BE37" s="254" t="str">
        <f t="shared" si="17"/>
        <v/>
      </c>
      <c r="BF37" s="254" t="str">
        <f t="shared" si="18"/>
        <v/>
      </c>
      <c r="BG37" s="57" t="str">
        <f>IF($S37="","",SUM($BF37:$BF$114))</f>
        <v/>
      </c>
      <c r="BH37" s="53" t="str">
        <f>IF($S37="","",INDEX(#REF!,$S37+1))</f>
        <v/>
      </c>
      <c r="BI37" s="254" t="str">
        <f t="shared" si="19"/>
        <v/>
      </c>
      <c r="BJ37" s="254" t="str">
        <f t="shared" si="20"/>
        <v/>
      </c>
      <c r="BK37" s="254" t="str">
        <f t="shared" si="21"/>
        <v/>
      </c>
      <c r="BL37" s="57" t="str">
        <f>IF($S37="","",SUM($BK37:$BK$114))</f>
        <v/>
      </c>
      <c r="BM37" s="53" t="str">
        <f t="shared" si="22"/>
        <v/>
      </c>
      <c r="BN37" s="254" t="str">
        <f t="shared" si="33"/>
        <v/>
      </c>
      <c r="BO37" s="254" t="str">
        <f t="shared" si="23"/>
        <v/>
      </c>
      <c r="BP37" s="254" t="str">
        <f t="shared" si="24"/>
        <v/>
      </c>
      <c r="BQ37" s="254" t="str">
        <f t="shared" si="34"/>
        <v/>
      </c>
      <c r="BR37" s="254"/>
      <c r="BS37" s="254"/>
      <c r="BT37" s="254"/>
      <c r="BU37" s="254"/>
      <c r="BV37" s="254" t="str">
        <f>IF($S37="","",SUM(BQ37:BQ$114))</f>
        <v/>
      </c>
      <c r="BW37" s="55" t="str">
        <f>IF(S37&lt;$E$3+$F$5,0,IFERROR(일반형_연납순보험료!S39,0))</f>
        <v/>
      </c>
      <c r="BX37" s="55"/>
      <c r="BY37" s="55"/>
      <c r="BZ37" s="55"/>
      <c r="CA37" s="55"/>
      <c r="CB37" s="254" t="str">
        <f t="shared" si="35"/>
        <v/>
      </c>
      <c r="CC37" s="254" t="str">
        <f t="shared" si="25"/>
        <v/>
      </c>
      <c r="CD37" s="254" t="str">
        <f t="shared" si="26"/>
        <v/>
      </c>
      <c r="CE37" s="254" t="str">
        <f t="shared" si="36"/>
        <v/>
      </c>
      <c r="CF37" s="254" t="str">
        <f t="shared" si="27"/>
        <v/>
      </c>
      <c r="CG37" s="58" t="str">
        <f t="shared" si="37"/>
        <v/>
      </c>
      <c r="CH37" s="59" t="str">
        <f t="shared" si="28"/>
        <v/>
      </c>
      <c r="CI37" s="236"/>
      <c r="CJ37" s="236"/>
      <c r="CK37" s="236"/>
      <c r="CL37" s="236"/>
      <c r="CM37" s="236"/>
      <c r="CN37" s="236"/>
      <c r="CO37" s="479"/>
      <c r="CP37" s="479"/>
      <c r="CQ37" s="479"/>
      <c r="CR37" s="479"/>
      <c r="CS37" s="479"/>
      <c r="CT37" s="479"/>
      <c r="CU37" s="479"/>
      <c r="CV37" s="479"/>
      <c r="CW37" s="479"/>
      <c r="CX37" s="479"/>
      <c r="CY37" s="479"/>
      <c r="CZ37" s="479"/>
      <c r="DA37" s="479"/>
      <c r="DB37" s="479"/>
      <c r="DC37" s="479"/>
      <c r="DD37" s="479"/>
      <c r="DE37" s="479"/>
      <c r="DF37" s="479"/>
      <c r="DG37" s="479"/>
      <c r="DH37" s="479"/>
      <c r="DI37" s="479"/>
      <c r="DJ37" s="479"/>
      <c r="DK37" s="479"/>
      <c r="DL37" s="479"/>
      <c r="DM37" s="479"/>
      <c r="DN37" s="479"/>
      <c r="DO37" s="479"/>
      <c r="DP37" s="479"/>
      <c r="DQ37" s="479"/>
      <c r="DR37" s="479"/>
      <c r="DS37" s="479"/>
      <c r="DT37" s="479"/>
      <c r="DU37" s="479"/>
      <c r="DV37" s="479"/>
      <c r="DW37" s="479"/>
      <c r="DX37" s="479"/>
      <c r="DY37" s="479"/>
      <c r="DZ37" s="479"/>
      <c r="EA37" s="479"/>
      <c r="EB37" s="479"/>
      <c r="EC37" s="479"/>
      <c r="ED37" s="479"/>
    </row>
    <row r="38" spans="1:134" ht="17.25" thickBot="1">
      <c r="A38" s="305"/>
      <c r="B38" s="373"/>
      <c r="C38" s="93"/>
      <c r="D38" s="143" t="s">
        <v>52</v>
      </c>
      <c r="E38" s="452">
        <f>Main_무해지!E38</f>
        <v>0</v>
      </c>
      <c r="F38" s="143"/>
      <c r="G38" s="94"/>
      <c r="H38" s="292"/>
      <c r="I38" s="99"/>
      <c r="J38" s="100" t="s">
        <v>213</v>
      </c>
      <c r="K38" s="297">
        <f>F6</f>
        <v>1</v>
      </c>
      <c r="N38" s="278" t="str">
        <f t="shared" si="43"/>
        <v/>
      </c>
      <c r="O38" s="279" t="str">
        <f t="shared" si="44"/>
        <v/>
      </c>
      <c r="P38" s="271" t="str">
        <f t="shared" si="41"/>
        <v/>
      </c>
      <c r="Q38" s="382" t="str">
        <f t="shared" si="42"/>
        <v/>
      </c>
      <c r="R38" s="271"/>
      <c r="S38" s="52" t="str">
        <f t="shared" si="38"/>
        <v/>
      </c>
      <c r="T38" s="53" t="str">
        <f>Main_무해지!AC38</f>
        <v/>
      </c>
      <c r="U38" s="254">
        <f>+Main_무해지!AD38</f>
        <v>0</v>
      </c>
      <c r="V38" s="254" t="str">
        <f t="shared" si="29"/>
        <v/>
      </c>
      <c r="W38" s="254" t="str">
        <f t="shared" si="39"/>
        <v/>
      </c>
      <c r="X38" s="254" t="str">
        <f t="shared" si="0"/>
        <v/>
      </c>
      <c r="Y38" s="54" t="str">
        <f>IF($S38="","",SUM(X38:X$114))</f>
        <v/>
      </c>
      <c r="Z38" s="254" t="str">
        <f t="shared" si="30"/>
        <v/>
      </c>
      <c r="AA38" s="254">
        <f t="shared" si="31"/>
        <v>0</v>
      </c>
      <c r="AB38" s="254" t="str">
        <f>Main_무해지!AJ38</f>
        <v/>
      </c>
      <c r="AC38" s="254" t="str">
        <f t="shared" si="1"/>
        <v/>
      </c>
      <c r="AD38" s="254" t="str">
        <f t="shared" si="40"/>
        <v/>
      </c>
      <c r="AE38" s="254" t="str">
        <f t="shared" si="2"/>
        <v/>
      </c>
      <c r="AF38" s="54" t="str">
        <f>IF($S38="","",SUM(AE38:AE$114))</f>
        <v/>
      </c>
      <c r="AG38" s="53" t="str">
        <f>Main_무해지!AP38</f>
        <v/>
      </c>
      <c r="AH38" s="254" t="str">
        <f t="shared" si="3"/>
        <v/>
      </c>
      <c r="AI38" s="254" t="str">
        <f t="shared" si="4"/>
        <v/>
      </c>
      <c r="AJ38" s="254" t="str">
        <f t="shared" si="5"/>
        <v/>
      </c>
      <c r="AK38" s="57" t="str">
        <f>IF($S38="","",SUM($AL38:$AL$114))</f>
        <v/>
      </c>
      <c r="AL38" s="254" t="str">
        <f t="shared" si="32"/>
        <v/>
      </c>
      <c r="AM38" s="57" t="str">
        <f t="shared" si="6"/>
        <v/>
      </c>
      <c r="AN38" s="53" t="str">
        <f>IF($S38="","",INDEX(#REF!,$S38+1))</f>
        <v/>
      </c>
      <c r="AO38" s="254" t="str">
        <f t="shared" si="7"/>
        <v/>
      </c>
      <c r="AP38" s="254" t="str">
        <f t="shared" si="8"/>
        <v/>
      </c>
      <c r="AQ38" s="254" t="str">
        <f t="shared" si="9"/>
        <v/>
      </c>
      <c r="AR38" s="57" t="str">
        <f>IF($S38="","",SUM($AQ38:$AQ$114))</f>
        <v/>
      </c>
      <c r="AS38" s="53" t="str">
        <f>IF($S38="","",INDEX(#REF!,$S38+1))</f>
        <v/>
      </c>
      <c r="AT38" s="254" t="str">
        <f t="shared" si="10"/>
        <v/>
      </c>
      <c r="AU38" s="254" t="str">
        <f t="shared" si="11"/>
        <v/>
      </c>
      <c r="AV38" s="254" t="str">
        <f t="shared" si="12"/>
        <v/>
      </c>
      <c r="AW38" s="57" t="str">
        <f>IF($S38="","",SUM($AV38:$AV$114))</f>
        <v/>
      </c>
      <c r="AX38" s="53" t="str">
        <f>IF($S38="","",INDEX(#REF!,$S38+1))</f>
        <v/>
      </c>
      <c r="AY38" s="254" t="str">
        <f t="shared" si="13"/>
        <v/>
      </c>
      <c r="AZ38" s="254" t="str">
        <f t="shared" si="14"/>
        <v/>
      </c>
      <c r="BA38" s="254" t="str">
        <f t="shared" si="15"/>
        <v/>
      </c>
      <c r="BB38" s="57" t="str">
        <f>IF($S38="","",SUM($BA38:$BA$114))</f>
        <v/>
      </c>
      <c r="BC38" s="53" t="str">
        <f>IF($S38="","",INDEX(#REF!,$S38+1))</f>
        <v/>
      </c>
      <c r="BD38" s="254" t="str">
        <f t="shared" si="16"/>
        <v/>
      </c>
      <c r="BE38" s="254" t="str">
        <f t="shared" si="17"/>
        <v/>
      </c>
      <c r="BF38" s="254" t="str">
        <f t="shared" si="18"/>
        <v/>
      </c>
      <c r="BG38" s="57" t="str">
        <f>IF($S38="","",SUM($BF38:$BF$114))</f>
        <v/>
      </c>
      <c r="BH38" s="53" t="str">
        <f>IF($S38="","",INDEX(#REF!,$S38+1))</f>
        <v/>
      </c>
      <c r="BI38" s="254" t="str">
        <f t="shared" si="19"/>
        <v/>
      </c>
      <c r="BJ38" s="254" t="str">
        <f t="shared" si="20"/>
        <v/>
      </c>
      <c r="BK38" s="254" t="str">
        <f t="shared" si="21"/>
        <v/>
      </c>
      <c r="BL38" s="57" t="str">
        <f>IF($S38="","",SUM($BK38:$BK$114))</f>
        <v/>
      </c>
      <c r="BM38" s="53" t="str">
        <f t="shared" si="22"/>
        <v/>
      </c>
      <c r="BN38" s="254" t="str">
        <f t="shared" si="33"/>
        <v/>
      </c>
      <c r="BO38" s="254" t="str">
        <f t="shared" si="23"/>
        <v/>
      </c>
      <c r="BP38" s="254" t="str">
        <f t="shared" si="24"/>
        <v/>
      </c>
      <c r="BQ38" s="254" t="str">
        <f t="shared" si="34"/>
        <v/>
      </c>
      <c r="BR38" s="254"/>
      <c r="BS38" s="254"/>
      <c r="BT38" s="254"/>
      <c r="BU38" s="254"/>
      <c r="BV38" s="254" t="str">
        <f>IF($S38="","",SUM(BQ38:BQ$114))</f>
        <v/>
      </c>
      <c r="BW38" s="55" t="str">
        <f>IF(S38&lt;$E$3+$F$5,0,IFERROR(일반형_연납순보험료!S40,0))</f>
        <v/>
      </c>
      <c r="BX38" s="55"/>
      <c r="BY38" s="55"/>
      <c r="BZ38" s="55"/>
      <c r="CA38" s="55"/>
      <c r="CB38" s="254" t="str">
        <f t="shared" si="35"/>
        <v/>
      </c>
      <c r="CC38" s="254" t="str">
        <f t="shared" si="25"/>
        <v/>
      </c>
      <c r="CD38" s="254" t="str">
        <f t="shared" si="26"/>
        <v/>
      </c>
      <c r="CE38" s="254" t="str">
        <f t="shared" si="36"/>
        <v/>
      </c>
      <c r="CF38" s="254" t="str">
        <f t="shared" si="27"/>
        <v/>
      </c>
      <c r="CG38" s="58" t="str">
        <f t="shared" si="37"/>
        <v/>
      </c>
      <c r="CH38" s="59" t="str">
        <f t="shared" si="28"/>
        <v/>
      </c>
      <c r="CI38" s="236"/>
      <c r="CJ38" s="236"/>
      <c r="CK38" s="236"/>
      <c r="CL38" s="236"/>
      <c r="CM38" s="236"/>
      <c r="CN38" s="236"/>
      <c r="CO38" s="479"/>
      <c r="CP38" s="479"/>
      <c r="CQ38" s="479"/>
      <c r="CR38" s="479"/>
      <c r="CS38" s="479"/>
      <c r="CT38" s="479"/>
      <c r="CU38" s="479"/>
      <c r="CV38" s="479"/>
      <c r="CW38" s="479"/>
      <c r="CX38" s="479"/>
      <c r="CY38" s="479"/>
      <c r="CZ38" s="479"/>
      <c r="DA38" s="479"/>
      <c r="DB38" s="479"/>
      <c r="DC38" s="479"/>
      <c r="DD38" s="479"/>
      <c r="DE38" s="479"/>
      <c r="DF38" s="479"/>
      <c r="DG38" s="479"/>
      <c r="DH38" s="479"/>
      <c r="DI38" s="479"/>
      <c r="DJ38" s="479"/>
      <c r="DK38" s="479"/>
      <c r="DL38" s="479"/>
      <c r="DM38" s="479"/>
      <c r="DN38" s="479"/>
      <c r="DO38" s="479"/>
      <c r="DP38" s="479"/>
      <c r="DQ38" s="479"/>
      <c r="DR38" s="479"/>
      <c r="DS38" s="479"/>
      <c r="DT38" s="479"/>
      <c r="DU38" s="479"/>
      <c r="DV38" s="479"/>
      <c r="DW38" s="479"/>
      <c r="DX38" s="479"/>
      <c r="DY38" s="479"/>
      <c r="DZ38" s="479"/>
      <c r="EA38" s="479"/>
      <c r="EB38" s="479"/>
      <c r="EC38" s="479"/>
      <c r="ED38" s="479"/>
    </row>
    <row r="39" spans="1:134">
      <c r="A39" s="305"/>
      <c r="B39" s="373"/>
      <c r="H39" s="292"/>
      <c r="I39" s="48" t="s">
        <v>41</v>
      </c>
      <c r="J39" s="51" t="s">
        <v>42</v>
      </c>
      <c r="K39" s="486">
        <f>((K35)*(1-E28-E30-E25*K20/K32))+(E23*K20+E27*K17+E29*K18)*(K36)/K17</f>
        <v>0.61654000749132931</v>
      </c>
      <c r="N39" s="278" t="str">
        <f t="shared" si="43"/>
        <v/>
      </c>
      <c r="O39" s="279" t="str">
        <f t="shared" si="44"/>
        <v/>
      </c>
      <c r="P39" s="271" t="str">
        <f t="shared" si="41"/>
        <v/>
      </c>
      <c r="Q39" s="382" t="str">
        <f t="shared" si="42"/>
        <v/>
      </c>
      <c r="R39" s="271"/>
      <c r="S39" s="60" t="str">
        <f t="shared" si="38"/>
        <v/>
      </c>
      <c r="T39" s="61" t="str">
        <f>Main_무해지!AC39</f>
        <v/>
      </c>
      <c r="U39" s="255">
        <f>+Main_무해지!AD39</f>
        <v>0</v>
      </c>
      <c r="V39" s="255" t="str">
        <f t="shared" si="29"/>
        <v/>
      </c>
      <c r="W39" s="255" t="str">
        <f t="shared" si="39"/>
        <v/>
      </c>
      <c r="X39" s="255" t="str">
        <f t="shared" si="0"/>
        <v/>
      </c>
      <c r="Y39" s="62" t="str">
        <f>IF($S39="","",SUM(X39:X$114))</f>
        <v/>
      </c>
      <c r="Z39" s="255" t="str">
        <f t="shared" si="30"/>
        <v/>
      </c>
      <c r="AA39" s="254">
        <f t="shared" si="31"/>
        <v>0</v>
      </c>
      <c r="AB39" s="254" t="str">
        <f>Main_무해지!AJ39</f>
        <v/>
      </c>
      <c r="AC39" s="255" t="str">
        <f t="shared" si="1"/>
        <v/>
      </c>
      <c r="AD39" s="255" t="str">
        <f t="shared" si="40"/>
        <v/>
      </c>
      <c r="AE39" s="255" t="str">
        <f t="shared" si="2"/>
        <v/>
      </c>
      <c r="AF39" s="62" t="str">
        <f>IF($S39="","",SUM(AE39:AE$114))</f>
        <v/>
      </c>
      <c r="AG39" s="61" t="str">
        <f>Main_무해지!AP39</f>
        <v/>
      </c>
      <c r="AH39" s="255" t="str">
        <f t="shared" si="3"/>
        <v/>
      </c>
      <c r="AI39" s="255" t="str">
        <f t="shared" si="4"/>
        <v/>
      </c>
      <c r="AJ39" s="255" t="str">
        <f t="shared" si="5"/>
        <v/>
      </c>
      <c r="AK39" s="65" t="str">
        <f>IF($S39="","",SUM($AL39:$AL$114))</f>
        <v/>
      </c>
      <c r="AL39" s="255" t="str">
        <f t="shared" si="32"/>
        <v/>
      </c>
      <c r="AM39" s="65" t="str">
        <f t="shared" si="6"/>
        <v/>
      </c>
      <c r="AN39" s="61" t="str">
        <f>IF($S39="","",INDEX(#REF!,$S39+1))</f>
        <v/>
      </c>
      <c r="AO39" s="255" t="str">
        <f t="shared" si="7"/>
        <v/>
      </c>
      <c r="AP39" s="255" t="str">
        <f t="shared" si="8"/>
        <v/>
      </c>
      <c r="AQ39" s="255" t="str">
        <f t="shared" si="9"/>
        <v/>
      </c>
      <c r="AR39" s="65" t="str">
        <f>IF($S39="","",SUM($AQ39:$AQ$114))</f>
        <v/>
      </c>
      <c r="AS39" s="61" t="str">
        <f>IF($S39="","",INDEX(#REF!,$S39+1))</f>
        <v/>
      </c>
      <c r="AT39" s="255" t="str">
        <f t="shared" si="10"/>
        <v/>
      </c>
      <c r="AU39" s="255" t="str">
        <f t="shared" si="11"/>
        <v/>
      </c>
      <c r="AV39" s="255" t="str">
        <f t="shared" si="12"/>
        <v/>
      </c>
      <c r="AW39" s="65" t="str">
        <f>IF($S39="","",SUM($AV39:$AV$114))</f>
        <v/>
      </c>
      <c r="AX39" s="61" t="str">
        <f>IF($S39="","",INDEX(#REF!,$S39+1))</f>
        <v/>
      </c>
      <c r="AY39" s="255" t="str">
        <f t="shared" si="13"/>
        <v/>
      </c>
      <c r="AZ39" s="255" t="str">
        <f t="shared" si="14"/>
        <v/>
      </c>
      <c r="BA39" s="255" t="str">
        <f t="shared" si="15"/>
        <v/>
      </c>
      <c r="BB39" s="65" t="str">
        <f>IF($S39="","",SUM($BA39:$BA$114))</f>
        <v/>
      </c>
      <c r="BC39" s="61" t="str">
        <f>IF($S39="","",INDEX(#REF!,$S39+1))</f>
        <v/>
      </c>
      <c r="BD39" s="255" t="str">
        <f t="shared" si="16"/>
        <v/>
      </c>
      <c r="BE39" s="255" t="str">
        <f t="shared" si="17"/>
        <v/>
      </c>
      <c r="BF39" s="255" t="str">
        <f t="shared" si="18"/>
        <v/>
      </c>
      <c r="BG39" s="65" t="str">
        <f>IF($S39="","",SUM($BF39:$BF$114))</f>
        <v/>
      </c>
      <c r="BH39" s="61" t="str">
        <f>IF($S39="","",INDEX(#REF!,$S39+1))</f>
        <v/>
      </c>
      <c r="BI39" s="255" t="str">
        <f t="shared" si="19"/>
        <v/>
      </c>
      <c r="BJ39" s="255" t="str">
        <f t="shared" si="20"/>
        <v/>
      </c>
      <c r="BK39" s="255" t="str">
        <f t="shared" si="21"/>
        <v/>
      </c>
      <c r="BL39" s="65" t="str">
        <f>IF($S39="","",SUM($BK39:$BK$114))</f>
        <v/>
      </c>
      <c r="BM39" s="61" t="str">
        <f t="shared" si="22"/>
        <v/>
      </c>
      <c r="BN39" s="255" t="str">
        <f t="shared" si="33"/>
        <v/>
      </c>
      <c r="BO39" s="255" t="str">
        <f t="shared" si="23"/>
        <v/>
      </c>
      <c r="BP39" s="255" t="str">
        <f t="shared" si="24"/>
        <v/>
      </c>
      <c r="BQ39" s="255" t="str">
        <f t="shared" si="34"/>
        <v/>
      </c>
      <c r="BR39" s="255"/>
      <c r="BS39" s="255"/>
      <c r="BT39" s="255"/>
      <c r="BU39" s="255"/>
      <c r="BV39" s="255" t="str">
        <f>IF($S39="","",SUM(BQ39:BQ$114))</f>
        <v/>
      </c>
      <c r="BW39" s="63" t="str">
        <f>IF(S39&lt;$E$3+$F$5,0,IFERROR(일반형_연납순보험료!S41,0))</f>
        <v/>
      </c>
      <c r="BX39" s="63"/>
      <c r="BY39" s="63"/>
      <c r="BZ39" s="63"/>
      <c r="CA39" s="63"/>
      <c r="CB39" s="255" t="str">
        <f t="shared" si="35"/>
        <v/>
      </c>
      <c r="CC39" s="255" t="str">
        <f t="shared" si="25"/>
        <v/>
      </c>
      <c r="CD39" s="255" t="str">
        <f t="shared" si="26"/>
        <v/>
      </c>
      <c r="CE39" s="255" t="str">
        <f t="shared" si="36"/>
        <v/>
      </c>
      <c r="CF39" s="255" t="str">
        <f t="shared" si="27"/>
        <v/>
      </c>
      <c r="CG39" s="66" t="str">
        <f t="shared" si="37"/>
        <v/>
      </c>
      <c r="CH39" s="67" t="str">
        <f t="shared" si="28"/>
        <v/>
      </c>
      <c r="CI39" s="237"/>
      <c r="CJ39" s="237"/>
      <c r="CK39" s="237"/>
      <c r="CL39" s="237"/>
      <c r="CM39" s="237"/>
      <c r="CN39" s="237"/>
      <c r="CO39" s="479"/>
      <c r="CP39" s="479"/>
      <c r="CQ39" s="479"/>
      <c r="CR39" s="479"/>
      <c r="CS39" s="479"/>
      <c r="CT39" s="479"/>
      <c r="CU39" s="479"/>
      <c r="CV39" s="479"/>
      <c r="CW39" s="479"/>
      <c r="CX39" s="479"/>
      <c r="CY39" s="479"/>
      <c r="CZ39" s="479"/>
      <c r="DA39" s="479"/>
      <c r="DB39" s="479"/>
      <c r="DC39" s="479"/>
      <c r="DD39" s="479"/>
      <c r="DE39" s="479"/>
      <c r="DF39" s="479"/>
      <c r="DG39" s="479"/>
      <c r="DH39" s="479"/>
      <c r="DI39" s="479"/>
      <c r="DJ39" s="479"/>
      <c r="DK39" s="479"/>
      <c r="DL39" s="479"/>
      <c r="DM39" s="479"/>
      <c r="DN39" s="479"/>
      <c r="DO39" s="479"/>
      <c r="DP39" s="479"/>
      <c r="DQ39" s="479"/>
      <c r="DR39" s="479"/>
      <c r="DS39" s="479"/>
      <c r="DT39" s="479"/>
      <c r="DU39" s="479"/>
      <c r="DV39" s="479"/>
      <c r="DW39" s="479"/>
      <c r="DX39" s="479"/>
      <c r="DY39" s="479"/>
      <c r="DZ39" s="479"/>
      <c r="EA39" s="479"/>
      <c r="EB39" s="479"/>
      <c r="EC39" s="479"/>
      <c r="ED39" s="479"/>
    </row>
    <row r="40" spans="1:134" ht="17.25" thickBot="1">
      <c r="A40" s="305"/>
      <c r="B40" s="373"/>
      <c r="H40" s="292"/>
      <c r="I40" s="48" t="s">
        <v>26</v>
      </c>
      <c r="J40" s="51" t="s">
        <v>44</v>
      </c>
      <c r="K40" s="486">
        <f>K17*((1-E28-E30)-K20*E25/K17)-(K36)*(1+E24*K20/K17)</f>
        <v>87500.000000000015</v>
      </c>
      <c r="N40" s="278" t="str">
        <f t="shared" si="43"/>
        <v/>
      </c>
      <c r="O40" s="279" t="str">
        <f t="shared" si="44"/>
        <v/>
      </c>
      <c r="P40" s="271" t="str">
        <f t="shared" si="41"/>
        <v/>
      </c>
      <c r="Q40" s="382" t="str">
        <f t="shared" si="42"/>
        <v/>
      </c>
      <c r="R40" s="271"/>
      <c r="S40" s="759" t="str">
        <f t="shared" si="38"/>
        <v/>
      </c>
      <c r="T40" s="761" t="str">
        <f>Main_무해지!AC40</f>
        <v/>
      </c>
      <c r="U40" s="409">
        <f>+Main_무해지!AD40</f>
        <v>0</v>
      </c>
      <c r="V40" s="409" t="str">
        <f t="shared" si="29"/>
        <v/>
      </c>
      <c r="W40" s="409" t="str">
        <f t="shared" si="39"/>
        <v/>
      </c>
      <c r="X40" s="409" t="str">
        <f t="shared" si="0"/>
        <v/>
      </c>
      <c r="Y40" s="760" t="str">
        <f>IF($S40="","",SUM(X40:X$114))</f>
        <v/>
      </c>
      <c r="Z40" s="409" t="str">
        <f t="shared" si="30"/>
        <v/>
      </c>
      <c r="AA40" s="254">
        <f t="shared" si="31"/>
        <v>0</v>
      </c>
      <c r="AB40" s="254" t="str">
        <f>Main_무해지!AJ40</f>
        <v/>
      </c>
      <c r="AC40" s="409" t="str">
        <f t="shared" si="1"/>
        <v/>
      </c>
      <c r="AD40" s="409" t="str">
        <f t="shared" si="40"/>
        <v/>
      </c>
      <c r="AE40" s="409" t="str">
        <f t="shared" si="2"/>
        <v/>
      </c>
      <c r="AF40" s="760" t="str">
        <f>IF($S40="","",SUM(AE40:AE$114))</f>
        <v/>
      </c>
      <c r="AG40" s="761" t="str">
        <f>Main_무해지!AP40</f>
        <v/>
      </c>
      <c r="AH40" s="409" t="str">
        <f t="shared" si="3"/>
        <v/>
      </c>
      <c r="AI40" s="409" t="str">
        <f t="shared" si="4"/>
        <v/>
      </c>
      <c r="AJ40" s="409" t="str">
        <f t="shared" si="5"/>
        <v/>
      </c>
      <c r="AK40" s="762" t="str">
        <f>IF($S40="","",SUM($AL40:$AL$114))</f>
        <v/>
      </c>
      <c r="AL40" s="409" t="str">
        <f t="shared" si="32"/>
        <v/>
      </c>
      <c r="AM40" s="762" t="str">
        <f t="shared" si="6"/>
        <v/>
      </c>
      <c r="AN40" s="761" t="str">
        <f>IF($S40="","",INDEX(#REF!,$S40+1))</f>
        <v/>
      </c>
      <c r="AO40" s="409" t="str">
        <f t="shared" si="7"/>
        <v/>
      </c>
      <c r="AP40" s="409" t="str">
        <f t="shared" si="8"/>
        <v/>
      </c>
      <c r="AQ40" s="409" t="str">
        <f t="shared" si="9"/>
        <v/>
      </c>
      <c r="AR40" s="762" t="str">
        <f>IF($S40="","",SUM($AQ40:$AQ$114))</f>
        <v/>
      </c>
      <c r="AS40" s="761" t="str">
        <f>IF($S40="","",INDEX(#REF!,$S40+1))</f>
        <v/>
      </c>
      <c r="AT40" s="409" t="str">
        <f t="shared" si="10"/>
        <v/>
      </c>
      <c r="AU40" s="409" t="str">
        <f t="shared" si="11"/>
        <v/>
      </c>
      <c r="AV40" s="409" t="str">
        <f t="shared" si="12"/>
        <v/>
      </c>
      <c r="AW40" s="762" t="str">
        <f>IF($S40="","",SUM($AV40:$AV$114))</f>
        <v/>
      </c>
      <c r="AX40" s="761" t="str">
        <f>IF($S40="","",INDEX(#REF!,$S40+1))</f>
        <v/>
      </c>
      <c r="AY40" s="409" t="str">
        <f t="shared" si="13"/>
        <v/>
      </c>
      <c r="AZ40" s="409" t="str">
        <f t="shared" si="14"/>
        <v/>
      </c>
      <c r="BA40" s="409" t="str">
        <f t="shared" si="15"/>
        <v/>
      </c>
      <c r="BB40" s="762" t="str">
        <f>IF($S40="","",SUM($BA40:$BA$114))</f>
        <v/>
      </c>
      <c r="BC40" s="761" t="str">
        <f>IF($S40="","",INDEX(#REF!,$S40+1))</f>
        <v/>
      </c>
      <c r="BD40" s="409" t="str">
        <f t="shared" si="16"/>
        <v/>
      </c>
      <c r="BE40" s="409" t="str">
        <f t="shared" si="17"/>
        <v/>
      </c>
      <c r="BF40" s="409" t="str">
        <f t="shared" si="18"/>
        <v/>
      </c>
      <c r="BG40" s="762" t="str">
        <f>IF($S40="","",SUM($BF40:$BF$114))</f>
        <v/>
      </c>
      <c r="BH40" s="761" t="str">
        <f>IF($S40="","",INDEX(#REF!,$S40+1))</f>
        <v/>
      </c>
      <c r="BI40" s="409" t="str">
        <f t="shared" si="19"/>
        <v/>
      </c>
      <c r="BJ40" s="409" t="str">
        <f t="shared" si="20"/>
        <v/>
      </c>
      <c r="BK40" s="409" t="str">
        <f t="shared" si="21"/>
        <v/>
      </c>
      <c r="BL40" s="762" t="str">
        <f>IF($S40="","",SUM($BK40:$BK$114))</f>
        <v/>
      </c>
      <c r="BM40" s="761" t="str">
        <f t="shared" si="22"/>
        <v/>
      </c>
      <c r="BN40" s="409" t="str">
        <f t="shared" si="33"/>
        <v/>
      </c>
      <c r="BO40" s="409" t="str">
        <f t="shared" si="23"/>
        <v/>
      </c>
      <c r="BP40" s="409" t="str">
        <f t="shared" si="24"/>
        <v/>
      </c>
      <c r="BQ40" s="409" t="str">
        <f t="shared" si="34"/>
        <v/>
      </c>
      <c r="BR40" s="409"/>
      <c r="BS40" s="409"/>
      <c r="BT40" s="409"/>
      <c r="BU40" s="409"/>
      <c r="BV40" s="409" t="str">
        <f>IF($S40="","",SUM(BQ40:BQ$114))</f>
        <v/>
      </c>
      <c r="BW40" s="763" t="str">
        <f>IF(S40&lt;$E$3+$F$5,0,IFERROR(일반형_연납순보험료!S42,0))</f>
        <v/>
      </c>
      <c r="BX40" s="763"/>
      <c r="BY40" s="763"/>
      <c r="BZ40" s="763"/>
      <c r="CA40" s="763"/>
      <c r="CB40" s="409" t="str">
        <f t="shared" si="35"/>
        <v/>
      </c>
      <c r="CC40" s="409" t="str">
        <f t="shared" si="25"/>
        <v/>
      </c>
      <c r="CD40" s="409" t="str">
        <f t="shared" si="26"/>
        <v/>
      </c>
      <c r="CE40" s="409" t="str">
        <f t="shared" si="36"/>
        <v/>
      </c>
      <c r="CF40" s="409" t="str">
        <f t="shared" si="27"/>
        <v/>
      </c>
      <c r="CG40" s="765" t="str">
        <f t="shared" si="37"/>
        <v/>
      </c>
      <c r="CH40" s="766" t="str">
        <f t="shared" si="28"/>
        <v/>
      </c>
      <c r="CI40" s="414"/>
      <c r="CJ40" s="414"/>
      <c r="CK40" s="414"/>
      <c r="CL40" s="414"/>
      <c r="CM40" s="414"/>
      <c r="CN40" s="414"/>
      <c r="CO40" s="479"/>
      <c r="CP40" s="479"/>
      <c r="CQ40" s="479"/>
      <c r="CR40" s="479"/>
      <c r="CS40" s="479"/>
      <c r="CT40" s="479"/>
      <c r="CU40" s="479"/>
      <c r="CV40" s="479"/>
      <c r="CW40" s="479"/>
      <c r="CX40" s="479"/>
      <c r="CY40" s="479"/>
      <c r="CZ40" s="479"/>
      <c r="DA40" s="479"/>
      <c r="DB40" s="479"/>
      <c r="DC40" s="479"/>
      <c r="DD40" s="479"/>
      <c r="DE40" s="479"/>
      <c r="DF40" s="479"/>
      <c r="DG40" s="479"/>
      <c r="DH40" s="479"/>
      <c r="DI40" s="479"/>
      <c r="DJ40" s="479"/>
      <c r="DK40" s="479"/>
      <c r="DL40" s="479"/>
      <c r="DM40" s="479"/>
      <c r="DN40" s="479"/>
      <c r="DO40" s="479"/>
      <c r="DP40" s="479"/>
      <c r="DQ40" s="479"/>
      <c r="DR40" s="479"/>
      <c r="DS40" s="479"/>
      <c r="DT40" s="479"/>
      <c r="DU40" s="479"/>
      <c r="DV40" s="479"/>
      <c r="DW40" s="479"/>
      <c r="DX40" s="479"/>
      <c r="DY40" s="479"/>
      <c r="DZ40" s="479"/>
      <c r="EA40" s="479"/>
      <c r="EB40" s="479"/>
      <c r="EC40" s="479"/>
      <c r="ED40" s="479"/>
    </row>
    <row r="41" spans="1:134" ht="17.25" thickTop="1">
      <c r="A41" s="305"/>
      <c r="B41" s="373"/>
      <c r="C41" s="184"/>
      <c r="D41" s="185" t="s">
        <v>63</v>
      </c>
      <c r="E41" s="433"/>
      <c r="F41" s="187"/>
      <c r="G41" s="188"/>
      <c r="I41" s="82"/>
      <c r="J41" s="109" t="s">
        <v>46</v>
      </c>
      <c r="K41" s="490">
        <f>K39/K40</f>
        <v>7.0461715141866193E-6</v>
      </c>
      <c r="N41" s="280" t="str">
        <f t="shared" si="43"/>
        <v/>
      </c>
      <c r="O41" s="281" t="str">
        <f t="shared" si="44"/>
        <v/>
      </c>
      <c r="P41" s="282" t="str">
        <f t="shared" si="41"/>
        <v/>
      </c>
      <c r="Q41" s="383" t="str">
        <f t="shared" si="42"/>
        <v/>
      </c>
      <c r="R41" s="282"/>
      <c r="S41" s="101" t="str">
        <f t="shared" si="38"/>
        <v/>
      </c>
      <c r="T41" s="285" t="str">
        <f>Main_무해지!AC41</f>
        <v/>
      </c>
      <c r="U41" s="258">
        <f>+Main_무해지!AD41</f>
        <v>0</v>
      </c>
      <c r="V41" s="258" t="str">
        <f t="shared" si="29"/>
        <v/>
      </c>
      <c r="W41" s="258" t="str">
        <f t="shared" si="39"/>
        <v/>
      </c>
      <c r="X41" s="258" t="str">
        <f t="shared" si="0"/>
        <v/>
      </c>
      <c r="Y41" s="102" t="str">
        <f>IF($S41="","",SUM(X41:X$114))</f>
        <v/>
      </c>
      <c r="Z41" s="258" t="str">
        <f t="shared" si="30"/>
        <v/>
      </c>
      <c r="AA41" s="254">
        <f t="shared" si="31"/>
        <v>0</v>
      </c>
      <c r="AB41" s="254" t="str">
        <f>Main_무해지!AJ41</f>
        <v/>
      </c>
      <c r="AC41" s="258" t="str">
        <f t="shared" si="1"/>
        <v/>
      </c>
      <c r="AD41" s="258" t="str">
        <f t="shared" si="40"/>
        <v/>
      </c>
      <c r="AE41" s="258" t="str">
        <f t="shared" si="2"/>
        <v/>
      </c>
      <c r="AF41" s="102" t="str">
        <f>IF($S41="","",SUM(AE41:AE$114))</f>
        <v/>
      </c>
      <c r="AG41" s="285" t="str">
        <f>Main_무해지!AP41</f>
        <v/>
      </c>
      <c r="AH41" s="258" t="str">
        <f t="shared" si="3"/>
        <v/>
      </c>
      <c r="AI41" s="258" t="str">
        <f t="shared" si="4"/>
        <v/>
      </c>
      <c r="AJ41" s="258" t="str">
        <f t="shared" si="5"/>
        <v/>
      </c>
      <c r="AK41" s="315" t="str">
        <f>IF($S41="","",SUM($AL41:$AL$114))</f>
        <v/>
      </c>
      <c r="AL41" s="258" t="str">
        <f t="shared" si="32"/>
        <v/>
      </c>
      <c r="AM41" s="315" t="str">
        <f t="shared" si="6"/>
        <v/>
      </c>
      <c r="AN41" s="285" t="str">
        <f>IF($S41="","",INDEX(#REF!,$S41+1))</f>
        <v/>
      </c>
      <c r="AO41" s="258" t="str">
        <f t="shared" si="7"/>
        <v/>
      </c>
      <c r="AP41" s="258" t="str">
        <f t="shared" si="8"/>
        <v/>
      </c>
      <c r="AQ41" s="258" t="str">
        <f t="shared" si="9"/>
        <v/>
      </c>
      <c r="AR41" s="315" t="str">
        <f>IF($S41="","",SUM($AQ41:$AQ$114))</f>
        <v/>
      </c>
      <c r="AS41" s="285" t="str">
        <f>IF($S41="","",INDEX(#REF!,$S41+1))</f>
        <v/>
      </c>
      <c r="AT41" s="258" t="str">
        <f t="shared" si="10"/>
        <v/>
      </c>
      <c r="AU41" s="258" t="str">
        <f t="shared" si="11"/>
        <v/>
      </c>
      <c r="AV41" s="258" t="str">
        <f t="shared" si="12"/>
        <v/>
      </c>
      <c r="AW41" s="315" t="str">
        <f>IF($S41="","",SUM($AV41:$AV$114))</f>
        <v/>
      </c>
      <c r="AX41" s="285" t="str">
        <f>IF($S41="","",INDEX(#REF!,$S41+1))</f>
        <v/>
      </c>
      <c r="AY41" s="258" t="str">
        <f t="shared" si="13"/>
        <v/>
      </c>
      <c r="AZ41" s="258" t="str">
        <f t="shared" si="14"/>
        <v/>
      </c>
      <c r="BA41" s="258" t="str">
        <f t="shared" si="15"/>
        <v/>
      </c>
      <c r="BB41" s="315" t="str">
        <f>IF($S41="","",SUM($BA41:$BA$114))</f>
        <v/>
      </c>
      <c r="BC41" s="285" t="str">
        <f>IF($S41="","",INDEX(#REF!,$S41+1))</f>
        <v/>
      </c>
      <c r="BD41" s="258" t="str">
        <f t="shared" si="16"/>
        <v/>
      </c>
      <c r="BE41" s="258" t="str">
        <f t="shared" si="17"/>
        <v/>
      </c>
      <c r="BF41" s="258" t="str">
        <f t="shared" si="18"/>
        <v/>
      </c>
      <c r="BG41" s="315" t="str">
        <f>IF($S41="","",SUM($BF41:$BF$114))</f>
        <v/>
      </c>
      <c r="BH41" s="285" t="str">
        <f>IF($S41="","",INDEX(#REF!,$S41+1))</f>
        <v/>
      </c>
      <c r="BI41" s="258" t="str">
        <f t="shared" si="19"/>
        <v/>
      </c>
      <c r="BJ41" s="258" t="str">
        <f t="shared" si="20"/>
        <v/>
      </c>
      <c r="BK41" s="258" t="str">
        <f t="shared" si="21"/>
        <v/>
      </c>
      <c r="BL41" s="315" t="str">
        <f>IF($S41="","",SUM($BK41:$BK$114))</f>
        <v/>
      </c>
      <c r="BM41" s="285" t="str">
        <f t="shared" si="22"/>
        <v/>
      </c>
      <c r="BN41" s="258" t="str">
        <f t="shared" si="33"/>
        <v/>
      </c>
      <c r="BO41" s="258" t="str">
        <f t="shared" si="23"/>
        <v/>
      </c>
      <c r="BP41" s="258" t="str">
        <f t="shared" si="24"/>
        <v/>
      </c>
      <c r="BQ41" s="258" t="str">
        <f t="shared" si="34"/>
        <v/>
      </c>
      <c r="BR41" s="258"/>
      <c r="BS41" s="258"/>
      <c r="BT41" s="258"/>
      <c r="BU41" s="258"/>
      <c r="BV41" s="258" t="str">
        <f>IF($S41="","",SUM(BQ41:BQ$114))</f>
        <v/>
      </c>
      <c r="BW41" s="103" t="str">
        <f>IF(S41&lt;$E$3+$F$5,0,IFERROR(일반형_연납순보험료!S43,0))</f>
        <v/>
      </c>
      <c r="BX41" s="103"/>
      <c r="BY41" s="103"/>
      <c r="BZ41" s="103"/>
      <c r="CA41" s="103"/>
      <c r="CB41" s="258" t="str">
        <f t="shared" si="35"/>
        <v/>
      </c>
      <c r="CC41" s="258" t="str">
        <f t="shared" si="25"/>
        <v/>
      </c>
      <c r="CD41" s="258" t="str">
        <f t="shared" si="26"/>
        <v/>
      </c>
      <c r="CE41" s="258" t="str">
        <f t="shared" si="36"/>
        <v/>
      </c>
      <c r="CF41" s="258" t="str">
        <f t="shared" si="27"/>
        <v/>
      </c>
      <c r="CG41" s="104" t="str">
        <f t="shared" si="37"/>
        <v/>
      </c>
      <c r="CH41" s="105" t="str">
        <f t="shared" si="28"/>
        <v/>
      </c>
      <c r="CI41" s="240"/>
      <c r="CJ41" s="240"/>
      <c r="CK41" s="240"/>
      <c r="CL41" s="240"/>
      <c r="CM41" s="240"/>
      <c r="CN41" s="240"/>
      <c r="CO41" s="479"/>
      <c r="CP41" s="479"/>
      <c r="CQ41" s="479"/>
      <c r="CR41" s="479"/>
      <c r="CS41" s="479"/>
      <c r="CT41" s="479"/>
      <c r="CU41" s="479"/>
      <c r="CV41" s="479"/>
      <c r="CW41" s="479"/>
      <c r="CX41" s="479"/>
      <c r="CY41" s="479"/>
      <c r="CZ41" s="479"/>
      <c r="DA41" s="479"/>
      <c r="DB41" s="479"/>
      <c r="DC41" s="479"/>
      <c r="DD41" s="479"/>
      <c r="DE41" s="479"/>
      <c r="DF41" s="479"/>
      <c r="DG41" s="479"/>
      <c r="DH41" s="479"/>
      <c r="DI41" s="479"/>
      <c r="DJ41" s="479"/>
      <c r="DK41" s="479"/>
      <c r="DL41" s="479"/>
      <c r="DM41" s="479"/>
      <c r="DN41" s="479"/>
      <c r="DO41" s="479"/>
      <c r="DP41" s="479"/>
      <c r="DQ41" s="479"/>
      <c r="DR41" s="479"/>
      <c r="DS41" s="479"/>
      <c r="DT41" s="479"/>
      <c r="DU41" s="479"/>
      <c r="DV41" s="479"/>
      <c r="DW41" s="479"/>
      <c r="DX41" s="479"/>
      <c r="DY41" s="479"/>
      <c r="DZ41" s="479"/>
      <c r="EA41" s="479"/>
      <c r="EB41" s="479"/>
      <c r="EC41" s="479"/>
      <c r="ED41" s="479"/>
    </row>
    <row r="42" spans="1:134">
      <c r="A42" s="305"/>
      <c r="B42" s="373"/>
      <c r="C42" s="189"/>
      <c r="D42" s="190" t="s">
        <v>64</v>
      </c>
      <c r="E42" s="191"/>
      <c r="F42" s="176"/>
      <c r="G42" s="192"/>
      <c r="I42" s="115" t="str">
        <f>IF(F5=0,"일시납순보험료","연납순보험료")</f>
        <v>연납순보험료</v>
      </c>
      <c r="J42" s="116" t="s">
        <v>42</v>
      </c>
      <c r="K42" s="488">
        <f>IF($F$6=0,(1-$E$36-$E$38)*(K35+K36)+($E$32+$E$37*K33/K20)*K34,(1-$E$28-$E$30-E25*K20/K32)*(K35)+(($E$23+$E$24*K41)*K20+$E$27*K31+$E$29*K33)*K36/K31)</f>
        <v>0.61654000749132931</v>
      </c>
      <c r="N42" s="275" t="str">
        <f t="shared" si="43"/>
        <v/>
      </c>
      <c r="O42" s="276" t="str">
        <f t="shared" si="44"/>
        <v/>
      </c>
      <c r="P42" s="277" t="str">
        <f t="shared" si="41"/>
        <v/>
      </c>
      <c r="Q42" s="381" t="str">
        <f t="shared" si="42"/>
        <v/>
      </c>
      <c r="R42" s="277"/>
      <c r="S42" s="101" t="str">
        <f t="shared" si="38"/>
        <v/>
      </c>
      <c r="T42" s="285" t="str">
        <f>Main_무해지!AC42</f>
        <v/>
      </c>
      <c r="U42" s="258">
        <f>+Main_무해지!AD42</f>
        <v>0</v>
      </c>
      <c r="V42" s="258" t="str">
        <f t="shared" si="29"/>
        <v/>
      </c>
      <c r="W42" s="258" t="str">
        <f t="shared" si="39"/>
        <v/>
      </c>
      <c r="X42" s="258" t="str">
        <f t="shared" si="0"/>
        <v/>
      </c>
      <c r="Y42" s="102" t="str">
        <f>IF($S42="","",SUM(X42:X$114))</f>
        <v/>
      </c>
      <c r="Z42" s="258" t="str">
        <f t="shared" si="30"/>
        <v/>
      </c>
      <c r="AA42" s="254">
        <f t="shared" si="31"/>
        <v>0</v>
      </c>
      <c r="AB42" s="254" t="str">
        <f>Main_무해지!AJ42</f>
        <v/>
      </c>
      <c r="AC42" s="258" t="str">
        <f t="shared" si="1"/>
        <v/>
      </c>
      <c r="AD42" s="258" t="str">
        <f t="shared" si="40"/>
        <v/>
      </c>
      <c r="AE42" s="258" t="str">
        <f t="shared" si="2"/>
        <v/>
      </c>
      <c r="AF42" s="102" t="str">
        <f>IF($S42="","",SUM(AE42:AE$114))</f>
        <v/>
      </c>
      <c r="AG42" s="285" t="str">
        <f>Main_무해지!AP42</f>
        <v/>
      </c>
      <c r="AH42" s="258" t="str">
        <f t="shared" si="3"/>
        <v/>
      </c>
      <c r="AI42" s="258" t="str">
        <f t="shared" si="4"/>
        <v/>
      </c>
      <c r="AJ42" s="258" t="str">
        <f t="shared" si="5"/>
        <v/>
      </c>
      <c r="AK42" s="315" t="str">
        <f>IF($S42="","",SUM($AL42:$AL$114))</f>
        <v/>
      </c>
      <c r="AL42" s="258" t="str">
        <f t="shared" si="32"/>
        <v/>
      </c>
      <c r="AM42" s="315" t="str">
        <f t="shared" si="6"/>
        <v/>
      </c>
      <c r="AN42" s="285" t="str">
        <f>IF($S42="","",INDEX(#REF!,$S42+1))</f>
        <v/>
      </c>
      <c r="AO42" s="258" t="str">
        <f t="shared" si="7"/>
        <v/>
      </c>
      <c r="AP42" s="258" t="str">
        <f t="shared" si="8"/>
        <v/>
      </c>
      <c r="AQ42" s="258" t="str">
        <f t="shared" si="9"/>
        <v/>
      </c>
      <c r="AR42" s="315" t="str">
        <f>IF($S42="","",SUM($AQ42:$AQ$114))</f>
        <v/>
      </c>
      <c r="AS42" s="285" t="str">
        <f>IF($S42="","",INDEX(#REF!,$S42+1))</f>
        <v/>
      </c>
      <c r="AT42" s="258" t="str">
        <f t="shared" si="10"/>
        <v/>
      </c>
      <c r="AU42" s="258" t="str">
        <f t="shared" si="11"/>
        <v/>
      </c>
      <c r="AV42" s="258" t="str">
        <f t="shared" si="12"/>
        <v/>
      </c>
      <c r="AW42" s="315" t="str">
        <f>IF($S42="","",SUM($AV42:$AV$114))</f>
        <v/>
      </c>
      <c r="AX42" s="285" t="str">
        <f>IF($S42="","",INDEX(#REF!,$S42+1))</f>
        <v/>
      </c>
      <c r="AY42" s="258" t="str">
        <f t="shared" si="13"/>
        <v/>
      </c>
      <c r="AZ42" s="258" t="str">
        <f t="shared" si="14"/>
        <v/>
      </c>
      <c r="BA42" s="258" t="str">
        <f t="shared" si="15"/>
        <v/>
      </c>
      <c r="BB42" s="315" t="str">
        <f>IF($S42="","",SUM($BA42:$BA$114))</f>
        <v/>
      </c>
      <c r="BC42" s="285" t="str">
        <f>IF($S42="","",INDEX(#REF!,$S42+1))</f>
        <v/>
      </c>
      <c r="BD42" s="258" t="str">
        <f t="shared" si="16"/>
        <v/>
      </c>
      <c r="BE42" s="258" t="str">
        <f t="shared" si="17"/>
        <v/>
      </c>
      <c r="BF42" s="258" t="str">
        <f t="shared" si="18"/>
        <v/>
      </c>
      <c r="BG42" s="315" t="str">
        <f>IF($S42="","",SUM($BF42:$BF$114))</f>
        <v/>
      </c>
      <c r="BH42" s="285" t="str">
        <f>IF($S42="","",INDEX(#REF!,$S42+1))</f>
        <v/>
      </c>
      <c r="BI42" s="258" t="str">
        <f t="shared" si="19"/>
        <v/>
      </c>
      <c r="BJ42" s="258" t="str">
        <f t="shared" si="20"/>
        <v/>
      </c>
      <c r="BK42" s="258" t="str">
        <f t="shared" si="21"/>
        <v/>
      </c>
      <c r="BL42" s="315" t="str">
        <f>IF($S42="","",SUM($BK42:$BK$114))</f>
        <v/>
      </c>
      <c r="BM42" s="285" t="str">
        <f t="shared" si="22"/>
        <v/>
      </c>
      <c r="BN42" s="258" t="str">
        <f t="shared" si="33"/>
        <v/>
      </c>
      <c r="BO42" s="258" t="str">
        <f t="shared" si="23"/>
        <v/>
      </c>
      <c r="BP42" s="258" t="str">
        <f t="shared" si="24"/>
        <v/>
      </c>
      <c r="BQ42" s="258" t="str">
        <f t="shared" si="34"/>
        <v/>
      </c>
      <c r="BR42" s="258"/>
      <c r="BS42" s="258"/>
      <c r="BT42" s="258"/>
      <c r="BU42" s="258"/>
      <c r="BV42" s="258" t="str">
        <f>IF($S42="","",SUM(BQ42:BQ$114))</f>
        <v/>
      </c>
      <c r="BW42" s="103" t="str">
        <f>IF(S42&lt;$E$3+$F$5,0,IFERROR(일반형_연납순보험료!S44,0))</f>
        <v/>
      </c>
      <c r="BX42" s="103"/>
      <c r="BY42" s="103"/>
      <c r="BZ42" s="103"/>
      <c r="CA42" s="103"/>
      <c r="CB42" s="258" t="str">
        <f t="shared" si="35"/>
        <v/>
      </c>
      <c r="CC42" s="258" t="str">
        <f t="shared" si="25"/>
        <v/>
      </c>
      <c r="CD42" s="258" t="str">
        <f t="shared" si="26"/>
        <v/>
      </c>
      <c r="CE42" s="258" t="str">
        <f t="shared" si="36"/>
        <v/>
      </c>
      <c r="CF42" s="258" t="str">
        <f t="shared" si="27"/>
        <v/>
      </c>
      <c r="CG42" s="104" t="str">
        <f t="shared" si="37"/>
        <v/>
      </c>
      <c r="CH42" s="105" t="str">
        <f t="shared" si="28"/>
        <v/>
      </c>
      <c r="CI42" s="240"/>
      <c r="CJ42" s="240"/>
      <c r="CK42" s="240"/>
      <c r="CL42" s="240"/>
      <c r="CM42" s="240"/>
      <c r="CN42" s="240"/>
      <c r="CO42" s="479"/>
      <c r="CP42" s="479"/>
      <c r="CQ42" s="479"/>
      <c r="CR42" s="479"/>
      <c r="CS42" s="479"/>
      <c r="CT42" s="479"/>
      <c r="CU42" s="479"/>
      <c r="CV42" s="479"/>
      <c r="CW42" s="479"/>
      <c r="CX42" s="479"/>
      <c r="CY42" s="479"/>
      <c r="CZ42" s="479"/>
      <c r="DA42" s="479"/>
      <c r="DB42" s="479"/>
      <c r="DC42" s="479"/>
      <c r="DD42" s="479"/>
      <c r="DE42" s="479"/>
      <c r="DF42" s="479"/>
      <c r="DG42" s="479"/>
      <c r="DH42" s="479"/>
      <c r="DI42" s="479"/>
      <c r="DJ42" s="479"/>
      <c r="DK42" s="479"/>
      <c r="DL42" s="479"/>
      <c r="DM42" s="479"/>
      <c r="DN42" s="479"/>
      <c r="DO42" s="479"/>
      <c r="DP42" s="479"/>
      <c r="DQ42" s="479"/>
      <c r="DR42" s="479"/>
      <c r="DS42" s="479"/>
      <c r="DT42" s="479"/>
      <c r="DU42" s="479"/>
      <c r="DV42" s="479"/>
      <c r="DW42" s="479"/>
      <c r="DX42" s="479"/>
      <c r="DY42" s="479"/>
      <c r="DZ42" s="479"/>
      <c r="EA42" s="479"/>
      <c r="EB42" s="479"/>
      <c r="EC42" s="479"/>
      <c r="ED42" s="479"/>
    </row>
    <row r="43" spans="1:134">
      <c r="A43" s="305"/>
      <c r="B43" s="373"/>
      <c r="C43" s="189"/>
      <c r="D43" s="190" t="s">
        <v>65</v>
      </c>
      <c r="E43" s="177"/>
      <c r="F43" s="176"/>
      <c r="G43" s="192"/>
      <c r="I43" s="48"/>
      <c r="J43" s="49" t="s">
        <v>44</v>
      </c>
      <c r="K43" s="486">
        <f>IF($F$6=0,(1-$E$36-$E$38)*K20-(1+$E$33)*K34,1*((1-$E$28-$E$30)*K31-E25*K20-K36))</f>
        <v>87500.000000000015</v>
      </c>
      <c r="N43" s="278" t="str">
        <f t="shared" si="43"/>
        <v/>
      </c>
      <c r="O43" s="279" t="str">
        <f t="shared" si="44"/>
        <v/>
      </c>
      <c r="P43" s="271" t="str">
        <f t="shared" si="41"/>
        <v/>
      </c>
      <c r="Q43" s="382" t="str">
        <f t="shared" si="42"/>
        <v/>
      </c>
      <c r="R43" s="271"/>
      <c r="S43" s="101" t="str">
        <f t="shared" si="38"/>
        <v/>
      </c>
      <c r="T43" s="285" t="str">
        <f>Main_무해지!AC43</f>
        <v/>
      </c>
      <c r="U43" s="258">
        <f>+Main_무해지!AD43</f>
        <v>0</v>
      </c>
      <c r="V43" s="258" t="str">
        <f t="shared" si="29"/>
        <v/>
      </c>
      <c r="W43" s="258" t="str">
        <f t="shared" si="39"/>
        <v/>
      </c>
      <c r="X43" s="258" t="str">
        <f t="shared" si="0"/>
        <v/>
      </c>
      <c r="Y43" s="102" t="str">
        <f>IF($S43="","",SUM(X43:X$114))</f>
        <v/>
      </c>
      <c r="Z43" s="258" t="str">
        <f t="shared" si="30"/>
        <v/>
      </c>
      <c r="AA43" s="254">
        <f t="shared" si="31"/>
        <v>0</v>
      </c>
      <c r="AB43" s="254" t="str">
        <f>Main_무해지!AJ43</f>
        <v/>
      </c>
      <c r="AC43" s="258" t="str">
        <f t="shared" si="1"/>
        <v/>
      </c>
      <c r="AD43" s="258" t="str">
        <f t="shared" si="40"/>
        <v/>
      </c>
      <c r="AE43" s="258" t="str">
        <f t="shared" si="2"/>
        <v/>
      </c>
      <c r="AF43" s="102" t="str">
        <f>IF($S43="","",SUM(AE43:AE$114))</f>
        <v/>
      </c>
      <c r="AG43" s="285" t="str">
        <f>Main_무해지!AP43</f>
        <v/>
      </c>
      <c r="AH43" s="258" t="str">
        <f t="shared" si="3"/>
        <v/>
      </c>
      <c r="AI43" s="258" t="str">
        <f t="shared" si="4"/>
        <v/>
      </c>
      <c r="AJ43" s="258" t="str">
        <f t="shared" si="5"/>
        <v/>
      </c>
      <c r="AK43" s="315" t="str">
        <f>IF($S43="","",SUM($AL43:$AL$114))</f>
        <v/>
      </c>
      <c r="AL43" s="258" t="str">
        <f t="shared" si="32"/>
        <v/>
      </c>
      <c r="AM43" s="315" t="str">
        <f t="shared" si="6"/>
        <v/>
      </c>
      <c r="AN43" s="285" t="str">
        <f>IF($S43="","",INDEX(#REF!,$S43+1))</f>
        <v/>
      </c>
      <c r="AO43" s="258" t="str">
        <f t="shared" si="7"/>
        <v/>
      </c>
      <c r="AP43" s="258" t="str">
        <f t="shared" si="8"/>
        <v/>
      </c>
      <c r="AQ43" s="258" t="str">
        <f t="shared" si="9"/>
        <v/>
      </c>
      <c r="AR43" s="315" t="str">
        <f>IF($S43="","",SUM($AQ43:$AQ$114))</f>
        <v/>
      </c>
      <c r="AS43" s="285" t="str">
        <f>IF($S43="","",INDEX(#REF!,$S43+1))</f>
        <v/>
      </c>
      <c r="AT43" s="258" t="str">
        <f t="shared" si="10"/>
        <v/>
      </c>
      <c r="AU43" s="258" t="str">
        <f t="shared" si="11"/>
        <v/>
      </c>
      <c r="AV43" s="258" t="str">
        <f t="shared" si="12"/>
        <v/>
      </c>
      <c r="AW43" s="315" t="str">
        <f>IF($S43="","",SUM($AV43:$AV$114))</f>
        <v/>
      </c>
      <c r="AX43" s="285" t="str">
        <f>IF($S43="","",INDEX(#REF!,$S43+1))</f>
        <v/>
      </c>
      <c r="AY43" s="258" t="str">
        <f t="shared" si="13"/>
        <v/>
      </c>
      <c r="AZ43" s="258" t="str">
        <f t="shared" si="14"/>
        <v/>
      </c>
      <c r="BA43" s="258" t="str">
        <f t="shared" si="15"/>
        <v/>
      </c>
      <c r="BB43" s="315" t="str">
        <f>IF($S43="","",SUM($BA43:$BA$114))</f>
        <v/>
      </c>
      <c r="BC43" s="285" t="str">
        <f>IF($S43="","",INDEX(#REF!,$S43+1))</f>
        <v/>
      </c>
      <c r="BD43" s="258" t="str">
        <f t="shared" si="16"/>
        <v/>
      </c>
      <c r="BE43" s="258" t="str">
        <f t="shared" si="17"/>
        <v/>
      </c>
      <c r="BF43" s="258" t="str">
        <f t="shared" si="18"/>
        <v/>
      </c>
      <c r="BG43" s="315" t="str">
        <f>IF($S43="","",SUM($BF43:$BF$114))</f>
        <v/>
      </c>
      <c r="BH43" s="285" t="str">
        <f>IF($S43="","",INDEX(#REF!,$S43+1))</f>
        <v/>
      </c>
      <c r="BI43" s="258" t="str">
        <f t="shared" si="19"/>
        <v/>
      </c>
      <c r="BJ43" s="258" t="str">
        <f t="shared" si="20"/>
        <v/>
      </c>
      <c r="BK43" s="258" t="str">
        <f t="shared" si="21"/>
        <v/>
      </c>
      <c r="BL43" s="315" t="str">
        <f>IF($S43="","",SUM($BK43:$BK$114))</f>
        <v/>
      </c>
      <c r="BM43" s="285" t="str">
        <f t="shared" si="22"/>
        <v/>
      </c>
      <c r="BN43" s="258" t="str">
        <f t="shared" si="33"/>
        <v/>
      </c>
      <c r="BO43" s="258" t="str">
        <f t="shared" si="23"/>
        <v/>
      </c>
      <c r="BP43" s="259" t="str">
        <f t="shared" si="24"/>
        <v/>
      </c>
      <c r="BQ43" s="258" t="str">
        <f t="shared" si="34"/>
        <v/>
      </c>
      <c r="BR43" s="258"/>
      <c r="BS43" s="258"/>
      <c r="BT43" s="258"/>
      <c r="BU43" s="258"/>
      <c r="BV43" s="258" t="str">
        <f>IF($S43="","",SUM(BQ43:BQ$114))</f>
        <v/>
      </c>
      <c r="BW43" s="103" t="str">
        <f>IF(S43&lt;$E$3+$F$5,0,IFERROR(일반형_연납순보험료!S45,0))</f>
        <v/>
      </c>
      <c r="BX43" s="103"/>
      <c r="BY43" s="103"/>
      <c r="BZ43" s="103"/>
      <c r="CA43" s="103"/>
      <c r="CB43" s="258" t="str">
        <f t="shared" si="35"/>
        <v/>
      </c>
      <c r="CC43" s="258" t="str">
        <f t="shared" si="25"/>
        <v/>
      </c>
      <c r="CD43" s="258" t="str">
        <f t="shared" si="26"/>
        <v/>
      </c>
      <c r="CE43" s="258" t="str">
        <f t="shared" si="36"/>
        <v/>
      </c>
      <c r="CF43" s="258" t="str">
        <f t="shared" si="27"/>
        <v/>
      </c>
      <c r="CG43" s="104" t="str">
        <f t="shared" si="37"/>
        <v/>
      </c>
      <c r="CH43" s="105" t="str">
        <f t="shared" si="28"/>
        <v/>
      </c>
      <c r="CI43" s="240"/>
      <c r="CJ43" s="240"/>
      <c r="CK43" s="240"/>
      <c r="CL43" s="240"/>
      <c r="CM43" s="240"/>
      <c r="CN43" s="240"/>
      <c r="CO43" s="479"/>
      <c r="CP43" s="479"/>
      <c r="CQ43" s="479"/>
      <c r="CR43" s="479"/>
      <c r="CS43" s="479"/>
      <c r="CT43" s="479"/>
      <c r="CU43" s="479"/>
      <c r="CV43" s="479"/>
      <c r="CW43" s="479"/>
      <c r="CX43" s="479"/>
      <c r="CY43" s="479"/>
      <c r="CZ43" s="479"/>
      <c r="DA43" s="479"/>
      <c r="DB43" s="479"/>
      <c r="DC43" s="479"/>
      <c r="DD43" s="479"/>
      <c r="DE43" s="479"/>
      <c r="DF43" s="479"/>
      <c r="DG43" s="479"/>
      <c r="DH43" s="479"/>
      <c r="DI43" s="479"/>
      <c r="DJ43" s="479"/>
      <c r="DK43" s="479"/>
      <c r="DL43" s="479"/>
      <c r="DM43" s="479"/>
      <c r="DN43" s="479"/>
      <c r="DO43" s="479"/>
      <c r="DP43" s="479"/>
      <c r="DQ43" s="479"/>
      <c r="DR43" s="479"/>
      <c r="DS43" s="479"/>
      <c r="DT43" s="479"/>
      <c r="DU43" s="479"/>
      <c r="DV43" s="479"/>
      <c r="DW43" s="479"/>
      <c r="DX43" s="479"/>
      <c r="DY43" s="479"/>
      <c r="DZ43" s="479"/>
      <c r="EA43" s="479"/>
      <c r="EB43" s="479"/>
      <c r="EC43" s="479"/>
      <c r="ED43" s="479"/>
    </row>
    <row r="44" spans="1:134">
      <c r="A44" s="305"/>
      <c r="B44" s="373"/>
      <c r="C44" s="189"/>
      <c r="D44" s="193"/>
      <c r="E44" s="177"/>
      <c r="F44" s="176"/>
      <c r="G44" s="192"/>
      <c r="H44" s="373"/>
      <c r="I44" s="125"/>
      <c r="J44" s="126" t="s">
        <v>50</v>
      </c>
      <c r="K44" s="489">
        <f>K42/K43</f>
        <v>7.0461715141866193E-6</v>
      </c>
      <c r="N44" s="278" t="str">
        <f t="shared" si="43"/>
        <v/>
      </c>
      <c r="O44" s="279" t="str">
        <f t="shared" si="44"/>
        <v/>
      </c>
      <c r="P44" s="271" t="str">
        <f t="shared" si="41"/>
        <v/>
      </c>
      <c r="Q44" s="382" t="str">
        <f t="shared" si="42"/>
        <v/>
      </c>
      <c r="R44" s="271"/>
      <c r="S44" s="110" t="str">
        <f t="shared" si="38"/>
        <v/>
      </c>
      <c r="T44" s="286" t="str">
        <f>Main_무해지!AC44</f>
        <v/>
      </c>
      <c r="U44" s="259">
        <f>+Main_무해지!AD44</f>
        <v>0</v>
      </c>
      <c r="V44" s="259" t="str">
        <f t="shared" si="29"/>
        <v/>
      </c>
      <c r="W44" s="259" t="str">
        <f t="shared" si="39"/>
        <v/>
      </c>
      <c r="X44" s="259" t="str">
        <f t="shared" si="0"/>
        <v/>
      </c>
      <c r="Y44" s="111" t="str">
        <f>IF($S44="","",SUM(X44:X$114))</f>
        <v/>
      </c>
      <c r="Z44" s="259" t="str">
        <f t="shared" si="30"/>
        <v/>
      </c>
      <c r="AA44" s="254">
        <f t="shared" si="31"/>
        <v>0</v>
      </c>
      <c r="AB44" s="254" t="str">
        <f>Main_무해지!AJ44</f>
        <v/>
      </c>
      <c r="AC44" s="259" t="str">
        <f t="shared" si="1"/>
        <v/>
      </c>
      <c r="AD44" s="259" t="str">
        <f t="shared" si="40"/>
        <v/>
      </c>
      <c r="AE44" s="259" t="str">
        <f t="shared" si="2"/>
        <v/>
      </c>
      <c r="AF44" s="111" t="str">
        <f>IF($S44="","",SUM(AE44:AE$114))</f>
        <v/>
      </c>
      <c r="AG44" s="286" t="str">
        <f>Main_무해지!AP44</f>
        <v/>
      </c>
      <c r="AH44" s="259" t="str">
        <f t="shared" si="3"/>
        <v/>
      </c>
      <c r="AI44" s="259" t="str">
        <f t="shared" si="4"/>
        <v/>
      </c>
      <c r="AJ44" s="259" t="str">
        <f t="shared" si="5"/>
        <v/>
      </c>
      <c r="AK44" s="316" t="str">
        <f>IF($S44="","",SUM($AL44:$AL$114))</f>
        <v/>
      </c>
      <c r="AL44" s="259" t="str">
        <f t="shared" si="32"/>
        <v/>
      </c>
      <c r="AM44" s="316" t="str">
        <f t="shared" si="6"/>
        <v/>
      </c>
      <c r="AN44" s="286" t="str">
        <f>IF($S44="","",INDEX(#REF!,$S44+1))</f>
        <v/>
      </c>
      <c r="AO44" s="259" t="str">
        <f t="shared" si="7"/>
        <v/>
      </c>
      <c r="AP44" s="259" t="str">
        <f t="shared" si="8"/>
        <v/>
      </c>
      <c r="AQ44" s="259" t="str">
        <f t="shared" si="9"/>
        <v/>
      </c>
      <c r="AR44" s="316" t="str">
        <f>IF($S44="","",SUM($AQ44:$AQ$114))</f>
        <v/>
      </c>
      <c r="AS44" s="286" t="str">
        <f>IF($S44="","",INDEX(#REF!,$S44+1))</f>
        <v/>
      </c>
      <c r="AT44" s="259" t="str">
        <f t="shared" si="10"/>
        <v/>
      </c>
      <c r="AU44" s="259" t="str">
        <f t="shared" si="11"/>
        <v/>
      </c>
      <c r="AV44" s="259" t="str">
        <f t="shared" si="12"/>
        <v/>
      </c>
      <c r="AW44" s="316" t="str">
        <f>IF($S44="","",SUM($AV44:$AV$114))</f>
        <v/>
      </c>
      <c r="AX44" s="286" t="str">
        <f>IF($S44="","",INDEX(#REF!,$S44+1))</f>
        <v/>
      </c>
      <c r="AY44" s="259" t="str">
        <f t="shared" si="13"/>
        <v/>
      </c>
      <c r="AZ44" s="259" t="str">
        <f t="shared" si="14"/>
        <v/>
      </c>
      <c r="BA44" s="259" t="str">
        <f t="shared" si="15"/>
        <v/>
      </c>
      <c r="BB44" s="316" t="str">
        <f>IF($S44="","",SUM($BA44:$BA$114))</f>
        <v/>
      </c>
      <c r="BC44" s="286" t="str">
        <f>IF($S44="","",INDEX(#REF!,$S44+1))</f>
        <v/>
      </c>
      <c r="BD44" s="259" t="str">
        <f t="shared" si="16"/>
        <v/>
      </c>
      <c r="BE44" s="259" t="str">
        <f t="shared" si="17"/>
        <v/>
      </c>
      <c r="BF44" s="259" t="str">
        <f t="shared" si="18"/>
        <v/>
      </c>
      <c r="BG44" s="316" t="str">
        <f>IF($S44="","",SUM($BF44:$BF$114))</f>
        <v/>
      </c>
      <c r="BH44" s="286" t="str">
        <f>IF($S44="","",INDEX(#REF!,$S44+1))</f>
        <v/>
      </c>
      <c r="BI44" s="259" t="str">
        <f t="shared" si="19"/>
        <v/>
      </c>
      <c r="BJ44" s="259" t="str">
        <f t="shared" si="20"/>
        <v/>
      </c>
      <c r="BK44" s="259" t="str">
        <f t="shared" si="21"/>
        <v/>
      </c>
      <c r="BL44" s="316" t="str">
        <f>IF($S44="","",SUM($BK44:$BK$114))</f>
        <v/>
      </c>
      <c r="BM44" s="286" t="str">
        <f t="shared" si="22"/>
        <v/>
      </c>
      <c r="BN44" s="259" t="str">
        <f t="shared" si="33"/>
        <v/>
      </c>
      <c r="BO44" s="259" t="str">
        <f t="shared" si="23"/>
        <v/>
      </c>
      <c r="BP44" s="259" t="str">
        <f t="shared" si="24"/>
        <v/>
      </c>
      <c r="BQ44" s="259" t="str">
        <f t="shared" si="34"/>
        <v/>
      </c>
      <c r="BR44" s="259"/>
      <c r="BS44" s="259"/>
      <c r="BT44" s="259"/>
      <c r="BU44" s="259"/>
      <c r="BV44" s="259" t="str">
        <f>IF($S44="","",SUM(BQ44:BQ$114))</f>
        <v/>
      </c>
      <c r="BW44" s="112" t="str">
        <f>IF(S44&lt;$E$3+$F$5,0,IFERROR(일반형_연납순보험료!S46,0))</f>
        <v/>
      </c>
      <c r="BX44" s="112"/>
      <c r="BY44" s="112"/>
      <c r="BZ44" s="112"/>
      <c r="CA44" s="112"/>
      <c r="CB44" s="259" t="str">
        <f t="shared" si="35"/>
        <v/>
      </c>
      <c r="CC44" s="259" t="str">
        <f t="shared" si="25"/>
        <v/>
      </c>
      <c r="CD44" s="259" t="str">
        <f t="shared" si="26"/>
        <v/>
      </c>
      <c r="CE44" s="259" t="str">
        <f t="shared" si="36"/>
        <v/>
      </c>
      <c r="CF44" s="259" t="str">
        <f t="shared" si="27"/>
        <v/>
      </c>
      <c r="CG44" s="113" t="str">
        <f t="shared" si="37"/>
        <v/>
      </c>
      <c r="CH44" s="114" t="str">
        <f t="shared" si="28"/>
        <v/>
      </c>
      <c r="CI44" s="241"/>
      <c r="CJ44" s="241"/>
      <c r="CK44" s="241"/>
      <c r="CL44" s="241"/>
      <c r="CM44" s="241"/>
      <c r="CN44" s="241"/>
      <c r="CO44" s="479"/>
      <c r="CP44" s="479"/>
      <c r="CQ44" s="479"/>
      <c r="CR44" s="479"/>
      <c r="CS44" s="479"/>
      <c r="CT44" s="479"/>
      <c r="CU44" s="479"/>
      <c r="CV44" s="479"/>
      <c r="CW44" s="479"/>
      <c r="CX44" s="479"/>
      <c r="CY44" s="479"/>
      <c r="CZ44" s="479"/>
      <c r="DA44" s="479"/>
      <c r="DB44" s="479"/>
      <c r="DC44" s="479"/>
      <c r="DD44" s="479"/>
      <c r="DE44" s="479"/>
      <c r="DF44" s="479"/>
      <c r="DG44" s="479"/>
      <c r="DH44" s="479"/>
      <c r="DI44" s="479"/>
      <c r="DJ44" s="479"/>
      <c r="DK44" s="479"/>
      <c r="DL44" s="479"/>
      <c r="DM44" s="479"/>
      <c r="DN44" s="479"/>
      <c r="DO44" s="479"/>
      <c r="DP44" s="479"/>
      <c r="DQ44" s="479"/>
      <c r="DR44" s="479"/>
      <c r="DS44" s="479"/>
      <c r="DT44" s="479"/>
      <c r="DU44" s="479"/>
      <c r="DV44" s="479"/>
      <c r="DW44" s="479"/>
      <c r="DX44" s="479"/>
      <c r="DY44" s="479"/>
      <c r="DZ44" s="479"/>
      <c r="EA44" s="479"/>
      <c r="EB44" s="479"/>
      <c r="EC44" s="479"/>
      <c r="ED44" s="479"/>
    </row>
    <row r="45" spans="1:134" ht="17.25" thickBot="1">
      <c r="A45" s="305"/>
      <c r="B45" s="373"/>
      <c r="C45" s="194"/>
      <c r="D45" s="195"/>
      <c r="E45" s="196"/>
      <c r="F45" s="183"/>
      <c r="G45" s="197"/>
      <c r="H45" s="373"/>
      <c r="I45" s="48" t="str">
        <f>IF(F5=0,"일시납영업보험료","연납영업보험료")</f>
        <v>연납영업보험료</v>
      </c>
      <c r="J45" s="49" t="s">
        <v>42</v>
      </c>
      <c r="K45" s="486">
        <f>IF($F$6=0,(1+$E$33)*K44+$E$32+$E$37*K33/K20,K44+(($E$23+$E$24*K41)*K20+$E$27*K31+$E$29*K33)/(1*K31))</f>
        <v>1.73209722032399E-5</v>
      </c>
      <c r="N45" s="278" t="str">
        <f t="shared" si="43"/>
        <v/>
      </c>
      <c r="O45" s="279" t="str">
        <f t="shared" si="44"/>
        <v/>
      </c>
      <c r="P45" s="271" t="str">
        <f t="shared" si="41"/>
        <v/>
      </c>
      <c r="Q45" s="382" t="str">
        <f t="shared" si="42"/>
        <v/>
      </c>
      <c r="R45" s="271"/>
      <c r="S45" s="770" t="str">
        <f t="shared" si="38"/>
        <v/>
      </c>
      <c r="T45" s="772" t="str">
        <f>Main_무해지!AC45</f>
        <v/>
      </c>
      <c r="U45" s="410">
        <f>+Main_무해지!AD45</f>
        <v>0</v>
      </c>
      <c r="V45" s="410" t="str">
        <f t="shared" si="29"/>
        <v/>
      </c>
      <c r="W45" s="410" t="str">
        <f t="shared" si="39"/>
        <v/>
      </c>
      <c r="X45" s="410" t="str">
        <f t="shared" si="0"/>
        <v/>
      </c>
      <c r="Y45" s="771" t="str">
        <f>IF($S45="","",SUM(X45:X$114))</f>
        <v/>
      </c>
      <c r="Z45" s="410" t="str">
        <f t="shared" si="30"/>
        <v/>
      </c>
      <c r="AA45" s="254">
        <f t="shared" si="31"/>
        <v>0</v>
      </c>
      <c r="AB45" s="254" t="str">
        <f>Main_무해지!AJ45</f>
        <v/>
      </c>
      <c r="AC45" s="410" t="str">
        <f t="shared" si="1"/>
        <v/>
      </c>
      <c r="AD45" s="410" t="str">
        <f t="shared" si="40"/>
        <v/>
      </c>
      <c r="AE45" s="410" t="str">
        <f t="shared" si="2"/>
        <v/>
      </c>
      <c r="AF45" s="771" t="str">
        <f>IF($S45="","",SUM(AE45:AE$114))</f>
        <v/>
      </c>
      <c r="AG45" s="772" t="str">
        <f>Main_무해지!AP45</f>
        <v/>
      </c>
      <c r="AH45" s="410" t="str">
        <f t="shared" si="3"/>
        <v/>
      </c>
      <c r="AI45" s="410" t="str">
        <f t="shared" si="4"/>
        <v/>
      </c>
      <c r="AJ45" s="410" t="str">
        <f t="shared" si="5"/>
        <v/>
      </c>
      <c r="AK45" s="773" t="str">
        <f>IF($S45="","",SUM($AL45:$AL$114))</f>
        <v/>
      </c>
      <c r="AL45" s="410" t="str">
        <f t="shared" si="32"/>
        <v/>
      </c>
      <c r="AM45" s="773" t="str">
        <f t="shared" si="6"/>
        <v/>
      </c>
      <c r="AN45" s="772" t="str">
        <f>IF($S45="","",INDEX(#REF!,$S45+1))</f>
        <v/>
      </c>
      <c r="AO45" s="410" t="str">
        <f t="shared" si="7"/>
        <v/>
      </c>
      <c r="AP45" s="410" t="str">
        <f t="shared" si="8"/>
        <v/>
      </c>
      <c r="AQ45" s="410" t="str">
        <f t="shared" si="9"/>
        <v/>
      </c>
      <c r="AR45" s="773" t="str">
        <f>IF($S45="","",SUM($AQ45:$AQ$114))</f>
        <v/>
      </c>
      <c r="AS45" s="772" t="str">
        <f>IF($S45="","",INDEX(#REF!,$S45+1))</f>
        <v/>
      </c>
      <c r="AT45" s="410" t="str">
        <f t="shared" si="10"/>
        <v/>
      </c>
      <c r="AU45" s="410" t="str">
        <f t="shared" si="11"/>
        <v/>
      </c>
      <c r="AV45" s="410" t="str">
        <f t="shared" si="12"/>
        <v/>
      </c>
      <c r="AW45" s="773" t="str">
        <f>IF($S45="","",SUM($AV45:$AV$114))</f>
        <v/>
      </c>
      <c r="AX45" s="772" t="str">
        <f>IF($S45="","",INDEX(#REF!,$S45+1))</f>
        <v/>
      </c>
      <c r="AY45" s="410" t="str">
        <f t="shared" si="13"/>
        <v/>
      </c>
      <c r="AZ45" s="410" t="str">
        <f t="shared" si="14"/>
        <v/>
      </c>
      <c r="BA45" s="410" t="str">
        <f t="shared" si="15"/>
        <v/>
      </c>
      <c r="BB45" s="773" t="str">
        <f>IF($S45="","",SUM($BA45:$BA$114))</f>
        <v/>
      </c>
      <c r="BC45" s="772" t="str">
        <f>IF($S45="","",INDEX(#REF!,$S45+1))</f>
        <v/>
      </c>
      <c r="BD45" s="410" t="str">
        <f t="shared" si="16"/>
        <v/>
      </c>
      <c r="BE45" s="410" t="str">
        <f t="shared" si="17"/>
        <v/>
      </c>
      <c r="BF45" s="410" t="str">
        <f t="shared" si="18"/>
        <v/>
      </c>
      <c r="BG45" s="773" t="str">
        <f>IF($S45="","",SUM($BF45:$BF$114))</f>
        <v/>
      </c>
      <c r="BH45" s="772" t="str">
        <f>IF($S45="","",INDEX(#REF!,$S45+1))</f>
        <v/>
      </c>
      <c r="BI45" s="410" t="str">
        <f t="shared" si="19"/>
        <v/>
      </c>
      <c r="BJ45" s="410" t="str">
        <f t="shared" si="20"/>
        <v/>
      </c>
      <c r="BK45" s="410" t="str">
        <f t="shared" si="21"/>
        <v/>
      </c>
      <c r="BL45" s="773" t="str">
        <f>IF($S45="","",SUM($BK45:$BK$114))</f>
        <v/>
      </c>
      <c r="BM45" s="772" t="str">
        <f t="shared" si="22"/>
        <v/>
      </c>
      <c r="BN45" s="410" t="str">
        <f t="shared" si="33"/>
        <v/>
      </c>
      <c r="BO45" s="410" t="str">
        <f t="shared" si="23"/>
        <v/>
      </c>
      <c r="BP45" s="410" t="str">
        <f t="shared" si="24"/>
        <v/>
      </c>
      <c r="BQ45" s="410" t="str">
        <f t="shared" si="34"/>
        <v/>
      </c>
      <c r="BR45" s="410"/>
      <c r="BS45" s="410"/>
      <c r="BT45" s="410"/>
      <c r="BU45" s="410"/>
      <c r="BV45" s="410" t="str">
        <f>IF($S45="","",SUM(BQ45:BQ$114))</f>
        <v/>
      </c>
      <c r="BW45" s="774" t="str">
        <f>IF(S45&lt;$E$3+$F$5,0,IFERROR(일반형_연납순보험료!S47,0))</f>
        <v/>
      </c>
      <c r="BX45" s="774"/>
      <c r="BY45" s="774"/>
      <c r="BZ45" s="774"/>
      <c r="CA45" s="774"/>
      <c r="CB45" s="410" t="str">
        <f t="shared" si="35"/>
        <v/>
      </c>
      <c r="CC45" s="410" t="str">
        <f t="shared" si="25"/>
        <v/>
      </c>
      <c r="CD45" s="410" t="str">
        <f t="shared" si="26"/>
        <v/>
      </c>
      <c r="CE45" s="410" t="str">
        <f t="shared" si="36"/>
        <v/>
      </c>
      <c r="CF45" s="410" t="str">
        <f t="shared" si="27"/>
        <v/>
      </c>
      <c r="CG45" s="776" t="str">
        <f t="shared" si="37"/>
        <v/>
      </c>
      <c r="CH45" s="777" t="str">
        <f t="shared" si="28"/>
        <v/>
      </c>
      <c r="CI45" s="415"/>
      <c r="CJ45" s="415"/>
      <c r="CK45" s="415"/>
      <c r="CL45" s="415"/>
      <c r="CM45" s="415"/>
      <c r="CN45" s="415"/>
      <c r="CO45" s="479"/>
      <c r="CP45" s="479"/>
      <c r="CQ45" s="479"/>
      <c r="CR45" s="479"/>
      <c r="CS45" s="479"/>
      <c r="CT45" s="479"/>
      <c r="CU45" s="479"/>
      <c r="CV45" s="479"/>
      <c r="CW45" s="479"/>
      <c r="CX45" s="479"/>
      <c r="CY45" s="479"/>
      <c r="CZ45" s="479"/>
      <c r="DA45" s="479"/>
      <c r="DB45" s="479"/>
      <c r="DC45" s="479"/>
      <c r="DD45" s="479"/>
      <c r="DE45" s="479"/>
      <c r="DF45" s="479"/>
      <c r="DG45" s="479"/>
      <c r="DH45" s="479"/>
      <c r="DI45" s="479"/>
      <c r="DJ45" s="479"/>
      <c r="DK45" s="479"/>
      <c r="DL45" s="479"/>
      <c r="DM45" s="479"/>
      <c r="DN45" s="479"/>
      <c r="DO45" s="479"/>
      <c r="DP45" s="479"/>
      <c r="DQ45" s="479"/>
      <c r="DR45" s="479"/>
      <c r="DS45" s="479"/>
      <c r="DT45" s="479"/>
      <c r="DU45" s="479"/>
      <c r="DV45" s="479"/>
      <c r="DW45" s="479"/>
      <c r="DX45" s="479"/>
      <c r="DY45" s="479"/>
      <c r="DZ45" s="479"/>
      <c r="EA45" s="479"/>
      <c r="EB45" s="479"/>
      <c r="EC45" s="479"/>
      <c r="ED45" s="479"/>
    </row>
    <row r="46" spans="1:134">
      <c r="A46" s="305"/>
      <c r="B46" s="373"/>
      <c r="C46" s="373"/>
      <c r="D46" s="373"/>
      <c r="E46" s="373"/>
      <c r="F46" s="373"/>
      <c r="G46" s="373"/>
      <c r="H46" s="373"/>
      <c r="I46" s="48"/>
      <c r="J46" s="51" t="s">
        <v>44</v>
      </c>
      <c r="K46" s="486">
        <f>IF($F$6=0,1-$E$36-$E$38,1-$E$28-$E$30-E$25*$K$20/$K$32)</f>
        <v>0.875</v>
      </c>
      <c r="N46" s="278" t="str">
        <f t="shared" si="43"/>
        <v/>
      </c>
      <c r="O46" s="279" t="str">
        <f t="shared" si="44"/>
        <v/>
      </c>
      <c r="P46" s="271" t="str">
        <f t="shared" si="41"/>
        <v/>
      </c>
      <c r="Q46" s="382" t="str">
        <f t="shared" si="42"/>
        <v/>
      </c>
      <c r="R46" s="271"/>
      <c r="S46" s="120" t="str">
        <f t="shared" si="38"/>
        <v/>
      </c>
      <c r="T46" s="287" t="str">
        <f>Main_무해지!AC46</f>
        <v/>
      </c>
      <c r="U46" s="260">
        <f>+Main_무해지!AD46</f>
        <v>0</v>
      </c>
      <c r="V46" s="260" t="str">
        <f t="shared" si="29"/>
        <v/>
      </c>
      <c r="W46" s="260" t="str">
        <f t="shared" si="39"/>
        <v/>
      </c>
      <c r="X46" s="260" t="str">
        <f t="shared" si="0"/>
        <v/>
      </c>
      <c r="Y46" s="121" t="str">
        <f>IF($S46="","",SUM(X46:X$114))</f>
        <v/>
      </c>
      <c r="Z46" s="260" t="str">
        <f t="shared" si="30"/>
        <v/>
      </c>
      <c r="AA46" s="254">
        <f t="shared" si="31"/>
        <v>0</v>
      </c>
      <c r="AB46" s="254" t="str">
        <f>Main_무해지!AJ46</f>
        <v/>
      </c>
      <c r="AC46" s="260" t="str">
        <f t="shared" si="1"/>
        <v/>
      </c>
      <c r="AD46" s="260" t="str">
        <f t="shared" si="40"/>
        <v/>
      </c>
      <c r="AE46" s="260" t="str">
        <f t="shared" si="2"/>
        <v/>
      </c>
      <c r="AF46" s="121" t="str">
        <f>IF($S46="","",SUM(AE46:AE$114))</f>
        <v/>
      </c>
      <c r="AG46" s="287" t="str">
        <f>Main_무해지!AP46</f>
        <v/>
      </c>
      <c r="AH46" s="260" t="str">
        <f t="shared" si="3"/>
        <v/>
      </c>
      <c r="AI46" s="260" t="str">
        <f t="shared" si="4"/>
        <v/>
      </c>
      <c r="AJ46" s="260" t="str">
        <f t="shared" si="5"/>
        <v/>
      </c>
      <c r="AK46" s="317" t="str">
        <f>IF($S46="","",SUM($AL46:$AL$114))</f>
        <v/>
      </c>
      <c r="AL46" s="260" t="str">
        <f t="shared" si="32"/>
        <v/>
      </c>
      <c r="AM46" s="317" t="str">
        <f t="shared" si="6"/>
        <v/>
      </c>
      <c r="AN46" s="287" t="str">
        <f>IF($S46="","",INDEX(#REF!,$S46+1))</f>
        <v/>
      </c>
      <c r="AO46" s="260" t="str">
        <f t="shared" si="7"/>
        <v/>
      </c>
      <c r="AP46" s="260" t="str">
        <f t="shared" si="8"/>
        <v/>
      </c>
      <c r="AQ46" s="260" t="str">
        <f t="shared" si="9"/>
        <v/>
      </c>
      <c r="AR46" s="317" t="str">
        <f>IF($S46="","",SUM($AQ46:$AQ$114))</f>
        <v/>
      </c>
      <c r="AS46" s="287" t="str">
        <f>IF($S46="","",INDEX(#REF!,$S46+1))</f>
        <v/>
      </c>
      <c r="AT46" s="260" t="str">
        <f t="shared" si="10"/>
        <v/>
      </c>
      <c r="AU46" s="260" t="str">
        <f t="shared" si="11"/>
        <v/>
      </c>
      <c r="AV46" s="260" t="str">
        <f t="shared" si="12"/>
        <v/>
      </c>
      <c r="AW46" s="317" t="str">
        <f>IF($S46="","",SUM($AV46:$AV$114))</f>
        <v/>
      </c>
      <c r="AX46" s="287" t="str">
        <f>IF($S46="","",INDEX(#REF!,$S46+1))</f>
        <v/>
      </c>
      <c r="AY46" s="260" t="str">
        <f t="shared" si="13"/>
        <v/>
      </c>
      <c r="AZ46" s="260" t="str">
        <f t="shared" si="14"/>
        <v/>
      </c>
      <c r="BA46" s="260" t="str">
        <f t="shared" si="15"/>
        <v/>
      </c>
      <c r="BB46" s="317" t="str">
        <f>IF($S46="","",SUM($BA46:$BA$114))</f>
        <v/>
      </c>
      <c r="BC46" s="287" t="str">
        <f>IF($S46="","",INDEX(#REF!,$S46+1))</f>
        <v/>
      </c>
      <c r="BD46" s="260" t="str">
        <f t="shared" si="16"/>
        <v/>
      </c>
      <c r="BE46" s="260" t="str">
        <f t="shared" si="17"/>
        <v/>
      </c>
      <c r="BF46" s="260" t="str">
        <f t="shared" si="18"/>
        <v/>
      </c>
      <c r="BG46" s="317" t="str">
        <f>IF($S46="","",SUM($BF46:$BF$114))</f>
        <v/>
      </c>
      <c r="BH46" s="287" t="str">
        <f>IF($S46="","",INDEX(#REF!,$S46+1))</f>
        <v/>
      </c>
      <c r="BI46" s="260" t="str">
        <f t="shared" si="19"/>
        <v/>
      </c>
      <c r="BJ46" s="260" t="str">
        <f t="shared" si="20"/>
        <v/>
      </c>
      <c r="BK46" s="260" t="str">
        <f t="shared" si="21"/>
        <v/>
      </c>
      <c r="BL46" s="317" t="str">
        <f>IF($S46="","",SUM($BK46:$BK$114))</f>
        <v/>
      </c>
      <c r="BM46" s="287" t="str">
        <f t="shared" si="22"/>
        <v/>
      </c>
      <c r="BN46" s="260" t="str">
        <f t="shared" si="33"/>
        <v/>
      </c>
      <c r="BO46" s="260" t="str">
        <f t="shared" si="23"/>
        <v/>
      </c>
      <c r="BP46" s="260" t="str">
        <f t="shared" si="24"/>
        <v/>
      </c>
      <c r="BQ46" s="260" t="str">
        <f t="shared" si="34"/>
        <v/>
      </c>
      <c r="BR46" s="260"/>
      <c r="BS46" s="260"/>
      <c r="BT46" s="260"/>
      <c r="BU46" s="260"/>
      <c r="BV46" s="260" t="str">
        <f>IF($S46="","",SUM(BQ46:BQ$114))</f>
        <v/>
      </c>
      <c r="BW46" s="122" t="str">
        <f>IF(S46&lt;$E$3+$F$5,0,IFERROR(일반형_연납순보험료!S48,0))</f>
        <v/>
      </c>
      <c r="BX46" s="122"/>
      <c r="BY46" s="122"/>
      <c r="BZ46" s="122"/>
      <c r="CA46" s="122"/>
      <c r="CB46" s="260" t="str">
        <f t="shared" si="35"/>
        <v/>
      </c>
      <c r="CC46" s="260" t="str">
        <f t="shared" si="25"/>
        <v/>
      </c>
      <c r="CD46" s="260" t="str">
        <f t="shared" si="26"/>
        <v/>
      </c>
      <c r="CE46" s="260" t="str">
        <f t="shared" si="36"/>
        <v/>
      </c>
      <c r="CF46" s="260" t="str">
        <f t="shared" si="27"/>
        <v/>
      </c>
      <c r="CG46" s="123" t="str">
        <f t="shared" si="37"/>
        <v/>
      </c>
      <c r="CH46" s="124" t="str">
        <f t="shared" si="28"/>
        <v/>
      </c>
      <c r="CI46" s="242"/>
      <c r="CJ46" s="242"/>
      <c r="CK46" s="242"/>
      <c r="CL46" s="242"/>
      <c r="CM46" s="242"/>
      <c r="CN46" s="242"/>
      <c r="CO46" s="479"/>
      <c r="CP46" s="479"/>
      <c r="CQ46" s="479"/>
      <c r="CR46" s="479"/>
      <c r="CS46" s="479"/>
      <c r="CT46" s="479"/>
      <c r="CU46" s="479"/>
      <c r="CV46" s="479"/>
      <c r="CW46" s="479"/>
      <c r="CX46" s="479"/>
      <c r="CY46" s="479"/>
      <c r="CZ46" s="479"/>
      <c r="DA46" s="479"/>
      <c r="DB46" s="479"/>
      <c r="DC46" s="479"/>
      <c r="DD46" s="479"/>
      <c r="DE46" s="479"/>
      <c r="DF46" s="479"/>
      <c r="DG46" s="479"/>
      <c r="DH46" s="479"/>
      <c r="DI46" s="479"/>
      <c r="DJ46" s="479"/>
      <c r="DK46" s="479"/>
      <c r="DL46" s="479"/>
      <c r="DM46" s="479"/>
      <c r="DN46" s="479"/>
      <c r="DO46" s="479"/>
      <c r="DP46" s="479"/>
      <c r="DQ46" s="479"/>
      <c r="DR46" s="479"/>
      <c r="DS46" s="479"/>
      <c r="DT46" s="479"/>
      <c r="DU46" s="479"/>
      <c r="DV46" s="479"/>
      <c r="DW46" s="479"/>
      <c r="DX46" s="479"/>
      <c r="DY46" s="479"/>
      <c r="DZ46" s="479"/>
      <c r="EA46" s="479"/>
      <c r="EB46" s="479"/>
      <c r="EC46" s="479"/>
      <c r="ED46" s="479"/>
    </row>
    <row r="47" spans="1:134" ht="17.25" thickBot="1">
      <c r="A47" s="305"/>
      <c r="B47" s="373"/>
      <c r="C47" s="373"/>
      <c r="D47" s="373"/>
      <c r="E47" s="373"/>
      <c r="F47" s="373"/>
      <c r="G47" s="373"/>
      <c r="H47" s="373"/>
      <c r="I47" s="48"/>
      <c r="J47" s="109" t="s">
        <v>54</v>
      </c>
      <c r="K47" s="490">
        <f>K45/K46</f>
        <v>1.9795396803702742E-5</v>
      </c>
      <c r="N47" s="275" t="str">
        <f t="shared" si="43"/>
        <v/>
      </c>
      <c r="O47" s="276" t="str">
        <f t="shared" si="44"/>
        <v/>
      </c>
      <c r="P47" s="277" t="str">
        <f t="shared" si="41"/>
        <v/>
      </c>
      <c r="Q47" s="381" t="str">
        <f t="shared" si="42"/>
        <v/>
      </c>
      <c r="R47" s="277"/>
      <c r="S47" s="120" t="str">
        <f t="shared" si="38"/>
        <v/>
      </c>
      <c r="T47" s="287" t="str">
        <f>Main_무해지!AC47</f>
        <v/>
      </c>
      <c r="U47" s="260">
        <f>+Main_무해지!AD47</f>
        <v>0</v>
      </c>
      <c r="V47" s="260" t="str">
        <f t="shared" si="29"/>
        <v/>
      </c>
      <c r="W47" s="260" t="str">
        <f t="shared" si="39"/>
        <v/>
      </c>
      <c r="X47" s="260" t="str">
        <f t="shared" si="0"/>
        <v/>
      </c>
      <c r="Y47" s="121" t="str">
        <f>IF($S47="","",SUM(X47:X$114))</f>
        <v/>
      </c>
      <c r="Z47" s="260" t="str">
        <f t="shared" si="30"/>
        <v/>
      </c>
      <c r="AA47" s="254">
        <f t="shared" si="31"/>
        <v>0</v>
      </c>
      <c r="AB47" s="254" t="str">
        <f>Main_무해지!AJ47</f>
        <v/>
      </c>
      <c r="AC47" s="260" t="str">
        <f t="shared" si="1"/>
        <v/>
      </c>
      <c r="AD47" s="260" t="str">
        <f t="shared" si="40"/>
        <v/>
      </c>
      <c r="AE47" s="260" t="str">
        <f t="shared" si="2"/>
        <v/>
      </c>
      <c r="AF47" s="121" t="str">
        <f>IF($S47="","",SUM(AE47:AE$114))</f>
        <v/>
      </c>
      <c r="AG47" s="287" t="str">
        <f>Main_무해지!AP47</f>
        <v/>
      </c>
      <c r="AH47" s="260" t="str">
        <f t="shared" si="3"/>
        <v/>
      </c>
      <c r="AI47" s="260" t="str">
        <f t="shared" si="4"/>
        <v/>
      </c>
      <c r="AJ47" s="260" t="str">
        <f t="shared" si="5"/>
        <v/>
      </c>
      <c r="AK47" s="317" t="str">
        <f>IF($S47="","",SUM($AL47:$AL$114))</f>
        <v/>
      </c>
      <c r="AL47" s="260" t="str">
        <f t="shared" si="32"/>
        <v/>
      </c>
      <c r="AM47" s="317" t="str">
        <f t="shared" si="6"/>
        <v/>
      </c>
      <c r="AN47" s="287" t="str">
        <f>IF($S47="","",INDEX(#REF!,$S47+1))</f>
        <v/>
      </c>
      <c r="AO47" s="260" t="str">
        <f t="shared" si="7"/>
        <v/>
      </c>
      <c r="AP47" s="260" t="str">
        <f t="shared" si="8"/>
        <v/>
      </c>
      <c r="AQ47" s="260" t="str">
        <f t="shared" si="9"/>
        <v/>
      </c>
      <c r="AR47" s="317" t="str">
        <f>IF($S47="","",SUM($AQ47:$AQ$114))</f>
        <v/>
      </c>
      <c r="AS47" s="287" t="str">
        <f>IF($S47="","",INDEX(#REF!,$S47+1))</f>
        <v/>
      </c>
      <c r="AT47" s="260" t="str">
        <f t="shared" si="10"/>
        <v/>
      </c>
      <c r="AU47" s="260" t="str">
        <f t="shared" si="11"/>
        <v/>
      </c>
      <c r="AV47" s="260" t="str">
        <f t="shared" si="12"/>
        <v/>
      </c>
      <c r="AW47" s="317" t="str">
        <f>IF($S47="","",SUM($AV47:$AV$114))</f>
        <v/>
      </c>
      <c r="AX47" s="287" t="str">
        <f>IF($S47="","",INDEX(#REF!,$S47+1))</f>
        <v/>
      </c>
      <c r="AY47" s="260" t="str">
        <f t="shared" si="13"/>
        <v/>
      </c>
      <c r="AZ47" s="260" t="str">
        <f t="shared" si="14"/>
        <v/>
      </c>
      <c r="BA47" s="260" t="str">
        <f t="shared" si="15"/>
        <v/>
      </c>
      <c r="BB47" s="317" t="str">
        <f>IF($S47="","",SUM($BA47:$BA$114))</f>
        <v/>
      </c>
      <c r="BC47" s="287" t="str">
        <f>IF($S47="","",INDEX(#REF!,$S47+1))</f>
        <v/>
      </c>
      <c r="BD47" s="260" t="str">
        <f t="shared" si="16"/>
        <v/>
      </c>
      <c r="BE47" s="260" t="str">
        <f t="shared" si="17"/>
        <v/>
      </c>
      <c r="BF47" s="260" t="str">
        <f t="shared" si="18"/>
        <v/>
      </c>
      <c r="BG47" s="317" t="str">
        <f>IF($S47="","",SUM($BF47:$BF$114))</f>
        <v/>
      </c>
      <c r="BH47" s="287" t="str">
        <f>IF($S47="","",INDEX(#REF!,$S47+1))</f>
        <v/>
      </c>
      <c r="BI47" s="260" t="str">
        <f t="shared" si="19"/>
        <v/>
      </c>
      <c r="BJ47" s="260" t="str">
        <f t="shared" si="20"/>
        <v/>
      </c>
      <c r="BK47" s="260" t="str">
        <f t="shared" si="21"/>
        <v/>
      </c>
      <c r="BL47" s="317" t="str">
        <f>IF($S47="","",SUM($BK47:$BK$114))</f>
        <v/>
      </c>
      <c r="BM47" s="287" t="str">
        <f t="shared" si="22"/>
        <v/>
      </c>
      <c r="BN47" s="260" t="str">
        <f t="shared" si="33"/>
        <v/>
      </c>
      <c r="BO47" s="260" t="str">
        <f t="shared" si="23"/>
        <v/>
      </c>
      <c r="BP47" s="260" t="str">
        <f t="shared" si="24"/>
        <v/>
      </c>
      <c r="BQ47" s="260" t="str">
        <f t="shared" si="34"/>
        <v/>
      </c>
      <c r="BR47" s="260"/>
      <c r="BS47" s="260"/>
      <c r="BT47" s="260"/>
      <c r="BU47" s="260"/>
      <c r="BV47" s="260" t="str">
        <f>IF($S47="","",SUM(BQ47:BQ$114))</f>
        <v/>
      </c>
      <c r="BW47" s="122" t="str">
        <f>IF(S47&lt;$E$3+$F$5,0,IFERROR(일반형_연납순보험료!S49,0))</f>
        <v/>
      </c>
      <c r="BX47" s="122"/>
      <c r="BY47" s="122"/>
      <c r="BZ47" s="122"/>
      <c r="CA47" s="122"/>
      <c r="CB47" s="260" t="str">
        <f t="shared" si="35"/>
        <v/>
      </c>
      <c r="CC47" s="260" t="str">
        <f t="shared" si="25"/>
        <v/>
      </c>
      <c r="CD47" s="260" t="str">
        <f t="shared" si="26"/>
        <v/>
      </c>
      <c r="CE47" s="260" t="str">
        <f t="shared" si="36"/>
        <v/>
      </c>
      <c r="CF47" s="260" t="str">
        <f t="shared" si="27"/>
        <v/>
      </c>
      <c r="CG47" s="123" t="str">
        <f t="shared" si="37"/>
        <v/>
      </c>
      <c r="CH47" s="124" t="str">
        <f t="shared" si="28"/>
        <v/>
      </c>
      <c r="CI47" s="242"/>
      <c r="CJ47" s="242"/>
      <c r="CK47" s="242"/>
      <c r="CL47" s="242"/>
      <c r="CM47" s="242"/>
      <c r="CN47" s="242"/>
      <c r="CO47" s="479"/>
      <c r="CP47" s="479"/>
      <c r="CQ47" s="479"/>
      <c r="CR47" s="479"/>
      <c r="CS47" s="479"/>
      <c r="CT47" s="479"/>
      <c r="CU47" s="479"/>
      <c r="CV47" s="479"/>
      <c r="CW47" s="479"/>
      <c r="CX47" s="479"/>
      <c r="CY47" s="479"/>
      <c r="CZ47" s="479"/>
      <c r="DA47" s="479"/>
      <c r="DB47" s="479"/>
      <c r="DC47" s="479"/>
      <c r="DD47" s="479"/>
      <c r="DE47" s="479"/>
      <c r="DF47" s="479"/>
      <c r="DG47" s="479"/>
      <c r="DH47" s="479"/>
      <c r="DI47" s="479"/>
      <c r="DJ47" s="479"/>
      <c r="DK47" s="479"/>
      <c r="DL47" s="479"/>
      <c r="DM47" s="479"/>
      <c r="DN47" s="479"/>
      <c r="DO47" s="479"/>
      <c r="DP47" s="479"/>
      <c r="DQ47" s="479"/>
      <c r="DR47" s="479"/>
      <c r="DS47" s="479"/>
      <c r="DT47" s="479"/>
      <c r="DU47" s="479"/>
      <c r="DV47" s="479"/>
      <c r="DW47" s="479"/>
      <c r="DX47" s="479"/>
      <c r="DY47" s="479"/>
      <c r="DZ47" s="479"/>
      <c r="EA47" s="479"/>
      <c r="EB47" s="479"/>
      <c r="EC47" s="479"/>
      <c r="ED47" s="479"/>
    </row>
    <row r="48" spans="1:134">
      <c r="A48" s="305"/>
      <c r="B48" s="373"/>
      <c r="C48" s="373"/>
      <c r="D48" s="828" t="s">
        <v>58</v>
      </c>
      <c r="E48" s="829"/>
      <c r="F48" s="828" t="s">
        <v>224</v>
      </c>
      <c r="G48" s="830"/>
      <c r="I48" s="138" t="str">
        <f>IF($F$5=0,"  A(β')x:n","  mP(β')(m')x:n")</f>
        <v xml:space="preserve">  mP(β')(m')x:n</v>
      </c>
      <c r="J48" s="139" t="s">
        <v>55</v>
      </c>
      <c r="K48" s="493">
        <f>IF($F$5=0,K52,IF($F$7=0,K44+$E$29*K33/1/(K29-K30),K52+$E$29*K33/K38/K32))</f>
        <v>7.0461715141866193E-6</v>
      </c>
      <c r="N48" s="278" t="str">
        <f t="shared" si="43"/>
        <v/>
      </c>
      <c r="O48" s="279" t="str">
        <f t="shared" si="44"/>
        <v/>
      </c>
      <c r="P48" s="271" t="str">
        <f t="shared" si="41"/>
        <v/>
      </c>
      <c r="Q48" s="382" t="str">
        <f t="shared" si="42"/>
        <v/>
      </c>
      <c r="R48" s="271"/>
      <c r="S48" s="120" t="str">
        <f t="shared" si="38"/>
        <v/>
      </c>
      <c r="T48" s="287" t="str">
        <f>Main_무해지!AC48</f>
        <v/>
      </c>
      <c r="U48" s="260">
        <f>+Main_무해지!AD48</f>
        <v>0</v>
      </c>
      <c r="V48" s="260" t="str">
        <f t="shared" si="29"/>
        <v/>
      </c>
      <c r="W48" s="260" t="str">
        <f t="shared" si="39"/>
        <v/>
      </c>
      <c r="X48" s="260" t="str">
        <f t="shared" si="0"/>
        <v/>
      </c>
      <c r="Y48" s="121" t="str">
        <f>IF($S48="","",SUM(X48:X$114))</f>
        <v/>
      </c>
      <c r="Z48" s="260" t="str">
        <f t="shared" si="30"/>
        <v/>
      </c>
      <c r="AA48" s="254">
        <f t="shared" si="31"/>
        <v>0</v>
      </c>
      <c r="AB48" s="254" t="str">
        <f>Main_무해지!AJ48</f>
        <v/>
      </c>
      <c r="AC48" s="260" t="str">
        <f t="shared" si="1"/>
        <v/>
      </c>
      <c r="AD48" s="260" t="str">
        <f t="shared" si="40"/>
        <v/>
      </c>
      <c r="AE48" s="260" t="str">
        <f t="shared" si="2"/>
        <v/>
      </c>
      <c r="AF48" s="121" t="str">
        <f>IF($S48="","",SUM(AE48:AE$114))</f>
        <v/>
      </c>
      <c r="AG48" s="287" t="str">
        <f>Main_무해지!AP48</f>
        <v/>
      </c>
      <c r="AH48" s="260" t="str">
        <f t="shared" si="3"/>
        <v/>
      </c>
      <c r="AI48" s="260" t="str">
        <f t="shared" si="4"/>
        <v/>
      </c>
      <c r="AJ48" s="260" t="str">
        <f t="shared" si="5"/>
        <v/>
      </c>
      <c r="AK48" s="317" t="str">
        <f>IF($S48="","",SUM($AL48:$AL$114))</f>
        <v/>
      </c>
      <c r="AL48" s="260" t="str">
        <f t="shared" si="32"/>
        <v/>
      </c>
      <c r="AM48" s="317" t="str">
        <f t="shared" si="6"/>
        <v/>
      </c>
      <c r="AN48" s="287" t="str">
        <f>IF($S48="","",INDEX(#REF!,$S48+1))</f>
        <v/>
      </c>
      <c r="AO48" s="260" t="str">
        <f t="shared" si="7"/>
        <v/>
      </c>
      <c r="AP48" s="260" t="str">
        <f t="shared" si="8"/>
        <v/>
      </c>
      <c r="AQ48" s="260" t="str">
        <f t="shared" si="9"/>
        <v/>
      </c>
      <c r="AR48" s="317" t="str">
        <f>IF($S48="","",SUM($AQ48:$AQ$114))</f>
        <v/>
      </c>
      <c r="AS48" s="287" t="str">
        <f>IF($S48="","",INDEX(#REF!,$S48+1))</f>
        <v/>
      </c>
      <c r="AT48" s="260" t="str">
        <f t="shared" si="10"/>
        <v/>
      </c>
      <c r="AU48" s="260" t="str">
        <f t="shared" si="11"/>
        <v/>
      </c>
      <c r="AV48" s="260" t="str">
        <f t="shared" si="12"/>
        <v/>
      </c>
      <c r="AW48" s="317" t="str">
        <f>IF($S48="","",SUM($AV48:$AV$114))</f>
        <v/>
      </c>
      <c r="AX48" s="287" t="str">
        <f>IF($S48="","",INDEX(#REF!,$S48+1))</f>
        <v/>
      </c>
      <c r="AY48" s="260" t="str">
        <f t="shared" si="13"/>
        <v/>
      </c>
      <c r="AZ48" s="260" t="str">
        <f t="shared" si="14"/>
        <v/>
      </c>
      <c r="BA48" s="260" t="str">
        <f t="shared" si="15"/>
        <v/>
      </c>
      <c r="BB48" s="317" t="str">
        <f>IF($S48="","",SUM($BA48:$BA$114))</f>
        <v/>
      </c>
      <c r="BC48" s="287" t="str">
        <f>IF($S48="","",INDEX(#REF!,$S48+1))</f>
        <v/>
      </c>
      <c r="BD48" s="260" t="str">
        <f t="shared" si="16"/>
        <v/>
      </c>
      <c r="BE48" s="260" t="str">
        <f t="shared" si="17"/>
        <v/>
      </c>
      <c r="BF48" s="260" t="str">
        <f t="shared" si="18"/>
        <v/>
      </c>
      <c r="BG48" s="317" t="str">
        <f>IF($S48="","",SUM($BF48:$BF$114))</f>
        <v/>
      </c>
      <c r="BH48" s="287" t="str">
        <f>IF($S48="","",INDEX(#REF!,$S48+1))</f>
        <v/>
      </c>
      <c r="BI48" s="260" t="str">
        <f t="shared" si="19"/>
        <v/>
      </c>
      <c r="BJ48" s="260" t="str">
        <f t="shared" si="20"/>
        <v/>
      </c>
      <c r="BK48" s="260" t="str">
        <f t="shared" si="21"/>
        <v/>
      </c>
      <c r="BL48" s="317" t="str">
        <f>IF($S48="","",SUM($BK48:$BK$114))</f>
        <v/>
      </c>
      <c r="BM48" s="287" t="str">
        <f t="shared" si="22"/>
        <v/>
      </c>
      <c r="BN48" s="260" t="str">
        <f t="shared" si="33"/>
        <v/>
      </c>
      <c r="BO48" s="260" t="str">
        <f t="shared" si="23"/>
        <v/>
      </c>
      <c r="BP48" s="260" t="str">
        <f t="shared" si="24"/>
        <v/>
      </c>
      <c r="BQ48" s="260" t="str">
        <f t="shared" si="34"/>
        <v/>
      </c>
      <c r="BR48" s="260"/>
      <c r="BS48" s="260"/>
      <c r="BT48" s="260"/>
      <c r="BU48" s="260"/>
      <c r="BV48" s="260" t="str">
        <f>IF($S48="","",SUM(BQ48:BQ$114))</f>
        <v/>
      </c>
      <c r="BW48" s="122" t="str">
        <f>IF(S48&lt;$E$3+$F$5,0,IFERROR(일반형_연납순보험료!S50,0))</f>
        <v/>
      </c>
      <c r="BX48" s="122"/>
      <c r="BY48" s="122"/>
      <c r="BZ48" s="122"/>
      <c r="CA48" s="122"/>
      <c r="CB48" s="260" t="str">
        <f t="shared" si="35"/>
        <v/>
      </c>
      <c r="CC48" s="260" t="str">
        <f t="shared" si="25"/>
        <v/>
      </c>
      <c r="CD48" s="260" t="str">
        <f t="shared" si="26"/>
        <v/>
      </c>
      <c r="CE48" s="260" t="str">
        <f t="shared" si="36"/>
        <v/>
      </c>
      <c r="CF48" s="260" t="str">
        <f t="shared" si="27"/>
        <v/>
      </c>
      <c r="CG48" s="123" t="str">
        <f t="shared" si="37"/>
        <v/>
      </c>
      <c r="CH48" s="124" t="str">
        <f t="shared" si="28"/>
        <v/>
      </c>
      <c r="CI48" s="242"/>
      <c r="CJ48" s="242"/>
      <c r="CK48" s="242"/>
      <c r="CL48" s="242"/>
      <c r="CM48" s="242"/>
      <c r="CN48" s="242"/>
      <c r="CO48" s="479"/>
      <c r="CP48" s="479"/>
      <c r="CQ48" s="479"/>
      <c r="CR48" s="479"/>
      <c r="CS48" s="479"/>
      <c r="CT48" s="479"/>
      <c r="CU48" s="479"/>
      <c r="CV48" s="479"/>
      <c r="CW48" s="479"/>
      <c r="CX48" s="479"/>
      <c r="CY48" s="479"/>
      <c r="CZ48" s="479"/>
      <c r="DA48" s="479"/>
      <c r="DB48" s="479"/>
      <c r="DC48" s="479"/>
      <c r="DD48" s="479"/>
      <c r="DE48" s="479"/>
      <c r="DF48" s="479"/>
      <c r="DG48" s="479"/>
      <c r="DH48" s="479"/>
      <c r="DI48" s="479"/>
      <c r="DJ48" s="479"/>
      <c r="DK48" s="479"/>
      <c r="DL48" s="479"/>
      <c r="DM48" s="479"/>
      <c r="DN48" s="479"/>
      <c r="DO48" s="479"/>
      <c r="DP48" s="479"/>
      <c r="DQ48" s="479"/>
      <c r="DR48" s="479"/>
      <c r="DS48" s="479"/>
      <c r="DT48" s="479"/>
      <c r="DU48" s="479"/>
      <c r="DV48" s="479"/>
      <c r="DW48" s="479"/>
      <c r="DX48" s="479"/>
      <c r="DY48" s="479"/>
      <c r="DZ48" s="479"/>
      <c r="EA48" s="479"/>
      <c r="EB48" s="479"/>
      <c r="EC48" s="479"/>
      <c r="ED48" s="479"/>
    </row>
    <row r="49" spans="1:134">
      <c r="A49" s="305"/>
      <c r="B49" s="373"/>
      <c r="C49" s="373"/>
      <c r="D49" s="453" t="s">
        <v>238</v>
      </c>
      <c r="E49" s="454" t="s">
        <v>239</v>
      </c>
      <c r="F49" s="453" t="s">
        <v>242</v>
      </c>
      <c r="G49" s="455" t="s">
        <v>241</v>
      </c>
      <c r="I49" s="140"/>
      <c r="J49" s="141" t="s">
        <v>39</v>
      </c>
      <c r="K49" s="298">
        <v>1</v>
      </c>
      <c r="N49" s="278" t="str">
        <f t="shared" si="43"/>
        <v/>
      </c>
      <c r="O49" s="279" t="str">
        <f t="shared" si="44"/>
        <v/>
      </c>
      <c r="P49" s="271" t="str">
        <f t="shared" si="41"/>
        <v/>
      </c>
      <c r="Q49" s="382" t="str">
        <f t="shared" si="42"/>
        <v/>
      </c>
      <c r="R49" s="271"/>
      <c r="S49" s="130" t="str">
        <f t="shared" si="38"/>
        <v/>
      </c>
      <c r="T49" s="288" t="str">
        <f>Main_무해지!AC49</f>
        <v/>
      </c>
      <c r="U49" s="261">
        <f>+Main_무해지!AD49</f>
        <v>0</v>
      </c>
      <c r="V49" s="261" t="str">
        <f t="shared" si="29"/>
        <v/>
      </c>
      <c r="W49" s="261" t="str">
        <f t="shared" si="39"/>
        <v/>
      </c>
      <c r="X49" s="261" t="str">
        <f t="shared" si="0"/>
        <v/>
      </c>
      <c r="Y49" s="131" t="str">
        <f>IF($S49="","",SUM(X49:X$114))</f>
        <v/>
      </c>
      <c r="Z49" s="261" t="str">
        <f t="shared" si="30"/>
        <v/>
      </c>
      <c r="AA49" s="254">
        <f t="shared" si="31"/>
        <v>0</v>
      </c>
      <c r="AB49" s="254" t="str">
        <f>Main_무해지!AJ49</f>
        <v/>
      </c>
      <c r="AC49" s="261" t="str">
        <f t="shared" si="1"/>
        <v/>
      </c>
      <c r="AD49" s="261" t="str">
        <f t="shared" si="40"/>
        <v/>
      </c>
      <c r="AE49" s="261" t="str">
        <f t="shared" si="2"/>
        <v/>
      </c>
      <c r="AF49" s="131" t="str">
        <f>IF($S49="","",SUM(AE49:AE$114))</f>
        <v/>
      </c>
      <c r="AG49" s="288" t="str">
        <f>Main_무해지!AP49</f>
        <v/>
      </c>
      <c r="AH49" s="261" t="str">
        <f t="shared" si="3"/>
        <v/>
      </c>
      <c r="AI49" s="261" t="str">
        <f t="shared" si="4"/>
        <v/>
      </c>
      <c r="AJ49" s="261" t="str">
        <f t="shared" si="5"/>
        <v/>
      </c>
      <c r="AK49" s="318" t="str">
        <f>IF($S49="","",SUM($AL49:$AL$114))</f>
        <v/>
      </c>
      <c r="AL49" s="261" t="str">
        <f t="shared" si="32"/>
        <v/>
      </c>
      <c r="AM49" s="318" t="str">
        <f t="shared" si="6"/>
        <v/>
      </c>
      <c r="AN49" s="288" t="str">
        <f>IF($S49="","",INDEX(#REF!,$S49+1))</f>
        <v/>
      </c>
      <c r="AO49" s="261" t="str">
        <f t="shared" si="7"/>
        <v/>
      </c>
      <c r="AP49" s="261" t="str">
        <f t="shared" si="8"/>
        <v/>
      </c>
      <c r="AQ49" s="261" t="str">
        <f t="shared" si="9"/>
        <v/>
      </c>
      <c r="AR49" s="318" t="str">
        <f>IF($S49="","",SUM($AQ49:$AQ$114))</f>
        <v/>
      </c>
      <c r="AS49" s="288" t="str">
        <f>IF($S49="","",INDEX(#REF!,$S49+1))</f>
        <v/>
      </c>
      <c r="AT49" s="261" t="str">
        <f t="shared" si="10"/>
        <v/>
      </c>
      <c r="AU49" s="261" t="str">
        <f t="shared" si="11"/>
        <v/>
      </c>
      <c r="AV49" s="261" t="str">
        <f t="shared" si="12"/>
        <v/>
      </c>
      <c r="AW49" s="318" t="str">
        <f>IF($S49="","",SUM($AV49:$AV$114))</f>
        <v/>
      </c>
      <c r="AX49" s="288" t="str">
        <f>IF($S49="","",INDEX(#REF!,$S49+1))</f>
        <v/>
      </c>
      <c r="AY49" s="261" t="str">
        <f t="shared" si="13"/>
        <v/>
      </c>
      <c r="AZ49" s="261" t="str">
        <f t="shared" si="14"/>
        <v/>
      </c>
      <c r="BA49" s="261" t="str">
        <f t="shared" si="15"/>
        <v/>
      </c>
      <c r="BB49" s="318" t="str">
        <f>IF($S49="","",SUM($BA49:$BA$114))</f>
        <v/>
      </c>
      <c r="BC49" s="288" t="str">
        <f>IF($S49="","",INDEX(#REF!,$S49+1))</f>
        <v/>
      </c>
      <c r="BD49" s="261" t="str">
        <f t="shared" si="16"/>
        <v/>
      </c>
      <c r="BE49" s="261" t="str">
        <f t="shared" si="17"/>
        <v/>
      </c>
      <c r="BF49" s="261" t="str">
        <f t="shared" si="18"/>
        <v/>
      </c>
      <c r="BG49" s="318" t="str">
        <f>IF($S49="","",SUM($BF49:$BF$114))</f>
        <v/>
      </c>
      <c r="BH49" s="288" t="str">
        <f>IF($S49="","",INDEX(#REF!,$S49+1))</f>
        <v/>
      </c>
      <c r="BI49" s="261" t="str">
        <f t="shared" si="19"/>
        <v/>
      </c>
      <c r="BJ49" s="261" t="str">
        <f t="shared" si="20"/>
        <v/>
      </c>
      <c r="BK49" s="261" t="str">
        <f t="shared" si="21"/>
        <v/>
      </c>
      <c r="BL49" s="318" t="str">
        <f>IF($S49="","",SUM($BK49:$BK$114))</f>
        <v/>
      </c>
      <c r="BM49" s="288" t="str">
        <f t="shared" si="22"/>
        <v/>
      </c>
      <c r="BN49" s="261" t="str">
        <f t="shared" si="33"/>
        <v/>
      </c>
      <c r="BO49" s="261" t="str">
        <f t="shared" si="23"/>
        <v/>
      </c>
      <c r="BP49" s="261" t="str">
        <f t="shared" si="24"/>
        <v/>
      </c>
      <c r="BQ49" s="261" t="str">
        <f t="shared" si="34"/>
        <v/>
      </c>
      <c r="BR49" s="261"/>
      <c r="BS49" s="261"/>
      <c r="BT49" s="261"/>
      <c r="BU49" s="261"/>
      <c r="BV49" s="261" t="str">
        <f>IF($S49="","",SUM(BQ49:BQ$114))</f>
        <v/>
      </c>
      <c r="BW49" s="132" t="str">
        <f>IF(S49&lt;$E$3+$F$5,0,IFERROR(일반형_연납순보험료!S51,0))</f>
        <v/>
      </c>
      <c r="BX49" s="132"/>
      <c r="BY49" s="132"/>
      <c r="BZ49" s="132"/>
      <c r="CA49" s="132"/>
      <c r="CB49" s="261" t="str">
        <f t="shared" si="35"/>
        <v/>
      </c>
      <c r="CC49" s="261" t="str">
        <f t="shared" si="25"/>
        <v/>
      </c>
      <c r="CD49" s="261" t="str">
        <f t="shared" si="26"/>
        <v/>
      </c>
      <c r="CE49" s="261" t="str">
        <f t="shared" si="36"/>
        <v/>
      </c>
      <c r="CF49" s="261" t="str">
        <f t="shared" si="27"/>
        <v/>
      </c>
      <c r="CG49" s="133" t="str">
        <f t="shared" si="37"/>
        <v/>
      </c>
      <c r="CH49" s="134" t="str">
        <f t="shared" si="28"/>
        <v/>
      </c>
      <c r="CI49" s="243"/>
      <c r="CJ49" s="243"/>
      <c r="CK49" s="243"/>
      <c r="CL49" s="243"/>
      <c r="CM49" s="243"/>
      <c r="CN49" s="243"/>
      <c r="CO49" s="479"/>
      <c r="CP49" s="479"/>
      <c r="CQ49" s="479"/>
      <c r="CR49" s="479"/>
      <c r="CS49" s="479"/>
      <c r="CT49" s="479"/>
      <c r="CU49" s="479"/>
      <c r="CV49" s="479"/>
      <c r="CW49" s="479"/>
      <c r="CX49" s="479"/>
      <c r="CY49" s="479"/>
      <c r="CZ49" s="479"/>
      <c r="DA49" s="479"/>
      <c r="DB49" s="479"/>
      <c r="DC49" s="479"/>
      <c r="DD49" s="479"/>
      <c r="DE49" s="479"/>
      <c r="DF49" s="479"/>
      <c r="DG49" s="479"/>
      <c r="DH49" s="479"/>
      <c r="DI49" s="479"/>
      <c r="DJ49" s="479"/>
      <c r="DK49" s="479"/>
      <c r="DL49" s="479"/>
      <c r="DM49" s="479"/>
      <c r="DN49" s="479"/>
      <c r="DO49" s="479"/>
      <c r="DP49" s="479"/>
      <c r="DQ49" s="479"/>
      <c r="DR49" s="479"/>
      <c r="DS49" s="479"/>
      <c r="DT49" s="479"/>
      <c r="DU49" s="479"/>
      <c r="DV49" s="479"/>
      <c r="DW49" s="479"/>
      <c r="DX49" s="479"/>
      <c r="DY49" s="479"/>
      <c r="DZ49" s="479"/>
      <c r="EA49" s="479"/>
      <c r="EB49" s="479"/>
      <c r="EC49" s="479"/>
      <c r="ED49" s="479"/>
    </row>
    <row r="50" spans="1:134">
      <c r="A50" s="305"/>
      <c r="B50" s="373"/>
      <c r="D50" s="456"/>
      <c r="E50" s="457"/>
      <c r="F50" s="456" t="s">
        <v>372</v>
      </c>
      <c r="G50" s="458">
        <v>0</v>
      </c>
      <c r="I50" s="115" t="str">
        <f>E6&amp;" 순보험료"</f>
        <v>연납 순보험료</v>
      </c>
      <c r="J50" s="116" t="s">
        <v>42</v>
      </c>
      <c r="K50" s="488">
        <f>IF($F$6=0,(1-$E$36-$E$38)*(K35+K36)+($E$32+$E$37*K33/K20)*K34,(1-$E$28-$E$30-$E$25*$K$20/$K$32)*(K35)+(($E$23+$E$24*K41)*K20+$E$27*K32+$E$29*K33)*K36/K32)</f>
        <v>0.61654000749132931</v>
      </c>
      <c r="N50" s="278" t="str">
        <f t="shared" si="43"/>
        <v/>
      </c>
      <c r="O50" s="279" t="str">
        <f t="shared" si="44"/>
        <v/>
      </c>
      <c r="P50" s="271" t="str">
        <f t="shared" si="41"/>
        <v/>
      </c>
      <c r="Q50" s="382" t="str">
        <f t="shared" si="42"/>
        <v/>
      </c>
      <c r="R50" s="271"/>
      <c r="S50" s="759" t="str">
        <f t="shared" si="38"/>
        <v/>
      </c>
      <c r="T50" s="761" t="str">
        <f>Main_무해지!AC50</f>
        <v/>
      </c>
      <c r="U50" s="409">
        <f>+Main_무해지!AD50</f>
        <v>0</v>
      </c>
      <c r="V50" s="409" t="str">
        <f t="shared" si="29"/>
        <v/>
      </c>
      <c r="W50" s="409" t="str">
        <f t="shared" si="39"/>
        <v/>
      </c>
      <c r="X50" s="409" t="str">
        <f t="shared" si="0"/>
        <v/>
      </c>
      <c r="Y50" s="760" t="str">
        <f>IF($S50="","",SUM(X50:X$114))</f>
        <v/>
      </c>
      <c r="Z50" s="409" t="str">
        <f t="shared" si="30"/>
        <v/>
      </c>
      <c r="AA50" s="254">
        <f t="shared" si="31"/>
        <v>0</v>
      </c>
      <c r="AB50" s="254" t="str">
        <f>Main_무해지!AJ50</f>
        <v/>
      </c>
      <c r="AC50" s="409" t="str">
        <f t="shared" si="1"/>
        <v/>
      </c>
      <c r="AD50" s="409" t="str">
        <f t="shared" si="40"/>
        <v/>
      </c>
      <c r="AE50" s="409" t="str">
        <f t="shared" si="2"/>
        <v/>
      </c>
      <c r="AF50" s="760" t="str">
        <f>IF($S50="","",SUM(AE50:AE$114))</f>
        <v/>
      </c>
      <c r="AG50" s="761" t="str">
        <f>Main_무해지!AP50</f>
        <v/>
      </c>
      <c r="AH50" s="409" t="str">
        <f t="shared" si="3"/>
        <v/>
      </c>
      <c r="AI50" s="409" t="str">
        <f t="shared" si="4"/>
        <v/>
      </c>
      <c r="AJ50" s="409" t="str">
        <f t="shared" si="5"/>
        <v/>
      </c>
      <c r="AK50" s="762" t="str">
        <f>IF($S50="","",SUM($AL50:$AL$114))</f>
        <v/>
      </c>
      <c r="AL50" s="409" t="str">
        <f t="shared" si="32"/>
        <v/>
      </c>
      <c r="AM50" s="762" t="str">
        <f t="shared" si="6"/>
        <v/>
      </c>
      <c r="AN50" s="761" t="str">
        <f>IF($S50="","",INDEX(#REF!,$S50+1))</f>
        <v/>
      </c>
      <c r="AO50" s="409" t="str">
        <f t="shared" si="7"/>
        <v/>
      </c>
      <c r="AP50" s="409" t="str">
        <f t="shared" si="8"/>
        <v/>
      </c>
      <c r="AQ50" s="409" t="str">
        <f t="shared" si="9"/>
        <v/>
      </c>
      <c r="AR50" s="762" t="str">
        <f>IF($S50="","",SUM($AQ50:$AQ$114))</f>
        <v/>
      </c>
      <c r="AS50" s="761" t="str">
        <f>IF($S50="","",INDEX(#REF!,$S50+1))</f>
        <v/>
      </c>
      <c r="AT50" s="409" t="str">
        <f t="shared" si="10"/>
        <v/>
      </c>
      <c r="AU50" s="409" t="str">
        <f t="shared" si="11"/>
        <v/>
      </c>
      <c r="AV50" s="409" t="str">
        <f t="shared" si="12"/>
        <v/>
      </c>
      <c r="AW50" s="762" t="str">
        <f>IF($S50="","",SUM($AV50:$AV$114))</f>
        <v/>
      </c>
      <c r="AX50" s="761" t="str">
        <f>IF($S50="","",INDEX(#REF!,$S50+1))</f>
        <v/>
      </c>
      <c r="AY50" s="409" t="str">
        <f t="shared" si="13"/>
        <v/>
      </c>
      <c r="AZ50" s="409" t="str">
        <f t="shared" si="14"/>
        <v/>
      </c>
      <c r="BA50" s="409" t="str">
        <f t="shared" si="15"/>
        <v/>
      </c>
      <c r="BB50" s="762" t="str">
        <f>IF($S50="","",SUM($BA50:$BA$114))</f>
        <v/>
      </c>
      <c r="BC50" s="761" t="str">
        <f>IF($S50="","",INDEX(#REF!,$S50+1))</f>
        <v/>
      </c>
      <c r="BD50" s="409" t="str">
        <f t="shared" si="16"/>
        <v/>
      </c>
      <c r="BE50" s="409" t="str">
        <f t="shared" si="17"/>
        <v/>
      </c>
      <c r="BF50" s="409" t="str">
        <f t="shared" si="18"/>
        <v/>
      </c>
      <c r="BG50" s="762" t="str">
        <f>IF($S50="","",SUM($BF50:$BF$114))</f>
        <v/>
      </c>
      <c r="BH50" s="761" t="str">
        <f>IF($S50="","",INDEX(#REF!,$S50+1))</f>
        <v/>
      </c>
      <c r="BI50" s="409" t="str">
        <f t="shared" si="19"/>
        <v/>
      </c>
      <c r="BJ50" s="409" t="str">
        <f t="shared" si="20"/>
        <v/>
      </c>
      <c r="BK50" s="409" t="str">
        <f t="shared" si="21"/>
        <v/>
      </c>
      <c r="BL50" s="762" t="str">
        <f>IF($S50="","",SUM($BK50:$BK$114))</f>
        <v/>
      </c>
      <c r="BM50" s="761" t="str">
        <f t="shared" si="22"/>
        <v/>
      </c>
      <c r="BN50" s="409" t="str">
        <f t="shared" si="33"/>
        <v/>
      </c>
      <c r="BO50" s="409" t="str">
        <f t="shared" si="23"/>
        <v/>
      </c>
      <c r="BP50" s="409" t="str">
        <f t="shared" si="24"/>
        <v/>
      </c>
      <c r="BQ50" s="409" t="str">
        <f t="shared" si="34"/>
        <v/>
      </c>
      <c r="BR50" s="409"/>
      <c r="BS50" s="409"/>
      <c r="BT50" s="409"/>
      <c r="BU50" s="409"/>
      <c r="BV50" s="409" t="str">
        <f>IF($S50="","",SUM(BQ50:BQ$114))</f>
        <v/>
      </c>
      <c r="BW50" s="763" t="str">
        <f>IF(S50&lt;$E$3+$F$5,0,IFERROR(일반형_연납순보험료!S52,0))</f>
        <v/>
      </c>
      <c r="BX50" s="763"/>
      <c r="BY50" s="763"/>
      <c r="BZ50" s="763"/>
      <c r="CA50" s="763"/>
      <c r="CB50" s="409" t="str">
        <f t="shared" si="35"/>
        <v/>
      </c>
      <c r="CC50" s="409" t="str">
        <f t="shared" si="25"/>
        <v/>
      </c>
      <c r="CD50" s="409" t="str">
        <f t="shared" si="26"/>
        <v/>
      </c>
      <c r="CE50" s="409" t="str">
        <f t="shared" si="36"/>
        <v/>
      </c>
      <c r="CF50" s="409" t="str">
        <f t="shared" si="27"/>
        <v/>
      </c>
      <c r="CG50" s="765" t="str">
        <f t="shared" si="37"/>
        <v/>
      </c>
      <c r="CH50" s="766" t="str">
        <f t="shared" si="28"/>
        <v/>
      </c>
      <c r="CI50" s="414"/>
      <c r="CJ50" s="414"/>
      <c r="CK50" s="414"/>
      <c r="CL50" s="414"/>
      <c r="CM50" s="414"/>
      <c r="CN50" s="414"/>
      <c r="CO50" s="479"/>
      <c r="CP50" s="479"/>
      <c r="CQ50" s="479"/>
      <c r="CR50" s="479"/>
      <c r="CS50" s="479"/>
      <c r="CT50" s="479"/>
      <c r="CU50" s="479"/>
      <c r="CV50" s="479"/>
      <c r="CW50" s="479"/>
      <c r="CX50" s="479"/>
      <c r="CY50" s="479"/>
      <c r="CZ50" s="479"/>
      <c r="DA50" s="479"/>
      <c r="DB50" s="479"/>
      <c r="DC50" s="479"/>
      <c r="DD50" s="479"/>
      <c r="DE50" s="479"/>
      <c r="DF50" s="479"/>
      <c r="DG50" s="479"/>
      <c r="DH50" s="479"/>
      <c r="DI50" s="479"/>
      <c r="DJ50" s="479"/>
      <c r="DK50" s="479"/>
      <c r="DL50" s="479"/>
      <c r="DM50" s="479"/>
      <c r="DN50" s="479"/>
      <c r="DO50" s="479"/>
      <c r="DP50" s="479"/>
      <c r="DQ50" s="479"/>
      <c r="DR50" s="479"/>
      <c r="DS50" s="479"/>
      <c r="DT50" s="479"/>
      <c r="DU50" s="479"/>
      <c r="DV50" s="479"/>
      <c r="DW50" s="479"/>
      <c r="DX50" s="479"/>
      <c r="DY50" s="479"/>
      <c r="DZ50" s="479"/>
      <c r="EA50" s="479"/>
      <c r="EB50" s="479"/>
      <c r="EC50" s="479"/>
      <c r="ED50" s="479"/>
    </row>
    <row r="51" spans="1:134">
      <c r="A51" s="305"/>
      <c r="B51" s="373"/>
      <c r="D51" s="456"/>
      <c r="E51" s="457"/>
      <c r="F51" s="456"/>
      <c r="G51" s="458"/>
      <c r="I51" s="142"/>
      <c r="J51" s="49" t="s">
        <v>44</v>
      </c>
      <c r="K51" s="486">
        <f>IF($F$6=0,(1-$E$36-$E$38)*K20-(1+$E$33)*K34,K38*((1-$E$28-$E$30)*K32-$E$25*K20-K36))</f>
        <v>87500.000000000015</v>
      </c>
      <c r="N51" s="280" t="str">
        <f t="shared" si="43"/>
        <v/>
      </c>
      <c r="O51" s="281" t="str">
        <f t="shared" si="44"/>
        <v/>
      </c>
      <c r="P51" s="282" t="str">
        <f t="shared" si="41"/>
        <v/>
      </c>
      <c r="Q51" s="383" t="str">
        <f t="shared" si="42"/>
        <v/>
      </c>
      <c r="R51" s="282"/>
      <c r="S51" s="70" t="str">
        <f t="shared" si="38"/>
        <v/>
      </c>
      <c r="T51" s="71" t="str">
        <f>Main_무해지!AC51</f>
        <v/>
      </c>
      <c r="U51" s="256">
        <f>+Main_무해지!AD51</f>
        <v>0</v>
      </c>
      <c r="V51" s="256" t="str">
        <f t="shared" si="29"/>
        <v/>
      </c>
      <c r="W51" s="256" t="str">
        <f t="shared" si="39"/>
        <v/>
      </c>
      <c r="X51" s="256" t="str">
        <f t="shared" si="0"/>
        <v/>
      </c>
      <c r="Y51" s="72" t="str">
        <f>IF($S51="","",SUM(X51:X$114))</f>
        <v/>
      </c>
      <c r="Z51" s="256" t="str">
        <f t="shared" si="30"/>
        <v/>
      </c>
      <c r="AA51" s="254">
        <f t="shared" si="31"/>
        <v>0</v>
      </c>
      <c r="AB51" s="254" t="str">
        <f>Main_무해지!AJ51</f>
        <v/>
      </c>
      <c r="AC51" s="256" t="str">
        <f t="shared" si="1"/>
        <v/>
      </c>
      <c r="AD51" s="256" t="str">
        <f t="shared" si="40"/>
        <v/>
      </c>
      <c r="AE51" s="256" t="str">
        <f t="shared" si="2"/>
        <v/>
      </c>
      <c r="AF51" s="72" t="str">
        <f>IF($S51="","",SUM(AE51:AE$114))</f>
        <v/>
      </c>
      <c r="AG51" s="71" t="str">
        <f>Main_무해지!AP51</f>
        <v/>
      </c>
      <c r="AH51" s="256" t="str">
        <f t="shared" si="3"/>
        <v/>
      </c>
      <c r="AI51" s="256" t="str">
        <f t="shared" si="4"/>
        <v/>
      </c>
      <c r="AJ51" s="256" t="str">
        <f t="shared" si="5"/>
        <v/>
      </c>
      <c r="AK51" s="75" t="str">
        <f>IF($S51="","",SUM($AL51:$AL$114))</f>
        <v/>
      </c>
      <c r="AL51" s="256" t="str">
        <f t="shared" si="32"/>
        <v/>
      </c>
      <c r="AM51" s="75" t="str">
        <f t="shared" si="6"/>
        <v/>
      </c>
      <c r="AN51" s="71" t="str">
        <f>IF($S51="","",INDEX(#REF!,$S51+1))</f>
        <v/>
      </c>
      <c r="AO51" s="256" t="str">
        <f t="shared" si="7"/>
        <v/>
      </c>
      <c r="AP51" s="256" t="str">
        <f t="shared" si="8"/>
        <v/>
      </c>
      <c r="AQ51" s="256" t="str">
        <f t="shared" si="9"/>
        <v/>
      </c>
      <c r="AR51" s="75" t="str">
        <f>IF($S51="","",SUM($AQ51:$AQ$114))</f>
        <v/>
      </c>
      <c r="AS51" s="71" t="str">
        <f>IF($S51="","",INDEX(#REF!,$S51+1))</f>
        <v/>
      </c>
      <c r="AT51" s="256" t="str">
        <f t="shared" si="10"/>
        <v/>
      </c>
      <c r="AU51" s="256" t="str">
        <f t="shared" si="11"/>
        <v/>
      </c>
      <c r="AV51" s="256" t="str">
        <f t="shared" si="12"/>
        <v/>
      </c>
      <c r="AW51" s="75" t="str">
        <f>IF($S51="","",SUM($AV51:$AV$114))</f>
        <v/>
      </c>
      <c r="AX51" s="71" t="str">
        <f>IF($S51="","",INDEX(#REF!,$S51+1))</f>
        <v/>
      </c>
      <c r="AY51" s="256" t="str">
        <f t="shared" si="13"/>
        <v/>
      </c>
      <c r="AZ51" s="256" t="str">
        <f t="shared" si="14"/>
        <v/>
      </c>
      <c r="BA51" s="256" t="str">
        <f t="shared" si="15"/>
        <v/>
      </c>
      <c r="BB51" s="75" t="str">
        <f>IF($S51="","",SUM($BA51:$BA$114))</f>
        <v/>
      </c>
      <c r="BC51" s="71" t="str">
        <f>IF($S51="","",INDEX(#REF!,$S51+1))</f>
        <v/>
      </c>
      <c r="BD51" s="256" t="str">
        <f t="shared" si="16"/>
        <v/>
      </c>
      <c r="BE51" s="256" t="str">
        <f t="shared" si="17"/>
        <v/>
      </c>
      <c r="BF51" s="256" t="str">
        <f t="shared" si="18"/>
        <v/>
      </c>
      <c r="BG51" s="75" t="str">
        <f>IF($S51="","",SUM($BF51:$BF$114))</f>
        <v/>
      </c>
      <c r="BH51" s="71" t="str">
        <f>IF($S51="","",INDEX(#REF!,$S51+1))</f>
        <v/>
      </c>
      <c r="BI51" s="256" t="str">
        <f t="shared" si="19"/>
        <v/>
      </c>
      <c r="BJ51" s="256" t="str">
        <f t="shared" si="20"/>
        <v/>
      </c>
      <c r="BK51" s="256" t="str">
        <f t="shared" si="21"/>
        <v/>
      </c>
      <c r="BL51" s="75" t="str">
        <f>IF($S51="","",SUM($BK51:$BK$114))</f>
        <v/>
      </c>
      <c r="BM51" s="71" t="str">
        <f t="shared" si="22"/>
        <v/>
      </c>
      <c r="BN51" s="256" t="str">
        <f t="shared" si="33"/>
        <v/>
      </c>
      <c r="BO51" s="256" t="str">
        <f t="shared" si="23"/>
        <v/>
      </c>
      <c r="BP51" s="256" t="str">
        <f t="shared" si="24"/>
        <v/>
      </c>
      <c r="BQ51" s="256" t="str">
        <f t="shared" si="34"/>
        <v/>
      </c>
      <c r="BR51" s="256"/>
      <c r="BS51" s="256"/>
      <c r="BT51" s="256"/>
      <c r="BU51" s="256"/>
      <c r="BV51" s="256" t="str">
        <f>IF($S51="","",SUM(BQ51:BQ$114))</f>
        <v/>
      </c>
      <c r="BW51" s="73" t="str">
        <f>IF(S51&lt;$E$3+$F$5,0,IFERROR(일반형_연납순보험료!S53,0))</f>
        <v/>
      </c>
      <c r="BX51" s="73"/>
      <c r="BY51" s="73"/>
      <c r="BZ51" s="73"/>
      <c r="CA51" s="73"/>
      <c r="CB51" s="256" t="str">
        <f t="shared" si="35"/>
        <v/>
      </c>
      <c r="CC51" s="256" t="str">
        <f t="shared" si="25"/>
        <v/>
      </c>
      <c r="CD51" s="256" t="str">
        <f t="shared" si="26"/>
        <v/>
      </c>
      <c r="CE51" s="256" t="str">
        <f t="shared" si="36"/>
        <v/>
      </c>
      <c r="CF51" s="256" t="str">
        <f t="shared" si="27"/>
        <v/>
      </c>
      <c r="CG51" s="76" t="str">
        <f t="shared" si="37"/>
        <v/>
      </c>
      <c r="CH51" s="77" t="str">
        <f t="shared" si="28"/>
        <v/>
      </c>
      <c r="CI51" s="238"/>
      <c r="CJ51" s="238"/>
      <c r="CK51" s="238"/>
      <c r="CL51" s="238"/>
      <c r="CM51" s="238"/>
      <c r="CN51" s="238"/>
      <c r="CO51" s="479"/>
      <c r="CP51" s="479"/>
      <c r="CQ51" s="479"/>
      <c r="CR51" s="479"/>
      <c r="CS51" s="479"/>
      <c r="CT51" s="479"/>
      <c r="CU51" s="479"/>
      <c r="CV51" s="479"/>
      <c r="CW51" s="479"/>
      <c r="CX51" s="479"/>
      <c r="CY51" s="479"/>
      <c r="CZ51" s="479"/>
      <c r="DA51" s="479"/>
      <c r="DB51" s="479"/>
      <c r="DC51" s="479"/>
      <c r="DD51" s="479"/>
      <c r="DE51" s="479"/>
      <c r="DF51" s="479"/>
      <c r="DG51" s="479"/>
      <c r="DH51" s="479"/>
      <c r="DI51" s="479"/>
      <c r="DJ51" s="479"/>
      <c r="DK51" s="479"/>
      <c r="DL51" s="479"/>
      <c r="DM51" s="479"/>
      <c r="DN51" s="479"/>
      <c r="DO51" s="479"/>
      <c r="DP51" s="479"/>
      <c r="DQ51" s="479"/>
      <c r="DR51" s="479"/>
      <c r="DS51" s="479"/>
      <c r="DT51" s="479"/>
      <c r="DU51" s="479"/>
      <c r="DV51" s="479"/>
      <c r="DW51" s="479"/>
      <c r="DX51" s="479"/>
      <c r="DY51" s="479"/>
      <c r="DZ51" s="479"/>
      <c r="EA51" s="479"/>
      <c r="EB51" s="479"/>
      <c r="EC51" s="479"/>
      <c r="ED51" s="479"/>
    </row>
    <row r="52" spans="1:134">
      <c r="A52" s="305"/>
      <c r="B52" s="373"/>
      <c r="D52" s="456"/>
      <c r="E52" s="457"/>
      <c r="F52" s="456"/>
      <c r="G52" s="458"/>
      <c r="I52" s="125" t="str">
        <f>IF(F5=0,"  Ax:n","  mP(m')x:n")</f>
        <v xml:space="preserve">  mP(m')x:n</v>
      </c>
      <c r="J52" s="126" t="s">
        <v>50</v>
      </c>
      <c r="K52" s="489">
        <f>K50/K51</f>
        <v>7.0461715141866193E-6</v>
      </c>
      <c r="N52" s="275" t="str">
        <f t="shared" si="43"/>
        <v/>
      </c>
      <c r="O52" s="276" t="str">
        <f t="shared" si="44"/>
        <v/>
      </c>
      <c r="P52" s="277" t="str">
        <f t="shared" si="41"/>
        <v/>
      </c>
      <c r="Q52" s="381" t="str">
        <f t="shared" si="42"/>
        <v/>
      </c>
      <c r="R52" s="277"/>
      <c r="S52" s="70" t="str">
        <f t="shared" si="38"/>
        <v/>
      </c>
      <c r="T52" s="71" t="str">
        <f>Main_무해지!AC52</f>
        <v/>
      </c>
      <c r="U52" s="256">
        <f>+Main_무해지!AD52</f>
        <v>0</v>
      </c>
      <c r="V52" s="256" t="str">
        <f t="shared" si="29"/>
        <v/>
      </c>
      <c r="W52" s="256" t="str">
        <f t="shared" si="39"/>
        <v/>
      </c>
      <c r="X52" s="256" t="str">
        <f t="shared" si="0"/>
        <v/>
      </c>
      <c r="Y52" s="72" t="str">
        <f>IF($S52="","",SUM(X52:X$114))</f>
        <v/>
      </c>
      <c r="Z52" s="256" t="str">
        <f t="shared" si="30"/>
        <v/>
      </c>
      <c r="AA52" s="254">
        <f t="shared" si="31"/>
        <v>0</v>
      </c>
      <c r="AB52" s="254" t="str">
        <f>Main_무해지!AJ52</f>
        <v/>
      </c>
      <c r="AC52" s="256" t="str">
        <f t="shared" si="1"/>
        <v/>
      </c>
      <c r="AD52" s="256" t="str">
        <f t="shared" si="40"/>
        <v/>
      </c>
      <c r="AE52" s="256" t="str">
        <f t="shared" si="2"/>
        <v/>
      </c>
      <c r="AF52" s="72" t="str">
        <f>IF($S52="","",SUM(AE52:AE$114))</f>
        <v/>
      </c>
      <c r="AG52" s="71" t="str">
        <f>Main_무해지!AP52</f>
        <v/>
      </c>
      <c r="AH52" s="256" t="str">
        <f t="shared" si="3"/>
        <v/>
      </c>
      <c r="AI52" s="256" t="str">
        <f t="shared" si="4"/>
        <v/>
      </c>
      <c r="AJ52" s="256" t="str">
        <f t="shared" si="5"/>
        <v/>
      </c>
      <c r="AK52" s="75" t="str">
        <f>IF($S52="","",SUM($AL52:$AL$114))</f>
        <v/>
      </c>
      <c r="AL52" s="256" t="str">
        <f t="shared" si="32"/>
        <v/>
      </c>
      <c r="AM52" s="75" t="str">
        <f t="shared" si="6"/>
        <v/>
      </c>
      <c r="AN52" s="71" t="str">
        <f>IF($S52="","",INDEX(#REF!,$S52+1))</f>
        <v/>
      </c>
      <c r="AO52" s="256" t="str">
        <f t="shared" si="7"/>
        <v/>
      </c>
      <c r="AP52" s="256" t="str">
        <f t="shared" si="8"/>
        <v/>
      </c>
      <c r="AQ52" s="256" t="str">
        <f t="shared" si="9"/>
        <v/>
      </c>
      <c r="AR52" s="75" t="str">
        <f>IF($S52="","",SUM($AQ52:$AQ$114))</f>
        <v/>
      </c>
      <c r="AS52" s="71" t="str">
        <f>IF($S52="","",INDEX(#REF!,$S52+1))</f>
        <v/>
      </c>
      <c r="AT52" s="256" t="str">
        <f t="shared" si="10"/>
        <v/>
      </c>
      <c r="AU52" s="256" t="str">
        <f t="shared" si="11"/>
        <v/>
      </c>
      <c r="AV52" s="256" t="str">
        <f t="shared" si="12"/>
        <v/>
      </c>
      <c r="AW52" s="75" t="str">
        <f>IF($S52="","",SUM($AV52:$AV$114))</f>
        <v/>
      </c>
      <c r="AX52" s="71" t="str">
        <f>IF($S52="","",INDEX(#REF!,$S52+1))</f>
        <v/>
      </c>
      <c r="AY52" s="256" t="str">
        <f t="shared" si="13"/>
        <v/>
      </c>
      <c r="AZ52" s="256" t="str">
        <f t="shared" si="14"/>
        <v/>
      </c>
      <c r="BA52" s="256" t="str">
        <f t="shared" si="15"/>
        <v/>
      </c>
      <c r="BB52" s="75" t="str">
        <f>IF($S52="","",SUM($BA52:$BA$114))</f>
        <v/>
      </c>
      <c r="BC52" s="71" t="str">
        <f>IF($S52="","",INDEX(#REF!,$S52+1))</f>
        <v/>
      </c>
      <c r="BD52" s="256" t="str">
        <f t="shared" si="16"/>
        <v/>
      </c>
      <c r="BE52" s="256" t="str">
        <f t="shared" si="17"/>
        <v/>
      </c>
      <c r="BF52" s="256" t="str">
        <f t="shared" si="18"/>
        <v/>
      </c>
      <c r="BG52" s="75" t="str">
        <f>IF($S52="","",SUM($BF52:$BF$114))</f>
        <v/>
      </c>
      <c r="BH52" s="71" t="str">
        <f>IF($S52="","",INDEX(#REF!,$S52+1))</f>
        <v/>
      </c>
      <c r="BI52" s="256" t="str">
        <f t="shared" si="19"/>
        <v/>
      </c>
      <c r="BJ52" s="256" t="str">
        <f t="shared" si="20"/>
        <v/>
      </c>
      <c r="BK52" s="256" t="str">
        <f t="shared" si="21"/>
        <v/>
      </c>
      <c r="BL52" s="75" t="str">
        <f>IF($S52="","",SUM($BK52:$BK$114))</f>
        <v/>
      </c>
      <c r="BM52" s="71" t="str">
        <f t="shared" si="22"/>
        <v/>
      </c>
      <c r="BN52" s="256" t="str">
        <f t="shared" si="33"/>
        <v/>
      </c>
      <c r="BO52" s="256" t="str">
        <f t="shared" si="23"/>
        <v/>
      </c>
      <c r="BP52" s="256" t="str">
        <f t="shared" si="24"/>
        <v/>
      </c>
      <c r="BQ52" s="256" t="str">
        <f t="shared" si="34"/>
        <v/>
      </c>
      <c r="BR52" s="256"/>
      <c r="BS52" s="256"/>
      <c r="BT52" s="256"/>
      <c r="BU52" s="256"/>
      <c r="BV52" s="256" t="str">
        <f>IF($S52="","",SUM(BQ52:BQ$114))</f>
        <v/>
      </c>
      <c r="BW52" s="73" t="str">
        <f>IF(S52&lt;$E$3+$F$5,0,IFERROR(일반형_연납순보험료!S54,0))</f>
        <v/>
      </c>
      <c r="BX52" s="73"/>
      <c r="BY52" s="73"/>
      <c r="BZ52" s="73"/>
      <c r="CA52" s="73"/>
      <c r="CB52" s="256" t="str">
        <f t="shared" si="35"/>
        <v/>
      </c>
      <c r="CC52" s="256" t="str">
        <f t="shared" si="25"/>
        <v/>
      </c>
      <c r="CD52" s="256" t="str">
        <f t="shared" si="26"/>
        <v/>
      </c>
      <c r="CE52" s="256" t="str">
        <f t="shared" si="36"/>
        <v/>
      </c>
      <c r="CF52" s="256" t="str">
        <f t="shared" si="27"/>
        <v/>
      </c>
      <c r="CG52" s="76" t="str">
        <f t="shared" si="37"/>
        <v/>
      </c>
      <c r="CH52" s="77" t="str">
        <f t="shared" si="28"/>
        <v/>
      </c>
      <c r="CI52" s="238"/>
      <c r="CJ52" s="238"/>
      <c r="CK52" s="238"/>
      <c r="CL52" s="238"/>
      <c r="CM52" s="238"/>
      <c r="CN52" s="238"/>
      <c r="CO52" s="479"/>
      <c r="CP52" s="479"/>
      <c r="CQ52" s="479"/>
      <c r="CR52" s="479"/>
      <c r="CS52" s="479"/>
      <c r="CT52" s="479"/>
      <c r="CU52" s="479"/>
      <c r="CV52" s="479"/>
      <c r="CW52" s="479"/>
      <c r="CX52" s="479"/>
      <c r="CY52" s="479"/>
      <c r="CZ52" s="479"/>
      <c r="DA52" s="479"/>
      <c r="DB52" s="479"/>
      <c r="DC52" s="479"/>
      <c r="DD52" s="479"/>
      <c r="DE52" s="479"/>
      <c r="DF52" s="479"/>
      <c r="DG52" s="479"/>
      <c r="DH52" s="479"/>
      <c r="DI52" s="479"/>
      <c r="DJ52" s="479"/>
      <c r="DK52" s="479"/>
      <c r="DL52" s="479"/>
      <c r="DM52" s="479"/>
      <c r="DN52" s="479"/>
      <c r="DO52" s="479"/>
      <c r="DP52" s="479"/>
      <c r="DQ52" s="479"/>
      <c r="DR52" s="479"/>
      <c r="DS52" s="479"/>
      <c r="DT52" s="479"/>
      <c r="DU52" s="479"/>
      <c r="DV52" s="479"/>
      <c r="DW52" s="479"/>
      <c r="DX52" s="479"/>
      <c r="DY52" s="479"/>
      <c r="DZ52" s="479"/>
      <c r="EA52" s="479"/>
      <c r="EB52" s="479"/>
      <c r="EC52" s="479"/>
      <c r="ED52" s="479"/>
    </row>
    <row r="53" spans="1:134">
      <c r="A53" s="305"/>
      <c r="B53" s="373"/>
      <c r="D53" s="456"/>
      <c r="E53" s="457"/>
      <c r="F53" s="456"/>
      <c r="G53" s="458"/>
      <c r="I53" s="115" t="str">
        <f>E6&amp;" 영업보험료"</f>
        <v>연납 영업보험료</v>
      </c>
      <c r="J53" s="116" t="s">
        <v>42</v>
      </c>
      <c r="K53" s="488">
        <f>IF($F$6=0,(1+$E$33)*K52+$E$32+$E$37*K33/K20,K52+(($E$23+$E$24*K41)*K20+$E$27*K32+$E$29*K33)/(K38*K32))</f>
        <v>1.73209722032399E-5</v>
      </c>
      <c r="N53" s="278" t="str">
        <f t="shared" si="43"/>
        <v/>
      </c>
      <c r="O53" s="279" t="str">
        <f t="shared" si="44"/>
        <v/>
      </c>
      <c r="P53" s="271" t="str">
        <f t="shared" si="41"/>
        <v/>
      </c>
      <c r="Q53" s="382" t="str">
        <f t="shared" si="42"/>
        <v/>
      </c>
      <c r="R53" s="271"/>
      <c r="S53" s="70" t="str">
        <f t="shared" si="38"/>
        <v/>
      </c>
      <c r="T53" s="71" t="str">
        <f>Main_무해지!AC53</f>
        <v/>
      </c>
      <c r="U53" s="256">
        <f>+Main_무해지!AD53</f>
        <v>0</v>
      </c>
      <c r="V53" s="256" t="str">
        <f t="shared" si="29"/>
        <v/>
      </c>
      <c r="W53" s="256" t="str">
        <f t="shared" si="39"/>
        <v/>
      </c>
      <c r="X53" s="256" t="str">
        <f t="shared" si="0"/>
        <v/>
      </c>
      <c r="Y53" s="72" t="str">
        <f>IF($S53="","",SUM(X53:X$114))</f>
        <v/>
      </c>
      <c r="Z53" s="256" t="str">
        <f t="shared" si="30"/>
        <v/>
      </c>
      <c r="AA53" s="254">
        <f t="shared" si="31"/>
        <v>0</v>
      </c>
      <c r="AB53" s="254" t="str">
        <f>Main_무해지!AJ53</f>
        <v/>
      </c>
      <c r="AC53" s="256" t="str">
        <f t="shared" si="1"/>
        <v/>
      </c>
      <c r="AD53" s="256" t="str">
        <f t="shared" si="40"/>
        <v/>
      </c>
      <c r="AE53" s="256" t="str">
        <f t="shared" si="2"/>
        <v/>
      </c>
      <c r="AF53" s="72" t="str">
        <f>IF($S53="","",SUM(AE53:AE$114))</f>
        <v/>
      </c>
      <c r="AG53" s="71" t="str">
        <f>Main_무해지!AP53</f>
        <v/>
      </c>
      <c r="AH53" s="256" t="str">
        <f t="shared" si="3"/>
        <v/>
      </c>
      <c r="AI53" s="256" t="str">
        <f t="shared" si="4"/>
        <v/>
      </c>
      <c r="AJ53" s="256" t="str">
        <f t="shared" si="5"/>
        <v/>
      </c>
      <c r="AK53" s="75" t="str">
        <f>IF($S53="","",SUM($AL53:$AL$114))</f>
        <v/>
      </c>
      <c r="AL53" s="256" t="str">
        <f t="shared" si="32"/>
        <v/>
      </c>
      <c r="AM53" s="75" t="str">
        <f t="shared" si="6"/>
        <v/>
      </c>
      <c r="AN53" s="71" t="str">
        <f>IF($S53="","",INDEX(#REF!,$S53+1))</f>
        <v/>
      </c>
      <c r="AO53" s="256" t="str">
        <f t="shared" si="7"/>
        <v/>
      </c>
      <c r="AP53" s="256" t="str">
        <f t="shared" si="8"/>
        <v/>
      </c>
      <c r="AQ53" s="256" t="str">
        <f t="shared" si="9"/>
        <v/>
      </c>
      <c r="AR53" s="75" t="str">
        <f>IF($S53="","",SUM($AQ53:$AQ$114))</f>
        <v/>
      </c>
      <c r="AS53" s="71" t="str">
        <f>IF($S53="","",INDEX(#REF!,$S53+1))</f>
        <v/>
      </c>
      <c r="AT53" s="256" t="str">
        <f t="shared" si="10"/>
        <v/>
      </c>
      <c r="AU53" s="256" t="str">
        <f t="shared" si="11"/>
        <v/>
      </c>
      <c r="AV53" s="256" t="str">
        <f t="shared" si="12"/>
        <v/>
      </c>
      <c r="AW53" s="75" t="str">
        <f>IF($S53="","",SUM($AV53:$AV$114))</f>
        <v/>
      </c>
      <c r="AX53" s="71" t="str">
        <f>IF($S53="","",INDEX(#REF!,$S53+1))</f>
        <v/>
      </c>
      <c r="AY53" s="256" t="str">
        <f t="shared" si="13"/>
        <v/>
      </c>
      <c r="AZ53" s="256" t="str">
        <f t="shared" si="14"/>
        <v/>
      </c>
      <c r="BA53" s="256" t="str">
        <f t="shared" si="15"/>
        <v/>
      </c>
      <c r="BB53" s="75" t="str">
        <f>IF($S53="","",SUM($BA53:$BA$114))</f>
        <v/>
      </c>
      <c r="BC53" s="71" t="str">
        <f>IF($S53="","",INDEX(#REF!,$S53+1))</f>
        <v/>
      </c>
      <c r="BD53" s="256" t="str">
        <f t="shared" si="16"/>
        <v/>
      </c>
      <c r="BE53" s="256" t="str">
        <f t="shared" si="17"/>
        <v/>
      </c>
      <c r="BF53" s="256" t="str">
        <f t="shared" si="18"/>
        <v/>
      </c>
      <c r="BG53" s="75" t="str">
        <f>IF($S53="","",SUM($BF53:$BF$114))</f>
        <v/>
      </c>
      <c r="BH53" s="71" t="str">
        <f>IF($S53="","",INDEX(#REF!,$S53+1))</f>
        <v/>
      </c>
      <c r="BI53" s="256" t="str">
        <f t="shared" si="19"/>
        <v/>
      </c>
      <c r="BJ53" s="256" t="str">
        <f t="shared" si="20"/>
        <v/>
      </c>
      <c r="BK53" s="256" t="str">
        <f t="shared" si="21"/>
        <v/>
      </c>
      <c r="BL53" s="75" t="str">
        <f>IF($S53="","",SUM($BK53:$BK$114))</f>
        <v/>
      </c>
      <c r="BM53" s="71" t="str">
        <f t="shared" si="22"/>
        <v/>
      </c>
      <c r="BN53" s="256" t="str">
        <f t="shared" si="33"/>
        <v/>
      </c>
      <c r="BO53" s="256" t="str">
        <f t="shared" si="23"/>
        <v/>
      </c>
      <c r="BP53" s="256" t="str">
        <f t="shared" si="24"/>
        <v/>
      </c>
      <c r="BQ53" s="256" t="str">
        <f t="shared" si="34"/>
        <v/>
      </c>
      <c r="BR53" s="256"/>
      <c r="BS53" s="256"/>
      <c r="BT53" s="256"/>
      <c r="BU53" s="256"/>
      <c r="BV53" s="256" t="str">
        <f>IF($S53="","",SUM(BQ53:BQ$114))</f>
        <v/>
      </c>
      <c r="BW53" s="73" t="str">
        <f>IF(S53&lt;$E$3+$F$5,0,IFERROR(일반형_연납순보험료!S55,0))</f>
        <v/>
      </c>
      <c r="BX53" s="73"/>
      <c r="BY53" s="73"/>
      <c r="BZ53" s="73"/>
      <c r="CA53" s="73"/>
      <c r="CB53" s="256" t="str">
        <f t="shared" si="35"/>
        <v/>
      </c>
      <c r="CC53" s="256" t="str">
        <f t="shared" si="25"/>
        <v/>
      </c>
      <c r="CD53" s="256" t="str">
        <f t="shared" si="26"/>
        <v/>
      </c>
      <c r="CE53" s="256" t="str">
        <f t="shared" si="36"/>
        <v/>
      </c>
      <c r="CF53" s="256" t="str">
        <f t="shared" si="27"/>
        <v/>
      </c>
      <c r="CG53" s="76" t="str">
        <f t="shared" si="37"/>
        <v/>
      </c>
      <c r="CH53" s="77" t="str">
        <f t="shared" si="28"/>
        <v/>
      </c>
      <c r="CI53" s="238"/>
      <c r="CJ53" s="238"/>
      <c r="CK53" s="238"/>
      <c r="CL53" s="238"/>
      <c r="CM53" s="238"/>
      <c r="CN53" s="238"/>
      <c r="CO53" s="479"/>
      <c r="CP53" s="479"/>
      <c r="CQ53" s="479"/>
      <c r="CR53" s="479"/>
      <c r="CS53" s="479"/>
      <c r="CT53" s="479"/>
      <c r="CU53" s="479"/>
      <c r="CV53" s="479"/>
      <c r="CW53" s="479"/>
      <c r="CX53" s="479"/>
      <c r="CY53" s="479"/>
      <c r="CZ53" s="479"/>
      <c r="DA53" s="479"/>
      <c r="DB53" s="479"/>
      <c r="DC53" s="479"/>
      <c r="DD53" s="479"/>
      <c r="DE53" s="479"/>
      <c r="DF53" s="479"/>
      <c r="DG53" s="479"/>
      <c r="DH53" s="479"/>
      <c r="DI53" s="479"/>
      <c r="DJ53" s="479"/>
      <c r="DK53" s="479"/>
      <c r="DL53" s="479"/>
      <c r="DM53" s="479"/>
      <c r="DN53" s="479"/>
      <c r="DO53" s="479"/>
      <c r="DP53" s="479"/>
      <c r="DQ53" s="479"/>
      <c r="DR53" s="479"/>
      <c r="DS53" s="479"/>
      <c r="DT53" s="479"/>
      <c r="DU53" s="479"/>
      <c r="DV53" s="479"/>
      <c r="DW53" s="479"/>
      <c r="DX53" s="479"/>
      <c r="DY53" s="479"/>
      <c r="DZ53" s="479"/>
      <c r="EA53" s="479"/>
      <c r="EB53" s="479"/>
      <c r="EC53" s="479"/>
      <c r="ED53" s="479"/>
    </row>
    <row r="54" spans="1:134">
      <c r="A54" s="305"/>
      <c r="B54" s="373"/>
      <c r="D54" s="456"/>
      <c r="E54" s="457"/>
      <c r="F54" s="456"/>
      <c r="G54" s="458"/>
      <c r="I54" s="142"/>
      <c r="J54" s="49" t="s">
        <v>44</v>
      </c>
      <c r="K54" s="486">
        <f>IF($F$6=0,1-$E$36-$E$38,1-$E$28-$E$30-$E$25*$K$20/$K$32)</f>
        <v>0.875</v>
      </c>
      <c r="N54" s="278" t="str">
        <f t="shared" si="43"/>
        <v/>
      </c>
      <c r="O54" s="279" t="str">
        <f t="shared" si="44"/>
        <v/>
      </c>
      <c r="P54" s="271" t="str">
        <f t="shared" si="41"/>
        <v/>
      </c>
      <c r="Q54" s="382" t="str">
        <f t="shared" si="42"/>
        <v/>
      </c>
      <c r="R54" s="271"/>
      <c r="S54" s="83" t="str">
        <f t="shared" si="38"/>
        <v/>
      </c>
      <c r="T54" s="84" t="str">
        <f>Main_무해지!AC54</f>
        <v/>
      </c>
      <c r="U54" s="257">
        <f>+Main_무해지!AD54</f>
        <v>0</v>
      </c>
      <c r="V54" s="257" t="str">
        <f t="shared" si="29"/>
        <v/>
      </c>
      <c r="W54" s="257" t="str">
        <f t="shared" si="39"/>
        <v/>
      </c>
      <c r="X54" s="257" t="str">
        <f t="shared" si="0"/>
        <v/>
      </c>
      <c r="Y54" s="85" t="str">
        <f>IF($S54="","",SUM(X54:X$114))</f>
        <v/>
      </c>
      <c r="Z54" s="257" t="str">
        <f t="shared" si="30"/>
        <v/>
      </c>
      <c r="AA54" s="254">
        <f t="shared" si="31"/>
        <v>0</v>
      </c>
      <c r="AB54" s="254" t="str">
        <f>Main_무해지!AJ54</f>
        <v/>
      </c>
      <c r="AC54" s="257" t="str">
        <f t="shared" si="1"/>
        <v/>
      </c>
      <c r="AD54" s="257" t="str">
        <f t="shared" si="40"/>
        <v/>
      </c>
      <c r="AE54" s="257" t="str">
        <f t="shared" si="2"/>
        <v/>
      </c>
      <c r="AF54" s="85" t="str">
        <f>IF($S54="","",SUM(AE54:AE$114))</f>
        <v/>
      </c>
      <c r="AG54" s="84" t="str">
        <f>Main_무해지!AP54</f>
        <v/>
      </c>
      <c r="AH54" s="257" t="str">
        <f t="shared" si="3"/>
        <v/>
      </c>
      <c r="AI54" s="257" t="str">
        <f t="shared" si="4"/>
        <v/>
      </c>
      <c r="AJ54" s="257" t="str">
        <f t="shared" si="5"/>
        <v/>
      </c>
      <c r="AK54" s="88" t="str">
        <f>IF($S54="","",SUM($AL54:$AL$114))</f>
        <v/>
      </c>
      <c r="AL54" s="257" t="str">
        <f t="shared" si="32"/>
        <v/>
      </c>
      <c r="AM54" s="88" t="str">
        <f t="shared" si="6"/>
        <v/>
      </c>
      <c r="AN54" s="84" t="str">
        <f>IF($S54="","",INDEX(#REF!,$S54+1))</f>
        <v/>
      </c>
      <c r="AO54" s="257" t="str">
        <f t="shared" si="7"/>
        <v/>
      </c>
      <c r="AP54" s="257" t="str">
        <f t="shared" si="8"/>
        <v/>
      </c>
      <c r="AQ54" s="257" t="str">
        <f t="shared" si="9"/>
        <v/>
      </c>
      <c r="AR54" s="88" t="str">
        <f>IF($S54="","",SUM($AQ54:$AQ$114))</f>
        <v/>
      </c>
      <c r="AS54" s="84" t="str">
        <f>IF($S54="","",INDEX(#REF!,$S54+1))</f>
        <v/>
      </c>
      <c r="AT54" s="257" t="str">
        <f t="shared" si="10"/>
        <v/>
      </c>
      <c r="AU54" s="257" t="str">
        <f t="shared" si="11"/>
        <v/>
      </c>
      <c r="AV54" s="257" t="str">
        <f t="shared" si="12"/>
        <v/>
      </c>
      <c r="AW54" s="88" t="str">
        <f>IF($S54="","",SUM($AV54:$AV$114))</f>
        <v/>
      </c>
      <c r="AX54" s="84" t="str">
        <f>IF($S54="","",INDEX(#REF!,$S54+1))</f>
        <v/>
      </c>
      <c r="AY54" s="257" t="str">
        <f t="shared" si="13"/>
        <v/>
      </c>
      <c r="AZ54" s="257" t="str">
        <f t="shared" si="14"/>
        <v/>
      </c>
      <c r="BA54" s="257" t="str">
        <f t="shared" si="15"/>
        <v/>
      </c>
      <c r="BB54" s="88" t="str">
        <f>IF($S54="","",SUM($BA54:$BA$114))</f>
        <v/>
      </c>
      <c r="BC54" s="84" t="str">
        <f>IF($S54="","",INDEX(#REF!,$S54+1))</f>
        <v/>
      </c>
      <c r="BD54" s="257" t="str">
        <f t="shared" si="16"/>
        <v/>
      </c>
      <c r="BE54" s="257" t="str">
        <f t="shared" si="17"/>
        <v/>
      </c>
      <c r="BF54" s="257" t="str">
        <f t="shared" si="18"/>
        <v/>
      </c>
      <c r="BG54" s="88" t="str">
        <f>IF($S54="","",SUM($BF54:$BF$114))</f>
        <v/>
      </c>
      <c r="BH54" s="84" t="str">
        <f>IF($S54="","",INDEX(#REF!,$S54+1))</f>
        <v/>
      </c>
      <c r="BI54" s="257" t="str">
        <f t="shared" si="19"/>
        <v/>
      </c>
      <c r="BJ54" s="257" t="str">
        <f t="shared" si="20"/>
        <v/>
      </c>
      <c r="BK54" s="257" t="str">
        <f t="shared" si="21"/>
        <v/>
      </c>
      <c r="BL54" s="88" t="str">
        <f>IF($S54="","",SUM($BK54:$BK$114))</f>
        <v/>
      </c>
      <c r="BM54" s="84" t="str">
        <f t="shared" si="22"/>
        <v/>
      </c>
      <c r="BN54" s="257" t="str">
        <f t="shared" si="33"/>
        <v/>
      </c>
      <c r="BO54" s="257" t="str">
        <f t="shared" si="23"/>
        <v/>
      </c>
      <c r="BP54" s="257" t="str">
        <f t="shared" si="24"/>
        <v/>
      </c>
      <c r="BQ54" s="257" t="str">
        <f t="shared" si="34"/>
        <v/>
      </c>
      <c r="BR54" s="257"/>
      <c r="BS54" s="257"/>
      <c r="BT54" s="257"/>
      <c r="BU54" s="257"/>
      <c r="BV54" s="257" t="str">
        <f>IF($S54="","",SUM(BQ54:BQ$114))</f>
        <v/>
      </c>
      <c r="BW54" s="86" t="str">
        <f>IF(S54&lt;$E$3+$F$5,0,IFERROR(일반형_연납순보험료!S56,0))</f>
        <v/>
      </c>
      <c r="BX54" s="86"/>
      <c r="BY54" s="86"/>
      <c r="BZ54" s="86"/>
      <c r="CA54" s="86"/>
      <c r="CB54" s="257" t="str">
        <f t="shared" si="35"/>
        <v/>
      </c>
      <c r="CC54" s="257" t="str">
        <f t="shared" si="25"/>
        <v/>
      </c>
      <c r="CD54" s="257" t="str">
        <f t="shared" si="26"/>
        <v/>
      </c>
      <c r="CE54" s="257" t="str">
        <f t="shared" si="36"/>
        <v/>
      </c>
      <c r="CF54" s="257" t="str">
        <f t="shared" si="27"/>
        <v/>
      </c>
      <c r="CG54" s="89" t="str">
        <f t="shared" si="37"/>
        <v/>
      </c>
      <c r="CH54" s="90" t="str">
        <f t="shared" si="28"/>
        <v/>
      </c>
      <c r="CI54" s="239"/>
      <c r="CJ54" s="239"/>
      <c r="CK54" s="239"/>
      <c r="CL54" s="239"/>
      <c r="CM54" s="239"/>
      <c r="CN54" s="239"/>
      <c r="CO54" s="479"/>
      <c r="CP54" s="479"/>
      <c r="CQ54" s="479"/>
      <c r="CR54" s="479"/>
      <c r="CS54" s="479"/>
      <c r="CT54" s="479"/>
      <c r="CU54" s="479"/>
      <c r="CV54" s="479"/>
      <c r="CW54" s="479"/>
      <c r="CX54" s="479"/>
      <c r="CY54" s="479"/>
      <c r="CZ54" s="479"/>
      <c r="DA54" s="479"/>
      <c r="DB54" s="479"/>
      <c r="DC54" s="479"/>
      <c r="DD54" s="479"/>
      <c r="DE54" s="479"/>
      <c r="DF54" s="479"/>
      <c r="DG54" s="479"/>
      <c r="DH54" s="479"/>
      <c r="DI54" s="479"/>
      <c r="DJ54" s="479"/>
      <c r="DK54" s="479"/>
      <c r="DL54" s="479"/>
      <c r="DM54" s="479"/>
      <c r="DN54" s="479"/>
      <c r="DO54" s="479"/>
      <c r="DP54" s="479"/>
      <c r="DQ54" s="479"/>
      <c r="DR54" s="479"/>
      <c r="DS54" s="479"/>
      <c r="DT54" s="479"/>
      <c r="DU54" s="479"/>
      <c r="DV54" s="479"/>
      <c r="DW54" s="479"/>
      <c r="DX54" s="479"/>
      <c r="DY54" s="479"/>
      <c r="DZ54" s="479"/>
      <c r="EA54" s="479"/>
      <c r="EB54" s="479"/>
      <c r="EC54" s="479"/>
      <c r="ED54" s="479"/>
    </row>
    <row r="55" spans="1:134" ht="17.25" thickBot="1">
      <c r="A55" s="305"/>
      <c r="B55" s="373"/>
      <c r="D55" s="456"/>
      <c r="E55" s="457"/>
      <c r="F55" s="456"/>
      <c r="G55" s="458"/>
      <c r="I55" s="144" t="str">
        <f>IF(F5=0,"  A'x:n","  mP'(m')x:n")</f>
        <v xml:space="preserve">  mP'(m')x:n</v>
      </c>
      <c r="J55" s="145" t="s">
        <v>54</v>
      </c>
      <c r="K55" s="656">
        <f>K53/K54</f>
        <v>1.9795396803702742E-5</v>
      </c>
      <c r="N55" s="278" t="str">
        <f t="shared" si="43"/>
        <v/>
      </c>
      <c r="O55" s="279" t="str">
        <f t="shared" si="44"/>
        <v/>
      </c>
      <c r="P55" s="271" t="str">
        <f t="shared" si="41"/>
        <v/>
      </c>
      <c r="Q55" s="382" t="str">
        <f t="shared" si="42"/>
        <v/>
      </c>
      <c r="R55" s="271"/>
      <c r="S55" s="750" t="str">
        <f t="shared" si="38"/>
        <v/>
      </c>
      <c r="T55" s="752" t="str">
        <f>Main_무해지!AC55</f>
        <v/>
      </c>
      <c r="U55" s="408">
        <f>+Main_무해지!AD55</f>
        <v>0</v>
      </c>
      <c r="V55" s="408" t="str">
        <f t="shared" si="29"/>
        <v/>
      </c>
      <c r="W55" s="408" t="str">
        <f t="shared" si="39"/>
        <v/>
      </c>
      <c r="X55" s="408" t="str">
        <f t="shared" si="0"/>
        <v/>
      </c>
      <c r="Y55" s="751" t="str">
        <f>IF($S55="","",SUM(X55:X$114))</f>
        <v/>
      </c>
      <c r="Z55" s="408" t="str">
        <f t="shared" si="30"/>
        <v/>
      </c>
      <c r="AA55" s="254">
        <f t="shared" si="31"/>
        <v>0</v>
      </c>
      <c r="AB55" s="254" t="str">
        <f>Main_무해지!AJ55</f>
        <v/>
      </c>
      <c r="AC55" s="408" t="str">
        <f t="shared" si="1"/>
        <v/>
      </c>
      <c r="AD55" s="408" t="str">
        <f t="shared" si="40"/>
        <v/>
      </c>
      <c r="AE55" s="408" t="str">
        <f t="shared" si="2"/>
        <v/>
      </c>
      <c r="AF55" s="751" t="str">
        <f>IF($S55="","",SUM(AE55:AE$114))</f>
        <v/>
      </c>
      <c r="AG55" s="752" t="str">
        <f>Main_무해지!AP55</f>
        <v/>
      </c>
      <c r="AH55" s="408" t="str">
        <f t="shared" si="3"/>
        <v/>
      </c>
      <c r="AI55" s="408" t="str">
        <f t="shared" si="4"/>
        <v/>
      </c>
      <c r="AJ55" s="408" t="str">
        <f t="shared" si="5"/>
        <v/>
      </c>
      <c r="AK55" s="753" t="str">
        <f>IF($S55="","",SUM($AL55:$AL$114))</f>
        <v/>
      </c>
      <c r="AL55" s="408" t="str">
        <f t="shared" si="32"/>
        <v/>
      </c>
      <c r="AM55" s="753" t="str">
        <f t="shared" si="6"/>
        <v/>
      </c>
      <c r="AN55" s="752" t="str">
        <f>IF($S55="","",INDEX(#REF!,$S55+1))</f>
        <v/>
      </c>
      <c r="AO55" s="408" t="str">
        <f t="shared" si="7"/>
        <v/>
      </c>
      <c r="AP55" s="408" t="str">
        <f t="shared" si="8"/>
        <v/>
      </c>
      <c r="AQ55" s="408" t="str">
        <f t="shared" si="9"/>
        <v/>
      </c>
      <c r="AR55" s="753" t="str">
        <f>IF($S55="","",SUM($AQ55:$AQ$114))</f>
        <v/>
      </c>
      <c r="AS55" s="752" t="str">
        <f>IF($S55="","",INDEX(#REF!,$S55+1))</f>
        <v/>
      </c>
      <c r="AT55" s="408" t="str">
        <f t="shared" si="10"/>
        <v/>
      </c>
      <c r="AU55" s="408" t="str">
        <f t="shared" si="11"/>
        <v/>
      </c>
      <c r="AV55" s="408" t="str">
        <f t="shared" si="12"/>
        <v/>
      </c>
      <c r="AW55" s="753" t="str">
        <f>IF($S55="","",SUM($AV55:$AV$114))</f>
        <v/>
      </c>
      <c r="AX55" s="752" t="str">
        <f>IF($S55="","",INDEX(#REF!,$S55+1))</f>
        <v/>
      </c>
      <c r="AY55" s="408" t="str">
        <f t="shared" si="13"/>
        <v/>
      </c>
      <c r="AZ55" s="408" t="str">
        <f t="shared" si="14"/>
        <v/>
      </c>
      <c r="BA55" s="408" t="str">
        <f t="shared" si="15"/>
        <v/>
      </c>
      <c r="BB55" s="753" t="str">
        <f>IF($S55="","",SUM($BA55:$BA$114))</f>
        <v/>
      </c>
      <c r="BC55" s="752" t="str">
        <f>IF($S55="","",INDEX(#REF!,$S55+1))</f>
        <v/>
      </c>
      <c r="BD55" s="408" t="str">
        <f t="shared" si="16"/>
        <v/>
      </c>
      <c r="BE55" s="408" t="str">
        <f t="shared" si="17"/>
        <v/>
      </c>
      <c r="BF55" s="408" t="str">
        <f t="shared" si="18"/>
        <v/>
      </c>
      <c r="BG55" s="753" t="str">
        <f>IF($S55="","",SUM($BF55:$BF$114))</f>
        <v/>
      </c>
      <c r="BH55" s="752" t="str">
        <f>IF($S55="","",INDEX(#REF!,$S55+1))</f>
        <v/>
      </c>
      <c r="BI55" s="408" t="str">
        <f t="shared" si="19"/>
        <v/>
      </c>
      <c r="BJ55" s="408" t="str">
        <f t="shared" si="20"/>
        <v/>
      </c>
      <c r="BK55" s="408" t="str">
        <f t="shared" si="21"/>
        <v/>
      </c>
      <c r="BL55" s="753" t="str">
        <f>IF($S55="","",SUM($BK55:$BK$114))</f>
        <v/>
      </c>
      <c r="BM55" s="752" t="str">
        <f t="shared" si="22"/>
        <v/>
      </c>
      <c r="BN55" s="408" t="str">
        <f t="shared" si="33"/>
        <v/>
      </c>
      <c r="BO55" s="408" t="str">
        <f t="shared" si="23"/>
        <v/>
      </c>
      <c r="BP55" s="408" t="str">
        <f t="shared" si="24"/>
        <v/>
      </c>
      <c r="BQ55" s="408" t="str">
        <f t="shared" si="34"/>
        <v/>
      </c>
      <c r="BR55" s="408"/>
      <c r="BS55" s="408"/>
      <c r="BT55" s="408"/>
      <c r="BU55" s="408"/>
      <c r="BV55" s="408" t="str">
        <f>IF($S55="","",SUM(BQ55:BQ$114))</f>
        <v/>
      </c>
      <c r="BW55" s="754" t="str">
        <f>IF(S55&lt;$E$3+$F$5,0,IFERROR(일반형_연납순보험료!S57,0))</f>
        <v/>
      </c>
      <c r="BX55" s="754"/>
      <c r="BY55" s="754"/>
      <c r="BZ55" s="754"/>
      <c r="CA55" s="754"/>
      <c r="CB55" s="408" t="str">
        <f t="shared" si="35"/>
        <v/>
      </c>
      <c r="CC55" s="408" t="str">
        <f t="shared" si="25"/>
        <v/>
      </c>
      <c r="CD55" s="408" t="str">
        <f t="shared" si="26"/>
        <v/>
      </c>
      <c r="CE55" s="408" t="str">
        <f t="shared" si="36"/>
        <v/>
      </c>
      <c r="CF55" s="408" t="str">
        <f t="shared" si="27"/>
        <v/>
      </c>
      <c r="CG55" s="756" t="str">
        <f t="shared" si="37"/>
        <v/>
      </c>
      <c r="CH55" s="757" t="str">
        <f t="shared" si="28"/>
        <v/>
      </c>
      <c r="CI55" s="413"/>
      <c r="CJ55" s="413"/>
      <c r="CK55" s="413"/>
      <c r="CL55" s="413"/>
      <c r="CM55" s="413"/>
      <c r="CN55" s="413"/>
      <c r="CO55" s="479"/>
      <c r="CP55" s="479"/>
      <c r="CQ55" s="479"/>
      <c r="CR55" s="479"/>
      <c r="CS55" s="479"/>
      <c r="CT55" s="479"/>
      <c r="CU55" s="479"/>
      <c r="CV55" s="479"/>
      <c r="CW55" s="479"/>
      <c r="CX55" s="479"/>
      <c r="CY55" s="479"/>
      <c r="CZ55" s="479"/>
      <c r="DA55" s="479"/>
      <c r="DB55" s="479"/>
      <c r="DC55" s="479"/>
      <c r="DD55" s="479"/>
      <c r="DE55" s="479"/>
      <c r="DF55" s="479"/>
      <c r="DG55" s="479"/>
      <c r="DH55" s="479"/>
      <c r="DI55" s="479"/>
      <c r="DJ55" s="479"/>
      <c r="DK55" s="479"/>
      <c r="DL55" s="479"/>
      <c r="DM55" s="479"/>
      <c r="DN55" s="479"/>
      <c r="DO55" s="479"/>
      <c r="DP55" s="479"/>
      <c r="DQ55" s="479"/>
      <c r="DR55" s="479"/>
      <c r="DS55" s="479"/>
      <c r="DT55" s="479"/>
      <c r="DU55" s="479"/>
      <c r="DV55" s="479"/>
      <c r="DW55" s="479"/>
      <c r="DX55" s="479"/>
      <c r="DY55" s="479"/>
      <c r="DZ55" s="479"/>
      <c r="EA55" s="479"/>
      <c r="EB55" s="479"/>
      <c r="EC55" s="479"/>
      <c r="ED55" s="479"/>
    </row>
    <row r="56" spans="1:134">
      <c r="A56" s="305"/>
      <c r="B56" s="373"/>
      <c r="D56" s="459"/>
      <c r="E56" s="457"/>
      <c r="F56" s="456"/>
      <c r="G56" s="460"/>
      <c r="N56" s="280" t="str">
        <f t="shared" si="43"/>
        <v/>
      </c>
      <c r="O56" s="281" t="str">
        <f t="shared" si="44"/>
        <v/>
      </c>
      <c r="P56" s="282" t="str">
        <f t="shared" si="41"/>
        <v/>
      </c>
      <c r="Q56" s="383" t="str">
        <f t="shared" si="42"/>
        <v/>
      </c>
      <c r="R56" s="282"/>
      <c r="S56" s="52" t="str">
        <f t="shared" si="38"/>
        <v/>
      </c>
      <c r="T56" s="53" t="str">
        <f>Main_무해지!AC56</f>
        <v/>
      </c>
      <c r="U56" s="254">
        <f>+Main_무해지!AD56</f>
        <v>0</v>
      </c>
      <c r="V56" s="254" t="str">
        <f t="shared" si="29"/>
        <v/>
      </c>
      <c r="W56" s="254" t="str">
        <f t="shared" si="39"/>
        <v/>
      </c>
      <c r="X56" s="254" t="str">
        <f t="shared" si="0"/>
        <v/>
      </c>
      <c r="Y56" s="54" t="str">
        <f>IF($S56="","",SUM(X56:X$114))</f>
        <v/>
      </c>
      <c r="Z56" s="254" t="str">
        <f t="shared" si="30"/>
        <v/>
      </c>
      <c r="AA56" s="254">
        <f t="shared" si="31"/>
        <v>0</v>
      </c>
      <c r="AB56" s="254" t="str">
        <f>Main_무해지!AJ56</f>
        <v/>
      </c>
      <c r="AC56" s="254" t="str">
        <f t="shared" si="1"/>
        <v/>
      </c>
      <c r="AD56" s="254" t="str">
        <f t="shared" si="40"/>
        <v/>
      </c>
      <c r="AE56" s="254" t="str">
        <f t="shared" si="2"/>
        <v/>
      </c>
      <c r="AF56" s="54" t="str">
        <f>IF($S56="","",SUM(AE56:AE$114))</f>
        <v/>
      </c>
      <c r="AG56" s="53" t="str">
        <f>Main_무해지!AP56</f>
        <v/>
      </c>
      <c r="AH56" s="254" t="str">
        <f t="shared" si="3"/>
        <v/>
      </c>
      <c r="AI56" s="254" t="str">
        <f t="shared" si="4"/>
        <v/>
      </c>
      <c r="AJ56" s="254" t="str">
        <f t="shared" si="5"/>
        <v/>
      </c>
      <c r="AK56" s="57" t="str">
        <f>IF($S56="","",SUM($AL56:$AL$114))</f>
        <v/>
      </c>
      <c r="AL56" s="254" t="str">
        <f t="shared" si="32"/>
        <v/>
      </c>
      <c r="AM56" s="57" t="str">
        <f t="shared" si="6"/>
        <v/>
      </c>
      <c r="AN56" s="53" t="str">
        <f>IF($S56="","",INDEX(#REF!,$S56+1))</f>
        <v/>
      </c>
      <c r="AO56" s="254" t="str">
        <f t="shared" si="7"/>
        <v/>
      </c>
      <c r="AP56" s="254" t="str">
        <f t="shared" si="8"/>
        <v/>
      </c>
      <c r="AQ56" s="254" t="str">
        <f t="shared" si="9"/>
        <v/>
      </c>
      <c r="AR56" s="57" t="str">
        <f>IF($S56="","",SUM($AQ56:$AQ$114))</f>
        <v/>
      </c>
      <c r="AS56" s="53" t="str">
        <f>IF($S56="","",INDEX(#REF!,$S56+1))</f>
        <v/>
      </c>
      <c r="AT56" s="254" t="str">
        <f t="shared" si="10"/>
        <v/>
      </c>
      <c r="AU56" s="254" t="str">
        <f t="shared" si="11"/>
        <v/>
      </c>
      <c r="AV56" s="254" t="str">
        <f t="shared" si="12"/>
        <v/>
      </c>
      <c r="AW56" s="57" t="str">
        <f>IF($S56="","",SUM($AV56:$AV$114))</f>
        <v/>
      </c>
      <c r="AX56" s="53" t="str">
        <f>IF($S56="","",INDEX(#REF!,$S56+1))</f>
        <v/>
      </c>
      <c r="AY56" s="254" t="str">
        <f t="shared" si="13"/>
        <v/>
      </c>
      <c r="AZ56" s="254" t="str">
        <f t="shared" si="14"/>
        <v/>
      </c>
      <c r="BA56" s="254" t="str">
        <f t="shared" si="15"/>
        <v/>
      </c>
      <c r="BB56" s="57" t="str">
        <f>IF($S56="","",SUM($BA56:$BA$114))</f>
        <v/>
      </c>
      <c r="BC56" s="53" t="str">
        <f>IF($S56="","",INDEX(#REF!,$S56+1))</f>
        <v/>
      </c>
      <c r="BD56" s="254" t="str">
        <f t="shared" si="16"/>
        <v/>
      </c>
      <c r="BE56" s="254" t="str">
        <f t="shared" si="17"/>
        <v/>
      </c>
      <c r="BF56" s="254" t="str">
        <f t="shared" si="18"/>
        <v/>
      </c>
      <c r="BG56" s="57" t="str">
        <f>IF($S56="","",SUM($BF56:$BF$114))</f>
        <v/>
      </c>
      <c r="BH56" s="53" t="str">
        <f>IF($S56="","",INDEX(#REF!,$S56+1))</f>
        <v/>
      </c>
      <c r="BI56" s="254" t="str">
        <f t="shared" si="19"/>
        <v/>
      </c>
      <c r="BJ56" s="254" t="str">
        <f t="shared" si="20"/>
        <v/>
      </c>
      <c r="BK56" s="254" t="str">
        <f t="shared" si="21"/>
        <v/>
      </c>
      <c r="BL56" s="57" t="str">
        <f>IF($S56="","",SUM($BK56:$BK$114))</f>
        <v/>
      </c>
      <c r="BM56" s="53" t="str">
        <f t="shared" si="22"/>
        <v/>
      </c>
      <c r="BN56" s="254" t="str">
        <f t="shared" si="33"/>
        <v/>
      </c>
      <c r="BO56" s="254" t="str">
        <f t="shared" si="23"/>
        <v/>
      </c>
      <c r="BP56" s="254" t="str">
        <f t="shared" si="24"/>
        <v/>
      </c>
      <c r="BQ56" s="254" t="str">
        <f t="shared" si="34"/>
        <v/>
      </c>
      <c r="BR56" s="254"/>
      <c r="BS56" s="254"/>
      <c r="BT56" s="254"/>
      <c r="BU56" s="254"/>
      <c r="BV56" s="254" t="str">
        <f>IF($S56="","",SUM(BQ56:BQ$114))</f>
        <v/>
      </c>
      <c r="BW56" s="55" t="str">
        <f>IF(S56&lt;$E$3+$F$5,0,IFERROR(일반형_연납순보험료!S58,0))</f>
        <v/>
      </c>
      <c r="BX56" s="55"/>
      <c r="BY56" s="55"/>
      <c r="BZ56" s="55"/>
      <c r="CA56" s="55"/>
      <c r="CB56" s="254" t="str">
        <f t="shared" si="35"/>
        <v/>
      </c>
      <c r="CC56" s="254" t="str">
        <f t="shared" si="25"/>
        <v/>
      </c>
      <c r="CD56" s="254" t="str">
        <f t="shared" si="26"/>
        <v/>
      </c>
      <c r="CE56" s="254" t="str">
        <f t="shared" si="36"/>
        <v/>
      </c>
      <c r="CF56" s="254" t="str">
        <f t="shared" si="27"/>
        <v/>
      </c>
      <c r="CG56" s="58" t="str">
        <f t="shared" si="37"/>
        <v/>
      </c>
      <c r="CH56" s="59" t="str">
        <f t="shared" si="28"/>
        <v/>
      </c>
      <c r="CI56" s="236"/>
      <c r="CJ56" s="236"/>
      <c r="CK56" s="236"/>
      <c r="CL56" s="236"/>
      <c r="CM56" s="236"/>
      <c r="CN56" s="236"/>
      <c r="CO56" s="479"/>
      <c r="CP56" s="479"/>
      <c r="CQ56" s="479"/>
      <c r="CR56" s="479"/>
      <c r="CS56" s="479"/>
      <c r="CT56" s="479"/>
      <c r="CU56" s="479"/>
      <c r="CV56" s="479"/>
      <c r="CW56" s="479"/>
      <c r="CX56" s="479"/>
      <c r="CY56" s="479"/>
      <c r="CZ56" s="479"/>
      <c r="DA56" s="479"/>
      <c r="DB56" s="479"/>
      <c r="DC56" s="479"/>
      <c r="DD56" s="479"/>
      <c r="DE56" s="479"/>
      <c r="DF56" s="479"/>
      <c r="DG56" s="479"/>
      <c r="DH56" s="479"/>
      <c r="DI56" s="479"/>
      <c r="DJ56" s="479"/>
      <c r="DK56" s="479"/>
      <c r="DL56" s="479"/>
      <c r="DM56" s="479"/>
      <c r="DN56" s="479"/>
      <c r="DO56" s="479"/>
      <c r="DP56" s="479"/>
      <c r="DQ56" s="479"/>
      <c r="DR56" s="479"/>
      <c r="DS56" s="479"/>
      <c r="DT56" s="479"/>
      <c r="DU56" s="479"/>
      <c r="DV56" s="479"/>
      <c r="DW56" s="479"/>
      <c r="DX56" s="479"/>
      <c r="DY56" s="479"/>
      <c r="DZ56" s="479"/>
      <c r="EA56" s="479"/>
      <c r="EB56" s="479"/>
      <c r="EC56" s="479"/>
      <c r="ED56" s="479"/>
    </row>
    <row r="57" spans="1:134">
      <c r="A57" s="305"/>
      <c r="B57" s="373"/>
      <c r="D57" s="459"/>
      <c r="E57" s="457"/>
      <c r="F57" s="456"/>
      <c r="G57" s="460"/>
      <c r="N57" s="275" t="str">
        <f t="shared" si="43"/>
        <v/>
      </c>
      <c r="O57" s="276" t="str">
        <f t="shared" si="44"/>
        <v/>
      </c>
      <c r="P57" s="277" t="str">
        <f t="shared" si="41"/>
        <v/>
      </c>
      <c r="Q57" s="381" t="str">
        <f t="shared" si="42"/>
        <v/>
      </c>
      <c r="R57" s="277"/>
      <c r="S57" s="52" t="str">
        <f t="shared" si="38"/>
        <v/>
      </c>
      <c r="T57" s="53" t="str">
        <f>Main_무해지!AC57</f>
        <v/>
      </c>
      <c r="U57" s="254">
        <f>+Main_무해지!AD57</f>
        <v>0</v>
      </c>
      <c r="V57" s="254" t="str">
        <f t="shared" si="29"/>
        <v/>
      </c>
      <c r="W57" s="254" t="str">
        <f t="shared" si="39"/>
        <v/>
      </c>
      <c r="X57" s="254" t="str">
        <f t="shared" si="0"/>
        <v/>
      </c>
      <c r="Y57" s="54" t="str">
        <f>IF($S57="","",SUM(X57:X$114))</f>
        <v/>
      </c>
      <c r="Z57" s="254" t="str">
        <f t="shared" si="30"/>
        <v/>
      </c>
      <c r="AA57" s="254">
        <f t="shared" si="31"/>
        <v>0</v>
      </c>
      <c r="AB57" s="254" t="str">
        <f>Main_무해지!AJ57</f>
        <v/>
      </c>
      <c r="AC57" s="254" t="str">
        <f t="shared" si="1"/>
        <v/>
      </c>
      <c r="AD57" s="254" t="str">
        <f t="shared" si="40"/>
        <v/>
      </c>
      <c r="AE57" s="254" t="str">
        <f t="shared" si="2"/>
        <v/>
      </c>
      <c r="AF57" s="54" t="str">
        <f>IF($S57="","",SUM(AE57:AE$114))</f>
        <v/>
      </c>
      <c r="AG57" s="53" t="str">
        <f>Main_무해지!AP57</f>
        <v/>
      </c>
      <c r="AH57" s="254" t="str">
        <f t="shared" si="3"/>
        <v/>
      </c>
      <c r="AI57" s="254" t="str">
        <f t="shared" si="4"/>
        <v/>
      </c>
      <c r="AJ57" s="254" t="str">
        <f t="shared" si="5"/>
        <v/>
      </c>
      <c r="AK57" s="57" t="str">
        <f>IF($S57="","",SUM($AL57:$AL$114))</f>
        <v/>
      </c>
      <c r="AL57" s="254" t="str">
        <f t="shared" si="32"/>
        <v/>
      </c>
      <c r="AM57" s="57" t="str">
        <f t="shared" si="6"/>
        <v/>
      </c>
      <c r="AN57" s="53" t="str">
        <f>IF($S57="","",INDEX(#REF!,$S57+1))</f>
        <v/>
      </c>
      <c r="AO57" s="254" t="str">
        <f t="shared" si="7"/>
        <v/>
      </c>
      <c r="AP57" s="254" t="str">
        <f t="shared" si="8"/>
        <v/>
      </c>
      <c r="AQ57" s="254" t="str">
        <f t="shared" si="9"/>
        <v/>
      </c>
      <c r="AR57" s="57" t="str">
        <f>IF($S57="","",SUM($AQ57:$AQ$114))</f>
        <v/>
      </c>
      <c r="AS57" s="53" t="str">
        <f>IF($S57="","",INDEX(#REF!,$S57+1))</f>
        <v/>
      </c>
      <c r="AT57" s="254" t="str">
        <f t="shared" si="10"/>
        <v/>
      </c>
      <c r="AU57" s="254" t="str">
        <f t="shared" si="11"/>
        <v/>
      </c>
      <c r="AV57" s="254" t="str">
        <f t="shared" si="12"/>
        <v/>
      </c>
      <c r="AW57" s="57" t="str">
        <f>IF($S57="","",SUM($AV57:$AV$114))</f>
        <v/>
      </c>
      <c r="AX57" s="53" t="str">
        <f>IF($S57="","",INDEX(#REF!,$S57+1))</f>
        <v/>
      </c>
      <c r="AY57" s="254" t="str">
        <f t="shared" si="13"/>
        <v/>
      </c>
      <c r="AZ57" s="254" t="str">
        <f t="shared" si="14"/>
        <v/>
      </c>
      <c r="BA57" s="254" t="str">
        <f t="shared" si="15"/>
        <v/>
      </c>
      <c r="BB57" s="57" t="str">
        <f>IF($S57="","",SUM($BA57:$BA$114))</f>
        <v/>
      </c>
      <c r="BC57" s="53" t="str">
        <f>IF($S57="","",INDEX(#REF!,$S57+1))</f>
        <v/>
      </c>
      <c r="BD57" s="254" t="str">
        <f t="shared" si="16"/>
        <v/>
      </c>
      <c r="BE57" s="254" t="str">
        <f t="shared" si="17"/>
        <v/>
      </c>
      <c r="BF57" s="254" t="str">
        <f t="shared" si="18"/>
        <v/>
      </c>
      <c r="BG57" s="57" t="str">
        <f>IF($S57="","",SUM($BF57:$BF$114))</f>
        <v/>
      </c>
      <c r="BH57" s="53" t="str">
        <f>IF($S57="","",INDEX(#REF!,$S57+1))</f>
        <v/>
      </c>
      <c r="BI57" s="254" t="str">
        <f t="shared" si="19"/>
        <v/>
      </c>
      <c r="BJ57" s="254" t="str">
        <f t="shared" si="20"/>
        <v/>
      </c>
      <c r="BK57" s="254" t="str">
        <f t="shared" si="21"/>
        <v/>
      </c>
      <c r="BL57" s="57" t="str">
        <f>IF($S57="","",SUM($BK57:$BK$114))</f>
        <v/>
      </c>
      <c r="BM57" s="53" t="str">
        <f t="shared" si="22"/>
        <v/>
      </c>
      <c r="BN57" s="254" t="str">
        <f t="shared" si="33"/>
        <v/>
      </c>
      <c r="BO57" s="254" t="str">
        <f t="shared" si="23"/>
        <v/>
      </c>
      <c r="BP57" s="254" t="str">
        <f t="shared" si="24"/>
        <v/>
      </c>
      <c r="BQ57" s="254" t="str">
        <f t="shared" si="34"/>
        <v/>
      </c>
      <c r="BR57" s="254"/>
      <c r="BS57" s="254"/>
      <c r="BT57" s="254"/>
      <c r="BU57" s="254"/>
      <c r="BV57" s="254" t="str">
        <f>IF($S57="","",SUM(BQ57:BQ$114))</f>
        <v/>
      </c>
      <c r="BW57" s="55" t="str">
        <f>IF(S57&lt;$E$3+$F$5,0,IFERROR(일반형_연납순보험료!S59,0))</f>
        <v/>
      </c>
      <c r="BX57" s="55"/>
      <c r="BY57" s="55"/>
      <c r="BZ57" s="55"/>
      <c r="CA57" s="55"/>
      <c r="CB57" s="254" t="str">
        <f t="shared" si="35"/>
        <v/>
      </c>
      <c r="CC57" s="254" t="str">
        <f t="shared" si="25"/>
        <v/>
      </c>
      <c r="CD57" s="254" t="str">
        <f t="shared" si="26"/>
        <v/>
      </c>
      <c r="CE57" s="254" t="str">
        <f t="shared" si="36"/>
        <v/>
      </c>
      <c r="CF57" s="254" t="str">
        <f t="shared" si="27"/>
        <v/>
      </c>
      <c r="CG57" s="58" t="str">
        <f t="shared" si="37"/>
        <v/>
      </c>
      <c r="CH57" s="59" t="str">
        <f t="shared" si="28"/>
        <v/>
      </c>
      <c r="CI57" s="236"/>
      <c r="CJ57" s="236"/>
      <c r="CK57" s="236"/>
      <c r="CL57" s="236"/>
      <c r="CM57" s="236"/>
      <c r="CN57" s="236"/>
      <c r="CO57" s="479"/>
      <c r="CP57" s="479"/>
      <c r="CQ57" s="479"/>
      <c r="CR57" s="479"/>
      <c r="CS57" s="479"/>
      <c r="CT57" s="479"/>
      <c r="CU57" s="479"/>
      <c r="CV57" s="479"/>
      <c r="CW57" s="479"/>
      <c r="CX57" s="479"/>
      <c r="CY57" s="479"/>
      <c r="CZ57" s="479"/>
      <c r="DA57" s="479"/>
      <c r="DB57" s="479"/>
      <c r="DC57" s="479"/>
      <c r="DD57" s="479"/>
      <c r="DE57" s="479"/>
      <c r="DF57" s="479"/>
      <c r="DG57" s="479"/>
      <c r="DH57" s="479"/>
      <c r="DI57" s="479"/>
      <c r="DJ57" s="479"/>
      <c r="DK57" s="479"/>
      <c r="DL57" s="479"/>
      <c r="DM57" s="479"/>
      <c r="DN57" s="479"/>
      <c r="DO57" s="479"/>
      <c r="DP57" s="479"/>
      <c r="DQ57" s="479"/>
      <c r="DR57" s="479"/>
      <c r="DS57" s="479"/>
      <c r="DT57" s="479"/>
      <c r="DU57" s="479"/>
      <c r="DV57" s="479"/>
      <c r="DW57" s="479"/>
      <c r="DX57" s="479"/>
      <c r="DY57" s="479"/>
      <c r="DZ57" s="479"/>
      <c r="EA57" s="479"/>
      <c r="EB57" s="479"/>
      <c r="EC57" s="479"/>
      <c r="ED57" s="479"/>
    </row>
    <row r="58" spans="1:134" ht="17.25" thickBot="1">
      <c r="A58" s="305"/>
      <c r="B58" s="373"/>
      <c r="D58" s="461"/>
      <c r="E58" s="462"/>
      <c r="F58" s="463"/>
      <c r="G58" s="464"/>
      <c r="N58" s="278" t="str">
        <f t="shared" si="43"/>
        <v/>
      </c>
      <c r="O58" s="279" t="str">
        <f t="shared" si="44"/>
        <v/>
      </c>
      <c r="P58" s="271" t="str">
        <f t="shared" si="41"/>
        <v/>
      </c>
      <c r="Q58" s="382" t="str">
        <f t="shared" si="42"/>
        <v/>
      </c>
      <c r="R58" s="271"/>
      <c r="S58" s="52" t="str">
        <f t="shared" si="38"/>
        <v/>
      </c>
      <c r="T58" s="53" t="str">
        <f>Main_무해지!AC58</f>
        <v/>
      </c>
      <c r="U58" s="254">
        <f>+Main_무해지!AD58</f>
        <v>0</v>
      </c>
      <c r="V58" s="254" t="str">
        <f t="shared" si="29"/>
        <v/>
      </c>
      <c r="W58" s="254" t="str">
        <f t="shared" si="39"/>
        <v/>
      </c>
      <c r="X58" s="254" t="str">
        <f t="shared" si="0"/>
        <v/>
      </c>
      <c r="Y58" s="54" t="str">
        <f>IF($S58="","",SUM(X58:X$114))</f>
        <v/>
      </c>
      <c r="Z58" s="254" t="str">
        <f t="shared" si="30"/>
        <v/>
      </c>
      <c r="AA58" s="254">
        <f t="shared" si="31"/>
        <v>0</v>
      </c>
      <c r="AB58" s="254" t="str">
        <f>Main_무해지!AJ58</f>
        <v/>
      </c>
      <c r="AC58" s="254" t="str">
        <f t="shared" si="1"/>
        <v/>
      </c>
      <c r="AD58" s="254" t="str">
        <f t="shared" si="40"/>
        <v/>
      </c>
      <c r="AE58" s="254" t="str">
        <f t="shared" si="2"/>
        <v/>
      </c>
      <c r="AF58" s="54" t="str">
        <f>IF($S58="","",SUM(AE58:AE$114))</f>
        <v/>
      </c>
      <c r="AG58" s="53" t="str">
        <f>Main_무해지!AP58</f>
        <v/>
      </c>
      <c r="AH58" s="254" t="str">
        <f t="shared" si="3"/>
        <v/>
      </c>
      <c r="AI58" s="254" t="str">
        <f t="shared" si="4"/>
        <v/>
      </c>
      <c r="AJ58" s="254" t="str">
        <f t="shared" si="5"/>
        <v/>
      </c>
      <c r="AK58" s="57" t="str">
        <f>IF($S58="","",SUM($AL58:$AL$114))</f>
        <v/>
      </c>
      <c r="AL58" s="254" t="str">
        <f t="shared" si="32"/>
        <v/>
      </c>
      <c r="AM58" s="57" t="str">
        <f t="shared" si="6"/>
        <v/>
      </c>
      <c r="AN58" s="53" t="str">
        <f>IF($S58="","",INDEX(#REF!,$S58+1))</f>
        <v/>
      </c>
      <c r="AO58" s="254" t="str">
        <f t="shared" si="7"/>
        <v/>
      </c>
      <c r="AP58" s="254" t="str">
        <f t="shared" si="8"/>
        <v/>
      </c>
      <c r="AQ58" s="254" t="str">
        <f t="shared" si="9"/>
        <v/>
      </c>
      <c r="AR58" s="57" t="str">
        <f>IF($S58="","",SUM($AQ58:$AQ$114))</f>
        <v/>
      </c>
      <c r="AS58" s="53" t="str">
        <f>IF($S58="","",INDEX(#REF!,$S58+1))</f>
        <v/>
      </c>
      <c r="AT58" s="254" t="str">
        <f t="shared" si="10"/>
        <v/>
      </c>
      <c r="AU58" s="254" t="str">
        <f t="shared" si="11"/>
        <v/>
      </c>
      <c r="AV58" s="254" t="str">
        <f t="shared" si="12"/>
        <v/>
      </c>
      <c r="AW58" s="57" t="str">
        <f>IF($S58="","",SUM($AV58:$AV$114))</f>
        <v/>
      </c>
      <c r="AX58" s="53" t="str">
        <f>IF($S58="","",INDEX(#REF!,$S58+1))</f>
        <v/>
      </c>
      <c r="AY58" s="254" t="str">
        <f t="shared" si="13"/>
        <v/>
      </c>
      <c r="AZ58" s="254" t="str">
        <f t="shared" si="14"/>
        <v/>
      </c>
      <c r="BA58" s="254" t="str">
        <f t="shared" si="15"/>
        <v/>
      </c>
      <c r="BB58" s="57" t="str">
        <f>IF($S58="","",SUM($BA58:$BA$114))</f>
        <v/>
      </c>
      <c r="BC58" s="53" t="str">
        <f>IF($S58="","",INDEX(#REF!,$S58+1))</f>
        <v/>
      </c>
      <c r="BD58" s="254" t="str">
        <f t="shared" si="16"/>
        <v/>
      </c>
      <c r="BE58" s="254" t="str">
        <f t="shared" si="17"/>
        <v/>
      </c>
      <c r="BF58" s="254" t="str">
        <f t="shared" si="18"/>
        <v/>
      </c>
      <c r="BG58" s="57" t="str">
        <f>IF($S58="","",SUM($BF58:$BF$114))</f>
        <v/>
      </c>
      <c r="BH58" s="53" t="str">
        <f>IF($S58="","",INDEX(#REF!,$S58+1))</f>
        <v/>
      </c>
      <c r="BI58" s="254" t="str">
        <f t="shared" si="19"/>
        <v/>
      </c>
      <c r="BJ58" s="254" t="str">
        <f t="shared" si="20"/>
        <v/>
      </c>
      <c r="BK58" s="254" t="str">
        <f t="shared" si="21"/>
        <v/>
      </c>
      <c r="BL58" s="57" t="str">
        <f>IF($S58="","",SUM($BK58:$BK$114))</f>
        <v/>
      </c>
      <c r="BM58" s="53" t="str">
        <f t="shared" si="22"/>
        <v/>
      </c>
      <c r="BN58" s="254" t="str">
        <f t="shared" si="33"/>
        <v/>
      </c>
      <c r="BO58" s="254" t="str">
        <f t="shared" si="23"/>
        <v/>
      </c>
      <c r="BP58" s="254" t="str">
        <f t="shared" si="24"/>
        <v/>
      </c>
      <c r="BQ58" s="254" t="str">
        <f t="shared" si="34"/>
        <v/>
      </c>
      <c r="BR58" s="254"/>
      <c r="BS58" s="254"/>
      <c r="BT58" s="254"/>
      <c r="BU58" s="254"/>
      <c r="BV58" s="254" t="str">
        <f>IF($S58="","",SUM(BQ58:BQ$114))</f>
        <v/>
      </c>
      <c r="BW58" s="55" t="str">
        <f>IF(S58&lt;$E$3+$F$5,0,IFERROR(일반형_연납순보험료!S60,0))</f>
        <v/>
      </c>
      <c r="BX58" s="55"/>
      <c r="BY58" s="55"/>
      <c r="BZ58" s="55"/>
      <c r="CA58" s="55"/>
      <c r="CB58" s="254" t="str">
        <f t="shared" si="35"/>
        <v/>
      </c>
      <c r="CC58" s="254" t="str">
        <f t="shared" si="25"/>
        <v/>
      </c>
      <c r="CD58" s="254" t="str">
        <f t="shared" si="26"/>
        <v/>
      </c>
      <c r="CE58" s="254" t="str">
        <f t="shared" si="36"/>
        <v/>
      </c>
      <c r="CF58" s="254" t="str">
        <f t="shared" si="27"/>
        <v/>
      </c>
      <c r="CG58" s="58" t="str">
        <f t="shared" si="37"/>
        <v/>
      </c>
      <c r="CH58" s="59" t="str">
        <f t="shared" si="28"/>
        <v/>
      </c>
      <c r="CI58" s="236"/>
      <c r="CJ58" s="236"/>
      <c r="CK58" s="236"/>
      <c r="CL58" s="236"/>
      <c r="CM58" s="236"/>
      <c r="CN58" s="236"/>
      <c r="CO58" s="479"/>
      <c r="CP58" s="479"/>
      <c r="CQ58" s="479"/>
      <c r="CR58" s="479"/>
      <c r="CS58" s="479"/>
      <c r="CT58" s="479"/>
      <c r="CU58" s="479"/>
      <c r="CV58" s="479"/>
      <c r="CW58" s="479"/>
      <c r="CX58" s="479"/>
      <c r="CY58" s="479"/>
      <c r="CZ58" s="479"/>
      <c r="DA58" s="479"/>
      <c r="DB58" s="479"/>
      <c r="DC58" s="479"/>
      <c r="DD58" s="479"/>
      <c r="DE58" s="479"/>
      <c r="DF58" s="479"/>
      <c r="DG58" s="479"/>
      <c r="DH58" s="479"/>
      <c r="DI58" s="479"/>
      <c r="DJ58" s="479"/>
      <c r="DK58" s="479"/>
      <c r="DL58" s="479"/>
      <c r="DM58" s="479"/>
      <c r="DN58" s="479"/>
      <c r="DO58" s="479"/>
      <c r="DP58" s="479"/>
      <c r="DQ58" s="479"/>
      <c r="DR58" s="479"/>
      <c r="DS58" s="479"/>
      <c r="DT58" s="479"/>
      <c r="DU58" s="479"/>
      <c r="DV58" s="479"/>
      <c r="DW58" s="479"/>
      <c r="DX58" s="479"/>
      <c r="DY58" s="479"/>
      <c r="DZ58" s="479"/>
      <c r="EA58" s="479"/>
      <c r="EB58" s="479"/>
      <c r="EC58" s="479"/>
      <c r="ED58" s="479"/>
    </row>
    <row r="59" spans="1:134">
      <c r="A59" s="305"/>
      <c r="B59" s="373"/>
      <c r="N59" s="278" t="str">
        <f t="shared" si="43"/>
        <v/>
      </c>
      <c r="O59" s="279" t="str">
        <f t="shared" si="44"/>
        <v/>
      </c>
      <c r="P59" s="271" t="str">
        <f t="shared" si="41"/>
        <v/>
      </c>
      <c r="Q59" s="382" t="str">
        <f t="shared" si="42"/>
        <v/>
      </c>
      <c r="R59" s="271"/>
      <c r="S59" s="60" t="str">
        <f t="shared" si="38"/>
        <v/>
      </c>
      <c r="T59" s="61" t="str">
        <f>Main_무해지!AC59</f>
        <v/>
      </c>
      <c r="U59" s="255">
        <f>+Main_무해지!AD59</f>
        <v>0</v>
      </c>
      <c r="V59" s="255" t="str">
        <f t="shared" si="29"/>
        <v/>
      </c>
      <c r="W59" s="255" t="str">
        <f t="shared" si="39"/>
        <v/>
      </c>
      <c r="X59" s="255" t="str">
        <f t="shared" si="0"/>
        <v/>
      </c>
      <c r="Y59" s="62" t="str">
        <f>IF($S59="","",SUM(X59:X$114))</f>
        <v/>
      </c>
      <c r="Z59" s="255" t="str">
        <f t="shared" si="30"/>
        <v/>
      </c>
      <c r="AA59" s="254">
        <f t="shared" si="31"/>
        <v>0</v>
      </c>
      <c r="AB59" s="254" t="str">
        <f>Main_무해지!AJ59</f>
        <v/>
      </c>
      <c r="AC59" s="255" t="str">
        <f t="shared" si="1"/>
        <v/>
      </c>
      <c r="AD59" s="255" t="str">
        <f t="shared" si="40"/>
        <v/>
      </c>
      <c r="AE59" s="255" t="str">
        <f t="shared" si="2"/>
        <v/>
      </c>
      <c r="AF59" s="62" t="str">
        <f>IF($S59="","",SUM(AE59:AE$114))</f>
        <v/>
      </c>
      <c r="AG59" s="61" t="str">
        <f>Main_무해지!AP59</f>
        <v/>
      </c>
      <c r="AH59" s="255" t="str">
        <f t="shared" si="3"/>
        <v/>
      </c>
      <c r="AI59" s="255" t="str">
        <f t="shared" si="4"/>
        <v/>
      </c>
      <c r="AJ59" s="255" t="str">
        <f t="shared" si="5"/>
        <v/>
      </c>
      <c r="AK59" s="65" t="str">
        <f>IF($S59="","",SUM($AL59:$AL$114))</f>
        <v/>
      </c>
      <c r="AL59" s="255" t="str">
        <f t="shared" si="32"/>
        <v/>
      </c>
      <c r="AM59" s="65" t="str">
        <f t="shared" si="6"/>
        <v/>
      </c>
      <c r="AN59" s="61" t="str">
        <f>IF($S59="","",INDEX(#REF!,$S59+1))</f>
        <v/>
      </c>
      <c r="AO59" s="255" t="str">
        <f t="shared" si="7"/>
        <v/>
      </c>
      <c r="AP59" s="255" t="str">
        <f t="shared" si="8"/>
        <v/>
      </c>
      <c r="AQ59" s="255" t="str">
        <f t="shared" si="9"/>
        <v/>
      </c>
      <c r="AR59" s="65" t="str">
        <f>IF($S59="","",SUM($AQ59:$AQ$114))</f>
        <v/>
      </c>
      <c r="AS59" s="61" t="str">
        <f>IF($S59="","",INDEX(#REF!,$S59+1))</f>
        <v/>
      </c>
      <c r="AT59" s="255" t="str">
        <f t="shared" si="10"/>
        <v/>
      </c>
      <c r="AU59" s="255" t="str">
        <f t="shared" si="11"/>
        <v/>
      </c>
      <c r="AV59" s="255" t="str">
        <f t="shared" si="12"/>
        <v/>
      </c>
      <c r="AW59" s="65" t="str">
        <f>IF($S59="","",SUM($AV59:$AV$114))</f>
        <v/>
      </c>
      <c r="AX59" s="61" t="str">
        <f>IF($S59="","",INDEX(#REF!,$S59+1))</f>
        <v/>
      </c>
      <c r="AY59" s="255" t="str">
        <f t="shared" si="13"/>
        <v/>
      </c>
      <c r="AZ59" s="255" t="str">
        <f t="shared" si="14"/>
        <v/>
      </c>
      <c r="BA59" s="255" t="str">
        <f t="shared" si="15"/>
        <v/>
      </c>
      <c r="BB59" s="65" t="str">
        <f>IF($S59="","",SUM($BA59:$BA$114))</f>
        <v/>
      </c>
      <c r="BC59" s="61" t="str">
        <f>IF($S59="","",INDEX(#REF!,$S59+1))</f>
        <v/>
      </c>
      <c r="BD59" s="255" t="str">
        <f t="shared" si="16"/>
        <v/>
      </c>
      <c r="BE59" s="255" t="str">
        <f t="shared" si="17"/>
        <v/>
      </c>
      <c r="BF59" s="255" t="str">
        <f t="shared" si="18"/>
        <v/>
      </c>
      <c r="BG59" s="65" t="str">
        <f>IF($S59="","",SUM($BF59:$BF$114))</f>
        <v/>
      </c>
      <c r="BH59" s="61" t="str">
        <f>IF($S59="","",INDEX(#REF!,$S59+1))</f>
        <v/>
      </c>
      <c r="BI59" s="255" t="str">
        <f t="shared" si="19"/>
        <v/>
      </c>
      <c r="BJ59" s="255" t="str">
        <f t="shared" si="20"/>
        <v/>
      </c>
      <c r="BK59" s="255" t="str">
        <f t="shared" si="21"/>
        <v/>
      </c>
      <c r="BL59" s="65" t="str">
        <f>IF($S59="","",SUM($BK59:$BK$114))</f>
        <v/>
      </c>
      <c r="BM59" s="61" t="str">
        <f t="shared" si="22"/>
        <v/>
      </c>
      <c r="BN59" s="255" t="str">
        <f t="shared" si="33"/>
        <v/>
      </c>
      <c r="BO59" s="255" t="str">
        <f t="shared" si="23"/>
        <v/>
      </c>
      <c r="BP59" s="255" t="str">
        <f t="shared" si="24"/>
        <v/>
      </c>
      <c r="BQ59" s="255" t="str">
        <f t="shared" si="34"/>
        <v/>
      </c>
      <c r="BR59" s="255"/>
      <c r="BS59" s="255"/>
      <c r="BT59" s="255"/>
      <c r="BU59" s="255"/>
      <c r="BV59" s="255" t="str">
        <f>IF($S59="","",SUM(BQ59:BQ$114))</f>
        <v/>
      </c>
      <c r="BW59" s="63" t="str">
        <f>IF(S59&lt;$E$3+$F$5,0,IFERROR(일반형_연납순보험료!S61,0))</f>
        <v/>
      </c>
      <c r="BX59" s="63"/>
      <c r="BY59" s="63"/>
      <c r="BZ59" s="63"/>
      <c r="CA59" s="63"/>
      <c r="CB59" s="255" t="str">
        <f t="shared" si="35"/>
        <v/>
      </c>
      <c r="CC59" s="255" t="str">
        <f t="shared" si="25"/>
        <v/>
      </c>
      <c r="CD59" s="255" t="str">
        <f t="shared" si="26"/>
        <v/>
      </c>
      <c r="CE59" s="255" t="str">
        <f t="shared" si="36"/>
        <v/>
      </c>
      <c r="CF59" s="255" t="str">
        <f t="shared" si="27"/>
        <v/>
      </c>
      <c r="CG59" s="66" t="str">
        <f t="shared" si="37"/>
        <v/>
      </c>
      <c r="CH59" s="67" t="str">
        <f t="shared" si="28"/>
        <v/>
      </c>
      <c r="CI59" s="237"/>
      <c r="CJ59" s="237"/>
      <c r="CK59" s="237"/>
      <c r="CL59" s="237"/>
      <c r="CM59" s="237"/>
      <c r="CN59" s="237"/>
      <c r="CO59" s="479"/>
      <c r="CP59" s="479"/>
      <c r="CQ59" s="479"/>
      <c r="CR59" s="479"/>
      <c r="CS59" s="479"/>
      <c r="CT59" s="479"/>
      <c r="CU59" s="479"/>
      <c r="CV59" s="479"/>
      <c r="CW59" s="479"/>
      <c r="CX59" s="479"/>
      <c r="CY59" s="479"/>
      <c r="CZ59" s="479"/>
      <c r="DA59" s="479"/>
      <c r="DB59" s="479"/>
      <c r="DC59" s="479"/>
      <c r="DD59" s="479"/>
      <c r="DE59" s="479"/>
      <c r="DF59" s="479"/>
      <c r="DG59" s="479"/>
      <c r="DH59" s="479"/>
      <c r="DI59" s="479"/>
      <c r="DJ59" s="479"/>
      <c r="DK59" s="479"/>
      <c r="DL59" s="479"/>
      <c r="DM59" s="479"/>
      <c r="DN59" s="479"/>
      <c r="DO59" s="479"/>
      <c r="DP59" s="479"/>
      <c r="DQ59" s="479"/>
      <c r="DR59" s="479"/>
      <c r="DS59" s="479"/>
      <c r="DT59" s="479"/>
      <c r="DU59" s="479"/>
      <c r="DV59" s="479"/>
      <c r="DW59" s="479"/>
      <c r="DX59" s="479"/>
      <c r="DY59" s="479"/>
      <c r="DZ59" s="479"/>
      <c r="EA59" s="479"/>
      <c r="EB59" s="479"/>
      <c r="EC59" s="479"/>
      <c r="ED59" s="479"/>
    </row>
    <row r="60" spans="1:134" ht="17.25" thickBot="1">
      <c r="A60" s="305"/>
      <c r="B60" s="373"/>
      <c r="N60" s="278" t="str">
        <f t="shared" si="43"/>
        <v/>
      </c>
      <c r="O60" s="279" t="str">
        <f t="shared" si="44"/>
        <v/>
      </c>
      <c r="P60" s="271" t="str">
        <f t="shared" si="41"/>
        <v/>
      </c>
      <c r="Q60" s="382" t="str">
        <f t="shared" si="42"/>
        <v/>
      </c>
      <c r="R60" s="271"/>
      <c r="S60" s="759" t="str">
        <f t="shared" si="38"/>
        <v/>
      </c>
      <c r="T60" s="761" t="str">
        <f>Main_무해지!AC60</f>
        <v/>
      </c>
      <c r="U60" s="409">
        <f>+Main_무해지!AD60</f>
        <v>0</v>
      </c>
      <c r="V60" s="409" t="str">
        <f t="shared" si="29"/>
        <v/>
      </c>
      <c r="W60" s="409" t="str">
        <f t="shared" si="39"/>
        <v/>
      </c>
      <c r="X60" s="409" t="str">
        <f t="shared" si="0"/>
        <v/>
      </c>
      <c r="Y60" s="760" t="str">
        <f>IF($S60="","",SUM(X60:X$114))</f>
        <v/>
      </c>
      <c r="Z60" s="409" t="str">
        <f t="shared" si="30"/>
        <v/>
      </c>
      <c r="AA60" s="254">
        <f t="shared" si="31"/>
        <v>0</v>
      </c>
      <c r="AB60" s="254" t="str">
        <f>Main_무해지!AJ60</f>
        <v/>
      </c>
      <c r="AC60" s="409" t="str">
        <f t="shared" si="1"/>
        <v/>
      </c>
      <c r="AD60" s="409" t="str">
        <f t="shared" si="40"/>
        <v/>
      </c>
      <c r="AE60" s="409" t="str">
        <f t="shared" si="2"/>
        <v/>
      </c>
      <c r="AF60" s="760" t="str">
        <f>IF($S60="","",SUM(AE60:AE$114))</f>
        <v/>
      </c>
      <c r="AG60" s="761" t="str">
        <f>Main_무해지!AP60</f>
        <v/>
      </c>
      <c r="AH60" s="409" t="str">
        <f t="shared" si="3"/>
        <v/>
      </c>
      <c r="AI60" s="409" t="str">
        <f t="shared" si="4"/>
        <v/>
      </c>
      <c r="AJ60" s="409" t="str">
        <f t="shared" si="5"/>
        <v/>
      </c>
      <c r="AK60" s="762" t="str">
        <f>IF($S60="","",SUM($AL60:$AL$114))</f>
        <v/>
      </c>
      <c r="AL60" s="409" t="str">
        <f t="shared" si="32"/>
        <v/>
      </c>
      <c r="AM60" s="762" t="str">
        <f t="shared" si="6"/>
        <v/>
      </c>
      <c r="AN60" s="761" t="str">
        <f>IF($S60="","",INDEX(#REF!,$S60+1))</f>
        <v/>
      </c>
      <c r="AO60" s="409" t="str">
        <f t="shared" si="7"/>
        <v/>
      </c>
      <c r="AP60" s="409" t="str">
        <f t="shared" si="8"/>
        <v/>
      </c>
      <c r="AQ60" s="409" t="str">
        <f t="shared" si="9"/>
        <v/>
      </c>
      <c r="AR60" s="762" t="str">
        <f>IF($S60="","",SUM($AQ60:$AQ$114))</f>
        <v/>
      </c>
      <c r="AS60" s="761" t="str">
        <f>IF($S60="","",INDEX(#REF!,$S60+1))</f>
        <v/>
      </c>
      <c r="AT60" s="409" t="str">
        <f t="shared" si="10"/>
        <v/>
      </c>
      <c r="AU60" s="409" t="str">
        <f t="shared" si="11"/>
        <v/>
      </c>
      <c r="AV60" s="409" t="str">
        <f t="shared" si="12"/>
        <v/>
      </c>
      <c r="AW60" s="762" t="str">
        <f>IF($S60="","",SUM($AV60:$AV$114))</f>
        <v/>
      </c>
      <c r="AX60" s="761" t="str">
        <f>IF($S60="","",INDEX(#REF!,$S60+1))</f>
        <v/>
      </c>
      <c r="AY60" s="409" t="str">
        <f t="shared" si="13"/>
        <v/>
      </c>
      <c r="AZ60" s="409" t="str">
        <f t="shared" si="14"/>
        <v/>
      </c>
      <c r="BA60" s="409" t="str">
        <f t="shared" si="15"/>
        <v/>
      </c>
      <c r="BB60" s="762" t="str">
        <f>IF($S60="","",SUM($BA60:$BA$114))</f>
        <v/>
      </c>
      <c r="BC60" s="761" t="str">
        <f>IF($S60="","",INDEX(#REF!,$S60+1))</f>
        <v/>
      </c>
      <c r="BD60" s="409" t="str">
        <f t="shared" si="16"/>
        <v/>
      </c>
      <c r="BE60" s="409" t="str">
        <f t="shared" si="17"/>
        <v/>
      </c>
      <c r="BF60" s="409" t="str">
        <f t="shared" si="18"/>
        <v/>
      </c>
      <c r="BG60" s="762" t="str">
        <f>IF($S60="","",SUM($BF60:$BF$114))</f>
        <v/>
      </c>
      <c r="BH60" s="761" t="str">
        <f>IF($S60="","",INDEX(#REF!,$S60+1))</f>
        <v/>
      </c>
      <c r="BI60" s="409" t="str">
        <f t="shared" si="19"/>
        <v/>
      </c>
      <c r="BJ60" s="409" t="str">
        <f t="shared" si="20"/>
        <v/>
      </c>
      <c r="BK60" s="409" t="str">
        <f t="shared" si="21"/>
        <v/>
      </c>
      <c r="BL60" s="762" t="str">
        <f>IF($S60="","",SUM($BK60:$BK$114))</f>
        <v/>
      </c>
      <c r="BM60" s="761" t="str">
        <f t="shared" si="22"/>
        <v/>
      </c>
      <c r="BN60" s="409" t="str">
        <f t="shared" si="33"/>
        <v/>
      </c>
      <c r="BO60" s="409" t="str">
        <f t="shared" si="23"/>
        <v/>
      </c>
      <c r="BP60" s="409" t="str">
        <f t="shared" si="24"/>
        <v/>
      </c>
      <c r="BQ60" s="409" t="str">
        <f t="shared" si="34"/>
        <v/>
      </c>
      <c r="BR60" s="409"/>
      <c r="BS60" s="409"/>
      <c r="BT60" s="409"/>
      <c r="BU60" s="409"/>
      <c r="BV60" s="409" t="str">
        <f>IF($S60="","",SUM(BQ60:BQ$114))</f>
        <v/>
      </c>
      <c r="BW60" s="763" t="str">
        <f>IF(S60&lt;$E$3+$F$5,0,IFERROR(일반형_연납순보험료!S62,0))</f>
        <v/>
      </c>
      <c r="BX60" s="763"/>
      <c r="BY60" s="763"/>
      <c r="BZ60" s="763"/>
      <c r="CA60" s="763"/>
      <c r="CB60" s="409" t="str">
        <f t="shared" si="35"/>
        <v/>
      </c>
      <c r="CC60" s="409" t="str">
        <f t="shared" si="25"/>
        <v/>
      </c>
      <c r="CD60" s="409" t="str">
        <f t="shared" si="26"/>
        <v/>
      </c>
      <c r="CE60" s="409" t="str">
        <f t="shared" si="36"/>
        <v/>
      </c>
      <c r="CF60" s="409" t="str">
        <f t="shared" si="27"/>
        <v/>
      </c>
      <c r="CG60" s="765" t="str">
        <f t="shared" si="37"/>
        <v/>
      </c>
      <c r="CH60" s="766" t="str">
        <f t="shared" si="28"/>
        <v/>
      </c>
      <c r="CI60" s="414"/>
      <c r="CJ60" s="414"/>
      <c r="CK60" s="414"/>
      <c r="CL60" s="414"/>
      <c r="CM60" s="414"/>
      <c r="CN60" s="414"/>
      <c r="CO60" s="479"/>
      <c r="CP60" s="479"/>
      <c r="CQ60" s="479"/>
      <c r="CR60" s="479"/>
      <c r="CS60" s="479"/>
      <c r="CT60" s="479"/>
      <c r="CU60" s="479"/>
      <c r="CV60" s="479"/>
      <c r="CW60" s="479"/>
      <c r="CX60" s="479"/>
      <c r="CY60" s="479"/>
      <c r="CZ60" s="479"/>
      <c r="DA60" s="479"/>
      <c r="DB60" s="479"/>
      <c r="DC60" s="479"/>
      <c r="DD60" s="479"/>
      <c r="DE60" s="479"/>
      <c r="DF60" s="479"/>
      <c r="DG60" s="479"/>
      <c r="DH60" s="479"/>
      <c r="DI60" s="479"/>
      <c r="DJ60" s="479"/>
      <c r="DK60" s="479"/>
      <c r="DL60" s="479"/>
      <c r="DM60" s="479"/>
      <c r="DN60" s="479"/>
      <c r="DO60" s="479"/>
      <c r="DP60" s="479"/>
      <c r="DQ60" s="479"/>
      <c r="DR60" s="479"/>
      <c r="DS60" s="479"/>
      <c r="DT60" s="479"/>
      <c r="DU60" s="479"/>
      <c r="DV60" s="479"/>
      <c r="DW60" s="479"/>
      <c r="DX60" s="479"/>
      <c r="DY60" s="479"/>
      <c r="DZ60" s="479"/>
      <c r="EA60" s="479"/>
      <c r="EB60" s="479"/>
      <c r="EC60" s="479"/>
      <c r="ED60" s="479"/>
    </row>
    <row r="61" spans="1:134">
      <c r="A61" s="305"/>
      <c r="B61" s="373"/>
      <c r="D61" s="828" t="s">
        <v>101</v>
      </c>
      <c r="E61" s="829"/>
      <c r="F61" s="828" t="s">
        <v>245</v>
      </c>
      <c r="G61" s="830"/>
      <c r="N61" s="280" t="str">
        <f t="shared" si="43"/>
        <v/>
      </c>
      <c r="O61" s="281" t="str">
        <f t="shared" si="44"/>
        <v/>
      </c>
      <c r="P61" s="282" t="str">
        <f t="shared" si="41"/>
        <v/>
      </c>
      <c r="Q61" s="383" t="str">
        <f t="shared" si="42"/>
        <v/>
      </c>
      <c r="R61" s="282"/>
      <c r="S61" s="101" t="str">
        <f t="shared" si="38"/>
        <v/>
      </c>
      <c r="T61" s="285" t="str">
        <f>Main_무해지!AC61</f>
        <v/>
      </c>
      <c r="U61" s="258">
        <f>+Main_무해지!AD61</f>
        <v>0</v>
      </c>
      <c r="V61" s="258" t="str">
        <f t="shared" si="29"/>
        <v/>
      </c>
      <c r="W61" s="258" t="str">
        <f t="shared" si="39"/>
        <v/>
      </c>
      <c r="X61" s="258" t="str">
        <f t="shared" si="0"/>
        <v/>
      </c>
      <c r="Y61" s="102" t="str">
        <f>IF($S61="","",SUM(X61:X$114))</f>
        <v/>
      </c>
      <c r="Z61" s="258" t="str">
        <f t="shared" si="30"/>
        <v/>
      </c>
      <c r="AA61" s="254">
        <f t="shared" si="31"/>
        <v>0</v>
      </c>
      <c r="AB61" s="254" t="str">
        <f>Main_무해지!AJ61</f>
        <v/>
      </c>
      <c r="AC61" s="258" t="str">
        <f t="shared" si="1"/>
        <v/>
      </c>
      <c r="AD61" s="258" t="str">
        <f t="shared" si="40"/>
        <v/>
      </c>
      <c r="AE61" s="258" t="str">
        <f t="shared" si="2"/>
        <v/>
      </c>
      <c r="AF61" s="102" t="str">
        <f>IF($S61="","",SUM(AE61:AE$114))</f>
        <v/>
      </c>
      <c r="AG61" s="285" t="str">
        <f>Main_무해지!AP61</f>
        <v/>
      </c>
      <c r="AH61" s="258" t="str">
        <f t="shared" si="3"/>
        <v/>
      </c>
      <c r="AI61" s="258" t="str">
        <f t="shared" si="4"/>
        <v/>
      </c>
      <c r="AJ61" s="258" t="str">
        <f t="shared" si="5"/>
        <v/>
      </c>
      <c r="AK61" s="315" t="str">
        <f>IF($S61="","",SUM($AL61:$AL$114))</f>
        <v/>
      </c>
      <c r="AL61" s="258" t="str">
        <f t="shared" si="32"/>
        <v/>
      </c>
      <c r="AM61" s="315" t="str">
        <f t="shared" si="6"/>
        <v/>
      </c>
      <c r="AN61" s="285" t="str">
        <f>IF($S61="","",INDEX(#REF!,$S61+1))</f>
        <v/>
      </c>
      <c r="AO61" s="258" t="str">
        <f t="shared" si="7"/>
        <v/>
      </c>
      <c r="AP61" s="258" t="str">
        <f t="shared" si="8"/>
        <v/>
      </c>
      <c r="AQ61" s="258" t="str">
        <f t="shared" si="9"/>
        <v/>
      </c>
      <c r="AR61" s="315" t="str">
        <f>IF($S61="","",SUM($AQ61:$AQ$114))</f>
        <v/>
      </c>
      <c r="AS61" s="285" t="str">
        <f>IF($S61="","",INDEX(#REF!,$S61+1))</f>
        <v/>
      </c>
      <c r="AT61" s="258" t="str">
        <f t="shared" si="10"/>
        <v/>
      </c>
      <c r="AU61" s="258" t="str">
        <f t="shared" si="11"/>
        <v/>
      </c>
      <c r="AV61" s="258" t="str">
        <f t="shared" si="12"/>
        <v/>
      </c>
      <c r="AW61" s="315" t="str">
        <f>IF($S61="","",SUM($AV61:$AV$114))</f>
        <v/>
      </c>
      <c r="AX61" s="285" t="str">
        <f>IF($S61="","",INDEX(#REF!,$S61+1))</f>
        <v/>
      </c>
      <c r="AY61" s="258" t="str">
        <f t="shared" si="13"/>
        <v/>
      </c>
      <c r="AZ61" s="258" t="str">
        <f t="shared" si="14"/>
        <v/>
      </c>
      <c r="BA61" s="258" t="str">
        <f t="shared" si="15"/>
        <v/>
      </c>
      <c r="BB61" s="315" t="str">
        <f>IF($S61="","",SUM($BA61:$BA$114))</f>
        <v/>
      </c>
      <c r="BC61" s="285" t="str">
        <f>IF($S61="","",INDEX(#REF!,$S61+1))</f>
        <v/>
      </c>
      <c r="BD61" s="258" t="str">
        <f t="shared" si="16"/>
        <v/>
      </c>
      <c r="BE61" s="258" t="str">
        <f t="shared" si="17"/>
        <v/>
      </c>
      <c r="BF61" s="258" t="str">
        <f t="shared" si="18"/>
        <v/>
      </c>
      <c r="BG61" s="315" t="str">
        <f>IF($S61="","",SUM($BF61:$BF$114))</f>
        <v/>
      </c>
      <c r="BH61" s="285" t="str">
        <f>IF($S61="","",INDEX(#REF!,$S61+1))</f>
        <v/>
      </c>
      <c r="BI61" s="258" t="str">
        <f t="shared" si="19"/>
        <v/>
      </c>
      <c r="BJ61" s="258" t="str">
        <f t="shared" si="20"/>
        <v/>
      </c>
      <c r="BK61" s="258" t="str">
        <f t="shared" si="21"/>
        <v/>
      </c>
      <c r="BL61" s="315" t="str">
        <f>IF($S61="","",SUM($BK61:$BK$114))</f>
        <v/>
      </c>
      <c r="BM61" s="285" t="str">
        <f t="shared" si="22"/>
        <v/>
      </c>
      <c r="BN61" s="258" t="str">
        <f t="shared" si="33"/>
        <v/>
      </c>
      <c r="BO61" s="258" t="str">
        <f t="shared" si="23"/>
        <v/>
      </c>
      <c r="BP61" s="258" t="str">
        <f t="shared" si="24"/>
        <v/>
      </c>
      <c r="BQ61" s="258" t="str">
        <f t="shared" si="34"/>
        <v/>
      </c>
      <c r="BR61" s="258"/>
      <c r="BS61" s="258"/>
      <c r="BT61" s="258"/>
      <c r="BU61" s="258"/>
      <c r="BV61" s="258" t="str">
        <f>IF($S61="","",SUM(BQ61:BQ$114))</f>
        <v/>
      </c>
      <c r="BW61" s="103" t="str">
        <f>IF(S61&lt;$E$3+$F$5,0,IFERROR(일반형_연납순보험료!S63,0))</f>
        <v/>
      </c>
      <c r="BX61" s="103"/>
      <c r="BY61" s="103"/>
      <c r="BZ61" s="103"/>
      <c r="CA61" s="103"/>
      <c r="CB61" s="258" t="str">
        <f t="shared" si="35"/>
        <v/>
      </c>
      <c r="CC61" s="258" t="str">
        <f t="shared" si="25"/>
        <v/>
      </c>
      <c r="CD61" s="258" t="str">
        <f t="shared" si="26"/>
        <v/>
      </c>
      <c r="CE61" s="258" t="str">
        <f t="shared" si="36"/>
        <v/>
      </c>
      <c r="CF61" s="258" t="str">
        <f t="shared" si="27"/>
        <v/>
      </c>
      <c r="CG61" s="104" t="str">
        <f t="shared" si="37"/>
        <v/>
      </c>
      <c r="CH61" s="105" t="str">
        <f t="shared" si="28"/>
        <v/>
      </c>
      <c r="CI61" s="240"/>
      <c r="CJ61" s="240"/>
      <c r="CK61" s="240"/>
      <c r="CL61" s="240"/>
      <c r="CM61" s="240"/>
      <c r="CN61" s="240"/>
      <c r="CO61" s="479"/>
      <c r="CP61" s="479"/>
      <c r="CQ61" s="479"/>
      <c r="CR61" s="479"/>
      <c r="CS61" s="479"/>
      <c r="CT61" s="479"/>
      <c r="CU61" s="479"/>
      <c r="CV61" s="479"/>
      <c r="CW61" s="479"/>
      <c r="CX61" s="479"/>
      <c r="CY61" s="479"/>
      <c r="CZ61" s="479"/>
      <c r="DA61" s="479"/>
      <c r="DB61" s="479"/>
      <c r="DC61" s="479"/>
      <c r="DD61" s="479"/>
      <c r="DE61" s="479"/>
      <c r="DF61" s="479"/>
      <c r="DG61" s="479"/>
      <c r="DH61" s="479"/>
      <c r="DI61" s="479"/>
      <c r="DJ61" s="479"/>
      <c r="DK61" s="479"/>
      <c r="DL61" s="479"/>
      <c r="DM61" s="479"/>
      <c r="DN61" s="479"/>
      <c r="DO61" s="479"/>
      <c r="DP61" s="479"/>
      <c r="DQ61" s="479"/>
      <c r="DR61" s="479"/>
      <c r="DS61" s="479"/>
      <c r="DT61" s="479"/>
      <c r="DU61" s="479"/>
      <c r="DV61" s="479"/>
      <c r="DW61" s="479"/>
      <c r="DX61" s="479"/>
      <c r="DY61" s="479"/>
      <c r="DZ61" s="479"/>
      <c r="EA61" s="479"/>
      <c r="EB61" s="479"/>
      <c r="EC61" s="479"/>
      <c r="ED61" s="479"/>
    </row>
    <row r="62" spans="1:134">
      <c r="A62" s="305"/>
      <c r="B62" s="373"/>
      <c r="D62" s="453" t="s">
        <v>240</v>
      </c>
      <c r="E62" s="454" t="s">
        <v>241</v>
      </c>
      <c r="F62" s="453" t="s">
        <v>246</v>
      </c>
      <c r="G62" s="455" t="s">
        <v>247</v>
      </c>
      <c r="N62" s="275" t="str">
        <f t="shared" si="43"/>
        <v/>
      </c>
      <c r="O62" s="276" t="str">
        <f t="shared" si="44"/>
        <v/>
      </c>
      <c r="P62" s="277" t="str">
        <f t="shared" si="41"/>
        <v/>
      </c>
      <c r="Q62" s="381" t="str">
        <f t="shared" si="42"/>
        <v/>
      </c>
      <c r="R62" s="277"/>
      <c r="S62" s="101" t="str">
        <f t="shared" si="38"/>
        <v/>
      </c>
      <c r="T62" s="285" t="str">
        <f>Main_무해지!AC62</f>
        <v/>
      </c>
      <c r="U62" s="258">
        <f>+Main_무해지!AD62</f>
        <v>0</v>
      </c>
      <c r="V62" s="258" t="str">
        <f t="shared" si="29"/>
        <v/>
      </c>
      <c r="W62" s="258" t="str">
        <f t="shared" si="39"/>
        <v/>
      </c>
      <c r="X62" s="258" t="str">
        <f t="shared" si="0"/>
        <v/>
      </c>
      <c r="Y62" s="102" t="str">
        <f>IF($S62="","",SUM(X62:X$114))</f>
        <v/>
      </c>
      <c r="Z62" s="258" t="str">
        <f t="shared" si="30"/>
        <v/>
      </c>
      <c r="AA62" s="254">
        <f t="shared" si="31"/>
        <v>0</v>
      </c>
      <c r="AB62" s="254" t="str">
        <f>Main_무해지!AJ62</f>
        <v/>
      </c>
      <c r="AC62" s="258" t="str">
        <f t="shared" si="1"/>
        <v/>
      </c>
      <c r="AD62" s="258" t="str">
        <f t="shared" si="40"/>
        <v/>
      </c>
      <c r="AE62" s="258" t="str">
        <f t="shared" si="2"/>
        <v/>
      </c>
      <c r="AF62" s="102" t="str">
        <f>IF($S62="","",SUM(AE62:AE$114))</f>
        <v/>
      </c>
      <c r="AG62" s="285" t="str">
        <f>Main_무해지!AP62</f>
        <v/>
      </c>
      <c r="AH62" s="258" t="str">
        <f t="shared" si="3"/>
        <v/>
      </c>
      <c r="AI62" s="258" t="str">
        <f t="shared" si="4"/>
        <v/>
      </c>
      <c r="AJ62" s="258" t="str">
        <f t="shared" si="5"/>
        <v/>
      </c>
      <c r="AK62" s="315" t="str">
        <f>IF($S62="","",SUM($AL62:$AL$114))</f>
        <v/>
      </c>
      <c r="AL62" s="258" t="str">
        <f t="shared" si="32"/>
        <v/>
      </c>
      <c r="AM62" s="315" t="str">
        <f t="shared" si="6"/>
        <v/>
      </c>
      <c r="AN62" s="285" t="str">
        <f>IF($S62="","",INDEX(#REF!,$S62+1))</f>
        <v/>
      </c>
      <c r="AO62" s="258" t="str">
        <f t="shared" si="7"/>
        <v/>
      </c>
      <c r="AP62" s="258" t="str">
        <f t="shared" si="8"/>
        <v/>
      </c>
      <c r="AQ62" s="258" t="str">
        <f t="shared" si="9"/>
        <v/>
      </c>
      <c r="AR62" s="315" t="str">
        <f>IF($S62="","",SUM($AQ62:$AQ$114))</f>
        <v/>
      </c>
      <c r="AS62" s="285" t="str">
        <f>IF($S62="","",INDEX(#REF!,$S62+1))</f>
        <v/>
      </c>
      <c r="AT62" s="258" t="str">
        <f t="shared" si="10"/>
        <v/>
      </c>
      <c r="AU62" s="258" t="str">
        <f t="shared" si="11"/>
        <v/>
      </c>
      <c r="AV62" s="258" t="str">
        <f t="shared" si="12"/>
        <v/>
      </c>
      <c r="AW62" s="315" t="str">
        <f>IF($S62="","",SUM($AV62:$AV$114))</f>
        <v/>
      </c>
      <c r="AX62" s="285" t="str">
        <f>IF($S62="","",INDEX(#REF!,$S62+1))</f>
        <v/>
      </c>
      <c r="AY62" s="258" t="str">
        <f t="shared" si="13"/>
        <v/>
      </c>
      <c r="AZ62" s="258" t="str">
        <f t="shared" si="14"/>
        <v/>
      </c>
      <c r="BA62" s="258" t="str">
        <f t="shared" si="15"/>
        <v/>
      </c>
      <c r="BB62" s="315" t="str">
        <f>IF($S62="","",SUM($BA62:$BA$114))</f>
        <v/>
      </c>
      <c r="BC62" s="285" t="str">
        <f>IF($S62="","",INDEX(#REF!,$S62+1))</f>
        <v/>
      </c>
      <c r="BD62" s="258" t="str">
        <f t="shared" si="16"/>
        <v/>
      </c>
      <c r="BE62" s="258" t="str">
        <f t="shared" si="17"/>
        <v/>
      </c>
      <c r="BF62" s="258" t="str">
        <f t="shared" si="18"/>
        <v/>
      </c>
      <c r="BG62" s="315" t="str">
        <f>IF($S62="","",SUM($BF62:$BF$114))</f>
        <v/>
      </c>
      <c r="BH62" s="285" t="str">
        <f>IF($S62="","",INDEX(#REF!,$S62+1))</f>
        <v/>
      </c>
      <c r="BI62" s="258" t="str">
        <f t="shared" si="19"/>
        <v/>
      </c>
      <c r="BJ62" s="258" t="str">
        <f t="shared" si="20"/>
        <v/>
      </c>
      <c r="BK62" s="258" t="str">
        <f t="shared" si="21"/>
        <v/>
      </c>
      <c r="BL62" s="315" t="str">
        <f>IF($S62="","",SUM($BK62:$BK$114))</f>
        <v/>
      </c>
      <c r="BM62" s="285" t="str">
        <f t="shared" si="22"/>
        <v/>
      </c>
      <c r="BN62" s="258" t="str">
        <f t="shared" si="33"/>
        <v/>
      </c>
      <c r="BO62" s="258" t="str">
        <f t="shared" si="23"/>
        <v/>
      </c>
      <c r="BP62" s="258" t="str">
        <f t="shared" si="24"/>
        <v/>
      </c>
      <c r="BQ62" s="258" t="str">
        <f t="shared" si="34"/>
        <v/>
      </c>
      <c r="BR62" s="258"/>
      <c r="BS62" s="258"/>
      <c r="BT62" s="258"/>
      <c r="BU62" s="258"/>
      <c r="BV62" s="258" t="str">
        <f>IF($S62="","",SUM(BQ62:BQ$114))</f>
        <v/>
      </c>
      <c r="BW62" s="103" t="str">
        <f>IF(S62&lt;$E$3+$F$5,0,IFERROR(일반형_연납순보험료!S64,0))</f>
        <v/>
      </c>
      <c r="BX62" s="103"/>
      <c r="BY62" s="103"/>
      <c r="BZ62" s="103"/>
      <c r="CA62" s="103"/>
      <c r="CB62" s="258" t="str">
        <f t="shared" si="35"/>
        <v/>
      </c>
      <c r="CC62" s="258" t="str">
        <f t="shared" si="25"/>
        <v/>
      </c>
      <c r="CD62" s="258" t="str">
        <f t="shared" si="26"/>
        <v/>
      </c>
      <c r="CE62" s="258" t="str">
        <f t="shared" si="36"/>
        <v/>
      </c>
      <c r="CF62" s="258" t="str">
        <f t="shared" si="27"/>
        <v/>
      </c>
      <c r="CG62" s="104" t="str">
        <f t="shared" si="37"/>
        <v/>
      </c>
      <c r="CH62" s="105" t="str">
        <f t="shared" si="28"/>
        <v/>
      </c>
      <c r="CI62" s="240"/>
      <c r="CJ62" s="240"/>
      <c r="CK62" s="240"/>
      <c r="CL62" s="240"/>
      <c r="CM62" s="240"/>
      <c r="CN62" s="240"/>
      <c r="CO62" s="479"/>
      <c r="CP62" s="479"/>
      <c r="CQ62" s="479"/>
      <c r="CR62" s="479"/>
      <c r="CS62" s="479"/>
      <c r="CT62" s="479"/>
      <c r="CU62" s="479"/>
      <c r="CV62" s="479"/>
      <c r="CW62" s="479"/>
      <c r="CX62" s="479"/>
      <c r="CY62" s="479"/>
      <c r="CZ62" s="479"/>
      <c r="DA62" s="479"/>
      <c r="DB62" s="479"/>
      <c r="DC62" s="479"/>
      <c r="DD62" s="479"/>
      <c r="DE62" s="479"/>
      <c r="DF62" s="479"/>
      <c r="DG62" s="479"/>
      <c r="DH62" s="479"/>
      <c r="DI62" s="479"/>
      <c r="DJ62" s="479"/>
      <c r="DK62" s="479"/>
      <c r="DL62" s="479"/>
      <c r="DM62" s="479"/>
      <c r="DN62" s="479"/>
      <c r="DO62" s="479"/>
      <c r="DP62" s="479"/>
      <c r="DQ62" s="479"/>
      <c r="DR62" s="479"/>
      <c r="DS62" s="479"/>
      <c r="DT62" s="479"/>
      <c r="DU62" s="479"/>
      <c r="DV62" s="479"/>
      <c r="DW62" s="479"/>
      <c r="DX62" s="479"/>
      <c r="DY62" s="479"/>
      <c r="DZ62" s="479"/>
      <c r="EA62" s="479"/>
      <c r="EB62" s="479"/>
      <c r="EC62" s="479"/>
      <c r="ED62" s="479"/>
    </row>
    <row r="63" spans="1:134">
      <c r="A63" s="305"/>
      <c r="B63" s="373"/>
      <c r="D63" s="456"/>
      <c r="E63" s="457"/>
      <c r="F63" s="456"/>
      <c r="G63" s="465"/>
      <c r="N63" s="278" t="str">
        <f t="shared" si="43"/>
        <v/>
      </c>
      <c r="O63" s="279" t="str">
        <f t="shared" si="44"/>
        <v/>
      </c>
      <c r="P63" s="271" t="str">
        <f t="shared" si="41"/>
        <v/>
      </c>
      <c r="Q63" s="382" t="str">
        <f t="shared" si="42"/>
        <v/>
      </c>
      <c r="R63" s="271"/>
      <c r="S63" s="101" t="str">
        <f t="shared" si="38"/>
        <v/>
      </c>
      <c r="T63" s="285" t="str">
        <f>Main_무해지!AC63</f>
        <v/>
      </c>
      <c r="U63" s="258">
        <f>+Main_무해지!AD63</f>
        <v>0</v>
      </c>
      <c r="V63" s="258" t="str">
        <f t="shared" si="29"/>
        <v/>
      </c>
      <c r="W63" s="258" t="str">
        <f t="shared" si="39"/>
        <v/>
      </c>
      <c r="X63" s="258" t="str">
        <f t="shared" si="0"/>
        <v/>
      </c>
      <c r="Y63" s="102" t="str">
        <f>IF($S63="","",SUM(X63:X$114))</f>
        <v/>
      </c>
      <c r="Z63" s="258" t="str">
        <f t="shared" si="30"/>
        <v/>
      </c>
      <c r="AA63" s="254">
        <f t="shared" si="31"/>
        <v>0</v>
      </c>
      <c r="AB63" s="254" t="str">
        <f>Main_무해지!AJ63</f>
        <v/>
      </c>
      <c r="AC63" s="258" t="str">
        <f t="shared" si="1"/>
        <v/>
      </c>
      <c r="AD63" s="258" t="str">
        <f t="shared" si="40"/>
        <v/>
      </c>
      <c r="AE63" s="258" t="str">
        <f t="shared" si="2"/>
        <v/>
      </c>
      <c r="AF63" s="102" t="str">
        <f>IF($S63="","",SUM(AE63:AE$114))</f>
        <v/>
      </c>
      <c r="AG63" s="285" t="str">
        <f>Main_무해지!AP63</f>
        <v/>
      </c>
      <c r="AH63" s="258" t="str">
        <f t="shared" si="3"/>
        <v/>
      </c>
      <c r="AI63" s="258" t="str">
        <f t="shared" si="4"/>
        <v/>
      </c>
      <c r="AJ63" s="258" t="str">
        <f t="shared" si="5"/>
        <v/>
      </c>
      <c r="AK63" s="315" t="str">
        <f>IF($S63="","",SUM($AL63:$AL$114))</f>
        <v/>
      </c>
      <c r="AL63" s="258" t="str">
        <f t="shared" si="32"/>
        <v/>
      </c>
      <c r="AM63" s="315" t="str">
        <f t="shared" si="6"/>
        <v/>
      </c>
      <c r="AN63" s="285" t="str">
        <f>IF($S63="","",INDEX(#REF!,$S63+1))</f>
        <v/>
      </c>
      <c r="AO63" s="258" t="str">
        <f t="shared" si="7"/>
        <v/>
      </c>
      <c r="AP63" s="258" t="str">
        <f t="shared" si="8"/>
        <v/>
      </c>
      <c r="AQ63" s="258" t="str">
        <f t="shared" si="9"/>
        <v/>
      </c>
      <c r="AR63" s="315" t="str">
        <f>IF($S63="","",SUM($AQ63:$AQ$114))</f>
        <v/>
      </c>
      <c r="AS63" s="285" t="str">
        <f>IF($S63="","",INDEX(#REF!,$S63+1))</f>
        <v/>
      </c>
      <c r="AT63" s="258" t="str">
        <f t="shared" si="10"/>
        <v/>
      </c>
      <c r="AU63" s="258" t="str">
        <f t="shared" si="11"/>
        <v/>
      </c>
      <c r="AV63" s="258" t="str">
        <f t="shared" si="12"/>
        <v/>
      </c>
      <c r="AW63" s="315" t="str">
        <f>IF($S63="","",SUM($AV63:$AV$114))</f>
        <v/>
      </c>
      <c r="AX63" s="285" t="str">
        <f>IF($S63="","",INDEX(#REF!,$S63+1))</f>
        <v/>
      </c>
      <c r="AY63" s="258" t="str">
        <f t="shared" si="13"/>
        <v/>
      </c>
      <c r="AZ63" s="258" t="str">
        <f t="shared" si="14"/>
        <v/>
      </c>
      <c r="BA63" s="258" t="str">
        <f t="shared" si="15"/>
        <v/>
      </c>
      <c r="BB63" s="315" t="str">
        <f>IF($S63="","",SUM($BA63:$BA$114))</f>
        <v/>
      </c>
      <c r="BC63" s="285" t="str">
        <f>IF($S63="","",INDEX(#REF!,$S63+1))</f>
        <v/>
      </c>
      <c r="BD63" s="258" t="str">
        <f t="shared" si="16"/>
        <v/>
      </c>
      <c r="BE63" s="258" t="str">
        <f t="shared" si="17"/>
        <v/>
      </c>
      <c r="BF63" s="258" t="str">
        <f t="shared" si="18"/>
        <v/>
      </c>
      <c r="BG63" s="315" t="str">
        <f>IF($S63="","",SUM($BF63:$BF$114))</f>
        <v/>
      </c>
      <c r="BH63" s="285" t="str">
        <f>IF($S63="","",INDEX(#REF!,$S63+1))</f>
        <v/>
      </c>
      <c r="BI63" s="258" t="str">
        <f t="shared" si="19"/>
        <v/>
      </c>
      <c r="BJ63" s="258" t="str">
        <f t="shared" si="20"/>
        <v/>
      </c>
      <c r="BK63" s="258" t="str">
        <f t="shared" si="21"/>
        <v/>
      </c>
      <c r="BL63" s="315" t="str">
        <f>IF($S63="","",SUM($BK63:$BK$114))</f>
        <v/>
      </c>
      <c r="BM63" s="285" t="str">
        <f t="shared" si="22"/>
        <v/>
      </c>
      <c r="BN63" s="258" t="str">
        <f t="shared" si="33"/>
        <v/>
      </c>
      <c r="BO63" s="258" t="str">
        <f t="shared" si="23"/>
        <v/>
      </c>
      <c r="BP63" s="258" t="str">
        <f t="shared" si="24"/>
        <v/>
      </c>
      <c r="BQ63" s="258" t="str">
        <f t="shared" si="34"/>
        <v/>
      </c>
      <c r="BR63" s="258"/>
      <c r="BS63" s="258"/>
      <c r="BT63" s="258"/>
      <c r="BU63" s="258"/>
      <c r="BV63" s="258" t="str">
        <f>IF($S63="","",SUM(BQ63:BQ$114))</f>
        <v/>
      </c>
      <c r="BW63" s="103" t="str">
        <f>IF(S63&lt;$E$3+$F$5,0,IFERROR(일반형_연납순보험료!S65,0))</f>
        <v/>
      </c>
      <c r="BX63" s="103"/>
      <c r="BY63" s="103"/>
      <c r="BZ63" s="103"/>
      <c r="CA63" s="103"/>
      <c r="CB63" s="258" t="str">
        <f t="shared" si="35"/>
        <v/>
      </c>
      <c r="CC63" s="258" t="str">
        <f t="shared" si="25"/>
        <v/>
      </c>
      <c r="CD63" s="258" t="str">
        <f t="shared" si="26"/>
        <v/>
      </c>
      <c r="CE63" s="258" t="str">
        <f t="shared" si="36"/>
        <v/>
      </c>
      <c r="CF63" s="258" t="str">
        <f t="shared" si="27"/>
        <v/>
      </c>
      <c r="CG63" s="104" t="str">
        <f t="shared" si="37"/>
        <v/>
      </c>
      <c r="CH63" s="105" t="str">
        <f t="shared" si="28"/>
        <v/>
      </c>
      <c r="CI63" s="240"/>
      <c r="CJ63" s="240"/>
      <c r="CK63" s="240"/>
      <c r="CL63" s="240"/>
      <c r="CM63" s="240"/>
      <c r="CN63" s="240"/>
      <c r="CO63" s="479"/>
      <c r="CP63" s="479"/>
      <c r="CQ63" s="479"/>
      <c r="CR63" s="479"/>
      <c r="CS63" s="479"/>
      <c r="CT63" s="479"/>
      <c r="CU63" s="479"/>
      <c r="CV63" s="479"/>
      <c r="CW63" s="479"/>
      <c r="CX63" s="479"/>
      <c r="CY63" s="479"/>
      <c r="CZ63" s="479"/>
      <c r="DA63" s="479"/>
      <c r="DB63" s="479"/>
      <c r="DC63" s="479"/>
      <c r="DD63" s="479"/>
      <c r="DE63" s="479"/>
      <c r="DF63" s="479"/>
      <c r="DG63" s="479"/>
      <c r="DH63" s="479"/>
      <c r="DI63" s="479"/>
      <c r="DJ63" s="479"/>
      <c r="DK63" s="479"/>
      <c r="DL63" s="479"/>
      <c r="DM63" s="479"/>
      <c r="DN63" s="479"/>
      <c r="DO63" s="479"/>
      <c r="DP63" s="479"/>
      <c r="DQ63" s="479"/>
      <c r="DR63" s="479"/>
      <c r="DS63" s="479"/>
      <c r="DT63" s="479"/>
      <c r="DU63" s="479"/>
      <c r="DV63" s="479"/>
      <c r="DW63" s="479"/>
      <c r="DX63" s="479"/>
      <c r="DY63" s="479"/>
      <c r="DZ63" s="479"/>
      <c r="EA63" s="479"/>
      <c r="EB63" s="479"/>
      <c r="EC63" s="479"/>
      <c r="ED63" s="479"/>
    </row>
    <row r="64" spans="1:134">
      <c r="A64" s="305"/>
      <c r="B64" s="373"/>
      <c r="D64" s="456"/>
      <c r="E64" s="457"/>
      <c r="F64" s="456"/>
      <c r="G64" s="465"/>
      <c r="N64" s="278" t="str">
        <f t="shared" si="43"/>
        <v/>
      </c>
      <c r="O64" s="279" t="str">
        <f t="shared" si="44"/>
        <v/>
      </c>
      <c r="P64" s="271" t="str">
        <f t="shared" si="41"/>
        <v/>
      </c>
      <c r="Q64" s="382" t="str">
        <f t="shared" si="42"/>
        <v/>
      </c>
      <c r="R64" s="271"/>
      <c r="S64" s="110" t="str">
        <f t="shared" si="38"/>
        <v/>
      </c>
      <c r="T64" s="286" t="str">
        <f>Main_무해지!AC64</f>
        <v/>
      </c>
      <c r="U64" s="259">
        <f>+Main_무해지!AD64</f>
        <v>0</v>
      </c>
      <c r="V64" s="259" t="str">
        <f t="shared" si="29"/>
        <v/>
      </c>
      <c r="W64" s="259" t="str">
        <f t="shared" si="39"/>
        <v/>
      </c>
      <c r="X64" s="259" t="str">
        <f t="shared" si="0"/>
        <v/>
      </c>
      <c r="Y64" s="111" t="str">
        <f>IF($S64="","",SUM(X64:X$114))</f>
        <v/>
      </c>
      <c r="Z64" s="259" t="str">
        <f t="shared" si="30"/>
        <v/>
      </c>
      <c r="AA64" s="254">
        <f t="shared" si="31"/>
        <v>0</v>
      </c>
      <c r="AB64" s="254" t="str">
        <f>Main_무해지!AJ64</f>
        <v/>
      </c>
      <c r="AC64" s="259" t="str">
        <f t="shared" si="1"/>
        <v/>
      </c>
      <c r="AD64" s="259" t="str">
        <f t="shared" si="40"/>
        <v/>
      </c>
      <c r="AE64" s="259" t="str">
        <f t="shared" si="2"/>
        <v/>
      </c>
      <c r="AF64" s="111" t="str">
        <f>IF($S64="","",SUM(AE64:AE$114))</f>
        <v/>
      </c>
      <c r="AG64" s="286" t="str">
        <f>Main_무해지!AP64</f>
        <v/>
      </c>
      <c r="AH64" s="259" t="str">
        <f t="shared" si="3"/>
        <v/>
      </c>
      <c r="AI64" s="259" t="str">
        <f t="shared" si="4"/>
        <v/>
      </c>
      <c r="AJ64" s="259" t="str">
        <f t="shared" si="5"/>
        <v/>
      </c>
      <c r="AK64" s="316" t="str">
        <f>IF($S64="","",SUM($AL64:$AL$114))</f>
        <v/>
      </c>
      <c r="AL64" s="259" t="str">
        <f t="shared" si="32"/>
        <v/>
      </c>
      <c r="AM64" s="316" t="str">
        <f t="shared" si="6"/>
        <v/>
      </c>
      <c r="AN64" s="286" t="str">
        <f>IF($S64="","",INDEX(#REF!,$S64+1))</f>
        <v/>
      </c>
      <c r="AO64" s="259" t="str">
        <f t="shared" si="7"/>
        <v/>
      </c>
      <c r="AP64" s="259" t="str">
        <f t="shared" si="8"/>
        <v/>
      </c>
      <c r="AQ64" s="259" t="str">
        <f t="shared" si="9"/>
        <v/>
      </c>
      <c r="AR64" s="316" t="str">
        <f>IF($S64="","",SUM($AQ64:$AQ$114))</f>
        <v/>
      </c>
      <c r="AS64" s="286" t="str">
        <f>IF($S64="","",INDEX(#REF!,$S64+1))</f>
        <v/>
      </c>
      <c r="AT64" s="259" t="str">
        <f t="shared" si="10"/>
        <v/>
      </c>
      <c r="AU64" s="259" t="str">
        <f t="shared" si="11"/>
        <v/>
      </c>
      <c r="AV64" s="259" t="str">
        <f t="shared" si="12"/>
        <v/>
      </c>
      <c r="AW64" s="316" t="str">
        <f>IF($S64="","",SUM($AV64:$AV$114))</f>
        <v/>
      </c>
      <c r="AX64" s="286" t="str">
        <f>IF($S64="","",INDEX(#REF!,$S64+1))</f>
        <v/>
      </c>
      <c r="AY64" s="259" t="str">
        <f t="shared" si="13"/>
        <v/>
      </c>
      <c r="AZ64" s="259" t="str">
        <f t="shared" si="14"/>
        <v/>
      </c>
      <c r="BA64" s="259" t="str">
        <f t="shared" si="15"/>
        <v/>
      </c>
      <c r="BB64" s="316" t="str">
        <f>IF($S64="","",SUM($BA64:$BA$114))</f>
        <v/>
      </c>
      <c r="BC64" s="286" t="str">
        <f>IF($S64="","",INDEX(#REF!,$S64+1))</f>
        <v/>
      </c>
      <c r="BD64" s="259" t="str">
        <f t="shared" si="16"/>
        <v/>
      </c>
      <c r="BE64" s="259" t="str">
        <f t="shared" si="17"/>
        <v/>
      </c>
      <c r="BF64" s="259" t="str">
        <f t="shared" si="18"/>
        <v/>
      </c>
      <c r="BG64" s="316" t="str">
        <f>IF($S64="","",SUM($BF64:$BF$114))</f>
        <v/>
      </c>
      <c r="BH64" s="286" t="str">
        <f>IF($S64="","",INDEX(#REF!,$S64+1))</f>
        <v/>
      </c>
      <c r="BI64" s="259" t="str">
        <f t="shared" si="19"/>
        <v/>
      </c>
      <c r="BJ64" s="259" t="str">
        <f t="shared" si="20"/>
        <v/>
      </c>
      <c r="BK64" s="259" t="str">
        <f t="shared" si="21"/>
        <v/>
      </c>
      <c r="BL64" s="316" t="str">
        <f>IF($S64="","",SUM($BK64:$BK$114))</f>
        <v/>
      </c>
      <c r="BM64" s="286" t="str">
        <f t="shared" si="22"/>
        <v/>
      </c>
      <c r="BN64" s="259" t="str">
        <f t="shared" si="33"/>
        <v/>
      </c>
      <c r="BO64" s="259" t="str">
        <f t="shared" si="23"/>
        <v/>
      </c>
      <c r="BP64" s="259" t="str">
        <f t="shared" si="24"/>
        <v/>
      </c>
      <c r="BQ64" s="259" t="str">
        <f t="shared" si="34"/>
        <v/>
      </c>
      <c r="BR64" s="259"/>
      <c r="BS64" s="259"/>
      <c r="BT64" s="259"/>
      <c r="BU64" s="259"/>
      <c r="BV64" s="259" t="str">
        <f>IF($S64="","",SUM(BQ64:BQ$114))</f>
        <v/>
      </c>
      <c r="BW64" s="112" t="str">
        <f>IF(S64&lt;$E$3+$F$5,0,IFERROR(일반형_연납순보험료!S66,0))</f>
        <v/>
      </c>
      <c r="BX64" s="112"/>
      <c r="BY64" s="112"/>
      <c r="BZ64" s="112"/>
      <c r="CA64" s="112"/>
      <c r="CB64" s="259" t="str">
        <f t="shared" si="35"/>
        <v/>
      </c>
      <c r="CC64" s="259" t="str">
        <f t="shared" si="25"/>
        <v/>
      </c>
      <c r="CD64" s="259" t="str">
        <f t="shared" si="26"/>
        <v/>
      </c>
      <c r="CE64" s="259" t="str">
        <f t="shared" si="36"/>
        <v/>
      </c>
      <c r="CF64" s="259" t="str">
        <f t="shared" si="27"/>
        <v/>
      </c>
      <c r="CG64" s="113" t="str">
        <f t="shared" si="37"/>
        <v/>
      </c>
      <c r="CH64" s="114" t="str">
        <f t="shared" si="28"/>
        <v/>
      </c>
      <c r="CI64" s="241"/>
      <c r="CJ64" s="241"/>
      <c r="CK64" s="241"/>
      <c r="CL64" s="241"/>
      <c r="CM64" s="241"/>
      <c r="CN64" s="241"/>
      <c r="CO64" s="479"/>
      <c r="CP64" s="479"/>
      <c r="CQ64" s="479"/>
      <c r="CR64" s="479"/>
      <c r="CS64" s="479"/>
      <c r="CT64" s="479"/>
      <c r="CU64" s="479"/>
      <c r="CV64" s="479"/>
      <c r="CW64" s="479"/>
      <c r="CX64" s="479"/>
      <c r="CY64" s="479"/>
      <c r="CZ64" s="479"/>
      <c r="DA64" s="479"/>
      <c r="DB64" s="479"/>
      <c r="DC64" s="479"/>
      <c r="DD64" s="479"/>
      <c r="DE64" s="479"/>
      <c r="DF64" s="479"/>
      <c r="DG64" s="479"/>
      <c r="DH64" s="479"/>
      <c r="DI64" s="479"/>
      <c r="DJ64" s="479"/>
      <c r="DK64" s="479"/>
      <c r="DL64" s="479"/>
      <c r="DM64" s="479"/>
      <c r="DN64" s="479"/>
      <c r="DO64" s="479"/>
      <c r="DP64" s="479"/>
      <c r="DQ64" s="479"/>
      <c r="DR64" s="479"/>
      <c r="DS64" s="479"/>
      <c r="DT64" s="479"/>
      <c r="DU64" s="479"/>
      <c r="DV64" s="479"/>
      <c r="DW64" s="479"/>
      <c r="DX64" s="479"/>
      <c r="DY64" s="479"/>
      <c r="DZ64" s="479"/>
      <c r="EA64" s="479"/>
      <c r="EB64" s="479"/>
      <c r="EC64" s="479"/>
      <c r="ED64" s="479"/>
    </row>
    <row r="65" spans="1:134">
      <c r="A65" s="305"/>
      <c r="B65" s="373"/>
      <c r="D65" s="456"/>
      <c r="E65" s="457"/>
      <c r="F65" s="456"/>
      <c r="G65" s="465"/>
      <c r="N65" s="278" t="str">
        <f t="shared" si="43"/>
        <v/>
      </c>
      <c r="O65" s="279" t="str">
        <f t="shared" si="44"/>
        <v/>
      </c>
      <c r="P65" s="271" t="str">
        <f t="shared" si="41"/>
        <v/>
      </c>
      <c r="Q65" s="382" t="str">
        <f t="shared" si="42"/>
        <v/>
      </c>
      <c r="R65" s="271"/>
      <c r="S65" s="770" t="str">
        <f t="shared" si="38"/>
        <v/>
      </c>
      <c r="T65" s="772" t="str">
        <f>Main_무해지!AC65</f>
        <v/>
      </c>
      <c r="U65" s="410">
        <f>+Main_무해지!AD65</f>
        <v>0</v>
      </c>
      <c r="V65" s="410" t="str">
        <f t="shared" si="29"/>
        <v/>
      </c>
      <c r="W65" s="410" t="str">
        <f t="shared" si="39"/>
        <v/>
      </c>
      <c r="X65" s="410" t="str">
        <f t="shared" si="0"/>
        <v/>
      </c>
      <c r="Y65" s="771" t="str">
        <f>IF($S65="","",SUM(X65:X$114))</f>
        <v/>
      </c>
      <c r="Z65" s="410" t="str">
        <f t="shared" si="30"/>
        <v/>
      </c>
      <c r="AA65" s="254">
        <f t="shared" si="31"/>
        <v>0</v>
      </c>
      <c r="AB65" s="254" t="str">
        <f>Main_무해지!AJ65</f>
        <v/>
      </c>
      <c r="AC65" s="410" t="str">
        <f t="shared" si="1"/>
        <v/>
      </c>
      <c r="AD65" s="410" t="str">
        <f t="shared" si="40"/>
        <v/>
      </c>
      <c r="AE65" s="410" t="str">
        <f t="shared" si="2"/>
        <v/>
      </c>
      <c r="AF65" s="771" t="str">
        <f>IF($S65="","",SUM(AE65:AE$114))</f>
        <v/>
      </c>
      <c r="AG65" s="772" t="str">
        <f>Main_무해지!AP65</f>
        <v/>
      </c>
      <c r="AH65" s="410" t="str">
        <f t="shared" si="3"/>
        <v/>
      </c>
      <c r="AI65" s="410" t="str">
        <f t="shared" si="4"/>
        <v/>
      </c>
      <c r="AJ65" s="410" t="str">
        <f t="shared" si="5"/>
        <v/>
      </c>
      <c r="AK65" s="773" t="str">
        <f>IF($S65="","",SUM($AL65:$AL$114))</f>
        <v/>
      </c>
      <c r="AL65" s="410" t="str">
        <f t="shared" si="32"/>
        <v/>
      </c>
      <c r="AM65" s="773" t="str">
        <f t="shared" si="6"/>
        <v/>
      </c>
      <c r="AN65" s="772" t="str">
        <f>IF($S65="","",INDEX(#REF!,$S65+1))</f>
        <v/>
      </c>
      <c r="AO65" s="410" t="str">
        <f t="shared" si="7"/>
        <v/>
      </c>
      <c r="AP65" s="410" t="str">
        <f t="shared" si="8"/>
        <v/>
      </c>
      <c r="AQ65" s="410" t="str">
        <f t="shared" si="9"/>
        <v/>
      </c>
      <c r="AR65" s="773" t="str">
        <f>IF($S65="","",SUM($AQ65:$AQ$114))</f>
        <v/>
      </c>
      <c r="AS65" s="772" t="str">
        <f>IF($S65="","",INDEX(#REF!,$S65+1))</f>
        <v/>
      </c>
      <c r="AT65" s="410" t="str">
        <f t="shared" si="10"/>
        <v/>
      </c>
      <c r="AU65" s="410" t="str">
        <f t="shared" si="11"/>
        <v/>
      </c>
      <c r="AV65" s="410" t="str">
        <f t="shared" si="12"/>
        <v/>
      </c>
      <c r="AW65" s="773" t="str">
        <f>IF($S65="","",SUM($AV65:$AV$114))</f>
        <v/>
      </c>
      <c r="AX65" s="772" t="str">
        <f>IF($S65="","",INDEX(#REF!,$S65+1))</f>
        <v/>
      </c>
      <c r="AY65" s="410" t="str">
        <f t="shared" si="13"/>
        <v/>
      </c>
      <c r="AZ65" s="410" t="str">
        <f t="shared" si="14"/>
        <v/>
      </c>
      <c r="BA65" s="410" t="str">
        <f t="shared" si="15"/>
        <v/>
      </c>
      <c r="BB65" s="773" t="str">
        <f>IF($S65="","",SUM($BA65:$BA$114))</f>
        <v/>
      </c>
      <c r="BC65" s="772" t="str">
        <f>IF($S65="","",INDEX(#REF!,$S65+1))</f>
        <v/>
      </c>
      <c r="BD65" s="410" t="str">
        <f t="shared" si="16"/>
        <v/>
      </c>
      <c r="BE65" s="410" t="str">
        <f t="shared" si="17"/>
        <v/>
      </c>
      <c r="BF65" s="410" t="str">
        <f t="shared" si="18"/>
        <v/>
      </c>
      <c r="BG65" s="773" t="str">
        <f>IF($S65="","",SUM($BF65:$BF$114))</f>
        <v/>
      </c>
      <c r="BH65" s="772" t="str">
        <f>IF($S65="","",INDEX(#REF!,$S65+1))</f>
        <v/>
      </c>
      <c r="BI65" s="410" t="str">
        <f t="shared" si="19"/>
        <v/>
      </c>
      <c r="BJ65" s="410" t="str">
        <f t="shared" si="20"/>
        <v/>
      </c>
      <c r="BK65" s="410" t="str">
        <f t="shared" si="21"/>
        <v/>
      </c>
      <c r="BL65" s="773" t="str">
        <f>IF($S65="","",SUM($BK65:$BK$114))</f>
        <v/>
      </c>
      <c r="BM65" s="772" t="str">
        <f t="shared" si="22"/>
        <v/>
      </c>
      <c r="BN65" s="410" t="str">
        <f t="shared" si="33"/>
        <v/>
      </c>
      <c r="BO65" s="410" t="str">
        <f t="shared" si="23"/>
        <v/>
      </c>
      <c r="BP65" s="410" t="str">
        <f t="shared" si="24"/>
        <v/>
      </c>
      <c r="BQ65" s="410" t="str">
        <f t="shared" si="34"/>
        <v/>
      </c>
      <c r="BR65" s="410"/>
      <c r="BS65" s="410"/>
      <c r="BT65" s="410"/>
      <c r="BU65" s="410"/>
      <c r="BV65" s="410" t="str">
        <f>IF($S65="","",SUM(BQ65:BQ$114))</f>
        <v/>
      </c>
      <c r="BW65" s="774" t="str">
        <f>IF(S65&lt;$E$3+$F$5,0,IFERROR(일반형_연납순보험료!S67,0))</f>
        <v/>
      </c>
      <c r="BX65" s="774"/>
      <c r="BY65" s="774"/>
      <c r="BZ65" s="774"/>
      <c r="CA65" s="774"/>
      <c r="CB65" s="410" t="str">
        <f t="shared" si="35"/>
        <v/>
      </c>
      <c r="CC65" s="410" t="str">
        <f t="shared" si="25"/>
        <v/>
      </c>
      <c r="CD65" s="410" t="str">
        <f t="shared" si="26"/>
        <v/>
      </c>
      <c r="CE65" s="410" t="str">
        <f t="shared" si="36"/>
        <v/>
      </c>
      <c r="CF65" s="410" t="str">
        <f t="shared" si="27"/>
        <v/>
      </c>
      <c r="CG65" s="776" t="str">
        <f t="shared" si="37"/>
        <v/>
      </c>
      <c r="CH65" s="777" t="str">
        <f t="shared" si="28"/>
        <v/>
      </c>
      <c r="CI65" s="415"/>
      <c r="CJ65" s="415"/>
      <c r="CK65" s="415"/>
      <c r="CL65" s="415"/>
      <c r="CM65" s="415"/>
      <c r="CN65" s="415"/>
      <c r="CO65" s="479"/>
      <c r="CP65" s="479"/>
      <c r="CQ65" s="479"/>
      <c r="CR65" s="479"/>
      <c r="CS65" s="479"/>
      <c r="CT65" s="479"/>
      <c r="CU65" s="479"/>
      <c r="CV65" s="479"/>
      <c r="CW65" s="479"/>
      <c r="CX65" s="479"/>
      <c r="CY65" s="479"/>
      <c r="CZ65" s="479"/>
      <c r="DA65" s="479"/>
      <c r="DB65" s="479"/>
      <c r="DC65" s="479"/>
      <c r="DD65" s="479"/>
      <c r="DE65" s="479"/>
      <c r="DF65" s="479"/>
      <c r="DG65" s="479"/>
      <c r="DH65" s="479"/>
      <c r="DI65" s="479"/>
      <c r="DJ65" s="479"/>
      <c r="DK65" s="479"/>
      <c r="DL65" s="479"/>
      <c r="DM65" s="479"/>
      <c r="DN65" s="479"/>
      <c r="DO65" s="479"/>
      <c r="DP65" s="479"/>
      <c r="DQ65" s="479"/>
      <c r="DR65" s="479"/>
      <c r="DS65" s="479"/>
      <c r="DT65" s="479"/>
      <c r="DU65" s="479"/>
      <c r="DV65" s="479"/>
      <c r="DW65" s="479"/>
      <c r="DX65" s="479"/>
      <c r="DY65" s="479"/>
      <c r="DZ65" s="479"/>
      <c r="EA65" s="479"/>
      <c r="EB65" s="479"/>
      <c r="EC65" s="479"/>
      <c r="ED65" s="479"/>
    </row>
    <row r="66" spans="1:134">
      <c r="A66" s="305"/>
      <c r="B66" s="373"/>
      <c r="D66" s="456"/>
      <c r="E66" s="457"/>
      <c r="F66" s="456"/>
      <c r="G66" s="465"/>
      <c r="J66" s="5"/>
      <c r="K66" s="5"/>
      <c r="N66" s="280" t="str">
        <f t="shared" si="43"/>
        <v/>
      </c>
      <c r="O66" s="281" t="str">
        <f t="shared" si="44"/>
        <v/>
      </c>
      <c r="P66" s="282" t="str">
        <f t="shared" si="41"/>
        <v/>
      </c>
      <c r="Q66" s="383" t="str">
        <f t="shared" si="42"/>
        <v/>
      </c>
      <c r="R66" s="282"/>
      <c r="S66" s="120" t="str">
        <f t="shared" si="38"/>
        <v/>
      </c>
      <c r="T66" s="287" t="str">
        <f>Main_무해지!AC66</f>
        <v/>
      </c>
      <c r="U66" s="260">
        <f>+Main_무해지!AD66</f>
        <v>0</v>
      </c>
      <c r="V66" s="260" t="str">
        <f t="shared" si="29"/>
        <v/>
      </c>
      <c r="W66" s="260" t="str">
        <f t="shared" si="39"/>
        <v/>
      </c>
      <c r="X66" s="260" t="str">
        <f t="shared" si="0"/>
        <v/>
      </c>
      <c r="Y66" s="121" t="str">
        <f>IF($S66="","",SUM(X66:X$114))</f>
        <v/>
      </c>
      <c r="Z66" s="260" t="str">
        <f t="shared" si="30"/>
        <v/>
      </c>
      <c r="AA66" s="254">
        <f t="shared" si="31"/>
        <v>0</v>
      </c>
      <c r="AB66" s="254" t="str">
        <f>Main_무해지!AJ66</f>
        <v/>
      </c>
      <c r="AC66" s="260" t="str">
        <f t="shared" si="1"/>
        <v/>
      </c>
      <c r="AD66" s="260" t="str">
        <f t="shared" si="40"/>
        <v/>
      </c>
      <c r="AE66" s="260" t="str">
        <f t="shared" si="2"/>
        <v/>
      </c>
      <c r="AF66" s="121" t="str">
        <f>IF($S66="","",SUM(AE66:AE$114))</f>
        <v/>
      </c>
      <c r="AG66" s="287" t="str">
        <f>Main_무해지!AP66</f>
        <v/>
      </c>
      <c r="AH66" s="260" t="str">
        <f t="shared" si="3"/>
        <v/>
      </c>
      <c r="AI66" s="260" t="str">
        <f t="shared" si="4"/>
        <v/>
      </c>
      <c r="AJ66" s="260" t="str">
        <f t="shared" si="5"/>
        <v/>
      </c>
      <c r="AK66" s="317" t="str">
        <f>IF($S66="","",SUM($AL66:$AL$114))</f>
        <v/>
      </c>
      <c r="AL66" s="260" t="str">
        <f t="shared" si="32"/>
        <v/>
      </c>
      <c r="AM66" s="317" t="str">
        <f t="shared" si="6"/>
        <v/>
      </c>
      <c r="AN66" s="287" t="str">
        <f>IF($S66="","",INDEX(#REF!,$S66+1))</f>
        <v/>
      </c>
      <c r="AO66" s="260" t="str">
        <f t="shared" si="7"/>
        <v/>
      </c>
      <c r="AP66" s="260" t="str">
        <f t="shared" si="8"/>
        <v/>
      </c>
      <c r="AQ66" s="260" t="str">
        <f t="shared" si="9"/>
        <v/>
      </c>
      <c r="AR66" s="317" t="str">
        <f>IF($S66="","",SUM($AQ66:$AQ$114))</f>
        <v/>
      </c>
      <c r="AS66" s="287" t="str">
        <f>IF($S66="","",INDEX(#REF!,$S66+1))</f>
        <v/>
      </c>
      <c r="AT66" s="260" t="str">
        <f t="shared" si="10"/>
        <v/>
      </c>
      <c r="AU66" s="260" t="str">
        <f t="shared" si="11"/>
        <v/>
      </c>
      <c r="AV66" s="260" t="str">
        <f t="shared" si="12"/>
        <v/>
      </c>
      <c r="AW66" s="317" t="str">
        <f>IF($S66="","",SUM($AV66:$AV$114))</f>
        <v/>
      </c>
      <c r="AX66" s="287" t="str">
        <f>IF($S66="","",INDEX(#REF!,$S66+1))</f>
        <v/>
      </c>
      <c r="AY66" s="260" t="str">
        <f t="shared" si="13"/>
        <v/>
      </c>
      <c r="AZ66" s="260" t="str">
        <f t="shared" si="14"/>
        <v/>
      </c>
      <c r="BA66" s="260" t="str">
        <f t="shared" si="15"/>
        <v/>
      </c>
      <c r="BB66" s="317" t="str">
        <f>IF($S66="","",SUM($BA66:$BA$114))</f>
        <v/>
      </c>
      <c r="BC66" s="287" t="str">
        <f>IF($S66="","",INDEX(#REF!,$S66+1))</f>
        <v/>
      </c>
      <c r="BD66" s="260" t="str">
        <f t="shared" si="16"/>
        <v/>
      </c>
      <c r="BE66" s="260" t="str">
        <f t="shared" si="17"/>
        <v/>
      </c>
      <c r="BF66" s="260" t="str">
        <f t="shared" si="18"/>
        <v/>
      </c>
      <c r="BG66" s="317" t="str">
        <f>IF($S66="","",SUM($BF66:$BF$114))</f>
        <v/>
      </c>
      <c r="BH66" s="287" t="str">
        <f>IF($S66="","",INDEX(#REF!,$S66+1))</f>
        <v/>
      </c>
      <c r="BI66" s="260" t="str">
        <f t="shared" si="19"/>
        <v/>
      </c>
      <c r="BJ66" s="260" t="str">
        <f t="shared" si="20"/>
        <v/>
      </c>
      <c r="BK66" s="260" t="str">
        <f t="shared" si="21"/>
        <v/>
      </c>
      <c r="BL66" s="317" t="str">
        <f>IF($S66="","",SUM($BK66:$BK$114))</f>
        <v/>
      </c>
      <c r="BM66" s="287" t="str">
        <f t="shared" si="22"/>
        <v/>
      </c>
      <c r="BN66" s="260" t="str">
        <f t="shared" si="33"/>
        <v/>
      </c>
      <c r="BO66" s="260" t="str">
        <f t="shared" si="23"/>
        <v/>
      </c>
      <c r="BP66" s="260" t="str">
        <f t="shared" si="24"/>
        <v/>
      </c>
      <c r="BQ66" s="260" t="str">
        <f t="shared" si="34"/>
        <v/>
      </c>
      <c r="BR66" s="260"/>
      <c r="BS66" s="260"/>
      <c r="BT66" s="260"/>
      <c r="BU66" s="260"/>
      <c r="BV66" s="260" t="str">
        <f>IF($S66="","",SUM(BQ66:BQ$114))</f>
        <v/>
      </c>
      <c r="BW66" s="122" t="str">
        <f>IF(S66&lt;$E$3+$F$5,0,IFERROR(일반형_연납순보험료!S68,0))</f>
        <v/>
      </c>
      <c r="BX66" s="122"/>
      <c r="BY66" s="122"/>
      <c r="BZ66" s="122"/>
      <c r="CA66" s="122"/>
      <c r="CB66" s="260" t="str">
        <f t="shared" si="35"/>
        <v/>
      </c>
      <c r="CC66" s="260" t="str">
        <f t="shared" si="25"/>
        <v/>
      </c>
      <c r="CD66" s="260" t="str">
        <f t="shared" si="26"/>
        <v/>
      </c>
      <c r="CE66" s="260" t="str">
        <f t="shared" si="36"/>
        <v/>
      </c>
      <c r="CF66" s="260" t="str">
        <f t="shared" si="27"/>
        <v/>
      </c>
      <c r="CG66" s="123" t="str">
        <f t="shared" si="37"/>
        <v/>
      </c>
      <c r="CH66" s="124" t="str">
        <f t="shared" si="28"/>
        <v/>
      </c>
      <c r="CI66" s="242"/>
      <c r="CJ66" s="242"/>
      <c r="CK66" s="242"/>
      <c r="CL66" s="242"/>
      <c r="CM66" s="242"/>
      <c r="CN66" s="242"/>
      <c r="CO66" s="479"/>
      <c r="CP66" s="479"/>
      <c r="CQ66" s="479"/>
      <c r="CR66" s="479"/>
      <c r="CS66" s="479"/>
      <c r="CT66" s="479"/>
      <c r="CU66" s="479"/>
      <c r="CV66" s="479"/>
      <c r="CW66" s="479"/>
      <c r="CX66" s="479"/>
      <c r="CY66" s="479"/>
      <c r="CZ66" s="479"/>
      <c r="DA66" s="479"/>
      <c r="DB66" s="479"/>
      <c r="DC66" s="479"/>
      <c r="DD66" s="479"/>
      <c r="DE66" s="479"/>
      <c r="DF66" s="479"/>
      <c r="DG66" s="479"/>
      <c r="DH66" s="479"/>
      <c r="DI66" s="479"/>
      <c r="DJ66" s="479"/>
      <c r="DK66" s="479"/>
      <c r="DL66" s="479"/>
      <c r="DM66" s="479"/>
      <c r="DN66" s="479"/>
      <c r="DO66" s="479"/>
      <c r="DP66" s="479"/>
      <c r="DQ66" s="479"/>
      <c r="DR66" s="479"/>
      <c r="DS66" s="479"/>
      <c r="DT66" s="479"/>
      <c r="DU66" s="479"/>
      <c r="DV66" s="479"/>
      <c r="DW66" s="479"/>
      <c r="DX66" s="479"/>
      <c r="DY66" s="479"/>
      <c r="DZ66" s="479"/>
      <c r="EA66" s="479"/>
      <c r="EB66" s="479"/>
      <c r="EC66" s="479"/>
      <c r="ED66" s="479"/>
    </row>
    <row r="67" spans="1:134">
      <c r="A67" s="305"/>
      <c r="B67" s="373"/>
      <c r="D67" s="456"/>
      <c r="E67" s="457"/>
      <c r="F67" s="456"/>
      <c r="G67" s="465"/>
      <c r="J67" s="5"/>
      <c r="K67" s="5"/>
      <c r="N67" s="275" t="str">
        <f t="shared" si="43"/>
        <v/>
      </c>
      <c r="O67" s="276" t="str">
        <f t="shared" si="44"/>
        <v/>
      </c>
      <c r="P67" s="277" t="str">
        <f t="shared" si="41"/>
        <v/>
      </c>
      <c r="Q67" s="381" t="str">
        <f t="shared" si="42"/>
        <v/>
      </c>
      <c r="R67" s="277"/>
      <c r="S67" s="120" t="str">
        <f t="shared" si="38"/>
        <v/>
      </c>
      <c r="T67" s="287" t="str">
        <f>Main_무해지!AC67</f>
        <v/>
      </c>
      <c r="U67" s="260">
        <f>+Main_무해지!AD67</f>
        <v>0</v>
      </c>
      <c r="V67" s="260" t="str">
        <f t="shared" si="29"/>
        <v/>
      </c>
      <c r="W67" s="260" t="str">
        <f t="shared" si="39"/>
        <v/>
      </c>
      <c r="X67" s="260" t="str">
        <f t="shared" si="0"/>
        <v/>
      </c>
      <c r="Y67" s="121" t="str">
        <f>IF($S67="","",SUM(X67:X$114))</f>
        <v/>
      </c>
      <c r="Z67" s="260" t="str">
        <f t="shared" si="30"/>
        <v/>
      </c>
      <c r="AA67" s="254">
        <f t="shared" si="31"/>
        <v>0</v>
      </c>
      <c r="AB67" s="254" t="str">
        <f>Main_무해지!AJ67</f>
        <v/>
      </c>
      <c r="AC67" s="260" t="str">
        <f t="shared" si="1"/>
        <v/>
      </c>
      <c r="AD67" s="260" t="str">
        <f t="shared" si="40"/>
        <v/>
      </c>
      <c r="AE67" s="260" t="str">
        <f t="shared" si="2"/>
        <v/>
      </c>
      <c r="AF67" s="121" t="str">
        <f>IF($S67="","",SUM(AE67:AE$114))</f>
        <v/>
      </c>
      <c r="AG67" s="287" t="str">
        <f>Main_무해지!AP67</f>
        <v/>
      </c>
      <c r="AH67" s="260" t="str">
        <f t="shared" si="3"/>
        <v/>
      </c>
      <c r="AI67" s="260" t="str">
        <f t="shared" si="4"/>
        <v/>
      </c>
      <c r="AJ67" s="260" t="str">
        <f t="shared" si="5"/>
        <v/>
      </c>
      <c r="AK67" s="317" t="str">
        <f>IF($S67="","",SUM($AL67:$AL$114))</f>
        <v/>
      </c>
      <c r="AL67" s="260" t="str">
        <f t="shared" si="32"/>
        <v/>
      </c>
      <c r="AM67" s="317" t="str">
        <f t="shared" si="6"/>
        <v/>
      </c>
      <c r="AN67" s="287" t="str">
        <f>IF($S67="","",INDEX(#REF!,$S67+1))</f>
        <v/>
      </c>
      <c r="AO67" s="260" t="str">
        <f t="shared" si="7"/>
        <v/>
      </c>
      <c r="AP67" s="260" t="str">
        <f t="shared" si="8"/>
        <v/>
      </c>
      <c r="AQ67" s="260" t="str">
        <f t="shared" si="9"/>
        <v/>
      </c>
      <c r="AR67" s="317" t="str">
        <f>IF($S67="","",SUM($AQ67:$AQ$114))</f>
        <v/>
      </c>
      <c r="AS67" s="287" t="str">
        <f>IF($S67="","",INDEX(#REF!,$S67+1))</f>
        <v/>
      </c>
      <c r="AT67" s="260" t="str">
        <f t="shared" si="10"/>
        <v/>
      </c>
      <c r="AU67" s="260" t="str">
        <f t="shared" si="11"/>
        <v/>
      </c>
      <c r="AV67" s="260" t="str">
        <f t="shared" si="12"/>
        <v/>
      </c>
      <c r="AW67" s="317" t="str">
        <f>IF($S67="","",SUM($AV67:$AV$114))</f>
        <v/>
      </c>
      <c r="AX67" s="287" t="str">
        <f>IF($S67="","",INDEX(#REF!,$S67+1))</f>
        <v/>
      </c>
      <c r="AY67" s="260" t="str">
        <f t="shared" si="13"/>
        <v/>
      </c>
      <c r="AZ67" s="260" t="str">
        <f t="shared" si="14"/>
        <v/>
      </c>
      <c r="BA67" s="260" t="str">
        <f t="shared" si="15"/>
        <v/>
      </c>
      <c r="BB67" s="317" t="str">
        <f>IF($S67="","",SUM($BA67:$BA$114))</f>
        <v/>
      </c>
      <c r="BC67" s="287" t="str">
        <f>IF($S67="","",INDEX(#REF!,$S67+1))</f>
        <v/>
      </c>
      <c r="BD67" s="260" t="str">
        <f t="shared" si="16"/>
        <v/>
      </c>
      <c r="BE67" s="260" t="str">
        <f t="shared" si="17"/>
        <v/>
      </c>
      <c r="BF67" s="260" t="str">
        <f t="shared" si="18"/>
        <v/>
      </c>
      <c r="BG67" s="317" t="str">
        <f>IF($S67="","",SUM($BF67:$BF$114))</f>
        <v/>
      </c>
      <c r="BH67" s="287" t="str">
        <f>IF($S67="","",INDEX(#REF!,$S67+1))</f>
        <v/>
      </c>
      <c r="BI67" s="260" t="str">
        <f t="shared" si="19"/>
        <v/>
      </c>
      <c r="BJ67" s="260" t="str">
        <f t="shared" si="20"/>
        <v/>
      </c>
      <c r="BK67" s="260" t="str">
        <f t="shared" si="21"/>
        <v/>
      </c>
      <c r="BL67" s="317" t="str">
        <f>IF($S67="","",SUM($BK67:$BK$114))</f>
        <v/>
      </c>
      <c r="BM67" s="287" t="str">
        <f t="shared" si="22"/>
        <v/>
      </c>
      <c r="BN67" s="260" t="str">
        <f t="shared" si="33"/>
        <v/>
      </c>
      <c r="BO67" s="260" t="str">
        <f t="shared" si="23"/>
        <v/>
      </c>
      <c r="BP67" s="260" t="str">
        <f t="shared" si="24"/>
        <v/>
      </c>
      <c r="BQ67" s="260" t="str">
        <f t="shared" si="34"/>
        <v/>
      </c>
      <c r="BR67" s="260"/>
      <c r="BS67" s="260"/>
      <c r="BT67" s="260"/>
      <c r="BU67" s="260"/>
      <c r="BV67" s="260" t="str">
        <f>IF($S67="","",SUM(BQ67:BQ$114))</f>
        <v/>
      </c>
      <c r="BW67" s="122" t="str">
        <f>IF(S67&lt;$E$3+$F$5,0,IFERROR(일반형_연납순보험료!S69,0))</f>
        <v/>
      </c>
      <c r="BX67" s="122"/>
      <c r="BY67" s="122"/>
      <c r="BZ67" s="122"/>
      <c r="CA67" s="122"/>
      <c r="CB67" s="260" t="str">
        <f t="shared" si="35"/>
        <v/>
      </c>
      <c r="CC67" s="260" t="str">
        <f t="shared" si="25"/>
        <v/>
      </c>
      <c r="CD67" s="260" t="str">
        <f t="shared" si="26"/>
        <v/>
      </c>
      <c r="CE67" s="260" t="str">
        <f t="shared" si="36"/>
        <v/>
      </c>
      <c r="CF67" s="260" t="str">
        <f t="shared" si="27"/>
        <v/>
      </c>
      <c r="CG67" s="123" t="str">
        <f t="shared" si="37"/>
        <v/>
      </c>
      <c r="CH67" s="124" t="str">
        <f t="shared" si="28"/>
        <v/>
      </c>
      <c r="CI67" s="242"/>
      <c r="CJ67" s="242"/>
      <c r="CK67" s="242"/>
      <c r="CL67" s="242"/>
      <c r="CM67" s="242"/>
      <c r="CN67" s="242"/>
      <c r="CO67" s="479"/>
      <c r="CP67" s="479"/>
      <c r="CQ67" s="479"/>
      <c r="CR67" s="479"/>
      <c r="CS67" s="479"/>
      <c r="CT67" s="479"/>
      <c r="CU67" s="479"/>
      <c r="CV67" s="479"/>
      <c r="CW67" s="479"/>
      <c r="CX67" s="479"/>
      <c r="CY67" s="479"/>
      <c r="CZ67" s="479"/>
      <c r="DA67" s="479"/>
      <c r="DB67" s="479"/>
      <c r="DC67" s="479"/>
      <c r="DD67" s="479"/>
      <c r="DE67" s="479"/>
      <c r="DF67" s="479"/>
      <c r="DG67" s="479"/>
      <c r="DH67" s="479"/>
      <c r="DI67" s="479"/>
      <c r="DJ67" s="479"/>
      <c r="DK67" s="479"/>
      <c r="DL67" s="479"/>
      <c r="DM67" s="479"/>
      <c r="DN67" s="479"/>
      <c r="DO67" s="479"/>
      <c r="DP67" s="479"/>
      <c r="DQ67" s="479"/>
      <c r="DR67" s="479"/>
      <c r="DS67" s="479"/>
      <c r="DT67" s="479"/>
      <c r="DU67" s="479"/>
      <c r="DV67" s="479"/>
      <c r="DW67" s="479"/>
      <c r="DX67" s="479"/>
      <c r="DY67" s="479"/>
      <c r="DZ67" s="479"/>
      <c r="EA67" s="479"/>
      <c r="EB67" s="479"/>
      <c r="EC67" s="479"/>
      <c r="ED67" s="479"/>
    </row>
    <row r="68" spans="1:134">
      <c r="A68" s="305"/>
      <c r="B68" s="373"/>
      <c r="D68" s="456"/>
      <c r="E68" s="457"/>
      <c r="F68" s="456"/>
      <c r="G68" s="465"/>
      <c r="J68" s="5"/>
      <c r="K68" s="5"/>
      <c r="N68" s="278" t="str">
        <f t="shared" si="43"/>
        <v/>
      </c>
      <c r="O68" s="279" t="str">
        <f t="shared" si="44"/>
        <v/>
      </c>
      <c r="P68" s="271" t="str">
        <f t="shared" si="41"/>
        <v/>
      </c>
      <c r="Q68" s="382" t="str">
        <f t="shared" si="42"/>
        <v/>
      </c>
      <c r="R68" s="271"/>
      <c r="S68" s="120" t="str">
        <f t="shared" si="38"/>
        <v/>
      </c>
      <c r="T68" s="287" t="str">
        <f>Main_무해지!AC68</f>
        <v/>
      </c>
      <c r="U68" s="260">
        <f>+Main_무해지!AD68</f>
        <v>0</v>
      </c>
      <c r="V68" s="260" t="str">
        <f t="shared" si="29"/>
        <v/>
      </c>
      <c r="W68" s="260" t="str">
        <f t="shared" si="39"/>
        <v/>
      </c>
      <c r="X68" s="260" t="str">
        <f t="shared" ref="X68:X114" si="45">IF($S68="","",W68*$E$17^($S68-$S$4))</f>
        <v/>
      </c>
      <c r="Y68" s="121" t="str">
        <f>IF($S68="","",SUM(X68:X$114))</f>
        <v/>
      </c>
      <c r="Z68" s="260" t="str">
        <f t="shared" si="30"/>
        <v/>
      </c>
      <c r="AA68" s="254">
        <f t="shared" si="31"/>
        <v>0</v>
      </c>
      <c r="AB68" s="254" t="str">
        <f>Main_무해지!AJ68</f>
        <v/>
      </c>
      <c r="AC68" s="260" t="str">
        <f t="shared" ref="AC68:AC114" si="46">V68</f>
        <v/>
      </c>
      <c r="AD68" s="260" t="str">
        <f t="shared" si="40"/>
        <v/>
      </c>
      <c r="AE68" s="260" t="str">
        <f t="shared" ref="AE68:AE114" si="47">IF($S68="","",AD68*$E$17^($S68-$S$4))</f>
        <v/>
      </c>
      <c r="AF68" s="121" t="str">
        <f>IF($S68="","",SUM(AE68:AE$114))</f>
        <v/>
      </c>
      <c r="AG68" s="287" t="str">
        <f>Main_무해지!AP68</f>
        <v/>
      </c>
      <c r="AH68" s="260" t="str">
        <f t="shared" ref="AH68:AH114" si="48">V68</f>
        <v/>
      </c>
      <c r="AI68" s="260" t="str">
        <f t="shared" ref="AI68:AI114" si="49">IF($S68="","",$W68*$AG68*(1-0.5*AH68))</f>
        <v/>
      </c>
      <c r="AJ68" s="260" t="str">
        <f t="shared" ref="AJ68:AJ114" si="50">IF($S68="","",AI68*$E$17^($S68-$S$4+0.5))</f>
        <v/>
      </c>
      <c r="AK68" s="317" t="str">
        <f>IF($S68="","",SUM($AL68:$AL$114))</f>
        <v/>
      </c>
      <c r="AL68" s="260" t="str">
        <f t="shared" si="32"/>
        <v/>
      </c>
      <c r="AM68" s="317" t="str">
        <f t="shared" ref="AM68:AM114" si="51">IF($S68="","",1+$F$8*$E$11*MIN(MAX((S68-S$4)-($F$9-1),0),$E$10))</f>
        <v/>
      </c>
      <c r="AN68" s="287" t="str">
        <f>IF($S68="","",INDEX(#REF!,$S68+1))</f>
        <v/>
      </c>
      <c r="AO68" s="260" t="str">
        <f t="shared" ref="AO68:AO114" si="52">V68</f>
        <v/>
      </c>
      <c r="AP68" s="260" t="str">
        <f t="shared" ref="AP68:AP114" si="53">IF($S68="","",$W68*$AN68*(1-0.5*AO68))</f>
        <v/>
      </c>
      <c r="AQ68" s="260" t="str">
        <f t="shared" ref="AQ68:AQ114" si="54">IF($S68="","",AP68*$E$17^($S68-$S$4+0.5))</f>
        <v/>
      </c>
      <c r="AR68" s="317" t="str">
        <f>IF($S68="","",SUM($AQ68:$AQ$114))</f>
        <v/>
      </c>
      <c r="AS68" s="287" t="str">
        <f>IF($S68="","",INDEX(#REF!,$S68+1))</f>
        <v/>
      </c>
      <c r="AT68" s="260" t="str">
        <f t="shared" ref="AT68:AT114" si="55">V68</f>
        <v/>
      </c>
      <c r="AU68" s="260" t="str">
        <f t="shared" ref="AU68:AU114" si="56">IF($S68="","",$W68*$AS68*(1-0.5*AT68))</f>
        <v/>
      </c>
      <c r="AV68" s="260" t="str">
        <f t="shared" ref="AV68:AV114" si="57">IF($S68="","",AU68*$E$17^($S68-$S$4+0.5))</f>
        <v/>
      </c>
      <c r="AW68" s="317" t="str">
        <f>IF($S68="","",SUM($AV68:$AV$114))</f>
        <v/>
      </c>
      <c r="AX68" s="287" t="str">
        <f>IF($S68="","",INDEX(#REF!,$S68+1))</f>
        <v/>
      </c>
      <c r="AY68" s="260" t="str">
        <f t="shared" ref="AY68:AY114" si="58">V68</f>
        <v/>
      </c>
      <c r="AZ68" s="260" t="str">
        <f t="shared" ref="AZ68:AZ114" si="59">IF($S68="","",$W68*$AX68*(1-0.5*AY68))</f>
        <v/>
      </c>
      <c r="BA68" s="260" t="str">
        <f t="shared" ref="BA68:BA114" si="60">IF($S68="","",AZ68*$E$17^($S68-$S$4+0.5))</f>
        <v/>
      </c>
      <c r="BB68" s="317" t="str">
        <f>IF($S68="","",SUM($BA68:$BA$114))</f>
        <v/>
      </c>
      <c r="BC68" s="287" t="str">
        <f>IF($S68="","",INDEX(#REF!,$S68+1))</f>
        <v/>
      </c>
      <c r="BD68" s="260" t="str">
        <f t="shared" ref="BD68:BD114" si="61">V68</f>
        <v/>
      </c>
      <c r="BE68" s="260" t="str">
        <f t="shared" ref="BE68:BE114" si="62">IF($S68="","",$W68*$BC68*(1-0.5*BD68))</f>
        <v/>
      </c>
      <c r="BF68" s="260" t="str">
        <f t="shared" ref="BF68:BF114" si="63">IF($S68="","",BE68*$E$17^($S68-$S$4+0.5))</f>
        <v/>
      </c>
      <c r="BG68" s="317" t="str">
        <f>IF($S68="","",SUM($BF68:$BF$114))</f>
        <v/>
      </c>
      <c r="BH68" s="287" t="str">
        <f>IF($S68="","",INDEX(#REF!,$S68+1))</f>
        <v/>
      </c>
      <c r="BI68" s="260" t="str">
        <f t="shared" ref="BI68:BI114" si="64">V68</f>
        <v/>
      </c>
      <c r="BJ68" s="260" t="str">
        <f t="shared" ref="BJ68:BJ114" si="65">IF($S68="","",$W68*$BH68*(1-0.5*BI68))</f>
        <v/>
      </c>
      <c r="BK68" s="260" t="str">
        <f t="shared" ref="BK68:BK114" si="66">IF($S68="","",BJ68*$E$17^($S68-$S$4+0.5))</f>
        <v/>
      </c>
      <c r="BL68" s="317" t="str">
        <f>IF($S68="","",SUM($BK68:$BK$114))</f>
        <v/>
      </c>
      <c r="BM68" s="287" t="str">
        <f t="shared" ref="BM68:BM114" si="67">V68</f>
        <v/>
      </c>
      <c r="BN68" s="260" t="str">
        <f t="shared" si="33"/>
        <v/>
      </c>
      <c r="BO68" s="260" t="str">
        <f t="shared" ref="BO68:BO114" si="68">IF($S68="","",BN68*$E$17^($S68-$S$4+0.5))</f>
        <v/>
      </c>
      <c r="BP68" s="260" t="str">
        <f t="shared" ref="BP68:BP114" si="69">IF(S68="","",IF(S68-$S$4&gt;=$F$4,0,IF(S68-$S$4&gt;=$F$5,(BW68+BW69)/2,0)))</f>
        <v/>
      </c>
      <c r="BQ68" s="260" t="str">
        <f t="shared" si="34"/>
        <v/>
      </c>
      <c r="BR68" s="260"/>
      <c r="BS68" s="260"/>
      <c r="BT68" s="260"/>
      <c r="BU68" s="260"/>
      <c r="BV68" s="260" t="str">
        <f>IF($S68="","",SUM(BQ68:BQ$114))</f>
        <v/>
      </c>
      <c r="BW68" s="122" t="str">
        <f>IF(S68&lt;$E$3+$F$5,0,IFERROR(일반형_연납순보험료!S70,0))</f>
        <v/>
      </c>
      <c r="BX68" s="122"/>
      <c r="BY68" s="122"/>
      <c r="BZ68" s="122"/>
      <c r="CA68" s="122"/>
      <c r="CB68" s="260" t="str">
        <f t="shared" si="35"/>
        <v/>
      </c>
      <c r="CC68" s="260" t="str">
        <f t="shared" ref="CC68:CC114" si="70">IF($S68="","",(BV68-$BV$117))</f>
        <v/>
      </c>
      <c r="CD68" s="260" t="str">
        <f t="shared" ref="CD68:CD114" si="71">IF($S68="","",MAX(($AF68-AF$116)-(($CC$2-1)/(2*$CC$2))*($AE68-$AE$116),0))</f>
        <v/>
      </c>
      <c r="CE68" s="260" t="str">
        <f t="shared" si="36"/>
        <v/>
      </c>
      <c r="CF68" s="260" t="str">
        <f t="shared" ref="CF68:CF114" si="72">IF($S68="","",$CC$2*$CD68*(-$K$48))</f>
        <v/>
      </c>
      <c r="CG68" s="123" t="str">
        <f t="shared" si="37"/>
        <v/>
      </c>
      <c r="CH68" s="124" t="str">
        <f t="shared" ref="CH68:CH114" si="73">IF(S68="","",ROUND(CG68,$E$18)*$E$19)</f>
        <v/>
      </c>
      <c r="CI68" s="242"/>
      <c r="CJ68" s="242"/>
      <c r="CK68" s="242"/>
      <c r="CL68" s="242"/>
      <c r="CM68" s="242"/>
      <c r="CN68" s="242"/>
      <c r="CO68" s="479"/>
      <c r="CP68" s="479"/>
      <c r="CQ68" s="479"/>
      <c r="CR68" s="479"/>
      <c r="CS68" s="479"/>
      <c r="CT68" s="479"/>
      <c r="CU68" s="479"/>
      <c r="CV68" s="479"/>
      <c r="CW68" s="479"/>
      <c r="CX68" s="479"/>
      <c r="CY68" s="479"/>
      <c r="CZ68" s="479"/>
      <c r="DA68" s="479"/>
      <c r="DB68" s="479"/>
      <c r="DC68" s="479"/>
      <c r="DD68" s="479"/>
      <c r="DE68" s="479"/>
      <c r="DF68" s="479"/>
      <c r="DG68" s="479"/>
      <c r="DH68" s="479"/>
      <c r="DI68" s="479"/>
      <c r="DJ68" s="479"/>
      <c r="DK68" s="479"/>
      <c r="DL68" s="479"/>
      <c r="DM68" s="479"/>
      <c r="DN68" s="479"/>
      <c r="DO68" s="479"/>
      <c r="DP68" s="479"/>
      <c r="DQ68" s="479"/>
      <c r="DR68" s="479"/>
      <c r="DS68" s="479"/>
      <c r="DT68" s="479"/>
      <c r="DU68" s="479"/>
      <c r="DV68" s="479"/>
      <c r="DW68" s="479"/>
      <c r="DX68" s="479"/>
      <c r="DY68" s="479"/>
      <c r="DZ68" s="479"/>
      <c r="EA68" s="479"/>
      <c r="EB68" s="479"/>
      <c r="EC68" s="479"/>
      <c r="ED68" s="479"/>
    </row>
    <row r="69" spans="1:134">
      <c r="A69" s="305"/>
      <c r="B69" s="373"/>
      <c r="D69" s="456"/>
      <c r="E69" s="457"/>
      <c r="F69" s="456"/>
      <c r="G69" s="465"/>
      <c r="J69" s="5"/>
      <c r="K69" s="5"/>
      <c r="N69" s="278" t="str">
        <f t="shared" si="43"/>
        <v/>
      </c>
      <c r="O69" s="279" t="str">
        <f t="shared" si="44"/>
        <v/>
      </c>
      <c r="P69" s="271" t="str">
        <f t="shared" si="41"/>
        <v/>
      </c>
      <c r="Q69" s="382" t="str">
        <f t="shared" si="42"/>
        <v/>
      </c>
      <c r="R69" s="271"/>
      <c r="S69" s="130" t="str">
        <f t="shared" si="38"/>
        <v/>
      </c>
      <c r="T69" s="288" t="str">
        <f>Main_무해지!AC69</f>
        <v/>
      </c>
      <c r="U69" s="261">
        <f>+Main_무해지!AD69</f>
        <v>0</v>
      </c>
      <c r="V69" s="261" t="str">
        <f t="shared" ref="V69:V114" si="74">IF(S69="","",IF(S69-$S$4&lt;$F$5-1,INDEX($G$76:$G$87,MIN(S69-$S$4+1,12)),IF(S69-$S$4=$F$5-1,0,IF(AND($F$2=1,S69&gt;109),0,IF(AND($F$2=2,S69&gt;111),0,INDEX($H$76:$H$82,MIN(S69-$S$4-$F$5+1,7)))))))</f>
        <v/>
      </c>
      <c r="W69" s="261" t="str">
        <f t="shared" si="39"/>
        <v/>
      </c>
      <c r="X69" s="261" t="str">
        <f t="shared" si="45"/>
        <v/>
      </c>
      <c r="Y69" s="131" t="str">
        <f>IF($S69="","",SUM(X69:X$114))</f>
        <v/>
      </c>
      <c r="Z69" s="261" t="str">
        <f t="shared" ref="Z69:Z114" si="75">T69</f>
        <v/>
      </c>
      <c r="AA69" s="254">
        <f t="shared" ref="AA69:AA114" si="76">+U69</f>
        <v>0</v>
      </c>
      <c r="AB69" s="254" t="str">
        <f>Main_무해지!AJ69</f>
        <v/>
      </c>
      <c r="AC69" s="261" t="str">
        <f t="shared" si="46"/>
        <v/>
      </c>
      <c r="AD69" s="261" t="str">
        <f t="shared" si="40"/>
        <v/>
      </c>
      <c r="AE69" s="261" t="str">
        <f t="shared" si="47"/>
        <v/>
      </c>
      <c r="AF69" s="131" t="str">
        <f>IF($S69="","",SUM(AE69:AE$114))</f>
        <v/>
      </c>
      <c r="AG69" s="288" t="str">
        <f>Main_무해지!AP69</f>
        <v/>
      </c>
      <c r="AH69" s="261" t="str">
        <f t="shared" si="48"/>
        <v/>
      </c>
      <c r="AI69" s="261" t="str">
        <f t="shared" si="49"/>
        <v/>
      </c>
      <c r="AJ69" s="261" t="str">
        <f t="shared" si="50"/>
        <v/>
      </c>
      <c r="AK69" s="318" t="str">
        <f>IF($S69="","",SUM($AL69:$AL$114))</f>
        <v/>
      </c>
      <c r="AL69" s="261" t="str">
        <f t="shared" ref="AL69:AL114" si="77">IF($S69="","",AJ69*AM69)</f>
        <v/>
      </c>
      <c r="AM69" s="318" t="str">
        <f t="shared" si="51"/>
        <v/>
      </c>
      <c r="AN69" s="288" t="str">
        <f>IF($S69="","",INDEX(#REF!,$S69+1))</f>
        <v/>
      </c>
      <c r="AO69" s="261" t="str">
        <f t="shared" si="52"/>
        <v/>
      </c>
      <c r="AP69" s="261" t="str">
        <f t="shared" si="53"/>
        <v/>
      </c>
      <c r="AQ69" s="261" t="str">
        <f t="shared" si="54"/>
        <v/>
      </c>
      <c r="AR69" s="318" t="str">
        <f>IF($S69="","",SUM($AQ69:$AQ$114))</f>
        <v/>
      </c>
      <c r="AS69" s="288" t="str">
        <f>IF($S69="","",INDEX(#REF!,$S69+1))</f>
        <v/>
      </c>
      <c r="AT69" s="261" t="str">
        <f t="shared" si="55"/>
        <v/>
      </c>
      <c r="AU69" s="261" t="str">
        <f t="shared" si="56"/>
        <v/>
      </c>
      <c r="AV69" s="261" t="str">
        <f t="shared" si="57"/>
        <v/>
      </c>
      <c r="AW69" s="318" t="str">
        <f>IF($S69="","",SUM($AV69:$AV$114))</f>
        <v/>
      </c>
      <c r="AX69" s="288" t="str">
        <f>IF($S69="","",INDEX(#REF!,$S69+1))</f>
        <v/>
      </c>
      <c r="AY69" s="261" t="str">
        <f t="shared" si="58"/>
        <v/>
      </c>
      <c r="AZ69" s="261" t="str">
        <f t="shared" si="59"/>
        <v/>
      </c>
      <c r="BA69" s="261" t="str">
        <f t="shared" si="60"/>
        <v/>
      </c>
      <c r="BB69" s="318" t="str">
        <f>IF($S69="","",SUM($BA69:$BA$114))</f>
        <v/>
      </c>
      <c r="BC69" s="288" t="str">
        <f>IF($S69="","",INDEX(#REF!,$S69+1))</f>
        <v/>
      </c>
      <c r="BD69" s="261" t="str">
        <f t="shared" si="61"/>
        <v/>
      </c>
      <c r="BE69" s="261" t="str">
        <f t="shared" si="62"/>
        <v/>
      </c>
      <c r="BF69" s="261" t="str">
        <f t="shared" si="63"/>
        <v/>
      </c>
      <c r="BG69" s="318" t="str">
        <f>IF($S69="","",SUM($BF69:$BF$114))</f>
        <v/>
      </c>
      <c r="BH69" s="288" t="str">
        <f>IF($S69="","",INDEX(#REF!,$S69+1))</f>
        <v/>
      </c>
      <c r="BI69" s="261" t="str">
        <f t="shared" si="64"/>
        <v/>
      </c>
      <c r="BJ69" s="261" t="str">
        <f t="shared" si="65"/>
        <v/>
      </c>
      <c r="BK69" s="261" t="str">
        <f t="shared" si="66"/>
        <v/>
      </c>
      <c r="BL69" s="318" t="str">
        <f>IF($S69="","",SUM($BK69:$BK$114))</f>
        <v/>
      </c>
      <c r="BM69" s="288" t="str">
        <f t="shared" si="67"/>
        <v/>
      </c>
      <c r="BN69" s="261" t="str">
        <f t="shared" ref="BN69:BN114" si="78">IF($S69="","",W69*$BM69)</f>
        <v/>
      </c>
      <c r="BO69" s="261" t="str">
        <f t="shared" si="68"/>
        <v/>
      </c>
      <c r="BP69" s="261" t="str">
        <f t="shared" si="69"/>
        <v/>
      </c>
      <c r="BQ69" s="261" t="str">
        <f t="shared" ref="BQ69:BQ114" si="79">IFERROR(IF($S69="","",BO69*BP69),0)</f>
        <v/>
      </c>
      <c r="BR69" s="261"/>
      <c r="BS69" s="261"/>
      <c r="BT69" s="261"/>
      <c r="BU69" s="261"/>
      <c r="BV69" s="261" t="str">
        <f>IF($S69="","",SUM(BQ69:BQ$114))</f>
        <v/>
      </c>
      <c r="BW69" s="132" t="str">
        <f>IF(S69&lt;$E$3+$F$5,0,IFERROR(일반형_연납순보험료!S71,0))</f>
        <v/>
      </c>
      <c r="BX69" s="132"/>
      <c r="BY69" s="132"/>
      <c r="BZ69" s="132"/>
      <c r="CA69" s="132"/>
      <c r="CB69" s="261" t="str">
        <f t="shared" ref="CB69:CB114" si="80">IF($S69="","",IF(AND($F$4=1,$G$3=1),0.475*$AK$2*(AK69-$AK$117),$AK$2*(AK69-$AK$117)))</f>
        <v/>
      </c>
      <c r="CC69" s="261" t="str">
        <f t="shared" si="70"/>
        <v/>
      </c>
      <c r="CD69" s="261" t="str">
        <f t="shared" si="71"/>
        <v/>
      </c>
      <c r="CE69" s="261" t="str">
        <f t="shared" ref="CE69:CE114" si="81">IF($S69="","",IF($F$5=0,Y69-Y$117,MIN(Y69,Y$116)-Y$117))</f>
        <v/>
      </c>
      <c r="CF69" s="261" t="str">
        <f t="shared" si="72"/>
        <v/>
      </c>
      <c r="CG69" s="133" t="str">
        <f t="shared" ref="CG69:CG114" si="82">IF($S69="","",IF($F$5=0,($CB69+$K$34*ROUND($K$55,$E$18)+$E$37*$CE69)/$X69,($CB69+CC69+$CC$2*$K$34*(IF($F$7=0,ROUND($K$47,$E$18),ROUND($K$55,$E$18)))+$E$29*$CE69+$CF69)/$X69))</f>
        <v/>
      </c>
      <c r="CH69" s="134" t="str">
        <f t="shared" si="73"/>
        <v/>
      </c>
      <c r="CI69" s="243"/>
      <c r="CJ69" s="243"/>
      <c r="CK69" s="243"/>
      <c r="CL69" s="243"/>
      <c r="CM69" s="243"/>
      <c r="CN69" s="243"/>
      <c r="CO69" s="479"/>
      <c r="CP69" s="479"/>
      <c r="CQ69" s="479"/>
      <c r="CR69" s="479"/>
      <c r="CS69" s="479"/>
      <c r="CT69" s="479"/>
      <c r="CU69" s="479"/>
      <c r="CV69" s="479"/>
      <c r="CW69" s="479"/>
      <c r="CX69" s="479"/>
      <c r="CY69" s="479"/>
      <c r="CZ69" s="479"/>
      <c r="DA69" s="479"/>
      <c r="DB69" s="479"/>
      <c r="DC69" s="479"/>
      <c r="DD69" s="479"/>
      <c r="DE69" s="479"/>
      <c r="DF69" s="479"/>
      <c r="DG69" s="479"/>
      <c r="DH69" s="479"/>
      <c r="DI69" s="479"/>
      <c r="DJ69" s="479"/>
      <c r="DK69" s="479"/>
      <c r="DL69" s="479"/>
      <c r="DM69" s="479"/>
      <c r="DN69" s="479"/>
      <c r="DO69" s="479"/>
      <c r="DP69" s="479"/>
      <c r="DQ69" s="479"/>
      <c r="DR69" s="479"/>
      <c r="DS69" s="479"/>
      <c r="DT69" s="479"/>
      <c r="DU69" s="479"/>
      <c r="DV69" s="479"/>
      <c r="DW69" s="479"/>
      <c r="DX69" s="479"/>
      <c r="DY69" s="479"/>
      <c r="DZ69" s="479"/>
      <c r="EA69" s="479"/>
      <c r="EB69" s="479"/>
      <c r="EC69" s="479"/>
      <c r="ED69" s="479"/>
    </row>
    <row r="70" spans="1:134">
      <c r="A70" s="305"/>
      <c r="B70" s="373"/>
      <c r="D70" s="456"/>
      <c r="E70" s="457"/>
      <c r="F70" s="456"/>
      <c r="G70" s="465"/>
      <c r="J70" s="5"/>
      <c r="K70" s="5"/>
      <c r="N70" s="278" t="str">
        <f t="shared" si="43"/>
        <v/>
      </c>
      <c r="O70" s="279" t="str">
        <f t="shared" si="44"/>
        <v/>
      </c>
      <c r="P70" s="271" t="str">
        <f t="shared" si="41"/>
        <v/>
      </c>
      <c r="Q70" s="382" t="str">
        <f t="shared" si="42"/>
        <v/>
      </c>
      <c r="R70" s="271"/>
      <c r="S70" s="759" t="str">
        <f t="shared" ref="S70:S114" si="83">IF(S69="","",(IF(S69=MIN(($E$3+$F$4),IF($F$2=1,110,112)),"",(S69+1))))</f>
        <v/>
      </c>
      <c r="T70" s="761" t="str">
        <f>Main_무해지!AC70</f>
        <v/>
      </c>
      <c r="U70" s="409">
        <f>+Main_무해지!AD70</f>
        <v>0</v>
      </c>
      <c r="V70" s="409" t="str">
        <f t="shared" si="74"/>
        <v/>
      </c>
      <c r="W70" s="409" t="str">
        <f t="shared" ref="W70:W114" si="84">IF(S70="","",W69*(1-V69))</f>
        <v/>
      </c>
      <c r="X70" s="409" t="str">
        <f t="shared" si="45"/>
        <v/>
      </c>
      <c r="Y70" s="760" t="str">
        <f>IF($S70="","",SUM(X70:X$114))</f>
        <v/>
      </c>
      <c r="Z70" s="409" t="str">
        <f t="shared" si="75"/>
        <v/>
      </c>
      <c r="AA70" s="254">
        <f t="shared" si="76"/>
        <v>0</v>
      </c>
      <c r="AB70" s="254" t="str">
        <f>Main_무해지!AJ70</f>
        <v/>
      </c>
      <c r="AC70" s="409" t="str">
        <f t="shared" si="46"/>
        <v/>
      </c>
      <c r="AD70" s="409" t="str">
        <f t="shared" ref="AD70:AD114" si="85">IF($S70="","",IF(AND($G$3=1,$F$4=1),AD69*(1-AC69),AD69*(1-AB69)*(1-AC69)))</f>
        <v/>
      </c>
      <c r="AE70" s="409" t="str">
        <f t="shared" si="47"/>
        <v/>
      </c>
      <c r="AF70" s="760" t="str">
        <f>IF($S70="","",SUM(AE70:AE$114))</f>
        <v/>
      </c>
      <c r="AG70" s="761" t="str">
        <f>Main_무해지!AP70</f>
        <v/>
      </c>
      <c r="AH70" s="409" t="str">
        <f t="shared" si="48"/>
        <v/>
      </c>
      <c r="AI70" s="409" t="str">
        <f t="shared" si="49"/>
        <v/>
      </c>
      <c r="AJ70" s="409" t="str">
        <f t="shared" si="50"/>
        <v/>
      </c>
      <c r="AK70" s="762" t="str">
        <f>IF($S70="","",SUM($AL70:$AL$114))</f>
        <v/>
      </c>
      <c r="AL70" s="409" t="str">
        <f t="shared" si="77"/>
        <v/>
      </c>
      <c r="AM70" s="762" t="str">
        <f t="shared" si="51"/>
        <v/>
      </c>
      <c r="AN70" s="761" t="str">
        <f>IF($S70="","",INDEX(#REF!,$S70+1))</f>
        <v/>
      </c>
      <c r="AO70" s="409" t="str">
        <f t="shared" si="52"/>
        <v/>
      </c>
      <c r="AP70" s="409" t="str">
        <f t="shared" si="53"/>
        <v/>
      </c>
      <c r="AQ70" s="409" t="str">
        <f t="shared" si="54"/>
        <v/>
      </c>
      <c r="AR70" s="762" t="str">
        <f>IF($S70="","",SUM($AQ70:$AQ$114))</f>
        <v/>
      </c>
      <c r="AS70" s="761" t="str">
        <f>IF($S70="","",INDEX(#REF!,$S70+1))</f>
        <v/>
      </c>
      <c r="AT70" s="409" t="str">
        <f t="shared" si="55"/>
        <v/>
      </c>
      <c r="AU70" s="409" t="str">
        <f t="shared" si="56"/>
        <v/>
      </c>
      <c r="AV70" s="409" t="str">
        <f t="shared" si="57"/>
        <v/>
      </c>
      <c r="AW70" s="762" t="str">
        <f>IF($S70="","",SUM($AV70:$AV$114))</f>
        <v/>
      </c>
      <c r="AX70" s="761" t="str">
        <f>IF($S70="","",INDEX(#REF!,$S70+1))</f>
        <v/>
      </c>
      <c r="AY70" s="409" t="str">
        <f t="shared" si="58"/>
        <v/>
      </c>
      <c r="AZ70" s="409" t="str">
        <f t="shared" si="59"/>
        <v/>
      </c>
      <c r="BA70" s="409" t="str">
        <f t="shared" si="60"/>
        <v/>
      </c>
      <c r="BB70" s="762" t="str">
        <f>IF($S70="","",SUM($BA70:$BA$114))</f>
        <v/>
      </c>
      <c r="BC70" s="761" t="str">
        <f>IF($S70="","",INDEX(#REF!,$S70+1))</f>
        <v/>
      </c>
      <c r="BD70" s="409" t="str">
        <f t="shared" si="61"/>
        <v/>
      </c>
      <c r="BE70" s="409" t="str">
        <f t="shared" si="62"/>
        <v/>
      </c>
      <c r="BF70" s="409" t="str">
        <f t="shared" si="63"/>
        <v/>
      </c>
      <c r="BG70" s="762" t="str">
        <f>IF($S70="","",SUM($BF70:$BF$114))</f>
        <v/>
      </c>
      <c r="BH70" s="761" t="str">
        <f>IF($S70="","",INDEX(#REF!,$S70+1))</f>
        <v/>
      </c>
      <c r="BI70" s="409" t="str">
        <f t="shared" si="64"/>
        <v/>
      </c>
      <c r="BJ70" s="409" t="str">
        <f t="shared" si="65"/>
        <v/>
      </c>
      <c r="BK70" s="409" t="str">
        <f t="shared" si="66"/>
        <v/>
      </c>
      <c r="BL70" s="762" t="str">
        <f>IF($S70="","",SUM($BK70:$BK$114))</f>
        <v/>
      </c>
      <c r="BM70" s="761" t="str">
        <f t="shared" si="67"/>
        <v/>
      </c>
      <c r="BN70" s="409" t="str">
        <f t="shared" si="78"/>
        <v/>
      </c>
      <c r="BO70" s="409" t="str">
        <f t="shared" si="68"/>
        <v/>
      </c>
      <c r="BP70" s="409" t="str">
        <f t="shared" si="69"/>
        <v/>
      </c>
      <c r="BQ70" s="409" t="str">
        <f t="shared" si="79"/>
        <v/>
      </c>
      <c r="BR70" s="409"/>
      <c r="BS70" s="409"/>
      <c r="BT70" s="409"/>
      <c r="BU70" s="409"/>
      <c r="BV70" s="409" t="str">
        <f>IF($S70="","",SUM(BQ70:BQ$114))</f>
        <v/>
      </c>
      <c r="BW70" s="763" t="str">
        <f>IF(S70&lt;$E$3+$F$5,0,IFERROR(일반형_연납순보험료!S72,0))</f>
        <v/>
      </c>
      <c r="BX70" s="763"/>
      <c r="BY70" s="763"/>
      <c r="BZ70" s="763"/>
      <c r="CA70" s="763"/>
      <c r="CB70" s="409" t="str">
        <f t="shared" si="80"/>
        <v/>
      </c>
      <c r="CC70" s="409" t="str">
        <f t="shared" si="70"/>
        <v/>
      </c>
      <c r="CD70" s="409" t="str">
        <f t="shared" si="71"/>
        <v/>
      </c>
      <c r="CE70" s="409" t="str">
        <f t="shared" si="81"/>
        <v/>
      </c>
      <c r="CF70" s="409" t="str">
        <f t="shared" si="72"/>
        <v/>
      </c>
      <c r="CG70" s="765" t="str">
        <f t="shared" si="82"/>
        <v/>
      </c>
      <c r="CH70" s="766" t="str">
        <f t="shared" si="73"/>
        <v/>
      </c>
      <c r="CI70" s="414"/>
      <c r="CJ70" s="414"/>
      <c r="CK70" s="414"/>
      <c r="CL70" s="414"/>
      <c r="CM70" s="414"/>
      <c r="CN70" s="414"/>
      <c r="CO70" s="479"/>
      <c r="CP70" s="479"/>
      <c r="CQ70" s="479"/>
      <c r="CR70" s="479"/>
      <c r="CS70" s="479"/>
      <c r="CT70" s="479"/>
      <c r="CU70" s="479"/>
      <c r="CV70" s="479"/>
      <c r="CW70" s="479"/>
      <c r="CX70" s="479"/>
      <c r="CY70" s="479"/>
      <c r="CZ70" s="479"/>
      <c r="DA70" s="479"/>
      <c r="DB70" s="479"/>
      <c r="DC70" s="479"/>
      <c r="DD70" s="479"/>
      <c r="DE70" s="479"/>
      <c r="DF70" s="479"/>
      <c r="DG70" s="479"/>
      <c r="DH70" s="479"/>
      <c r="DI70" s="479"/>
      <c r="DJ70" s="479"/>
      <c r="DK70" s="479"/>
      <c r="DL70" s="479"/>
      <c r="DM70" s="479"/>
      <c r="DN70" s="479"/>
      <c r="DO70" s="479"/>
      <c r="DP70" s="479"/>
      <c r="DQ70" s="479"/>
      <c r="DR70" s="479"/>
      <c r="DS70" s="479"/>
      <c r="DT70" s="479"/>
      <c r="DU70" s="479"/>
      <c r="DV70" s="479"/>
      <c r="DW70" s="479"/>
      <c r="DX70" s="479"/>
      <c r="DY70" s="479"/>
      <c r="DZ70" s="479"/>
      <c r="EA70" s="479"/>
      <c r="EB70" s="479"/>
      <c r="EC70" s="479"/>
      <c r="ED70" s="479"/>
    </row>
    <row r="71" spans="1:134" ht="17.25" thickBot="1">
      <c r="A71" s="305"/>
      <c r="B71" s="373"/>
      <c r="D71" s="461"/>
      <c r="E71" s="462"/>
      <c r="F71" s="463"/>
      <c r="G71" s="466"/>
      <c r="J71" s="5"/>
      <c r="K71" s="5"/>
      <c r="N71" s="280" t="str">
        <f t="shared" si="43"/>
        <v/>
      </c>
      <c r="O71" s="281" t="str">
        <f t="shared" si="44"/>
        <v/>
      </c>
      <c r="P71" s="282" t="str">
        <f t="shared" ref="P71:P114" si="86">IF(N71="","",IF($F$5=0,$K$3,$K$3*$F$6*MIN($N71,F$5)))</f>
        <v/>
      </c>
      <c r="Q71" s="383" t="str">
        <f t="shared" ref="Q71:Q114" si="87">IF(N71="","",CH69*$E$12/$E$19*10000)</f>
        <v/>
      </c>
      <c r="R71" s="282"/>
      <c r="S71" s="70" t="str">
        <f t="shared" si="83"/>
        <v/>
      </c>
      <c r="T71" s="71" t="str">
        <f>Main_무해지!AC71</f>
        <v/>
      </c>
      <c r="U71" s="256">
        <f>+Main_무해지!AD71</f>
        <v>0</v>
      </c>
      <c r="V71" s="256" t="str">
        <f t="shared" si="74"/>
        <v/>
      </c>
      <c r="W71" s="256" t="str">
        <f t="shared" si="84"/>
        <v/>
      </c>
      <c r="X71" s="256" t="str">
        <f t="shared" si="45"/>
        <v/>
      </c>
      <c r="Y71" s="72" t="str">
        <f>IF($S71="","",SUM(X71:X$114))</f>
        <v/>
      </c>
      <c r="Z71" s="256" t="str">
        <f t="shared" si="75"/>
        <v/>
      </c>
      <c r="AA71" s="254">
        <f t="shared" si="76"/>
        <v>0</v>
      </c>
      <c r="AB71" s="254" t="str">
        <f>Main_무해지!AJ71</f>
        <v/>
      </c>
      <c r="AC71" s="256" t="str">
        <f t="shared" si="46"/>
        <v/>
      </c>
      <c r="AD71" s="256" t="str">
        <f t="shared" si="85"/>
        <v/>
      </c>
      <c r="AE71" s="256" t="str">
        <f t="shared" si="47"/>
        <v/>
      </c>
      <c r="AF71" s="72" t="str">
        <f>IF($S71="","",SUM(AE71:AE$114))</f>
        <v/>
      </c>
      <c r="AG71" s="71" t="str">
        <f>Main_무해지!AP71</f>
        <v/>
      </c>
      <c r="AH71" s="256" t="str">
        <f t="shared" si="48"/>
        <v/>
      </c>
      <c r="AI71" s="256" t="str">
        <f t="shared" si="49"/>
        <v/>
      </c>
      <c r="AJ71" s="256" t="str">
        <f t="shared" si="50"/>
        <v/>
      </c>
      <c r="AK71" s="75" t="str">
        <f>IF($S71="","",SUM($AL71:$AL$114))</f>
        <v/>
      </c>
      <c r="AL71" s="256" t="str">
        <f t="shared" si="77"/>
        <v/>
      </c>
      <c r="AM71" s="75" t="str">
        <f t="shared" si="51"/>
        <v/>
      </c>
      <c r="AN71" s="71" t="str">
        <f>IF($S71="","",INDEX(#REF!,$S71+1))</f>
        <v/>
      </c>
      <c r="AO71" s="256" t="str">
        <f t="shared" si="52"/>
        <v/>
      </c>
      <c r="AP71" s="256" t="str">
        <f t="shared" si="53"/>
        <v/>
      </c>
      <c r="AQ71" s="256" t="str">
        <f t="shared" si="54"/>
        <v/>
      </c>
      <c r="AR71" s="75" t="str">
        <f>IF($S71="","",SUM($AQ71:$AQ$114))</f>
        <v/>
      </c>
      <c r="AS71" s="71" t="str">
        <f>IF($S71="","",INDEX(#REF!,$S71+1))</f>
        <v/>
      </c>
      <c r="AT71" s="256" t="str">
        <f t="shared" si="55"/>
        <v/>
      </c>
      <c r="AU71" s="256" t="str">
        <f t="shared" si="56"/>
        <v/>
      </c>
      <c r="AV71" s="256" t="str">
        <f t="shared" si="57"/>
        <v/>
      </c>
      <c r="AW71" s="75" t="str">
        <f>IF($S71="","",SUM($AV71:$AV$114))</f>
        <v/>
      </c>
      <c r="AX71" s="71" t="str">
        <f>IF($S71="","",INDEX(#REF!,$S71+1))</f>
        <v/>
      </c>
      <c r="AY71" s="256" t="str">
        <f t="shared" si="58"/>
        <v/>
      </c>
      <c r="AZ71" s="256" t="str">
        <f t="shared" si="59"/>
        <v/>
      </c>
      <c r="BA71" s="256" t="str">
        <f t="shared" si="60"/>
        <v/>
      </c>
      <c r="BB71" s="75" t="str">
        <f>IF($S71="","",SUM($BA71:$BA$114))</f>
        <v/>
      </c>
      <c r="BC71" s="71" t="str">
        <f>IF($S71="","",INDEX(#REF!,$S71+1))</f>
        <v/>
      </c>
      <c r="BD71" s="256" t="str">
        <f t="shared" si="61"/>
        <v/>
      </c>
      <c r="BE71" s="256" t="str">
        <f t="shared" si="62"/>
        <v/>
      </c>
      <c r="BF71" s="256" t="str">
        <f t="shared" si="63"/>
        <v/>
      </c>
      <c r="BG71" s="75" t="str">
        <f>IF($S71="","",SUM($BF71:$BF$114))</f>
        <v/>
      </c>
      <c r="BH71" s="71" t="str">
        <f>IF($S71="","",INDEX(#REF!,$S71+1))</f>
        <v/>
      </c>
      <c r="BI71" s="256" t="str">
        <f t="shared" si="64"/>
        <v/>
      </c>
      <c r="BJ71" s="256" t="str">
        <f t="shared" si="65"/>
        <v/>
      </c>
      <c r="BK71" s="256" t="str">
        <f t="shared" si="66"/>
        <v/>
      </c>
      <c r="BL71" s="75" t="str">
        <f>IF($S71="","",SUM($BK71:$BK$114))</f>
        <v/>
      </c>
      <c r="BM71" s="71" t="str">
        <f t="shared" si="67"/>
        <v/>
      </c>
      <c r="BN71" s="256" t="str">
        <f t="shared" si="78"/>
        <v/>
      </c>
      <c r="BO71" s="256" t="str">
        <f t="shared" si="68"/>
        <v/>
      </c>
      <c r="BP71" s="256" t="str">
        <f t="shared" si="69"/>
        <v/>
      </c>
      <c r="BQ71" s="256" t="str">
        <f t="shared" si="79"/>
        <v/>
      </c>
      <c r="BR71" s="256"/>
      <c r="BS71" s="256"/>
      <c r="BT71" s="256"/>
      <c r="BU71" s="256"/>
      <c r="BV71" s="256" t="str">
        <f>IF($S71="","",SUM(BQ71:BQ$114))</f>
        <v/>
      </c>
      <c r="BW71" s="73" t="str">
        <f>IF(S71&lt;$E$3+$F$5,0,IFERROR(일반형_연납순보험료!S73,0))</f>
        <v/>
      </c>
      <c r="BX71" s="73"/>
      <c r="BY71" s="73"/>
      <c r="BZ71" s="73"/>
      <c r="CA71" s="73"/>
      <c r="CB71" s="256" t="str">
        <f t="shared" si="80"/>
        <v/>
      </c>
      <c r="CC71" s="256" t="str">
        <f t="shared" si="70"/>
        <v/>
      </c>
      <c r="CD71" s="256" t="str">
        <f t="shared" si="71"/>
        <v/>
      </c>
      <c r="CE71" s="256" t="str">
        <f t="shared" si="81"/>
        <v/>
      </c>
      <c r="CF71" s="256" t="str">
        <f t="shared" si="72"/>
        <v/>
      </c>
      <c r="CG71" s="76" t="str">
        <f t="shared" si="82"/>
        <v/>
      </c>
      <c r="CH71" s="77" t="str">
        <f t="shared" si="73"/>
        <v/>
      </c>
      <c r="CI71" s="238"/>
      <c r="CJ71" s="238"/>
      <c r="CK71" s="238"/>
      <c r="CL71" s="238"/>
      <c r="CM71" s="238"/>
      <c r="CN71" s="238"/>
      <c r="CO71" s="479"/>
      <c r="CP71" s="479"/>
      <c r="CQ71" s="479"/>
      <c r="CR71" s="479"/>
      <c r="CS71" s="479"/>
      <c r="CT71" s="479"/>
      <c r="CU71" s="479"/>
      <c r="CV71" s="479"/>
      <c r="CW71" s="479"/>
      <c r="CX71" s="479"/>
      <c r="CY71" s="479"/>
      <c r="CZ71" s="479"/>
      <c r="DA71" s="479"/>
      <c r="DB71" s="479"/>
      <c r="DC71" s="479"/>
      <c r="DD71" s="479"/>
      <c r="DE71" s="479"/>
      <c r="DF71" s="479"/>
      <c r="DG71" s="479"/>
      <c r="DH71" s="479"/>
      <c r="DI71" s="479"/>
      <c r="DJ71" s="479"/>
      <c r="DK71" s="479"/>
      <c r="DL71" s="479"/>
      <c r="DM71" s="479"/>
      <c r="DN71" s="479"/>
      <c r="DO71" s="479"/>
      <c r="DP71" s="479"/>
      <c r="DQ71" s="479"/>
      <c r="DR71" s="479"/>
      <c r="DS71" s="479"/>
      <c r="DT71" s="479"/>
      <c r="DU71" s="479"/>
      <c r="DV71" s="479"/>
      <c r="DW71" s="479"/>
      <c r="DX71" s="479"/>
      <c r="DY71" s="479"/>
      <c r="DZ71" s="479"/>
      <c r="EA71" s="479"/>
      <c r="EB71" s="479"/>
      <c r="EC71" s="479"/>
      <c r="ED71" s="479"/>
    </row>
    <row r="72" spans="1:134">
      <c r="A72" s="305"/>
      <c r="B72" s="373"/>
      <c r="J72" s="5"/>
      <c r="K72" s="5"/>
      <c r="N72" s="275" t="str">
        <f t="shared" ref="N72:N116" si="88">IF(N71="","",IF(N71+1&gt;$F$4,"",N71+1))</f>
        <v/>
      </c>
      <c r="O72" s="276" t="str">
        <f t="shared" ref="O72:O114" si="89">IF(N72="","",$E$3+N72)</f>
        <v/>
      </c>
      <c r="P72" s="277" t="str">
        <f t="shared" si="86"/>
        <v/>
      </c>
      <c r="Q72" s="381" t="str">
        <f t="shared" si="87"/>
        <v/>
      </c>
      <c r="R72" s="277"/>
      <c r="S72" s="70" t="str">
        <f t="shared" si="83"/>
        <v/>
      </c>
      <c r="T72" s="71" t="str">
        <f>Main_무해지!AC72</f>
        <v/>
      </c>
      <c r="U72" s="256">
        <f>+Main_무해지!AD72</f>
        <v>0</v>
      </c>
      <c r="V72" s="256" t="str">
        <f t="shared" si="74"/>
        <v/>
      </c>
      <c r="W72" s="256" t="str">
        <f t="shared" si="84"/>
        <v/>
      </c>
      <c r="X72" s="256" t="str">
        <f t="shared" si="45"/>
        <v/>
      </c>
      <c r="Y72" s="72" t="str">
        <f>IF($S72="","",SUM(X72:X$114))</f>
        <v/>
      </c>
      <c r="Z72" s="256" t="str">
        <f t="shared" si="75"/>
        <v/>
      </c>
      <c r="AA72" s="254">
        <f t="shared" si="76"/>
        <v>0</v>
      </c>
      <c r="AB72" s="254" t="str">
        <f>Main_무해지!AJ72</f>
        <v/>
      </c>
      <c r="AC72" s="256" t="str">
        <f t="shared" si="46"/>
        <v/>
      </c>
      <c r="AD72" s="256" t="str">
        <f t="shared" si="85"/>
        <v/>
      </c>
      <c r="AE72" s="256" t="str">
        <f t="shared" si="47"/>
        <v/>
      </c>
      <c r="AF72" s="72" t="str">
        <f>IF($S72="","",SUM(AE72:AE$114))</f>
        <v/>
      </c>
      <c r="AG72" s="71" t="str">
        <f>Main_무해지!AP72</f>
        <v/>
      </c>
      <c r="AH72" s="256" t="str">
        <f t="shared" si="48"/>
        <v/>
      </c>
      <c r="AI72" s="256" t="str">
        <f t="shared" si="49"/>
        <v/>
      </c>
      <c r="AJ72" s="256" t="str">
        <f t="shared" si="50"/>
        <v/>
      </c>
      <c r="AK72" s="75" t="str">
        <f>IF($S72="","",SUM($AL72:$AL$114))</f>
        <v/>
      </c>
      <c r="AL72" s="256" t="str">
        <f t="shared" si="77"/>
        <v/>
      </c>
      <c r="AM72" s="75" t="str">
        <f t="shared" si="51"/>
        <v/>
      </c>
      <c r="AN72" s="71" t="str">
        <f>IF($S72="","",INDEX(#REF!,$S72+1))</f>
        <v/>
      </c>
      <c r="AO72" s="256" t="str">
        <f t="shared" si="52"/>
        <v/>
      </c>
      <c r="AP72" s="256" t="str">
        <f t="shared" si="53"/>
        <v/>
      </c>
      <c r="AQ72" s="256" t="str">
        <f t="shared" si="54"/>
        <v/>
      </c>
      <c r="AR72" s="75" t="str">
        <f>IF($S72="","",SUM($AQ72:$AQ$114))</f>
        <v/>
      </c>
      <c r="AS72" s="71" t="str">
        <f>IF($S72="","",INDEX(#REF!,$S72+1))</f>
        <v/>
      </c>
      <c r="AT72" s="256" t="str">
        <f t="shared" si="55"/>
        <v/>
      </c>
      <c r="AU72" s="256" t="str">
        <f t="shared" si="56"/>
        <v/>
      </c>
      <c r="AV72" s="256" t="str">
        <f t="shared" si="57"/>
        <v/>
      </c>
      <c r="AW72" s="75" t="str">
        <f>IF($S72="","",SUM($AV72:$AV$114))</f>
        <v/>
      </c>
      <c r="AX72" s="71" t="str">
        <f>IF($S72="","",INDEX(#REF!,$S72+1))</f>
        <v/>
      </c>
      <c r="AY72" s="256" t="str">
        <f t="shared" si="58"/>
        <v/>
      </c>
      <c r="AZ72" s="256" t="str">
        <f t="shared" si="59"/>
        <v/>
      </c>
      <c r="BA72" s="256" t="str">
        <f t="shared" si="60"/>
        <v/>
      </c>
      <c r="BB72" s="75" t="str">
        <f>IF($S72="","",SUM($BA72:$BA$114))</f>
        <v/>
      </c>
      <c r="BC72" s="71" t="str">
        <f>IF($S72="","",INDEX(#REF!,$S72+1))</f>
        <v/>
      </c>
      <c r="BD72" s="256" t="str">
        <f t="shared" si="61"/>
        <v/>
      </c>
      <c r="BE72" s="256" t="str">
        <f t="shared" si="62"/>
        <v/>
      </c>
      <c r="BF72" s="256" t="str">
        <f t="shared" si="63"/>
        <v/>
      </c>
      <c r="BG72" s="75" t="str">
        <f>IF($S72="","",SUM($BF72:$BF$114))</f>
        <v/>
      </c>
      <c r="BH72" s="71" t="str">
        <f>IF($S72="","",INDEX(#REF!,$S72+1))</f>
        <v/>
      </c>
      <c r="BI72" s="256" t="str">
        <f t="shared" si="64"/>
        <v/>
      </c>
      <c r="BJ72" s="256" t="str">
        <f t="shared" si="65"/>
        <v/>
      </c>
      <c r="BK72" s="256" t="str">
        <f t="shared" si="66"/>
        <v/>
      </c>
      <c r="BL72" s="75" t="str">
        <f>IF($S72="","",SUM($BK72:$BK$114))</f>
        <v/>
      </c>
      <c r="BM72" s="71" t="str">
        <f t="shared" si="67"/>
        <v/>
      </c>
      <c r="BN72" s="256" t="str">
        <f t="shared" si="78"/>
        <v/>
      </c>
      <c r="BO72" s="256" t="str">
        <f t="shared" si="68"/>
        <v/>
      </c>
      <c r="BP72" s="256" t="str">
        <f t="shared" si="69"/>
        <v/>
      </c>
      <c r="BQ72" s="256" t="str">
        <f t="shared" si="79"/>
        <v/>
      </c>
      <c r="BR72" s="256"/>
      <c r="BS72" s="256"/>
      <c r="BT72" s="256"/>
      <c r="BU72" s="256"/>
      <c r="BV72" s="256" t="str">
        <f>IF($S72="","",SUM(BQ72:BQ$114))</f>
        <v/>
      </c>
      <c r="BW72" s="73" t="str">
        <f>IF(S72&lt;$E$3+$F$5,0,IFERROR(일반형_연납순보험료!S74,0))</f>
        <v/>
      </c>
      <c r="BX72" s="73"/>
      <c r="BY72" s="73"/>
      <c r="BZ72" s="73"/>
      <c r="CA72" s="73"/>
      <c r="CB72" s="256" t="str">
        <f t="shared" si="80"/>
        <v/>
      </c>
      <c r="CC72" s="256" t="str">
        <f t="shared" si="70"/>
        <v/>
      </c>
      <c r="CD72" s="256" t="str">
        <f t="shared" si="71"/>
        <v/>
      </c>
      <c r="CE72" s="256" t="str">
        <f t="shared" si="81"/>
        <v/>
      </c>
      <c r="CF72" s="256" t="str">
        <f t="shared" si="72"/>
        <v/>
      </c>
      <c r="CG72" s="76" t="str">
        <f t="shared" si="82"/>
        <v/>
      </c>
      <c r="CH72" s="77" t="str">
        <f t="shared" si="73"/>
        <v/>
      </c>
      <c r="CI72" s="238"/>
      <c r="CJ72" s="238"/>
      <c r="CK72" s="238"/>
      <c r="CL72" s="238"/>
      <c r="CM72" s="238"/>
      <c r="CN72" s="238"/>
      <c r="CO72" s="479"/>
      <c r="CP72" s="479"/>
      <c r="CQ72" s="479"/>
      <c r="CR72" s="479"/>
      <c r="CS72" s="479"/>
      <c r="CT72" s="479"/>
      <c r="CU72" s="479"/>
      <c r="CV72" s="479"/>
      <c r="CW72" s="479"/>
      <c r="CX72" s="479"/>
      <c r="CY72" s="479"/>
      <c r="CZ72" s="479"/>
      <c r="DA72" s="479"/>
      <c r="DB72" s="479"/>
      <c r="DC72" s="479"/>
      <c r="DD72" s="479"/>
      <c r="DE72" s="479"/>
      <c r="DF72" s="479"/>
      <c r="DG72" s="479"/>
      <c r="DH72" s="479"/>
      <c r="DI72" s="479"/>
      <c r="DJ72" s="479"/>
      <c r="DK72" s="479"/>
      <c r="DL72" s="479"/>
      <c r="DM72" s="479"/>
      <c r="DN72" s="479"/>
      <c r="DO72" s="479"/>
      <c r="DP72" s="479"/>
      <c r="DQ72" s="479"/>
      <c r="DR72" s="479"/>
      <c r="DS72" s="479"/>
      <c r="DT72" s="479"/>
      <c r="DU72" s="479"/>
      <c r="DV72" s="479"/>
      <c r="DW72" s="479"/>
      <c r="DX72" s="479"/>
      <c r="DY72" s="479"/>
      <c r="DZ72" s="479"/>
      <c r="EA72" s="479"/>
      <c r="EB72" s="479"/>
      <c r="EC72" s="479"/>
      <c r="ED72" s="479"/>
    </row>
    <row r="73" spans="1:134" ht="17.25" thickBot="1">
      <c r="A73" s="305"/>
      <c r="B73" s="373"/>
      <c r="J73" s="5"/>
      <c r="K73" s="5"/>
      <c r="N73" s="278" t="str">
        <f t="shared" si="88"/>
        <v/>
      </c>
      <c r="O73" s="279" t="str">
        <f t="shared" si="89"/>
        <v/>
      </c>
      <c r="P73" s="271" t="str">
        <f t="shared" si="86"/>
        <v/>
      </c>
      <c r="Q73" s="382" t="str">
        <f t="shared" si="87"/>
        <v/>
      </c>
      <c r="R73" s="271"/>
      <c r="S73" s="70" t="str">
        <f t="shared" si="83"/>
        <v/>
      </c>
      <c r="T73" s="71" t="str">
        <f>Main_무해지!AC73</f>
        <v/>
      </c>
      <c r="U73" s="256">
        <f>+Main_무해지!AD73</f>
        <v>0</v>
      </c>
      <c r="V73" s="256" t="str">
        <f t="shared" si="74"/>
        <v/>
      </c>
      <c r="W73" s="256" t="str">
        <f t="shared" si="84"/>
        <v/>
      </c>
      <c r="X73" s="256" t="str">
        <f t="shared" si="45"/>
        <v/>
      </c>
      <c r="Y73" s="72" t="str">
        <f>IF($S73="","",SUM(X73:X$114))</f>
        <v/>
      </c>
      <c r="Z73" s="256" t="str">
        <f t="shared" si="75"/>
        <v/>
      </c>
      <c r="AA73" s="254">
        <f t="shared" si="76"/>
        <v>0</v>
      </c>
      <c r="AB73" s="254" t="str">
        <f>Main_무해지!AJ73</f>
        <v/>
      </c>
      <c r="AC73" s="256" t="str">
        <f t="shared" si="46"/>
        <v/>
      </c>
      <c r="AD73" s="256" t="str">
        <f t="shared" si="85"/>
        <v/>
      </c>
      <c r="AE73" s="256" t="str">
        <f t="shared" si="47"/>
        <v/>
      </c>
      <c r="AF73" s="72" t="str">
        <f>IF($S73="","",SUM(AE73:AE$114))</f>
        <v/>
      </c>
      <c r="AG73" s="71" t="str">
        <f>Main_무해지!AP73</f>
        <v/>
      </c>
      <c r="AH73" s="256" t="str">
        <f t="shared" si="48"/>
        <v/>
      </c>
      <c r="AI73" s="256" t="str">
        <f t="shared" si="49"/>
        <v/>
      </c>
      <c r="AJ73" s="256" t="str">
        <f t="shared" si="50"/>
        <v/>
      </c>
      <c r="AK73" s="75" t="str">
        <f>IF($S73="","",SUM($AL73:$AL$114))</f>
        <v/>
      </c>
      <c r="AL73" s="256" t="str">
        <f t="shared" si="77"/>
        <v/>
      </c>
      <c r="AM73" s="75" t="str">
        <f t="shared" si="51"/>
        <v/>
      </c>
      <c r="AN73" s="71" t="str">
        <f>IF($S73="","",INDEX(#REF!,$S73+1))</f>
        <v/>
      </c>
      <c r="AO73" s="256" t="str">
        <f t="shared" si="52"/>
        <v/>
      </c>
      <c r="AP73" s="256" t="str">
        <f t="shared" si="53"/>
        <v/>
      </c>
      <c r="AQ73" s="256" t="str">
        <f t="shared" si="54"/>
        <v/>
      </c>
      <c r="AR73" s="75" t="str">
        <f>IF($S73="","",SUM($AQ73:$AQ$114))</f>
        <v/>
      </c>
      <c r="AS73" s="71" t="str">
        <f>IF($S73="","",INDEX(#REF!,$S73+1))</f>
        <v/>
      </c>
      <c r="AT73" s="256" t="str">
        <f t="shared" si="55"/>
        <v/>
      </c>
      <c r="AU73" s="256" t="str">
        <f t="shared" si="56"/>
        <v/>
      </c>
      <c r="AV73" s="256" t="str">
        <f t="shared" si="57"/>
        <v/>
      </c>
      <c r="AW73" s="75" t="str">
        <f>IF($S73="","",SUM($AV73:$AV$114))</f>
        <v/>
      </c>
      <c r="AX73" s="71" t="str">
        <f>IF($S73="","",INDEX(#REF!,$S73+1))</f>
        <v/>
      </c>
      <c r="AY73" s="256" t="str">
        <f t="shared" si="58"/>
        <v/>
      </c>
      <c r="AZ73" s="256" t="str">
        <f t="shared" si="59"/>
        <v/>
      </c>
      <c r="BA73" s="256" t="str">
        <f t="shared" si="60"/>
        <v/>
      </c>
      <c r="BB73" s="75" t="str">
        <f>IF($S73="","",SUM($BA73:$BA$114))</f>
        <v/>
      </c>
      <c r="BC73" s="71" t="str">
        <f>IF($S73="","",INDEX(#REF!,$S73+1))</f>
        <v/>
      </c>
      <c r="BD73" s="256" t="str">
        <f t="shared" si="61"/>
        <v/>
      </c>
      <c r="BE73" s="256" t="str">
        <f t="shared" si="62"/>
        <v/>
      </c>
      <c r="BF73" s="256" t="str">
        <f t="shared" si="63"/>
        <v/>
      </c>
      <c r="BG73" s="75" t="str">
        <f>IF($S73="","",SUM($BF73:$BF$114))</f>
        <v/>
      </c>
      <c r="BH73" s="71" t="str">
        <f>IF($S73="","",INDEX(#REF!,$S73+1))</f>
        <v/>
      </c>
      <c r="BI73" s="256" t="str">
        <f t="shared" si="64"/>
        <v/>
      </c>
      <c r="BJ73" s="256" t="str">
        <f t="shared" si="65"/>
        <v/>
      </c>
      <c r="BK73" s="256" t="str">
        <f t="shared" si="66"/>
        <v/>
      </c>
      <c r="BL73" s="75" t="str">
        <f>IF($S73="","",SUM($BK73:$BK$114))</f>
        <v/>
      </c>
      <c r="BM73" s="71" t="str">
        <f t="shared" si="67"/>
        <v/>
      </c>
      <c r="BN73" s="256" t="str">
        <f t="shared" si="78"/>
        <v/>
      </c>
      <c r="BO73" s="256" t="str">
        <f t="shared" si="68"/>
        <v/>
      </c>
      <c r="BP73" s="256" t="str">
        <f t="shared" si="69"/>
        <v/>
      </c>
      <c r="BQ73" s="256" t="str">
        <f t="shared" si="79"/>
        <v/>
      </c>
      <c r="BR73" s="256"/>
      <c r="BS73" s="256"/>
      <c r="BT73" s="256"/>
      <c r="BU73" s="256"/>
      <c r="BV73" s="256" t="str">
        <f>IF($S73="","",SUM(BQ73:BQ$114))</f>
        <v/>
      </c>
      <c r="BW73" s="73" t="str">
        <f>IF(S73&lt;$E$3+$F$5,0,IFERROR(일반형_연납순보험료!S75,0))</f>
        <v/>
      </c>
      <c r="BX73" s="73"/>
      <c r="BY73" s="73"/>
      <c r="BZ73" s="73"/>
      <c r="CA73" s="73"/>
      <c r="CB73" s="256" t="str">
        <f t="shared" si="80"/>
        <v/>
      </c>
      <c r="CC73" s="256" t="str">
        <f t="shared" si="70"/>
        <v/>
      </c>
      <c r="CD73" s="256" t="str">
        <f t="shared" si="71"/>
        <v/>
      </c>
      <c r="CE73" s="256" t="str">
        <f t="shared" si="81"/>
        <v/>
      </c>
      <c r="CF73" s="256" t="str">
        <f t="shared" si="72"/>
        <v/>
      </c>
      <c r="CG73" s="76" t="str">
        <f t="shared" si="82"/>
        <v/>
      </c>
      <c r="CH73" s="77" t="str">
        <f t="shared" si="73"/>
        <v/>
      </c>
      <c r="CI73" s="238"/>
      <c r="CJ73" s="238"/>
      <c r="CK73" s="238"/>
      <c r="CL73" s="238"/>
      <c r="CM73" s="238"/>
      <c r="CN73" s="238"/>
      <c r="CO73" s="479"/>
      <c r="CP73" s="479"/>
      <c r="CQ73" s="479"/>
      <c r="CR73" s="479"/>
      <c r="CS73" s="479"/>
      <c r="CT73" s="479"/>
      <c r="CU73" s="479"/>
      <c r="CV73" s="479"/>
      <c r="CW73" s="479"/>
      <c r="CX73" s="479"/>
      <c r="CY73" s="479"/>
      <c r="CZ73" s="479"/>
      <c r="DA73" s="479"/>
      <c r="DB73" s="479"/>
      <c r="DC73" s="479"/>
      <c r="DD73" s="479"/>
      <c r="DE73" s="479"/>
      <c r="DF73" s="479"/>
      <c r="DG73" s="479"/>
      <c r="DH73" s="479"/>
      <c r="DI73" s="479"/>
      <c r="DJ73" s="479"/>
      <c r="DK73" s="479"/>
      <c r="DL73" s="479"/>
      <c r="DM73" s="479"/>
      <c r="DN73" s="479"/>
      <c r="DO73" s="479"/>
      <c r="DP73" s="479"/>
      <c r="DQ73" s="479"/>
      <c r="DR73" s="479"/>
      <c r="DS73" s="479"/>
      <c r="DT73" s="479"/>
      <c r="DU73" s="479"/>
      <c r="DV73" s="479"/>
      <c r="DW73" s="479"/>
      <c r="DX73" s="479"/>
      <c r="DY73" s="479"/>
      <c r="DZ73" s="479"/>
      <c r="EA73" s="479"/>
      <c r="EB73" s="479"/>
      <c r="EC73" s="479"/>
      <c r="ED73" s="479"/>
    </row>
    <row r="74" spans="1:134" ht="17.25" thickBot="1">
      <c r="A74" s="305"/>
      <c r="B74" s="373"/>
      <c r="F74" s="819" t="s">
        <v>167</v>
      </c>
      <c r="G74" s="820"/>
      <c r="H74" s="821"/>
      <c r="J74" s="5"/>
      <c r="K74" s="5"/>
      <c r="N74" s="278" t="str">
        <f t="shared" si="88"/>
        <v/>
      </c>
      <c r="O74" s="279" t="str">
        <f t="shared" si="89"/>
        <v/>
      </c>
      <c r="P74" s="271" t="str">
        <f t="shared" si="86"/>
        <v/>
      </c>
      <c r="Q74" s="382" t="str">
        <f t="shared" si="87"/>
        <v/>
      </c>
      <c r="R74" s="271"/>
      <c r="S74" s="83" t="str">
        <f t="shared" si="83"/>
        <v/>
      </c>
      <c r="T74" s="84" t="str">
        <f>Main_무해지!AC74</f>
        <v/>
      </c>
      <c r="U74" s="257">
        <f>+Main_무해지!AD74</f>
        <v>0</v>
      </c>
      <c r="V74" s="257" t="str">
        <f t="shared" si="74"/>
        <v/>
      </c>
      <c r="W74" s="257" t="str">
        <f t="shared" si="84"/>
        <v/>
      </c>
      <c r="X74" s="257" t="str">
        <f t="shared" si="45"/>
        <v/>
      </c>
      <c r="Y74" s="85" t="str">
        <f>IF($S74="","",SUM(X74:X$114))</f>
        <v/>
      </c>
      <c r="Z74" s="257" t="str">
        <f t="shared" si="75"/>
        <v/>
      </c>
      <c r="AA74" s="254">
        <f t="shared" si="76"/>
        <v>0</v>
      </c>
      <c r="AB74" s="254" t="str">
        <f>Main_무해지!AJ74</f>
        <v/>
      </c>
      <c r="AC74" s="257" t="str">
        <f t="shared" si="46"/>
        <v/>
      </c>
      <c r="AD74" s="257" t="str">
        <f t="shared" si="85"/>
        <v/>
      </c>
      <c r="AE74" s="257" t="str">
        <f t="shared" si="47"/>
        <v/>
      </c>
      <c r="AF74" s="85" t="str">
        <f>IF($S74="","",SUM(AE74:AE$114))</f>
        <v/>
      </c>
      <c r="AG74" s="84" t="str">
        <f>Main_무해지!AP74</f>
        <v/>
      </c>
      <c r="AH74" s="257" t="str">
        <f t="shared" si="48"/>
        <v/>
      </c>
      <c r="AI74" s="257" t="str">
        <f t="shared" si="49"/>
        <v/>
      </c>
      <c r="AJ74" s="257" t="str">
        <f t="shared" si="50"/>
        <v/>
      </c>
      <c r="AK74" s="88" t="str">
        <f>IF($S74="","",SUM($AL74:$AL$114))</f>
        <v/>
      </c>
      <c r="AL74" s="257" t="str">
        <f t="shared" si="77"/>
        <v/>
      </c>
      <c r="AM74" s="88" t="str">
        <f t="shared" si="51"/>
        <v/>
      </c>
      <c r="AN74" s="84" t="str">
        <f>IF($S74="","",INDEX(#REF!,$S74+1))</f>
        <v/>
      </c>
      <c r="AO74" s="257" t="str">
        <f t="shared" si="52"/>
        <v/>
      </c>
      <c r="AP74" s="257" t="str">
        <f t="shared" si="53"/>
        <v/>
      </c>
      <c r="AQ74" s="257" t="str">
        <f t="shared" si="54"/>
        <v/>
      </c>
      <c r="AR74" s="88" t="str">
        <f>IF($S74="","",SUM($AQ74:$AQ$114))</f>
        <v/>
      </c>
      <c r="AS74" s="84" t="str">
        <f>IF($S74="","",INDEX(#REF!,$S74+1))</f>
        <v/>
      </c>
      <c r="AT74" s="257" t="str">
        <f t="shared" si="55"/>
        <v/>
      </c>
      <c r="AU74" s="257" t="str">
        <f t="shared" si="56"/>
        <v/>
      </c>
      <c r="AV74" s="257" t="str">
        <f t="shared" si="57"/>
        <v/>
      </c>
      <c r="AW74" s="88" t="str">
        <f>IF($S74="","",SUM($AV74:$AV$114))</f>
        <v/>
      </c>
      <c r="AX74" s="84" t="str">
        <f>IF($S74="","",INDEX(#REF!,$S74+1))</f>
        <v/>
      </c>
      <c r="AY74" s="257" t="str">
        <f t="shared" si="58"/>
        <v/>
      </c>
      <c r="AZ74" s="257" t="str">
        <f t="shared" si="59"/>
        <v/>
      </c>
      <c r="BA74" s="257" t="str">
        <f t="shared" si="60"/>
        <v/>
      </c>
      <c r="BB74" s="88" t="str">
        <f>IF($S74="","",SUM($BA74:$BA$114))</f>
        <v/>
      </c>
      <c r="BC74" s="84" t="str">
        <f>IF($S74="","",INDEX(#REF!,$S74+1))</f>
        <v/>
      </c>
      <c r="BD74" s="257" t="str">
        <f t="shared" si="61"/>
        <v/>
      </c>
      <c r="BE74" s="257" t="str">
        <f t="shared" si="62"/>
        <v/>
      </c>
      <c r="BF74" s="257" t="str">
        <f t="shared" si="63"/>
        <v/>
      </c>
      <c r="BG74" s="88" t="str">
        <f>IF($S74="","",SUM($BF74:$BF$114))</f>
        <v/>
      </c>
      <c r="BH74" s="84" t="str">
        <f>IF($S74="","",INDEX(#REF!,$S74+1))</f>
        <v/>
      </c>
      <c r="BI74" s="257" t="str">
        <f t="shared" si="64"/>
        <v/>
      </c>
      <c r="BJ74" s="257" t="str">
        <f t="shared" si="65"/>
        <v/>
      </c>
      <c r="BK74" s="257" t="str">
        <f t="shared" si="66"/>
        <v/>
      </c>
      <c r="BL74" s="88" t="str">
        <f>IF($S74="","",SUM($BK74:$BK$114))</f>
        <v/>
      </c>
      <c r="BM74" s="84" t="str">
        <f t="shared" si="67"/>
        <v/>
      </c>
      <c r="BN74" s="257" t="str">
        <f t="shared" si="78"/>
        <v/>
      </c>
      <c r="BO74" s="257" t="str">
        <f t="shared" si="68"/>
        <v/>
      </c>
      <c r="BP74" s="257" t="str">
        <f t="shared" si="69"/>
        <v/>
      </c>
      <c r="BQ74" s="257" t="str">
        <f t="shared" si="79"/>
        <v/>
      </c>
      <c r="BR74" s="257"/>
      <c r="BS74" s="257"/>
      <c r="BT74" s="257"/>
      <c r="BU74" s="257"/>
      <c r="BV74" s="257" t="str">
        <f>IF($S74="","",SUM(BQ74:BQ$114))</f>
        <v/>
      </c>
      <c r="BW74" s="86" t="str">
        <f>IF(S74&lt;$E$3+$F$5,0,IFERROR(일반형_연납순보험료!S76,0))</f>
        <v/>
      </c>
      <c r="BX74" s="86"/>
      <c r="BY74" s="86"/>
      <c r="BZ74" s="86"/>
      <c r="CA74" s="86"/>
      <c r="CB74" s="257" t="str">
        <f t="shared" si="80"/>
        <v/>
      </c>
      <c r="CC74" s="257" t="str">
        <f t="shared" si="70"/>
        <v/>
      </c>
      <c r="CD74" s="257" t="str">
        <f t="shared" si="71"/>
        <v/>
      </c>
      <c r="CE74" s="257" t="str">
        <f t="shared" si="81"/>
        <v/>
      </c>
      <c r="CF74" s="257" t="str">
        <f t="shared" si="72"/>
        <v/>
      </c>
      <c r="CG74" s="89" t="str">
        <f t="shared" si="82"/>
        <v/>
      </c>
      <c r="CH74" s="90" t="str">
        <f t="shared" si="73"/>
        <v/>
      </c>
      <c r="CI74" s="239"/>
      <c r="CJ74" s="239"/>
      <c r="CK74" s="239"/>
      <c r="CL74" s="239"/>
      <c r="CM74" s="239"/>
      <c r="CN74" s="239"/>
      <c r="CO74" s="479"/>
      <c r="CP74" s="479"/>
      <c r="CQ74" s="479"/>
      <c r="CR74" s="479"/>
      <c r="CS74" s="479"/>
      <c r="CT74" s="479"/>
      <c r="CU74" s="479"/>
      <c r="CV74" s="479"/>
      <c r="CW74" s="479"/>
      <c r="CX74" s="479"/>
      <c r="CY74" s="479"/>
      <c r="CZ74" s="479"/>
      <c r="DA74" s="479"/>
      <c r="DB74" s="479"/>
      <c r="DC74" s="479"/>
      <c r="DD74" s="479"/>
      <c r="DE74" s="479"/>
      <c r="DF74" s="479"/>
      <c r="DG74" s="479"/>
      <c r="DH74" s="479"/>
      <c r="DI74" s="479"/>
      <c r="DJ74" s="479"/>
      <c r="DK74" s="479"/>
      <c r="DL74" s="479"/>
      <c r="DM74" s="479"/>
      <c r="DN74" s="479"/>
      <c r="DO74" s="479"/>
      <c r="DP74" s="479"/>
      <c r="DQ74" s="479"/>
      <c r="DR74" s="479"/>
      <c r="DS74" s="479"/>
      <c r="DT74" s="479"/>
      <c r="DU74" s="479"/>
      <c r="DV74" s="479"/>
      <c r="DW74" s="479"/>
      <c r="DX74" s="479"/>
      <c r="DY74" s="479"/>
      <c r="DZ74" s="479"/>
      <c r="EA74" s="479"/>
      <c r="EB74" s="479"/>
      <c r="EC74" s="479"/>
      <c r="ED74" s="479"/>
    </row>
    <row r="75" spans="1:134">
      <c r="A75" s="305"/>
      <c r="B75" s="373"/>
      <c r="D75" s="467" t="s">
        <v>60</v>
      </c>
      <c r="E75" s="467" t="s">
        <v>59</v>
      </c>
      <c r="F75" s="453" t="s">
        <v>235</v>
      </c>
      <c r="G75" s="468" t="s">
        <v>236</v>
      </c>
      <c r="H75" s="455" t="s">
        <v>237</v>
      </c>
      <c r="J75" s="5"/>
      <c r="K75" s="5"/>
      <c r="N75" s="278" t="str">
        <f t="shared" si="88"/>
        <v/>
      </c>
      <c r="O75" s="279" t="str">
        <f t="shared" si="89"/>
        <v/>
      </c>
      <c r="P75" s="271" t="str">
        <f t="shared" si="86"/>
        <v/>
      </c>
      <c r="Q75" s="382" t="str">
        <f t="shared" si="87"/>
        <v/>
      </c>
      <c r="R75" s="271"/>
      <c r="S75" s="750" t="str">
        <f t="shared" si="83"/>
        <v/>
      </c>
      <c r="T75" s="752" t="str">
        <f>Main_무해지!AC75</f>
        <v/>
      </c>
      <c r="U75" s="408">
        <f>+Main_무해지!AD75</f>
        <v>0</v>
      </c>
      <c r="V75" s="408" t="str">
        <f t="shared" si="74"/>
        <v/>
      </c>
      <c r="W75" s="408" t="str">
        <f t="shared" si="84"/>
        <v/>
      </c>
      <c r="X75" s="408" t="str">
        <f t="shared" si="45"/>
        <v/>
      </c>
      <c r="Y75" s="751" t="str">
        <f>IF($S75="","",SUM(X75:X$114))</f>
        <v/>
      </c>
      <c r="Z75" s="408" t="str">
        <f t="shared" si="75"/>
        <v/>
      </c>
      <c r="AA75" s="254">
        <f t="shared" si="76"/>
        <v>0</v>
      </c>
      <c r="AB75" s="254" t="str">
        <f>Main_무해지!AJ75</f>
        <v/>
      </c>
      <c r="AC75" s="408" t="str">
        <f t="shared" si="46"/>
        <v/>
      </c>
      <c r="AD75" s="408" t="str">
        <f t="shared" si="85"/>
        <v/>
      </c>
      <c r="AE75" s="408" t="str">
        <f t="shared" si="47"/>
        <v/>
      </c>
      <c r="AF75" s="751" t="str">
        <f>IF($S75="","",SUM(AE75:AE$114))</f>
        <v/>
      </c>
      <c r="AG75" s="752" t="str">
        <f>Main_무해지!AP75</f>
        <v/>
      </c>
      <c r="AH75" s="408" t="str">
        <f t="shared" si="48"/>
        <v/>
      </c>
      <c r="AI75" s="408" t="str">
        <f t="shared" si="49"/>
        <v/>
      </c>
      <c r="AJ75" s="408" t="str">
        <f t="shared" si="50"/>
        <v/>
      </c>
      <c r="AK75" s="753" t="str">
        <f>IF($S75="","",SUM($AL75:$AL$114))</f>
        <v/>
      </c>
      <c r="AL75" s="408" t="str">
        <f t="shared" si="77"/>
        <v/>
      </c>
      <c r="AM75" s="753" t="str">
        <f t="shared" si="51"/>
        <v/>
      </c>
      <c r="AN75" s="752" t="str">
        <f>IF($S75="","",INDEX(#REF!,$S75+1))</f>
        <v/>
      </c>
      <c r="AO75" s="408" t="str">
        <f t="shared" si="52"/>
        <v/>
      </c>
      <c r="AP75" s="408" t="str">
        <f t="shared" si="53"/>
        <v/>
      </c>
      <c r="AQ75" s="408" t="str">
        <f t="shared" si="54"/>
        <v/>
      </c>
      <c r="AR75" s="753" t="str">
        <f>IF($S75="","",SUM($AQ75:$AQ$114))</f>
        <v/>
      </c>
      <c r="AS75" s="752" t="str">
        <f>IF($S75="","",INDEX(#REF!,$S75+1))</f>
        <v/>
      </c>
      <c r="AT75" s="408" t="str">
        <f t="shared" si="55"/>
        <v/>
      </c>
      <c r="AU75" s="408" t="str">
        <f t="shared" si="56"/>
        <v/>
      </c>
      <c r="AV75" s="408" t="str">
        <f t="shared" si="57"/>
        <v/>
      </c>
      <c r="AW75" s="753" t="str">
        <f>IF($S75="","",SUM($AV75:$AV$114))</f>
        <v/>
      </c>
      <c r="AX75" s="752" t="str">
        <f>IF($S75="","",INDEX(#REF!,$S75+1))</f>
        <v/>
      </c>
      <c r="AY75" s="408" t="str">
        <f t="shared" si="58"/>
        <v/>
      </c>
      <c r="AZ75" s="408" t="str">
        <f t="shared" si="59"/>
        <v/>
      </c>
      <c r="BA75" s="408" t="str">
        <f t="shared" si="60"/>
        <v/>
      </c>
      <c r="BB75" s="753" t="str">
        <f>IF($S75="","",SUM($BA75:$BA$114))</f>
        <v/>
      </c>
      <c r="BC75" s="752" t="str">
        <f>IF($S75="","",INDEX(#REF!,$S75+1))</f>
        <v/>
      </c>
      <c r="BD75" s="408" t="str">
        <f t="shared" si="61"/>
        <v/>
      </c>
      <c r="BE75" s="408" t="str">
        <f t="shared" si="62"/>
        <v/>
      </c>
      <c r="BF75" s="408" t="str">
        <f t="shared" si="63"/>
        <v/>
      </c>
      <c r="BG75" s="753" t="str">
        <f>IF($S75="","",SUM($BF75:$BF$114))</f>
        <v/>
      </c>
      <c r="BH75" s="752" t="str">
        <f>IF($S75="","",INDEX(#REF!,$S75+1))</f>
        <v/>
      </c>
      <c r="BI75" s="408" t="str">
        <f t="shared" si="64"/>
        <v/>
      </c>
      <c r="BJ75" s="408" t="str">
        <f t="shared" si="65"/>
        <v/>
      </c>
      <c r="BK75" s="408" t="str">
        <f t="shared" si="66"/>
        <v/>
      </c>
      <c r="BL75" s="753" t="str">
        <f>IF($S75="","",SUM($BK75:$BK$114))</f>
        <v/>
      </c>
      <c r="BM75" s="752" t="str">
        <f t="shared" si="67"/>
        <v/>
      </c>
      <c r="BN75" s="408" t="str">
        <f t="shared" si="78"/>
        <v/>
      </c>
      <c r="BO75" s="408" t="str">
        <f t="shared" si="68"/>
        <v/>
      </c>
      <c r="BP75" s="408" t="str">
        <f t="shared" si="69"/>
        <v/>
      </c>
      <c r="BQ75" s="408" t="str">
        <f t="shared" si="79"/>
        <v/>
      </c>
      <c r="BR75" s="408"/>
      <c r="BS75" s="408"/>
      <c r="BT75" s="408"/>
      <c r="BU75" s="408"/>
      <c r="BV75" s="408" t="str">
        <f>IF($S75="","",SUM(BQ75:BQ$114))</f>
        <v/>
      </c>
      <c r="BW75" s="754" t="str">
        <f>IF(S75&lt;$E$3+$F$5,0,IFERROR(일반형_연납순보험료!S77,0))</f>
        <v/>
      </c>
      <c r="BX75" s="754"/>
      <c r="BY75" s="754"/>
      <c r="BZ75" s="754"/>
      <c r="CA75" s="754"/>
      <c r="CB75" s="408" t="str">
        <f t="shared" si="80"/>
        <v/>
      </c>
      <c r="CC75" s="408" t="str">
        <f t="shared" si="70"/>
        <v/>
      </c>
      <c r="CD75" s="408" t="str">
        <f t="shared" si="71"/>
        <v/>
      </c>
      <c r="CE75" s="408" t="str">
        <f t="shared" si="81"/>
        <v/>
      </c>
      <c r="CF75" s="408" t="str">
        <f t="shared" si="72"/>
        <v/>
      </c>
      <c r="CG75" s="756" t="str">
        <f t="shared" si="82"/>
        <v/>
      </c>
      <c r="CH75" s="757" t="str">
        <f t="shared" si="73"/>
        <v/>
      </c>
      <c r="CI75" s="413"/>
      <c r="CJ75" s="413"/>
      <c r="CK75" s="413"/>
      <c r="CL75" s="413"/>
      <c r="CM75" s="413"/>
      <c r="CN75" s="413"/>
      <c r="CO75" s="479"/>
      <c r="CP75" s="479"/>
      <c r="CQ75" s="479"/>
      <c r="CR75" s="479"/>
      <c r="CS75" s="479"/>
      <c r="CT75" s="479"/>
      <c r="CU75" s="479"/>
      <c r="CV75" s="479"/>
      <c r="CW75" s="479"/>
      <c r="CX75" s="479"/>
      <c r="CY75" s="479"/>
      <c r="CZ75" s="479"/>
      <c r="DA75" s="479"/>
      <c r="DB75" s="479"/>
      <c r="DC75" s="479"/>
      <c r="DD75" s="479"/>
      <c r="DE75" s="479"/>
      <c r="DF75" s="479"/>
      <c r="DG75" s="479"/>
      <c r="DH75" s="479"/>
      <c r="DI75" s="479"/>
      <c r="DJ75" s="479"/>
      <c r="DK75" s="479"/>
      <c r="DL75" s="479"/>
      <c r="DM75" s="479"/>
      <c r="DN75" s="479"/>
      <c r="DO75" s="479"/>
      <c r="DP75" s="479"/>
      <c r="DQ75" s="479"/>
      <c r="DR75" s="479"/>
      <c r="DS75" s="479"/>
      <c r="DT75" s="479"/>
      <c r="DU75" s="479"/>
      <c r="DV75" s="479"/>
      <c r="DW75" s="479"/>
      <c r="DX75" s="479"/>
      <c r="DY75" s="479"/>
      <c r="DZ75" s="479"/>
      <c r="EA75" s="479"/>
      <c r="EB75" s="479"/>
      <c r="EC75" s="479"/>
      <c r="ED75" s="479"/>
    </row>
    <row r="76" spans="1:134">
      <c r="A76" s="305"/>
      <c r="B76" s="373"/>
      <c r="D76" s="469"/>
      <c r="E76" s="469"/>
      <c r="F76" s="456">
        <f>+Main_무해지!F76</f>
        <v>1</v>
      </c>
      <c r="G76" s="470">
        <v>9.2499999999999999E-2</v>
      </c>
      <c r="H76" s="460">
        <v>0.21500000000000002</v>
      </c>
      <c r="J76" s="5"/>
      <c r="K76" s="5"/>
      <c r="N76" s="280" t="str">
        <f t="shared" si="88"/>
        <v/>
      </c>
      <c r="O76" s="281" t="str">
        <f t="shared" si="89"/>
        <v/>
      </c>
      <c r="P76" s="282" t="str">
        <f t="shared" si="86"/>
        <v/>
      </c>
      <c r="Q76" s="383" t="str">
        <f t="shared" si="87"/>
        <v/>
      </c>
      <c r="R76" s="282"/>
      <c r="S76" s="52" t="str">
        <f t="shared" si="83"/>
        <v/>
      </c>
      <c r="T76" s="53" t="str">
        <f>Main_무해지!AC76</f>
        <v/>
      </c>
      <c r="U76" s="254">
        <f>+Main_무해지!AD76</f>
        <v>0</v>
      </c>
      <c r="V76" s="254" t="str">
        <f t="shared" si="74"/>
        <v/>
      </c>
      <c r="W76" s="254" t="str">
        <f t="shared" si="84"/>
        <v/>
      </c>
      <c r="X76" s="254" t="str">
        <f t="shared" si="45"/>
        <v/>
      </c>
      <c r="Y76" s="54" t="str">
        <f>IF($S76="","",SUM(X76:X$114))</f>
        <v/>
      </c>
      <c r="Z76" s="254" t="str">
        <f t="shared" si="75"/>
        <v/>
      </c>
      <c r="AA76" s="254">
        <f t="shared" si="76"/>
        <v>0</v>
      </c>
      <c r="AB76" s="254" t="str">
        <f>Main_무해지!AJ76</f>
        <v/>
      </c>
      <c r="AC76" s="254" t="str">
        <f t="shared" si="46"/>
        <v/>
      </c>
      <c r="AD76" s="254" t="str">
        <f t="shared" si="85"/>
        <v/>
      </c>
      <c r="AE76" s="254" t="str">
        <f t="shared" si="47"/>
        <v/>
      </c>
      <c r="AF76" s="54" t="str">
        <f>IF($S76="","",SUM(AE76:AE$114))</f>
        <v/>
      </c>
      <c r="AG76" s="53" t="str">
        <f>Main_무해지!AP76</f>
        <v/>
      </c>
      <c r="AH76" s="254" t="str">
        <f t="shared" si="48"/>
        <v/>
      </c>
      <c r="AI76" s="254" t="str">
        <f t="shared" si="49"/>
        <v/>
      </c>
      <c r="AJ76" s="254" t="str">
        <f t="shared" si="50"/>
        <v/>
      </c>
      <c r="AK76" s="57" t="str">
        <f>IF($S76="","",SUM($AL76:$AL$114))</f>
        <v/>
      </c>
      <c r="AL76" s="254" t="str">
        <f t="shared" si="77"/>
        <v/>
      </c>
      <c r="AM76" s="57" t="str">
        <f t="shared" si="51"/>
        <v/>
      </c>
      <c r="AN76" s="53" t="str">
        <f>IF($S76="","",INDEX(#REF!,$S76+1))</f>
        <v/>
      </c>
      <c r="AO76" s="254" t="str">
        <f t="shared" si="52"/>
        <v/>
      </c>
      <c r="AP76" s="254" t="str">
        <f t="shared" si="53"/>
        <v/>
      </c>
      <c r="AQ76" s="254" t="str">
        <f t="shared" si="54"/>
        <v/>
      </c>
      <c r="AR76" s="57" t="str">
        <f>IF($S76="","",SUM($AQ76:$AQ$114))</f>
        <v/>
      </c>
      <c r="AS76" s="53" t="str">
        <f>IF($S76="","",INDEX(#REF!,$S76+1))</f>
        <v/>
      </c>
      <c r="AT76" s="254" t="str">
        <f t="shared" si="55"/>
        <v/>
      </c>
      <c r="AU76" s="254" t="str">
        <f t="shared" si="56"/>
        <v/>
      </c>
      <c r="AV76" s="254" t="str">
        <f t="shared" si="57"/>
        <v/>
      </c>
      <c r="AW76" s="57" t="str">
        <f>IF($S76="","",SUM($AV76:$AV$114))</f>
        <v/>
      </c>
      <c r="AX76" s="53" t="str">
        <f>IF($S76="","",INDEX(#REF!,$S76+1))</f>
        <v/>
      </c>
      <c r="AY76" s="254" t="str">
        <f t="shared" si="58"/>
        <v/>
      </c>
      <c r="AZ76" s="254" t="str">
        <f t="shared" si="59"/>
        <v/>
      </c>
      <c r="BA76" s="254" t="str">
        <f t="shared" si="60"/>
        <v/>
      </c>
      <c r="BB76" s="57" t="str">
        <f>IF($S76="","",SUM($BA76:$BA$114))</f>
        <v/>
      </c>
      <c r="BC76" s="53" t="str">
        <f>IF($S76="","",INDEX(#REF!,$S76+1))</f>
        <v/>
      </c>
      <c r="BD76" s="254" t="str">
        <f t="shared" si="61"/>
        <v/>
      </c>
      <c r="BE76" s="254" t="str">
        <f t="shared" si="62"/>
        <v/>
      </c>
      <c r="BF76" s="254" t="str">
        <f t="shared" si="63"/>
        <v/>
      </c>
      <c r="BG76" s="57" t="str">
        <f>IF($S76="","",SUM($BF76:$BF$114))</f>
        <v/>
      </c>
      <c r="BH76" s="53" t="str">
        <f>IF($S76="","",INDEX(#REF!,$S76+1))</f>
        <v/>
      </c>
      <c r="BI76" s="254" t="str">
        <f t="shared" si="64"/>
        <v/>
      </c>
      <c r="BJ76" s="254" t="str">
        <f t="shared" si="65"/>
        <v/>
      </c>
      <c r="BK76" s="254" t="str">
        <f t="shared" si="66"/>
        <v/>
      </c>
      <c r="BL76" s="57" t="str">
        <f>IF($S76="","",SUM($BK76:$BK$114))</f>
        <v/>
      </c>
      <c r="BM76" s="53" t="str">
        <f t="shared" si="67"/>
        <v/>
      </c>
      <c r="BN76" s="254" t="str">
        <f t="shared" si="78"/>
        <v/>
      </c>
      <c r="BO76" s="254" t="str">
        <f t="shared" si="68"/>
        <v/>
      </c>
      <c r="BP76" s="254" t="str">
        <f t="shared" si="69"/>
        <v/>
      </c>
      <c r="BQ76" s="254" t="str">
        <f t="shared" si="79"/>
        <v/>
      </c>
      <c r="BR76" s="254"/>
      <c r="BS76" s="254"/>
      <c r="BT76" s="254"/>
      <c r="BU76" s="254"/>
      <c r="BV76" s="254" t="str">
        <f>IF($S76="","",SUM(BQ76:BQ$114))</f>
        <v/>
      </c>
      <c r="BW76" s="55" t="str">
        <f>IF(S76&lt;$E$3+$F$5,0,IFERROR(일반형_연납순보험료!S78,0))</f>
        <v/>
      </c>
      <c r="BX76" s="55"/>
      <c r="BY76" s="55"/>
      <c r="BZ76" s="55"/>
      <c r="CA76" s="55"/>
      <c r="CB76" s="254" t="str">
        <f t="shared" si="80"/>
        <v/>
      </c>
      <c r="CC76" s="254" t="str">
        <f t="shared" si="70"/>
        <v/>
      </c>
      <c r="CD76" s="254" t="str">
        <f t="shared" si="71"/>
        <v/>
      </c>
      <c r="CE76" s="254" t="str">
        <f t="shared" si="81"/>
        <v/>
      </c>
      <c r="CF76" s="254" t="str">
        <f t="shared" si="72"/>
        <v/>
      </c>
      <c r="CG76" s="58" t="str">
        <f t="shared" si="82"/>
        <v/>
      </c>
      <c r="CH76" s="59" t="str">
        <f t="shared" si="73"/>
        <v/>
      </c>
      <c r="CI76" s="236"/>
      <c r="CJ76" s="236"/>
      <c r="CK76" s="236"/>
      <c r="CL76" s="236"/>
      <c r="CM76" s="236"/>
      <c r="CN76" s="236"/>
      <c r="CO76" s="479"/>
      <c r="CP76" s="479"/>
      <c r="CQ76" s="479"/>
      <c r="CR76" s="479"/>
      <c r="CS76" s="479"/>
      <c r="CT76" s="479"/>
      <c r="CU76" s="479"/>
      <c r="CV76" s="479"/>
      <c r="CW76" s="479"/>
      <c r="CX76" s="479"/>
      <c r="CY76" s="479"/>
      <c r="CZ76" s="479"/>
      <c r="DA76" s="479"/>
      <c r="DB76" s="479"/>
      <c r="DC76" s="479"/>
      <c r="DD76" s="479"/>
      <c r="DE76" s="479"/>
      <c r="DF76" s="479"/>
      <c r="DG76" s="479"/>
      <c r="DH76" s="479"/>
      <c r="DI76" s="479"/>
      <c r="DJ76" s="479"/>
      <c r="DK76" s="479"/>
      <c r="DL76" s="479"/>
      <c r="DM76" s="479"/>
      <c r="DN76" s="479"/>
      <c r="DO76" s="479"/>
      <c r="DP76" s="479"/>
      <c r="DQ76" s="479"/>
      <c r="DR76" s="479"/>
      <c r="DS76" s="479"/>
      <c r="DT76" s="479"/>
      <c r="DU76" s="479"/>
      <c r="DV76" s="479"/>
      <c r="DW76" s="479"/>
      <c r="DX76" s="479"/>
      <c r="DY76" s="479"/>
      <c r="DZ76" s="479"/>
      <c r="EA76" s="479"/>
      <c r="EB76" s="479"/>
      <c r="EC76" s="479"/>
      <c r="ED76" s="479"/>
    </row>
    <row r="77" spans="1:134">
      <c r="A77" s="305"/>
      <c r="B77" s="373"/>
      <c r="D77" s="469"/>
      <c r="E77" s="469"/>
      <c r="F77" s="456">
        <f>+Main_무해지!F77</f>
        <v>2</v>
      </c>
      <c r="G77" s="470">
        <v>0.13550000000000001</v>
      </c>
      <c r="H77" s="460">
        <v>3.2000000000000001E-2</v>
      </c>
      <c r="J77" s="5"/>
      <c r="K77" s="5"/>
      <c r="N77" s="275" t="str">
        <f t="shared" si="88"/>
        <v/>
      </c>
      <c r="O77" s="276" t="str">
        <f t="shared" si="89"/>
        <v/>
      </c>
      <c r="P77" s="277" t="str">
        <f t="shared" si="86"/>
        <v/>
      </c>
      <c r="Q77" s="381" t="str">
        <f t="shared" si="87"/>
        <v/>
      </c>
      <c r="R77" s="277"/>
      <c r="S77" s="52" t="str">
        <f t="shared" si="83"/>
        <v/>
      </c>
      <c r="T77" s="53" t="str">
        <f>Main_무해지!AC77</f>
        <v/>
      </c>
      <c r="U77" s="254">
        <f>+Main_무해지!AD77</f>
        <v>0</v>
      </c>
      <c r="V77" s="254" t="str">
        <f t="shared" si="74"/>
        <v/>
      </c>
      <c r="W77" s="254" t="str">
        <f t="shared" si="84"/>
        <v/>
      </c>
      <c r="X77" s="254" t="str">
        <f t="shared" si="45"/>
        <v/>
      </c>
      <c r="Y77" s="54" t="str">
        <f>IF($S77="","",SUM(X77:X$114))</f>
        <v/>
      </c>
      <c r="Z77" s="254" t="str">
        <f t="shared" si="75"/>
        <v/>
      </c>
      <c r="AA77" s="254">
        <f t="shared" si="76"/>
        <v>0</v>
      </c>
      <c r="AB77" s="254" t="str">
        <f>Main_무해지!AJ77</f>
        <v/>
      </c>
      <c r="AC77" s="254" t="str">
        <f t="shared" si="46"/>
        <v/>
      </c>
      <c r="AD77" s="254" t="str">
        <f t="shared" si="85"/>
        <v/>
      </c>
      <c r="AE77" s="254" t="str">
        <f t="shared" si="47"/>
        <v/>
      </c>
      <c r="AF77" s="54" t="str">
        <f>IF($S77="","",SUM(AE77:AE$114))</f>
        <v/>
      </c>
      <c r="AG77" s="53" t="str">
        <f>Main_무해지!AP77</f>
        <v/>
      </c>
      <c r="AH77" s="254" t="str">
        <f t="shared" si="48"/>
        <v/>
      </c>
      <c r="AI77" s="254" t="str">
        <f t="shared" si="49"/>
        <v/>
      </c>
      <c r="AJ77" s="254" t="str">
        <f t="shared" si="50"/>
        <v/>
      </c>
      <c r="AK77" s="57" t="str">
        <f>IF($S77="","",SUM($AL77:$AL$114))</f>
        <v/>
      </c>
      <c r="AL77" s="254" t="str">
        <f t="shared" si="77"/>
        <v/>
      </c>
      <c r="AM77" s="57" t="str">
        <f t="shared" si="51"/>
        <v/>
      </c>
      <c r="AN77" s="53" t="str">
        <f>IF($S77="","",INDEX(#REF!,$S77+1))</f>
        <v/>
      </c>
      <c r="AO77" s="254" t="str">
        <f t="shared" si="52"/>
        <v/>
      </c>
      <c r="AP77" s="254" t="str">
        <f t="shared" si="53"/>
        <v/>
      </c>
      <c r="AQ77" s="254" t="str">
        <f t="shared" si="54"/>
        <v/>
      </c>
      <c r="AR77" s="57" t="str">
        <f>IF($S77="","",SUM($AQ77:$AQ$114))</f>
        <v/>
      </c>
      <c r="AS77" s="53" t="str">
        <f>IF($S77="","",INDEX(#REF!,$S77+1))</f>
        <v/>
      </c>
      <c r="AT77" s="254" t="str">
        <f t="shared" si="55"/>
        <v/>
      </c>
      <c r="AU77" s="254" t="str">
        <f t="shared" si="56"/>
        <v/>
      </c>
      <c r="AV77" s="254" t="str">
        <f t="shared" si="57"/>
        <v/>
      </c>
      <c r="AW77" s="57" t="str">
        <f>IF($S77="","",SUM($AV77:$AV$114))</f>
        <v/>
      </c>
      <c r="AX77" s="53" t="str">
        <f>IF($S77="","",INDEX(#REF!,$S77+1))</f>
        <v/>
      </c>
      <c r="AY77" s="254" t="str">
        <f t="shared" si="58"/>
        <v/>
      </c>
      <c r="AZ77" s="254" t="str">
        <f t="shared" si="59"/>
        <v/>
      </c>
      <c r="BA77" s="254" t="str">
        <f t="shared" si="60"/>
        <v/>
      </c>
      <c r="BB77" s="57" t="str">
        <f>IF($S77="","",SUM($BA77:$BA$114))</f>
        <v/>
      </c>
      <c r="BC77" s="53" t="str">
        <f>IF($S77="","",INDEX(#REF!,$S77+1))</f>
        <v/>
      </c>
      <c r="BD77" s="254" t="str">
        <f t="shared" si="61"/>
        <v/>
      </c>
      <c r="BE77" s="254" t="str">
        <f t="shared" si="62"/>
        <v/>
      </c>
      <c r="BF77" s="254" t="str">
        <f t="shared" si="63"/>
        <v/>
      </c>
      <c r="BG77" s="57" t="str">
        <f>IF($S77="","",SUM($BF77:$BF$114))</f>
        <v/>
      </c>
      <c r="BH77" s="53" t="str">
        <f>IF($S77="","",INDEX(#REF!,$S77+1))</f>
        <v/>
      </c>
      <c r="BI77" s="254" t="str">
        <f t="shared" si="64"/>
        <v/>
      </c>
      <c r="BJ77" s="254" t="str">
        <f t="shared" si="65"/>
        <v/>
      </c>
      <c r="BK77" s="254" t="str">
        <f t="shared" si="66"/>
        <v/>
      </c>
      <c r="BL77" s="57" t="str">
        <f>IF($S77="","",SUM($BK77:$BK$114))</f>
        <v/>
      </c>
      <c r="BM77" s="53" t="str">
        <f t="shared" si="67"/>
        <v/>
      </c>
      <c r="BN77" s="254" t="str">
        <f t="shared" si="78"/>
        <v/>
      </c>
      <c r="BO77" s="254" t="str">
        <f t="shared" si="68"/>
        <v/>
      </c>
      <c r="BP77" s="254" t="str">
        <f t="shared" si="69"/>
        <v/>
      </c>
      <c r="BQ77" s="254" t="str">
        <f t="shared" si="79"/>
        <v/>
      </c>
      <c r="BR77" s="254"/>
      <c r="BS77" s="254"/>
      <c r="BT77" s="254"/>
      <c r="BU77" s="254"/>
      <c r="BV77" s="254" t="str">
        <f>IF($S77="","",SUM(BQ77:BQ$114))</f>
        <v/>
      </c>
      <c r="BW77" s="55" t="str">
        <f>IF(S77&lt;$E$3+$F$5,0,IFERROR(일반형_연납순보험료!S79,0))</f>
        <v/>
      </c>
      <c r="BX77" s="55"/>
      <c r="BY77" s="55"/>
      <c r="BZ77" s="55"/>
      <c r="CA77" s="55"/>
      <c r="CB77" s="254" t="str">
        <f t="shared" si="80"/>
        <v/>
      </c>
      <c r="CC77" s="254" t="str">
        <f t="shared" si="70"/>
        <v/>
      </c>
      <c r="CD77" s="254" t="str">
        <f t="shared" si="71"/>
        <v/>
      </c>
      <c r="CE77" s="254" t="str">
        <f t="shared" si="81"/>
        <v/>
      </c>
      <c r="CF77" s="254" t="str">
        <f t="shared" si="72"/>
        <v/>
      </c>
      <c r="CG77" s="58" t="str">
        <f t="shared" si="82"/>
        <v/>
      </c>
      <c r="CH77" s="59" t="str">
        <f t="shared" si="73"/>
        <v/>
      </c>
      <c r="CI77" s="236"/>
      <c r="CJ77" s="236"/>
      <c r="CK77" s="236"/>
      <c r="CL77" s="236"/>
      <c r="CM77" s="236"/>
      <c r="CN77" s="236"/>
      <c r="CO77" s="479"/>
      <c r="CP77" s="479"/>
      <c r="CQ77" s="479"/>
      <c r="CR77" s="479"/>
      <c r="CS77" s="479"/>
      <c r="CT77" s="479"/>
      <c r="CU77" s="479"/>
      <c r="CV77" s="479"/>
      <c r="CW77" s="479"/>
      <c r="CX77" s="479"/>
      <c r="CY77" s="479"/>
      <c r="CZ77" s="479"/>
      <c r="DA77" s="479"/>
      <c r="DB77" s="479"/>
      <c r="DC77" s="479"/>
      <c r="DD77" s="479"/>
      <c r="DE77" s="479"/>
      <c r="DF77" s="479"/>
      <c r="DG77" s="479"/>
      <c r="DH77" s="479"/>
      <c r="DI77" s="479"/>
      <c r="DJ77" s="479"/>
      <c r="DK77" s="479"/>
      <c r="DL77" s="479"/>
      <c r="DM77" s="479"/>
      <c r="DN77" s="479"/>
      <c r="DO77" s="479"/>
      <c r="DP77" s="479"/>
      <c r="DQ77" s="479"/>
      <c r="DR77" s="479"/>
      <c r="DS77" s="479"/>
      <c r="DT77" s="479"/>
      <c r="DU77" s="479"/>
      <c r="DV77" s="479"/>
      <c r="DW77" s="479"/>
      <c r="DX77" s="479"/>
      <c r="DY77" s="479"/>
      <c r="DZ77" s="479"/>
      <c r="EA77" s="479"/>
      <c r="EB77" s="479"/>
      <c r="EC77" s="479"/>
      <c r="ED77" s="479"/>
    </row>
    <row r="78" spans="1:134">
      <c r="A78" s="305"/>
      <c r="B78" s="373"/>
      <c r="D78" s="469"/>
      <c r="E78" s="469"/>
      <c r="F78" s="456">
        <f>+Main_무해지!F78</f>
        <v>3</v>
      </c>
      <c r="G78" s="470">
        <v>7.350000000000001E-2</v>
      </c>
      <c r="H78" s="460">
        <v>0.01</v>
      </c>
      <c r="J78" s="5"/>
      <c r="K78" s="5"/>
      <c r="N78" s="278" t="str">
        <f t="shared" si="88"/>
        <v/>
      </c>
      <c r="O78" s="279" t="str">
        <f t="shared" si="89"/>
        <v/>
      </c>
      <c r="P78" s="271" t="str">
        <f t="shared" si="86"/>
        <v/>
      </c>
      <c r="Q78" s="382" t="str">
        <f t="shared" si="87"/>
        <v/>
      </c>
      <c r="R78" s="271"/>
      <c r="S78" s="52" t="str">
        <f t="shared" si="83"/>
        <v/>
      </c>
      <c r="T78" s="53" t="str">
        <f>Main_무해지!AC78</f>
        <v/>
      </c>
      <c r="U78" s="254">
        <f>+Main_무해지!AD78</f>
        <v>0</v>
      </c>
      <c r="V78" s="254" t="str">
        <f t="shared" si="74"/>
        <v/>
      </c>
      <c r="W78" s="254" t="str">
        <f t="shared" si="84"/>
        <v/>
      </c>
      <c r="X78" s="254" t="str">
        <f t="shared" si="45"/>
        <v/>
      </c>
      <c r="Y78" s="54" t="str">
        <f>IF($S78="","",SUM(X78:X$114))</f>
        <v/>
      </c>
      <c r="Z78" s="254" t="str">
        <f t="shared" si="75"/>
        <v/>
      </c>
      <c r="AA78" s="254">
        <f t="shared" si="76"/>
        <v>0</v>
      </c>
      <c r="AB78" s="254" t="str">
        <f>Main_무해지!AJ78</f>
        <v/>
      </c>
      <c r="AC78" s="254" t="str">
        <f t="shared" si="46"/>
        <v/>
      </c>
      <c r="AD78" s="254" t="str">
        <f t="shared" si="85"/>
        <v/>
      </c>
      <c r="AE78" s="254" t="str">
        <f t="shared" si="47"/>
        <v/>
      </c>
      <c r="AF78" s="54" t="str">
        <f>IF($S78="","",SUM(AE78:AE$114))</f>
        <v/>
      </c>
      <c r="AG78" s="53" t="str">
        <f>Main_무해지!AP78</f>
        <v/>
      </c>
      <c r="AH78" s="254" t="str">
        <f t="shared" si="48"/>
        <v/>
      </c>
      <c r="AI78" s="254" t="str">
        <f t="shared" si="49"/>
        <v/>
      </c>
      <c r="AJ78" s="254" t="str">
        <f t="shared" si="50"/>
        <v/>
      </c>
      <c r="AK78" s="57" t="str">
        <f>IF($S78="","",SUM($AL78:$AL$114))</f>
        <v/>
      </c>
      <c r="AL78" s="254" t="str">
        <f t="shared" si="77"/>
        <v/>
      </c>
      <c r="AM78" s="57" t="str">
        <f t="shared" si="51"/>
        <v/>
      </c>
      <c r="AN78" s="53" t="str">
        <f>IF($S78="","",INDEX(#REF!,$S78+1))</f>
        <v/>
      </c>
      <c r="AO78" s="254" t="str">
        <f t="shared" si="52"/>
        <v/>
      </c>
      <c r="AP78" s="254" t="str">
        <f t="shared" si="53"/>
        <v/>
      </c>
      <c r="AQ78" s="254" t="str">
        <f t="shared" si="54"/>
        <v/>
      </c>
      <c r="AR78" s="57" t="str">
        <f>IF($S78="","",SUM($AQ78:$AQ$114))</f>
        <v/>
      </c>
      <c r="AS78" s="53" t="str">
        <f>IF($S78="","",INDEX(#REF!,$S78+1))</f>
        <v/>
      </c>
      <c r="AT78" s="254" t="str">
        <f t="shared" si="55"/>
        <v/>
      </c>
      <c r="AU78" s="254" t="str">
        <f t="shared" si="56"/>
        <v/>
      </c>
      <c r="AV78" s="254" t="str">
        <f t="shared" si="57"/>
        <v/>
      </c>
      <c r="AW78" s="57" t="str">
        <f>IF($S78="","",SUM($AV78:$AV$114))</f>
        <v/>
      </c>
      <c r="AX78" s="53" t="str">
        <f>IF($S78="","",INDEX(#REF!,$S78+1))</f>
        <v/>
      </c>
      <c r="AY78" s="254" t="str">
        <f t="shared" si="58"/>
        <v/>
      </c>
      <c r="AZ78" s="254" t="str">
        <f t="shared" si="59"/>
        <v/>
      </c>
      <c r="BA78" s="254" t="str">
        <f t="shared" si="60"/>
        <v/>
      </c>
      <c r="BB78" s="57" t="str">
        <f>IF($S78="","",SUM($BA78:$BA$114))</f>
        <v/>
      </c>
      <c r="BC78" s="53" t="str">
        <f>IF($S78="","",INDEX(#REF!,$S78+1))</f>
        <v/>
      </c>
      <c r="BD78" s="254" t="str">
        <f t="shared" si="61"/>
        <v/>
      </c>
      <c r="BE78" s="254" t="str">
        <f t="shared" si="62"/>
        <v/>
      </c>
      <c r="BF78" s="254" t="str">
        <f t="shared" si="63"/>
        <v/>
      </c>
      <c r="BG78" s="57" t="str">
        <f>IF($S78="","",SUM($BF78:$BF$114))</f>
        <v/>
      </c>
      <c r="BH78" s="53" t="str">
        <f>IF($S78="","",INDEX(#REF!,$S78+1))</f>
        <v/>
      </c>
      <c r="BI78" s="254" t="str">
        <f t="shared" si="64"/>
        <v/>
      </c>
      <c r="BJ78" s="254" t="str">
        <f t="shared" si="65"/>
        <v/>
      </c>
      <c r="BK78" s="254" t="str">
        <f t="shared" si="66"/>
        <v/>
      </c>
      <c r="BL78" s="57" t="str">
        <f>IF($S78="","",SUM($BK78:$BK$114))</f>
        <v/>
      </c>
      <c r="BM78" s="53" t="str">
        <f t="shared" si="67"/>
        <v/>
      </c>
      <c r="BN78" s="254" t="str">
        <f t="shared" si="78"/>
        <v/>
      </c>
      <c r="BO78" s="254" t="str">
        <f t="shared" si="68"/>
        <v/>
      </c>
      <c r="BP78" s="254" t="str">
        <f t="shared" si="69"/>
        <v/>
      </c>
      <c r="BQ78" s="254" t="str">
        <f t="shared" si="79"/>
        <v/>
      </c>
      <c r="BR78" s="254"/>
      <c r="BS78" s="254"/>
      <c r="BT78" s="254"/>
      <c r="BU78" s="254"/>
      <c r="BV78" s="254" t="str">
        <f>IF($S78="","",SUM(BQ78:BQ$114))</f>
        <v/>
      </c>
      <c r="BW78" s="55" t="str">
        <f>IF(S78&lt;$E$3+$F$5,0,IFERROR(일반형_연납순보험료!S80,0))</f>
        <v/>
      </c>
      <c r="BX78" s="55"/>
      <c r="BY78" s="55"/>
      <c r="BZ78" s="55"/>
      <c r="CA78" s="55"/>
      <c r="CB78" s="254" t="str">
        <f t="shared" si="80"/>
        <v/>
      </c>
      <c r="CC78" s="254" t="str">
        <f t="shared" si="70"/>
        <v/>
      </c>
      <c r="CD78" s="254" t="str">
        <f t="shared" si="71"/>
        <v/>
      </c>
      <c r="CE78" s="254" t="str">
        <f t="shared" si="81"/>
        <v/>
      </c>
      <c r="CF78" s="254" t="str">
        <f t="shared" si="72"/>
        <v/>
      </c>
      <c r="CG78" s="58" t="str">
        <f t="shared" si="82"/>
        <v/>
      </c>
      <c r="CH78" s="59" t="str">
        <f t="shared" si="73"/>
        <v/>
      </c>
      <c r="CI78" s="236"/>
      <c r="CJ78" s="236"/>
      <c r="CK78" s="236"/>
      <c r="CL78" s="236"/>
      <c r="CM78" s="236"/>
      <c r="CN78" s="236"/>
      <c r="CO78" s="479"/>
      <c r="CP78" s="479"/>
      <c r="CQ78" s="479"/>
      <c r="CR78" s="479"/>
      <c r="CS78" s="479"/>
      <c r="CT78" s="479"/>
      <c r="CU78" s="479"/>
      <c r="CV78" s="479"/>
      <c r="CW78" s="479"/>
      <c r="CX78" s="479"/>
      <c r="CY78" s="479"/>
      <c r="CZ78" s="479"/>
      <c r="DA78" s="479"/>
      <c r="DB78" s="479"/>
      <c r="DC78" s="479"/>
      <c r="DD78" s="479"/>
      <c r="DE78" s="479"/>
      <c r="DF78" s="479"/>
      <c r="DG78" s="479"/>
      <c r="DH78" s="479"/>
      <c r="DI78" s="479"/>
      <c r="DJ78" s="479"/>
      <c r="DK78" s="479"/>
      <c r="DL78" s="479"/>
      <c r="DM78" s="479"/>
      <c r="DN78" s="479"/>
      <c r="DO78" s="479"/>
      <c r="DP78" s="479"/>
      <c r="DQ78" s="479"/>
      <c r="DR78" s="479"/>
      <c r="DS78" s="479"/>
      <c r="DT78" s="479"/>
      <c r="DU78" s="479"/>
      <c r="DV78" s="479"/>
      <c r="DW78" s="479"/>
      <c r="DX78" s="479"/>
      <c r="DY78" s="479"/>
      <c r="DZ78" s="479"/>
      <c r="EA78" s="479"/>
      <c r="EB78" s="479"/>
      <c r="EC78" s="479"/>
      <c r="ED78" s="479"/>
    </row>
    <row r="79" spans="1:134">
      <c r="A79" s="305"/>
      <c r="B79" s="373"/>
      <c r="D79" s="469"/>
      <c r="E79" s="469"/>
      <c r="F79" s="456">
        <f>+Main_무해지!F79</f>
        <v>4</v>
      </c>
      <c r="G79" s="470">
        <v>5.5500000000000008E-2</v>
      </c>
      <c r="H79" s="460">
        <v>0.01</v>
      </c>
      <c r="J79" s="5"/>
      <c r="K79" s="5"/>
      <c r="N79" s="278" t="str">
        <f t="shared" si="88"/>
        <v/>
      </c>
      <c r="O79" s="279" t="str">
        <f t="shared" si="89"/>
        <v/>
      </c>
      <c r="P79" s="271" t="str">
        <f t="shared" si="86"/>
        <v/>
      </c>
      <c r="Q79" s="382" t="str">
        <f t="shared" si="87"/>
        <v/>
      </c>
      <c r="R79" s="271"/>
      <c r="S79" s="60" t="str">
        <f t="shared" si="83"/>
        <v/>
      </c>
      <c r="T79" s="61" t="str">
        <f>Main_무해지!AC79</f>
        <v/>
      </c>
      <c r="U79" s="255">
        <f>+Main_무해지!AD79</f>
        <v>0</v>
      </c>
      <c r="V79" s="255" t="str">
        <f t="shared" si="74"/>
        <v/>
      </c>
      <c r="W79" s="255" t="str">
        <f t="shared" si="84"/>
        <v/>
      </c>
      <c r="X79" s="255" t="str">
        <f t="shared" si="45"/>
        <v/>
      </c>
      <c r="Y79" s="62" t="str">
        <f>IF($S79="","",SUM(X79:X$114))</f>
        <v/>
      </c>
      <c r="Z79" s="255" t="str">
        <f t="shared" si="75"/>
        <v/>
      </c>
      <c r="AA79" s="254">
        <f t="shared" si="76"/>
        <v>0</v>
      </c>
      <c r="AB79" s="254" t="str">
        <f>Main_무해지!AJ79</f>
        <v/>
      </c>
      <c r="AC79" s="255" t="str">
        <f t="shared" si="46"/>
        <v/>
      </c>
      <c r="AD79" s="255" t="str">
        <f t="shared" si="85"/>
        <v/>
      </c>
      <c r="AE79" s="255" t="str">
        <f t="shared" si="47"/>
        <v/>
      </c>
      <c r="AF79" s="62" t="str">
        <f>IF($S79="","",SUM(AE79:AE$114))</f>
        <v/>
      </c>
      <c r="AG79" s="61" t="str">
        <f>Main_무해지!AP79</f>
        <v/>
      </c>
      <c r="AH79" s="255" t="str">
        <f t="shared" si="48"/>
        <v/>
      </c>
      <c r="AI79" s="255" t="str">
        <f t="shared" si="49"/>
        <v/>
      </c>
      <c r="AJ79" s="255" t="str">
        <f t="shared" si="50"/>
        <v/>
      </c>
      <c r="AK79" s="65" t="str">
        <f>IF($S79="","",SUM($AL79:$AL$114))</f>
        <v/>
      </c>
      <c r="AL79" s="255" t="str">
        <f t="shared" si="77"/>
        <v/>
      </c>
      <c r="AM79" s="65" t="str">
        <f t="shared" si="51"/>
        <v/>
      </c>
      <c r="AN79" s="61" t="str">
        <f>IF($S79="","",INDEX(#REF!,$S79+1))</f>
        <v/>
      </c>
      <c r="AO79" s="255" t="str">
        <f t="shared" si="52"/>
        <v/>
      </c>
      <c r="AP79" s="255" t="str">
        <f t="shared" si="53"/>
        <v/>
      </c>
      <c r="AQ79" s="255" t="str">
        <f t="shared" si="54"/>
        <v/>
      </c>
      <c r="AR79" s="65" t="str">
        <f>IF($S79="","",SUM($AQ79:$AQ$114))</f>
        <v/>
      </c>
      <c r="AS79" s="61" t="str">
        <f>IF($S79="","",INDEX(#REF!,$S79+1))</f>
        <v/>
      </c>
      <c r="AT79" s="255" t="str">
        <f t="shared" si="55"/>
        <v/>
      </c>
      <c r="AU79" s="255" t="str">
        <f t="shared" si="56"/>
        <v/>
      </c>
      <c r="AV79" s="255" t="str">
        <f t="shared" si="57"/>
        <v/>
      </c>
      <c r="AW79" s="65" t="str">
        <f>IF($S79="","",SUM($AV79:$AV$114))</f>
        <v/>
      </c>
      <c r="AX79" s="61" t="str">
        <f>IF($S79="","",INDEX(#REF!,$S79+1))</f>
        <v/>
      </c>
      <c r="AY79" s="255" t="str">
        <f t="shared" si="58"/>
        <v/>
      </c>
      <c r="AZ79" s="255" t="str">
        <f t="shared" si="59"/>
        <v/>
      </c>
      <c r="BA79" s="255" t="str">
        <f t="shared" si="60"/>
        <v/>
      </c>
      <c r="BB79" s="65" t="str">
        <f>IF($S79="","",SUM($BA79:$BA$114))</f>
        <v/>
      </c>
      <c r="BC79" s="61" t="str">
        <f>IF($S79="","",INDEX(#REF!,$S79+1))</f>
        <v/>
      </c>
      <c r="BD79" s="255" t="str">
        <f t="shared" si="61"/>
        <v/>
      </c>
      <c r="BE79" s="255" t="str">
        <f t="shared" si="62"/>
        <v/>
      </c>
      <c r="BF79" s="255" t="str">
        <f t="shared" si="63"/>
        <v/>
      </c>
      <c r="BG79" s="65" t="str">
        <f>IF($S79="","",SUM($BF79:$BF$114))</f>
        <v/>
      </c>
      <c r="BH79" s="61" t="str">
        <f>IF($S79="","",INDEX(#REF!,$S79+1))</f>
        <v/>
      </c>
      <c r="BI79" s="255" t="str">
        <f t="shared" si="64"/>
        <v/>
      </c>
      <c r="BJ79" s="255" t="str">
        <f t="shared" si="65"/>
        <v/>
      </c>
      <c r="BK79" s="255" t="str">
        <f t="shared" si="66"/>
        <v/>
      </c>
      <c r="BL79" s="65" t="str">
        <f>IF($S79="","",SUM($BK79:$BK$114))</f>
        <v/>
      </c>
      <c r="BM79" s="61" t="str">
        <f t="shared" si="67"/>
        <v/>
      </c>
      <c r="BN79" s="255" t="str">
        <f t="shared" si="78"/>
        <v/>
      </c>
      <c r="BO79" s="255" t="str">
        <f t="shared" si="68"/>
        <v/>
      </c>
      <c r="BP79" s="255" t="str">
        <f t="shared" si="69"/>
        <v/>
      </c>
      <c r="BQ79" s="255" t="str">
        <f t="shared" si="79"/>
        <v/>
      </c>
      <c r="BR79" s="255"/>
      <c r="BS79" s="255"/>
      <c r="BT79" s="255"/>
      <c r="BU79" s="255"/>
      <c r="BV79" s="255" t="str">
        <f>IF($S79="","",SUM(BQ79:BQ$114))</f>
        <v/>
      </c>
      <c r="BW79" s="63" t="str">
        <f>IF(S79&lt;$E$3+$F$5,0,IFERROR(일반형_연납순보험료!S81,0))</f>
        <v/>
      </c>
      <c r="BX79" s="63"/>
      <c r="BY79" s="63"/>
      <c r="BZ79" s="63"/>
      <c r="CA79" s="63"/>
      <c r="CB79" s="255" t="str">
        <f t="shared" si="80"/>
        <v/>
      </c>
      <c r="CC79" s="255" t="str">
        <f t="shared" si="70"/>
        <v/>
      </c>
      <c r="CD79" s="255" t="str">
        <f t="shared" si="71"/>
        <v/>
      </c>
      <c r="CE79" s="255" t="str">
        <f t="shared" si="81"/>
        <v/>
      </c>
      <c r="CF79" s="255" t="str">
        <f t="shared" si="72"/>
        <v/>
      </c>
      <c r="CG79" s="66" t="str">
        <f t="shared" si="82"/>
        <v/>
      </c>
      <c r="CH79" s="67" t="str">
        <f t="shared" si="73"/>
        <v/>
      </c>
      <c r="CI79" s="237"/>
      <c r="CJ79" s="237"/>
      <c r="CK79" s="237"/>
      <c r="CL79" s="237"/>
      <c r="CM79" s="237"/>
      <c r="CN79" s="237"/>
      <c r="CO79" s="479"/>
      <c r="CP79" s="479"/>
      <c r="CQ79" s="479"/>
      <c r="CR79" s="479"/>
      <c r="CS79" s="479"/>
      <c r="CT79" s="479"/>
      <c r="CU79" s="479"/>
      <c r="CV79" s="479"/>
      <c r="CW79" s="479"/>
      <c r="CX79" s="479"/>
      <c r="CY79" s="479"/>
      <c r="CZ79" s="479"/>
      <c r="DA79" s="479"/>
      <c r="DB79" s="479"/>
      <c r="DC79" s="479"/>
      <c r="DD79" s="479"/>
      <c r="DE79" s="479"/>
      <c r="DF79" s="479"/>
      <c r="DG79" s="479"/>
      <c r="DH79" s="479"/>
      <c r="DI79" s="479"/>
      <c r="DJ79" s="479"/>
      <c r="DK79" s="479"/>
      <c r="DL79" s="479"/>
      <c r="DM79" s="479"/>
      <c r="DN79" s="479"/>
      <c r="DO79" s="479"/>
      <c r="DP79" s="479"/>
      <c r="DQ79" s="479"/>
      <c r="DR79" s="479"/>
      <c r="DS79" s="479"/>
      <c r="DT79" s="479"/>
      <c r="DU79" s="479"/>
      <c r="DV79" s="479"/>
      <c r="DW79" s="479"/>
      <c r="DX79" s="479"/>
      <c r="DY79" s="479"/>
      <c r="DZ79" s="479"/>
      <c r="EA79" s="479"/>
      <c r="EB79" s="479"/>
      <c r="EC79" s="479"/>
      <c r="ED79" s="479"/>
    </row>
    <row r="80" spans="1:134">
      <c r="A80" s="305"/>
      <c r="B80" s="373"/>
      <c r="D80" s="469"/>
      <c r="E80" s="469"/>
      <c r="F80" s="456">
        <f>+Main_무해지!F80</f>
        <v>5</v>
      </c>
      <c r="G80" s="470">
        <v>0.06</v>
      </c>
      <c r="H80" s="460">
        <v>0.01</v>
      </c>
      <c r="J80" s="5"/>
      <c r="K80" s="5"/>
      <c r="N80" s="278" t="str">
        <f t="shared" si="88"/>
        <v/>
      </c>
      <c r="O80" s="279" t="str">
        <f t="shared" si="89"/>
        <v/>
      </c>
      <c r="P80" s="271" t="str">
        <f t="shared" si="86"/>
        <v/>
      </c>
      <c r="Q80" s="382" t="str">
        <f t="shared" si="87"/>
        <v/>
      </c>
      <c r="R80" s="271"/>
      <c r="S80" s="759" t="str">
        <f t="shared" si="83"/>
        <v/>
      </c>
      <c r="T80" s="761" t="str">
        <f>Main_무해지!AC80</f>
        <v/>
      </c>
      <c r="U80" s="409">
        <f>+Main_무해지!AD80</f>
        <v>0</v>
      </c>
      <c r="V80" s="409" t="str">
        <f t="shared" si="74"/>
        <v/>
      </c>
      <c r="W80" s="409" t="str">
        <f t="shared" si="84"/>
        <v/>
      </c>
      <c r="X80" s="409" t="str">
        <f t="shared" si="45"/>
        <v/>
      </c>
      <c r="Y80" s="760" t="str">
        <f>IF($S80="","",SUM(X80:X$114))</f>
        <v/>
      </c>
      <c r="Z80" s="409" t="str">
        <f t="shared" si="75"/>
        <v/>
      </c>
      <c r="AA80" s="254">
        <f t="shared" si="76"/>
        <v>0</v>
      </c>
      <c r="AB80" s="254" t="str">
        <f>Main_무해지!AJ80</f>
        <v/>
      </c>
      <c r="AC80" s="409" t="str">
        <f t="shared" si="46"/>
        <v/>
      </c>
      <c r="AD80" s="409" t="str">
        <f t="shared" si="85"/>
        <v/>
      </c>
      <c r="AE80" s="409" t="str">
        <f t="shared" si="47"/>
        <v/>
      </c>
      <c r="AF80" s="760" t="str">
        <f>IF($S80="","",SUM(AE80:AE$114))</f>
        <v/>
      </c>
      <c r="AG80" s="761" t="str">
        <f>Main_무해지!AP80</f>
        <v/>
      </c>
      <c r="AH80" s="409" t="str">
        <f t="shared" si="48"/>
        <v/>
      </c>
      <c r="AI80" s="409" t="str">
        <f t="shared" si="49"/>
        <v/>
      </c>
      <c r="AJ80" s="409" t="str">
        <f t="shared" si="50"/>
        <v/>
      </c>
      <c r="AK80" s="762" t="str">
        <f>IF($S80="","",SUM($AL80:$AL$114))</f>
        <v/>
      </c>
      <c r="AL80" s="409" t="str">
        <f t="shared" si="77"/>
        <v/>
      </c>
      <c r="AM80" s="762" t="str">
        <f t="shared" si="51"/>
        <v/>
      </c>
      <c r="AN80" s="761" t="str">
        <f>IF($S80="","",INDEX(#REF!,$S80+1))</f>
        <v/>
      </c>
      <c r="AO80" s="409" t="str">
        <f t="shared" si="52"/>
        <v/>
      </c>
      <c r="AP80" s="409" t="str">
        <f t="shared" si="53"/>
        <v/>
      </c>
      <c r="AQ80" s="409" t="str">
        <f t="shared" si="54"/>
        <v/>
      </c>
      <c r="AR80" s="762" t="str">
        <f>IF($S80="","",SUM($AQ80:$AQ$114))</f>
        <v/>
      </c>
      <c r="AS80" s="761" t="str">
        <f>IF($S80="","",INDEX(#REF!,$S80+1))</f>
        <v/>
      </c>
      <c r="AT80" s="409" t="str">
        <f t="shared" si="55"/>
        <v/>
      </c>
      <c r="AU80" s="409" t="str">
        <f t="shared" si="56"/>
        <v/>
      </c>
      <c r="AV80" s="409" t="str">
        <f t="shared" si="57"/>
        <v/>
      </c>
      <c r="AW80" s="762" t="str">
        <f>IF($S80="","",SUM($AV80:$AV$114))</f>
        <v/>
      </c>
      <c r="AX80" s="761" t="str">
        <f>IF($S80="","",INDEX(#REF!,$S80+1))</f>
        <v/>
      </c>
      <c r="AY80" s="409" t="str">
        <f t="shared" si="58"/>
        <v/>
      </c>
      <c r="AZ80" s="409" t="str">
        <f t="shared" si="59"/>
        <v/>
      </c>
      <c r="BA80" s="409" t="str">
        <f t="shared" si="60"/>
        <v/>
      </c>
      <c r="BB80" s="762" t="str">
        <f>IF($S80="","",SUM($BA80:$BA$114))</f>
        <v/>
      </c>
      <c r="BC80" s="761" t="str">
        <f>IF($S80="","",INDEX(#REF!,$S80+1))</f>
        <v/>
      </c>
      <c r="BD80" s="409" t="str">
        <f t="shared" si="61"/>
        <v/>
      </c>
      <c r="BE80" s="409" t="str">
        <f t="shared" si="62"/>
        <v/>
      </c>
      <c r="BF80" s="409" t="str">
        <f t="shared" si="63"/>
        <v/>
      </c>
      <c r="BG80" s="762" t="str">
        <f>IF($S80="","",SUM($BF80:$BF$114))</f>
        <v/>
      </c>
      <c r="BH80" s="761" t="str">
        <f>IF($S80="","",INDEX(#REF!,$S80+1))</f>
        <v/>
      </c>
      <c r="BI80" s="409" t="str">
        <f t="shared" si="64"/>
        <v/>
      </c>
      <c r="BJ80" s="409" t="str">
        <f t="shared" si="65"/>
        <v/>
      </c>
      <c r="BK80" s="409" t="str">
        <f t="shared" si="66"/>
        <v/>
      </c>
      <c r="BL80" s="762" t="str">
        <f>IF($S80="","",SUM($BK80:$BK$114))</f>
        <v/>
      </c>
      <c r="BM80" s="761" t="str">
        <f t="shared" si="67"/>
        <v/>
      </c>
      <c r="BN80" s="409" t="str">
        <f t="shared" si="78"/>
        <v/>
      </c>
      <c r="BO80" s="409" t="str">
        <f t="shared" si="68"/>
        <v/>
      </c>
      <c r="BP80" s="409" t="str">
        <f t="shared" si="69"/>
        <v/>
      </c>
      <c r="BQ80" s="409" t="str">
        <f t="shared" si="79"/>
        <v/>
      </c>
      <c r="BR80" s="409"/>
      <c r="BS80" s="409"/>
      <c r="BT80" s="409"/>
      <c r="BU80" s="409"/>
      <c r="BV80" s="409" t="str">
        <f>IF($S80="","",SUM(BQ80:BQ$114))</f>
        <v/>
      </c>
      <c r="BW80" s="763" t="str">
        <f>IF(S80&lt;$E$3+$F$5,0,IFERROR(일반형_연납순보험료!S82,0))</f>
        <v/>
      </c>
      <c r="BX80" s="763"/>
      <c r="BY80" s="763"/>
      <c r="BZ80" s="763"/>
      <c r="CA80" s="763"/>
      <c r="CB80" s="409" t="str">
        <f t="shared" si="80"/>
        <v/>
      </c>
      <c r="CC80" s="409" t="str">
        <f t="shared" si="70"/>
        <v/>
      </c>
      <c r="CD80" s="409" t="str">
        <f t="shared" si="71"/>
        <v/>
      </c>
      <c r="CE80" s="409" t="str">
        <f t="shared" si="81"/>
        <v/>
      </c>
      <c r="CF80" s="409" t="str">
        <f t="shared" si="72"/>
        <v/>
      </c>
      <c r="CG80" s="765" t="str">
        <f t="shared" si="82"/>
        <v/>
      </c>
      <c r="CH80" s="766" t="str">
        <f t="shared" si="73"/>
        <v/>
      </c>
      <c r="CI80" s="414"/>
      <c r="CJ80" s="414"/>
      <c r="CK80" s="414"/>
      <c r="CL80" s="414"/>
      <c r="CM80" s="414"/>
      <c r="CN80" s="414"/>
      <c r="CO80" s="479"/>
      <c r="CP80" s="479"/>
      <c r="CQ80" s="479"/>
      <c r="CR80" s="479"/>
      <c r="CS80" s="479"/>
      <c r="CT80" s="479"/>
      <c r="CU80" s="479"/>
      <c r="CV80" s="479"/>
      <c r="CW80" s="479"/>
      <c r="CX80" s="479"/>
      <c r="CY80" s="479"/>
      <c r="CZ80" s="479"/>
      <c r="DA80" s="479"/>
      <c r="DB80" s="479"/>
      <c r="DC80" s="479"/>
      <c r="DD80" s="479"/>
      <c r="DE80" s="479"/>
      <c r="DF80" s="479"/>
      <c r="DG80" s="479"/>
      <c r="DH80" s="479"/>
      <c r="DI80" s="479"/>
      <c r="DJ80" s="479"/>
      <c r="DK80" s="479"/>
      <c r="DL80" s="479"/>
      <c r="DM80" s="479"/>
      <c r="DN80" s="479"/>
      <c r="DO80" s="479"/>
      <c r="DP80" s="479"/>
      <c r="DQ80" s="479"/>
      <c r="DR80" s="479"/>
      <c r="DS80" s="479"/>
      <c r="DT80" s="479"/>
      <c r="DU80" s="479"/>
      <c r="DV80" s="479"/>
      <c r="DW80" s="479"/>
      <c r="DX80" s="479"/>
      <c r="DY80" s="479"/>
      <c r="DZ80" s="479"/>
      <c r="EA80" s="479"/>
      <c r="EB80" s="479"/>
      <c r="EC80" s="479"/>
      <c r="ED80" s="479"/>
    </row>
    <row r="81" spans="1:134">
      <c r="A81" s="305"/>
      <c r="B81" s="373"/>
      <c r="D81" s="469"/>
      <c r="E81" s="469"/>
      <c r="F81" s="456">
        <f>+Main_무해지!F81</f>
        <v>6</v>
      </c>
      <c r="G81" s="470">
        <v>3.2500000000000001E-2</v>
      </c>
      <c r="H81" s="460">
        <v>8.0000000000000002E-3</v>
      </c>
      <c r="J81" s="5"/>
      <c r="K81" s="5"/>
      <c r="N81" s="280" t="str">
        <f t="shared" si="88"/>
        <v/>
      </c>
      <c r="O81" s="281" t="str">
        <f t="shared" si="89"/>
        <v/>
      </c>
      <c r="P81" s="282" t="str">
        <f t="shared" si="86"/>
        <v/>
      </c>
      <c r="Q81" s="383" t="str">
        <f t="shared" si="87"/>
        <v/>
      </c>
      <c r="R81" s="282"/>
      <c r="S81" s="101" t="str">
        <f t="shared" si="83"/>
        <v/>
      </c>
      <c r="T81" s="285" t="str">
        <f>Main_무해지!AC81</f>
        <v/>
      </c>
      <c r="U81" s="258">
        <f>+Main_무해지!AD81</f>
        <v>0</v>
      </c>
      <c r="V81" s="258" t="str">
        <f t="shared" si="74"/>
        <v/>
      </c>
      <c r="W81" s="258" t="str">
        <f t="shared" si="84"/>
        <v/>
      </c>
      <c r="X81" s="258" t="str">
        <f t="shared" si="45"/>
        <v/>
      </c>
      <c r="Y81" s="102" t="str">
        <f>IF($S81="","",SUM(X81:X$114))</f>
        <v/>
      </c>
      <c r="Z81" s="258" t="str">
        <f t="shared" si="75"/>
        <v/>
      </c>
      <c r="AA81" s="254">
        <f t="shared" si="76"/>
        <v>0</v>
      </c>
      <c r="AB81" s="254" t="str">
        <f>Main_무해지!AJ81</f>
        <v/>
      </c>
      <c r="AC81" s="258" t="str">
        <f t="shared" si="46"/>
        <v/>
      </c>
      <c r="AD81" s="258" t="str">
        <f t="shared" si="85"/>
        <v/>
      </c>
      <c r="AE81" s="258" t="str">
        <f t="shared" si="47"/>
        <v/>
      </c>
      <c r="AF81" s="102" t="str">
        <f>IF($S81="","",SUM(AE81:AE$114))</f>
        <v/>
      </c>
      <c r="AG81" s="285" t="str">
        <f>Main_무해지!AP81</f>
        <v/>
      </c>
      <c r="AH81" s="258" t="str">
        <f t="shared" si="48"/>
        <v/>
      </c>
      <c r="AI81" s="258" t="str">
        <f t="shared" si="49"/>
        <v/>
      </c>
      <c r="AJ81" s="258" t="str">
        <f t="shared" si="50"/>
        <v/>
      </c>
      <c r="AK81" s="315" t="str">
        <f>IF($S81="","",SUM($AL81:$AL$114))</f>
        <v/>
      </c>
      <c r="AL81" s="258" t="str">
        <f t="shared" si="77"/>
        <v/>
      </c>
      <c r="AM81" s="315" t="str">
        <f t="shared" si="51"/>
        <v/>
      </c>
      <c r="AN81" s="285" t="str">
        <f>IF($S81="","",INDEX(#REF!,$S81+1))</f>
        <v/>
      </c>
      <c r="AO81" s="258" t="str">
        <f t="shared" si="52"/>
        <v/>
      </c>
      <c r="AP81" s="258" t="str">
        <f t="shared" si="53"/>
        <v/>
      </c>
      <c r="AQ81" s="258" t="str">
        <f t="shared" si="54"/>
        <v/>
      </c>
      <c r="AR81" s="315" t="str">
        <f>IF($S81="","",SUM($AQ81:$AQ$114))</f>
        <v/>
      </c>
      <c r="AS81" s="285" t="str">
        <f>IF($S81="","",INDEX(#REF!,$S81+1))</f>
        <v/>
      </c>
      <c r="AT81" s="258" t="str">
        <f t="shared" si="55"/>
        <v/>
      </c>
      <c r="AU81" s="258" t="str">
        <f t="shared" si="56"/>
        <v/>
      </c>
      <c r="AV81" s="258" t="str">
        <f t="shared" si="57"/>
        <v/>
      </c>
      <c r="AW81" s="315" t="str">
        <f>IF($S81="","",SUM($AV81:$AV$114))</f>
        <v/>
      </c>
      <c r="AX81" s="285" t="str">
        <f>IF($S81="","",INDEX(#REF!,$S81+1))</f>
        <v/>
      </c>
      <c r="AY81" s="258" t="str">
        <f t="shared" si="58"/>
        <v/>
      </c>
      <c r="AZ81" s="258" t="str">
        <f t="shared" si="59"/>
        <v/>
      </c>
      <c r="BA81" s="258" t="str">
        <f t="shared" si="60"/>
        <v/>
      </c>
      <c r="BB81" s="315" t="str">
        <f>IF($S81="","",SUM($BA81:$BA$114))</f>
        <v/>
      </c>
      <c r="BC81" s="285" t="str">
        <f>IF($S81="","",INDEX(#REF!,$S81+1))</f>
        <v/>
      </c>
      <c r="BD81" s="258" t="str">
        <f t="shared" si="61"/>
        <v/>
      </c>
      <c r="BE81" s="258" t="str">
        <f t="shared" si="62"/>
        <v/>
      </c>
      <c r="BF81" s="258" t="str">
        <f t="shared" si="63"/>
        <v/>
      </c>
      <c r="BG81" s="315" t="str">
        <f>IF($S81="","",SUM($BF81:$BF$114))</f>
        <v/>
      </c>
      <c r="BH81" s="285" t="str">
        <f>IF($S81="","",INDEX(#REF!,$S81+1))</f>
        <v/>
      </c>
      <c r="BI81" s="258" t="str">
        <f t="shared" si="64"/>
        <v/>
      </c>
      <c r="BJ81" s="258" t="str">
        <f t="shared" si="65"/>
        <v/>
      </c>
      <c r="BK81" s="258" t="str">
        <f t="shared" si="66"/>
        <v/>
      </c>
      <c r="BL81" s="315" t="str">
        <f>IF($S81="","",SUM($BK81:$BK$114))</f>
        <v/>
      </c>
      <c r="BM81" s="285" t="str">
        <f t="shared" si="67"/>
        <v/>
      </c>
      <c r="BN81" s="258" t="str">
        <f t="shared" si="78"/>
        <v/>
      </c>
      <c r="BO81" s="258" t="str">
        <f t="shared" si="68"/>
        <v/>
      </c>
      <c r="BP81" s="258" t="str">
        <f t="shared" si="69"/>
        <v/>
      </c>
      <c r="BQ81" s="258" t="str">
        <f t="shared" si="79"/>
        <v/>
      </c>
      <c r="BR81" s="258"/>
      <c r="BS81" s="258"/>
      <c r="BT81" s="258"/>
      <c r="BU81" s="258"/>
      <c r="BV81" s="258" t="str">
        <f>IF($S81="","",SUM(BQ81:BQ$114))</f>
        <v/>
      </c>
      <c r="BW81" s="103" t="str">
        <f>IF(S81&lt;$E$3+$F$5,0,IFERROR(일반형_연납순보험료!S83,0))</f>
        <v/>
      </c>
      <c r="BX81" s="103"/>
      <c r="BY81" s="103"/>
      <c r="BZ81" s="103"/>
      <c r="CA81" s="103"/>
      <c r="CB81" s="258" t="str">
        <f t="shared" si="80"/>
        <v/>
      </c>
      <c r="CC81" s="258" t="str">
        <f t="shared" si="70"/>
        <v/>
      </c>
      <c r="CD81" s="258" t="str">
        <f t="shared" si="71"/>
        <v/>
      </c>
      <c r="CE81" s="258" t="str">
        <f t="shared" si="81"/>
        <v/>
      </c>
      <c r="CF81" s="258" t="str">
        <f t="shared" si="72"/>
        <v/>
      </c>
      <c r="CG81" s="104" t="str">
        <f t="shared" si="82"/>
        <v/>
      </c>
      <c r="CH81" s="105" t="str">
        <f t="shared" si="73"/>
        <v/>
      </c>
      <c r="CI81" s="240"/>
      <c r="CJ81" s="240"/>
      <c r="CK81" s="240"/>
      <c r="CL81" s="240"/>
      <c r="CM81" s="240"/>
      <c r="CN81" s="240"/>
      <c r="CO81" s="479"/>
      <c r="CP81" s="479"/>
      <c r="CQ81" s="479"/>
      <c r="CR81" s="479"/>
      <c r="CS81" s="479"/>
      <c r="CT81" s="479"/>
      <c r="CU81" s="479"/>
      <c r="CV81" s="479"/>
      <c r="CW81" s="479"/>
      <c r="CX81" s="479"/>
      <c r="CY81" s="479"/>
      <c r="CZ81" s="479"/>
      <c r="DA81" s="479"/>
      <c r="DB81" s="479"/>
      <c r="DC81" s="479"/>
      <c r="DD81" s="479"/>
      <c r="DE81" s="479"/>
      <c r="DF81" s="479"/>
      <c r="DG81" s="479"/>
      <c r="DH81" s="479"/>
      <c r="DI81" s="479"/>
      <c r="DJ81" s="479"/>
      <c r="DK81" s="479"/>
      <c r="DL81" s="479"/>
      <c r="DM81" s="479"/>
      <c r="DN81" s="479"/>
      <c r="DO81" s="479"/>
      <c r="DP81" s="479"/>
      <c r="DQ81" s="479"/>
      <c r="DR81" s="479"/>
      <c r="DS81" s="479"/>
      <c r="DT81" s="479"/>
      <c r="DU81" s="479"/>
      <c r="DV81" s="479"/>
      <c r="DW81" s="479"/>
      <c r="DX81" s="479"/>
      <c r="DY81" s="479"/>
      <c r="DZ81" s="479"/>
      <c r="EA81" s="479"/>
      <c r="EB81" s="479"/>
      <c r="EC81" s="479"/>
      <c r="ED81" s="479"/>
    </row>
    <row r="82" spans="1:134">
      <c r="A82" s="305"/>
      <c r="B82" s="373"/>
      <c r="D82" s="469"/>
      <c r="E82" s="469"/>
      <c r="F82" s="456">
        <f>+Main_무해지!F82</f>
        <v>7</v>
      </c>
      <c r="G82" s="470">
        <v>2.9500000000000002E-2</v>
      </c>
      <c r="H82" s="460">
        <v>0.01</v>
      </c>
      <c r="J82" s="5"/>
      <c r="K82" s="5"/>
      <c r="N82" s="275" t="str">
        <f t="shared" si="88"/>
        <v/>
      </c>
      <c r="O82" s="276" t="str">
        <f t="shared" si="89"/>
        <v/>
      </c>
      <c r="P82" s="277" t="str">
        <f t="shared" si="86"/>
        <v/>
      </c>
      <c r="Q82" s="381" t="str">
        <f t="shared" si="87"/>
        <v/>
      </c>
      <c r="R82" s="277"/>
      <c r="S82" s="101" t="str">
        <f t="shared" si="83"/>
        <v/>
      </c>
      <c r="T82" s="285" t="str">
        <f>Main_무해지!AC82</f>
        <v/>
      </c>
      <c r="U82" s="258">
        <f>+Main_무해지!AD82</f>
        <v>0</v>
      </c>
      <c r="V82" s="258" t="str">
        <f t="shared" si="74"/>
        <v/>
      </c>
      <c r="W82" s="258" t="str">
        <f t="shared" si="84"/>
        <v/>
      </c>
      <c r="X82" s="258" t="str">
        <f t="shared" si="45"/>
        <v/>
      </c>
      <c r="Y82" s="102" t="str">
        <f>IF($S82="","",SUM(X82:X$114))</f>
        <v/>
      </c>
      <c r="Z82" s="258" t="str">
        <f t="shared" si="75"/>
        <v/>
      </c>
      <c r="AA82" s="254">
        <f t="shared" si="76"/>
        <v>0</v>
      </c>
      <c r="AB82" s="254" t="str">
        <f>Main_무해지!AJ82</f>
        <v/>
      </c>
      <c r="AC82" s="258" t="str">
        <f t="shared" si="46"/>
        <v/>
      </c>
      <c r="AD82" s="258" t="str">
        <f t="shared" si="85"/>
        <v/>
      </c>
      <c r="AE82" s="258" t="str">
        <f t="shared" si="47"/>
        <v/>
      </c>
      <c r="AF82" s="102" t="str">
        <f>IF($S82="","",SUM(AE82:AE$114))</f>
        <v/>
      </c>
      <c r="AG82" s="285" t="str">
        <f>Main_무해지!AP82</f>
        <v/>
      </c>
      <c r="AH82" s="258" t="str">
        <f t="shared" si="48"/>
        <v/>
      </c>
      <c r="AI82" s="258" t="str">
        <f t="shared" si="49"/>
        <v/>
      </c>
      <c r="AJ82" s="258" t="str">
        <f t="shared" si="50"/>
        <v/>
      </c>
      <c r="AK82" s="315" t="str">
        <f>IF($S82="","",SUM($AL82:$AL$114))</f>
        <v/>
      </c>
      <c r="AL82" s="258" t="str">
        <f t="shared" si="77"/>
        <v/>
      </c>
      <c r="AM82" s="315" t="str">
        <f t="shared" si="51"/>
        <v/>
      </c>
      <c r="AN82" s="285" t="str">
        <f>IF($S82="","",INDEX(#REF!,$S82+1))</f>
        <v/>
      </c>
      <c r="AO82" s="258" t="str">
        <f t="shared" si="52"/>
        <v/>
      </c>
      <c r="AP82" s="258" t="str">
        <f t="shared" si="53"/>
        <v/>
      </c>
      <c r="AQ82" s="258" t="str">
        <f t="shared" si="54"/>
        <v/>
      </c>
      <c r="AR82" s="315" t="str">
        <f>IF($S82="","",SUM($AQ82:$AQ$114))</f>
        <v/>
      </c>
      <c r="AS82" s="285" t="str">
        <f>IF($S82="","",INDEX(#REF!,$S82+1))</f>
        <v/>
      </c>
      <c r="AT82" s="258" t="str">
        <f t="shared" si="55"/>
        <v/>
      </c>
      <c r="AU82" s="258" t="str">
        <f t="shared" si="56"/>
        <v/>
      </c>
      <c r="AV82" s="258" t="str">
        <f t="shared" si="57"/>
        <v/>
      </c>
      <c r="AW82" s="315" t="str">
        <f>IF($S82="","",SUM($AV82:$AV$114))</f>
        <v/>
      </c>
      <c r="AX82" s="285" t="str">
        <f>IF($S82="","",INDEX(#REF!,$S82+1))</f>
        <v/>
      </c>
      <c r="AY82" s="258" t="str">
        <f t="shared" si="58"/>
        <v/>
      </c>
      <c r="AZ82" s="258" t="str">
        <f t="shared" si="59"/>
        <v/>
      </c>
      <c r="BA82" s="258" t="str">
        <f t="shared" si="60"/>
        <v/>
      </c>
      <c r="BB82" s="315" t="str">
        <f>IF($S82="","",SUM($BA82:$BA$114))</f>
        <v/>
      </c>
      <c r="BC82" s="285" t="str">
        <f>IF($S82="","",INDEX(#REF!,$S82+1))</f>
        <v/>
      </c>
      <c r="BD82" s="258" t="str">
        <f t="shared" si="61"/>
        <v/>
      </c>
      <c r="BE82" s="258" t="str">
        <f t="shared" si="62"/>
        <v/>
      </c>
      <c r="BF82" s="258" t="str">
        <f t="shared" si="63"/>
        <v/>
      </c>
      <c r="BG82" s="315" t="str">
        <f>IF($S82="","",SUM($BF82:$BF$114))</f>
        <v/>
      </c>
      <c r="BH82" s="285" t="str">
        <f>IF($S82="","",INDEX(#REF!,$S82+1))</f>
        <v/>
      </c>
      <c r="BI82" s="258" t="str">
        <f t="shared" si="64"/>
        <v/>
      </c>
      <c r="BJ82" s="258" t="str">
        <f t="shared" si="65"/>
        <v/>
      </c>
      <c r="BK82" s="258" t="str">
        <f t="shared" si="66"/>
        <v/>
      </c>
      <c r="BL82" s="315" t="str">
        <f>IF($S82="","",SUM($BK82:$BK$114))</f>
        <v/>
      </c>
      <c r="BM82" s="285" t="str">
        <f t="shared" si="67"/>
        <v/>
      </c>
      <c r="BN82" s="258" t="str">
        <f t="shared" si="78"/>
        <v/>
      </c>
      <c r="BO82" s="258" t="str">
        <f t="shared" si="68"/>
        <v/>
      </c>
      <c r="BP82" s="258" t="str">
        <f t="shared" si="69"/>
        <v/>
      </c>
      <c r="BQ82" s="258" t="str">
        <f t="shared" si="79"/>
        <v/>
      </c>
      <c r="BR82" s="258"/>
      <c r="BS82" s="258"/>
      <c r="BT82" s="258"/>
      <c r="BU82" s="258"/>
      <c r="BV82" s="258" t="str">
        <f>IF($S82="","",SUM(BQ82:BQ$114))</f>
        <v/>
      </c>
      <c r="BW82" s="103" t="str">
        <f>IF(S82&lt;$E$3+$F$5,0,IFERROR(일반형_연납순보험료!S84,0))</f>
        <v/>
      </c>
      <c r="BX82" s="103"/>
      <c r="BY82" s="103"/>
      <c r="BZ82" s="103"/>
      <c r="CA82" s="103"/>
      <c r="CB82" s="258" t="str">
        <f t="shared" si="80"/>
        <v/>
      </c>
      <c r="CC82" s="258" t="str">
        <f t="shared" si="70"/>
        <v/>
      </c>
      <c r="CD82" s="258" t="str">
        <f t="shared" si="71"/>
        <v/>
      </c>
      <c r="CE82" s="258" t="str">
        <f t="shared" si="81"/>
        <v/>
      </c>
      <c r="CF82" s="258" t="str">
        <f t="shared" si="72"/>
        <v/>
      </c>
      <c r="CG82" s="104" t="str">
        <f t="shared" si="82"/>
        <v/>
      </c>
      <c r="CH82" s="105" t="str">
        <f t="shared" si="73"/>
        <v/>
      </c>
      <c r="CI82" s="240"/>
      <c r="CJ82" s="240"/>
      <c r="CK82" s="240"/>
      <c r="CL82" s="240"/>
      <c r="CM82" s="240"/>
      <c r="CN82" s="240"/>
      <c r="CO82" s="479"/>
      <c r="CP82" s="479"/>
      <c r="CQ82" s="479"/>
      <c r="CR82" s="479"/>
      <c r="CS82" s="479"/>
      <c r="CT82" s="479"/>
      <c r="CU82" s="479"/>
      <c r="CV82" s="479"/>
      <c r="CW82" s="479"/>
      <c r="CX82" s="479"/>
      <c r="CY82" s="479"/>
      <c r="CZ82" s="479"/>
      <c r="DA82" s="479"/>
      <c r="DB82" s="479"/>
      <c r="DC82" s="479"/>
      <c r="DD82" s="479"/>
      <c r="DE82" s="479"/>
      <c r="DF82" s="479"/>
      <c r="DG82" s="479"/>
      <c r="DH82" s="479"/>
      <c r="DI82" s="479"/>
      <c r="DJ82" s="479"/>
      <c r="DK82" s="479"/>
      <c r="DL82" s="479"/>
      <c r="DM82" s="479"/>
      <c r="DN82" s="479"/>
      <c r="DO82" s="479"/>
      <c r="DP82" s="479"/>
      <c r="DQ82" s="479"/>
      <c r="DR82" s="479"/>
      <c r="DS82" s="479"/>
      <c r="DT82" s="479"/>
      <c r="DU82" s="479"/>
      <c r="DV82" s="479"/>
      <c r="DW82" s="479"/>
      <c r="DX82" s="479"/>
      <c r="DY82" s="479"/>
      <c r="DZ82" s="479"/>
      <c r="EA82" s="479"/>
      <c r="EB82" s="479"/>
      <c r="EC82" s="479"/>
      <c r="ED82" s="479"/>
    </row>
    <row r="83" spans="1:134">
      <c r="A83" s="305"/>
      <c r="B83" s="373"/>
      <c r="D83" s="469"/>
      <c r="E83" s="469"/>
      <c r="F83" s="456">
        <f>+Main_무해지!F83</f>
        <v>8</v>
      </c>
      <c r="G83" s="470">
        <v>2.6000000000000002E-2</v>
      </c>
      <c r="H83" s="460">
        <v>0</v>
      </c>
      <c r="J83" s="5"/>
      <c r="K83" s="5"/>
      <c r="N83" s="278" t="str">
        <f t="shared" si="88"/>
        <v/>
      </c>
      <c r="O83" s="279" t="str">
        <f t="shared" si="89"/>
        <v/>
      </c>
      <c r="P83" s="271" t="str">
        <f t="shared" si="86"/>
        <v/>
      </c>
      <c r="Q83" s="271" t="str">
        <f t="shared" si="87"/>
        <v/>
      </c>
      <c r="R83" s="271"/>
      <c r="S83" s="101" t="str">
        <f t="shared" si="83"/>
        <v/>
      </c>
      <c r="T83" s="285" t="str">
        <f>Main_무해지!AC83</f>
        <v/>
      </c>
      <c r="U83" s="258">
        <f>+Main_무해지!AD83</f>
        <v>0</v>
      </c>
      <c r="V83" s="258" t="str">
        <f t="shared" si="74"/>
        <v/>
      </c>
      <c r="W83" s="258" t="str">
        <f t="shared" si="84"/>
        <v/>
      </c>
      <c r="X83" s="258" t="str">
        <f t="shared" si="45"/>
        <v/>
      </c>
      <c r="Y83" s="102" t="str">
        <f>IF($S83="","",SUM(X83:X$114))</f>
        <v/>
      </c>
      <c r="Z83" s="258" t="str">
        <f t="shared" si="75"/>
        <v/>
      </c>
      <c r="AA83" s="254">
        <f t="shared" si="76"/>
        <v>0</v>
      </c>
      <c r="AB83" s="254" t="str">
        <f>Main_무해지!AJ83</f>
        <v/>
      </c>
      <c r="AC83" s="258" t="str">
        <f t="shared" si="46"/>
        <v/>
      </c>
      <c r="AD83" s="258" t="str">
        <f t="shared" si="85"/>
        <v/>
      </c>
      <c r="AE83" s="258" t="str">
        <f t="shared" si="47"/>
        <v/>
      </c>
      <c r="AF83" s="102" t="str">
        <f>IF($S83="","",SUM(AE83:AE$114))</f>
        <v/>
      </c>
      <c r="AG83" s="285" t="str">
        <f>Main_무해지!AP83</f>
        <v/>
      </c>
      <c r="AH83" s="258" t="str">
        <f t="shared" si="48"/>
        <v/>
      </c>
      <c r="AI83" s="258" t="str">
        <f t="shared" si="49"/>
        <v/>
      </c>
      <c r="AJ83" s="258" t="str">
        <f t="shared" si="50"/>
        <v/>
      </c>
      <c r="AK83" s="315" t="str">
        <f>IF($S83="","",SUM($AL83:$AL$114))</f>
        <v/>
      </c>
      <c r="AL83" s="258" t="str">
        <f t="shared" si="77"/>
        <v/>
      </c>
      <c r="AM83" s="315" t="str">
        <f t="shared" si="51"/>
        <v/>
      </c>
      <c r="AN83" s="285" t="str">
        <f>IF($S83="","",INDEX(#REF!,$S83+1))</f>
        <v/>
      </c>
      <c r="AO83" s="258" t="str">
        <f t="shared" si="52"/>
        <v/>
      </c>
      <c r="AP83" s="258" t="str">
        <f t="shared" si="53"/>
        <v/>
      </c>
      <c r="AQ83" s="258" t="str">
        <f t="shared" si="54"/>
        <v/>
      </c>
      <c r="AR83" s="315" t="str">
        <f>IF($S83="","",SUM($AQ83:$AQ$114))</f>
        <v/>
      </c>
      <c r="AS83" s="285" t="str">
        <f>IF($S83="","",INDEX(#REF!,$S83+1))</f>
        <v/>
      </c>
      <c r="AT83" s="258" t="str">
        <f t="shared" si="55"/>
        <v/>
      </c>
      <c r="AU83" s="258" t="str">
        <f t="shared" si="56"/>
        <v/>
      </c>
      <c r="AV83" s="258" t="str">
        <f t="shared" si="57"/>
        <v/>
      </c>
      <c r="AW83" s="315" t="str">
        <f>IF($S83="","",SUM($AV83:$AV$114))</f>
        <v/>
      </c>
      <c r="AX83" s="285" t="str">
        <f>IF($S83="","",INDEX(#REF!,$S83+1))</f>
        <v/>
      </c>
      <c r="AY83" s="258" t="str">
        <f t="shared" si="58"/>
        <v/>
      </c>
      <c r="AZ83" s="258" t="str">
        <f t="shared" si="59"/>
        <v/>
      </c>
      <c r="BA83" s="258" t="str">
        <f t="shared" si="60"/>
        <v/>
      </c>
      <c r="BB83" s="315" t="str">
        <f>IF($S83="","",SUM($BA83:$BA$114))</f>
        <v/>
      </c>
      <c r="BC83" s="285" t="str">
        <f>IF($S83="","",INDEX(#REF!,$S83+1))</f>
        <v/>
      </c>
      <c r="BD83" s="258" t="str">
        <f t="shared" si="61"/>
        <v/>
      </c>
      <c r="BE83" s="258" t="str">
        <f t="shared" si="62"/>
        <v/>
      </c>
      <c r="BF83" s="258" t="str">
        <f t="shared" si="63"/>
        <v/>
      </c>
      <c r="BG83" s="315" t="str">
        <f>IF($S83="","",SUM($BF83:$BF$114))</f>
        <v/>
      </c>
      <c r="BH83" s="285" t="str">
        <f>IF($S83="","",INDEX(#REF!,$S83+1))</f>
        <v/>
      </c>
      <c r="BI83" s="258" t="str">
        <f t="shared" si="64"/>
        <v/>
      </c>
      <c r="BJ83" s="258" t="str">
        <f t="shared" si="65"/>
        <v/>
      </c>
      <c r="BK83" s="258" t="str">
        <f t="shared" si="66"/>
        <v/>
      </c>
      <c r="BL83" s="315" t="str">
        <f>IF($S83="","",SUM($BK83:$BK$114))</f>
        <v/>
      </c>
      <c r="BM83" s="285" t="str">
        <f t="shared" si="67"/>
        <v/>
      </c>
      <c r="BN83" s="258" t="str">
        <f t="shared" si="78"/>
        <v/>
      </c>
      <c r="BO83" s="258" t="str">
        <f t="shared" si="68"/>
        <v/>
      </c>
      <c r="BP83" s="258" t="str">
        <f t="shared" si="69"/>
        <v/>
      </c>
      <c r="BQ83" s="258" t="str">
        <f t="shared" si="79"/>
        <v/>
      </c>
      <c r="BR83" s="258"/>
      <c r="BS83" s="258"/>
      <c r="BT83" s="258"/>
      <c r="BU83" s="258"/>
      <c r="BV83" s="258" t="str">
        <f>IF($S83="","",SUM(BQ83:BQ$114))</f>
        <v/>
      </c>
      <c r="BW83" s="103" t="str">
        <f>IF(S83&lt;$E$3+$F$5,0,IFERROR(일반형_연납순보험료!S85,0))</f>
        <v/>
      </c>
      <c r="BX83" s="103"/>
      <c r="BY83" s="103"/>
      <c r="BZ83" s="103"/>
      <c r="CA83" s="103"/>
      <c r="CB83" s="258" t="str">
        <f t="shared" si="80"/>
        <v/>
      </c>
      <c r="CC83" s="258" t="str">
        <f t="shared" si="70"/>
        <v/>
      </c>
      <c r="CD83" s="258" t="str">
        <f t="shared" si="71"/>
        <v/>
      </c>
      <c r="CE83" s="258" t="str">
        <f t="shared" si="81"/>
        <v/>
      </c>
      <c r="CF83" s="258" t="str">
        <f t="shared" si="72"/>
        <v/>
      </c>
      <c r="CG83" s="104" t="str">
        <f t="shared" si="82"/>
        <v/>
      </c>
      <c r="CH83" s="105" t="str">
        <f t="shared" si="73"/>
        <v/>
      </c>
      <c r="CI83" s="240"/>
      <c r="CJ83" s="240"/>
      <c r="CK83" s="240"/>
      <c r="CL83" s="240"/>
      <c r="CM83" s="240"/>
      <c r="CN83" s="240"/>
      <c r="CO83" s="479"/>
      <c r="CP83" s="479"/>
      <c r="CQ83" s="479"/>
      <c r="CR83" s="479"/>
      <c r="CS83" s="479"/>
      <c r="CT83" s="479"/>
      <c r="CU83" s="479"/>
      <c r="CV83" s="479"/>
      <c r="CW83" s="479"/>
      <c r="CX83" s="479"/>
      <c r="CY83" s="479"/>
      <c r="CZ83" s="479"/>
      <c r="DA83" s="479"/>
      <c r="DB83" s="479"/>
      <c r="DC83" s="479"/>
      <c r="DD83" s="479"/>
      <c r="DE83" s="479"/>
      <c r="DF83" s="479"/>
      <c r="DG83" s="479"/>
      <c r="DH83" s="479"/>
      <c r="DI83" s="479"/>
      <c r="DJ83" s="479"/>
      <c r="DK83" s="479"/>
      <c r="DL83" s="479"/>
      <c r="DM83" s="479"/>
      <c r="DN83" s="479"/>
      <c r="DO83" s="479"/>
      <c r="DP83" s="479"/>
      <c r="DQ83" s="479"/>
      <c r="DR83" s="479"/>
      <c r="DS83" s="479"/>
      <c r="DT83" s="479"/>
      <c r="DU83" s="479"/>
      <c r="DV83" s="479"/>
      <c r="DW83" s="479"/>
      <c r="DX83" s="479"/>
      <c r="DY83" s="479"/>
      <c r="DZ83" s="479"/>
      <c r="EA83" s="479"/>
      <c r="EB83" s="479"/>
      <c r="EC83" s="479"/>
      <c r="ED83" s="479"/>
    </row>
    <row r="84" spans="1:134">
      <c r="A84" s="305"/>
      <c r="B84" s="373"/>
      <c r="D84" s="469"/>
      <c r="E84" s="469"/>
      <c r="F84" s="456">
        <f>+Main_무해지!F84</f>
        <v>9</v>
      </c>
      <c r="G84" s="470">
        <v>2.3000000000000003E-2</v>
      </c>
      <c r="H84" s="460">
        <v>0</v>
      </c>
      <c r="J84" s="5"/>
      <c r="K84" s="5"/>
      <c r="N84" s="278" t="str">
        <f t="shared" si="88"/>
        <v/>
      </c>
      <c r="O84" s="279" t="str">
        <f t="shared" si="89"/>
        <v/>
      </c>
      <c r="P84" s="271" t="str">
        <f t="shared" si="86"/>
        <v/>
      </c>
      <c r="Q84" s="271" t="str">
        <f t="shared" si="87"/>
        <v/>
      </c>
      <c r="R84" s="271"/>
      <c r="S84" s="110" t="str">
        <f t="shared" si="83"/>
        <v/>
      </c>
      <c r="T84" s="286" t="str">
        <f>Main_무해지!AC84</f>
        <v/>
      </c>
      <c r="U84" s="259">
        <f>+Main_무해지!AD84</f>
        <v>0</v>
      </c>
      <c r="V84" s="259" t="str">
        <f t="shared" si="74"/>
        <v/>
      </c>
      <c r="W84" s="259" t="str">
        <f t="shared" si="84"/>
        <v/>
      </c>
      <c r="X84" s="259" t="str">
        <f t="shared" si="45"/>
        <v/>
      </c>
      <c r="Y84" s="111" t="str">
        <f>IF($S84="","",SUM(X84:X$114))</f>
        <v/>
      </c>
      <c r="Z84" s="259" t="str">
        <f t="shared" si="75"/>
        <v/>
      </c>
      <c r="AA84" s="254">
        <f t="shared" si="76"/>
        <v>0</v>
      </c>
      <c r="AB84" s="254" t="str">
        <f>Main_무해지!AJ84</f>
        <v/>
      </c>
      <c r="AC84" s="259" t="str">
        <f t="shared" si="46"/>
        <v/>
      </c>
      <c r="AD84" s="259" t="str">
        <f t="shared" si="85"/>
        <v/>
      </c>
      <c r="AE84" s="259" t="str">
        <f t="shared" si="47"/>
        <v/>
      </c>
      <c r="AF84" s="111" t="str">
        <f>IF($S84="","",SUM(AE84:AE$114))</f>
        <v/>
      </c>
      <c r="AG84" s="286" t="str">
        <f>Main_무해지!AP84</f>
        <v/>
      </c>
      <c r="AH84" s="259" t="str">
        <f t="shared" si="48"/>
        <v/>
      </c>
      <c r="AI84" s="259" t="str">
        <f t="shared" si="49"/>
        <v/>
      </c>
      <c r="AJ84" s="259" t="str">
        <f t="shared" si="50"/>
        <v/>
      </c>
      <c r="AK84" s="316" t="str">
        <f>IF($S84="","",SUM($AL84:$AL$114))</f>
        <v/>
      </c>
      <c r="AL84" s="259" t="str">
        <f t="shared" si="77"/>
        <v/>
      </c>
      <c r="AM84" s="316" t="str">
        <f t="shared" si="51"/>
        <v/>
      </c>
      <c r="AN84" s="286" t="str">
        <f>IF($S84="","",INDEX(#REF!,$S84+1))</f>
        <v/>
      </c>
      <c r="AO84" s="259" t="str">
        <f t="shared" si="52"/>
        <v/>
      </c>
      <c r="AP84" s="259" t="str">
        <f t="shared" si="53"/>
        <v/>
      </c>
      <c r="AQ84" s="259" t="str">
        <f t="shared" si="54"/>
        <v/>
      </c>
      <c r="AR84" s="316" t="str">
        <f>IF($S84="","",SUM($AQ84:$AQ$114))</f>
        <v/>
      </c>
      <c r="AS84" s="286" t="str">
        <f>IF($S84="","",INDEX(#REF!,$S84+1))</f>
        <v/>
      </c>
      <c r="AT84" s="259" t="str">
        <f t="shared" si="55"/>
        <v/>
      </c>
      <c r="AU84" s="259" t="str">
        <f t="shared" si="56"/>
        <v/>
      </c>
      <c r="AV84" s="259" t="str">
        <f t="shared" si="57"/>
        <v/>
      </c>
      <c r="AW84" s="316" t="str">
        <f>IF($S84="","",SUM($AV84:$AV$114))</f>
        <v/>
      </c>
      <c r="AX84" s="286" t="str">
        <f>IF($S84="","",INDEX(#REF!,$S84+1))</f>
        <v/>
      </c>
      <c r="AY84" s="259" t="str">
        <f t="shared" si="58"/>
        <v/>
      </c>
      <c r="AZ84" s="259" t="str">
        <f t="shared" si="59"/>
        <v/>
      </c>
      <c r="BA84" s="259" t="str">
        <f t="shared" si="60"/>
        <v/>
      </c>
      <c r="BB84" s="316" t="str">
        <f>IF($S84="","",SUM($BA84:$BA$114))</f>
        <v/>
      </c>
      <c r="BC84" s="286" t="str">
        <f>IF($S84="","",INDEX(#REF!,$S84+1))</f>
        <v/>
      </c>
      <c r="BD84" s="259" t="str">
        <f t="shared" si="61"/>
        <v/>
      </c>
      <c r="BE84" s="259" t="str">
        <f t="shared" si="62"/>
        <v/>
      </c>
      <c r="BF84" s="259" t="str">
        <f t="shared" si="63"/>
        <v/>
      </c>
      <c r="BG84" s="316" t="str">
        <f>IF($S84="","",SUM($BF84:$BF$114))</f>
        <v/>
      </c>
      <c r="BH84" s="286" t="str">
        <f>IF($S84="","",INDEX(#REF!,$S84+1))</f>
        <v/>
      </c>
      <c r="BI84" s="259" t="str">
        <f t="shared" si="64"/>
        <v/>
      </c>
      <c r="BJ84" s="259" t="str">
        <f t="shared" si="65"/>
        <v/>
      </c>
      <c r="BK84" s="259" t="str">
        <f t="shared" si="66"/>
        <v/>
      </c>
      <c r="BL84" s="316" t="str">
        <f>IF($S84="","",SUM($BK84:$BK$114))</f>
        <v/>
      </c>
      <c r="BM84" s="286" t="str">
        <f t="shared" si="67"/>
        <v/>
      </c>
      <c r="BN84" s="259" t="str">
        <f t="shared" si="78"/>
        <v/>
      </c>
      <c r="BO84" s="259" t="str">
        <f t="shared" si="68"/>
        <v/>
      </c>
      <c r="BP84" s="259" t="str">
        <f t="shared" si="69"/>
        <v/>
      </c>
      <c r="BQ84" s="259" t="str">
        <f t="shared" si="79"/>
        <v/>
      </c>
      <c r="BR84" s="259"/>
      <c r="BS84" s="259"/>
      <c r="BT84" s="259"/>
      <c r="BU84" s="259"/>
      <c r="BV84" s="259" t="str">
        <f>IF($S84="","",SUM(BQ84:BQ$114))</f>
        <v/>
      </c>
      <c r="BW84" s="112" t="str">
        <f>IF(S84&lt;$E$3+$F$5,0,IFERROR(일반형_연납순보험료!S86,0))</f>
        <v/>
      </c>
      <c r="BX84" s="112"/>
      <c r="BY84" s="112"/>
      <c r="BZ84" s="112"/>
      <c r="CA84" s="112"/>
      <c r="CB84" s="259" t="str">
        <f t="shared" si="80"/>
        <v/>
      </c>
      <c r="CC84" s="259" t="str">
        <f t="shared" si="70"/>
        <v/>
      </c>
      <c r="CD84" s="259" t="str">
        <f t="shared" si="71"/>
        <v/>
      </c>
      <c r="CE84" s="259" t="str">
        <f t="shared" si="81"/>
        <v/>
      </c>
      <c r="CF84" s="259" t="str">
        <f t="shared" si="72"/>
        <v/>
      </c>
      <c r="CG84" s="113" t="str">
        <f t="shared" si="82"/>
        <v/>
      </c>
      <c r="CH84" s="114" t="str">
        <f t="shared" si="73"/>
        <v/>
      </c>
      <c r="CI84" s="241"/>
      <c r="CJ84" s="241"/>
      <c r="CK84" s="241"/>
      <c r="CL84" s="241"/>
      <c r="CM84" s="241"/>
      <c r="CN84" s="241"/>
      <c r="CO84" s="479"/>
      <c r="CP84" s="479"/>
      <c r="CQ84" s="479"/>
      <c r="CR84" s="479"/>
      <c r="CS84" s="479"/>
      <c r="CT84" s="479"/>
      <c r="CU84" s="479"/>
      <c r="CV84" s="479"/>
      <c r="CW84" s="479"/>
      <c r="CX84" s="479"/>
      <c r="CY84" s="479"/>
      <c r="CZ84" s="479"/>
      <c r="DA84" s="479"/>
      <c r="DB84" s="479"/>
      <c r="DC84" s="479"/>
      <c r="DD84" s="479"/>
      <c r="DE84" s="479"/>
      <c r="DF84" s="479"/>
      <c r="DG84" s="479"/>
      <c r="DH84" s="479"/>
      <c r="DI84" s="479"/>
      <c r="DJ84" s="479"/>
      <c r="DK84" s="479"/>
      <c r="DL84" s="479"/>
      <c r="DM84" s="479"/>
      <c r="DN84" s="479"/>
      <c r="DO84" s="479"/>
      <c r="DP84" s="479"/>
      <c r="DQ84" s="479"/>
      <c r="DR84" s="479"/>
      <c r="DS84" s="479"/>
      <c r="DT84" s="479"/>
      <c r="DU84" s="479"/>
      <c r="DV84" s="479"/>
      <c r="DW84" s="479"/>
      <c r="DX84" s="479"/>
      <c r="DY84" s="479"/>
      <c r="DZ84" s="479"/>
      <c r="EA84" s="479"/>
      <c r="EB84" s="479"/>
      <c r="EC84" s="479"/>
      <c r="ED84" s="479"/>
    </row>
    <row r="85" spans="1:134">
      <c r="A85" s="305"/>
      <c r="B85" s="373"/>
      <c r="D85" s="469"/>
      <c r="E85" s="469"/>
      <c r="F85" s="456">
        <f>+Main_무해지!F85</f>
        <v>10</v>
      </c>
      <c r="G85" s="470">
        <v>1.9500000000000003E-2</v>
      </c>
      <c r="H85" s="460">
        <v>0</v>
      </c>
      <c r="J85" s="5"/>
      <c r="K85" s="5"/>
      <c r="N85" s="278" t="str">
        <f t="shared" si="88"/>
        <v/>
      </c>
      <c r="O85" s="279" t="str">
        <f t="shared" si="89"/>
        <v/>
      </c>
      <c r="P85" s="271" t="str">
        <f t="shared" si="86"/>
        <v/>
      </c>
      <c r="Q85" s="271" t="str">
        <f t="shared" si="87"/>
        <v/>
      </c>
      <c r="R85" s="271"/>
      <c r="S85" s="770" t="str">
        <f t="shared" si="83"/>
        <v/>
      </c>
      <c r="T85" s="772" t="str">
        <f>Main_무해지!AC85</f>
        <v/>
      </c>
      <c r="U85" s="410">
        <f>+Main_무해지!AD85</f>
        <v>0</v>
      </c>
      <c r="V85" s="410" t="str">
        <f t="shared" si="74"/>
        <v/>
      </c>
      <c r="W85" s="410" t="str">
        <f t="shared" si="84"/>
        <v/>
      </c>
      <c r="X85" s="410" t="str">
        <f t="shared" si="45"/>
        <v/>
      </c>
      <c r="Y85" s="771" t="str">
        <f>IF($S85="","",SUM(X85:X$114))</f>
        <v/>
      </c>
      <c r="Z85" s="410" t="str">
        <f t="shared" si="75"/>
        <v/>
      </c>
      <c r="AA85" s="254">
        <f t="shared" si="76"/>
        <v>0</v>
      </c>
      <c r="AB85" s="254" t="str">
        <f>Main_무해지!AJ85</f>
        <v/>
      </c>
      <c r="AC85" s="410" t="str">
        <f t="shared" si="46"/>
        <v/>
      </c>
      <c r="AD85" s="410" t="str">
        <f t="shared" si="85"/>
        <v/>
      </c>
      <c r="AE85" s="410" t="str">
        <f t="shared" si="47"/>
        <v/>
      </c>
      <c r="AF85" s="771" t="str">
        <f>IF($S85="","",SUM(AE85:AE$114))</f>
        <v/>
      </c>
      <c r="AG85" s="772" t="str">
        <f>Main_무해지!AP85</f>
        <v/>
      </c>
      <c r="AH85" s="410" t="str">
        <f t="shared" si="48"/>
        <v/>
      </c>
      <c r="AI85" s="410" t="str">
        <f t="shared" si="49"/>
        <v/>
      </c>
      <c r="AJ85" s="410" t="str">
        <f t="shared" si="50"/>
        <v/>
      </c>
      <c r="AK85" s="773" t="str">
        <f>IF($S85="","",SUM($AL85:$AL$114))</f>
        <v/>
      </c>
      <c r="AL85" s="410" t="str">
        <f t="shared" si="77"/>
        <v/>
      </c>
      <c r="AM85" s="773" t="str">
        <f t="shared" si="51"/>
        <v/>
      </c>
      <c r="AN85" s="772" t="str">
        <f>IF($S85="","",INDEX(#REF!,$S85+1))</f>
        <v/>
      </c>
      <c r="AO85" s="410" t="str">
        <f t="shared" si="52"/>
        <v/>
      </c>
      <c r="AP85" s="410" t="str">
        <f t="shared" si="53"/>
        <v/>
      </c>
      <c r="AQ85" s="410" t="str">
        <f t="shared" si="54"/>
        <v/>
      </c>
      <c r="AR85" s="773" t="str">
        <f>IF($S85="","",SUM($AQ85:$AQ$114))</f>
        <v/>
      </c>
      <c r="AS85" s="772" t="str">
        <f>IF($S85="","",INDEX(#REF!,$S85+1))</f>
        <v/>
      </c>
      <c r="AT85" s="410" t="str">
        <f t="shared" si="55"/>
        <v/>
      </c>
      <c r="AU85" s="410" t="str">
        <f t="shared" si="56"/>
        <v/>
      </c>
      <c r="AV85" s="410" t="str">
        <f t="shared" si="57"/>
        <v/>
      </c>
      <c r="AW85" s="773" t="str">
        <f>IF($S85="","",SUM($AV85:$AV$114))</f>
        <v/>
      </c>
      <c r="AX85" s="772" t="str">
        <f>IF($S85="","",INDEX(#REF!,$S85+1))</f>
        <v/>
      </c>
      <c r="AY85" s="410" t="str">
        <f t="shared" si="58"/>
        <v/>
      </c>
      <c r="AZ85" s="410" t="str">
        <f t="shared" si="59"/>
        <v/>
      </c>
      <c r="BA85" s="410" t="str">
        <f t="shared" si="60"/>
        <v/>
      </c>
      <c r="BB85" s="773" t="str">
        <f>IF($S85="","",SUM($BA85:$BA$114))</f>
        <v/>
      </c>
      <c r="BC85" s="772" t="str">
        <f>IF($S85="","",INDEX(#REF!,$S85+1))</f>
        <v/>
      </c>
      <c r="BD85" s="410" t="str">
        <f t="shared" si="61"/>
        <v/>
      </c>
      <c r="BE85" s="410" t="str">
        <f t="shared" si="62"/>
        <v/>
      </c>
      <c r="BF85" s="410" t="str">
        <f t="shared" si="63"/>
        <v/>
      </c>
      <c r="BG85" s="773" t="str">
        <f>IF($S85="","",SUM($BF85:$BF$114))</f>
        <v/>
      </c>
      <c r="BH85" s="772" t="str">
        <f>IF($S85="","",INDEX(#REF!,$S85+1))</f>
        <v/>
      </c>
      <c r="BI85" s="410" t="str">
        <f t="shared" si="64"/>
        <v/>
      </c>
      <c r="BJ85" s="410" t="str">
        <f t="shared" si="65"/>
        <v/>
      </c>
      <c r="BK85" s="410" t="str">
        <f t="shared" si="66"/>
        <v/>
      </c>
      <c r="BL85" s="773" t="str">
        <f>IF($S85="","",SUM($BK85:$BK$114))</f>
        <v/>
      </c>
      <c r="BM85" s="772" t="str">
        <f t="shared" si="67"/>
        <v/>
      </c>
      <c r="BN85" s="410" t="str">
        <f t="shared" si="78"/>
        <v/>
      </c>
      <c r="BO85" s="410" t="str">
        <f t="shared" si="68"/>
        <v/>
      </c>
      <c r="BP85" s="410" t="str">
        <f t="shared" si="69"/>
        <v/>
      </c>
      <c r="BQ85" s="410" t="str">
        <f t="shared" si="79"/>
        <v/>
      </c>
      <c r="BR85" s="410"/>
      <c r="BS85" s="410"/>
      <c r="BT85" s="410"/>
      <c r="BU85" s="410"/>
      <c r="BV85" s="410" t="str">
        <f>IF($S85="","",SUM(BQ85:BQ$114))</f>
        <v/>
      </c>
      <c r="BW85" s="774" t="str">
        <f>IF(S85&lt;$E$3+$F$5,0,IFERROR(일반형_연납순보험료!S87,0))</f>
        <v/>
      </c>
      <c r="BX85" s="774"/>
      <c r="BY85" s="774"/>
      <c r="BZ85" s="774"/>
      <c r="CA85" s="774"/>
      <c r="CB85" s="410" t="str">
        <f t="shared" si="80"/>
        <v/>
      </c>
      <c r="CC85" s="410" t="str">
        <f t="shared" si="70"/>
        <v/>
      </c>
      <c r="CD85" s="410" t="str">
        <f t="shared" si="71"/>
        <v/>
      </c>
      <c r="CE85" s="410" t="str">
        <f t="shared" si="81"/>
        <v/>
      </c>
      <c r="CF85" s="410" t="str">
        <f t="shared" si="72"/>
        <v/>
      </c>
      <c r="CG85" s="776" t="str">
        <f t="shared" si="82"/>
        <v/>
      </c>
      <c r="CH85" s="777" t="str">
        <f t="shared" si="73"/>
        <v/>
      </c>
      <c r="CI85" s="415"/>
      <c r="CJ85" s="415"/>
      <c r="CK85" s="415"/>
      <c r="CL85" s="415"/>
      <c r="CM85" s="415"/>
      <c r="CN85" s="415"/>
      <c r="CO85" s="479"/>
      <c r="CP85" s="479"/>
      <c r="CQ85" s="479"/>
      <c r="CR85" s="479"/>
      <c r="CS85" s="479"/>
      <c r="CT85" s="479"/>
      <c r="CU85" s="479"/>
      <c r="CV85" s="479"/>
      <c r="CW85" s="479"/>
      <c r="CX85" s="479"/>
      <c r="CY85" s="479"/>
      <c r="CZ85" s="479"/>
      <c r="DA85" s="479"/>
      <c r="DB85" s="479"/>
      <c r="DC85" s="479"/>
      <c r="DD85" s="479"/>
      <c r="DE85" s="479"/>
      <c r="DF85" s="479"/>
      <c r="DG85" s="479"/>
      <c r="DH85" s="479"/>
      <c r="DI85" s="479"/>
      <c r="DJ85" s="479"/>
      <c r="DK85" s="479"/>
      <c r="DL85" s="479"/>
      <c r="DM85" s="479"/>
      <c r="DN85" s="479"/>
      <c r="DO85" s="479"/>
      <c r="DP85" s="479"/>
      <c r="DQ85" s="479"/>
      <c r="DR85" s="479"/>
      <c r="DS85" s="479"/>
      <c r="DT85" s="479"/>
      <c r="DU85" s="479"/>
      <c r="DV85" s="479"/>
      <c r="DW85" s="479"/>
      <c r="DX85" s="479"/>
      <c r="DY85" s="479"/>
      <c r="DZ85" s="479"/>
      <c r="EA85" s="479"/>
      <c r="EB85" s="479"/>
      <c r="EC85" s="479"/>
      <c r="ED85" s="479"/>
    </row>
    <row r="86" spans="1:134">
      <c r="A86" s="305"/>
      <c r="B86" s="373"/>
      <c r="D86" s="469"/>
      <c r="E86" s="469"/>
      <c r="F86" s="456">
        <f>+Main_무해지!F86</f>
        <v>11</v>
      </c>
      <c r="G86" s="470">
        <v>1.6E-2</v>
      </c>
      <c r="H86" s="460">
        <v>0</v>
      </c>
      <c r="J86" s="5"/>
      <c r="K86" s="5"/>
      <c r="N86" s="280" t="str">
        <f t="shared" si="88"/>
        <v/>
      </c>
      <c r="O86" s="281" t="str">
        <f t="shared" si="89"/>
        <v/>
      </c>
      <c r="P86" s="282" t="str">
        <f t="shared" si="86"/>
        <v/>
      </c>
      <c r="Q86" s="282" t="str">
        <f t="shared" si="87"/>
        <v/>
      </c>
      <c r="R86" s="282"/>
      <c r="S86" s="120" t="str">
        <f t="shared" si="83"/>
        <v/>
      </c>
      <c r="T86" s="287" t="str">
        <f>Main_무해지!AC86</f>
        <v/>
      </c>
      <c r="U86" s="260">
        <f>+Main_무해지!AD86</f>
        <v>0</v>
      </c>
      <c r="V86" s="260" t="str">
        <f t="shared" si="74"/>
        <v/>
      </c>
      <c r="W86" s="260" t="str">
        <f t="shared" si="84"/>
        <v/>
      </c>
      <c r="X86" s="260" t="str">
        <f t="shared" si="45"/>
        <v/>
      </c>
      <c r="Y86" s="121" t="str">
        <f>IF($S86="","",SUM(X86:X$114))</f>
        <v/>
      </c>
      <c r="Z86" s="260" t="str">
        <f t="shared" si="75"/>
        <v/>
      </c>
      <c r="AA86" s="254">
        <f t="shared" si="76"/>
        <v>0</v>
      </c>
      <c r="AB86" s="254" t="str">
        <f>Main_무해지!AJ86</f>
        <v/>
      </c>
      <c r="AC86" s="260" t="str">
        <f t="shared" si="46"/>
        <v/>
      </c>
      <c r="AD86" s="260" t="str">
        <f t="shared" si="85"/>
        <v/>
      </c>
      <c r="AE86" s="260" t="str">
        <f t="shared" si="47"/>
        <v/>
      </c>
      <c r="AF86" s="121" t="str">
        <f>IF($S86="","",SUM(AE86:AE$114))</f>
        <v/>
      </c>
      <c r="AG86" s="287" t="str">
        <f>Main_무해지!AP86</f>
        <v/>
      </c>
      <c r="AH86" s="260" t="str">
        <f t="shared" si="48"/>
        <v/>
      </c>
      <c r="AI86" s="260" t="str">
        <f t="shared" si="49"/>
        <v/>
      </c>
      <c r="AJ86" s="260" t="str">
        <f t="shared" si="50"/>
        <v/>
      </c>
      <c r="AK86" s="317" t="str">
        <f>IF($S86="","",SUM($AL86:$AL$114))</f>
        <v/>
      </c>
      <c r="AL86" s="260" t="str">
        <f t="shared" si="77"/>
        <v/>
      </c>
      <c r="AM86" s="317" t="str">
        <f t="shared" si="51"/>
        <v/>
      </c>
      <c r="AN86" s="287" t="str">
        <f>IF($S86="","",INDEX(#REF!,$S86+1))</f>
        <v/>
      </c>
      <c r="AO86" s="260" t="str">
        <f t="shared" si="52"/>
        <v/>
      </c>
      <c r="AP86" s="260" t="str">
        <f t="shared" si="53"/>
        <v/>
      </c>
      <c r="AQ86" s="260" t="str">
        <f t="shared" si="54"/>
        <v/>
      </c>
      <c r="AR86" s="317" t="str">
        <f>IF($S86="","",SUM($AQ86:$AQ$114))</f>
        <v/>
      </c>
      <c r="AS86" s="287" t="str">
        <f>IF($S86="","",INDEX(#REF!,$S86+1))</f>
        <v/>
      </c>
      <c r="AT86" s="260" t="str">
        <f t="shared" si="55"/>
        <v/>
      </c>
      <c r="AU86" s="260" t="str">
        <f t="shared" si="56"/>
        <v/>
      </c>
      <c r="AV86" s="260" t="str">
        <f t="shared" si="57"/>
        <v/>
      </c>
      <c r="AW86" s="317" t="str">
        <f>IF($S86="","",SUM($AV86:$AV$114))</f>
        <v/>
      </c>
      <c r="AX86" s="287" t="str">
        <f>IF($S86="","",INDEX(#REF!,$S86+1))</f>
        <v/>
      </c>
      <c r="AY86" s="260" t="str">
        <f t="shared" si="58"/>
        <v/>
      </c>
      <c r="AZ86" s="260" t="str">
        <f t="shared" si="59"/>
        <v/>
      </c>
      <c r="BA86" s="260" t="str">
        <f t="shared" si="60"/>
        <v/>
      </c>
      <c r="BB86" s="317" t="str">
        <f>IF($S86="","",SUM($BA86:$BA$114))</f>
        <v/>
      </c>
      <c r="BC86" s="287" t="str">
        <f>IF($S86="","",INDEX(#REF!,$S86+1))</f>
        <v/>
      </c>
      <c r="BD86" s="260" t="str">
        <f t="shared" si="61"/>
        <v/>
      </c>
      <c r="BE86" s="260" t="str">
        <f t="shared" si="62"/>
        <v/>
      </c>
      <c r="BF86" s="260" t="str">
        <f t="shared" si="63"/>
        <v/>
      </c>
      <c r="BG86" s="317" t="str">
        <f>IF($S86="","",SUM($BF86:$BF$114))</f>
        <v/>
      </c>
      <c r="BH86" s="287" t="str">
        <f>IF($S86="","",INDEX(#REF!,$S86+1))</f>
        <v/>
      </c>
      <c r="BI86" s="260" t="str">
        <f t="shared" si="64"/>
        <v/>
      </c>
      <c r="BJ86" s="260" t="str">
        <f t="shared" si="65"/>
        <v/>
      </c>
      <c r="BK86" s="260" t="str">
        <f t="shared" si="66"/>
        <v/>
      </c>
      <c r="BL86" s="317" t="str">
        <f>IF($S86="","",SUM($BK86:$BK$114))</f>
        <v/>
      </c>
      <c r="BM86" s="287" t="str">
        <f t="shared" si="67"/>
        <v/>
      </c>
      <c r="BN86" s="260" t="str">
        <f t="shared" si="78"/>
        <v/>
      </c>
      <c r="BO86" s="260" t="str">
        <f t="shared" si="68"/>
        <v/>
      </c>
      <c r="BP86" s="260" t="str">
        <f t="shared" si="69"/>
        <v/>
      </c>
      <c r="BQ86" s="260" t="str">
        <f t="shared" si="79"/>
        <v/>
      </c>
      <c r="BR86" s="260"/>
      <c r="BS86" s="260"/>
      <c r="BT86" s="260"/>
      <c r="BU86" s="260"/>
      <c r="BV86" s="260" t="str">
        <f>IF($S86="","",SUM(BQ86:BQ$114))</f>
        <v/>
      </c>
      <c r="BW86" s="122" t="str">
        <f>IF(S86&lt;$E$3+$F$5,0,IFERROR(일반형_연납순보험료!S88,0))</f>
        <v/>
      </c>
      <c r="BX86" s="122"/>
      <c r="BY86" s="122"/>
      <c r="BZ86" s="122"/>
      <c r="CA86" s="122"/>
      <c r="CB86" s="260" t="str">
        <f t="shared" si="80"/>
        <v/>
      </c>
      <c r="CC86" s="260" t="str">
        <f t="shared" si="70"/>
        <v/>
      </c>
      <c r="CD86" s="260" t="str">
        <f t="shared" si="71"/>
        <v/>
      </c>
      <c r="CE86" s="260" t="str">
        <f t="shared" si="81"/>
        <v/>
      </c>
      <c r="CF86" s="260" t="str">
        <f t="shared" si="72"/>
        <v/>
      </c>
      <c r="CG86" s="123" t="str">
        <f t="shared" si="82"/>
        <v/>
      </c>
      <c r="CH86" s="124" t="str">
        <f t="shared" si="73"/>
        <v/>
      </c>
      <c r="CI86" s="242"/>
      <c r="CJ86" s="242"/>
      <c r="CK86" s="242"/>
      <c r="CL86" s="242"/>
      <c r="CM86" s="242"/>
      <c r="CN86" s="242"/>
      <c r="CO86" s="479"/>
      <c r="CP86" s="479"/>
      <c r="CQ86" s="479"/>
      <c r="CR86" s="479"/>
      <c r="CS86" s="479"/>
      <c r="CT86" s="479"/>
      <c r="CU86" s="479"/>
      <c r="CV86" s="479"/>
      <c r="CW86" s="479"/>
      <c r="CX86" s="479"/>
      <c r="CY86" s="479"/>
      <c r="CZ86" s="479"/>
      <c r="DA86" s="479"/>
      <c r="DB86" s="479"/>
      <c r="DC86" s="479"/>
      <c r="DD86" s="479"/>
      <c r="DE86" s="479"/>
      <c r="DF86" s="479"/>
      <c r="DG86" s="479"/>
      <c r="DH86" s="479"/>
      <c r="DI86" s="479"/>
      <c r="DJ86" s="479"/>
      <c r="DK86" s="479"/>
      <c r="DL86" s="479"/>
      <c r="DM86" s="479"/>
      <c r="DN86" s="479"/>
      <c r="DO86" s="479"/>
      <c r="DP86" s="479"/>
      <c r="DQ86" s="479"/>
      <c r="DR86" s="479"/>
      <c r="DS86" s="479"/>
      <c r="DT86" s="479"/>
      <c r="DU86" s="479"/>
      <c r="DV86" s="479"/>
      <c r="DW86" s="479"/>
      <c r="DX86" s="479"/>
      <c r="DY86" s="479"/>
      <c r="DZ86" s="479"/>
      <c r="EA86" s="479"/>
      <c r="EB86" s="479"/>
      <c r="EC86" s="479"/>
      <c r="ED86" s="479"/>
    </row>
    <row r="87" spans="1:134">
      <c r="A87" s="305"/>
      <c r="B87" s="373"/>
      <c r="D87" s="469"/>
      <c r="E87" s="471"/>
      <c r="F87" s="456">
        <f>+Main_무해지!F87</f>
        <v>12</v>
      </c>
      <c r="G87" s="470">
        <v>1.3500000000000002E-2</v>
      </c>
      <c r="H87" s="460">
        <v>0</v>
      </c>
      <c r="J87" s="5"/>
      <c r="K87" s="5"/>
      <c r="N87" s="278" t="str">
        <f t="shared" si="88"/>
        <v/>
      </c>
      <c r="O87" s="279" t="str">
        <f t="shared" si="89"/>
        <v/>
      </c>
      <c r="P87" s="271" t="str">
        <f t="shared" si="86"/>
        <v/>
      </c>
      <c r="Q87" s="271" t="str">
        <f t="shared" si="87"/>
        <v/>
      </c>
      <c r="R87" s="271"/>
      <c r="S87" s="120" t="str">
        <f t="shared" si="83"/>
        <v/>
      </c>
      <c r="T87" s="287" t="str">
        <f>Main_무해지!AC87</f>
        <v/>
      </c>
      <c r="U87" s="260">
        <f>+Main_무해지!AD87</f>
        <v>0</v>
      </c>
      <c r="V87" s="260" t="str">
        <f t="shared" si="74"/>
        <v/>
      </c>
      <c r="W87" s="260" t="str">
        <f t="shared" si="84"/>
        <v/>
      </c>
      <c r="X87" s="260" t="str">
        <f t="shared" si="45"/>
        <v/>
      </c>
      <c r="Y87" s="121" t="str">
        <f>IF($S87="","",SUM(X87:X$114))</f>
        <v/>
      </c>
      <c r="Z87" s="260" t="str">
        <f t="shared" si="75"/>
        <v/>
      </c>
      <c r="AA87" s="254">
        <f t="shared" si="76"/>
        <v>0</v>
      </c>
      <c r="AB87" s="254" t="str">
        <f>Main_무해지!AJ87</f>
        <v/>
      </c>
      <c r="AC87" s="260" t="str">
        <f t="shared" si="46"/>
        <v/>
      </c>
      <c r="AD87" s="260" t="str">
        <f t="shared" si="85"/>
        <v/>
      </c>
      <c r="AE87" s="260" t="str">
        <f t="shared" si="47"/>
        <v/>
      </c>
      <c r="AF87" s="121" t="str">
        <f>IF($S87="","",SUM(AE87:AE$114))</f>
        <v/>
      </c>
      <c r="AG87" s="287" t="str">
        <f>Main_무해지!AP87</f>
        <v/>
      </c>
      <c r="AH87" s="260" t="str">
        <f t="shared" si="48"/>
        <v/>
      </c>
      <c r="AI87" s="260" t="str">
        <f t="shared" si="49"/>
        <v/>
      </c>
      <c r="AJ87" s="260" t="str">
        <f t="shared" si="50"/>
        <v/>
      </c>
      <c r="AK87" s="317" t="str">
        <f>IF($S87="","",SUM($AL87:$AL$114))</f>
        <v/>
      </c>
      <c r="AL87" s="260" t="str">
        <f t="shared" si="77"/>
        <v/>
      </c>
      <c r="AM87" s="317" t="str">
        <f t="shared" si="51"/>
        <v/>
      </c>
      <c r="AN87" s="287" t="str">
        <f>IF($S87="","",INDEX(#REF!,$S87+1))</f>
        <v/>
      </c>
      <c r="AO87" s="260" t="str">
        <f t="shared" si="52"/>
        <v/>
      </c>
      <c r="AP87" s="260" t="str">
        <f t="shared" si="53"/>
        <v/>
      </c>
      <c r="AQ87" s="260" t="str">
        <f t="shared" si="54"/>
        <v/>
      </c>
      <c r="AR87" s="317" t="str">
        <f>IF($S87="","",SUM($AQ87:$AQ$114))</f>
        <v/>
      </c>
      <c r="AS87" s="287" t="str">
        <f>IF($S87="","",INDEX(#REF!,$S87+1))</f>
        <v/>
      </c>
      <c r="AT87" s="260" t="str">
        <f t="shared" si="55"/>
        <v/>
      </c>
      <c r="AU87" s="260" t="str">
        <f t="shared" si="56"/>
        <v/>
      </c>
      <c r="AV87" s="260" t="str">
        <f t="shared" si="57"/>
        <v/>
      </c>
      <c r="AW87" s="317" t="str">
        <f>IF($S87="","",SUM($AV87:$AV$114))</f>
        <v/>
      </c>
      <c r="AX87" s="287" t="str">
        <f>IF($S87="","",INDEX(#REF!,$S87+1))</f>
        <v/>
      </c>
      <c r="AY87" s="260" t="str">
        <f t="shared" si="58"/>
        <v/>
      </c>
      <c r="AZ87" s="260" t="str">
        <f t="shared" si="59"/>
        <v/>
      </c>
      <c r="BA87" s="260" t="str">
        <f t="shared" si="60"/>
        <v/>
      </c>
      <c r="BB87" s="317" t="str">
        <f>IF($S87="","",SUM($BA87:$BA$114))</f>
        <v/>
      </c>
      <c r="BC87" s="287" t="str">
        <f>IF($S87="","",INDEX(#REF!,$S87+1))</f>
        <v/>
      </c>
      <c r="BD87" s="260" t="str">
        <f t="shared" si="61"/>
        <v/>
      </c>
      <c r="BE87" s="260" t="str">
        <f t="shared" si="62"/>
        <v/>
      </c>
      <c r="BF87" s="260" t="str">
        <f t="shared" si="63"/>
        <v/>
      </c>
      <c r="BG87" s="317" t="str">
        <f>IF($S87="","",SUM($BF87:$BF$114))</f>
        <v/>
      </c>
      <c r="BH87" s="287" t="str">
        <f>IF($S87="","",INDEX(#REF!,$S87+1))</f>
        <v/>
      </c>
      <c r="BI87" s="260" t="str">
        <f t="shared" si="64"/>
        <v/>
      </c>
      <c r="BJ87" s="260" t="str">
        <f t="shared" si="65"/>
        <v/>
      </c>
      <c r="BK87" s="260" t="str">
        <f t="shared" si="66"/>
        <v/>
      </c>
      <c r="BL87" s="317" t="str">
        <f>IF($S87="","",SUM($BK87:$BK$114))</f>
        <v/>
      </c>
      <c r="BM87" s="287" t="str">
        <f t="shared" si="67"/>
        <v/>
      </c>
      <c r="BN87" s="260" t="str">
        <f t="shared" si="78"/>
        <v/>
      </c>
      <c r="BO87" s="260" t="str">
        <f t="shared" si="68"/>
        <v/>
      </c>
      <c r="BP87" s="260" t="str">
        <f t="shared" si="69"/>
        <v/>
      </c>
      <c r="BQ87" s="260" t="str">
        <f t="shared" si="79"/>
        <v/>
      </c>
      <c r="BR87" s="260"/>
      <c r="BS87" s="260"/>
      <c r="BT87" s="260"/>
      <c r="BU87" s="260"/>
      <c r="BV87" s="260" t="str">
        <f>IF($S87="","",SUM(BQ87:BQ$114))</f>
        <v/>
      </c>
      <c r="BW87" s="122" t="str">
        <f>IF(S87&lt;$E$3+$F$5,0,IFERROR(일반형_연납순보험료!S89,0))</f>
        <v/>
      </c>
      <c r="BX87" s="122"/>
      <c r="BY87" s="122"/>
      <c r="BZ87" s="122"/>
      <c r="CA87" s="122"/>
      <c r="CB87" s="260" t="str">
        <f t="shared" si="80"/>
        <v/>
      </c>
      <c r="CC87" s="260" t="str">
        <f t="shared" si="70"/>
        <v/>
      </c>
      <c r="CD87" s="260" t="str">
        <f t="shared" si="71"/>
        <v/>
      </c>
      <c r="CE87" s="260" t="str">
        <f t="shared" si="81"/>
        <v/>
      </c>
      <c r="CF87" s="260" t="str">
        <f t="shared" si="72"/>
        <v/>
      </c>
      <c r="CG87" s="123" t="str">
        <f t="shared" si="82"/>
        <v/>
      </c>
      <c r="CH87" s="124" t="str">
        <f t="shared" si="73"/>
        <v/>
      </c>
      <c r="CI87" s="242"/>
      <c r="CJ87" s="242"/>
      <c r="CK87" s="242"/>
      <c r="CL87" s="242"/>
      <c r="CM87" s="242"/>
      <c r="CN87" s="242"/>
      <c r="CO87" s="479"/>
      <c r="CP87" s="479"/>
      <c r="CQ87" s="479"/>
      <c r="CR87" s="479"/>
      <c r="CS87" s="479"/>
      <c r="CT87" s="479"/>
      <c r="CU87" s="479"/>
      <c r="CV87" s="479"/>
      <c r="CW87" s="479"/>
      <c r="CX87" s="479"/>
      <c r="CY87" s="479"/>
      <c r="CZ87" s="479"/>
      <c r="DA87" s="479"/>
      <c r="DB87" s="479"/>
      <c r="DC87" s="479"/>
      <c r="DD87" s="479"/>
      <c r="DE87" s="479"/>
      <c r="DF87" s="479"/>
      <c r="DG87" s="479"/>
      <c r="DH87" s="479"/>
      <c r="DI87" s="479"/>
      <c r="DJ87" s="479"/>
      <c r="DK87" s="479"/>
      <c r="DL87" s="479"/>
      <c r="DM87" s="479"/>
      <c r="DN87" s="479"/>
      <c r="DO87" s="479"/>
      <c r="DP87" s="479"/>
      <c r="DQ87" s="479"/>
      <c r="DR87" s="479"/>
      <c r="DS87" s="479"/>
      <c r="DT87" s="479"/>
      <c r="DU87" s="479"/>
      <c r="DV87" s="479"/>
      <c r="DW87" s="479"/>
      <c r="DX87" s="479"/>
      <c r="DY87" s="479"/>
      <c r="DZ87" s="479"/>
      <c r="EA87" s="479"/>
      <c r="EB87" s="479"/>
      <c r="EC87" s="479"/>
      <c r="ED87" s="479"/>
    </row>
    <row r="88" spans="1:134">
      <c r="A88" s="305"/>
      <c r="B88" s="373"/>
      <c r="D88" s="469"/>
      <c r="E88" s="469"/>
      <c r="F88" s="456">
        <f>+Main_무해지!F88</f>
        <v>0</v>
      </c>
      <c r="G88" s="470">
        <f>+Main_무해지!G88</f>
        <v>0</v>
      </c>
      <c r="H88" s="460">
        <f>+Main_무해지!H88</f>
        <v>0</v>
      </c>
      <c r="J88" s="5"/>
      <c r="K88" s="5"/>
      <c r="N88" s="278" t="str">
        <f t="shared" si="88"/>
        <v/>
      </c>
      <c r="O88" s="279" t="str">
        <f t="shared" si="89"/>
        <v/>
      </c>
      <c r="P88" s="271" t="str">
        <f t="shared" si="86"/>
        <v/>
      </c>
      <c r="Q88" s="271" t="str">
        <f t="shared" si="87"/>
        <v/>
      </c>
      <c r="R88" s="271"/>
      <c r="S88" s="120" t="str">
        <f t="shared" si="83"/>
        <v/>
      </c>
      <c r="T88" s="287" t="str">
        <f>Main_무해지!AC88</f>
        <v/>
      </c>
      <c r="U88" s="260">
        <f>+Main_무해지!AD88</f>
        <v>0</v>
      </c>
      <c r="V88" s="260" t="str">
        <f t="shared" si="74"/>
        <v/>
      </c>
      <c r="W88" s="260" t="str">
        <f t="shared" si="84"/>
        <v/>
      </c>
      <c r="X88" s="260" t="str">
        <f t="shared" si="45"/>
        <v/>
      </c>
      <c r="Y88" s="121" t="str">
        <f>IF($S88="","",SUM(X88:X$114))</f>
        <v/>
      </c>
      <c r="Z88" s="260" t="str">
        <f t="shared" si="75"/>
        <v/>
      </c>
      <c r="AA88" s="254">
        <f t="shared" si="76"/>
        <v>0</v>
      </c>
      <c r="AB88" s="254" t="str">
        <f>Main_무해지!AJ88</f>
        <v/>
      </c>
      <c r="AC88" s="260" t="str">
        <f t="shared" si="46"/>
        <v/>
      </c>
      <c r="AD88" s="260" t="str">
        <f t="shared" si="85"/>
        <v/>
      </c>
      <c r="AE88" s="260" t="str">
        <f t="shared" si="47"/>
        <v/>
      </c>
      <c r="AF88" s="121" t="str">
        <f>IF($S88="","",SUM(AE88:AE$114))</f>
        <v/>
      </c>
      <c r="AG88" s="287" t="str">
        <f>Main_무해지!AP88</f>
        <v/>
      </c>
      <c r="AH88" s="260" t="str">
        <f t="shared" si="48"/>
        <v/>
      </c>
      <c r="AI88" s="260" t="str">
        <f t="shared" si="49"/>
        <v/>
      </c>
      <c r="AJ88" s="260" t="str">
        <f t="shared" si="50"/>
        <v/>
      </c>
      <c r="AK88" s="317" t="str">
        <f>IF($S88="","",SUM($AL88:$AL$114))</f>
        <v/>
      </c>
      <c r="AL88" s="260" t="str">
        <f t="shared" si="77"/>
        <v/>
      </c>
      <c r="AM88" s="317" t="str">
        <f t="shared" si="51"/>
        <v/>
      </c>
      <c r="AN88" s="287" t="str">
        <f>IF($S88="","",INDEX(#REF!,$S88+1))</f>
        <v/>
      </c>
      <c r="AO88" s="260" t="str">
        <f t="shared" si="52"/>
        <v/>
      </c>
      <c r="AP88" s="260" t="str">
        <f t="shared" si="53"/>
        <v/>
      </c>
      <c r="AQ88" s="260" t="str">
        <f t="shared" si="54"/>
        <v/>
      </c>
      <c r="AR88" s="317" t="str">
        <f>IF($S88="","",SUM($AQ88:$AQ$114))</f>
        <v/>
      </c>
      <c r="AS88" s="287" t="str">
        <f>IF($S88="","",INDEX(#REF!,$S88+1))</f>
        <v/>
      </c>
      <c r="AT88" s="260" t="str">
        <f t="shared" si="55"/>
        <v/>
      </c>
      <c r="AU88" s="260" t="str">
        <f t="shared" si="56"/>
        <v/>
      </c>
      <c r="AV88" s="260" t="str">
        <f t="shared" si="57"/>
        <v/>
      </c>
      <c r="AW88" s="317" t="str">
        <f>IF($S88="","",SUM($AV88:$AV$114))</f>
        <v/>
      </c>
      <c r="AX88" s="287" t="str">
        <f>IF($S88="","",INDEX(#REF!,$S88+1))</f>
        <v/>
      </c>
      <c r="AY88" s="260" t="str">
        <f t="shared" si="58"/>
        <v/>
      </c>
      <c r="AZ88" s="260" t="str">
        <f t="shared" si="59"/>
        <v/>
      </c>
      <c r="BA88" s="260" t="str">
        <f t="shared" si="60"/>
        <v/>
      </c>
      <c r="BB88" s="317" t="str">
        <f>IF($S88="","",SUM($BA88:$BA$114))</f>
        <v/>
      </c>
      <c r="BC88" s="287" t="str">
        <f>IF($S88="","",INDEX(#REF!,$S88+1))</f>
        <v/>
      </c>
      <c r="BD88" s="260" t="str">
        <f t="shared" si="61"/>
        <v/>
      </c>
      <c r="BE88" s="260" t="str">
        <f t="shared" si="62"/>
        <v/>
      </c>
      <c r="BF88" s="260" t="str">
        <f t="shared" si="63"/>
        <v/>
      </c>
      <c r="BG88" s="317" t="str">
        <f>IF($S88="","",SUM($BF88:$BF$114))</f>
        <v/>
      </c>
      <c r="BH88" s="287" t="str">
        <f>IF($S88="","",INDEX(#REF!,$S88+1))</f>
        <v/>
      </c>
      <c r="BI88" s="260" t="str">
        <f t="shared" si="64"/>
        <v/>
      </c>
      <c r="BJ88" s="260" t="str">
        <f t="shared" si="65"/>
        <v/>
      </c>
      <c r="BK88" s="260" t="str">
        <f t="shared" si="66"/>
        <v/>
      </c>
      <c r="BL88" s="317" t="str">
        <f>IF($S88="","",SUM($BK88:$BK$114))</f>
        <v/>
      </c>
      <c r="BM88" s="287" t="str">
        <f t="shared" si="67"/>
        <v/>
      </c>
      <c r="BN88" s="260" t="str">
        <f t="shared" si="78"/>
        <v/>
      </c>
      <c r="BO88" s="260" t="str">
        <f t="shared" si="68"/>
        <v/>
      </c>
      <c r="BP88" s="260" t="str">
        <f t="shared" si="69"/>
        <v/>
      </c>
      <c r="BQ88" s="260" t="str">
        <f t="shared" si="79"/>
        <v/>
      </c>
      <c r="BR88" s="260"/>
      <c r="BS88" s="260"/>
      <c r="BT88" s="260"/>
      <c r="BU88" s="260"/>
      <c r="BV88" s="260" t="str">
        <f>IF($S88="","",SUM(BQ88:BQ$114))</f>
        <v/>
      </c>
      <c r="BW88" s="122" t="str">
        <f>IF(S88&lt;$E$3+$F$5,0,IFERROR(일반형_연납순보험료!S90,0))</f>
        <v/>
      </c>
      <c r="BX88" s="122"/>
      <c r="BY88" s="122"/>
      <c r="BZ88" s="122"/>
      <c r="CA88" s="122"/>
      <c r="CB88" s="260" t="str">
        <f t="shared" si="80"/>
        <v/>
      </c>
      <c r="CC88" s="260" t="str">
        <f t="shared" si="70"/>
        <v/>
      </c>
      <c r="CD88" s="260" t="str">
        <f t="shared" si="71"/>
        <v/>
      </c>
      <c r="CE88" s="260" t="str">
        <f t="shared" si="81"/>
        <v/>
      </c>
      <c r="CF88" s="260" t="str">
        <f t="shared" si="72"/>
        <v/>
      </c>
      <c r="CG88" s="123" t="str">
        <f t="shared" si="82"/>
        <v/>
      </c>
      <c r="CH88" s="124" t="str">
        <f t="shared" si="73"/>
        <v/>
      </c>
      <c r="CI88" s="242"/>
      <c r="CJ88" s="242"/>
      <c r="CK88" s="242"/>
      <c r="CL88" s="242"/>
      <c r="CM88" s="242"/>
      <c r="CN88" s="242"/>
      <c r="CO88" s="479"/>
      <c r="CP88" s="479"/>
      <c r="CQ88" s="479"/>
      <c r="CR88" s="479"/>
      <c r="CS88" s="479"/>
      <c r="CT88" s="479"/>
      <c r="CU88" s="479"/>
      <c r="CV88" s="479"/>
      <c r="CW88" s="479"/>
      <c r="CX88" s="479"/>
      <c r="CY88" s="479"/>
      <c r="CZ88" s="479"/>
      <c r="DA88" s="479"/>
      <c r="DB88" s="479"/>
      <c r="DC88" s="479"/>
      <c r="DD88" s="479"/>
      <c r="DE88" s="479"/>
      <c r="DF88" s="479"/>
      <c r="DG88" s="479"/>
      <c r="DH88" s="479"/>
      <c r="DI88" s="479"/>
      <c r="DJ88" s="479"/>
      <c r="DK88" s="479"/>
      <c r="DL88" s="479"/>
      <c r="DM88" s="479"/>
      <c r="DN88" s="479"/>
      <c r="DO88" s="479"/>
      <c r="DP88" s="479"/>
      <c r="DQ88" s="479"/>
      <c r="DR88" s="479"/>
      <c r="DS88" s="479"/>
      <c r="DT88" s="479"/>
      <c r="DU88" s="479"/>
      <c r="DV88" s="479"/>
      <c r="DW88" s="479"/>
      <c r="DX88" s="479"/>
      <c r="DY88" s="479"/>
      <c r="DZ88" s="479"/>
      <c r="EA88" s="479"/>
      <c r="EB88" s="479"/>
      <c r="EC88" s="479"/>
      <c r="ED88" s="479"/>
    </row>
    <row r="89" spans="1:134">
      <c r="A89" s="305"/>
      <c r="B89" s="373"/>
      <c r="D89" s="469"/>
      <c r="E89" s="469"/>
      <c r="F89" s="456">
        <f>+Main_무해지!F89</f>
        <v>0</v>
      </c>
      <c r="G89" s="470">
        <f>+Main_무해지!G89</f>
        <v>0</v>
      </c>
      <c r="H89" s="460">
        <f>+Main_무해지!H89</f>
        <v>0</v>
      </c>
      <c r="J89" s="5"/>
      <c r="K89" s="5"/>
      <c r="N89" s="278" t="str">
        <f t="shared" si="88"/>
        <v/>
      </c>
      <c r="O89" s="279" t="str">
        <f t="shared" si="89"/>
        <v/>
      </c>
      <c r="P89" s="271" t="str">
        <f t="shared" si="86"/>
        <v/>
      </c>
      <c r="Q89" s="271" t="str">
        <f t="shared" si="87"/>
        <v/>
      </c>
      <c r="R89" s="271"/>
      <c r="S89" s="130" t="str">
        <f t="shared" si="83"/>
        <v/>
      </c>
      <c r="T89" s="288" t="str">
        <f>Main_무해지!AC89</f>
        <v/>
      </c>
      <c r="U89" s="261">
        <f>+Main_무해지!AD89</f>
        <v>0</v>
      </c>
      <c r="V89" s="261" t="str">
        <f t="shared" si="74"/>
        <v/>
      </c>
      <c r="W89" s="261" t="str">
        <f t="shared" si="84"/>
        <v/>
      </c>
      <c r="X89" s="261" t="str">
        <f t="shared" si="45"/>
        <v/>
      </c>
      <c r="Y89" s="131" t="str">
        <f>IF($S89="","",SUM(X89:X$114))</f>
        <v/>
      </c>
      <c r="Z89" s="261" t="str">
        <f t="shared" si="75"/>
        <v/>
      </c>
      <c r="AA89" s="254">
        <f t="shared" si="76"/>
        <v>0</v>
      </c>
      <c r="AB89" s="254" t="str">
        <f>Main_무해지!AJ89</f>
        <v/>
      </c>
      <c r="AC89" s="261" t="str">
        <f t="shared" si="46"/>
        <v/>
      </c>
      <c r="AD89" s="261" t="str">
        <f t="shared" si="85"/>
        <v/>
      </c>
      <c r="AE89" s="261" t="str">
        <f t="shared" si="47"/>
        <v/>
      </c>
      <c r="AF89" s="131" t="str">
        <f>IF($S89="","",SUM(AE89:AE$114))</f>
        <v/>
      </c>
      <c r="AG89" s="288" t="str">
        <f>Main_무해지!AP89</f>
        <v/>
      </c>
      <c r="AH89" s="261" t="str">
        <f t="shared" si="48"/>
        <v/>
      </c>
      <c r="AI89" s="261" t="str">
        <f t="shared" si="49"/>
        <v/>
      </c>
      <c r="AJ89" s="261" t="str">
        <f t="shared" si="50"/>
        <v/>
      </c>
      <c r="AK89" s="318" t="str">
        <f>IF($S89="","",SUM($AL89:$AL$114))</f>
        <v/>
      </c>
      <c r="AL89" s="261" t="str">
        <f t="shared" si="77"/>
        <v/>
      </c>
      <c r="AM89" s="318" t="str">
        <f t="shared" si="51"/>
        <v/>
      </c>
      <c r="AN89" s="288" t="str">
        <f>IF($S89="","",INDEX(#REF!,$S89+1))</f>
        <v/>
      </c>
      <c r="AO89" s="261" t="str">
        <f t="shared" si="52"/>
        <v/>
      </c>
      <c r="AP89" s="261" t="str">
        <f t="shared" si="53"/>
        <v/>
      </c>
      <c r="AQ89" s="261" t="str">
        <f t="shared" si="54"/>
        <v/>
      </c>
      <c r="AR89" s="318" t="str">
        <f>IF($S89="","",SUM($AQ89:$AQ$114))</f>
        <v/>
      </c>
      <c r="AS89" s="288" t="str">
        <f>IF($S89="","",INDEX(#REF!,$S89+1))</f>
        <v/>
      </c>
      <c r="AT89" s="261" t="str">
        <f t="shared" si="55"/>
        <v/>
      </c>
      <c r="AU89" s="261" t="str">
        <f t="shared" si="56"/>
        <v/>
      </c>
      <c r="AV89" s="261" t="str">
        <f t="shared" si="57"/>
        <v/>
      </c>
      <c r="AW89" s="318" t="str">
        <f>IF($S89="","",SUM($AV89:$AV$114))</f>
        <v/>
      </c>
      <c r="AX89" s="288" t="str">
        <f>IF($S89="","",INDEX(#REF!,$S89+1))</f>
        <v/>
      </c>
      <c r="AY89" s="261" t="str">
        <f t="shared" si="58"/>
        <v/>
      </c>
      <c r="AZ89" s="261" t="str">
        <f t="shared" si="59"/>
        <v/>
      </c>
      <c r="BA89" s="261" t="str">
        <f t="shared" si="60"/>
        <v/>
      </c>
      <c r="BB89" s="318" t="str">
        <f>IF($S89="","",SUM($BA89:$BA$114))</f>
        <v/>
      </c>
      <c r="BC89" s="288" t="str">
        <f>IF($S89="","",INDEX(#REF!,$S89+1))</f>
        <v/>
      </c>
      <c r="BD89" s="261" t="str">
        <f t="shared" si="61"/>
        <v/>
      </c>
      <c r="BE89" s="261" t="str">
        <f t="shared" si="62"/>
        <v/>
      </c>
      <c r="BF89" s="261" t="str">
        <f t="shared" si="63"/>
        <v/>
      </c>
      <c r="BG89" s="318" t="str">
        <f>IF($S89="","",SUM($BF89:$BF$114))</f>
        <v/>
      </c>
      <c r="BH89" s="288" t="str">
        <f>IF($S89="","",INDEX(#REF!,$S89+1))</f>
        <v/>
      </c>
      <c r="BI89" s="261" t="str">
        <f t="shared" si="64"/>
        <v/>
      </c>
      <c r="BJ89" s="261" t="str">
        <f t="shared" si="65"/>
        <v/>
      </c>
      <c r="BK89" s="261" t="str">
        <f t="shared" si="66"/>
        <v/>
      </c>
      <c r="BL89" s="318" t="str">
        <f>IF($S89="","",SUM($BK89:$BK$114))</f>
        <v/>
      </c>
      <c r="BM89" s="288" t="str">
        <f t="shared" si="67"/>
        <v/>
      </c>
      <c r="BN89" s="261" t="str">
        <f t="shared" si="78"/>
        <v/>
      </c>
      <c r="BO89" s="261" t="str">
        <f t="shared" si="68"/>
        <v/>
      </c>
      <c r="BP89" s="261" t="str">
        <f t="shared" si="69"/>
        <v/>
      </c>
      <c r="BQ89" s="261" t="str">
        <f t="shared" si="79"/>
        <v/>
      </c>
      <c r="BR89" s="261"/>
      <c r="BS89" s="261"/>
      <c r="BT89" s="261"/>
      <c r="BU89" s="261"/>
      <c r="BV89" s="261" t="str">
        <f>IF($S89="","",SUM(BQ89:BQ$114))</f>
        <v/>
      </c>
      <c r="BW89" s="132" t="str">
        <f>IF(S89&lt;$E$3+$F$5,0,IFERROR(일반형_연납순보험료!S91,0))</f>
        <v/>
      </c>
      <c r="BX89" s="132"/>
      <c r="BY89" s="132"/>
      <c r="BZ89" s="132"/>
      <c r="CA89" s="132"/>
      <c r="CB89" s="261" t="str">
        <f t="shared" si="80"/>
        <v/>
      </c>
      <c r="CC89" s="261" t="str">
        <f t="shared" si="70"/>
        <v/>
      </c>
      <c r="CD89" s="261" t="str">
        <f t="shared" si="71"/>
        <v/>
      </c>
      <c r="CE89" s="261" t="str">
        <f t="shared" si="81"/>
        <v/>
      </c>
      <c r="CF89" s="261" t="str">
        <f t="shared" si="72"/>
        <v/>
      </c>
      <c r="CG89" s="133" t="str">
        <f t="shared" si="82"/>
        <v/>
      </c>
      <c r="CH89" s="134" t="str">
        <f t="shared" si="73"/>
        <v/>
      </c>
      <c r="CI89" s="243"/>
      <c r="CJ89" s="243"/>
      <c r="CK89" s="243"/>
      <c r="CL89" s="243"/>
      <c r="CM89" s="243"/>
      <c r="CN89" s="243"/>
      <c r="CO89" s="479"/>
      <c r="CP89" s="479"/>
      <c r="CQ89" s="479"/>
      <c r="CR89" s="479"/>
      <c r="CS89" s="479"/>
      <c r="CT89" s="479"/>
      <c r="CU89" s="479"/>
      <c r="CV89" s="479"/>
      <c r="CW89" s="479"/>
      <c r="CX89" s="479"/>
      <c r="CY89" s="479"/>
      <c r="CZ89" s="479"/>
      <c r="DA89" s="479"/>
      <c r="DB89" s="479"/>
      <c r="DC89" s="479"/>
      <c r="DD89" s="479"/>
      <c r="DE89" s="479"/>
      <c r="DF89" s="479"/>
      <c r="DG89" s="479"/>
      <c r="DH89" s="479"/>
      <c r="DI89" s="479"/>
      <c r="DJ89" s="479"/>
      <c r="DK89" s="479"/>
      <c r="DL89" s="479"/>
      <c r="DM89" s="479"/>
      <c r="DN89" s="479"/>
      <c r="DO89" s="479"/>
      <c r="DP89" s="479"/>
      <c r="DQ89" s="479"/>
      <c r="DR89" s="479"/>
      <c r="DS89" s="479"/>
      <c r="DT89" s="479"/>
      <c r="DU89" s="479"/>
      <c r="DV89" s="479"/>
      <c r="DW89" s="479"/>
      <c r="DX89" s="479"/>
      <c r="DY89" s="479"/>
      <c r="DZ89" s="479"/>
      <c r="EA89" s="479"/>
      <c r="EB89" s="479"/>
      <c r="EC89" s="479"/>
      <c r="ED89" s="479"/>
    </row>
    <row r="90" spans="1:134">
      <c r="A90" s="305"/>
      <c r="B90" s="373"/>
      <c r="D90" s="469"/>
      <c r="E90" s="469"/>
      <c r="F90" s="456">
        <f>+Main_무해지!F90</f>
        <v>0</v>
      </c>
      <c r="G90" s="470">
        <f>+Main_무해지!G90</f>
        <v>0</v>
      </c>
      <c r="H90" s="460">
        <f>+Main_무해지!H90</f>
        <v>0</v>
      </c>
      <c r="J90" s="5"/>
      <c r="K90" s="5"/>
      <c r="N90" s="278" t="str">
        <f t="shared" si="88"/>
        <v/>
      </c>
      <c r="O90" s="279" t="str">
        <f t="shared" si="89"/>
        <v/>
      </c>
      <c r="P90" s="271" t="str">
        <f t="shared" si="86"/>
        <v/>
      </c>
      <c r="Q90" s="271" t="str">
        <f t="shared" si="87"/>
        <v/>
      </c>
      <c r="R90" s="271"/>
      <c r="S90" s="759" t="str">
        <f t="shared" si="83"/>
        <v/>
      </c>
      <c r="T90" s="761" t="str">
        <f>Main_무해지!AC90</f>
        <v/>
      </c>
      <c r="U90" s="409">
        <f>+Main_무해지!AD90</f>
        <v>0</v>
      </c>
      <c r="V90" s="409" t="str">
        <f t="shared" si="74"/>
        <v/>
      </c>
      <c r="W90" s="409" t="str">
        <f t="shared" si="84"/>
        <v/>
      </c>
      <c r="X90" s="409" t="str">
        <f t="shared" si="45"/>
        <v/>
      </c>
      <c r="Y90" s="760" t="str">
        <f>IF($S90="","",SUM(X90:X$114))</f>
        <v/>
      </c>
      <c r="Z90" s="409" t="str">
        <f t="shared" si="75"/>
        <v/>
      </c>
      <c r="AA90" s="254">
        <f t="shared" si="76"/>
        <v>0</v>
      </c>
      <c r="AB90" s="254" t="str">
        <f>Main_무해지!AJ90</f>
        <v/>
      </c>
      <c r="AC90" s="409" t="str">
        <f t="shared" si="46"/>
        <v/>
      </c>
      <c r="AD90" s="409" t="str">
        <f t="shared" si="85"/>
        <v/>
      </c>
      <c r="AE90" s="409" t="str">
        <f t="shared" si="47"/>
        <v/>
      </c>
      <c r="AF90" s="760" t="str">
        <f>IF($S90="","",SUM(AE90:AE$114))</f>
        <v/>
      </c>
      <c r="AG90" s="761" t="str">
        <f>Main_무해지!AP90</f>
        <v/>
      </c>
      <c r="AH90" s="409" t="str">
        <f t="shared" si="48"/>
        <v/>
      </c>
      <c r="AI90" s="409" t="str">
        <f t="shared" si="49"/>
        <v/>
      </c>
      <c r="AJ90" s="409" t="str">
        <f t="shared" si="50"/>
        <v/>
      </c>
      <c r="AK90" s="762" t="str">
        <f>IF($S90="","",SUM($AL90:$AL$114))</f>
        <v/>
      </c>
      <c r="AL90" s="409" t="str">
        <f t="shared" si="77"/>
        <v/>
      </c>
      <c r="AM90" s="762" t="str">
        <f t="shared" si="51"/>
        <v/>
      </c>
      <c r="AN90" s="761" t="str">
        <f>IF($S90="","",INDEX(#REF!,$S90+1))</f>
        <v/>
      </c>
      <c r="AO90" s="409" t="str">
        <f t="shared" si="52"/>
        <v/>
      </c>
      <c r="AP90" s="409" t="str">
        <f t="shared" si="53"/>
        <v/>
      </c>
      <c r="AQ90" s="409" t="str">
        <f t="shared" si="54"/>
        <v/>
      </c>
      <c r="AR90" s="762" t="str">
        <f>IF($S90="","",SUM($AQ90:$AQ$114))</f>
        <v/>
      </c>
      <c r="AS90" s="761" t="str">
        <f>IF($S90="","",INDEX(#REF!,$S90+1))</f>
        <v/>
      </c>
      <c r="AT90" s="409" t="str">
        <f t="shared" si="55"/>
        <v/>
      </c>
      <c r="AU90" s="409" t="str">
        <f t="shared" si="56"/>
        <v/>
      </c>
      <c r="AV90" s="409" t="str">
        <f t="shared" si="57"/>
        <v/>
      </c>
      <c r="AW90" s="762" t="str">
        <f>IF($S90="","",SUM($AV90:$AV$114))</f>
        <v/>
      </c>
      <c r="AX90" s="761" t="str">
        <f>IF($S90="","",INDEX(#REF!,$S90+1))</f>
        <v/>
      </c>
      <c r="AY90" s="409" t="str">
        <f t="shared" si="58"/>
        <v/>
      </c>
      <c r="AZ90" s="409" t="str">
        <f t="shared" si="59"/>
        <v/>
      </c>
      <c r="BA90" s="409" t="str">
        <f t="shared" si="60"/>
        <v/>
      </c>
      <c r="BB90" s="762" t="str">
        <f>IF($S90="","",SUM($BA90:$BA$114))</f>
        <v/>
      </c>
      <c r="BC90" s="761" t="str">
        <f>IF($S90="","",INDEX(#REF!,$S90+1))</f>
        <v/>
      </c>
      <c r="BD90" s="409" t="str">
        <f t="shared" si="61"/>
        <v/>
      </c>
      <c r="BE90" s="409" t="str">
        <f t="shared" si="62"/>
        <v/>
      </c>
      <c r="BF90" s="409" t="str">
        <f t="shared" si="63"/>
        <v/>
      </c>
      <c r="BG90" s="762" t="str">
        <f>IF($S90="","",SUM($BF90:$BF$114))</f>
        <v/>
      </c>
      <c r="BH90" s="761" t="str">
        <f>IF($S90="","",INDEX(#REF!,$S90+1))</f>
        <v/>
      </c>
      <c r="BI90" s="409" t="str">
        <f t="shared" si="64"/>
        <v/>
      </c>
      <c r="BJ90" s="409" t="str">
        <f t="shared" si="65"/>
        <v/>
      </c>
      <c r="BK90" s="409" t="str">
        <f t="shared" si="66"/>
        <v/>
      </c>
      <c r="BL90" s="762" t="str">
        <f>IF($S90="","",SUM($BK90:$BK$114))</f>
        <v/>
      </c>
      <c r="BM90" s="761" t="str">
        <f t="shared" si="67"/>
        <v/>
      </c>
      <c r="BN90" s="409" t="str">
        <f t="shared" si="78"/>
        <v/>
      </c>
      <c r="BO90" s="409" t="str">
        <f t="shared" si="68"/>
        <v/>
      </c>
      <c r="BP90" s="409" t="str">
        <f t="shared" si="69"/>
        <v/>
      </c>
      <c r="BQ90" s="409" t="str">
        <f t="shared" si="79"/>
        <v/>
      </c>
      <c r="BR90" s="409"/>
      <c r="BS90" s="409"/>
      <c r="BT90" s="409"/>
      <c r="BU90" s="409"/>
      <c r="BV90" s="409" t="str">
        <f>IF($S90="","",SUM(BQ90:BQ$114))</f>
        <v/>
      </c>
      <c r="BW90" s="763" t="str">
        <f>IF(S90&lt;$E$3+$F$5,0,IFERROR(일반형_연납순보험료!S92,0))</f>
        <v/>
      </c>
      <c r="BX90" s="763"/>
      <c r="BY90" s="763"/>
      <c r="BZ90" s="763"/>
      <c r="CA90" s="763"/>
      <c r="CB90" s="409" t="str">
        <f t="shared" si="80"/>
        <v/>
      </c>
      <c r="CC90" s="409" t="str">
        <f t="shared" si="70"/>
        <v/>
      </c>
      <c r="CD90" s="409" t="str">
        <f t="shared" si="71"/>
        <v/>
      </c>
      <c r="CE90" s="409" t="str">
        <f t="shared" si="81"/>
        <v/>
      </c>
      <c r="CF90" s="409" t="str">
        <f t="shared" si="72"/>
        <v/>
      </c>
      <c r="CG90" s="765" t="str">
        <f t="shared" si="82"/>
        <v/>
      </c>
      <c r="CH90" s="766" t="str">
        <f t="shared" si="73"/>
        <v/>
      </c>
      <c r="CI90" s="414"/>
      <c r="CJ90" s="414"/>
      <c r="CK90" s="414"/>
      <c r="CL90" s="414"/>
      <c r="CM90" s="414"/>
      <c r="CN90" s="414"/>
      <c r="CO90" s="479"/>
      <c r="CP90" s="479"/>
      <c r="CQ90" s="479"/>
      <c r="CR90" s="479"/>
      <c r="CS90" s="479"/>
      <c r="CT90" s="479"/>
      <c r="CU90" s="479"/>
      <c r="CV90" s="479"/>
      <c r="CW90" s="479"/>
      <c r="CX90" s="479"/>
      <c r="CY90" s="479"/>
      <c r="CZ90" s="479"/>
      <c r="DA90" s="479"/>
      <c r="DB90" s="479"/>
      <c r="DC90" s="479"/>
      <c r="DD90" s="479"/>
      <c r="DE90" s="479"/>
      <c r="DF90" s="479"/>
      <c r="DG90" s="479"/>
      <c r="DH90" s="479"/>
      <c r="DI90" s="479"/>
      <c r="DJ90" s="479"/>
      <c r="DK90" s="479"/>
      <c r="DL90" s="479"/>
      <c r="DM90" s="479"/>
      <c r="DN90" s="479"/>
      <c r="DO90" s="479"/>
      <c r="DP90" s="479"/>
      <c r="DQ90" s="479"/>
      <c r="DR90" s="479"/>
      <c r="DS90" s="479"/>
      <c r="DT90" s="479"/>
      <c r="DU90" s="479"/>
      <c r="DV90" s="479"/>
      <c r="DW90" s="479"/>
      <c r="DX90" s="479"/>
      <c r="DY90" s="479"/>
      <c r="DZ90" s="479"/>
      <c r="EA90" s="479"/>
      <c r="EB90" s="479"/>
      <c r="EC90" s="479"/>
      <c r="ED90" s="479"/>
    </row>
    <row r="91" spans="1:134">
      <c r="A91" s="305"/>
      <c r="B91" s="373"/>
      <c r="D91" s="469"/>
      <c r="E91" s="469"/>
      <c r="F91" s="459">
        <f>+Main_무해지!F91</f>
        <v>0</v>
      </c>
      <c r="G91" s="470">
        <f>+Main_무해지!G91</f>
        <v>0</v>
      </c>
      <c r="H91" s="460">
        <f>+Main_무해지!H91</f>
        <v>0</v>
      </c>
      <c r="J91" s="5"/>
      <c r="K91" s="5"/>
      <c r="N91" s="278" t="str">
        <f t="shared" si="88"/>
        <v/>
      </c>
      <c r="O91" s="279" t="str">
        <f t="shared" si="89"/>
        <v/>
      </c>
      <c r="P91" s="271" t="str">
        <f t="shared" si="86"/>
        <v/>
      </c>
      <c r="Q91" s="271" t="str">
        <f t="shared" si="87"/>
        <v/>
      </c>
      <c r="R91" s="271"/>
      <c r="S91" s="70" t="str">
        <f t="shared" si="83"/>
        <v/>
      </c>
      <c r="T91" s="71" t="str">
        <f>Main_무해지!AC91</f>
        <v/>
      </c>
      <c r="U91" s="256">
        <f>+Main_무해지!AD91</f>
        <v>0</v>
      </c>
      <c r="V91" s="256" t="str">
        <f t="shared" si="74"/>
        <v/>
      </c>
      <c r="W91" s="256" t="str">
        <f t="shared" si="84"/>
        <v/>
      </c>
      <c r="X91" s="256" t="str">
        <f t="shared" si="45"/>
        <v/>
      </c>
      <c r="Y91" s="72" t="str">
        <f>IF($S91="","",SUM(X91:X$114))</f>
        <v/>
      </c>
      <c r="Z91" s="256" t="str">
        <f t="shared" si="75"/>
        <v/>
      </c>
      <c r="AA91" s="254">
        <f t="shared" si="76"/>
        <v>0</v>
      </c>
      <c r="AB91" s="254" t="str">
        <f>Main_무해지!AJ91</f>
        <v/>
      </c>
      <c r="AC91" s="256" t="str">
        <f t="shared" si="46"/>
        <v/>
      </c>
      <c r="AD91" s="256" t="str">
        <f t="shared" si="85"/>
        <v/>
      </c>
      <c r="AE91" s="256" t="str">
        <f t="shared" si="47"/>
        <v/>
      </c>
      <c r="AF91" s="72" t="str">
        <f>IF($S91="","",SUM(AE91:AE$114))</f>
        <v/>
      </c>
      <c r="AG91" s="71" t="str">
        <f>Main_무해지!AP91</f>
        <v/>
      </c>
      <c r="AH91" s="256" t="str">
        <f t="shared" si="48"/>
        <v/>
      </c>
      <c r="AI91" s="256" t="str">
        <f t="shared" si="49"/>
        <v/>
      </c>
      <c r="AJ91" s="256" t="str">
        <f t="shared" si="50"/>
        <v/>
      </c>
      <c r="AK91" s="75" t="str">
        <f>IF($S91="","",SUM($AL91:$AL$114))</f>
        <v/>
      </c>
      <c r="AL91" s="256" t="str">
        <f t="shared" si="77"/>
        <v/>
      </c>
      <c r="AM91" s="75" t="str">
        <f t="shared" si="51"/>
        <v/>
      </c>
      <c r="AN91" s="71" t="str">
        <f>IF($S91="","",INDEX(#REF!,$S91+1))</f>
        <v/>
      </c>
      <c r="AO91" s="256" t="str">
        <f t="shared" si="52"/>
        <v/>
      </c>
      <c r="AP91" s="256" t="str">
        <f t="shared" si="53"/>
        <v/>
      </c>
      <c r="AQ91" s="256" t="str">
        <f t="shared" si="54"/>
        <v/>
      </c>
      <c r="AR91" s="75" t="str">
        <f>IF($S91="","",SUM($AQ91:$AQ$114))</f>
        <v/>
      </c>
      <c r="AS91" s="71" t="str">
        <f>IF($S91="","",INDEX(#REF!,$S91+1))</f>
        <v/>
      </c>
      <c r="AT91" s="256" t="str">
        <f t="shared" si="55"/>
        <v/>
      </c>
      <c r="AU91" s="256" t="str">
        <f t="shared" si="56"/>
        <v/>
      </c>
      <c r="AV91" s="256" t="str">
        <f t="shared" si="57"/>
        <v/>
      </c>
      <c r="AW91" s="75" t="str">
        <f>IF($S91="","",SUM($AV91:$AV$114))</f>
        <v/>
      </c>
      <c r="AX91" s="71" t="str">
        <f>IF($S91="","",INDEX(#REF!,$S91+1))</f>
        <v/>
      </c>
      <c r="AY91" s="256" t="str">
        <f t="shared" si="58"/>
        <v/>
      </c>
      <c r="AZ91" s="256" t="str">
        <f t="shared" si="59"/>
        <v/>
      </c>
      <c r="BA91" s="256" t="str">
        <f t="shared" si="60"/>
        <v/>
      </c>
      <c r="BB91" s="75" t="str">
        <f>IF($S91="","",SUM($BA91:$BA$114))</f>
        <v/>
      </c>
      <c r="BC91" s="71" t="str">
        <f>IF($S91="","",INDEX(#REF!,$S91+1))</f>
        <v/>
      </c>
      <c r="BD91" s="256" t="str">
        <f t="shared" si="61"/>
        <v/>
      </c>
      <c r="BE91" s="256" t="str">
        <f t="shared" si="62"/>
        <v/>
      </c>
      <c r="BF91" s="256" t="str">
        <f t="shared" si="63"/>
        <v/>
      </c>
      <c r="BG91" s="75" t="str">
        <f>IF($S91="","",SUM($BF91:$BF$114))</f>
        <v/>
      </c>
      <c r="BH91" s="71" t="str">
        <f>IF($S91="","",INDEX(#REF!,$S91+1))</f>
        <v/>
      </c>
      <c r="BI91" s="256" t="str">
        <f t="shared" si="64"/>
        <v/>
      </c>
      <c r="BJ91" s="256" t="str">
        <f t="shared" si="65"/>
        <v/>
      </c>
      <c r="BK91" s="256" t="str">
        <f t="shared" si="66"/>
        <v/>
      </c>
      <c r="BL91" s="75" t="str">
        <f>IF($S91="","",SUM($BK91:$BK$114))</f>
        <v/>
      </c>
      <c r="BM91" s="71" t="str">
        <f t="shared" si="67"/>
        <v/>
      </c>
      <c r="BN91" s="256" t="str">
        <f t="shared" si="78"/>
        <v/>
      </c>
      <c r="BO91" s="256" t="str">
        <f t="shared" si="68"/>
        <v/>
      </c>
      <c r="BP91" s="256" t="str">
        <f t="shared" si="69"/>
        <v/>
      </c>
      <c r="BQ91" s="256" t="str">
        <f t="shared" si="79"/>
        <v/>
      </c>
      <c r="BR91" s="256"/>
      <c r="BS91" s="256"/>
      <c r="BT91" s="256"/>
      <c r="BU91" s="256"/>
      <c r="BV91" s="256" t="str">
        <f>IF($S91="","",SUM(BQ91:BQ$114))</f>
        <v/>
      </c>
      <c r="BW91" s="73" t="str">
        <f>IF(S91&lt;$E$3+$F$5,0,IFERROR(일반형_연납순보험료!S93,0))</f>
        <v/>
      </c>
      <c r="BX91" s="73"/>
      <c r="BY91" s="73"/>
      <c r="BZ91" s="73"/>
      <c r="CA91" s="73"/>
      <c r="CB91" s="256" t="str">
        <f t="shared" si="80"/>
        <v/>
      </c>
      <c r="CC91" s="256" t="str">
        <f t="shared" si="70"/>
        <v/>
      </c>
      <c r="CD91" s="256" t="str">
        <f t="shared" si="71"/>
        <v/>
      </c>
      <c r="CE91" s="256" t="str">
        <f t="shared" si="81"/>
        <v/>
      </c>
      <c r="CF91" s="256" t="str">
        <f t="shared" si="72"/>
        <v/>
      </c>
      <c r="CG91" s="76" t="str">
        <f t="shared" si="82"/>
        <v/>
      </c>
      <c r="CH91" s="77" t="str">
        <f t="shared" si="73"/>
        <v/>
      </c>
      <c r="CI91" s="238"/>
      <c r="CJ91" s="238"/>
      <c r="CK91" s="238"/>
      <c r="CL91" s="238"/>
      <c r="CM91" s="238"/>
      <c r="CN91" s="238"/>
      <c r="CO91" s="479"/>
      <c r="CP91" s="479"/>
      <c r="CQ91" s="479"/>
      <c r="CR91" s="479"/>
      <c r="CS91" s="479"/>
      <c r="CT91" s="479"/>
      <c r="CU91" s="479"/>
      <c r="CV91" s="479"/>
      <c r="CW91" s="479"/>
      <c r="CX91" s="479"/>
      <c r="CY91" s="479"/>
      <c r="CZ91" s="479"/>
      <c r="DA91" s="479"/>
      <c r="DB91" s="479"/>
      <c r="DC91" s="479"/>
      <c r="DD91" s="479"/>
      <c r="DE91" s="479"/>
      <c r="DF91" s="479"/>
      <c r="DG91" s="479"/>
      <c r="DH91" s="479"/>
      <c r="DI91" s="479"/>
      <c r="DJ91" s="479"/>
      <c r="DK91" s="479"/>
      <c r="DL91" s="479"/>
      <c r="DM91" s="479"/>
      <c r="DN91" s="479"/>
      <c r="DO91" s="479"/>
      <c r="DP91" s="479"/>
      <c r="DQ91" s="479"/>
      <c r="DR91" s="479"/>
      <c r="DS91" s="479"/>
      <c r="DT91" s="479"/>
      <c r="DU91" s="479"/>
      <c r="DV91" s="479"/>
      <c r="DW91" s="479"/>
      <c r="DX91" s="479"/>
      <c r="DY91" s="479"/>
      <c r="DZ91" s="479"/>
      <c r="EA91" s="479"/>
      <c r="EB91" s="479"/>
      <c r="EC91" s="479"/>
      <c r="ED91" s="479"/>
    </row>
    <row r="92" spans="1:134">
      <c r="A92" s="305"/>
      <c r="B92" s="373"/>
      <c r="D92" s="469"/>
      <c r="E92" s="469"/>
      <c r="F92" s="459">
        <f>+Main_무해지!F92</f>
        <v>0</v>
      </c>
      <c r="G92" s="470">
        <f>+Main_무해지!G92</f>
        <v>0</v>
      </c>
      <c r="H92" s="460">
        <f>+Main_무해지!H92</f>
        <v>0</v>
      </c>
      <c r="J92" s="5"/>
      <c r="K92" s="5"/>
      <c r="N92" s="278" t="str">
        <f t="shared" si="88"/>
        <v/>
      </c>
      <c r="O92" s="279" t="str">
        <f t="shared" si="89"/>
        <v/>
      </c>
      <c r="P92" s="271" t="str">
        <f t="shared" si="86"/>
        <v/>
      </c>
      <c r="Q92" s="271" t="str">
        <f t="shared" si="87"/>
        <v/>
      </c>
      <c r="R92" s="271"/>
      <c r="S92" s="70" t="str">
        <f t="shared" si="83"/>
        <v/>
      </c>
      <c r="T92" s="71" t="str">
        <f>Main_무해지!AC92</f>
        <v/>
      </c>
      <c r="U92" s="256">
        <f>+Main_무해지!AD92</f>
        <v>0</v>
      </c>
      <c r="V92" s="256" t="str">
        <f t="shared" si="74"/>
        <v/>
      </c>
      <c r="W92" s="256" t="str">
        <f t="shared" si="84"/>
        <v/>
      </c>
      <c r="X92" s="256" t="str">
        <f t="shared" si="45"/>
        <v/>
      </c>
      <c r="Y92" s="72" t="str">
        <f>IF($S92="","",SUM(X92:X$114))</f>
        <v/>
      </c>
      <c r="Z92" s="256" t="str">
        <f t="shared" si="75"/>
        <v/>
      </c>
      <c r="AA92" s="254">
        <f t="shared" si="76"/>
        <v>0</v>
      </c>
      <c r="AB92" s="254" t="str">
        <f>Main_무해지!AJ92</f>
        <v/>
      </c>
      <c r="AC92" s="256" t="str">
        <f t="shared" si="46"/>
        <v/>
      </c>
      <c r="AD92" s="256" t="str">
        <f t="shared" si="85"/>
        <v/>
      </c>
      <c r="AE92" s="256" t="str">
        <f t="shared" si="47"/>
        <v/>
      </c>
      <c r="AF92" s="72" t="str">
        <f>IF($S92="","",SUM(AE92:AE$114))</f>
        <v/>
      </c>
      <c r="AG92" s="71" t="str">
        <f>Main_무해지!AP92</f>
        <v/>
      </c>
      <c r="AH92" s="256" t="str">
        <f t="shared" si="48"/>
        <v/>
      </c>
      <c r="AI92" s="256" t="str">
        <f t="shared" si="49"/>
        <v/>
      </c>
      <c r="AJ92" s="256" t="str">
        <f t="shared" si="50"/>
        <v/>
      </c>
      <c r="AK92" s="75" t="str">
        <f>IF($S92="","",SUM($AL92:$AL$114))</f>
        <v/>
      </c>
      <c r="AL92" s="256" t="str">
        <f t="shared" si="77"/>
        <v/>
      </c>
      <c r="AM92" s="75" t="str">
        <f t="shared" si="51"/>
        <v/>
      </c>
      <c r="AN92" s="71" t="str">
        <f>IF($S92="","",INDEX(#REF!,$S92+1))</f>
        <v/>
      </c>
      <c r="AO92" s="256" t="str">
        <f t="shared" si="52"/>
        <v/>
      </c>
      <c r="AP92" s="256" t="str">
        <f t="shared" si="53"/>
        <v/>
      </c>
      <c r="AQ92" s="256" t="str">
        <f t="shared" si="54"/>
        <v/>
      </c>
      <c r="AR92" s="75" t="str">
        <f>IF($S92="","",SUM($AQ92:$AQ$114))</f>
        <v/>
      </c>
      <c r="AS92" s="71" t="str">
        <f>IF($S92="","",INDEX(#REF!,$S92+1))</f>
        <v/>
      </c>
      <c r="AT92" s="256" t="str">
        <f t="shared" si="55"/>
        <v/>
      </c>
      <c r="AU92" s="256" t="str">
        <f t="shared" si="56"/>
        <v/>
      </c>
      <c r="AV92" s="256" t="str">
        <f t="shared" si="57"/>
        <v/>
      </c>
      <c r="AW92" s="75" t="str">
        <f>IF($S92="","",SUM($AV92:$AV$114))</f>
        <v/>
      </c>
      <c r="AX92" s="71" t="str">
        <f>IF($S92="","",INDEX(#REF!,$S92+1))</f>
        <v/>
      </c>
      <c r="AY92" s="256" t="str">
        <f t="shared" si="58"/>
        <v/>
      </c>
      <c r="AZ92" s="256" t="str">
        <f t="shared" si="59"/>
        <v/>
      </c>
      <c r="BA92" s="256" t="str">
        <f t="shared" si="60"/>
        <v/>
      </c>
      <c r="BB92" s="75" t="str">
        <f>IF($S92="","",SUM($BA92:$BA$114))</f>
        <v/>
      </c>
      <c r="BC92" s="71" t="str">
        <f>IF($S92="","",INDEX(#REF!,$S92+1))</f>
        <v/>
      </c>
      <c r="BD92" s="256" t="str">
        <f t="shared" si="61"/>
        <v/>
      </c>
      <c r="BE92" s="256" t="str">
        <f t="shared" si="62"/>
        <v/>
      </c>
      <c r="BF92" s="256" t="str">
        <f t="shared" si="63"/>
        <v/>
      </c>
      <c r="BG92" s="75" t="str">
        <f>IF($S92="","",SUM($BF92:$BF$114))</f>
        <v/>
      </c>
      <c r="BH92" s="71" t="str">
        <f>IF($S92="","",INDEX(#REF!,$S92+1))</f>
        <v/>
      </c>
      <c r="BI92" s="256" t="str">
        <f t="shared" si="64"/>
        <v/>
      </c>
      <c r="BJ92" s="256" t="str">
        <f t="shared" si="65"/>
        <v/>
      </c>
      <c r="BK92" s="256" t="str">
        <f t="shared" si="66"/>
        <v/>
      </c>
      <c r="BL92" s="75" t="str">
        <f>IF($S92="","",SUM($BK92:$BK$114))</f>
        <v/>
      </c>
      <c r="BM92" s="71" t="str">
        <f t="shared" si="67"/>
        <v/>
      </c>
      <c r="BN92" s="256" t="str">
        <f t="shared" si="78"/>
        <v/>
      </c>
      <c r="BO92" s="256" t="str">
        <f t="shared" si="68"/>
        <v/>
      </c>
      <c r="BP92" s="256" t="str">
        <f t="shared" si="69"/>
        <v/>
      </c>
      <c r="BQ92" s="256" t="str">
        <f t="shared" si="79"/>
        <v/>
      </c>
      <c r="BR92" s="256"/>
      <c r="BS92" s="256"/>
      <c r="BT92" s="256"/>
      <c r="BU92" s="256"/>
      <c r="BV92" s="256" t="str">
        <f>IF($S92="","",SUM(BQ92:BQ$114))</f>
        <v/>
      </c>
      <c r="BW92" s="73" t="str">
        <f>IF(S92&lt;$E$3+$F$5,0,IFERROR(일반형_연납순보험료!S94,0))</f>
        <v/>
      </c>
      <c r="BX92" s="73"/>
      <c r="BY92" s="73"/>
      <c r="BZ92" s="73"/>
      <c r="CA92" s="73"/>
      <c r="CB92" s="256" t="str">
        <f t="shared" si="80"/>
        <v/>
      </c>
      <c r="CC92" s="256" t="str">
        <f t="shared" si="70"/>
        <v/>
      </c>
      <c r="CD92" s="256" t="str">
        <f t="shared" si="71"/>
        <v/>
      </c>
      <c r="CE92" s="256" t="str">
        <f t="shared" si="81"/>
        <v/>
      </c>
      <c r="CF92" s="256" t="str">
        <f t="shared" si="72"/>
        <v/>
      </c>
      <c r="CG92" s="76" t="str">
        <f t="shared" si="82"/>
        <v/>
      </c>
      <c r="CH92" s="77" t="str">
        <f t="shared" si="73"/>
        <v/>
      </c>
      <c r="CI92" s="238"/>
      <c r="CJ92" s="238"/>
      <c r="CK92" s="238"/>
      <c r="CL92" s="238"/>
      <c r="CM92" s="238"/>
      <c r="CN92" s="238"/>
      <c r="CO92" s="479"/>
      <c r="CP92" s="479"/>
      <c r="CQ92" s="479"/>
      <c r="CR92" s="479"/>
      <c r="CS92" s="479"/>
      <c r="CT92" s="479"/>
      <c r="CU92" s="479"/>
      <c r="CV92" s="479"/>
      <c r="CW92" s="479"/>
      <c r="CX92" s="479"/>
      <c r="CY92" s="479"/>
      <c r="CZ92" s="479"/>
      <c r="DA92" s="479"/>
      <c r="DB92" s="479"/>
      <c r="DC92" s="479"/>
      <c r="DD92" s="479"/>
      <c r="DE92" s="479"/>
      <c r="DF92" s="479"/>
      <c r="DG92" s="479"/>
      <c r="DH92" s="479"/>
      <c r="DI92" s="479"/>
      <c r="DJ92" s="479"/>
      <c r="DK92" s="479"/>
      <c r="DL92" s="479"/>
      <c r="DM92" s="479"/>
      <c r="DN92" s="479"/>
      <c r="DO92" s="479"/>
      <c r="DP92" s="479"/>
      <c r="DQ92" s="479"/>
      <c r="DR92" s="479"/>
      <c r="DS92" s="479"/>
      <c r="DT92" s="479"/>
      <c r="DU92" s="479"/>
      <c r="DV92" s="479"/>
      <c r="DW92" s="479"/>
      <c r="DX92" s="479"/>
      <c r="DY92" s="479"/>
      <c r="DZ92" s="479"/>
      <c r="EA92" s="479"/>
      <c r="EB92" s="479"/>
      <c r="EC92" s="479"/>
      <c r="ED92" s="479"/>
    </row>
    <row r="93" spans="1:134">
      <c r="A93" s="305"/>
      <c r="B93" s="373"/>
      <c r="D93" s="469"/>
      <c r="E93" s="469"/>
      <c r="F93" s="459">
        <f>+Main_무해지!F93</f>
        <v>0</v>
      </c>
      <c r="G93" s="470">
        <f>+Main_무해지!G93</f>
        <v>0</v>
      </c>
      <c r="H93" s="460">
        <f>+Main_무해지!H93</f>
        <v>0</v>
      </c>
      <c r="J93" s="5"/>
      <c r="K93" s="5"/>
      <c r="N93" s="278" t="str">
        <f t="shared" si="88"/>
        <v/>
      </c>
      <c r="O93" s="279" t="str">
        <f t="shared" si="89"/>
        <v/>
      </c>
      <c r="P93" s="271" t="str">
        <f t="shared" si="86"/>
        <v/>
      </c>
      <c r="Q93" s="271" t="str">
        <f t="shared" si="87"/>
        <v/>
      </c>
      <c r="R93" s="271"/>
      <c r="S93" s="70" t="str">
        <f t="shared" si="83"/>
        <v/>
      </c>
      <c r="T93" s="71" t="str">
        <f>Main_무해지!AC93</f>
        <v/>
      </c>
      <c r="U93" s="256">
        <f>+Main_무해지!AD93</f>
        <v>0</v>
      </c>
      <c r="V93" s="256" t="str">
        <f t="shared" si="74"/>
        <v/>
      </c>
      <c r="W93" s="256" t="str">
        <f t="shared" si="84"/>
        <v/>
      </c>
      <c r="X93" s="256" t="str">
        <f t="shared" si="45"/>
        <v/>
      </c>
      <c r="Y93" s="72" t="str">
        <f>IF($S93="","",SUM(X93:X$114))</f>
        <v/>
      </c>
      <c r="Z93" s="256" t="str">
        <f t="shared" si="75"/>
        <v/>
      </c>
      <c r="AA93" s="254">
        <f t="shared" si="76"/>
        <v>0</v>
      </c>
      <c r="AB93" s="254" t="str">
        <f>Main_무해지!AJ93</f>
        <v/>
      </c>
      <c r="AC93" s="256" t="str">
        <f t="shared" si="46"/>
        <v/>
      </c>
      <c r="AD93" s="256" t="str">
        <f t="shared" si="85"/>
        <v/>
      </c>
      <c r="AE93" s="256" t="str">
        <f t="shared" si="47"/>
        <v/>
      </c>
      <c r="AF93" s="72" t="str">
        <f>IF($S93="","",SUM(AE93:AE$114))</f>
        <v/>
      </c>
      <c r="AG93" s="71" t="str">
        <f>Main_무해지!AP93</f>
        <v/>
      </c>
      <c r="AH93" s="256" t="str">
        <f t="shared" si="48"/>
        <v/>
      </c>
      <c r="AI93" s="256" t="str">
        <f t="shared" si="49"/>
        <v/>
      </c>
      <c r="AJ93" s="256" t="str">
        <f t="shared" si="50"/>
        <v/>
      </c>
      <c r="AK93" s="75" t="str">
        <f>IF($S93="","",SUM($AL93:$AL$114))</f>
        <v/>
      </c>
      <c r="AL93" s="256" t="str">
        <f t="shared" si="77"/>
        <v/>
      </c>
      <c r="AM93" s="75" t="str">
        <f t="shared" si="51"/>
        <v/>
      </c>
      <c r="AN93" s="71" t="str">
        <f>IF($S93="","",INDEX(#REF!,$S93+1))</f>
        <v/>
      </c>
      <c r="AO93" s="256" t="str">
        <f t="shared" si="52"/>
        <v/>
      </c>
      <c r="AP93" s="256" t="str">
        <f t="shared" si="53"/>
        <v/>
      </c>
      <c r="AQ93" s="256" t="str">
        <f t="shared" si="54"/>
        <v/>
      </c>
      <c r="AR93" s="75" t="str">
        <f>IF($S93="","",SUM($AQ93:$AQ$114))</f>
        <v/>
      </c>
      <c r="AS93" s="71" t="str">
        <f>IF($S93="","",INDEX(#REF!,$S93+1))</f>
        <v/>
      </c>
      <c r="AT93" s="256" t="str">
        <f t="shared" si="55"/>
        <v/>
      </c>
      <c r="AU93" s="256" t="str">
        <f t="shared" si="56"/>
        <v/>
      </c>
      <c r="AV93" s="256" t="str">
        <f t="shared" si="57"/>
        <v/>
      </c>
      <c r="AW93" s="75" t="str">
        <f>IF($S93="","",SUM($AV93:$AV$114))</f>
        <v/>
      </c>
      <c r="AX93" s="71" t="str">
        <f>IF($S93="","",INDEX(#REF!,$S93+1))</f>
        <v/>
      </c>
      <c r="AY93" s="256" t="str">
        <f t="shared" si="58"/>
        <v/>
      </c>
      <c r="AZ93" s="256" t="str">
        <f t="shared" si="59"/>
        <v/>
      </c>
      <c r="BA93" s="256" t="str">
        <f t="shared" si="60"/>
        <v/>
      </c>
      <c r="BB93" s="75" t="str">
        <f>IF($S93="","",SUM($BA93:$BA$114))</f>
        <v/>
      </c>
      <c r="BC93" s="71" t="str">
        <f>IF($S93="","",INDEX(#REF!,$S93+1))</f>
        <v/>
      </c>
      <c r="BD93" s="256" t="str">
        <f t="shared" si="61"/>
        <v/>
      </c>
      <c r="BE93" s="256" t="str">
        <f t="shared" si="62"/>
        <v/>
      </c>
      <c r="BF93" s="256" t="str">
        <f t="shared" si="63"/>
        <v/>
      </c>
      <c r="BG93" s="75" t="str">
        <f>IF($S93="","",SUM($BF93:$BF$114))</f>
        <v/>
      </c>
      <c r="BH93" s="71" t="str">
        <f>IF($S93="","",INDEX(#REF!,$S93+1))</f>
        <v/>
      </c>
      <c r="BI93" s="256" t="str">
        <f t="shared" si="64"/>
        <v/>
      </c>
      <c r="BJ93" s="256" t="str">
        <f t="shared" si="65"/>
        <v/>
      </c>
      <c r="BK93" s="256" t="str">
        <f t="shared" si="66"/>
        <v/>
      </c>
      <c r="BL93" s="75" t="str">
        <f>IF($S93="","",SUM($BK93:$BK$114))</f>
        <v/>
      </c>
      <c r="BM93" s="71" t="str">
        <f t="shared" si="67"/>
        <v/>
      </c>
      <c r="BN93" s="256" t="str">
        <f t="shared" si="78"/>
        <v/>
      </c>
      <c r="BO93" s="256" t="str">
        <f t="shared" si="68"/>
        <v/>
      </c>
      <c r="BP93" s="256" t="str">
        <f t="shared" si="69"/>
        <v/>
      </c>
      <c r="BQ93" s="256" t="str">
        <f t="shared" si="79"/>
        <v/>
      </c>
      <c r="BR93" s="256"/>
      <c r="BS93" s="256"/>
      <c r="BT93" s="256"/>
      <c r="BU93" s="256"/>
      <c r="BV93" s="256" t="str">
        <f>IF($S93="","",SUM(BQ93:BQ$114))</f>
        <v/>
      </c>
      <c r="BW93" s="73" t="str">
        <f>IF(S93&lt;$E$3+$F$5,0,IFERROR(일반형_연납순보험료!S95,0))</f>
        <v/>
      </c>
      <c r="BX93" s="73"/>
      <c r="BY93" s="73"/>
      <c r="BZ93" s="73"/>
      <c r="CA93" s="73"/>
      <c r="CB93" s="256" t="str">
        <f t="shared" si="80"/>
        <v/>
      </c>
      <c r="CC93" s="256" t="str">
        <f t="shared" si="70"/>
        <v/>
      </c>
      <c r="CD93" s="256" t="str">
        <f t="shared" si="71"/>
        <v/>
      </c>
      <c r="CE93" s="256" t="str">
        <f t="shared" si="81"/>
        <v/>
      </c>
      <c r="CF93" s="256" t="str">
        <f t="shared" si="72"/>
        <v/>
      </c>
      <c r="CG93" s="76" t="str">
        <f t="shared" si="82"/>
        <v/>
      </c>
      <c r="CH93" s="77" t="str">
        <f t="shared" si="73"/>
        <v/>
      </c>
      <c r="CI93" s="238"/>
      <c r="CJ93" s="238"/>
      <c r="CK93" s="238"/>
      <c r="CL93" s="238"/>
      <c r="CM93" s="238"/>
      <c r="CN93" s="238"/>
      <c r="CO93" s="479"/>
      <c r="CP93" s="479"/>
      <c r="CQ93" s="479"/>
      <c r="CR93" s="479"/>
      <c r="CS93" s="479"/>
      <c r="CT93" s="479"/>
      <c r="CU93" s="479"/>
      <c r="CV93" s="479"/>
      <c r="CW93" s="479"/>
      <c r="CX93" s="479"/>
      <c r="CY93" s="479"/>
      <c r="CZ93" s="479"/>
      <c r="DA93" s="479"/>
      <c r="DB93" s="479"/>
      <c r="DC93" s="479"/>
      <c r="DD93" s="479"/>
      <c r="DE93" s="479"/>
      <c r="DF93" s="479"/>
      <c r="DG93" s="479"/>
      <c r="DH93" s="479"/>
      <c r="DI93" s="479"/>
      <c r="DJ93" s="479"/>
      <c r="DK93" s="479"/>
      <c r="DL93" s="479"/>
      <c r="DM93" s="479"/>
      <c r="DN93" s="479"/>
      <c r="DO93" s="479"/>
      <c r="DP93" s="479"/>
      <c r="DQ93" s="479"/>
      <c r="DR93" s="479"/>
      <c r="DS93" s="479"/>
      <c r="DT93" s="479"/>
      <c r="DU93" s="479"/>
      <c r="DV93" s="479"/>
      <c r="DW93" s="479"/>
      <c r="DX93" s="479"/>
      <c r="DY93" s="479"/>
      <c r="DZ93" s="479"/>
      <c r="EA93" s="479"/>
      <c r="EB93" s="479"/>
      <c r="EC93" s="479"/>
      <c r="ED93" s="479"/>
    </row>
    <row r="94" spans="1:134">
      <c r="A94" s="305"/>
      <c r="B94" s="373"/>
      <c r="D94" s="469"/>
      <c r="E94" s="469"/>
      <c r="F94" s="459">
        <f>+Main_무해지!F94</f>
        <v>0</v>
      </c>
      <c r="G94" s="470">
        <f>+Main_무해지!G94</f>
        <v>0</v>
      </c>
      <c r="H94" s="460">
        <f>+Main_무해지!H94</f>
        <v>0</v>
      </c>
      <c r="J94" s="5"/>
      <c r="K94" s="5"/>
      <c r="N94" s="278" t="str">
        <f t="shared" si="88"/>
        <v/>
      </c>
      <c r="O94" s="279" t="str">
        <f t="shared" si="89"/>
        <v/>
      </c>
      <c r="P94" s="271" t="str">
        <f t="shared" si="86"/>
        <v/>
      </c>
      <c r="Q94" s="271" t="str">
        <f t="shared" si="87"/>
        <v/>
      </c>
      <c r="R94" s="271"/>
      <c r="S94" s="83" t="str">
        <f t="shared" si="83"/>
        <v/>
      </c>
      <c r="T94" s="84" t="str">
        <f>Main_무해지!AC94</f>
        <v/>
      </c>
      <c r="U94" s="257">
        <f>+Main_무해지!AD94</f>
        <v>0</v>
      </c>
      <c r="V94" s="257" t="str">
        <f t="shared" si="74"/>
        <v/>
      </c>
      <c r="W94" s="257" t="str">
        <f t="shared" si="84"/>
        <v/>
      </c>
      <c r="X94" s="257" t="str">
        <f t="shared" si="45"/>
        <v/>
      </c>
      <c r="Y94" s="85" t="str">
        <f>IF($S94="","",SUM(X94:X$114))</f>
        <v/>
      </c>
      <c r="Z94" s="257" t="str">
        <f t="shared" si="75"/>
        <v/>
      </c>
      <c r="AA94" s="254">
        <f t="shared" si="76"/>
        <v>0</v>
      </c>
      <c r="AB94" s="254" t="str">
        <f>Main_무해지!AJ94</f>
        <v/>
      </c>
      <c r="AC94" s="257" t="str">
        <f t="shared" si="46"/>
        <v/>
      </c>
      <c r="AD94" s="257" t="str">
        <f t="shared" si="85"/>
        <v/>
      </c>
      <c r="AE94" s="257" t="str">
        <f t="shared" si="47"/>
        <v/>
      </c>
      <c r="AF94" s="85" t="str">
        <f>IF($S94="","",SUM(AE94:AE$114))</f>
        <v/>
      </c>
      <c r="AG94" s="84" t="str">
        <f>Main_무해지!AP94</f>
        <v/>
      </c>
      <c r="AH94" s="257" t="str">
        <f t="shared" si="48"/>
        <v/>
      </c>
      <c r="AI94" s="257" t="str">
        <f t="shared" si="49"/>
        <v/>
      </c>
      <c r="AJ94" s="257" t="str">
        <f t="shared" si="50"/>
        <v/>
      </c>
      <c r="AK94" s="88" t="str">
        <f>IF($S94="","",SUM($AL94:$AL$114))</f>
        <v/>
      </c>
      <c r="AL94" s="257" t="str">
        <f t="shared" si="77"/>
        <v/>
      </c>
      <c r="AM94" s="88" t="str">
        <f t="shared" si="51"/>
        <v/>
      </c>
      <c r="AN94" s="84" t="str">
        <f>IF($S94="","",INDEX(#REF!,$S94+1))</f>
        <v/>
      </c>
      <c r="AO94" s="257" t="str">
        <f t="shared" si="52"/>
        <v/>
      </c>
      <c r="AP94" s="257" t="str">
        <f t="shared" si="53"/>
        <v/>
      </c>
      <c r="AQ94" s="257" t="str">
        <f t="shared" si="54"/>
        <v/>
      </c>
      <c r="AR94" s="88" t="str">
        <f>IF($S94="","",SUM($AQ94:$AQ$114))</f>
        <v/>
      </c>
      <c r="AS94" s="84" t="str">
        <f>IF($S94="","",INDEX(#REF!,$S94+1))</f>
        <v/>
      </c>
      <c r="AT94" s="257" t="str">
        <f t="shared" si="55"/>
        <v/>
      </c>
      <c r="AU94" s="257" t="str">
        <f t="shared" si="56"/>
        <v/>
      </c>
      <c r="AV94" s="257" t="str">
        <f t="shared" si="57"/>
        <v/>
      </c>
      <c r="AW94" s="88" t="str">
        <f>IF($S94="","",SUM($AV94:$AV$114))</f>
        <v/>
      </c>
      <c r="AX94" s="84" t="str">
        <f>IF($S94="","",INDEX(#REF!,$S94+1))</f>
        <v/>
      </c>
      <c r="AY94" s="257" t="str">
        <f t="shared" si="58"/>
        <v/>
      </c>
      <c r="AZ94" s="257" t="str">
        <f t="shared" si="59"/>
        <v/>
      </c>
      <c r="BA94" s="257" t="str">
        <f t="shared" si="60"/>
        <v/>
      </c>
      <c r="BB94" s="88" t="str">
        <f>IF($S94="","",SUM($BA94:$BA$114))</f>
        <v/>
      </c>
      <c r="BC94" s="84" t="str">
        <f>IF($S94="","",INDEX(#REF!,$S94+1))</f>
        <v/>
      </c>
      <c r="BD94" s="257" t="str">
        <f t="shared" si="61"/>
        <v/>
      </c>
      <c r="BE94" s="257" t="str">
        <f t="shared" si="62"/>
        <v/>
      </c>
      <c r="BF94" s="257" t="str">
        <f t="shared" si="63"/>
        <v/>
      </c>
      <c r="BG94" s="88" t="str">
        <f>IF($S94="","",SUM($BF94:$BF$114))</f>
        <v/>
      </c>
      <c r="BH94" s="84" t="str">
        <f>IF($S94="","",INDEX(#REF!,$S94+1))</f>
        <v/>
      </c>
      <c r="BI94" s="257" t="str">
        <f t="shared" si="64"/>
        <v/>
      </c>
      <c r="BJ94" s="257" t="str">
        <f t="shared" si="65"/>
        <v/>
      </c>
      <c r="BK94" s="257" t="str">
        <f t="shared" si="66"/>
        <v/>
      </c>
      <c r="BL94" s="88" t="str">
        <f>IF($S94="","",SUM($BK94:$BK$114))</f>
        <v/>
      </c>
      <c r="BM94" s="84" t="str">
        <f t="shared" si="67"/>
        <v/>
      </c>
      <c r="BN94" s="257" t="str">
        <f t="shared" si="78"/>
        <v/>
      </c>
      <c r="BO94" s="257" t="str">
        <f t="shared" si="68"/>
        <v/>
      </c>
      <c r="BP94" s="257" t="str">
        <f t="shared" si="69"/>
        <v/>
      </c>
      <c r="BQ94" s="257" t="str">
        <f t="shared" si="79"/>
        <v/>
      </c>
      <c r="BR94" s="257"/>
      <c r="BS94" s="257"/>
      <c r="BT94" s="257"/>
      <c r="BU94" s="257"/>
      <c r="BV94" s="257" t="str">
        <f>IF($S94="","",SUM(BQ94:BQ$114))</f>
        <v/>
      </c>
      <c r="BW94" s="86" t="str">
        <f>IF(S94&lt;$E$3+$F$5,0,IFERROR(일반형_연납순보험료!S96,0))</f>
        <v/>
      </c>
      <c r="BX94" s="86"/>
      <c r="BY94" s="86"/>
      <c r="BZ94" s="86"/>
      <c r="CA94" s="86"/>
      <c r="CB94" s="257" t="str">
        <f t="shared" si="80"/>
        <v/>
      </c>
      <c r="CC94" s="257" t="str">
        <f t="shared" si="70"/>
        <v/>
      </c>
      <c r="CD94" s="257" t="str">
        <f t="shared" si="71"/>
        <v/>
      </c>
      <c r="CE94" s="257" t="str">
        <f t="shared" si="81"/>
        <v/>
      </c>
      <c r="CF94" s="257" t="str">
        <f t="shared" si="72"/>
        <v/>
      </c>
      <c r="CG94" s="89" t="str">
        <f t="shared" si="82"/>
        <v/>
      </c>
      <c r="CH94" s="90" t="str">
        <f t="shared" si="73"/>
        <v/>
      </c>
      <c r="CI94" s="239"/>
      <c r="CJ94" s="239"/>
      <c r="CK94" s="239"/>
      <c r="CL94" s="239"/>
      <c r="CM94" s="239"/>
      <c r="CN94" s="239"/>
      <c r="CO94" s="479"/>
      <c r="CP94" s="479"/>
      <c r="CQ94" s="479"/>
      <c r="CR94" s="479"/>
      <c r="CS94" s="479"/>
      <c r="CT94" s="479"/>
      <c r="CU94" s="479"/>
      <c r="CV94" s="479"/>
      <c r="CW94" s="479"/>
      <c r="CX94" s="479"/>
      <c r="CY94" s="479"/>
      <c r="CZ94" s="479"/>
      <c r="DA94" s="479"/>
      <c r="DB94" s="479"/>
      <c r="DC94" s="479"/>
      <c r="DD94" s="479"/>
      <c r="DE94" s="479"/>
      <c r="DF94" s="479"/>
      <c r="DG94" s="479"/>
      <c r="DH94" s="479"/>
      <c r="DI94" s="479"/>
      <c r="DJ94" s="479"/>
      <c r="DK94" s="479"/>
      <c r="DL94" s="479"/>
      <c r="DM94" s="479"/>
      <c r="DN94" s="479"/>
      <c r="DO94" s="479"/>
      <c r="DP94" s="479"/>
      <c r="DQ94" s="479"/>
      <c r="DR94" s="479"/>
      <c r="DS94" s="479"/>
      <c r="DT94" s="479"/>
      <c r="DU94" s="479"/>
      <c r="DV94" s="479"/>
      <c r="DW94" s="479"/>
      <c r="DX94" s="479"/>
      <c r="DY94" s="479"/>
      <c r="DZ94" s="479"/>
      <c r="EA94" s="479"/>
      <c r="EB94" s="479"/>
      <c r="EC94" s="479"/>
      <c r="ED94" s="479"/>
    </row>
    <row r="95" spans="1:134">
      <c r="A95" s="305"/>
      <c r="B95" s="373"/>
      <c r="D95" s="469"/>
      <c r="E95" s="469"/>
      <c r="F95" s="459">
        <f>+Main_무해지!F95</f>
        <v>0</v>
      </c>
      <c r="G95" s="470">
        <f>+Main_무해지!G95</f>
        <v>0</v>
      </c>
      <c r="H95" s="460">
        <f>+Main_무해지!H95</f>
        <v>0</v>
      </c>
      <c r="J95" s="5"/>
      <c r="K95" s="5"/>
      <c r="L95" s="5"/>
      <c r="M95" s="158"/>
      <c r="N95" s="278" t="str">
        <f t="shared" si="88"/>
        <v/>
      </c>
      <c r="O95" s="279" t="str">
        <f t="shared" si="89"/>
        <v/>
      </c>
      <c r="P95" s="271" t="str">
        <f t="shared" si="86"/>
        <v/>
      </c>
      <c r="Q95" s="271" t="str">
        <f t="shared" si="87"/>
        <v/>
      </c>
      <c r="R95" s="271"/>
      <c r="S95" s="750" t="str">
        <f t="shared" si="83"/>
        <v/>
      </c>
      <c r="T95" s="752" t="str">
        <f>Main_무해지!AC95</f>
        <v/>
      </c>
      <c r="U95" s="408">
        <f>+Main_무해지!AD95</f>
        <v>0</v>
      </c>
      <c r="V95" s="408" t="str">
        <f t="shared" si="74"/>
        <v/>
      </c>
      <c r="W95" s="408" t="str">
        <f t="shared" si="84"/>
        <v/>
      </c>
      <c r="X95" s="408" t="str">
        <f t="shared" si="45"/>
        <v/>
      </c>
      <c r="Y95" s="751" t="str">
        <f>IF($S95="","",SUM(X95:X$114))</f>
        <v/>
      </c>
      <c r="Z95" s="408" t="str">
        <f t="shared" si="75"/>
        <v/>
      </c>
      <c r="AA95" s="254">
        <f t="shared" si="76"/>
        <v>0</v>
      </c>
      <c r="AB95" s="254" t="str">
        <f>Main_무해지!AJ95</f>
        <v/>
      </c>
      <c r="AC95" s="408" t="str">
        <f t="shared" si="46"/>
        <v/>
      </c>
      <c r="AD95" s="408" t="str">
        <f t="shared" si="85"/>
        <v/>
      </c>
      <c r="AE95" s="408" t="str">
        <f t="shared" si="47"/>
        <v/>
      </c>
      <c r="AF95" s="751" t="str">
        <f>IF($S95="","",SUM(AE95:AE$114))</f>
        <v/>
      </c>
      <c r="AG95" s="752" t="str">
        <f>Main_무해지!AP95</f>
        <v/>
      </c>
      <c r="AH95" s="408" t="str">
        <f t="shared" si="48"/>
        <v/>
      </c>
      <c r="AI95" s="408" t="str">
        <f t="shared" si="49"/>
        <v/>
      </c>
      <c r="AJ95" s="408" t="str">
        <f t="shared" si="50"/>
        <v/>
      </c>
      <c r="AK95" s="753" t="str">
        <f>IF($S95="","",SUM($AL95:$AL$114))</f>
        <v/>
      </c>
      <c r="AL95" s="408" t="str">
        <f t="shared" si="77"/>
        <v/>
      </c>
      <c r="AM95" s="753" t="str">
        <f t="shared" si="51"/>
        <v/>
      </c>
      <c r="AN95" s="752" t="str">
        <f>IF($S95="","",INDEX(#REF!,$S95+1))</f>
        <v/>
      </c>
      <c r="AO95" s="408" t="str">
        <f t="shared" si="52"/>
        <v/>
      </c>
      <c r="AP95" s="408" t="str">
        <f t="shared" si="53"/>
        <v/>
      </c>
      <c r="AQ95" s="408" t="str">
        <f t="shared" si="54"/>
        <v/>
      </c>
      <c r="AR95" s="753" t="str">
        <f>IF($S95="","",SUM($AQ95:$AQ$114))</f>
        <v/>
      </c>
      <c r="AS95" s="752" t="str">
        <f>IF($S95="","",INDEX(#REF!,$S95+1))</f>
        <v/>
      </c>
      <c r="AT95" s="408" t="str">
        <f t="shared" si="55"/>
        <v/>
      </c>
      <c r="AU95" s="408" t="str">
        <f t="shared" si="56"/>
        <v/>
      </c>
      <c r="AV95" s="408" t="str">
        <f t="shared" si="57"/>
        <v/>
      </c>
      <c r="AW95" s="753" t="str">
        <f>IF($S95="","",SUM($AV95:$AV$114))</f>
        <v/>
      </c>
      <c r="AX95" s="752" t="str">
        <f>IF($S95="","",INDEX(#REF!,$S95+1))</f>
        <v/>
      </c>
      <c r="AY95" s="408" t="str">
        <f t="shared" si="58"/>
        <v/>
      </c>
      <c r="AZ95" s="408" t="str">
        <f t="shared" si="59"/>
        <v/>
      </c>
      <c r="BA95" s="408" t="str">
        <f t="shared" si="60"/>
        <v/>
      </c>
      <c r="BB95" s="753" t="str">
        <f>IF($S95="","",SUM($BA95:$BA$114))</f>
        <v/>
      </c>
      <c r="BC95" s="752" t="str">
        <f>IF($S95="","",INDEX(#REF!,$S95+1))</f>
        <v/>
      </c>
      <c r="BD95" s="408" t="str">
        <f t="shared" si="61"/>
        <v/>
      </c>
      <c r="BE95" s="408" t="str">
        <f t="shared" si="62"/>
        <v/>
      </c>
      <c r="BF95" s="408" t="str">
        <f t="shared" si="63"/>
        <v/>
      </c>
      <c r="BG95" s="753" t="str">
        <f>IF($S95="","",SUM($BF95:$BF$114))</f>
        <v/>
      </c>
      <c r="BH95" s="752" t="str">
        <f>IF($S95="","",INDEX(#REF!,$S95+1))</f>
        <v/>
      </c>
      <c r="BI95" s="408" t="str">
        <f t="shared" si="64"/>
        <v/>
      </c>
      <c r="BJ95" s="408" t="str">
        <f t="shared" si="65"/>
        <v/>
      </c>
      <c r="BK95" s="408" t="str">
        <f t="shared" si="66"/>
        <v/>
      </c>
      <c r="BL95" s="753" t="str">
        <f>IF($S95="","",SUM($BK95:$BK$114))</f>
        <v/>
      </c>
      <c r="BM95" s="752" t="str">
        <f t="shared" si="67"/>
        <v/>
      </c>
      <c r="BN95" s="408" t="str">
        <f t="shared" si="78"/>
        <v/>
      </c>
      <c r="BO95" s="408" t="str">
        <f t="shared" si="68"/>
        <v/>
      </c>
      <c r="BP95" s="408" t="str">
        <f t="shared" si="69"/>
        <v/>
      </c>
      <c r="BQ95" s="408" t="str">
        <f t="shared" si="79"/>
        <v/>
      </c>
      <c r="BR95" s="408"/>
      <c r="BS95" s="408"/>
      <c r="BT95" s="408"/>
      <c r="BU95" s="408"/>
      <c r="BV95" s="408" t="str">
        <f>IF($S95="","",SUM(BQ95:BQ$114))</f>
        <v/>
      </c>
      <c r="BW95" s="754" t="str">
        <f>IF(S95&lt;$E$3+$F$5,0,IFERROR(일반형_연납순보험료!S97,0))</f>
        <v/>
      </c>
      <c r="BX95" s="754"/>
      <c r="BY95" s="754"/>
      <c r="BZ95" s="754"/>
      <c r="CA95" s="754"/>
      <c r="CB95" s="408" t="str">
        <f t="shared" si="80"/>
        <v/>
      </c>
      <c r="CC95" s="408" t="str">
        <f t="shared" si="70"/>
        <v/>
      </c>
      <c r="CD95" s="408" t="str">
        <f t="shared" si="71"/>
        <v/>
      </c>
      <c r="CE95" s="408" t="str">
        <f t="shared" si="81"/>
        <v/>
      </c>
      <c r="CF95" s="408" t="str">
        <f t="shared" si="72"/>
        <v/>
      </c>
      <c r="CG95" s="756" t="str">
        <f t="shared" si="82"/>
        <v/>
      </c>
      <c r="CH95" s="757" t="str">
        <f t="shared" si="73"/>
        <v/>
      </c>
      <c r="CI95" s="413"/>
      <c r="CJ95" s="413"/>
      <c r="CK95" s="413"/>
      <c r="CL95" s="413"/>
      <c r="CM95" s="413"/>
      <c r="CN95" s="413"/>
      <c r="CO95" s="479"/>
      <c r="CP95" s="479"/>
      <c r="CQ95" s="479"/>
      <c r="CR95" s="479"/>
      <c r="CS95" s="479"/>
      <c r="CT95" s="479"/>
      <c r="CU95" s="479"/>
      <c r="CV95" s="479"/>
      <c r="CW95" s="479"/>
      <c r="CX95" s="479"/>
      <c r="CY95" s="479"/>
      <c r="CZ95" s="479"/>
      <c r="DA95" s="479"/>
      <c r="DB95" s="479"/>
      <c r="DC95" s="479"/>
      <c r="DD95" s="479"/>
      <c r="DE95" s="479"/>
      <c r="DF95" s="479"/>
      <c r="DG95" s="479"/>
      <c r="DH95" s="479"/>
      <c r="DI95" s="479"/>
      <c r="DJ95" s="479"/>
      <c r="DK95" s="479"/>
      <c r="DL95" s="479"/>
      <c r="DM95" s="479"/>
      <c r="DN95" s="479"/>
      <c r="DO95" s="479"/>
      <c r="DP95" s="479"/>
      <c r="DQ95" s="479"/>
      <c r="DR95" s="479"/>
      <c r="DS95" s="479"/>
      <c r="DT95" s="479"/>
      <c r="DU95" s="479"/>
      <c r="DV95" s="479"/>
      <c r="DW95" s="479"/>
      <c r="DX95" s="479"/>
      <c r="DY95" s="479"/>
      <c r="DZ95" s="479"/>
      <c r="EA95" s="479"/>
      <c r="EB95" s="479"/>
      <c r="EC95" s="479"/>
      <c r="ED95" s="479"/>
    </row>
    <row r="96" spans="1:134">
      <c r="A96" s="305"/>
      <c r="B96" s="373"/>
      <c r="D96" s="469"/>
      <c r="E96" s="469"/>
      <c r="F96" s="459">
        <f>+Main_무해지!F96</f>
        <v>0</v>
      </c>
      <c r="G96" s="470">
        <f>+Main_무해지!G96</f>
        <v>0</v>
      </c>
      <c r="H96" s="460">
        <f>+Main_무해지!H96</f>
        <v>0</v>
      </c>
      <c r="J96" s="5"/>
      <c r="K96" s="5"/>
      <c r="L96" s="5"/>
      <c r="M96" s="158"/>
      <c r="N96" s="278" t="str">
        <f t="shared" si="88"/>
        <v/>
      </c>
      <c r="O96" s="279" t="str">
        <f t="shared" si="89"/>
        <v/>
      </c>
      <c r="P96" s="271" t="str">
        <f t="shared" si="86"/>
        <v/>
      </c>
      <c r="Q96" s="271" t="str">
        <f t="shared" si="87"/>
        <v/>
      </c>
      <c r="R96" s="271"/>
      <c r="S96" s="52" t="str">
        <f t="shared" si="83"/>
        <v/>
      </c>
      <c r="T96" s="53" t="str">
        <f>Main_무해지!AC96</f>
        <v/>
      </c>
      <c r="U96" s="254">
        <f>+Main_무해지!AD96</f>
        <v>0</v>
      </c>
      <c r="V96" s="254" t="str">
        <f t="shared" si="74"/>
        <v/>
      </c>
      <c r="W96" s="254" t="str">
        <f t="shared" si="84"/>
        <v/>
      </c>
      <c r="X96" s="254" t="str">
        <f t="shared" si="45"/>
        <v/>
      </c>
      <c r="Y96" s="54" t="str">
        <f>IF($S96="","",SUM(X96:X$114))</f>
        <v/>
      </c>
      <c r="Z96" s="254" t="str">
        <f t="shared" si="75"/>
        <v/>
      </c>
      <c r="AA96" s="254">
        <f t="shared" si="76"/>
        <v>0</v>
      </c>
      <c r="AB96" s="254" t="str">
        <f>Main_무해지!AJ96</f>
        <v/>
      </c>
      <c r="AC96" s="254" t="str">
        <f t="shared" si="46"/>
        <v/>
      </c>
      <c r="AD96" s="254" t="str">
        <f t="shared" si="85"/>
        <v/>
      </c>
      <c r="AE96" s="254" t="str">
        <f t="shared" si="47"/>
        <v/>
      </c>
      <c r="AF96" s="54" t="str">
        <f>IF($S96="","",SUM(AE96:AE$114))</f>
        <v/>
      </c>
      <c r="AG96" s="53" t="str">
        <f>Main_무해지!AP96</f>
        <v/>
      </c>
      <c r="AH96" s="254" t="str">
        <f t="shared" si="48"/>
        <v/>
      </c>
      <c r="AI96" s="254" t="str">
        <f t="shared" si="49"/>
        <v/>
      </c>
      <c r="AJ96" s="254" t="str">
        <f t="shared" si="50"/>
        <v/>
      </c>
      <c r="AK96" s="57" t="str">
        <f>IF($S96="","",SUM($AL96:$AL$114))</f>
        <v/>
      </c>
      <c r="AL96" s="254" t="str">
        <f t="shared" si="77"/>
        <v/>
      </c>
      <c r="AM96" s="57" t="str">
        <f t="shared" si="51"/>
        <v/>
      </c>
      <c r="AN96" s="53" t="str">
        <f>IF($S96="","",INDEX(#REF!,$S96+1))</f>
        <v/>
      </c>
      <c r="AO96" s="254" t="str">
        <f t="shared" si="52"/>
        <v/>
      </c>
      <c r="AP96" s="254" t="str">
        <f t="shared" si="53"/>
        <v/>
      </c>
      <c r="AQ96" s="254" t="str">
        <f t="shared" si="54"/>
        <v/>
      </c>
      <c r="AR96" s="57" t="str">
        <f>IF($S96="","",SUM($AQ96:$AQ$114))</f>
        <v/>
      </c>
      <c r="AS96" s="53" t="str">
        <f>IF($S96="","",INDEX(#REF!,$S96+1))</f>
        <v/>
      </c>
      <c r="AT96" s="254" t="str">
        <f t="shared" si="55"/>
        <v/>
      </c>
      <c r="AU96" s="254" t="str">
        <f t="shared" si="56"/>
        <v/>
      </c>
      <c r="AV96" s="254" t="str">
        <f t="shared" si="57"/>
        <v/>
      </c>
      <c r="AW96" s="57" t="str">
        <f>IF($S96="","",SUM($AV96:$AV$114))</f>
        <v/>
      </c>
      <c r="AX96" s="53" t="str">
        <f>IF($S96="","",INDEX(#REF!,$S96+1))</f>
        <v/>
      </c>
      <c r="AY96" s="254" t="str">
        <f t="shared" si="58"/>
        <v/>
      </c>
      <c r="AZ96" s="254" t="str">
        <f t="shared" si="59"/>
        <v/>
      </c>
      <c r="BA96" s="254" t="str">
        <f t="shared" si="60"/>
        <v/>
      </c>
      <c r="BB96" s="57" t="str">
        <f>IF($S96="","",SUM($BA96:$BA$114))</f>
        <v/>
      </c>
      <c r="BC96" s="53" t="str">
        <f>IF($S96="","",INDEX(#REF!,$S96+1))</f>
        <v/>
      </c>
      <c r="BD96" s="254" t="str">
        <f t="shared" si="61"/>
        <v/>
      </c>
      <c r="BE96" s="254" t="str">
        <f t="shared" si="62"/>
        <v/>
      </c>
      <c r="BF96" s="254" t="str">
        <f t="shared" si="63"/>
        <v/>
      </c>
      <c r="BG96" s="57" t="str">
        <f>IF($S96="","",SUM($BF96:$BF$114))</f>
        <v/>
      </c>
      <c r="BH96" s="53" t="str">
        <f>IF($S96="","",INDEX(#REF!,$S96+1))</f>
        <v/>
      </c>
      <c r="BI96" s="254" t="str">
        <f t="shared" si="64"/>
        <v/>
      </c>
      <c r="BJ96" s="254" t="str">
        <f t="shared" si="65"/>
        <v/>
      </c>
      <c r="BK96" s="254" t="str">
        <f t="shared" si="66"/>
        <v/>
      </c>
      <c r="BL96" s="57" t="str">
        <f>IF($S96="","",SUM($BK96:$BK$114))</f>
        <v/>
      </c>
      <c r="BM96" s="53" t="str">
        <f t="shared" si="67"/>
        <v/>
      </c>
      <c r="BN96" s="254" t="str">
        <f t="shared" si="78"/>
        <v/>
      </c>
      <c r="BO96" s="254" t="str">
        <f t="shared" si="68"/>
        <v/>
      </c>
      <c r="BP96" s="254" t="str">
        <f t="shared" si="69"/>
        <v/>
      </c>
      <c r="BQ96" s="254" t="str">
        <f t="shared" si="79"/>
        <v/>
      </c>
      <c r="BR96" s="254"/>
      <c r="BS96" s="254"/>
      <c r="BT96" s="254"/>
      <c r="BU96" s="254"/>
      <c r="BV96" s="254" t="str">
        <f>IF($S96="","",SUM(BQ96:BQ$114))</f>
        <v/>
      </c>
      <c r="BW96" s="55" t="str">
        <f>IF(S96&lt;$E$3+$F$5,0,IFERROR(일반형_연납순보험료!S98,0))</f>
        <v/>
      </c>
      <c r="BX96" s="55"/>
      <c r="BY96" s="55"/>
      <c r="BZ96" s="55"/>
      <c r="CA96" s="55"/>
      <c r="CB96" s="254" t="str">
        <f t="shared" si="80"/>
        <v/>
      </c>
      <c r="CC96" s="254" t="str">
        <f t="shared" si="70"/>
        <v/>
      </c>
      <c r="CD96" s="254" t="str">
        <f t="shared" si="71"/>
        <v/>
      </c>
      <c r="CE96" s="254" t="str">
        <f t="shared" si="81"/>
        <v/>
      </c>
      <c r="CF96" s="254" t="str">
        <f t="shared" si="72"/>
        <v/>
      </c>
      <c r="CG96" s="58" t="str">
        <f t="shared" si="82"/>
        <v/>
      </c>
      <c r="CH96" s="59" t="str">
        <f t="shared" si="73"/>
        <v/>
      </c>
      <c r="CI96" s="236"/>
      <c r="CJ96" s="236"/>
      <c r="CK96" s="236"/>
      <c r="CL96" s="236"/>
      <c r="CM96" s="236"/>
      <c r="CN96" s="236"/>
      <c r="CO96" s="479"/>
      <c r="CP96" s="479"/>
      <c r="CQ96" s="479"/>
      <c r="CR96" s="479"/>
      <c r="CS96" s="479"/>
      <c r="CT96" s="479"/>
      <c r="CU96" s="479"/>
      <c r="CV96" s="479"/>
      <c r="CW96" s="479"/>
      <c r="CX96" s="479"/>
      <c r="CY96" s="479"/>
      <c r="CZ96" s="479"/>
      <c r="DA96" s="479"/>
      <c r="DB96" s="479"/>
      <c r="DC96" s="479"/>
      <c r="DD96" s="479"/>
      <c r="DE96" s="479"/>
      <c r="DF96" s="479"/>
      <c r="DG96" s="479"/>
      <c r="DH96" s="479"/>
      <c r="DI96" s="479"/>
      <c r="DJ96" s="479"/>
      <c r="DK96" s="479"/>
      <c r="DL96" s="479"/>
      <c r="DM96" s="479"/>
      <c r="DN96" s="479"/>
      <c r="DO96" s="479"/>
      <c r="DP96" s="479"/>
      <c r="DQ96" s="479"/>
      <c r="DR96" s="479"/>
      <c r="DS96" s="479"/>
      <c r="DT96" s="479"/>
      <c r="DU96" s="479"/>
      <c r="DV96" s="479"/>
      <c r="DW96" s="479"/>
      <c r="DX96" s="479"/>
      <c r="DY96" s="479"/>
      <c r="DZ96" s="479"/>
      <c r="EA96" s="479"/>
      <c r="EB96" s="479"/>
      <c r="EC96" s="479"/>
      <c r="ED96" s="479"/>
    </row>
    <row r="97" spans="1:134">
      <c r="A97" s="305"/>
      <c r="B97" s="373"/>
      <c r="D97" s="469"/>
      <c r="E97" s="469"/>
      <c r="F97" s="459">
        <f>+Main_무해지!F97</f>
        <v>0</v>
      </c>
      <c r="G97" s="470">
        <f>+Main_무해지!G97</f>
        <v>0</v>
      </c>
      <c r="H97" s="460">
        <f>+Main_무해지!H97</f>
        <v>0</v>
      </c>
      <c r="J97" s="5"/>
      <c r="K97" s="5"/>
      <c r="L97" s="5"/>
      <c r="M97" s="158"/>
      <c r="N97" s="278" t="str">
        <f t="shared" si="88"/>
        <v/>
      </c>
      <c r="O97" s="279" t="str">
        <f t="shared" si="89"/>
        <v/>
      </c>
      <c r="P97" s="271" t="str">
        <f t="shared" si="86"/>
        <v/>
      </c>
      <c r="Q97" s="271" t="str">
        <f t="shared" si="87"/>
        <v/>
      </c>
      <c r="R97" s="271"/>
      <c r="S97" s="52" t="str">
        <f t="shared" si="83"/>
        <v/>
      </c>
      <c r="T97" s="53" t="str">
        <f>Main_무해지!AC97</f>
        <v/>
      </c>
      <c r="U97" s="254">
        <f>+Main_무해지!AD97</f>
        <v>0</v>
      </c>
      <c r="V97" s="254" t="str">
        <f t="shared" si="74"/>
        <v/>
      </c>
      <c r="W97" s="254" t="str">
        <f t="shared" si="84"/>
        <v/>
      </c>
      <c r="X97" s="254" t="str">
        <f t="shared" si="45"/>
        <v/>
      </c>
      <c r="Y97" s="54" t="str">
        <f>IF($S97="","",SUM(X97:X$114))</f>
        <v/>
      </c>
      <c r="Z97" s="254" t="str">
        <f t="shared" si="75"/>
        <v/>
      </c>
      <c r="AA97" s="254">
        <f t="shared" si="76"/>
        <v>0</v>
      </c>
      <c r="AB97" s="254" t="str">
        <f>Main_무해지!AJ97</f>
        <v/>
      </c>
      <c r="AC97" s="254" t="str">
        <f t="shared" si="46"/>
        <v/>
      </c>
      <c r="AD97" s="254" t="str">
        <f t="shared" si="85"/>
        <v/>
      </c>
      <c r="AE97" s="254" t="str">
        <f t="shared" si="47"/>
        <v/>
      </c>
      <c r="AF97" s="54" t="str">
        <f>IF($S97="","",SUM(AE97:AE$114))</f>
        <v/>
      </c>
      <c r="AG97" s="53" t="str">
        <f>Main_무해지!AP97</f>
        <v/>
      </c>
      <c r="AH97" s="254" t="str">
        <f t="shared" si="48"/>
        <v/>
      </c>
      <c r="AI97" s="254" t="str">
        <f t="shared" si="49"/>
        <v/>
      </c>
      <c r="AJ97" s="254" t="str">
        <f t="shared" si="50"/>
        <v/>
      </c>
      <c r="AK97" s="57" t="str">
        <f>IF($S97="","",SUM($AL97:$AL$114))</f>
        <v/>
      </c>
      <c r="AL97" s="254" t="str">
        <f t="shared" si="77"/>
        <v/>
      </c>
      <c r="AM97" s="57" t="str">
        <f t="shared" si="51"/>
        <v/>
      </c>
      <c r="AN97" s="53" t="str">
        <f>IF($S97="","",INDEX(#REF!,$S97+1))</f>
        <v/>
      </c>
      <c r="AO97" s="254" t="str">
        <f t="shared" si="52"/>
        <v/>
      </c>
      <c r="AP97" s="254" t="str">
        <f t="shared" si="53"/>
        <v/>
      </c>
      <c r="AQ97" s="254" t="str">
        <f t="shared" si="54"/>
        <v/>
      </c>
      <c r="AR97" s="57" t="str">
        <f>IF($S97="","",SUM($AQ97:$AQ$114))</f>
        <v/>
      </c>
      <c r="AS97" s="53" t="str">
        <f>IF($S97="","",INDEX(#REF!,$S97+1))</f>
        <v/>
      </c>
      <c r="AT97" s="254" t="str">
        <f t="shared" si="55"/>
        <v/>
      </c>
      <c r="AU97" s="254" t="str">
        <f t="shared" si="56"/>
        <v/>
      </c>
      <c r="AV97" s="254" t="str">
        <f t="shared" si="57"/>
        <v/>
      </c>
      <c r="AW97" s="57" t="str">
        <f>IF($S97="","",SUM($AV97:$AV$114))</f>
        <v/>
      </c>
      <c r="AX97" s="53" t="str">
        <f>IF($S97="","",INDEX(#REF!,$S97+1))</f>
        <v/>
      </c>
      <c r="AY97" s="254" t="str">
        <f t="shared" si="58"/>
        <v/>
      </c>
      <c r="AZ97" s="254" t="str">
        <f t="shared" si="59"/>
        <v/>
      </c>
      <c r="BA97" s="254" t="str">
        <f t="shared" si="60"/>
        <v/>
      </c>
      <c r="BB97" s="57" t="str">
        <f>IF($S97="","",SUM($BA97:$BA$114))</f>
        <v/>
      </c>
      <c r="BC97" s="53" t="str">
        <f>IF($S97="","",INDEX(#REF!,$S97+1))</f>
        <v/>
      </c>
      <c r="BD97" s="254" t="str">
        <f t="shared" si="61"/>
        <v/>
      </c>
      <c r="BE97" s="254" t="str">
        <f t="shared" si="62"/>
        <v/>
      </c>
      <c r="BF97" s="254" t="str">
        <f t="shared" si="63"/>
        <v/>
      </c>
      <c r="BG97" s="57" t="str">
        <f>IF($S97="","",SUM($BF97:$BF$114))</f>
        <v/>
      </c>
      <c r="BH97" s="53" t="str">
        <f>IF($S97="","",INDEX(#REF!,$S97+1))</f>
        <v/>
      </c>
      <c r="BI97" s="254" t="str">
        <f t="shared" si="64"/>
        <v/>
      </c>
      <c r="BJ97" s="254" t="str">
        <f t="shared" si="65"/>
        <v/>
      </c>
      <c r="BK97" s="254" t="str">
        <f t="shared" si="66"/>
        <v/>
      </c>
      <c r="BL97" s="57" t="str">
        <f>IF($S97="","",SUM($BK97:$BK$114))</f>
        <v/>
      </c>
      <c r="BM97" s="53" t="str">
        <f t="shared" si="67"/>
        <v/>
      </c>
      <c r="BN97" s="254" t="str">
        <f t="shared" si="78"/>
        <v/>
      </c>
      <c r="BO97" s="254" t="str">
        <f t="shared" si="68"/>
        <v/>
      </c>
      <c r="BP97" s="254" t="str">
        <f t="shared" si="69"/>
        <v/>
      </c>
      <c r="BQ97" s="254" t="str">
        <f t="shared" si="79"/>
        <v/>
      </c>
      <c r="BR97" s="254"/>
      <c r="BS97" s="254"/>
      <c r="BT97" s="254"/>
      <c r="BU97" s="254"/>
      <c r="BV97" s="254" t="str">
        <f>IF($S97="","",SUM(BQ97:BQ$114))</f>
        <v/>
      </c>
      <c r="BW97" s="55" t="str">
        <f>IF(S97&lt;$E$3+$F$5,0,IFERROR(일반형_연납순보험료!S99,0))</f>
        <v/>
      </c>
      <c r="BX97" s="55"/>
      <c r="BY97" s="55"/>
      <c r="BZ97" s="55"/>
      <c r="CA97" s="55"/>
      <c r="CB97" s="254" t="str">
        <f t="shared" si="80"/>
        <v/>
      </c>
      <c r="CC97" s="254" t="str">
        <f t="shared" si="70"/>
        <v/>
      </c>
      <c r="CD97" s="254" t="str">
        <f t="shared" si="71"/>
        <v/>
      </c>
      <c r="CE97" s="254" t="str">
        <f t="shared" si="81"/>
        <v/>
      </c>
      <c r="CF97" s="254" t="str">
        <f t="shared" si="72"/>
        <v/>
      </c>
      <c r="CG97" s="58" t="str">
        <f t="shared" si="82"/>
        <v/>
      </c>
      <c r="CH97" s="59" t="str">
        <f t="shared" si="73"/>
        <v/>
      </c>
      <c r="CI97" s="236"/>
      <c r="CJ97" s="236"/>
      <c r="CK97" s="236"/>
      <c r="CL97" s="236"/>
      <c r="CM97" s="236"/>
      <c r="CN97" s="236"/>
      <c r="CO97" s="479"/>
      <c r="CP97" s="479"/>
      <c r="CQ97" s="479"/>
      <c r="CR97" s="479"/>
      <c r="CS97" s="479"/>
      <c r="CT97" s="479"/>
      <c r="CU97" s="479"/>
      <c r="CV97" s="479"/>
      <c r="CW97" s="479"/>
      <c r="CX97" s="479"/>
      <c r="CY97" s="479"/>
      <c r="CZ97" s="479"/>
      <c r="DA97" s="479"/>
      <c r="DB97" s="479"/>
      <c r="DC97" s="479"/>
      <c r="DD97" s="479"/>
      <c r="DE97" s="479"/>
      <c r="DF97" s="479"/>
      <c r="DG97" s="479"/>
      <c r="DH97" s="479"/>
      <c r="DI97" s="479"/>
      <c r="DJ97" s="479"/>
      <c r="DK97" s="479"/>
      <c r="DL97" s="479"/>
      <c r="DM97" s="479"/>
      <c r="DN97" s="479"/>
      <c r="DO97" s="479"/>
      <c r="DP97" s="479"/>
      <c r="DQ97" s="479"/>
      <c r="DR97" s="479"/>
      <c r="DS97" s="479"/>
      <c r="DT97" s="479"/>
      <c r="DU97" s="479"/>
      <c r="DV97" s="479"/>
      <c r="DW97" s="479"/>
      <c r="DX97" s="479"/>
      <c r="DY97" s="479"/>
      <c r="DZ97" s="479"/>
      <c r="EA97" s="479"/>
      <c r="EB97" s="479"/>
      <c r="EC97" s="479"/>
      <c r="ED97" s="479"/>
    </row>
    <row r="98" spans="1:134">
      <c r="A98" s="305"/>
      <c r="B98" s="373"/>
      <c r="C98" s="373"/>
      <c r="D98" s="469"/>
      <c r="E98" s="469"/>
      <c r="F98" s="459">
        <f>+Main_무해지!F98</f>
        <v>0</v>
      </c>
      <c r="G98" s="470">
        <f>+Main_무해지!G98</f>
        <v>0</v>
      </c>
      <c r="H98" s="460">
        <f>+Main_무해지!H98</f>
        <v>0</v>
      </c>
      <c r="J98" s="5"/>
      <c r="K98" s="5"/>
      <c r="L98" s="5"/>
      <c r="M98" s="158"/>
      <c r="N98" s="278" t="str">
        <f t="shared" si="88"/>
        <v/>
      </c>
      <c r="O98" s="279" t="str">
        <f t="shared" si="89"/>
        <v/>
      </c>
      <c r="P98" s="271" t="str">
        <f t="shared" si="86"/>
        <v/>
      </c>
      <c r="Q98" s="271" t="str">
        <f t="shared" si="87"/>
        <v/>
      </c>
      <c r="R98" s="271"/>
      <c r="S98" s="52" t="str">
        <f t="shared" si="83"/>
        <v/>
      </c>
      <c r="T98" s="53" t="str">
        <f>Main_무해지!AC98</f>
        <v/>
      </c>
      <c r="U98" s="254">
        <f>+Main_무해지!AD98</f>
        <v>0</v>
      </c>
      <c r="V98" s="254" t="str">
        <f t="shared" si="74"/>
        <v/>
      </c>
      <c r="W98" s="254" t="str">
        <f t="shared" si="84"/>
        <v/>
      </c>
      <c r="X98" s="254" t="str">
        <f t="shared" si="45"/>
        <v/>
      </c>
      <c r="Y98" s="54" t="str">
        <f>IF($S98="","",SUM(X98:X$114))</f>
        <v/>
      </c>
      <c r="Z98" s="254" t="str">
        <f t="shared" si="75"/>
        <v/>
      </c>
      <c r="AA98" s="254">
        <f t="shared" si="76"/>
        <v>0</v>
      </c>
      <c r="AB98" s="254" t="str">
        <f>Main_무해지!AJ98</f>
        <v/>
      </c>
      <c r="AC98" s="254" t="str">
        <f t="shared" si="46"/>
        <v/>
      </c>
      <c r="AD98" s="254" t="str">
        <f t="shared" si="85"/>
        <v/>
      </c>
      <c r="AE98" s="254" t="str">
        <f t="shared" si="47"/>
        <v/>
      </c>
      <c r="AF98" s="54" t="str">
        <f>IF($S98="","",SUM(AE98:AE$114))</f>
        <v/>
      </c>
      <c r="AG98" s="53" t="str">
        <f>Main_무해지!AP98</f>
        <v/>
      </c>
      <c r="AH98" s="254" t="str">
        <f t="shared" si="48"/>
        <v/>
      </c>
      <c r="AI98" s="254" t="str">
        <f t="shared" si="49"/>
        <v/>
      </c>
      <c r="AJ98" s="254" t="str">
        <f t="shared" si="50"/>
        <v/>
      </c>
      <c r="AK98" s="57" t="str">
        <f>IF($S98="","",SUM($AL98:$AL$114))</f>
        <v/>
      </c>
      <c r="AL98" s="254" t="str">
        <f t="shared" si="77"/>
        <v/>
      </c>
      <c r="AM98" s="57" t="str">
        <f t="shared" si="51"/>
        <v/>
      </c>
      <c r="AN98" s="53" t="str">
        <f>IF($S98="","",INDEX(#REF!,$S98+1))</f>
        <v/>
      </c>
      <c r="AO98" s="254" t="str">
        <f t="shared" si="52"/>
        <v/>
      </c>
      <c r="AP98" s="254" t="str">
        <f t="shared" si="53"/>
        <v/>
      </c>
      <c r="AQ98" s="254" t="str">
        <f t="shared" si="54"/>
        <v/>
      </c>
      <c r="AR98" s="57" t="str">
        <f>IF($S98="","",SUM($AQ98:$AQ$114))</f>
        <v/>
      </c>
      <c r="AS98" s="53" t="str">
        <f>IF($S98="","",INDEX(#REF!,$S98+1))</f>
        <v/>
      </c>
      <c r="AT98" s="254" t="str">
        <f t="shared" si="55"/>
        <v/>
      </c>
      <c r="AU98" s="254" t="str">
        <f t="shared" si="56"/>
        <v/>
      </c>
      <c r="AV98" s="254" t="str">
        <f t="shared" si="57"/>
        <v/>
      </c>
      <c r="AW98" s="57" t="str">
        <f>IF($S98="","",SUM($AV98:$AV$114))</f>
        <v/>
      </c>
      <c r="AX98" s="53" t="str">
        <f>IF($S98="","",INDEX(#REF!,$S98+1))</f>
        <v/>
      </c>
      <c r="AY98" s="254" t="str">
        <f t="shared" si="58"/>
        <v/>
      </c>
      <c r="AZ98" s="254" t="str">
        <f t="shared" si="59"/>
        <v/>
      </c>
      <c r="BA98" s="254" t="str">
        <f t="shared" si="60"/>
        <v/>
      </c>
      <c r="BB98" s="57" t="str">
        <f>IF($S98="","",SUM($BA98:$BA$114))</f>
        <v/>
      </c>
      <c r="BC98" s="53" t="str">
        <f>IF($S98="","",INDEX(#REF!,$S98+1))</f>
        <v/>
      </c>
      <c r="BD98" s="254" t="str">
        <f t="shared" si="61"/>
        <v/>
      </c>
      <c r="BE98" s="254" t="str">
        <f t="shared" si="62"/>
        <v/>
      </c>
      <c r="BF98" s="254" t="str">
        <f t="shared" si="63"/>
        <v/>
      </c>
      <c r="BG98" s="57" t="str">
        <f>IF($S98="","",SUM($BF98:$BF$114))</f>
        <v/>
      </c>
      <c r="BH98" s="53" t="str">
        <f>IF($S98="","",INDEX(#REF!,$S98+1))</f>
        <v/>
      </c>
      <c r="BI98" s="254" t="str">
        <f t="shared" si="64"/>
        <v/>
      </c>
      <c r="BJ98" s="254" t="str">
        <f t="shared" si="65"/>
        <v/>
      </c>
      <c r="BK98" s="254" t="str">
        <f t="shared" si="66"/>
        <v/>
      </c>
      <c r="BL98" s="57" t="str">
        <f>IF($S98="","",SUM($BK98:$BK$114))</f>
        <v/>
      </c>
      <c r="BM98" s="53" t="str">
        <f t="shared" si="67"/>
        <v/>
      </c>
      <c r="BN98" s="254" t="str">
        <f t="shared" si="78"/>
        <v/>
      </c>
      <c r="BO98" s="254" t="str">
        <f t="shared" si="68"/>
        <v/>
      </c>
      <c r="BP98" s="254" t="str">
        <f t="shared" si="69"/>
        <v/>
      </c>
      <c r="BQ98" s="254" t="str">
        <f t="shared" si="79"/>
        <v/>
      </c>
      <c r="BR98" s="254"/>
      <c r="BS98" s="254"/>
      <c r="BT98" s="254"/>
      <c r="BU98" s="254"/>
      <c r="BV98" s="254" t="str">
        <f>IF($S98="","",SUM(BQ98:BQ$114))</f>
        <v/>
      </c>
      <c r="BW98" s="55" t="str">
        <f>IF(S98&lt;$E$3+$F$5,0,IFERROR(일반형_연납순보험료!S100,0))</f>
        <v/>
      </c>
      <c r="BX98" s="55"/>
      <c r="BY98" s="55"/>
      <c r="BZ98" s="55"/>
      <c r="CA98" s="55"/>
      <c r="CB98" s="254" t="str">
        <f t="shared" si="80"/>
        <v/>
      </c>
      <c r="CC98" s="254" t="str">
        <f t="shared" si="70"/>
        <v/>
      </c>
      <c r="CD98" s="254" t="str">
        <f t="shared" si="71"/>
        <v/>
      </c>
      <c r="CE98" s="254" t="str">
        <f t="shared" si="81"/>
        <v/>
      </c>
      <c r="CF98" s="254" t="str">
        <f t="shared" si="72"/>
        <v/>
      </c>
      <c r="CG98" s="58" t="str">
        <f t="shared" si="82"/>
        <v/>
      </c>
      <c r="CH98" s="59" t="str">
        <f t="shared" si="73"/>
        <v/>
      </c>
      <c r="CI98" s="236"/>
      <c r="CJ98" s="236"/>
      <c r="CK98" s="236"/>
      <c r="CL98" s="236"/>
      <c r="CM98" s="236"/>
      <c r="CN98" s="236"/>
      <c r="CO98" s="479"/>
      <c r="CP98" s="479"/>
      <c r="CQ98" s="479"/>
      <c r="CR98" s="479"/>
      <c r="CS98" s="479"/>
      <c r="CT98" s="479"/>
      <c r="CU98" s="479"/>
      <c r="CV98" s="479"/>
      <c r="CW98" s="479"/>
      <c r="CX98" s="479"/>
      <c r="CY98" s="479"/>
      <c r="CZ98" s="479"/>
      <c r="DA98" s="479"/>
      <c r="DB98" s="479"/>
      <c r="DC98" s="479"/>
      <c r="DD98" s="479"/>
      <c r="DE98" s="479"/>
      <c r="DF98" s="479"/>
      <c r="DG98" s="479"/>
      <c r="DH98" s="479"/>
      <c r="DI98" s="479"/>
      <c r="DJ98" s="479"/>
      <c r="DK98" s="479"/>
      <c r="DL98" s="479"/>
      <c r="DM98" s="479"/>
      <c r="DN98" s="479"/>
      <c r="DO98" s="479"/>
      <c r="DP98" s="479"/>
      <c r="DQ98" s="479"/>
      <c r="DR98" s="479"/>
      <c r="DS98" s="479"/>
      <c r="DT98" s="479"/>
      <c r="DU98" s="479"/>
      <c r="DV98" s="479"/>
      <c r="DW98" s="479"/>
      <c r="DX98" s="479"/>
      <c r="DY98" s="479"/>
      <c r="DZ98" s="479"/>
      <c r="EA98" s="479"/>
      <c r="EB98" s="479"/>
      <c r="EC98" s="479"/>
      <c r="ED98" s="479"/>
    </row>
    <row r="99" spans="1:134">
      <c r="A99" s="305"/>
      <c r="B99" s="373"/>
      <c r="C99" s="373"/>
      <c r="D99" s="469"/>
      <c r="E99" s="469"/>
      <c r="F99" s="459">
        <f>+Main_무해지!F99</f>
        <v>0</v>
      </c>
      <c r="G99" s="470">
        <f>+Main_무해지!G99</f>
        <v>0</v>
      </c>
      <c r="H99" s="460">
        <f>+Main_무해지!H99</f>
        <v>0</v>
      </c>
      <c r="J99" s="5"/>
      <c r="K99" s="5"/>
      <c r="L99" s="5"/>
      <c r="M99" s="158"/>
      <c r="N99" s="278" t="str">
        <f t="shared" si="88"/>
        <v/>
      </c>
      <c r="O99" s="279" t="str">
        <f t="shared" si="89"/>
        <v/>
      </c>
      <c r="P99" s="271" t="str">
        <f t="shared" si="86"/>
        <v/>
      </c>
      <c r="Q99" s="271" t="str">
        <f t="shared" si="87"/>
        <v/>
      </c>
      <c r="R99" s="271"/>
      <c r="S99" s="60" t="str">
        <f t="shared" si="83"/>
        <v/>
      </c>
      <c r="T99" s="61" t="str">
        <f>Main_무해지!AC99</f>
        <v/>
      </c>
      <c r="U99" s="255">
        <f>+Main_무해지!AD99</f>
        <v>0</v>
      </c>
      <c r="V99" s="255" t="str">
        <f t="shared" si="74"/>
        <v/>
      </c>
      <c r="W99" s="255" t="str">
        <f t="shared" si="84"/>
        <v/>
      </c>
      <c r="X99" s="255" t="str">
        <f t="shared" si="45"/>
        <v/>
      </c>
      <c r="Y99" s="62" t="str">
        <f>IF($S99="","",SUM(X99:X$114))</f>
        <v/>
      </c>
      <c r="Z99" s="255" t="str">
        <f t="shared" si="75"/>
        <v/>
      </c>
      <c r="AA99" s="254">
        <f t="shared" si="76"/>
        <v>0</v>
      </c>
      <c r="AB99" s="254" t="str">
        <f>Main_무해지!AJ99</f>
        <v/>
      </c>
      <c r="AC99" s="255" t="str">
        <f t="shared" si="46"/>
        <v/>
      </c>
      <c r="AD99" s="255" t="str">
        <f t="shared" si="85"/>
        <v/>
      </c>
      <c r="AE99" s="255" t="str">
        <f t="shared" si="47"/>
        <v/>
      </c>
      <c r="AF99" s="62" t="str">
        <f>IF($S99="","",SUM(AE99:AE$114))</f>
        <v/>
      </c>
      <c r="AG99" s="61" t="str">
        <f>Main_무해지!AP99</f>
        <v/>
      </c>
      <c r="AH99" s="255" t="str">
        <f t="shared" si="48"/>
        <v/>
      </c>
      <c r="AI99" s="255" t="str">
        <f t="shared" si="49"/>
        <v/>
      </c>
      <c r="AJ99" s="255" t="str">
        <f t="shared" si="50"/>
        <v/>
      </c>
      <c r="AK99" s="65" t="str">
        <f>IF($S99="","",SUM($AL99:$AL$114))</f>
        <v/>
      </c>
      <c r="AL99" s="255" t="str">
        <f t="shared" si="77"/>
        <v/>
      </c>
      <c r="AM99" s="65" t="str">
        <f t="shared" si="51"/>
        <v/>
      </c>
      <c r="AN99" s="61" t="str">
        <f>IF($S99="","",INDEX(#REF!,$S99+1))</f>
        <v/>
      </c>
      <c r="AO99" s="255" t="str">
        <f t="shared" si="52"/>
        <v/>
      </c>
      <c r="AP99" s="255" t="str">
        <f t="shared" si="53"/>
        <v/>
      </c>
      <c r="AQ99" s="255" t="str">
        <f t="shared" si="54"/>
        <v/>
      </c>
      <c r="AR99" s="65" t="str">
        <f>IF($S99="","",SUM($AQ99:$AQ$114))</f>
        <v/>
      </c>
      <c r="AS99" s="61" t="str">
        <f>IF($S99="","",INDEX(#REF!,$S99+1))</f>
        <v/>
      </c>
      <c r="AT99" s="255" t="str">
        <f t="shared" si="55"/>
        <v/>
      </c>
      <c r="AU99" s="255" t="str">
        <f t="shared" si="56"/>
        <v/>
      </c>
      <c r="AV99" s="255" t="str">
        <f t="shared" si="57"/>
        <v/>
      </c>
      <c r="AW99" s="65" t="str">
        <f>IF($S99="","",SUM($AV99:$AV$114))</f>
        <v/>
      </c>
      <c r="AX99" s="61" t="str">
        <f>IF($S99="","",INDEX(#REF!,$S99+1))</f>
        <v/>
      </c>
      <c r="AY99" s="255" t="str">
        <f t="shared" si="58"/>
        <v/>
      </c>
      <c r="AZ99" s="255" t="str">
        <f t="shared" si="59"/>
        <v/>
      </c>
      <c r="BA99" s="255" t="str">
        <f t="shared" si="60"/>
        <v/>
      </c>
      <c r="BB99" s="65" t="str">
        <f>IF($S99="","",SUM($BA99:$BA$114))</f>
        <v/>
      </c>
      <c r="BC99" s="61" t="str">
        <f>IF($S99="","",INDEX(#REF!,$S99+1))</f>
        <v/>
      </c>
      <c r="BD99" s="255" t="str">
        <f t="shared" si="61"/>
        <v/>
      </c>
      <c r="BE99" s="255" t="str">
        <f t="shared" si="62"/>
        <v/>
      </c>
      <c r="BF99" s="255" t="str">
        <f t="shared" si="63"/>
        <v/>
      </c>
      <c r="BG99" s="65" t="str">
        <f>IF($S99="","",SUM($BF99:$BF$114))</f>
        <v/>
      </c>
      <c r="BH99" s="61" t="str">
        <f>IF($S99="","",INDEX(#REF!,$S99+1))</f>
        <v/>
      </c>
      <c r="BI99" s="255" t="str">
        <f t="shared" si="64"/>
        <v/>
      </c>
      <c r="BJ99" s="255" t="str">
        <f t="shared" si="65"/>
        <v/>
      </c>
      <c r="BK99" s="255" t="str">
        <f t="shared" si="66"/>
        <v/>
      </c>
      <c r="BL99" s="65" t="str">
        <f>IF($S99="","",SUM($BK99:$BK$114))</f>
        <v/>
      </c>
      <c r="BM99" s="61" t="str">
        <f t="shared" si="67"/>
        <v/>
      </c>
      <c r="BN99" s="255" t="str">
        <f t="shared" si="78"/>
        <v/>
      </c>
      <c r="BO99" s="255" t="str">
        <f t="shared" si="68"/>
        <v/>
      </c>
      <c r="BP99" s="255" t="str">
        <f t="shared" si="69"/>
        <v/>
      </c>
      <c r="BQ99" s="255" t="str">
        <f t="shared" si="79"/>
        <v/>
      </c>
      <c r="BR99" s="255"/>
      <c r="BS99" s="255"/>
      <c r="BT99" s="255"/>
      <c r="BU99" s="255"/>
      <c r="BV99" s="255" t="str">
        <f>IF($S99="","",SUM(BQ99:BQ$114))</f>
        <v/>
      </c>
      <c r="BW99" s="63" t="str">
        <f>IF(S99&lt;$E$3+$F$5,0,IFERROR(일반형_연납순보험료!S101,0))</f>
        <v/>
      </c>
      <c r="BX99" s="63"/>
      <c r="BY99" s="63"/>
      <c r="BZ99" s="63"/>
      <c r="CA99" s="63"/>
      <c r="CB99" s="255" t="str">
        <f t="shared" si="80"/>
        <v/>
      </c>
      <c r="CC99" s="255" t="str">
        <f t="shared" si="70"/>
        <v/>
      </c>
      <c r="CD99" s="255" t="str">
        <f t="shared" si="71"/>
        <v/>
      </c>
      <c r="CE99" s="255" t="str">
        <f t="shared" si="81"/>
        <v/>
      </c>
      <c r="CF99" s="255" t="str">
        <f t="shared" si="72"/>
        <v/>
      </c>
      <c r="CG99" s="66" t="str">
        <f t="shared" si="82"/>
        <v/>
      </c>
      <c r="CH99" s="67" t="str">
        <f t="shared" si="73"/>
        <v/>
      </c>
      <c r="CI99" s="237"/>
      <c r="CJ99" s="237"/>
      <c r="CK99" s="237"/>
      <c r="CL99" s="237"/>
      <c r="CM99" s="237"/>
      <c r="CN99" s="237"/>
      <c r="CO99" s="479"/>
      <c r="CP99" s="479"/>
      <c r="CQ99" s="479"/>
      <c r="CR99" s="479"/>
      <c r="CS99" s="479"/>
      <c r="CT99" s="479"/>
      <c r="CU99" s="479"/>
      <c r="CV99" s="479"/>
      <c r="CW99" s="479"/>
      <c r="CX99" s="479"/>
      <c r="CY99" s="479"/>
      <c r="CZ99" s="479"/>
      <c r="DA99" s="479"/>
      <c r="DB99" s="479"/>
      <c r="DC99" s="479"/>
      <c r="DD99" s="479"/>
      <c r="DE99" s="479"/>
      <c r="DF99" s="479"/>
      <c r="DG99" s="479"/>
      <c r="DH99" s="479"/>
      <c r="DI99" s="479"/>
      <c r="DJ99" s="479"/>
      <c r="DK99" s="479"/>
      <c r="DL99" s="479"/>
      <c r="DM99" s="479"/>
      <c r="DN99" s="479"/>
      <c r="DO99" s="479"/>
      <c r="DP99" s="479"/>
      <c r="DQ99" s="479"/>
      <c r="DR99" s="479"/>
      <c r="DS99" s="479"/>
      <c r="DT99" s="479"/>
      <c r="DU99" s="479"/>
      <c r="DV99" s="479"/>
      <c r="DW99" s="479"/>
      <c r="DX99" s="479"/>
      <c r="DY99" s="479"/>
      <c r="DZ99" s="479"/>
      <c r="EA99" s="479"/>
      <c r="EB99" s="479"/>
      <c r="EC99" s="479"/>
      <c r="ED99" s="479"/>
    </row>
    <row r="100" spans="1:134">
      <c r="A100" s="305"/>
      <c r="B100" s="373"/>
      <c r="C100" s="373"/>
      <c r="D100" s="469"/>
      <c r="E100" s="469"/>
      <c r="F100" s="459">
        <f>+Main_무해지!F100</f>
        <v>0</v>
      </c>
      <c r="G100" s="470">
        <f>+Main_무해지!G100</f>
        <v>0</v>
      </c>
      <c r="H100" s="460">
        <f>+Main_무해지!H100</f>
        <v>0</v>
      </c>
      <c r="J100" s="5"/>
      <c r="K100" s="5"/>
      <c r="L100" s="5"/>
      <c r="M100" s="158"/>
      <c r="N100" s="278" t="str">
        <f t="shared" si="88"/>
        <v/>
      </c>
      <c r="O100" s="279" t="str">
        <f t="shared" si="89"/>
        <v/>
      </c>
      <c r="P100" s="271" t="str">
        <f t="shared" si="86"/>
        <v/>
      </c>
      <c r="Q100" s="271" t="str">
        <f t="shared" si="87"/>
        <v/>
      </c>
      <c r="R100" s="271"/>
      <c r="S100" s="759" t="str">
        <f t="shared" si="83"/>
        <v/>
      </c>
      <c r="T100" s="761" t="str">
        <f>Main_무해지!AC100</f>
        <v/>
      </c>
      <c r="U100" s="409">
        <f>+Main_무해지!AD100</f>
        <v>0</v>
      </c>
      <c r="V100" s="409" t="str">
        <f t="shared" si="74"/>
        <v/>
      </c>
      <c r="W100" s="409" t="str">
        <f t="shared" si="84"/>
        <v/>
      </c>
      <c r="X100" s="409" t="str">
        <f t="shared" si="45"/>
        <v/>
      </c>
      <c r="Y100" s="760" t="str">
        <f>IF($S100="","",SUM(X100:X$114))</f>
        <v/>
      </c>
      <c r="Z100" s="409" t="str">
        <f t="shared" si="75"/>
        <v/>
      </c>
      <c r="AA100" s="254">
        <f t="shared" si="76"/>
        <v>0</v>
      </c>
      <c r="AB100" s="254" t="str">
        <f>Main_무해지!AJ100</f>
        <v/>
      </c>
      <c r="AC100" s="409" t="str">
        <f t="shared" si="46"/>
        <v/>
      </c>
      <c r="AD100" s="409" t="str">
        <f t="shared" si="85"/>
        <v/>
      </c>
      <c r="AE100" s="409" t="str">
        <f t="shared" si="47"/>
        <v/>
      </c>
      <c r="AF100" s="760" t="str">
        <f>IF($S100="","",SUM(AE100:AE$114))</f>
        <v/>
      </c>
      <c r="AG100" s="761" t="str">
        <f>Main_무해지!AP100</f>
        <v/>
      </c>
      <c r="AH100" s="409" t="str">
        <f t="shared" si="48"/>
        <v/>
      </c>
      <c r="AI100" s="409" t="str">
        <f t="shared" si="49"/>
        <v/>
      </c>
      <c r="AJ100" s="409" t="str">
        <f t="shared" si="50"/>
        <v/>
      </c>
      <c r="AK100" s="762" t="str">
        <f>IF($S100="","",SUM($AL100:$AL$114))</f>
        <v/>
      </c>
      <c r="AL100" s="409" t="str">
        <f t="shared" si="77"/>
        <v/>
      </c>
      <c r="AM100" s="762" t="str">
        <f t="shared" si="51"/>
        <v/>
      </c>
      <c r="AN100" s="761" t="str">
        <f>IF($S100="","",INDEX(#REF!,$S100+1))</f>
        <v/>
      </c>
      <c r="AO100" s="409" t="str">
        <f t="shared" si="52"/>
        <v/>
      </c>
      <c r="AP100" s="409" t="str">
        <f t="shared" si="53"/>
        <v/>
      </c>
      <c r="AQ100" s="409" t="str">
        <f t="shared" si="54"/>
        <v/>
      </c>
      <c r="AR100" s="762" t="str">
        <f>IF($S100="","",SUM($AQ100:$AQ$114))</f>
        <v/>
      </c>
      <c r="AS100" s="761" t="str">
        <f>IF($S100="","",INDEX(#REF!,$S100+1))</f>
        <v/>
      </c>
      <c r="AT100" s="409" t="str">
        <f t="shared" si="55"/>
        <v/>
      </c>
      <c r="AU100" s="409" t="str">
        <f t="shared" si="56"/>
        <v/>
      </c>
      <c r="AV100" s="409" t="str">
        <f t="shared" si="57"/>
        <v/>
      </c>
      <c r="AW100" s="762" t="str">
        <f>IF($S100="","",SUM($AV100:$AV$114))</f>
        <v/>
      </c>
      <c r="AX100" s="761" t="str">
        <f>IF($S100="","",INDEX(#REF!,$S100+1))</f>
        <v/>
      </c>
      <c r="AY100" s="409" t="str">
        <f t="shared" si="58"/>
        <v/>
      </c>
      <c r="AZ100" s="409" t="str">
        <f t="shared" si="59"/>
        <v/>
      </c>
      <c r="BA100" s="409" t="str">
        <f t="shared" si="60"/>
        <v/>
      </c>
      <c r="BB100" s="762" t="str">
        <f>IF($S100="","",SUM($BA100:$BA$114))</f>
        <v/>
      </c>
      <c r="BC100" s="761" t="str">
        <f>IF($S100="","",INDEX(#REF!,$S100+1))</f>
        <v/>
      </c>
      <c r="BD100" s="409" t="str">
        <f t="shared" si="61"/>
        <v/>
      </c>
      <c r="BE100" s="409" t="str">
        <f t="shared" si="62"/>
        <v/>
      </c>
      <c r="BF100" s="409" t="str">
        <f t="shared" si="63"/>
        <v/>
      </c>
      <c r="BG100" s="762" t="str">
        <f>IF($S100="","",SUM($BF100:$BF$114))</f>
        <v/>
      </c>
      <c r="BH100" s="761" t="str">
        <f>IF($S100="","",INDEX(#REF!,$S100+1))</f>
        <v/>
      </c>
      <c r="BI100" s="409" t="str">
        <f t="shared" si="64"/>
        <v/>
      </c>
      <c r="BJ100" s="409" t="str">
        <f t="shared" si="65"/>
        <v/>
      </c>
      <c r="BK100" s="409" t="str">
        <f t="shared" si="66"/>
        <v/>
      </c>
      <c r="BL100" s="762" t="str">
        <f>IF($S100="","",SUM($BK100:$BK$114))</f>
        <v/>
      </c>
      <c r="BM100" s="761" t="str">
        <f t="shared" si="67"/>
        <v/>
      </c>
      <c r="BN100" s="409" t="str">
        <f t="shared" si="78"/>
        <v/>
      </c>
      <c r="BO100" s="409" t="str">
        <f t="shared" si="68"/>
        <v/>
      </c>
      <c r="BP100" s="409" t="str">
        <f t="shared" si="69"/>
        <v/>
      </c>
      <c r="BQ100" s="409" t="str">
        <f t="shared" si="79"/>
        <v/>
      </c>
      <c r="BR100" s="409"/>
      <c r="BS100" s="409"/>
      <c r="BT100" s="409"/>
      <c r="BU100" s="409"/>
      <c r="BV100" s="409" t="str">
        <f>IF($S100="","",SUM(BQ100:BQ$114))</f>
        <v/>
      </c>
      <c r="BW100" s="763" t="str">
        <f>IF(S100&lt;$E$3+$F$5,0,IFERROR(일반형_연납순보험료!S102,0))</f>
        <v/>
      </c>
      <c r="BX100" s="763"/>
      <c r="BY100" s="763"/>
      <c r="BZ100" s="763"/>
      <c r="CA100" s="763"/>
      <c r="CB100" s="409" t="str">
        <f t="shared" si="80"/>
        <v/>
      </c>
      <c r="CC100" s="409" t="str">
        <f t="shared" si="70"/>
        <v/>
      </c>
      <c r="CD100" s="409" t="str">
        <f t="shared" si="71"/>
        <v/>
      </c>
      <c r="CE100" s="409" t="str">
        <f t="shared" si="81"/>
        <v/>
      </c>
      <c r="CF100" s="409" t="str">
        <f t="shared" si="72"/>
        <v/>
      </c>
      <c r="CG100" s="765" t="str">
        <f t="shared" si="82"/>
        <v/>
      </c>
      <c r="CH100" s="766" t="str">
        <f t="shared" si="73"/>
        <v/>
      </c>
      <c r="CI100" s="414"/>
      <c r="CJ100" s="414"/>
      <c r="CK100" s="414"/>
      <c r="CL100" s="414"/>
      <c r="CM100" s="414"/>
      <c r="CN100" s="414"/>
      <c r="CO100" s="479"/>
      <c r="CP100" s="479"/>
      <c r="CQ100" s="479"/>
      <c r="CR100" s="479"/>
      <c r="CS100" s="479"/>
      <c r="CT100" s="479"/>
      <c r="CU100" s="479"/>
      <c r="CV100" s="479"/>
      <c r="CW100" s="479"/>
      <c r="CX100" s="479"/>
      <c r="CY100" s="479"/>
      <c r="CZ100" s="479"/>
      <c r="DA100" s="479"/>
      <c r="DB100" s="479"/>
      <c r="DC100" s="479"/>
      <c r="DD100" s="479"/>
      <c r="DE100" s="479"/>
      <c r="DF100" s="479"/>
      <c r="DG100" s="479"/>
      <c r="DH100" s="479"/>
      <c r="DI100" s="479"/>
      <c r="DJ100" s="479"/>
      <c r="DK100" s="479"/>
      <c r="DL100" s="479"/>
      <c r="DM100" s="479"/>
      <c r="DN100" s="479"/>
      <c r="DO100" s="479"/>
      <c r="DP100" s="479"/>
      <c r="DQ100" s="479"/>
      <c r="DR100" s="479"/>
      <c r="DS100" s="479"/>
      <c r="DT100" s="479"/>
      <c r="DU100" s="479"/>
      <c r="DV100" s="479"/>
      <c r="DW100" s="479"/>
      <c r="DX100" s="479"/>
      <c r="DY100" s="479"/>
      <c r="DZ100" s="479"/>
      <c r="EA100" s="479"/>
      <c r="EB100" s="479"/>
      <c r="EC100" s="479"/>
      <c r="ED100" s="479"/>
    </row>
    <row r="101" spans="1:134">
      <c r="A101" s="305"/>
      <c r="B101" s="373"/>
      <c r="C101" s="373"/>
      <c r="D101" s="469"/>
      <c r="E101" s="469"/>
      <c r="F101" s="459">
        <f>+Main_무해지!F101</f>
        <v>0</v>
      </c>
      <c r="G101" s="470">
        <f>+Main_무해지!G101</f>
        <v>0</v>
      </c>
      <c r="H101" s="460">
        <f>+Main_무해지!H101</f>
        <v>0</v>
      </c>
      <c r="J101" s="5"/>
      <c r="K101" s="5"/>
      <c r="L101" s="5"/>
      <c r="M101" s="158"/>
      <c r="N101" s="278" t="str">
        <f t="shared" si="88"/>
        <v/>
      </c>
      <c r="O101" s="279" t="str">
        <f t="shared" si="89"/>
        <v/>
      </c>
      <c r="P101" s="271" t="str">
        <f t="shared" si="86"/>
        <v/>
      </c>
      <c r="Q101" s="271" t="str">
        <f t="shared" si="87"/>
        <v/>
      </c>
      <c r="R101" s="271"/>
      <c r="S101" s="101" t="str">
        <f t="shared" si="83"/>
        <v/>
      </c>
      <c r="T101" s="285" t="str">
        <f>Main_무해지!AC101</f>
        <v/>
      </c>
      <c r="U101" s="258">
        <f>+Main_무해지!AD101</f>
        <v>0</v>
      </c>
      <c r="V101" s="258" t="str">
        <f t="shared" si="74"/>
        <v/>
      </c>
      <c r="W101" s="258" t="str">
        <f t="shared" si="84"/>
        <v/>
      </c>
      <c r="X101" s="258" t="str">
        <f t="shared" si="45"/>
        <v/>
      </c>
      <c r="Y101" s="102" t="str">
        <f>IF($S101="","",SUM(X101:X$114))</f>
        <v/>
      </c>
      <c r="Z101" s="258" t="str">
        <f t="shared" si="75"/>
        <v/>
      </c>
      <c r="AA101" s="254">
        <f t="shared" si="76"/>
        <v>0</v>
      </c>
      <c r="AB101" s="254" t="str">
        <f>Main_무해지!AJ101</f>
        <v/>
      </c>
      <c r="AC101" s="258" t="str">
        <f t="shared" si="46"/>
        <v/>
      </c>
      <c r="AD101" s="258" t="str">
        <f t="shared" si="85"/>
        <v/>
      </c>
      <c r="AE101" s="258" t="str">
        <f t="shared" si="47"/>
        <v/>
      </c>
      <c r="AF101" s="102" t="str">
        <f>IF($S101="","",SUM(AE101:AE$114))</f>
        <v/>
      </c>
      <c r="AG101" s="285" t="str">
        <f>Main_무해지!AP101</f>
        <v/>
      </c>
      <c r="AH101" s="258" t="str">
        <f t="shared" si="48"/>
        <v/>
      </c>
      <c r="AI101" s="258" t="str">
        <f t="shared" si="49"/>
        <v/>
      </c>
      <c r="AJ101" s="258" t="str">
        <f t="shared" si="50"/>
        <v/>
      </c>
      <c r="AK101" s="315" t="str">
        <f>IF($S101="","",SUM($AL101:$AL$114))</f>
        <v/>
      </c>
      <c r="AL101" s="258" t="str">
        <f t="shared" si="77"/>
        <v/>
      </c>
      <c r="AM101" s="315" t="str">
        <f t="shared" si="51"/>
        <v/>
      </c>
      <c r="AN101" s="285" t="str">
        <f>IF($S101="","",INDEX(#REF!,$S101+1))</f>
        <v/>
      </c>
      <c r="AO101" s="258" t="str">
        <f t="shared" si="52"/>
        <v/>
      </c>
      <c r="AP101" s="258" t="str">
        <f t="shared" si="53"/>
        <v/>
      </c>
      <c r="AQ101" s="258" t="str">
        <f t="shared" si="54"/>
        <v/>
      </c>
      <c r="AR101" s="315" t="str">
        <f>IF($S101="","",SUM($AQ101:$AQ$114))</f>
        <v/>
      </c>
      <c r="AS101" s="285" t="str">
        <f>IF($S101="","",INDEX(#REF!,$S101+1))</f>
        <v/>
      </c>
      <c r="AT101" s="258" t="str">
        <f t="shared" si="55"/>
        <v/>
      </c>
      <c r="AU101" s="258" t="str">
        <f t="shared" si="56"/>
        <v/>
      </c>
      <c r="AV101" s="258" t="str">
        <f t="shared" si="57"/>
        <v/>
      </c>
      <c r="AW101" s="315" t="str">
        <f>IF($S101="","",SUM($AV101:$AV$114))</f>
        <v/>
      </c>
      <c r="AX101" s="285" t="str">
        <f>IF($S101="","",INDEX(#REF!,$S101+1))</f>
        <v/>
      </c>
      <c r="AY101" s="258" t="str">
        <f t="shared" si="58"/>
        <v/>
      </c>
      <c r="AZ101" s="258" t="str">
        <f t="shared" si="59"/>
        <v/>
      </c>
      <c r="BA101" s="258" t="str">
        <f t="shared" si="60"/>
        <v/>
      </c>
      <c r="BB101" s="315" t="str">
        <f>IF($S101="","",SUM($BA101:$BA$114))</f>
        <v/>
      </c>
      <c r="BC101" s="285" t="str">
        <f>IF($S101="","",INDEX(#REF!,$S101+1))</f>
        <v/>
      </c>
      <c r="BD101" s="258" t="str">
        <f t="shared" si="61"/>
        <v/>
      </c>
      <c r="BE101" s="258" t="str">
        <f t="shared" si="62"/>
        <v/>
      </c>
      <c r="BF101" s="258" t="str">
        <f t="shared" si="63"/>
        <v/>
      </c>
      <c r="BG101" s="315" t="str">
        <f>IF($S101="","",SUM($BF101:$BF$114))</f>
        <v/>
      </c>
      <c r="BH101" s="285" t="str">
        <f>IF($S101="","",INDEX(#REF!,$S101+1))</f>
        <v/>
      </c>
      <c r="BI101" s="258" t="str">
        <f t="shared" si="64"/>
        <v/>
      </c>
      <c r="BJ101" s="258" t="str">
        <f t="shared" si="65"/>
        <v/>
      </c>
      <c r="BK101" s="258" t="str">
        <f t="shared" si="66"/>
        <v/>
      </c>
      <c r="BL101" s="315" t="str">
        <f>IF($S101="","",SUM($BK101:$BK$114))</f>
        <v/>
      </c>
      <c r="BM101" s="285" t="str">
        <f t="shared" si="67"/>
        <v/>
      </c>
      <c r="BN101" s="258" t="str">
        <f t="shared" si="78"/>
        <v/>
      </c>
      <c r="BO101" s="258" t="str">
        <f t="shared" si="68"/>
        <v/>
      </c>
      <c r="BP101" s="258" t="str">
        <f t="shared" si="69"/>
        <v/>
      </c>
      <c r="BQ101" s="258" t="str">
        <f t="shared" si="79"/>
        <v/>
      </c>
      <c r="BR101" s="258"/>
      <c r="BS101" s="258"/>
      <c r="BT101" s="258"/>
      <c r="BU101" s="258"/>
      <c r="BV101" s="258" t="str">
        <f>IF($S101="","",SUM(BQ101:BQ$114))</f>
        <v/>
      </c>
      <c r="BW101" s="103" t="str">
        <f>IF(S101&lt;$E$3+$F$5,0,IFERROR(일반형_연납순보험료!S103,0))</f>
        <v/>
      </c>
      <c r="BX101" s="103"/>
      <c r="BY101" s="103"/>
      <c r="BZ101" s="103"/>
      <c r="CA101" s="103"/>
      <c r="CB101" s="258" t="str">
        <f t="shared" si="80"/>
        <v/>
      </c>
      <c r="CC101" s="258" t="str">
        <f t="shared" si="70"/>
        <v/>
      </c>
      <c r="CD101" s="258" t="str">
        <f t="shared" si="71"/>
        <v/>
      </c>
      <c r="CE101" s="258" t="str">
        <f t="shared" si="81"/>
        <v/>
      </c>
      <c r="CF101" s="258" t="str">
        <f t="shared" si="72"/>
        <v/>
      </c>
      <c r="CG101" s="104" t="str">
        <f t="shared" si="82"/>
        <v/>
      </c>
      <c r="CH101" s="105" t="str">
        <f t="shared" si="73"/>
        <v/>
      </c>
      <c r="CI101" s="240"/>
      <c r="CJ101" s="240"/>
      <c r="CK101" s="240"/>
      <c r="CL101" s="240"/>
      <c r="CM101" s="240"/>
      <c r="CN101" s="240"/>
      <c r="CO101" s="479"/>
      <c r="CP101" s="479"/>
      <c r="CQ101" s="479"/>
      <c r="CR101" s="479"/>
      <c r="CS101" s="479"/>
      <c r="CT101" s="479"/>
      <c r="CU101" s="479"/>
      <c r="CV101" s="479"/>
      <c r="CW101" s="479"/>
      <c r="CX101" s="479"/>
      <c r="CY101" s="479"/>
      <c r="CZ101" s="479"/>
      <c r="DA101" s="479"/>
      <c r="DB101" s="479"/>
      <c r="DC101" s="479"/>
      <c r="DD101" s="479"/>
      <c r="DE101" s="479"/>
      <c r="DF101" s="479"/>
      <c r="DG101" s="479"/>
      <c r="DH101" s="479"/>
      <c r="DI101" s="479"/>
      <c r="DJ101" s="479"/>
      <c r="DK101" s="479"/>
      <c r="DL101" s="479"/>
      <c r="DM101" s="479"/>
      <c r="DN101" s="479"/>
      <c r="DO101" s="479"/>
      <c r="DP101" s="479"/>
      <c r="DQ101" s="479"/>
      <c r="DR101" s="479"/>
      <c r="DS101" s="479"/>
      <c r="DT101" s="479"/>
      <c r="DU101" s="479"/>
      <c r="DV101" s="479"/>
      <c r="DW101" s="479"/>
      <c r="DX101" s="479"/>
      <c r="DY101" s="479"/>
      <c r="DZ101" s="479"/>
      <c r="EA101" s="479"/>
      <c r="EB101" s="479"/>
      <c r="EC101" s="479"/>
      <c r="ED101" s="479"/>
    </row>
    <row r="102" spans="1:134">
      <c r="A102" s="305"/>
      <c r="B102" s="373"/>
      <c r="C102" s="373"/>
      <c r="D102" s="469"/>
      <c r="E102" s="469"/>
      <c r="F102" s="459">
        <f>+Main_무해지!F102</f>
        <v>0</v>
      </c>
      <c r="G102" s="470">
        <f>+Main_무해지!G102</f>
        <v>0</v>
      </c>
      <c r="H102" s="460">
        <f>+Main_무해지!H102</f>
        <v>0</v>
      </c>
      <c r="J102" s="5"/>
      <c r="K102" s="5"/>
      <c r="L102" s="5"/>
      <c r="M102" s="158"/>
      <c r="N102" s="278" t="str">
        <f t="shared" si="88"/>
        <v/>
      </c>
      <c r="O102" s="279" t="str">
        <f t="shared" si="89"/>
        <v/>
      </c>
      <c r="P102" s="271" t="str">
        <f t="shared" si="86"/>
        <v/>
      </c>
      <c r="Q102" s="271" t="str">
        <f t="shared" si="87"/>
        <v/>
      </c>
      <c r="R102" s="271"/>
      <c r="S102" s="101" t="str">
        <f t="shared" si="83"/>
        <v/>
      </c>
      <c r="T102" s="285" t="str">
        <f>Main_무해지!AC102</f>
        <v/>
      </c>
      <c r="U102" s="258">
        <f>+Main_무해지!AD102</f>
        <v>0</v>
      </c>
      <c r="V102" s="258" t="str">
        <f t="shared" si="74"/>
        <v/>
      </c>
      <c r="W102" s="258" t="str">
        <f t="shared" si="84"/>
        <v/>
      </c>
      <c r="X102" s="258" t="str">
        <f t="shared" si="45"/>
        <v/>
      </c>
      <c r="Y102" s="102" t="str">
        <f>IF($S102="","",SUM(X102:X$114))</f>
        <v/>
      </c>
      <c r="Z102" s="258" t="str">
        <f t="shared" si="75"/>
        <v/>
      </c>
      <c r="AA102" s="254">
        <f t="shared" si="76"/>
        <v>0</v>
      </c>
      <c r="AB102" s="254" t="str">
        <f>Main_무해지!AJ102</f>
        <v/>
      </c>
      <c r="AC102" s="258" t="str">
        <f t="shared" si="46"/>
        <v/>
      </c>
      <c r="AD102" s="258" t="str">
        <f t="shared" si="85"/>
        <v/>
      </c>
      <c r="AE102" s="258" t="str">
        <f t="shared" si="47"/>
        <v/>
      </c>
      <c r="AF102" s="102" t="str">
        <f>IF($S102="","",SUM(AE102:AE$114))</f>
        <v/>
      </c>
      <c r="AG102" s="285" t="str">
        <f>Main_무해지!AP102</f>
        <v/>
      </c>
      <c r="AH102" s="258" t="str">
        <f t="shared" si="48"/>
        <v/>
      </c>
      <c r="AI102" s="258" t="str">
        <f t="shared" si="49"/>
        <v/>
      </c>
      <c r="AJ102" s="258" t="str">
        <f t="shared" si="50"/>
        <v/>
      </c>
      <c r="AK102" s="315" t="str">
        <f>IF($S102="","",SUM($AL102:$AL$114))</f>
        <v/>
      </c>
      <c r="AL102" s="258" t="str">
        <f t="shared" si="77"/>
        <v/>
      </c>
      <c r="AM102" s="315" t="str">
        <f t="shared" si="51"/>
        <v/>
      </c>
      <c r="AN102" s="285" t="str">
        <f>IF($S102="","",INDEX(#REF!,$S102+1))</f>
        <v/>
      </c>
      <c r="AO102" s="258" t="str">
        <f t="shared" si="52"/>
        <v/>
      </c>
      <c r="AP102" s="258" t="str">
        <f t="shared" si="53"/>
        <v/>
      </c>
      <c r="AQ102" s="258" t="str">
        <f t="shared" si="54"/>
        <v/>
      </c>
      <c r="AR102" s="315" t="str">
        <f>IF($S102="","",SUM($AQ102:$AQ$114))</f>
        <v/>
      </c>
      <c r="AS102" s="285" t="str">
        <f>IF($S102="","",INDEX(#REF!,$S102+1))</f>
        <v/>
      </c>
      <c r="AT102" s="258" t="str">
        <f t="shared" si="55"/>
        <v/>
      </c>
      <c r="AU102" s="258" t="str">
        <f t="shared" si="56"/>
        <v/>
      </c>
      <c r="AV102" s="258" t="str">
        <f t="shared" si="57"/>
        <v/>
      </c>
      <c r="AW102" s="315" t="str">
        <f>IF($S102="","",SUM($AV102:$AV$114))</f>
        <v/>
      </c>
      <c r="AX102" s="285" t="str">
        <f>IF($S102="","",INDEX(#REF!,$S102+1))</f>
        <v/>
      </c>
      <c r="AY102" s="258" t="str">
        <f t="shared" si="58"/>
        <v/>
      </c>
      <c r="AZ102" s="258" t="str">
        <f t="shared" si="59"/>
        <v/>
      </c>
      <c r="BA102" s="258" t="str">
        <f t="shared" si="60"/>
        <v/>
      </c>
      <c r="BB102" s="315" t="str">
        <f>IF($S102="","",SUM($BA102:$BA$114))</f>
        <v/>
      </c>
      <c r="BC102" s="285" t="str">
        <f>IF($S102="","",INDEX(#REF!,$S102+1))</f>
        <v/>
      </c>
      <c r="BD102" s="258" t="str">
        <f t="shared" si="61"/>
        <v/>
      </c>
      <c r="BE102" s="258" t="str">
        <f t="shared" si="62"/>
        <v/>
      </c>
      <c r="BF102" s="258" t="str">
        <f t="shared" si="63"/>
        <v/>
      </c>
      <c r="BG102" s="315" t="str">
        <f>IF($S102="","",SUM($BF102:$BF$114))</f>
        <v/>
      </c>
      <c r="BH102" s="285" t="str">
        <f>IF($S102="","",INDEX(#REF!,$S102+1))</f>
        <v/>
      </c>
      <c r="BI102" s="258" t="str">
        <f t="shared" si="64"/>
        <v/>
      </c>
      <c r="BJ102" s="258" t="str">
        <f t="shared" si="65"/>
        <v/>
      </c>
      <c r="BK102" s="258" t="str">
        <f t="shared" si="66"/>
        <v/>
      </c>
      <c r="BL102" s="315" t="str">
        <f>IF($S102="","",SUM($BK102:$BK$114))</f>
        <v/>
      </c>
      <c r="BM102" s="285" t="str">
        <f t="shared" si="67"/>
        <v/>
      </c>
      <c r="BN102" s="258" t="str">
        <f t="shared" si="78"/>
        <v/>
      </c>
      <c r="BO102" s="258" t="str">
        <f t="shared" si="68"/>
        <v/>
      </c>
      <c r="BP102" s="258" t="str">
        <f t="shared" si="69"/>
        <v/>
      </c>
      <c r="BQ102" s="258" t="str">
        <f t="shared" si="79"/>
        <v/>
      </c>
      <c r="BR102" s="258"/>
      <c r="BS102" s="258"/>
      <c r="BT102" s="258"/>
      <c r="BU102" s="258"/>
      <c r="BV102" s="258" t="str">
        <f>IF($S102="","",SUM(BQ102:BQ$114))</f>
        <v/>
      </c>
      <c r="BW102" s="103" t="str">
        <f>IF(S102&lt;$E$3+$F$5,0,IFERROR(일반형_연납순보험료!S104,0))</f>
        <v/>
      </c>
      <c r="BX102" s="103"/>
      <c r="BY102" s="103"/>
      <c r="BZ102" s="103"/>
      <c r="CA102" s="103"/>
      <c r="CB102" s="258" t="str">
        <f t="shared" si="80"/>
        <v/>
      </c>
      <c r="CC102" s="258" t="str">
        <f t="shared" si="70"/>
        <v/>
      </c>
      <c r="CD102" s="258" t="str">
        <f t="shared" si="71"/>
        <v/>
      </c>
      <c r="CE102" s="258" t="str">
        <f t="shared" si="81"/>
        <v/>
      </c>
      <c r="CF102" s="258" t="str">
        <f t="shared" si="72"/>
        <v/>
      </c>
      <c r="CG102" s="104" t="str">
        <f t="shared" si="82"/>
        <v/>
      </c>
      <c r="CH102" s="105" t="str">
        <f t="shared" si="73"/>
        <v/>
      </c>
      <c r="CI102" s="240"/>
      <c r="CJ102" s="240"/>
      <c r="CK102" s="240"/>
      <c r="CL102" s="240"/>
      <c r="CM102" s="240"/>
      <c r="CN102" s="240"/>
      <c r="CO102" s="479"/>
      <c r="CP102" s="479"/>
      <c r="CQ102" s="479"/>
      <c r="CR102" s="479"/>
      <c r="CS102" s="479"/>
      <c r="CT102" s="479"/>
      <c r="CU102" s="479"/>
      <c r="CV102" s="479"/>
      <c r="CW102" s="479"/>
      <c r="CX102" s="479"/>
      <c r="CY102" s="479"/>
      <c r="CZ102" s="479"/>
      <c r="DA102" s="479"/>
      <c r="DB102" s="479"/>
      <c r="DC102" s="479"/>
      <c r="DD102" s="479"/>
      <c r="DE102" s="479"/>
      <c r="DF102" s="479"/>
      <c r="DG102" s="479"/>
      <c r="DH102" s="479"/>
      <c r="DI102" s="479"/>
      <c r="DJ102" s="479"/>
      <c r="DK102" s="479"/>
      <c r="DL102" s="479"/>
      <c r="DM102" s="479"/>
      <c r="DN102" s="479"/>
      <c r="DO102" s="479"/>
      <c r="DP102" s="479"/>
      <c r="DQ102" s="479"/>
      <c r="DR102" s="479"/>
      <c r="DS102" s="479"/>
      <c r="DT102" s="479"/>
      <c r="DU102" s="479"/>
      <c r="DV102" s="479"/>
      <c r="DW102" s="479"/>
      <c r="DX102" s="479"/>
      <c r="DY102" s="479"/>
      <c r="DZ102" s="479"/>
      <c r="EA102" s="479"/>
      <c r="EB102" s="479"/>
      <c r="EC102" s="479"/>
      <c r="ED102" s="479"/>
    </row>
    <row r="103" spans="1:134">
      <c r="A103" s="305"/>
      <c r="B103" s="373"/>
      <c r="C103" s="373"/>
      <c r="D103" s="469"/>
      <c r="E103" s="469"/>
      <c r="F103" s="459">
        <f>+Main_무해지!F103</f>
        <v>0</v>
      </c>
      <c r="G103" s="470">
        <f>+Main_무해지!G103</f>
        <v>0</v>
      </c>
      <c r="H103" s="460">
        <f>+Main_무해지!H103</f>
        <v>0</v>
      </c>
      <c r="J103" s="5"/>
      <c r="K103" s="5"/>
      <c r="L103" s="5"/>
      <c r="M103" s="158"/>
      <c r="N103" s="278" t="str">
        <f t="shared" si="88"/>
        <v/>
      </c>
      <c r="O103" s="279" t="str">
        <f t="shared" si="89"/>
        <v/>
      </c>
      <c r="P103" s="271" t="str">
        <f t="shared" si="86"/>
        <v/>
      </c>
      <c r="Q103" s="271" t="str">
        <f t="shared" si="87"/>
        <v/>
      </c>
      <c r="R103" s="271"/>
      <c r="S103" s="101" t="str">
        <f t="shared" si="83"/>
        <v/>
      </c>
      <c r="T103" s="285" t="str">
        <f>Main_무해지!AC103</f>
        <v/>
      </c>
      <c r="U103" s="258">
        <f>+Main_무해지!AD103</f>
        <v>0</v>
      </c>
      <c r="V103" s="258" t="str">
        <f t="shared" si="74"/>
        <v/>
      </c>
      <c r="W103" s="258" t="str">
        <f t="shared" si="84"/>
        <v/>
      </c>
      <c r="X103" s="258" t="str">
        <f t="shared" si="45"/>
        <v/>
      </c>
      <c r="Y103" s="102" t="str">
        <f>IF($S103="","",SUM(X103:X$114))</f>
        <v/>
      </c>
      <c r="Z103" s="258" t="str">
        <f t="shared" si="75"/>
        <v/>
      </c>
      <c r="AA103" s="254">
        <f t="shared" si="76"/>
        <v>0</v>
      </c>
      <c r="AB103" s="254" t="str">
        <f>Main_무해지!AJ103</f>
        <v/>
      </c>
      <c r="AC103" s="258" t="str">
        <f t="shared" si="46"/>
        <v/>
      </c>
      <c r="AD103" s="258" t="str">
        <f t="shared" si="85"/>
        <v/>
      </c>
      <c r="AE103" s="258" t="str">
        <f t="shared" si="47"/>
        <v/>
      </c>
      <c r="AF103" s="102" t="str">
        <f>IF($S103="","",SUM(AE103:AE$114))</f>
        <v/>
      </c>
      <c r="AG103" s="285" t="str">
        <f>Main_무해지!AP103</f>
        <v/>
      </c>
      <c r="AH103" s="258" t="str">
        <f t="shared" si="48"/>
        <v/>
      </c>
      <c r="AI103" s="258" t="str">
        <f t="shared" si="49"/>
        <v/>
      </c>
      <c r="AJ103" s="258" t="str">
        <f t="shared" si="50"/>
        <v/>
      </c>
      <c r="AK103" s="315" t="str">
        <f>IF($S103="","",SUM($AL103:$AL$114))</f>
        <v/>
      </c>
      <c r="AL103" s="258" t="str">
        <f t="shared" si="77"/>
        <v/>
      </c>
      <c r="AM103" s="315" t="str">
        <f t="shared" si="51"/>
        <v/>
      </c>
      <c r="AN103" s="285" t="str">
        <f>IF($S103="","",INDEX(#REF!,$S103+1))</f>
        <v/>
      </c>
      <c r="AO103" s="258" t="str">
        <f t="shared" si="52"/>
        <v/>
      </c>
      <c r="AP103" s="258" t="str">
        <f t="shared" si="53"/>
        <v/>
      </c>
      <c r="AQ103" s="258" t="str">
        <f t="shared" si="54"/>
        <v/>
      </c>
      <c r="AR103" s="315" t="str">
        <f>IF($S103="","",SUM($AQ103:$AQ$114))</f>
        <v/>
      </c>
      <c r="AS103" s="285" t="str">
        <f>IF($S103="","",INDEX(#REF!,$S103+1))</f>
        <v/>
      </c>
      <c r="AT103" s="258" t="str">
        <f t="shared" si="55"/>
        <v/>
      </c>
      <c r="AU103" s="258" t="str">
        <f t="shared" si="56"/>
        <v/>
      </c>
      <c r="AV103" s="258" t="str">
        <f t="shared" si="57"/>
        <v/>
      </c>
      <c r="AW103" s="315" t="str">
        <f>IF($S103="","",SUM($AV103:$AV$114))</f>
        <v/>
      </c>
      <c r="AX103" s="285" t="str">
        <f>IF($S103="","",INDEX(#REF!,$S103+1))</f>
        <v/>
      </c>
      <c r="AY103" s="258" t="str">
        <f t="shared" si="58"/>
        <v/>
      </c>
      <c r="AZ103" s="258" t="str">
        <f t="shared" si="59"/>
        <v/>
      </c>
      <c r="BA103" s="258" t="str">
        <f t="shared" si="60"/>
        <v/>
      </c>
      <c r="BB103" s="315" t="str">
        <f>IF($S103="","",SUM($BA103:$BA$114))</f>
        <v/>
      </c>
      <c r="BC103" s="285" t="str">
        <f>IF($S103="","",INDEX(#REF!,$S103+1))</f>
        <v/>
      </c>
      <c r="BD103" s="258" t="str">
        <f t="shared" si="61"/>
        <v/>
      </c>
      <c r="BE103" s="258" t="str">
        <f t="shared" si="62"/>
        <v/>
      </c>
      <c r="BF103" s="258" t="str">
        <f t="shared" si="63"/>
        <v/>
      </c>
      <c r="BG103" s="315" t="str">
        <f>IF($S103="","",SUM($BF103:$BF$114))</f>
        <v/>
      </c>
      <c r="BH103" s="285" t="str">
        <f>IF($S103="","",INDEX(#REF!,$S103+1))</f>
        <v/>
      </c>
      <c r="BI103" s="258" t="str">
        <f t="shared" si="64"/>
        <v/>
      </c>
      <c r="BJ103" s="258" t="str">
        <f t="shared" si="65"/>
        <v/>
      </c>
      <c r="BK103" s="258" t="str">
        <f t="shared" si="66"/>
        <v/>
      </c>
      <c r="BL103" s="315" t="str">
        <f>IF($S103="","",SUM($BK103:$BK$114))</f>
        <v/>
      </c>
      <c r="BM103" s="285" t="str">
        <f t="shared" si="67"/>
        <v/>
      </c>
      <c r="BN103" s="258" t="str">
        <f t="shared" si="78"/>
        <v/>
      </c>
      <c r="BO103" s="258" t="str">
        <f t="shared" si="68"/>
        <v/>
      </c>
      <c r="BP103" s="258" t="str">
        <f t="shared" si="69"/>
        <v/>
      </c>
      <c r="BQ103" s="258" t="str">
        <f t="shared" si="79"/>
        <v/>
      </c>
      <c r="BR103" s="258"/>
      <c r="BS103" s="258"/>
      <c r="BT103" s="258"/>
      <c r="BU103" s="258"/>
      <c r="BV103" s="258" t="str">
        <f>IF($S103="","",SUM(BQ103:BQ$114))</f>
        <v/>
      </c>
      <c r="BW103" s="103" t="str">
        <f>IF(S103&lt;$E$3+$F$5,0,IFERROR(일반형_연납순보험료!S105,0))</f>
        <v/>
      </c>
      <c r="BX103" s="103"/>
      <c r="BY103" s="103"/>
      <c r="BZ103" s="103"/>
      <c r="CA103" s="103"/>
      <c r="CB103" s="258" t="str">
        <f t="shared" si="80"/>
        <v/>
      </c>
      <c r="CC103" s="258" t="str">
        <f t="shared" si="70"/>
        <v/>
      </c>
      <c r="CD103" s="258" t="str">
        <f t="shared" si="71"/>
        <v/>
      </c>
      <c r="CE103" s="258" t="str">
        <f t="shared" si="81"/>
        <v/>
      </c>
      <c r="CF103" s="258" t="str">
        <f t="shared" si="72"/>
        <v/>
      </c>
      <c r="CG103" s="104" t="str">
        <f t="shared" si="82"/>
        <v/>
      </c>
      <c r="CH103" s="105" t="str">
        <f t="shared" si="73"/>
        <v/>
      </c>
      <c r="CI103" s="240"/>
      <c r="CJ103" s="240"/>
      <c r="CK103" s="240"/>
      <c r="CL103" s="240"/>
      <c r="CM103" s="240"/>
      <c r="CN103" s="240"/>
      <c r="CO103" s="479"/>
      <c r="CP103" s="479"/>
      <c r="CQ103" s="479"/>
      <c r="CR103" s="479"/>
      <c r="CS103" s="479"/>
      <c r="CT103" s="479"/>
      <c r="CU103" s="479"/>
      <c r="CV103" s="479"/>
      <c r="CW103" s="479"/>
      <c r="CX103" s="479"/>
      <c r="CY103" s="479"/>
      <c r="CZ103" s="479"/>
      <c r="DA103" s="479"/>
      <c r="DB103" s="479"/>
      <c r="DC103" s="479"/>
      <c r="DD103" s="479"/>
      <c r="DE103" s="479"/>
      <c r="DF103" s="479"/>
      <c r="DG103" s="479"/>
      <c r="DH103" s="479"/>
      <c r="DI103" s="479"/>
      <c r="DJ103" s="479"/>
      <c r="DK103" s="479"/>
      <c r="DL103" s="479"/>
      <c r="DM103" s="479"/>
      <c r="DN103" s="479"/>
      <c r="DO103" s="479"/>
      <c r="DP103" s="479"/>
      <c r="DQ103" s="479"/>
      <c r="DR103" s="479"/>
      <c r="DS103" s="479"/>
      <c r="DT103" s="479"/>
      <c r="DU103" s="479"/>
      <c r="DV103" s="479"/>
      <c r="DW103" s="479"/>
      <c r="DX103" s="479"/>
      <c r="DY103" s="479"/>
      <c r="DZ103" s="479"/>
      <c r="EA103" s="479"/>
      <c r="EB103" s="479"/>
      <c r="EC103" s="479"/>
      <c r="ED103" s="479"/>
    </row>
    <row r="104" spans="1:134" ht="17.25" thickBot="1">
      <c r="A104" s="305"/>
      <c r="B104" s="373"/>
      <c r="C104" s="373"/>
      <c r="D104" s="472"/>
      <c r="E104" s="472"/>
      <c r="F104" s="461">
        <f>+Main_무해지!F104</f>
        <v>0</v>
      </c>
      <c r="G104" s="473">
        <f>+Main_무해지!G104</f>
        <v>0</v>
      </c>
      <c r="H104" s="464">
        <f>+Main_무해지!H104</f>
        <v>0</v>
      </c>
      <c r="J104" s="5"/>
      <c r="K104" s="5"/>
      <c r="L104" s="5"/>
      <c r="M104" s="158"/>
      <c r="N104" s="278" t="str">
        <f t="shared" si="88"/>
        <v/>
      </c>
      <c r="O104" s="279" t="str">
        <f t="shared" si="89"/>
        <v/>
      </c>
      <c r="P104" s="271" t="str">
        <f t="shared" si="86"/>
        <v/>
      </c>
      <c r="Q104" s="271" t="str">
        <f t="shared" si="87"/>
        <v/>
      </c>
      <c r="R104" s="271"/>
      <c r="S104" s="110" t="str">
        <f t="shared" si="83"/>
        <v/>
      </c>
      <c r="T104" s="286" t="str">
        <f>Main_무해지!AC104</f>
        <v/>
      </c>
      <c r="U104" s="259">
        <f>+Main_무해지!AD104</f>
        <v>0</v>
      </c>
      <c r="V104" s="259" t="str">
        <f t="shared" si="74"/>
        <v/>
      </c>
      <c r="W104" s="259" t="str">
        <f t="shared" si="84"/>
        <v/>
      </c>
      <c r="X104" s="259" t="str">
        <f t="shared" si="45"/>
        <v/>
      </c>
      <c r="Y104" s="111" t="str">
        <f>IF($S104="","",SUM(X104:X$114))</f>
        <v/>
      </c>
      <c r="Z104" s="259" t="str">
        <f t="shared" si="75"/>
        <v/>
      </c>
      <c r="AA104" s="254">
        <f t="shared" si="76"/>
        <v>0</v>
      </c>
      <c r="AB104" s="254" t="str">
        <f>Main_무해지!AJ104</f>
        <v/>
      </c>
      <c r="AC104" s="259" t="str">
        <f t="shared" si="46"/>
        <v/>
      </c>
      <c r="AD104" s="259" t="str">
        <f t="shared" si="85"/>
        <v/>
      </c>
      <c r="AE104" s="259" t="str">
        <f t="shared" si="47"/>
        <v/>
      </c>
      <c r="AF104" s="111" t="str">
        <f>IF($S104="","",SUM(AE104:AE$114))</f>
        <v/>
      </c>
      <c r="AG104" s="286" t="str">
        <f>Main_무해지!AP104</f>
        <v/>
      </c>
      <c r="AH104" s="259" t="str">
        <f t="shared" si="48"/>
        <v/>
      </c>
      <c r="AI104" s="259" t="str">
        <f t="shared" si="49"/>
        <v/>
      </c>
      <c r="AJ104" s="259" t="str">
        <f t="shared" si="50"/>
        <v/>
      </c>
      <c r="AK104" s="316" t="str">
        <f>IF($S104="","",SUM($AL104:$AL$114))</f>
        <v/>
      </c>
      <c r="AL104" s="259" t="str">
        <f t="shared" si="77"/>
        <v/>
      </c>
      <c r="AM104" s="316" t="str">
        <f t="shared" si="51"/>
        <v/>
      </c>
      <c r="AN104" s="286" t="str">
        <f>IF($S104="","",INDEX(#REF!,$S104+1))</f>
        <v/>
      </c>
      <c r="AO104" s="259" t="str">
        <f t="shared" si="52"/>
        <v/>
      </c>
      <c r="AP104" s="259" t="str">
        <f t="shared" si="53"/>
        <v/>
      </c>
      <c r="AQ104" s="259" t="str">
        <f t="shared" si="54"/>
        <v/>
      </c>
      <c r="AR104" s="316" t="str">
        <f>IF($S104="","",SUM($AQ104:$AQ$114))</f>
        <v/>
      </c>
      <c r="AS104" s="286" t="str">
        <f>IF($S104="","",INDEX(#REF!,$S104+1))</f>
        <v/>
      </c>
      <c r="AT104" s="259" t="str">
        <f t="shared" si="55"/>
        <v/>
      </c>
      <c r="AU104" s="259" t="str">
        <f t="shared" si="56"/>
        <v/>
      </c>
      <c r="AV104" s="259" t="str">
        <f t="shared" si="57"/>
        <v/>
      </c>
      <c r="AW104" s="316" t="str">
        <f>IF($S104="","",SUM($AV104:$AV$114))</f>
        <v/>
      </c>
      <c r="AX104" s="286" t="str">
        <f>IF($S104="","",INDEX(#REF!,$S104+1))</f>
        <v/>
      </c>
      <c r="AY104" s="259" t="str">
        <f t="shared" si="58"/>
        <v/>
      </c>
      <c r="AZ104" s="259" t="str">
        <f t="shared" si="59"/>
        <v/>
      </c>
      <c r="BA104" s="259" t="str">
        <f t="shared" si="60"/>
        <v/>
      </c>
      <c r="BB104" s="316" t="str">
        <f>IF($S104="","",SUM($BA104:$BA$114))</f>
        <v/>
      </c>
      <c r="BC104" s="286" t="str">
        <f>IF($S104="","",INDEX(#REF!,$S104+1))</f>
        <v/>
      </c>
      <c r="BD104" s="259" t="str">
        <f t="shared" si="61"/>
        <v/>
      </c>
      <c r="BE104" s="259" t="str">
        <f t="shared" si="62"/>
        <v/>
      </c>
      <c r="BF104" s="259" t="str">
        <f t="shared" si="63"/>
        <v/>
      </c>
      <c r="BG104" s="316" t="str">
        <f>IF($S104="","",SUM($BF104:$BF$114))</f>
        <v/>
      </c>
      <c r="BH104" s="286" t="str">
        <f>IF($S104="","",INDEX(#REF!,$S104+1))</f>
        <v/>
      </c>
      <c r="BI104" s="259" t="str">
        <f t="shared" si="64"/>
        <v/>
      </c>
      <c r="BJ104" s="259" t="str">
        <f t="shared" si="65"/>
        <v/>
      </c>
      <c r="BK104" s="259" t="str">
        <f t="shared" si="66"/>
        <v/>
      </c>
      <c r="BL104" s="316" t="str">
        <f>IF($S104="","",SUM($BK104:$BK$114))</f>
        <v/>
      </c>
      <c r="BM104" s="286" t="str">
        <f t="shared" si="67"/>
        <v/>
      </c>
      <c r="BN104" s="259" t="str">
        <f t="shared" si="78"/>
        <v/>
      </c>
      <c r="BO104" s="259" t="str">
        <f t="shared" si="68"/>
        <v/>
      </c>
      <c r="BP104" s="259" t="str">
        <f t="shared" si="69"/>
        <v/>
      </c>
      <c r="BQ104" s="259" t="str">
        <f t="shared" si="79"/>
        <v/>
      </c>
      <c r="BR104" s="259"/>
      <c r="BS104" s="259"/>
      <c r="BT104" s="259"/>
      <c r="BU104" s="259"/>
      <c r="BV104" s="259" t="str">
        <f>IF($S104="","",SUM(BQ104:BQ$114))</f>
        <v/>
      </c>
      <c r="BW104" s="112" t="str">
        <f>IF(S104&lt;$E$3+$F$5,0,IFERROR(일반형_연납순보험료!S106,0))</f>
        <v/>
      </c>
      <c r="BX104" s="112"/>
      <c r="BY104" s="112"/>
      <c r="BZ104" s="112"/>
      <c r="CA104" s="112"/>
      <c r="CB104" s="259" t="str">
        <f t="shared" si="80"/>
        <v/>
      </c>
      <c r="CC104" s="259" t="str">
        <f t="shared" si="70"/>
        <v/>
      </c>
      <c r="CD104" s="259" t="str">
        <f t="shared" si="71"/>
        <v/>
      </c>
      <c r="CE104" s="259" t="str">
        <f t="shared" si="81"/>
        <v/>
      </c>
      <c r="CF104" s="259" t="str">
        <f t="shared" si="72"/>
        <v/>
      </c>
      <c r="CG104" s="113" t="str">
        <f t="shared" si="82"/>
        <v/>
      </c>
      <c r="CH104" s="114" t="str">
        <f t="shared" si="73"/>
        <v/>
      </c>
      <c r="CI104" s="241"/>
      <c r="CJ104" s="241"/>
      <c r="CK104" s="241"/>
      <c r="CL104" s="241"/>
      <c r="CM104" s="241"/>
      <c r="CN104" s="241"/>
      <c r="CO104" s="479"/>
      <c r="CP104" s="479"/>
      <c r="CQ104" s="479"/>
      <c r="CR104" s="479"/>
      <c r="CS104" s="479"/>
      <c r="CT104" s="479"/>
      <c r="CU104" s="479"/>
      <c r="CV104" s="479"/>
      <c r="CW104" s="479"/>
      <c r="CX104" s="479"/>
      <c r="CY104" s="479"/>
      <c r="CZ104" s="479"/>
      <c r="DA104" s="479"/>
      <c r="DB104" s="479"/>
      <c r="DC104" s="479"/>
      <c r="DD104" s="479"/>
      <c r="DE104" s="479"/>
      <c r="DF104" s="479"/>
      <c r="DG104" s="479"/>
      <c r="DH104" s="479"/>
      <c r="DI104" s="479"/>
      <c r="DJ104" s="479"/>
      <c r="DK104" s="479"/>
      <c r="DL104" s="479"/>
      <c r="DM104" s="479"/>
      <c r="DN104" s="479"/>
      <c r="DO104" s="479"/>
      <c r="DP104" s="479"/>
      <c r="DQ104" s="479"/>
      <c r="DR104" s="479"/>
      <c r="DS104" s="479"/>
      <c r="DT104" s="479"/>
      <c r="DU104" s="479"/>
      <c r="DV104" s="479"/>
      <c r="DW104" s="479"/>
      <c r="DX104" s="479"/>
      <c r="DY104" s="479"/>
      <c r="DZ104" s="479"/>
      <c r="EA104" s="479"/>
      <c r="EB104" s="479"/>
      <c r="EC104" s="479"/>
      <c r="ED104" s="479"/>
    </row>
    <row r="105" spans="1:134">
      <c r="A105" s="305"/>
      <c r="B105" s="373"/>
      <c r="C105" s="5"/>
      <c r="D105" s="5"/>
      <c r="E105" s="5"/>
      <c r="F105" s="5"/>
      <c r="G105" s="5"/>
      <c r="H105" s="5"/>
      <c r="J105" s="5"/>
      <c r="K105" s="5"/>
      <c r="L105" s="5"/>
      <c r="M105" s="158"/>
      <c r="N105" s="278" t="str">
        <f t="shared" si="88"/>
        <v/>
      </c>
      <c r="O105" s="279" t="str">
        <f t="shared" si="89"/>
        <v/>
      </c>
      <c r="P105" s="271" t="str">
        <f t="shared" si="86"/>
        <v/>
      </c>
      <c r="Q105" s="271" t="str">
        <f t="shared" si="87"/>
        <v/>
      </c>
      <c r="R105" s="271"/>
      <c r="S105" s="770" t="str">
        <f t="shared" si="83"/>
        <v/>
      </c>
      <c r="T105" s="772" t="str">
        <f>Main_무해지!AC105</f>
        <v/>
      </c>
      <c r="U105" s="410">
        <f>+Main_무해지!AD105</f>
        <v>0</v>
      </c>
      <c r="V105" s="410" t="str">
        <f t="shared" si="74"/>
        <v/>
      </c>
      <c r="W105" s="410" t="str">
        <f t="shared" si="84"/>
        <v/>
      </c>
      <c r="X105" s="410" t="str">
        <f t="shared" si="45"/>
        <v/>
      </c>
      <c r="Y105" s="771" t="str">
        <f>IF($S105="","",SUM(X105:X$114))</f>
        <v/>
      </c>
      <c r="Z105" s="410" t="str">
        <f t="shared" si="75"/>
        <v/>
      </c>
      <c r="AA105" s="254">
        <f t="shared" si="76"/>
        <v>0</v>
      </c>
      <c r="AB105" s="254" t="str">
        <f>Main_무해지!AJ105</f>
        <v/>
      </c>
      <c r="AC105" s="410" t="str">
        <f t="shared" si="46"/>
        <v/>
      </c>
      <c r="AD105" s="410" t="str">
        <f t="shared" si="85"/>
        <v/>
      </c>
      <c r="AE105" s="410" t="str">
        <f t="shared" si="47"/>
        <v/>
      </c>
      <c r="AF105" s="771" t="str">
        <f>IF($S105="","",SUM(AE105:AE$114))</f>
        <v/>
      </c>
      <c r="AG105" s="772" t="str">
        <f>Main_무해지!AP105</f>
        <v/>
      </c>
      <c r="AH105" s="410" t="str">
        <f t="shared" si="48"/>
        <v/>
      </c>
      <c r="AI105" s="410" t="str">
        <f t="shared" si="49"/>
        <v/>
      </c>
      <c r="AJ105" s="410" t="str">
        <f t="shared" si="50"/>
        <v/>
      </c>
      <c r="AK105" s="773" t="str">
        <f>IF($S105="","",SUM($AL105:$AL$114))</f>
        <v/>
      </c>
      <c r="AL105" s="410" t="str">
        <f t="shared" si="77"/>
        <v/>
      </c>
      <c r="AM105" s="773" t="str">
        <f t="shared" si="51"/>
        <v/>
      </c>
      <c r="AN105" s="772" t="str">
        <f>IF($S105="","",INDEX(#REF!,$S105+1))</f>
        <v/>
      </c>
      <c r="AO105" s="410" t="str">
        <f t="shared" si="52"/>
        <v/>
      </c>
      <c r="AP105" s="410" t="str">
        <f t="shared" si="53"/>
        <v/>
      </c>
      <c r="AQ105" s="410" t="str">
        <f t="shared" si="54"/>
        <v/>
      </c>
      <c r="AR105" s="773" t="str">
        <f>IF($S105="","",SUM($AQ105:$AQ$114))</f>
        <v/>
      </c>
      <c r="AS105" s="772" t="str">
        <f>IF($S105="","",INDEX(#REF!,$S105+1))</f>
        <v/>
      </c>
      <c r="AT105" s="410" t="str">
        <f t="shared" si="55"/>
        <v/>
      </c>
      <c r="AU105" s="410" t="str">
        <f t="shared" si="56"/>
        <v/>
      </c>
      <c r="AV105" s="410" t="str">
        <f t="shared" si="57"/>
        <v/>
      </c>
      <c r="AW105" s="773" t="str">
        <f>IF($S105="","",SUM($AV105:$AV$114))</f>
        <v/>
      </c>
      <c r="AX105" s="772" t="str">
        <f>IF($S105="","",INDEX(#REF!,$S105+1))</f>
        <v/>
      </c>
      <c r="AY105" s="410" t="str">
        <f t="shared" si="58"/>
        <v/>
      </c>
      <c r="AZ105" s="410" t="str">
        <f t="shared" si="59"/>
        <v/>
      </c>
      <c r="BA105" s="410" t="str">
        <f t="shared" si="60"/>
        <v/>
      </c>
      <c r="BB105" s="773" t="str">
        <f>IF($S105="","",SUM($BA105:$BA$114))</f>
        <v/>
      </c>
      <c r="BC105" s="772" t="str">
        <f>IF($S105="","",INDEX(#REF!,$S105+1))</f>
        <v/>
      </c>
      <c r="BD105" s="410" t="str">
        <f t="shared" si="61"/>
        <v/>
      </c>
      <c r="BE105" s="410" t="str">
        <f t="shared" si="62"/>
        <v/>
      </c>
      <c r="BF105" s="410" t="str">
        <f t="shared" si="63"/>
        <v/>
      </c>
      <c r="BG105" s="773" t="str">
        <f>IF($S105="","",SUM($BF105:$BF$114))</f>
        <v/>
      </c>
      <c r="BH105" s="772" t="str">
        <f>IF($S105="","",INDEX(#REF!,$S105+1))</f>
        <v/>
      </c>
      <c r="BI105" s="410" t="str">
        <f t="shared" si="64"/>
        <v/>
      </c>
      <c r="BJ105" s="410" t="str">
        <f t="shared" si="65"/>
        <v/>
      </c>
      <c r="BK105" s="410" t="str">
        <f t="shared" si="66"/>
        <v/>
      </c>
      <c r="BL105" s="773" t="str">
        <f>IF($S105="","",SUM($BK105:$BK$114))</f>
        <v/>
      </c>
      <c r="BM105" s="772" t="str">
        <f t="shared" si="67"/>
        <v/>
      </c>
      <c r="BN105" s="410" t="str">
        <f t="shared" si="78"/>
        <v/>
      </c>
      <c r="BO105" s="410" t="str">
        <f t="shared" si="68"/>
        <v/>
      </c>
      <c r="BP105" s="410" t="str">
        <f t="shared" si="69"/>
        <v/>
      </c>
      <c r="BQ105" s="410" t="str">
        <f t="shared" si="79"/>
        <v/>
      </c>
      <c r="BR105" s="410"/>
      <c r="BS105" s="410"/>
      <c r="BT105" s="410"/>
      <c r="BU105" s="410"/>
      <c r="BV105" s="410" t="str">
        <f>IF($S105="","",SUM(BQ105:BQ$114))</f>
        <v/>
      </c>
      <c r="BW105" s="774" t="str">
        <f>IF(S105&lt;$E$3+$F$5,0,IFERROR(일반형_연납순보험료!S107,0))</f>
        <v/>
      </c>
      <c r="BX105" s="774"/>
      <c r="BY105" s="774"/>
      <c r="BZ105" s="774"/>
      <c r="CA105" s="774"/>
      <c r="CB105" s="410" t="str">
        <f t="shared" si="80"/>
        <v/>
      </c>
      <c r="CC105" s="410" t="str">
        <f t="shared" si="70"/>
        <v/>
      </c>
      <c r="CD105" s="410" t="str">
        <f t="shared" si="71"/>
        <v/>
      </c>
      <c r="CE105" s="410" t="str">
        <f t="shared" si="81"/>
        <v/>
      </c>
      <c r="CF105" s="410" t="str">
        <f t="shared" si="72"/>
        <v/>
      </c>
      <c r="CG105" s="776" t="str">
        <f t="shared" si="82"/>
        <v/>
      </c>
      <c r="CH105" s="777" t="str">
        <f t="shared" si="73"/>
        <v/>
      </c>
      <c r="CI105" s="415"/>
      <c r="CJ105" s="415"/>
      <c r="CK105" s="415"/>
      <c r="CL105" s="415"/>
      <c r="CM105" s="415"/>
      <c r="CN105" s="415"/>
      <c r="CO105" s="479"/>
      <c r="CP105" s="479"/>
      <c r="CQ105" s="479"/>
      <c r="CR105" s="479"/>
      <c r="CS105" s="479"/>
      <c r="CT105" s="479"/>
      <c r="CU105" s="479"/>
      <c r="CV105" s="479"/>
      <c r="CW105" s="479"/>
      <c r="CX105" s="479"/>
      <c r="CY105" s="479"/>
      <c r="CZ105" s="479"/>
      <c r="DA105" s="479"/>
      <c r="DB105" s="479"/>
      <c r="DC105" s="479"/>
      <c r="DD105" s="479"/>
      <c r="DE105" s="479"/>
      <c r="DF105" s="479"/>
      <c r="DG105" s="479"/>
      <c r="DH105" s="479"/>
      <c r="DI105" s="479"/>
      <c r="DJ105" s="479"/>
      <c r="DK105" s="479"/>
      <c r="DL105" s="479"/>
      <c r="DM105" s="479"/>
      <c r="DN105" s="479"/>
      <c r="DO105" s="479"/>
      <c r="DP105" s="479"/>
      <c r="DQ105" s="479"/>
      <c r="DR105" s="479"/>
      <c r="DS105" s="479"/>
      <c r="DT105" s="479"/>
      <c r="DU105" s="479"/>
      <c r="DV105" s="479"/>
      <c r="DW105" s="479"/>
      <c r="DX105" s="479"/>
      <c r="DY105" s="479"/>
      <c r="DZ105" s="479"/>
      <c r="EA105" s="479"/>
      <c r="EB105" s="479"/>
      <c r="EC105" s="479"/>
      <c r="ED105" s="479"/>
    </row>
    <row r="106" spans="1:134">
      <c r="A106" s="305"/>
      <c r="B106" s="373"/>
      <c r="C106" s="5"/>
      <c r="D106" s="5"/>
      <c r="E106" s="5"/>
      <c r="F106" s="5"/>
      <c r="G106" s="5"/>
      <c r="H106" s="5"/>
      <c r="J106" s="5"/>
      <c r="K106" s="5"/>
      <c r="L106" s="5"/>
      <c r="M106" s="158"/>
      <c r="N106" s="278" t="str">
        <f t="shared" si="88"/>
        <v/>
      </c>
      <c r="O106" s="279" t="str">
        <f t="shared" si="89"/>
        <v/>
      </c>
      <c r="P106" s="271" t="str">
        <f t="shared" si="86"/>
        <v/>
      </c>
      <c r="Q106" s="271" t="str">
        <f t="shared" si="87"/>
        <v/>
      </c>
      <c r="R106" s="271"/>
      <c r="S106" s="120" t="str">
        <f t="shared" si="83"/>
        <v/>
      </c>
      <c r="T106" s="287" t="str">
        <f>Main_무해지!AC106</f>
        <v/>
      </c>
      <c r="U106" s="260">
        <f>+Main_무해지!AD106</f>
        <v>0</v>
      </c>
      <c r="V106" s="260" t="str">
        <f t="shared" si="74"/>
        <v/>
      </c>
      <c r="W106" s="260" t="str">
        <f t="shared" si="84"/>
        <v/>
      </c>
      <c r="X106" s="260" t="str">
        <f t="shared" si="45"/>
        <v/>
      </c>
      <c r="Y106" s="121" t="str">
        <f>IF($S106="","",SUM(X106:X$114))</f>
        <v/>
      </c>
      <c r="Z106" s="260" t="str">
        <f t="shared" si="75"/>
        <v/>
      </c>
      <c r="AA106" s="254">
        <f t="shared" si="76"/>
        <v>0</v>
      </c>
      <c r="AB106" s="254" t="str">
        <f>Main_무해지!AJ106</f>
        <v/>
      </c>
      <c r="AC106" s="260" t="str">
        <f t="shared" si="46"/>
        <v/>
      </c>
      <c r="AD106" s="260" t="str">
        <f t="shared" si="85"/>
        <v/>
      </c>
      <c r="AE106" s="260" t="str">
        <f t="shared" si="47"/>
        <v/>
      </c>
      <c r="AF106" s="121" t="str">
        <f>IF($S106="","",SUM(AE106:AE$114))</f>
        <v/>
      </c>
      <c r="AG106" s="287" t="str">
        <f>Main_무해지!AP106</f>
        <v/>
      </c>
      <c r="AH106" s="260" t="str">
        <f t="shared" si="48"/>
        <v/>
      </c>
      <c r="AI106" s="260" t="str">
        <f t="shared" si="49"/>
        <v/>
      </c>
      <c r="AJ106" s="260" t="str">
        <f t="shared" si="50"/>
        <v/>
      </c>
      <c r="AK106" s="317" t="str">
        <f>IF($S106="","",SUM($AL106:$AL$114))</f>
        <v/>
      </c>
      <c r="AL106" s="260" t="str">
        <f t="shared" si="77"/>
        <v/>
      </c>
      <c r="AM106" s="317" t="str">
        <f t="shared" si="51"/>
        <v/>
      </c>
      <c r="AN106" s="287" t="str">
        <f>IF($S106="","",INDEX(#REF!,$S106+1))</f>
        <v/>
      </c>
      <c r="AO106" s="260" t="str">
        <f t="shared" si="52"/>
        <v/>
      </c>
      <c r="AP106" s="260" t="str">
        <f t="shared" si="53"/>
        <v/>
      </c>
      <c r="AQ106" s="260" t="str">
        <f t="shared" si="54"/>
        <v/>
      </c>
      <c r="AR106" s="317" t="str">
        <f>IF($S106="","",SUM($AQ106:$AQ$114))</f>
        <v/>
      </c>
      <c r="AS106" s="287" t="str">
        <f>IF($S106="","",INDEX(#REF!,$S106+1))</f>
        <v/>
      </c>
      <c r="AT106" s="260" t="str">
        <f t="shared" si="55"/>
        <v/>
      </c>
      <c r="AU106" s="260" t="str">
        <f t="shared" si="56"/>
        <v/>
      </c>
      <c r="AV106" s="260" t="str">
        <f t="shared" si="57"/>
        <v/>
      </c>
      <c r="AW106" s="317" t="str">
        <f>IF($S106="","",SUM($AV106:$AV$114))</f>
        <v/>
      </c>
      <c r="AX106" s="287" t="str">
        <f>IF($S106="","",INDEX(#REF!,$S106+1))</f>
        <v/>
      </c>
      <c r="AY106" s="260" t="str">
        <f t="shared" si="58"/>
        <v/>
      </c>
      <c r="AZ106" s="260" t="str">
        <f t="shared" si="59"/>
        <v/>
      </c>
      <c r="BA106" s="260" t="str">
        <f t="shared" si="60"/>
        <v/>
      </c>
      <c r="BB106" s="317" t="str">
        <f>IF($S106="","",SUM($BA106:$BA$114))</f>
        <v/>
      </c>
      <c r="BC106" s="287" t="str">
        <f>IF($S106="","",INDEX(#REF!,$S106+1))</f>
        <v/>
      </c>
      <c r="BD106" s="260" t="str">
        <f t="shared" si="61"/>
        <v/>
      </c>
      <c r="BE106" s="260" t="str">
        <f t="shared" si="62"/>
        <v/>
      </c>
      <c r="BF106" s="260" t="str">
        <f t="shared" si="63"/>
        <v/>
      </c>
      <c r="BG106" s="317" t="str">
        <f>IF($S106="","",SUM($BF106:$BF$114))</f>
        <v/>
      </c>
      <c r="BH106" s="287" t="str">
        <f>IF($S106="","",INDEX(#REF!,$S106+1))</f>
        <v/>
      </c>
      <c r="BI106" s="260" t="str">
        <f t="shared" si="64"/>
        <v/>
      </c>
      <c r="BJ106" s="260" t="str">
        <f t="shared" si="65"/>
        <v/>
      </c>
      <c r="BK106" s="260" t="str">
        <f t="shared" si="66"/>
        <v/>
      </c>
      <c r="BL106" s="317" t="str">
        <f>IF($S106="","",SUM($BK106:$BK$114))</f>
        <v/>
      </c>
      <c r="BM106" s="287" t="str">
        <f t="shared" si="67"/>
        <v/>
      </c>
      <c r="BN106" s="260" t="str">
        <f t="shared" si="78"/>
        <v/>
      </c>
      <c r="BO106" s="260" t="str">
        <f t="shared" si="68"/>
        <v/>
      </c>
      <c r="BP106" s="260" t="str">
        <f t="shared" si="69"/>
        <v/>
      </c>
      <c r="BQ106" s="260" t="str">
        <f t="shared" si="79"/>
        <v/>
      </c>
      <c r="BR106" s="260"/>
      <c r="BS106" s="260"/>
      <c r="BT106" s="260"/>
      <c r="BU106" s="260"/>
      <c r="BV106" s="260" t="str">
        <f>IF($S106="","",SUM(BQ106:BQ$114))</f>
        <v/>
      </c>
      <c r="BW106" s="122" t="str">
        <f>IF(S106&lt;$E$3+$F$5,0,IFERROR(일반형_연납순보험료!S108,0))</f>
        <v/>
      </c>
      <c r="BX106" s="122"/>
      <c r="BY106" s="122"/>
      <c r="BZ106" s="122"/>
      <c r="CA106" s="122"/>
      <c r="CB106" s="260" t="str">
        <f t="shared" si="80"/>
        <v/>
      </c>
      <c r="CC106" s="260" t="str">
        <f t="shared" si="70"/>
        <v/>
      </c>
      <c r="CD106" s="260" t="str">
        <f t="shared" si="71"/>
        <v/>
      </c>
      <c r="CE106" s="260" t="str">
        <f t="shared" si="81"/>
        <v/>
      </c>
      <c r="CF106" s="260" t="str">
        <f t="shared" si="72"/>
        <v/>
      </c>
      <c r="CG106" s="123" t="str">
        <f t="shared" si="82"/>
        <v/>
      </c>
      <c r="CH106" s="124" t="str">
        <f t="shared" si="73"/>
        <v/>
      </c>
      <c r="CI106" s="242"/>
      <c r="CJ106" s="242"/>
      <c r="CK106" s="242"/>
      <c r="CL106" s="242"/>
      <c r="CM106" s="242"/>
      <c r="CN106" s="242"/>
      <c r="CO106" s="479"/>
      <c r="CP106" s="479"/>
      <c r="CQ106" s="479"/>
      <c r="CR106" s="479"/>
      <c r="CS106" s="479"/>
      <c r="CT106" s="479"/>
      <c r="CU106" s="479"/>
      <c r="CV106" s="479"/>
      <c r="CW106" s="479"/>
      <c r="CX106" s="479"/>
      <c r="CY106" s="479"/>
      <c r="CZ106" s="479"/>
      <c r="DA106" s="479"/>
      <c r="DB106" s="479"/>
      <c r="DC106" s="479"/>
      <c r="DD106" s="479"/>
      <c r="DE106" s="479"/>
      <c r="DF106" s="479"/>
      <c r="DG106" s="479"/>
      <c r="DH106" s="479"/>
      <c r="DI106" s="479"/>
      <c r="DJ106" s="479"/>
      <c r="DK106" s="479"/>
      <c r="DL106" s="479"/>
      <c r="DM106" s="479"/>
      <c r="DN106" s="479"/>
      <c r="DO106" s="479"/>
      <c r="DP106" s="479"/>
      <c r="DQ106" s="479"/>
      <c r="DR106" s="479"/>
      <c r="DS106" s="479"/>
      <c r="DT106" s="479"/>
      <c r="DU106" s="479"/>
      <c r="DV106" s="479"/>
      <c r="DW106" s="479"/>
      <c r="DX106" s="479"/>
      <c r="DY106" s="479"/>
      <c r="DZ106" s="479"/>
      <c r="EA106" s="479"/>
      <c r="EB106" s="479"/>
      <c r="EC106" s="479"/>
      <c r="ED106" s="479"/>
    </row>
    <row r="107" spans="1:134">
      <c r="A107" s="305"/>
      <c r="B107" s="373"/>
      <c r="C107" s="5"/>
      <c r="D107" s="5"/>
      <c r="E107" s="5"/>
      <c r="F107" s="5"/>
      <c r="G107" s="5"/>
      <c r="H107" s="5"/>
      <c r="J107" s="5"/>
      <c r="K107" s="5"/>
      <c r="L107" s="5"/>
      <c r="M107" s="158"/>
      <c r="N107" s="278" t="str">
        <f t="shared" si="88"/>
        <v/>
      </c>
      <c r="O107" s="279" t="str">
        <f t="shared" si="89"/>
        <v/>
      </c>
      <c r="P107" s="271" t="str">
        <f t="shared" si="86"/>
        <v/>
      </c>
      <c r="Q107" s="271" t="str">
        <f t="shared" si="87"/>
        <v/>
      </c>
      <c r="R107" s="271"/>
      <c r="S107" s="120" t="str">
        <f t="shared" si="83"/>
        <v/>
      </c>
      <c r="T107" s="287" t="str">
        <f>Main_무해지!AC107</f>
        <v/>
      </c>
      <c r="U107" s="260">
        <f>+Main_무해지!AD107</f>
        <v>0</v>
      </c>
      <c r="V107" s="260" t="str">
        <f t="shared" si="74"/>
        <v/>
      </c>
      <c r="W107" s="260" t="str">
        <f t="shared" si="84"/>
        <v/>
      </c>
      <c r="X107" s="260" t="str">
        <f t="shared" si="45"/>
        <v/>
      </c>
      <c r="Y107" s="121" t="str">
        <f>IF($S107="","",SUM(X107:X$114))</f>
        <v/>
      </c>
      <c r="Z107" s="260" t="str">
        <f t="shared" si="75"/>
        <v/>
      </c>
      <c r="AA107" s="254">
        <f t="shared" si="76"/>
        <v>0</v>
      </c>
      <c r="AB107" s="254" t="str">
        <f>Main_무해지!AJ107</f>
        <v/>
      </c>
      <c r="AC107" s="260" t="str">
        <f t="shared" si="46"/>
        <v/>
      </c>
      <c r="AD107" s="260" t="str">
        <f t="shared" si="85"/>
        <v/>
      </c>
      <c r="AE107" s="260" t="str">
        <f t="shared" si="47"/>
        <v/>
      </c>
      <c r="AF107" s="121" t="str">
        <f>IF($S107="","",SUM(AE107:AE$114))</f>
        <v/>
      </c>
      <c r="AG107" s="287" t="str">
        <f>Main_무해지!AP107</f>
        <v/>
      </c>
      <c r="AH107" s="260" t="str">
        <f t="shared" si="48"/>
        <v/>
      </c>
      <c r="AI107" s="260" t="str">
        <f t="shared" si="49"/>
        <v/>
      </c>
      <c r="AJ107" s="260" t="str">
        <f t="shared" si="50"/>
        <v/>
      </c>
      <c r="AK107" s="317" t="str">
        <f>IF($S107="","",SUM($AL107:$AL$114))</f>
        <v/>
      </c>
      <c r="AL107" s="260" t="str">
        <f t="shared" si="77"/>
        <v/>
      </c>
      <c r="AM107" s="317" t="str">
        <f t="shared" si="51"/>
        <v/>
      </c>
      <c r="AN107" s="287" t="str">
        <f>IF($S107="","",INDEX(#REF!,$S107+1))</f>
        <v/>
      </c>
      <c r="AO107" s="260" t="str">
        <f t="shared" si="52"/>
        <v/>
      </c>
      <c r="AP107" s="260" t="str">
        <f t="shared" si="53"/>
        <v/>
      </c>
      <c r="AQ107" s="260" t="str">
        <f t="shared" si="54"/>
        <v/>
      </c>
      <c r="AR107" s="317" t="str">
        <f>IF($S107="","",SUM($AQ107:$AQ$114))</f>
        <v/>
      </c>
      <c r="AS107" s="287" t="str">
        <f>IF($S107="","",INDEX(#REF!,$S107+1))</f>
        <v/>
      </c>
      <c r="AT107" s="260" t="str">
        <f t="shared" si="55"/>
        <v/>
      </c>
      <c r="AU107" s="260" t="str">
        <f t="shared" si="56"/>
        <v/>
      </c>
      <c r="AV107" s="260" t="str">
        <f t="shared" si="57"/>
        <v/>
      </c>
      <c r="AW107" s="317" t="str">
        <f>IF($S107="","",SUM($AV107:$AV$114))</f>
        <v/>
      </c>
      <c r="AX107" s="287" t="str">
        <f>IF($S107="","",INDEX(#REF!,$S107+1))</f>
        <v/>
      </c>
      <c r="AY107" s="260" t="str">
        <f t="shared" si="58"/>
        <v/>
      </c>
      <c r="AZ107" s="260" t="str">
        <f t="shared" si="59"/>
        <v/>
      </c>
      <c r="BA107" s="260" t="str">
        <f t="shared" si="60"/>
        <v/>
      </c>
      <c r="BB107" s="317" t="str">
        <f>IF($S107="","",SUM($BA107:$BA$114))</f>
        <v/>
      </c>
      <c r="BC107" s="287" t="str">
        <f>IF($S107="","",INDEX(#REF!,$S107+1))</f>
        <v/>
      </c>
      <c r="BD107" s="260" t="str">
        <f t="shared" si="61"/>
        <v/>
      </c>
      <c r="BE107" s="260" t="str">
        <f t="shared" si="62"/>
        <v/>
      </c>
      <c r="BF107" s="260" t="str">
        <f t="shared" si="63"/>
        <v/>
      </c>
      <c r="BG107" s="317" t="str">
        <f>IF($S107="","",SUM($BF107:$BF$114))</f>
        <v/>
      </c>
      <c r="BH107" s="287" t="str">
        <f>IF($S107="","",INDEX(#REF!,$S107+1))</f>
        <v/>
      </c>
      <c r="BI107" s="260" t="str">
        <f t="shared" si="64"/>
        <v/>
      </c>
      <c r="BJ107" s="260" t="str">
        <f t="shared" si="65"/>
        <v/>
      </c>
      <c r="BK107" s="260" t="str">
        <f t="shared" si="66"/>
        <v/>
      </c>
      <c r="BL107" s="317" t="str">
        <f>IF($S107="","",SUM($BK107:$BK$114))</f>
        <v/>
      </c>
      <c r="BM107" s="287" t="str">
        <f t="shared" si="67"/>
        <v/>
      </c>
      <c r="BN107" s="260" t="str">
        <f t="shared" si="78"/>
        <v/>
      </c>
      <c r="BO107" s="260" t="str">
        <f t="shared" si="68"/>
        <v/>
      </c>
      <c r="BP107" s="260" t="str">
        <f t="shared" si="69"/>
        <v/>
      </c>
      <c r="BQ107" s="260" t="str">
        <f t="shared" si="79"/>
        <v/>
      </c>
      <c r="BR107" s="260"/>
      <c r="BS107" s="260"/>
      <c r="BT107" s="260"/>
      <c r="BU107" s="260"/>
      <c r="BV107" s="260" t="str">
        <f>IF($S107="","",SUM(BQ107:BQ$114))</f>
        <v/>
      </c>
      <c r="BW107" s="122" t="str">
        <f>IF(S107&lt;$E$3+$F$5,0,IFERROR(일반형_연납순보험료!S109,0))</f>
        <v/>
      </c>
      <c r="BX107" s="122"/>
      <c r="BY107" s="122"/>
      <c r="BZ107" s="122"/>
      <c r="CA107" s="122"/>
      <c r="CB107" s="260" t="str">
        <f t="shared" si="80"/>
        <v/>
      </c>
      <c r="CC107" s="260" t="str">
        <f t="shared" si="70"/>
        <v/>
      </c>
      <c r="CD107" s="260" t="str">
        <f t="shared" si="71"/>
        <v/>
      </c>
      <c r="CE107" s="260" t="str">
        <f t="shared" si="81"/>
        <v/>
      </c>
      <c r="CF107" s="260" t="str">
        <f t="shared" si="72"/>
        <v/>
      </c>
      <c r="CG107" s="123" t="str">
        <f t="shared" si="82"/>
        <v/>
      </c>
      <c r="CH107" s="124" t="str">
        <f t="shared" si="73"/>
        <v/>
      </c>
      <c r="CI107" s="242"/>
      <c r="CJ107" s="242"/>
      <c r="CK107" s="242"/>
      <c r="CL107" s="242"/>
      <c r="CM107" s="242"/>
      <c r="CN107" s="242"/>
      <c r="CO107" s="479"/>
      <c r="CP107" s="479"/>
      <c r="CQ107" s="479"/>
      <c r="CR107" s="479"/>
      <c r="CS107" s="479"/>
      <c r="CT107" s="479"/>
      <c r="CU107" s="479"/>
      <c r="CV107" s="479"/>
      <c r="CW107" s="479"/>
      <c r="CX107" s="479"/>
      <c r="CY107" s="479"/>
      <c r="CZ107" s="479"/>
      <c r="DA107" s="479"/>
      <c r="DB107" s="479"/>
      <c r="DC107" s="479"/>
      <c r="DD107" s="479"/>
      <c r="DE107" s="479"/>
      <c r="DF107" s="479"/>
      <c r="DG107" s="479"/>
      <c r="DH107" s="479"/>
      <c r="DI107" s="479"/>
      <c r="DJ107" s="479"/>
      <c r="DK107" s="479"/>
      <c r="DL107" s="479"/>
      <c r="DM107" s="479"/>
      <c r="DN107" s="479"/>
      <c r="DO107" s="479"/>
      <c r="DP107" s="479"/>
      <c r="DQ107" s="479"/>
      <c r="DR107" s="479"/>
      <c r="DS107" s="479"/>
      <c r="DT107" s="479"/>
      <c r="DU107" s="479"/>
      <c r="DV107" s="479"/>
      <c r="DW107" s="479"/>
      <c r="DX107" s="479"/>
      <c r="DY107" s="479"/>
      <c r="DZ107" s="479"/>
      <c r="EA107" s="479"/>
      <c r="EB107" s="479"/>
      <c r="EC107" s="479"/>
      <c r="ED107" s="479"/>
    </row>
    <row r="108" spans="1:134">
      <c r="A108" s="305"/>
      <c r="B108" s="373"/>
      <c r="C108" s="5"/>
      <c r="D108" s="5"/>
      <c r="E108" s="5"/>
      <c r="F108" s="5"/>
      <c r="G108" s="5"/>
      <c r="H108" s="5"/>
      <c r="J108" s="5"/>
      <c r="K108" s="5"/>
      <c r="L108" s="5"/>
      <c r="M108" s="158"/>
      <c r="N108" s="278" t="str">
        <f t="shared" si="88"/>
        <v/>
      </c>
      <c r="O108" s="279" t="str">
        <f t="shared" si="89"/>
        <v/>
      </c>
      <c r="P108" s="271" t="str">
        <f t="shared" si="86"/>
        <v/>
      </c>
      <c r="Q108" s="271" t="str">
        <f t="shared" si="87"/>
        <v/>
      </c>
      <c r="R108" s="271"/>
      <c r="S108" s="120" t="str">
        <f t="shared" si="83"/>
        <v/>
      </c>
      <c r="T108" s="287" t="str">
        <f>Main_무해지!AC108</f>
        <v/>
      </c>
      <c r="U108" s="260">
        <f>+Main_무해지!AD108</f>
        <v>0</v>
      </c>
      <c r="V108" s="260" t="str">
        <f t="shared" si="74"/>
        <v/>
      </c>
      <c r="W108" s="260" t="str">
        <f t="shared" si="84"/>
        <v/>
      </c>
      <c r="X108" s="260" t="str">
        <f t="shared" si="45"/>
        <v/>
      </c>
      <c r="Y108" s="121" t="str">
        <f>IF($S108="","",SUM(X108:X$114))</f>
        <v/>
      </c>
      <c r="Z108" s="260" t="str">
        <f t="shared" si="75"/>
        <v/>
      </c>
      <c r="AA108" s="254">
        <f t="shared" si="76"/>
        <v>0</v>
      </c>
      <c r="AB108" s="254" t="str">
        <f>Main_무해지!AJ108</f>
        <v/>
      </c>
      <c r="AC108" s="260" t="str">
        <f t="shared" si="46"/>
        <v/>
      </c>
      <c r="AD108" s="260" t="str">
        <f t="shared" si="85"/>
        <v/>
      </c>
      <c r="AE108" s="260" t="str">
        <f t="shared" si="47"/>
        <v/>
      </c>
      <c r="AF108" s="121" t="str">
        <f>IF($S108="","",SUM(AE108:AE$114))</f>
        <v/>
      </c>
      <c r="AG108" s="287" t="str">
        <f>Main_무해지!AP108</f>
        <v/>
      </c>
      <c r="AH108" s="260" t="str">
        <f t="shared" si="48"/>
        <v/>
      </c>
      <c r="AI108" s="260" t="str">
        <f t="shared" si="49"/>
        <v/>
      </c>
      <c r="AJ108" s="260" t="str">
        <f t="shared" si="50"/>
        <v/>
      </c>
      <c r="AK108" s="317" t="str">
        <f>IF($S108="","",SUM($AL108:$AL$114))</f>
        <v/>
      </c>
      <c r="AL108" s="260" t="str">
        <f t="shared" si="77"/>
        <v/>
      </c>
      <c r="AM108" s="317" t="str">
        <f t="shared" si="51"/>
        <v/>
      </c>
      <c r="AN108" s="287" t="str">
        <f>IF($S108="","",INDEX(#REF!,$S108+1))</f>
        <v/>
      </c>
      <c r="AO108" s="260" t="str">
        <f t="shared" si="52"/>
        <v/>
      </c>
      <c r="AP108" s="260" t="str">
        <f t="shared" si="53"/>
        <v/>
      </c>
      <c r="AQ108" s="260" t="str">
        <f t="shared" si="54"/>
        <v/>
      </c>
      <c r="AR108" s="317" t="str">
        <f>IF($S108="","",SUM($AQ108:$AQ$114))</f>
        <v/>
      </c>
      <c r="AS108" s="287" t="str">
        <f>IF($S108="","",INDEX(#REF!,$S108+1))</f>
        <v/>
      </c>
      <c r="AT108" s="260" t="str">
        <f t="shared" si="55"/>
        <v/>
      </c>
      <c r="AU108" s="260" t="str">
        <f t="shared" si="56"/>
        <v/>
      </c>
      <c r="AV108" s="260" t="str">
        <f t="shared" si="57"/>
        <v/>
      </c>
      <c r="AW108" s="317" t="str">
        <f>IF($S108="","",SUM($AV108:$AV$114))</f>
        <v/>
      </c>
      <c r="AX108" s="287" t="str">
        <f>IF($S108="","",INDEX(#REF!,$S108+1))</f>
        <v/>
      </c>
      <c r="AY108" s="260" t="str">
        <f t="shared" si="58"/>
        <v/>
      </c>
      <c r="AZ108" s="260" t="str">
        <f t="shared" si="59"/>
        <v/>
      </c>
      <c r="BA108" s="260" t="str">
        <f t="shared" si="60"/>
        <v/>
      </c>
      <c r="BB108" s="317" t="str">
        <f>IF($S108="","",SUM($BA108:$BA$114))</f>
        <v/>
      </c>
      <c r="BC108" s="287" t="str">
        <f>IF($S108="","",INDEX(#REF!,$S108+1))</f>
        <v/>
      </c>
      <c r="BD108" s="260" t="str">
        <f t="shared" si="61"/>
        <v/>
      </c>
      <c r="BE108" s="260" t="str">
        <f t="shared" si="62"/>
        <v/>
      </c>
      <c r="BF108" s="260" t="str">
        <f t="shared" si="63"/>
        <v/>
      </c>
      <c r="BG108" s="317" t="str">
        <f>IF($S108="","",SUM($BF108:$BF$114))</f>
        <v/>
      </c>
      <c r="BH108" s="287" t="str">
        <f>IF($S108="","",INDEX(#REF!,$S108+1))</f>
        <v/>
      </c>
      <c r="BI108" s="260" t="str">
        <f t="shared" si="64"/>
        <v/>
      </c>
      <c r="BJ108" s="260" t="str">
        <f t="shared" si="65"/>
        <v/>
      </c>
      <c r="BK108" s="260" t="str">
        <f t="shared" si="66"/>
        <v/>
      </c>
      <c r="BL108" s="317" t="str">
        <f>IF($S108="","",SUM($BK108:$BK$114))</f>
        <v/>
      </c>
      <c r="BM108" s="287" t="str">
        <f t="shared" si="67"/>
        <v/>
      </c>
      <c r="BN108" s="260" t="str">
        <f t="shared" si="78"/>
        <v/>
      </c>
      <c r="BO108" s="260" t="str">
        <f t="shared" si="68"/>
        <v/>
      </c>
      <c r="BP108" s="260" t="str">
        <f t="shared" si="69"/>
        <v/>
      </c>
      <c r="BQ108" s="260" t="str">
        <f t="shared" si="79"/>
        <v/>
      </c>
      <c r="BR108" s="260"/>
      <c r="BS108" s="260"/>
      <c r="BT108" s="260"/>
      <c r="BU108" s="260"/>
      <c r="BV108" s="260" t="str">
        <f>IF($S108="","",SUM(BQ108:BQ$114))</f>
        <v/>
      </c>
      <c r="BW108" s="122" t="str">
        <f>IF(S108&lt;$E$3+$F$5,0,IFERROR(일반형_연납순보험료!S110,0))</f>
        <v/>
      </c>
      <c r="BX108" s="122"/>
      <c r="BY108" s="122"/>
      <c r="BZ108" s="122"/>
      <c r="CA108" s="122"/>
      <c r="CB108" s="260" t="str">
        <f t="shared" si="80"/>
        <v/>
      </c>
      <c r="CC108" s="260" t="str">
        <f t="shared" si="70"/>
        <v/>
      </c>
      <c r="CD108" s="260" t="str">
        <f t="shared" si="71"/>
        <v/>
      </c>
      <c r="CE108" s="260" t="str">
        <f t="shared" si="81"/>
        <v/>
      </c>
      <c r="CF108" s="260" t="str">
        <f t="shared" si="72"/>
        <v/>
      </c>
      <c r="CG108" s="123" t="str">
        <f t="shared" si="82"/>
        <v/>
      </c>
      <c r="CH108" s="124" t="str">
        <f t="shared" si="73"/>
        <v/>
      </c>
      <c r="CI108" s="242"/>
      <c r="CJ108" s="242"/>
      <c r="CK108" s="242"/>
      <c r="CL108" s="242"/>
      <c r="CM108" s="242"/>
      <c r="CN108" s="242"/>
      <c r="CO108" s="479"/>
      <c r="CP108" s="479"/>
      <c r="CQ108" s="479"/>
      <c r="CR108" s="479"/>
      <c r="CS108" s="479"/>
      <c r="CT108" s="479"/>
      <c r="CU108" s="479"/>
      <c r="CV108" s="479"/>
      <c r="CW108" s="479"/>
      <c r="CX108" s="479"/>
      <c r="CY108" s="479"/>
      <c r="CZ108" s="479"/>
      <c r="DA108" s="479"/>
      <c r="DB108" s="479"/>
      <c r="DC108" s="479"/>
      <c r="DD108" s="479"/>
      <c r="DE108" s="479"/>
      <c r="DF108" s="479"/>
      <c r="DG108" s="479"/>
      <c r="DH108" s="479"/>
      <c r="DI108" s="479"/>
      <c r="DJ108" s="479"/>
      <c r="DK108" s="479"/>
      <c r="DL108" s="479"/>
      <c r="DM108" s="479"/>
      <c r="DN108" s="479"/>
      <c r="DO108" s="479"/>
      <c r="DP108" s="479"/>
      <c r="DQ108" s="479"/>
      <c r="DR108" s="479"/>
      <c r="DS108" s="479"/>
      <c r="DT108" s="479"/>
      <c r="DU108" s="479"/>
      <c r="DV108" s="479"/>
      <c r="DW108" s="479"/>
      <c r="DX108" s="479"/>
      <c r="DY108" s="479"/>
      <c r="DZ108" s="479"/>
      <c r="EA108" s="479"/>
      <c r="EB108" s="479"/>
      <c r="EC108" s="479"/>
      <c r="ED108" s="479"/>
    </row>
    <row r="109" spans="1:134">
      <c r="A109" s="305"/>
      <c r="B109" s="373"/>
      <c r="C109" s="5"/>
      <c r="D109" s="5"/>
      <c r="E109" s="5"/>
      <c r="F109" s="5"/>
      <c r="G109" s="5"/>
      <c r="H109" s="5"/>
      <c r="J109" s="5"/>
      <c r="K109" s="5"/>
      <c r="L109" s="5"/>
      <c r="M109" s="158"/>
      <c r="N109" s="278" t="str">
        <f t="shared" si="88"/>
        <v/>
      </c>
      <c r="O109" s="279" t="str">
        <f t="shared" si="89"/>
        <v/>
      </c>
      <c r="P109" s="271" t="str">
        <f t="shared" si="86"/>
        <v/>
      </c>
      <c r="Q109" s="271" t="str">
        <f t="shared" si="87"/>
        <v/>
      </c>
      <c r="R109" s="271"/>
      <c r="S109" s="130" t="str">
        <f t="shared" si="83"/>
        <v/>
      </c>
      <c r="T109" s="288" t="str">
        <f>Main_무해지!AC109</f>
        <v/>
      </c>
      <c r="U109" s="261">
        <f>+Main_무해지!AD109</f>
        <v>0</v>
      </c>
      <c r="V109" s="261" t="str">
        <f t="shared" si="74"/>
        <v/>
      </c>
      <c r="W109" s="261" t="str">
        <f t="shared" si="84"/>
        <v/>
      </c>
      <c r="X109" s="261" t="str">
        <f t="shared" si="45"/>
        <v/>
      </c>
      <c r="Y109" s="131" t="str">
        <f>IF($S109="","",SUM(X109:X$114))</f>
        <v/>
      </c>
      <c r="Z109" s="261" t="str">
        <f t="shared" si="75"/>
        <v/>
      </c>
      <c r="AA109" s="254">
        <f t="shared" si="76"/>
        <v>0</v>
      </c>
      <c r="AB109" s="254" t="str">
        <f>Main_무해지!AJ109</f>
        <v/>
      </c>
      <c r="AC109" s="261" t="str">
        <f t="shared" si="46"/>
        <v/>
      </c>
      <c r="AD109" s="261" t="str">
        <f t="shared" si="85"/>
        <v/>
      </c>
      <c r="AE109" s="261" t="str">
        <f t="shared" si="47"/>
        <v/>
      </c>
      <c r="AF109" s="131" t="str">
        <f>IF($S109="","",SUM(AE109:AE$114))</f>
        <v/>
      </c>
      <c r="AG109" s="288" t="str">
        <f>Main_무해지!AP109</f>
        <v/>
      </c>
      <c r="AH109" s="261" t="str">
        <f t="shared" si="48"/>
        <v/>
      </c>
      <c r="AI109" s="261" t="str">
        <f t="shared" si="49"/>
        <v/>
      </c>
      <c r="AJ109" s="261" t="str">
        <f t="shared" si="50"/>
        <v/>
      </c>
      <c r="AK109" s="318" t="str">
        <f>IF($S109="","",SUM($AL109:$AL$114))</f>
        <v/>
      </c>
      <c r="AL109" s="261" t="str">
        <f t="shared" si="77"/>
        <v/>
      </c>
      <c r="AM109" s="318" t="str">
        <f t="shared" si="51"/>
        <v/>
      </c>
      <c r="AN109" s="288" t="str">
        <f>IF($S109="","",INDEX(#REF!,$S109+1))</f>
        <v/>
      </c>
      <c r="AO109" s="261" t="str">
        <f t="shared" si="52"/>
        <v/>
      </c>
      <c r="AP109" s="261" t="str">
        <f t="shared" si="53"/>
        <v/>
      </c>
      <c r="AQ109" s="261" t="str">
        <f t="shared" si="54"/>
        <v/>
      </c>
      <c r="AR109" s="318" t="str">
        <f>IF($S109="","",SUM($AQ109:$AQ$114))</f>
        <v/>
      </c>
      <c r="AS109" s="288" t="str">
        <f>IF($S109="","",INDEX(#REF!,$S109+1))</f>
        <v/>
      </c>
      <c r="AT109" s="261" t="str">
        <f t="shared" si="55"/>
        <v/>
      </c>
      <c r="AU109" s="261" t="str">
        <f t="shared" si="56"/>
        <v/>
      </c>
      <c r="AV109" s="261" t="str">
        <f t="shared" si="57"/>
        <v/>
      </c>
      <c r="AW109" s="318" t="str">
        <f>IF($S109="","",SUM($AV109:$AV$114))</f>
        <v/>
      </c>
      <c r="AX109" s="288" t="str">
        <f>IF($S109="","",INDEX(#REF!,$S109+1))</f>
        <v/>
      </c>
      <c r="AY109" s="261" t="str">
        <f t="shared" si="58"/>
        <v/>
      </c>
      <c r="AZ109" s="261" t="str">
        <f t="shared" si="59"/>
        <v/>
      </c>
      <c r="BA109" s="261" t="str">
        <f t="shared" si="60"/>
        <v/>
      </c>
      <c r="BB109" s="318" t="str">
        <f>IF($S109="","",SUM($BA109:$BA$114))</f>
        <v/>
      </c>
      <c r="BC109" s="288" t="str">
        <f>IF($S109="","",INDEX(#REF!,$S109+1))</f>
        <v/>
      </c>
      <c r="BD109" s="261" t="str">
        <f t="shared" si="61"/>
        <v/>
      </c>
      <c r="BE109" s="261" t="str">
        <f t="shared" si="62"/>
        <v/>
      </c>
      <c r="BF109" s="261" t="str">
        <f t="shared" si="63"/>
        <v/>
      </c>
      <c r="BG109" s="318" t="str">
        <f>IF($S109="","",SUM($BF109:$BF$114))</f>
        <v/>
      </c>
      <c r="BH109" s="288" t="str">
        <f>IF($S109="","",INDEX(#REF!,$S109+1))</f>
        <v/>
      </c>
      <c r="BI109" s="261" t="str">
        <f t="shared" si="64"/>
        <v/>
      </c>
      <c r="BJ109" s="261" t="str">
        <f t="shared" si="65"/>
        <v/>
      </c>
      <c r="BK109" s="261" t="str">
        <f t="shared" si="66"/>
        <v/>
      </c>
      <c r="BL109" s="318" t="str">
        <f>IF($S109="","",SUM($BK109:$BK$114))</f>
        <v/>
      </c>
      <c r="BM109" s="288" t="str">
        <f t="shared" si="67"/>
        <v/>
      </c>
      <c r="BN109" s="261" t="str">
        <f t="shared" si="78"/>
        <v/>
      </c>
      <c r="BO109" s="261" t="str">
        <f t="shared" si="68"/>
        <v/>
      </c>
      <c r="BP109" s="261" t="str">
        <f t="shared" si="69"/>
        <v/>
      </c>
      <c r="BQ109" s="261" t="str">
        <f t="shared" si="79"/>
        <v/>
      </c>
      <c r="BR109" s="261"/>
      <c r="BS109" s="261"/>
      <c r="BT109" s="261"/>
      <c r="BU109" s="261"/>
      <c r="BV109" s="261" t="str">
        <f>IF($S109="","",SUM(BQ109:BQ$114))</f>
        <v/>
      </c>
      <c r="BW109" s="132" t="str">
        <f>IF(S109&lt;$E$3+$F$5,0,IFERROR(일반형_연납순보험료!S111,0))</f>
        <v/>
      </c>
      <c r="BX109" s="132"/>
      <c r="BY109" s="132"/>
      <c r="BZ109" s="132"/>
      <c r="CA109" s="132"/>
      <c r="CB109" s="261" t="str">
        <f t="shared" si="80"/>
        <v/>
      </c>
      <c r="CC109" s="261" t="str">
        <f t="shared" si="70"/>
        <v/>
      </c>
      <c r="CD109" s="261" t="str">
        <f t="shared" si="71"/>
        <v/>
      </c>
      <c r="CE109" s="261" t="str">
        <f t="shared" si="81"/>
        <v/>
      </c>
      <c r="CF109" s="261" t="str">
        <f t="shared" si="72"/>
        <v/>
      </c>
      <c r="CG109" s="133" t="str">
        <f t="shared" si="82"/>
        <v/>
      </c>
      <c r="CH109" s="134" t="str">
        <f t="shared" si="73"/>
        <v/>
      </c>
      <c r="CI109" s="243"/>
      <c r="CJ109" s="243"/>
      <c r="CK109" s="243"/>
      <c r="CL109" s="243"/>
      <c r="CM109" s="243"/>
      <c r="CN109" s="243"/>
      <c r="CO109" s="479"/>
      <c r="CP109" s="479"/>
      <c r="CQ109" s="479"/>
      <c r="CR109" s="479"/>
      <c r="CS109" s="479"/>
      <c r="CT109" s="479"/>
      <c r="CU109" s="479"/>
      <c r="CV109" s="479"/>
      <c r="CW109" s="479"/>
      <c r="CX109" s="479"/>
      <c r="CY109" s="479"/>
      <c r="CZ109" s="479"/>
      <c r="DA109" s="479"/>
      <c r="DB109" s="479"/>
      <c r="DC109" s="479"/>
      <c r="DD109" s="479"/>
      <c r="DE109" s="479"/>
      <c r="DF109" s="479"/>
      <c r="DG109" s="479"/>
      <c r="DH109" s="479"/>
      <c r="DI109" s="479"/>
      <c r="DJ109" s="479"/>
      <c r="DK109" s="479"/>
      <c r="DL109" s="479"/>
      <c r="DM109" s="479"/>
      <c r="DN109" s="479"/>
      <c r="DO109" s="479"/>
      <c r="DP109" s="479"/>
      <c r="DQ109" s="479"/>
      <c r="DR109" s="479"/>
      <c r="DS109" s="479"/>
      <c r="DT109" s="479"/>
      <c r="DU109" s="479"/>
      <c r="DV109" s="479"/>
      <c r="DW109" s="479"/>
      <c r="DX109" s="479"/>
      <c r="DY109" s="479"/>
      <c r="DZ109" s="479"/>
      <c r="EA109" s="479"/>
      <c r="EB109" s="479"/>
      <c r="EC109" s="479"/>
      <c r="ED109" s="479"/>
    </row>
    <row r="110" spans="1:134">
      <c r="A110" s="305"/>
      <c r="B110" s="373"/>
      <c r="C110" s="5"/>
      <c r="D110" s="5"/>
      <c r="E110" s="5"/>
      <c r="F110" s="5"/>
      <c r="G110" s="5"/>
      <c r="H110" s="5"/>
      <c r="J110" s="5"/>
      <c r="K110" s="5"/>
      <c r="L110" s="5"/>
      <c r="M110" s="158"/>
      <c r="N110" s="278" t="str">
        <f t="shared" si="88"/>
        <v/>
      </c>
      <c r="O110" s="279" t="str">
        <f t="shared" si="89"/>
        <v/>
      </c>
      <c r="P110" s="271" t="str">
        <f t="shared" si="86"/>
        <v/>
      </c>
      <c r="Q110" s="271" t="str">
        <f t="shared" si="87"/>
        <v/>
      </c>
      <c r="R110" s="271"/>
      <c r="S110" s="759" t="str">
        <f t="shared" si="83"/>
        <v/>
      </c>
      <c r="T110" s="761" t="str">
        <f>Main_무해지!AC110</f>
        <v/>
      </c>
      <c r="U110" s="409">
        <f>+Main_무해지!AD110</f>
        <v>0</v>
      </c>
      <c r="V110" s="409" t="str">
        <f t="shared" si="74"/>
        <v/>
      </c>
      <c r="W110" s="409" t="str">
        <f t="shared" si="84"/>
        <v/>
      </c>
      <c r="X110" s="409" t="str">
        <f t="shared" si="45"/>
        <v/>
      </c>
      <c r="Y110" s="760" t="str">
        <f>IF($S110="","",SUM(X110:X$114))</f>
        <v/>
      </c>
      <c r="Z110" s="409" t="str">
        <f t="shared" si="75"/>
        <v/>
      </c>
      <c r="AA110" s="254">
        <f t="shared" si="76"/>
        <v>0</v>
      </c>
      <c r="AB110" s="254" t="str">
        <f>Main_무해지!AJ110</f>
        <v/>
      </c>
      <c r="AC110" s="409" t="str">
        <f t="shared" si="46"/>
        <v/>
      </c>
      <c r="AD110" s="409" t="str">
        <f t="shared" si="85"/>
        <v/>
      </c>
      <c r="AE110" s="409" t="str">
        <f t="shared" si="47"/>
        <v/>
      </c>
      <c r="AF110" s="760" t="str">
        <f>IF($S110="","",SUM(AE110:AE$114))</f>
        <v/>
      </c>
      <c r="AG110" s="761" t="str">
        <f>Main_무해지!AP110</f>
        <v/>
      </c>
      <c r="AH110" s="409" t="str">
        <f t="shared" si="48"/>
        <v/>
      </c>
      <c r="AI110" s="409" t="str">
        <f t="shared" si="49"/>
        <v/>
      </c>
      <c r="AJ110" s="409" t="str">
        <f t="shared" si="50"/>
        <v/>
      </c>
      <c r="AK110" s="762" t="str">
        <f>IF($S110="","",SUM($AL110:$AL$114))</f>
        <v/>
      </c>
      <c r="AL110" s="409" t="str">
        <f t="shared" si="77"/>
        <v/>
      </c>
      <c r="AM110" s="762" t="str">
        <f t="shared" si="51"/>
        <v/>
      </c>
      <c r="AN110" s="761" t="str">
        <f>IF($S110="","",INDEX(#REF!,$S110+1))</f>
        <v/>
      </c>
      <c r="AO110" s="409" t="str">
        <f t="shared" si="52"/>
        <v/>
      </c>
      <c r="AP110" s="409" t="str">
        <f t="shared" si="53"/>
        <v/>
      </c>
      <c r="AQ110" s="409" t="str">
        <f t="shared" si="54"/>
        <v/>
      </c>
      <c r="AR110" s="762" t="str">
        <f>IF($S110="","",SUM($AQ110:$AQ$114))</f>
        <v/>
      </c>
      <c r="AS110" s="761" t="str">
        <f>IF($S110="","",INDEX(#REF!,$S110+1))</f>
        <v/>
      </c>
      <c r="AT110" s="409" t="str">
        <f t="shared" si="55"/>
        <v/>
      </c>
      <c r="AU110" s="409" t="str">
        <f t="shared" si="56"/>
        <v/>
      </c>
      <c r="AV110" s="409" t="str">
        <f t="shared" si="57"/>
        <v/>
      </c>
      <c r="AW110" s="762" t="str">
        <f>IF($S110="","",SUM($AV110:$AV$114))</f>
        <v/>
      </c>
      <c r="AX110" s="761" t="str">
        <f>IF($S110="","",INDEX(#REF!,$S110+1))</f>
        <v/>
      </c>
      <c r="AY110" s="409" t="str">
        <f t="shared" si="58"/>
        <v/>
      </c>
      <c r="AZ110" s="409" t="str">
        <f t="shared" si="59"/>
        <v/>
      </c>
      <c r="BA110" s="409" t="str">
        <f t="shared" si="60"/>
        <v/>
      </c>
      <c r="BB110" s="762" t="str">
        <f>IF($S110="","",SUM($BA110:$BA$114))</f>
        <v/>
      </c>
      <c r="BC110" s="761" t="str">
        <f>IF($S110="","",INDEX(#REF!,$S110+1))</f>
        <v/>
      </c>
      <c r="BD110" s="409" t="str">
        <f t="shared" si="61"/>
        <v/>
      </c>
      <c r="BE110" s="409" t="str">
        <f t="shared" si="62"/>
        <v/>
      </c>
      <c r="BF110" s="409" t="str">
        <f t="shared" si="63"/>
        <v/>
      </c>
      <c r="BG110" s="762" t="str">
        <f>IF($S110="","",SUM($BF110:$BF$114))</f>
        <v/>
      </c>
      <c r="BH110" s="761" t="str">
        <f>IF($S110="","",INDEX(#REF!,$S110+1))</f>
        <v/>
      </c>
      <c r="BI110" s="409" t="str">
        <f t="shared" si="64"/>
        <v/>
      </c>
      <c r="BJ110" s="409" t="str">
        <f t="shared" si="65"/>
        <v/>
      </c>
      <c r="BK110" s="409" t="str">
        <f t="shared" si="66"/>
        <v/>
      </c>
      <c r="BL110" s="762" t="str">
        <f>IF($S110="","",SUM($BK110:$BK$114))</f>
        <v/>
      </c>
      <c r="BM110" s="761" t="str">
        <f t="shared" si="67"/>
        <v/>
      </c>
      <c r="BN110" s="409" t="str">
        <f t="shared" si="78"/>
        <v/>
      </c>
      <c r="BO110" s="409" t="str">
        <f t="shared" si="68"/>
        <v/>
      </c>
      <c r="BP110" s="409" t="str">
        <f t="shared" si="69"/>
        <v/>
      </c>
      <c r="BQ110" s="409" t="str">
        <f t="shared" si="79"/>
        <v/>
      </c>
      <c r="BR110" s="409"/>
      <c r="BS110" s="409"/>
      <c r="BT110" s="409"/>
      <c r="BU110" s="409"/>
      <c r="BV110" s="409" t="str">
        <f>IF($S110="","",SUM(BQ110:BQ$114))</f>
        <v/>
      </c>
      <c r="BW110" s="763" t="str">
        <f>IF(S110&lt;$E$3+$F$5,0,IFERROR(일반형_연납순보험료!S112,0))</f>
        <v/>
      </c>
      <c r="BX110" s="763"/>
      <c r="BY110" s="763"/>
      <c r="BZ110" s="763"/>
      <c r="CA110" s="763"/>
      <c r="CB110" s="409" t="str">
        <f t="shared" si="80"/>
        <v/>
      </c>
      <c r="CC110" s="409" t="str">
        <f t="shared" si="70"/>
        <v/>
      </c>
      <c r="CD110" s="409" t="str">
        <f t="shared" si="71"/>
        <v/>
      </c>
      <c r="CE110" s="409" t="str">
        <f t="shared" si="81"/>
        <v/>
      </c>
      <c r="CF110" s="409" t="str">
        <f t="shared" si="72"/>
        <v/>
      </c>
      <c r="CG110" s="765" t="str">
        <f t="shared" si="82"/>
        <v/>
      </c>
      <c r="CH110" s="766" t="str">
        <f t="shared" si="73"/>
        <v/>
      </c>
      <c r="CI110" s="414"/>
      <c r="CJ110" s="414"/>
      <c r="CK110" s="414"/>
      <c r="CL110" s="414"/>
      <c r="CM110" s="414"/>
      <c r="CN110" s="414"/>
      <c r="CO110" s="479"/>
      <c r="CP110" s="479"/>
      <c r="CQ110" s="479"/>
      <c r="CR110" s="479"/>
      <c r="CS110" s="479"/>
      <c r="CT110" s="479"/>
      <c r="CU110" s="479"/>
      <c r="CV110" s="479"/>
      <c r="CW110" s="479"/>
      <c r="CX110" s="479"/>
      <c r="CY110" s="479"/>
      <c r="CZ110" s="479"/>
      <c r="DA110" s="479"/>
      <c r="DB110" s="479"/>
      <c r="DC110" s="479"/>
      <c r="DD110" s="479"/>
      <c r="DE110" s="479"/>
      <c r="DF110" s="479"/>
      <c r="DG110" s="479"/>
      <c r="DH110" s="479"/>
      <c r="DI110" s="479"/>
      <c r="DJ110" s="479"/>
      <c r="DK110" s="479"/>
      <c r="DL110" s="479"/>
      <c r="DM110" s="479"/>
      <c r="DN110" s="479"/>
      <c r="DO110" s="479"/>
      <c r="DP110" s="479"/>
      <c r="DQ110" s="479"/>
      <c r="DR110" s="479"/>
      <c r="DS110" s="479"/>
      <c r="DT110" s="479"/>
      <c r="DU110" s="479"/>
      <c r="DV110" s="479"/>
      <c r="DW110" s="479"/>
      <c r="DX110" s="479"/>
      <c r="DY110" s="479"/>
      <c r="DZ110" s="479"/>
      <c r="EA110" s="479"/>
      <c r="EB110" s="479"/>
      <c r="EC110" s="479"/>
      <c r="ED110" s="479"/>
    </row>
    <row r="111" spans="1:134">
      <c r="A111" s="305"/>
      <c r="B111" s="373"/>
      <c r="C111" s="5"/>
      <c r="D111" s="5"/>
      <c r="E111" s="5"/>
      <c r="F111" s="5"/>
      <c r="G111" s="5"/>
      <c r="H111" s="5"/>
      <c r="J111" s="5"/>
      <c r="K111" s="5"/>
      <c r="L111" s="5"/>
      <c r="M111" s="158"/>
      <c r="N111" s="278" t="str">
        <f t="shared" si="88"/>
        <v/>
      </c>
      <c r="O111" s="279" t="str">
        <f t="shared" si="89"/>
        <v/>
      </c>
      <c r="P111" s="271" t="str">
        <f t="shared" si="86"/>
        <v/>
      </c>
      <c r="Q111" s="271" t="str">
        <f t="shared" si="87"/>
        <v/>
      </c>
      <c r="R111" s="271"/>
      <c r="S111" s="101" t="str">
        <f t="shared" si="83"/>
        <v/>
      </c>
      <c r="T111" s="285" t="str">
        <f>Main_무해지!AC111</f>
        <v/>
      </c>
      <c r="U111" s="258">
        <f>+Main_무해지!AD111</f>
        <v>0</v>
      </c>
      <c r="V111" s="258" t="str">
        <f t="shared" si="74"/>
        <v/>
      </c>
      <c r="W111" s="258" t="str">
        <f t="shared" si="84"/>
        <v/>
      </c>
      <c r="X111" s="258" t="str">
        <f t="shared" si="45"/>
        <v/>
      </c>
      <c r="Y111" s="102" t="str">
        <f>IF($S111="","",SUM(X111:X$114))</f>
        <v/>
      </c>
      <c r="Z111" s="258" t="str">
        <f t="shared" si="75"/>
        <v/>
      </c>
      <c r="AA111" s="254">
        <f t="shared" si="76"/>
        <v>0</v>
      </c>
      <c r="AB111" s="254" t="str">
        <f>Main_무해지!AJ111</f>
        <v/>
      </c>
      <c r="AC111" s="258" t="str">
        <f t="shared" si="46"/>
        <v/>
      </c>
      <c r="AD111" s="258" t="str">
        <f t="shared" si="85"/>
        <v/>
      </c>
      <c r="AE111" s="258" t="str">
        <f t="shared" si="47"/>
        <v/>
      </c>
      <c r="AF111" s="102" t="str">
        <f>IF($S111="","",SUM(AE111:AE$114))</f>
        <v/>
      </c>
      <c r="AG111" s="285" t="str">
        <f>Main_무해지!AP111</f>
        <v/>
      </c>
      <c r="AH111" s="258" t="str">
        <f t="shared" si="48"/>
        <v/>
      </c>
      <c r="AI111" s="258" t="str">
        <f t="shared" si="49"/>
        <v/>
      </c>
      <c r="AJ111" s="258" t="str">
        <f t="shared" si="50"/>
        <v/>
      </c>
      <c r="AK111" s="315" t="str">
        <f>IF($S111="","",SUM($AL111:$AL$114))</f>
        <v/>
      </c>
      <c r="AL111" s="258" t="str">
        <f t="shared" si="77"/>
        <v/>
      </c>
      <c r="AM111" s="315" t="str">
        <f t="shared" si="51"/>
        <v/>
      </c>
      <c r="AN111" s="285" t="str">
        <f>IF($S111="","",INDEX(#REF!,$S111+1))</f>
        <v/>
      </c>
      <c r="AO111" s="258" t="str">
        <f t="shared" si="52"/>
        <v/>
      </c>
      <c r="AP111" s="258" t="str">
        <f t="shared" si="53"/>
        <v/>
      </c>
      <c r="AQ111" s="258" t="str">
        <f t="shared" si="54"/>
        <v/>
      </c>
      <c r="AR111" s="315" t="str">
        <f>IF($S111="","",SUM($AQ111:$AQ$114))</f>
        <v/>
      </c>
      <c r="AS111" s="285" t="str">
        <f>IF($S111="","",INDEX(#REF!,$S111+1))</f>
        <v/>
      </c>
      <c r="AT111" s="258" t="str">
        <f t="shared" si="55"/>
        <v/>
      </c>
      <c r="AU111" s="258" t="str">
        <f t="shared" si="56"/>
        <v/>
      </c>
      <c r="AV111" s="258" t="str">
        <f t="shared" si="57"/>
        <v/>
      </c>
      <c r="AW111" s="315" t="str">
        <f>IF($S111="","",SUM($AV111:$AV$114))</f>
        <v/>
      </c>
      <c r="AX111" s="285" t="str">
        <f>IF($S111="","",INDEX(#REF!,$S111+1))</f>
        <v/>
      </c>
      <c r="AY111" s="258" t="str">
        <f t="shared" si="58"/>
        <v/>
      </c>
      <c r="AZ111" s="258" t="str">
        <f t="shared" si="59"/>
        <v/>
      </c>
      <c r="BA111" s="258" t="str">
        <f t="shared" si="60"/>
        <v/>
      </c>
      <c r="BB111" s="315" t="str">
        <f>IF($S111="","",SUM($BA111:$BA$114))</f>
        <v/>
      </c>
      <c r="BC111" s="285" t="str">
        <f>IF($S111="","",INDEX(#REF!,$S111+1))</f>
        <v/>
      </c>
      <c r="BD111" s="258" t="str">
        <f t="shared" si="61"/>
        <v/>
      </c>
      <c r="BE111" s="258" t="str">
        <f t="shared" si="62"/>
        <v/>
      </c>
      <c r="BF111" s="258" t="str">
        <f t="shared" si="63"/>
        <v/>
      </c>
      <c r="BG111" s="315" t="str">
        <f>IF($S111="","",SUM($BF111:$BF$114))</f>
        <v/>
      </c>
      <c r="BH111" s="285" t="str">
        <f>IF($S111="","",INDEX(#REF!,$S111+1))</f>
        <v/>
      </c>
      <c r="BI111" s="258" t="str">
        <f t="shared" si="64"/>
        <v/>
      </c>
      <c r="BJ111" s="258" t="str">
        <f t="shared" si="65"/>
        <v/>
      </c>
      <c r="BK111" s="258" t="str">
        <f t="shared" si="66"/>
        <v/>
      </c>
      <c r="BL111" s="315" t="str">
        <f>IF($S111="","",SUM($BK111:$BK$114))</f>
        <v/>
      </c>
      <c r="BM111" s="285" t="str">
        <f t="shared" si="67"/>
        <v/>
      </c>
      <c r="BN111" s="258" t="str">
        <f t="shared" si="78"/>
        <v/>
      </c>
      <c r="BO111" s="258" t="str">
        <f t="shared" si="68"/>
        <v/>
      </c>
      <c r="BP111" s="258" t="str">
        <f t="shared" si="69"/>
        <v/>
      </c>
      <c r="BQ111" s="258" t="str">
        <f t="shared" si="79"/>
        <v/>
      </c>
      <c r="BR111" s="258"/>
      <c r="BS111" s="258"/>
      <c r="BT111" s="258"/>
      <c r="BU111" s="258"/>
      <c r="BV111" s="258" t="str">
        <f>IF($S111="","",SUM(BQ111:BQ$114))</f>
        <v/>
      </c>
      <c r="BW111" s="103" t="str">
        <f>IF(S111&lt;$E$3+$F$5,0,IFERROR(일반형_연납순보험료!S113,0))</f>
        <v/>
      </c>
      <c r="BX111" s="103"/>
      <c r="BY111" s="103"/>
      <c r="BZ111" s="103"/>
      <c r="CA111" s="103"/>
      <c r="CB111" s="258" t="str">
        <f t="shared" si="80"/>
        <v/>
      </c>
      <c r="CC111" s="258" t="str">
        <f t="shared" si="70"/>
        <v/>
      </c>
      <c r="CD111" s="258" t="str">
        <f t="shared" si="71"/>
        <v/>
      </c>
      <c r="CE111" s="258" t="str">
        <f t="shared" si="81"/>
        <v/>
      </c>
      <c r="CF111" s="258" t="str">
        <f t="shared" si="72"/>
        <v/>
      </c>
      <c r="CG111" s="104" t="str">
        <f t="shared" si="82"/>
        <v/>
      </c>
      <c r="CH111" s="105" t="str">
        <f t="shared" si="73"/>
        <v/>
      </c>
      <c r="CI111" s="240"/>
      <c r="CJ111" s="240"/>
      <c r="CK111" s="240"/>
      <c r="CL111" s="240"/>
      <c r="CM111" s="240"/>
      <c r="CN111" s="240"/>
      <c r="CO111" s="479"/>
      <c r="CP111" s="479"/>
      <c r="CQ111" s="479"/>
      <c r="CR111" s="479"/>
      <c r="CS111" s="479"/>
      <c r="CT111" s="479"/>
      <c r="CU111" s="479"/>
      <c r="CV111" s="479"/>
      <c r="CW111" s="479"/>
      <c r="CX111" s="479"/>
      <c r="CY111" s="479"/>
      <c r="CZ111" s="479"/>
      <c r="DA111" s="479"/>
      <c r="DB111" s="479"/>
      <c r="DC111" s="479"/>
      <c r="DD111" s="479"/>
      <c r="DE111" s="479"/>
      <c r="DF111" s="479"/>
      <c r="DG111" s="479"/>
      <c r="DH111" s="479"/>
      <c r="DI111" s="479"/>
      <c r="DJ111" s="479"/>
      <c r="DK111" s="479"/>
      <c r="DL111" s="479"/>
      <c r="DM111" s="479"/>
      <c r="DN111" s="479"/>
      <c r="DO111" s="479"/>
      <c r="DP111" s="479"/>
      <c r="DQ111" s="479"/>
      <c r="DR111" s="479"/>
      <c r="DS111" s="479"/>
      <c r="DT111" s="479"/>
      <c r="DU111" s="479"/>
      <c r="DV111" s="479"/>
      <c r="DW111" s="479"/>
      <c r="DX111" s="479"/>
      <c r="DY111" s="479"/>
      <c r="DZ111" s="479"/>
      <c r="EA111" s="479"/>
      <c r="EB111" s="479"/>
      <c r="EC111" s="479"/>
      <c r="ED111" s="479"/>
    </row>
    <row r="112" spans="1:134">
      <c r="A112" s="305"/>
      <c r="B112" s="373"/>
      <c r="C112" s="5"/>
      <c r="D112" s="5"/>
      <c r="E112" s="5"/>
      <c r="F112" s="5"/>
      <c r="G112" s="5"/>
      <c r="H112" s="5"/>
      <c r="J112" s="5"/>
      <c r="K112" s="5"/>
      <c r="L112" s="5"/>
      <c r="M112" s="158"/>
      <c r="N112" s="278" t="str">
        <f t="shared" si="88"/>
        <v/>
      </c>
      <c r="O112" s="279" t="str">
        <f t="shared" si="89"/>
        <v/>
      </c>
      <c r="P112" s="271" t="str">
        <f t="shared" si="86"/>
        <v/>
      </c>
      <c r="Q112" s="271" t="str">
        <f t="shared" si="87"/>
        <v/>
      </c>
      <c r="R112" s="271"/>
      <c r="S112" s="101" t="str">
        <f t="shared" si="83"/>
        <v/>
      </c>
      <c r="T112" s="285" t="str">
        <f>Main_무해지!AC112</f>
        <v/>
      </c>
      <c r="U112" s="258">
        <f>+Main_무해지!AD112</f>
        <v>0</v>
      </c>
      <c r="V112" s="258" t="str">
        <f t="shared" si="74"/>
        <v/>
      </c>
      <c r="W112" s="258" t="str">
        <f t="shared" si="84"/>
        <v/>
      </c>
      <c r="X112" s="258" t="str">
        <f t="shared" si="45"/>
        <v/>
      </c>
      <c r="Y112" s="102" t="str">
        <f>IF($S112="","",SUM(X112:X$114))</f>
        <v/>
      </c>
      <c r="Z112" s="258" t="str">
        <f t="shared" si="75"/>
        <v/>
      </c>
      <c r="AA112" s="254">
        <f t="shared" si="76"/>
        <v>0</v>
      </c>
      <c r="AB112" s="254" t="str">
        <f>Main_무해지!AJ112</f>
        <v/>
      </c>
      <c r="AC112" s="258" t="str">
        <f t="shared" si="46"/>
        <v/>
      </c>
      <c r="AD112" s="258" t="str">
        <f t="shared" si="85"/>
        <v/>
      </c>
      <c r="AE112" s="258" t="str">
        <f t="shared" si="47"/>
        <v/>
      </c>
      <c r="AF112" s="102" t="str">
        <f>IF($S112="","",SUM(AE112:AE$114))</f>
        <v/>
      </c>
      <c r="AG112" s="285" t="str">
        <f>Main_무해지!AP112</f>
        <v/>
      </c>
      <c r="AH112" s="258" t="str">
        <f t="shared" si="48"/>
        <v/>
      </c>
      <c r="AI112" s="258" t="str">
        <f t="shared" si="49"/>
        <v/>
      </c>
      <c r="AJ112" s="258" t="str">
        <f t="shared" si="50"/>
        <v/>
      </c>
      <c r="AK112" s="315" t="str">
        <f>IF($S112="","",SUM($AL112:$AL$114))</f>
        <v/>
      </c>
      <c r="AL112" s="258" t="str">
        <f t="shared" si="77"/>
        <v/>
      </c>
      <c r="AM112" s="315" t="str">
        <f t="shared" si="51"/>
        <v/>
      </c>
      <c r="AN112" s="285" t="str">
        <f>IF($S112="","",INDEX(#REF!,$S112+1))</f>
        <v/>
      </c>
      <c r="AO112" s="258" t="str">
        <f t="shared" si="52"/>
        <v/>
      </c>
      <c r="AP112" s="258" t="str">
        <f t="shared" si="53"/>
        <v/>
      </c>
      <c r="AQ112" s="258" t="str">
        <f t="shared" si="54"/>
        <v/>
      </c>
      <c r="AR112" s="315" t="str">
        <f>IF($S112="","",SUM($AQ112:$AQ$114))</f>
        <v/>
      </c>
      <c r="AS112" s="285" t="str">
        <f>IF($S112="","",INDEX(#REF!,$S112+1))</f>
        <v/>
      </c>
      <c r="AT112" s="258" t="str">
        <f t="shared" si="55"/>
        <v/>
      </c>
      <c r="AU112" s="258" t="str">
        <f t="shared" si="56"/>
        <v/>
      </c>
      <c r="AV112" s="258" t="str">
        <f t="shared" si="57"/>
        <v/>
      </c>
      <c r="AW112" s="315" t="str">
        <f>IF($S112="","",SUM($AV112:$AV$114))</f>
        <v/>
      </c>
      <c r="AX112" s="285" t="str">
        <f>IF($S112="","",INDEX(#REF!,$S112+1))</f>
        <v/>
      </c>
      <c r="AY112" s="258" t="str">
        <f t="shared" si="58"/>
        <v/>
      </c>
      <c r="AZ112" s="258" t="str">
        <f t="shared" si="59"/>
        <v/>
      </c>
      <c r="BA112" s="258" t="str">
        <f t="shared" si="60"/>
        <v/>
      </c>
      <c r="BB112" s="315" t="str">
        <f>IF($S112="","",SUM($BA112:$BA$114))</f>
        <v/>
      </c>
      <c r="BC112" s="285" t="str">
        <f>IF($S112="","",INDEX(#REF!,$S112+1))</f>
        <v/>
      </c>
      <c r="BD112" s="258" t="str">
        <f t="shared" si="61"/>
        <v/>
      </c>
      <c r="BE112" s="258" t="str">
        <f t="shared" si="62"/>
        <v/>
      </c>
      <c r="BF112" s="258" t="str">
        <f t="shared" si="63"/>
        <v/>
      </c>
      <c r="BG112" s="315" t="str">
        <f>IF($S112="","",SUM($BF112:$BF$114))</f>
        <v/>
      </c>
      <c r="BH112" s="285" t="str">
        <f>IF($S112="","",INDEX(#REF!,$S112+1))</f>
        <v/>
      </c>
      <c r="BI112" s="258" t="str">
        <f t="shared" si="64"/>
        <v/>
      </c>
      <c r="BJ112" s="258" t="str">
        <f t="shared" si="65"/>
        <v/>
      </c>
      <c r="BK112" s="258" t="str">
        <f t="shared" si="66"/>
        <v/>
      </c>
      <c r="BL112" s="315" t="str">
        <f>IF($S112="","",SUM($BK112:$BK$114))</f>
        <v/>
      </c>
      <c r="BM112" s="285" t="str">
        <f t="shared" si="67"/>
        <v/>
      </c>
      <c r="BN112" s="258" t="str">
        <f t="shared" si="78"/>
        <v/>
      </c>
      <c r="BO112" s="258" t="str">
        <f t="shared" si="68"/>
        <v/>
      </c>
      <c r="BP112" s="258" t="str">
        <f t="shared" si="69"/>
        <v/>
      </c>
      <c r="BQ112" s="258" t="str">
        <f t="shared" si="79"/>
        <v/>
      </c>
      <c r="BR112" s="258"/>
      <c r="BS112" s="258"/>
      <c r="BT112" s="258"/>
      <c r="BU112" s="258"/>
      <c r="BV112" s="258" t="str">
        <f>IF($S112="","",SUM(BQ112:BQ$114))</f>
        <v/>
      </c>
      <c r="BW112" s="103" t="str">
        <f>IF(S112&lt;$E$3+$F$5,0,IFERROR(일반형_연납순보험료!S114,0))</f>
        <v/>
      </c>
      <c r="BX112" s="103"/>
      <c r="BY112" s="103"/>
      <c r="BZ112" s="103"/>
      <c r="CA112" s="103"/>
      <c r="CB112" s="258" t="str">
        <f t="shared" si="80"/>
        <v/>
      </c>
      <c r="CC112" s="258" t="str">
        <f t="shared" si="70"/>
        <v/>
      </c>
      <c r="CD112" s="258" t="str">
        <f t="shared" si="71"/>
        <v/>
      </c>
      <c r="CE112" s="258" t="str">
        <f t="shared" si="81"/>
        <v/>
      </c>
      <c r="CF112" s="258" t="str">
        <f t="shared" si="72"/>
        <v/>
      </c>
      <c r="CG112" s="104" t="str">
        <f t="shared" si="82"/>
        <v/>
      </c>
      <c r="CH112" s="105" t="str">
        <f t="shared" si="73"/>
        <v/>
      </c>
      <c r="CI112" s="240"/>
      <c r="CJ112" s="240"/>
      <c r="CK112" s="240"/>
      <c r="CL112" s="240"/>
      <c r="CM112" s="240"/>
      <c r="CN112" s="240"/>
      <c r="CO112" s="479"/>
      <c r="CP112" s="479"/>
      <c r="CQ112" s="479"/>
      <c r="CR112" s="479"/>
      <c r="CS112" s="479"/>
      <c r="CT112" s="479"/>
      <c r="CU112" s="479"/>
      <c r="CV112" s="479"/>
      <c r="CW112" s="479"/>
      <c r="CX112" s="479"/>
      <c r="CY112" s="479"/>
      <c r="CZ112" s="479"/>
      <c r="DA112" s="479"/>
      <c r="DB112" s="479"/>
      <c r="DC112" s="479"/>
      <c r="DD112" s="479"/>
      <c r="DE112" s="479"/>
      <c r="DF112" s="479"/>
      <c r="DG112" s="479"/>
      <c r="DH112" s="479"/>
      <c r="DI112" s="479"/>
      <c r="DJ112" s="479"/>
      <c r="DK112" s="479"/>
      <c r="DL112" s="479"/>
      <c r="DM112" s="479"/>
      <c r="DN112" s="479"/>
      <c r="DO112" s="479"/>
      <c r="DP112" s="479"/>
      <c r="DQ112" s="479"/>
      <c r="DR112" s="479"/>
      <c r="DS112" s="479"/>
      <c r="DT112" s="479"/>
      <c r="DU112" s="479"/>
      <c r="DV112" s="479"/>
      <c r="DW112" s="479"/>
      <c r="DX112" s="479"/>
      <c r="DY112" s="479"/>
      <c r="DZ112" s="479"/>
      <c r="EA112" s="479"/>
      <c r="EB112" s="479"/>
      <c r="EC112" s="479"/>
      <c r="ED112" s="479"/>
    </row>
    <row r="113" spans="1:134">
      <c r="A113" s="305"/>
      <c r="B113" s="373"/>
      <c r="C113" s="5"/>
      <c r="D113" s="5"/>
      <c r="E113" s="5"/>
      <c r="F113" s="5"/>
      <c r="G113" s="5"/>
      <c r="H113" s="5"/>
      <c r="J113" s="5"/>
      <c r="K113" s="5"/>
      <c r="L113" s="5"/>
      <c r="M113" s="158"/>
      <c r="N113" s="278" t="str">
        <f t="shared" si="88"/>
        <v/>
      </c>
      <c r="O113" s="279" t="str">
        <f t="shared" si="89"/>
        <v/>
      </c>
      <c r="P113" s="271" t="str">
        <f t="shared" si="86"/>
        <v/>
      </c>
      <c r="Q113" s="271" t="str">
        <f t="shared" si="87"/>
        <v/>
      </c>
      <c r="R113" s="271"/>
      <c r="S113" s="101" t="str">
        <f t="shared" si="83"/>
        <v/>
      </c>
      <c r="T113" s="285" t="str">
        <f>Main_무해지!AC113</f>
        <v/>
      </c>
      <c r="U113" s="258">
        <f>+Main_무해지!AD113</f>
        <v>0</v>
      </c>
      <c r="V113" s="258" t="str">
        <f t="shared" si="74"/>
        <v/>
      </c>
      <c r="W113" s="258" t="str">
        <f t="shared" si="84"/>
        <v/>
      </c>
      <c r="X113" s="258" t="str">
        <f t="shared" si="45"/>
        <v/>
      </c>
      <c r="Y113" s="102" t="str">
        <f>IF($S113="","",SUM(X113:X$114))</f>
        <v/>
      </c>
      <c r="Z113" s="258" t="str">
        <f t="shared" si="75"/>
        <v/>
      </c>
      <c r="AA113" s="254">
        <f t="shared" si="76"/>
        <v>0</v>
      </c>
      <c r="AB113" s="254" t="str">
        <f>Main_무해지!AJ113</f>
        <v/>
      </c>
      <c r="AC113" s="258" t="str">
        <f t="shared" si="46"/>
        <v/>
      </c>
      <c r="AD113" s="258" t="str">
        <f t="shared" si="85"/>
        <v/>
      </c>
      <c r="AE113" s="258" t="str">
        <f t="shared" si="47"/>
        <v/>
      </c>
      <c r="AF113" s="102" t="str">
        <f>IF($S113="","",SUM(AE113:AE$114))</f>
        <v/>
      </c>
      <c r="AG113" s="285" t="str">
        <f>Main_무해지!AP113</f>
        <v/>
      </c>
      <c r="AH113" s="258" t="str">
        <f t="shared" si="48"/>
        <v/>
      </c>
      <c r="AI113" s="258" t="str">
        <f t="shared" si="49"/>
        <v/>
      </c>
      <c r="AJ113" s="258" t="str">
        <f t="shared" si="50"/>
        <v/>
      </c>
      <c r="AK113" s="315" t="str">
        <f>IF($S113="","",SUM($AL113:$AL$114))</f>
        <v/>
      </c>
      <c r="AL113" s="258" t="str">
        <f t="shared" si="77"/>
        <v/>
      </c>
      <c r="AM113" s="315" t="str">
        <f t="shared" si="51"/>
        <v/>
      </c>
      <c r="AN113" s="285" t="str">
        <f>IF($S113="","",INDEX(#REF!,$S113+1))</f>
        <v/>
      </c>
      <c r="AO113" s="258" t="str">
        <f t="shared" si="52"/>
        <v/>
      </c>
      <c r="AP113" s="258" t="str">
        <f t="shared" si="53"/>
        <v/>
      </c>
      <c r="AQ113" s="258" t="str">
        <f t="shared" si="54"/>
        <v/>
      </c>
      <c r="AR113" s="315" t="str">
        <f>IF($S113="","",SUM($AQ113:$AQ$114))</f>
        <v/>
      </c>
      <c r="AS113" s="285" t="str">
        <f>IF($S113="","",INDEX(#REF!,$S113+1))</f>
        <v/>
      </c>
      <c r="AT113" s="258" t="str">
        <f t="shared" si="55"/>
        <v/>
      </c>
      <c r="AU113" s="258" t="str">
        <f t="shared" si="56"/>
        <v/>
      </c>
      <c r="AV113" s="258" t="str">
        <f t="shared" si="57"/>
        <v/>
      </c>
      <c r="AW113" s="315" t="str">
        <f>IF($S113="","",SUM($AV113:$AV$114))</f>
        <v/>
      </c>
      <c r="AX113" s="285" t="str">
        <f>IF($S113="","",INDEX(#REF!,$S113+1))</f>
        <v/>
      </c>
      <c r="AY113" s="258" t="str">
        <f t="shared" si="58"/>
        <v/>
      </c>
      <c r="AZ113" s="258" t="str">
        <f t="shared" si="59"/>
        <v/>
      </c>
      <c r="BA113" s="258" t="str">
        <f t="shared" si="60"/>
        <v/>
      </c>
      <c r="BB113" s="315" t="str">
        <f>IF($S113="","",SUM($BA113:$BA$114))</f>
        <v/>
      </c>
      <c r="BC113" s="285" t="str">
        <f>IF($S113="","",INDEX(#REF!,$S113+1))</f>
        <v/>
      </c>
      <c r="BD113" s="258" t="str">
        <f t="shared" si="61"/>
        <v/>
      </c>
      <c r="BE113" s="258" t="str">
        <f t="shared" si="62"/>
        <v/>
      </c>
      <c r="BF113" s="258" t="str">
        <f t="shared" si="63"/>
        <v/>
      </c>
      <c r="BG113" s="315" t="str">
        <f>IF($S113="","",SUM($BF113:$BF$114))</f>
        <v/>
      </c>
      <c r="BH113" s="285" t="str">
        <f>IF($S113="","",INDEX(#REF!,$S113+1))</f>
        <v/>
      </c>
      <c r="BI113" s="258" t="str">
        <f t="shared" si="64"/>
        <v/>
      </c>
      <c r="BJ113" s="258" t="str">
        <f t="shared" si="65"/>
        <v/>
      </c>
      <c r="BK113" s="258" t="str">
        <f t="shared" si="66"/>
        <v/>
      </c>
      <c r="BL113" s="315" t="str">
        <f>IF($S113="","",SUM($BK113:$BK$114))</f>
        <v/>
      </c>
      <c r="BM113" s="285" t="str">
        <f t="shared" si="67"/>
        <v/>
      </c>
      <c r="BN113" s="258" t="str">
        <f t="shared" si="78"/>
        <v/>
      </c>
      <c r="BO113" s="258" t="str">
        <f t="shared" si="68"/>
        <v/>
      </c>
      <c r="BP113" s="258" t="str">
        <f t="shared" si="69"/>
        <v/>
      </c>
      <c r="BQ113" s="258" t="str">
        <f t="shared" si="79"/>
        <v/>
      </c>
      <c r="BR113" s="258"/>
      <c r="BS113" s="258"/>
      <c r="BT113" s="258"/>
      <c r="BU113" s="258"/>
      <c r="BV113" s="258" t="str">
        <f>IF($S113="","",SUM(BQ113:BQ$114))</f>
        <v/>
      </c>
      <c r="BW113" s="103">
        <f>IF(S113&lt;$E$3+$F$5,0,IFERROR(일반형_연납순보험료!S115,0))</f>
        <v>0</v>
      </c>
      <c r="BX113" s="103"/>
      <c r="BY113" s="103"/>
      <c r="BZ113" s="103"/>
      <c r="CA113" s="103"/>
      <c r="CB113" s="258" t="str">
        <f t="shared" si="80"/>
        <v/>
      </c>
      <c r="CC113" s="258" t="str">
        <f t="shared" si="70"/>
        <v/>
      </c>
      <c r="CD113" s="258" t="str">
        <f t="shared" si="71"/>
        <v/>
      </c>
      <c r="CE113" s="258" t="str">
        <f t="shared" si="81"/>
        <v/>
      </c>
      <c r="CF113" s="258" t="str">
        <f t="shared" si="72"/>
        <v/>
      </c>
      <c r="CG113" s="104" t="str">
        <f t="shared" si="82"/>
        <v/>
      </c>
      <c r="CH113" s="105" t="str">
        <f t="shared" si="73"/>
        <v/>
      </c>
      <c r="CI113" s="240"/>
      <c r="CJ113" s="240"/>
      <c r="CK113" s="240"/>
      <c r="CL113" s="240"/>
      <c r="CM113" s="240"/>
      <c r="CN113" s="240"/>
      <c r="CO113" s="479"/>
      <c r="CP113" s="479"/>
      <c r="CQ113" s="479"/>
      <c r="CR113" s="479"/>
      <c r="CS113" s="479"/>
      <c r="CT113" s="479"/>
      <c r="CU113" s="479"/>
      <c r="CV113" s="479"/>
      <c r="CW113" s="479"/>
      <c r="CX113" s="479"/>
      <c r="CY113" s="479"/>
      <c r="CZ113" s="479"/>
      <c r="DA113" s="479"/>
      <c r="DB113" s="479"/>
      <c r="DC113" s="479"/>
      <c r="DD113" s="479"/>
      <c r="DE113" s="479"/>
      <c r="DF113" s="479"/>
      <c r="DG113" s="479"/>
      <c r="DH113" s="479"/>
      <c r="DI113" s="479"/>
      <c r="DJ113" s="479"/>
      <c r="DK113" s="479"/>
      <c r="DL113" s="479"/>
      <c r="DM113" s="479"/>
      <c r="DN113" s="479"/>
      <c r="DO113" s="479"/>
      <c r="DP113" s="479"/>
      <c r="DQ113" s="479"/>
      <c r="DR113" s="479"/>
      <c r="DS113" s="479"/>
      <c r="DT113" s="479"/>
      <c r="DU113" s="479"/>
      <c r="DV113" s="479"/>
      <c r="DW113" s="479"/>
      <c r="DX113" s="479"/>
      <c r="DY113" s="479"/>
      <c r="DZ113" s="479"/>
      <c r="EA113" s="479"/>
      <c r="EB113" s="479"/>
      <c r="EC113" s="479"/>
      <c r="ED113" s="479"/>
    </row>
    <row r="114" spans="1:134">
      <c r="A114" s="305"/>
      <c r="B114" s="373"/>
      <c r="C114" s="5"/>
      <c r="D114" s="5"/>
      <c r="E114" s="5"/>
      <c r="F114" s="5"/>
      <c r="G114" s="5"/>
      <c r="H114" s="5"/>
      <c r="J114" s="5"/>
      <c r="K114" s="5"/>
      <c r="L114" s="5"/>
      <c r="M114" s="5"/>
      <c r="N114" s="278" t="str">
        <f t="shared" si="88"/>
        <v/>
      </c>
      <c r="O114" s="279" t="str">
        <f t="shared" si="89"/>
        <v/>
      </c>
      <c r="P114" s="271" t="str">
        <f t="shared" si="86"/>
        <v/>
      </c>
      <c r="Q114" s="271" t="str">
        <f t="shared" si="87"/>
        <v/>
      </c>
      <c r="R114" s="271"/>
      <c r="S114" s="161" t="str">
        <f t="shared" si="83"/>
        <v/>
      </c>
      <c r="T114" s="289" t="str">
        <f>Main_무해지!AC114</f>
        <v/>
      </c>
      <c r="U114" s="252">
        <f>+Main_무해지!AD114</f>
        <v>0</v>
      </c>
      <c r="V114" s="252" t="str">
        <f t="shared" si="74"/>
        <v/>
      </c>
      <c r="W114" s="252" t="str">
        <f t="shared" si="84"/>
        <v/>
      </c>
      <c r="X114" s="252" t="str">
        <f t="shared" si="45"/>
        <v/>
      </c>
      <c r="Y114" s="162" t="str">
        <f>IF($S114="","",SUM(X114:X$114))</f>
        <v/>
      </c>
      <c r="Z114" s="252" t="str">
        <f t="shared" si="75"/>
        <v/>
      </c>
      <c r="AA114" s="254">
        <f t="shared" si="76"/>
        <v>0</v>
      </c>
      <c r="AB114" s="254" t="str">
        <f>Main_무해지!AJ114</f>
        <v/>
      </c>
      <c r="AC114" s="252" t="str">
        <f t="shared" si="46"/>
        <v/>
      </c>
      <c r="AD114" s="252" t="str">
        <f t="shared" si="85"/>
        <v/>
      </c>
      <c r="AE114" s="252" t="str">
        <f t="shared" si="47"/>
        <v/>
      </c>
      <c r="AF114" s="162" t="str">
        <f>IF($S114="","",SUM(AE114:AE$114))</f>
        <v/>
      </c>
      <c r="AG114" s="289" t="str">
        <f>Main_무해지!AP114</f>
        <v/>
      </c>
      <c r="AH114" s="252" t="str">
        <f t="shared" si="48"/>
        <v/>
      </c>
      <c r="AI114" s="252" t="str">
        <f t="shared" si="49"/>
        <v/>
      </c>
      <c r="AJ114" s="252" t="str">
        <f t="shared" si="50"/>
        <v/>
      </c>
      <c r="AK114" s="319" t="str">
        <f>IF($S114="","",SUM($AL114:$AL$114))</f>
        <v/>
      </c>
      <c r="AL114" s="252" t="str">
        <f t="shared" si="77"/>
        <v/>
      </c>
      <c r="AM114" s="319" t="str">
        <f t="shared" si="51"/>
        <v/>
      </c>
      <c r="AN114" s="289" t="str">
        <f>IF($S114="","",INDEX(#REF!,$S114+1))</f>
        <v/>
      </c>
      <c r="AO114" s="252" t="str">
        <f t="shared" si="52"/>
        <v/>
      </c>
      <c r="AP114" s="252" t="str">
        <f t="shared" si="53"/>
        <v/>
      </c>
      <c r="AQ114" s="252" t="str">
        <f t="shared" si="54"/>
        <v/>
      </c>
      <c r="AR114" s="319" t="str">
        <f>IF($S114="","",SUM($AQ114:$AQ$114))</f>
        <v/>
      </c>
      <c r="AS114" s="289" t="str">
        <f>IF($S114="","",INDEX(#REF!,$S114+1))</f>
        <v/>
      </c>
      <c r="AT114" s="252" t="str">
        <f t="shared" si="55"/>
        <v/>
      </c>
      <c r="AU114" s="252" t="str">
        <f t="shared" si="56"/>
        <v/>
      </c>
      <c r="AV114" s="252" t="str">
        <f t="shared" si="57"/>
        <v/>
      </c>
      <c r="AW114" s="319" t="str">
        <f>IF($S114="","",SUM($AV114:$AV$114))</f>
        <v/>
      </c>
      <c r="AX114" s="289" t="str">
        <f>IF($S114="","",INDEX(#REF!,$S114+1))</f>
        <v/>
      </c>
      <c r="AY114" s="252" t="str">
        <f t="shared" si="58"/>
        <v/>
      </c>
      <c r="AZ114" s="252" t="str">
        <f t="shared" si="59"/>
        <v/>
      </c>
      <c r="BA114" s="252" t="str">
        <f t="shared" si="60"/>
        <v/>
      </c>
      <c r="BB114" s="319" t="str">
        <f>IF($S114="","",SUM($BA114:$BA$114))</f>
        <v/>
      </c>
      <c r="BC114" s="289" t="str">
        <f>IF($S114="","",INDEX(#REF!,$S114+1))</f>
        <v/>
      </c>
      <c r="BD114" s="252" t="str">
        <f t="shared" si="61"/>
        <v/>
      </c>
      <c r="BE114" s="252" t="str">
        <f t="shared" si="62"/>
        <v/>
      </c>
      <c r="BF114" s="252" t="str">
        <f t="shared" si="63"/>
        <v/>
      </c>
      <c r="BG114" s="319" t="str">
        <f>IF($S114="","",SUM($BF114:$BF$114))</f>
        <v/>
      </c>
      <c r="BH114" s="289" t="str">
        <f>IF($S114="","",INDEX(#REF!,$S114+1))</f>
        <v/>
      </c>
      <c r="BI114" s="252" t="str">
        <f t="shared" si="64"/>
        <v/>
      </c>
      <c r="BJ114" s="252" t="str">
        <f t="shared" si="65"/>
        <v/>
      </c>
      <c r="BK114" s="252" t="str">
        <f t="shared" si="66"/>
        <v/>
      </c>
      <c r="BL114" s="319" t="str">
        <f>IF($S114="","",SUM($BK114:$BK$114))</f>
        <v/>
      </c>
      <c r="BM114" s="289" t="str">
        <f t="shared" si="67"/>
        <v/>
      </c>
      <c r="BN114" s="252" t="str">
        <f t="shared" si="78"/>
        <v/>
      </c>
      <c r="BO114" s="252" t="str">
        <f t="shared" si="68"/>
        <v/>
      </c>
      <c r="BP114" s="252" t="str">
        <f t="shared" si="69"/>
        <v/>
      </c>
      <c r="BQ114" s="252" t="str">
        <f t="shared" si="79"/>
        <v/>
      </c>
      <c r="BR114" s="252"/>
      <c r="BS114" s="252"/>
      <c r="BT114" s="252"/>
      <c r="BU114" s="252"/>
      <c r="BV114" s="252" t="str">
        <f>IF($S114="","",SUM(BQ114:BQ$114))</f>
        <v/>
      </c>
      <c r="BW114" s="163">
        <f>IF(S114&lt;$E$3+$F$5,0,IFERROR(일반형_연납순보험료!S116,0))</f>
        <v>0</v>
      </c>
      <c r="BX114" s="163"/>
      <c r="BY114" s="163"/>
      <c r="BZ114" s="163"/>
      <c r="CA114" s="163"/>
      <c r="CB114" s="252" t="str">
        <f t="shared" si="80"/>
        <v/>
      </c>
      <c r="CC114" s="252" t="str">
        <f t="shared" si="70"/>
        <v/>
      </c>
      <c r="CD114" s="252" t="str">
        <f t="shared" si="71"/>
        <v/>
      </c>
      <c r="CE114" s="252" t="str">
        <f t="shared" si="81"/>
        <v/>
      </c>
      <c r="CF114" s="252" t="str">
        <f t="shared" si="72"/>
        <v/>
      </c>
      <c r="CG114" s="164" t="str">
        <f t="shared" si="82"/>
        <v/>
      </c>
      <c r="CH114" s="165" t="str">
        <f t="shared" si="73"/>
        <v/>
      </c>
      <c r="CI114" s="244"/>
      <c r="CJ114" s="244"/>
      <c r="CK114" s="244"/>
      <c r="CL114" s="244"/>
      <c r="CM114" s="244"/>
      <c r="CN114" s="244"/>
      <c r="CO114" s="478"/>
      <c r="CP114" s="479"/>
      <c r="CQ114" s="478"/>
      <c r="CR114" s="479"/>
      <c r="CS114" s="478"/>
      <c r="CT114" s="479"/>
      <c r="CU114" s="478"/>
      <c r="CV114" s="479"/>
      <c r="CW114" s="478"/>
      <c r="CX114" s="479"/>
      <c r="CY114" s="478"/>
      <c r="CZ114" s="479"/>
      <c r="DA114" s="478"/>
      <c r="DB114" s="479"/>
      <c r="DC114" s="478"/>
      <c r="DD114" s="479"/>
      <c r="DE114" s="478"/>
      <c r="DF114" s="479"/>
      <c r="DG114" s="478"/>
      <c r="DH114" s="479"/>
      <c r="DI114" s="478"/>
      <c r="DJ114" s="479"/>
      <c r="DK114" s="478"/>
      <c r="DL114" s="479"/>
      <c r="DM114" s="478"/>
      <c r="DN114" s="479"/>
      <c r="DO114" s="478"/>
      <c r="DP114" s="479"/>
      <c r="DQ114" s="478"/>
      <c r="DR114" s="479"/>
      <c r="DS114" s="478"/>
      <c r="DT114" s="479"/>
      <c r="DU114" s="479"/>
      <c r="DV114" s="479"/>
      <c r="DW114" s="479"/>
      <c r="DX114" s="479"/>
      <c r="DY114" s="479"/>
      <c r="DZ114" s="479"/>
      <c r="EA114" s="479"/>
      <c r="EB114" s="479"/>
      <c r="EC114" s="479"/>
      <c r="ED114" s="479"/>
    </row>
    <row r="115" spans="1:134">
      <c r="A115" s="305"/>
      <c r="B115" s="373"/>
      <c r="C115" s="5"/>
      <c r="D115" s="5"/>
      <c r="E115" s="5"/>
      <c r="F115" s="5"/>
      <c r="G115" s="5"/>
      <c r="H115" s="5"/>
      <c r="J115" s="5"/>
      <c r="K115" s="5"/>
      <c r="L115" s="5"/>
      <c r="M115" s="5"/>
      <c r="N115" s="217"/>
      <c r="O115" s="217"/>
      <c r="P115" s="218"/>
      <c r="Q115" s="218"/>
      <c r="R115" s="218"/>
      <c r="S115" s="166"/>
      <c r="T115" s="168"/>
      <c r="U115" s="168"/>
      <c r="V115" s="168"/>
      <c r="W115" s="168"/>
      <c r="X115" s="168"/>
      <c r="Y115" s="263"/>
      <c r="Z115" s="263"/>
      <c r="AA115" s="263"/>
      <c r="AB115" s="263"/>
      <c r="AC115" s="267"/>
      <c r="AD115" s="263"/>
      <c r="AE115" s="168"/>
      <c r="AF115" s="263"/>
      <c r="AG115" s="263"/>
      <c r="AH115" s="263"/>
      <c r="AI115" s="263"/>
      <c r="AJ115" s="263"/>
      <c r="AK115" s="263"/>
      <c r="AL115" s="263"/>
      <c r="AM115" s="263"/>
      <c r="AN115" s="263"/>
      <c r="AO115" s="263"/>
      <c r="AP115" s="263"/>
      <c r="AQ115" s="263"/>
      <c r="AR115" s="263"/>
      <c r="AS115" s="263"/>
      <c r="AT115" s="263"/>
      <c r="AU115" s="263"/>
      <c r="AV115" s="263"/>
      <c r="AW115" s="263"/>
      <c r="AX115" s="263"/>
      <c r="AY115" s="263"/>
      <c r="AZ115" s="263"/>
      <c r="BA115" s="263"/>
      <c r="BB115" s="263"/>
      <c r="BC115" s="263"/>
      <c r="BD115" s="263"/>
      <c r="BE115" s="263"/>
      <c r="BF115" s="263"/>
      <c r="BG115" s="263"/>
      <c r="BH115" s="263"/>
      <c r="BI115" s="263"/>
      <c r="BJ115" s="263"/>
      <c r="BK115" s="263"/>
      <c r="BL115" s="263"/>
      <c r="BM115" s="263"/>
      <c r="BN115" s="263"/>
      <c r="BO115" s="263"/>
      <c r="BP115" s="263"/>
      <c r="BQ115" s="263"/>
      <c r="BR115" s="263"/>
      <c r="BS115" s="263"/>
      <c r="BT115" s="263"/>
      <c r="BU115" s="263"/>
      <c r="BV115" s="263"/>
      <c r="BW115" s="263"/>
      <c r="BX115" s="263"/>
      <c r="BY115" s="263"/>
      <c r="BZ115" s="263"/>
      <c r="CA115" s="263"/>
      <c r="CB115" s="263"/>
      <c r="CC115" s="263"/>
      <c r="CD115" s="263"/>
      <c r="CE115" s="263"/>
      <c r="CF115" s="263"/>
      <c r="CG115" s="263"/>
      <c r="CH115" s="251"/>
      <c r="CI115" s="169"/>
      <c r="CJ115" s="169"/>
      <c r="CK115" s="169"/>
      <c r="CL115" s="169"/>
      <c r="CM115" s="169"/>
      <c r="CN115" s="169"/>
      <c r="CO115" s="478"/>
      <c r="CP115" s="479"/>
      <c r="CQ115" s="478"/>
      <c r="CR115" s="479"/>
      <c r="CS115" s="478"/>
      <c r="CT115" s="479"/>
      <c r="CU115" s="478"/>
      <c r="CV115" s="479"/>
      <c r="CW115" s="478"/>
      <c r="CX115" s="479"/>
      <c r="CY115" s="478"/>
      <c r="CZ115" s="479"/>
      <c r="DA115" s="478"/>
      <c r="DB115" s="479"/>
      <c r="DC115" s="478"/>
      <c r="DD115" s="479"/>
      <c r="DE115" s="478"/>
      <c r="DF115" s="479"/>
      <c r="DG115" s="478"/>
      <c r="DH115" s="479"/>
      <c r="DI115" s="478"/>
      <c r="DJ115" s="479"/>
      <c r="DK115" s="478"/>
      <c r="DL115" s="479"/>
      <c r="DM115" s="478"/>
      <c r="DN115" s="479"/>
      <c r="DO115" s="478"/>
      <c r="DP115" s="479"/>
      <c r="DQ115" s="478"/>
      <c r="DR115" s="479"/>
      <c r="DS115" s="478"/>
      <c r="DT115" s="479"/>
      <c r="DU115" s="479"/>
      <c r="DV115" s="479"/>
      <c r="DW115" s="479"/>
      <c r="DX115" s="479"/>
      <c r="DY115" s="479"/>
      <c r="DZ115" s="479"/>
      <c r="EA115" s="479"/>
      <c r="EB115" s="479"/>
      <c r="EC115" s="479"/>
      <c r="ED115" s="479"/>
    </row>
    <row r="116" spans="1:134">
      <c r="A116" s="305"/>
      <c r="B116" s="373"/>
      <c r="C116" s="5"/>
      <c r="D116" s="5"/>
      <c r="E116" s="5"/>
      <c r="F116" s="5"/>
      <c r="G116" s="5"/>
      <c r="H116" s="5"/>
      <c r="J116" s="5"/>
      <c r="K116" s="5"/>
      <c r="L116" s="5"/>
      <c r="M116" s="5"/>
      <c r="N116" s="215" t="str">
        <f t="shared" si="88"/>
        <v/>
      </c>
      <c r="O116" s="159">
        <f>MAX($O$4:$O$114)</f>
        <v>1</v>
      </c>
      <c r="P116" s="216" t="str">
        <f>IF(N116="","",IF($F$5=0,$K$3,$K$3*$K$38*MIN($N116,F$5)))</f>
        <v/>
      </c>
      <c r="Q116" s="216" t="str">
        <f>IF(N116="","",CH114*$E$12/100)</f>
        <v/>
      </c>
      <c r="R116" s="214" t="str">
        <f>IF(N116="","",MAX(Q116-IF(N116&gt;=MIN(7,$F$5),0,((MIN(7,$F$5)-N116)/MIN(7,$F$5))*MIN($K$10,$K$11)*$E$12/100),0))</f>
        <v/>
      </c>
      <c r="S116" s="223" t="s">
        <v>61</v>
      </c>
      <c r="T116" s="372">
        <f>INDEX(T4:T114,$F$5+1)</f>
        <v>0</v>
      </c>
      <c r="V116" s="372">
        <f t="shared" ref="V116:BU116" si="90">INDEX(V4:V114,$F$5+1)</f>
        <v>0.21500000000000002</v>
      </c>
      <c r="W116" s="372">
        <f t="shared" si="90"/>
        <v>100000</v>
      </c>
      <c r="X116" s="372">
        <f t="shared" si="90"/>
        <v>97799.511002444997</v>
      </c>
      <c r="Y116" s="372">
        <f t="shared" si="90"/>
        <v>97799.511002444997</v>
      </c>
      <c r="Z116" s="372">
        <f t="shared" si="90"/>
        <v>0</v>
      </c>
      <c r="AA116" s="372"/>
      <c r="AB116" s="372">
        <f t="shared" si="90"/>
        <v>2.9999999999999997E-5</v>
      </c>
      <c r="AC116" s="372">
        <f t="shared" si="90"/>
        <v>0.21500000000000002</v>
      </c>
      <c r="AD116" s="372">
        <f t="shared" si="90"/>
        <v>100000</v>
      </c>
      <c r="AE116" s="372">
        <f t="shared" si="90"/>
        <v>97799.511002444997</v>
      </c>
      <c r="AF116" s="372">
        <f t="shared" si="90"/>
        <v>97799.511002444997</v>
      </c>
      <c r="AG116" s="372">
        <f t="shared" si="90"/>
        <v>1.5E-5</v>
      </c>
      <c r="AH116" s="372">
        <f t="shared" si="90"/>
        <v>0.21500000000000002</v>
      </c>
      <c r="AI116" s="372">
        <f t="shared" si="90"/>
        <v>1.3387499999999999</v>
      </c>
      <c r="AJ116" s="372">
        <f t="shared" si="90"/>
        <v>1.2948054204424775</v>
      </c>
      <c r="AK116" s="372">
        <f t="shared" si="90"/>
        <v>1.2948054204424775</v>
      </c>
      <c r="AL116" s="372">
        <f t="shared" si="90"/>
        <v>1.2948054204424775</v>
      </c>
      <c r="AM116" s="372">
        <f t="shared" si="90"/>
        <v>1</v>
      </c>
      <c r="AN116" s="372" t="e">
        <f t="shared" si="90"/>
        <v>#REF!</v>
      </c>
      <c r="AO116" s="372">
        <f t="shared" si="90"/>
        <v>0.21500000000000002</v>
      </c>
      <c r="AP116" s="372" t="e">
        <f t="shared" si="90"/>
        <v>#REF!</v>
      </c>
      <c r="AQ116" s="372" t="e">
        <f t="shared" si="90"/>
        <v>#REF!</v>
      </c>
      <c r="AR116" s="372" t="e">
        <f t="shared" si="90"/>
        <v>#REF!</v>
      </c>
      <c r="AS116" s="372" t="e">
        <f t="shared" si="90"/>
        <v>#REF!</v>
      </c>
      <c r="AT116" s="372">
        <f t="shared" si="90"/>
        <v>0.21500000000000002</v>
      </c>
      <c r="AU116" s="372" t="e">
        <f t="shared" si="90"/>
        <v>#REF!</v>
      </c>
      <c r="AV116" s="372" t="e">
        <f t="shared" si="90"/>
        <v>#REF!</v>
      </c>
      <c r="AW116" s="372" t="e">
        <f t="shared" si="90"/>
        <v>#REF!</v>
      </c>
      <c r="AX116" s="372" t="e">
        <f t="shared" si="90"/>
        <v>#REF!</v>
      </c>
      <c r="AY116" s="372">
        <f t="shared" si="90"/>
        <v>0.21500000000000002</v>
      </c>
      <c r="AZ116" s="372" t="e">
        <f t="shared" si="90"/>
        <v>#REF!</v>
      </c>
      <c r="BA116" s="372" t="e">
        <f t="shared" si="90"/>
        <v>#REF!</v>
      </c>
      <c r="BB116" s="372" t="e">
        <f t="shared" si="90"/>
        <v>#REF!</v>
      </c>
      <c r="BC116" s="372" t="e">
        <f t="shared" si="90"/>
        <v>#REF!</v>
      </c>
      <c r="BD116" s="372">
        <f t="shared" si="90"/>
        <v>0.21500000000000002</v>
      </c>
      <c r="BE116" s="372" t="e">
        <f t="shared" si="90"/>
        <v>#REF!</v>
      </c>
      <c r="BF116" s="372" t="e">
        <f t="shared" si="90"/>
        <v>#REF!</v>
      </c>
      <c r="BG116" s="372" t="e">
        <f t="shared" si="90"/>
        <v>#REF!</v>
      </c>
      <c r="BH116" s="372" t="e">
        <f t="shared" si="90"/>
        <v>#REF!</v>
      </c>
      <c r="BI116" s="372">
        <f t="shared" si="90"/>
        <v>0.21500000000000002</v>
      </c>
      <c r="BJ116" s="372" t="e">
        <f t="shared" si="90"/>
        <v>#REF!</v>
      </c>
      <c r="BK116" s="372" t="e">
        <f t="shared" si="90"/>
        <v>#REF!</v>
      </c>
      <c r="BL116" s="372" t="e">
        <f t="shared" si="90"/>
        <v>#REF!</v>
      </c>
      <c r="BM116" s="372">
        <f t="shared" si="90"/>
        <v>0.21500000000000002</v>
      </c>
      <c r="BN116" s="372">
        <f t="shared" si="90"/>
        <v>21500.000000000004</v>
      </c>
      <c r="BO116" s="372">
        <f t="shared" si="90"/>
        <v>20794.260720458096</v>
      </c>
      <c r="BP116" s="372">
        <f t="shared" si="90"/>
        <v>0</v>
      </c>
      <c r="BQ116" s="372">
        <f t="shared" si="90"/>
        <v>0</v>
      </c>
      <c r="BR116" s="372">
        <f t="shared" si="90"/>
        <v>0</v>
      </c>
      <c r="BS116" s="372">
        <f t="shared" si="90"/>
        <v>0</v>
      </c>
      <c r="BT116" s="372">
        <f t="shared" si="90"/>
        <v>0</v>
      </c>
      <c r="BU116" s="372">
        <f t="shared" si="90"/>
        <v>0</v>
      </c>
      <c r="BV116" s="372">
        <f>INDEX(BV4:BV114,$F$5+1)</f>
        <v>0</v>
      </c>
      <c r="BW116" s="372"/>
      <c r="BX116" s="372"/>
      <c r="BY116" s="372"/>
      <c r="BZ116" s="372"/>
      <c r="CA116" s="372"/>
      <c r="CB116" s="372"/>
      <c r="CC116" s="372"/>
      <c r="CD116" s="372"/>
      <c r="CE116" s="372"/>
      <c r="CF116" s="372"/>
      <c r="CG116" s="372"/>
      <c r="CH116" s="264"/>
      <c r="CI116" s="170"/>
      <c r="CJ116" s="170"/>
      <c r="CK116" s="170"/>
      <c r="CL116" s="170"/>
      <c r="CM116" s="170"/>
      <c r="CN116" s="170"/>
      <c r="CO116" s="478"/>
      <c r="CP116" s="478"/>
      <c r="CQ116" s="478"/>
      <c r="CR116" s="478"/>
      <c r="CS116" s="478"/>
      <c r="CT116" s="478"/>
      <c r="CU116" s="478"/>
      <c r="CV116" s="478"/>
      <c r="CW116" s="478"/>
      <c r="CX116" s="478"/>
      <c r="CY116" s="478"/>
      <c r="CZ116" s="478"/>
      <c r="DA116" s="478"/>
      <c r="DB116" s="478"/>
      <c r="DC116" s="478"/>
      <c r="DD116" s="478"/>
      <c r="DE116" s="478"/>
      <c r="DF116" s="478"/>
      <c r="DG116" s="478"/>
      <c r="DH116" s="478"/>
      <c r="DI116" s="478"/>
      <c r="DJ116" s="478"/>
      <c r="DK116" s="478"/>
      <c r="DL116" s="478"/>
      <c r="DM116" s="478"/>
      <c r="DN116" s="478"/>
      <c r="DO116" s="478"/>
      <c r="DP116" s="478"/>
      <c r="DQ116" s="478"/>
      <c r="DR116" s="478"/>
      <c r="DS116" s="478"/>
      <c r="DT116" s="479"/>
      <c r="DU116" s="479"/>
      <c r="DV116" s="479"/>
      <c r="DW116" s="479"/>
      <c r="DX116" s="479"/>
      <c r="DY116" s="479"/>
      <c r="DZ116" s="479"/>
      <c r="EA116" s="479"/>
      <c r="EB116" s="479"/>
      <c r="EC116" s="479"/>
      <c r="ED116" s="479"/>
    </row>
    <row r="117" spans="1:134">
      <c r="A117" s="305"/>
      <c r="B117" s="373"/>
      <c r="C117" s="5"/>
      <c r="D117" s="5"/>
      <c r="E117" s="5"/>
      <c r="F117" s="5"/>
      <c r="G117" s="5"/>
      <c r="H117" s="5"/>
      <c r="J117" s="5"/>
      <c r="K117" s="5"/>
      <c r="L117" s="5"/>
      <c r="M117" s="5"/>
      <c r="N117" s="215"/>
      <c r="O117" s="159">
        <f>MAX($O$4:$O$114)</f>
        <v>1</v>
      </c>
      <c r="P117" s="216"/>
      <c r="Q117" s="216"/>
      <c r="R117" s="214"/>
      <c r="S117" s="223" t="s">
        <v>62</v>
      </c>
      <c r="T117" s="372">
        <f>INDEX(T4:T114,$F$4+1)</f>
        <v>0</v>
      </c>
      <c r="V117" s="372">
        <f t="shared" ref="V117:BV117" si="91">INDEX(V4:V114,$F$4+1)</f>
        <v>0.21500000000000002</v>
      </c>
      <c r="W117" s="372">
        <f t="shared" si="91"/>
        <v>100000</v>
      </c>
      <c r="X117" s="372">
        <f t="shared" si="91"/>
        <v>97799.511002444997</v>
      </c>
      <c r="Y117" s="406">
        <f>IF($O117&gt;100,0,INDEX(Y4:Y114,$F$4+1))</f>
        <v>97799.511002444997</v>
      </c>
      <c r="Z117" s="372">
        <f t="shared" si="91"/>
        <v>0</v>
      </c>
      <c r="AA117" s="372"/>
      <c r="AB117" s="372">
        <f t="shared" si="91"/>
        <v>2.9999999999999997E-5</v>
      </c>
      <c r="AC117" s="372">
        <f t="shared" si="91"/>
        <v>0.21500000000000002</v>
      </c>
      <c r="AD117" s="372">
        <f t="shared" si="91"/>
        <v>100000</v>
      </c>
      <c r="AE117" s="372">
        <f t="shared" si="91"/>
        <v>97799.511002444997</v>
      </c>
      <c r="AF117" s="372">
        <f t="shared" si="91"/>
        <v>97799.511002444997</v>
      </c>
      <c r="AG117" s="372">
        <f t="shared" si="91"/>
        <v>1.5E-5</v>
      </c>
      <c r="AH117" s="372">
        <f t="shared" si="91"/>
        <v>0.21500000000000002</v>
      </c>
      <c r="AI117" s="372">
        <f t="shared" si="91"/>
        <v>1.3387499999999999</v>
      </c>
      <c r="AJ117" s="372">
        <f t="shared" si="91"/>
        <v>1.2948054204424775</v>
      </c>
      <c r="AK117" s="372">
        <f t="shared" si="91"/>
        <v>1.2948054204424775</v>
      </c>
      <c r="AL117" s="372">
        <f t="shared" si="91"/>
        <v>1.2948054204424775</v>
      </c>
      <c r="AM117" s="372">
        <f t="shared" si="91"/>
        <v>1</v>
      </c>
      <c r="AN117" s="372" t="e">
        <f t="shared" si="91"/>
        <v>#REF!</v>
      </c>
      <c r="AO117" s="372">
        <f t="shared" si="91"/>
        <v>0.21500000000000002</v>
      </c>
      <c r="AP117" s="372" t="e">
        <f t="shared" si="91"/>
        <v>#REF!</v>
      </c>
      <c r="AQ117" s="372" t="e">
        <f t="shared" si="91"/>
        <v>#REF!</v>
      </c>
      <c r="AR117" s="372" t="e">
        <f t="shared" si="91"/>
        <v>#REF!</v>
      </c>
      <c r="AS117" s="372" t="e">
        <f t="shared" si="91"/>
        <v>#REF!</v>
      </c>
      <c r="AT117" s="372">
        <f t="shared" si="91"/>
        <v>0.21500000000000002</v>
      </c>
      <c r="AU117" s="372" t="e">
        <f t="shared" si="91"/>
        <v>#REF!</v>
      </c>
      <c r="AV117" s="372" t="e">
        <f t="shared" si="91"/>
        <v>#REF!</v>
      </c>
      <c r="AW117" s="372" t="e">
        <f t="shared" si="91"/>
        <v>#REF!</v>
      </c>
      <c r="AX117" s="372" t="e">
        <f t="shared" si="91"/>
        <v>#REF!</v>
      </c>
      <c r="AY117" s="372">
        <f t="shared" si="91"/>
        <v>0.21500000000000002</v>
      </c>
      <c r="AZ117" s="372" t="e">
        <f t="shared" si="91"/>
        <v>#REF!</v>
      </c>
      <c r="BA117" s="372" t="e">
        <f t="shared" si="91"/>
        <v>#REF!</v>
      </c>
      <c r="BB117" s="372" t="e">
        <f t="shared" si="91"/>
        <v>#REF!</v>
      </c>
      <c r="BC117" s="372" t="e">
        <f t="shared" si="91"/>
        <v>#REF!</v>
      </c>
      <c r="BD117" s="372">
        <f t="shared" si="91"/>
        <v>0.21500000000000002</v>
      </c>
      <c r="BE117" s="372" t="e">
        <f t="shared" si="91"/>
        <v>#REF!</v>
      </c>
      <c r="BF117" s="372" t="e">
        <f t="shared" si="91"/>
        <v>#REF!</v>
      </c>
      <c r="BG117" s="372" t="e">
        <f t="shared" si="91"/>
        <v>#REF!</v>
      </c>
      <c r="BH117" s="372" t="e">
        <f t="shared" si="91"/>
        <v>#REF!</v>
      </c>
      <c r="BI117" s="372">
        <f t="shared" si="91"/>
        <v>0.21500000000000002</v>
      </c>
      <c r="BJ117" s="372" t="e">
        <f t="shared" si="91"/>
        <v>#REF!</v>
      </c>
      <c r="BK117" s="372" t="e">
        <f t="shared" si="91"/>
        <v>#REF!</v>
      </c>
      <c r="BL117" s="372" t="e">
        <f t="shared" si="91"/>
        <v>#REF!</v>
      </c>
      <c r="BM117" s="372">
        <f t="shared" si="91"/>
        <v>0.21500000000000002</v>
      </c>
      <c r="BN117" s="372">
        <f t="shared" si="91"/>
        <v>21500.000000000004</v>
      </c>
      <c r="BO117" s="372">
        <f t="shared" si="91"/>
        <v>20794.260720458096</v>
      </c>
      <c r="BP117" s="372">
        <f t="shared" si="91"/>
        <v>0</v>
      </c>
      <c r="BQ117" s="372">
        <f t="shared" si="91"/>
        <v>0</v>
      </c>
      <c r="BR117" s="372">
        <f t="shared" si="91"/>
        <v>0</v>
      </c>
      <c r="BS117" s="372">
        <f t="shared" si="91"/>
        <v>0</v>
      </c>
      <c r="BT117" s="372">
        <f t="shared" si="91"/>
        <v>0</v>
      </c>
      <c r="BU117" s="372">
        <f t="shared" si="91"/>
        <v>0</v>
      </c>
      <c r="BV117" s="372">
        <f t="shared" si="91"/>
        <v>0</v>
      </c>
      <c r="BW117" s="372"/>
      <c r="BX117" s="372"/>
      <c r="BY117" s="372"/>
      <c r="BZ117" s="372"/>
      <c r="CA117" s="372"/>
      <c r="CB117" s="372"/>
      <c r="CC117" s="372"/>
      <c r="CD117" s="372"/>
      <c r="CE117" s="372"/>
      <c r="CF117" s="372"/>
      <c r="CG117" s="372"/>
      <c r="CH117" s="264"/>
      <c r="CI117" s="170"/>
      <c r="CJ117" s="170"/>
      <c r="CK117" s="170"/>
      <c r="CL117" s="170"/>
      <c r="CM117" s="170"/>
      <c r="CN117" s="170"/>
    </row>
    <row r="118" spans="1:134">
      <c r="A118" s="305"/>
      <c r="B118" s="373"/>
      <c r="C118" s="5"/>
      <c r="D118" s="5"/>
      <c r="E118" s="5"/>
      <c r="F118" s="5"/>
      <c r="G118" s="5"/>
      <c r="H118" s="5"/>
      <c r="J118" s="5"/>
      <c r="K118" s="5"/>
      <c r="L118" s="5"/>
      <c r="M118" s="5"/>
      <c r="N118" s="215"/>
      <c r="O118" s="270"/>
      <c r="P118" s="216"/>
      <c r="Q118" s="216"/>
      <c r="R118" s="214"/>
      <c r="AE118" s="171"/>
      <c r="AF118" s="172"/>
    </row>
    <row r="119" spans="1:134">
      <c r="A119" s="305"/>
      <c r="B119" s="373"/>
      <c r="C119" s="5"/>
      <c r="D119" s="5"/>
      <c r="E119" s="5"/>
      <c r="F119" s="5"/>
      <c r="G119" s="5"/>
      <c r="H119" s="5"/>
      <c r="J119" s="5"/>
      <c r="K119" s="5"/>
      <c r="L119" s="5"/>
      <c r="M119" s="158"/>
      <c r="N119" s="158"/>
      <c r="O119" s="158"/>
      <c r="P119" s="216"/>
      <c r="Q119" s="216"/>
      <c r="R119" s="214"/>
    </row>
    <row r="120" spans="1:134">
      <c r="A120" s="305"/>
      <c r="B120" s="373"/>
      <c r="E120" s="363"/>
      <c r="F120" s="364"/>
      <c r="G120" s="364"/>
      <c r="H120" s="174"/>
      <c r="J120" s="5"/>
      <c r="K120" s="5"/>
      <c r="L120" s="5"/>
      <c r="M120" s="158"/>
      <c r="N120" s="375"/>
      <c r="O120" s="375"/>
      <c r="P120" s="216"/>
      <c r="Q120" s="216"/>
      <c r="R120" s="214"/>
    </row>
    <row r="121" spans="1:134">
      <c r="A121" s="305"/>
      <c r="B121" s="373"/>
      <c r="D121" s="363"/>
      <c r="E121" s="363"/>
      <c r="F121" s="363"/>
      <c r="G121" s="363"/>
      <c r="H121" s="364"/>
      <c r="J121" s="5"/>
      <c r="K121" s="5"/>
      <c r="L121" s="5"/>
      <c r="M121" s="374"/>
      <c r="N121" s="377"/>
      <c r="O121" s="377"/>
      <c r="P121" s="220"/>
    </row>
    <row r="122" spans="1:134">
      <c r="A122" s="305"/>
      <c r="B122" s="373"/>
      <c r="D122" s="363"/>
      <c r="E122" s="363"/>
      <c r="F122" s="363"/>
      <c r="G122" s="363"/>
      <c r="H122" s="364"/>
      <c r="J122" s="5"/>
      <c r="K122" s="5"/>
      <c r="L122" s="5"/>
      <c r="M122" s="374"/>
      <c r="N122" s="377"/>
      <c r="O122" s="377"/>
      <c r="P122" s="220"/>
    </row>
    <row r="123" spans="1:134">
      <c r="A123" s="305"/>
      <c r="B123" s="373"/>
      <c r="D123" s="363"/>
      <c r="E123" s="363"/>
      <c r="F123" s="363"/>
      <c r="G123" s="363"/>
      <c r="H123" s="364"/>
      <c r="J123" s="5"/>
      <c r="K123" s="5"/>
      <c r="L123" s="5"/>
      <c r="M123" s="374"/>
      <c r="N123" s="377"/>
      <c r="O123" s="377"/>
      <c r="P123" s="220"/>
    </row>
    <row r="124" spans="1:134">
      <c r="A124" s="305"/>
      <c r="B124" s="373"/>
      <c r="D124" s="363"/>
      <c r="E124" s="363"/>
      <c r="F124" s="363"/>
      <c r="G124" s="363"/>
      <c r="H124" s="364"/>
      <c r="J124" s="5"/>
      <c r="K124" s="5"/>
      <c r="L124" s="5"/>
      <c r="M124" s="374"/>
      <c r="N124" s="377"/>
      <c r="O124" s="377"/>
      <c r="P124" s="220"/>
    </row>
    <row r="125" spans="1:134">
      <c r="A125" s="305"/>
      <c r="B125" s="373"/>
      <c r="D125" s="363"/>
      <c r="E125" s="363"/>
      <c r="F125" s="363"/>
      <c r="G125" s="363"/>
      <c r="H125" s="364"/>
      <c r="J125" s="5"/>
      <c r="K125" s="5"/>
      <c r="L125" s="5"/>
      <c r="M125" s="374"/>
      <c r="N125" s="377"/>
      <c r="O125" s="377"/>
      <c r="P125" s="220"/>
    </row>
    <row r="126" spans="1:134">
      <c r="A126" s="305"/>
      <c r="B126" s="373"/>
      <c r="D126" s="363"/>
      <c r="E126" s="363"/>
      <c r="F126" s="364"/>
      <c r="G126" s="364"/>
      <c r="H126" s="364"/>
      <c r="J126" s="5"/>
      <c r="K126" s="5"/>
      <c r="L126" s="5"/>
      <c r="M126" s="374"/>
      <c r="N126" s="377"/>
      <c r="O126" s="377"/>
      <c r="P126" s="220"/>
      <c r="S126" s="223"/>
      <c r="Y126" s="372"/>
      <c r="Z126" s="372"/>
      <c r="AA126" s="372"/>
      <c r="AB126" s="372"/>
      <c r="AC126" s="372"/>
      <c r="AD126" s="372"/>
      <c r="AF126" s="372"/>
      <c r="AG126" s="372"/>
      <c r="AH126" s="372"/>
      <c r="AI126" s="372"/>
      <c r="AJ126" s="372"/>
      <c r="AK126" s="372"/>
      <c r="AL126" s="372"/>
      <c r="AM126" s="372"/>
      <c r="AN126" s="372"/>
      <c r="AO126" s="372"/>
      <c r="AP126" s="372"/>
      <c r="AQ126" s="372"/>
      <c r="AR126" s="372"/>
      <c r="AS126" s="372"/>
      <c r="AT126" s="372"/>
      <c r="AU126" s="372"/>
      <c r="AV126" s="372"/>
      <c r="AW126" s="372"/>
      <c r="AX126" s="372"/>
      <c r="AY126" s="372"/>
      <c r="AZ126" s="372"/>
      <c r="BA126" s="372"/>
      <c r="BB126" s="372"/>
      <c r="BC126" s="372"/>
      <c r="BD126" s="372"/>
      <c r="BE126" s="372"/>
      <c r="BF126" s="372"/>
      <c r="BG126" s="372"/>
      <c r="BH126" s="372"/>
      <c r="BI126" s="372"/>
      <c r="BJ126" s="372"/>
      <c r="BK126" s="372"/>
      <c r="BL126" s="372"/>
      <c r="BM126" s="372"/>
      <c r="BN126" s="372"/>
      <c r="BO126" s="372"/>
      <c r="BP126" s="372"/>
      <c r="BQ126" s="372"/>
      <c r="BR126" s="372"/>
      <c r="BS126" s="372"/>
      <c r="BT126" s="372"/>
      <c r="BU126" s="372"/>
      <c r="BV126" s="372"/>
    </row>
    <row r="127" spans="1:134">
      <c r="A127" s="305"/>
      <c r="B127" s="373"/>
      <c r="D127" s="363"/>
      <c r="E127" s="363"/>
      <c r="F127" s="363"/>
      <c r="G127" s="363"/>
      <c r="H127" s="364"/>
      <c r="J127" s="5"/>
      <c r="K127" s="5"/>
      <c r="L127" s="5"/>
      <c r="M127" s="374"/>
      <c r="N127" s="377"/>
      <c r="O127" s="377"/>
      <c r="P127" s="220"/>
      <c r="S127" s="223"/>
      <c r="Y127" s="372"/>
      <c r="Z127" s="372"/>
      <c r="AA127" s="372"/>
      <c r="AB127" s="372"/>
      <c r="AC127" s="372"/>
      <c r="AD127" s="372"/>
      <c r="AF127" s="372"/>
      <c r="AG127" s="372"/>
      <c r="AH127" s="372"/>
      <c r="AI127" s="372"/>
      <c r="AJ127" s="372"/>
      <c r="AK127" s="372"/>
      <c r="AL127" s="372"/>
      <c r="AM127" s="372"/>
      <c r="AN127" s="372"/>
      <c r="AO127" s="372"/>
      <c r="AP127" s="372"/>
      <c r="AQ127" s="372"/>
      <c r="AR127" s="372"/>
      <c r="AS127" s="372"/>
      <c r="AT127" s="372"/>
      <c r="AU127" s="372"/>
      <c r="AV127" s="372"/>
      <c r="AW127" s="372"/>
      <c r="AX127" s="372"/>
      <c r="AY127" s="372"/>
      <c r="AZ127" s="372"/>
      <c r="BA127" s="372"/>
      <c r="BB127" s="372"/>
      <c r="BC127" s="372"/>
      <c r="BD127" s="372"/>
      <c r="BE127" s="372"/>
      <c r="BF127" s="372"/>
      <c r="BG127" s="372"/>
      <c r="BH127" s="372"/>
      <c r="BI127" s="372"/>
      <c r="BJ127" s="372"/>
      <c r="BK127" s="372"/>
      <c r="BL127" s="372"/>
      <c r="BM127" s="372"/>
      <c r="BN127" s="372"/>
      <c r="BO127" s="372"/>
      <c r="BP127" s="372"/>
      <c r="BQ127" s="372"/>
      <c r="BR127" s="372"/>
      <c r="BS127" s="372"/>
      <c r="BT127" s="372"/>
      <c r="BU127" s="372"/>
      <c r="BV127" s="372"/>
    </row>
    <row r="128" spans="1:134">
      <c r="A128" s="305"/>
      <c r="B128" s="373"/>
      <c r="D128" s="363"/>
      <c r="E128" s="363"/>
      <c r="F128" s="363"/>
      <c r="G128" s="363"/>
      <c r="H128" s="174"/>
      <c r="J128" s="5"/>
      <c r="K128" s="5"/>
      <c r="L128" s="5"/>
      <c r="M128" s="374"/>
      <c r="N128" s="377"/>
      <c r="O128" s="377"/>
      <c r="P128" s="220"/>
    </row>
    <row r="129" spans="1:92">
      <c r="A129" s="305"/>
      <c r="B129" s="373"/>
      <c r="D129" s="363"/>
      <c r="E129" s="363"/>
      <c r="F129" s="363"/>
      <c r="G129" s="363"/>
      <c r="H129" s="174"/>
      <c r="J129" s="5"/>
      <c r="K129" s="5"/>
      <c r="L129" s="5"/>
      <c r="M129" s="374"/>
      <c r="N129" s="377"/>
      <c r="O129" s="377"/>
      <c r="P129" s="220"/>
      <c r="Q129" s="373"/>
      <c r="R129" s="373"/>
      <c r="S129" s="373"/>
      <c r="T129" s="373"/>
      <c r="U129" s="373"/>
      <c r="V129" s="373"/>
      <c r="W129" s="373"/>
      <c r="X129" s="373"/>
      <c r="Y129" s="373"/>
      <c r="Z129" s="373"/>
      <c r="AA129" s="373"/>
      <c r="AB129" s="373"/>
      <c r="AC129" s="373"/>
      <c r="AD129" s="373"/>
      <c r="AE129" s="373"/>
      <c r="AF129" s="373"/>
      <c r="AG129" s="373"/>
      <c r="AH129" s="373"/>
      <c r="AI129" s="373"/>
      <c r="AJ129" s="373"/>
      <c r="AK129" s="373"/>
      <c r="AL129" s="373"/>
      <c r="AM129" s="373"/>
      <c r="AN129" s="373"/>
      <c r="AO129" s="373"/>
      <c r="AP129" s="373"/>
      <c r="AQ129" s="373"/>
      <c r="AR129" s="373"/>
      <c r="AS129" s="373"/>
      <c r="AT129" s="373"/>
      <c r="AU129" s="373"/>
      <c r="AV129" s="373"/>
      <c r="AW129" s="373"/>
      <c r="AX129" s="373"/>
      <c r="AY129" s="373"/>
      <c r="AZ129" s="373"/>
      <c r="BA129" s="373"/>
      <c r="BB129" s="373"/>
      <c r="BC129" s="373"/>
      <c r="BD129" s="373"/>
      <c r="BE129" s="373"/>
      <c r="BF129" s="373"/>
      <c r="BG129" s="373"/>
      <c r="BH129" s="373"/>
      <c r="BI129" s="373"/>
      <c r="BJ129" s="373"/>
      <c r="BK129" s="373"/>
      <c r="BL129" s="373"/>
      <c r="BM129" s="373"/>
      <c r="BN129" s="373"/>
      <c r="BO129" s="373"/>
      <c r="BP129" s="373"/>
      <c r="BQ129" s="373"/>
      <c r="BR129" s="373"/>
      <c r="BS129" s="373"/>
      <c r="BT129" s="373"/>
      <c r="BU129" s="373"/>
      <c r="BV129" s="373"/>
      <c r="BW129" s="373"/>
      <c r="BX129" s="373"/>
      <c r="BY129" s="373"/>
      <c r="BZ129" s="373"/>
      <c r="CA129" s="373"/>
      <c r="CB129" s="373"/>
      <c r="CC129" s="373"/>
      <c r="CD129" s="373"/>
      <c r="CE129" s="373"/>
      <c r="CF129" s="373"/>
      <c r="CG129" s="373"/>
      <c r="CH129" s="373"/>
      <c r="CI129" s="373"/>
      <c r="CJ129" s="373"/>
      <c r="CK129" s="373"/>
      <c r="CL129" s="373"/>
      <c r="CM129" s="373"/>
      <c r="CN129" s="373"/>
    </row>
    <row r="130" spans="1:92">
      <c r="A130" s="305"/>
      <c r="B130" s="373"/>
      <c r="D130" s="363"/>
      <c r="E130" s="363"/>
      <c r="F130" s="363"/>
      <c r="G130" s="363"/>
      <c r="H130" s="174"/>
      <c r="J130" s="5"/>
      <c r="K130" s="5"/>
      <c r="L130" s="5"/>
      <c r="M130" s="374"/>
      <c r="N130" s="377"/>
      <c r="O130" s="377"/>
      <c r="P130" s="220"/>
      <c r="Q130" s="373"/>
      <c r="R130" s="373"/>
      <c r="S130" s="373"/>
      <c r="T130" s="373"/>
      <c r="U130" s="373"/>
      <c r="V130" s="373"/>
      <c r="W130" s="373"/>
      <c r="X130" s="373"/>
      <c r="Y130" s="373"/>
      <c r="Z130" s="373"/>
      <c r="AA130" s="373"/>
      <c r="AB130" s="373"/>
      <c r="AC130" s="373"/>
      <c r="AD130" s="373"/>
      <c r="AE130" s="373"/>
      <c r="AF130" s="373"/>
      <c r="AG130" s="373"/>
      <c r="AH130" s="373"/>
      <c r="AI130" s="373"/>
      <c r="AJ130" s="373"/>
      <c r="AK130" s="373"/>
      <c r="AL130" s="373"/>
      <c r="AM130" s="373"/>
      <c r="AN130" s="373"/>
      <c r="AO130" s="373"/>
      <c r="AP130" s="373"/>
      <c r="AQ130" s="373"/>
      <c r="AR130" s="373"/>
      <c r="AS130" s="373"/>
      <c r="AT130" s="373"/>
      <c r="AU130" s="373"/>
      <c r="AV130" s="373"/>
      <c r="AW130" s="373"/>
      <c r="AX130" s="373"/>
      <c r="AY130" s="373"/>
      <c r="AZ130" s="373"/>
      <c r="BA130" s="373"/>
      <c r="BB130" s="373"/>
      <c r="BC130" s="373"/>
      <c r="BD130" s="373"/>
      <c r="BE130" s="373"/>
      <c r="BF130" s="373"/>
      <c r="BG130" s="373"/>
      <c r="BH130" s="373"/>
      <c r="BI130" s="373"/>
      <c r="BJ130" s="373"/>
      <c r="BK130" s="373"/>
      <c r="BL130" s="373"/>
      <c r="BM130" s="373"/>
      <c r="BN130" s="373"/>
      <c r="BO130" s="373"/>
      <c r="BP130" s="373"/>
      <c r="BQ130" s="373"/>
      <c r="BR130" s="373"/>
      <c r="BS130" s="373"/>
      <c r="BT130" s="373"/>
      <c r="BU130" s="373"/>
      <c r="BV130" s="373"/>
      <c r="BW130" s="373"/>
      <c r="BX130" s="373"/>
      <c r="BY130" s="373"/>
      <c r="BZ130" s="373"/>
      <c r="CA130" s="373"/>
      <c r="CB130" s="373"/>
      <c r="CC130" s="373"/>
      <c r="CD130" s="373"/>
      <c r="CE130" s="373"/>
      <c r="CF130" s="373"/>
      <c r="CG130" s="373"/>
      <c r="CH130" s="373"/>
      <c r="CI130" s="373"/>
      <c r="CJ130" s="373"/>
      <c r="CK130" s="373"/>
      <c r="CL130" s="373"/>
      <c r="CM130" s="373"/>
      <c r="CN130" s="373"/>
    </row>
    <row r="131" spans="1:92">
      <c r="A131" s="305"/>
      <c r="B131" s="373"/>
      <c r="D131" s="363"/>
      <c r="E131" s="363"/>
      <c r="F131" s="363"/>
      <c r="G131" s="363"/>
      <c r="H131" s="174"/>
      <c r="J131" s="5"/>
      <c r="K131" s="5"/>
      <c r="L131" s="5"/>
      <c r="M131" s="374"/>
      <c r="N131" s="377"/>
      <c r="O131" s="377"/>
      <c r="P131" s="220"/>
      <c r="Q131" s="373"/>
      <c r="R131" s="373"/>
      <c r="S131" s="373"/>
      <c r="T131" s="373"/>
      <c r="U131" s="373"/>
      <c r="V131" s="373"/>
      <c r="W131" s="373"/>
      <c r="X131" s="373"/>
      <c r="Y131" s="373"/>
      <c r="Z131" s="373"/>
      <c r="AA131" s="373"/>
      <c r="AB131" s="373"/>
      <c r="AC131" s="373"/>
      <c r="AD131" s="373"/>
      <c r="AE131" s="373"/>
      <c r="AF131" s="373"/>
      <c r="AG131" s="373"/>
      <c r="AH131" s="373"/>
      <c r="AI131" s="373"/>
      <c r="AJ131" s="373"/>
      <c r="AK131" s="373"/>
      <c r="AL131" s="373"/>
      <c r="AM131" s="373"/>
      <c r="AN131" s="373"/>
      <c r="AO131" s="373"/>
      <c r="AP131" s="373"/>
      <c r="AQ131" s="373"/>
      <c r="AR131" s="373"/>
      <c r="AS131" s="373"/>
      <c r="AT131" s="373"/>
      <c r="AU131" s="373"/>
      <c r="AV131" s="373"/>
      <c r="AW131" s="373"/>
      <c r="AX131" s="373"/>
      <c r="AY131" s="373"/>
      <c r="AZ131" s="373"/>
      <c r="BA131" s="373"/>
      <c r="BB131" s="373"/>
      <c r="BC131" s="373"/>
      <c r="BD131" s="373"/>
      <c r="BE131" s="373"/>
      <c r="BF131" s="373"/>
      <c r="BG131" s="373"/>
      <c r="BH131" s="373"/>
      <c r="BI131" s="373"/>
      <c r="BJ131" s="373"/>
      <c r="BK131" s="373"/>
      <c r="BL131" s="373"/>
      <c r="BM131" s="373"/>
      <c r="BN131" s="373"/>
      <c r="BO131" s="373"/>
      <c r="BP131" s="373"/>
      <c r="BQ131" s="373"/>
      <c r="BR131" s="373"/>
      <c r="BS131" s="373"/>
      <c r="BT131" s="373"/>
      <c r="BU131" s="373"/>
      <c r="BV131" s="373"/>
      <c r="BW131" s="373"/>
      <c r="BX131" s="373"/>
      <c r="BY131" s="373"/>
      <c r="BZ131" s="373"/>
      <c r="CA131" s="373"/>
      <c r="CB131" s="373"/>
      <c r="CC131" s="373"/>
      <c r="CD131" s="373"/>
      <c r="CE131" s="373"/>
      <c r="CF131" s="373"/>
      <c r="CG131" s="373"/>
      <c r="CH131" s="373"/>
      <c r="CI131" s="373"/>
      <c r="CJ131" s="373"/>
      <c r="CK131" s="373"/>
      <c r="CL131" s="373"/>
      <c r="CM131" s="373"/>
      <c r="CN131" s="373"/>
    </row>
    <row r="132" spans="1:92">
      <c r="A132" s="305"/>
      <c r="B132" s="373"/>
      <c r="C132" s="372"/>
      <c r="D132" s="372"/>
      <c r="E132" s="372"/>
      <c r="F132" s="372"/>
      <c r="G132" s="159"/>
      <c r="H132" s="157"/>
      <c r="J132" s="5"/>
      <c r="K132" s="5"/>
      <c r="L132" s="5"/>
      <c r="M132" s="374"/>
      <c r="N132" s="377"/>
      <c r="O132" s="377"/>
      <c r="P132" s="220"/>
      <c r="Q132" s="373"/>
      <c r="R132" s="373"/>
      <c r="S132" s="373"/>
      <c r="T132" s="373"/>
      <c r="U132" s="373"/>
      <c r="V132" s="373"/>
      <c r="W132" s="373"/>
      <c r="X132" s="373"/>
      <c r="Y132" s="373"/>
      <c r="Z132" s="373"/>
      <c r="AA132" s="373"/>
      <c r="AB132" s="373"/>
      <c r="AC132" s="373"/>
      <c r="AD132" s="373"/>
      <c r="AE132" s="373"/>
      <c r="AF132" s="373"/>
      <c r="AG132" s="373"/>
      <c r="AH132" s="373"/>
      <c r="AI132" s="373"/>
      <c r="AJ132" s="373"/>
      <c r="AK132" s="373"/>
      <c r="AL132" s="373"/>
      <c r="AM132" s="373"/>
      <c r="AN132" s="373"/>
      <c r="AO132" s="373"/>
      <c r="AP132" s="373"/>
      <c r="AQ132" s="373"/>
      <c r="AR132" s="373"/>
      <c r="AS132" s="373"/>
      <c r="AT132" s="373"/>
      <c r="AU132" s="373"/>
      <c r="AV132" s="373"/>
      <c r="AW132" s="373"/>
      <c r="AX132" s="373"/>
      <c r="AY132" s="373"/>
      <c r="AZ132" s="373"/>
      <c r="BA132" s="373"/>
      <c r="BB132" s="373"/>
      <c r="BC132" s="373"/>
      <c r="BD132" s="373"/>
      <c r="BE132" s="373"/>
      <c r="BF132" s="373"/>
      <c r="BG132" s="373"/>
      <c r="BH132" s="373"/>
      <c r="BI132" s="373"/>
      <c r="BJ132" s="373"/>
      <c r="BK132" s="373"/>
      <c r="BL132" s="373"/>
      <c r="BM132" s="373"/>
      <c r="BN132" s="373"/>
      <c r="BO132" s="373"/>
      <c r="BP132" s="373"/>
      <c r="BQ132" s="373"/>
      <c r="BR132" s="373"/>
      <c r="BS132" s="373"/>
      <c r="BT132" s="373"/>
      <c r="BU132" s="373"/>
      <c r="BV132" s="373"/>
      <c r="BW132" s="373"/>
      <c r="BX132" s="373"/>
      <c r="BY132" s="373"/>
      <c r="BZ132" s="373"/>
      <c r="CA132" s="373"/>
      <c r="CB132" s="373"/>
      <c r="CC132" s="373"/>
      <c r="CD132" s="373"/>
      <c r="CE132" s="373"/>
      <c r="CF132" s="373"/>
      <c r="CG132" s="373"/>
      <c r="CH132" s="373"/>
      <c r="CI132" s="373"/>
      <c r="CJ132" s="373"/>
      <c r="CK132" s="373"/>
      <c r="CL132" s="373"/>
      <c r="CM132" s="373"/>
      <c r="CN132" s="373"/>
    </row>
    <row r="133" spans="1:92">
      <c r="A133" s="305"/>
      <c r="B133" s="373"/>
      <c r="C133" s="372"/>
      <c r="D133" s="171"/>
      <c r="E133" s="171"/>
      <c r="F133" s="384"/>
      <c r="G133" s="384"/>
      <c r="H133" s="384"/>
      <c r="J133" s="5"/>
      <c r="K133" s="5"/>
      <c r="L133" s="5"/>
      <c r="M133" s="374"/>
      <c r="N133" s="377"/>
      <c r="O133" s="377"/>
      <c r="P133" s="220"/>
      <c r="Q133" s="373"/>
      <c r="R133" s="373"/>
      <c r="S133" s="373"/>
      <c r="T133" s="373"/>
      <c r="U133" s="373"/>
      <c r="V133" s="373"/>
      <c r="W133" s="373"/>
      <c r="X133" s="373"/>
      <c r="Y133" s="373"/>
      <c r="Z133" s="373"/>
      <c r="AA133" s="373"/>
      <c r="AB133" s="373"/>
      <c r="AC133" s="373"/>
      <c r="AD133" s="373"/>
      <c r="AE133" s="373"/>
      <c r="AF133" s="373"/>
      <c r="AG133" s="373"/>
      <c r="AH133" s="373"/>
      <c r="AI133" s="373"/>
      <c r="AJ133" s="373"/>
      <c r="AK133" s="373"/>
      <c r="AL133" s="373"/>
      <c r="AM133" s="373"/>
      <c r="AN133" s="373"/>
      <c r="AO133" s="373"/>
      <c r="AP133" s="373"/>
      <c r="AQ133" s="373"/>
      <c r="AR133" s="373"/>
      <c r="AS133" s="373"/>
      <c r="AT133" s="373"/>
      <c r="AU133" s="373"/>
      <c r="AV133" s="373"/>
      <c r="AW133" s="373"/>
      <c r="AX133" s="373"/>
      <c r="AY133" s="373"/>
      <c r="AZ133" s="373"/>
      <c r="BA133" s="373"/>
      <c r="BB133" s="373"/>
      <c r="BC133" s="373"/>
      <c r="BD133" s="373"/>
      <c r="BE133" s="373"/>
      <c r="BF133" s="373"/>
      <c r="BG133" s="373"/>
      <c r="BH133" s="373"/>
      <c r="BI133" s="373"/>
      <c r="BJ133" s="373"/>
      <c r="BK133" s="373"/>
      <c r="BL133" s="373"/>
      <c r="BM133" s="373"/>
      <c r="BN133" s="373"/>
      <c r="BO133" s="373"/>
      <c r="BP133" s="373"/>
      <c r="BQ133" s="373"/>
      <c r="BR133" s="373"/>
      <c r="BS133" s="373"/>
      <c r="BT133" s="373"/>
      <c r="BU133" s="373"/>
      <c r="BV133" s="373"/>
      <c r="BW133" s="373"/>
      <c r="BX133" s="373"/>
      <c r="BY133" s="373"/>
      <c r="BZ133" s="373"/>
      <c r="CA133" s="373"/>
      <c r="CB133" s="373"/>
      <c r="CC133" s="373"/>
      <c r="CD133" s="373"/>
      <c r="CE133" s="373"/>
      <c r="CF133" s="373"/>
      <c r="CG133" s="373"/>
      <c r="CH133" s="373"/>
      <c r="CI133" s="373"/>
      <c r="CJ133" s="373"/>
      <c r="CK133" s="373"/>
      <c r="CL133" s="373"/>
      <c r="CM133" s="373"/>
      <c r="CN133" s="373"/>
    </row>
    <row r="134" spans="1:92">
      <c r="A134" s="305"/>
      <c r="B134" s="373"/>
      <c r="C134" s="372"/>
      <c r="D134" s="171"/>
      <c r="E134" s="782"/>
      <c r="F134" s="783"/>
      <c r="G134" s="783"/>
      <c r="H134" s="783"/>
      <c r="J134" s="5"/>
      <c r="K134" s="5"/>
      <c r="L134" s="5"/>
      <c r="M134" s="374"/>
      <c r="N134" s="377"/>
      <c r="O134" s="377"/>
      <c r="P134" s="220"/>
      <c r="Q134" s="373"/>
      <c r="R134" s="373"/>
      <c r="S134" s="373"/>
      <c r="T134" s="373"/>
      <c r="U134" s="373"/>
      <c r="V134" s="373"/>
      <c r="W134" s="373"/>
      <c r="X134" s="373"/>
      <c r="Y134" s="373"/>
      <c r="Z134" s="373"/>
      <c r="AA134" s="373"/>
      <c r="AB134" s="373"/>
      <c r="AC134" s="373"/>
      <c r="AD134" s="373"/>
      <c r="AE134" s="373"/>
      <c r="AF134" s="373"/>
      <c r="AG134" s="373"/>
      <c r="AH134" s="373"/>
      <c r="AI134" s="373"/>
      <c r="AJ134" s="373"/>
      <c r="AK134" s="373"/>
      <c r="AL134" s="373"/>
      <c r="AM134" s="373"/>
      <c r="AN134" s="373"/>
      <c r="AO134" s="373"/>
      <c r="AP134" s="373"/>
      <c r="AQ134" s="373"/>
      <c r="AR134" s="373"/>
      <c r="AS134" s="373"/>
      <c r="AT134" s="373"/>
      <c r="AU134" s="373"/>
      <c r="AV134" s="373"/>
      <c r="AW134" s="373"/>
      <c r="AX134" s="373"/>
      <c r="AY134" s="373"/>
      <c r="AZ134" s="373"/>
      <c r="BA134" s="373"/>
      <c r="BB134" s="373"/>
      <c r="BC134" s="373"/>
      <c r="BD134" s="373"/>
      <c r="BE134" s="373"/>
      <c r="BF134" s="373"/>
      <c r="BG134" s="373"/>
      <c r="BH134" s="373"/>
      <c r="BI134" s="373"/>
      <c r="BJ134" s="373"/>
      <c r="BK134" s="373"/>
      <c r="BL134" s="373"/>
      <c r="BM134" s="373"/>
      <c r="BN134" s="373"/>
      <c r="BO134" s="373"/>
      <c r="BP134" s="373"/>
      <c r="BQ134" s="373"/>
      <c r="BR134" s="373"/>
      <c r="BS134" s="373"/>
      <c r="BT134" s="373"/>
      <c r="BU134" s="373"/>
      <c r="BV134" s="373"/>
      <c r="BW134" s="373"/>
      <c r="BX134" s="373"/>
      <c r="BY134" s="373"/>
      <c r="BZ134" s="373"/>
      <c r="CA134" s="373"/>
      <c r="CB134" s="373"/>
      <c r="CC134" s="373"/>
      <c r="CD134" s="373"/>
      <c r="CE134" s="373"/>
      <c r="CF134" s="373"/>
      <c r="CG134" s="373"/>
      <c r="CH134" s="373"/>
      <c r="CI134" s="373"/>
      <c r="CJ134" s="373"/>
      <c r="CK134" s="373"/>
      <c r="CL134" s="373"/>
      <c r="CM134" s="373"/>
      <c r="CN134" s="373"/>
    </row>
    <row r="135" spans="1:92">
      <c r="A135" s="305"/>
      <c r="B135" s="373"/>
      <c r="C135" s="372"/>
      <c r="D135" s="171"/>
      <c r="E135" s="385"/>
      <c r="F135" s="384"/>
      <c r="G135" s="384"/>
      <c r="H135" s="384"/>
      <c r="J135" s="5"/>
      <c r="K135" s="5"/>
      <c r="L135" s="5"/>
      <c r="M135" s="374"/>
      <c r="N135" s="377"/>
      <c r="O135" s="377"/>
      <c r="P135" s="220"/>
      <c r="Q135" s="373"/>
      <c r="R135" s="373"/>
      <c r="S135" s="373"/>
      <c r="T135" s="373"/>
      <c r="U135" s="373"/>
      <c r="V135" s="373"/>
      <c r="W135" s="373"/>
      <c r="X135" s="373"/>
      <c r="Y135" s="373"/>
      <c r="Z135" s="373"/>
      <c r="AA135" s="373"/>
      <c r="AB135" s="373"/>
      <c r="AC135" s="373"/>
      <c r="AD135" s="373"/>
      <c r="AE135" s="373"/>
      <c r="AF135" s="373"/>
      <c r="AG135" s="373"/>
      <c r="AH135" s="373"/>
      <c r="AI135" s="373"/>
      <c r="AJ135" s="373"/>
      <c r="AK135" s="373"/>
      <c r="AL135" s="373"/>
      <c r="AM135" s="373"/>
      <c r="AN135" s="373"/>
      <c r="AO135" s="373"/>
      <c r="AP135" s="373"/>
      <c r="AQ135" s="373"/>
      <c r="AR135" s="373"/>
      <c r="AS135" s="373"/>
      <c r="AT135" s="373"/>
      <c r="AU135" s="373"/>
      <c r="AV135" s="373"/>
      <c r="AW135" s="373"/>
      <c r="AX135" s="373"/>
      <c r="AY135" s="373"/>
      <c r="AZ135" s="373"/>
      <c r="BA135" s="373"/>
      <c r="BB135" s="373"/>
      <c r="BC135" s="373"/>
      <c r="BD135" s="373"/>
      <c r="BE135" s="373"/>
      <c r="BF135" s="373"/>
      <c r="BG135" s="373"/>
      <c r="BH135" s="373"/>
      <c r="BI135" s="373"/>
      <c r="BJ135" s="373"/>
      <c r="BK135" s="373"/>
      <c r="BL135" s="373"/>
      <c r="BM135" s="373"/>
      <c r="BN135" s="373"/>
      <c r="BO135" s="373"/>
      <c r="BP135" s="373"/>
      <c r="BQ135" s="373"/>
      <c r="BR135" s="373"/>
      <c r="BS135" s="373"/>
      <c r="BT135" s="373"/>
      <c r="BU135" s="373"/>
      <c r="BV135" s="373"/>
      <c r="BW135" s="373"/>
      <c r="BX135" s="373"/>
      <c r="BY135" s="373"/>
      <c r="BZ135" s="373"/>
      <c r="CA135" s="373"/>
      <c r="CB135" s="373"/>
      <c r="CC135" s="373"/>
      <c r="CD135" s="373"/>
      <c r="CE135" s="373"/>
      <c r="CF135" s="373"/>
      <c r="CG135" s="373"/>
      <c r="CH135" s="373"/>
      <c r="CI135" s="373"/>
      <c r="CJ135" s="373"/>
      <c r="CK135" s="373"/>
      <c r="CL135" s="373"/>
      <c r="CM135" s="373"/>
      <c r="CN135" s="373"/>
    </row>
    <row r="136" spans="1:92">
      <c r="A136" s="305"/>
      <c r="B136" s="373"/>
      <c r="C136" s="372"/>
      <c r="D136" s="171"/>
      <c r="E136" s="385"/>
      <c r="F136" s="384"/>
      <c r="G136" s="384"/>
      <c r="H136" s="384"/>
      <c r="J136" s="5"/>
      <c r="K136" s="5"/>
      <c r="L136" s="5"/>
      <c r="M136" s="374"/>
      <c r="N136" s="377"/>
      <c r="O136" s="377"/>
      <c r="P136" s="220"/>
      <c r="Q136" s="373"/>
      <c r="R136" s="373"/>
      <c r="S136" s="373"/>
      <c r="T136" s="373"/>
      <c r="U136" s="373"/>
      <c r="V136" s="373"/>
      <c r="W136" s="373"/>
      <c r="X136" s="373"/>
      <c r="Y136" s="373"/>
      <c r="Z136" s="373"/>
      <c r="AA136" s="373"/>
      <c r="AB136" s="373"/>
      <c r="AC136" s="373"/>
      <c r="AD136" s="373"/>
      <c r="AE136" s="373"/>
      <c r="AF136" s="373"/>
      <c r="AG136" s="373"/>
      <c r="AH136" s="373"/>
      <c r="AI136" s="373"/>
      <c r="AJ136" s="373"/>
      <c r="AK136" s="373"/>
      <c r="AL136" s="373"/>
      <c r="AM136" s="373"/>
      <c r="AN136" s="373"/>
      <c r="AO136" s="373"/>
      <c r="AP136" s="373"/>
      <c r="AQ136" s="373"/>
      <c r="AR136" s="373"/>
      <c r="AS136" s="373"/>
      <c r="AT136" s="373"/>
      <c r="AU136" s="373"/>
      <c r="AV136" s="373"/>
      <c r="AW136" s="373"/>
      <c r="AX136" s="373"/>
      <c r="AY136" s="373"/>
      <c r="AZ136" s="373"/>
      <c r="BA136" s="373"/>
      <c r="BB136" s="373"/>
      <c r="BC136" s="373"/>
      <c r="BD136" s="373"/>
      <c r="BE136" s="373"/>
      <c r="BF136" s="373"/>
      <c r="BG136" s="373"/>
      <c r="BH136" s="373"/>
      <c r="BI136" s="373"/>
      <c r="BJ136" s="373"/>
      <c r="BK136" s="373"/>
      <c r="BL136" s="373"/>
      <c r="BM136" s="373"/>
      <c r="BN136" s="373"/>
      <c r="BO136" s="373"/>
      <c r="BP136" s="373"/>
      <c r="BQ136" s="373"/>
      <c r="BR136" s="373"/>
      <c r="BS136" s="373"/>
      <c r="BT136" s="373"/>
      <c r="BU136" s="373"/>
      <c r="BV136" s="373"/>
      <c r="BW136" s="373"/>
      <c r="BX136" s="373"/>
      <c r="BY136" s="373"/>
      <c r="BZ136" s="373"/>
      <c r="CA136" s="373"/>
      <c r="CB136" s="373"/>
      <c r="CC136" s="373"/>
      <c r="CD136" s="373"/>
      <c r="CE136" s="373"/>
      <c r="CF136" s="373"/>
      <c r="CG136" s="373"/>
      <c r="CH136" s="373"/>
      <c r="CI136" s="373"/>
      <c r="CJ136" s="373"/>
      <c r="CK136" s="373"/>
      <c r="CL136" s="373"/>
      <c r="CM136" s="373"/>
      <c r="CN136" s="373"/>
    </row>
    <row r="137" spans="1:92">
      <c r="A137" s="305"/>
      <c r="B137" s="373"/>
      <c r="C137" s="372"/>
      <c r="D137" s="171"/>
      <c r="E137" s="386"/>
      <c r="F137" s="387"/>
      <c r="G137" s="387"/>
      <c r="H137" s="387"/>
      <c r="J137" s="5"/>
      <c r="K137" s="5"/>
      <c r="L137" s="5"/>
      <c r="M137" s="374"/>
      <c r="N137" s="377"/>
      <c r="O137" s="377"/>
      <c r="P137" s="220"/>
      <c r="Q137" s="373"/>
      <c r="R137" s="373"/>
      <c r="S137" s="373"/>
      <c r="T137" s="373"/>
      <c r="U137" s="373"/>
      <c r="V137" s="373"/>
      <c r="W137" s="373"/>
      <c r="X137" s="373"/>
      <c r="Y137" s="373"/>
      <c r="Z137" s="373"/>
      <c r="AA137" s="373"/>
      <c r="AB137" s="373"/>
      <c r="AC137" s="373"/>
      <c r="AD137" s="373"/>
      <c r="AE137" s="373"/>
      <c r="AF137" s="373"/>
      <c r="AG137" s="373"/>
      <c r="AH137" s="373"/>
      <c r="AI137" s="373"/>
      <c r="AJ137" s="373"/>
      <c r="AK137" s="373"/>
      <c r="AL137" s="373"/>
      <c r="AM137" s="373"/>
      <c r="AN137" s="373"/>
      <c r="AO137" s="373"/>
      <c r="AP137" s="373"/>
      <c r="AQ137" s="373"/>
      <c r="AR137" s="373"/>
      <c r="AS137" s="373"/>
      <c r="AT137" s="373"/>
      <c r="AU137" s="373"/>
      <c r="AV137" s="373"/>
      <c r="AW137" s="373"/>
      <c r="AX137" s="373"/>
      <c r="AY137" s="373"/>
      <c r="AZ137" s="373"/>
      <c r="BA137" s="373"/>
      <c r="BB137" s="373"/>
      <c r="BC137" s="373"/>
      <c r="BD137" s="373"/>
      <c r="BE137" s="373"/>
      <c r="BF137" s="373"/>
      <c r="BG137" s="373"/>
      <c r="BH137" s="373"/>
      <c r="BI137" s="373"/>
      <c r="BJ137" s="373"/>
      <c r="BK137" s="373"/>
      <c r="BL137" s="373"/>
      <c r="BM137" s="373"/>
      <c r="BN137" s="373"/>
      <c r="BO137" s="373"/>
      <c r="BP137" s="373"/>
      <c r="BQ137" s="373"/>
      <c r="BR137" s="373"/>
      <c r="BS137" s="373"/>
      <c r="BT137" s="373"/>
      <c r="BU137" s="373"/>
      <c r="BV137" s="373"/>
      <c r="BW137" s="373"/>
      <c r="BX137" s="373"/>
      <c r="BY137" s="373"/>
      <c r="BZ137" s="373"/>
      <c r="CA137" s="373"/>
      <c r="CB137" s="373"/>
      <c r="CC137" s="373"/>
      <c r="CD137" s="373"/>
      <c r="CE137" s="373"/>
      <c r="CF137" s="373"/>
      <c r="CG137" s="373"/>
      <c r="CH137" s="373"/>
      <c r="CI137" s="373"/>
      <c r="CJ137" s="373"/>
      <c r="CK137" s="373"/>
      <c r="CL137" s="373"/>
      <c r="CM137" s="373"/>
      <c r="CN137" s="373"/>
    </row>
    <row r="138" spans="1:92">
      <c r="A138" s="305"/>
      <c r="B138" s="373"/>
      <c r="C138" s="373"/>
      <c r="D138" s="373"/>
      <c r="E138" s="373"/>
      <c r="F138" s="173"/>
      <c r="G138" s="174"/>
      <c r="H138" s="174"/>
      <c r="J138" s="5"/>
      <c r="K138" s="5"/>
      <c r="L138" s="5"/>
      <c r="M138" s="374"/>
      <c r="N138" s="377"/>
      <c r="O138" s="377"/>
      <c r="P138" s="220"/>
      <c r="Q138" s="373"/>
      <c r="R138" s="373"/>
      <c r="S138" s="373"/>
      <c r="T138" s="373"/>
      <c r="U138" s="373"/>
      <c r="V138" s="373"/>
      <c r="W138" s="373"/>
      <c r="X138" s="373"/>
      <c r="Y138" s="373"/>
      <c r="Z138" s="373"/>
      <c r="AA138" s="373"/>
      <c r="AB138" s="373"/>
      <c r="AC138" s="373"/>
      <c r="AD138" s="373"/>
      <c r="AE138" s="373"/>
      <c r="AF138" s="373"/>
      <c r="AG138" s="373"/>
      <c r="AH138" s="373"/>
      <c r="AI138" s="373"/>
      <c r="AJ138" s="373"/>
      <c r="AK138" s="373"/>
      <c r="AL138" s="373"/>
      <c r="AM138" s="373"/>
      <c r="AN138" s="373"/>
      <c r="AO138" s="373"/>
      <c r="AP138" s="373"/>
      <c r="AQ138" s="373"/>
      <c r="AR138" s="373"/>
      <c r="AS138" s="373"/>
      <c r="AT138" s="373"/>
      <c r="AU138" s="373"/>
      <c r="AV138" s="373"/>
      <c r="AW138" s="373"/>
      <c r="AX138" s="373"/>
      <c r="AY138" s="373"/>
      <c r="AZ138" s="373"/>
      <c r="BA138" s="373"/>
      <c r="BB138" s="373"/>
      <c r="BC138" s="373"/>
      <c r="BD138" s="373"/>
      <c r="BE138" s="373"/>
      <c r="BF138" s="373"/>
      <c r="BG138" s="373"/>
      <c r="BH138" s="373"/>
      <c r="BI138" s="373"/>
      <c r="BJ138" s="373"/>
      <c r="BK138" s="373"/>
      <c r="BL138" s="373"/>
      <c r="BM138" s="373"/>
      <c r="BN138" s="373"/>
      <c r="BO138" s="373"/>
      <c r="BP138" s="373"/>
      <c r="BQ138" s="373"/>
      <c r="BR138" s="373"/>
      <c r="BS138" s="373"/>
      <c r="BT138" s="373"/>
      <c r="BU138" s="373"/>
      <c r="BV138" s="373"/>
      <c r="BW138" s="373"/>
      <c r="BX138" s="373"/>
      <c r="BY138" s="373"/>
      <c r="BZ138" s="373"/>
      <c r="CA138" s="373"/>
      <c r="CB138" s="373"/>
      <c r="CC138" s="373"/>
      <c r="CD138" s="373"/>
      <c r="CE138" s="373"/>
      <c r="CF138" s="373"/>
      <c r="CG138" s="373"/>
      <c r="CH138" s="373"/>
      <c r="CI138" s="373"/>
      <c r="CJ138" s="373"/>
      <c r="CK138" s="373"/>
      <c r="CL138" s="373"/>
      <c r="CM138" s="373"/>
      <c r="CN138" s="373"/>
    </row>
    <row r="139" spans="1:92">
      <c r="A139" s="305"/>
      <c r="B139" s="373"/>
      <c r="C139" s="373"/>
      <c r="D139" s="373"/>
      <c r="E139" s="373"/>
      <c r="F139" s="173"/>
      <c r="G139" s="174"/>
      <c r="H139" s="174"/>
      <c r="J139" s="5"/>
      <c r="K139" s="5"/>
      <c r="L139" s="5"/>
      <c r="M139" s="374"/>
      <c r="N139" s="377"/>
      <c r="O139" s="377"/>
      <c r="P139" s="220"/>
      <c r="Q139" s="373"/>
      <c r="R139" s="373"/>
      <c r="S139" s="373"/>
      <c r="T139" s="373"/>
      <c r="U139" s="373"/>
      <c r="V139" s="373"/>
      <c r="W139" s="373"/>
      <c r="X139" s="373"/>
      <c r="Y139" s="373"/>
      <c r="Z139" s="373"/>
      <c r="AA139" s="373"/>
      <c r="AB139" s="373"/>
      <c r="AC139" s="373"/>
      <c r="AD139" s="373"/>
      <c r="AE139" s="373"/>
      <c r="AF139" s="373"/>
      <c r="AG139" s="373"/>
      <c r="AH139" s="373"/>
      <c r="AI139" s="373"/>
      <c r="AJ139" s="373"/>
      <c r="AK139" s="373"/>
      <c r="AL139" s="373"/>
      <c r="AM139" s="373"/>
      <c r="AN139" s="373"/>
      <c r="AO139" s="373"/>
      <c r="AP139" s="373"/>
      <c r="AQ139" s="373"/>
      <c r="AR139" s="373"/>
      <c r="AS139" s="373"/>
      <c r="AT139" s="373"/>
      <c r="AU139" s="373"/>
      <c r="AV139" s="373"/>
      <c r="AW139" s="373"/>
      <c r="AX139" s="373"/>
      <c r="AY139" s="373"/>
      <c r="AZ139" s="373"/>
      <c r="BA139" s="373"/>
      <c r="BB139" s="373"/>
      <c r="BC139" s="373"/>
      <c r="BD139" s="373"/>
      <c r="BE139" s="373"/>
      <c r="BF139" s="373"/>
      <c r="BG139" s="373"/>
      <c r="BH139" s="373"/>
      <c r="BI139" s="373"/>
      <c r="BJ139" s="373"/>
      <c r="BK139" s="373"/>
      <c r="BL139" s="373"/>
      <c r="BM139" s="373"/>
      <c r="BN139" s="373"/>
      <c r="BO139" s="373"/>
      <c r="BP139" s="373"/>
      <c r="BQ139" s="373"/>
      <c r="BR139" s="373"/>
      <c r="BS139" s="373"/>
      <c r="BT139" s="373"/>
      <c r="BU139" s="373"/>
      <c r="BV139" s="373"/>
      <c r="BW139" s="373"/>
      <c r="BX139" s="373"/>
      <c r="BY139" s="373"/>
      <c r="BZ139" s="373"/>
      <c r="CA139" s="373"/>
      <c r="CB139" s="373"/>
      <c r="CC139" s="373"/>
      <c r="CD139" s="373"/>
      <c r="CE139" s="373"/>
      <c r="CF139" s="373"/>
      <c r="CG139" s="373"/>
      <c r="CH139" s="373"/>
      <c r="CI139" s="373"/>
      <c r="CJ139" s="373"/>
      <c r="CK139" s="373"/>
      <c r="CL139" s="373"/>
      <c r="CM139" s="373"/>
      <c r="CN139" s="373"/>
    </row>
    <row r="140" spans="1:92">
      <c r="A140" s="305"/>
      <c r="B140" s="373"/>
      <c r="C140" s="373"/>
      <c r="D140" s="373"/>
      <c r="E140" s="373"/>
      <c r="F140" s="173"/>
      <c r="G140" s="174"/>
      <c r="H140" s="174"/>
      <c r="J140" s="5"/>
      <c r="K140" s="5"/>
      <c r="L140" s="5"/>
      <c r="M140" s="374"/>
      <c r="N140" s="377"/>
      <c r="O140" s="377"/>
      <c r="P140" s="220"/>
      <c r="Q140" s="373"/>
      <c r="R140" s="373"/>
      <c r="S140" s="373"/>
      <c r="T140" s="373"/>
      <c r="U140" s="373"/>
      <c r="V140" s="373"/>
      <c r="W140" s="373"/>
      <c r="X140" s="373"/>
      <c r="Y140" s="373"/>
      <c r="Z140" s="373"/>
      <c r="AA140" s="373"/>
      <c r="AB140" s="373"/>
      <c r="AC140" s="373"/>
      <c r="AD140" s="373"/>
      <c r="AE140" s="373"/>
      <c r="AF140" s="373"/>
      <c r="AG140" s="373"/>
      <c r="AH140" s="373"/>
      <c r="AI140" s="373"/>
      <c r="AJ140" s="373"/>
      <c r="AK140" s="373"/>
      <c r="AL140" s="373"/>
      <c r="AM140" s="373"/>
      <c r="AN140" s="373"/>
      <c r="AO140" s="373"/>
      <c r="AP140" s="373"/>
      <c r="AQ140" s="373"/>
      <c r="AR140" s="373"/>
      <c r="AS140" s="373"/>
      <c r="AT140" s="373"/>
      <c r="AU140" s="373"/>
      <c r="AV140" s="373"/>
      <c r="AW140" s="373"/>
      <c r="AX140" s="373"/>
      <c r="AY140" s="373"/>
      <c r="AZ140" s="373"/>
      <c r="BA140" s="373"/>
      <c r="BB140" s="373"/>
      <c r="BC140" s="373"/>
      <c r="BD140" s="373"/>
      <c r="BE140" s="373"/>
      <c r="BF140" s="373"/>
      <c r="BG140" s="373"/>
      <c r="BH140" s="373"/>
      <c r="BI140" s="373"/>
      <c r="BJ140" s="373"/>
      <c r="BK140" s="373"/>
      <c r="BL140" s="373"/>
      <c r="BM140" s="373"/>
      <c r="BN140" s="373"/>
      <c r="BO140" s="373"/>
      <c r="BP140" s="373"/>
      <c r="BQ140" s="373"/>
      <c r="BR140" s="373"/>
      <c r="BS140" s="373"/>
      <c r="BT140" s="373"/>
      <c r="BU140" s="373"/>
      <c r="BV140" s="373"/>
      <c r="BW140" s="373"/>
      <c r="BX140" s="373"/>
      <c r="BY140" s="373"/>
      <c r="BZ140" s="373"/>
      <c r="CA140" s="373"/>
      <c r="CB140" s="373"/>
      <c r="CC140" s="373"/>
      <c r="CD140" s="373"/>
      <c r="CE140" s="373"/>
      <c r="CF140" s="373"/>
      <c r="CG140" s="373"/>
      <c r="CH140" s="373"/>
      <c r="CI140" s="373"/>
      <c r="CJ140" s="373"/>
      <c r="CK140" s="373"/>
      <c r="CL140" s="373"/>
      <c r="CM140" s="373"/>
      <c r="CN140" s="373"/>
    </row>
    <row r="141" spans="1:92">
      <c r="A141" s="305"/>
      <c r="B141" s="373"/>
      <c r="C141" s="373"/>
      <c r="D141" s="373"/>
      <c r="E141" s="373"/>
      <c r="F141" s="173"/>
      <c r="G141" s="174"/>
      <c r="H141" s="174"/>
      <c r="J141" s="5"/>
      <c r="K141" s="5"/>
      <c r="L141" s="5"/>
      <c r="M141" s="374"/>
      <c r="N141" s="377"/>
      <c r="O141" s="377"/>
      <c r="P141" s="220"/>
      <c r="Q141" s="373"/>
      <c r="R141" s="373"/>
      <c r="S141" s="373"/>
      <c r="T141" s="373"/>
      <c r="U141" s="373"/>
      <c r="V141" s="373"/>
      <c r="W141" s="373"/>
      <c r="X141" s="373"/>
      <c r="Y141" s="373"/>
      <c r="Z141" s="373"/>
      <c r="AA141" s="373"/>
      <c r="AB141" s="373"/>
      <c r="AC141" s="373"/>
      <c r="AD141" s="373"/>
      <c r="AE141" s="373"/>
      <c r="AF141" s="373"/>
      <c r="AG141" s="373"/>
      <c r="AH141" s="373"/>
      <c r="AI141" s="373"/>
      <c r="AJ141" s="373"/>
      <c r="AK141" s="373"/>
      <c r="AL141" s="373"/>
      <c r="AM141" s="373"/>
      <c r="AN141" s="373"/>
      <c r="AO141" s="373"/>
      <c r="AP141" s="373"/>
      <c r="AQ141" s="373"/>
      <c r="AR141" s="373"/>
      <c r="AS141" s="373"/>
      <c r="AT141" s="373"/>
      <c r="AU141" s="373"/>
      <c r="AV141" s="373"/>
      <c r="AW141" s="373"/>
      <c r="AX141" s="373"/>
      <c r="AY141" s="373"/>
      <c r="AZ141" s="373"/>
      <c r="BA141" s="373"/>
      <c r="BB141" s="373"/>
      <c r="BC141" s="373"/>
      <c r="BD141" s="373"/>
      <c r="BE141" s="373"/>
      <c r="BF141" s="373"/>
      <c r="BG141" s="373"/>
      <c r="BH141" s="373"/>
      <c r="BI141" s="373"/>
      <c r="BJ141" s="373"/>
      <c r="BK141" s="373"/>
      <c r="BL141" s="373"/>
      <c r="BM141" s="373"/>
      <c r="BN141" s="373"/>
      <c r="BO141" s="373"/>
      <c r="BP141" s="373"/>
      <c r="BQ141" s="373"/>
      <c r="BR141" s="373"/>
      <c r="BS141" s="373"/>
      <c r="BT141" s="373"/>
      <c r="BU141" s="373"/>
      <c r="BV141" s="373"/>
      <c r="BW141" s="373"/>
      <c r="BX141" s="373"/>
      <c r="BY141" s="373"/>
      <c r="BZ141" s="373"/>
      <c r="CA141" s="373"/>
      <c r="CB141" s="373"/>
      <c r="CC141" s="373"/>
      <c r="CD141" s="373"/>
      <c r="CE141" s="373"/>
      <c r="CF141" s="373"/>
      <c r="CG141" s="373"/>
      <c r="CH141" s="373"/>
      <c r="CI141" s="373"/>
      <c r="CJ141" s="373"/>
      <c r="CK141" s="373"/>
      <c r="CL141" s="373"/>
      <c r="CM141" s="373"/>
      <c r="CN141" s="373"/>
    </row>
    <row r="142" spans="1:92">
      <c r="A142" s="305"/>
      <c r="B142" s="373"/>
      <c r="C142" s="373"/>
      <c r="D142" s="373"/>
      <c r="E142" s="373"/>
      <c r="F142" s="173"/>
      <c r="G142" s="174"/>
      <c r="H142" s="174"/>
      <c r="J142" s="5"/>
      <c r="K142" s="5"/>
      <c r="L142" s="5"/>
      <c r="M142" s="374"/>
      <c r="N142" s="377"/>
      <c r="O142" s="377"/>
      <c r="P142" s="220"/>
      <c r="Q142" s="373"/>
      <c r="R142" s="373"/>
      <c r="S142" s="373"/>
      <c r="T142" s="373"/>
      <c r="U142" s="373"/>
      <c r="V142" s="373"/>
      <c r="W142" s="373"/>
      <c r="X142" s="373"/>
      <c r="Y142" s="373"/>
      <c r="Z142" s="373"/>
      <c r="AA142" s="373"/>
      <c r="AB142" s="373"/>
      <c r="AC142" s="373"/>
      <c r="AD142" s="373"/>
      <c r="AE142" s="373"/>
      <c r="AF142" s="373"/>
      <c r="AG142" s="373"/>
      <c r="AH142" s="373"/>
      <c r="AI142" s="373"/>
      <c r="AJ142" s="373"/>
      <c r="AK142" s="373"/>
      <c r="AL142" s="373"/>
      <c r="AM142" s="373"/>
      <c r="AN142" s="373"/>
      <c r="AO142" s="373"/>
      <c r="AP142" s="373"/>
      <c r="AQ142" s="373"/>
      <c r="AR142" s="373"/>
      <c r="AS142" s="373"/>
      <c r="AT142" s="373"/>
      <c r="AU142" s="373"/>
      <c r="AV142" s="373"/>
      <c r="AW142" s="373"/>
      <c r="AX142" s="373"/>
      <c r="AY142" s="373"/>
      <c r="AZ142" s="373"/>
      <c r="BA142" s="373"/>
      <c r="BB142" s="373"/>
      <c r="BC142" s="373"/>
      <c r="BD142" s="373"/>
      <c r="BE142" s="373"/>
      <c r="BF142" s="373"/>
      <c r="BG142" s="373"/>
      <c r="BH142" s="373"/>
      <c r="BI142" s="373"/>
      <c r="BJ142" s="373"/>
      <c r="BK142" s="373"/>
      <c r="BL142" s="373"/>
      <c r="BM142" s="373"/>
      <c r="BN142" s="373"/>
      <c r="BO142" s="373"/>
      <c r="BP142" s="373"/>
      <c r="BQ142" s="373"/>
      <c r="BR142" s="373"/>
      <c r="BS142" s="373"/>
      <c r="BT142" s="373"/>
      <c r="BU142" s="373"/>
      <c r="BV142" s="373"/>
      <c r="BW142" s="373"/>
      <c r="BX142" s="373"/>
      <c r="BY142" s="373"/>
      <c r="BZ142" s="373"/>
      <c r="CA142" s="373"/>
      <c r="CB142" s="373"/>
      <c r="CC142" s="373"/>
      <c r="CD142" s="373"/>
      <c r="CE142" s="373"/>
      <c r="CF142" s="373"/>
      <c r="CG142" s="373"/>
      <c r="CH142" s="373"/>
      <c r="CI142" s="373"/>
      <c r="CJ142" s="373"/>
      <c r="CK142" s="373"/>
      <c r="CL142" s="373"/>
      <c r="CM142" s="373"/>
      <c r="CN142" s="373"/>
    </row>
    <row r="143" spans="1:92">
      <c r="A143" s="305"/>
      <c r="B143" s="373"/>
      <c r="C143" s="373"/>
      <c r="D143" s="373"/>
      <c r="E143" s="373"/>
      <c r="F143" s="173"/>
      <c r="G143" s="174"/>
      <c r="H143" s="174"/>
      <c r="J143" s="5"/>
      <c r="K143" s="5"/>
      <c r="L143" s="5"/>
      <c r="M143" s="374"/>
      <c r="N143" s="377"/>
      <c r="O143" s="377"/>
      <c r="P143" s="220"/>
      <c r="Q143" s="373"/>
      <c r="R143" s="373"/>
      <c r="S143" s="373"/>
      <c r="T143" s="373"/>
      <c r="U143" s="373"/>
      <c r="V143" s="373"/>
      <c r="W143" s="373"/>
      <c r="X143" s="373"/>
      <c r="Y143" s="373"/>
      <c r="Z143" s="373"/>
      <c r="AA143" s="373"/>
      <c r="AB143" s="373"/>
      <c r="AC143" s="373"/>
      <c r="AD143" s="373"/>
      <c r="AE143" s="373"/>
      <c r="AF143" s="373"/>
      <c r="AG143" s="373"/>
      <c r="AH143" s="373"/>
      <c r="AI143" s="373"/>
      <c r="AJ143" s="373"/>
      <c r="AK143" s="373"/>
      <c r="AL143" s="373"/>
      <c r="AM143" s="373"/>
      <c r="AN143" s="373"/>
      <c r="AO143" s="373"/>
      <c r="AP143" s="373"/>
      <c r="AQ143" s="373"/>
      <c r="AR143" s="373"/>
      <c r="AS143" s="373"/>
      <c r="AT143" s="373"/>
      <c r="AU143" s="373"/>
      <c r="AV143" s="373"/>
      <c r="AW143" s="373"/>
      <c r="AX143" s="373"/>
      <c r="AY143" s="373"/>
      <c r="AZ143" s="373"/>
      <c r="BA143" s="373"/>
      <c r="BB143" s="373"/>
      <c r="BC143" s="373"/>
      <c r="BD143" s="373"/>
      <c r="BE143" s="373"/>
      <c r="BF143" s="373"/>
      <c r="BG143" s="373"/>
      <c r="BH143" s="373"/>
      <c r="BI143" s="373"/>
      <c r="BJ143" s="373"/>
      <c r="BK143" s="373"/>
      <c r="BL143" s="373"/>
      <c r="BM143" s="373"/>
      <c r="BN143" s="373"/>
      <c r="BO143" s="373"/>
      <c r="BP143" s="373"/>
      <c r="BQ143" s="373"/>
      <c r="BR143" s="373"/>
      <c r="BS143" s="373"/>
      <c r="BT143" s="373"/>
      <c r="BU143" s="373"/>
      <c r="BV143" s="373"/>
      <c r="BW143" s="373"/>
      <c r="BX143" s="373"/>
      <c r="BY143" s="373"/>
      <c r="BZ143" s="373"/>
      <c r="CA143" s="373"/>
      <c r="CB143" s="373"/>
      <c r="CC143" s="373"/>
      <c r="CD143" s="373"/>
      <c r="CE143" s="373"/>
      <c r="CF143" s="373"/>
      <c r="CG143" s="373"/>
      <c r="CH143" s="373"/>
      <c r="CI143" s="373"/>
      <c r="CJ143" s="373"/>
      <c r="CK143" s="373"/>
      <c r="CL143" s="373"/>
      <c r="CM143" s="373"/>
      <c r="CN143" s="373"/>
    </row>
    <row r="144" spans="1:92">
      <c r="A144" s="305"/>
      <c r="B144" s="373"/>
      <c r="C144" s="373"/>
      <c r="D144" s="373"/>
      <c r="E144" s="373"/>
      <c r="F144" s="173"/>
      <c r="G144" s="174"/>
      <c r="H144" s="174"/>
      <c r="J144" s="5"/>
      <c r="K144" s="5"/>
      <c r="L144" s="5"/>
      <c r="M144" s="374"/>
      <c r="N144" s="377"/>
      <c r="O144" s="377"/>
      <c r="P144" s="220"/>
      <c r="Q144" s="373"/>
      <c r="R144" s="373"/>
      <c r="S144" s="373"/>
      <c r="T144" s="373"/>
      <c r="U144" s="373"/>
      <c r="V144" s="373"/>
      <c r="W144" s="373"/>
      <c r="X144" s="373"/>
      <c r="Y144" s="373"/>
      <c r="Z144" s="373"/>
      <c r="AA144" s="373"/>
      <c r="AB144" s="373"/>
      <c r="AC144" s="373"/>
      <c r="AD144" s="373"/>
      <c r="AE144" s="373"/>
      <c r="AF144" s="373"/>
      <c r="AG144" s="373"/>
      <c r="AH144" s="373"/>
      <c r="AI144" s="373"/>
      <c r="AJ144" s="373"/>
      <c r="AK144" s="373"/>
      <c r="AL144" s="373"/>
      <c r="AM144" s="373"/>
      <c r="AN144" s="373"/>
      <c r="AO144" s="373"/>
      <c r="AP144" s="373"/>
      <c r="AQ144" s="373"/>
      <c r="AR144" s="373"/>
      <c r="AS144" s="373"/>
      <c r="AT144" s="373"/>
      <c r="AU144" s="373"/>
      <c r="AV144" s="373"/>
      <c r="AW144" s="373"/>
      <c r="AX144" s="373"/>
      <c r="AY144" s="373"/>
      <c r="AZ144" s="373"/>
      <c r="BA144" s="373"/>
      <c r="BB144" s="373"/>
      <c r="BC144" s="373"/>
      <c r="BD144" s="373"/>
      <c r="BE144" s="373"/>
      <c r="BF144" s="373"/>
      <c r="BG144" s="373"/>
      <c r="BH144" s="373"/>
      <c r="BI144" s="373"/>
      <c r="BJ144" s="373"/>
      <c r="BK144" s="373"/>
      <c r="BL144" s="373"/>
      <c r="BM144" s="373"/>
      <c r="BN144" s="373"/>
      <c r="BO144" s="373"/>
      <c r="BP144" s="373"/>
      <c r="BQ144" s="373"/>
      <c r="BR144" s="373"/>
      <c r="BS144" s="373"/>
      <c r="BT144" s="373"/>
      <c r="BU144" s="373"/>
      <c r="BV144" s="373"/>
      <c r="BW144" s="373"/>
      <c r="BX144" s="373"/>
      <c r="BY144" s="373"/>
      <c r="BZ144" s="373"/>
      <c r="CA144" s="373"/>
      <c r="CB144" s="373"/>
      <c r="CC144" s="373"/>
      <c r="CD144" s="373"/>
      <c r="CE144" s="373"/>
      <c r="CF144" s="373"/>
      <c r="CG144" s="373"/>
      <c r="CH144" s="373"/>
      <c r="CI144" s="373"/>
      <c r="CJ144" s="373"/>
      <c r="CK144" s="373"/>
      <c r="CL144" s="373"/>
      <c r="CM144" s="373"/>
      <c r="CN144" s="373"/>
    </row>
    <row r="145" spans="6:16" s="373" customFormat="1">
      <c r="F145" s="173"/>
      <c r="G145" s="174"/>
      <c r="H145" s="174"/>
      <c r="I145" s="5"/>
      <c r="J145" s="5"/>
      <c r="K145" s="5"/>
      <c r="L145" s="5"/>
      <c r="M145" s="374"/>
      <c r="N145" s="377"/>
      <c r="O145" s="377"/>
      <c r="P145" s="220"/>
    </row>
    <row r="146" spans="6:16" s="373" customFormat="1">
      <c r="F146" s="173"/>
      <c r="G146" s="174"/>
      <c r="H146" s="174"/>
      <c r="I146" s="5"/>
      <c r="J146" s="5"/>
      <c r="K146" s="5"/>
      <c r="L146" s="5"/>
      <c r="M146" s="374"/>
      <c r="N146" s="377"/>
      <c r="O146" s="377"/>
      <c r="P146" s="220"/>
    </row>
    <row r="147" spans="6:16" s="373" customFormat="1">
      <c r="F147" s="173"/>
      <c r="G147" s="174"/>
      <c r="H147" s="174"/>
      <c r="I147" s="5"/>
      <c r="J147" s="5"/>
      <c r="K147" s="5"/>
      <c r="L147" s="5"/>
      <c r="M147" s="374"/>
      <c r="N147" s="377"/>
      <c r="O147" s="377"/>
      <c r="P147" s="220"/>
    </row>
    <row r="148" spans="6:16" s="373" customFormat="1">
      <c r="F148" s="173"/>
      <c r="G148" s="174"/>
      <c r="H148" s="174"/>
      <c r="I148" s="158"/>
      <c r="J148" s="365"/>
      <c r="K148" s="376"/>
      <c r="L148" s="376"/>
      <c r="M148" s="374"/>
      <c r="N148" s="377"/>
      <c r="O148" s="377"/>
      <c r="P148" s="220"/>
    </row>
    <row r="149" spans="6:16" s="373" customFormat="1">
      <c r="F149" s="173"/>
      <c r="G149" s="174"/>
      <c r="H149" s="174"/>
      <c r="I149" s="158"/>
      <c r="J149" s="365"/>
      <c r="K149" s="376"/>
      <c r="L149" s="376"/>
      <c r="M149" s="374"/>
      <c r="N149" s="377"/>
      <c r="O149" s="377"/>
      <c r="P149" s="220"/>
    </row>
    <row r="150" spans="6:16" s="373" customFormat="1">
      <c r="F150" s="173"/>
      <c r="G150" s="174"/>
      <c r="H150" s="174"/>
      <c r="I150" s="158"/>
      <c r="J150" s="365"/>
      <c r="K150" s="376"/>
      <c r="L150" s="376"/>
      <c r="M150" s="374"/>
      <c r="N150" s="377"/>
      <c r="O150" s="377"/>
      <c r="P150" s="220"/>
    </row>
    <row r="151" spans="6:16" s="373" customFormat="1">
      <c r="F151" s="173"/>
      <c r="G151" s="174"/>
      <c r="H151" s="174"/>
      <c r="I151" s="158"/>
      <c r="J151" s="365"/>
      <c r="K151" s="376"/>
      <c r="L151" s="376"/>
      <c r="M151" s="374"/>
      <c r="N151" s="377"/>
      <c r="O151" s="377"/>
      <c r="P151" s="220"/>
    </row>
    <row r="152" spans="6:16" s="373" customFormat="1">
      <c r="F152" s="173"/>
      <c r="G152" s="2"/>
      <c r="H152" s="2"/>
      <c r="I152" s="158"/>
      <c r="J152" s="365"/>
      <c r="K152" s="376"/>
      <c r="L152" s="376"/>
      <c r="M152" s="374"/>
      <c r="N152" s="377"/>
      <c r="O152" s="377"/>
      <c r="P152" s="220"/>
    </row>
    <row r="153" spans="6:16" s="373" customFormat="1">
      <c r="H153" s="2"/>
      <c r="I153" s="158"/>
      <c r="J153" s="365"/>
      <c r="K153" s="376"/>
      <c r="L153" s="376"/>
      <c r="M153" s="374"/>
      <c r="N153" s="377"/>
      <c r="O153" s="377"/>
      <c r="P153" s="220"/>
    </row>
    <row r="154" spans="6:16" s="373" customFormat="1">
      <c r="H154" s="2"/>
      <c r="I154" s="5"/>
      <c r="J154" s="365"/>
      <c r="K154" s="378"/>
      <c r="L154" s="378"/>
      <c r="M154" s="378"/>
      <c r="N154" s="377"/>
      <c r="O154" s="377"/>
      <c r="P154" s="220"/>
    </row>
    <row r="155" spans="6:16" s="373" customFormat="1">
      <c r="H155" s="2"/>
      <c r="I155" s="5"/>
      <c r="J155" s="365"/>
      <c r="K155" s="378"/>
      <c r="L155" s="378"/>
      <c r="M155" s="378"/>
      <c r="N155" s="377"/>
      <c r="O155" s="377"/>
      <c r="P155" s="221"/>
    </row>
    <row r="156" spans="6:16" s="373" customFormat="1">
      <c r="I156" s="5"/>
      <c r="J156" s="365"/>
      <c r="K156" s="378"/>
      <c r="L156" s="378"/>
      <c r="M156" s="378"/>
      <c r="N156" s="377"/>
      <c r="O156" s="377"/>
      <c r="P156" s="221"/>
    </row>
    <row r="157" spans="6:16" s="373" customFormat="1">
      <c r="I157" s="5"/>
      <c r="J157" s="365"/>
      <c r="K157" s="378"/>
      <c r="L157" s="378"/>
      <c r="M157" s="378"/>
      <c r="N157" s="377"/>
      <c r="O157" s="377"/>
      <c r="P157" s="221"/>
    </row>
    <row r="158" spans="6:16" s="373" customFormat="1">
      <c r="I158" s="5"/>
      <c r="J158" s="365"/>
      <c r="K158" s="378"/>
      <c r="L158" s="378"/>
      <c r="M158" s="378"/>
      <c r="N158" s="377"/>
      <c r="O158" s="377"/>
      <c r="P158" s="221"/>
    </row>
    <row r="159" spans="6:16" s="373" customFormat="1">
      <c r="I159" s="5"/>
      <c r="J159" s="365"/>
      <c r="K159" s="378"/>
      <c r="L159" s="378"/>
      <c r="M159" s="378"/>
      <c r="N159" s="377"/>
      <c r="O159" s="377"/>
      <c r="P159" s="221"/>
    </row>
    <row r="160" spans="6:16" s="373" customFormat="1">
      <c r="I160" s="5"/>
      <c r="J160" s="365"/>
      <c r="K160" s="378"/>
      <c r="L160" s="378"/>
      <c r="M160" s="378"/>
      <c r="N160" s="377"/>
      <c r="O160" s="377"/>
      <c r="P160" s="221"/>
    </row>
    <row r="161" spans="9:15" s="373" customFormat="1">
      <c r="I161" s="5"/>
      <c r="J161" s="365"/>
      <c r="K161" s="378"/>
      <c r="L161" s="378"/>
      <c r="M161" s="378"/>
      <c r="N161" s="379"/>
      <c r="O161" s="379"/>
    </row>
    <row r="162" spans="9:15" s="373" customFormat="1">
      <c r="J162" s="365"/>
      <c r="K162" s="379"/>
      <c r="L162" s="379"/>
      <c r="M162" s="379"/>
      <c r="N162" s="379"/>
      <c r="O162" s="379"/>
    </row>
    <row r="163" spans="9:15" s="373" customFormat="1">
      <c r="J163" s="365"/>
      <c r="K163" s="379"/>
      <c r="L163" s="379"/>
      <c r="M163" s="379"/>
      <c r="N163" s="379"/>
      <c r="O163" s="379"/>
    </row>
    <row r="164" spans="9:15" s="373" customFormat="1">
      <c r="J164" s="365"/>
      <c r="K164" s="379"/>
      <c r="L164" s="379"/>
      <c r="M164" s="379"/>
      <c r="N164" s="379"/>
      <c r="O164" s="379"/>
    </row>
    <row r="165" spans="9:15" s="373" customFormat="1">
      <c r="J165" s="365"/>
      <c r="K165" s="379"/>
      <c r="L165" s="379"/>
      <c r="M165" s="379"/>
      <c r="N165" s="379"/>
      <c r="O165" s="379"/>
    </row>
    <row r="166" spans="9:15" s="373" customFormat="1">
      <c r="J166" s="365"/>
      <c r="K166" s="379"/>
      <c r="L166" s="379"/>
      <c r="M166" s="379"/>
      <c r="N166" s="379"/>
      <c r="O166" s="379"/>
    </row>
    <row r="167" spans="9:15" s="373" customFormat="1">
      <c r="J167" s="365"/>
      <c r="K167" s="379"/>
      <c r="L167" s="379"/>
      <c r="M167" s="379"/>
      <c r="N167" s="379"/>
      <c r="O167" s="379"/>
    </row>
    <row r="168" spans="9:15" s="373" customFormat="1">
      <c r="J168" s="365"/>
      <c r="K168" s="379"/>
      <c r="L168" s="379"/>
      <c r="M168" s="379"/>
      <c r="N168" s="379"/>
      <c r="O168" s="379"/>
    </row>
    <row r="169" spans="9:15" s="373" customFormat="1">
      <c r="J169" s="365"/>
      <c r="K169" s="379"/>
      <c r="L169" s="379"/>
      <c r="M169" s="379"/>
      <c r="N169" s="379"/>
      <c r="O169" s="379"/>
    </row>
    <row r="170" spans="9:15" s="373" customFormat="1">
      <c r="J170" s="365"/>
      <c r="K170" s="379"/>
      <c r="L170" s="379"/>
      <c r="M170" s="379"/>
      <c r="N170" s="379"/>
      <c r="O170" s="379"/>
    </row>
    <row r="171" spans="9:15" s="373" customFormat="1">
      <c r="J171" s="365"/>
      <c r="K171" s="379"/>
      <c r="L171" s="379"/>
      <c r="M171" s="379"/>
    </row>
    <row r="172" spans="9:15" s="373" customFormat="1">
      <c r="J172" s="365"/>
    </row>
    <row r="173" spans="9:15" s="373" customFormat="1">
      <c r="J173" s="365"/>
    </row>
    <row r="174" spans="9:15" s="373" customFormat="1">
      <c r="J174" s="365"/>
    </row>
    <row r="175" spans="9:15" s="373" customFormat="1"/>
    <row r="176" spans="9:15" s="373" customFormat="1">
      <c r="J176" s="365"/>
    </row>
    <row r="177" spans="2:10" s="373" customFormat="1">
      <c r="J177" s="365"/>
    </row>
    <row r="178" spans="2:10" s="373" customFormat="1">
      <c r="J178" s="365"/>
    </row>
    <row r="179" spans="2:10" s="373" customFormat="1">
      <c r="J179" s="365"/>
    </row>
    <row r="180" spans="2:10" s="373" customFormat="1">
      <c r="J180" s="365"/>
    </row>
    <row r="181" spans="2:10" s="373" customFormat="1">
      <c r="J181" s="365"/>
    </row>
    <row r="182" spans="2:10" s="373" customFormat="1">
      <c r="J182" s="365"/>
    </row>
    <row r="183" spans="2:10" s="373" customFormat="1">
      <c r="J183" s="365"/>
    </row>
    <row r="184" spans="2:10" s="373" customFormat="1">
      <c r="J184" s="365"/>
    </row>
    <row r="185" spans="2:10" s="373" customFormat="1">
      <c r="J185" s="365"/>
    </row>
    <row r="186" spans="2:10" s="373" customFormat="1">
      <c r="J186" s="365"/>
    </row>
    <row r="187" spans="2:10" s="373" customFormat="1">
      <c r="F187" s="173"/>
      <c r="J187" s="365"/>
    </row>
    <row r="188" spans="2:10" s="373" customFormat="1">
      <c r="B188" s="2"/>
      <c r="C188" s="2"/>
      <c r="D188" s="2"/>
      <c r="E188" s="2"/>
      <c r="F188" s="2"/>
      <c r="G188" s="2"/>
      <c r="H188" s="2"/>
      <c r="J188" s="365"/>
    </row>
    <row r="189" spans="2:10" s="373" customFormat="1">
      <c r="B189" s="2"/>
      <c r="C189" s="2"/>
      <c r="D189" s="2"/>
      <c r="E189" s="2"/>
      <c r="F189" s="2"/>
      <c r="G189" s="2"/>
      <c r="H189" s="2"/>
      <c r="J189" s="365"/>
    </row>
    <row r="190" spans="2:10" s="373" customFormat="1">
      <c r="B190" s="2"/>
      <c r="C190" s="2"/>
      <c r="D190" s="2"/>
      <c r="E190" s="2"/>
      <c r="F190" s="2"/>
      <c r="G190" s="2"/>
      <c r="H190" s="2"/>
      <c r="J190" s="365"/>
    </row>
    <row r="191" spans="2:10" s="373" customFormat="1">
      <c r="B191" s="2"/>
      <c r="C191" s="2"/>
      <c r="D191" s="2"/>
      <c r="E191" s="2"/>
      <c r="F191" s="2"/>
      <c r="G191" s="2"/>
      <c r="H191" s="2"/>
      <c r="J191" s="365"/>
    </row>
    <row r="192" spans="2:10" s="373" customFormat="1">
      <c r="B192" s="2"/>
      <c r="C192" s="2"/>
      <c r="D192" s="2"/>
      <c r="E192" s="2"/>
      <c r="F192" s="2"/>
      <c r="G192" s="2"/>
      <c r="H192" s="2"/>
      <c r="J192" s="365"/>
    </row>
    <row r="193" spans="2:13">
      <c r="I193" s="373"/>
      <c r="J193" s="365"/>
      <c r="K193" s="373"/>
      <c r="L193" s="373"/>
      <c r="M193" s="373"/>
    </row>
    <row r="194" spans="2:13">
      <c r="J194" s="365"/>
    </row>
    <row r="195" spans="2:13">
      <c r="J195" s="365"/>
    </row>
    <row r="196" spans="2:13">
      <c r="B196" s="373"/>
      <c r="C196" s="373"/>
      <c r="D196" s="373"/>
      <c r="E196" s="373"/>
      <c r="F196" s="373"/>
      <c r="G196" s="373"/>
      <c r="H196" s="373"/>
      <c r="J196" s="365"/>
    </row>
    <row r="197" spans="2:13">
      <c r="J197" s="365"/>
    </row>
    <row r="198" spans="2:13">
      <c r="J198" s="365"/>
    </row>
    <row r="199" spans="2:13">
      <c r="J199" s="365"/>
    </row>
    <row r="200" spans="2:13">
      <c r="J200" s="365"/>
    </row>
    <row r="201" spans="2:13" s="373" customFormat="1">
      <c r="B201" s="2"/>
      <c r="C201" s="2"/>
      <c r="D201" s="2"/>
      <c r="E201" s="2"/>
      <c r="F201" s="2"/>
      <c r="G201" s="2"/>
      <c r="H201" s="2"/>
      <c r="I201" s="5"/>
      <c r="J201" s="365"/>
      <c r="K201" s="2"/>
      <c r="L201" s="2"/>
      <c r="M201" s="2"/>
    </row>
    <row r="202" spans="2:13">
      <c r="I202" s="175"/>
      <c r="J202" s="365"/>
      <c r="K202" s="175"/>
      <c r="L202" s="175"/>
      <c r="M202" s="175"/>
    </row>
    <row r="203" spans="2:13">
      <c r="J203" s="365"/>
    </row>
    <row r="204" spans="2:13">
      <c r="J204" s="365"/>
    </row>
    <row r="205" spans="2:13">
      <c r="J205" s="365"/>
    </row>
    <row r="206" spans="2:13">
      <c r="J206" s="365"/>
    </row>
    <row r="207" spans="2:13">
      <c r="J207" s="365"/>
    </row>
    <row r="208" spans="2:13">
      <c r="J208" s="365"/>
    </row>
    <row r="209" spans="2:18">
      <c r="J209" s="365"/>
    </row>
    <row r="210" spans="2:18">
      <c r="J210" s="365"/>
    </row>
    <row r="211" spans="2:18">
      <c r="J211" s="365"/>
    </row>
    <row r="212" spans="2:18">
      <c r="J212" s="365"/>
    </row>
    <row r="213" spans="2:18">
      <c r="B213" s="373"/>
      <c r="C213" s="373"/>
      <c r="D213" s="373"/>
      <c r="E213" s="373"/>
      <c r="F213" s="373"/>
      <c r="G213" s="373"/>
      <c r="H213" s="373"/>
      <c r="J213" s="365"/>
    </row>
    <row r="214" spans="2:18">
      <c r="J214" s="365"/>
    </row>
    <row r="215" spans="2:18">
      <c r="J215" s="365">
        <f t="shared" ref="J215" si="92">J214+1</f>
        <v>1</v>
      </c>
    </row>
    <row r="218" spans="2:18" s="373" customFormat="1">
      <c r="B218" s="2"/>
      <c r="C218" s="2"/>
      <c r="D218" s="2"/>
      <c r="E218" s="2"/>
      <c r="F218" s="2"/>
      <c r="G218" s="2"/>
      <c r="H218" s="2"/>
      <c r="I218" s="5"/>
      <c r="J218" s="2"/>
      <c r="K218" s="2"/>
      <c r="L218" s="2"/>
      <c r="M218" s="2"/>
      <c r="N218" s="222"/>
      <c r="O218" s="222"/>
      <c r="P218" s="222"/>
      <c r="Q218" s="223"/>
      <c r="R218" s="222"/>
    </row>
    <row r="219" spans="2:18">
      <c r="I219" s="373"/>
      <c r="J219" s="373"/>
      <c r="K219" s="373"/>
      <c r="L219" s="373"/>
      <c r="M219" s="373"/>
    </row>
  </sheetData>
  <autoFilter ref="N2:Q114" xr:uid="{00000000-0009-0000-0000-000006000000}"/>
  <mergeCells count="10">
    <mergeCell ref="D61:E61"/>
    <mergeCell ref="F61:G61"/>
    <mergeCell ref="F74:H74"/>
    <mergeCell ref="E14:F14"/>
    <mergeCell ref="E15:F15"/>
    <mergeCell ref="E17:F17"/>
    <mergeCell ref="E18:F18"/>
    <mergeCell ref="E19:F19"/>
    <mergeCell ref="D48:E48"/>
    <mergeCell ref="F48:G48"/>
  </mergeCells>
  <phoneticPr fontId="3" type="noConversion"/>
  <conditionalFormatting sqref="CI2:CN2 S3:T114 AK4:AL114 AK3 BX3:CB3 N46:R113 BX4:CA4 AH3:AI114 CD3:CN114 BW5:CA114 W3:AF114">
    <cfRule type="cellIs" dxfId="154" priority="75" stopIfTrue="1" operator="equal">
      <formula>""</formula>
    </cfRule>
    <cfRule type="expression" dxfId="153" priority="76">
      <formula>""""""</formula>
    </cfRule>
  </conditionalFormatting>
  <conditionalFormatting sqref="AE85">
    <cfRule type="expression" dxfId="152" priority="74">
      <formula>""</formula>
    </cfRule>
  </conditionalFormatting>
  <conditionalFormatting sqref="CI2:CN2 S3:T3 AK3 BX3:CB3 AH3:AI3 CD3:CN3 W3:AF3">
    <cfRule type="cellIs" dxfId="151" priority="73" operator="equal">
      <formula>""""""</formula>
    </cfRule>
  </conditionalFormatting>
  <conditionalFormatting sqref="N2:R114">
    <cfRule type="containsBlanks" dxfId="150" priority="72" stopIfTrue="1">
      <formula>LEN(TRIM(N2))=0</formula>
    </cfRule>
  </conditionalFormatting>
  <conditionalFormatting sqref="N118:R118 N120 P119:R120 N116:N117 P116:R117">
    <cfRule type="containsBlanks" dxfId="149" priority="71" stopIfTrue="1">
      <formula>LEN(TRIM(N116))=0</formula>
    </cfRule>
  </conditionalFormatting>
  <conditionalFormatting sqref="AJ3:AJ114">
    <cfRule type="cellIs" dxfId="148" priority="69" stopIfTrue="1" operator="equal">
      <formula>""</formula>
    </cfRule>
    <cfRule type="expression" dxfId="147" priority="70">
      <formula>""""""</formula>
    </cfRule>
  </conditionalFormatting>
  <conditionalFormatting sqref="AJ3">
    <cfRule type="cellIs" dxfId="146" priority="68" operator="equal">
      <formula>""""""</formula>
    </cfRule>
  </conditionalFormatting>
  <conditionalFormatting sqref="AM4:AM114">
    <cfRule type="cellIs" dxfId="145" priority="66" stopIfTrue="1" operator="equal">
      <formula>""</formula>
    </cfRule>
    <cfRule type="expression" dxfId="144" priority="67">
      <formula>""""""</formula>
    </cfRule>
  </conditionalFormatting>
  <conditionalFormatting sqref="BO3:BV3">
    <cfRule type="cellIs" dxfId="143" priority="54" operator="equal">
      <formula>""""""</formula>
    </cfRule>
  </conditionalFormatting>
  <conditionalFormatting sqref="AL3:AM3">
    <cfRule type="cellIs" dxfId="142" priority="64" stopIfTrue="1" operator="equal">
      <formula>""</formula>
    </cfRule>
    <cfRule type="expression" dxfId="141" priority="65">
      <formula>""""""</formula>
    </cfRule>
  </conditionalFormatting>
  <conditionalFormatting sqref="AL3:AM3">
    <cfRule type="cellIs" dxfId="140" priority="63" operator="equal">
      <formula>""""""</formula>
    </cfRule>
  </conditionalFormatting>
  <conditionalFormatting sqref="BM3:BM114">
    <cfRule type="cellIs" dxfId="139" priority="61" stopIfTrue="1" operator="equal">
      <formula>""</formula>
    </cfRule>
    <cfRule type="expression" dxfId="138" priority="62">
      <formula>""""""</formula>
    </cfRule>
  </conditionalFormatting>
  <conditionalFormatting sqref="BM3">
    <cfRule type="cellIs" dxfId="137" priority="60" operator="equal">
      <formula>""""""</formula>
    </cfRule>
  </conditionalFormatting>
  <conditionalFormatting sqref="BN3:BN114">
    <cfRule type="cellIs" dxfId="136" priority="58" stopIfTrue="1" operator="equal">
      <formula>""</formula>
    </cfRule>
    <cfRule type="expression" dxfId="135" priority="59">
      <formula>""""""</formula>
    </cfRule>
  </conditionalFormatting>
  <conditionalFormatting sqref="BN3">
    <cfRule type="cellIs" dxfId="134" priority="57" operator="equal">
      <formula>""""""</formula>
    </cfRule>
  </conditionalFormatting>
  <conditionalFormatting sqref="BO3:BV3 BO5:BV114 BO4:BP4 BR4:BV4">
    <cfRule type="cellIs" dxfId="133" priority="55" stopIfTrue="1" operator="equal">
      <formula>""</formula>
    </cfRule>
    <cfRule type="expression" dxfId="132" priority="56">
      <formula>""""""</formula>
    </cfRule>
  </conditionalFormatting>
  <conditionalFormatting sqref="CC3:CC114">
    <cfRule type="cellIs" dxfId="131" priority="52" stopIfTrue="1" operator="equal">
      <formula>""</formula>
    </cfRule>
    <cfRule type="expression" dxfId="130" priority="53">
      <formula>""""""</formula>
    </cfRule>
  </conditionalFormatting>
  <conditionalFormatting sqref="CC3">
    <cfRule type="cellIs" dxfId="129" priority="51" operator="equal">
      <formula>""""""</formula>
    </cfRule>
  </conditionalFormatting>
  <conditionalFormatting sqref="AV3:AV114">
    <cfRule type="cellIs" dxfId="128" priority="40" stopIfTrue="1" operator="equal">
      <formula>""</formula>
    </cfRule>
    <cfRule type="expression" dxfId="127" priority="41">
      <formula>""""""</formula>
    </cfRule>
  </conditionalFormatting>
  <conditionalFormatting sqref="AV3">
    <cfRule type="cellIs" dxfId="126" priority="39" operator="equal">
      <formula>""""""</formula>
    </cfRule>
  </conditionalFormatting>
  <conditionalFormatting sqref="BB3:BB114 AX3:AZ114">
    <cfRule type="cellIs" dxfId="125" priority="37" stopIfTrue="1" operator="equal">
      <formula>""</formula>
    </cfRule>
    <cfRule type="expression" dxfId="124" priority="38">
      <formula>""""""</formula>
    </cfRule>
  </conditionalFormatting>
  <conditionalFormatting sqref="AX3:AZ3 BB3">
    <cfRule type="cellIs" dxfId="123" priority="36" operator="equal">
      <formula>""""""</formula>
    </cfRule>
  </conditionalFormatting>
  <conditionalFormatting sqref="BA3:BA114">
    <cfRule type="cellIs" dxfId="122" priority="34" stopIfTrue="1" operator="equal">
      <formula>""</formula>
    </cfRule>
    <cfRule type="expression" dxfId="121" priority="35">
      <formula>""""""</formula>
    </cfRule>
  </conditionalFormatting>
  <conditionalFormatting sqref="BA3">
    <cfRule type="cellIs" dxfId="120" priority="33" operator="equal">
      <formula>""""""</formula>
    </cfRule>
  </conditionalFormatting>
  <conditionalFormatting sqref="BG3:BG114 BC3:BE114">
    <cfRule type="cellIs" dxfId="119" priority="31" stopIfTrue="1" operator="equal">
      <formula>""</formula>
    </cfRule>
    <cfRule type="expression" dxfId="118" priority="32">
      <formula>""""""</formula>
    </cfRule>
  </conditionalFormatting>
  <conditionalFormatting sqref="BC3:BE3 BG3">
    <cfRule type="cellIs" dxfId="117" priority="30" operator="equal">
      <formula>""""""</formula>
    </cfRule>
  </conditionalFormatting>
  <conditionalFormatting sqref="BF3:BF114">
    <cfRule type="cellIs" dxfId="116" priority="28" stopIfTrue="1" operator="equal">
      <formula>""</formula>
    </cfRule>
    <cfRule type="expression" dxfId="115" priority="29">
      <formula>""""""</formula>
    </cfRule>
  </conditionalFormatting>
  <conditionalFormatting sqref="BL3:BL114 BH3:BJ114">
    <cfRule type="cellIs" dxfId="114" priority="25" stopIfTrue="1" operator="equal">
      <formula>""</formula>
    </cfRule>
    <cfRule type="expression" dxfId="113" priority="26">
      <formula>""""""</formula>
    </cfRule>
  </conditionalFormatting>
  <conditionalFormatting sqref="AR3:AR114 AN3:AP114">
    <cfRule type="cellIs" dxfId="112" priority="49" stopIfTrue="1" operator="equal">
      <formula>""</formula>
    </cfRule>
    <cfRule type="expression" dxfId="111" priority="50">
      <formula>""""""</formula>
    </cfRule>
  </conditionalFormatting>
  <conditionalFormatting sqref="AN3:AP3 AR3">
    <cfRule type="cellIs" dxfId="110" priority="48" operator="equal">
      <formula>""""""</formula>
    </cfRule>
  </conditionalFormatting>
  <conditionalFormatting sqref="AQ3:AQ114">
    <cfRule type="cellIs" dxfId="109" priority="46" stopIfTrue="1" operator="equal">
      <formula>""</formula>
    </cfRule>
    <cfRule type="expression" dxfId="108" priority="47">
      <formula>""""""</formula>
    </cfRule>
  </conditionalFormatting>
  <conditionalFormatting sqref="AQ3">
    <cfRule type="cellIs" dxfId="107" priority="45" operator="equal">
      <formula>""""""</formula>
    </cfRule>
  </conditionalFormatting>
  <conditionalFormatting sqref="AW3:AW114 AS3:AU114">
    <cfRule type="cellIs" dxfId="106" priority="43" stopIfTrue="1" operator="equal">
      <formula>""</formula>
    </cfRule>
    <cfRule type="expression" dxfId="105" priority="44">
      <formula>""""""</formula>
    </cfRule>
  </conditionalFormatting>
  <conditionalFormatting sqref="AS3:AU3 AW3">
    <cfRule type="cellIs" dxfId="104" priority="42" operator="equal">
      <formula>""""""</formula>
    </cfRule>
  </conditionalFormatting>
  <conditionalFormatting sqref="BK3">
    <cfRule type="cellIs" dxfId="103" priority="21" operator="equal">
      <formula>""""""</formula>
    </cfRule>
  </conditionalFormatting>
  <conditionalFormatting sqref="BF3">
    <cfRule type="cellIs" dxfId="102" priority="27" operator="equal">
      <formula>""""""</formula>
    </cfRule>
  </conditionalFormatting>
  <conditionalFormatting sqref="BH3:BJ3 BL3">
    <cfRule type="cellIs" dxfId="101" priority="24" operator="equal">
      <formula>""""""</formula>
    </cfRule>
  </conditionalFormatting>
  <conditionalFormatting sqref="BK3:BK114">
    <cfRule type="cellIs" dxfId="100" priority="22" stopIfTrue="1" operator="equal">
      <formula>""</formula>
    </cfRule>
    <cfRule type="expression" dxfId="99" priority="23">
      <formula>""""""</formula>
    </cfRule>
  </conditionalFormatting>
  <conditionalFormatting sqref="O120">
    <cfRule type="containsBlanks" dxfId="98" priority="20" stopIfTrue="1">
      <formula>LEN(TRIM(O120))=0</formula>
    </cfRule>
  </conditionalFormatting>
  <conditionalFormatting sqref="BW3:BW4">
    <cfRule type="cellIs" dxfId="97" priority="18" stopIfTrue="1" operator="equal">
      <formula>""</formula>
    </cfRule>
    <cfRule type="expression" dxfId="96" priority="19">
      <formula>""""""</formula>
    </cfRule>
  </conditionalFormatting>
  <conditionalFormatting sqref="BW3">
    <cfRule type="cellIs" dxfId="95" priority="17" operator="equal">
      <formula>""""""</formula>
    </cfRule>
  </conditionalFormatting>
  <conditionalFormatting sqref="BQ4">
    <cfRule type="cellIs" dxfId="94" priority="15" stopIfTrue="1" operator="equal">
      <formula>""</formula>
    </cfRule>
    <cfRule type="expression" dxfId="93" priority="16">
      <formula>""""""</formula>
    </cfRule>
  </conditionalFormatting>
  <conditionalFormatting sqref="AG3:AG114">
    <cfRule type="cellIs" dxfId="92" priority="13" stopIfTrue="1" operator="equal">
      <formula>""</formula>
    </cfRule>
    <cfRule type="expression" dxfId="91" priority="14">
      <formula>""""""</formula>
    </cfRule>
  </conditionalFormatting>
  <conditionalFormatting sqref="AG3">
    <cfRule type="cellIs" dxfId="90" priority="12" operator="equal">
      <formula>""""""</formula>
    </cfRule>
  </conditionalFormatting>
  <conditionalFormatting sqref="V3:V114">
    <cfRule type="cellIs" dxfId="89" priority="10" stopIfTrue="1" operator="equal">
      <formula>""</formula>
    </cfRule>
    <cfRule type="expression" dxfId="88" priority="11">
      <formula>""""""</formula>
    </cfRule>
  </conditionalFormatting>
  <conditionalFormatting sqref="V3">
    <cfRule type="cellIs" dxfId="87" priority="9" operator="equal">
      <formula>""""""</formula>
    </cfRule>
  </conditionalFormatting>
  <conditionalFormatting sqref="O116:O117">
    <cfRule type="containsBlanks" dxfId="86" priority="8" stopIfTrue="1">
      <formula>LEN(TRIM(O116))=0</formula>
    </cfRule>
  </conditionalFormatting>
  <conditionalFormatting sqref="U3:U114">
    <cfRule type="cellIs" dxfId="85" priority="6" stopIfTrue="1" operator="equal">
      <formula>""</formula>
    </cfRule>
    <cfRule type="expression" dxfId="84" priority="7">
      <formula>""""""</formula>
    </cfRule>
  </conditionalFormatting>
  <conditionalFormatting sqref="U3">
    <cfRule type="cellIs" dxfId="83" priority="5" operator="equal">
      <formula>""""""</formula>
    </cfRule>
  </conditionalFormatting>
  <conditionalFormatting sqref="CB5:CB114">
    <cfRule type="cellIs" dxfId="82" priority="3" stopIfTrue="1" operator="equal">
      <formula>""</formula>
    </cfRule>
    <cfRule type="expression" dxfId="81" priority="4">
      <formula>""""""</formula>
    </cfRule>
  </conditionalFormatting>
  <conditionalFormatting sqref="CB4">
    <cfRule type="cellIs" dxfId="80" priority="1" stopIfTrue="1" operator="equal">
      <formula>""</formula>
    </cfRule>
    <cfRule type="expression" dxfId="79" priority="2">
      <formula>""""""</formula>
    </cfRule>
  </conditionalFormatting>
  <dataValidations disablePrompts="1" count="6">
    <dataValidation type="list" showInputMessage="1" showErrorMessage="1" sqref="E4" xr:uid="{00000000-0002-0000-0600-000000000000}">
      <formula1>OFFSET($D$75,1,0,COUNTA($D$76:$D$104))</formula1>
    </dataValidation>
    <dataValidation type="list" allowBlank="1" showInputMessage="1" showErrorMessage="1" sqref="E8" xr:uid="{00000000-0002-0000-0600-000001000000}">
      <formula1>OFFSET($D$62,1,0,COUNTA($D$63:$D$71))</formula1>
    </dataValidation>
    <dataValidation type="list" allowBlank="1" showInputMessage="1" showErrorMessage="1" sqref="E7" xr:uid="{00000000-0002-0000-0600-000002000000}">
      <formula1>OFFSET($F$49,1,0,COUNTA($F$50:$F$58))</formula1>
    </dataValidation>
    <dataValidation type="list" allowBlank="1" showInputMessage="1" showErrorMessage="1" sqref="E6" xr:uid="{00000000-0002-0000-0600-000003000000}">
      <formula1>OFFSET($D$49,1,0,COUNTA($D$50:$D$58))</formula1>
    </dataValidation>
    <dataValidation type="list" allowBlank="1" showInputMessage="1" showErrorMessage="1" sqref="E5" xr:uid="{00000000-0002-0000-0600-000004000000}">
      <formula1>OFFSET($E$75,1,0,COUNTA($E$76:$E$104))</formula1>
    </dataValidation>
    <dataValidation type="list" allowBlank="1" showInputMessage="1" showErrorMessage="1" sqref="E9" xr:uid="{00000000-0002-0000-0600-000005000000}">
      <formula1>OFFSET(#REF!,1,0,COUNTA(#REF!))</formula1>
    </dataValidation>
  </dataValidations>
  <pageMargins left="0.70866141732283472" right="0.70866141732283472" top="0.74803149606299213" bottom="0.74803149606299213" header="0.31496062992125984" footer="0.31496062992125984"/>
  <pageSetup paperSize="9" scale="52" orientation="landscape" r:id="rId1"/>
  <colBreaks count="1" manualBreakCount="1">
    <brk id="12" max="51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GQ218"/>
  <sheetViews>
    <sheetView zoomScale="70" zoomScaleNormal="70" workbookViewId="0">
      <selection activeCell="E4" sqref="E4"/>
    </sheetView>
  </sheetViews>
  <sheetFormatPr defaultColWidth="9" defaultRowHeight="16.5"/>
  <cols>
    <col min="1" max="1" width="11" style="1" customWidth="1"/>
    <col min="2" max="2" width="1.625" style="2" customWidth="1"/>
    <col min="3" max="3" width="4.125" style="2" customWidth="1"/>
    <col min="4" max="4" width="14.625" style="2" customWidth="1"/>
    <col min="5" max="5" width="13.625" style="2" customWidth="1"/>
    <col min="6" max="6" width="12.625" style="2" customWidth="1"/>
    <col min="7" max="7" width="8.5" style="2" customWidth="1"/>
    <col min="8" max="8" width="10.75" style="2" customWidth="1"/>
    <col min="9" max="9" width="16.75" style="5" customWidth="1"/>
    <col min="10" max="10" width="17.875" style="2" customWidth="1"/>
    <col min="11" max="11" width="15.25" style="2" bestFit="1" customWidth="1"/>
    <col min="12" max="13" width="1.75" style="2" customWidth="1"/>
    <col min="14" max="15" width="9.875" style="221" customWidth="1"/>
    <col min="16" max="16" width="13.75" style="221" customWidth="1"/>
    <col min="17" max="17" width="14.25" style="221" bestFit="1" customWidth="1"/>
    <col min="18" max="18" width="12.375" style="221" bestFit="1" customWidth="1"/>
    <col min="19" max="19" width="10.25" style="221" bestFit="1" customWidth="1"/>
    <col min="20" max="20" width="10" style="221" customWidth="1"/>
    <col min="21" max="21" width="10" style="6" bestFit="1" customWidth="1"/>
    <col min="22" max="22" width="16.625" style="372" bestFit="1" customWidth="1"/>
    <col min="23" max="23" width="16.625" style="372" customWidth="1"/>
    <col min="24" max="24" width="16.625" style="372" bestFit="1" customWidth="1"/>
    <col min="25" max="26" width="14.125" style="372" bestFit="1" customWidth="1"/>
    <col min="27" max="27" width="14.25" style="7" bestFit="1" customWidth="1"/>
    <col min="28" max="29" width="13.25" style="7" customWidth="1"/>
    <col min="30" max="30" width="14.625" style="7" customWidth="1"/>
    <col min="31" max="32" width="13.25" style="7" customWidth="1"/>
    <col min="33" max="33" width="13.125" style="372" bestFit="1" customWidth="1"/>
    <col min="34" max="34" width="14.125" style="7" bestFit="1" customWidth="1"/>
    <col min="35" max="35" width="13.25" style="7" customWidth="1"/>
    <col min="36" max="38" width="14.125" style="7" customWidth="1"/>
    <col min="39" max="39" width="13.125" style="7" customWidth="1"/>
    <col min="40" max="40" width="14.125" style="7" customWidth="1"/>
    <col min="41" max="41" width="9.125" style="7" bestFit="1" customWidth="1"/>
    <col min="42" max="42" width="11.25" style="7" hidden="1" customWidth="1"/>
    <col min="43" max="43" width="5.5" style="7" hidden="1" customWidth="1"/>
    <col min="44" max="45" width="7.125" style="7" hidden="1" customWidth="1"/>
    <col min="46" max="46" width="9.125" style="7" hidden="1" customWidth="1"/>
    <col min="47" max="47" width="5.75" style="7" hidden="1" customWidth="1"/>
    <col min="48" max="48" width="5.5" style="7" hidden="1" customWidth="1"/>
    <col min="49" max="50" width="7.125" style="7" hidden="1" customWidth="1"/>
    <col min="51" max="51" width="9.125" style="7" hidden="1" customWidth="1"/>
    <col min="52" max="52" width="20.125" style="7" hidden="1" customWidth="1"/>
    <col min="53" max="53" width="5.5" style="7" hidden="1" customWidth="1"/>
    <col min="54" max="55" width="7.125" style="7" hidden="1" customWidth="1"/>
    <col min="56" max="56" width="9.125" style="7" hidden="1" customWidth="1"/>
    <col min="57" max="57" width="16.5" style="7" hidden="1" customWidth="1"/>
    <col min="58" max="58" width="5.5" style="7" hidden="1" customWidth="1"/>
    <col min="59" max="60" width="7.125" style="7" hidden="1" customWidth="1"/>
    <col min="61" max="61" width="9.125" style="7" hidden="1" customWidth="1"/>
    <col min="62" max="62" width="16.5" style="7" hidden="1" customWidth="1"/>
    <col min="63" max="63" width="5.5" style="7" hidden="1" customWidth="1"/>
    <col min="64" max="65" width="7.125" style="7" hidden="1" customWidth="1"/>
    <col min="66" max="66" width="9.125" style="7" hidden="1" customWidth="1"/>
    <col min="67" max="67" width="5.5" style="7" bestFit="1" customWidth="1"/>
    <col min="68" max="68" width="14.25" style="7" bestFit="1" customWidth="1"/>
    <col min="69" max="69" width="6.25" style="7" bestFit="1" customWidth="1"/>
    <col min="70" max="70" width="8.375" style="7" bestFit="1" customWidth="1"/>
    <col min="71" max="71" width="14.125" style="7" bestFit="1" customWidth="1"/>
    <col min="72" max="72" width="17.75" style="7" bestFit="1" customWidth="1"/>
    <col min="73" max="74" width="7.75" style="7" bestFit="1" customWidth="1"/>
    <col min="75" max="75" width="15.25" style="7" bestFit="1" customWidth="1"/>
    <col min="76" max="76" width="6.75" style="7" bestFit="1" customWidth="1"/>
    <col min="77" max="77" width="13.125" style="7" hidden="1" customWidth="1"/>
    <col min="78" max="80" width="13.125" style="7" customWidth="1"/>
    <col min="81" max="84" width="14.125" style="7" customWidth="1"/>
    <col min="85" max="85" width="18.125" style="7" customWidth="1"/>
    <col min="86" max="86" width="14.125" style="7" customWidth="1"/>
    <col min="87" max="87" width="14.125" style="265" customWidth="1"/>
    <col min="88" max="100" width="14.125" style="12" customWidth="1"/>
    <col min="101" max="16384" width="9" style="373"/>
  </cols>
  <sheetData>
    <row r="1" spans="1:875" ht="17.25" thickBot="1">
      <c r="C1" s="3"/>
      <c r="D1" s="4"/>
      <c r="E1" s="4"/>
      <c r="F1" s="4"/>
      <c r="G1" s="4"/>
      <c r="H1" s="4"/>
      <c r="K1" s="4"/>
      <c r="L1" s="4"/>
      <c r="M1" s="227"/>
      <c r="Q1" s="299"/>
      <c r="R1" s="300"/>
      <c r="AB1" s="8"/>
      <c r="AC1" s="8"/>
      <c r="AE1" s="10"/>
      <c r="AF1" s="9"/>
      <c r="AG1" s="11"/>
      <c r="AI1" s="8"/>
      <c r="AM1" s="199" t="s">
        <v>66</v>
      </c>
      <c r="AP1" s="504"/>
      <c r="AQ1" s="504"/>
      <c r="AR1" s="504"/>
      <c r="AS1" s="504"/>
      <c r="AT1" s="505" t="s">
        <v>66</v>
      </c>
      <c r="AU1" s="504"/>
      <c r="AV1" s="504"/>
      <c r="AW1" s="504"/>
      <c r="AX1" s="504"/>
      <c r="AY1" s="505" t="s">
        <v>66</v>
      </c>
      <c r="AZ1" s="504" t="s">
        <v>163</v>
      </c>
      <c r="BA1" s="504"/>
      <c r="BB1" s="504"/>
      <c r="BC1" s="504"/>
      <c r="BD1" s="505" t="s">
        <v>66</v>
      </c>
      <c r="BE1" s="504" t="s">
        <v>164</v>
      </c>
      <c r="BF1" s="504"/>
      <c r="BG1" s="504"/>
      <c r="BH1" s="504"/>
      <c r="BI1" s="505" t="s">
        <v>66</v>
      </c>
      <c r="BJ1" s="504" t="s">
        <v>165</v>
      </c>
      <c r="BK1" s="504"/>
      <c r="BL1" s="504"/>
      <c r="BM1" s="504"/>
      <c r="BN1" s="505" t="s">
        <v>66</v>
      </c>
      <c r="CC1" s="200" t="s">
        <v>67</v>
      </c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</row>
    <row r="2" spans="1:875" ht="18" thickTop="1" thickBot="1">
      <c r="A2" s="14"/>
      <c r="B2" s="15"/>
      <c r="C2" s="16"/>
      <c r="D2" s="17" t="s">
        <v>0</v>
      </c>
      <c r="E2" s="630" t="str">
        <f>Main_무해지!E2</f>
        <v>남자</v>
      </c>
      <c r="F2" s="422">
        <f>Main_무해지!F2</f>
        <v>1</v>
      </c>
      <c r="G2" s="18"/>
      <c r="H2" s="321"/>
      <c r="I2" s="434" t="s">
        <v>1</v>
      </c>
      <c r="J2" s="449"/>
      <c r="K2" s="451">
        <f>K7*$E$12/E19*10000</f>
        <v>70</v>
      </c>
      <c r="L2" s="601"/>
      <c r="M2" s="21"/>
      <c r="N2" s="301" t="s">
        <v>70</v>
      </c>
      <c r="O2" s="302" t="s">
        <v>95</v>
      </c>
      <c r="P2" s="302" t="s">
        <v>71</v>
      </c>
      <c r="Q2" s="303" t="s">
        <v>72</v>
      </c>
      <c r="R2" s="303" t="s">
        <v>85</v>
      </c>
      <c r="S2" s="304" t="s">
        <v>73</v>
      </c>
      <c r="T2" s="228"/>
      <c r="V2" s="15" t="s">
        <v>105</v>
      </c>
      <c r="W2" s="15" t="s">
        <v>447</v>
      </c>
      <c r="X2" s="15" t="s">
        <v>107</v>
      </c>
      <c r="Y2" s="15" t="s">
        <v>108</v>
      </c>
      <c r="Z2" s="22" t="s">
        <v>109</v>
      </c>
      <c r="AA2" s="22" t="s">
        <v>110</v>
      </c>
      <c r="AB2" s="23" t="s">
        <v>104</v>
      </c>
      <c r="AC2" s="23"/>
      <c r="AD2" s="23" t="s">
        <v>114</v>
      </c>
      <c r="AE2" s="23" t="s">
        <v>106</v>
      </c>
      <c r="AF2" s="23" t="s">
        <v>2</v>
      </c>
      <c r="AG2" s="23" t="s">
        <v>87</v>
      </c>
      <c r="AH2" s="22" t="s">
        <v>3</v>
      </c>
      <c r="AI2" s="23"/>
      <c r="AJ2" s="22" t="s">
        <v>118</v>
      </c>
      <c r="AK2" s="22"/>
      <c r="AL2" s="22"/>
      <c r="AM2" s="198">
        <f>+Main_무해지!AT2</f>
        <v>1</v>
      </c>
      <c r="AN2" s="22"/>
      <c r="AO2" s="22"/>
      <c r="AP2" s="506" t="s">
        <v>221</v>
      </c>
      <c r="AQ2" s="506" t="s">
        <v>118</v>
      </c>
      <c r="AR2" s="506"/>
      <c r="AS2" s="506"/>
      <c r="AT2" s="507">
        <v>0</v>
      </c>
      <c r="AU2" s="506"/>
      <c r="AV2" s="506" t="s">
        <v>118</v>
      </c>
      <c r="AW2" s="506"/>
      <c r="AX2" s="506"/>
      <c r="AY2" s="507">
        <v>0</v>
      </c>
      <c r="AZ2" s="506" t="s">
        <v>117</v>
      </c>
      <c r="BA2" s="506" t="s">
        <v>118</v>
      </c>
      <c r="BB2" s="506"/>
      <c r="BC2" s="506"/>
      <c r="BD2" s="507">
        <v>0</v>
      </c>
      <c r="BE2" s="506" t="s">
        <v>117</v>
      </c>
      <c r="BF2" s="506" t="s">
        <v>118</v>
      </c>
      <c r="BG2" s="506"/>
      <c r="BH2" s="506"/>
      <c r="BI2" s="507">
        <v>0</v>
      </c>
      <c r="BJ2" s="506" t="s">
        <v>117</v>
      </c>
      <c r="BK2" s="506" t="s">
        <v>118</v>
      </c>
      <c r="BL2" s="506"/>
      <c r="BM2" s="506"/>
      <c r="BN2" s="507">
        <v>0</v>
      </c>
      <c r="BO2" s="22" t="s">
        <v>118</v>
      </c>
      <c r="BP2" s="22" t="s">
        <v>125</v>
      </c>
      <c r="BQ2" s="22"/>
      <c r="BR2" s="22"/>
      <c r="BS2" s="22"/>
      <c r="BT2" s="22" t="s">
        <v>126</v>
      </c>
      <c r="BU2" s="22"/>
      <c r="BV2" s="22"/>
      <c r="BW2" s="22"/>
      <c r="BX2" s="320">
        <v>1</v>
      </c>
      <c r="BY2" s="24"/>
      <c r="BZ2" s="24"/>
      <c r="CA2" s="24"/>
      <c r="CB2" s="24"/>
      <c r="CC2" s="25" t="s">
        <v>4</v>
      </c>
      <c r="CD2" s="26">
        <f>IF(F7=0,1,K38)</f>
        <v>1</v>
      </c>
      <c r="CF2" s="24"/>
      <c r="CG2" s="24"/>
      <c r="CH2" s="24"/>
      <c r="CI2" s="266"/>
      <c r="CJ2" s="233"/>
      <c r="CK2" s="233"/>
      <c r="CL2" s="233"/>
      <c r="CM2" s="233"/>
      <c r="CN2" s="233">
        <f>MIN($K$10,$K$11)</f>
        <v>0</v>
      </c>
      <c r="CO2" s="233"/>
      <c r="CP2" s="233"/>
      <c r="CQ2" s="233"/>
      <c r="CR2" s="233"/>
      <c r="CS2" s="233"/>
      <c r="CT2" s="233"/>
      <c r="CU2" s="233"/>
      <c r="CV2" s="233"/>
    </row>
    <row r="3" spans="1:875" ht="18" thickTop="1" thickBot="1">
      <c r="A3" s="14"/>
      <c r="B3" s="15"/>
      <c r="C3" s="28"/>
      <c r="D3" s="29" t="s">
        <v>6</v>
      </c>
      <c r="E3" s="631">
        <f>Main_무해지!E3</f>
        <v>0</v>
      </c>
      <c r="F3" s="676" t="s">
        <v>398</v>
      </c>
      <c r="G3" s="678">
        <f>+Main_무해지!G3</f>
        <v>1</v>
      </c>
      <c r="H3" s="322"/>
      <c r="I3" s="31" t="s">
        <v>7</v>
      </c>
      <c r="J3" s="32"/>
      <c r="K3" s="450">
        <f>K8*$E$12/E19*10000</f>
        <v>200</v>
      </c>
      <c r="L3" s="602"/>
      <c r="M3" s="33"/>
      <c r="N3" s="284" t="s">
        <v>74</v>
      </c>
      <c r="O3" s="283">
        <f>E3</f>
        <v>0</v>
      </c>
      <c r="P3" s="213">
        <v>0</v>
      </c>
      <c r="Q3" s="213">
        <f>+CI4*E12/$E$19*10000</f>
        <v>0</v>
      </c>
      <c r="R3" s="213">
        <f>Q3</f>
        <v>0</v>
      </c>
      <c r="S3" s="399">
        <v>0</v>
      </c>
      <c r="T3" s="229"/>
      <c r="U3" s="34" t="s">
        <v>8</v>
      </c>
      <c r="V3" s="35" t="s">
        <v>9</v>
      </c>
      <c r="W3" s="39" t="s">
        <v>13</v>
      </c>
      <c r="X3" s="39" t="s">
        <v>122</v>
      </c>
      <c r="Y3" s="36" t="s">
        <v>111</v>
      </c>
      <c r="Z3" s="36" t="s">
        <v>112</v>
      </c>
      <c r="AA3" s="37" t="s">
        <v>113</v>
      </c>
      <c r="AB3" s="36" t="s">
        <v>115</v>
      </c>
      <c r="AC3" s="36" t="s">
        <v>13</v>
      </c>
      <c r="AD3" s="36" t="s">
        <v>116</v>
      </c>
      <c r="AE3" s="36" t="s">
        <v>122</v>
      </c>
      <c r="AF3" s="36" t="s">
        <v>10</v>
      </c>
      <c r="AG3" s="36" t="s">
        <v>11</v>
      </c>
      <c r="AH3" s="37" t="s">
        <v>12</v>
      </c>
      <c r="AI3" s="36" t="s">
        <v>13</v>
      </c>
      <c r="AJ3" s="36" t="s">
        <v>122</v>
      </c>
      <c r="AK3" s="36" t="s">
        <v>119</v>
      </c>
      <c r="AL3" s="36" t="s">
        <v>120</v>
      </c>
      <c r="AM3" s="290" t="s">
        <v>121</v>
      </c>
      <c r="AN3" s="313" t="s">
        <v>123</v>
      </c>
      <c r="AO3" s="314" t="s">
        <v>124</v>
      </c>
      <c r="AP3" s="35" t="s">
        <v>13</v>
      </c>
      <c r="AQ3" s="36" t="s">
        <v>122</v>
      </c>
      <c r="AR3" s="36" t="s">
        <v>119</v>
      </c>
      <c r="AS3" s="36" t="s">
        <v>120</v>
      </c>
      <c r="AT3" s="290" t="s">
        <v>121</v>
      </c>
      <c r="AU3" s="35" t="s">
        <v>13</v>
      </c>
      <c r="AV3" s="36" t="s">
        <v>122</v>
      </c>
      <c r="AW3" s="36" t="s">
        <v>119</v>
      </c>
      <c r="AX3" s="36" t="s">
        <v>120</v>
      </c>
      <c r="AY3" s="290" t="s">
        <v>121</v>
      </c>
      <c r="AZ3" s="35" t="s">
        <v>13</v>
      </c>
      <c r="BA3" s="36" t="s">
        <v>122</v>
      </c>
      <c r="BB3" s="36" t="s">
        <v>119</v>
      </c>
      <c r="BC3" s="36" t="s">
        <v>120</v>
      </c>
      <c r="BD3" s="290" t="s">
        <v>121</v>
      </c>
      <c r="BE3" s="35" t="s">
        <v>13</v>
      </c>
      <c r="BF3" s="36" t="s">
        <v>122</v>
      </c>
      <c r="BG3" s="36" t="s">
        <v>119</v>
      </c>
      <c r="BH3" s="36" t="s">
        <v>120</v>
      </c>
      <c r="BI3" s="290" t="s">
        <v>121</v>
      </c>
      <c r="BJ3" s="35" t="s">
        <v>13</v>
      </c>
      <c r="BK3" s="36" t="s">
        <v>122</v>
      </c>
      <c r="BL3" s="36" t="s">
        <v>119</v>
      </c>
      <c r="BM3" s="36" t="s">
        <v>120</v>
      </c>
      <c r="BN3" s="290" t="s">
        <v>121</v>
      </c>
      <c r="BO3" s="35" t="s">
        <v>122</v>
      </c>
      <c r="BP3" s="36" t="s">
        <v>127</v>
      </c>
      <c r="BQ3" s="36" t="s">
        <v>128</v>
      </c>
      <c r="BR3" s="36" t="s">
        <v>129</v>
      </c>
      <c r="BS3" s="36" t="s">
        <v>130</v>
      </c>
      <c r="BT3" s="36" t="s">
        <v>131</v>
      </c>
      <c r="BU3" s="36" t="s">
        <v>132</v>
      </c>
      <c r="BV3" s="36" t="s">
        <v>133</v>
      </c>
      <c r="BW3" s="36" t="s">
        <v>134</v>
      </c>
      <c r="BX3" s="36" t="s">
        <v>135</v>
      </c>
      <c r="BY3" s="38"/>
      <c r="BZ3" s="38"/>
      <c r="CA3" s="38"/>
      <c r="CB3" s="38"/>
      <c r="CC3" s="35" t="s">
        <v>185</v>
      </c>
      <c r="CD3" s="36" t="s">
        <v>187</v>
      </c>
      <c r="CE3" s="36" t="s">
        <v>189</v>
      </c>
      <c r="CF3" s="36" t="s">
        <v>191</v>
      </c>
      <c r="CG3" s="36" t="s">
        <v>193</v>
      </c>
      <c r="CH3" s="37" t="s">
        <v>195</v>
      </c>
      <c r="CI3" s="27" t="s">
        <v>197</v>
      </c>
      <c r="CJ3" s="234"/>
      <c r="CK3" s="34" t="s">
        <v>8</v>
      </c>
      <c r="CL3" s="325" t="s">
        <v>138</v>
      </c>
      <c r="CM3" s="324" t="s">
        <v>136</v>
      </c>
      <c r="CN3" s="27" t="s">
        <v>137</v>
      </c>
      <c r="CO3" s="27" t="s">
        <v>139</v>
      </c>
      <c r="CP3" s="234"/>
      <c r="CQ3" s="234"/>
      <c r="CR3" s="234"/>
      <c r="CS3" s="234"/>
      <c r="CT3" s="234"/>
      <c r="CU3" s="234"/>
      <c r="CV3" s="234"/>
    </row>
    <row r="4" spans="1:875" ht="17.25" customHeight="1">
      <c r="A4" s="14"/>
      <c r="B4" s="15"/>
      <c r="C4" s="28"/>
      <c r="D4" s="29" t="s">
        <v>17</v>
      </c>
      <c r="E4" s="632">
        <f>Main_무해지!E4</f>
        <v>1</v>
      </c>
      <c r="F4" s="40">
        <f>Main_무해지!F4</f>
        <v>1</v>
      </c>
      <c r="G4" s="30"/>
      <c r="H4" s="321"/>
      <c r="I4" s="31" t="s">
        <v>230</v>
      </c>
      <c r="J4" s="585"/>
      <c r="K4" s="425">
        <f>K3-K2</f>
        <v>130</v>
      </c>
      <c r="L4" s="598"/>
      <c r="M4" s="33"/>
      <c r="N4" s="272">
        <v>3</v>
      </c>
      <c r="O4" s="273">
        <f>E3</f>
        <v>0</v>
      </c>
      <c r="P4" s="271">
        <f>IF(N4="","",IF(F5=0,K3,IF(F6=12,K3*N4,K3)))</f>
        <v>200</v>
      </c>
      <c r="Q4" s="271">
        <f>Q3+(Q$7-Q$3)*$N4/12</f>
        <v>0</v>
      </c>
      <c r="R4" s="271">
        <f>IF($F$5=0,Q4,MAX(Q4-((MIN(84,$F$5*12)-N4)/MIN(84,$F$5*12))*MIN($K$10,$K$11)*$E$12/$E$19*10000,0))</f>
        <v>0</v>
      </c>
      <c r="S4" s="400">
        <f>IF(N4="","",IF(R4=0,0,ROUNDDOWN(R4/P4,3)))</f>
        <v>0</v>
      </c>
      <c r="T4" s="230"/>
      <c r="U4" s="41" t="str">
        <f>IF(E3=0,"0",E3)</f>
        <v>0</v>
      </c>
      <c r="V4" s="42">
        <f>Main_무해지!AC4</f>
        <v>0</v>
      </c>
      <c r="W4" s="45">
        <f>+Main_무해지!AD4</f>
        <v>0</v>
      </c>
      <c r="X4" s="45">
        <v>0</v>
      </c>
      <c r="Y4" s="262">
        <v>100000</v>
      </c>
      <c r="Z4" s="262">
        <f t="shared" ref="Z4:Z67" si="0">IF($U4="","",Y4*$E$17^($U4-$U$4))</f>
        <v>100000</v>
      </c>
      <c r="AA4" s="43">
        <f>IF($U4="","",SUM(Z4:Z$114))</f>
        <v>197799.51100244501</v>
      </c>
      <c r="AB4" s="262">
        <f>V4</f>
        <v>0</v>
      </c>
      <c r="AC4" s="262">
        <f>+W4</f>
        <v>0</v>
      </c>
      <c r="AD4" s="262">
        <f>Main_무해지!AJ4</f>
        <v>9.2999999999999997E-5</v>
      </c>
      <c r="AE4" s="262">
        <f t="shared" ref="AE4:AE67" si="1">X4</f>
        <v>0</v>
      </c>
      <c r="AF4" s="262">
        <v>100000</v>
      </c>
      <c r="AG4" s="262">
        <f t="shared" ref="AG4:AG67" si="2">IF($U4="","",AF4*$E$17^($U4-$U$4))</f>
        <v>100000</v>
      </c>
      <c r="AH4" s="43">
        <f>IF($U4="","",SUM(AG4:AG$114))</f>
        <v>197799.51100244501</v>
      </c>
      <c r="AI4" s="262">
        <f>Main_무해지!AP4</f>
        <v>1.5E-5</v>
      </c>
      <c r="AJ4" s="262">
        <f t="shared" ref="AJ4:AJ67" si="3">X4</f>
        <v>0</v>
      </c>
      <c r="AK4" s="262">
        <f t="shared" ref="AK4:AK67" si="4">IF($U4="","",$Y4*$AI4*(1-0.5*AJ4))</f>
        <v>1.5</v>
      </c>
      <c r="AL4" s="262">
        <f t="shared" ref="AL4:AL67" si="5">IF($U4="","",AK4*$E$17^($U4-$U$4+0.5))</f>
        <v>1.4834045293024463</v>
      </c>
      <c r="AM4" s="46">
        <f>IF($U4="","",SUM($AN4:$AN$114))</f>
        <v>2.9341669051483596</v>
      </c>
      <c r="AN4" s="262">
        <f>IF($U4="","",AL4*AO4)</f>
        <v>1.4834045293024463</v>
      </c>
      <c r="AO4" s="46">
        <f t="shared" ref="AO4:AO67" si="6">IF($U4="","",1+$F$8*$E$11*MIN(MAX((U4-U$4)-($F$9-1),0),$E$10))</f>
        <v>1</v>
      </c>
      <c r="AP4" s="42" t="e">
        <f>IF($U4="","",INDEX(#REF!,$U4+1))</f>
        <v>#REF!</v>
      </c>
      <c r="AQ4" s="262">
        <f t="shared" ref="AQ4:AQ67" si="7">X4</f>
        <v>0</v>
      </c>
      <c r="AR4" s="262" t="e">
        <f t="shared" ref="AR4:AR67" si="8">IF($U4="","",$Y4*$AP4*(1-0.5*AQ4))</f>
        <v>#REF!</v>
      </c>
      <c r="AS4" s="262" t="e">
        <f t="shared" ref="AS4:AS67" si="9">IF($U4="","",AR4*$E$17^($U4-$U$4+0.5))</f>
        <v>#REF!</v>
      </c>
      <c r="AT4" s="46" t="e">
        <f>IF($U4="","",SUM($AS4:$AS$114))</f>
        <v>#REF!</v>
      </c>
      <c r="AU4" s="42" t="e">
        <f>IF($U4="","",INDEX(#REF!,$U4+1))</f>
        <v>#REF!</v>
      </c>
      <c r="AV4" s="262">
        <f t="shared" ref="AV4:AV67" si="10">X4</f>
        <v>0</v>
      </c>
      <c r="AW4" s="262" t="e">
        <f t="shared" ref="AW4:AW67" si="11">IF($U4="","",$Y4*$AU4*(1-0.5*AV4))</f>
        <v>#REF!</v>
      </c>
      <c r="AX4" s="262" t="e">
        <f t="shared" ref="AX4:AX67" si="12">IF($U4="","",AW4*$E$17^($U4-$U$4+0.5))</f>
        <v>#REF!</v>
      </c>
      <c r="AY4" s="46" t="e">
        <f>IF($U4="","",SUM($AX4:$AX$114))</f>
        <v>#REF!</v>
      </c>
      <c r="AZ4" s="42" t="e">
        <f>IF($U4="","",INDEX(#REF!,$U4+1))</f>
        <v>#REF!</v>
      </c>
      <c r="BA4" s="262">
        <f t="shared" ref="BA4:BA67" si="13">X4</f>
        <v>0</v>
      </c>
      <c r="BB4" s="262" t="e">
        <f t="shared" ref="BB4:BB67" si="14">IF($U4="","",$Y4*$AZ4*(1-0.5*BA4))</f>
        <v>#REF!</v>
      </c>
      <c r="BC4" s="262" t="e">
        <f t="shared" ref="BC4:BC67" si="15">IF($U4="","",BB4*$E$17^($U4-$U$4+0.5))</f>
        <v>#REF!</v>
      </c>
      <c r="BD4" s="46" t="e">
        <f>IF($U4="","",SUM($BC4:$BC$114))</f>
        <v>#REF!</v>
      </c>
      <c r="BE4" s="42" t="e">
        <f>IF($U4="","",INDEX(#REF!,$U4+1))</f>
        <v>#REF!</v>
      </c>
      <c r="BF4" s="262">
        <f t="shared" ref="BF4:BF67" si="16">X4</f>
        <v>0</v>
      </c>
      <c r="BG4" s="262" t="e">
        <f t="shared" ref="BG4:BG67" si="17">IF($U4="","",$Y4*$BE4*(1-0.5*BF4))</f>
        <v>#REF!</v>
      </c>
      <c r="BH4" s="262" t="e">
        <f t="shared" ref="BH4:BH67" si="18">IF($U4="","",BG4*$E$17^($U4-$U$4+0.5))</f>
        <v>#REF!</v>
      </c>
      <c r="BI4" s="46" t="e">
        <f>IF($U4="","",SUM($BH4:$BH$114))</f>
        <v>#REF!</v>
      </c>
      <c r="BJ4" s="42" t="e">
        <f>IF($U4="","",INDEX(#REF!,$U4+1))</f>
        <v>#REF!</v>
      </c>
      <c r="BK4" s="262">
        <f t="shared" ref="BK4:BK67" si="19">X4</f>
        <v>0</v>
      </c>
      <c r="BL4" s="262" t="e">
        <f t="shared" ref="BL4:BL67" si="20">IF($U4="","",$Y4*$BJ4*(1-0.5*BK4))</f>
        <v>#REF!</v>
      </c>
      <c r="BM4" s="262" t="e">
        <f t="shared" ref="BM4:BM67" si="21">IF($U4="","",BL4*$E$17^($U4-$U$4+0.5))</f>
        <v>#REF!</v>
      </c>
      <c r="BN4" s="46" t="e">
        <f>IF($U4="","",SUM($BM4:$BM$114))</f>
        <v>#REF!</v>
      </c>
      <c r="BO4" s="42">
        <f t="shared" ref="BO4:BO67" si="22">X4</f>
        <v>0</v>
      </c>
      <c r="BP4" s="262">
        <f t="shared" ref="BP4:BP67" si="23">IF($U4="","",AF4*$BO4)</f>
        <v>0</v>
      </c>
      <c r="BQ4" s="262">
        <f t="shared" ref="BQ4:BQ67" si="24">IF($U4="","",BP4*$E$17^($U4-$U$4+0.5))</f>
        <v>0</v>
      </c>
      <c r="BR4" s="262"/>
      <c r="BS4" s="262">
        <f>IF($U4="","",BQ4*BR4)</f>
        <v>0</v>
      </c>
      <c r="BT4" s="262">
        <f t="shared" ref="BT4:BT67" si="25">IF($U4="","",(Y4-AF4)*$BO4)</f>
        <v>0</v>
      </c>
      <c r="BU4" s="262">
        <f t="shared" ref="BU4:BU67" si="26">IF($U4="","",BT4*$E$17^($U4-$U$4+0.5))</f>
        <v>0</v>
      </c>
      <c r="BV4" s="262"/>
      <c r="BW4" s="262">
        <f>IF($U4="","",BU4*BV4)</f>
        <v>0</v>
      </c>
      <c r="BX4" s="262">
        <f>IF($U4="","",SUM(BS4:BS$114)+SUM(BW4:BW$114))</f>
        <v>0</v>
      </c>
      <c r="BY4" s="44"/>
      <c r="BZ4" s="44"/>
      <c r="CA4" s="44"/>
      <c r="CB4" s="44"/>
      <c r="CC4" s="262">
        <f>IF($U4="","",IF(AND($G$3=1,$F$4=1),0.475*$AM$2*(AM4-$AM$117),$AM$2*(AM4-$AM$117)))</f>
        <v>0.70461715141866199</v>
      </c>
      <c r="CD4" s="262">
        <f t="shared" ref="CD4:CD67" si="27">IF($U4="","",$BX$2*(BX4-$BX$117))</f>
        <v>0</v>
      </c>
      <c r="CE4" s="262">
        <f t="shared" ref="CE4:CE67" si="28">IF($U4="","",MAX(($AH4-AH$116)-(($CD$2-1)/(2*$CD$2))*($AG4-$AG$116),0))</f>
        <v>100000.00000000001</v>
      </c>
      <c r="CF4" s="262">
        <f>IF($U4="","",IF($F$5=0,$AA4-AA$117,MIN($AA4,$AA$116)-$AA$117))</f>
        <v>0</v>
      </c>
      <c r="CG4" s="262">
        <f t="shared" ref="CG4:CG67" si="29">IF($U4="","",$CD$2*$CE4*(-$K$48))</f>
        <v>-0.70461715141866199</v>
      </c>
      <c r="CH4" s="225">
        <f>IF($U4="","",IF($F$5=0,($CC4+$K$34*$K$55+$E$37*$CF4)/$Z4,($CC4+CD4+$CD$2*$K$34*(IF($F$7=0,$K$47,$K$55))+$E$29*$CF4+$CG4)/$Z4))</f>
        <v>0</v>
      </c>
      <c r="CI4" s="47">
        <f t="shared" ref="CI4:CI67" si="30">IF(U4="","",ROUND(CH4,$E$18)*$E$19)</f>
        <v>0</v>
      </c>
      <c r="CJ4" s="235"/>
      <c r="CK4" s="41" t="str">
        <f t="shared" ref="CK4:CK67" si="31">U4</f>
        <v>0</v>
      </c>
      <c r="CL4" s="47">
        <v>0</v>
      </c>
      <c r="CM4" s="47">
        <f>CI4</f>
        <v>0</v>
      </c>
      <c r="CN4" s="47">
        <f t="shared" ref="CN4:CN67" si="32">IF(CK4="","",MAX($CN$2*(MIN($F$5,7)-CL4)/MIN($F$5,7),0))</f>
        <v>0</v>
      </c>
      <c r="CO4" s="47">
        <f>IF(CL4="","",MAX(CM4-CN4,0))</f>
        <v>0</v>
      </c>
      <c r="CP4" s="235"/>
      <c r="CQ4" s="235"/>
      <c r="CR4" s="235"/>
      <c r="CS4" s="235"/>
      <c r="CT4" s="235"/>
      <c r="CU4" s="235"/>
      <c r="CV4" s="235"/>
      <c r="FN4" s="373" ph="1"/>
      <c r="FO4" s="373" ph="1"/>
      <c r="HA4" s="373" ph="1"/>
      <c r="HB4" s="373" ph="1"/>
      <c r="HF4" s="373" ph="1"/>
      <c r="HG4" s="373" ph="1"/>
      <c r="HI4" s="373" ph="1"/>
      <c r="HJ4" s="373" ph="1"/>
      <c r="HK4" s="373" ph="1"/>
      <c r="HL4" s="373" ph="1"/>
      <c r="HN4" s="373" ph="1"/>
      <c r="HO4" s="373" ph="1"/>
      <c r="HP4" s="373" ph="1"/>
      <c r="HQ4" s="373" ph="1"/>
      <c r="HR4" s="373" ph="1"/>
      <c r="HS4" s="373" ph="1"/>
      <c r="HT4" s="373" ph="1"/>
      <c r="HU4" s="373" ph="1"/>
      <c r="HV4" s="373" ph="1"/>
      <c r="HW4" s="373" ph="1"/>
      <c r="HX4" s="373" ph="1"/>
      <c r="HY4" s="373" ph="1"/>
      <c r="HZ4" s="373" ph="1"/>
      <c r="IA4" s="373" ph="1"/>
      <c r="IB4" s="373" ph="1"/>
      <c r="IC4" s="373" ph="1"/>
      <c r="ID4" s="373" ph="1"/>
      <c r="IF4" s="373" ph="1"/>
      <c r="IG4" s="373" ph="1"/>
      <c r="IH4" s="373" ph="1"/>
      <c r="II4" s="373" ph="1"/>
      <c r="IK4" s="373" ph="1"/>
      <c r="IL4" s="373" ph="1"/>
      <c r="IM4" s="373" ph="1"/>
      <c r="IN4" s="373" ph="1"/>
      <c r="IO4" s="373" ph="1"/>
      <c r="IP4" s="373" ph="1"/>
      <c r="IQ4" s="373" ph="1"/>
      <c r="IR4" s="373" ph="1"/>
      <c r="IS4" s="373" ph="1"/>
      <c r="IT4" s="373" ph="1"/>
      <c r="IU4" s="373" ph="1"/>
      <c r="IV4" s="373" ph="1"/>
      <c r="IW4" s="373" ph="1"/>
      <c r="IX4" s="373" ph="1"/>
      <c r="IY4" s="373" ph="1"/>
      <c r="JB4" s="373" ph="1"/>
      <c r="JC4" s="373" ph="1"/>
      <c r="JE4" s="373" ph="1"/>
      <c r="JF4" s="373" ph="1"/>
      <c r="JG4" s="373" ph="1"/>
      <c r="JH4" s="373" ph="1"/>
      <c r="JJ4" s="373" ph="1"/>
      <c r="JK4" s="373" ph="1"/>
      <c r="JL4" s="373" ph="1"/>
      <c r="JM4" s="373" ph="1"/>
      <c r="JN4" s="373" ph="1"/>
      <c r="JO4" s="373" ph="1"/>
      <c r="JP4" s="373" ph="1"/>
      <c r="JQ4" s="373" ph="1"/>
      <c r="JR4" s="373" ph="1"/>
      <c r="JS4" s="373" ph="1"/>
      <c r="JT4" s="373" ph="1"/>
      <c r="JU4" s="373" ph="1"/>
      <c r="JV4" s="373" ph="1"/>
      <c r="JW4" s="373" ph="1"/>
      <c r="JX4" s="373" ph="1"/>
      <c r="JY4" s="373" ph="1"/>
      <c r="JZ4" s="373" ph="1"/>
      <c r="KB4" s="373" ph="1"/>
      <c r="KC4" s="373" ph="1"/>
      <c r="KD4" s="373" ph="1"/>
      <c r="KE4" s="373" ph="1"/>
      <c r="KG4" s="373" ph="1"/>
      <c r="KH4" s="373" ph="1"/>
      <c r="KI4" s="373" ph="1"/>
      <c r="KJ4" s="373" ph="1"/>
      <c r="KK4" s="373" ph="1"/>
      <c r="KL4" s="373" ph="1"/>
      <c r="KM4" s="373" ph="1"/>
      <c r="KN4" s="373" ph="1"/>
      <c r="KO4" s="373" ph="1"/>
      <c r="KP4" s="373" ph="1"/>
      <c r="KQ4" s="373" ph="1"/>
      <c r="KR4" s="373" ph="1"/>
      <c r="KS4" s="373" ph="1"/>
      <c r="KT4" s="373" ph="1"/>
      <c r="KU4" s="373" ph="1"/>
      <c r="KV4" s="373" ph="1"/>
      <c r="KW4" s="373" ph="1"/>
      <c r="KX4" s="373" ph="1"/>
      <c r="KY4" s="373" ph="1"/>
      <c r="KZ4" s="373" ph="1"/>
      <c r="LA4" s="373" ph="1"/>
      <c r="LB4" s="373" ph="1"/>
      <c r="LC4" s="373" ph="1"/>
      <c r="LD4" s="373" ph="1"/>
      <c r="LE4" s="373" ph="1"/>
      <c r="LF4" s="373" ph="1"/>
      <c r="LG4" s="373" ph="1"/>
      <c r="LH4" s="373" ph="1"/>
      <c r="LI4" s="373" ph="1"/>
      <c r="LJ4" s="373" ph="1"/>
      <c r="LK4" s="373" ph="1"/>
      <c r="LL4" s="373" ph="1"/>
      <c r="LM4" s="373" ph="1"/>
      <c r="LN4" s="373" ph="1"/>
      <c r="LQ4" s="373" ph="1"/>
      <c r="LR4" s="373" ph="1"/>
      <c r="ND4" s="373" ph="1"/>
      <c r="NE4" s="373" ph="1"/>
      <c r="NI4" s="373" ph="1"/>
      <c r="NJ4" s="373" ph="1"/>
      <c r="NL4" s="373" ph="1"/>
      <c r="NM4" s="373" ph="1"/>
      <c r="NN4" s="373" ph="1"/>
      <c r="NO4" s="373" ph="1"/>
      <c r="NQ4" s="373" ph="1"/>
      <c r="NR4" s="373" ph="1"/>
      <c r="NS4" s="373" ph="1"/>
      <c r="NT4" s="373" ph="1"/>
      <c r="NU4" s="373" ph="1"/>
      <c r="NV4" s="373" ph="1"/>
      <c r="NW4" s="373" ph="1"/>
      <c r="NX4" s="373" ph="1"/>
      <c r="NY4" s="373" ph="1"/>
      <c r="NZ4" s="373" ph="1"/>
      <c r="OA4" s="373" ph="1"/>
      <c r="OB4" s="373" ph="1"/>
      <c r="OC4" s="373" ph="1"/>
      <c r="OD4" s="373" ph="1"/>
      <c r="OE4" s="373" ph="1"/>
      <c r="OF4" s="373" ph="1"/>
      <c r="OG4" s="373" ph="1"/>
      <c r="OI4" s="373" ph="1"/>
      <c r="OJ4" s="373" ph="1"/>
      <c r="OK4" s="373" ph="1"/>
      <c r="OL4" s="373" ph="1"/>
      <c r="ON4" s="373" ph="1"/>
      <c r="OO4" s="373" ph="1"/>
      <c r="OP4" s="373" ph="1"/>
      <c r="OQ4" s="373" ph="1"/>
      <c r="OR4" s="373" ph="1"/>
      <c r="OS4" s="373" ph="1"/>
      <c r="OT4" s="373" ph="1"/>
      <c r="OU4" s="373" ph="1"/>
      <c r="OV4" s="373" ph="1"/>
      <c r="OW4" s="373" ph="1"/>
      <c r="OX4" s="373" ph="1"/>
      <c r="OY4" s="373" ph="1"/>
      <c r="OZ4" s="373" ph="1"/>
      <c r="PA4" s="373" ph="1"/>
      <c r="PB4" s="373" ph="1"/>
      <c r="PE4" s="373" ph="1"/>
      <c r="PF4" s="373" ph="1"/>
      <c r="PH4" s="373" ph="1"/>
      <c r="PI4" s="373" ph="1"/>
      <c r="PJ4" s="373" ph="1"/>
      <c r="PK4" s="373" ph="1"/>
      <c r="PM4" s="373" ph="1"/>
      <c r="PN4" s="373" ph="1"/>
      <c r="PO4" s="373" ph="1"/>
      <c r="PP4" s="373" ph="1"/>
      <c r="PQ4" s="373" ph="1"/>
      <c r="PR4" s="373" ph="1"/>
      <c r="PS4" s="373" ph="1"/>
      <c r="PT4" s="373" ph="1"/>
      <c r="PU4" s="373" ph="1"/>
      <c r="PV4" s="373" ph="1"/>
      <c r="PW4" s="373" ph="1"/>
      <c r="PX4" s="373" ph="1"/>
      <c r="PY4" s="373" ph="1"/>
      <c r="PZ4" s="373" ph="1"/>
      <c r="QA4" s="373" ph="1"/>
      <c r="QB4" s="373" ph="1"/>
      <c r="QC4" s="373" ph="1"/>
      <c r="QE4" s="373" ph="1"/>
      <c r="QF4" s="373" ph="1"/>
      <c r="QG4" s="373" ph="1"/>
      <c r="QH4" s="373" ph="1"/>
      <c r="QJ4" s="373" ph="1"/>
      <c r="QK4" s="373" ph="1"/>
      <c r="QL4" s="373" ph="1"/>
      <c r="QM4" s="373" ph="1"/>
      <c r="QN4" s="373" ph="1"/>
      <c r="QO4" s="373" ph="1"/>
      <c r="QP4" s="373" ph="1"/>
      <c r="QQ4" s="373" ph="1"/>
      <c r="QR4" s="373" ph="1"/>
      <c r="QS4" s="373" ph="1"/>
      <c r="QT4" s="373" ph="1"/>
      <c r="QU4" s="373" ph="1"/>
      <c r="QV4" s="373" ph="1"/>
      <c r="QW4" s="373" ph="1"/>
      <c r="QX4" s="373" ph="1"/>
      <c r="QY4" s="373" ph="1"/>
      <c r="QZ4" s="373" ph="1"/>
      <c r="RA4" s="373" ph="1"/>
      <c r="RB4" s="373" ph="1"/>
      <c r="RC4" s="373" ph="1"/>
      <c r="RD4" s="373" ph="1"/>
      <c r="RE4" s="373" ph="1"/>
      <c r="RF4" s="373" ph="1"/>
      <c r="RG4" s="373" ph="1"/>
      <c r="RH4" s="373" ph="1"/>
      <c r="RI4" s="373" ph="1"/>
      <c r="RJ4" s="373" ph="1"/>
      <c r="RK4" s="373" ph="1"/>
      <c r="RL4" s="373" ph="1"/>
      <c r="RM4" s="373" ph="1"/>
      <c r="RN4" s="373" ph="1"/>
      <c r="RO4" s="373" ph="1"/>
      <c r="RP4" s="373" ph="1"/>
      <c r="RQ4" s="373" ph="1"/>
      <c r="RR4" s="373" ph="1"/>
      <c r="RS4" s="373" ph="1"/>
      <c r="RV4" s="373" ph="1"/>
      <c r="RW4" s="373" ph="1"/>
      <c r="TI4" s="373" ph="1"/>
      <c r="TJ4" s="373" ph="1"/>
      <c r="TN4" s="373" ph="1"/>
      <c r="TO4" s="373" ph="1"/>
      <c r="TQ4" s="373" ph="1"/>
      <c r="TR4" s="373" ph="1"/>
      <c r="TS4" s="373" ph="1"/>
      <c r="TT4" s="373" ph="1"/>
      <c r="TV4" s="373" ph="1"/>
      <c r="TW4" s="373" ph="1"/>
      <c r="TX4" s="373" ph="1"/>
      <c r="TY4" s="373" ph="1"/>
      <c r="TZ4" s="373" ph="1"/>
      <c r="UA4" s="373" ph="1"/>
      <c r="UB4" s="373" ph="1"/>
      <c r="UC4" s="373" ph="1"/>
      <c r="UD4" s="373" ph="1"/>
      <c r="UE4" s="373" ph="1"/>
      <c r="UF4" s="373" ph="1"/>
      <c r="UG4" s="373" ph="1"/>
      <c r="UH4" s="373" ph="1"/>
      <c r="UI4" s="373" ph="1"/>
      <c r="UJ4" s="373" ph="1"/>
      <c r="UK4" s="373" ph="1"/>
      <c r="UL4" s="373" ph="1"/>
      <c r="UN4" s="373" ph="1"/>
      <c r="UO4" s="373" ph="1"/>
      <c r="UP4" s="373" ph="1"/>
      <c r="UQ4" s="373" ph="1"/>
      <c r="US4" s="373" ph="1"/>
      <c r="UT4" s="373" ph="1"/>
      <c r="UU4" s="373" ph="1"/>
      <c r="UV4" s="373" ph="1"/>
      <c r="UW4" s="373" ph="1"/>
      <c r="UX4" s="373" ph="1"/>
      <c r="UY4" s="373" ph="1"/>
      <c r="UZ4" s="373" ph="1"/>
      <c r="VA4" s="373" ph="1"/>
      <c r="VB4" s="373" ph="1"/>
      <c r="VC4" s="373" ph="1"/>
      <c r="VD4" s="373" ph="1"/>
      <c r="VE4" s="373" ph="1"/>
      <c r="VF4" s="373" ph="1"/>
      <c r="VG4" s="373" ph="1"/>
      <c r="VJ4" s="373" ph="1"/>
      <c r="VK4" s="373" ph="1"/>
      <c r="VM4" s="373" ph="1"/>
      <c r="VN4" s="373" ph="1"/>
      <c r="VO4" s="373" ph="1"/>
      <c r="VP4" s="373" ph="1"/>
      <c r="VR4" s="373" ph="1"/>
      <c r="VS4" s="373" ph="1"/>
      <c r="VT4" s="373" ph="1"/>
      <c r="VU4" s="373" ph="1"/>
      <c r="VV4" s="373" ph="1"/>
      <c r="VW4" s="373" ph="1"/>
      <c r="VX4" s="373" ph="1"/>
      <c r="VY4" s="373" ph="1"/>
      <c r="VZ4" s="373" ph="1"/>
      <c r="WA4" s="373" ph="1"/>
      <c r="WB4" s="373" ph="1"/>
      <c r="WC4" s="373" ph="1"/>
      <c r="WD4" s="373" ph="1"/>
      <c r="WE4" s="373" ph="1"/>
      <c r="WF4" s="373" ph="1"/>
      <c r="WG4" s="373" ph="1"/>
      <c r="WH4" s="373" ph="1"/>
      <c r="WJ4" s="373" ph="1"/>
      <c r="WK4" s="373" ph="1"/>
      <c r="WL4" s="373" ph="1"/>
      <c r="WM4" s="373" ph="1"/>
      <c r="WO4" s="373" ph="1"/>
      <c r="WP4" s="373" ph="1"/>
      <c r="WQ4" s="373" ph="1"/>
      <c r="WR4" s="373" ph="1"/>
      <c r="WS4" s="373" ph="1"/>
      <c r="WT4" s="373" ph="1"/>
      <c r="WU4" s="373" ph="1"/>
      <c r="WV4" s="373" ph="1"/>
      <c r="WW4" s="373" ph="1"/>
      <c r="WX4" s="373" ph="1"/>
      <c r="WY4" s="373" ph="1"/>
      <c r="WZ4" s="373" ph="1"/>
      <c r="XA4" s="373" ph="1"/>
      <c r="XB4" s="373" ph="1"/>
      <c r="XC4" s="373" ph="1"/>
      <c r="XD4" s="373" ph="1"/>
      <c r="XE4" s="373" ph="1"/>
      <c r="XF4" s="373" ph="1"/>
      <c r="XG4" s="373" ph="1"/>
      <c r="XH4" s="373" ph="1"/>
      <c r="XI4" s="373" ph="1"/>
      <c r="XJ4" s="373" ph="1"/>
      <c r="XK4" s="373" ph="1"/>
      <c r="XL4" s="373" ph="1"/>
      <c r="XM4" s="373" ph="1"/>
      <c r="XN4" s="373" ph="1"/>
      <c r="XO4" s="373" ph="1"/>
      <c r="XP4" s="373" ph="1"/>
      <c r="XQ4" s="373" ph="1"/>
      <c r="XR4" s="373" ph="1"/>
      <c r="XS4" s="373" ph="1"/>
      <c r="XT4" s="373" ph="1"/>
      <c r="XU4" s="373" ph="1"/>
      <c r="XV4" s="373" ph="1"/>
      <c r="XW4" s="373" ph="1"/>
      <c r="XX4" s="373" ph="1"/>
      <c r="XY4" s="373" ph="1"/>
      <c r="XZ4" s="373" ph="1"/>
      <c r="YA4" s="373" ph="1"/>
      <c r="YB4" s="373" ph="1"/>
      <c r="YC4" s="373" ph="1"/>
      <c r="YD4" s="373" ph="1"/>
      <c r="YE4" s="373" ph="1"/>
      <c r="YF4" s="373" ph="1"/>
      <c r="YG4" s="373" ph="1"/>
      <c r="YH4" s="373" ph="1"/>
      <c r="YI4" s="373" ph="1"/>
      <c r="YJ4" s="373" ph="1"/>
      <c r="YK4" s="373" ph="1"/>
      <c r="YL4" s="373" ph="1"/>
      <c r="YM4" s="373" ph="1"/>
      <c r="YN4" s="373" ph="1"/>
      <c r="YO4" s="373" ph="1"/>
      <c r="YP4" s="373" ph="1"/>
      <c r="YQ4" s="373" ph="1"/>
      <c r="YR4" s="373" ph="1"/>
      <c r="YS4" s="373" ph="1"/>
      <c r="YT4" s="373" ph="1"/>
      <c r="YU4" s="373" ph="1"/>
      <c r="YV4" s="373" ph="1"/>
      <c r="YW4" s="373" ph="1"/>
      <c r="YX4" s="373" ph="1"/>
      <c r="YY4" s="373" ph="1"/>
      <c r="YZ4" s="373" ph="1"/>
      <c r="ZA4" s="373" ph="1"/>
      <c r="ZB4" s="373" ph="1"/>
      <c r="ZC4" s="373" ph="1"/>
      <c r="ZD4" s="373" ph="1"/>
      <c r="ZE4" s="373" ph="1"/>
      <c r="ZF4" s="373" ph="1"/>
      <c r="ZG4" s="373" ph="1"/>
      <c r="ZH4" s="373" ph="1"/>
      <c r="ZI4" s="373" ph="1"/>
      <c r="ZJ4" s="373" ph="1"/>
      <c r="ZK4" s="373" ph="1"/>
      <c r="ZL4" s="373" ph="1"/>
      <c r="ZM4" s="373" ph="1"/>
      <c r="ZN4" s="373" ph="1"/>
      <c r="ZO4" s="373" ph="1"/>
      <c r="ZP4" s="373" ph="1"/>
      <c r="ZQ4" s="373" ph="1"/>
      <c r="ZR4" s="373" ph="1"/>
      <c r="ZS4" s="373" ph="1"/>
      <c r="ZT4" s="373" ph="1"/>
      <c r="ZU4" s="373" ph="1"/>
      <c r="ZV4" s="373" ph="1"/>
      <c r="ZW4" s="373" ph="1"/>
      <c r="ZX4" s="373" ph="1"/>
      <c r="ZY4" s="373" ph="1"/>
      <c r="ZZ4" s="373" ph="1"/>
      <c r="AAA4" s="373" ph="1"/>
      <c r="AAB4" s="373" ph="1"/>
      <c r="AAC4" s="373" ph="1"/>
      <c r="AAD4" s="373" ph="1"/>
      <c r="AAE4" s="373" ph="1"/>
      <c r="AAF4" s="373" ph="1"/>
      <c r="AAG4" s="373" ph="1"/>
      <c r="AAH4" s="373" ph="1"/>
      <c r="AAI4" s="373" ph="1"/>
      <c r="AAJ4" s="373" ph="1"/>
      <c r="AAK4" s="373" ph="1"/>
      <c r="AAL4" s="373" ph="1"/>
      <c r="AAM4" s="373" ph="1"/>
      <c r="AAN4" s="373" ph="1"/>
      <c r="AAO4" s="373" ph="1"/>
      <c r="AAP4" s="373" ph="1"/>
      <c r="AAQ4" s="373" ph="1"/>
      <c r="AAR4" s="373" ph="1"/>
      <c r="AAS4" s="373" ph="1"/>
      <c r="AAT4" s="373" ph="1"/>
      <c r="AAU4" s="373" ph="1"/>
      <c r="AAV4" s="373" ph="1"/>
      <c r="AAW4" s="373" ph="1"/>
      <c r="AAX4" s="373" ph="1"/>
      <c r="AAY4" s="373" ph="1"/>
      <c r="AAZ4" s="373" ph="1"/>
      <c r="ABA4" s="373" ph="1"/>
      <c r="ABB4" s="373" ph="1"/>
      <c r="ABC4" s="373" ph="1"/>
      <c r="ABD4" s="373" ph="1"/>
      <c r="ABE4" s="373" ph="1"/>
      <c r="ABF4" s="373" ph="1"/>
      <c r="ABG4" s="373" ph="1"/>
      <c r="ABH4" s="373" ph="1"/>
      <c r="ABI4" s="373" ph="1"/>
      <c r="ABJ4" s="373" ph="1"/>
      <c r="ABK4" s="373" ph="1"/>
      <c r="ABL4" s="373" ph="1"/>
      <c r="ABM4" s="373" ph="1"/>
      <c r="ABN4" s="373" ph="1"/>
      <c r="ABO4" s="373" ph="1"/>
      <c r="ABP4" s="373" ph="1"/>
      <c r="ABQ4" s="373" ph="1"/>
      <c r="ABR4" s="373" ph="1"/>
      <c r="ABS4" s="373" ph="1"/>
      <c r="ABT4" s="373" ph="1"/>
      <c r="ABU4" s="373" ph="1"/>
      <c r="ABV4" s="373" ph="1"/>
      <c r="ABW4" s="373" ph="1"/>
      <c r="ABX4" s="373" ph="1"/>
      <c r="ABY4" s="373" ph="1"/>
      <c r="ABZ4" s="373" ph="1"/>
      <c r="ACA4" s="373" ph="1"/>
      <c r="ACB4" s="373" ph="1"/>
      <c r="ACC4" s="373" ph="1"/>
      <c r="ACD4" s="373" ph="1"/>
      <c r="ACE4" s="373" ph="1"/>
      <c r="ACF4" s="373" ph="1"/>
      <c r="ACG4" s="373" ph="1"/>
      <c r="ACH4" s="373" ph="1"/>
      <c r="ACI4" s="373" ph="1"/>
      <c r="ACJ4" s="373" ph="1"/>
      <c r="ACK4" s="373" ph="1"/>
      <c r="ACL4" s="373" ph="1"/>
      <c r="ACM4" s="373" ph="1"/>
      <c r="ACN4" s="373" ph="1"/>
      <c r="ACO4" s="373" ph="1"/>
      <c r="ACP4" s="373" ph="1"/>
      <c r="ACQ4" s="373" ph="1"/>
      <c r="ACR4" s="373" ph="1"/>
      <c r="ACS4" s="373" ph="1"/>
      <c r="ACT4" s="373" ph="1"/>
      <c r="ACU4" s="373" ph="1"/>
      <c r="ACV4" s="373" ph="1"/>
      <c r="ACW4" s="373" ph="1"/>
      <c r="ACX4" s="373" ph="1"/>
      <c r="ACY4" s="373" ph="1"/>
      <c r="ACZ4" s="373" ph="1"/>
      <c r="ADA4" s="373" ph="1"/>
      <c r="ADB4" s="373" ph="1"/>
      <c r="ADC4" s="373" ph="1"/>
      <c r="ADD4" s="373" ph="1"/>
      <c r="ADE4" s="373" ph="1"/>
      <c r="ADF4" s="373" ph="1"/>
      <c r="ADG4" s="373" ph="1"/>
      <c r="ADH4" s="373" ph="1"/>
      <c r="ADI4" s="373" ph="1"/>
      <c r="ADJ4" s="373" ph="1"/>
      <c r="ADK4" s="373" ph="1"/>
      <c r="ADL4" s="373" ph="1"/>
      <c r="ADM4" s="373" ph="1"/>
      <c r="ADN4" s="373" ph="1"/>
      <c r="ADO4" s="373" ph="1"/>
      <c r="ADP4" s="373" ph="1"/>
      <c r="ADQ4" s="373" ph="1"/>
      <c r="ADR4" s="373" ph="1"/>
      <c r="ADS4" s="373" ph="1"/>
      <c r="ADT4" s="373" ph="1"/>
      <c r="ADU4" s="373" ph="1"/>
      <c r="ADV4" s="373" ph="1"/>
      <c r="ADW4" s="373" ph="1"/>
      <c r="ADX4" s="373" ph="1"/>
      <c r="ADY4" s="373" ph="1"/>
      <c r="ADZ4" s="373" ph="1"/>
      <c r="AEA4" s="373" ph="1"/>
      <c r="AEB4" s="373" ph="1"/>
      <c r="AEC4" s="373" ph="1"/>
      <c r="AED4" s="373" ph="1"/>
      <c r="AEE4" s="373" ph="1"/>
      <c r="AEF4" s="373" ph="1"/>
      <c r="AEG4" s="373" ph="1"/>
      <c r="AEH4" s="373" ph="1"/>
      <c r="AEI4" s="373" ph="1"/>
      <c r="AEJ4" s="373" ph="1"/>
      <c r="AEK4" s="373" ph="1"/>
      <c r="AEL4" s="373" ph="1"/>
      <c r="AEM4" s="373" ph="1"/>
      <c r="AEN4" s="373" ph="1"/>
      <c r="AEO4" s="373" ph="1"/>
      <c r="AEP4" s="373" ph="1"/>
      <c r="AEQ4" s="373" ph="1"/>
      <c r="AER4" s="373" ph="1"/>
      <c r="AES4" s="373" ph="1"/>
      <c r="AET4" s="373" ph="1"/>
      <c r="AEU4" s="373" ph="1"/>
      <c r="AEV4" s="373" ph="1"/>
      <c r="AEW4" s="373" ph="1"/>
      <c r="AEX4" s="373" ph="1"/>
      <c r="AEY4" s="373" ph="1"/>
      <c r="AEZ4" s="373" ph="1"/>
      <c r="AFA4" s="373" ph="1"/>
      <c r="AFB4" s="373" ph="1"/>
      <c r="AFC4" s="373" ph="1"/>
      <c r="AFD4" s="373" ph="1"/>
      <c r="AFE4" s="373" ph="1"/>
      <c r="AFF4" s="373" ph="1"/>
      <c r="AFG4" s="373" ph="1"/>
      <c r="AFH4" s="373" ph="1"/>
      <c r="AFI4" s="373" ph="1"/>
      <c r="AFJ4" s="373" ph="1"/>
      <c r="AFK4" s="373" ph="1"/>
      <c r="AFL4" s="373" ph="1"/>
      <c r="AFM4" s="373" ph="1"/>
      <c r="AFN4" s="373" ph="1"/>
      <c r="AFO4" s="373" ph="1"/>
      <c r="AFP4" s="373" ph="1"/>
      <c r="AFQ4" s="373" ph="1"/>
      <c r="AFR4" s="373" ph="1"/>
      <c r="AFS4" s="373" ph="1"/>
      <c r="AFT4" s="373" ph="1"/>
      <c r="AFU4" s="373" ph="1"/>
      <c r="AFV4" s="373" ph="1"/>
      <c r="AFW4" s="373" ph="1"/>
      <c r="AFX4" s="373" ph="1"/>
      <c r="AFY4" s="373" ph="1"/>
      <c r="AFZ4" s="373" ph="1"/>
      <c r="AGA4" s="373" ph="1"/>
      <c r="AGB4" s="373" ph="1"/>
      <c r="AGC4" s="373" ph="1"/>
      <c r="AGD4" s="373" ph="1"/>
      <c r="AGE4" s="373" ph="1"/>
      <c r="AGF4" s="373" ph="1"/>
      <c r="AGG4" s="373" ph="1"/>
      <c r="AGH4" s="373" ph="1"/>
      <c r="AGI4" s="373" ph="1"/>
      <c r="AGJ4" s="373" ph="1"/>
      <c r="AGK4" s="373" ph="1"/>
      <c r="AGL4" s="373" ph="1"/>
      <c r="AGM4" s="373" ph="1"/>
      <c r="AGN4" s="373" ph="1"/>
      <c r="AGO4" s="373" ph="1"/>
      <c r="AGP4" s="373" ph="1"/>
      <c r="AGQ4" s="373" ph="1"/>
    </row>
    <row r="5" spans="1:875" ht="17.25" thickBot="1">
      <c r="A5" s="14"/>
      <c r="B5" s="15"/>
      <c r="C5" s="28"/>
      <c r="D5" s="29" t="s">
        <v>19</v>
      </c>
      <c r="E5" s="632">
        <f>Main_무해지!E5</f>
        <v>1</v>
      </c>
      <c r="F5" s="40">
        <f>+MIN(F4,20)</f>
        <v>1</v>
      </c>
      <c r="G5" s="30"/>
      <c r="H5" s="322"/>
      <c r="I5" s="31" t="s">
        <v>374</v>
      </c>
      <c r="J5" s="585"/>
      <c r="K5" s="604">
        <f>K4/K3</f>
        <v>0.65</v>
      </c>
      <c r="L5" s="7"/>
      <c r="M5" s="33"/>
      <c r="N5" s="272">
        <v>6</v>
      </c>
      <c r="O5" s="274">
        <f>E3</f>
        <v>0</v>
      </c>
      <c r="P5" s="271">
        <f>IF(N5="","",IF(F5=0,K3,IF(F6=12,K3*N5,IF(F6=4,K3*2,K3))))</f>
        <v>200</v>
      </c>
      <c r="Q5" s="271">
        <f>Q3+(Q$7-Q$3)*$N5/12</f>
        <v>0</v>
      </c>
      <c r="R5" s="271">
        <f>IF($F$5=0,Q5,MAX(Q5-((MIN(84,$F$5*12)-N5)/MIN(84,$F$5*12))*MIN($K$10,$K$11)*$E$12/$E$19*10000,0))</f>
        <v>0</v>
      </c>
      <c r="S5" s="400">
        <f t="shared" ref="S5:S68" si="33">IF(N5="","",IF(R5=0,0,ROUNDDOWN(R5/P5,3)))</f>
        <v>0</v>
      </c>
      <c r="T5" s="230"/>
      <c r="U5" s="750">
        <f>IF(U4="","",(IF(U4=MIN(($E$3+$F$4),IF($F$2=1,110,112)),"",(U4+1))))</f>
        <v>1</v>
      </c>
      <c r="V5" s="752">
        <f>Main_무해지!AC5</f>
        <v>0</v>
      </c>
      <c r="W5" s="638">
        <f>+Main_무해지!AD5</f>
        <v>0</v>
      </c>
      <c r="X5" s="638">
        <v>0</v>
      </c>
      <c r="Y5" s="408">
        <f>IF(U5="","",Y4)</f>
        <v>100000</v>
      </c>
      <c r="Z5" s="408">
        <f t="shared" si="0"/>
        <v>97799.511002444997</v>
      </c>
      <c r="AA5" s="751">
        <f>IF($U5="","",SUM(Z5:Z$114))</f>
        <v>97799.511002444997</v>
      </c>
      <c r="AB5" s="408">
        <f t="shared" ref="AB5:AB68" si="34">V5</f>
        <v>0</v>
      </c>
      <c r="AC5" s="408">
        <f t="shared" ref="AC5:AC68" si="35">+W5</f>
        <v>0</v>
      </c>
      <c r="AD5" s="408">
        <f>Main_무해지!AJ5</f>
        <v>2.9999999999999997E-5</v>
      </c>
      <c r="AE5" s="408">
        <f t="shared" si="1"/>
        <v>0</v>
      </c>
      <c r="AF5" s="408">
        <f>IF($U5="","",IF(AND($G$3=1,$F$4=1),AF4,AF4*(1-AD4)))</f>
        <v>100000</v>
      </c>
      <c r="AG5" s="408">
        <f t="shared" si="2"/>
        <v>97799.511002444997</v>
      </c>
      <c r="AH5" s="751">
        <f>IF($U5="","",SUM(AG5:AG$114))</f>
        <v>97799.511002444997</v>
      </c>
      <c r="AI5" s="408">
        <f>Main_무해지!AP5</f>
        <v>1.5E-5</v>
      </c>
      <c r="AJ5" s="408">
        <f t="shared" si="3"/>
        <v>0</v>
      </c>
      <c r="AK5" s="408">
        <f t="shared" si="4"/>
        <v>1.5</v>
      </c>
      <c r="AL5" s="408">
        <f t="shared" si="5"/>
        <v>1.4507623758459134</v>
      </c>
      <c r="AM5" s="753">
        <f>IF($U5="","",SUM($AN5:$AN$114))</f>
        <v>1.4507623758459134</v>
      </c>
      <c r="AN5" s="408">
        <f t="shared" ref="AN5:AN68" si="36">IF($U5="","",AL5*AO5)</f>
        <v>1.4507623758459134</v>
      </c>
      <c r="AO5" s="753">
        <f t="shared" si="6"/>
        <v>1</v>
      </c>
      <c r="AP5" s="752" t="e">
        <f>IF($U5="","",INDEX(#REF!,$U5+1))</f>
        <v>#REF!</v>
      </c>
      <c r="AQ5" s="408">
        <f t="shared" si="7"/>
        <v>0</v>
      </c>
      <c r="AR5" s="408" t="e">
        <f t="shared" si="8"/>
        <v>#REF!</v>
      </c>
      <c r="AS5" s="408" t="e">
        <f t="shared" si="9"/>
        <v>#REF!</v>
      </c>
      <c r="AT5" s="753" t="e">
        <f>IF($U5="","",SUM($AS5:$AS$114))</f>
        <v>#REF!</v>
      </c>
      <c r="AU5" s="752" t="e">
        <f>IF($U5="","",INDEX(#REF!,$U5+1))</f>
        <v>#REF!</v>
      </c>
      <c r="AV5" s="408">
        <f t="shared" si="10"/>
        <v>0</v>
      </c>
      <c r="AW5" s="408" t="e">
        <f t="shared" si="11"/>
        <v>#REF!</v>
      </c>
      <c r="AX5" s="408" t="e">
        <f t="shared" si="12"/>
        <v>#REF!</v>
      </c>
      <c r="AY5" s="753" t="e">
        <f>IF($U5="","",SUM($AX5:$AX$114))</f>
        <v>#REF!</v>
      </c>
      <c r="AZ5" s="752" t="e">
        <f>IF($U5="","",INDEX(#REF!,$U5+1))</f>
        <v>#REF!</v>
      </c>
      <c r="BA5" s="408">
        <f t="shared" si="13"/>
        <v>0</v>
      </c>
      <c r="BB5" s="408" t="e">
        <f t="shared" si="14"/>
        <v>#REF!</v>
      </c>
      <c r="BC5" s="408" t="e">
        <f t="shared" si="15"/>
        <v>#REF!</v>
      </c>
      <c r="BD5" s="753" t="e">
        <f>IF($U5="","",SUM($BC5:$BC$114))</f>
        <v>#REF!</v>
      </c>
      <c r="BE5" s="752" t="e">
        <f>IF($U5="","",INDEX(#REF!,$U5+1))</f>
        <v>#REF!</v>
      </c>
      <c r="BF5" s="408">
        <f t="shared" si="16"/>
        <v>0</v>
      </c>
      <c r="BG5" s="408" t="e">
        <f t="shared" si="17"/>
        <v>#REF!</v>
      </c>
      <c r="BH5" s="408" t="e">
        <f t="shared" si="18"/>
        <v>#REF!</v>
      </c>
      <c r="BI5" s="753" t="e">
        <f>IF($U5="","",SUM($BH5:$BH$114))</f>
        <v>#REF!</v>
      </c>
      <c r="BJ5" s="752" t="e">
        <f>IF($U5="","",INDEX(#REF!,$U5+1))</f>
        <v>#REF!</v>
      </c>
      <c r="BK5" s="408">
        <f t="shared" si="19"/>
        <v>0</v>
      </c>
      <c r="BL5" s="408" t="e">
        <f t="shared" si="20"/>
        <v>#REF!</v>
      </c>
      <c r="BM5" s="408" t="e">
        <f t="shared" si="21"/>
        <v>#REF!</v>
      </c>
      <c r="BN5" s="753" t="e">
        <f>IF($U5="","",SUM($BM5:$BM$114))</f>
        <v>#REF!</v>
      </c>
      <c r="BO5" s="752">
        <f t="shared" si="22"/>
        <v>0</v>
      </c>
      <c r="BP5" s="408">
        <f t="shared" si="23"/>
        <v>0</v>
      </c>
      <c r="BQ5" s="408">
        <f t="shared" si="24"/>
        <v>0</v>
      </c>
      <c r="BR5" s="408"/>
      <c r="BS5" s="408">
        <f t="shared" ref="BS5:BS68" si="37">IF($U5="","",BQ5*BR5)</f>
        <v>0</v>
      </c>
      <c r="BT5" s="408">
        <f t="shared" si="25"/>
        <v>0</v>
      </c>
      <c r="BU5" s="408">
        <f t="shared" si="26"/>
        <v>0</v>
      </c>
      <c r="BV5" s="408"/>
      <c r="BW5" s="408">
        <f t="shared" ref="BW5:BW68" si="38">IF($U5="","",BU5*BV5)</f>
        <v>0</v>
      </c>
      <c r="BX5" s="408">
        <f>IF($U5="","",SUM(BS5:BS$114)+SUM(BW5:BW$114))</f>
        <v>0</v>
      </c>
      <c r="BY5" s="754"/>
      <c r="BZ5" s="754"/>
      <c r="CA5" s="754"/>
      <c r="CB5" s="754"/>
      <c r="CC5" s="408">
        <f t="shared" ref="CC5:CC68" si="39">IF($U5="","",IF(AND($G$3=1,$F$4=1),0.475*$AM$2*(AM5-$AM$117),$AM$2*(AM5-$AM$117)))</f>
        <v>0</v>
      </c>
      <c r="CD5" s="408">
        <f t="shared" si="27"/>
        <v>0</v>
      </c>
      <c r="CE5" s="408">
        <f t="shared" si="28"/>
        <v>0</v>
      </c>
      <c r="CF5" s="408">
        <f t="shared" ref="CF5:CF68" si="40">IF($U5="","",IF($F$5=0,AA5-AA$117,MIN(AA5,AA$116)-AA$117))</f>
        <v>0</v>
      </c>
      <c r="CG5" s="408">
        <f t="shared" si="29"/>
        <v>0</v>
      </c>
      <c r="CH5" s="756">
        <f t="shared" ref="CH5:CH68" si="41">IF($U5="","",IF($F$5=0,($CC5+$K$34*ROUND($K$55,$E$18)+$E$37*$CF5)/$Z5,($CC5+CD5+$CD$2*$K$34*(IF($F$7=0,ROUND($K$47,$E$18),ROUND($K$55,$E$18)))+$E$29*$CF5+$CG5)/$Z5))</f>
        <v>0</v>
      </c>
      <c r="CI5" s="757">
        <f t="shared" si="30"/>
        <v>0</v>
      </c>
      <c r="CJ5" s="413"/>
      <c r="CK5" s="750">
        <f t="shared" si="31"/>
        <v>1</v>
      </c>
      <c r="CL5" s="757">
        <f>IF(CL4&gt;=$F$4,"",CL4+1)</f>
        <v>1</v>
      </c>
      <c r="CM5" s="757">
        <f t="shared" ref="CM5:CM68" si="42">CI5</f>
        <v>0</v>
      </c>
      <c r="CN5" s="757">
        <f t="shared" si="32"/>
        <v>0</v>
      </c>
      <c r="CO5" s="757">
        <f t="shared" ref="CO5:CO68" si="43">IF(CL5="","",MAX(CM5-CN5,0))</f>
        <v>0</v>
      </c>
      <c r="CP5" s="413"/>
      <c r="CQ5" s="413"/>
      <c r="CR5" s="413"/>
      <c r="CS5" s="413"/>
      <c r="CT5" s="413"/>
      <c r="CU5" s="413"/>
      <c r="CV5" s="413"/>
    </row>
    <row r="6" spans="1:875">
      <c r="A6" s="14"/>
      <c r="B6" s="15"/>
      <c r="C6" s="28"/>
      <c r="D6" s="29" t="s">
        <v>21</v>
      </c>
      <c r="E6" s="633" t="s">
        <v>254</v>
      </c>
      <c r="F6" s="508">
        <v>1</v>
      </c>
      <c r="G6" s="30"/>
      <c r="H6" s="321"/>
      <c r="I6" s="434" t="str">
        <f>+IF(E18=5,"10만당","100만당")</f>
        <v>100만당</v>
      </c>
      <c r="J6" s="224"/>
      <c r="K6" s="212"/>
      <c r="L6" s="599"/>
      <c r="M6" s="50"/>
      <c r="N6" s="272">
        <v>9</v>
      </c>
      <c r="O6" s="274">
        <f>E3</f>
        <v>0</v>
      </c>
      <c r="P6" s="271">
        <f>IF(N6="","",IF(F5=0,K3,IF(F6=12,K3*N6,IF(F6=4,K3*3,IF(F6=2,K3*2,K3)))))</f>
        <v>200</v>
      </c>
      <c r="Q6" s="271">
        <f>+Q3+(Q$7-Q$3)*$N6/12</f>
        <v>0</v>
      </c>
      <c r="R6" s="271">
        <f>IF($F$5=0,Q6,MAX(Q6-((MIN(84,$F$5*12)-N6)/MIN(84,$F$5*12))*MIN($K$10,$K$11)*$E$12/$E$19*10000,0))</f>
        <v>0</v>
      </c>
      <c r="S6" s="400">
        <f t="shared" si="33"/>
        <v>0</v>
      </c>
      <c r="T6" s="230"/>
      <c r="U6" s="52" t="str">
        <f t="shared" ref="U6:U69" si="44">IF(U5="","",(IF(U5=MIN(($E$3+$F$4),IF($F$2=1,110,112)),"",(U5+1))))</f>
        <v/>
      </c>
      <c r="V6" s="53" t="str">
        <f>Main_무해지!AC6</f>
        <v/>
      </c>
      <c r="W6" s="56">
        <f>+Main_무해지!AD6</f>
        <v>0</v>
      </c>
      <c r="X6" s="56">
        <v>0</v>
      </c>
      <c r="Y6" s="254" t="str">
        <f t="shared" ref="Y6:Y69" si="45">IF(U6="","",Y5)</f>
        <v/>
      </c>
      <c r="Z6" s="254" t="str">
        <f t="shared" si="0"/>
        <v/>
      </c>
      <c r="AA6" s="54" t="str">
        <f>IF($U6="","",SUM(Z6:Z$114))</f>
        <v/>
      </c>
      <c r="AB6" s="254" t="str">
        <f t="shared" si="34"/>
        <v/>
      </c>
      <c r="AC6" s="254">
        <f t="shared" si="35"/>
        <v>0</v>
      </c>
      <c r="AD6" s="254" t="str">
        <f>Main_무해지!AJ6</f>
        <v/>
      </c>
      <c r="AE6" s="254">
        <f t="shared" si="1"/>
        <v>0</v>
      </c>
      <c r="AF6" s="254" t="str">
        <f t="shared" ref="AF6:AF69" si="46">IF($U6="","",IF(AND($G$3=1,$F$4=1),AF5,AF5*(1-AD5)))</f>
        <v/>
      </c>
      <c r="AG6" s="254" t="str">
        <f t="shared" si="2"/>
        <v/>
      </c>
      <c r="AH6" s="54" t="str">
        <f>IF($U6="","",SUM(AG6:AG$114))</f>
        <v/>
      </c>
      <c r="AI6" s="254" t="str">
        <f>Main_무해지!AP6</f>
        <v/>
      </c>
      <c r="AJ6" s="254">
        <f t="shared" si="3"/>
        <v>0</v>
      </c>
      <c r="AK6" s="254" t="str">
        <f t="shared" si="4"/>
        <v/>
      </c>
      <c r="AL6" s="254" t="str">
        <f t="shared" si="5"/>
        <v/>
      </c>
      <c r="AM6" s="57" t="str">
        <f>IF($U6="","",SUM($AN6:$AN$114))</f>
        <v/>
      </c>
      <c r="AN6" s="254" t="str">
        <f t="shared" si="36"/>
        <v/>
      </c>
      <c r="AO6" s="57" t="str">
        <f t="shared" si="6"/>
        <v/>
      </c>
      <c r="AP6" s="53" t="str">
        <f>IF($U6="","",INDEX(#REF!,$U6+1))</f>
        <v/>
      </c>
      <c r="AQ6" s="254">
        <f t="shared" si="7"/>
        <v>0</v>
      </c>
      <c r="AR6" s="254" t="str">
        <f t="shared" si="8"/>
        <v/>
      </c>
      <c r="AS6" s="254" t="str">
        <f t="shared" si="9"/>
        <v/>
      </c>
      <c r="AT6" s="57" t="str">
        <f>IF($U6="","",SUM($AS6:$AS$114))</f>
        <v/>
      </c>
      <c r="AU6" s="53" t="str">
        <f>IF($U6="","",INDEX(#REF!,$U6+1))</f>
        <v/>
      </c>
      <c r="AV6" s="254">
        <f t="shared" si="10"/>
        <v>0</v>
      </c>
      <c r="AW6" s="254" t="str">
        <f t="shared" si="11"/>
        <v/>
      </c>
      <c r="AX6" s="254" t="str">
        <f t="shared" si="12"/>
        <v/>
      </c>
      <c r="AY6" s="57" t="str">
        <f>IF($U6="","",SUM($AX6:$AX$114))</f>
        <v/>
      </c>
      <c r="AZ6" s="53" t="str">
        <f>IF($U6="","",INDEX(#REF!,$U6+1))</f>
        <v/>
      </c>
      <c r="BA6" s="254">
        <f t="shared" si="13"/>
        <v>0</v>
      </c>
      <c r="BB6" s="254" t="str">
        <f t="shared" si="14"/>
        <v/>
      </c>
      <c r="BC6" s="254" t="str">
        <f t="shared" si="15"/>
        <v/>
      </c>
      <c r="BD6" s="57" t="str">
        <f>IF($U6="","",SUM($BC6:$BC$114))</f>
        <v/>
      </c>
      <c r="BE6" s="53" t="str">
        <f>IF($U6="","",INDEX(#REF!,$U6+1))</f>
        <v/>
      </c>
      <c r="BF6" s="254">
        <f t="shared" si="16"/>
        <v>0</v>
      </c>
      <c r="BG6" s="254" t="str">
        <f t="shared" si="17"/>
        <v/>
      </c>
      <c r="BH6" s="254" t="str">
        <f t="shared" si="18"/>
        <v/>
      </c>
      <c r="BI6" s="57" t="str">
        <f>IF($U6="","",SUM($BH6:$BH$114))</f>
        <v/>
      </c>
      <c r="BJ6" s="53" t="str">
        <f>IF($U6="","",INDEX(#REF!,$U6+1))</f>
        <v/>
      </c>
      <c r="BK6" s="254">
        <f t="shared" si="19"/>
        <v>0</v>
      </c>
      <c r="BL6" s="254" t="str">
        <f t="shared" si="20"/>
        <v/>
      </c>
      <c r="BM6" s="254" t="str">
        <f t="shared" si="21"/>
        <v/>
      </c>
      <c r="BN6" s="57" t="str">
        <f>IF($U6="","",SUM($BM6:$BM$114))</f>
        <v/>
      </c>
      <c r="BO6" s="53">
        <f t="shared" si="22"/>
        <v>0</v>
      </c>
      <c r="BP6" s="254" t="str">
        <f t="shared" si="23"/>
        <v/>
      </c>
      <c r="BQ6" s="254" t="str">
        <f t="shared" si="24"/>
        <v/>
      </c>
      <c r="BR6" s="254"/>
      <c r="BS6" s="254" t="str">
        <f t="shared" si="37"/>
        <v/>
      </c>
      <c r="BT6" s="254" t="str">
        <f t="shared" si="25"/>
        <v/>
      </c>
      <c r="BU6" s="254" t="str">
        <f t="shared" si="26"/>
        <v/>
      </c>
      <c r="BV6" s="254"/>
      <c r="BW6" s="254" t="str">
        <f t="shared" si="38"/>
        <v/>
      </c>
      <c r="BX6" s="254" t="str">
        <f>IF($U6="","",SUM(BS6:BS$114)+SUM(BW6:BW$114))</f>
        <v/>
      </c>
      <c r="BY6" s="55"/>
      <c r="BZ6" s="55"/>
      <c r="CA6" s="55"/>
      <c r="CB6" s="55"/>
      <c r="CC6" s="254" t="str">
        <f t="shared" si="39"/>
        <v/>
      </c>
      <c r="CD6" s="254" t="str">
        <f t="shared" si="27"/>
        <v/>
      </c>
      <c r="CE6" s="254" t="str">
        <f t="shared" si="28"/>
        <v/>
      </c>
      <c r="CF6" s="254" t="str">
        <f t="shared" si="40"/>
        <v/>
      </c>
      <c r="CG6" s="254" t="str">
        <f t="shared" si="29"/>
        <v/>
      </c>
      <c r="CH6" s="58" t="str">
        <f t="shared" si="41"/>
        <v/>
      </c>
      <c r="CI6" s="59" t="str">
        <f t="shared" si="30"/>
        <v/>
      </c>
      <c r="CJ6" s="236"/>
      <c r="CK6" s="52" t="str">
        <f t="shared" si="31"/>
        <v/>
      </c>
      <c r="CL6" s="59" t="str">
        <f t="shared" ref="CL6:CL69" si="47">IF(CL5&gt;=$F$4,"",CL5+1)</f>
        <v/>
      </c>
      <c r="CM6" s="59" t="str">
        <f t="shared" si="42"/>
        <v/>
      </c>
      <c r="CN6" s="59" t="str">
        <f t="shared" si="32"/>
        <v/>
      </c>
      <c r="CO6" s="59" t="str">
        <f t="shared" si="43"/>
        <v/>
      </c>
      <c r="CP6" s="236"/>
      <c r="CQ6" s="236"/>
      <c r="CR6" s="236"/>
      <c r="CS6" s="236"/>
      <c r="CT6" s="236"/>
      <c r="CU6" s="236"/>
      <c r="CV6" s="236"/>
    </row>
    <row r="7" spans="1:875">
      <c r="A7" s="14"/>
      <c r="B7" s="15"/>
      <c r="C7" s="28"/>
      <c r="D7" s="29" t="s">
        <v>96</v>
      </c>
      <c r="E7" s="633" t="s">
        <v>146</v>
      </c>
      <c r="F7" s="432">
        <f>Main_무해지!F7</f>
        <v>0</v>
      </c>
      <c r="G7" s="30"/>
      <c r="H7" s="322"/>
      <c r="I7" s="48" t="str">
        <f>+I52</f>
        <v xml:space="preserve">  mP(m')x:n</v>
      </c>
      <c r="J7" s="95" t="str">
        <f>E6&amp;"P"</f>
        <v>연납P</v>
      </c>
      <c r="K7" s="226">
        <f>ROUND(K52,E18)*E19</f>
        <v>7</v>
      </c>
      <c r="L7" s="599"/>
      <c r="M7" s="50"/>
      <c r="N7" s="275">
        <v>1</v>
      </c>
      <c r="O7" s="276">
        <f>IF(N7="","",$E$3+N7)</f>
        <v>1</v>
      </c>
      <c r="P7" s="277">
        <f t="shared" ref="P7:P70" si="48">IF(N7="","",IF($F$5=0,$K$3,$K$3*$F$6*MIN($N7,F$5)))</f>
        <v>200</v>
      </c>
      <c r="Q7" s="277">
        <f t="shared" ref="Q7:Q70" si="49">IF(N7="","",CI5*$E$12/$E$19*10000)</f>
        <v>0</v>
      </c>
      <c r="R7" s="277">
        <f t="shared" ref="R7:R70" si="50">IF(N7="","",MAX(Q7-IF(N7&gt;=MIN(7,$F$5),0,((MIN(7,$F$5)-N7)/MIN(7,$F$5))*MIN($K$10,$K$11)*$E$12/$E$19*10000),0))</f>
        <v>0</v>
      </c>
      <c r="S7" s="401">
        <f t="shared" si="33"/>
        <v>0</v>
      </c>
      <c r="T7" s="232"/>
      <c r="U7" s="52" t="str">
        <f t="shared" si="44"/>
        <v/>
      </c>
      <c r="V7" s="53" t="str">
        <f>Main_무해지!AC7</f>
        <v/>
      </c>
      <c r="W7" s="56">
        <f>+Main_무해지!AD7</f>
        <v>0</v>
      </c>
      <c r="X7" s="56">
        <v>0</v>
      </c>
      <c r="Y7" s="254" t="str">
        <f t="shared" si="45"/>
        <v/>
      </c>
      <c r="Z7" s="254" t="str">
        <f t="shared" si="0"/>
        <v/>
      </c>
      <c r="AA7" s="54" t="str">
        <f>IF($U7="","",SUM(Z7:Z$114))</f>
        <v/>
      </c>
      <c r="AB7" s="254" t="str">
        <f t="shared" si="34"/>
        <v/>
      </c>
      <c r="AC7" s="254">
        <f t="shared" si="35"/>
        <v>0</v>
      </c>
      <c r="AD7" s="254" t="str">
        <f>Main_무해지!AJ7</f>
        <v/>
      </c>
      <c r="AE7" s="254">
        <f t="shared" si="1"/>
        <v>0</v>
      </c>
      <c r="AF7" s="254" t="str">
        <f t="shared" si="46"/>
        <v/>
      </c>
      <c r="AG7" s="254" t="str">
        <f t="shared" si="2"/>
        <v/>
      </c>
      <c r="AH7" s="54" t="str">
        <f>IF($U7="","",SUM(AG7:AG$114))</f>
        <v/>
      </c>
      <c r="AI7" s="254" t="str">
        <f>Main_무해지!AP7</f>
        <v/>
      </c>
      <c r="AJ7" s="254">
        <f t="shared" si="3"/>
        <v>0</v>
      </c>
      <c r="AK7" s="254" t="str">
        <f t="shared" si="4"/>
        <v/>
      </c>
      <c r="AL7" s="254" t="str">
        <f t="shared" si="5"/>
        <v/>
      </c>
      <c r="AM7" s="57" t="str">
        <f>IF($U7="","",SUM($AN7:$AN$114))</f>
        <v/>
      </c>
      <c r="AN7" s="254" t="str">
        <f t="shared" si="36"/>
        <v/>
      </c>
      <c r="AO7" s="57" t="str">
        <f t="shared" si="6"/>
        <v/>
      </c>
      <c r="AP7" s="53" t="str">
        <f>IF($U7="","",INDEX(#REF!,$U7+1))</f>
        <v/>
      </c>
      <c r="AQ7" s="254">
        <f t="shared" si="7"/>
        <v>0</v>
      </c>
      <c r="AR7" s="254" t="str">
        <f t="shared" si="8"/>
        <v/>
      </c>
      <c r="AS7" s="254" t="str">
        <f t="shared" si="9"/>
        <v/>
      </c>
      <c r="AT7" s="57" t="str">
        <f>IF($U7="","",SUM($AS7:$AS$114))</f>
        <v/>
      </c>
      <c r="AU7" s="53" t="str">
        <f>IF($U7="","",INDEX(#REF!,$U7+1))</f>
        <v/>
      </c>
      <c r="AV7" s="254">
        <f t="shared" si="10"/>
        <v>0</v>
      </c>
      <c r="AW7" s="254" t="str">
        <f t="shared" si="11"/>
        <v/>
      </c>
      <c r="AX7" s="254" t="str">
        <f t="shared" si="12"/>
        <v/>
      </c>
      <c r="AY7" s="57" t="str">
        <f>IF($U7="","",SUM($AX7:$AX$114))</f>
        <v/>
      </c>
      <c r="AZ7" s="53" t="str">
        <f>IF($U7="","",INDEX(#REF!,$U7+1))</f>
        <v/>
      </c>
      <c r="BA7" s="254">
        <f t="shared" si="13"/>
        <v>0</v>
      </c>
      <c r="BB7" s="254" t="str">
        <f t="shared" si="14"/>
        <v/>
      </c>
      <c r="BC7" s="254" t="str">
        <f t="shared" si="15"/>
        <v/>
      </c>
      <c r="BD7" s="57" t="str">
        <f>IF($U7="","",SUM($BC7:$BC$114))</f>
        <v/>
      </c>
      <c r="BE7" s="53" t="str">
        <f>IF($U7="","",INDEX(#REF!,$U7+1))</f>
        <v/>
      </c>
      <c r="BF7" s="254">
        <f t="shared" si="16"/>
        <v>0</v>
      </c>
      <c r="BG7" s="254" t="str">
        <f t="shared" si="17"/>
        <v/>
      </c>
      <c r="BH7" s="254" t="str">
        <f t="shared" si="18"/>
        <v/>
      </c>
      <c r="BI7" s="57" t="str">
        <f>IF($U7="","",SUM($BH7:$BH$114))</f>
        <v/>
      </c>
      <c r="BJ7" s="53" t="str">
        <f>IF($U7="","",INDEX(#REF!,$U7+1))</f>
        <v/>
      </c>
      <c r="BK7" s="254">
        <f t="shared" si="19"/>
        <v>0</v>
      </c>
      <c r="BL7" s="254" t="str">
        <f t="shared" si="20"/>
        <v/>
      </c>
      <c r="BM7" s="254" t="str">
        <f t="shared" si="21"/>
        <v/>
      </c>
      <c r="BN7" s="57" t="str">
        <f>IF($U7="","",SUM($BM7:$BM$114))</f>
        <v/>
      </c>
      <c r="BO7" s="53">
        <f t="shared" si="22"/>
        <v>0</v>
      </c>
      <c r="BP7" s="254" t="str">
        <f t="shared" si="23"/>
        <v/>
      </c>
      <c r="BQ7" s="254" t="str">
        <f t="shared" si="24"/>
        <v/>
      </c>
      <c r="BR7" s="254"/>
      <c r="BS7" s="254" t="str">
        <f t="shared" si="37"/>
        <v/>
      </c>
      <c r="BT7" s="254" t="str">
        <f t="shared" si="25"/>
        <v/>
      </c>
      <c r="BU7" s="254" t="str">
        <f t="shared" si="26"/>
        <v/>
      </c>
      <c r="BV7" s="254"/>
      <c r="BW7" s="254" t="str">
        <f t="shared" si="38"/>
        <v/>
      </c>
      <c r="BX7" s="254" t="str">
        <f>IF($U7="","",SUM(BS7:BS$114)+SUM(BW7:BW$114))</f>
        <v/>
      </c>
      <c r="BY7" s="55"/>
      <c r="BZ7" s="55"/>
      <c r="CA7" s="55"/>
      <c r="CB7" s="55"/>
      <c r="CC7" s="254" t="str">
        <f t="shared" si="39"/>
        <v/>
      </c>
      <c r="CD7" s="254" t="str">
        <f t="shared" si="27"/>
        <v/>
      </c>
      <c r="CE7" s="254" t="str">
        <f t="shared" si="28"/>
        <v/>
      </c>
      <c r="CF7" s="254" t="str">
        <f t="shared" si="40"/>
        <v/>
      </c>
      <c r="CG7" s="254" t="str">
        <f t="shared" si="29"/>
        <v/>
      </c>
      <c r="CH7" s="58" t="str">
        <f t="shared" si="41"/>
        <v/>
      </c>
      <c r="CI7" s="59" t="str">
        <f t="shared" si="30"/>
        <v/>
      </c>
      <c r="CJ7" s="236"/>
      <c r="CK7" s="52" t="str">
        <f t="shared" si="31"/>
        <v/>
      </c>
      <c r="CL7" s="59" t="str">
        <f t="shared" si="47"/>
        <v/>
      </c>
      <c r="CM7" s="59" t="str">
        <f t="shared" si="42"/>
        <v/>
      </c>
      <c r="CN7" s="59" t="str">
        <f t="shared" si="32"/>
        <v/>
      </c>
      <c r="CO7" s="59" t="str">
        <f t="shared" si="43"/>
        <v/>
      </c>
      <c r="CP7" s="236"/>
      <c r="CQ7" s="236"/>
      <c r="CR7" s="236"/>
      <c r="CS7" s="236"/>
      <c r="CT7" s="236"/>
      <c r="CU7" s="236"/>
      <c r="CV7" s="236"/>
    </row>
    <row r="8" spans="1:875">
      <c r="C8" s="28"/>
      <c r="D8" s="29" t="s">
        <v>97</v>
      </c>
      <c r="E8" s="633" t="s">
        <v>226</v>
      </c>
      <c r="F8" s="306">
        <f>Main_무해지!F8</f>
        <v>0</v>
      </c>
      <c r="G8" s="30"/>
      <c r="H8" s="323"/>
      <c r="I8" s="48" t="str">
        <f>+I55</f>
        <v xml:space="preserve">  mP'(m')x:n</v>
      </c>
      <c r="J8" s="109" t="str">
        <f>E6&amp;"P'"</f>
        <v>연납P'</v>
      </c>
      <c r="K8" s="226">
        <f>ROUND(K55,E18)*E19</f>
        <v>20</v>
      </c>
      <c r="L8" s="599"/>
      <c r="M8" s="50"/>
      <c r="N8" s="278" t="str">
        <f t="shared" ref="N8:N71" si="51">IF(N7="","",IF(N7+1&gt;$F$4,"",N7+1))</f>
        <v/>
      </c>
      <c r="O8" s="279" t="str">
        <f t="shared" ref="O8:O71" si="52">IF(N8="","",$E$3+N8)</f>
        <v/>
      </c>
      <c r="P8" s="271" t="str">
        <f t="shared" si="48"/>
        <v/>
      </c>
      <c r="Q8" s="271" t="str">
        <f t="shared" si="49"/>
        <v/>
      </c>
      <c r="R8" s="271" t="str">
        <f t="shared" si="50"/>
        <v/>
      </c>
      <c r="S8" s="400" t="str">
        <f t="shared" si="33"/>
        <v/>
      </c>
      <c r="T8" s="232"/>
      <c r="U8" s="52" t="str">
        <f t="shared" si="44"/>
        <v/>
      </c>
      <c r="V8" s="53" t="str">
        <f>Main_무해지!AC8</f>
        <v/>
      </c>
      <c r="W8" s="56">
        <f>+Main_무해지!AD8</f>
        <v>0</v>
      </c>
      <c r="X8" s="56">
        <v>0</v>
      </c>
      <c r="Y8" s="254" t="str">
        <f t="shared" si="45"/>
        <v/>
      </c>
      <c r="Z8" s="254" t="str">
        <f t="shared" si="0"/>
        <v/>
      </c>
      <c r="AA8" s="54" t="str">
        <f>IF($U8="","",SUM(Z8:Z$114))</f>
        <v/>
      </c>
      <c r="AB8" s="254" t="str">
        <f t="shared" si="34"/>
        <v/>
      </c>
      <c r="AC8" s="254">
        <f t="shared" si="35"/>
        <v>0</v>
      </c>
      <c r="AD8" s="254" t="str">
        <f>Main_무해지!AJ8</f>
        <v/>
      </c>
      <c r="AE8" s="254">
        <f t="shared" si="1"/>
        <v>0</v>
      </c>
      <c r="AF8" s="254" t="str">
        <f t="shared" si="46"/>
        <v/>
      </c>
      <c r="AG8" s="254" t="str">
        <f t="shared" si="2"/>
        <v/>
      </c>
      <c r="AH8" s="54" t="str">
        <f>IF($U8="","",SUM(AG8:AG$114))</f>
        <v/>
      </c>
      <c r="AI8" s="254" t="str">
        <f>Main_무해지!AP8</f>
        <v/>
      </c>
      <c r="AJ8" s="254">
        <f t="shared" si="3"/>
        <v>0</v>
      </c>
      <c r="AK8" s="254" t="str">
        <f t="shared" si="4"/>
        <v/>
      </c>
      <c r="AL8" s="254" t="str">
        <f t="shared" si="5"/>
        <v/>
      </c>
      <c r="AM8" s="57" t="str">
        <f>IF($U8="","",SUM($AN8:$AN$114))</f>
        <v/>
      </c>
      <c r="AN8" s="254" t="str">
        <f t="shared" si="36"/>
        <v/>
      </c>
      <c r="AO8" s="57" t="str">
        <f t="shared" si="6"/>
        <v/>
      </c>
      <c r="AP8" s="53" t="str">
        <f>IF($U8="","",INDEX(#REF!,$U8+1))</f>
        <v/>
      </c>
      <c r="AQ8" s="254">
        <f t="shared" si="7"/>
        <v>0</v>
      </c>
      <c r="AR8" s="254" t="str">
        <f t="shared" si="8"/>
        <v/>
      </c>
      <c r="AS8" s="254" t="str">
        <f t="shared" si="9"/>
        <v/>
      </c>
      <c r="AT8" s="57" t="str">
        <f>IF($U8="","",SUM($AS8:$AS$114))</f>
        <v/>
      </c>
      <c r="AU8" s="53" t="str">
        <f>IF($U8="","",INDEX(#REF!,$U8+1))</f>
        <v/>
      </c>
      <c r="AV8" s="254">
        <f t="shared" si="10"/>
        <v>0</v>
      </c>
      <c r="AW8" s="254" t="str">
        <f t="shared" si="11"/>
        <v/>
      </c>
      <c r="AX8" s="254" t="str">
        <f t="shared" si="12"/>
        <v/>
      </c>
      <c r="AY8" s="57" t="str">
        <f>IF($U8="","",SUM($AX8:$AX$114))</f>
        <v/>
      </c>
      <c r="AZ8" s="53" t="str">
        <f>IF($U8="","",INDEX(#REF!,$U8+1))</f>
        <v/>
      </c>
      <c r="BA8" s="254">
        <f t="shared" si="13"/>
        <v>0</v>
      </c>
      <c r="BB8" s="254" t="str">
        <f t="shared" si="14"/>
        <v/>
      </c>
      <c r="BC8" s="254" t="str">
        <f t="shared" si="15"/>
        <v/>
      </c>
      <c r="BD8" s="57" t="str">
        <f>IF($U8="","",SUM($BC8:$BC$114))</f>
        <v/>
      </c>
      <c r="BE8" s="53" t="str">
        <f>IF($U8="","",INDEX(#REF!,$U8+1))</f>
        <v/>
      </c>
      <c r="BF8" s="254">
        <f t="shared" si="16"/>
        <v>0</v>
      </c>
      <c r="BG8" s="254" t="str">
        <f t="shared" si="17"/>
        <v/>
      </c>
      <c r="BH8" s="254" t="str">
        <f t="shared" si="18"/>
        <v/>
      </c>
      <c r="BI8" s="57" t="str">
        <f>IF($U8="","",SUM($BH8:$BH$114))</f>
        <v/>
      </c>
      <c r="BJ8" s="53" t="str">
        <f>IF($U8="","",INDEX(#REF!,$U8+1))</f>
        <v/>
      </c>
      <c r="BK8" s="254">
        <f t="shared" si="19"/>
        <v>0</v>
      </c>
      <c r="BL8" s="254" t="str">
        <f t="shared" si="20"/>
        <v/>
      </c>
      <c r="BM8" s="254" t="str">
        <f t="shared" si="21"/>
        <v/>
      </c>
      <c r="BN8" s="57" t="str">
        <f>IF($U8="","",SUM($BM8:$BM$114))</f>
        <v/>
      </c>
      <c r="BO8" s="53">
        <f t="shared" si="22"/>
        <v>0</v>
      </c>
      <c r="BP8" s="254" t="str">
        <f t="shared" si="23"/>
        <v/>
      </c>
      <c r="BQ8" s="254" t="str">
        <f t="shared" si="24"/>
        <v/>
      </c>
      <c r="BR8" s="254"/>
      <c r="BS8" s="254" t="str">
        <f t="shared" si="37"/>
        <v/>
      </c>
      <c r="BT8" s="254" t="str">
        <f t="shared" si="25"/>
        <v/>
      </c>
      <c r="BU8" s="254" t="str">
        <f t="shared" si="26"/>
        <v/>
      </c>
      <c r="BV8" s="254"/>
      <c r="BW8" s="254" t="str">
        <f t="shared" si="38"/>
        <v/>
      </c>
      <c r="BX8" s="254" t="str">
        <f>IF($U8="","",SUM(BS8:BS$114)+SUM(BW8:BW$114))</f>
        <v/>
      </c>
      <c r="BY8" s="55"/>
      <c r="BZ8" s="55"/>
      <c r="CA8" s="55"/>
      <c r="CB8" s="55"/>
      <c r="CC8" s="254" t="str">
        <f t="shared" si="39"/>
        <v/>
      </c>
      <c r="CD8" s="254" t="str">
        <f t="shared" si="27"/>
        <v/>
      </c>
      <c r="CE8" s="254" t="str">
        <f t="shared" si="28"/>
        <v/>
      </c>
      <c r="CF8" s="254" t="str">
        <f t="shared" si="40"/>
        <v/>
      </c>
      <c r="CG8" s="254" t="str">
        <f t="shared" si="29"/>
        <v/>
      </c>
      <c r="CH8" s="58" t="str">
        <f t="shared" si="41"/>
        <v/>
      </c>
      <c r="CI8" s="59" t="str">
        <f t="shared" si="30"/>
        <v/>
      </c>
      <c r="CJ8" s="236"/>
      <c r="CK8" s="52" t="str">
        <f t="shared" si="31"/>
        <v/>
      </c>
      <c r="CL8" s="59" t="str">
        <f t="shared" si="47"/>
        <v/>
      </c>
      <c r="CM8" s="59" t="str">
        <f t="shared" si="42"/>
        <v/>
      </c>
      <c r="CN8" s="59" t="str">
        <f t="shared" si="32"/>
        <v/>
      </c>
      <c r="CO8" s="59" t="str">
        <f t="shared" si="43"/>
        <v/>
      </c>
      <c r="CP8" s="236"/>
      <c r="CQ8" s="236"/>
      <c r="CR8" s="236"/>
      <c r="CS8" s="236"/>
      <c r="CT8" s="236"/>
      <c r="CU8" s="236"/>
      <c r="CV8" s="236"/>
    </row>
    <row r="9" spans="1:875">
      <c r="C9" s="28"/>
      <c r="D9" s="29" t="s">
        <v>98</v>
      </c>
      <c r="E9" s="429" t="s">
        <v>227</v>
      </c>
      <c r="F9" s="306">
        <f>Main_무해지!F9</f>
        <v>0</v>
      </c>
      <c r="G9" s="30"/>
      <c r="H9" s="372"/>
      <c r="I9" s="48" t="str">
        <f>+I48</f>
        <v xml:space="preserve">  mP(β')(m')x:n</v>
      </c>
      <c r="J9" s="109" t="s">
        <v>257</v>
      </c>
      <c r="K9" s="226">
        <f>ROUND(K48,E18)*E19</f>
        <v>7</v>
      </c>
      <c r="L9" s="599"/>
      <c r="M9" s="50"/>
      <c r="N9" s="278" t="str">
        <f t="shared" si="51"/>
        <v/>
      </c>
      <c r="O9" s="279" t="str">
        <f t="shared" si="52"/>
        <v/>
      </c>
      <c r="P9" s="271" t="str">
        <f t="shared" si="48"/>
        <v/>
      </c>
      <c r="Q9" s="271" t="str">
        <f t="shared" si="49"/>
        <v/>
      </c>
      <c r="R9" s="271" t="str">
        <f t="shared" si="50"/>
        <v/>
      </c>
      <c r="S9" s="400" t="str">
        <f t="shared" si="33"/>
        <v/>
      </c>
      <c r="T9" s="232"/>
      <c r="U9" s="60" t="str">
        <f t="shared" si="44"/>
        <v/>
      </c>
      <c r="V9" s="61" t="str">
        <f>Main_무해지!AC9</f>
        <v/>
      </c>
      <c r="W9" s="64">
        <f>+Main_무해지!AD9</f>
        <v>0</v>
      </c>
      <c r="X9" s="64">
        <v>0</v>
      </c>
      <c r="Y9" s="255" t="str">
        <f t="shared" si="45"/>
        <v/>
      </c>
      <c r="Z9" s="255" t="str">
        <f t="shared" si="0"/>
        <v/>
      </c>
      <c r="AA9" s="62" t="str">
        <f>IF($U9="","",SUM(Z9:Z$114))</f>
        <v/>
      </c>
      <c r="AB9" s="255" t="str">
        <f t="shared" si="34"/>
        <v/>
      </c>
      <c r="AC9" s="255">
        <f t="shared" si="35"/>
        <v>0</v>
      </c>
      <c r="AD9" s="255" t="str">
        <f>Main_무해지!AJ9</f>
        <v/>
      </c>
      <c r="AE9" s="255">
        <f t="shared" si="1"/>
        <v>0</v>
      </c>
      <c r="AF9" s="255" t="str">
        <f t="shared" si="46"/>
        <v/>
      </c>
      <c r="AG9" s="255" t="str">
        <f t="shared" si="2"/>
        <v/>
      </c>
      <c r="AH9" s="62" t="str">
        <f>IF($U9="","",SUM(AG9:AG$114))</f>
        <v/>
      </c>
      <c r="AI9" s="255" t="str">
        <f>Main_무해지!AP9</f>
        <v/>
      </c>
      <c r="AJ9" s="255">
        <f t="shared" si="3"/>
        <v>0</v>
      </c>
      <c r="AK9" s="255" t="str">
        <f t="shared" si="4"/>
        <v/>
      </c>
      <c r="AL9" s="255" t="str">
        <f t="shared" si="5"/>
        <v/>
      </c>
      <c r="AM9" s="65" t="str">
        <f>IF($U9="","",SUM($AN9:$AN$114))</f>
        <v/>
      </c>
      <c r="AN9" s="255" t="str">
        <f t="shared" si="36"/>
        <v/>
      </c>
      <c r="AO9" s="65" t="str">
        <f t="shared" si="6"/>
        <v/>
      </c>
      <c r="AP9" s="61" t="str">
        <f>IF($U9="","",INDEX(#REF!,$U9+1))</f>
        <v/>
      </c>
      <c r="AQ9" s="255">
        <f t="shared" si="7"/>
        <v>0</v>
      </c>
      <c r="AR9" s="255" t="str">
        <f t="shared" si="8"/>
        <v/>
      </c>
      <c r="AS9" s="255" t="str">
        <f t="shared" si="9"/>
        <v/>
      </c>
      <c r="AT9" s="65" t="str">
        <f>IF($U9="","",SUM($AS9:$AS$114))</f>
        <v/>
      </c>
      <c r="AU9" s="61" t="str">
        <f>IF($U9="","",INDEX(#REF!,$U9+1))</f>
        <v/>
      </c>
      <c r="AV9" s="255">
        <f t="shared" si="10"/>
        <v>0</v>
      </c>
      <c r="AW9" s="255" t="str">
        <f t="shared" si="11"/>
        <v/>
      </c>
      <c r="AX9" s="255" t="str">
        <f t="shared" si="12"/>
        <v/>
      </c>
      <c r="AY9" s="65" t="str">
        <f>IF($U9="","",SUM($AX9:$AX$114))</f>
        <v/>
      </c>
      <c r="AZ9" s="61" t="str">
        <f>IF($U9="","",INDEX(#REF!,$U9+1))</f>
        <v/>
      </c>
      <c r="BA9" s="255">
        <f t="shared" si="13"/>
        <v>0</v>
      </c>
      <c r="BB9" s="255" t="str">
        <f t="shared" si="14"/>
        <v/>
      </c>
      <c r="BC9" s="255" t="str">
        <f t="shared" si="15"/>
        <v/>
      </c>
      <c r="BD9" s="65" t="str">
        <f>IF($U9="","",SUM($BC9:$BC$114))</f>
        <v/>
      </c>
      <c r="BE9" s="61" t="str">
        <f>IF($U9="","",INDEX(#REF!,$U9+1))</f>
        <v/>
      </c>
      <c r="BF9" s="255">
        <f t="shared" si="16"/>
        <v>0</v>
      </c>
      <c r="BG9" s="255" t="str">
        <f t="shared" si="17"/>
        <v/>
      </c>
      <c r="BH9" s="255" t="str">
        <f t="shared" si="18"/>
        <v/>
      </c>
      <c r="BI9" s="65" t="str">
        <f>IF($U9="","",SUM($BH9:$BH$114))</f>
        <v/>
      </c>
      <c r="BJ9" s="61" t="str">
        <f>IF($U9="","",INDEX(#REF!,$U9+1))</f>
        <v/>
      </c>
      <c r="BK9" s="255">
        <f t="shared" si="19"/>
        <v>0</v>
      </c>
      <c r="BL9" s="255" t="str">
        <f t="shared" si="20"/>
        <v/>
      </c>
      <c r="BM9" s="255" t="str">
        <f t="shared" si="21"/>
        <v/>
      </c>
      <c r="BN9" s="65" t="str">
        <f>IF($U9="","",SUM($BM9:$BM$114))</f>
        <v/>
      </c>
      <c r="BO9" s="61">
        <f t="shared" si="22"/>
        <v>0</v>
      </c>
      <c r="BP9" s="255" t="str">
        <f t="shared" si="23"/>
        <v/>
      </c>
      <c r="BQ9" s="255" t="str">
        <f t="shared" si="24"/>
        <v/>
      </c>
      <c r="BR9" s="255"/>
      <c r="BS9" s="255" t="str">
        <f t="shared" si="37"/>
        <v/>
      </c>
      <c r="BT9" s="255" t="str">
        <f t="shared" si="25"/>
        <v/>
      </c>
      <c r="BU9" s="255" t="str">
        <f t="shared" si="26"/>
        <v/>
      </c>
      <c r="BV9" s="255"/>
      <c r="BW9" s="255" t="str">
        <f t="shared" si="38"/>
        <v/>
      </c>
      <c r="BX9" s="255" t="str">
        <f>IF($U9="","",SUM(BS9:BS$114)+SUM(BW9:BW$114))</f>
        <v/>
      </c>
      <c r="BY9" s="63"/>
      <c r="BZ9" s="63"/>
      <c r="CA9" s="63"/>
      <c r="CB9" s="63"/>
      <c r="CC9" s="255" t="str">
        <f t="shared" si="39"/>
        <v/>
      </c>
      <c r="CD9" s="255" t="str">
        <f t="shared" si="27"/>
        <v/>
      </c>
      <c r="CE9" s="255" t="str">
        <f t="shared" si="28"/>
        <v/>
      </c>
      <c r="CF9" s="255" t="str">
        <f t="shared" si="40"/>
        <v/>
      </c>
      <c r="CG9" s="255" t="str">
        <f t="shared" si="29"/>
        <v/>
      </c>
      <c r="CH9" s="66" t="str">
        <f t="shared" si="41"/>
        <v/>
      </c>
      <c r="CI9" s="67" t="str">
        <f t="shared" si="30"/>
        <v/>
      </c>
      <c r="CJ9" s="237"/>
      <c r="CK9" s="60" t="str">
        <f t="shared" si="31"/>
        <v/>
      </c>
      <c r="CL9" s="67" t="str">
        <f t="shared" si="47"/>
        <v/>
      </c>
      <c r="CM9" s="67" t="str">
        <f t="shared" si="42"/>
        <v/>
      </c>
      <c r="CN9" s="67" t="str">
        <f t="shared" si="32"/>
        <v/>
      </c>
      <c r="CO9" s="67" t="str">
        <f t="shared" si="43"/>
        <v/>
      </c>
      <c r="CP9" s="237"/>
      <c r="CQ9" s="237"/>
      <c r="CR9" s="237"/>
      <c r="CS9" s="237"/>
      <c r="CT9" s="237"/>
      <c r="CU9" s="237"/>
      <c r="CV9" s="237"/>
    </row>
    <row r="10" spans="1:875">
      <c r="C10" s="28"/>
      <c r="D10" s="29" t="s">
        <v>99</v>
      </c>
      <c r="E10" s="430">
        <v>0</v>
      </c>
      <c r="F10" s="306">
        <f>Main_무해지!F10</f>
        <v>0</v>
      </c>
      <c r="G10" s="30"/>
      <c r="H10" s="321"/>
      <c r="I10" s="48" t="s">
        <v>75</v>
      </c>
      <c r="J10" s="109"/>
      <c r="K10" s="226">
        <f>+IF(F5=0,ROUND(E32*E19+K44*E33*E19,0),ROUND(E23*E19+E24*K41*E19,0))</f>
        <v>0</v>
      </c>
      <c r="L10" s="599"/>
      <c r="M10" s="50"/>
      <c r="N10" s="278" t="str">
        <f t="shared" si="51"/>
        <v/>
      </c>
      <c r="O10" s="279" t="str">
        <f t="shared" si="52"/>
        <v/>
      </c>
      <c r="P10" s="271" t="str">
        <f t="shared" si="48"/>
        <v/>
      </c>
      <c r="Q10" s="271" t="str">
        <f t="shared" si="49"/>
        <v/>
      </c>
      <c r="R10" s="271" t="str">
        <f t="shared" si="50"/>
        <v/>
      </c>
      <c r="S10" s="400" t="str">
        <f t="shared" si="33"/>
        <v/>
      </c>
      <c r="T10" s="232"/>
      <c r="U10" s="759" t="str">
        <f t="shared" si="44"/>
        <v/>
      </c>
      <c r="V10" s="761" t="str">
        <f>Main_무해지!AC10</f>
        <v/>
      </c>
      <c r="W10" s="639">
        <f>+Main_무해지!AD10</f>
        <v>0</v>
      </c>
      <c r="X10" s="639">
        <v>0</v>
      </c>
      <c r="Y10" s="409" t="str">
        <f t="shared" si="45"/>
        <v/>
      </c>
      <c r="Z10" s="409" t="str">
        <f t="shared" si="0"/>
        <v/>
      </c>
      <c r="AA10" s="760" t="str">
        <f>IF($U10="","",SUM(Z10:Z$114))</f>
        <v/>
      </c>
      <c r="AB10" s="409" t="str">
        <f t="shared" si="34"/>
        <v/>
      </c>
      <c r="AC10" s="409">
        <f t="shared" si="35"/>
        <v>0</v>
      </c>
      <c r="AD10" s="409" t="str">
        <f>Main_무해지!AJ10</f>
        <v/>
      </c>
      <c r="AE10" s="409">
        <f t="shared" si="1"/>
        <v>0</v>
      </c>
      <c r="AF10" s="409" t="str">
        <f t="shared" si="46"/>
        <v/>
      </c>
      <c r="AG10" s="409" t="str">
        <f t="shared" si="2"/>
        <v/>
      </c>
      <c r="AH10" s="760" t="str">
        <f>IF($U10="","",SUM(AG10:AG$114))</f>
        <v/>
      </c>
      <c r="AI10" s="409" t="str">
        <f>Main_무해지!AP10</f>
        <v/>
      </c>
      <c r="AJ10" s="409">
        <f t="shared" si="3"/>
        <v>0</v>
      </c>
      <c r="AK10" s="409" t="str">
        <f t="shared" si="4"/>
        <v/>
      </c>
      <c r="AL10" s="409" t="str">
        <f t="shared" si="5"/>
        <v/>
      </c>
      <c r="AM10" s="762" t="str">
        <f>IF($U10="","",SUM($AN10:$AN$114))</f>
        <v/>
      </c>
      <c r="AN10" s="409" t="str">
        <f t="shared" si="36"/>
        <v/>
      </c>
      <c r="AO10" s="762" t="str">
        <f t="shared" si="6"/>
        <v/>
      </c>
      <c r="AP10" s="761" t="str">
        <f>IF($U10="","",INDEX(#REF!,$U10+1))</f>
        <v/>
      </c>
      <c r="AQ10" s="409">
        <f t="shared" si="7"/>
        <v>0</v>
      </c>
      <c r="AR10" s="409" t="str">
        <f t="shared" si="8"/>
        <v/>
      </c>
      <c r="AS10" s="409" t="str">
        <f t="shared" si="9"/>
        <v/>
      </c>
      <c r="AT10" s="762" t="str">
        <f>IF($U10="","",SUM($AS10:$AS$114))</f>
        <v/>
      </c>
      <c r="AU10" s="761" t="str">
        <f>IF($U10="","",INDEX(#REF!,$U10+1))</f>
        <v/>
      </c>
      <c r="AV10" s="409">
        <f t="shared" si="10"/>
        <v>0</v>
      </c>
      <c r="AW10" s="409" t="str">
        <f t="shared" si="11"/>
        <v/>
      </c>
      <c r="AX10" s="409" t="str">
        <f t="shared" si="12"/>
        <v/>
      </c>
      <c r="AY10" s="762" t="str">
        <f>IF($U10="","",SUM($AX10:$AX$114))</f>
        <v/>
      </c>
      <c r="AZ10" s="761" t="str">
        <f>IF($U10="","",INDEX(#REF!,$U10+1))</f>
        <v/>
      </c>
      <c r="BA10" s="409">
        <f t="shared" si="13"/>
        <v>0</v>
      </c>
      <c r="BB10" s="409" t="str">
        <f t="shared" si="14"/>
        <v/>
      </c>
      <c r="BC10" s="409" t="str">
        <f t="shared" si="15"/>
        <v/>
      </c>
      <c r="BD10" s="762" t="str">
        <f>IF($U10="","",SUM($BC10:$BC$114))</f>
        <v/>
      </c>
      <c r="BE10" s="761" t="str">
        <f>IF($U10="","",INDEX(#REF!,$U10+1))</f>
        <v/>
      </c>
      <c r="BF10" s="409">
        <f t="shared" si="16"/>
        <v>0</v>
      </c>
      <c r="BG10" s="409" t="str">
        <f t="shared" si="17"/>
        <v/>
      </c>
      <c r="BH10" s="409" t="str">
        <f t="shared" si="18"/>
        <v/>
      </c>
      <c r="BI10" s="762" t="str">
        <f>IF($U10="","",SUM($BH10:$BH$114))</f>
        <v/>
      </c>
      <c r="BJ10" s="761" t="str">
        <f>IF($U10="","",INDEX(#REF!,$U10+1))</f>
        <v/>
      </c>
      <c r="BK10" s="409">
        <f t="shared" si="19"/>
        <v>0</v>
      </c>
      <c r="BL10" s="409" t="str">
        <f t="shared" si="20"/>
        <v/>
      </c>
      <c r="BM10" s="409" t="str">
        <f t="shared" si="21"/>
        <v/>
      </c>
      <c r="BN10" s="762" t="str">
        <f>IF($U10="","",SUM($BM10:$BM$114))</f>
        <v/>
      </c>
      <c r="BO10" s="761">
        <f t="shared" si="22"/>
        <v>0</v>
      </c>
      <c r="BP10" s="409" t="str">
        <f t="shared" si="23"/>
        <v/>
      </c>
      <c r="BQ10" s="409" t="str">
        <f t="shared" si="24"/>
        <v/>
      </c>
      <c r="BR10" s="409"/>
      <c r="BS10" s="409" t="str">
        <f t="shared" si="37"/>
        <v/>
      </c>
      <c r="BT10" s="409" t="str">
        <f t="shared" si="25"/>
        <v/>
      </c>
      <c r="BU10" s="409" t="str">
        <f t="shared" si="26"/>
        <v/>
      </c>
      <c r="BV10" s="409"/>
      <c r="BW10" s="409" t="str">
        <f t="shared" si="38"/>
        <v/>
      </c>
      <c r="BX10" s="409" t="str">
        <f>IF($U10="","",SUM(BS10:BS$114)+SUM(BW10:BW$114))</f>
        <v/>
      </c>
      <c r="BY10" s="763"/>
      <c r="BZ10" s="763"/>
      <c r="CA10" s="763"/>
      <c r="CB10" s="763"/>
      <c r="CC10" s="409" t="str">
        <f t="shared" si="39"/>
        <v/>
      </c>
      <c r="CD10" s="409" t="str">
        <f t="shared" si="27"/>
        <v/>
      </c>
      <c r="CE10" s="409" t="str">
        <f t="shared" si="28"/>
        <v/>
      </c>
      <c r="CF10" s="409" t="str">
        <f t="shared" si="40"/>
        <v/>
      </c>
      <c r="CG10" s="409" t="str">
        <f t="shared" si="29"/>
        <v/>
      </c>
      <c r="CH10" s="765" t="str">
        <f t="shared" si="41"/>
        <v/>
      </c>
      <c r="CI10" s="766" t="str">
        <f t="shared" si="30"/>
        <v/>
      </c>
      <c r="CJ10" s="414"/>
      <c r="CK10" s="759" t="str">
        <f t="shared" si="31"/>
        <v/>
      </c>
      <c r="CL10" s="766" t="str">
        <f t="shared" si="47"/>
        <v/>
      </c>
      <c r="CM10" s="766" t="str">
        <f t="shared" si="42"/>
        <v/>
      </c>
      <c r="CN10" s="766" t="str">
        <f t="shared" si="32"/>
        <v/>
      </c>
      <c r="CO10" s="766" t="str">
        <f t="shared" si="43"/>
        <v/>
      </c>
      <c r="CP10" s="414"/>
      <c r="CQ10" s="414"/>
      <c r="CR10" s="414"/>
      <c r="CS10" s="414"/>
      <c r="CT10" s="414"/>
      <c r="CU10" s="414"/>
      <c r="CV10" s="414"/>
    </row>
    <row r="11" spans="1:875" ht="17.25" thickBot="1">
      <c r="C11" s="28"/>
      <c r="D11" s="29" t="s">
        <v>100</v>
      </c>
      <c r="E11" s="431">
        <v>0</v>
      </c>
      <c r="F11" s="306">
        <f>Main_무해지!F11</f>
        <v>0</v>
      </c>
      <c r="G11" s="30"/>
      <c r="H11" s="322"/>
      <c r="I11" s="426" t="s">
        <v>229</v>
      </c>
      <c r="J11" s="427"/>
      <c r="K11" s="428">
        <f>+IF(F5=0,ROUND(F32*E19+K44*F33*E19,0),ROUND(F23*E19+F24*K41*E19,0))</f>
        <v>70</v>
      </c>
      <c r="L11" s="599"/>
      <c r="M11" s="599"/>
      <c r="N11" s="280" t="str">
        <f t="shared" si="51"/>
        <v/>
      </c>
      <c r="O11" s="281" t="str">
        <f t="shared" si="52"/>
        <v/>
      </c>
      <c r="P11" s="282" t="str">
        <f t="shared" si="48"/>
        <v/>
      </c>
      <c r="Q11" s="282" t="str">
        <f t="shared" si="49"/>
        <v/>
      </c>
      <c r="R11" s="282" t="str">
        <f t="shared" si="50"/>
        <v/>
      </c>
      <c r="S11" s="402" t="str">
        <f t="shared" si="33"/>
        <v/>
      </c>
      <c r="T11" s="232"/>
      <c r="U11" s="70" t="str">
        <f t="shared" si="44"/>
        <v/>
      </c>
      <c r="V11" s="71" t="str">
        <f>Main_무해지!AC11</f>
        <v/>
      </c>
      <c r="W11" s="74">
        <f>+Main_무해지!AD11</f>
        <v>0</v>
      </c>
      <c r="X11" s="74">
        <v>0</v>
      </c>
      <c r="Y11" s="256" t="str">
        <f t="shared" si="45"/>
        <v/>
      </c>
      <c r="Z11" s="256" t="str">
        <f t="shared" si="0"/>
        <v/>
      </c>
      <c r="AA11" s="72" t="str">
        <f>IF($U11="","",SUM(Z11:Z$114))</f>
        <v/>
      </c>
      <c r="AB11" s="256" t="str">
        <f t="shared" si="34"/>
        <v/>
      </c>
      <c r="AC11" s="256">
        <f t="shared" si="35"/>
        <v>0</v>
      </c>
      <c r="AD11" s="256" t="str">
        <f>Main_무해지!AJ11</f>
        <v/>
      </c>
      <c r="AE11" s="256">
        <f t="shared" si="1"/>
        <v>0</v>
      </c>
      <c r="AF11" s="256" t="str">
        <f t="shared" si="46"/>
        <v/>
      </c>
      <c r="AG11" s="256" t="str">
        <f t="shared" si="2"/>
        <v/>
      </c>
      <c r="AH11" s="72" t="str">
        <f>IF($U11="","",SUM(AG11:AG$114))</f>
        <v/>
      </c>
      <c r="AI11" s="256" t="str">
        <f>Main_무해지!AP11</f>
        <v/>
      </c>
      <c r="AJ11" s="256">
        <f t="shared" si="3"/>
        <v>0</v>
      </c>
      <c r="AK11" s="256" t="str">
        <f t="shared" si="4"/>
        <v/>
      </c>
      <c r="AL11" s="256" t="str">
        <f t="shared" si="5"/>
        <v/>
      </c>
      <c r="AM11" s="75" t="str">
        <f>IF($U11="","",SUM($AN11:$AN$114))</f>
        <v/>
      </c>
      <c r="AN11" s="256" t="str">
        <f t="shared" si="36"/>
        <v/>
      </c>
      <c r="AO11" s="75" t="str">
        <f t="shared" si="6"/>
        <v/>
      </c>
      <c r="AP11" s="71" t="str">
        <f>IF($U11="","",INDEX(#REF!,$U11+1))</f>
        <v/>
      </c>
      <c r="AQ11" s="256">
        <f t="shared" si="7"/>
        <v>0</v>
      </c>
      <c r="AR11" s="256" t="str">
        <f t="shared" si="8"/>
        <v/>
      </c>
      <c r="AS11" s="256" t="str">
        <f t="shared" si="9"/>
        <v/>
      </c>
      <c r="AT11" s="75" t="str">
        <f>IF($U11="","",SUM($AS11:$AS$114))</f>
        <v/>
      </c>
      <c r="AU11" s="71" t="str">
        <f>IF($U11="","",INDEX(#REF!,$U11+1))</f>
        <v/>
      </c>
      <c r="AV11" s="256">
        <f t="shared" si="10"/>
        <v>0</v>
      </c>
      <c r="AW11" s="256" t="str">
        <f t="shared" si="11"/>
        <v/>
      </c>
      <c r="AX11" s="256" t="str">
        <f t="shared" si="12"/>
        <v/>
      </c>
      <c r="AY11" s="75" t="str">
        <f>IF($U11="","",SUM($AX11:$AX$114))</f>
        <v/>
      </c>
      <c r="AZ11" s="71" t="str">
        <f>IF($U11="","",INDEX(#REF!,$U11+1))</f>
        <v/>
      </c>
      <c r="BA11" s="256">
        <f t="shared" si="13"/>
        <v>0</v>
      </c>
      <c r="BB11" s="256" t="str">
        <f t="shared" si="14"/>
        <v/>
      </c>
      <c r="BC11" s="256" t="str">
        <f t="shared" si="15"/>
        <v/>
      </c>
      <c r="BD11" s="75" t="str">
        <f>IF($U11="","",SUM($BC11:$BC$114))</f>
        <v/>
      </c>
      <c r="BE11" s="71" t="str">
        <f>IF($U11="","",INDEX(#REF!,$U11+1))</f>
        <v/>
      </c>
      <c r="BF11" s="256">
        <f t="shared" si="16"/>
        <v>0</v>
      </c>
      <c r="BG11" s="256" t="str">
        <f t="shared" si="17"/>
        <v/>
      </c>
      <c r="BH11" s="256" t="str">
        <f t="shared" si="18"/>
        <v/>
      </c>
      <c r="BI11" s="75" t="str">
        <f>IF($U11="","",SUM($BH11:$BH$114))</f>
        <v/>
      </c>
      <c r="BJ11" s="71" t="str">
        <f>IF($U11="","",INDEX(#REF!,$U11+1))</f>
        <v/>
      </c>
      <c r="BK11" s="256">
        <f t="shared" si="19"/>
        <v>0</v>
      </c>
      <c r="BL11" s="256" t="str">
        <f t="shared" si="20"/>
        <v/>
      </c>
      <c r="BM11" s="256" t="str">
        <f t="shared" si="21"/>
        <v/>
      </c>
      <c r="BN11" s="75" t="str">
        <f>IF($U11="","",SUM($BM11:$BM$114))</f>
        <v/>
      </c>
      <c r="BO11" s="71">
        <f t="shared" si="22"/>
        <v>0</v>
      </c>
      <c r="BP11" s="256" t="str">
        <f t="shared" si="23"/>
        <v/>
      </c>
      <c r="BQ11" s="256" t="str">
        <f t="shared" si="24"/>
        <v/>
      </c>
      <c r="BR11" s="256"/>
      <c r="BS11" s="256" t="str">
        <f t="shared" si="37"/>
        <v/>
      </c>
      <c r="BT11" s="256" t="str">
        <f t="shared" si="25"/>
        <v/>
      </c>
      <c r="BU11" s="256" t="str">
        <f t="shared" si="26"/>
        <v/>
      </c>
      <c r="BV11" s="256"/>
      <c r="BW11" s="256" t="str">
        <f t="shared" si="38"/>
        <v/>
      </c>
      <c r="BX11" s="256" t="str">
        <f>IF($U11="","",SUM(BS11:BS$114)+SUM(BW11:BW$114))</f>
        <v/>
      </c>
      <c r="BY11" s="73"/>
      <c r="BZ11" s="73"/>
      <c r="CA11" s="73"/>
      <c r="CB11" s="73"/>
      <c r="CC11" s="256" t="str">
        <f t="shared" si="39"/>
        <v/>
      </c>
      <c r="CD11" s="256" t="str">
        <f t="shared" si="27"/>
        <v/>
      </c>
      <c r="CE11" s="256" t="str">
        <f t="shared" si="28"/>
        <v/>
      </c>
      <c r="CF11" s="256" t="str">
        <f t="shared" si="40"/>
        <v/>
      </c>
      <c r="CG11" s="256" t="str">
        <f t="shared" si="29"/>
        <v/>
      </c>
      <c r="CH11" s="76" t="str">
        <f t="shared" si="41"/>
        <v/>
      </c>
      <c r="CI11" s="77" t="str">
        <f t="shared" si="30"/>
        <v/>
      </c>
      <c r="CJ11" s="238"/>
      <c r="CK11" s="70" t="str">
        <f t="shared" si="31"/>
        <v/>
      </c>
      <c r="CL11" s="77" t="str">
        <f t="shared" si="47"/>
        <v/>
      </c>
      <c r="CM11" s="77" t="str">
        <f t="shared" si="42"/>
        <v/>
      </c>
      <c r="CN11" s="77" t="str">
        <f t="shared" si="32"/>
        <v/>
      </c>
      <c r="CO11" s="77" t="str">
        <f t="shared" si="43"/>
        <v/>
      </c>
      <c r="CP11" s="238"/>
      <c r="CQ11" s="238"/>
      <c r="CR11" s="238"/>
      <c r="CS11" s="238"/>
      <c r="CT11" s="238"/>
      <c r="CU11" s="238"/>
      <c r="CV11" s="238"/>
    </row>
    <row r="12" spans="1:875" ht="18.75" thickTop="1" thickBot="1">
      <c r="C12" s="245"/>
      <c r="D12" s="246" t="s">
        <v>77</v>
      </c>
      <c r="E12" s="248">
        <f>일반형!E12</f>
        <v>1000</v>
      </c>
      <c r="F12" s="247" t="s">
        <v>76</v>
      </c>
      <c r="G12" s="249"/>
      <c r="H12" s="321"/>
      <c r="I12" s="50"/>
      <c r="J12" s="50"/>
      <c r="K12" s="50"/>
      <c r="L12" s="599"/>
      <c r="M12" s="599"/>
      <c r="N12" s="275" t="str">
        <f t="shared" si="51"/>
        <v/>
      </c>
      <c r="O12" s="276" t="str">
        <f t="shared" si="52"/>
        <v/>
      </c>
      <c r="P12" s="277" t="str">
        <f t="shared" si="48"/>
        <v/>
      </c>
      <c r="Q12" s="277" t="str">
        <f t="shared" si="49"/>
        <v/>
      </c>
      <c r="R12" s="277" t="str">
        <f t="shared" si="50"/>
        <v/>
      </c>
      <c r="S12" s="401" t="str">
        <f t="shared" si="33"/>
        <v/>
      </c>
      <c r="T12" s="232"/>
      <c r="U12" s="70" t="str">
        <f t="shared" si="44"/>
        <v/>
      </c>
      <c r="V12" s="71" t="str">
        <f>Main_무해지!AC12</f>
        <v/>
      </c>
      <c r="W12" s="74">
        <f>+Main_무해지!AD12</f>
        <v>0</v>
      </c>
      <c r="X12" s="74">
        <v>0</v>
      </c>
      <c r="Y12" s="256" t="str">
        <f t="shared" si="45"/>
        <v/>
      </c>
      <c r="Z12" s="256" t="str">
        <f t="shared" si="0"/>
        <v/>
      </c>
      <c r="AA12" s="72" t="str">
        <f>IF($U12="","",SUM(Z12:Z$114))</f>
        <v/>
      </c>
      <c r="AB12" s="256" t="str">
        <f t="shared" si="34"/>
        <v/>
      </c>
      <c r="AC12" s="256">
        <f t="shared" si="35"/>
        <v>0</v>
      </c>
      <c r="AD12" s="256" t="str">
        <f>Main_무해지!AJ12</f>
        <v/>
      </c>
      <c r="AE12" s="256">
        <f t="shared" si="1"/>
        <v>0</v>
      </c>
      <c r="AF12" s="256" t="str">
        <f t="shared" si="46"/>
        <v/>
      </c>
      <c r="AG12" s="256" t="str">
        <f t="shared" si="2"/>
        <v/>
      </c>
      <c r="AH12" s="72" t="str">
        <f>IF($U12="","",SUM(AG12:AG$114))</f>
        <v/>
      </c>
      <c r="AI12" s="256" t="str">
        <f>Main_무해지!AP12</f>
        <v/>
      </c>
      <c r="AJ12" s="256">
        <f t="shared" si="3"/>
        <v>0</v>
      </c>
      <c r="AK12" s="256" t="str">
        <f t="shared" si="4"/>
        <v/>
      </c>
      <c r="AL12" s="256" t="str">
        <f t="shared" si="5"/>
        <v/>
      </c>
      <c r="AM12" s="75" t="str">
        <f>IF($U12="","",SUM($AN12:$AN$114))</f>
        <v/>
      </c>
      <c r="AN12" s="256" t="str">
        <f t="shared" si="36"/>
        <v/>
      </c>
      <c r="AO12" s="75" t="str">
        <f t="shared" si="6"/>
        <v/>
      </c>
      <c r="AP12" s="71" t="str">
        <f>IF($U12="","",INDEX(#REF!,$U12+1))</f>
        <v/>
      </c>
      <c r="AQ12" s="256">
        <f t="shared" si="7"/>
        <v>0</v>
      </c>
      <c r="AR12" s="256" t="str">
        <f t="shared" si="8"/>
        <v/>
      </c>
      <c r="AS12" s="256" t="str">
        <f t="shared" si="9"/>
        <v/>
      </c>
      <c r="AT12" s="75" t="str">
        <f>IF($U12="","",SUM($AS12:$AS$114))</f>
        <v/>
      </c>
      <c r="AU12" s="71" t="str">
        <f>IF($U12="","",INDEX(#REF!,$U12+1))</f>
        <v/>
      </c>
      <c r="AV12" s="256">
        <f t="shared" si="10"/>
        <v>0</v>
      </c>
      <c r="AW12" s="256" t="str">
        <f t="shared" si="11"/>
        <v/>
      </c>
      <c r="AX12" s="256" t="str">
        <f t="shared" si="12"/>
        <v/>
      </c>
      <c r="AY12" s="75" t="str">
        <f>IF($U12="","",SUM($AX12:$AX$114))</f>
        <v/>
      </c>
      <c r="AZ12" s="71" t="str">
        <f>IF($U12="","",INDEX(#REF!,$U12+1))</f>
        <v/>
      </c>
      <c r="BA12" s="256">
        <f t="shared" si="13"/>
        <v>0</v>
      </c>
      <c r="BB12" s="256" t="str">
        <f t="shared" si="14"/>
        <v/>
      </c>
      <c r="BC12" s="256" t="str">
        <f t="shared" si="15"/>
        <v/>
      </c>
      <c r="BD12" s="75" t="str">
        <f>IF($U12="","",SUM($BC12:$BC$114))</f>
        <v/>
      </c>
      <c r="BE12" s="71" t="str">
        <f>IF($U12="","",INDEX(#REF!,$U12+1))</f>
        <v/>
      </c>
      <c r="BF12" s="256">
        <f t="shared" si="16"/>
        <v>0</v>
      </c>
      <c r="BG12" s="256" t="str">
        <f t="shared" si="17"/>
        <v/>
      </c>
      <c r="BH12" s="256" t="str">
        <f t="shared" si="18"/>
        <v/>
      </c>
      <c r="BI12" s="75" t="str">
        <f>IF($U12="","",SUM($BH12:$BH$114))</f>
        <v/>
      </c>
      <c r="BJ12" s="71" t="str">
        <f>IF($U12="","",INDEX(#REF!,$U12+1))</f>
        <v/>
      </c>
      <c r="BK12" s="256">
        <f t="shared" si="19"/>
        <v>0</v>
      </c>
      <c r="BL12" s="256" t="str">
        <f t="shared" si="20"/>
        <v/>
      </c>
      <c r="BM12" s="256" t="str">
        <f t="shared" si="21"/>
        <v/>
      </c>
      <c r="BN12" s="75" t="str">
        <f>IF($U12="","",SUM($BM12:$BM$114))</f>
        <v/>
      </c>
      <c r="BO12" s="71">
        <f t="shared" si="22"/>
        <v>0</v>
      </c>
      <c r="BP12" s="256" t="str">
        <f t="shared" si="23"/>
        <v/>
      </c>
      <c r="BQ12" s="256" t="str">
        <f t="shared" si="24"/>
        <v/>
      </c>
      <c r="BR12" s="256"/>
      <c r="BS12" s="256" t="str">
        <f t="shared" si="37"/>
        <v/>
      </c>
      <c r="BT12" s="256" t="str">
        <f t="shared" si="25"/>
        <v/>
      </c>
      <c r="BU12" s="256" t="str">
        <f t="shared" si="26"/>
        <v/>
      </c>
      <c r="BV12" s="256"/>
      <c r="BW12" s="256" t="str">
        <f t="shared" si="38"/>
        <v/>
      </c>
      <c r="BX12" s="256" t="str">
        <f>IF($U12="","",SUM(BS12:BS$114)+SUM(BW12:BW$114))</f>
        <v/>
      </c>
      <c r="BY12" s="73"/>
      <c r="BZ12" s="73"/>
      <c r="CA12" s="73"/>
      <c r="CB12" s="73"/>
      <c r="CC12" s="256" t="str">
        <f t="shared" si="39"/>
        <v/>
      </c>
      <c r="CD12" s="256" t="str">
        <f t="shared" si="27"/>
        <v/>
      </c>
      <c r="CE12" s="256" t="str">
        <f t="shared" si="28"/>
        <v/>
      </c>
      <c r="CF12" s="256" t="str">
        <f t="shared" si="40"/>
        <v/>
      </c>
      <c r="CG12" s="256" t="str">
        <f t="shared" si="29"/>
        <v/>
      </c>
      <c r="CH12" s="76" t="str">
        <f t="shared" si="41"/>
        <v/>
      </c>
      <c r="CI12" s="77" t="str">
        <f t="shared" si="30"/>
        <v/>
      </c>
      <c r="CJ12" s="238"/>
      <c r="CK12" s="70" t="str">
        <f t="shared" si="31"/>
        <v/>
      </c>
      <c r="CL12" s="77" t="str">
        <f t="shared" si="47"/>
        <v/>
      </c>
      <c r="CM12" s="77" t="str">
        <f t="shared" si="42"/>
        <v/>
      </c>
      <c r="CN12" s="77" t="str">
        <f t="shared" si="32"/>
        <v/>
      </c>
      <c r="CO12" s="77" t="str">
        <f t="shared" si="43"/>
        <v/>
      </c>
      <c r="CP12" s="238"/>
      <c r="CQ12" s="238"/>
      <c r="CR12" s="238"/>
      <c r="CS12" s="238"/>
      <c r="CT12" s="238"/>
      <c r="CU12" s="238"/>
      <c r="CV12" s="238"/>
    </row>
    <row r="13" spans="1:875" ht="17.25" thickBot="1">
      <c r="F13" s="227"/>
      <c r="H13" s="322"/>
      <c r="I13" s="498"/>
      <c r="J13" s="499" t="s">
        <v>199</v>
      </c>
      <c r="K13" s="500">
        <f>+F5</f>
        <v>1</v>
      </c>
      <c r="L13" s="599"/>
      <c r="M13" s="599"/>
      <c r="N13" s="278" t="str">
        <f t="shared" si="51"/>
        <v/>
      </c>
      <c r="O13" s="279" t="str">
        <f t="shared" si="52"/>
        <v/>
      </c>
      <c r="P13" s="271" t="str">
        <f t="shared" si="48"/>
        <v/>
      </c>
      <c r="Q13" s="271" t="str">
        <f t="shared" si="49"/>
        <v/>
      </c>
      <c r="R13" s="271" t="str">
        <f t="shared" si="50"/>
        <v/>
      </c>
      <c r="S13" s="400" t="str">
        <f t="shared" si="33"/>
        <v/>
      </c>
      <c r="T13" s="232"/>
      <c r="U13" s="70" t="str">
        <f t="shared" si="44"/>
        <v/>
      </c>
      <c r="V13" s="71" t="str">
        <f>Main_무해지!AC13</f>
        <v/>
      </c>
      <c r="W13" s="74">
        <f>+Main_무해지!AD13</f>
        <v>0</v>
      </c>
      <c r="X13" s="74">
        <v>0</v>
      </c>
      <c r="Y13" s="256" t="str">
        <f t="shared" si="45"/>
        <v/>
      </c>
      <c r="Z13" s="256" t="str">
        <f t="shared" si="0"/>
        <v/>
      </c>
      <c r="AA13" s="72" t="str">
        <f>IF($U13="","",SUM(Z13:Z$114))</f>
        <v/>
      </c>
      <c r="AB13" s="256" t="str">
        <f t="shared" si="34"/>
        <v/>
      </c>
      <c r="AC13" s="256">
        <f t="shared" si="35"/>
        <v>0</v>
      </c>
      <c r="AD13" s="256" t="str">
        <f>Main_무해지!AJ13</f>
        <v/>
      </c>
      <c r="AE13" s="256">
        <f t="shared" si="1"/>
        <v>0</v>
      </c>
      <c r="AF13" s="256" t="str">
        <f t="shared" si="46"/>
        <v/>
      </c>
      <c r="AG13" s="256" t="str">
        <f t="shared" si="2"/>
        <v/>
      </c>
      <c r="AH13" s="72" t="str">
        <f>IF($U13="","",SUM(AG13:AG$114))</f>
        <v/>
      </c>
      <c r="AI13" s="256" t="str">
        <f>Main_무해지!AP13</f>
        <v/>
      </c>
      <c r="AJ13" s="256">
        <f t="shared" si="3"/>
        <v>0</v>
      </c>
      <c r="AK13" s="256" t="str">
        <f t="shared" si="4"/>
        <v/>
      </c>
      <c r="AL13" s="256" t="str">
        <f t="shared" si="5"/>
        <v/>
      </c>
      <c r="AM13" s="75" t="str">
        <f>IF($U13="","",SUM($AN13:$AN$114))</f>
        <v/>
      </c>
      <c r="AN13" s="256" t="str">
        <f t="shared" si="36"/>
        <v/>
      </c>
      <c r="AO13" s="75" t="str">
        <f t="shared" si="6"/>
        <v/>
      </c>
      <c r="AP13" s="71" t="str">
        <f>IF($U13="","",INDEX(#REF!,$U13+1))</f>
        <v/>
      </c>
      <c r="AQ13" s="256">
        <f t="shared" si="7"/>
        <v>0</v>
      </c>
      <c r="AR13" s="256" t="str">
        <f t="shared" si="8"/>
        <v/>
      </c>
      <c r="AS13" s="256" t="str">
        <f t="shared" si="9"/>
        <v/>
      </c>
      <c r="AT13" s="75" t="str">
        <f>IF($U13="","",SUM($AS13:$AS$114))</f>
        <v/>
      </c>
      <c r="AU13" s="71" t="str">
        <f>IF($U13="","",INDEX(#REF!,$U13+1))</f>
        <v/>
      </c>
      <c r="AV13" s="256">
        <f t="shared" si="10"/>
        <v>0</v>
      </c>
      <c r="AW13" s="256" t="str">
        <f t="shared" si="11"/>
        <v/>
      </c>
      <c r="AX13" s="256" t="str">
        <f t="shared" si="12"/>
        <v/>
      </c>
      <c r="AY13" s="75" t="str">
        <f>IF($U13="","",SUM($AX13:$AX$114))</f>
        <v/>
      </c>
      <c r="AZ13" s="71" t="str">
        <f>IF($U13="","",INDEX(#REF!,$U13+1))</f>
        <v/>
      </c>
      <c r="BA13" s="256">
        <f t="shared" si="13"/>
        <v>0</v>
      </c>
      <c r="BB13" s="256" t="str">
        <f t="shared" si="14"/>
        <v/>
      </c>
      <c r="BC13" s="256" t="str">
        <f t="shared" si="15"/>
        <v/>
      </c>
      <c r="BD13" s="75" t="str">
        <f>IF($U13="","",SUM($BC13:$BC$114))</f>
        <v/>
      </c>
      <c r="BE13" s="71" t="str">
        <f>IF($U13="","",INDEX(#REF!,$U13+1))</f>
        <v/>
      </c>
      <c r="BF13" s="256">
        <f t="shared" si="16"/>
        <v>0</v>
      </c>
      <c r="BG13" s="256" t="str">
        <f t="shared" si="17"/>
        <v/>
      </c>
      <c r="BH13" s="256" t="str">
        <f t="shared" si="18"/>
        <v/>
      </c>
      <c r="BI13" s="75" t="str">
        <f>IF($U13="","",SUM($BH13:$BH$114))</f>
        <v/>
      </c>
      <c r="BJ13" s="71" t="str">
        <f>IF($U13="","",INDEX(#REF!,$U13+1))</f>
        <v/>
      </c>
      <c r="BK13" s="256">
        <f t="shared" si="19"/>
        <v>0</v>
      </c>
      <c r="BL13" s="256" t="str">
        <f t="shared" si="20"/>
        <v/>
      </c>
      <c r="BM13" s="256" t="str">
        <f t="shared" si="21"/>
        <v/>
      </c>
      <c r="BN13" s="75" t="str">
        <f>IF($U13="","",SUM($BM13:$BM$114))</f>
        <v/>
      </c>
      <c r="BO13" s="71">
        <f t="shared" si="22"/>
        <v>0</v>
      </c>
      <c r="BP13" s="256" t="str">
        <f t="shared" si="23"/>
        <v/>
      </c>
      <c r="BQ13" s="256" t="str">
        <f t="shared" si="24"/>
        <v/>
      </c>
      <c r="BR13" s="256"/>
      <c r="BS13" s="256" t="str">
        <f t="shared" si="37"/>
        <v/>
      </c>
      <c r="BT13" s="256" t="str">
        <f t="shared" si="25"/>
        <v/>
      </c>
      <c r="BU13" s="256" t="str">
        <f t="shared" si="26"/>
        <v/>
      </c>
      <c r="BV13" s="256"/>
      <c r="BW13" s="256" t="str">
        <f t="shared" si="38"/>
        <v/>
      </c>
      <c r="BX13" s="256" t="str">
        <f>IF($U13="","",SUM(BS13:BS$114)+SUM(BW13:BW$114))</f>
        <v/>
      </c>
      <c r="BY13" s="73"/>
      <c r="BZ13" s="73"/>
      <c r="CA13" s="73"/>
      <c r="CB13" s="73"/>
      <c r="CC13" s="256" t="str">
        <f t="shared" si="39"/>
        <v/>
      </c>
      <c r="CD13" s="256" t="str">
        <f t="shared" si="27"/>
        <v/>
      </c>
      <c r="CE13" s="256" t="str">
        <f t="shared" si="28"/>
        <v/>
      </c>
      <c r="CF13" s="256" t="str">
        <f t="shared" si="40"/>
        <v/>
      </c>
      <c r="CG13" s="256" t="str">
        <f t="shared" si="29"/>
        <v/>
      </c>
      <c r="CH13" s="76" t="str">
        <f t="shared" si="41"/>
        <v/>
      </c>
      <c r="CI13" s="77" t="str">
        <f t="shared" si="30"/>
        <v/>
      </c>
      <c r="CJ13" s="238"/>
      <c r="CK13" s="70" t="str">
        <f t="shared" si="31"/>
        <v/>
      </c>
      <c r="CL13" s="77" t="str">
        <f t="shared" si="47"/>
        <v/>
      </c>
      <c r="CM13" s="77" t="str">
        <f t="shared" si="42"/>
        <v/>
      </c>
      <c r="CN13" s="77" t="str">
        <f t="shared" si="32"/>
        <v/>
      </c>
      <c r="CO13" s="77" t="str">
        <f t="shared" si="43"/>
        <v/>
      </c>
      <c r="CP13" s="238"/>
      <c r="CQ13" s="238"/>
      <c r="CR13" s="238"/>
      <c r="CS13" s="238"/>
      <c r="CT13" s="238"/>
      <c r="CU13" s="238"/>
      <c r="CV13" s="238"/>
    </row>
    <row r="14" spans="1:875" ht="17.25" thickTop="1">
      <c r="C14" s="68"/>
      <c r="D14" s="17" t="s">
        <v>28</v>
      </c>
      <c r="E14" s="838">
        <f>일반형!E14</f>
        <v>2.2499999999999999E-2</v>
      </c>
      <c r="F14" s="839">
        <f>일반형!F14</f>
        <v>0</v>
      </c>
      <c r="G14" s="69"/>
      <c r="H14" s="372"/>
      <c r="I14" s="48"/>
      <c r="J14" s="49" t="s">
        <v>86</v>
      </c>
      <c r="K14" s="483">
        <f>INDEX(AH4:AH114,1)</f>
        <v>197799.51100244501</v>
      </c>
      <c r="L14" s="599"/>
      <c r="M14" s="599"/>
      <c r="N14" s="278" t="str">
        <f t="shared" si="51"/>
        <v/>
      </c>
      <c r="O14" s="279" t="str">
        <f t="shared" si="52"/>
        <v/>
      </c>
      <c r="P14" s="271" t="str">
        <f t="shared" si="48"/>
        <v/>
      </c>
      <c r="Q14" s="271" t="str">
        <f t="shared" si="49"/>
        <v/>
      </c>
      <c r="R14" s="271" t="str">
        <f t="shared" si="50"/>
        <v/>
      </c>
      <c r="S14" s="400" t="str">
        <f t="shared" si="33"/>
        <v/>
      </c>
      <c r="T14" s="232"/>
      <c r="U14" s="83" t="str">
        <f t="shared" si="44"/>
        <v/>
      </c>
      <c r="V14" s="84" t="str">
        <f>Main_무해지!AC14</f>
        <v/>
      </c>
      <c r="W14" s="87">
        <f>+Main_무해지!AD14</f>
        <v>0</v>
      </c>
      <c r="X14" s="87">
        <v>0</v>
      </c>
      <c r="Y14" s="257" t="str">
        <f t="shared" si="45"/>
        <v/>
      </c>
      <c r="Z14" s="257" t="str">
        <f t="shared" si="0"/>
        <v/>
      </c>
      <c r="AA14" s="85" t="str">
        <f>IF($U14="","",SUM(Z14:Z$114))</f>
        <v/>
      </c>
      <c r="AB14" s="257" t="str">
        <f t="shared" si="34"/>
        <v/>
      </c>
      <c r="AC14" s="257">
        <f t="shared" si="35"/>
        <v>0</v>
      </c>
      <c r="AD14" s="257" t="str">
        <f>Main_무해지!AJ14</f>
        <v/>
      </c>
      <c r="AE14" s="257">
        <f t="shared" si="1"/>
        <v>0</v>
      </c>
      <c r="AF14" s="257" t="str">
        <f t="shared" si="46"/>
        <v/>
      </c>
      <c r="AG14" s="257" t="str">
        <f t="shared" si="2"/>
        <v/>
      </c>
      <c r="AH14" s="85" t="str">
        <f>IF($U14="","",SUM(AG14:AG$114))</f>
        <v/>
      </c>
      <c r="AI14" s="257" t="str">
        <f>Main_무해지!AP14</f>
        <v/>
      </c>
      <c r="AJ14" s="257">
        <f t="shared" si="3"/>
        <v>0</v>
      </c>
      <c r="AK14" s="257" t="str">
        <f t="shared" si="4"/>
        <v/>
      </c>
      <c r="AL14" s="257" t="str">
        <f t="shared" si="5"/>
        <v/>
      </c>
      <c r="AM14" s="88" t="str">
        <f>IF($U14="","",SUM($AN14:$AN$114))</f>
        <v/>
      </c>
      <c r="AN14" s="257" t="str">
        <f t="shared" si="36"/>
        <v/>
      </c>
      <c r="AO14" s="88" t="str">
        <f t="shared" si="6"/>
        <v/>
      </c>
      <c r="AP14" s="84" t="str">
        <f>IF($U14="","",INDEX(#REF!,$U14+1))</f>
        <v/>
      </c>
      <c r="AQ14" s="257">
        <f t="shared" si="7"/>
        <v>0</v>
      </c>
      <c r="AR14" s="257" t="str">
        <f t="shared" si="8"/>
        <v/>
      </c>
      <c r="AS14" s="257" t="str">
        <f t="shared" si="9"/>
        <v/>
      </c>
      <c r="AT14" s="88" t="str">
        <f>IF($U14="","",SUM($AS14:$AS$114))</f>
        <v/>
      </c>
      <c r="AU14" s="84" t="str">
        <f>IF($U14="","",INDEX(#REF!,$U14+1))</f>
        <v/>
      </c>
      <c r="AV14" s="257">
        <f t="shared" si="10"/>
        <v>0</v>
      </c>
      <c r="AW14" s="257" t="str">
        <f t="shared" si="11"/>
        <v/>
      </c>
      <c r="AX14" s="257" t="str">
        <f t="shared" si="12"/>
        <v/>
      </c>
      <c r="AY14" s="88" t="str">
        <f>IF($U14="","",SUM($AX14:$AX$114))</f>
        <v/>
      </c>
      <c r="AZ14" s="84" t="str">
        <f>IF($U14="","",INDEX(#REF!,$U14+1))</f>
        <v/>
      </c>
      <c r="BA14" s="257">
        <f t="shared" si="13"/>
        <v>0</v>
      </c>
      <c r="BB14" s="257" t="str">
        <f t="shared" si="14"/>
        <v/>
      </c>
      <c r="BC14" s="257" t="str">
        <f t="shared" si="15"/>
        <v/>
      </c>
      <c r="BD14" s="88" t="str">
        <f>IF($U14="","",SUM($BC14:$BC$114))</f>
        <v/>
      </c>
      <c r="BE14" s="84" t="str">
        <f>IF($U14="","",INDEX(#REF!,$U14+1))</f>
        <v/>
      </c>
      <c r="BF14" s="257">
        <f t="shared" si="16"/>
        <v>0</v>
      </c>
      <c r="BG14" s="257" t="str">
        <f t="shared" si="17"/>
        <v/>
      </c>
      <c r="BH14" s="257" t="str">
        <f t="shared" si="18"/>
        <v/>
      </c>
      <c r="BI14" s="88" t="str">
        <f>IF($U14="","",SUM($BH14:$BH$114))</f>
        <v/>
      </c>
      <c r="BJ14" s="84" t="str">
        <f>IF($U14="","",INDEX(#REF!,$U14+1))</f>
        <v/>
      </c>
      <c r="BK14" s="257">
        <f t="shared" si="19"/>
        <v>0</v>
      </c>
      <c r="BL14" s="257" t="str">
        <f t="shared" si="20"/>
        <v/>
      </c>
      <c r="BM14" s="257" t="str">
        <f t="shared" si="21"/>
        <v/>
      </c>
      <c r="BN14" s="88" t="str">
        <f>IF($U14="","",SUM($BM14:$BM$114))</f>
        <v/>
      </c>
      <c r="BO14" s="84">
        <f t="shared" si="22"/>
        <v>0</v>
      </c>
      <c r="BP14" s="257" t="str">
        <f t="shared" si="23"/>
        <v/>
      </c>
      <c r="BQ14" s="257" t="str">
        <f t="shared" si="24"/>
        <v/>
      </c>
      <c r="BR14" s="257"/>
      <c r="BS14" s="257" t="str">
        <f t="shared" si="37"/>
        <v/>
      </c>
      <c r="BT14" s="257" t="str">
        <f t="shared" si="25"/>
        <v/>
      </c>
      <c r="BU14" s="257" t="str">
        <f t="shared" si="26"/>
        <v/>
      </c>
      <c r="BV14" s="257"/>
      <c r="BW14" s="257" t="str">
        <f t="shared" si="38"/>
        <v/>
      </c>
      <c r="BX14" s="257" t="str">
        <f>IF($U14="","",SUM(BS14:BS$114)+SUM(BW14:BW$114))</f>
        <v/>
      </c>
      <c r="BY14" s="86"/>
      <c r="BZ14" s="86"/>
      <c r="CA14" s="86"/>
      <c r="CB14" s="86"/>
      <c r="CC14" s="257" t="str">
        <f t="shared" si="39"/>
        <v/>
      </c>
      <c r="CD14" s="257" t="str">
        <f t="shared" si="27"/>
        <v/>
      </c>
      <c r="CE14" s="257" t="str">
        <f t="shared" si="28"/>
        <v/>
      </c>
      <c r="CF14" s="257" t="str">
        <f t="shared" si="40"/>
        <v/>
      </c>
      <c r="CG14" s="257" t="str">
        <f t="shared" si="29"/>
        <v/>
      </c>
      <c r="CH14" s="89" t="str">
        <f t="shared" si="41"/>
        <v/>
      </c>
      <c r="CI14" s="90" t="str">
        <f t="shared" si="30"/>
        <v/>
      </c>
      <c r="CJ14" s="239"/>
      <c r="CK14" s="83" t="str">
        <f t="shared" si="31"/>
        <v/>
      </c>
      <c r="CL14" s="90" t="str">
        <f t="shared" si="47"/>
        <v/>
      </c>
      <c r="CM14" s="90" t="str">
        <f t="shared" si="42"/>
        <v/>
      </c>
      <c r="CN14" s="90" t="str">
        <f t="shared" si="32"/>
        <v/>
      </c>
      <c r="CO14" s="90" t="str">
        <f t="shared" si="43"/>
        <v/>
      </c>
      <c r="CP14" s="239"/>
      <c r="CQ14" s="239"/>
      <c r="CR14" s="239"/>
      <c r="CS14" s="239"/>
      <c r="CT14" s="239"/>
      <c r="CU14" s="239"/>
      <c r="CV14" s="239"/>
    </row>
    <row r="15" spans="1:875">
      <c r="B15" s="373"/>
      <c r="C15" s="78"/>
      <c r="D15" s="29" t="s">
        <v>31</v>
      </c>
      <c r="E15" s="840">
        <v>2</v>
      </c>
      <c r="F15" s="841"/>
      <c r="G15" s="79"/>
      <c r="H15" s="372"/>
      <c r="I15" s="48" t="s">
        <v>22</v>
      </c>
      <c r="J15" s="49" t="s">
        <v>200</v>
      </c>
      <c r="K15" s="483">
        <f>INDEX(AH4:AH114,K13+1)</f>
        <v>97799.511002444997</v>
      </c>
      <c r="L15" s="599"/>
      <c r="M15" s="599"/>
      <c r="N15" s="278" t="str">
        <f>IF(N14="","",IF(N14+1&gt;$F$4,"",N14+1))</f>
        <v/>
      </c>
      <c r="O15" s="279" t="str">
        <f t="shared" si="52"/>
        <v/>
      </c>
      <c r="P15" s="271" t="str">
        <f t="shared" si="48"/>
        <v/>
      </c>
      <c r="Q15" s="271" t="str">
        <f t="shared" si="49"/>
        <v/>
      </c>
      <c r="R15" s="271" t="str">
        <f t="shared" si="50"/>
        <v/>
      </c>
      <c r="S15" s="400" t="str">
        <f t="shared" si="33"/>
        <v/>
      </c>
      <c r="T15" s="232"/>
      <c r="U15" s="750" t="str">
        <f t="shared" si="44"/>
        <v/>
      </c>
      <c r="V15" s="752" t="str">
        <f>Main_무해지!AC15</f>
        <v/>
      </c>
      <c r="W15" s="638">
        <f>+Main_무해지!AD15</f>
        <v>0</v>
      </c>
      <c r="X15" s="638">
        <v>0</v>
      </c>
      <c r="Y15" s="408" t="str">
        <f t="shared" si="45"/>
        <v/>
      </c>
      <c r="Z15" s="408" t="str">
        <f t="shared" si="0"/>
        <v/>
      </c>
      <c r="AA15" s="751" t="str">
        <f>IF($U15="","",SUM(Z15:Z$114))</f>
        <v/>
      </c>
      <c r="AB15" s="408" t="str">
        <f t="shared" si="34"/>
        <v/>
      </c>
      <c r="AC15" s="408">
        <f t="shared" si="35"/>
        <v>0</v>
      </c>
      <c r="AD15" s="408" t="str">
        <f>Main_무해지!AJ15</f>
        <v/>
      </c>
      <c r="AE15" s="408">
        <f t="shared" si="1"/>
        <v>0</v>
      </c>
      <c r="AF15" s="408" t="str">
        <f t="shared" si="46"/>
        <v/>
      </c>
      <c r="AG15" s="408" t="str">
        <f t="shared" si="2"/>
        <v/>
      </c>
      <c r="AH15" s="751" t="str">
        <f>IF($U15="","",SUM(AG15:AG$114))</f>
        <v/>
      </c>
      <c r="AI15" s="408" t="str">
        <f>Main_무해지!AP15</f>
        <v/>
      </c>
      <c r="AJ15" s="408">
        <f t="shared" si="3"/>
        <v>0</v>
      </c>
      <c r="AK15" s="408" t="str">
        <f t="shared" si="4"/>
        <v/>
      </c>
      <c r="AL15" s="408" t="str">
        <f t="shared" si="5"/>
        <v/>
      </c>
      <c r="AM15" s="753" t="str">
        <f>IF($U15="","",SUM($AN15:$AN$114))</f>
        <v/>
      </c>
      <c r="AN15" s="408" t="str">
        <f t="shared" si="36"/>
        <v/>
      </c>
      <c r="AO15" s="753" t="str">
        <f t="shared" si="6"/>
        <v/>
      </c>
      <c r="AP15" s="752" t="str">
        <f>IF($U15="","",INDEX(#REF!,$U15+1))</f>
        <v/>
      </c>
      <c r="AQ15" s="408">
        <f t="shared" si="7"/>
        <v>0</v>
      </c>
      <c r="AR15" s="408" t="str">
        <f t="shared" si="8"/>
        <v/>
      </c>
      <c r="AS15" s="408" t="str">
        <f t="shared" si="9"/>
        <v/>
      </c>
      <c r="AT15" s="753" t="str">
        <f>IF($U15="","",SUM($AS15:$AS$114))</f>
        <v/>
      </c>
      <c r="AU15" s="752" t="str">
        <f>IF($U15="","",INDEX(#REF!,$U15+1))</f>
        <v/>
      </c>
      <c r="AV15" s="408">
        <f t="shared" si="10"/>
        <v>0</v>
      </c>
      <c r="AW15" s="408" t="str">
        <f t="shared" si="11"/>
        <v/>
      </c>
      <c r="AX15" s="408" t="str">
        <f t="shared" si="12"/>
        <v/>
      </c>
      <c r="AY15" s="753" t="str">
        <f>IF($U15="","",SUM($AX15:$AX$114))</f>
        <v/>
      </c>
      <c r="AZ15" s="752" t="str">
        <f>IF($U15="","",INDEX(#REF!,$U15+1))</f>
        <v/>
      </c>
      <c r="BA15" s="408">
        <f t="shared" si="13"/>
        <v>0</v>
      </c>
      <c r="BB15" s="408" t="str">
        <f t="shared" si="14"/>
        <v/>
      </c>
      <c r="BC15" s="408" t="str">
        <f t="shared" si="15"/>
        <v/>
      </c>
      <c r="BD15" s="753" t="str">
        <f>IF($U15="","",SUM($BC15:$BC$114))</f>
        <v/>
      </c>
      <c r="BE15" s="752" t="str">
        <f>IF($U15="","",INDEX(#REF!,$U15+1))</f>
        <v/>
      </c>
      <c r="BF15" s="408">
        <f t="shared" si="16"/>
        <v>0</v>
      </c>
      <c r="BG15" s="408" t="str">
        <f t="shared" si="17"/>
        <v/>
      </c>
      <c r="BH15" s="408" t="str">
        <f t="shared" si="18"/>
        <v/>
      </c>
      <c r="BI15" s="753" t="str">
        <f>IF($U15="","",SUM($BH15:$BH$114))</f>
        <v/>
      </c>
      <c r="BJ15" s="752" t="str">
        <f>IF($U15="","",INDEX(#REF!,$U15+1))</f>
        <v/>
      </c>
      <c r="BK15" s="408">
        <f t="shared" si="19"/>
        <v>0</v>
      </c>
      <c r="BL15" s="408" t="str">
        <f t="shared" si="20"/>
        <v/>
      </c>
      <c r="BM15" s="408" t="str">
        <f t="shared" si="21"/>
        <v/>
      </c>
      <c r="BN15" s="753" t="str">
        <f>IF($U15="","",SUM($BM15:$BM$114))</f>
        <v/>
      </c>
      <c r="BO15" s="752">
        <f t="shared" si="22"/>
        <v>0</v>
      </c>
      <c r="BP15" s="408" t="str">
        <f t="shared" si="23"/>
        <v/>
      </c>
      <c r="BQ15" s="408" t="str">
        <f t="shared" si="24"/>
        <v/>
      </c>
      <c r="BR15" s="408"/>
      <c r="BS15" s="408" t="str">
        <f t="shared" si="37"/>
        <v/>
      </c>
      <c r="BT15" s="408" t="str">
        <f t="shared" si="25"/>
        <v/>
      </c>
      <c r="BU15" s="408" t="str">
        <f t="shared" si="26"/>
        <v/>
      </c>
      <c r="BV15" s="408"/>
      <c r="BW15" s="408" t="str">
        <f t="shared" si="38"/>
        <v/>
      </c>
      <c r="BX15" s="408" t="str">
        <f>IF($U15="","",SUM(BS15:BS$114)+SUM(BW15:BW$114))</f>
        <v/>
      </c>
      <c r="BY15" s="754"/>
      <c r="BZ15" s="754"/>
      <c r="CA15" s="754"/>
      <c r="CB15" s="754"/>
      <c r="CC15" s="408" t="str">
        <f t="shared" si="39"/>
        <v/>
      </c>
      <c r="CD15" s="408" t="str">
        <f t="shared" si="27"/>
        <v/>
      </c>
      <c r="CE15" s="408" t="str">
        <f t="shared" si="28"/>
        <v/>
      </c>
      <c r="CF15" s="408" t="str">
        <f t="shared" si="40"/>
        <v/>
      </c>
      <c r="CG15" s="408" t="str">
        <f t="shared" si="29"/>
        <v/>
      </c>
      <c r="CH15" s="756" t="str">
        <f t="shared" si="41"/>
        <v/>
      </c>
      <c r="CI15" s="757" t="str">
        <f t="shared" si="30"/>
        <v/>
      </c>
      <c r="CJ15" s="413"/>
      <c r="CK15" s="750" t="str">
        <f t="shared" si="31"/>
        <v/>
      </c>
      <c r="CL15" s="757" t="str">
        <f t="shared" si="47"/>
        <v/>
      </c>
      <c r="CM15" s="757" t="str">
        <f t="shared" si="42"/>
        <v/>
      </c>
      <c r="CN15" s="757" t="str">
        <f t="shared" si="32"/>
        <v/>
      </c>
      <c r="CO15" s="757" t="str">
        <f t="shared" si="43"/>
        <v/>
      </c>
      <c r="CP15" s="413"/>
      <c r="CQ15" s="413"/>
      <c r="CR15" s="413"/>
      <c r="CS15" s="413"/>
      <c r="CT15" s="413"/>
      <c r="CU15" s="413"/>
      <c r="CV15" s="413"/>
    </row>
    <row r="16" spans="1:875">
      <c r="B16" s="373"/>
      <c r="C16" s="78"/>
      <c r="D16" s="29" t="s">
        <v>33</v>
      </c>
      <c r="E16" s="91">
        <v>1</v>
      </c>
      <c r="F16" s="92">
        <f>INDEX(J72:J74,E16)</f>
        <v>0</v>
      </c>
      <c r="G16" s="79"/>
      <c r="H16" s="372"/>
      <c r="I16" s="48" t="s">
        <v>24</v>
      </c>
      <c r="J16" s="51" t="s">
        <v>201</v>
      </c>
      <c r="K16" s="483">
        <f>INDEX(AA4:AA114,K13+1)</f>
        <v>97799.511002444997</v>
      </c>
      <c r="L16" s="599"/>
      <c r="M16" s="599"/>
      <c r="N16" s="280" t="str">
        <f t="shared" si="51"/>
        <v/>
      </c>
      <c r="O16" s="281" t="str">
        <f t="shared" si="52"/>
        <v/>
      </c>
      <c r="P16" s="282" t="str">
        <f t="shared" si="48"/>
        <v/>
      </c>
      <c r="Q16" s="282" t="str">
        <f t="shared" si="49"/>
        <v/>
      </c>
      <c r="R16" s="282" t="str">
        <f t="shared" si="50"/>
        <v/>
      </c>
      <c r="S16" s="402" t="str">
        <f t="shared" si="33"/>
        <v/>
      </c>
      <c r="T16" s="232"/>
      <c r="U16" s="52" t="str">
        <f t="shared" si="44"/>
        <v/>
      </c>
      <c r="V16" s="53" t="str">
        <f>Main_무해지!AC16</f>
        <v/>
      </c>
      <c r="W16" s="56">
        <f>+Main_무해지!AD16</f>
        <v>0</v>
      </c>
      <c r="X16" s="56">
        <v>0</v>
      </c>
      <c r="Y16" s="254" t="str">
        <f t="shared" si="45"/>
        <v/>
      </c>
      <c r="Z16" s="254" t="str">
        <f t="shared" si="0"/>
        <v/>
      </c>
      <c r="AA16" s="54" t="str">
        <f>IF($U16="","",SUM(Z16:Z$114))</f>
        <v/>
      </c>
      <c r="AB16" s="254" t="str">
        <f t="shared" si="34"/>
        <v/>
      </c>
      <c r="AC16" s="254">
        <f t="shared" si="35"/>
        <v>0</v>
      </c>
      <c r="AD16" s="254" t="str">
        <f>Main_무해지!AJ16</f>
        <v/>
      </c>
      <c r="AE16" s="254">
        <f t="shared" si="1"/>
        <v>0</v>
      </c>
      <c r="AF16" s="254" t="str">
        <f t="shared" si="46"/>
        <v/>
      </c>
      <c r="AG16" s="254" t="str">
        <f t="shared" si="2"/>
        <v/>
      </c>
      <c r="AH16" s="54" t="str">
        <f>IF($U16="","",SUM(AG16:AG$114))</f>
        <v/>
      </c>
      <c r="AI16" s="254" t="str">
        <f>Main_무해지!AP16</f>
        <v/>
      </c>
      <c r="AJ16" s="254">
        <f t="shared" si="3"/>
        <v>0</v>
      </c>
      <c r="AK16" s="254" t="str">
        <f t="shared" si="4"/>
        <v/>
      </c>
      <c r="AL16" s="254" t="str">
        <f t="shared" si="5"/>
        <v/>
      </c>
      <c r="AM16" s="57" t="str">
        <f>IF($U16="","",SUM($AN16:$AN$114))</f>
        <v/>
      </c>
      <c r="AN16" s="254" t="str">
        <f t="shared" si="36"/>
        <v/>
      </c>
      <c r="AO16" s="57" t="str">
        <f t="shared" si="6"/>
        <v/>
      </c>
      <c r="AP16" s="53" t="str">
        <f>IF($U16="","",INDEX(#REF!,$U16+1))</f>
        <v/>
      </c>
      <c r="AQ16" s="254">
        <f t="shared" si="7"/>
        <v>0</v>
      </c>
      <c r="AR16" s="254" t="str">
        <f t="shared" si="8"/>
        <v/>
      </c>
      <c r="AS16" s="254" t="str">
        <f t="shared" si="9"/>
        <v/>
      </c>
      <c r="AT16" s="57" t="str">
        <f>IF($U16="","",SUM($AS16:$AS$114))</f>
        <v/>
      </c>
      <c r="AU16" s="53" t="str">
        <f>IF($U16="","",INDEX(#REF!,$U16+1))</f>
        <v/>
      </c>
      <c r="AV16" s="254">
        <f t="shared" si="10"/>
        <v>0</v>
      </c>
      <c r="AW16" s="254" t="str">
        <f t="shared" si="11"/>
        <v/>
      </c>
      <c r="AX16" s="254" t="str">
        <f t="shared" si="12"/>
        <v/>
      </c>
      <c r="AY16" s="57" t="str">
        <f>IF($U16="","",SUM($AX16:$AX$114))</f>
        <v/>
      </c>
      <c r="AZ16" s="53" t="str">
        <f>IF($U16="","",INDEX(#REF!,$U16+1))</f>
        <v/>
      </c>
      <c r="BA16" s="254">
        <f t="shared" si="13"/>
        <v>0</v>
      </c>
      <c r="BB16" s="254" t="str">
        <f t="shared" si="14"/>
        <v/>
      </c>
      <c r="BC16" s="254" t="str">
        <f t="shared" si="15"/>
        <v/>
      </c>
      <c r="BD16" s="57" t="str">
        <f>IF($U16="","",SUM($BC16:$BC$114))</f>
        <v/>
      </c>
      <c r="BE16" s="53" t="str">
        <f>IF($U16="","",INDEX(#REF!,$U16+1))</f>
        <v/>
      </c>
      <c r="BF16" s="254">
        <f t="shared" si="16"/>
        <v>0</v>
      </c>
      <c r="BG16" s="254" t="str">
        <f t="shared" si="17"/>
        <v/>
      </c>
      <c r="BH16" s="254" t="str">
        <f t="shared" si="18"/>
        <v/>
      </c>
      <c r="BI16" s="57" t="str">
        <f>IF($U16="","",SUM($BH16:$BH$114))</f>
        <v/>
      </c>
      <c r="BJ16" s="53" t="str">
        <f>IF($U16="","",INDEX(#REF!,$U16+1))</f>
        <v/>
      </c>
      <c r="BK16" s="254">
        <f t="shared" si="19"/>
        <v>0</v>
      </c>
      <c r="BL16" s="254" t="str">
        <f t="shared" si="20"/>
        <v/>
      </c>
      <c r="BM16" s="254" t="str">
        <f t="shared" si="21"/>
        <v/>
      </c>
      <c r="BN16" s="57" t="str">
        <f>IF($U16="","",SUM($BM16:$BM$114))</f>
        <v/>
      </c>
      <c r="BO16" s="53">
        <f t="shared" si="22"/>
        <v>0</v>
      </c>
      <c r="BP16" s="254" t="str">
        <f t="shared" si="23"/>
        <v/>
      </c>
      <c r="BQ16" s="254" t="str">
        <f t="shared" si="24"/>
        <v/>
      </c>
      <c r="BR16" s="254"/>
      <c r="BS16" s="254" t="str">
        <f t="shared" si="37"/>
        <v/>
      </c>
      <c r="BT16" s="254" t="str">
        <f t="shared" si="25"/>
        <v/>
      </c>
      <c r="BU16" s="254" t="str">
        <f t="shared" si="26"/>
        <v/>
      </c>
      <c r="BV16" s="254"/>
      <c r="BW16" s="254" t="str">
        <f t="shared" si="38"/>
        <v/>
      </c>
      <c r="BX16" s="254" t="str">
        <f>IF($U16="","",SUM(BS16:BS$114)+SUM(BW16:BW$114))</f>
        <v/>
      </c>
      <c r="BY16" s="55"/>
      <c r="BZ16" s="55"/>
      <c r="CA16" s="55"/>
      <c r="CB16" s="55"/>
      <c r="CC16" s="254" t="str">
        <f t="shared" si="39"/>
        <v/>
      </c>
      <c r="CD16" s="254" t="str">
        <f t="shared" si="27"/>
        <v/>
      </c>
      <c r="CE16" s="254" t="str">
        <f t="shared" si="28"/>
        <v/>
      </c>
      <c r="CF16" s="254" t="str">
        <f t="shared" si="40"/>
        <v/>
      </c>
      <c r="CG16" s="254" t="str">
        <f t="shared" si="29"/>
        <v/>
      </c>
      <c r="CH16" s="58" t="str">
        <f t="shared" si="41"/>
        <v/>
      </c>
      <c r="CI16" s="59" t="str">
        <f t="shared" si="30"/>
        <v/>
      </c>
      <c r="CJ16" s="236"/>
      <c r="CK16" s="52" t="str">
        <f t="shared" si="31"/>
        <v/>
      </c>
      <c r="CL16" s="59" t="str">
        <f t="shared" si="47"/>
        <v/>
      </c>
      <c r="CM16" s="59" t="str">
        <f t="shared" si="42"/>
        <v/>
      </c>
      <c r="CN16" s="59" t="str">
        <f t="shared" si="32"/>
        <v/>
      </c>
      <c r="CO16" s="59" t="str">
        <f t="shared" si="43"/>
        <v/>
      </c>
      <c r="CP16" s="236"/>
      <c r="CQ16" s="236"/>
      <c r="CR16" s="236"/>
      <c r="CS16" s="236"/>
      <c r="CT16" s="236"/>
      <c r="CU16" s="236"/>
      <c r="CV16" s="236"/>
    </row>
    <row r="17" spans="1:100">
      <c r="A17" s="305"/>
      <c r="B17" s="373"/>
      <c r="C17" s="78"/>
      <c r="D17" s="29" t="s">
        <v>37</v>
      </c>
      <c r="E17" s="822">
        <f>1/(1+E14)</f>
        <v>0.97799511002444994</v>
      </c>
      <c r="F17" s="823"/>
      <c r="G17" s="79"/>
      <c r="H17" s="321"/>
      <c r="I17" s="48" t="s">
        <v>26</v>
      </c>
      <c r="J17" s="49" t="s">
        <v>183</v>
      </c>
      <c r="K17" s="483">
        <f>K14-K15</f>
        <v>100000.00000000001</v>
      </c>
      <c r="L17" s="599"/>
      <c r="M17" s="599"/>
      <c r="N17" s="275" t="str">
        <f t="shared" si="51"/>
        <v/>
      </c>
      <c r="O17" s="276" t="str">
        <f t="shared" si="52"/>
        <v/>
      </c>
      <c r="P17" s="277" t="str">
        <f t="shared" si="48"/>
        <v/>
      </c>
      <c r="Q17" s="277" t="str">
        <f t="shared" si="49"/>
        <v/>
      </c>
      <c r="R17" s="277" t="str">
        <f t="shared" si="50"/>
        <v/>
      </c>
      <c r="S17" s="401" t="str">
        <f t="shared" si="33"/>
        <v/>
      </c>
      <c r="T17" s="232"/>
      <c r="U17" s="52" t="str">
        <f t="shared" si="44"/>
        <v/>
      </c>
      <c r="V17" s="53" t="str">
        <f>Main_무해지!AC17</f>
        <v/>
      </c>
      <c r="W17" s="56">
        <f>+Main_무해지!AD17</f>
        <v>0</v>
      </c>
      <c r="X17" s="56">
        <v>0</v>
      </c>
      <c r="Y17" s="254" t="str">
        <f t="shared" si="45"/>
        <v/>
      </c>
      <c r="Z17" s="254" t="str">
        <f t="shared" si="0"/>
        <v/>
      </c>
      <c r="AA17" s="54" t="str">
        <f>IF($U17="","",SUM(Z17:Z$114))</f>
        <v/>
      </c>
      <c r="AB17" s="254" t="str">
        <f t="shared" si="34"/>
        <v/>
      </c>
      <c r="AC17" s="254">
        <f t="shared" si="35"/>
        <v>0</v>
      </c>
      <c r="AD17" s="254" t="str">
        <f>Main_무해지!AJ17</f>
        <v/>
      </c>
      <c r="AE17" s="254">
        <f t="shared" si="1"/>
        <v>0</v>
      </c>
      <c r="AF17" s="254" t="str">
        <f t="shared" si="46"/>
        <v/>
      </c>
      <c r="AG17" s="254" t="str">
        <f t="shared" si="2"/>
        <v/>
      </c>
      <c r="AH17" s="54" t="str">
        <f>IF($U17="","",SUM(AG17:AG$114))</f>
        <v/>
      </c>
      <c r="AI17" s="254" t="str">
        <f>Main_무해지!AP17</f>
        <v/>
      </c>
      <c r="AJ17" s="254">
        <f t="shared" si="3"/>
        <v>0</v>
      </c>
      <c r="AK17" s="254" t="str">
        <f t="shared" si="4"/>
        <v/>
      </c>
      <c r="AL17" s="254" t="str">
        <f t="shared" si="5"/>
        <v/>
      </c>
      <c r="AM17" s="57" t="str">
        <f>IF($U17="","",SUM($AN17:$AN$114))</f>
        <v/>
      </c>
      <c r="AN17" s="254" t="str">
        <f t="shared" si="36"/>
        <v/>
      </c>
      <c r="AO17" s="57" t="str">
        <f t="shared" si="6"/>
        <v/>
      </c>
      <c r="AP17" s="53" t="str">
        <f>IF($U17="","",INDEX(#REF!,$U17+1))</f>
        <v/>
      </c>
      <c r="AQ17" s="254">
        <f t="shared" si="7"/>
        <v>0</v>
      </c>
      <c r="AR17" s="254" t="str">
        <f t="shared" si="8"/>
        <v/>
      </c>
      <c r="AS17" s="254" t="str">
        <f t="shared" si="9"/>
        <v/>
      </c>
      <c r="AT17" s="57" t="str">
        <f>IF($U17="","",SUM($AS17:$AS$114))</f>
        <v/>
      </c>
      <c r="AU17" s="53" t="str">
        <f>IF($U17="","",INDEX(#REF!,$U17+1))</f>
        <v/>
      </c>
      <c r="AV17" s="254">
        <f t="shared" si="10"/>
        <v>0</v>
      </c>
      <c r="AW17" s="254" t="str">
        <f t="shared" si="11"/>
        <v/>
      </c>
      <c r="AX17" s="254" t="str">
        <f t="shared" si="12"/>
        <v/>
      </c>
      <c r="AY17" s="57" t="str">
        <f>IF($U17="","",SUM($AX17:$AX$114))</f>
        <v/>
      </c>
      <c r="AZ17" s="53" t="str">
        <f>IF($U17="","",INDEX(#REF!,$U17+1))</f>
        <v/>
      </c>
      <c r="BA17" s="254">
        <f t="shared" si="13"/>
        <v>0</v>
      </c>
      <c r="BB17" s="254" t="str">
        <f t="shared" si="14"/>
        <v/>
      </c>
      <c r="BC17" s="254" t="str">
        <f t="shared" si="15"/>
        <v/>
      </c>
      <c r="BD17" s="57" t="str">
        <f>IF($U17="","",SUM($BC17:$BC$114))</f>
        <v/>
      </c>
      <c r="BE17" s="53" t="str">
        <f>IF($U17="","",INDEX(#REF!,$U17+1))</f>
        <v/>
      </c>
      <c r="BF17" s="254">
        <f t="shared" si="16"/>
        <v>0</v>
      </c>
      <c r="BG17" s="254" t="str">
        <f t="shared" si="17"/>
        <v/>
      </c>
      <c r="BH17" s="254" t="str">
        <f t="shared" si="18"/>
        <v/>
      </c>
      <c r="BI17" s="57" t="str">
        <f>IF($U17="","",SUM($BH17:$BH$114))</f>
        <v/>
      </c>
      <c r="BJ17" s="53" t="str">
        <f>IF($U17="","",INDEX(#REF!,$U17+1))</f>
        <v/>
      </c>
      <c r="BK17" s="254">
        <f t="shared" si="19"/>
        <v>0</v>
      </c>
      <c r="BL17" s="254" t="str">
        <f t="shared" si="20"/>
        <v/>
      </c>
      <c r="BM17" s="254" t="str">
        <f t="shared" si="21"/>
        <v/>
      </c>
      <c r="BN17" s="57" t="str">
        <f>IF($U17="","",SUM($BM17:$BM$114))</f>
        <v/>
      </c>
      <c r="BO17" s="53">
        <f t="shared" si="22"/>
        <v>0</v>
      </c>
      <c r="BP17" s="254" t="str">
        <f t="shared" si="23"/>
        <v/>
      </c>
      <c r="BQ17" s="254" t="str">
        <f t="shared" si="24"/>
        <v/>
      </c>
      <c r="BR17" s="254"/>
      <c r="BS17" s="254" t="str">
        <f t="shared" si="37"/>
        <v/>
      </c>
      <c r="BT17" s="254" t="str">
        <f t="shared" si="25"/>
        <v/>
      </c>
      <c r="BU17" s="254" t="str">
        <f t="shared" si="26"/>
        <v/>
      </c>
      <c r="BV17" s="254"/>
      <c r="BW17" s="254" t="str">
        <f t="shared" si="38"/>
        <v/>
      </c>
      <c r="BX17" s="254" t="str">
        <f>IF($U17="","",SUM(BS17:BS$114)+SUM(BW17:BW$114))</f>
        <v/>
      </c>
      <c r="BY17" s="55"/>
      <c r="BZ17" s="55"/>
      <c r="CA17" s="55"/>
      <c r="CB17" s="55"/>
      <c r="CC17" s="254" t="str">
        <f t="shared" si="39"/>
        <v/>
      </c>
      <c r="CD17" s="254" t="str">
        <f t="shared" si="27"/>
        <v/>
      </c>
      <c r="CE17" s="254" t="str">
        <f t="shared" si="28"/>
        <v/>
      </c>
      <c r="CF17" s="254" t="str">
        <f t="shared" si="40"/>
        <v/>
      </c>
      <c r="CG17" s="254" t="str">
        <f t="shared" si="29"/>
        <v/>
      </c>
      <c r="CH17" s="58" t="str">
        <f t="shared" si="41"/>
        <v/>
      </c>
      <c r="CI17" s="59" t="str">
        <f t="shared" si="30"/>
        <v/>
      </c>
      <c r="CJ17" s="236"/>
      <c r="CK17" s="52" t="str">
        <f t="shared" si="31"/>
        <v/>
      </c>
      <c r="CL17" s="59" t="str">
        <f t="shared" si="47"/>
        <v/>
      </c>
      <c r="CM17" s="59" t="str">
        <f t="shared" si="42"/>
        <v/>
      </c>
      <c r="CN17" s="59" t="str">
        <f t="shared" si="32"/>
        <v/>
      </c>
      <c r="CO17" s="59" t="str">
        <f t="shared" si="43"/>
        <v/>
      </c>
      <c r="CP17" s="236"/>
      <c r="CQ17" s="236"/>
      <c r="CR17" s="236"/>
      <c r="CS17" s="236"/>
      <c r="CT17" s="236"/>
      <c r="CU17" s="236"/>
      <c r="CV17" s="236"/>
    </row>
    <row r="18" spans="1:100">
      <c r="A18" s="305"/>
      <c r="B18" s="373"/>
      <c r="C18" s="78"/>
      <c r="D18" s="29" t="s">
        <v>94</v>
      </c>
      <c r="E18" s="824">
        <f>무해지형_연납순보험료!E18</f>
        <v>6</v>
      </c>
      <c r="F18" s="825"/>
      <c r="G18" s="79"/>
      <c r="H18" s="323"/>
      <c r="I18" s="48" t="s">
        <v>27</v>
      </c>
      <c r="J18" s="49" t="s">
        <v>181</v>
      </c>
      <c r="K18" s="483">
        <f>K16-K25</f>
        <v>0</v>
      </c>
      <c r="L18" s="599"/>
      <c r="M18" s="599"/>
      <c r="N18" s="278" t="str">
        <f t="shared" si="51"/>
        <v/>
      </c>
      <c r="O18" s="279" t="str">
        <f t="shared" si="52"/>
        <v/>
      </c>
      <c r="P18" s="271" t="str">
        <f t="shared" si="48"/>
        <v/>
      </c>
      <c r="Q18" s="271" t="str">
        <f t="shared" si="49"/>
        <v/>
      </c>
      <c r="R18" s="271" t="str">
        <f t="shared" si="50"/>
        <v/>
      </c>
      <c r="S18" s="400" t="str">
        <f t="shared" si="33"/>
        <v/>
      </c>
      <c r="T18" s="232"/>
      <c r="U18" s="52" t="str">
        <f t="shared" si="44"/>
        <v/>
      </c>
      <c r="V18" s="53" t="str">
        <f>Main_무해지!AC18</f>
        <v/>
      </c>
      <c r="W18" s="56">
        <f>+Main_무해지!AD18</f>
        <v>0</v>
      </c>
      <c r="X18" s="56">
        <v>0</v>
      </c>
      <c r="Y18" s="254" t="str">
        <f t="shared" si="45"/>
        <v/>
      </c>
      <c r="Z18" s="254" t="str">
        <f t="shared" si="0"/>
        <v/>
      </c>
      <c r="AA18" s="54" t="str">
        <f>IF($U18="","",SUM(Z18:Z$114))</f>
        <v/>
      </c>
      <c r="AB18" s="254" t="str">
        <f t="shared" si="34"/>
        <v/>
      </c>
      <c r="AC18" s="254">
        <f t="shared" si="35"/>
        <v>0</v>
      </c>
      <c r="AD18" s="254" t="str">
        <f>Main_무해지!AJ18</f>
        <v/>
      </c>
      <c r="AE18" s="254">
        <f t="shared" si="1"/>
        <v>0</v>
      </c>
      <c r="AF18" s="254" t="str">
        <f t="shared" si="46"/>
        <v/>
      </c>
      <c r="AG18" s="254" t="str">
        <f t="shared" si="2"/>
        <v/>
      </c>
      <c r="AH18" s="54" t="str">
        <f>IF($U18="","",SUM(AG18:AG$114))</f>
        <v/>
      </c>
      <c r="AI18" s="254" t="str">
        <f>Main_무해지!AP18</f>
        <v/>
      </c>
      <c r="AJ18" s="254">
        <f t="shared" si="3"/>
        <v>0</v>
      </c>
      <c r="AK18" s="254" t="str">
        <f t="shared" si="4"/>
        <v/>
      </c>
      <c r="AL18" s="254" t="str">
        <f t="shared" si="5"/>
        <v/>
      </c>
      <c r="AM18" s="57" t="str">
        <f>IF($U18="","",SUM($AN18:$AN$114))</f>
        <v/>
      </c>
      <c r="AN18" s="254" t="str">
        <f t="shared" si="36"/>
        <v/>
      </c>
      <c r="AO18" s="57" t="str">
        <f t="shared" si="6"/>
        <v/>
      </c>
      <c r="AP18" s="53" t="str">
        <f>IF($U18="","",INDEX(#REF!,$U18+1))</f>
        <v/>
      </c>
      <c r="AQ18" s="254">
        <f t="shared" si="7"/>
        <v>0</v>
      </c>
      <c r="AR18" s="254" t="str">
        <f t="shared" si="8"/>
        <v/>
      </c>
      <c r="AS18" s="254" t="str">
        <f t="shared" si="9"/>
        <v/>
      </c>
      <c r="AT18" s="57" t="str">
        <f>IF($U18="","",SUM($AS18:$AS$114))</f>
        <v/>
      </c>
      <c r="AU18" s="53" t="str">
        <f>IF($U18="","",INDEX(#REF!,$U18+1))</f>
        <v/>
      </c>
      <c r="AV18" s="254">
        <f t="shared" si="10"/>
        <v>0</v>
      </c>
      <c r="AW18" s="254" t="str">
        <f t="shared" si="11"/>
        <v/>
      </c>
      <c r="AX18" s="254" t="str">
        <f t="shared" si="12"/>
        <v/>
      </c>
      <c r="AY18" s="57" t="str">
        <f>IF($U18="","",SUM($AX18:$AX$114))</f>
        <v/>
      </c>
      <c r="AZ18" s="53" t="str">
        <f>IF($U18="","",INDEX(#REF!,$U18+1))</f>
        <v/>
      </c>
      <c r="BA18" s="254">
        <f t="shared" si="13"/>
        <v>0</v>
      </c>
      <c r="BB18" s="254" t="str">
        <f t="shared" si="14"/>
        <v/>
      </c>
      <c r="BC18" s="254" t="str">
        <f t="shared" si="15"/>
        <v/>
      </c>
      <c r="BD18" s="57" t="str">
        <f>IF($U18="","",SUM($BC18:$BC$114))</f>
        <v/>
      </c>
      <c r="BE18" s="53" t="str">
        <f>IF($U18="","",INDEX(#REF!,$U18+1))</f>
        <v/>
      </c>
      <c r="BF18" s="254">
        <f t="shared" si="16"/>
        <v>0</v>
      </c>
      <c r="BG18" s="254" t="str">
        <f t="shared" si="17"/>
        <v/>
      </c>
      <c r="BH18" s="254" t="str">
        <f t="shared" si="18"/>
        <v/>
      </c>
      <c r="BI18" s="57" t="str">
        <f>IF($U18="","",SUM($BH18:$BH$114))</f>
        <v/>
      </c>
      <c r="BJ18" s="53" t="str">
        <f>IF($U18="","",INDEX(#REF!,$U18+1))</f>
        <v/>
      </c>
      <c r="BK18" s="254">
        <f t="shared" si="19"/>
        <v>0</v>
      </c>
      <c r="BL18" s="254" t="str">
        <f t="shared" si="20"/>
        <v/>
      </c>
      <c r="BM18" s="254" t="str">
        <f t="shared" si="21"/>
        <v/>
      </c>
      <c r="BN18" s="57" t="str">
        <f>IF($U18="","",SUM($BM18:$BM$114))</f>
        <v/>
      </c>
      <c r="BO18" s="53">
        <f t="shared" si="22"/>
        <v>0</v>
      </c>
      <c r="BP18" s="254" t="str">
        <f t="shared" si="23"/>
        <v/>
      </c>
      <c r="BQ18" s="254" t="str">
        <f t="shared" si="24"/>
        <v/>
      </c>
      <c r="BR18" s="254"/>
      <c r="BS18" s="254" t="str">
        <f t="shared" si="37"/>
        <v/>
      </c>
      <c r="BT18" s="254" t="str">
        <f t="shared" si="25"/>
        <v/>
      </c>
      <c r="BU18" s="254" t="str">
        <f t="shared" si="26"/>
        <v/>
      </c>
      <c r="BV18" s="254"/>
      <c r="BW18" s="254" t="str">
        <f t="shared" si="38"/>
        <v/>
      </c>
      <c r="BX18" s="254" t="str">
        <f>IF($U18="","",SUM(BS18:BS$114)+SUM(BW18:BW$114))</f>
        <v/>
      </c>
      <c r="BY18" s="55"/>
      <c r="BZ18" s="55"/>
      <c r="CA18" s="55"/>
      <c r="CB18" s="55"/>
      <c r="CC18" s="254" t="str">
        <f t="shared" si="39"/>
        <v/>
      </c>
      <c r="CD18" s="254" t="str">
        <f t="shared" si="27"/>
        <v/>
      </c>
      <c r="CE18" s="254" t="str">
        <f t="shared" si="28"/>
        <v/>
      </c>
      <c r="CF18" s="254" t="str">
        <f t="shared" si="40"/>
        <v/>
      </c>
      <c r="CG18" s="254" t="str">
        <f t="shared" si="29"/>
        <v/>
      </c>
      <c r="CH18" s="58" t="str">
        <f t="shared" si="41"/>
        <v/>
      </c>
      <c r="CI18" s="59" t="str">
        <f t="shared" si="30"/>
        <v/>
      </c>
      <c r="CJ18" s="236"/>
      <c r="CK18" s="52" t="str">
        <f t="shared" si="31"/>
        <v/>
      </c>
      <c r="CL18" s="59" t="str">
        <f t="shared" si="47"/>
        <v/>
      </c>
      <c r="CM18" s="59" t="str">
        <f t="shared" si="42"/>
        <v/>
      </c>
      <c r="CN18" s="59" t="str">
        <f t="shared" si="32"/>
        <v/>
      </c>
      <c r="CO18" s="59" t="str">
        <f t="shared" si="43"/>
        <v/>
      </c>
      <c r="CP18" s="236"/>
      <c r="CQ18" s="236"/>
      <c r="CR18" s="236"/>
      <c r="CS18" s="236"/>
      <c r="CT18" s="236"/>
      <c r="CU18" s="236"/>
      <c r="CV18" s="236"/>
    </row>
    <row r="19" spans="1:100" ht="17.25" thickBot="1">
      <c r="A19" s="305"/>
      <c r="B19" s="373"/>
      <c r="C19" s="93"/>
      <c r="D19" s="293"/>
      <c r="E19" s="826">
        <f>무해지형_연납순보험료!E19</f>
        <v>1000000</v>
      </c>
      <c r="F19" s="827"/>
      <c r="G19" s="294"/>
      <c r="H19" s="108"/>
      <c r="I19" s="501"/>
      <c r="J19" s="100" t="s">
        <v>179</v>
      </c>
      <c r="K19" s="502">
        <f>K37*K13*K22</f>
        <v>0</v>
      </c>
      <c r="L19" s="599"/>
      <c r="M19" s="599"/>
      <c r="N19" s="278" t="str">
        <f t="shared" si="51"/>
        <v/>
      </c>
      <c r="O19" s="279" t="str">
        <f t="shared" si="52"/>
        <v/>
      </c>
      <c r="P19" s="271" t="str">
        <f t="shared" si="48"/>
        <v/>
      </c>
      <c r="Q19" s="271" t="str">
        <f t="shared" si="49"/>
        <v/>
      </c>
      <c r="R19" s="271" t="str">
        <f t="shared" si="50"/>
        <v/>
      </c>
      <c r="S19" s="400" t="str">
        <f t="shared" si="33"/>
        <v/>
      </c>
      <c r="T19" s="232"/>
      <c r="U19" s="60" t="str">
        <f t="shared" si="44"/>
        <v/>
      </c>
      <c r="V19" s="61" t="str">
        <f>Main_무해지!AC19</f>
        <v/>
      </c>
      <c r="W19" s="64">
        <f>+Main_무해지!AD19</f>
        <v>0</v>
      </c>
      <c r="X19" s="64">
        <v>0</v>
      </c>
      <c r="Y19" s="255" t="str">
        <f t="shared" si="45"/>
        <v/>
      </c>
      <c r="Z19" s="255" t="str">
        <f t="shared" si="0"/>
        <v/>
      </c>
      <c r="AA19" s="62" t="str">
        <f>IF($U19="","",SUM(Z19:Z$114))</f>
        <v/>
      </c>
      <c r="AB19" s="255" t="str">
        <f t="shared" si="34"/>
        <v/>
      </c>
      <c r="AC19" s="255">
        <f t="shared" si="35"/>
        <v>0</v>
      </c>
      <c r="AD19" s="255" t="str">
        <f>Main_무해지!AJ19</f>
        <v/>
      </c>
      <c r="AE19" s="255">
        <f t="shared" si="1"/>
        <v>0</v>
      </c>
      <c r="AF19" s="255" t="str">
        <f t="shared" si="46"/>
        <v/>
      </c>
      <c r="AG19" s="255" t="str">
        <f t="shared" si="2"/>
        <v/>
      </c>
      <c r="AH19" s="62" t="str">
        <f>IF($U19="","",SUM(AG19:AG$114))</f>
        <v/>
      </c>
      <c r="AI19" s="255" t="str">
        <f>Main_무해지!AP19</f>
        <v/>
      </c>
      <c r="AJ19" s="255">
        <f t="shared" si="3"/>
        <v>0</v>
      </c>
      <c r="AK19" s="255" t="str">
        <f t="shared" si="4"/>
        <v/>
      </c>
      <c r="AL19" s="255" t="str">
        <f t="shared" si="5"/>
        <v/>
      </c>
      <c r="AM19" s="65" t="str">
        <f>IF($U19="","",SUM($AN19:$AN$114))</f>
        <v/>
      </c>
      <c r="AN19" s="255" t="str">
        <f t="shared" si="36"/>
        <v/>
      </c>
      <c r="AO19" s="65" t="str">
        <f t="shared" si="6"/>
        <v/>
      </c>
      <c r="AP19" s="61" t="str">
        <f>IF($U19="","",INDEX(#REF!,$U19+1))</f>
        <v/>
      </c>
      <c r="AQ19" s="255">
        <f t="shared" si="7"/>
        <v>0</v>
      </c>
      <c r="AR19" s="255" t="str">
        <f t="shared" si="8"/>
        <v/>
      </c>
      <c r="AS19" s="255" t="str">
        <f t="shared" si="9"/>
        <v/>
      </c>
      <c r="AT19" s="65" t="str">
        <f>IF($U19="","",SUM($AS19:$AS$114))</f>
        <v/>
      </c>
      <c r="AU19" s="61" t="str">
        <f>IF($U19="","",INDEX(#REF!,$U19+1))</f>
        <v/>
      </c>
      <c r="AV19" s="255">
        <f t="shared" si="10"/>
        <v>0</v>
      </c>
      <c r="AW19" s="255" t="str">
        <f t="shared" si="11"/>
        <v/>
      </c>
      <c r="AX19" s="255" t="str">
        <f t="shared" si="12"/>
        <v/>
      </c>
      <c r="AY19" s="65" t="str">
        <f>IF($U19="","",SUM($AX19:$AX$114))</f>
        <v/>
      </c>
      <c r="AZ19" s="61" t="str">
        <f>IF($U19="","",INDEX(#REF!,$U19+1))</f>
        <v/>
      </c>
      <c r="BA19" s="255">
        <f t="shared" si="13"/>
        <v>0</v>
      </c>
      <c r="BB19" s="255" t="str">
        <f t="shared" si="14"/>
        <v/>
      </c>
      <c r="BC19" s="255" t="str">
        <f t="shared" si="15"/>
        <v/>
      </c>
      <c r="BD19" s="65" t="str">
        <f>IF($U19="","",SUM($BC19:$BC$114))</f>
        <v/>
      </c>
      <c r="BE19" s="61" t="str">
        <f>IF($U19="","",INDEX(#REF!,$U19+1))</f>
        <v/>
      </c>
      <c r="BF19" s="255">
        <f t="shared" si="16"/>
        <v>0</v>
      </c>
      <c r="BG19" s="255" t="str">
        <f t="shared" si="17"/>
        <v/>
      </c>
      <c r="BH19" s="255" t="str">
        <f t="shared" si="18"/>
        <v/>
      </c>
      <c r="BI19" s="65" t="str">
        <f>IF($U19="","",SUM($BH19:$BH$114))</f>
        <v/>
      </c>
      <c r="BJ19" s="61" t="str">
        <f>IF($U19="","",INDEX(#REF!,$U19+1))</f>
        <v/>
      </c>
      <c r="BK19" s="255">
        <f t="shared" si="19"/>
        <v>0</v>
      </c>
      <c r="BL19" s="255" t="str">
        <f t="shared" si="20"/>
        <v/>
      </c>
      <c r="BM19" s="255" t="str">
        <f t="shared" si="21"/>
        <v/>
      </c>
      <c r="BN19" s="65" t="str">
        <f>IF($U19="","",SUM($BM19:$BM$114))</f>
        <v/>
      </c>
      <c r="BO19" s="61">
        <f t="shared" si="22"/>
        <v>0</v>
      </c>
      <c r="BP19" s="255" t="str">
        <f t="shared" si="23"/>
        <v/>
      </c>
      <c r="BQ19" s="255" t="str">
        <f t="shared" si="24"/>
        <v/>
      </c>
      <c r="BR19" s="255"/>
      <c r="BS19" s="255" t="str">
        <f t="shared" si="37"/>
        <v/>
      </c>
      <c r="BT19" s="255" t="str">
        <f t="shared" si="25"/>
        <v/>
      </c>
      <c r="BU19" s="255" t="str">
        <f t="shared" si="26"/>
        <v/>
      </c>
      <c r="BV19" s="255"/>
      <c r="BW19" s="255" t="str">
        <f t="shared" si="38"/>
        <v/>
      </c>
      <c r="BX19" s="255" t="str">
        <f>IF($U19="","",SUM(BS19:BS$114)+SUM(BW19:BW$114))</f>
        <v/>
      </c>
      <c r="BY19" s="63"/>
      <c r="BZ19" s="63"/>
      <c r="CA19" s="63"/>
      <c r="CB19" s="63"/>
      <c r="CC19" s="255" t="str">
        <f t="shared" si="39"/>
        <v/>
      </c>
      <c r="CD19" s="255" t="str">
        <f t="shared" si="27"/>
        <v/>
      </c>
      <c r="CE19" s="255" t="str">
        <f t="shared" si="28"/>
        <v/>
      </c>
      <c r="CF19" s="255" t="str">
        <f t="shared" si="40"/>
        <v/>
      </c>
      <c r="CG19" s="255" t="str">
        <f t="shared" si="29"/>
        <v/>
      </c>
      <c r="CH19" s="66" t="str">
        <f t="shared" si="41"/>
        <v/>
      </c>
      <c r="CI19" s="67" t="str">
        <f t="shared" si="30"/>
        <v/>
      </c>
      <c r="CJ19" s="237"/>
      <c r="CK19" s="60" t="str">
        <f t="shared" si="31"/>
        <v/>
      </c>
      <c r="CL19" s="67" t="str">
        <f t="shared" si="47"/>
        <v/>
      </c>
      <c r="CM19" s="67" t="str">
        <f t="shared" si="42"/>
        <v/>
      </c>
      <c r="CN19" s="67" t="str">
        <f t="shared" si="32"/>
        <v/>
      </c>
      <c r="CO19" s="67" t="str">
        <f t="shared" si="43"/>
        <v/>
      </c>
      <c r="CP19" s="237"/>
      <c r="CQ19" s="237"/>
      <c r="CR19" s="237"/>
      <c r="CS19" s="237"/>
      <c r="CT19" s="237"/>
      <c r="CU19" s="237"/>
      <c r="CV19" s="237"/>
    </row>
    <row r="20" spans="1:100" ht="17.25" thickTop="1">
      <c r="A20" s="305"/>
      <c r="B20" s="373"/>
      <c r="H20" s="108"/>
      <c r="I20" s="80"/>
      <c r="J20" s="81" t="s">
        <v>202</v>
      </c>
      <c r="K20" s="484">
        <f>INDEX(Z4:Z115,1)</f>
        <v>100000</v>
      </c>
      <c r="L20" s="599"/>
      <c r="M20" s="599"/>
      <c r="N20" s="278" t="str">
        <f t="shared" si="51"/>
        <v/>
      </c>
      <c r="O20" s="279" t="str">
        <f t="shared" si="52"/>
        <v/>
      </c>
      <c r="P20" s="271" t="str">
        <f t="shared" si="48"/>
        <v/>
      </c>
      <c r="Q20" s="271" t="str">
        <f t="shared" si="49"/>
        <v/>
      </c>
      <c r="R20" s="271" t="str">
        <f t="shared" si="50"/>
        <v/>
      </c>
      <c r="S20" s="400" t="str">
        <f t="shared" si="33"/>
        <v/>
      </c>
      <c r="T20" s="232"/>
      <c r="U20" s="759" t="str">
        <f t="shared" si="44"/>
        <v/>
      </c>
      <c r="V20" s="761" t="str">
        <f>Main_무해지!AC20</f>
        <v/>
      </c>
      <c r="W20" s="639">
        <f>+Main_무해지!AD20</f>
        <v>0</v>
      </c>
      <c r="X20" s="639">
        <v>0</v>
      </c>
      <c r="Y20" s="409" t="str">
        <f t="shared" si="45"/>
        <v/>
      </c>
      <c r="Z20" s="409" t="str">
        <f t="shared" si="0"/>
        <v/>
      </c>
      <c r="AA20" s="760" t="str">
        <f>IF($U20="","",SUM(Z20:Z$114))</f>
        <v/>
      </c>
      <c r="AB20" s="409" t="str">
        <f t="shared" si="34"/>
        <v/>
      </c>
      <c r="AC20" s="409">
        <f t="shared" si="35"/>
        <v>0</v>
      </c>
      <c r="AD20" s="409" t="str">
        <f>Main_무해지!AJ20</f>
        <v/>
      </c>
      <c r="AE20" s="409">
        <f t="shared" si="1"/>
        <v>0</v>
      </c>
      <c r="AF20" s="409" t="str">
        <f t="shared" si="46"/>
        <v/>
      </c>
      <c r="AG20" s="409" t="str">
        <f t="shared" si="2"/>
        <v/>
      </c>
      <c r="AH20" s="760" t="str">
        <f>IF($U20="","",SUM(AG20:AG$114))</f>
        <v/>
      </c>
      <c r="AI20" s="409" t="str">
        <f>Main_무해지!AP20</f>
        <v/>
      </c>
      <c r="AJ20" s="409">
        <f t="shared" si="3"/>
        <v>0</v>
      </c>
      <c r="AK20" s="409" t="str">
        <f t="shared" si="4"/>
        <v/>
      </c>
      <c r="AL20" s="409" t="str">
        <f t="shared" si="5"/>
        <v/>
      </c>
      <c r="AM20" s="762" t="str">
        <f>IF($U20="","",SUM($AN20:$AN$114))</f>
        <v/>
      </c>
      <c r="AN20" s="409" t="str">
        <f t="shared" si="36"/>
        <v/>
      </c>
      <c r="AO20" s="762" t="str">
        <f t="shared" si="6"/>
        <v/>
      </c>
      <c r="AP20" s="761" t="str">
        <f>IF($U20="","",INDEX(#REF!,$U20+1))</f>
        <v/>
      </c>
      <c r="AQ20" s="409">
        <f t="shared" si="7"/>
        <v>0</v>
      </c>
      <c r="AR20" s="409" t="str">
        <f t="shared" si="8"/>
        <v/>
      </c>
      <c r="AS20" s="409" t="str">
        <f t="shared" si="9"/>
        <v/>
      </c>
      <c r="AT20" s="762" t="str">
        <f>IF($U20="","",SUM($AS20:$AS$114))</f>
        <v/>
      </c>
      <c r="AU20" s="761" t="str">
        <f>IF($U20="","",INDEX(#REF!,$U20+1))</f>
        <v/>
      </c>
      <c r="AV20" s="409">
        <f t="shared" si="10"/>
        <v>0</v>
      </c>
      <c r="AW20" s="409" t="str">
        <f t="shared" si="11"/>
        <v/>
      </c>
      <c r="AX20" s="409" t="str">
        <f t="shared" si="12"/>
        <v/>
      </c>
      <c r="AY20" s="762" t="str">
        <f>IF($U20="","",SUM($AX20:$AX$114))</f>
        <v/>
      </c>
      <c r="AZ20" s="761" t="str">
        <f>IF($U20="","",INDEX(#REF!,$U20+1))</f>
        <v/>
      </c>
      <c r="BA20" s="409">
        <f t="shared" si="13"/>
        <v>0</v>
      </c>
      <c r="BB20" s="409" t="str">
        <f t="shared" si="14"/>
        <v/>
      </c>
      <c r="BC20" s="409" t="str">
        <f t="shared" si="15"/>
        <v/>
      </c>
      <c r="BD20" s="762" t="str">
        <f>IF($U20="","",SUM($BC20:$BC$114))</f>
        <v/>
      </c>
      <c r="BE20" s="761" t="str">
        <f>IF($U20="","",INDEX(#REF!,$U20+1))</f>
        <v/>
      </c>
      <c r="BF20" s="409">
        <f t="shared" si="16"/>
        <v>0</v>
      </c>
      <c r="BG20" s="409" t="str">
        <f t="shared" si="17"/>
        <v/>
      </c>
      <c r="BH20" s="409" t="str">
        <f t="shared" si="18"/>
        <v/>
      </c>
      <c r="BI20" s="762" t="str">
        <f>IF($U20="","",SUM($BH20:$BH$114))</f>
        <v/>
      </c>
      <c r="BJ20" s="761" t="str">
        <f>IF($U20="","",INDEX(#REF!,$U20+1))</f>
        <v/>
      </c>
      <c r="BK20" s="409">
        <f t="shared" si="19"/>
        <v>0</v>
      </c>
      <c r="BL20" s="409" t="str">
        <f t="shared" si="20"/>
        <v/>
      </c>
      <c r="BM20" s="409" t="str">
        <f t="shared" si="21"/>
        <v/>
      </c>
      <c r="BN20" s="762" t="str">
        <f>IF($U20="","",SUM($BM20:$BM$114))</f>
        <v/>
      </c>
      <c r="BO20" s="761">
        <f t="shared" si="22"/>
        <v>0</v>
      </c>
      <c r="BP20" s="409" t="str">
        <f t="shared" si="23"/>
        <v/>
      </c>
      <c r="BQ20" s="409" t="str">
        <f t="shared" si="24"/>
        <v/>
      </c>
      <c r="BR20" s="409"/>
      <c r="BS20" s="409" t="str">
        <f t="shared" si="37"/>
        <v/>
      </c>
      <c r="BT20" s="409" t="str">
        <f t="shared" si="25"/>
        <v/>
      </c>
      <c r="BU20" s="409" t="str">
        <f t="shared" si="26"/>
        <v/>
      </c>
      <c r="BV20" s="409"/>
      <c r="BW20" s="409" t="str">
        <f t="shared" si="38"/>
        <v/>
      </c>
      <c r="BX20" s="409" t="str">
        <f>IF($U20="","",SUM(BS20:BS$114)+SUM(BW20:BW$114))</f>
        <v/>
      </c>
      <c r="BY20" s="763"/>
      <c r="BZ20" s="763"/>
      <c r="CA20" s="763"/>
      <c r="CB20" s="763"/>
      <c r="CC20" s="409" t="str">
        <f t="shared" si="39"/>
        <v/>
      </c>
      <c r="CD20" s="409" t="str">
        <f t="shared" si="27"/>
        <v/>
      </c>
      <c r="CE20" s="409" t="str">
        <f t="shared" si="28"/>
        <v/>
      </c>
      <c r="CF20" s="409" t="str">
        <f t="shared" si="40"/>
        <v/>
      </c>
      <c r="CG20" s="409" t="str">
        <f t="shared" si="29"/>
        <v/>
      </c>
      <c r="CH20" s="765" t="str">
        <f t="shared" si="41"/>
        <v/>
      </c>
      <c r="CI20" s="766" t="str">
        <f t="shared" si="30"/>
        <v/>
      </c>
      <c r="CJ20" s="414"/>
      <c r="CK20" s="759" t="str">
        <f t="shared" si="31"/>
        <v/>
      </c>
      <c r="CL20" s="766" t="str">
        <f t="shared" si="47"/>
        <v/>
      </c>
      <c r="CM20" s="766" t="str">
        <f t="shared" si="42"/>
        <v/>
      </c>
      <c r="CN20" s="766" t="str">
        <f t="shared" si="32"/>
        <v/>
      </c>
      <c r="CO20" s="766" t="str">
        <f t="shared" si="43"/>
        <v/>
      </c>
      <c r="CP20" s="414"/>
      <c r="CQ20" s="414"/>
      <c r="CR20" s="414"/>
      <c r="CS20" s="414"/>
      <c r="CT20" s="414"/>
      <c r="CU20" s="414"/>
      <c r="CV20" s="414"/>
    </row>
    <row r="21" spans="1:100" ht="17.25" thickBot="1">
      <c r="A21" s="305"/>
      <c r="B21" s="373"/>
      <c r="C21" s="373"/>
      <c r="D21" s="373"/>
      <c r="E21" s="373"/>
      <c r="F21" s="373"/>
      <c r="G21" s="373"/>
      <c r="H21" s="108"/>
      <c r="I21" s="48"/>
      <c r="J21" s="49" t="s">
        <v>203</v>
      </c>
      <c r="K21" s="483">
        <f>INDEX(Z4:Z115,F5+1)</f>
        <v>97799.511002444997</v>
      </c>
      <c r="L21" s="599"/>
      <c r="M21" s="599"/>
      <c r="N21" s="280" t="str">
        <f t="shared" si="51"/>
        <v/>
      </c>
      <c r="O21" s="281" t="str">
        <f t="shared" si="52"/>
        <v/>
      </c>
      <c r="P21" s="282" t="str">
        <f t="shared" si="48"/>
        <v/>
      </c>
      <c r="Q21" s="282" t="str">
        <f t="shared" si="49"/>
        <v/>
      </c>
      <c r="R21" s="282" t="str">
        <f t="shared" si="50"/>
        <v/>
      </c>
      <c r="S21" s="402" t="str">
        <f t="shared" si="33"/>
        <v/>
      </c>
      <c r="T21" s="232"/>
      <c r="U21" s="101" t="str">
        <f t="shared" si="44"/>
        <v/>
      </c>
      <c r="V21" s="285" t="str">
        <f>Main_무해지!AC21</f>
        <v/>
      </c>
      <c r="W21" s="308">
        <f>+Main_무해지!AD21</f>
        <v>0</v>
      </c>
      <c r="X21" s="308">
        <v>0</v>
      </c>
      <c r="Y21" s="258" t="str">
        <f t="shared" si="45"/>
        <v/>
      </c>
      <c r="Z21" s="258" t="str">
        <f t="shared" si="0"/>
        <v/>
      </c>
      <c r="AA21" s="102" t="str">
        <f>IF($U21="","",SUM(Z21:Z$114))</f>
        <v/>
      </c>
      <c r="AB21" s="258" t="str">
        <f t="shared" si="34"/>
        <v/>
      </c>
      <c r="AC21" s="258">
        <f t="shared" si="35"/>
        <v>0</v>
      </c>
      <c r="AD21" s="258" t="str">
        <f>Main_무해지!AJ21</f>
        <v/>
      </c>
      <c r="AE21" s="258">
        <f t="shared" si="1"/>
        <v>0</v>
      </c>
      <c r="AF21" s="258" t="str">
        <f t="shared" si="46"/>
        <v/>
      </c>
      <c r="AG21" s="258" t="str">
        <f t="shared" si="2"/>
        <v/>
      </c>
      <c r="AH21" s="102" t="str">
        <f>IF($U21="","",SUM(AG21:AG$114))</f>
        <v/>
      </c>
      <c r="AI21" s="258" t="str">
        <f>Main_무해지!AP21</f>
        <v/>
      </c>
      <c r="AJ21" s="258">
        <f t="shared" si="3"/>
        <v>0</v>
      </c>
      <c r="AK21" s="258" t="str">
        <f t="shared" si="4"/>
        <v/>
      </c>
      <c r="AL21" s="258" t="str">
        <f t="shared" si="5"/>
        <v/>
      </c>
      <c r="AM21" s="315" t="str">
        <f>IF($U21="","",SUM($AN21:$AN$114))</f>
        <v/>
      </c>
      <c r="AN21" s="258" t="str">
        <f t="shared" si="36"/>
        <v/>
      </c>
      <c r="AO21" s="315" t="str">
        <f t="shared" si="6"/>
        <v/>
      </c>
      <c r="AP21" s="285" t="str">
        <f>IF($U21="","",INDEX(#REF!,$U21+1))</f>
        <v/>
      </c>
      <c r="AQ21" s="258">
        <f t="shared" si="7"/>
        <v>0</v>
      </c>
      <c r="AR21" s="258" t="str">
        <f t="shared" si="8"/>
        <v/>
      </c>
      <c r="AS21" s="258" t="str">
        <f t="shared" si="9"/>
        <v/>
      </c>
      <c r="AT21" s="315" t="str">
        <f>IF($U21="","",SUM($AS21:$AS$114))</f>
        <v/>
      </c>
      <c r="AU21" s="285" t="str">
        <f>IF($U21="","",INDEX(#REF!,$U21+1))</f>
        <v/>
      </c>
      <c r="AV21" s="258">
        <f t="shared" si="10"/>
        <v>0</v>
      </c>
      <c r="AW21" s="258" t="str">
        <f t="shared" si="11"/>
        <v/>
      </c>
      <c r="AX21" s="258" t="str">
        <f t="shared" si="12"/>
        <v/>
      </c>
      <c r="AY21" s="315" t="str">
        <f>IF($U21="","",SUM($AX21:$AX$114))</f>
        <v/>
      </c>
      <c r="AZ21" s="285" t="str">
        <f>IF($U21="","",INDEX(#REF!,$U21+1))</f>
        <v/>
      </c>
      <c r="BA21" s="258">
        <f t="shared" si="13"/>
        <v>0</v>
      </c>
      <c r="BB21" s="258" t="str">
        <f t="shared" si="14"/>
        <v/>
      </c>
      <c r="BC21" s="258" t="str">
        <f t="shared" si="15"/>
        <v/>
      </c>
      <c r="BD21" s="315" t="str">
        <f>IF($U21="","",SUM($BC21:$BC$114))</f>
        <v/>
      </c>
      <c r="BE21" s="285" t="str">
        <f>IF($U21="","",INDEX(#REF!,$U21+1))</f>
        <v/>
      </c>
      <c r="BF21" s="258">
        <f t="shared" si="16"/>
        <v>0</v>
      </c>
      <c r="BG21" s="258" t="str">
        <f t="shared" si="17"/>
        <v/>
      </c>
      <c r="BH21" s="258" t="str">
        <f t="shared" si="18"/>
        <v/>
      </c>
      <c r="BI21" s="315" t="str">
        <f>IF($U21="","",SUM($BH21:$BH$114))</f>
        <v/>
      </c>
      <c r="BJ21" s="285" t="str">
        <f>IF($U21="","",INDEX(#REF!,$U21+1))</f>
        <v/>
      </c>
      <c r="BK21" s="258">
        <f t="shared" si="19"/>
        <v>0</v>
      </c>
      <c r="BL21" s="258" t="str">
        <f t="shared" si="20"/>
        <v/>
      </c>
      <c r="BM21" s="258" t="str">
        <f t="shared" si="21"/>
        <v/>
      </c>
      <c r="BN21" s="315" t="str">
        <f>IF($U21="","",SUM($BM21:$BM$114))</f>
        <v/>
      </c>
      <c r="BO21" s="285">
        <f t="shared" si="22"/>
        <v>0</v>
      </c>
      <c r="BP21" s="258" t="str">
        <f t="shared" si="23"/>
        <v/>
      </c>
      <c r="BQ21" s="258" t="str">
        <f t="shared" si="24"/>
        <v/>
      </c>
      <c r="BR21" s="258"/>
      <c r="BS21" s="258" t="str">
        <f t="shared" si="37"/>
        <v/>
      </c>
      <c r="BT21" s="258" t="str">
        <f t="shared" si="25"/>
        <v/>
      </c>
      <c r="BU21" s="258" t="str">
        <f t="shared" si="26"/>
        <v/>
      </c>
      <c r="BV21" s="258"/>
      <c r="BW21" s="258" t="str">
        <f t="shared" si="38"/>
        <v/>
      </c>
      <c r="BX21" s="258" t="str">
        <f>IF($U21="","",SUM(BS21:BS$114)+SUM(BW21:BW$114))</f>
        <v/>
      </c>
      <c r="BY21" s="103"/>
      <c r="BZ21" s="103"/>
      <c r="CA21" s="103"/>
      <c r="CB21" s="103"/>
      <c r="CC21" s="258" t="str">
        <f t="shared" si="39"/>
        <v/>
      </c>
      <c r="CD21" s="258" t="str">
        <f t="shared" si="27"/>
        <v/>
      </c>
      <c r="CE21" s="258" t="str">
        <f t="shared" si="28"/>
        <v/>
      </c>
      <c r="CF21" s="258" t="str">
        <f t="shared" si="40"/>
        <v/>
      </c>
      <c r="CG21" s="258" t="str">
        <f t="shared" si="29"/>
        <v/>
      </c>
      <c r="CH21" s="104" t="str">
        <f t="shared" si="41"/>
        <v/>
      </c>
      <c r="CI21" s="105" t="str">
        <f t="shared" si="30"/>
        <v/>
      </c>
      <c r="CJ21" s="240"/>
      <c r="CK21" s="101" t="str">
        <f t="shared" si="31"/>
        <v/>
      </c>
      <c r="CL21" s="105" t="str">
        <f t="shared" si="47"/>
        <v/>
      </c>
      <c r="CM21" s="105" t="str">
        <f t="shared" si="42"/>
        <v/>
      </c>
      <c r="CN21" s="105" t="str">
        <f t="shared" si="32"/>
        <v/>
      </c>
      <c r="CO21" s="105" t="str">
        <f t="shared" si="43"/>
        <v/>
      </c>
      <c r="CP21" s="240"/>
      <c r="CQ21" s="240"/>
      <c r="CR21" s="240"/>
      <c r="CS21" s="240"/>
      <c r="CT21" s="240"/>
      <c r="CU21" s="240"/>
      <c r="CV21" s="240"/>
    </row>
    <row r="22" spans="1:100" ht="17.25" thickTop="1">
      <c r="A22" s="305"/>
      <c r="B22" s="373"/>
      <c r="C22" s="68"/>
      <c r="D22" s="97" t="s">
        <v>38</v>
      </c>
      <c r="E22" s="98" t="s">
        <v>83</v>
      </c>
      <c r="F22" s="269" t="s">
        <v>84</v>
      </c>
      <c r="G22" s="69"/>
      <c r="H22" s="108"/>
      <c r="I22" s="48"/>
      <c r="J22" s="49" t="s">
        <v>204</v>
      </c>
      <c r="K22" s="600">
        <f>IF($E$3+$F$4&gt;100,0,INDEX(Z4:Z115,F4+1))</f>
        <v>97799.511002444997</v>
      </c>
      <c r="L22" s="599"/>
      <c r="M22" s="599"/>
      <c r="N22" s="275" t="str">
        <f t="shared" si="51"/>
        <v/>
      </c>
      <c r="O22" s="276" t="str">
        <f t="shared" si="52"/>
        <v/>
      </c>
      <c r="P22" s="277" t="str">
        <f t="shared" si="48"/>
        <v/>
      </c>
      <c r="Q22" s="277" t="str">
        <f t="shared" si="49"/>
        <v/>
      </c>
      <c r="R22" s="277" t="str">
        <f t="shared" si="50"/>
        <v/>
      </c>
      <c r="S22" s="401" t="str">
        <f t="shared" si="33"/>
        <v/>
      </c>
      <c r="T22" s="232"/>
      <c r="U22" s="101" t="str">
        <f t="shared" si="44"/>
        <v/>
      </c>
      <c r="V22" s="285" t="str">
        <f>Main_무해지!AC22</f>
        <v/>
      </c>
      <c r="W22" s="308">
        <f>+Main_무해지!AD22</f>
        <v>0</v>
      </c>
      <c r="X22" s="308">
        <v>0</v>
      </c>
      <c r="Y22" s="258" t="str">
        <f t="shared" si="45"/>
        <v/>
      </c>
      <c r="Z22" s="258" t="str">
        <f t="shared" si="0"/>
        <v/>
      </c>
      <c r="AA22" s="102" t="str">
        <f>IF($U22="","",SUM(Z22:Z$114))</f>
        <v/>
      </c>
      <c r="AB22" s="258" t="str">
        <f t="shared" si="34"/>
        <v/>
      </c>
      <c r="AC22" s="258">
        <f t="shared" si="35"/>
        <v>0</v>
      </c>
      <c r="AD22" s="258" t="str">
        <f>Main_무해지!AJ22</f>
        <v/>
      </c>
      <c r="AE22" s="258">
        <f t="shared" si="1"/>
        <v>0</v>
      </c>
      <c r="AF22" s="258" t="str">
        <f t="shared" si="46"/>
        <v/>
      </c>
      <c r="AG22" s="258" t="str">
        <f t="shared" si="2"/>
        <v/>
      </c>
      <c r="AH22" s="102" t="str">
        <f>IF($U22="","",SUM(AG22:AG$114))</f>
        <v/>
      </c>
      <c r="AI22" s="258" t="str">
        <f>Main_무해지!AP22</f>
        <v/>
      </c>
      <c r="AJ22" s="258">
        <f t="shared" si="3"/>
        <v>0</v>
      </c>
      <c r="AK22" s="258" t="str">
        <f t="shared" si="4"/>
        <v/>
      </c>
      <c r="AL22" s="258" t="str">
        <f t="shared" si="5"/>
        <v/>
      </c>
      <c r="AM22" s="315" t="str">
        <f>IF($U22="","",SUM($AN22:$AN$114))</f>
        <v/>
      </c>
      <c r="AN22" s="258" t="str">
        <f t="shared" si="36"/>
        <v/>
      </c>
      <c r="AO22" s="315" t="str">
        <f t="shared" si="6"/>
        <v/>
      </c>
      <c r="AP22" s="285" t="str">
        <f>IF($U22="","",INDEX(#REF!,$U22+1))</f>
        <v/>
      </c>
      <c r="AQ22" s="258">
        <f t="shared" si="7"/>
        <v>0</v>
      </c>
      <c r="AR22" s="258" t="str">
        <f t="shared" si="8"/>
        <v/>
      </c>
      <c r="AS22" s="258" t="str">
        <f t="shared" si="9"/>
        <v/>
      </c>
      <c r="AT22" s="315" t="str">
        <f>IF($U22="","",SUM($AS22:$AS$114))</f>
        <v/>
      </c>
      <c r="AU22" s="285" t="str">
        <f>IF($U22="","",INDEX(#REF!,$U22+1))</f>
        <v/>
      </c>
      <c r="AV22" s="258">
        <f t="shared" si="10"/>
        <v>0</v>
      </c>
      <c r="AW22" s="258" t="str">
        <f t="shared" si="11"/>
        <v/>
      </c>
      <c r="AX22" s="258" t="str">
        <f t="shared" si="12"/>
        <v/>
      </c>
      <c r="AY22" s="315" t="str">
        <f>IF($U22="","",SUM($AX22:$AX$114))</f>
        <v/>
      </c>
      <c r="AZ22" s="285" t="str">
        <f>IF($U22="","",INDEX(#REF!,$U22+1))</f>
        <v/>
      </c>
      <c r="BA22" s="258">
        <f t="shared" si="13"/>
        <v>0</v>
      </c>
      <c r="BB22" s="258" t="str">
        <f t="shared" si="14"/>
        <v/>
      </c>
      <c r="BC22" s="258" t="str">
        <f t="shared" si="15"/>
        <v/>
      </c>
      <c r="BD22" s="315" t="str">
        <f>IF($U22="","",SUM($BC22:$BC$114))</f>
        <v/>
      </c>
      <c r="BE22" s="285" t="str">
        <f>IF($U22="","",INDEX(#REF!,$U22+1))</f>
        <v/>
      </c>
      <c r="BF22" s="258">
        <f t="shared" si="16"/>
        <v>0</v>
      </c>
      <c r="BG22" s="258" t="str">
        <f t="shared" si="17"/>
        <v/>
      </c>
      <c r="BH22" s="258" t="str">
        <f t="shared" si="18"/>
        <v/>
      </c>
      <c r="BI22" s="315" t="str">
        <f>IF($U22="","",SUM($BH22:$BH$114))</f>
        <v/>
      </c>
      <c r="BJ22" s="285" t="str">
        <f>IF($U22="","",INDEX(#REF!,$U22+1))</f>
        <v/>
      </c>
      <c r="BK22" s="258">
        <f t="shared" si="19"/>
        <v>0</v>
      </c>
      <c r="BL22" s="258" t="str">
        <f t="shared" si="20"/>
        <v/>
      </c>
      <c r="BM22" s="258" t="str">
        <f t="shared" si="21"/>
        <v/>
      </c>
      <c r="BN22" s="315" t="str">
        <f>IF($U22="","",SUM($BM22:$BM$114))</f>
        <v/>
      </c>
      <c r="BO22" s="285">
        <f t="shared" si="22"/>
        <v>0</v>
      </c>
      <c r="BP22" s="258" t="str">
        <f t="shared" si="23"/>
        <v/>
      </c>
      <c r="BQ22" s="258" t="str">
        <f t="shared" si="24"/>
        <v/>
      </c>
      <c r="BR22" s="258"/>
      <c r="BS22" s="258" t="str">
        <f t="shared" si="37"/>
        <v/>
      </c>
      <c r="BT22" s="258" t="str">
        <f t="shared" si="25"/>
        <v/>
      </c>
      <c r="BU22" s="258" t="str">
        <f t="shared" si="26"/>
        <v/>
      </c>
      <c r="BV22" s="258"/>
      <c r="BW22" s="258" t="str">
        <f t="shared" si="38"/>
        <v/>
      </c>
      <c r="BX22" s="258" t="str">
        <f>IF($U22="","",SUM(BS22:BS$114)+SUM(BW22:BW$114))</f>
        <v/>
      </c>
      <c r="BY22" s="103"/>
      <c r="BZ22" s="103"/>
      <c r="CA22" s="103"/>
      <c r="CB22" s="103"/>
      <c r="CC22" s="258" t="str">
        <f t="shared" si="39"/>
        <v/>
      </c>
      <c r="CD22" s="258" t="str">
        <f t="shared" si="27"/>
        <v/>
      </c>
      <c r="CE22" s="258" t="str">
        <f t="shared" si="28"/>
        <v/>
      </c>
      <c r="CF22" s="258" t="str">
        <f t="shared" si="40"/>
        <v/>
      </c>
      <c r="CG22" s="258" t="str">
        <f t="shared" si="29"/>
        <v/>
      </c>
      <c r="CH22" s="104" t="str">
        <f t="shared" si="41"/>
        <v/>
      </c>
      <c r="CI22" s="105" t="str">
        <f t="shared" si="30"/>
        <v/>
      </c>
      <c r="CJ22" s="240"/>
      <c r="CK22" s="101" t="str">
        <f t="shared" si="31"/>
        <v/>
      </c>
      <c r="CL22" s="105" t="str">
        <f t="shared" si="47"/>
        <v/>
      </c>
      <c r="CM22" s="105" t="str">
        <f t="shared" si="42"/>
        <v/>
      </c>
      <c r="CN22" s="105" t="str">
        <f t="shared" si="32"/>
        <v/>
      </c>
      <c r="CO22" s="105" t="str">
        <f t="shared" si="43"/>
        <v/>
      </c>
      <c r="CP22" s="240"/>
      <c r="CQ22" s="240"/>
      <c r="CR22" s="240"/>
      <c r="CS22" s="240"/>
      <c r="CT22" s="240"/>
      <c r="CU22" s="240"/>
      <c r="CV22" s="240"/>
    </row>
    <row r="23" spans="1:100">
      <c r="A23" s="305"/>
      <c r="B23" s="373"/>
      <c r="C23" s="78"/>
      <c r="D23" s="106" t="s">
        <v>40</v>
      </c>
      <c r="E23" s="250">
        <f>Main_무해지!E23</f>
        <v>0</v>
      </c>
      <c r="F23" s="176">
        <f>일반형!F23</f>
        <v>7.0000000000000007E-5</v>
      </c>
      <c r="G23" s="79"/>
      <c r="H23" s="108"/>
      <c r="I23" s="48"/>
      <c r="J23" s="49" t="s">
        <v>205</v>
      </c>
      <c r="K23" s="483">
        <f>INDEX(AA4:AA115,1)</f>
        <v>197799.51100244501</v>
      </c>
      <c r="L23" s="599"/>
      <c r="M23" s="599"/>
      <c r="N23" s="278" t="str">
        <f t="shared" si="51"/>
        <v/>
      </c>
      <c r="O23" s="279" t="str">
        <f t="shared" si="52"/>
        <v/>
      </c>
      <c r="P23" s="271" t="str">
        <f t="shared" si="48"/>
        <v/>
      </c>
      <c r="Q23" s="271" t="str">
        <f t="shared" si="49"/>
        <v/>
      </c>
      <c r="R23" s="271" t="str">
        <f t="shared" si="50"/>
        <v/>
      </c>
      <c r="S23" s="400" t="str">
        <f t="shared" si="33"/>
        <v/>
      </c>
      <c r="T23" s="232"/>
      <c r="U23" s="101" t="str">
        <f t="shared" si="44"/>
        <v/>
      </c>
      <c r="V23" s="285" t="str">
        <f>Main_무해지!AC23</f>
        <v/>
      </c>
      <c r="W23" s="308">
        <f>+Main_무해지!AD23</f>
        <v>0</v>
      </c>
      <c r="X23" s="308">
        <v>0</v>
      </c>
      <c r="Y23" s="258" t="str">
        <f t="shared" si="45"/>
        <v/>
      </c>
      <c r="Z23" s="258" t="str">
        <f t="shared" si="0"/>
        <v/>
      </c>
      <c r="AA23" s="102" t="str">
        <f>IF($U23="","",SUM(Z23:Z$114))</f>
        <v/>
      </c>
      <c r="AB23" s="258" t="str">
        <f t="shared" si="34"/>
        <v/>
      </c>
      <c r="AC23" s="258">
        <f t="shared" si="35"/>
        <v>0</v>
      </c>
      <c r="AD23" s="258" t="str">
        <f>Main_무해지!AJ23</f>
        <v/>
      </c>
      <c r="AE23" s="258">
        <f t="shared" si="1"/>
        <v>0</v>
      </c>
      <c r="AF23" s="258" t="str">
        <f t="shared" si="46"/>
        <v/>
      </c>
      <c r="AG23" s="258" t="str">
        <f t="shared" si="2"/>
        <v/>
      </c>
      <c r="AH23" s="102" t="str">
        <f>IF($U23="","",SUM(AG23:AG$114))</f>
        <v/>
      </c>
      <c r="AI23" s="258" t="str">
        <f>Main_무해지!AP23</f>
        <v/>
      </c>
      <c r="AJ23" s="258">
        <f t="shared" si="3"/>
        <v>0</v>
      </c>
      <c r="AK23" s="258" t="str">
        <f t="shared" si="4"/>
        <v/>
      </c>
      <c r="AL23" s="258" t="str">
        <f t="shared" si="5"/>
        <v/>
      </c>
      <c r="AM23" s="315" t="str">
        <f>IF($U23="","",SUM($AN23:$AN$114))</f>
        <v/>
      </c>
      <c r="AN23" s="258" t="str">
        <f t="shared" si="36"/>
        <v/>
      </c>
      <c r="AO23" s="315" t="str">
        <f t="shared" si="6"/>
        <v/>
      </c>
      <c r="AP23" s="285" t="str">
        <f>IF($U23="","",INDEX(#REF!,$U23+1))</f>
        <v/>
      </c>
      <c r="AQ23" s="258">
        <f t="shared" si="7"/>
        <v>0</v>
      </c>
      <c r="AR23" s="258" t="str">
        <f t="shared" si="8"/>
        <v/>
      </c>
      <c r="AS23" s="258" t="str">
        <f t="shared" si="9"/>
        <v/>
      </c>
      <c r="AT23" s="315" t="str">
        <f>IF($U23="","",SUM($AS23:$AS$114))</f>
        <v/>
      </c>
      <c r="AU23" s="285" t="str">
        <f>IF($U23="","",INDEX(#REF!,$U23+1))</f>
        <v/>
      </c>
      <c r="AV23" s="258">
        <f t="shared" si="10"/>
        <v>0</v>
      </c>
      <c r="AW23" s="258" t="str">
        <f t="shared" si="11"/>
        <v/>
      </c>
      <c r="AX23" s="258" t="str">
        <f t="shared" si="12"/>
        <v/>
      </c>
      <c r="AY23" s="315" t="str">
        <f>IF($U23="","",SUM($AX23:$AX$114))</f>
        <v/>
      </c>
      <c r="AZ23" s="285" t="str">
        <f>IF($U23="","",INDEX(#REF!,$U23+1))</f>
        <v/>
      </c>
      <c r="BA23" s="258">
        <f t="shared" si="13"/>
        <v>0</v>
      </c>
      <c r="BB23" s="258" t="str">
        <f t="shared" si="14"/>
        <v/>
      </c>
      <c r="BC23" s="258" t="str">
        <f t="shared" si="15"/>
        <v/>
      </c>
      <c r="BD23" s="315" t="str">
        <f>IF($U23="","",SUM($BC23:$BC$114))</f>
        <v/>
      </c>
      <c r="BE23" s="285" t="str">
        <f>IF($U23="","",INDEX(#REF!,$U23+1))</f>
        <v/>
      </c>
      <c r="BF23" s="258">
        <f t="shared" si="16"/>
        <v>0</v>
      </c>
      <c r="BG23" s="258" t="str">
        <f t="shared" si="17"/>
        <v/>
      </c>
      <c r="BH23" s="258" t="str">
        <f t="shared" si="18"/>
        <v/>
      </c>
      <c r="BI23" s="315" t="str">
        <f>IF($U23="","",SUM($BH23:$BH$114))</f>
        <v/>
      </c>
      <c r="BJ23" s="285" t="str">
        <f>IF($U23="","",INDEX(#REF!,$U23+1))</f>
        <v/>
      </c>
      <c r="BK23" s="258">
        <f t="shared" si="19"/>
        <v>0</v>
      </c>
      <c r="BL23" s="258" t="str">
        <f t="shared" si="20"/>
        <v/>
      </c>
      <c r="BM23" s="258" t="str">
        <f t="shared" si="21"/>
        <v/>
      </c>
      <c r="BN23" s="315" t="str">
        <f>IF($U23="","",SUM($BM23:$BM$114))</f>
        <v/>
      </c>
      <c r="BO23" s="285">
        <f t="shared" si="22"/>
        <v>0</v>
      </c>
      <c r="BP23" s="258" t="str">
        <f t="shared" si="23"/>
        <v/>
      </c>
      <c r="BQ23" s="258" t="str">
        <f t="shared" si="24"/>
        <v/>
      </c>
      <c r="BR23" s="258"/>
      <c r="BS23" s="258" t="str">
        <f t="shared" si="37"/>
        <v/>
      </c>
      <c r="BT23" s="258" t="str">
        <f t="shared" si="25"/>
        <v/>
      </c>
      <c r="BU23" s="258" t="str">
        <f t="shared" si="26"/>
        <v/>
      </c>
      <c r="BV23" s="258"/>
      <c r="BW23" s="258" t="str">
        <f t="shared" si="38"/>
        <v/>
      </c>
      <c r="BX23" s="258" t="str">
        <f>IF($U23="","",SUM(BS23:BS$114)+SUM(BW23:BW$114))</f>
        <v/>
      </c>
      <c r="BY23" s="103"/>
      <c r="BZ23" s="103"/>
      <c r="CA23" s="103"/>
      <c r="CB23" s="103"/>
      <c r="CC23" s="258" t="str">
        <f t="shared" si="39"/>
        <v/>
      </c>
      <c r="CD23" s="258" t="str">
        <f t="shared" si="27"/>
        <v/>
      </c>
      <c r="CE23" s="258" t="str">
        <f t="shared" si="28"/>
        <v/>
      </c>
      <c r="CF23" s="258" t="str">
        <f t="shared" si="40"/>
        <v/>
      </c>
      <c r="CG23" s="258" t="str">
        <f t="shared" si="29"/>
        <v/>
      </c>
      <c r="CH23" s="104" t="str">
        <f t="shared" si="41"/>
        <v/>
      </c>
      <c r="CI23" s="105" t="str">
        <f t="shared" si="30"/>
        <v/>
      </c>
      <c r="CJ23" s="240"/>
      <c r="CK23" s="101" t="str">
        <f t="shared" si="31"/>
        <v/>
      </c>
      <c r="CL23" s="105" t="str">
        <f t="shared" si="47"/>
        <v/>
      </c>
      <c r="CM23" s="105" t="str">
        <f t="shared" si="42"/>
        <v/>
      </c>
      <c r="CN23" s="105" t="str">
        <f t="shared" si="32"/>
        <v/>
      </c>
      <c r="CO23" s="105" t="str">
        <f t="shared" si="43"/>
        <v/>
      </c>
      <c r="CP23" s="240"/>
      <c r="CQ23" s="240"/>
      <c r="CR23" s="240"/>
      <c r="CS23" s="240"/>
      <c r="CT23" s="240"/>
      <c r="CU23" s="240"/>
      <c r="CV23" s="240"/>
    </row>
    <row r="24" spans="1:100">
      <c r="A24" s="305"/>
      <c r="B24" s="373"/>
      <c r="C24" s="78"/>
      <c r="D24" s="107" t="s">
        <v>43</v>
      </c>
      <c r="E24" s="769">
        <f>+Main_무해지!E24</f>
        <v>3.9E-2</v>
      </c>
      <c r="F24" s="769">
        <f>5%*MIN(F4,20)</f>
        <v>0.05</v>
      </c>
      <c r="G24" s="79"/>
      <c r="H24" s="108"/>
      <c r="I24" s="48"/>
      <c r="J24" s="49" t="s">
        <v>206</v>
      </c>
      <c r="K24" s="483">
        <f>INDEX(AA4:AA115,F5+1)</f>
        <v>97799.511002444997</v>
      </c>
      <c r="L24" s="599"/>
      <c r="M24" s="599"/>
      <c r="N24" s="278" t="str">
        <f t="shared" si="51"/>
        <v/>
      </c>
      <c r="O24" s="279" t="str">
        <f t="shared" si="52"/>
        <v/>
      </c>
      <c r="P24" s="271" t="str">
        <f t="shared" si="48"/>
        <v/>
      </c>
      <c r="Q24" s="271" t="str">
        <f t="shared" si="49"/>
        <v/>
      </c>
      <c r="R24" s="271" t="str">
        <f t="shared" si="50"/>
        <v/>
      </c>
      <c r="S24" s="400" t="str">
        <f t="shared" si="33"/>
        <v/>
      </c>
      <c r="T24" s="232"/>
      <c r="U24" s="110" t="str">
        <f t="shared" si="44"/>
        <v/>
      </c>
      <c r="V24" s="286" t="str">
        <f>Main_무해지!AC24</f>
        <v/>
      </c>
      <c r="W24" s="309">
        <f>+Main_무해지!AD24</f>
        <v>0</v>
      </c>
      <c r="X24" s="309">
        <v>0</v>
      </c>
      <c r="Y24" s="259" t="str">
        <f t="shared" si="45"/>
        <v/>
      </c>
      <c r="Z24" s="259" t="str">
        <f t="shared" si="0"/>
        <v/>
      </c>
      <c r="AA24" s="111" t="str">
        <f>IF($U24="","",SUM(Z24:Z$114))</f>
        <v/>
      </c>
      <c r="AB24" s="259" t="str">
        <f t="shared" si="34"/>
        <v/>
      </c>
      <c r="AC24" s="259">
        <f t="shared" si="35"/>
        <v>0</v>
      </c>
      <c r="AD24" s="259" t="str">
        <f>Main_무해지!AJ24</f>
        <v/>
      </c>
      <c r="AE24" s="259">
        <f t="shared" si="1"/>
        <v>0</v>
      </c>
      <c r="AF24" s="259" t="str">
        <f t="shared" si="46"/>
        <v/>
      </c>
      <c r="AG24" s="259" t="str">
        <f t="shared" si="2"/>
        <v/>
      </c>
      <c r="AH24" s="111" t="str">
        <f>IF($U24="","",SUM(AG24:AG$114))</f>
        <v/>
      </c>
      <c r="AI24" s="259" t="str">
        <f>Main_무해지!AP24</f>
        <v/>
      </c>
      <c r="AJ24" s="259">
        <f t="shared" si="3"/>
        <v>0</v>
      </c>
      <c r="AK24" s="259" t="str">
        <f t="shared" si="4"/>
        <v/>
      </c>
      <c r="AL24" s="259" t="str">
        <f t="shared" si="5"/>
        <v/>
      </c>
      <c r="AM24" s="316" t="str">
        <f>IF($U24="","",SUM($AN24:$AN$114))</f>
        <v/>
      </c>
      <c r="AN24" s="259" t="str">
        <f t="shared" si="36"/>
        <v/>
      </c>
      <c r="AO24" s="316" t="str">
        <f t="shared" si="6"/>
        <v/>
      </c>
      <c r="AP24" s="286" t="str">
        <f>IF($U24="","",INDEX(#REF!,$U24+1))</f>
        <v/>
      </c>
      <c r="AQ24" s="259">
        <f t="shared" si="7"/>
        <v>0</v>
      </c>
      <c r="AR24" s="259" t="str">
        <f t="shared" si="8"/>
        <v/>
      </c>
      <c r="AS24" s="259" t="str">
        <f t="shared" si="9"/>
        <v/>
      </c>
      <c r="AT24" s="316" t="str">
        <f>IF($U24="","",SUM($AS24:$AS$114))</f>
        <v/>
      </c>
      <c r="AU24" s="286" t="str">
        <f>IF($U24="","",INDEX(#REF!,$U24+1))</f>
        <v/>
      </c>
      <c r="AV24" s="259">
        <f t="shared" si="10"/>
        <v>0</v>
      </c>
      <c r="AW24" s="259" t="str">
        <f t="shared" si="11"/>
        <v/>
      </c>
      <c r="AX24" s="259" t="str">
        <f t="shared" si="12"/>
        <v/>
      </c>
      <c r="AY24" s="316" t="str">
        <f>IF($U24="","",SUM($AX24:$AX$114))</f>
        <v/>
      </c>
      <c r="AZ24" s="286" t="str">
        <f>IF($U24="","",INDEX(#REF!,$U24+1))</f>
        <v/>
      </c>
      <c r="BA24" s="259">
        <f t="shared" si="13"/>
        <v>0</v>
      </c>
      <c r="BB24" s="259" t="str">
        <f t="shared" si="14"/>
        <v/>
      </c>
      <c r="BC24" s="259" t="str">
        <f t="shared" si="15"/>
        <v/>
      </c>
      <c r="BD24" s="316" t="str">
        <f>IF($U24="","",SUM($BC24:$BC$114))</f>
        <v/>
      </c>
      <c r="BE24" s="286" t="str">
        <f>IF($U24="","",INDEX(#REF!,$U24+1))</f>
        <v/>
      </c>
      <c r="BF24" s="259">
        <f t="shared" si="16"/>
        <v>0</v>
      </c>
      <c r="BG24" s="259" t="str">
        <f t="shared" si="17"/>
        <v/>
      </c>
      <c r="BH24" s="259" t="str">
        <f t="shared" si="18"/>
        <v/>
      </c>
      <c r="BI24" s="316" t="str">
        <f>IF($U24="","",SUM($BH24:$BH$114))</f>
        <v/>
      </c>
      <c r="BJ24" s="286" t="str">
        <f>IF($U24="","",INDEX(#REF!,$U24+1))</f>
        <v/>
      </c>
      <c r="BK24" s="259">
        <f t="shared" si="19"/>
        <v>0</v>
      </c>
      <c r="BL24" s="259" t="str">
        <f t="shared" si="20"/>
        <v/>
      </c>
      <c r="BM24" s="259" t="str">
        <f t="shared" si="21"/>
        <v/>
      </c>
      <c r="BN24" s="316" t="str">
        <f>IF($U24="","",SUM($BM24:$BM$114))</f>
        <v/>
      </c>
      <c r="BO24" s="286">
        <f t="shared" si="22"/>
        <v>0</v>
      </c>
      <c r="BP24" s="259" t="str">
        <f t="shared" si="23"/>
        <v/>
      </c>
      <c r="BQ24" s="259" t="str">
        <f t="shared" si="24"/>
        <v/>
      </c>
      <c r="BR24" s="259"/>
      <c r="BS24" s="259" t="str">
        <f t="shared" si="37"/>
        <v/>
      </c>
      <c r="BT24" s="259" t="str">
        <f t="shared" si="25"/>
        <v/>
      </c>
      <c r="BU24" s="259" t="str">
        <f t="shared" si="26"/>
        <v/>
      </c>
      <c r="BV24" s="259"/>
      <c r="BW24" s="259" t="str">
        <f t="shared" si="38"/>
        <v/>
      </c>
      <c r="BX24" s="259" t="str">
        <f>IF($U24="","",SUM(BS24:BS$114)+SUM(BW24:BW$114))</f>
        <v/>
      </c>
      <c r="BY24" s="112"/>
      <c r="BZ24" s="112"/>
      <c r="CA24" s="112"/>
      <c r="CB24" s="112"/>
      <c r="CC24" s="259" t="str">
        <f t="shared" si="39"/>
        <v/>
      </c>
      <c r="CD24" s="259" t="str">
        <f t="shared" si="27"/>
        <v/>
      </c>
      <c r="CE24" s="259" t="str">
        <f t="shared" si="28"/>
        <v/>
      </c>
      <c r="CF24" s="259" t="str">
        <f t="shared" si="40"/>
        <v/>
      </c>
      <c r="CG24" s="259" t="str">
        <f t="shared" si="29"/>
        <v/>
      </c>
      <c r="CH24" s="113" t="str">
        <f t="shared" si="41"/>
        <v/>
      </c>
      <c r="CI24" s="114" t="str">
        <f t="shared" si="30"/>
        <v/>
      </c>
      <c r="CJ24" s="241"/>
      <c r="CK24" s="110" t="str">
        <f t="shared" si="31"/>
        <v/>
      </c>
      <c r="CL24" s="114" t="str">
        <f t="shared" si="47"/>
        <v/>
      </c>
      <c r="CM24" s="114" t="str">
        <f t="shared" si="42"/>
        <v/>
      </c>
      <c r="CN24" s="114" t="str">
        <f t="shared" si="32"/>
        <v/>
      </c>
      <c r="CO24" s="114" t="str">
        <f t="shared" si="43"/>
        <v/>
      </c>
      <c r="CP24" s="241"/>
      <c r="CQ24" s="241"/>
      <c r="CR24" s="241"/>
      <c r="CS24" s="241"/>
      <c r="CT24" s="241"/>
      <c r="CU24" s="241"/>
      <c r="CV24" s="241"/>
    </row>
    <row r="25" spans="1:100">
      <c r="A25" s="305"/>
      <c r="B25" s="373"/>
      <c r="C25" s="78"/>
      <c r="D25" s="107" t="s">
        <v>45</v>
      </c>
      <c r="E25" s="250"/>
      <c r="F25" s="176"/>
      <c r="G25" s="79"/>
      <c r="H25" s="108"/>
      <c r="I25" s="48"/>
      <c r="J25" s="49" t="s">
        <v>207</v>
      </c>
      <c r="K25" s="600">
        <f>IF($E$3+$F$4&gt;100,0,INDEX(AA4:AA115,F4+1))</f>
        <v>97799.511002444997</v>
      </c>
      <c r="L25" s="599"/>
      <c r="M25" s="599"/>
      <c r="N25" s="278" t="str">
        <f t="shared" si="51"/>
        <v/>
      </c>
      <c r="O25" s="279" t="str">
        <f t="shared" si="52"/>
        <v/>
      </c>
      <c r="P25" s="271" t="str">
        <f t="shared" si="48"/>
        <v/>
      </c>
      <c r="Q25" s="271" t="str">
        <f t="shared" si="49"/>
        <v/>
      </c>
      <c r="R25" s="271" t="str">
        <f t="shared" si="50"/>
        <v/>
      </c>
      <c r="S25" s="400" t="str">
        <f t="shared" si="33"/>
        <v/>
      </c>
      <c r="T25" s="232"/>
      <c r="U25" s="770" t="str">
        <f t="shared" si="44"/>
        <v/>
      </c>
      <c r="V25" s="772" t="str">
        <f>Main_무해지!AC25</f>
        <v/>
      </c>
      <c r="W25" s="640">
        <f>+Main_무해지!AD25</f>
        <v>0</v>
      </c>
      <c r="X25" s="640">
        <v>0</v>
      </c>
      <c r="Y25" s="410" t="str">
        <f t="shared" si="45"/>
        <v/>
      </c>
      <c r="Z25" s="410" t="str">
        <f t="shared" si="0"/>
        <v/>
      </c>
      <c r="AA25" s="771" t="str">
        <f>IF($U25="","",SUM(Z25:Z$114))</f>
        <v/>
      </c>
      <c r="AB25" s="410" t="str">
        <f t="shared" si="34"/>
        <v/>
      </c>
      <c r="AC25" s="410">
        <f t="shared" si="35"/>
        <v>0</v>
      </c>
      <c r="AD25" s="410" t="str">
        <f>Main_무해지!AJ25</f>
        <v/>
      </c>
      <c r="AE25" s="410">
        <f t="shared" si="1"/>
        <v>0</v>
      </c>
      <c r="AF25" s="410" t="str">
        <f t="shared" si="46"/>
        <v/>
      </c>
      <c r="AG25" s="410" t="str">
        <f t="shared" si="2"/>
        <v/>
      </c>
      <c r="AH25" s="771" t="str">
        <f>IF($U25="","",SUM(AG25:AG$114))</f>
        <v/>
      </c>
      <c r="AI25" s="410" t="str">
        <f>Main_무해지!AP25</f>
        <v/>
      </c>
      <c r="AJ25" s="410">
        <f t="shared" si="3"/>
        <v>0</v>
      </c>
      <c r="AK25" s="410" t="str">
        <f t="shared" si="4"/>
        <v/>
      </c>
      <c r="AL25" s="410" t="str">
        <f t="shared" si="5"/>
        <v/>
      </c>
      <c r="AM25" s="773" t="str">
        <f>IF($U25="","",SUM($AN25:$AN$114))</f>
        <v/>
      </c>
      <c r="AN25" s="410" t="str">
        <f t="shared" si="36"/>
        <v/>
      </c>
      <c r="AO25" s="773" t="str">
        <f t="shared" si="6"/>
        <v/>
      </c>
      <c r="AP25" s="772" t="str">
        <f>IF($U25="","",INDEX(#REF!,$U25+1))</f>
        <v/>
      </c>
      <c r="AQ25" s="410">
        <f t="shared" si="7"/>
        <v>0</v>
      </c>
      <c r="AR25" s="410" t="str">
        <f t="shared" si="8"/>
        <v/>
      </c>
      <c r="AS25" s="410" t="str">
        <f t="shared" si="9"/>
        <v/>
      </c>
      <c r="AT25" s="773" t="str">
        <f>IF($U25="","",SUM($AS25:$AS$114))</f>
        <v/>
      </c>
      <c r="AU25" s="772" t="str">
        <f>IF($U25="","",INDEX(#REF!,$U25+1))</f>
        <v/>
      </c>
      <c r="AV25" s="410">
        <f t="shared" si="10"/>
        <v>0</v>
      </c>
      <c r="AW25" s="410" t="str">
        <f t="shared" si="11"/>
        <v/>
      </c>
      <c r="AX25" s="410" t="str">
        <f t="shared" si="12"/>
        <v/>
      </c>
      <c r="AY25" s="773" t="str">
        <f>IF($U25="","",SUM($AX25:$AX$114))</f>
        <v/>
      </c>
      <c r="AZ25" s="772" t="str">
        <f>IF($U25="","",INDEX(#REF!,$U25+1))</f>
        <v/>
      </c>
      <c r="BA25" s="410">
        <f t="shared" si="13"/>
        <v>0</v>
      </c>
      <c r="BB25" s="410" t="str">
        <f t="shared" si="14"/>
        <v/>
      </c>
      <c r="BC25" s="410" t="str">
        <f t="shared" si="15"/>
        <v/>
      </c>
      <c r="BD25" s="773" t="str">
        <f>IF($U25="","",SUM($BC25:$BC$114))</f>
        <v/>
      </c>
      <c r="BE25" s="772" t="str">
        <f>IF($U25="","",INDEX(#REF!,$U25+1))</f>
        <v/>
      </c>
      <c r="BF25" s="410">
        <f t="shared" si="16"/>
        <v>0</v>
      </c>
      <c r="BG25" s="410" t="str">
        <f t="shared" si="17"/>
        <v/>
      </c>
      <c r="BH25" s="410" t="str">
        <f t="shared" si="18"/>
        <v/>
      </c>
      <c r="BI25" s="773" t="str">
        <f>IF($U25="","",SUM($BH25:$BH$114))</f>
        <v/>
      </c>
      <c r="BJ25" s="772" t="str">
        <f>IF($U25="","",INDEX(#REF!,$U25+1))</f>
        <v/>
      </c>
      <c r="BK25" s="410">
        <f t="shared" si="19"/>
        <v>0</v>
      </c>
      <c r="BL25" s="410" t="str">
        <f t="shared" si="20"/>
        <v/>
      </c>
      <c r="BM25" s="410" t="str">
        <f t="shared" si="21"/>
        <v/>
      </c>
      <c r="BN25" s="773" t="str">
        <f>IF($U25="","",SUM($BM25:$BM$114))</f>
        <v/>
      </c>
      <c r="BO25" s="772">
        <f t="shared" si="22"/>
        <v>0</v>
      </c>
      <c r="BP25" s="410" t="str">
        <f t="shared" si="23"/>
        <v/>
      </c>
      <c r="BQ25" s="410" t="str">
        <f t="shared" si="24"/>
        <v/>
      </c>
      <c r="BR25" s="410"/>
      <c r="BS25" s="410" t="str">
        <f t="shared" si="37"/>
        <v/>
      </c>
      <c r="BT25" s="410" t="str">
        <f t="shared" si="25"/>
        <v/>
      </c>
      <c r="BU25" s="410" t="str">
        <f t="shared" si="26"/>
        <v/>
      </c>
      <c r="BV25" s="410"/>
      <c r="BW25" s="410" t="str">
        <f t="shared" si="38"/>
        <v/>
      </c>
      <c r="BX25" s="410" t="str">
        <f>IF($U25="","",SUM(BS25:BS$114)+SUM(BW25:BW$114))</f>
        <v/>
      </c>
      <c r="BY25" s="774"/>
      <c r="BZ25" s="774"/>
      <c r="CA25" s="774"/>
      <c r="CB25" s="774"/>
      <c r="CC25" s="410" t="str">
        <f t="shared" si="39"/>
        <v/>
      </c>
      <c r="CD25" s="410" t="str">
        <f t="shared" si="27"/>
        <v/>
      </c>
      <c r="CE25" s="410" t="str">
        <f t="shared" si="28"/>
        <v/>
      </c>
      <c r="CF25" s="410" t="str">
        <f t="shared" si="40"/>
        <v/>
      </c>
      <c r="CG25" s="410" t="str">
        <f t="shared" si="29"/>
        <v/>
      </c>
      <c r="CH25" s="776" t="str">
        <f t="shared" si="41"/>
        <v/>
      </c>
      <c r="CI25" s="777" t="str">
        <f t="shared" si="30"/>
        <v/>
      </c>
      <c r="CJ25" s="415"/>
      <c r="CK25" s="770" t="str">
        <f t="shared" si="31"/>
        <v/>
      </c>
      <c r="CL25" s="777" t="str">
        <f t="shared" si="47"/>
        <v/>
      </c>
      <c r="CM25" s="777" t="str">
        <f t="shared" si="42"/>
        <v/>
      </c>
      <c r="CN25" s="777" t="str">
        <f t="shared" si="32"/>
        <v/>
      </c>
      <c r="CO25" s="777" t="str">
        <f t="shared" si="43"/>
        <v/>
      </c>
      <c r="CP25" s="415"/>
      <c r="CQ25" s="415"/>
      <c r="CR25" s="415"/>
      <c r="CS25" s="415"/>
      <c r="CT25" s="415"/>
      <c r="CU25" s="415"/>
      <c r="CV25" s="415"/>
    </row>
    <row r="26" spans="1:100">
      <c r="A26" s="305"/>
      <c r="B26" s="373"/>
      <c r="C26" s="78"/>
      <c r="D26" s="107" t="s">
        <v>47</v>
      </c>
      <c r="E26" s="250">
        <f>Main_무해지!E26</f>
        <v>0</v>
      </c>
      <c r="F26" s="176"/>
      <c r="G26" s="79"/>
      <c r="H26" s="108"/>
      <c r="I26" s="82"/>
      <c r="J26" s="51" t="s">
        <v>208</v>
      </c>
      <c r="K26" s="483">
        <f>INDEX(AG4:AG115,1)</f>
        <v>100000</v>
      </c>
      <c r="L26" s="599"/>
      <c r="M26" s="599"/>
      <c r="N26" s="280" t="str">
        <f t="shared" si="51"/>
        <v/>
      </c>
      <c r="O26" s="281" t="str">
        <f t="shared" si="52"/>
        <v/>
      </c>
      <c r="P26" s="282" t="str">
        <f t="shared" si="48"/>
        <v/>
      </c>
      <c r="Q26" s="282" t="str">
        <f t="shared" si="49"/>
        <v/>
      </c>
      <c r="R26" s="282" t="str">
        <f t="shared" si="50"/>
        <v/>
      </c>
      <c r="S26" s="402" t="str">
        <f t="shared" si="33"/>
        <v/>
      </c>
      <c r="T26" s="232"/>
      <c r="U26" s="120" t="str">
        <f t="shared" si="44"/>
        <v/>
      </c>
      <c r="V26" s="287" t="str">
        <f>Main_무해지!AC26</f>
        <v/>
      </c>
      <c r="W26" s="310">
        <f>+Main_무해지!AD26</f>
        <v>0</v>
      </c>
      <c r="X26" s="310">
        <v>0</v>
      </c>
      <c r="Y26" s="260" t="str">
        <f t="shared" si="45"/>
        <v/>
      </c>
      <c r="Z26" s="260" t="str">
        <f t="shared" si="0"/>
        <v/>
      </c>
      <c r="AA26" s="121" t="str">
        <f>IF($U26="","",SUM(Z26:Z$114))</f>
        <v/>
      </c>
      <c r="AB26" s="260" t="str">
        <f t="shared" si="34"/>
        <v/>
      </c>
      <c r="AC26" s="260">
        <f t="shared" si="35"/>
        <v>0</v>
      </c>
      <c r="AD26" s="260" t="str">
        <f>Main_무해지!AJ26</f>
        <v/>
      </c>
      <c r="AE26" s="260">
        <f t="shared" si="1"/>
        <v>0</v>
      </c>
      <c r="AF26" s="260" t="str">
        <f t="shared" si="46"/>
        <v/>
      </c>
      <c r="AG26" s="260" t="str">
        <f t="shared" si="2"/>
        <v/>
      </c>
      <c r="AH26" s="121" t="str">
        <f>IF($U26="","",SUM(AG26:AG$114))</f>
        <v/>
      </c>
      <c r="AI26" s="260" t="str">
        <f>Main_무해지!AP26</f>
        <v/>
      </c>
      <c r="AJ26" s="260">
        <f t="shared" si="3"/>
        <v>0</v>
      </c>
      <c r="AK26" s="260" t="str">
        <f t="shared" si="4"/>
        <v/>
      </c>
      <c r="AL26" s="260" t="str">
        <f t="shared" si="5"/>
        <v/>
      </c>
      <c r="AM26" s="317" t="str">
        <f>IF($U26="","",SUM($AN26:$AN$114))</f>
        <v/>
      </c>
      <c r="AN26" s="260" t="str">
        <f t="shared" si="36"/>
        <v/>
      </c>
      <c r="AO26" s="317" t="str">
        <f t="shared" si="6"/>
        <v/>
      </c>
      <c r="AP26" s="287" t="str">
        <f>IF($U26="","",INDEX(#REF!,$U26+1))</f>
        <v/>
      </c>
      <c r="AQ26" s="260">
        <f t="shared" si="7"/>
        <v>0</v>
      </c>
      <c r="AR26" s="260" t="str">
        <f t="shared" si="8"/>
        <v/>
      </c>
      <c r="AS26" s="260" t="str">
        <f t="shared" si="9"/>
        <v/>
      </c>
      <c r="AT26" s="317" t="str">
        <f>IF($U26="","",SUM($AS26:$AS$114))</f>
        <v/>
      </c>
      <c r="AU26" s="287" t="str">
        <f>IF($U26="","",INDEX(#REF!,$U26+1))</f>
        <v/>
      </c>
      <c r="AV26" s="260">
        <f t="shared" si="10"/>
        <v>0</v>
      </c>
      <c r="AW26" s="260" t="str">
        <f t="shared" si="11"/>
        <v/>
      </c>
      <c r="AX26" s="260" t="str">
        <f t="shared" si="12"/>
        <v/>
      </c>
      <c r="AY26" s="317" t="str">
        <f>IF($U26="","",SUM($AX26:$AX$114))</f>
        <v/>
      </c>
      <c r="AZ26" s="287" t="str">
        <f>IF($U26="","",INDEX(#REF!,$U26+1))</f>
        <v/>
      </c>
      <c r="BA26" s="260">
        <f t="shared" si="13"/>
        <v>0</v>
      </c>
      <c r="BB26" s="260" t="str">
        <f t="shared" si="14"/>
        <v/>
      </c>
      <c r="BC26" s="260" t="str">
        <f t="shared" si="15"/>
        <v/>
      </c>
      <c r="BD26" s="317" t="str">
        <f>IF($U26="","",SUM($BC26:$BC$114))</f>
        <v/>
      </c>
      <c r="BE26" s="287" t="str">
        <f>IF($U26="","",INDEX(#REF!,$U26+1))</f>
        <v/>
      </c>
      <c r="BF26" s="260">
        <f t="shared" si="16"/>
        <v>0</v>
      </c>
      <c r="BG26" s="260" t="str">
        <f t="shared" si="17"/>
        <v/>
      </c>
      <c r="BH26" s="260" t="str">
        <f t="shared" si="18"/>
        <v/>
      </c>
      <c r="BI26" s="317" t="str">
        <f>IF($U26="","",SUM($BH26:$BH$114))</f>
        <v/>
      </c>
      <c r="BJ26" s="287" t="str">
        <f>IF($U26="","",INDEX(#REF!,$U26+1))</f>
        <v/>
      </c>
      <c r="BK26" s="260">
        <f t="shared" si="19"/>
        <v>0</v>
      </c>
      <c r="BL26" s="260" t="str">
        <f t="shared" si="20"/>
        <v/>
      </c>
      <c r="BM26" s="260" t="str">
        <f t="shared" si="21"/>
        <v/>
      </c>
      <c r="BN26" s="317" t="str">
        <f>IF($U26="","",SUM($BM26:$BM$114))</f>
        <v/>
      </c>
      <c r="BO26" s="287">
        <f t="shared" si="22"/>
        <v>0</v>
      </c>
      <c r="BP26" s="260" t="str">
        <f t="shared" si="23"/>
        <v/>
      </c>
      <c r="BQ26" s="260" t="str">
        <f t="shared" si="24"/>
        <v/>
      </c>
      <c r="BR26" s="260"/>
      <c r="BS26" s="260" t="str">
        <f t="shared" si="37"/>
        <v/>
      </c>
      <c r="BT26" s="260" t="str">
        <f t="shared" si="25"/>
        <v/>
      </c>
      <c r="BU26" s="260" t="str">
        <f t="shared" si="26"/>
        <v/>
      </c>
      <c r="BV26" s="260"/>
      <c r="BW26" s="260" t="str">
        <f t="shared" si="38"/>
        <v/>
      </c>
      <c r="BX26" s="260" t="str">
        <f>IF($U26="","",SUM(BS26:BS$114)+SUM(BW26:BW$114))</f>
        <v/>
      </c>
      <c r="BY26" s="122"/>
      <c r="BZ26" s="122"/>
      <c r="CA26" s="122"/>
      <c r="CB26" s="122"/>
      <c r="CC26" s="260" t="str">
        <f t="shared" si="39"/>
        <v/>
      </c>
      <c r="CD26" s="260" t="str">
        <f t="shared" si="27"/>
        <v/>
      </c>
      <c r="CE26" s="260" t="str">
        <f t="shared" si="28"/>
        <v/>
      </c>
      <c r="CF26" s="260" t="str">
        <f t="shared" si="40"/>
        <v/>
      </c>
      <c r="CG26" s="260" t="str">
        <f t="shared" si="29"/>
        <v/>
      </c>
      <c r="CH26" s="123" t="str">
        <f t="shared" si="41"/>
        <v/>
      </c>
      <c r="CI26" s="124" t="str">
        <f t="shared" si="30"/>
        <v/>
      </c>
      <c r="CJ26" s="242"/>
      <c r="CK26" s="120" t="str">
        <f t="shared" si="31"/>
        <v/>
      </c>
      <c r="CL26" s="124" t="str">
        <f t="shared" si="47"/>
        <v/>
      </c>
      <c r="CM26" s="124" t="str">
        <f t="shared" si="42"/>
        <v/>
      </c>
      <c r="CN26" s="124" t="str">
        <f t="shared" si="32"/>
        <v/>
      </c>
      <c r="CO26" s="124" t="str">
        <f t="shared" si="43"/>
        <v/>
      </c>
      <c r="CP26" s="242"/>
      <c r="CQ26" s="242"/>
      <c r="CR26" s="242"/>
      <c r="CS26" s="242"/>
      <c r="CT26" s="242"/>
      <c r="CU26" s="242"/>
      <c r="CV26" s="242"/>
    </row>
    <row r="27" spans="1:100">
      <c r="A27" s="305"/>
      <c r="B27" s="373"/>
      <c r="C27" s="117"/>
      <c r="D27" s="118" t="s">
        <v>48</v>
      </c>
      <c r="E27" s="250">
        <f>Main_무해지!E27</f>
        <v>1.0000000000000001E-5</v>
      </c>
      <c r="F27" s="118"/>
      <c r="G27" s="119"/>
      <c r="H27" s="108"/>
      <c r="I27" s="48" t="s">
        <v>34</v>
      </c>
      <c r="J27" s="51" t="s">
        <v>209</v>
      </c>
      <c r="K27" s="483">
        <f>INDEX(AG4:AG115,F5+1)</f>
        <v>97799.511002444997</v>
      </c>
      <c r="L27" s="599"/>
      <c r="M27" s="599"/>
      <c r="N27" s="275" t="str">
        <f t="shared" si="51"/>
        <v/>
      </c>
      <c r="O27" s="276" t="str">
        <f t="shared" si="52"/>
        <v/>
      </c>
      <c r="P27" s="277" t="str">
        <f t="shared" si="48"/>
        <v/>
      </c>
      <c r="Q27" s="277" t="str">
        <f t="shared" si="49"/>
        <v/>
      </c>
      <c r="R27" s="277" t="str">
        <f t="shared" si="50"/>
        <v/>
      </c>
      <c r="S27" s="401" t="str">
        <f t="shared" si="33"/>
        <v/>
      </c>
      <c r="T27" s="232"/>
      <c r="U27" s="120" t="str">
        <f t="shared" si="44"/>
        <v/>
      </c>
      <c r="V27" s="287" t="str">
        <f>Main_무해지!AC27</f>
        <v/>
      </c>
      <c r="W27" s="310">
        <f>+Main_무해지!AD27</f>
        <v>0</v>
      </c>
      <c r="X27" s="310">
        <v>0</v>
      </c>
      <c r="Y27" s="260" t="str">
        <f t="shared" si="45"/>
        <v/>
      </c>
      <c r="Z27" s="260" t="str">
        <f t="shared" si="0"/>
        <v/>
      </c>
      <c r="AA27" s="121" t="str">
        <f>IF($U27="","",SUM(Z27:Z$114))</f>
        <v/>
      </c>
      <c r="AB27" s="260" t="str">
        <f t="shared" si="34"/>
        <v/>
      </c>
      <c r="AC27" s="260">
        <f t="shared" si="35"/>
        <v>0</v>
      </c>
      <c r="AD27" s="260" t="str">
        <f>Main_무해지!AJ27</f>
        <v/>
      </c>
      <c r="AE27" s="260">
        <f t="shared" si="1"/>
        <v>0</v>
      </c>
      <c r="AF27" s="260" t="str">
        <f t="shared" si="46"/>
        <v/>
      </c>
      <c r="AG27" s="260" t="str">
        <f t="shared" si="2"/>
        <v/>
      </c>
      <c r="AH27" s="121" t="str">
        <f>IF($U27="","",SUM(AG27:AG$114))</f>
        <v/>
      </c>
      <c r="AI27" s="260" t="str">
        <f>Main_무해지!AP27</f>
        <v/>
      </c>
      <c r="AJ27" s="260">
        <f t="shared" si="3"/>
        <v>0</v>
      </c>
      <c r="AK27" s="260" t="str">
        <f t="shared" si="4"/>
        <v/>
      </c>
      <c r="AL27" s="260" t="str">
        <f t="shared" si="5"/>
        <v/>
      </c>
      <c r="AM27" s="317" t="str">
        <f>IF($U27="","",SUM($AN27:$AN$114))</f>
        <v/>
      </c>
      <c r="AN27" s="260" t="str">
        <f t="shared" si="36"/>
        <v/>
      </c>
      <c r="AO27" s="317" t="str">
        <f t="shared" si="6"/>
        <v/>
      </c>
      <c r="AP27" s="287" t="str">
        <f>IF($U27="","",INDEX(#REF!,$U27+1))</f>
        <v/>
      </c>
      <c r="AQ27" s="260">
        <f t="shared" si="7"/>
        <v>0</v>
      </c>
      <c r="AR27" s="260" t="str">
        <f t="shared" si="8"/>
        <v/>
      </c>
      <c r="AS27" s="260" t="str">
        <f t="shared" si="9"/>
        <v/>
      </c>
      <c r="AT27" s="317" t="str">
        <f>IF($U27="","",SUM($AS27:$AS$114))</f>
        <v/>
      </c>
      <c r="AU27" s="287" t="str">
        <f>IF($U27="","",INDEX(#REF!,$U27+1))</f>
        <v/>
      </c>
      <c r="AV27" s="260">
        <f t="shared" si="10"/>
        <v>0</v>
      </c>
      <c r="AW27" s="260" t="str">
        <f t="shared" si="11"/>
        <v/>
      </c>
      <c r="AX27" s="260" t="str">
        <f t="shared" si="12"/>
        <v/>
      </c>
      <c r="AY27" s="317" t="str">
        <f>IF($U27="","",SUM($AX27:$AX$114))</f>
        <v/>
      </c>
      <c r="AZ27" s="287" t="str">
        <f>IF($U27="","",INDEX(#REF!,$U27+1))</f>
        <v/>
      </c>
      <c r="BA27" s="260">
        <f t="shared" si="13"/>
        <v>0</v>
      </c>
      <c r="BB27" s="260" t="str">
        <f t="shared" si="14"/>
        <v/>
      </c>
      <c r="BC27" s="260" t="str">
        <f t="shared" si="15"/>
        <v/>
      </c>
      <c r="BD27" s="317" t="str">
        <f>IF($U27="","",SUM($BC27:$BC$114))</f>
        <v/>
      </c>
      <c r="BE27" s="287" t="str">
        <f>IF($U27="","",INDEX(#REF!,$U27+1))</f>
        <v/>
      </c>
      <c r="BF27" s="260">
        <f t="shared" si="16"/>
        <v>0</v>
      </c>
      <c r="BG27" s="260" t="str">
        <f t="shared" si="17"/>
        <v/>
      </c>
      <c r="BH27" s="260" t="str">
        <f t="shared" si="18"/>
        <v/>
      </c>
      <c r="BI27" s="317" t="str">
        <f>IF($U27="","",SUM($BH27:$BH$114))</f>
        <v/>
      </c>
      <c r="BJ27" s="287" t="str">
        <f>IF($U27="","",INDEX(#REF!,$U27+1))</f>
        <v/>
      </c>
      <c r="BK27" s="260">
        <f t="shared" si="19"/>
        <v>0</v>
      </c>
      <c r="BL27" s="260" t="str">
        <f t="shared" si="20"/>
        <v/>
      </c>
      <c r="BM27" s="260" t="str">
        <f t="shared" si="21"/>
        <v/>
      </c>
      <c r="BN27" s="317" t="str">
        <f>IF($U27="","",SUM($BM27:$BM$114))</f>
        <v/>
      </c>
      <c r="BO27" s="287">
        <f t="shared" si="22"/>
        <v>0</v>
      </c>
      <c r="BP27" s="260" t="str">
        <f t="shared" si="23"/>
        <v/>
      </c>
      <c r="BQ27" s="260" t="str">
        <f t="shared" si="24"/>
        <v/>
      </c>
      <c r="BR27" s="260"/>
      <c r="BS27" s="260" t="str">
        <f t="shared" si="37"/>
        <v/>
      </c>
      <c r="BT27" s="260" t="str">
        <f t="shared" si="25"/>
        <v/>
      </c>
      <c r="BU27" s="260" t="str">
        <f t="shared" si="26"/>
        <v/>
      </c>
      <c r="BV27" s="260"/>
      <c r="BW27" s="260" t="str">
        <f t="shared" si="38"/>
        <v/>
      </c>
      <c r="BX27" s="260" t="str">
        <f>IF($U27="","",SUM(BS27:BS$114)+SUM(BW27:BW$114))</f>
        <v/>
      </c>
      <c r="BY27" s="122"/>
      <c r="BZ27" s="122"/>
      <c r="CA27" s="122"/>
      <c r="CB27" s="122"/>
      <c r="CC27" s="260" t="str">
        <f t="shared" si="39"/>
        <v/>
      </c>
      <c r="CD27" s="260" t="str">
        <f t="shared" si="27"/>
        <v/>
      </c>
      <c r="CE27" s="260" t="str">
        <f t="shared" si="28"/>
        <v/>
      </c>
      <c r="CF27" s="260" t="str">
        <f t="shared" si="40"/>
        <v/>
      </c>
      <c r="CG27" s="260" t="str">
        <f t="shared" si="29"/>
        <v/>
      </c>
      <c r="CH27" s="123" t="str">
        <f t="shared" si="41"/>
        <v/>
      </c>
      <c r="CI27" s="124" t="str">
        <f t="shared" si="30"/>
        <v/>
      </c>
      <c r="CJ27" s="242"/>
      <c r="CK27" s="120" t="str">
        <f t="shared" si="31"/>
        <v/>
      </c>
      <c r="CL27" s="124" t="str">
        <f t="shared" si="47"/>
        <v/>
      </c>
      <c r="CM27" s="124" t="str">
        <f t="shared" si="42"/>
        <v/>
      </c>
      <c r="CN27" s="124" t="str">
        <f t="shared" si="32"/>
        <v/>
      </c>
      <c r="CO27" s="124" t="str">
        <f t="shared" si="43"/>
        <v/>
      </c>
      <c r="CP27" s="242"/>
      <c r="CQ27" s="242"/>
      <c r="CR27" s="242"/>
      <c r="CS27" s="242"/>
      <c r="CT27" s="242"/>
      <c r="CU27" s="242"/>
      <c r="CV27" s="242"/>
    </row>
    <row r="28" spans="1:100">
      <c r="A28" s="305"/>
      <c r="B28" s="373"/>
      <c r="C28" s="78"/>
      <c r="D28" s="107" t="s">
        <v>49</v>
      </c>
      <c r="E28" s="250">
        <f>Main_무해지!E28</f>
        <v>0.1</v>
      </c>
      <c r="F28" s="107"/>
      <c r="G28" s="79"/>
      <c r="H28" s="291"/>
      <c r="I28" s="48" t="s">
        <v>36</v>
      </c>
      <c r="J28" s="51" t="s">
        <v>210</v>
      </c>
      <c r="K28" s="483">
        <f>INDEX(AG4:AG115,F4+1)</f>
        <v>97799.511002444997</v>
      </c>
      <c r="L28" s="599"/>
      <c r="M28" s="599"/>
      <c r="N28" s="278" t="str">
        <f t="shared" si="51"/>
        <v/>
      </c>
      <c r="O28" s="279" t="str">
        <f t="shared" si="52"/>
        <v/>
      </c>
      <c r="P28" s="271" t="str">
        <f t="shared" si="48"/>
        <v/>
      </c>
      <c r="Q28" s="271" t="str">
        <f t="shared" si="49"/>
        <v/>
      </c>
      <c r="R28" s="271" t="str">
        <f t="shared" si="50"/>
        <v/>
      </c>
      <c r="S28" s="400" t="str">
        <f t="shared" si="33"/>
        <v/>
      </c>
      <c r="T28" s="232"/>
      <c r="U28" s="120" t="str">
        <f t="shared" si="44"/>
        <v/>
      </c>
      <c r="V28" s="287" t="str">
        <f>Main_무해지!AC28</f>
        <v/>
      </c>
      <c r="W28" s="310">
        <f>+Main_무해지!AD28</f>
        <v>0</v>
      </c>
      <c r="X28" s="310">
        <v>0</v>
      </c>
      <c r="Y28" s="260" t="str">
        <f t="shared" si="45"/>
        <v/>
      </c>
      <c r="Z28" s="260" t="str">
        <f t="shared" si="0"/>
        <v/>
      </c>
      <c r="AA28" s="121" t="str">
        <f>IF($U28="","",SUM(Z28:Z$114))</f>
        <v/>
      </c>
      <c r="AB28" s="260" t="str">
        <f t="shared" si="34"/>
        <v/>
      </c>
      <c r="AC28" s="260">
        <f t="shared" si="35"/>
        <v>0</v>
      </c>
      <c r="AD28" s="260" t="str">
        <f>Main_무해지!AJ28</f>
        <v/>
      </c>
      <c r="AE28" s="260">
        <f t="shared" si="1"/>
        <v>0</v>
      </c>
      <c r="AF28" s="260" t="str">
        <f t="shared" si="46"/>
        <v/>
      </c>
      <c r="AG28" s="260" t="str">
        <f t="shared" si="2"/>
        <v/>
      </c>
      <c r="AH28" s="121" t="str">
        <f>IF($U28="","",SUM(AG28:AG$114))</f>
        <v/>
      </c>
      <c r="AI28" s="260" t="str">
        <f>Main_무해지!AP28</f>
        <v/>
      </c>
      <c r="AJ28" s="260">
        <f t="shared" si="3"/>
        <v>0</v>
      </c>
      <c r="AK28" s="260" t="str">
        <f t="shared" si="4"/>
        <v/>
      </c>
      <c r="AL28" s="260" t="str">
        <f t="shared" si="5"/>
        <v/>
      </c>
      <c r="AM28" s="317" t="str">
        <f>IF($U28="","",SUM($AN28:$AN$114))</f>
        <v/>
      </c>
      <c r="AN28" s="260" t="str">
        <f t="shared" si="36"/>
        <v/>
      </c>
      <c r="AO28" s="317" t="str">
        <f t="shared" si="6"/>
        <v/>
      </c>
      <c r="AP28" s="287" t="str">
        <f>IF($U28="","",INDEX(#REF!,$U28+1))</f>
        <v/>
      </c>
      <c r="AQ28" s="260">
        <f t="shared" si="7"/>
        <v>0</v>
      </c>
      <c r="AR28" s="260" t="str">
        <f t="shared" si="8"/>
        <v/>
      </c>
      <c r="AS28" s="260" t="str">
        <f t="shared" si="9"/>
        <v/>
      </c>
      <c r="AT28" s="317" t="str">
        <f>IF($U28="","",SUM($AS28:$AS$114))</f>
        <v/>
      </c>
      <c r="AU28" s="287" t="str">
        <f>IF($U28="","",INDEX(#REF!,$U28+1))</f>
        <v/>
      </c>
      <c r="AV28" s="260">
        <f t="shared" si="10"/>
        <v>0</v>
      </c>
      <c r="AW28" s="260" t="str">
        <f t="shared" si="11"/>
        <v/>
      </c>
      <c r="AX28" s="260" t="str">
        <f t="shared" si="12"/>
        <v/>
      </c>
      <c r="AY28" s="317" t="str">
        <f>IF($U28="","",SUM($AX28:$AX$114))</f>
        <v/>
      </c>
      <c r="AZ28" s="287" t="str">
        <f>IF($U28="","",INDEX(#REF!,$U28+1))</f>
        <v/>
      </c>
      <c r="BA28" s="260">
        <f t="shared" si="13"/>
        <v>0</v>
      </c>
      <c r="BB28" s="260" t="str">
        <f t="shared" si="14"/>
        <v/>
      </c>
      <c r="BC28" s="260" t="str">
        <f t="shared" si="15"/>
        <v/>
      </c>
      <c r="BD28" s="317" t="str">
        <f>IF($U28="","",SUM($BC28:$BC$114))</f>
        <v/>
      </c>
      <c r="BE28" s="287" t="str">
        <f>IF($U28="","",INDEX(#REF!,$U28+1))</f>
        <v/>
      </c>
      <c r="BF28" s="260">
        <f t="shared" si="16"/>
        <v>0</v>
      </c>
      <c r="BG28" s="260" t="str">
        <f t="shared" si="17"/>
        <v/>
      </c>
      <c r="BH28" s="260" t="str">
        <f t="shared" si="18"/>
        <v/>
      </c>
      <c r="BI28" s="317" t="str">
        <f>IF($U28="","",SUM($BH28:$BH$114))</f>
        <v/>
      </c>
      <c r="BJ28" s="287" t="str">
        <f>IF($U28="","",INDEX(#REF!,$U28+1))</f>
        <v/>
      </c>
      <c r="BK28" s="260">
        <f t="shared" si="19"/>
        <v>0</v>
      </c>
      <c r="BL28" s="260" t="str">
        <f t="shared" si="20"/>
        <v/>
      </c>
      <c r="BM28" s="260" t="str">
        <f t="shared" si="21"/>
        <v/>
      </c>
      <c r="BN28" s="317" t="str">
        <f>IF($U28="","",SUM($BM28:$BM$114))</f>
        <v/>
      </c>
      <c r="BO28" s="287">
        <f t="shared" si="22"/>
        <v>0</v>
      </c>
      <c r="BP28" s="260" t="str">
        <f t="shared" si="23"/>
        <v/>
      </c>
      <c r="BQ28" s="260" t="str">
        <f t="shared" si="24"/>
        <v/>
      </c>
      <c r="BR28" s="260"/>
      <c r="BS28" s="260" t="str">
        <f t="shared" si="37"/>
        <v/>
      </c>
      <c r="BT28" s="260" t="str">
        <f t="shared" si="25"/>
        <v/>
      </c>
      <c r="BU28" s="260" t="str">
        <f t="shared" si="26"/>
        <v/>
      </c>
      <c r="BV28" s="260"/>
      <c r="BW28" s="260" t="str">
        <f t="shared" si="38"/>
        <v/>
      </c>
      <c r="BX28" s="260" t="str">
        <f>IF($U28="","",SUM(BS28:BS$114)+SUM(BW28:BW$114))</f>
        <v/>
      </c>
      <c r="BY28" s="122"/>
      <c r="BZ28" s="122"/>
      <c r="CA28" s="122"/>
      <c r="CB28" s="122"/>
      <c r="CC28" s="260" t="str">
        <f t="shared" si="39"/>
        <v/>
      </c>
      <c r="CD28" s="260" t="str">
        <f t="shared" si="27"/>
        <v/>
      </c>
      <c r="CE28" s="260" t="str">
        <f t="shared" si="28"/>
        <v/>
      </c>
      <c r="CF28" s="260" t="str">
        <f t="shared" si="40"/>
        <v/>
      </c>
      <c r="CG28" s="260" t="str">
        <f t="shared" si="29"/>
        <v/>
      </c>
      <c r="CH28" s="123" t="str">
        <f t="shared" si="41"/>
        <v/>
      </c>
      <c r="CI28" s="124" t="str">
        <f t="shared" si="30"/>
        <v/>
      </c>
      <c r="CJ28" s="242"/>
      <c r="CK28" s="120" t="str">
        <f t="shared" si="31"/>
        <v/>
      </c>
      <c r="CL28" s="124" t="str">
        <f t="shared" si="47"/>
        <v/>
      </c>
      <c r="CM28" s="124" t="str">
        <f t="shared" si="42"/>
        <v/>
      </c>
      <c r="CN28" s="124" t="str">
        <f t="shared" si="32"/>
        <v/>
      </c>
      <c r="CO28" s="124" t="str">
        <f t="shared" si="43"/>
        <v/>
      </c>
      <c r="CP28" s="242"/>
      <c r="CQ28" s="242"/>
      <c r="CR28" s="242"/>
      <c r="CS28" s="242"/>
      <c r="CT28" s="242"/>
      <c r="CU28" s="242"/>
      <c r="CV28" s="242"/>
    </row>
    <row r="29" spans="1:100">
      <c r="A29" s="305"/>
      <c r="B29" s="373"/>
      <c r="C29" s="127"/>
      <c r="D29" s="128" t="s">
        <v>51</v>
      </c>
      <c r="E29" s="250">
        <f>Main_무해지!E29</f>
        <v>0</v>
      </c>
      <c r="F29" s="128"/>
      <c r="G29" s="129"/>
      <c r="H29" s="291"/>
      <c r="I29" s="48" t="s">
        <v>27</v>
      </c>
      <c r="J29" s="49" t="s">
        <v>86</v>
      </c>
      <c r="K29" s="483">
        <f>INDEX(AH4:AH115,1)</f>
        <v>197799.51100244501</v>
      </c>
      <c r="L29" s="599"/>
      <c r="M29" s="599"/>
      <c r="N29" s="278" t="str">
        <f t="shared" si="51"/>
        <v/>
      </c>
      <c r="O29" s="279" t="str">
        <f t="shared" si="52"/>
        <v/>
      </c>
      <c r="P29" s="271" t="str">
        <f t="shared" si="48"/>
        <v/>
      </c>
      <c r="Q29" s="271" t="str">
        <f t="shared" si="49"/>
        <v/>
      </c>
      <c r="R29" s="271" t="str">
        <f t="shared" si="50"/>
        <v/>
      </c>
      <c r="S29" s="400" t="str">
        <f t="shared" si="33"/>
        <v/>
      </c>
      <c r="T29" s="232"/>
      <c r="U29" s="130" t="str">
        <f t="shared" si="44"/>
        <v/>
      </c>
      <c r="V29" s="288" t="str">
        <f>Main_무해지!AC29</f>
        <v/>
      </c>
      <c r="W29" s="311">
        <f>+Main_무해지!AD29</f>
        <v>0</v>
      </c>
      <c r="X29" s="311">
        <v>0</v>
      </c>
      <c r="Y29" s="261" t="str">
        <f t="shared" si="45"/>
        <v/>
      </c>
      <c r="Z29" s="261" t="str">
        <f t="shared" si="0"/>
        <v/>
      </c>
      <c r="AA29" s="131" t="str">
        <f>IF($U29="","",SUM(Z29:Z$114))</f>
        <v/>
      </c>
      <c r="AB29" s="261" t="str">
        <f t="shared" si="34"/>
        <v/>
      </c>
      <c r="AC29" s="261">
        <f t="shared" si="35"/>
        <v>0</v>
      </c>
      <c r="AD29" s="261" t="str">
        <f>Main_무해지!AJ29</f>
        <v/>
      </c>
      <c r="AE29" s="261">
        <f t="shared" si="1"/>
        <v>0</v>
      </c>
      <c r="AF29" s="261" t="str">
        <f t="shared" si="46"/>
        <v/>
      </c>
      <c r="AG29" s="261" t="str">
        <f t="shared" si="2"/>
        <v/>
      </c>
      <c r="AH29" s="131" t="str">
        <f>IF($U29="","",SUM(AG29:AG$114))</f>
        <v/>
      </c>
      <c r="AI29" s="261" t="str">
        <f>Main_무해지!AP29</f>
        <v/>
      </c>
      <c r="AJ29" s="261">
        <f t="shared" si="3"/>
        <v>0</v>
      </c>
      <c r="AK29" s="261" t="str">
        <f t="shared" si="4"/>
        <v/>
      </c>
      <c r="AL29" s="261" t="str">
        <f t="shared" si="5"/>
        <v/>
      </c>
      <c r="AM29" s="318" t="str">
        <f>IF($U29="","",SUM($AN29:$AN$114))</f>
        <v/>
      </c>
      <c r="AN29" s="261" t="str">
        <f t="shared" si="36"/>
        <v/>
      </c>
      <c r="AO29" s="318" t="str">
        <f t="shared" si="6"/>
        <v/>
      </c>
      <c r="AP29" s="288" t="str">
        <f>IF($U29="","",INDEX(#REF!,$U29+1))</f>
        <v/>
      </c>
      <c r="AQ29" s="261">
        <f t="shared" si="7"/>
        <v>0</v>
      </c>
      <c r="AR29" s="261" t="str">
        <f t="shared" si="8"/>
        <v/>
      </c>
      <c r="AS29" s="261" t="str">
        <f t="shared" si="9"/>
        <v/>
      </c>
      <c r="AT29" s="318" t="str">
        <f>IF($U29="","",SUM($AS29:$AS$114))</f>
        <v/>
      </c>
      <c r="AU29" s="288" t="str">
        <f>IF($U29="","",INDEX(#REF!,$U29+1))</f>
        <v/>
      </c>
      <c r="AV29" s="261">
        <f t="shared" si="10"/>
        <v>0</v>
      </c>
      <c r="AW29" s="261" t="str">
        <f t="shared" si="11"/>
        <v/>
      </c>
      <c r="AX29" s="261" t="str">
        <f t="shared" si="12"/>
        <v/>
      </c>
      <c r="AY29" s="318" t="str">
        <f>IF($U29="","",SUM($AX29:$AX$114))</f>
        <v/>
      </c>
      <c r="AZ29" s="288" t="str">
        <f>IF($U29="","",INDEX(#REF!,$U29+1))</f>
        <v/>
      </c>
      <c r="BA29" s="261">
        <f t="shared" si="13"/>
        <v>0</v>
      </c>
      <c r="BB29" s="261" t="str">
        <f t="shared" si="14"/>
        <v/>
      </c>
      <c r="BC29" s="261" t="str">
        <f t="shared" si="15"/>
        <v/>
      </c>
      <c r="BD29" s="318" t="str">
        <f>IF($U29="","",SUM($BC29:$BC$114))</f>
        <v/>
      </c>
      <c r="BE29" s="288" t="str">
        <f>IF($U29="","",INDEX(#REF!,$U29+1))</f>
        <v/>
      </c>
      <c r="BF29" s="261">
        <f t="shared" si="16"/>
        <v>0</v>
      </c>
      <c r="BG29" s="261" t="str">
        <f t="shared" si="17"/>
        <v/>
      </c>
      <c r="BH29" s="261" t="str">
        <f t="shared" si="18"/>
        <v/>
      </c>
      <c r="BI29" s="318" t="str">
        <f>IF($U29="","",SUM($BH29:$BH$114))</f>
        <v/>
      </c>
      <c r="BJ29" s="288" t="str">
        <f>IF($U29="","",INDEX(#REF!,$U29+1))</f>
        <v/>
      </c>
      <c r="BK29" s="261">
        <f t="shared" si="19"/>
        <v>0</v>
      </c>
      <c r="BL29" s="261" t="str">
        <f t="shared" si="20"/>
        <v/>
      </c>
      <c r="BM29" s="261" t="str">
        <f t="shared" si="21"/>
        <v/>
      </c>
      <c r="BN29" s="318" t="str">
        <f>IF($U29="","",SUM($BM29:$BM$114))</f>
        <v/>
      </c>
      <c r="BO29" s="288">
        <f t="shared" si="22"/>
        <v>0</v>
      </c>
      <c r="BP29" s="261" t="str">
        <f t="shared" si="23"/>
        <v/>
      </c>
      <c r="BQ29" s="261" t="str">
        <f t="shared" si="24"/>
        <v/>
      </c>
      <c r="BR29" s="261"/>
      <c r="BS29" s="261" t="str">
        <f t="shared" si="37"/>
        <v/>
      </c>
      <c r="BT29" s="261" t="str">
        <f t="shared" si="25"/>
        <v/>
      </c>
      <c r="BU29" s="261" t="str">
        <f t="shared" si="26"/>
        <v/>
      </c>
      <c r="BV29" s="261"/>
      <c r="BW29" s="261" t="str">
        <f t="shared" si="38"/>
        <v/>
      </c>
      <c r="BX29" s="261" t="str">
        <f>IF($U29="","",SUM(BS29:BS$114)+SUM(BW29:BW$114))</f>
        <v/>
      </c>
      <c r="BY29" s="132"/>
      <c r="BZ29" s="132"/>
      <c r="CA29" s="132"/>
      <c r="CB29" s="132"/>
      <c r="CC29" s="261" t="str">
        <f t="shared" si="39"/>
        <v/>
      </c>
      <c r="CD29" s="261" t="str">
        <f t="shared" si="27"/>
        <v/>
      </c>
      <c r="CE29" s="261" t="str">
        <f t="shared" si="28"/>
        <v/>
      </c>
      <c r="CF29" s="261" t="str">
        <f t="shared" si="40"/>
        <v/>
      </c>
      <c r="CG29" s="261" t="str">
        <f t="shared" si="29"/>
        <v/>
      </c>
      <c r="CH29" s="133" t="str">
        <f t="shared" si="41"/>
        <v/>
      </c>
      <c r="CI29" s="134" t="str">
        <f t="shared" si="30"/>
        <v/>
      </c>
      <c r="CJ29" s="243"/>
      <c r="CK29" s="130" t="str">
        <f t="shared" si="31"/>
        <v/>
      </c>
      <c r="CL29" s="134" t="str">
        <f t="shared" si="47"/>
        <v/>
      </c>
      <c r="CM29" s="134" t="str">
        <f t="shared" si="42"/>
        <v/>
      </c>
      <c r="CN29" s="134" t="str">
        <f t="shared" si="32"/>
        <v/>
      </c>
      <c r="CO29" s="134" t="str">
        <f t="shared" si="43"/>
        <v/>
      </c>
      <c r="CP29" s="243"/>
      <c r="CQ29" s="243"/>
      <c r="CR29" s="243"/>
      <c r="CS29" s="243"/>
      <c r="CT29" s="243"/>
      <c r="CU29" s="243"/>
      <c r="CV29" s="243"/>
    </row>
    <row r="30" spans="1:100" ht="17.25" thickBot="1">
      <c r="A30" s="305"/>
      <c r="B30" s="373"/>
      <c r="C30" s="78"/>
      <c r="D30" s="107" t="s">
        <v>52</v>
      </c>
      <c r="E30" s="250">
        <f>Main_무해지!E30</f>
        <v>2.5000000000000001E-2</v>
      </c>
      <c r="F30" s="107"/>
      <c r="G30" s="79"/>
      <c r="H30" s="108"/>
      <c r="I30" s="48"/>
      <c r="J30" s="49" t="s">
        <v>211</v>
      </c>
      <c r="K30" s="483">
        <f>INDEX(AH4:AH115,F5+1)</f>
        <v>97799.511002444997</v>
      </c>
      <c r="L30" s="599"/>
      <c r="M30" s="599"/>
      <c r="N30" s="278" t="str">
        <f t="shared" si="51"/>
        <v/>
      </c>
      <c r="O30" s="279" t="str">
        <f t="shared" si="52"/>
        <v/>
      </c>
      <c r="P30" s="271" t="str">
        <f t="shared" si="48"/>
        <v/>
      </c>
      <c r="Q30" s="271" t="str">
        <f t="shared" si="49"/>
        <v/>
      </c>
      <c r="R30" s="271" t="str">
        <f t="shared" si="50"/>
        <v/>
      </c>
      <c r="S30" s="400" t="str">
        <f t="shared" si="33"/>
        <v/>
      </c>
      <c r="T30" s="232"/>
      <c r="U30" s="759" t="str">
        <f t="shared" si="44"/>
        <v/>
      </c>
      <c r="V30" s="761" t="str">
        <f>Main_무해지!AC30</f>
        <v/>
      </c>
      <c r="W30" s="639">
        <f>+Main_무해지!AD30</f>
        <v>0</v>
      </c>
      <c r="X30" s="639">
        <v>0</v>
      </c>
      <c r="Y30" s="409" t="str">
        <f t="shared" si="45"/>
        <v/>
      </c>
      <c r="Z30" s="409" t="str">
        <f t="shared" si="0"/>
        <v/>
      </c>
      <c r="AA30" s="760" t="str">
        <f>IF($U30="","",SUM(Z30:Z$114))</f>
        <v/>
      </c>
      <c r="AB30" s="409" t="str">
        <f t="shared" si="34"/>
        <v/>
      </c>
      <c r="AC30" s="409">
        <f t="shared" si="35"/>
        <v>0</v>
      </c>
      <c r="AD30" s="409" t="str">
        <f>Main_무해지!AJ30</f>
        <v/>
      </c>
      <c r="AE30" s="409">
        <f t="shared" si="1"/>
        <v>0</v>
      </c>
      <c r="AF30" s="409" t="str">
        <f t="shared" si="46"/>
        <v/>
      </c>
      <c r="AG30" s="409" t="str">
        <f t="shared" si="2"/>
        <v/>
      </c>
      <c r="AH30" s="760" t="str">
        <f>IF($U30="","",SUM(AG30:AG$114))</f>
        <v/>
      </c>
      <c r="AI30" s="409" t="str">
        <f>Main_무해지!AP30</f>
        <v/>
      </c>
      <c r="AJ30" s="409">
        <f t="shared" si="3"/>
        <v>0</v>
      </c>
      <c r="AK30" s="409" t="str">
        <f t="shared" si="4"/>
        <v/>
      </c>
      <c r="AL30" s="409" t="str">
        <f t="shared" si="5"/>
        <v/>
      </c>
      <c r="AM30" s="762" t="str">
        <f>IF($U30="","",SUM($AN30:$AN$114))</f>
        <v/>
      </c>
      <c r="AN30" s="409" t="str">
        <f t="shared" si="36"/>
        <v/>
      </c>
      <c r="AO30" s="762" t="str">
        <f t="shared" si="6"/>
        <v/>
      </c>
      <c r="AP30" s="761" t="str">
        <f>IF($U30="","",INDEX(#REF!,$U30+1))</f>
        <v/>
      </c>
      <c r="AQ30" s="409">
        <f t="shared" si="7"/>
        <v>0</v>
      </c>
      <c r="AR30" s="409" t="str">
        <f t="shared" si="8"/>
        <v/>
      </c>
      <c r="AS30" s="409" t="str">
        <f t="shared" si="9"/>
        <v/>
      </c>
      <c r="AT30" s="762" t="str">
        <f>IF($U30="","",SUM($AS30:$AS$114))</f>
        <v/>
      </c>
      <c r="AU30" s="761" t="str">
        <f>IF($U30="","",INDEX(#REF!,$U30+1))</f>
        <v/>
      </c>
      <c r="AV30" s="409">
        <f t="shared" si="10"/>
        <v>0</v>
      </c>
      <c r="AW30" s="409" t="str">
        <f t="shared" si="11"/>
        <v/>
      </c>
      <c r="AX30" s="409" t="str">
        <f t="shared" si="12"/>
        <v/>
      </c>
      <c r="AY30" s="762" t="str">
        <f>IF($U30="","",SUM($AX30:$AX$114))</f>
        <v/>
      </c>
      <c r="AZ30" s="761" t="str">
        <f>IF($U30="","",INDEX(#REF!,$U30+1))</f>
        <v/>
      </c>
      <c r="BA30" s="409">
        <f t="shared" si="13"/>
        <v>0</v>
      </c>
      <c r="BB30" s="409" t="str">
        <f t="shared" si="14"/>
        <v/>
      </c>
      <c r="BC30" s="409" t="str">
        <f t="shared" si="15"/>
        <v/>
      </c>
      <c r="BD30" s="762" t="str">
        <f>IF($U30="","",SUM($BC30:$BC$114))</f>
        <v/>
      </c>
      <c r="BE30" s="761" t="str">
        <f>IF($U30="","",INDEX(#REF!,$U30+1))</f>
        <v/>
      </c>
      <c r="BF30" s="409">
        <f t="shared" si="16"/>
        <v>0</v>
      </c>
      <c r="BG30" s="409" t="str">
        <f t="shared" si="17"/>
        <v/>
      </c>
      <c r="BH30" s="409" t="str">
        <f t="shared" si="18"/>
        <v/>
      </c>
      <c r="BI30" s="762" t="str">
        <f>IF($U30="","",SUM($BH30:$BH$114))</f>
        <v/>
      </c>
      <c r="BJ30" s="761" t="str">
        <f>IF($U30="","",INDEX(#REF!,$U30+1))</f>
        <v/>
      </c>
      <c r="BK30" s="409">
        <f t="shared" si="19"/>
        <v>0</v>
      </c>
      <c r="BL30" s="409" t="str">
        <f t="shared" si="20"/>
        <v/>
      </c>
      <c r="BM30" s="409" t="str">
        <f t="shared" si="21"/>
        <v/>
      </c>
      <c r="BN30" s="762" t="str">
        <f>IF($U30="","",SUM($BM30:$BM$114))</f>
        <v/>
      </c>
      <c r="BO30" s="761">
        <f t="shared" si="22"/>
        <v>0</v>
      </c>
      <c r="BP30" s="409" t="str">
        <f t="shared" si="23"/>
        <v/>
      </c>
      <c r="BQ30" s="409" t="str">
        <f t="shared" si="24"/>
        <v/>
      </c>
      <c r="BR30" s="409"/>
      <c r="BS30" s="409" t="str">
        <f t="shared" si="37"/>
        <v/>
      </c>
      <c r="BT30" s="409" t="str">
        <f t="shared" si="25"/>
        <v/>
      </c>
      <c r="BU30" s="409" t="str">
        <f t="shared" si="26"/>
        <v/>
      </c>
      <c r="BV30" s="409"/>
      <c r="BW30" s="409" t="str">
        <f t="shared" si="38"/>
        <v/>
      </c>
      <c r="BX30" s="409" t="str">
        <f>IF($U30="","",SUM(BS30:BS$114)+SUM(BW30:BW$114))</f>
        <v/>
      </c>
      <c r="BY30" s="763"/>
      <c r="BZ30" s="763"/>
      <c r="CA30" s="763"/>
      <c r="CB30" s="763"/>
      <c r="CC30" s="409" t="str">
        <f t="shared" si="39"/>
        <v/>
      </c>
      <c r="CD30" s="409" t="str">
        <f t="shared" si="27"/>
        <v/>
      </c>
      <c r="CE30" s="409" t="str">
        <f t="shared" si="28"/>
        <v/>
      </c>
      <c r="CF30" s="409" t="str">
        <f t="shared" si="40"/>
        <v/>
      </c>
      <c r="CG30" s="409" t="str">
        <f t="shared" si="29"/>
        <v/>
      </c>
      <c r="CH30" s="765" t="str">
        <f t="shared" si="41"/>
        <v/>
      </c>
      <c r="CI30" s="766" t="str">
        <f t="shared" si="30"/>
        <v/>
      </c>
      <c r="CJ30" s="414"/>
      <c r="CK30" s="759" t="str">
        <f t="shared" si="31"/>
        <v/>
      </c>
      <c r="CL30" s="766" t="str">
        <f t="shared" si="47"/>
        <v/>
      </c>
      <c r="CM30" s="766" t="str">
        <f t="shared" si="42"/>
        <v/>
      </c>
      <c r="CN30" s="766" t="str">
        <f t="shared" si="32"/>
        <v/>
      </c>
      <c r="CO30" s="766" t="str">
        <f t="shared" si="43"/>
        <v/>
      </c>
      <c r="CP30" s="414"/>
      <c r="CQ30" s="414"/>
      <c r="CR30" s="414"/>
      <c r="CS30" s="414"/>
      <c r="CT30" s="414"/>
      <c r="CU30" s="414"/>
      <c r="CV30" s="414"/>
    </row>
    <row r="31" spans="1:100">
      <c r="A31" s="305"/>
      <c r="B31" s="373"/>
      <c r="C31" s="135"/>
      <c r="D31" s="136" t="s">
        <v>53</v>
      </c>
      <c r="E31" s="250">
        <f>Main_무해지!E31</f>
        <v>0</v>
      </c>
      <c r="F31" s="180"/>
      <c r="G31" s="137"/>
      <c r="H31" s="292"/>
      <c r="I31" s="48"/>
      <c r="J31" s="49" t="s">
        <v>175</v>
      </c>
      <c r="K31" s="483">
        <f>IF(F7=0,K29-K30,K32)</f>
        <v>100000.00000000001</v>
      </c>
      <c r="L31" s="599"/>
      <c r="M31" s="599"/>
      <c r="N31" s="280" t="str">
        <f t="shared" si="51"/>
        <v/>
      </c>
      <c r="O31" s="281" t="str">
        <f t="shared" si="52"/>
        <v/>
      </c>
      <c r="P31" s="282" t="str">
        <f t="shared" si="48"/>
        <v/>
      </c>
      <c r="Q31" s="282" t="str">
        <f t="shared" si="49"/>
        <v/>
      </c>
      <c r="R31" s="282" t="str">
        <f t="shared" si="50"/>
        <v/>
      </c>
      <c r="S31" s="402" t="str">
        <f t="shared" si="33"/>
        <v/>
      </c>
      <c r="T31" s="232"/>
      <c r="U31" s="70" t="str">
        <f t="shared" si="44"/>
        <v/>
      </c>
      <c r="V31" s="71" t="str">
        <f>Main_무해지!AC31</f>
        <v/>
      </c>
      <c r="W31" s="74">
        <f>+Main_무해지!AD31</f>
        <v>0</v>
      </c>
      <c r="X31" s="74">
        <v>0</v>
      </c>
      <c r="Y31" s="256" t="str">
        <f t="shared" si="45"/>
        <v/>
      </c>
      <c r="Z31" s="256" t="str">
        <f t="shared" si="0"/>
        <v/>
      </c>
      <c r="AA31" s="72" t="str">
        <f>IF($U31="","",SUM(Z31:Z$114))</f>
        <v/>
      </c>
      <c r="AB31" s="256" t="str">
        <f t="shared" si="34"/>
        <v/>
      </c>
      <c r="AC31" s="256">
        <f t="shared" si="35"/>
        <v>0</v>
      </c>
      <c r="AD31" s="256" t="str">
        <f>Main_무해지!AJ31</f>
        <v/>
      </c>
      <c r="AE31" s="256">
        <f t="shared" si="1"/>
        <v>0</v>
      </c>
      <c r="AF31" s="256" t="str">
        <f t="shared" si="46"/>
        <v/>
      </c>
      <c r="AG31" s="256" t="str">
        <f t="shared" si="2"/>
        <v/>
      </c>
      <c r="AH31" s="72" t="str">
        <f>IF($U31="","",SUM(AG31:AG$114))</f>
        <v/>
      </c>
      <c r="AI31" s="256" t="str">
        <f>Main_무해지!AP31</f>
        <v/>
      </c>
      <c r="AJ31" s="256">
        <f t="shared" si="3"/>
        <v>0</v>
      </c>
      <c r="AK31" s="256" t="str">
        <f t="shared" si="4"/>
        <v/>
      </c>
      <c r="AL31" s="256" t="str">
        <f t="shared" si="5"/>
        <v/>
      </c>
      <c r="AM31" s="75" t="str">
        <f>IF($U31="","",SUM($AN31:$AN$114))</f>
        <v/>
      </c>
      <c r="AN31" s="256" t="str">
        <f t="shared" si="36"/>
        <v/>
      </c>
      <c r="AO31" s="75" t="str">
        <f t="shared" si="6"/>
        <v/>
      </c>
      <c r="AP31" s="71" t="str">
        <f>IF($U31="","",INDEX(#REF!,$U31+1))</f>
        <v/>
      </c>
      <c r="AQ31" s="256">
        <f t="shared" si="7"/>
        <v>0</v>
      </c>
      <c r="AR31" s="256" t="str">
        <f t="shared" si="8"/>
        <v/>
      </c>
      <c r="AS31" s="256" t="str">
        <f t="shared" si="9"/>
        <v/>
      </c>
      <c r="AT31" s="75" t="str">
        <f>IF($U31="","",SUM($AS31:$AS$114))</f>
        <v/>
      </c>
      <c r="AU31" s="71" t="str">
        <f>IF($U31="","",INDEX(#REF!,$U31+1))</f>
        <v/>
      </c>
      <c r="AV31" s="256">
        <f t="shared" si="10"/>
        <v>0</v>
      </c>
      <c r="AW31" s="256" t="str">
        <f t="shared" si="11"/>
        <v/>
      </c>
      <c r="AX31" s="256" t="str">
        <f t="shared" si="12"/>
        <v/>
      </c>
      <c r="AY31" s="75" t="str">
        <f>IF($U31="","",SUM($AX31:$AX$114))</f>
        <v/>
      </c>
      <c r="AZ31" s="71" t="str">
        <f>IF($U31="","",INDEX(#REF!,$U31+1))</f>
        <v/>
      </c>
      <c r="BA31" s="256">
        <f t="shared" si="13"/>
        <v>0</v>
      </c>
      <c r="BB31" s="256" t="str">
        <f t="shared" si="14"/>
        <v/>
      </c>
      <c r="BC31" s="256" t="str">
        <f t="shared" si="15"/>
        <v/>
      </c>
      <c r="BD31" s="75" t="str">
        <f>IF($U31="","",SUM($BC31:$BC$114))</f>
        <v/>
      </c>
      <c r="BE31" s="71" t="str">
        <f>IF($U31="","",INDEX(#REF!,$U31+1))</f>
        <v/>
      </c>
      <c r="BF31" s="256">
        <f t="shared" si="16"/>
        <v>0</v>
      </c>
      <c r="BG31" s="256" t="str">
        <f t="shared" si="17"/>
        <v/>
      </c>
      <c r="BH31" s="256" t="str">
        <f t="shared" si="18"/>
        <v/>
      </c>
      <c r="BI31" s="75" t="str">
        <f>IF($U31="","",SUM($BH31:$BH$114))</f>
        <v/>
      </c>
      <c r="BJ31" s="71" t="str">
        <f>IF($U31="","",INDEX(#REF!,$U31+1))</f>
        <v/>
      </c>
      <c r="BK31" s="256">
        <f t="shared" si="19"/>
        <v>0</v>
      </c>
      <c r="BL31" s="256" t="str">
        <f t="shared" si="20"/>
        <v/>
      </c>
      <c r="BM31" s="256" t="str">
        <f t="shared" si="21"/>
        <v/>
      </c>
      <c r="BN31" s="75" t="str">
        <f>IF($U31="","",SUM($BM31:$BM$114))</f>
        <v/>
      </c>
      <c r="BO31" s="71">
        <f t="shared" si="22"/>
        <v>0</v>
      </c>
      <c r="BP31" s="256" t="str">
        <f t="shared" si="23"/>
        <v/>
      </c>
      <c r="BQ31" s="256" t="str">
        <f t="shared" si="24"/>
        <v/>
      </c>
      <c r="BR31" s="256"/>
      <c r="BS31" s="256" t="str">
        <f t="shared" si="37"/>
        <v/>
      </c>
      <c r="BT31" s="256" t="str">
        <f t="shared" si="25"/>
        <v/>
      </c>
      <c r="BU31" s="256" t="str">
        <f t="shared" si="26"/>
        <v/>
      </c>
      <c r="BV31" s="256"/>
      <c r="BW31" s="256" t="str">
        <f t="shared" si="38"/>
        <v/>
      </c>
      <c r="BX31" s="256" t="str">
        <f>IF($U31="","",SUM(BS31:BS$114)+SUM(BW31:BW$114))</f>
        <v/>
      </c>
      <c r="BY31" s="73"/>
      <c r="BZ31" s="73"/>
      <c r="CA31" s="73"/>
      <c r="CB31" s="73"/>
      <c r="CC31" s="256" t="str">
        <f t="shared" si="39"/>
        <v/>
      </c>
      <c r="CD31" s="256" t="str">
        <f t="shared" si="27"/>
        <v/>
      </c>
      <c r="CE31" s="256" t="str">
        <f t="shared" si="28"/>
        <v/>
      </c>
      <c r="CF31" s="256" t="str">
        <f t="shared" si="40"/>
        <v/>
      </c>
      <c r="CG31" s="256" t="str">
        <f t="shared" si="29"/>
        <v/>
      </c>
      <c r="CH31" s="76" t="str">
        <f t="shared" si="41"/>
        <v/>
      </c>
      <c r="CI31" s="77" t="str">
        <f t="shared" si="30"/>
        <v/>
      </c>
      <c r="CJ31" s="238"/>
      <c r="CK31" s="70" t="str">
        <f t="shared" si="31"/>
        <v/>
      </c>
      <c r="CL31" s="77" t="str">
        <f t="shared" si="47"/>
        <v/>
      </c>
      <c r="CM31" s="77" t="str">
        <f t="shared" si="42"/>
        <v/>
      </c>
      <c r="CN31" s="77" t="str">
        <f t="shared" si="32"/>
        <v/>
      </c>
      <c r="CO31" s="77" t="str">
        <f t="shared" si="43"/>
        <v/>
      </c>
      <c r="CP31" s="238"/>
      <c r="CQ31" s="238"/>
      <c r="CR31" s="238"/>
      <c r="CS31" s="238"/>
      <c r="CT31" s="238"/>
      <c r="CU31" s="238"/>
      <c r="CV31" s="238"/>
    </row>
    <row r="32" spans="1:100">
      <c r="A32" s="305"/>
      <c r="B32" s="373"/>
      <c r="C32" s="78"/>
      <c r="D32" s="106" t="s">
        <v>40</v>
      </c>
      <c r="E32" s="250">
        <f>Main_무해지!E32</f>
        <v>0</v>
      </c>
      <c r="F32" s="176">
        <f>F23</f>
        <v>7.0000000000000007E-5</v>
      </c>
      <c r="G32" s="79"/>
      <c r="H32" s="292"/>
      <c r="I32" s="48"/>
      <c r="J32" s="49" t="s">
        <v>177</v>
      </c>
      <c r="K32" s="483">
        <f>(K29-K30)-(K38-1)/(2*K38)*(K26-K27)</f>
        <v>100000.00000000001</v>
      </c>
      <c r="L32" s="599"/>
      <c r="M32" s="599"/>
      <c r="N32" s="275" t="str">
        <f t="shared" si="51"/>
        <v/>
      </c>
      <c r="O32" s="276" t="str">
        <f t="shared" si="52"/>
        <v/>
      </c>
      <c r="P32" s="277" t="str">
        <f t="shared" si="48"/>
        <v/>
      </c>
      <c r="Q32" s="277" t="str">
        <f t="shared" si="49"/>
        <v/>
      </c>
      <c r="R32" s="277" t="str">
        <f t="shared" si="50"/>
        <v/>
      </c>
      <c r="S32" s="401" t="str">
        <f t="shared" si="33"/>
        <v/>
      </c>
      <c r="T32" s="232"/>
      <c r="U32" s="70" t="str">
        <f t="shared" si="44"/>
        <v/>
      </c>
      <c r="V32" s="71" t="str">
        <f>Main_무해지!AC32</f>
        <v/>
      </c>
      <c r="W32" s="74">
        <f>+Main_무해지!AD32</f>
        <v>0</v>
      </c>
      <c r="X32" s="74">
        <v>0</v>
      </c>
      <c r="Y32" s="256" t="str">
        <f t="shared" si="45"/>
        <v/>
      </c>
      <c r="Z32" s="256" t="str">
        <f t="shared" si="0"/>
        <v/>
      </c>
      <c r="AA32" s="72" t="str">
        <f>IF($U32="","",SUM(Z32:Z$114))</f>
        <v/>
      </c>
      <c r="AB32" s="256" t="str">
        <f t="shared" si="34"/>
        <v/>
      </c>
      <c r="AC32" s="256">
        <f t="shared" si="35"/>
        <v>0</v>
      </c>
      <c r="AD32" s="256" t="str">
        <f>Main_무해지!AJ32</f>
        <v/>
      </c>
      <c r="AE32" s="256">
        <f t="shared" si="1"/>
        <v>0</v>
      </c>
      <c r="AF32" s="256" t="str">
        <f t="shared" si="46"/>
        <v/>
      </c>
      <c r="AG32" s="256" t="str">
        <f t="shared" si="2"/>
        <v/>
      </c>
      <c r="AH32" s="72" t="str">
        <f>IF($U32="","",SUM(AG32:AG$114))</f>
        <v/>
      </c>
      <c r="AI32" s="256" t="str">
        <f>Main_무해지!AP32</f>
        <v/>
      </c>
      <c r="AJ32" s="256">
        <f t="shared" si="3"/>
        <v>0</v>
      </c>
      <c r="AK32" s="256" t="str">
        <f t="shared" si="4"/>
        <v/>
      </c>
      <c r="AL32" s="256" t="str">
        <f t="shared" si="5"/>
        <v/>
      </c>
      <c r="AM32" s="75" t="str">
        <f>IF($U32="","",SUM($AN32:$AN$114))</f>
        <v/>
      </c>
      <c r="AN32" s="256" t="str">
        <f t="shared" si="36"/>
        <v/>
      </c>
      <c r="AO32" s="75" t="str">
        <f t="shared" si="6"/>
        <v/>
      </c>
      <c r="AP32" s="71" t="str">
        <f>IF($U32="","",INDEX(#REF!,$U32+1))</f>
        <v/>
      </c>
      <c r="AQ32" s="256">
        <f t="shared" si="7"/>
        <v>0</v>
      </c>
      <c r="AR32" s="256" t="str">
        <f t="shared" si="8"/>
        <v/>
      </c>
      <c r="AS32" s="256" t="str">
        <f t="shared" si="9"/>
        <v/>
      </c>
      <c r="AT32" s="75" t="str">
        <f>IF($U32="","",SUM($AS32:$AS$114))</f>
        <v/>
      </c>
      <c r="AU32" s="71" t="str">
        <f>IF($U32="","",INDEX(#REF!,$U32+1))</f>
        <v/>
      </c>
      <c r="AV32" s="256">
        <f t="shared" si="10"/>
        <v>0</v>
      </c>
      <c r="AW32" s="256" t="str">
        <f t="shared" si="11"/>
        <v/>
      </c>
      <c r="AX32" s="256" t="str">
        <f t="shared" si="12"/>
        <v/>
      </c>
      <c r="AY32" s="75" t="str">
        <f>IF($U32="","",SUM($AX32:$AX$114))</f>
        <v/>
      </c>
      <c r="AZ32" s="71" t="str">
        <f>IF($U32="","",INDEX(#REF!,$U32+1))</f>
        <v/>
      </c>
      <c r="BA32" s="256">
        <f t="shared" si="13"/>
        <v>0</v>
      </c>
      <c r="BB32" s="256" t="str">
        <f t="shared" si="14"/>
        <v/>
      </c>
      <c r="BC32" s="256" t="str">
        <f t="shared" si="15"/>
        <v/>
      </c>
      <c r="BD32" s="75" t="str">
        <f>IF($U32="","",SUM($BC32:$BC$114))</f>
        <v/>
      </c>
      <c r="BE32" s="71" t="str">
        <f>IF($U32="","",INDEX(#REF!,$U32+1))</f>
        <v/>
      </c>
      <c r="BF32" s="256">
        <f t="shared" si="16"/>
        <v>0</v>
      </c>
      <c r="BG32" s="256" t="str">
        <f t="shared" si="17"/>
        <v/>
      </c>
      <c r="BH32" s="256" t="str">
        <f t="shared" si="18"/>
        <v/>
      </c>
      <c r="BI32" s="75" t="str">
        <f>IF($U32="","",SUM($BH32:$BH$114))</f>
        <v/>
      </c>
      <c r="BJ32" s="71" t="str">
        <f>IF($U32="","",INDEX(#REF!,$U32+1))</f>
        <v/>
      </c>
      <c r="BK32" s="256">
        <f t="shared" si="19"/>
        <v>0</v>
      </c>
      <c r="BL32" s="256" t="str">
        <f t="shared" si="20"/>
        <v/>
      </c>
      <c r="BM32" s="256" t="str">
        <f t="shared" si="21"/>
        <v/>
      </c>
      <c r="BN32" s="75" t="str">
        <f>IF($U32="","",SUM($BM32:$BM$114))</f>
        <v/>
      </c>
      <c r="BO32" s="71">
        <f t="shared" si="22"/>
        <v>0</v>
      </c>
      <c r="BP32" s="256" t="str">
        <f t="shared" si="23"/>
        <v/>
      </c>
      <c r="BQ32" s="256" t="str">
        <f t="shared" si="24"/>
        <v/>
      </c>
      <c r="BR32" s="256"/>
      <c r="BS32" s="256" t="str">
        <f t="shared" si="37"/>
        <v/>
      </c>
      <c r="BT32" s="256" t="str">
        <f t="shared" si="25"/>
        <v/>
      </c>
      <c r="BU32" s="256" t="str">
        <f t="shared" si="26"/>
        <v/>
      </c>
      <c r="BV32" s="256"/>
      <c r="BW32" s="256" t="str">
        <f t="shared" si="38"/>
        <v/>
      </c>
      <c r="BX32" s="256" t="str">
        <f>IF($U32="","",SUM(BS32:BS$114)+SUM(BW32:BW$114))</f>
        <v/>
      </c>
      <c r="BY32" s="73"/>
      <c r="BZ32" s="73"/>
      <c r="CA32" s="73"/>
      <c r="CB32" s="73"/>
      <c r="CC32" s="256" t="str">
        <f t="shared" si="39"/>
        <v/>
      </c>
      <c r="CD32" s="256" t="str">
        <f t="shared" si="27"/>
        <v/>
      </c>
      <c r="CE32" s="256" t="str">
        <f t="shared" si="28"/>
        <v/>
      </c>
      <c r="CF32" s="256" t="str">
        <f t="shared" si="40"/>
        <v/>
      </c>
      <c r="CG32" s="256" t="str">
        <f t="shared" si="29"/>
        <v/>
      </c>
      <c r="CH32" s="76" t="str">
        <f t="shared" si="41"/>
        <v/>
      </c>
      <c r="CI32" s="77" t="str">
        <f t="shared" si="30"/>
        <v/>
      </c>
      <c r="CJ32" s="238"/>
      <c r="CK32" s="70" t="str">
        <f t="shared" si="31"/>
        <v/>
      </c>
      <c r="CL32" s="77" t="str">
        <f t="shared" si="47"/>
        <v/>
      </c>
      <c r="CM32" s="77" t="str">
        <f t="shared" si="42"/>
        <v/>
      </c>
      <c r="CN32" s="77" t="str">
        <f t="shared" si="32"/>
        <v/>
      </c>
      <c r="CO32" s="77" t="str">
        <f t="shared" si="43"/>
        <v/>
      </c>
      <c r="CP32" s="238"/>
      <c r="CQ32" s="238"/>
      <c r="CR32" s="238"/>
      <c r="CS32" s="238"/>
      <c r="CT32" s="238"/>
      <c r="CU32" s="238"/>
      <c r="CV32" s="238"/>
    </row>
    <row r="33" spans="1:100">
      <c r="A33" s="305"/>
      <c r="B33" s="373"/>
      <c r="C33" s="78"/>
      <c r="D33" s="106" t="s">
        <v>56</v>
      </c>
      <c r="E33" s="250">
        <f>Main_무해지!E33</f>
        <v>0</v>
      </c>
      <c r="F33" s="307">
        <f>E33</f>
        <v>0</v>
      </c>
      <c r="G33" s="79"/>
      <c r="H33" s="292"/>
      <c r="I33" s="48"/>
      <c r="J33" s="49" t="s">
        <v>173</v>
      </c>
      <c r="K33" s="483">
        <f>IF(F5=0,K23-K25,K24-K25)</f>
        <v>0</v>
      </c>
      <c r="L33" s="599"/>
      <c r="M33" s="599"/>
      <c r="N33" s="278" t="str">
        <f t="shared" si="51"/>
        <v/>
      </c>
      <c r="O33" s="279" t="str">
        <f t="shared" si="52"/>
        <v/>
      </c>
      <c r="P33" s="271" t="str">
        <f t="shared" si="48"/>
        <v/>
      </c>
      <c r="Q33" s="271" t="str">
        <f t="shared" si="49"/>
        <v/>
      </c>
      <c r="R33" s="271" t="str">
        <f t="shared" si="50"/>
        <v/>
      </c>
      <c r="S33" s="400" t="str">
        <f t="shared" si="33"/>
        <v/>
      </c>
      <c r="T33" s="232"/>
      <c r="U33" s="70" t="str">
        <f t="shared" si="44"/>
        <v/>
      </c>
      <c r="V33" s="71" t="str">
        <f>Main_무해지!AC33</f>
        <v/>
      </c>
      <c r="W33" s="74">
        <f>+Main_무해지!AD33</f>
        <v>0</v>
      </c>
      <c r="X33" s="74">
        <v>0</v>
      </c>
      <c r="Y33" s="256" t="str">
        <f t="shared" si="45"/>
        <v/>
      </c>
      <c r="Z33" s="256" t="str">
        <f t="shared" si="0"/>
        <v/>
      </c>
      <c r="AA33" s="72" t="str">
        <f>IF($U33="","",SUM(Z33:Z$114))</f>
        <v/>
      </c>
      <c r="AB33" s="256" t="str">
        <f t="shared" si="34"/>
        <v/>
      </c>
      <c r="AC33" s="256">
        <f t="shared" si="35"/>
        <v>0</v>
      </c>
      <c r="AD33" s="256" t="str">
        <f>Main_무해지!AJ33</f>
        <v/>
      </c>
      <c r="AE33" s="256">
        <f t="shared" si="1"/>
        <v>0</v>
      </c>
      <c r="AF33" s="256" t="str">
        <f t="shared" si="46"/>
        <v/>
      </c>
      <c r="AG33" s="256" t="str">
        <f t="shared" si="2"/>
        <v/>
      </c>
      <c r="AH33" s="72" t="str">
        <f>IF($U33="","",SUM(AG33:AG$114))</f>
        <v/>
      </c>
      <c r="AI33" s="256" t="str">
        <f>Main_무해지!AP33</f>
        <v/>
      </c>
      <c r="AJ33" s="256">
        <f t="shared" si="3"/>
        <v>0</v>
      </c>
      <c r="AK33" s="256" t="str">
        <f t="shared" si="4"/>
        <v/>
      </c>
      <c r="AL33" s="256" t="str">
        <f t="shared" si="5"/>
        <v/>
      </c>
      <c r="AM33" s="75" t="str">
        <f>IF($U33="","",SUM($AN33:$AN$114))</f>
        <v/>
      </c>
      <c r="AN33" s="256" t="str">
        <f t="shared" si="36"/>
        <v/>
      </c>
      <c r="AO33" s="75" t="str">
        <f t="shared" si="6"/>
        <v/>
      </c>
      <c r="AP33" s="71" t="str">
        <f>IF($U33="","",INDEX(#REF!,$U33+1))</f>
        <v/>
      </c>
      <c r="AQ33" s="256">
        <f t="shared" si="7"/>
        <v>0</v>
      </c>
      <c r="AR33" s="256" t="str">
        <f t="shared" si="8"/>
        <v/>
      </c>
      <c r="AS33" s="256" t="str">
        <f t="shared" si="9"/>
        <v/>
      </c>
      <c r="AT33" s="75" t="str">
        <f>IF($U33="","",SUM($AS33:$AS$114))</f>
        <v/>
      </c>
      <c r="AU33" s="71" t="str">
        <f>IF($U33="","",INDEX(#REF!,$U33+1))</f>
        <v/>
      </c>
      <c r="AV33" s="256">
        <f t="shared" si="10"/>
        <v>0</v>
      </c>
      <c r="AW33" s="256" t="str">
        <f t="shared" si="11"/>
        <v/>
      </c>
      <c r="AX33" s="256" t="str">
        <f t="shared" si="12"/>
        <v/>
      </c>
      <c r="AY33" s="75" t="str">
        <f>IF($U33="","",SUM($AX33:$AX$114))</f>
        <v/>
      </c>
      <c r="AZ33" s="71" t="str">
        <f>IF($U33="","",INDEX(#REF!,$U33+1))</f>
        <v/>
      </c>
      <c r="BA33" s="256">
        <f t="shared" si="13"/>
        <v>0</v>
      </c>
      <c r="BB33" s="256" t="str">
        <f t="shared" si="14"/>
        <v/>
      </c>
      <c r="BC33" s="256" t="str">
        <f t="shared" si="15"/>
        <v/>
      </c>
      <c r="BD33" s="75" t="str">
        <f>IF($U33="","",SUM($BC33:$BC$114))</f>
        <v/>
      </c>
      <c r="BE33" s="71" t="str">
        <f>IF($U33="","",INDEX(#REF!,$U33+1))</f>
        <v/>
      </c>
      <c r="BF33" s="256">
        <f t="shared" si="16"/>
        <v>0</v>
      </c>
      <c r="BG33" s="256" t="str">
        <f t="shared" si="17"/>
        <v/>
      </c>
      <c r="BH33" s="256" t="str">
        <f t="shared" si="18"/>
        <v/>
      </c>
      <c r="BI33" s="75" t="str">
        <f>IF($U33="","",SUM($BH33:$BH$114))</f>
        <v/>
      </c>
      <c r="BJ33" s="71" t="str">
        <f>IF($U33="","",INDEX(#REF!,$U33+1))</f>
        <v/>
      </c>
      <c r="BK33" s="256">
        <f t="shared" si="19"/>
        <v>0</v>
      </c>
      <c r="BL33" s="256" t="str">
        <f t="shared" si="20"/>
        <v/>
      </c>
      <c r="BM33" s="256" t="str">
        <f t="shared" si="21"/>
        <v/>
      </c>
      <c r="BN33" s="75" t="str">
        <f>IF($U33="","",SUM($BM33:$BM$114))</f>
        <v/>
      </c>
      <c r="BO33" s="71">
        <f t="shared" si="22"/>
        <v>0</v>
      </c>
      <c r="BP33" s="256" t="str">
        <f t="shared" si="23"/>
        <v/>
      </c>
      <c r="BQ33" s="256" t="str">
        <f t="shared" si="24"/>
        <v/>
      </c>
      <c r="BR33" s="256"/>
      <c r="BS33" s="256" t="str">
        <f t="shared" si="37"/>
        <v/>
      </c>
      <c r="BT33" s="256" t="str">
        <f t="shared" si="25"/>
        <v/>
      </c>
      <c r="BU33" s="256" t="str">
        <f t="shared" si="26"/>
        <v/>
      </c>
      <c r="BV33" s="256"/>
      <c r="BW33" s="256" t="str">
        <f t="shared" si="38"/>
        <v/>
      </c>
      <c r="BX33" s="256" t="str">
        <f>IF($U33="","",SUM(BS33:BS$114)+SUM(BW33:BW$114))</f>
        <v/>
      </c>
      <c r="BY33" s="73"/>
      <c r="BZ33" s="73"/>
      <c r="CA33" s="73"/>
      <c r="CB33" s="73"/>
      <c r="CC33" s="256" t="str">
        <f t="shared" si="39"/>
        <v/>
      </c>
      <c r="CD33" s="256" t="str">
        <f t="shared" si="27"/>
        <v/>
      </c>
      <c r="CE33" s="256" t="str">
        <f t="shared" si="28"/>
        <v/>
      </c>
      <c r="CF33" s="256" t="str">
        <f t="shared" si="40"/>
        <v/>
      </c>
      <c r="CG33" s="256" t="str">
        <f t="shared" si="29"/>
        <v/>
      </c>
      <c r="CH33" s="76" t="str">
        <f t="shared" si="41"/>
        <v/>
      </c>
      <c r="CI33" s="77" t="str">
        <f t="shared" si="30"/>
        <v/>
      </c>
      <c r="CJ33" s="238"/>
      <c r="CK33" s="70" t="str">
        <f t="shared" si="31"/>
        <v/>
      </c>
      <c r="CL33" s="77" t="str">
        <f t="shared" si="47"/>
        <v/>
      </c>
      <c r="CM33" s="77" t="str">
        <f t="shared" si="42"/>
        <v/>
      </c>
      <c r="CN33" s="77" t="str">
        <f t="shared" si="32"/>
        <v/>
      </c>
      <c r="CO33" s="77" t="str">
        <f t="shared" si="43"/>
        <v/>
      </c>
      <c r="CP33" s="238"/>
      <c r="CQ33" s="238"/>
      <c r="CR33" s="238"/>
      <c r="CS33" s="238"/>
      <c r="CT33" s="238"/>
      <c r="CU33" s="238"/>
      <c r="CV33" s="238"/>
    </row>
    <row r="34" spans="1:100">
      <c r="A34" s="305"/>
      <c r="B34" s="373"/>
      <c r="C34" s="78"/>
      <c r="D34" s="107" t="s">
        <v>45</v>
      </c>
      <c r="E34" s="250">
        <f>Main_무해지!E34</f>
        <v>0</v>
      </c>
      <c r="F34" s="176"/>
      <c r="G34" s="79"/>
      <c r="H34" s="292"/>
      <c r="I34" s="48"/>
      <c r="J34" s="49" t="s">
        <v>171</v>
      </c>
      <c r="K34" s="483">
        <f>IF(F5=0,K37*K22,K37*F5*K22)</f>
        <v>0</v>
      </c>
      <c r="L34" s="599"/>
      <c r="M34" s="599"/>
      <c r="N34" s="278" t="str">
        <f t="shared" si="51"/>
        <v/>
      </c>
      <c r="O34" s="279" t="str">
        <f t="shared" si="52"/>
        <v/>
      </c>
      <c r="P34" s="271" t="str">
        <f t="shared" si="48"/>
        <v/>
      </c>
      <c r="Q34" s="271" t="str">
        <f t="shared" si="49"/>
        <v/>
      </c>
      <c r="R34" s="271" t="str">
        <f t="shared" si="50"/>
        <v/>
      </c>
      <c r="S34" s="400" t="str">
        <f t="shared" si="33"/>
        <v/>
      </c>
      <c r="T34" s="232"/>
      <c r="U34" s="83" t="str">
        <f t="shared" si="44"/>
        <v/>
      </c>
      <c r="V34" s="84" t="str">
        <f>Main_무해지!AC34</f>
        <v/>
      </c>
      <c r="W34" s="87">
        <f>+Main_무해지!AD34</f>
        <v>0</v>
      </c>
      <c r="X34" s="87">
        <v>0</v>
      </c>
      <c r="Y34" s="257" t="str">
        <f t="shared" si="45"/>
        <v/>
      </c>
      <c r="Z34" s="257" t="str">
        <f t="shared" si="0"/>
        <v/>
      </c>
      <c r="AA34" s="85" t="str">
        <f>IF($U34="","",SUM(Z34:Z$114))</f>
        <v/>
      </c>
      <c r="AB34" s="257" t="str">
        <f t="shared" si="34"/>
        <v/>
      </c>
      <c r="AC34" s="257">
        <f t="shared" si="35"/>
        <v>0</v>
      </c>
      <c r="AD34" s="257" t="str">
        <f>Main_무해지!AJ34</f>
        <v/>
      </c>
      <c r="AE34" s="257">
        <f t="shared" si="1"/>
        <v>0</v>
      </c>
      <c r="AF34" s="257" t="str">
        <f t="shared" si="46"/>
        <v/>
      </c>
      <c r="AG34" s="257" t="str">
        <f t="shared" si="2"/>
        <v/>
      </c>
      <c r="AH34" s="85" t="str">
        <f>IF($U34="","",SUM(AG34:AG$114))</f>
        <v/>
      </c>
      <c r="AI34" s="257" t="str">
        <f>Main_무해지!AP34</f>
        <v/>
      </c>
      <c r="AJ34" s="257">
        <f t="shared" si="3"/>
        <v>0</v>
      </c>
      <c r="AK34" s="257" t="str">
        <f t="shared" si="4"/>
        <v/>
      </c>
      <c r="AL34" s="257" t="str">
        <f t="shared" si="5"/>
        <v/>
      </c>
      <c r="AM34" s="88" t="str">
        <f>IF($U34="","",SUM($AN34:$AN$114))</f>
        <v/>
      </c>
      <c r="AN34" s="257" t="str">
        <f t="shared" si="36"/>
        <v/>
      </c>
      <c r="AO34" s="88" t="str">
        <f t="shared" si="6"/>
        <v/>
      </c>
      <c r="AP34" s="84" t="str">
        <f>IF($U34="","",INDEX(#REF!,$U34+1))</f>
        <v/>
      </c>
      <c r="AQ34" s="257">
        <f t="shared" si="7"/>
        <v>0</v>
      </c>
      <c r="AR34" s="257" t="str">
        <f t="shared" si="8"/>
        <v/>
      </c>
      <c r="AS34" s="257" t="str">
        <f t="shared" si="9"/>
        <v/>
      </c>
      <c r="AT34" s="88" t="str">
        <f>IF($U34="","",SUM($AS34:$AS$114))</f>
        <v/>
      </c>
      <c r="AU34" s="84" t="str">
        <f>IF($U34="","",INDEX(#REF!,$U34+1))</f>
        <v/>
      </c>
      <c r="AV34" s="257">
        <f t="shared" si="10"/>
        <v>0</v>
      </c>
      <c r="AW34" s="257" t="str">
        <f t="shared" si="11"/>
        <v/>
      </c>
      <c r="AX34" s="257" t="str">
        <f t="shared" si="12"/>
        <v/>
      </c>
      <c r="AY34" s="88" t="str">
        <f>IF($U34="","",SUM($AX34:$AX$114))</f>
        <v/>
      </c>
      <c r="AZ34" s="84" t="str">
        <f>IF($U34="","",INDEX(#REF!,$U34+1))</f>
        <v/>
      </c>
      <c r="BA34" s="257">
        <f t="shared" si="13"/>
        <v>0</v>
      </c>
      <c r="BB34" s="257" t="str">
        <f t="shared" si="14"/>
        <v/>
      </c>
      <c r="BC34" s="257" t="str">
        <f t="shared" si="15"/>
        <v/>
      </c>
      <c r="BD34" s="88" t="str">
        <f>IF($U34="","",SUM($BC34:$BC$114))</f>
        <v/>
      </c>
      <c r="BE34" s="84" t="str">
        <f>IF($U34="","",INDEX(#REF!,$U34+1))</f>
        <v/>
      </c>
      <c r="BF34" s="257">
        <f t="shared" si="16"/>
        <v>0</v>
      </c>
      <c r="BG34" s="257" t="str">
        <f t="shared" si="17"/>
        <v/>
      </c>
      <c r="BH34" s="257" t="str">
        <f t="shared" si="18"/>
        <v/>
      </c>
      <c r="BI34" s="88" t="str">
        <f>IF($U34="","",SUM($BH34:$BH$114))</f>
        <v/>
      </c>
      <c r="BJ34" s="84" t="str">
        <f>IF($U34="","",INDEX(#REF!,$U34+1))</f>
        <v/>
      </c>
      <c r="BK34" s="257">
        <f t="shared" si="19"/>
        <v>0</v>
      </c>
      <c r="BL34" s="257" t="str">
        <f t="shared" si="20"/>
        <v/>
      </c>
      <c r="BM34" s="257" t="str">
        <f t="shared" si="21"/>
        <v/>
      </c>
      <c r="BN34" s="88" t="str">
        <f>IF($U34="","",SUM($BM34:$BM$114))</f>
        <v/>
      </c>
      <c r="BO34" s="84">
        <f t="shared" si="22"/>
        <v>0</v>
      </c>
      <c r="BP34" s="257" t="str">
        <f t="shared" si="23"/>
        <v/>
      </c>
      <c r="BQ34" s="257" t="str">
        <f t="shared" si="24"/>
        <v/>
      </c>
      <c r="BR34" s="257"/>
      <c r="BS34" s="257" t="str">
        <f t="shared" si="37"/>
        <v/>
      </c>
      <c r="BT34" s="257" t="str">
        <f t="shared" si="25"/>
        <v/>
      </c>
      <c r="BU34" s="257" t="str">
        <f t="shared" si="26"/>
        <v/>
      </c>
      <c r="BV34" s="257"/>
      <c r="BW34" s="257" t="str">
        <f t="shared" si="38"/>
        <v/>
      </c>
      <c r="BX34" s="257" t="str">
        <f>IF($U34="","",SUM(BS34:BS$114)+SUM(BW34:BW$114))</f>
        <v/>
      </c>
      <c r="BY34" s="86"/>
      <c r="BZ34" s="86"/>
      <c r="CA34" s="86"/>
      <c r="CB34" s="86"/>
      <c r="CC34" s="257" t="str">
        <f t="shared" si="39"/>
        <v/>
      </c>
      <c r="CD34" s="257" t="str">
        <f t="shared" si="27"/>
        <v/>
      </c>
      <c r="CE34" s="257" t="str">
        <f t="shared" si="28"/>
        <v/>
      </c>
      <c r="CF34" s="257" t="str">
        <f t="shared" si="40"/>
        <v/>
      </c>
      <c r="CG34" s="257" t="str">
        <f t="shared" si="29"/>
        <v/>
      </c>
      <c r="CH34" s="89" t="str">
        <f t="shared" si="41"/>
        <v/>
      </c>
      <c r="CI34" s="90" t="str">
        <f t="shared" si="30"/>
        <v/>
      </c>
      <c r="CJ34" s="239"/>
      <c r="CK34" s="83" t="str">
        <f t="shared" si="31"/>
        <v/>
      </c>
      <c r="CL34" s="90" t="str">
        <f t="shared" si="47"/>
        <v/>
      </c>
      <c r="CM34" s="90" t="str">
        <f t="shared" si="42"/>
        <v/>
      </c>
      <c r="CN34" s="90" t="str">
        <f t="shared" si="32"/>
        <v/>
      </c>
      <c r="CO34" s="90" t="str">
        <f t="shared" si="43"/>
        <v/>
      </c>
      <c r="CP34" s="239"/>
      <c r="CQ34" s="239"/>
      <c r="CR34" s="239"/>
      <c r="CS34" s="239"/>
      <c r="CT34" s="239"/>
      <c r="CU34" s="239"/>
      <c r="CV34" s="239"/>
    </row>
    <row r="35" spans="1:100">
      <c r="A35" s="305"/>
      <c r="B35" s="373"/>
      <c r="C35" s="78"/>
      <c r="D35" s="107" t="s">
        <v>47</v>
      </c>
      <c r="E35" s="250">
        <f>Main_무해지!E35</f>
        <v>0</v>
      </c>
      <c r="F35" s="176"/>
      <c r="G35" s="79"/>
      <c r="H35" s="292"/>
      <c r="I35" s="48"/>
      <c r="J35" s="95" t="s">
        <v>168</v>
      </c>
      <c r="K35" s="485">
        <f>CC4</f>
        <v>0.70461715141866199</v>
      </c>
      <c r="L35" s="599"/>
      <c r="M35" s="599"/>
      <c r="N35" s="278" t="str">
        <f t="shared" si="51"/>
        <v/>
      </c>
      <c r="O35" s="279" t="str">
        <f t="shared" si="52"/>
        <v/>
      </c>
      <c r="P35" s="271" t="str">
        <f t="shared" si="48"/>
        <v/>
      </c>
      <c r="Q35" s="271" t="str">
        <f t="shared" si="49"/>
        <v/>
      </c>
      <c r="R35" s="271" t="str">
        <f t="shared" si="50"/>
        <v/>
      </c>
      <c r="S35" s="400" t="str">
        <f t="shared" si="33"/>
        <v/>
      </c>
      <c r="T35" s="232"/>
      <c r="U35" s="750" t="str">
        <f t="shared" si="44"/>
        <v/>
      </c>
      <c r="V35" s="752" t="str">
        <f>Main_무해지!AC35</f>
        <v/>
      </c>
      <c r="W35" s="638">
        <f>+Main_무해지!AD35</f>
        <v>0</v>
      </c>
      <c r="X35" s="638">
        <v>0</v>
      </c>
      <c r="Y35" s="408" t="str">
        <f t="shared" si="45"/>
        <v/>
      </c>
      <c r="Z35" s="408" t="str">
        <f t="shared" si="0"/>
        <v/>
      </c>
      <c r="AA35" s="751" t="str">
        <f>IF($U35="","",SUM(Z35:Z$114))</f>
        <v/>
      </c>
      <c r="AB35" s="408" t="str">
        <f t="shared" si="34"/>
        <v/>
      </c>
      <c r="AC35" s="408">
        <f t="shared" si="35"/>
        <v>0</v>
      </c>
      <c r="AD35" s="408" t="str">
        <f>Main_무해지!AJ35</f>
        <v/>
      </c>
      <c r="AE35" s="408">
        <f t="shared" si="1"/>
        <v>0</v>
      </c>
      <c r="AF35" s="408" t="str">
        <f t="shared" si="46"/>
        <v/>
      </c>
      <c r="AG35" s="408" t="str">
        <f t="shared" si="2"/>
        <v/>
      </c>
      <c r="AH35" s="751" t="str">
        <f>IF($U35="","",SUM(AG35:AG$114))</f>
        <v/>
      </c>
      <c r="AI35" s="408" t="str">
        <f>Main_무해지!AP35</f>
        <v/>
      </c>
      <c r="AJ35" s="408">
        <f t="shared" si="3"/>
        <v>0</v>
      </c>
      <c r="AK35" s="408" t="str">
        <f t="shared" si="4"/>
        <v/>
      </c>
      <c r="AL35" s="408" t="str">
        <f t="shared" si="5"/>
        <v/>
      </c>
      <c r="AM35" s="753" t="str">
        <f>IF($U35="","",SUM($AN35:$AN$114))</f>
        <v/>
      </c>
      <c r="AN35" s="408" t="str">
        <f t="shared" si="36"/>
        <v/>
      </c>
      <c r="AO35" s="753" t="str">
        <f t="shared" si="6"/>
        <v/>
      </c>
      <c r="AP35" s="752" t="str">
        <f>IF($U35="","",INDEX(#REF!,$U35+1))</f>
        <v/>
      </c>
      <c r="AQ35" s="408">
        <f t="shared" si="7"/>
        <v>0</v>
      </c>
      <c r="AR35" s="408" t="str">
        <f t="shared" si="8"/>
        <v/>
      </c>
      <c r="AS35" s="408" t="str">
        <f t="shared" si="9"/>
        <v/>
      </c>
      <c r="AT35" s="753" t="str">
        <f>IF($U35="","",SUM($AS35:$AS$114))</f>
        <v/>
      </c>
      <c r="AU35" s="752" t="str">
        <f>IF($U35="","",INDEX(#REF!,$U35+1))</f>
        <v/>
      </c>
      <c r="AV35" s="408">
        <f t="shared" si="10"/>
        <v>0</v>
      </c>
      <c r="AW35" s="408" t="str">
        <f t="shared" si="11"/>
        <v/>
      </c>
      <c r="AX35" s="408" t="str">
        <f t="shared" si="12"/>
        <v/>
      </c>
      <c r="AY35" s="753" t="str">
        <f>IF($U35="","",SUM($AX35:$AX$114))</f>
        <v/>
      </c>
      <c r="AZ35" s="752" t="str">
        <f>IF($U35="","",INDEX(#REF!,$U35+1))</f>
        <v/>
      </c>
      <c r="BA35" s="408">
        <f t="shared" si="13"/>
        <v>0</v>
      </c>
      <c r="BB35" s="408" t="str">
        <f t="shared" si="14"/>
        <v/>
      </c>
      <c r="BC35" s="408" t="str">
        <f t="shared" si="15"/>
        <v/>
      </c>
      <c r="BD35" s="753" t="str">
        <f>IF($U35="","",SUM($BC35:$BC$114))</f>
        <v/>
      </c>
      <c r="BE35" s="752" t="str">
        <f>IF($U35="","",INDEX(#REF!,$U35+1))</f>
        <v/>
      </c>
      <c r="BF35" s="408">
        <f t="shared" si="16"/>
        <v>0</v>
      </c>
      <c r="BG35" s="408" t="str">
        <f t="shared" si="17"/>
        <v/>
      </c>
      <c r="BH35" s="408" t="str">
        <f t="shared" si="18"/>
        <v/>
      </c>
      <c r="BI35" s="753" t="str">
        <f>IF($U35="","",SUM($BH35:$BH$114))</f>
        <v/>
      </c>
      <c r="BJ35" s="752" t="str">
        <f>IF($U35="","",INDEX(#REF!,$U35+1))</f>
        <v/>
      </c>
      <c r="BK35" s="408">
        <f t="shared" si="19"/>
        <v>0</v>
      </c>
      <c r="BL35" s="408" t="str">
        <f t="shared" si="20"/>
        <v/>
      </c>
      <c r="BM35" s="408" t="str">
        <f t="shared" si="21"/>
        <v/>
      </c>
      <c r="BN35" s="753" t="str">
        <f>IF($U35="","",SUM($BM35:$BM$114))</f>
        <v/>
      </c>
      <c r="BO35" s="752">
        <f t="shared" si="22"/>
        <v>0</v>
      </c>
      <c r="BP35" s="408" t="str">
        <f t="shared" si="23"/>
        <v/>
      </c>
      <c r="BQ35" s="408" t="str">
        <f t="shared" si="24"/>
        <v/>
      </c>
      <c r="BR35" s="408"/>
      <c r="BS35" s="408" t="str">
        <f t="shared" si="37"/>
        <v/>
      </c>
      <c r="BT35" s="408" t="str">
        <f t="shared" si="25"/>
        <v/>
      </c>
      <c r="BU35" s="408" t="str">
        <f t="shared" si="26"/>
        <v/>
      </c>
      <c r="BV35" s="408"/>
      <c r="BW35" s="408" t="str">
        <f t="shared" si="38"/>
        <v/>
      </c>
      <c r="BX35" s="408" t="str">
        <f>IF($U35="","",SUM(BS35:BS$114)+SUM(BW35:BW$114))</f>
        <v/>
      </c>
      <c r="BY35" s="754"/>
      <c r="BZ35" s="754"/>
      <c r="CA35" s="754"/>
      <c r="CB35" s="754"/>
      <c r="CC35" s="408" t="str">
        <f t="shared" si="39"/>
        <v/>
      </c>
      <c r="CD35" s="408" t="str">
        <f t="shared" si="27"/>
        <v/>
      </c>
      <c r="CE35" s="408" t="str">
        <f t="shared" si="28"/>
        <v/>
      </c>
      <c r="CF35" s="408" t="str">
        <f t="shared" si="40"/>
        <v/>
      </c>
      <c r="CG35" s="408" t="str">
        <f t="shared" si="29"/>
        <v/>
      </c>
      <c r="CH35" s="756" t="str">
        <f t="shared" si="41"/>
        <v/>
      </c>
      <c r="CI35" s="757" t="str">
        <f t="shared" si="30"/>
        <v/>
      </c>
      <c r="CJ35" s="413"/>
      <c r="CK35" s="750" t="str">
        <f t="shared" si="31"/>
        <v/>
      </c>
      <c r="CL35" s="757" t="str">
        <f t="shared" si="47"/>
        <v/>
      </c>
      <c r="CM35" s="757" t="str">
        <f t="shared" si="42"/>
        <v/>
      </c>
      <c r="CN35" s="757" t="str">
        <f t="shared" si="32"/>
        <v/>
      </c>
      <c r="CO35" s="757" t="str">
        <f t="shared" si="43"/>
        <v/>
      </c>
      <c r="CP35" s="413"/>
      <c r="CQ35" s="413"/>
      <c r="CR35" s="413"/>
      <c r="CS35" s="413"/>
      <c r="CT35" s="413"/>
      <c r="CU35" s="413"/>
      <c r="CV35" s="413"/>
    </row>
    <row r="36" spans="1:100">
      <c r="A36" s="305"/>
      <c r="B36" s="373"/>
      <c r="C36" s="117"/>
      <c r="D36" s="118" t="s">
        <v>57</v>
      </c>
      <c r="E36" s="250">
        <f>Main_무해지!E36</f>
        <v>0</v>
      </c>
      <c r="F36" s="118"/>
      <c r="G36" s="119"/>
      <c r="H36" s="292"/>
      <c r="I36" s="48"/>
      <c r="J36" s="95" t="s">
        <v>170</v>
      </c>
      <c r="K36" s="485">
        <f>CD4</f>
        <v>0</v>
      </c>
      <c r="L36" s="599"/>
      <c r="M36" s="599"/>
      <c r="N36" s="280" t="str">
        <f t="shared" si="51"/>
        <v/>
      </c>
      <c r="O36" s="281" t="str">
        <f t="shared" si="52"/>
        <v/>
      </c>
      <c r="P36" s="282" t="str">
        <f t="shared" si="48"/>
        <v/>
      </c>
      <c r="Q36" s="282" t="str">
        <f t="shared" si="49"/>
        <v/>
      </c>
      <c r="R36" s="282" t="str">
        <f t="shared" si="50"/>
        <v/>
      </c>
      <c r="S36" s="402" t="str">
        <f t="shared" si="33"/>
        <v/>
      </c>
      <c r="T36" s="232"/>
      <c r="U36" s="52" t="str">
        <f t="shared" si="44"/>
        <v/>
      </c>
      <c r="V36" s="53" t="str">
        <f>Main_무해지!AC36</f>
        <v/>
      </c>
      <c r="W36" s="56">
        <f>+Main_무해지!AD36</f>
        <v>0</v>
      </c>
      <c r="X36" s="56">
        <v>0</v>
      </c>
      <c r="Y36" s="254" t="str">
        <f t="shared" si="45"/>
        <v/>
      </c>
      <c r="Z36" s="254" t="str">
        <f t="shared" si="0"/>
        <v/>
      </c>
      <c r="AA36" s="54" t="str">
        <f>IF($U36="","",SUM(Z36:Z$114))</f>
        <v/>
      </c>
      <c r="AB36" s="254" t="str">
        <f t="shared" si="34"/>
        <v/>
      </c>
      <c r="AC36" s="254">
        <f t="shared" si="35"/>
        <v>0</v>
      </c>
      <c r="AD36" s="254" t="str">
        <f>Main_무해지!AJ36</f>
        <v/>
      </c>
      <c r="AE36" s="254">
        <f t="shared" si="1"/>
        <v>0</v>
      </c>
      <c r="AF36" s="254" t="str">
        <f t="shared" si="46"/>
        <v/>
      </c>
      <c r="AG36" s="254" t="str">
        <f t="shared" si="2"/>
        <v/>
      </c>
      <c r="AH36" s="54" t="str">
        <f>IF($U36="","",SUM(AG36:AG$114))</f>
        <v/>
      </c>
      <c r="AI36" s="254" t="str">
        <f>Main_무해지!AP36</f>
        <v/>
      </c>
      <c r="AJ36" s="254">
        <f t="shared" si="3"/>
        <v>0</v>
      </c>
      <c r="AK36" s="254" t="str">
        <f t="shared" si="4"/>
        <v/>
      </c>
      <c r="AL36" s="254" t="str">
        <f t="shared" si="5"/>
        <v/>
      </c>
      <c r="AM36" s="57" t="str">
        <f>IF($U36="","",SUM($AN36:$AN$114))</f>
        <v/>
      </c>
      <c r="AN36" s="254" t="str">
        <f t="shared" si="36"/>
        <v/>
      </c>
      <c r="AO36" s="57" t="str">
        <f t="shared" si="6"/>
        <v/>
      </c>
      <c r="AP36" s="53" t="str">
        <f>IF($U36="","",INDEX(#REF!,$U36+1))</f>
        <v/>
      </c>
      <c r="AQ36" s="254">
        <f t="shared" si="7"/>
        <v>0</v>
      </c>
      <c r="AR36" s="254" t="str">
        <f t="shared" si="8"/>
        <v/>
      </c>
      <c r="AS36" s="254" t="str">
        <f t="shared" si="9"/>
        <v/>
      </c>
      <c r="AT36" s="57" t="str">
        <f>IF($U36="","",SUM($AS36:$AS$114))</f>
        <v/>
      </c>
      <c r="AU36" s="53" t="str">
        <f>IF($U36="","",INDEX(#REF!,$U36+1))</f>
        <v/>
      </c>
      <c r="AV36" s="254">
        <f t="shared" si="10"/>
        <v>0</v>
      </c>
      <c r="AW36" s="254" t="str">
        <f t="shared" si="11"/>
        <v/>
      </c>
      <c r="AX36" s="254" t="str">
        <f t="shared" si="12"/>
        <v/>
      </c>
      <c r="AY36" s="57" t="str">
        <f>IF($U36="","",SUM($AX36:$AX$114))</f>
        <v/>
      </c>
      <c r="AZ36" s="53" t="str">
        <f>IF($U36="","",INDEX(#REF!,$U36+1))</f>
        <v/>
      </c>
      <c r="BA36" s="254">
        <f t="shared" si="13"/>
        <v>0</v>
      </c>
      <c r="BB36" s="254" t="str">
        <f t="shared" si="14"/>
        <v/>
      </c>
      <c r="BC36" s="254" t="str">
        <f t="shared" si="15"/>
        <v/>
      </c>
      <c r="BD36" s="57" t="str">
        <f>IF($U36="","",SUM($BC36:$BC$114))</f>
        <v/>
      </c>
      <c r="BE36" s="53" t="str">
        <f>IF($U36="","",INDEX(#REF!,$U36+1))</f>
        <v/>
      </c>
      <c r="BF36" s="254">
        <f t="shared" si="16"/>
        <v>0</v>
      </c>
      <c r="BG36" s="254" t="str">
        <f t="shared" si="17"/>
        <v/>
      </c>
      <c r="BH36" s="254" t="str">
        <f t="shared" si="18"/>
        <v/>
      </c>
      <c r="BI36" s="57" t="str">
        <f>IF($U36="","",SUM($BH36:$BH$114))</f>
        <v/>
      </c>
      <c r="BJ36" s="53" t="str">
        <f>IF($U36="","",INDEX(#REF!,$U36+1))</f>
        <v/>
      </c>
      <c r="BK36" s="254">
        <f t="shared" si="19"/>
        <v>0</v>
      </c>
      <c r="BL36" s="254" t="str">
        <f t="shared" si="20"/>
        <v/>
      </c>
      <c r="BM36" s="254" t="str">
        <f t="shared" si="21"/>
        <v/>
      </c>
      <c r="BN36" s="57" t="str">
        <f>IF($U36="","",SUM($BM36:$BM$114))</f>
        <v/>
      </c>
      <c r="BO36" s="53">
        <f t="shared" si="22"/>
        <v>0</v>
      </c>
      <c r="BP36" s="254" t="str">
        <f t="shared" si="23"/>
        <v/>
      </c>
      <c r="BQ36" s="254" t="str">
        <f t="shared" si="24"/>
        <v/>
      </c>
      <c r="BR36" s="254"/>
      <c r="BS36" s="254" t="str">
        <f t="shared" si="37"/>
        <v/>
      </c>
      <c r="BT36" s="254" t="str">
        <f t="shared" si="25"/>
        <v/>
      </c>
      <c r="BU36" s="254" t="str">
        <f t="shared" si="26"/>
        <v/>
      </c>
      <c r="BV36" s="254"/>
      <c r="BW36" s="254" t="str">
        <f t="shared" si="38"/>
        <v/>
      </c>
      <c r="BX36" s="254" t="str">
        <f>IF($U36="","",SUM(BS36:BS$114)+SUM(BW36:BW$114))</f>
        <v/>
      </c>
      <c r="BY36" s="55"/>
      <c r="BZ36" s="55"/>
      <c r="CA36" s="55"/>
      <c r="CB36" s="55"/>
      <c r="CC36" s="254" t="str">
        <f t="shared" si="39"/>
        <v/>
      </c>
      <c r="CD36" s="254" t="str">
        <f t="shared" si="27"/>
        <v/>
      </c>
      <c r="CE36" s="254" t="str">
        <f t="shared" si="28"/>
        <v/>
      </c>
      <c r="CF36" s="254" t="str">
        <f t="shared" si="40"/>
        <v/>
      </c>
      <c r="CG36" s="254" t="str">
        <f t="shared" si="29"/>
        <v/>
      </c>
      <c r="CH36" s="58" t="str">
        <f t="shared" si="41"/>
        <v/>
      </c>
      <c r="CI36" s="59" t="str">
        <f t="shared" si="30"/>
        <v/>
      </c>
      <c r="CJ36" s="236"/>
      <c r="CK36" s="52" t="str">
        <f t="shared" si="31"/>
        <v/>
      </c>
      <c r="CL36" s="59" t="str">
        <f t="shared" si="47"/>
        <v/>
      </c>
      <c r="CM36" s="59" t="str">
        <f t="shared" si="42"/>
        <v/>
      </c>
      <c r="CN36" s="59" t="str">
        <f t="shared" si="32"/>
        <v/>
      </c>
      <c r="CO36" s="59" t="str">
        <f t="shared" si="43"/>
        <v/>
      </c>
      <c r="CP36" s="236"/>
      <c r="CQ36" s="236"/>
      <c r="CR36" s="236"/>
      <c r="CS36" s="236"/>
      <c r="CT36" s="236"/>
      <c r="CU36" s="236"/>
      <c r="CV36" s="236"/>
    </row>
    <row r="37" spans="1:100">
      <c r="A37" s="305"/>
      <c r="B37" s="373"/>
      <c r="C37" s="127"/>
      <c r="D37" s="128" t="s">
        <v>51</v>
      </c>
      <c r="E37" s="250">
        <f>Main_무해지!E37</f>
        <v>0</v>
      </c>
      <c r="F37" s="128"/>
      <c r="G37" s="129"/>
      <c r="H37" s="292"/>
      <c r="I37" s="82"/>
      <c r="J37" s="96" t="s">
        <v>212</v>
      </c>
      <c r="K37" s="296">
        <f>F7</f>
        <v>0</v>
      </c>
      <c r="L37" s="599"/>
      <c r="M37" s="599"/>
      <c r="N37" s="275" t="str">
        <f t="shared" si="51"/>
        <v/>
      </c>
      <c r="O37" s="276" t="str">
        <f t="shared" si="52"/>
        <v/>
      </c>
      <c r="P37" s="277" t="str">
        <f t="shared" si="48"/>
        <v/>
      </c>
      <c r="Q37" s="277" t="str">
        <f t="shared" si="49"/>
        <v/>
      </c>
      <c r="R37" s="277" t="str">
        <f t="shared" si="50"/>
        <v/>
      </c>
      <c r="S37" s="401" t="str">
        <f t="shared" si="33"/>
        <v/>
      </c>
      <c r="T37" s="232"/>
      <c r="U37" s="52" t="str">
        <f t="shared" si="44"/>
        <v/>
      </c>
      <c r="V37" s="53" t="str">
        <f>Main_무해지!AC37</f>
        <v/>
      </c>
      <c r="W37" s="56">
        <f>+Main_무해지!AD37</f>
        <v>0</v>
      </c>
      <c r="X37" s="56">
        <v>0</v>
      </c>
      <c r="Y37" s="254" t="str">
        <f t="shared" si="45"/>
        <v/>
      </c>
      <c r="Z37" s="254" t="str">
        <f t="shared" si="0"/>
        <v/>
      </c>
      <c r="AA37" s="54" t="str">
        <f>IF($U37="","",SUM(Z37:Z$114))</f>
        <v/>
      </c>
      <c r="AB37" s="254" t="str">
        <f t="shared" si="34"/>
        <v/>
      </c>
      <c r="AC37" s="254">
        <f t="shared" si="35"/>
        <v>0</v>
      </c>
      <c r="AD37" s="254" t="str">
        <f>Main_무해지!AJ37</f>
        <v/>
      </c>
      <c r="AE37" s="254">
        <f t="shared" si="1"/>
        <v>0</v>
      </c>
      <c r="AF37" s="254" t="str">
        <f t="shared" si="46"/>
        <v/>
      </c>
      <c r="AG37" s="254" t="str">
        <f t="shared" si="2"/>
        <v/>
      </c>
      <c r="AH37" s="54" t="str">
        <f>IF($U37="","",SUM(AG37:AG$114))</f>
        <v/>
      </c>
      <c r="AI37" s="254" t="str">
        <f>Main_무해지!AP37</f>
        <v/>
      </c>
      <c r="AJ37" s="254">
        <f t="shared" si="3"/>
        <v>0</v>
      </c>
      <c r="AK37" s="254" t="str">
        <f t="shared" si="4"/>
        <v/>
      </c>
      <c r="AL37" s="254" t="str">
        <f t="shared" si="5"/>
        <v/>
      </c>
      <c r="AM37" s="57" t="str">
        <f>IF($U37="","",SUM($AN37:$AN$114))</f>
        <v/>
      </c>
      <c r="AN37" s="254" t="str">
        <f t="shared" si="36"/>
        <v/>
      </c>
      <c r="AO37" s="57" t="str">
        <f t="shared" si="6"/>
        <v/>
      </c>
      <c r="AP37" s="53" t="str">
        <f>IF($U37="","",INDEX(#REF!,$U37+1))</f>
        <v/>
      </c>
      <c r="AQ37" s="254">
        <f t="shared" si="7"/>
        <v>0</v>
      </c>
      <c r="AR37" s="254" t="str">
        <f t="shared" si="8"/>
        <v/>
      </c>
      <c r="AS37" s="254" t="str">
        <f t="shared" si="9"/>
        <v/>
      </c>
      <c r="AT37" s="57" t="str">
        <f>IF($U37="","",SUM($AS37:$AS$114))</f>
        <v/>
      </c>
      <c r="AU37" s="53" t="str">
        <f>IF($U37="","",INDEX(#REF!,$U37+1))</f>
        <v/>
      </c>
      <c r="AV37" s="254">
        <f t="shared" si="10"/>
        <v>0</v>
      </c>
      <c r="AW37" s="254" t="str">
        <f t="shared" si="11"/>
        <v/>
      </c>
      <c r="AX37" s="254" t="str">
        <f t="shared" si="12"/>
        <v/>
      </c>
      <c r="AY37" s="57" t="str">
        <f>IF($U37="","",SUM($AX37:$AX$114))</f>
        <v/>
      </c>
      <c r="AZ37" s="53" t="str">
        <f>IF($U37="","",INDEX(#REF!,$U37+1))</f>
        <v/>
      </c>
      <c r="BA37" s="254">
        <f t="shared" si="13"/>
        <v>0</v>
      </c>
      <c r="BB37" s="254" t="str">
        <f t="shared" si="14"/>
        <v/>
      </c>
      <c r="BC37" s="254" t="str">
        <f t="shared" si="15"/>
        <v/>
      </c>
      <c r="BD37" s="57" t="str">
        <f>IF($U37="","",SUM($BC37:$BC$114))</f>
        <v/>
      </c>
      <c r="BE37" s="53" t="str">
        <f>IF($U37="","",INDEX(#REF!,$U37+1))</f>
        <v/>
      </c>
      <c r="BF37" s="254">
        <f t="shared" si="16"/>
        <v>0</v>
      </c>
      <c r="BG37" s="254" t="str">
        <f t="shared" si="17"/>
        <v/>
      </c>
      <c r="BH37" s="254" t="str">
        <f t="shared" si="18"/>
        <v/>
      </c>
      <c r="BI37" s="57" t="str">
        <f>IF($U37="","",SUM($BH37:$BH$114))</f>
        <v/>
      </c>
      <c r="BJ37" s="53" t="str">
        <f>IF($U37="","",INDEX(#REF!,$U37+1))</f>
        <v/>
      </c>
      <c r="BK37" s="254">
        <f t="shared" si="19"/>
        <v>0</v>
      </c>
      <c r="BL37" s="254" t="str">
        <f t="shared" si="20"/>
        <v/>
      </c>
      <c r="BM37" s="254" t="str">
        <f t="shared" si="21"/>
        <v/>
      </c>
      <c r="BN37" s="57" t="str">
        <f>IF($U37="","",SUM($BM37:$BM$114))</f>
        <v/>
      </c>
      <c r="BO37" s="53">
        <f t="shared" si="22"/>
        <v>0</v>
      </c>
      <c r="BP37" s="254" t="str">
        <f t="shared" si="23"/>
        <v/>
      </c>
      <c r="BQ37" s="254" t="str">
        <f t="shared" si="24"/>
        <v/>
      </c>
      <c r="BR37" s="254"/>
      <c r="BS37" s="254" t="str">
        <f t="shared" si="37"/>
        <v/>
      </c>
      <c r="BT37" s="254" t="str">
        <f t="shared" si="25"/>
        <v/>
      </c>
      <c r="BU37" s="254" t="str">
        <f t="shared" si="26"/>
        <v/>
      </c>
      <c r="BV37" s="254"/>
      <c r="BW37" s="254" t="str">
        <f t="shared" si="38"/>
        <v/>
      </c>
      <c r="BX37" s="254" t="str">
        <f>IF($U37="","",SUM(BS37:BS$114)+SUM(BW37:BW$114))</f>
        <v/>
      </c>
      <c r="BY37" s="55"/>
      <c r="BZ37" s="55"/>
      <c r="CA37" s="55"/>
      <c r="CB37" s="55"/>
      <c r="CC37" s="254" t="str">
        <f t="shared" si="39"/>
        <v/>
      </c>
      <c r="CD37" s="254" t="str">
        <f t="shared" si="27"/>
        <v/>
      </c>
      <c r="CE37" s="254" t="str">
        <f t="shared" si="28"/>
        <v/>
      </c>
      <c r="CF37" s="254" t="str">
        <f t="shared" si="40"/>
        <v/>
      </c>
      <c r="CG37" s="254" t="str">
        <f t="shared" si="29"/>
        <v/>
      </c>
      <c r="CH37" s="58" t="str">
        <f t="shared" si="41"/>
        <v/>
      </c>
      <c r="CI37" s="59" t="str">
        <f t="shared" si="30"/>
        <v/>
      </c>
      <c r="CJ37" s="236"/>
      <c r="CK37" s="52" t="str">
        <f t="shared" si="31"/>
        <v/>
      </c>
      <c r="CL37" s="59" t="str">
        <f t="shared" si="47"/>
        <v/>
      </c>
      <c r="CM37" s="59" t="str">
        <f t="shared" si="42"/>
        <v/>
      </c>
      <c r="CN37" s="59" t="str">
        <f t="shared" si="32"/>
        <v/>
      </c>
      <c r="CO37" s="59" t="str">
        <f t="shared" si="43"/>
        <v/>
      </c>
      <c r="CP37" s="236"/>
      <c r="CQ37" s="236"/>
      <c r="CR37" s="236"/>
      <c r="CS37" s="236"/>
      <c r="CT37" s="236"/>
      <c r="CU37" s="236"/>
      <c r="CV37" s="236"/>
    </row>
    <row r="38" spans="1:100" ht="17.25" thickBot="1">
      <c r="A38" s="305"/>
      <c r="B38" s="373"/>
      <c r="C38" s="93"/>
      <c r="D38" s="143" t="s">
        <v>52</v>
      </c>
      <c r="E38" s="452">
        <f>Main_무해지!E38</f>
        <v>0</v>
      </c>
      <c r="F38" s="143"/>
      <c r="G38" s="94"/>
      <c r="H38" s="292"/>
      <c r="I38" s="99"/>
      <c r="J38" s="100" t="s">
        <v>213</v>
      </c>
      <c r="K38" s="297">
        <f>F6</f>
        <v>1</v>
      </c>
      <c r="L38" s="599"/>
      <c r="M38" s="599"/>
      <c r="N38" s="278" t="str">
        <f t="shared" si="51"/>
        <v/>
      </c>
      <c r="O38" s="279" t="str">
        <f t="shared" si="52"/>
        <v/>
      </c>
      <c r="P38" s="271" t="str">
        <f t="shared" si="48"/>
        <v/>
      </c>
      <c r="Q38" s="271" t="str">
        <f t="shared" si="49"/>
        <v/>
      </c>
      <c r="R38" s="271" t="str">
        <f t="shared" si="50"/>
        <v/>
      </c>
      <c r="S38" s="400" t="str">
        <f t="shared" si="33"/>
        <v/>
      </c>
      <c r="T38" s="232"/>
      <c r="U38" s="52" t="str">
        <f t="shared" si="44"/>
        <v/>
      </c>
      <c r="V38" s="53" t="str">
        <f>Main_무해지!AC38</f>
        <v/>
      </c>
      <c r="W38" s="56">
        <f>+Main_무해지!AD38</f>
        <v>0</v>
      </c>
      <c r="X38" s="56">
        <v>0</v>
      </c>
      <c r="Y38" s="254" t="str">
        <f t="shared" si="45"/>
        <v/>
      </c>
      <c r="Z38" s="254" t="str">
        <f t="shared" si="0"/>
        <v/>
      </c>
      <c r="AA38" s="54" t="str">
        <f>IF($U38="","",SUM(Z38:Z$114))</f>
        <v/>
      </c>
      <c r="AB38" s="254" t="str">
        <f t="shared" si="34"/>
        <v/>
      </c>
      <c r="AC38" s="254">
        <f t="shared" si="35"/>
        <v>0</v>
      </c>
      <c r="AD38" s="254" t="str">
        <f>Main_무해지!AJ38</f>
        <v/>
      </c>
      <c r="AE38" s="254">
        <f t="shared" si="1"/>
        <v>0</v>
      </c>
      <c r="AF38" s="254" t="str">
        <f t="shared" si="46"/>
        <v/>
      </c>
      <c r="AG38" s="254" t="str">
        <f t="shared" si="2"/>
        <v/>
      </c>
      <c r="AH38" s="54" t="str">
        <f>IF($U38="","",SUM(AG38:AG$114))</f>
        <v/>
      </c>
      <c r="AI38" s="254" t="str">
        <f>Main_무해지!AP38</f>
        <v/>
      </c>
      <c r="AJ38" s="254">
        <f t="shared" si="3"/>
        <v>0</v>
      </c>
      <c r="AK38" s="254" t="str">
        <f t="shared" si="4"/>
        <v/>
      </c>
      <c r="AL38" s="254" t="str">
        <f t="shared" si="5"/>
        <v/>
      </c>
      <c r="AM38" s="57" t="str">
        <f>IF($U38="","",SUM($AN38:$AN$114))</f>
        <v/>
      </c>
      <c r="AN38" s="254" t="str">
        <f t="shared" si="36"/>
        <v/>
      </c>
      <c r="AO38" s="57" t="str">
        <f t="shared" si="6"/>
        <v/>
      </c>
      <c r="AP38" s="53" t="str">
        <f>IF($U38="","",INDEX(#REF!,$U38+1))</f>
        <v/>
      </c>
      <c r="AQ38" s="254">
        <f t="shared" si="7"/>
        <v>0</v>
      </c>
      <c r="AR38" s="254" t="str">
        <f t="shared" si="8"/>
        <v/>
      </c>
      <c r="AS38" s="254" t="str">
        <f t="shared" si="9"/>
        <v/>
      </c>
      <c r="AT38" s="57" t="str">
        <f>IF($U38="","",SUM($AS38:$AS$114))</f>
        <v/>
      </c>
      <c r="AU38" s="53" t="str">
        <f>IF($U38="","",INDEX(#REF!,$U38+1))</f>
        <v/>
      </c>
      <c r="AV38" s="254">
        <f t="shared" si="10"/>
        <v>0</v>
      </c>
      <c r="AW38" s="254" t="str">
        <f t="shared" si="11"/>
        <v/>
      </c>
      <c r="AX38" s="254" t="str">
        <f t="shared" si="12"/>
        <v/>
      </c>
      <c r="AY38" s="57" t="str">
        <f>IF($U38="","",SUM($AX38:$AX$114))</f>
        <v/>
      </c>
      <c r="AZ38" s="53" t="str">
        <f>IF($U38="","",INDEX(#REF!,$U38+1))</f>
        <v/>
      </c>
      <c r="BA38" s="254">
        <f t="shared" si="13"/>
        <v>0</v>
      </c>
      <c r="BB38" s="254" t="str">
        <f t="shared" si="14"/>
        <v/>
      </c>
      <c r="BC38" s="254" t="str">
        <f t="shared" si="15"/>
        <v/>
      </c>
      <c r="BD38" s="57" t="str">
        <f>IF($U38="","",SUM($BC38:$BC$114))</f>
        <v/>
      </c>
      <c r="BE38" s="53" t="str">
        <f>IF($U38="","",INDEX(#REF!,$U38+1))</f>
        <v/>
      </c>
      <c r="BF38" s="254">
        <f t="shared" si="16"/>
        <v>0</v>
      </c>
      <c r="BG38" s="254" t="str">
        <f t="shared" si="17"/>
        <v/>
      </c>
      <c r="BH38" s="254" t="str">
        <f t="shared" si="18"/>
        <v/>
      </c>
      <c r="BI38" s="57" t="str">
        <f>IF($U38="","",SUM($BH38:$BH$114))</f>
        <v/>
      </c>
      <c r="BJ38" s="53" t="str">
        <f>IF($U38="","",INDEX(#REF!,$U38+1))</f>
        <v/>
      </c>
      <c r="BK38" s="254">
        <f t="shared" si="19"/>
        <v>0</v>
      </c>
      <c r="BL38" s="254" t="str">
        <f t="shared" si="20"/>
        <v/>
      </c>
      <c r="BM38" s="254" t="str">
        <f t="shared" si="21"/>
        <v/>
      </c>
      <c r="BN38" s="57" t="str">
        <f>IF($U38="","",SUM($BM38:$BM$114))</f>
        <v/>
      </c>
      <c r="BO38" s="53">
        <f t="shared" si="22"/>
        <v>0</v>
      </c>
      <c r="BP38" s="254" t="str">
        <f t="shared" si="23"/>
        <v/>
      </c>
      <c r="BQ38" s="254" t="str">
        <f t="shared" si="24"/>
        <v/>
      </c>
      <c r="BR38" s="254"/>
      <c r="BS38" s="254" t="str">
        <f t="shared" si="37"/>
        <v/>
      </c>
      <c r="BT38" s="254" t="str">
        <f t="shared" si="25"/>
        <v/>
      </c>
      <c r="BU38" s="254" t="str">
        <f t="shared" si="26"/>
        <v/>
      </c>
      <c r="BV38" s="254"/>
      <c r="BW38" s="254" t="str">
        <f t="shared" si="38"/>
        <v/>
      </c>
      <c r="BX38" s="254" t="str">
        <f>IF($U38="","",SUM(BS38:BS$114)+SUM(BW38:BW$114))</f>
        <v/>
      </c>
      <c r="BY38" s="55"/>
      <c r="BZ38" s="55"/>
      <c r="CA38" s="55"/>
      <c r="CB38" s="55"/>
      <c r="CC38" s="254" t="str">
        <f t="shared" si="39"/>
        <v/>
      </c>
      <c r="CD38" s="254" t="str">
        <f t="shared" si="27"/>
        <v/>
      </c>
      <c r="CE38" s="254" t="str">
        <f t="shared" si="28"/>
        <v/>
      </c>
      <c r="CF38" s="254" t="str">
        <f t="shared" si="40"/>
        <v/>
      </c>
      <c r="CG38" s="254" t="str">
        <f t="shared" si="29"/>
        <v/>
      </c>
      <c r="CH38" s="58" t="str">
        <f t="shared" si="41"/>
        <v/>
      </c>
      <c r="CI38" s="59" t="str">
        <f t="shared" si="30"/>
        <v/>
      </c>
      <c r="CJ38" s="236"/>
      <c r="CK38" s="52" t="str">
        <f t="shared" si="31"/>
        <v/>
      </c>
      <c r="CL38" s="59" t="str">
        <f t="shared" si="47"/>
        <v/>
      </c>
      <c r="CM38" s="59" t="str">
        <f t="shared" si="42"/>
        <v/>
      </c>
      <c r="CN38" s="59" t="str">
        <f t="shared" si="32"/>
        <v/>
      </c>
      <c r="CO38" s="59" t="str">
        <f t="shared" si="43"/>
        <v/>
      </c>
      <c r="CP38" s="236"/>
      <c r="CQ38" s="236"/>
      <c r="CR38" s="236"/>
      <c r="CS38" s="236"/>
      <c r="CT38" s="236"/>
      <c r="CU38" s="236"/>
      <c r="CV38" s="236"/>
    </row>
    <row r="39" spans="1:100">
      <c r="A39" s="305"/>
      <c r="B39" s="373"/>
      <c r="H39" s="292"/>
      <c r="I39" s="48" t="s">
        <v>41</v>
      </c>
      <c r="J39" s="51" t="s">
        <v>42</v>
      </c>
      <c r="K39" s="486">
        <f>((K35)*(1-E28-E30-E25*K20/K32))+(E23*K20+E27*K17+E29*K18)*(K36)/K17</f>
        <v>0.6165400074913292</v>
      </c>
      <c r="L39" s="599"/>
      <c r="M39" s="599"/>
      <c r="N39" s="278" t="str">
        <f t="shared" si="51"/>
        <v/>
      </c>
      <c r="O39" s="279" t="str">
        <f t="shared" si="52"/>
        <v/>
      </c>
      <c r="P39" s="271" t="str">
        <f t="shared" si="48"/>
        <v/>
      </c>
      <c r="Q39" s="271" t="str">
        <f t="shared" si="49"/>
        <v/>
      </c>
      <c r="R39" s="271" t="str">
        <f t="shared" si="50"/>
        <v/>
      </c>
      <c r="S39" s="400" t="str">
        <f t="shared" si="33"/>
        <v/>
      </c>
      <c r="T39" s="232"/>
      <c r="U39" s="60" t="str">
        <f t="shared" si="44"/>
        <v/>
      </c>
      <c r="V39" s="61" t="str">
        <f>Main_무해지!AC39</f>
        <v/>
      </c>
      <c r="W39" s="64">
        <f>+Main_무해지!AD39</f>
        <v>0</v>
      </c>
      <c r="X39" s="64">
        <v>0</v>
      </c>
      <c r="Y39" s="255" t="str">
        <f t="shared" si="45"/>
        <v/>
      </c>
      <c r="Z39" s="255" t="str">
        <f t="shared" si="0"/>
        <v/>
      </c>
      <c r="AA39" s="62" t="str">
        <f>IF($U39="","",SUM(Z39:Z$114))</f>
        <v/>
      </c>
      <c r="AB39" s="255" t="str">
        <f t="shared" si="34"/>
        <v/>
      </c>
      <c r="AC39" s="254">
        <f t="shared" si="35"/>
        <v>0</v>
      </c>
      <c r="AD39" s="254" t="str">
        <f>Main_무해지!AJ39</f>
        <v/>
      </c>
      <c r="AE39" s="255">
        <f t="shared" si="1"/>
        <v>0</v>
      </c>
      <c r="AF39" s="255" t="str">
        <f t="shared" si="46"/>
        <v/>
      </c>
      <c r="AG39" s="255" t="str">
        <f t="shared" si="2"/>
        <v/>
      </c>
      <c r="AH39" s="62" t="str">
        <f>IF($U39="","",SUM(AG39:AG$114))</f>
        <v/>
      </c>
      <c r="AI39" s="255" t="str">
        <f>Main_무해지!AP39</f>
        <v/>
      </c>
      <c r="AJ39" s="255">
        <f t="shared" si="3"/>
        <v>0</v>
      </c>
      <c r="AK39" s="255" t="str">
        <f t="shared" si="4"/>
        <v/>
      </c>
      <c r="AL39" s="255" t="str">
        <f t="shared" si="5"/>
        <v/>
      </c>
      <c r="AM39" s="65" t="str">
        <f>IF($U39="","",SUM($AN39:$AN$114))</f>
        <v/>
      </c>
      <c r="AN39" s="255" t="str">
        <f t="shared" si="36"/>
        <v/>
      </c>
      <c r="AO39" s="65" t="str">
        <f t="shared" si="6"/>
        <v/>
      </c>
      <c r="AP39" s="61" t="str">
        <f>IF($U39="","",INDEX(#REF!,$U39+1))</f>
        <v/>
      </c>
      <c r="AQ39" s="255">
        <f t="shared" si="7"/>
        <v>0</v>
      </c>
      <c r="AR39" s="255" t="str">
        <f t="shared" si="8"/>
        <v/>
      </c>
      <c r="AS39" s="255" t="str">
        <f t="shared" si="9"/>
        <v/>
      </c>
      <c r="AT39" s="65" t="str">
        <f>IF($U39="","",SUM($AS39:$AS$114))</f>
        <v/>
      </c>
      <c r="AU39" s="61" t="str">
        <f>IF($U39="","",INDEX(#REF!,$U39+1))</f>
        <v/>
      </c>
      <c r="AV39" s="255">
        <f t="shared" si="10"/>
        <v>0</v>
      </c>
      <c r="AW39" s="255" t="str">
        <f t="shared" si="11"/>
        <v/>
      </c>
      <c r="AX39" s="255" t="str">
        <f t="shared" si="12"/>
        <v/>
      </c>
      <c r="AY39" s="65" t="str">
        <f>IF($U39="","",SUM($AX39:$AX$114))</f>
        <v/>
      </c>
      <c r="AZ39" s="61" t="str">
        <f>IF($U39="","",INDEX(#REF!,$U39+1))</f>
        <v/>
      </c>
      <c r="BA39" s="255">
        <f t="shared" si="13"/>
        <v>0</v>
      </c>
      <c r="BB39" s="255" t="str">
        <f t="shared" si="14"/>
        <v/>
      </c>
      <c r="BC39" s="255" t="str">
        <f t="shared" si="15"/>
        <v/>
      </c>
      <c r="BD39" s="65" t="str">
        <f>IF($U39="","",SUM($BC39:$BC$114))</f>
        <v/>
      </c>
      <c r="BE39" s="61" t="str">
        <f>IF($U39="","",INDEX(#REF!,$U39+1))</f>
        <v/>
      </c>
      <c r="BF39" s="255">
        <f t="shared" si="16"/>
        <v>0</v>
      </c>
      <c r="BG39" s="255" t="str">
        <f t="shared" si="17"/>
        <v/>
      </c>
      <c r="BH39" s="255" t="str">
        <f t="shared" si="18"/>
        <v/>
      </c>
      <c r="BI39" s="65" t="str">
        <f>IF($U39="","",SUM($BH39:$BH$114))</f>
        <v/>
      </c>
      <c r="BJ39" s="61" t="str">
        <f>IF($U39="","",INDEX(#REF!,$U39+1))</f>
        <v/>
      </c>
      <c r="BK39" s="255">
        <f t="shared" si="19"/>
        <v>0</v>
      </c>
      <c r="BL39" s="255" t="str">
        <f t="shared" si="20"/>
        <v/>
      </c>
      <c r="BM39" s="255" t="str">
        <f t="shared" si="21"/>
        <v/>
      </c>
      <c r="BN39" s="65" t="str">
        <f>IF($U39="","",SUM($BM39:$BM$114))</f>
        <v/>
      </c>
      <c r="BO39" s="61">
        <f t="shared" si="22"/>
        <v>0</v>
      </c>
      <c r="BP39" s="255" t="str">
        <f t="shared" si="23"/>
        <v/>
      </c>
      <c r="BQ39" s="255" t="str">
        <f t="shared" si="24"/>
        <v/>
      </c>
      <c r="BR39" s="255"/>
      <c r="BS39" s="255" t="str">
        <f t="shared" si="37"/>
        <v/>
      </c>
      <c r="BT39" s="255" t="str">
        <f t="shared" si="25"/>
        <v/>
      </c>
      <c r="BU39" s="255" t="str">
        <f t="shared" si="26"/>
        <v/>
      </c>
      <c r="BV39" s="255"/>
      <c r="BW39" s="255" t="str">
        <f t="shared" si="38"/>
        <v/>
      </c>
      <c r="BX39" s="255" t="str">
        <f>IF($U39="","",SUM(BS39:BS$114)+SUM(BW39:BW$114))</f>
        <v/>
      </c>
      <c r="BY39" s="63"/>
      <c r="BZ39" s="63"/>
      <c r="CA39" s="63"/>
      <c r="CB39" s="63"/>
      <c r="CC39" s="255" t="str">
        <f t="shared" si="39"/>
        <v/>
      </c>
      <c r="CD39" s="255" t="str">
        <f t="shared" si="27"/>
        <v/>
      </c>
      <c r="CE39" s="255" t="str">
        <f t="shared" si="28"/>
        <v/>
      </c>
      <c r="CF39" s="255" t="str">
        <f t="shared" si="40"/>
        <v/>
      </c>
      <c r="CG39" s="255" t="str">
        <f t="shared" si="29"/>
        <v/>
      </c>
      <c r="CH39" s="66" t="str">
        <f t="shared" si="41"/>
        <v/>
      </c>
      <c r="CI39" s="67" t="str">
        <f t="shared" si="30"/>
        <v/>
      </c>
      <c r="CJ39" s="237"/>
      <c r="CK39" s="60" t="str">
        <f t="shared" si="31"/>
        <v/>
      </c>
      <c r="CL39" s="67" t="str">
        <f t="shared" si="47"/>
        <v/>
      </c>
      <c r="CM39" s="67" t="str">
        <f t="shared" si="42"/>
        <v/>
      </c>
      <c r="CN39" s="67" t="str">
        <f t="shared" si="32"/>
        <v/>
      </c>
      <c r="CO39" s="67" t="str">
        <f t="shared" si="43"/>
        <v/>
      </c>
      <c r="CP39" s="237"/>
      <c r="CQ39" s="237"/>
      <c r="CR39" s="237"/>
      <c r="CS39" s="237"/>
      <c r="CT39" s="237"/>
      <c r="CU39" s="237"/>
      <c r="CV39" s="237"/>
    </row>
    <row r="40" spans="1:100" ht="17.25" thickBot="1">
      <c r="A40" s="305"/>
      <c r="B40" s="373"/>
      <c r="H40" s="292"/>
      <c r="I40" s="48" t="s">
        <v>26</v>
      </c>
      <c r="J40" s="51" t="s">
        <v>44</v>
      </c>
      <c r="K40" s="486">
        <f>K17*((1-E28-E30)-K20*E25/K17)-(K36)*(1+E24*K20/K17)</f>
        <v>87500.000000000015</v>
      </c>
      <c r="L40" s="599"/>
      <c r="M40" s="599"/>
      <c r="N40" s="278" t="str">
        <f t="shared" si="51"/>
        <v/>
      </c>
      <c r="O40" s="279" t="str">
        <f t="shared" si="52"/>
        <v/>
      </c>
      <c r="P40" s="271" t="str">
        <f t="shared" si="48"/>
        <v/>
      </c>
      <c r="Q40" s="271" t="str">
        <f t="shared" si="49"/>
        <v/>
      </c>
      <c r="R40" s="271" t="str">
        <f t="shared" si="50"/>
        <v/>
      </c>
      <c r="S40" s="400" t="str">
        <f t="shared" si="33"/>
        <v/>
      </c>
      <c r="T40" s="232"/>
      <c r="U40" s="759" t="str">
        <f t="shared" si="44"/>
        <v/>
      </c>
      <c r="V40" s="761" t="str">
        <f>Main_무해지!AC40</f>
        <v/>
      </c>
      <c r="W40" s="639">
        <f>+Main_무해지!AD40</f>
        <v>0</v>
      </c>
      <c r="X40" s="639">
        <v>0</v>
      </c>
      <c r="Y40" s="409" t="str">
        <f t="shared" si="45"/>
        <v/>
      </c>
      <c r="Z40" s="409" t="str">
        <f t="shared" si="0"/>
        <v/>
      </c>
      <c r="AA40" s="760" t="str">
        <f>IF($U40="","",SUM(Z40:Z$114))</f>
        <v/>
      </c>
      <c r="AB40" s="409" t="str">
        <f t="shared" si="34"/>
        <v/>
      </c>
      <c r="AC40" s="254">
        <f t="shared" si="35"/>
        <v>0</v>
      </c>
      <c r="AD40" s="254" t="str">
        <f>Main_무해지!AJ40</f>
        <v/>
      </c>
      <c r="AE40" s="409">
        <f t="shared" si="1"/>
        <v>0</v>
      </c>
      <c r="AF40" s="409" t="str">
        <f t="shared" si="46"/>
        <v/>
      </c>
      <c r="AG40" s="409" t="str">
        <f t="shared" si="2"/>
        <v/>
      </c>
      <c r="AH40" s="760" t="str">
        <f>IF($U40="","",SUM(AG40:AG$114))</f>
        <v/>
      </c>
      <c r="AI40" s="409" t="str">
        <f>Main_무해지!AP40</f>
        <v/>
      </c>
      <c r="AJ40" s="409">
        <f t="shared" si="3"/>
        <v>0</v>
      </c>
      <c r="AK40" s="409" t="str">
        <f t="shared" si="4"/>
        <v/>
      </c>
      <c r="AL40" s="409" t="str">
        <f t="shared" si="5"/>
        <v/>
      </c>
      <c r="AM40" s="762" t="str">
        <f>IF($U40="","",SUM($AN40:$AN$114))</f>
        <v/>
      </c>
      <c r="AN40" s="409" t="str">
        <f t="shared" si="36"/>
        <v/>
      </c>
      <c r="AO40" s="762" t="str">
        <f t="shared" si="6"/>
        <v/>
      </c>
      <c r="AP40" s="761" t="str">
        <f>IF($U40="","",INDEX(#REF!,$U40+1))</f>
        <v/>
      </c>
      <c r="AQ40" s="409">
        <f t="shared" si="7"/>
        <v>0</v>
      </c>
      <c r="AR40" s="409" t="str">
        <f t="shared" si="8"/>
        <v/>
      </c>
      <c r="AS40" s="409" t="str">
        <f t="shared" si="9"/>
        <v/>
      </c>
      <c r="AT40" s="762" t="str">
        <f>IF($U40="","",SUM($AS40:$AS$114))</f>
        <v/>
      </c>
      <c r="AU40" s="761" t="str">
        <f>IF($U40="","",INDEX(#REF!,$U40+1))</f>
        <v/>
      </c>
      <c r="AV40" s="409">
        <f t="shared" si="10"/>
        <v>0</v>
      </c>
      <c r="AW40" s="409" t="str">
        <f t="shared" si="11"/>
        <v/>
      </c>
      <c r="AX40" s="409" t="str">
        <f t="shared" si="12"/>
        <v/>
      </c>
      <c r="AY40" s="762" t="str">
        <f>IF($U40="","",SUM($AX40:$AX$114))</f>
        <v/>
      </c>
      <c r="AZ40" s="761" t="str">
        <f>IF($U40="","",INDEX(#REF!,$U40+1))</f>
        <v/>
      </c>
      <c r="BA40" s="409">
        <f t="shared" si="13"/>
        <v>0</v>
      </c>
      <c r="BB40" s="409" t="str">
        <f t="shared" si="14"/>
        <v/>
      </c>
      <c r="BC40" s="409" t="str">
        <f t="shared" si="15"/>
        <v/>
      </c>
      <c r="BD40" s="762" t="str">
        <f>IF($U40="","",SUM($BC40:$BC$114))</f>
        <v/>
      </c>
      <c r="BE40" s="761" t="str">
        <f>IF($U40="","",INDEX(#REF!,$U40+1))</f>
        <v/>
      </c>
      <c r="BF40" s="409">
        <f t="shared" si="16"/>
        <v>0</v>
      </c>
      <c r="BG40" s="409" t="str">
        <f t="shared" si="17"/>
        <v/>
      </c>
      <c r="BH40" s="409" t="str">
        <f t="shared" si="18"/>
        <v/>
      </c>
      <c r="BI40" s="762" t="str">
        <f>IF($U40="","",SUM($BH40:$BH$114))</f>
        <v/>
      </c>
      <c r="BJ40" s="761" t="str">
        <f>IF($U40="","",INDEX(#REF!,$U40+1))</f>
        <v/>
      </c>
      <c r="BK40" s="409">
        <f t="shared" si="19"/>
        <v>0</v>
      </c>
      <c r="BL40" s="409" t="str">
        <f t="shared" si="20"/>
        <v/>
      </c>
      <c r="BM40" s="409" t="str">
        <f t="shared" si="21"/>
        <v/>
      </c>
      <c r="BN40" s="762" t="str">
        <f>IF($U40="","",SUM($BM40:$BM$114))</f>
        <v/>
      </c>
      <c r="BO40" s="761">
        <f t="shared" si="22"/>
        <v>0</v>
      </c>
      <c r="BP40" s="409" t="str">
        <f t="shared" si="23"/>
        <v/>
      </c>
      <c r="BQ40" s="409" t="str">
        <f t="shared" si="24"/>
        <v/>
      </c>
      <c r="BR40" s="409"/>
      <c r="BS40" s="409" t="str">
        <f t="shared" si="37"/>
        <v/>
      </c>
      <c r="BT40" s="409" t="str">
        <f t="shared" si="25"/>
        <v/>
      </c>
      <c r="BU40" s="409" t="str">
        <f t="shared" si="26"/>
        <v/>
      </c>
      <c r="BV40" s="409"/>
      <c r="BW40" s="409" t="str">
        <f t="shared" si="38"/>
        <v/>
      </c>
      <c r="BX40" s="409" t="str">
        <f>IF($U40="","",SUM(BS40:BS$114)+SUM(BW40:BW$114))</f>
        <v/>
      </c>
      <c r="BY40" s="763"/>
      <c r="BZ40" s="763"/>
      <c r="CA40" s="763"/>
      <c r="CB40" s="763"/>
      <c r="CC40" s="409" t="str">
        <f t="shared" si="39"/>
        <v/>
      </c>
      <c r="CD40" s="409" t="str">
        <f t="shared" si="27"/>
        <v/>
      </c>
      <c r="CE40" s="409" t="str">
        <f t="shared" si="28"/>
        <v/>
      </c>
      <c r="CF40" s="409" t="str">
        <f t="shared" si="40"/>
        <v/>
      </c>
      <c r="CG40" s="409" t="str">
        <f t="shared" si="29"/>
        <v/>
      </c>
      <c r="CH40" s="765" t="str">
        <f t="shared" si="41"/>
        <v/>
      </c>
      <c r="CI40" s="766" t="str">
        <f t="shared" si="30"/>
        <v/>
      </c>
      <c r="CJ40" s="414"/>
      <c r="CK40" s="759" t="str">
        <f t="shared" si="31"/>
        <v/>
      </c>
      <c r="CL40" s="766" t="str">
        <f t="shared" si="47"/>
        <v/>
      </c>
      <c r="CM40" s="766" t="str">
        <f t="shared" si="42"/>
        <v/>
      </c>
      <c r="CN40" s="766" t="str">
        <f t="shared" si="32"/>
        <v/>
      </c>
      <c r="CO40" s="766" t="str">
        <f t="shared" si="43"/>
        <v/>
      </c>
      <c r="CP40" s="414"/>
      <c r="CQ40" s="414"/>
      <c r="CR40" s="414"/>
      <c r="CS40" s="414"/>
      <c r="CT40" s="414"/>
      <c r="CU40" s="414"/>
      <c r="CV40" s="414"/>
    </row>
    <row r="41" spans="1:100" ht="17.25" thickTop="1">
      <c r="A41" s="305"/>
      <c r="B41" s="373"/>
      <c r="C41" s="184"/>
      <c r="D41" s="185" t="s">
        <v>63</v>
      </c>
      <c r="E41" s="186"/>
      <c r="F41" s="187"/>
      <c r="G41" s="188"/>
      <c r="I41" s="82"/>
      <c r="J41" s="109" t="s">
        <v>46</v>
      </c>
      <c r="K41" s="490">
        <f>K39/K40</f>
        <v>7.0461715141866185E-6</v>
      </c>
      <c r="L41" s="599"/>
      <c r="M41" s="599"/>
      <c r="N41" s="280" t="str">
        <f t="shared" si="51"/>
        <v/>
      </c>
      <c r="O41" s="281" t="str">
        <f t="shared" si="52"/>
        <v/>
      </c>
      <c r="P41" s="282" t="str">
        <f t="shared" si="48"/>
        <v/>
      </c>
      <c r="Q41" s="282" t="str">
        <f t="shared" si="49"/>
        <v/>
      </c>
      <c r="R41" s="282" t="str">
        <f t="shared" si="50"/>
        <v/>
      </c>
      <c r="S41" s="402" t="str">
        <f t="shared" si="33"/>
        <v/>
      </c>
      <c r="T41" s="232"/>
      <c r="U41" s="101" t="str">
        <f t="shared" si="44"/>
        <v/>
      </c>
      <c r="V41" s="285" t="str">
        <f>Main_무해지!AC41</f>
        <v/>
      </c>
      <c r="W41" s="308">
        <f>+Main_무해지!AD41</f>
        <v>0</v>
      </c>
      <c r="X41" s="308">
        <v>0</v>
      </c>
      <c r="Y41" s="258" t="str">
        <f t="shared" si="45"/>
        <v/>
      </c>
      <c r="Z41" s="258" t="str">
        <f t="shared" si="0"/>
        <v/>
      </c>
      <c r="AA41" s="102" t="str">
        <f>IF($U41="","",SUM(Z41:Z$114))</f>
        <v/>
      </c>
      <c r="AB41" s="258" t="str">
        <f t="shared" si="34"/>
        <v/>
      </c>
      <c r="AC41" s="254">
        <f t="shared" si="35"/>
        <v>0</v>
      </c>
      <c r="AD41" s="254" t="str">
        <f>Main_무해지!AJ41</f>
        <v/>
      </c>
      <c r="AE41" s="258">
        <f t="shared" si="1"/>
        <v>0</v>
      </c>
      <c r="AF41" s="258" t="str">
        <f t="shared" si="46"/>
        <v/>
      </c>
      <c r="AG41" s="258" t="str">
        <f t="shared" si="2"/>
        <v/>
      </c>
      <c r="AH41" s="102" t="str">
        <f>IF($U41="","",SUM(AG41:AG$114))</f>
        <v/>
      </c>
      <c r="AI41" s="258" t="str">
        <f>Main_무해지!AP41</f>
        <v/>
      </c>
      <c r="AJ41" s="258">
        <f t="shared" si="3"/>
        <v>0</v>
      </c>
      <c r="AK41" s="258" t="str">
        <f t="shared" si="4"/>
        <v/>
      </c>
      <c r="AL41" s="258" t="str">
        <f t="shared" si="5"/>
        <v/>
      </c>
      <c r="AM41" s="315" t="str">
        <f>IF($U41="","",SUM($AN41:$AN$114))</f>
        <v/>
      </c>
      <c r="AN41" s="258" t="str">
        <f t="shared" si="36"/>
        <v/>
      </c>
      <c r="AO41" s="315" t="str">
        <f t="shared" si="6"/>
        <v/>
      </c>
      <c r="AP41" s="285" t="str">
        <f>IF($U41="","",INDEX(#REF!,$U41+1))</f>
        <v/>
      </c>
      <c r="AQ41" s="258">
        <f t="shared" si="7"/>
        <v>0</v>
      </c>
      <c r="AR41" s="258" t="str">
        <f t="shared" si="8"/>
        <v/>
      </c>
      <c r="AS41" s="258" t="str">
        <f t="shared" si="9"/>
        <v/>
      </c>
      <c r="AT41" s="315" t="str">
        <f>IF($U41="","",SUM($AS41:$AS$114))</f>
        <v/>
      </c>
      <c r="AU41" s="285" t="str">
        <f>IF($U41="","",INDEX(#REF!,$U41+1))</f>
        <v/>
      </c>
      <c r="AV41" s="258">
        <f t="shared" si="10"/>
        <v>0</v>
      </c>
      <c r="AW41" s="258" t="str">
        <f t="shared" si="11"/>
        <v/>
      </c>
      <c r="AX41" s="258" t="str">
        <f t="shared" si="12"/>
        <v/>
      </c>
      <c r="AY41" s="315" t="str">
        <f>IF($U41="","",SUM($AX41:$AX$114))</f>
        <v/>
      </c>
      <c r="AZ41" s="285" t="str">
        <f>IF($U41="","",INDEX(#REF!,$U41+1))</f>
        <v/>
      </c>
      <c r="BA41" s="258">
        <f t="shared" si="13"/>
        <v>0</v>
      </c>
      <c r="BB41" s="258" t="str">
        <f t="shared" si="14"/>
        <v/>
      </c>
      <c r="BC41" s="258" t="str">
        <f t="shared" si="15"/>
        <v/>
      </c>
      <c r="BD41" s="315" t="str">
        <f>IF($U41="","",SUM($BC41:$BC$114))</f>
        <v/>
      </c>
      <c r="BE41" s="285" t="str">
        <f>IF($U41="","",INDEX(#REF!,$U41+1))</f>
        <v/>
      </c>
      <c r="BF41" s="258">
        <f t="shared" si="16"/>
        <v>0</v>
      </c>
      <c r="BG41" s="258" t="str">
        <f t="shared" si="17"/>
        <v/>
      </c>
      <c r="BH41" s="258" t="str">
        <f t="shared" si="18"/>
        <v/>
      </c>
      <c r="BI41" s="315" t="str">
        <f>IF($U41="","",SUM($BH41:$BH$114))</f>
        <v/>
      </c>
      <c r="BJ41" s="285" t="str">
        <f>IF($U41="","",INDEX(#REF!,$U41+1))</f>
        <v/>
      </c>
      <c r="BK41" s="258">
        <f t="shared" si="19"/>
        <v>0</v>
      </c>
      <c r="BL41" s="258" t="str">
        <f t="shared" si="20"/>
        <v/>
      </c>
      <c r="BM41" s="258" t="str">
        <f t="shared" si="21"/>
        <v/>
      </c>
      <c r="BN41" s="315" t="str">
        <f>IF($U41="","",SUM($BM41:$BM$114))</f>
        <v/>
      </c>
      <c r="BO41" s="285">
        <f t="shared" si="22"/>
        <v>0</v>
      </c>
      <c r="BP41" s="258" t="str">
        <f t="shared" si="23"/>
        <v/>
      </c>
      <c r="BQ41" s="258" t="str">
        <f t="shared" si="24"/>
        <v/>
      </c>
      <c r="BR41" s="258"/>
      <c r="BS41" s="258" t="str">
        <f t="shared" si="37"/>
        <v/>
      </c>
      <c r="BT41" s="258" t="str">
        <f t="shared" si="25"/>
        <v/>
      </c>
      <c r="BU41" s="258" t="str">
        <f t="shared" si="26"/>
        <v/>
      </c>
      <c r="BV41" s="258"/>
      <c r="BW41" s="258" t="str">
        <f t="shared" si="38"/>
        <v/>
      </c>
      <c r="BX41" s="258" t="str">
        <f>IF($U41="","",SUM(BS41:BS$114)+SUM(BW41:BW$114))</f>
        <v/>
      </c>
      <c r="BY41" s="103"/>
      <c r="BZ41" s="103"/>
      <c r="CA41" s="103"/>
      <c r="CB41" s="103"/>
      <c r="CC41" s="258" t="str">
        <f t="shared" si="39"/>
        <v/>
      </c>
      <c r="CD41" s="258" t="str">
        <f t="shared" si="27"/>
        <v/>
      </c>
      <c r="CE41" s="258" t="str">
        <f t="shared" si="28"/>
        <v/>
      </c>
      <c r="CF41" s="258" t="str">
        <f t="shared" si="40"/>
        <v/>
      </c>
      <c r="CG41" s="258" t="str">
        <f t="shared" si="29"/>
        <v/>
      </c>
      <c r="CH41" s="104" t="str">
        <f t="shared" si="41"/>
        <v/>
      </c>
      <c r="CI41" s="105" t="str">
        <f t="shared" si="30"/>
        <v/>
      </c>
      <c r="CJ41" s="240"/>
      <c r="CK41" s="101" t="str">
        <f t="shared" si="31"/>
        <v/>
      </c>
      <c r="CL41" s="105" t="str">
        <f t="shared" si="47"/>
        <v/>
      </c>
      <c r="CM41" s="105" t="str">
        <f t="shared" si="42"/>
        <v/>
      </c>
      <c r="CN41" s="105" t="str">
        <f t="shared" si="32"/>
        <v/>
      </c>
      <c r="CO41" s="105" t="str">
        <f t="shared" si="43"/>
        <v/>
      </c>
      <c r="CP41" s="240"/>
      <c r="CQ41" s="240"/>
      <c r="CR41" s="240"/>
      <c r="CS41" s="240"/>
      <c r="CT41" s="240"/>
      <c r="CU41" s="240"/>
      <c r="CV41" s="240"/>
    </row>
    <row r="42" spans="1:100">
      <c r="A42" s="305"/>
      <c r="B42" s="373"/>
      <c r="C42" s="189"/>
      <c r="D42" s="190" t="s">
        <v>64</v>
      </c>
      <c r="E42" s="191"/>
      <c r="F42" s="176"/>
      <c r="G42" s="192"/>
      <c r="I42" s="115" t="str">
        <f>IF(F5=0,"일시납순보험료","연납순보험료")</f>
        <v>연납순보험료</v>
      </c>
      <c r="J42" s="116" t="s">
        <v>42</v>
      </c>
      <c r="K42" s="488">
        <f>IF($F$6=0,(1-$E$36-$E$38)*(K35+K36)+($E$32+$E$37*K33/K20)*K34,(1-$E$28-$E$30-E25*K20/K32)*(K35)+(($E$23+$E$24*K41)*K20+$E$27*K31+$E$29*K33)*K36/K31)</f>
        <v>0.6165400074913292</v>
      </c>
      <c r="L42" s="599"/>
      <c r="M42" s="599"/>
      <c r="N42" s="275" t="str">
        <f t="shared" si="51"/>
        <v/>
      </c>
      <c r="O42" s="276" t="str">
        <f t="shared" si="52"/>
        <v/>
      </c>
      <c r="P42" s="277" t="str">
        <f t="shared" si="48"/>
        <v/>
      </c>
      <c r="Q42" s="277" t="str">
        <f t="shared" si="49"/>
        <v/>
      </c>
      <c r="R42" s="277" t="str">
        <f t="shared" si="50"/>
        <v/>
      </c>
      <c r="S42" s="401" t="str">
        <f t="shared" si="33"/>
        <v/>
      </c>
      <c r="T42" s="232"/>
      <c r="U42" s="101" t="str">
        <f t="shared" si="44"/>
        <v/>
      </c>
      <c r="V42" s="285" t="str">
        <f>Main_무해지!AC42</f>
        <v/>
      </c>
      <c r="W42" s="308">
        <f>+Main_무해지!AD42</f>
        <v>0</v>
      </c>
      <c r="X42" s="308">
        <v>0</v>
      </c>
      <c r="Y42" s="258" t="str">
        <f t="shared" si="45"/>
        <v/>
      </c>
      <c r="Z42" s="258" t="str">
        <f t="shared" si="0"/>
        <v/>
      </c>
      <c r="AA42" s="102" t="str">
        <f>IF($U42="","",SUM(Z42:Z$114))</f>
        <v/>
      </c>
      <c r="AB42" s="258" t="str">
        <f t="shared" si="34"/>
        <v/>
      </c>
      <c r="AC42" s="254">
        <f t="shared" si="35"/>
        <v>0</v>
      </c>
      <c r="AD42" s="254" t="str">
        <f>Main_무해지!AJ42</f>
        <v/>
      </c>
      <c r="AE42" s="258">
        <f t="shared" si="1"/>
        <v>0</v>
      </c>
      <c r="AF42" s="258" t="str">
        <f t="shared" si="46"/>
        <v/>
      </c>
      <c r="AG42" s="258" t="str">
        <f t="shared" si="2"/>
        <v/>
      </c>
      <c r="AH42" s="102" t="str">
        <f>IF($U42="","",SUM(AG42:AG$114))</f>
        <v/>
      </c>
      <c r="AI42" s="258" t="str">
        <f>Main_무해지!AP42</f>
        <v/>
      </c>
      <c r="AJ42" s="258">
        <f t="shared" si="3"/>
        <v>0</v>
      </c>
      <c r="AK42" s="258" t="str">
        <f t="shared" si="4"/>
        <v/>
      </c>
      <c r="AL42" s="258" t="str">
        <f t="shared" si="5"/>
        <v/>
      </c>
      <c r="AM42" s="315" t="str">
        <f>IF($U42="","",SUM($AN42:$AN$114))</f>
        <v/>
      </c>
      <c r="AN42" s="258" t="str">
        <f t="shared" si="36"/>
        <v/>
      </c>
      <c r="AO42" s="315" t="str">
        <f t="shared" si="6"/>
        <v/>
      </c>
      <c r="AP42" s="285" t="str">
        <f>IF($U42="","",INDEX(#REF!,$U42+1))</f>
        <v/>
      </c>
      <c r="AQ42" s="258">
        <f t="shared" si="7"/>
        <v>0</v>
      </c>
      <c r="AR42" s="258" t="str">
        <f t="shared" si="8"/>
        <v/>
      </c>
      <c r="AS42" s="258" t="str">
        <f t="shared" si="9"/>
        <v/>
      </c>
      <c r="AT42" s="315" t="str">
        <f>IF($U42="","",SUM($AS42:$AS$114))</f>
        <v/>
      </c>
      <c r="AU42" s="285" t="str">
        <f>IF($U42="","",INDEX(#REF!,$U42+1))</f>
        <v/>
      </c>
      <c r="AV42" s="258">
        <f t="shared" si="10"/>
        <v>0</v>
      </c>
      <c r="AW42" s="258" t="str">
        <f t="shared" si="11"/>
        <v/>
      </c>
      <c r="AX42" s="258" t="str">
        <f t="shared" si="12"/>
        <v/>
      </c>
      <c r="AY42" s="315" t="str">
        <f>IF($U42="","",SUM($AX42:$AX$114))</f>
        <v/>
      </c>
      <c r="AZ42" s="285" t="str">
        <f>IF($U42="","",INDEX(#REF!,$U42+1))</f>
        <v/>
      </c>
      <c r="BA42" s="258">
        <f t="shared" si="13"/>
        <v>0</v>
      </c>
      <c r="BB42" s="258" t="str">
        <f t="shared" si="14"/>
        <v/>
      </c>
      <c r="BC42" s="258" t="str">
        <f t="shared" si="15"/>
        <v/>
      </c>
      <c r="BD42" s="315" t="str">
        <f>IF($U42="","",SUM($BC42:$BC$114))</f>
        <v/>
      </c>
      <c r="BE42" s="285" t="str">
        <f>IF($U42="","",INDEX(#REF!,$U42+1))</f>
        <v/>
      </c>
      <c r="BF42" s="258">
        <f t="shared" si="16"/>
        <v>0</v>
      </c>
      <c r="BG42" s="258" t="str">
        <f t="shared" si="17"/>
        <v/>
      </c>
      <c r="BH42" s="258" t="str">
        <f t="shared" si="18"/>
        <v/>
      </c>
      <c r="BI42" s="315" t="str">
        <f>IF($U42="","",SUM($BH42:$BH$114))</f>
        <v/>
      </c>
      <c r="BJ42" s="285" t="str">
        <f>IF($U42="","",INDEX(#REF!,$U42+1))</f>
        <v/>
      </c>
      <c r="BK42" s="258">
        <f t="shared" si="19"/>
        <v>0</v>
      </c>
      <c r="BL42" s="258" t="str">
        <f t="shared" si="20"/>
        <v/>
      </c>
      <c r="BM42" s="258" t="str">
        <f t="shared" si="21"/>
        <v/>
      </c>
      <c r="BN42" s="315" t="str">
        <f>IF($U42="","",SUM($BM42:$BM$114))</f>
        <v/>
      </c>
      <c r="BO42" s="285">
        <f t="shared" si="22"/>
        <v>0</v>
      </c>
      <c r="BP42" s="258" t="str">
        <f t="shared" si="23"/>
        <v/>
      </c>
      <c r="BQ42" s="258" t="str">
        <f t="shared" si="24"/>
        <v/>
      </c>
      <c r="BR42" s="258"/>
      <c r="BS42" s="258" t="str">
        <f t="shared" si="37"/>
        <v/>
      </c>
      <c r="BT42" s="258" t="str">
        <f t="shared" si="25"/>
        <v/>
      </c>
      <c r="BU42" s="258" t="str">
        <f t="shared" si="26"/>
        <v/>
      </c>
      <c r="BV42" s="258"/>
      <c r="BW42" s="258" t="str">
        <f t="shared" si="38"/>
        <v/>
      </c>
      <c r="BX42" s="258" t="str">
        <f>IF($U42="","",SUM(BS42:BS$114)+SUM(BW42:BW$114))</f>
        <v/>
      </c>
      <c r="BY42" s="103"/>
      <c r="BZ42" s="103"/>
      <c r="CA42" s="103"/>
      <c r="CB42" s="103"/>
      <c r="CC42" s="258" t="str">
        <f t="shared" si="39"/>
        <v/>
      </c>
      <c r="CD42" s="258" t="str">
        <f t="shared" si="27"/>
        <v/>
      </c>
      <c r="CE42" s="258" t="str">
        <f t="shared" si="28"/>
        <v/>
      </c>
      <c r="CF42" s="258" t="str">
        <f t="shared" si="40"/>
        <v/>
      </c>
      <c r="CG42" s="258" t="str">
        <f t="shared" si="29"/>
        <v/>
      </c>
      <c r="CH42" s="104" t="str">
        <f t="shared" si="41"/>
        <v/>
      </c>
      <c r="CI42" s="105" t="str">
        <f t="shared" si="30"/>
        <v/>
      </c>
      <c r="CJ42" s="240"/>
      <c r="CK42" s="101" t="str">
        <f t="shared" si="31"/>
        <v/>
      </c>
      <c r="CL42" s="105" t="str">
        <f t="shared" si="47"/>
        <v/>
      </c>
      <c r="CM42" s="105" t="str">
        <f t="shared" si="42"/>
        <v/>
      </c>
      <c r="CN42" s="105" t="str">
        <f t="shared" si="32"/>
        <v/>
      </c>
      <c r="CO42" s="105" t="str">
        <f t="shared" si="43"/>
        <v/>
      </c>
      <c r="CP42" s="240"/>
      <c r="CQ42" s="240"/>
      <c r="CR42" s="240"/>
      <c r="CS42" s="240"/>
      <c r="CT42" s="240"/>
      <c r="CU42" s="240"/>
      <c r="CV42" s="240"/>
    </row>
    <row r="43" spans="1:100">
      <c r="A43" s="305"/>
      <c r="B43" s="373"/>
      <c r="C43" s="189"/>
      <c r="D43" s="190" t="s">
        <v>65</v>
      </c>
      <c r="E43" s="177"/>
      <c r="F43" s="176"/>
      <c r="G43" s="192"/>
      <c r="I43" s="48"/>
      <c r="J43" s="49" t="s">
        <v>44</v>
      </c>
      <c r="K43" s="486">
        <f>IF($F$6=0,(1-$E$36-$E$38)*K20-(1+$E$33)*K34,1*((1-$E$28-$E$30)*K31-E25*K20-K36))</f>
        <v>87500.000000000015</v>
      </c>
      <c r="L43" s="599"/>
      <c r="M43" s="599"/>
      <c r="N43" s="278" t="str">
        <f t="shared" si="51"/>
        <v/>
      </c>
      <c r="O43" s="279" t="str">
        <f t="shared" si="52"/>
        <v/>
      </c>
      <c r="P43" s="271" t="str">
        <f t="shared" si="48"/>
        <v/>
      </c>
      <c r="Q43" s="271" t="str">
        <f t="shared" si="49"/>
        <v/>
      </c>
      <c r="R43" s="271" t="str">
        <f t="shared" si="50"/>
        <v/>
      </c>
      <c r="S43" s="400" t="str">
        <f t="shared" si="33"/>
        <v/>
      </c>
      <c r="T43" s="232"/>
      <c r="U43" s="101" t="str">
        <f t="shared" si="44"/>
        <v/>
      </c>
      <c r="V43" s="285" t="str">
        <f>Main_무해지!AC43</f>
        <v/>
      </c>
      <c r="W43" s="308">
        <f>+Main_무해지!AD43</f>
        <v>0</v>
      </c>
      <c r="X43" s="308">
        <v>0</v>
      </c>
      <c r="Y43" s="258" t="str">
        <f t="shared" si="45"/>
        <v/>
      </c>
      <c r="Z43" s="258" t="str">
        <f t="shared" si="0"/>
        <v/>
      </c>
      <c r="AA43" s="102" t="str">
        <f>IF($U43="","",SUM(Z43:Z$114))</f>
        <v/>
      </c>
      <c r="AB43" s="258" t="str">
        <f t="shared" si="34"/>
        <v/>
      </c>
      <c r="AC43" s="254">
        <f t="shared" si="35"/>
        <v>0</v>
      </c>
      <c r="AD43" s="254" t="str">
        <f>Main_무해지!AJ43</f>
        <v/>
      </c>
      <c r="AE43" s="258">
        <f t="shared" si="1"/>
        <v>0</v>
      </c>
      <c r="AF43" s="258" t="str">
        <f t="shared" si="46"/>
        <v/>
      </c>
      <c r="AG43" s="258" t="str">
        <f t="shared" si="2"/>
        <v/>
      </c>
      <c r="AH43" s="102" t="str">
        <f>IF($U43="","",SUM(AG43:AG$114))</f>
        <v/>
      </c>
      <c r="AI43" s="258" t="str">
        <f>Main_무해지!AP43</f>
        <v/>
      </c>
      <c r="AJ43" s="258">
        <f t="shared" si="3"/>
        <v>0</v>
      </c>
      <c r="AK43" s="258" t="str">
        <f t="shared" si="4"/>
        <v/>
      </c>
      <c r="AL43" s="258" t="str">
        <f t="shared" si="5"/>
        <v/>
      </c>
      <c r="AM43" s="315" t="str">
        <f>IF($U43="","",SUM($AN43:$AN$114))</f>
        <v/>
      </c>
      <c r="AN43" s="258" t="str">
        <f t="shared" si="36"/>
        <v/>
      </c>
      <c r="AO43" s="315" t="str">
        <f t="shared" si="6"/>
        <v/>
      </c>
      <c r="AP43" s="285" t="str">
        <f>IF($U43="","",INDEX(#REF!,$U43+1))</f>
        <v/>
      </c>
      <c r="AQ43" s="258">
        <f t="shared" si="7"/>
        <v>0</v>
      </c>
      <c r="AR43" s="258" t="str">
        <f t="shared" si="8"/>
        <v/>
      </c>
      <c r="AS43" s="258" t="str">
        <f t="shared" si="9"/>
        <v/>
      </c>
      <c r="AT43" s="315" t="str">
        <f>IF($U43="","",SUM($AS43:$AS$114))</f>
        <v/>
      </c>
      <c r="AU43" s="285" t="str">
        <f>IF($U43="","",INDEX(#REF!,$U43+1))</f>
        <v/>
      </c>
      <c r="AV43" s="258">
        <f t="shared" si="10"/>
        <v>0</v>
      </c>
      <c r="AW43" s="258" t="str">
        <f t="shared" si="11"/>
        <v/>
      </c>
      <c r="AX43" s="258" t="str">
        <f t="shared" si="12"/>
        <v/>
      </c>
      <c r="AY43" s="315" t="str">
        <f>IF($U43="","",SUM($AX43:$AX$114))</f>
        <v/>
      </c>
      <c r="AZ43" s="285" t="str">
        <f>IF($U43="","",INDEX(#REF!,$U43+1))</f>
        <v/>
      </c>
      <c r="BA43" s="258">
        <f t="shared" si="13"/>
        <v>0</v>
      </c>
      <c r="BB43" s="258" t="str">
        <f t="shared" si="14"/>
        <v/>
      </c>
      <c r="BC43" s="258" t="str">
        <f t="shared" si="15"/>
        <v/>
      </c>
      <c r="BD43" s="315" t="str">
        <f>IF($U43="","",SUM($BC43:$BC$114))</f>
        <v/>
      </c>
      <c r="BE43" s="285" t="str">
        <f>IF($U43="","",INDEX(#REF!,$U43+1))</f>
        <v/>
      </c>
      <c r="BF43" s="258">
        <f t="shared" si="16"/>
        <v>0</v>
      </c>
      <c r="BG43" s="258" t="str">
        <f t="shared" si="17"/>
        <v/>
      </c>
      <c r="BH43" s="258" t="str">
        <f t="shared" si="18"/>
        <v/>
      </c>
      <c r="BI43" s="315" t="str">
        <f>IF($U43="","",SUM($BH43:$BH$114))</f>
        <v/>
      </c>
      <c r="BJ43" s="285" t="str">
        <f>IF($U43="","",INDEX(#REF!,$U43+1))</f>
        <v/>
      </c>
      <c r="BK43" s="258">
        <f t="shared" si="19"/>
        <v>0</v>
      </c>
      <c r="BL43" s="258" t="str">
        <f t="shared" si="20"/>
        <v/>
      </c>
      <c r="BM43" s="258" t="str">
        <f t="shared" si="21"/>
        <v/>
      </c>
      <c r="BN43" s="315" t="str">
        <f>IF($U43="","",SUM($BM43:$BM$114))</f>
        <v/>
      </c>
      <c r="BO43" s="285">
        <f t="shared" si="22"/>
        <v>0</v>
      </c>
      <c r="BP43" s="258" t="str">
        <f t="shared" si="23"/>
        <v/>
      </c>
      <c r="BQ43" s="258" t="str">
        <f t="shared" si="24"/>
        <v/>
      </c>
      <c r="BR43" s="258"/>
      <c r="BS43" s="258" t="str">
        <f t="shared" si="37"/>
        <v/>
      </c>
      <c r="BT43" s="258" t="str">
        <f t="shared" si="25"/>
        <v/>
      </c>
      <c r="BU43" s="258" t="str">
        <f t="shared" si="26"/>
        <v/>
      </c>
      <c r="BV43" s="258"/>
      <c r="BW43" s="258" t="str">
        <f t="shared" si="38"/>
        <v/>
      </c>
      <c r="BX43" s="258" t="str">
        <f>IF($U43="","",SUM(BS43:BS$114)+SUM(BW43:BW$114))</f>
        <v/>
      </c>
      <c r="BY43" s="103"/>
      <c r="BZ43" s="103"/>
      <c r="CA43" s="103"/>
      <c r="CB43" s="103"/>
      <c r="CC43" s="258" t="str">
        <f t="shared" si="39"/>
        <v/>
      </c>
      <c r="CD43" s="258" t="str">
        <f t="shared" si="27"/>
        <v/>
      </c>
      <c r="CE43" s="258" t="str">
        <f t="shared" si="28"/>
        <v/>
      </c>
      <c r="CF43" s="258" t="str">
        <f t="shared" si="40"/>
        <v/>
      </c>
      <c r="CG43" s="258" t="str">
        <f t="shared" si="29"/>
        <v/>
      </c>
      <c r="CH43" s="104" t="str">
        <f t="shared" si="41"/>
        <v/>
      </c>
      <c r="CI43" s="105" t="str">
        <f t="shared" si="30"/>
        <v/>
      </c>
      <c r="CJ43" s="240"/>
      <c r="CK43" s="101" t="str">
        <f t="shared" si="31"/>
        <v/>
      </c>
      <c r="CL43" s="105" t="str">
        <f t="shared" si="47"/>
        <v/>
      </c>
      <c r="CM43" s="105" t="str">
        <f t="shared" si="42"/>
        <v/>
      </c>
      <c r="CN43" s="105" t="str">
        <f t="shared" si="32"/>
        <v/>
      </c>
      <c r="CO43" s="105" t="str">
        <f t="shared" si="43"/>
        <v/>
      </c>
      <c r="CP43" s="240"/>
      <c r="CQ43" s="240"/>
      <c r="CR43" s="240"/>
      <c r="CS43" s="240"/>
      <c r="CT43" s="240"/>
      <c r="CU43" s="240"/>
      <c r="CV43" s="240"/>
    </row>
    <row r="44" spans="1:100">
      <c r="A44" s="305"/>
      <c r="B44" s="373"/>
      <c r="C44" s="189"/>
      <c r="D44" s="193"/>
      <c r="E44" s="177"/>
      <c r="F44" s="176"/>
      <c r="G44" s="192"/>
      <c r="H44" s="373"/>
      <c r="I44" s="125"/>
      <c r="J44" s="126" t="s">
        <v>50</v>
      </c>
      <c r="K44" s="489">
        <f>K42/K43</f>
        <v>7.0461715141866185E-6</v>
      </c>
      <c r="L44" s="599"/>
      <c r="M44" s="599"/>
      <c r="N44" s="278" t="str">
        <f t="shared" si="51"/>
        <v/>
      </c>
      <c r="O44" s="279" t="str">
        <f t="shared" si="52"/>
        <v/>
      </c>
      <c r="P44" s="271" t="str">
        <f t="shared" si="48"/>
        <v/>
      </c>
      <c r="Q44" s="271" t="str">
        <f t="shared" si="49"/>
        <v/>
      </c>
      <c r="R44" s="271" t="str">
        <f t="shared" si="50"/>
        <v/>
      </c>
      <c r="S44" s="400" t="str">
        <f t="shared" si="33"/>
        <v/>
      </c>
      <c r="T44" s="232"/>
      <c r="U44" s="110" t="str">
        <f t="shared" si="44"/>
        <v/>
      </c>
      <c r="V44" s="286" t="str">
        <f>Main_무해지!AC44</f>
        <v/>
      </c>
      <c r="W44" s="309">
        <f>+Main_무해지!AD44</f>
        <v>0</v>
      </c>
      <c r="X44" s="309">
        <v>0</v>
      </c>
      <c r="Y44" s="259" t="str">
        <f t="shared" si="45"/>
        <v/>
      </c>
      <c r="Z44" s="259" t="str">
        <f t="shared" si="0"/>
        <v/>
      </c>
      <c r="AA44" s="111" t="str">
        <f>IF($U44="","",SUM(Z44:Z$114))</f>
        <v/>
      </c>
      <c r="AB44" s="259" t="str">
        <f t="shared" si="34"/>
        <v/>
      </c>
      <c r="AC44" s="254">
        <f t="shared" si="35"/>
        <v>0</v>
      </c>
      <c r="AD44" s="254" t="str">
        <f>Main_무해지!AJ44</f>
        <v/>
      </c>
      <c r="AE44" s="259">
        <f t="shared" si="1"/>
        <v>0</v>
      </c>
      <c r="AF44" s="259" t="str">
        <f t="shared" si="46"/>
        <v/>
      </c>
      <c r="AG44" s="259" t="str">
        <f t="shared" si="2"/>
        <v/>
      </c>
      <c r="AH44" s="111" t="str">
        <f>IF($U44="","",SUM(AG44:AG$114))</f>
        <v/>
      </c>
      <c r="AI44" s="259" t="str">
        <f>Main_무해지!AP44</f>
        <v/>
      </c>
      <c r="AJ44" s="259">
        <f t="shared" si="3"/>
        <v>0</v>
      </c>
      <c r="AK44" s="259" t="str">
        <f t="shared" si="4"/>
        <v/>
      </c>
      <c r="AL44" s="259" t="str">
        <f t="shared" si="5"/>
        <v/>
      </c>
      <c r="AM44" s="316" t="str">
        <f>IF($U44="","",SUM($AN44:$AN$114))</f>
        <v/>
      </c>
      <c r="AN44" s="259" t="str">
        <f t="shared" si="36"/>
        <v/>
      </c>
      <c r="AO44" s="316" t="str">
        <f t="shared" si="6"/>
        <v/>
      </c>
      <c r="AP44" s="286" t="str">
        <f>IF($U44="","",INDEX(#REF!,$U44+1))</f>
        <v/>
      </c>
      <c r="AQ44" s="259">
        <f t="shared" si="7"/>
        <v>0</v>
      </c>
      <c r="AR44" s="259" t="str">
        <f t="shared" si="8"/>
        <v/>
      </c>
      <c r="AS44" s="259" t="str">
        <f t="shared" si="9"/>
        <v/>
      </c>
      <c r="AT44" s="316" t="str">
        <f>IF($U44="","",SUM($AS44:$AS$114))</f>
        <v/>
      </c>
      <c r="AU44" s="286" t="str">
        <f>IF($U44="","",INDEX(#REF!,$U44+1))</f>
        <v/>
      </c>
      <c r="AV44" s="259">
        <f t="shared" si="10"/>
        <v>0</v>
      </c>
      <c r="AW44" s="259" t="str">
        <f t="shared" si="11"/>
        <v/>
      </c>
      <c r="AX44" s="259" t="str">
        <f t="shared" si="12"/>
        <v/>
      </c>
      <c r="AY44" s="316" t="str">
        <f>IF($U44="","",SUM($AX44:$AX$114))</f>
        <v/>
      </c>
      <c r="AZ44" s="286" t="str">
        <f>IF($U44="","",INDEX(#REF!,$U44+1))</f>
        <v/>
      </c>
      <c r="BA44" s="259">
        <f t="shared" si="13"/>
        <v>0</v>
      </c>
      <c r="BB44" s="259" t="str">
        <f t="shared" si="14"/>
        <v/>
      </c>
      <c r="BC44" s="259" t="str">
        <f t="shared" si="15"/>
        <v/>
      </c>
      <c r="BD44" s="316" t="str">
        <f>IF($U44="","",SUM($BC44:$BC$114))</f>
        <v/>
      </c>
      <c r="BE44" s="286" t="str">
        <f>IF($U44="","",INDEX(#REF!,$U44+1))</f>
        <v/>
      </c>
      <c r="BF44" s="259">
        <f t="shared" si="16"/>
        <v>0</v>
      </c>
      <c r="BG44" s="259" t="str">
        <f t="shared" si="17"/>
        <v/>
      </c>
      <c r="BH44" s="259" t="str">
        <f t="shared" si="18"/>
        <v/>
      </c>
      <c r="BI44" s="316" t="str">
        <f>IF($U44="","",SUM($BH44:$BH$114))</f>
        <v/>
      </c>
      <c r="BJ44" s="286" t="str">
        <f>IF($U44="","",INDEX(#REF!,$U44+1))</f>
        <v/>
      </c>
      <c r="BK44" s="259">
        <f t="shared" si="19"/>
        <v>0</v>
      </c>
      <c r="BL44" s="259" t="str">
        <f t="shared" si="20"/>
        <v/>
      </c>
      <c r="BM44" s="259" t="str">
        <f t="shared" si="21"/>
        <v/>
      </c>
      <c r="BN44" s="316" t="str">
        <f>IF($U44="","",SUM($BM44:$BM$114))</f>
        <v/>
      </c>
      <c r="BO44" s="286">
        <f t="shared" si="22"/>
        <v>0</v>
      </c>
      <c r="BP44" s="259" t="str">
        <f t="shared" si="23"/>
        <v/>
      </c>
      <c r="BQ44" s="259" t="str">
        <f t="shared" si="24"/>
        <v/>
      </c>
      <c r="BR44" s="259"/>
      <c r="BS44" s="259" t="str">
        <f t="shared" si="37"/>
        <v/>
      </c>
      <c r="BT44" s="259" t="str">
        <f t="shared" si="25"/>
        <v/>
      </c>
      <c r="BU44" s="259" t="str">
        <f t="shared" si="26"/>
        <v/>
      </c>
      <c r="BV44" s="259"/>
      <c r="BW44" s="259" t="str">
        <f t="shared" si="38"/>
        <v/>
      </c>
      <c r="BX44" s="259" t="str">
        <f>IF($U44="","",SUM(BS44:BS$114)+SUM(BW44:BW$114))</f>
        <v/>
      </c>
      <c r="BY44" s="112"/>
      <c r="BZ44" s="112"/>
      <c r="CA44" s="112"/>
      <c r="CB44" s="112"/>
      <c r="CC44" s="259" t="str">
        <f t="shared" si="39"/>
        <v/>
      </c>
      <c r="CD44" s="259" t="str">
        <f t="shared" si="27"/>
        <v/>
      </c>
      <c r="CE44" s="259" t="str">
        <f t="shared" si="28"/>
        <v/>
      </c>
      <c r="CF44" s="259" t="str">
        <f t="shared" si="40"/>
        <v/>
      </c>
      <c r="CG44" s="259" t="str">
        <f t="shared" si="29"/>
        <v/>
      </c>
      <c r="CH44" s="113" t="str">
        <f t="shared" si="41"/>
        <v/>
      </c>
      <c r="CI44" s="114" t="str">
        <f t="shared" si="30"/>
        <v/>
      </c>
      <c r="CJ44" s="241"/>
      <c r="CK44" s="110" t="str">
        <f t="shared" si="31"/>
        <v/>
      </c>
      <c r="CL44" s="114" t="str">
        <f t="shared" si="47"/>
        <v/>
      </c>
      <c r="CM44" s="114" t="str">
        <f t="shared" si="42"/>
        <v/>
      </c>
      <c r="CN44" s="114" t="str">
        <f t="shared" si="32"/>
        <v/>
      </c>
      <c r="CO44" s="114" t="str">
        <f t="shared" si="43"/>
        <v/>
      </c>
      <c r="CP44" s="241"/>
      <c r="CQ44" s="241"/>
      <c r="CR44" s="241"/>
      <c r="CS44" s="241"/>
      <c r="CT44" s="241"/>
      <c r="CU44" s="241"/>
      <c r="CV44" s="241"/>
    </row>
    <row r="45" spans="1:100" ht="17.25" thickBot="1">
      <c r="A45" s="305"/>
      <c r="B45" s="373"/>
      <c r="C45" s="194"/>
      <c r="D45" s="195"/>
      <c r="E45" s="196"/>
      <c r="F45" s="183"/>
      <c r="G45" s="197"/>
      <c r="H45" s="373"/>
      <c r="I45" s="48" t="str">
        <f>IF(F5=0,"일시납영업보험료","연납영업보험료")</f>
        <v>연납영업보험료</v>
      </c>
      <c r="J45" s="49" t="s">
        <v>42</v>
      </c>
      <c r="K45" s="486">
        <f>IF($F$6=0,(1+$E$33)*K44+$E$32+$E$37*K33/K20,K44+(($E$23+$E$24*K41)*K20+$E$27*K31+$E$29*K33)/(1*K31))</f>
        <v>1.73209722032399E-5</v>
      </c>
      <c r="L45" s="599"/>
      <c r="M45" s="599"/>
      <c r="N45" s="278" t="str">
        <f t="shared" si="51"/>
        <v/>
      </c>
      <c r="O45" s="279" t="str">
        <f t="shared" si="52"/>
        <v/>
      </c>
      <c r="P45" s="271" t="str">
        <f t="shared" si="48"/>
        <v/>
      </c>
      <c r="Q45" s="271" t="str">
        <f t="shared" si="49"/>
        <v/>
      </c>
      <c r="R45" s="271" t="str">
        <f t="shared" si="50"/>
        <v/>
      </c>
      <c r="S45" s="400" t="str">
        <f t="shared" si="33"/>
        <v/>
      </c>
      <c r="T45" s="232"/>
      <c r="U45" s="770" t="str">
        <f t="shared" si="44"/>
        <v/>
      </c>
      <c r="V45" s="772" t="str">
        <f>Main_무해지!AC45</f>
        <v/>
      </c>
      <c r="W45" s="640">
        <f>+Main_무해지!AD45</f>
        <v>0</v>
      </c>
      <c r="X45" s="640">
        <v>0</v>
      </c>
      <c r="Y45" s="410" t="str">
        <f t="shared" si="45"/>
        <v/>
      </c>
      <c r="Z45" s="410" t="str">
        <f t="shared" si="0"/>
        <v/>
      </c>
      <c r="AA45" s="771" t="str">
        <f>IF($U45="","",SUM(Z45:Z$114))</f>
        <v/>
      </c>
      <c r="AB45" s="410" t="str">
        <f t="shared" si="34"/>
        <v/>
      </c>
      <c r="AC45" s="254">
        <f t="shared" si="35"/>
        <v>0</v>
      </c>
      <c r="AD45" s="254" t="str">
        <f>Main_무해지!AJ45</f>
        <v/>
      </c>
      <c r="AE45" s="410">
        <f t="shared" si="1"/>
        <v>0</v>
      </c>
      <c r="AF45" s="410" t="str">
        <f t="shared" si="46"/>
        <v/>
      </c>
      <c r="AG45" s="410" t="str">
        <f t="shared" si="2"/>
        <v/>
      </c>
      <c r="AH45" s="771" t="str">
        <f>IF($U45="","",SUM(AG45:AG$114))</f>
        <v/>
      </c>
      <c r="AI45" s="410" t="str">
        <f>Main_무해지!AP45</f>
        <v/>
      </c>
      <c r="AJ45" s="410">
        <f t="shared" si="3"/>
        <v>0</v>
      </c>
      <c r="AK45" s="410" t="str">
        <f t="shared" si="4"/>
        <v/>
      </c>
      <c r="AL45" s="410" t="str">
        <f t="shared" si="5"/>
        <v/>
      </c>
      <c r="AM45" s="773" t="str">
        <f>IF($U45="","",SUM($AN45:$AN$114))</f>
        <v/>
      </c>
      <c r="AN45" s="410" t="str">
        <f t="shared" si="36"/>
        <v/>
      </c>
      <c r="AO45" s="773" t="str">
        <f t="shared" si="6"/>
        <v/>
      </c>
      <c r="AP45" s="772" t="str">
        <f>IF($U45="","",INDEX(#REF!,$U45+1))</f>
        <v/>
      </c>
      <c r="AQ45" s="410">
        <f t="shared" si="7"/>
        <v>0</v>
      </c>
      <c r="AR45" s="410" t="str">
        <f t="shared" si="8"/>
        <v/>
      </c>
      <c r="AS45" s="410" t="str">
        <f t="shared" si="9"/>
        <v/>
      </c>
      <c r="AT45" s="773" t="str">
        <f>IF($U45="","",SUM($AS45:$AS$114))</f>
        <v/>
      </c>
      <c r="AU45" s="772" t="str">
        <f>IF($U45="","",INDEX(#REF!,$U45+1))</f>
        <v/>
      </c>
      <c r="AV45" s="410">
        <f t="shared" si="10"/>
        <v>0</v>
      </c>
      <c r="AW45" s="410" t="str">
        <f t="shared" si="11"/>
        <v/>
      </c>
      <c r="AX45" s="410" t="str">
        <f t="shared" si="12"/>
        <v/>
      </c>
      <c r="AY45" s="773" t="str">
        <f>IF($U45="","",SUM($AX45:$AX$114))</f>
        <v/>
      </c>
      <c r="AZ45" s="772" t="str">
        <f>IF($U45="","",INDEX(#REF!,$U45+1))</f>
        <v/>
      </c>
      <c r="BA45" s="410">
        <f t="shared" si="13"/>
        <v>0</v>
      </c>
      <c r="BB45" s="410" t="str">
        <f t="shared" si="14"/>
        <v/>
      </c>
      <c r="BC45" s="410" t="str">
        <f t="shared" si="15"/>
        <v/>
      </c>
      <c r="BD45" s="773" t="str">
        <f>IF($U45="","",SUM($BC45:$BC$114))</f>
        <v/>
      </c>
      <c r="BE45" s="772" t="str">
        <f>IF($U45="","",INDEX(#REF!,$U45+1))</f>
        <v/>
      </c>
      <c r="BF45" s="410">
        <f t="shared" si="16"/>
        <v>0</v>
      </c>
      <c r="BG45" s="410" t="str">
        <f t="shared" si="17"/>
        <v/>
      </c>
      <c r="BH45" s="410" t="str">
        <f t="shared" si="18"/>
        <v/>
      </c>
      <c r="BI45" s="773" t="str">
        <f>IF($U45="","",SUM($BH45:$BH$114))</f>
        <v/>
      </c>
      <c r="BJ45" s="772" t="str">
        <f>IF($U45="","",INDEX(#REF!,$U45+1))</f>
        <v/>
      </c>
      <c r="BK45" s="410">
        <f t="shared" si="19"/>
        <v>0</v>
      </c>
      <c r="BL45" s="410" t="str">
        <f t="shared" si="20"/>
        <v/>
      </c>
      <c r="BM45" s="410" t="str">
        <f t="shared" si="21"/>
        <v/>
      </c>
      <c r="BN45" s="773" t="str">
        <f>IF($U45="","",SUM($BM45:$BM$114))</f>
        <v/>
      </c>
      <c r="BO45" s="772">
        <f t="shared" si="22"/>
        <v>0</v>
      </c>
      <c r="BP45" s="410" t="str">
        <f t="shared" si="23"/>
        <v/>
      </c>
      <c r="BQ45" s="410" t="str">
        <f t="shared" si="24"/>
        <v/>
      </c>
      <c r="BR45" s="410"/>
      <c r="BS45" s="410" t="str">
        <f t="shared" si="37"/>
        <v/>
      </c>
      <c r="BT45" s="410" t="str">
        <f t="shared" si="25"/>
        <v/>
      </c>
      <c r="BU45" s="410" t="str">
        <f t="shared" si="26"/>
        <v/>
      </c>
      <c r="BV45" s="410"/>
      <c r="BW45" s="410" t="str">
        <f t="shared" si="38"/>
        <v/>
      </c>
      <c r="BX45" s="410" t="str">
        <f>IF($U45="","",SUM(BS45:BS$114)+SUM(BW45:BW$114))</f>
        <v/>
      </c>
      <c r="BY45" s="774"/>
      <c r="BZ45" s="774"/>
      <c r="CA45" s="774"/>
      <c r="CB45" s="774"/>
      <c r="CC45" s="410" t="str">
        <f t="shared" si="39"/>
        <v/>
      </c>
      <c r="CD45" s="410" t="str">
        <f t="shared" si="27"/>
        <v/>
      </c>
      <c r="CE45" s="410" t="str">
        <f t="shared" si="28"/>
        <v/>
      </c>
      <c r="CF45" s="410" t="str">
        <f t="shared" si="40"/>
        <v/>
      </c>
      <c r="CG45" s="410" t="str">
        <f t="shared" si="29"/>
        <v/>
      </c>
      <c r="CH45" s="776" t="str">
        <f t="shared" si="41"/>
        <v/>
      </c>
      <c r="CI45" s="777" t="str">
        <f t="shared" si="30"/>
        <v/>
      </c>
      <c r="CJ45" s="415"/>
      <c r="CK45" s="770" t="str">
        <f t="shared" si="31"/>
        <v/>
      </c>
      <c r="CL45" s="777" t="str">
        <f t="shared" si="47"/>
        <v/>
      </c>
      <c r="CM45" s="777" t="str">
        <f t="shared" si="42"/>
        <v/>
      </c>
      <c r="CN45" s="777" t="str">
        <f t="shared" si="32"/>
        <v/>
      </c>
      <c r="CO45" s="777" t="str">
        <f t="shared" si="43"/>
        <v/>
      </c>
      <c r="CP45" s="415"/>
      <c r="CQ45" s="415"/>
      <c r="CR45" s="415"/>
      <c r="CS45" s="415"/>
      <c r="CT45" s="415"/>
      <c r="CU45" s="415"/>
      <c r="CV45" s="415"/>
    </row>
    <row r="46" spans="1:100">
      <c r="A46" s="305"/>
      <c r="B46" s="373"/>
      <c r="C46" s="373"/>
      <c r="D46" s="373"/>
      <c r="E46" s="373"/>
      <c r="F46" s="373"/>
      <c r="G46" s="373"/>
      <c r="H46" s="373"/>
      <c r="I46" s="48"/>
      <c r="J46" s="51" t="s">
        <v>44</v>
      </c>
      <c r="K46" s="486">
        <f>IF($F$6=0,1-$E$36-$E$38,1-$E$28-$E$30-E$25*$K$20/$K$32)</f>
        <v>0.875</v>
      </c>
      <c r="L46" s="599"/>
      <c r="M46" s="599"/>
      <c r="N46" s="278" t="str">
        <f t="shared" si="51"/>
        <v/>
      </c>
      <c r="O46" s="279" t="str">
        <f t="shared" si="52"/>
        <v/>
      </c>
      <c r="P46" s="271" t="str">
        <f t="shared" si="48"/>
        <v/>
      </c>
      <c r="Q46" s="271" t="str">
        <f t="shared" si="49"/>
        <v/>
      </c>
      <c r="R46" s="271" t="str">
        <f t="shared" si="50"/>
        <v/>
      </c>
      <c r="S46" s="400" t="str">
        <f t="shared" si="33"/>
        <v/>
      </c>
      <c r="T46" s="232"/>
      <c r="U46" s="120" t="str">
        <f t="shared" si="44"/>
        <v/>
      </c>
      <c r="V46" s="287" t="str">
        <f>Main_무해지!AC46</f>
        <v/>
      </c>
      <c r="W46" s="310">
        <f>+Main_무해지!AD46</f>
        <v>0</v>
      </c>
      <c r="X46" s="310">
        <v>0</v>
      </c>
      <c r="Y46" s="260" t="str">
        <f t="shared" si="45"/>
        <v/>
      </c>
      <c r="Z46" s="260" t="str">
        <f t="shared" si="0"/>
        <v/>
      </c>
      <c r="AA46" s="121" t="str">
        <f>IF($U46="","",SUM(Z46:Z$114))</f>
        <v/>
      </c>
      <c r="AB46" s="260" t="str">
        <f t="shared" si="34"/>
        <v/>
      </c>
      <c r="AC46" s="254">
        <f t="shared" si="35"/>
        <v>0</v>
      </c>
      <c r="AD46" s="254" t="str">
        <f>Main_무해지!AJ46</f>
        <v/>
      </c>
      <c r="AE46" s="260">
        <f t="shared" si="1"/>
        <v>0</v>
      </c>
      <c r="AF46" s="260" t="str">
        <f t="shared" si="46"/>
        <v/>
      </c>
      <c r="AG46" s="260" t="str">
        <f t="shared" si="2"/>
        <v/>
      </c>
      <c r="AH46" s="121" t="str">
        <f>IF($U46="","",SUM(AG46:AG$114))</f>
        <v/>
      </c>
      <c r="AI46" s="260" t="str">
        <f>Main_무해지!AP46</f>
        <v/>
      </c>
      <c r="AJ46" s="260">
        <f t="shared" si="3"/>
        <v>0</v>
      </c>
      <c r="AK46" s="260" t="str">
        <f t="shared" si="4"/>
        <v/>
      </c>
      <c r="AL46" s="260" t="str">
        <f t="shared" si="5"/>
        <v/>
      </c>
      <c r="AM46" s="317" t="str">
        <f>IF($U46="","",SUM($AN46:$AN$114))</f>
        <v/>
      </c>
      <c r="AN46" s="260" t="str">
        <f t="shared" si="36"/>
        <v/>
      </c>
      <c r="AO46" s="317" t="str">
        <f t="shared" si="6"/>
        <v/>
      </c>
      <c r="AP46" s="287" t="str">
        <f>IF($U46="","",INDEX(#REF!,$U46+1))</f>
        <v/>
      </c>
      <c r="AQ46" s="260">
        <f t="shared" si="7"/>
        <v>0</v>
      </c>
      <c r="AR46" s="260" t="str">
        <f t="shared" si="8"/>
        <v/>
      </c>
      <c r="AS46" s="260" t="str">
        <f t="shared" si="9"/>
        <v/>
      </c>
      <c r="AT46" s="317" t="str">
        <f>IF($U46="","",SUM($AS46:$AS$114))</f>
        <v/>
      </c>
      <c r="AU46" s="287" t="str">
        <f>IF($U46="","",INDEX(#REF!,$U46+1))</f>
        <v/>
      </c>
      <c r="AV46" s="260">
        <f t="shared" si="10"/>
        <v>0</v>
      </c>
      <c r="AW46" s="260" t="str">
        <f t="shared" si="11"/>
        <v/>
      </c>
      <c r="AX46" s="260" t="str">
        <f t="shared" si="12"/>
        <v/>
      </c>
      <c r="AY46" s="317" t="str">
        <f>IF($U46="","",SUM($AX46:$AX$114))</f>
        <v/>
      </c>
      <c r="AZ46" s="287" t="str">
        <f>IF($U46="","",INDEX(#REF!,$U46+1))</f>
        <v/>
      </c>
      <c r="BA46" s="260">
        <f t="shared" si="13"/>
        <v>0</v>
      </c>
      <c r="BB46" s="260" t="str">
        <f t="shared" si="14"/>
        <v/>
      </c>
      <c r="BC46" s="260" t="str">
        <f t="shared" si="15"/>
        <v/>
      </c>
      <c r="BD46" s="317" t="str">
        <f>IF($U46="","",SUM($BC46:$BC$114))</f>
        <v/>
      </c>
      <c r="BE46" s="287" t="str">
        <f>IF($U46="","",INDEX(#REF!,$U46+1))</f>
        <v/>
      </c>
      <c r="BF46" s="260">
        <f t="shared" si="16"/>
        <v>0</v>
      </c>
      <c r="BG46" s="260" t="str">
        <f t="shared" si="17"/>
        <v/>
      </c>
      <c r="BH46" s="260" t="str">
        <f t="shared" si="18"/>
        <v/>
      </c>
      <c r="BI46" s="317" t="str">
        <f>IF($U46="","",SUM($BH46:$BH$114))</f>
        <v/>
      </c>
      <c r="BJ46" s="287" t="str">
        <f>IF($U46="","",INDEX(#REF!,$U46+1))</f>
        <v/>
      </c>
      <c r="BK46" s="260">
        <f t="shared" si="19"/>
        <v>0</v>
      </c>
      <c r="BL46" s="260" t="str">
        <f t="shared" si="20"/>
        <v/>
      </c>
      <c r="BM46" s="260" t="str">
        <f t="shared" si="21"/>
        <v/>
      </c>
      <c r="BN46" s="317" t="str">
        <f>IF($U46="","",SUM($BM46:$BM$114))</f>
        <v/>
      </c>
      <c r="BO46" s="287">
        <f t="shared" si="22"/>
        <v>0</v>
      </c>
      <c r="BP46" s="260" t="str">
        <f t="shared" si="23"/>
        <v/>
      </c>
      <c r="BQ46" s="260" t="str">
        <f t="shared" si="24"/>
        <v/>
      </c>
      <c r="BR46" s="260"/>
      <c r="BS46" s="260" t="str">
        <f t="shared" si="37"/>
        <v/>
      </c>
      <c r="BT46" s="260" t="str">
        <f t="shared" si="25"/>
        <v/>
      </c>
      <c r="BU46" s="260" t="str">
        <f t="shared" si="26"/>
        <v/>
      </c>
      <c r="BV46" s="260"/>
      <c r="BW46" s="260" t="str">
        <f t="shared" si="38"/>
        <v/>
      </c>
      <c r="BX46" s="260" t="str">
        <f>IF($U46="","",SUM(BS46:BS$114)+SUM(BW46:BW$114))</f>
        <v/>
      </c>
      <c r="BY46" s="122"/>
      <c r="BZ46" s="122"/>
      <c r="CA46" s="122"/>
      <c r="CB46" s="122"/>
      <c r="CC46" s="260" t="str">
        <f t="shared" si="39"/>
        <v/>
      </c>
      <c r="CD46" s="260" t="str">
        <f t="shared" si="27"/>
        <v/>
      </c>
      <c r="CE46" s="260" t="str">
        <f t="shared" si="28"/>
        <v/>
      </c>
      <c r="CF46" s="260" t="str">
        <f t="shared" si="40"/>
        <v/>
      </c>
      <c r="CG46" s="260" t="str">
        <f t="shared" si="29"/>
        <v/>
      </c>
      <c r="CH46" s="123" t="str">
        <f t="shared" si="41"/>
        <v/>
      </c>
      <c r="CI46" s="124" t="str">
        <f t="shared" si="30"/>
        <v/>
      </c>
      <c r="CJ46" s="242"/>
      <c r="CK46" s="120" t="str">
        <f t="shared" si="31"/>
        <v/>
      </c>
      <c r="CL46" s="124" t="str">
        <f t="shared" si="47"/>
        <v/>
      </c>
      <c r="CM46" s="124" t="str">
        <f t="shared" si="42"/>
        <v/>
      </c>
      <c r="CN46" s="124" t="str">
        <f t="shared" si="32"/>
        <v/>
      </c>
      <c r="CO46" s="124" t="str">
        <f t="shared" si="43"/>
        <v/>
      </c>
      <c r="CP46" s="242"/>
      <c r="CQ46" s="242"/>
      <c r="CR46" s="242"/>
      <c r="CS46" s="242"/>
      <c r="CT46" s="242"/>
      <c r="CU46" s="242"/>
      <c r="CV46" s="242"/>
    </row>
    <row r="47" spans="1:100" ht="17.25" thickBot="1">
      <c r="A47" s="305"/>
      <c r="B47" s="373"/>
      <c r="C47" s="373"/>
      <c r="D47" s="373"/>
      <c r="E47" s="373"/>
      <c r="F47" s="373"/>
      <c r="G47" s="373"/>
      <c r="H47" s="373"/>
      <c r="I47" s="48"/>
      <c r="J47" s="109" t="s">
        <v>54</v>
      </c>
      <c r="K47" s="490">
        <f>K45/K46</f>
        <v>1.9795396803702742E-5</v>
      </c>
      <c r="L47" s="599"/>
      <c r="M47" s="599"/>
      <c r="N47" s="275" t="str">
        <f t="shared" si="51"/>
        <v/>
      </c>
      <c r="O47" s="276" t="str">
        <f t="shared" si="52"/>
        <v/>
      </c>
      <c r="P47" s="277" t="str">
        <f t="shared" si="48"/>
        <v/>
      </c>
      <c r="Q47" s="277" t="str">
        <f t="shared" si="49"/>
        <v/>
      </c>
      <c r="R47" s="277" t="str">
        <f t="shared" si="50"/>
        <v/>
      </c>
      <c r="S47" s="401" t="str">
        <f t="shared" si="33"/>
        <v/>
      </c>
      <c r="T47" s="232"/>
      <c r="U47" s="120" t="str">
        <f t="shared" si="44"/>
        <v/>
      </c>
      <c r="V47" s="287" t="str">
        <f>Main_무해지!AC47</f>
        <v/>
      </c>
      <c r="W47" s="310">
        <f>+Main_무해지!AD47</f>
        <v>0</v>
      </c>
      <c r="X47" s="310">
        <v>0</v>
      </c>
      <c r="Y47" s="260" t="str">
        <f t="shared" si="45"/>
        <v/>
      </c>
      <c r="Z47" s="260" t="str">
        <f t="shared" si="0"/>
        <v/>
      </c>
      <c r="AA47" s="121" t="str">
        <f>IF($U47="","",SUM(Z47:Z$114))</f>
        <v/>
      </c>
      <c r="AB47" s="260" t="str">
        <f t="shared" si="34"/>
        <v/>
      </c>
      <c r="AC47" s="254">
        <f t="shared" si="35"/>
        <v>0</v>
      </c>
      <c r="AD47" s="254" t="str">
        <f>Main_무해지!AJ47</f>
        <v/>
      </c>
      <c r="AE47" s="260">
        <f t="shared" si="1"/>
        <v>0</v>
      </c>
      <c r="AF47" s="260" t="str">
        <f t="shared" si="46"/>
        <v/>
      </c>
      <c r="AG47" s="260" t="str">
        <f t="shared" si="2"/>
        <v/>
      </c>
      <c r="AH47" s="121" t="str">
        <f>IF($U47="","",SUM(AG47:AG$114))</f>
        <v/>
      </c>
      <c r="AI47" s="260" t="str">
        <f>Main_무해지!AP47</f>
        <v/>
      </c>
      <c r="AJ47" s="260">
        <f t="shared" si="3"/>
        <v>0</v>
      </c>
      <c r="AK47" s="260" t="str">
        <f t="shared" si="4"/>
        <v/>
      </c>
      <c r="AL47" s="260" t="str">
        <f t="shared" si="5"/>
        <v/>
      </c>
      <c r="AM47" s="317" t="str">
        <f>IF($U47="","",SUM($AN47:$AN$114))</f>
        <v/>
      </c>
      <c r="AN47" s="260" t="str">
        <f t="shared" si="36"/>
        <v/>
      </c>
      <c r="AO47" s="317" t="str">
        <f t="shared" si="6"/>
        <v/>
      </c>
      <c r="AP47" s="287" t="str">
        <f>IF($U47="","",INDEX(#REF!,$U47+1))</f>
        <v/>
      </c>
      <c r="AQ47" s="260">
        <f t="shared" si="7"/>
        <v>0</v>
      </c>
      <c r="AR47" s="260" t="str">
        <f t="shared" si="8"/>
        <v/>
      </c>
      <c r="AS47" s="260" t="str">
        <f t="shared" si="9"/>
        <v/>
      </c>
      <c r="AT47" s="317" t="str">
        <f>IF($U47="","",SUM($AS47:$AS$114))</f>
        <v/>
      </c>
      <c r="AU47" s="287" t="str">
        <f>IF($U47="","",INDEX(#REF!,$U47+1))</f>
        <v/>
      </c>
      <c r="AV47" s="260">
        <f t="shared" si="10"/>
        <v>0</v>
      </c>
      <c r="AW47" s="260" t="str">
        <f t="shared" si="11"/>
        <v/>
      </c>
      <c r="AX47" s="260" t="str">
        <f t="shared" si="12"/>
        <v/>
      </c>
      <c r="AY47" s="317" t="str">
        <f>IF($U47="","",SUM($AX47:$AX$114))</f>
        <v/>
      </c>
      <c r="AZ47" s="287" t="str">
        <f>IF($U47="","",INDEX(#REF!,$U47+1))</f>
        <v/>
      </c>
      <c r="BA47" s="260">
        <f t="shared" si="13"/>
        <v>0</v>
      </c>
      <c r="BB47" s="260" t="str">
        <f t="shared" si="14"/>
        <v/>
      </c>
      <c r="BC47" s="260" t="str">
        <f t="shared" si="15"/>
        <v/>
      </c>
      <c r="BD47" s="317" t="str">
        <f>IF($U47="","",SUM($BC47:$BC$114))</f>
        <v/>
      </c>
      <c r="BE47" s="287" t="str">
        <f>IF($U47="","",INDEX(#REF!,$U47+1))</f>
        <v/>
      </c>
      <c r="BF47" s="260">
        <f t="shared" si="16"/>
        <v>0</v>
      </c>
      <c r="BG47" s="260" t="str">
        <f t="shared" si="17"/>
        <v/>
      </c>
      <c r="BH47" s="260" t="str">
        <f t="shared" si="18"/>
        <v/>
      </c>
      <c r="BI47" s="317" t="str">
        <f>IF($U47="","",SUM($BH47:$BH$114))</f>
        <v/>
      </c>
      <c r="BJ47" s="287" t="str">
        <f>IF($U47="","",INDEX(#REF!,$U47+1))</f>
        <v/>
      </c>
      <c r="BK47" s="260">
        <f t="shared" si="19"/>
        <v>0</v>
      </c>
      <c r="BL47" s="260" t="str">
        <f t="shared" si="20"/>
        <v/>
      </c>
      <c r="BM47" s="260" t="str">
        <f t="shared" si="21"/>
        <v/>
      </c>
      <c r="BN47" s="317" t="str">
        <f>IF($U47="","",SUM($BM47:$BM$114))</f>
        <v/>
      </c>
      <c r="BO47" s="287">
        <f t="shared" si="22"/>
        <v>0</v>
      </c>
      <c r="BP47" s="260" t="str">
        <f t="shared" si="23"/>
        <v/>
      </c>
      <c r="BQ47" s="260" t="str">
        <f t="shared" si="24"/>
        <v/>
      </c>
      <c r="BR47" s="260"/>
      <c r="BS47" s="260" t="str">
        <f t="shared" si="37"/>
        <v/>
      </c>
      <c r="BT47" s="260" t="str">
        <f t="shared" si="25"/>
        <v/>
      </c>
      <c r="BU47" s="260" t="str">
        <f t="shared" si="26"/>
        <v/>
      </c>
      <c r="BV47" s="260"/>
      <c r="BW47" s="260" t="str">
        <f t="shared" si="38"/>
        <v/>
      </c>
      <c r="BX47" s="260" t="str">
        <f>IF($U47="","",SUM(BS47:BS$114)+SUM(BW47:BW$114))</f>
        <v/>
      </c>
      <c r="BY47" s="122"/>
      <c r="BZ47" s="122"/>
      <c r="CA47" s="122"/>
      <c r="CB47" s="122"/>
      <c r="CC47" s="260" t="str">
        <f t="shared" si="39"/>
        <v/>
      </c>
      <c r="CD47" s="260" t="str">
        <f t="shared" si="27"/>
        <v/>
      </c>
      <c r="CE47" s="260" t="str">
        <f t="shared" si="28"/>
        <v/>
      </c>
      <c r="CF47" s="260" t="str">
        <f t="shared" si="40"/>
        <v/>
      </c>
      <c r="CG47" s="260" t="str">
        <f t="shared" si="29"/>
        <v/>
      </c>
      <c r="CH47" s="123" t="str">
        <f t="shared" si="41"/>
        <v/>
      </c>
      <c r="CI47" s="124" t="str">
        <f t="shared" si="30"/>
        <v/>
      </c>
      <c r="CJ47" s="242"/>
      <c r="CK47" s="120" t="str">
        <f t="shared" si="31"/>
        <v/>
      </c>
      <c r="CL47" s="124" t="str">
        <f t="shared" si="47"/>
        <v/>
      </c>
      <c r="CM47" s="124" t="str">
        <f t="shared" si="42"/>
        <v/>
      </c>
      <c r="CN47" s="124" t="str">
        <f t="shared" si="32"/>
        <v/>
      </c>
      <c r="CO47" s="124" t="str">
        <f t="shared" si="43"/>
        <v/>
      </c>
      <c r="CP47" s="242"/>
      <c r="CQ47" s="242"/>
      <c r="CR47" s="242"/>
      <c r="CS47" s="242"/>
      <c r="CT47" s="242"/>
      <c r="CU47" s="242"/>
      <c r="CV47" s="242"/>
    </row>
    <row r="48" spans="1:100">
      <c r="A48" s="305"/>
      <c r="B48" s="373"/>
      <c r="C48" s="373"/>
      <c r="D48" s="828" t="s">
        <v>58</v>
      </c>
      <c r="E48" s="829"/>
      <c r="F48" s="828" t="s">
        <v>224</v>
      </c>
      <c r="G48" s="830"/>
      <c r="I48" s="138" t="str">
        <f>IF($F$5=0,"  A(β')x:n","  mP(β')(m')x:n")</f>
        <v xml:space="preserve">  mP(β')(m')x:n</v>
      </c>
      <c r="J48" s="139" t="s">
        <v>55</v>
      </c>
      <c r="K48" s="493">
        <f>IF($F$5=0,K52,IF($F$7=0,K44+$E$29*K33/1/(K29-K30),K52+$E$29*K33/K38/K32))</f>
        <v>7.0461715141866185E-6</v>
      </c>
      <c r="L48" s="599"/>
      <c r="M48" s="599"/>
      <c r="N48" s="278" t="str">
        <f t="shared" si="51"/>
        <v/>
      </c>
      <c r="O48" s="279" t="str">
        <f t="shared" si="52"/>
        <v/>
      </c>
      <c r="P48" s="271" t="str">
        <f t="shared" si="48"/>
        <v/>
      </c>
      <c r="Q48" s="271" t="str">
        <f t="shared" si="49"/>
        <v/>
      </c>
      <c r="R48" s="271" t="str">
        <f t="shared" si="50"/>
        <v/>
      </c>
      <c r="S48" s="400" t="str">
        <f t="shared" si="33"/>
        <v/>
      </c>
      <c r="T48" s="232"/>
      <c r="U48" s="120" t="str">
        <f t="shared" si="44"/>
        <v/>
      </c>
      <c r="V48" s="287" t="str">
        <f>Main_무해지!AC48</f>
        <v/>
      </c>
      <c r="W48" s="310">
        <f>+Main_무해지!AD48</f>
        <v>0</v>
      </c>
      <c r="X48" s="310">
        <v>0</v>
      </c>
      <c r="Y48" s="260" t="str">
        <f t="shared" si="45"/>
        <v/>
      </c>
      <c r="Z48" s="260" t="str">
        <f t="shared" si="0"/>
        <v/>
      </c>
      <c r="AA48" s="121" t="str">
        <f>IF($U48="","",SUM(Z48:Z$114))</f>
        <v/>
      </c>
      <c r="AB48" s="260" t="str">
        <f t="shared" si="34"/>
        <v/>
      </c>
      <c r="AC48" s="254">
        <f t="shared" si="35"/>
        <v>0</v>
      </c>
      <c r="AD48" s="254" t="str">
        <f>Main_무해지!AJ48</f>
        <v/>
      </c>
      <c r="AE48" s="260">
        <f t="shared" si="1"/>
        <v>0</v>
      </c>
      <c r="AF48" s="260" t="str">
        <f t="shared" si="46"/>
        <v/>
      </c>
      <c r="AG48" s="260" t="str">
        <f t="shared" si="2"/>
        <v/>
      </c>
      <c r="AH48" s="121" t="str">
        <f>IF($U48="","",SUM(AG48:AG$114))</f>
        <v/>
      </c>
      <c r="AI48" s="260" t="str">
        <f>Main_무해지!AP48</f>
        <v/>
      </c>
      <c r="AJ48" s="260">
        <f t="shared" si="3"/>
        <v>0</v>
      </c>
      <c r="AK48" s="260" t="str">
        <f t="shared" si="4"/>
        <v/>
      </c>
      <c r="AL48" s="260" t="str">
        <f t="shared" si="5"/>
        <v/>
      </c>
      <c r="AM48" s="317" t="str">
        <f>IF($U48="","",SUM($AN48:$AN$114))</f>
        <v/>
      </c>
      <c r="AN48" s="260" t="str">
        <f t="shared" si="36"/>
        <v/>
      </c>
      <c r="AO48" s="317" t="str">
        <f t="shared" si="6"/>
        <v/>
      </c>
      <c r="AP48" s="287" t="str">
        <f>IF($U48="","",INDEX(#REF!,$U48+1))</f>
        <v/>
      </c>
      <c r="AQ48" s="260">
        <f t="shared" si="7"/>
        <v>0</v>
      </c>
      <c r="AR48" s="260" t="str">
        <f t="shared" si="8"/>
        <v/>
      </c>
      <c r="AS48" s="260" t="str">
        <f t="shared" si="9"/>
        <v/>
      </c>
      <c r="AT48" s="317" t="str">
        <f>IF($U48="","",SUM($AS48:$AS$114))</f>
        <v/>
      </c>
      <c r="AU48" s="287" t="str">
        <f>IF($U48="","",INDEX(#REF!,$U48+1))</f>
        <v/>
      </c>
      <c r="AV48" s="260">
        <f t="shared" si="10"/>
        <v>0</v>
      </c>
      <c r="AW48" s="260" t="str">
        <f t="shared" si="11"/>
        <v/>
      </c>
      <c r="AX48" s="260" t="str">
        <f t="shared" si="12"/>
        <v/>
      </c>
      <c r="AY48" s="317" t="str">
        <f>IF($U48="","",SUM($AX48:$AX$114))</f>
        <v/>
      </c>
      <c r="AZ48" s="287" t="str">
        <f>IF($U48="","",INDEX(#REF!,$U48+1))</f>
        <v/>
      </c>
      <c r="BA48" s="260">
        <f t="shared" si="13"/>
        <v>0</v>
      </c>
      <c r="BB48" s="260" t="str">
        <f t="shared" si="14"/>
        <v/>
      </c>
      <c r="BC48" s="260" t="str">
        <f t="shared" si="15"/>
        <v/>
      </c>
      <c r="BD48" s="317" t="str">
        <f>IF($U48="","",SUM($BC48:$BC$114))</f>
        <v/>
      </c>
      <c r="BE48" s="287" t="str">
        <f>IF($U48="","",INDEX(#REF!,$U48+1))</f>
        <v/>
      </c>
      <c r="BF48" s="260">
        <f t="shared" si="16"/>
        <v>0</v>
      </c>
      <c r="BG48" s="260" t="str">
        <f t="shared" si="17"/>
        <v/>
      </c>
      <c r="BH48" s="260" t="str">
        <f t="shared" si="18"/>
        <v/>
      </c>
      <c r="BI48" s="317" t="str">
        <f>IF($U48="","",SUM($BH48:$BH$114))</f>
        <v/>
      </c>
      <c r="BJ48" s="287" t="str">
        <f>IF($U48="","",INDEX(#REF!,$U48+1))</f>
        <v/>
      </c>
      <c r="BK48" s="260">
        <f t="shared" si="19"/>
        <v>0</v>
      </c>
      <c r="BL48" s="260" t="str">
        <f t="shared" si="20"/>
        <v/>
      </c>
      <c r="BM48" s="260" t="str">
        <f t="shared" si="21"/>
        <v/>
      </c>
      <c r="BN48" s="317" t="str">
        <f>IF($U48="","",SUM($BM48:$BM$114))</f>
        <v/>
      </c>
      <c r="BO48" s="287">
        <f t="shared" si="22"/>
        <v>0</v>
      </c>
      <c r="BP48" s="260" t="str">
        <f t="shared" si="23"/>
        <v/>
      </c>
      <c r="BQ48" s="260" t="str">
        <f t="shared" si="24"/>
        <v/>
      </c>
      <c r="BR48" s="260"/>
      <c r="BS48" s="260" t="str">
        <f t="shared" si="37"/>
        <v/>
      </c>
      <c r="BT48" s="260" t="str">
        <f t="shared" si="25"/>
        <v/>
      </c>
      <c r="BU48" s="260" t="str">
        <f t="shared" si="26"/>
        <v/>
      </c>
      <c r="BV48" s="260"/>
      <c r="BW48" s="260" t="str">
        <f t="shared" si="38"/>
        <v/>
      </c>
      <c r="BX48" s="260" t="str">
        <f>IF($U48="","",SUM(BS48:BS$114)+SUM(BW48:BW$114))</f>
        <v/>
      </c>
      <c r="BY48" s="122"/>
      <c r="BZ48" s="122"/>
      <c r="CA48" s="122"/>
      <c r="CB48" s="122"/>
      <c r="CC48" s="260" t="str">
        <f t="shared" si="39"/>
        <v/>
      </c>
      <c r="CD48" s="260" t="str">
        <f t="shared" si="27"/>
        <v/>
      </c>
      <c r="CE48" s="260" t="str">
        <f t="shared" si="28"/>
        <v/>
      </c>
      <c r="CF48" s="260" t="str">
        <f t="shared" si="40"/>
        <v/>
      </c>
      <c r="CG48" s="260" t="str">
        <f t="shared" si="29"/>
        <v/>
      </c>
      <c r="CH48" s="123" t="str">
        <f t="shared" si="41"/>
        <v/>
      </c>
      <c r="CI48" s="124" t="str">
        <f t="shared" si="30"/>
        <v/>
      </c>
      <c r="CJ48" s="242"/>
      <c r="CK48" s="120" t="str">
        <f t="shared" si="31"/>
        <v/>
      </c>
      <c r="CL48" s="124" t="str">
        <f t="shared" si="47"/>
        <v/>
      </c>
      <c r="CM48" s="124" t="str">
        <f t="shared" si="42"/>
        <v/>
      </c>
      <c r="CN48" s="124" t="str">
        <f t="shared" si="32"/>
        <v/>
      </c>
      <c r="CO48" s="124" t="str">
        <f t="shared" si="43"/>
        <v/>
      </c>
      <c r="CP48" s="242"/>
      <c r="CQ48" s="242"/>
      <c r="CR48" s="242"/>
      <c r="CS48" s="242"/>
      <c r="CT48" s="242"/>
      <c r="CU48" s="242"/>
      <c r="CV48" s="242"/>
    </row>
    <row r="49" spans="1:100">
      <c r="A49" s="305"/>
      <c r="B49" s="373"/>
      <c r="C49" s="373"/>
      <c r="D49" s="453" t="s">
        <v>238</v>
      </c>
      <c r="E49" s="454" t="s">
        <v>239</v>
      </c>
      <c r="F49" s="453" t="s">
        <v>242</v>
      </c>
      <c r="G49" s="455" t="s">
        <v>241</v>
      </c>
      <c r="I49" s="140"/>
      <c r="J49" s="141" t="s">
        <v>39</v>
      </c>
      <c r="K49" s="298">
        <v>1</v>
      </c>
      <c r="L49" s="599"/>
      <c r="M49" s="599"/>
      <c r="N49" s="278" t="str">
        <f t="shared" si="51"/>
        <v/>
      </c>
      <c r="O49" s="279" t="str">
        <f t="shared" si="52"/>
        <v/>
      </c>
      <c r="P49" s="271" t="str">
        <f t="shared" si="48"/>
        <v/>
      </c>
      <c r="Q49" s="271" t="str">
        <f t="shared" si="49"/>
        <v/>
      </c>
      <c r="R49" s="271" t="str">
        <f t="shared" si="50"/>
        <v/>
      </c>
      <c r="S49" s="400" t="str">
        <f t="shared" si="33"/>
        <v/>
      </c>
      <c r="T49" s="232"/>
      <c r="U49" s="130" t="str">
        <f t="shared" si="44"/>
        <v/>
      </c>
      <c r="V49" s="288" t="str">
        <f>Main_무해지!AC49</f>
        <v/>
      </c>
      <c r="W49" s="311">
        <f>+Main_무해지!AD49</f>
        <v>0</v>
      </c>
      <c r="X49" s="311">
        <v>0</v>
      </c>
      <c r="Y49" s="261" t="str">
        <f t="shared" si="45"/>
        <v/>
      </c>
      <c r="Z49" s="261" t="str">
        <f t="shared" si="0"/>
        <v/>
      </c>
      <c r="AA49" s="131" t="str">
        <f>IF($U49="","",SUM(Z49:Z$114))</f>
        <v/>
      </c>
      <c r="AB49" s="261" t="str">
        <f t="shared" si="34"/>
        <v/>
      </c>
      <c r="AC49" s="254">
        <f t="shared" si="35"/>
        <v>0</v>
      </c>
      <c r="AD49" s="254" t="str">
        <f>Main_무해지!AJ49</f>
        <v/>
      </c>
      <c r="AE49" s="261">
        <f t="shared" si="1"/>
        <v>0</v>
      </c>
      <c r="AF49" s="261" t="str">
        <f t="shared" si="46"/>
        <v/>
      </c>
      <c r="AG49" s="261" t="str">
        <f t="shared" si="2"/>
        <v/>
      </c>
      <c r="AH49" s="131" t="str">
        <f>IF($U49="","",SUM(AG49:AG$114))</f>
        <v/>
      </c>
      <c r="AI49" s="261" t="str">
        <f>Main_무해지!AP49</f>
        <v/>
      </c>
      <c r="AJ49" s="261">
        <f t="shared" si="3"/>
        <v>0</v>
      </c>
      <c r="AK49" s="261" t="str">
        <f t="shared" si="4"/>
        <v/>
      </c>
      <c r="AL49" s="261" t="str">
        <f t="shared" si="5"/>
        <v/>
      </c>
      <c r="AM49" s="318" t="str">
        <f>IF($U49="","",SUM($AN49:$AN$114))</f>
        <v/>
      </c>
      <c r="AN49" s="261" t="str">
        <f t="shared" si="36"/>
        <v/>
      </c>
      <c r="AO49" s="318" t="str">
        <f t="shared" si="6"/>
        <v/>
      </c>
      <c r="AP49" s="288" t="str">
        <f>IF($U49="","",INDEX(#REF!,$U49+1))</f>
        <v/>
      </c>
      <c r="AQ49" s="261">
        <f t="shared" si="7"/>
        <v>0</v>
      </c>
      <c r="AR49" s="261" t="str">
        <f t="shared" si="8"/>
        <v/>
      </c>
      <c r="AS49" s="261" t="str">
        <f t="shared" si="9"/>
        <v/>
      </c>
      <c r="AT49" s="318" t="str">
        <f>IF($U49="","",SUM($AS49:$AS$114))</f>
        <v/>
      </c>
      <c r="AU49" s="288" t="str">
        <f>IF($U49="","",INDEX(#REF!,$U49+1))</f>
        <v/>
      </c>
      <c r="AV49" s="261">
        <f t="shared" si="10"/>
        <v>0</v>
      </c>
      <c r="AW49" s="261" t="str">
        <f t="shared" si="11"/>
        <v/>
      </c>
      <c r="AX49" s="261" t="str">
        <f t="shared" si="12"/>
        <v/>
      </c>
      <c r="AY49" s="318" t="str">
        <f>IF($U49="","",SUM($AX49:$AX$114))</f>
        <v/>
      </c>
      <c r="AZ49" s="288" t="str">
        <f>IF($U49="","",INDEX(#REF!,$U49+1))</f>
        <v/>
      </c>
      <c r="BA49" s="261">
        <f t="shared" si="13"/>
        <v>0</v>
      </c>
      <c r="BB49" s="261" t="str">
        <f t="shared" si="14"/>
        <v/>
      </c>
      <c r="BC49" s="261" t="str">
        <f t="shared" si="15"/>
        <v/>
      </c>
      <c r="BD49" s="318" t="str">
        <f>IF($U49="","",SUM($BC49:$BC$114))</f>
        <v/>
      </c>
      <c r="BE49" s="288" t="str">
        <f>IF($U49="","",INDEX(#REF!,$U49+1))</f>
        <v/>
      </c>
      <c r="BF49" s="261">
        <f t="shared" si="16"/>
        <v>0</v>
      </c>
      <c r="BG49" s="261" t="str">
        <f t="shared" si="17"/>
        <v/>
      </c>
      <c r="BH49" s="261" t="str">
        <f t="shared" si="18"/>
        <v/>
      </c>
      <c r="BI49" s="318" t="str">
        <f>IF($U49="","",SUM($BH49:$BH$114))</f>
        <v/>
      </c>
      <c r="BJ49" s="288" t="str">
        <f>IF($U49="","",INDEX(#REF!,$U49+1))</f>
        <v/>
      </c>
      <c r="BK49" s="261">
        <f t="shared" si="19"/>
        <v>0</v>
      </c>
      <c r="BL49" s="261" t="str">
        <f t="shared" si="20"/>
        <v/>
      </c>
      <c r="BM49" s="261" t="str">
        <f t="shared" si="21"/>
        <v/>
      </c>
      <c r="BN49" s="318" t="str">
        <f>IF($U49="","",SUM($BM49:$BM$114))</f>
        <v/>
      </c>
      <c r="BO49" s="288">
        <f t="shared" si="22"/>
        <v>0</v>
      </c>
      <c r="BP49" s="261" t="str">
        <f t="shared" si="23"/>
        <v/>
      </c>
      <c r="BQ49" s="261" t="str">
        <f t="shared" si="24"/>
        <v/>
      </c>
      <c r="BR49" s="261"/>
      <c r="BS49" s="261" t="str">
        <f t="shared" si="37"/>
        <v/>
      </c>
      <c r="BT49" s="261" t="str">
        <f t="shared" si="25"/>
        <v/>
      </c>
      <c r="BU49" s="261" t="str">
        <f t="shared" si="26"/>
        <v/>
      </c>
      <c r="BV49" s="261"/>
      <c r="BW49" s="261" t="str">
        <f t="shared" si="38"/>
        <v/>
      </c>
      <c r="BX49" s="261" t="str">
        <f>IF($U49="","",SUM(BS49:BS$114)+SUM(BW49:BW$114))</f>
        <v/>
      </c>
      <c r="BY49" s="132"/>
      <c r="BZ49" s="132"/>
      <c r="CA49" s="132"/>
      <c r="CB49" s="132"/>
      <c r="CC49" s="261" t="str">
        <f t="shared" si="39"/>
        <v/>
      </c>
      <c r="CD49" s="261" t="str">
        <f t="shared" si="27"/>
        <v/>
      </c>
      <c r="CE49" s="261" t="str">
        <f t="shared" si="28"/>
        <v/>
      </c>
      <c r="CF49" s="261" t="str">
        <f t="shared" si="40"/>
        <v/>
      </c>
      <c r="CG49" s="261" t="str">
        <f t="shared" si="29"/>
        <v/>
      </c>
      <c r="CH49" s="133" t="str">
        <f t="shared" si="41"/>
        <v/>
      </c>
      <c r="CI49" s="134" t="str">
        <f t="shared" si="30"/>
        <v/>
      </c>
      <c r="CJ49" s="243"/>
      <c r="CK49" s="130" t="str">
        <f t="shared" si="31"/>
        <v/>
      </c>
      <c r="CL49" s="134" t="str">
        <f t="shared" si="47"/>
        <v/>
      </c>
      <c r="CM49" s="134" t="str">
        <f t="shared" si="42"/>
        <v/>
      </c>
      <c r="CN49" s="134" t="str">
        <f t="shared" si="32"/>
        <v/>
      </c>
      <c r="CO49" s="134" t="str">
        <f t="shared" si="43"/>
        <v/>
      </c>
      <c r="CP49" s="243"/>
      <c r="CQ49" s="243"/>
      <c r="CR49" s="243"/>
      <c r="CS49" s="243"/>
      <c r="CT49" s="243"/>
      <c r="CU49" s="243"/>
      <c r="CV49" s="243"/>
    </row>
    <row r="50" spans="1:100">
      <c r="A50" s="305"/>
      <c r="B50" s="373"/>
      <c r="D50" s="456"/>
      <c r="E50" s="457"/>
      <c r="F50" s="456"/>
      <c r="G50" s="458"/>
      <c r="I50" s="115" t="e">
        <f>IF(F5=0,"일시납",INDEX(D75:D79,E6))&amp;" 순보험료"</f>
        <v>#VALUE!</v>
      </c>
      <c r="J50" s="116" t="s">
        <v>42</v>
      </c>
      <c r="K50" s="488">
        <f>IF($F$6=0,(1-$E$36-$E$38)*(K35+K36)+($E$32+$E$37*K33/K20)*K34,(1-$E$28-$E$30-$E$25*$K$20/$K$32)*(K35)+(($E$23+$E$24*K41)*K20+$E$27*K32+$E$29*K33)*K36/K32)</f>
        <v>0.6165400074913292</v>
      </c>
      <c r="L50" s="599"/>
      <c r="M50" s="599"/>
      <c r="N50" s="278" t="str">
        <f t="shared" si="51"/>
        <v/>
      </c>
      <c r="O50" s="279" t="str">
        <f t="shared" si="52"/>
        <v/>
      </c>
      <c r="P50" s="271" t="str">
        <f t="shared" si="48"/>
        <v/>
      </c>
      <c r="Q50" s="271" t="str">
        <f t="shared" si="49"/>
        <v/>
      </c>
      <c r="R50" s="271" t="str">
        <f t="shared" si="50"/>
        <v/>
      </c>
      <c r="S50" s="400" t="str">
        <f t="shared" si="33"/>
        <v/>
      </c>
      <c r="T50" s="232"/>
      <c r="U50" s="759" t="str">
        <f t="shared" si="44"/>
        <v/>
      </c>
      <c r="V50" s="761" t="str">
        <f>Main_무해지!AC50</f>
        <v/>
      </c>
      <c r="W50" s="639">
        <f>+Main_무해지!AD50</f>
        <v>0</v>
      </c>
      <c r="X50" s="639">
        <v>0</v>
      </c>
      <c r="Y50" s="409" t="str">
        <f t="shared" si="45"/>
        <v/>
      </c>
      <c r="Z50" s="409" t="str">
        <f t="shared" si="0"/>
        <v/>
      </c>
      <c r="AA50" s="760" t="str">
        <f>IF($U50="","",SUM(Z50:Z$114))</f>
        <v/>
      </c>
      <c r="AB50" s="409" t="str">
        <f t="shared" si="34"/>
        <v/>
      </c>
      <c r="AC50" s="254">
        <f t="shared" si="35"/>
        <v>0</v>
      </c>
      <c r="AD50" s="254" t="str">
        <f>Main_무해지!AJ50</f>
        <v/>
      </c>
      <c r="AE50" s="409">
        <f t="shared" si="1"/>
        <v>0</v>
      </c>
      <c r="AF50" s="409" t="str">
        <f t="shared" si="46"/>
        <v/>
      </c>
      <c r="AG50" s="409" t="str">
        <f t="shared" si="2"/>
        <v/>
      </c>
      <c r="AH50" s="760" t="str">
        <f>IF($U50="","",SUM(AG50:AG$114))</f>
        <v/>
      </c>
      <c r="AI50" s="409" t="str">
        <f>Main_무해지!AP50</f>
        <v/>
      </c>
      <c r="AJ50" s="409">
        <f t="shared" si="3"/>
        <v>0</v>
      </c>
      <c r="AK50" s="409" t="str">
        <f t="shared" si="4"/>
        <v/>
      </c>
      <c r="AL50" s="409" t="str">
        <f t="shared" si="5"/>
        <v/>
      </c>
      <c r="AM50" s="762" t="str">
        <f>IF($U50="","",SUM($AN50:$AN$114))</f>
        <v/>
      </c>
      <c r="AN50" s="409" t="str">
        <f t="shared" si="36"/>
        <v/>
      </c>
      <c r="AO50" s="762" t="str">
        <f t="shared" si="6"/>
        <v/>
      </c>
      <c r="AP50" s="761" t="str">
        <f>IF($U50="","",INDEX(#REF!,$U50+1))</f>
        <v/>
      </c>
      <c r="AQ50" s="409">
        <f t="shared" si="7"/>
        <v>0</v>
      </c>
      <c r="AR50" s="409" t="str">
        <f t="shared" si="8"/>
        <v/>
      </c>
      <c r="AS50" s="409" t="str">
        <f t="shared" si="9"/>
        <v/>
      </c>
      <c r="AT50" s="762" t="str">
        <f>IF($U50="","",SUM($AS50:$AS$114))</f>
        <v/>
      </c>
      <c r="AU50" s="761" t="str">
        <f>IF($U50="","",INDEX(#REF!,$U50+1))</f>
        <v/>
      </c>
      <c r="AV50" s="409">
        <f t="shared" si="10"/>
        <v>0</v>
      </c>
      <c r="AW50" s="409" t="str">
        <f t="shared" si="11"/>
        <v/>
      </c>
      <c r="AX50" s="409" t="str">
        <f t="shared" si="12"/>
        <v/>
      </c>
      <c r="AY50" s="762" t="str">
        <f>IF($U50="","",SUM($AX50:$AX$114))</f>
        <v/>
      </c>
      <c r="AZ50" s="761" t="str">
        <f>IF($U50="","",INDEX(#REF!,$U50+1))</f>
        <v/>
      </c>
      <c r="BA50" s="409">
        <f t="shared" si="13"/>
        <v>0</v>
      </c>
      <c r="BB50" s="409" t="str">
        <f t="shared" si="14"/>
        <v/>
      </c>
      <c r="BC50" s="409" t="str">
        <f t="shared" si="15"/>
        <v/>
      </c>
      <c r="BD50" s="762" t="str">
        <f>IF($U50="","",SUM($BC50:$BC$114))</f>
        <v/>
      </c>
      <c r="BE50" s="761" t="str">
        <f>IF($U50="","",INDEX(#REF!,$U50+1))</f>
        <v/>
      </c>
      <c r="BF50" s="409">
        <f t="shared" si="16"/>
        <v>0</v>
      </c>
      <c r="BG50" s="409" t="str">
        <f t="shared" si="17"/>
        <v/>
      </c>
      <c r="BH50" s="409" t="str">
        <f t="shared" si="18"/>
        <v/>
      </c>
      <c r="BI50" s="762" t="str">
        <f>IF($U50="","",SUM($BH50:$BH$114))</f>
        <v/>
      </c>
      <c r="BJ50" s="761" t="str">
        <f>IF($U50="","",INDEX(#REF!,$U50+1))</f>
        <v/>
      </c>
      <c r="BK50" s="409">
        <f t="shared" si="19"/>
        <v>0</v>
      </c>
      <c r="BL50" s="409" t="str">
        <f t="shared" si="20"/>
        <v/>
      </c>
      <c r="BM50" s="409" t="str">
        <f t="shared" si="21"/>
        <v/>
      </c>
      <c r="BN50" s="762" t="str">
        <f>IF($U50="","",SUM($BM50:$BM$114))</f>
        <v/>
      </c>
      <c r="BO50" s="761">
        <f t="shared" si="22"/>
        <v>0</v>
      </c>
      <c r="BP50" s="409" t="str">
        <f t="shared" si="23"/>
        <v/>
      </c>
      <c r="BQ50" s="409" t="str">
        <f t="shared" si="24"/>
        <v/>
      </c>
      <c r="BR50" s="409"/>
      <c r="BS50" s="409" t="str">
        <f t="shared" si="37"/>
        <v/>
      </c>
      <c r="BT50" s="409" t="str">
        <f t="shared" si="25"/>
        <v/>
      </c>
      <c r="BU50" s="409" t="str">
        <f t="shared" si="26"/>
        <v/>
      </c>
      <c r="BV50" s="409"/>
      <c r="BW50" s="409" t="str">
        <f t="shared" si="38"/>
        <v/>
      </c>
      <c r="BX50" s="409" t="str">
        <f>IF($U50="","",SUM(BS50:BS$114)+SUM(BW50:BW$114))</f>
        <v/>
      </c>
      <c r="BY50" s="763"/>
      <c r="BZ50" s="763"/>
      <c r="CA50" s="763"/>
      <c r="CB50" s="763"/>
      <c r="CC50" s="409" t="str">
        <f t="shared" si="39"/>
        <v/>
      </c>
      <c r="CD50" s="409" t="str">
        <f t="shared" si="27"/>
        <v/>
      </c>
      <c r="CE50" s="409" t="str">
        <f t="shared" si="28"/>
        <v/>
      </c>
      <c r="CF50" s="409" t="str">
        <f t="shared" si="40"/>
        <v/>
      </c>
      <c r="CG50" s="409" t="str">
        <f t="shared" si="29"/>
        <v/>
      </c>
      <c r="CH50" s="765" t="str">
        <f t="shared" si="41"/>
        <v/>
      </c>
      <c r="CI50" s="766" t="str">
        <f t="shared" si="30"/>
        <v/>
      </c>
      <c r="CJ50" s="414"/>
      <c r="CK50" s="759" t="str">
        <f t="shared" si="31"/>
        <v/>
      </c>
      <c r="CL50" s="766" t="str">
        <f t="shared" si="47"/>
        <v/>
      </c>
      <c r="CM50" s="766" t="str">
        <f t="shared" si="42"/>
        <v/>
      </c>
      <c r="CN50" s="766" t="str">
        <f t="shared" si="32"/>
        <v/>
      </c>
      <c r="CO50" s="766" t="str">
        <f t="shared" si="43"/>
        <v/>
      </c>
      <c r="CP50" s="414"/>
      <c r="CQ50" s="414"/>
      <c r="CR50" s="414"/>
      <c r="CS50" s="414"/>
      <c r="CT50" s="414"/>
      <c r="CU50" s="414"/>
      <c r="CV50" s="414"/>
    </row>
    <row r="51" spans="1:100">
      <c r="A51" s="305"/>
      <c r="B51" s="373"/>
      <c r="D51" s="456"/>
      <c r="E51" s="457"/>
      <c r="F51" s="456"/>
      <c r="G51" s="458"/>
      <c r="I51" s="142"/>
      <c r="J51" s="49" t="s">
        <v>44</v>
      </c>
      <c r="K51" s="486">
        <f>IF($F$6=0,(1-$E$36-$E$38)*K20-(1+$E$33)*K34,K38*((1-$E$28-$E$30)*K32-$E$25*K20-K36))</f>
        <v>87500.000000000015</v>
      </c>
      <c r="L51" s="599"/>
      <c r="M51" s="599"/>
      <c r="N51" s="280" t="str">
        <f t="shared" si="51"/>
        <v/>
      </c>
      <c r="O51" s="281" t="str">
        <f t="shared" si="52"/>
        <v/>
      </c>
      <c r="P51" s="282" t="str">
        <f t="shared" si="48"/>
        <v/>
      </c>
      <c r="Q51" s="282" t="str">
        <f t="shared" si="49"/>
        <v/>
      </c>
      <c r="R51" s="282" t="str">
        <f t="shared" si="50"/>
        <v/>
      </c>
      <c r="S51" s="402" t="str">
        <f t="shared" si="33"/>
        <v/>
      </c>
      <c r="T51" s="232"/>
      <c r="U51" s="70" t="str">
        <f t="shared" si="44"/>
        <v/>
      </c>
      <c r="V51" s="71" t="str">
        <f>Main_무해지!AC51</f>
        <v/>
      </c>
      <c r="W51" s="74">
        <f>+Main_무해지!AD51</f>
        <v>0</v>
      </c>
      <c r="X51" s="74">
        <v>0</v>
      </c>
      <c r="Y51" s="256" t="str">
        <f t="shared" si="45"/>
        <v/>
      </c>
      <c r="Z51" s="256" t="str">
        <f t="shared" si="0"/>
        <v/>
      </c>
      <c r="AA51" s="72" t="str">
        <f>IF($U51="","",SUM(Z51:Z$114))</f>
        <v/>
      </c>
      <c r="AB51" s="256" t="str">
        <f t="shared" si="34"/>
        <v/>
      </c>
      <c r="AC51" s="254">
        <f t="shared" si="35"/>
        <v>0</v>
      </c>
      <c r="AD51" s="254" t="str">
        <f>Main_무해지!AJ51</f>
        <v/>
      </c>
      <c r="AE51" s="256">
        <f t="shared" si="1"/>
        <v>0</v>
      </c>
      <c r="AF51" s="256" t="str">
        <f t="shared" si="46"/>
        <v/>
      </c>
      <c r="AG51" s="256" t="str">
        <f t="shared" si="2"/>
        <v/>
      </c>
      <c r="AH51" s="72" t="str">
        <f>IF($U51="","",SUM(AG51:AG$114))</f>
        <v/>
      </c>
      <c r="AI51" s="256" t="str">
        <f>Main_무해지!AP51</f>
        <v/>
      </c>
      <c r="AJ51" s="256">
        <f t="shared" si="3"/>
        <v>0</v>
      </c>
      <c r="AK51" s="256" t="str">
        <f t="shared" si="4"/>
        <v/>
      </c>
      <c r="AL51" s="256" t="str">
        <f t="shared" si="5"/>
        <v/>
      </c>
      <c r="AM51" s="75" t="str">
        <f>IF($U51="","",SUM($AN51:$AN$114))</f>
        <v/>
      </c>
      <c r="AN51" s="256" t="str">
        <f t="shared" si="36"/>
        <v/>
      </c>
      <c r="AO51" s="75" t="str">
        <f t="shared" si="6"/>
        <v/>
      </c>
      <c r="AP51" s="71" t="str">
        <f>IF($U51="","",INDEX(#REF!,$U51+1))</f>
        <v/>
      </c>
      <c r="AQ51" s="256">
        <f t="shared" si="7"/>
        <v>0</v>
      </c>
      <c r="AR51" s="256" t="str">
        <f t="shared" si="8"/>
        <v/>
      </c>
      <c r="AS51" s="256" t="str">
        <f t="shared" si="9"/>
        <v/>
      </c>
      <c r="AT51" s="75" t="str">
        <f>IF($U51="","",SUM($AS51:$AS$114))</f>
        <v/>
      </c>
      <c r="AU51" s="71" t="str">
        <f>IF($U51="","",INDEX(#REF!,$U51+1))</f>
        <v/>
      </c>
      <c r="AV51" s="256">
        <f t="shared" si="10"/>
        <v>0</v>
      </c>
      <c r="AW51" s="256" t="str">
        <f t="shared" si="11"/>
        <v/>
      </c>
      <c r="AX51" s="256" t="str">
        <f t="shared" si="12"/>
        <v/>
      </c>
      <c r="AY51" s="75" t="str">
        <f>IF($U51="","",SUM($AX51:$AX$114))</f>
        <v/>
      </c>
      <c r="AZ51" s="71" t="str">
        <f>IF($U51="","",INDEX(#REF!,$U51+1))</f>
        <v/>
      </c>
      <c r="BA51" s="256">
        <f t="shared" si="13"/>
        <v>0</v>
      </c>
      <c r="BB51" s="256" t="str">
        <f t="shared" si="14"/>
        <v/>
      </c>
      <c r="BC51" s="256" t="str">
        <f t="shared" si="15"/>
        <v/>
      </c>
      <c r="BD51" s="75" t="str">
        <f>IF($U51="","",SUM($BC51:$BC$114))</f>
        <v/>
      </c>
      <c r="BE51" s="71" t="str">
        <f>IF($U51="","",INDEX(#REF!,$U51+1))</f>
        <v/>
      </c>
      <c r="BF51" s="256">
        <f t="shared" si="16"/>
        <v>0</v>
      </c>
      <c r="BG51" s="256" t="str">
        <f t="shared" si="17"/>
        <v/>
      </c>
      <c r="BH51" s="256" t="str">
        <f t="shared" si="18"/>
        <v/>
      </c>
      <c r="BI51" s="75" t="str">
        <f>IF($U51="","",SUM($BH51:$BH$114))</f>
        <v/>
      </c>
      <c r="BJ51" s="71" t="str">
        <f>IF($U51="","",INDEX(#REF!,$U51+1))</f>
        <v/>
      </c>
      <c r="BK51" s="256">
        <f t="shared" si="19"/>
        <v>0</v>
      </c>
      <c r="BL51" s="256" t="str">
        <f t="shared" si="20"/>
        <v/>
      </c>
      <c r="BM51" s="256" t="str">
        <f t="shared" si="21"/>
        <v/>
      </c>
      <c r="BN51" s="75" t="str">
        <f>IF($U51="","",SUM($BM51:$BM$114))</f>
        <v/>
      </c>
      <c r="BO51" s="71">
        <f t="shared" si="22"/>
        <v>0</v>
      </c>
      <c r="BP51" s="256" t="str">
        <f t="shared" si="23"/>
        <v/>
      </c>
      <c r="BQ51" s="256" t="str">
        <f t="shared" si="24"/>
        <v/>
      </c>
      <c r="BR51" s="256"/>
      <c r="BS51" s="256" t="str">
        <f t="shared" si="37"/>
        <v/>
      </c>
      <c r="BT51" s="256" t="str">
        <f t="shared" si="25"/>
        <v/>
      </c>
      <c r="BU51" s="256" t="str">
        <f t="shared" si="26"/>
        <v/>
      </c>
      <c r="BV51" s="256"/>
      <c r="BW51" s="256" t="str">
        <f t="shared" si="38"/>
        <v/>
      </c>
      <c r="BX51" s="256" t="str">
        <f>IF($U51="","",SUM(BS51:BS$114)+SUM(BW51:BW$114))</f>
        <v/>
      </c>
      <c r="BY51" s="73"/>
      <c r="BZ51" s="73"/>
      <c r="CA51" s="73"/>
      <c r="CB51" s="73"/>
      <c r="CC51" s="256" t="str">
        <f t="shared" si="39"/>
        <v/>
      </c>
      <c r="CD51" s="256" t="str">
        <f t="shared" si="27"/>
        <v/>
      </c>
      <c r="CE51" s="256" t="str">
        <f t="shared" si="28"/>
        <v/>
      </c>
      <c r="CF51" s="256" t="str">
        <f t="shared" si="40"/>
        <v/>
      </c>
      <c r="CG51" s="256" t="str">
        <f t="shared" si="29"/>
        <v/>
      </c>
      <c r="CH51" s="76" t="str">
        <f t="shared" si="41"/>
        <v/>
      </c>
      <c r="CI51" s="77" t="str">
        <f t="shared" si="30"/>
        <v/>
      </c>
      <c r="CJ51" s="238"/>
      <c r="CK51" s="70" t="str">
        <f t="shared" si="31"/>
        <v/>
      </c>
      <c r="CL51" s="77" t="str">
        <f t="shared" si="47"/>
        <v/>
      </c>
      <c r="CM51" s="77" t="str">
        <f t="shared" si="42"/>
        <v/>
      </c>
      <c r="CN51" s="77" t="str">
        <f t="shared" si="32"/>
        <v/>
      </c>
      <c r="CO51" s="77" t="str">
        <f t="shared" si="43"/>
        <v/>
      </c>
      <c r="CP51" s="238"/>
      <c r="CQ51" s="238"/>
      <c r="CR51" s="238"/>
      <c r="CS51" s="238"/>
      <c r="CT51" s="238"/>
      <c r="CU51" s="238"/>
      <c r="CV51" s="238"/>
    </row>
    <row r="52" spans="1:100">
      <c r="A52" s="305"/>
      <c r="B52" s="373"/>
      <c r="D52" s="456"/>
      <c r="E52" s="457"/>
      <c r="F52" s="456"/>
      <c r="G52" s="458"/>
      <c r="I52" s="125" t="str">
        <f>IF(F5=0,"  Ax:n","  mP(m')x:n")</f>
        <v xml:space="preserve">  mP(m')x:n</v>
      </c>
      <c r="J52" s="126" t="s">
        <v>50</v>
      </c>
      <c r="K52" s="489">
        <f>K50/K51</f>
        <v>7.0461715141866185E-6</v>
      </c>
      <c r="L52" s="599"/>
      <c r="M52" s="599"/>
      <c r="N52" s="275" t="str">
        <f t="shared" si="51"/>
        <v/>
      </c>
      <c r="O52" s="276" t="str">
        <f t="shared" si="52"/>
        <v/>
      </c>
      <c r="P52" s="277" t="str">
        <f t="shared" si="48"/>
        <v/>
      </c>
      <c r="Q52" s="277" t="str">
        <f t="shared" si="49"/>
        <v/>
      </c>
      <c r="R52" s="277" t="str">
        <f t="shared" si="50"/>
        <v/>
      </c>
      <c r="S52" s="401" t="str">
        <f t="shared" si="33"/>
        <v/>
      </c>
      <c r="T52" s="232"/>
      <c r="U52" s="70" t="str">
        <f t="shared" si="44"/>
        <v/>
      </c>
      <c r="V52" s="71" t="str">
        <f>Main_무해지!AC52</f>
        <v/>
      </c>
      <c r="W52" s="74">
        <f>+Main_무해지!AD52</f>
        <v>0</v>
      </c>
      <c r="X52" s="74">
        <v>0</v>
      </c>
      <c r="Y52" s="256" t="str">
        <f t="shared" si="45"/>
        <v/>
      </c>
      <c r="Z52" s="256" t="str">
        <f t="shared" si="0"/>
        <v/>
      </c>
      <c r="AA52" s="72" t="str">
        <f>IF($U52="","",SUM(Z52:Z$114))</f>
        <v/>
      </c>
      <c r="AB52" s="256" t="str">
        <f t="shared" si="34"/>
        <v/>
      </c>
      <c r="AC52" s="254">
        <f t="shared" si="35"/>
        <v>0</v>
      </c>
      <c r="AD52" s="254" t="str">
        <f>Main_무해지!AJ52</f>
        <v/>
      </c>
      <c r="AE52" s="256">
        <f t="shared" si="1"/>
        <v>0</v>
      </c>
      <c r="AF52" s="256" t="str">
        <f t="shared" si="46"/>
        <v/>
      </c>
      <c r="AG52" s="256" t="str">
        <f t="shared" si="2"/>
        <v/>
      </c>
      <c r="AH52" s="72" t="str">
        <f>IF($U52="","",SUM(AG52:AG$114))</f>
        <v/>
      </c>
      <c r="AI52" s="256" t="str">
        <f>Main_무해지!AP52</f>
        <v/>
      </c>
      <c r="AJ52" s="256">
        <f t="shared" si="3"/>
        <v>0</v>
      </c>
      <c r="AK52" s="256" t="str">
        <f t="shared" si="4"/>
        <v/>
      </c>
      <c r="AL52" s="256" t="str">
        <f t="shared" si="5"/>
        <v/>
      </c>
      <c r="AM52" s="75" t="str">
        <f>IF($U52="","",SUM($AN52:$AN$114))</f>
        <v/>
      </c>
      <c r="AN52" s="256" t="str">
        <f t="shared" si="36"/>
        <v/>
      </c>
      <c r="AO52" s="75" t="str">
        <f t="shared" si="6"/>
        <v/>
      </c>
      <c r="AP52" s="71" t="str">
        <f>IF($U52="","",INDEX(#REF!,$U52+1))</f>
        <v/>
      </c>
      <c r="AQ52" s="256">
        <f t="shared" si="7"/>
        <v>0</v>
      </c>
      <c r="AR52" s="256" t="str">
        <f t="shared" si="8"/>
        <v/>
      </c>
      <c r="AS52" s="256" t="str">
        <f t="shared" si="9"/>
        <v/>
      </c>
      <c r="AT52" s="75" t="str">
        <f>IF($U52="","",SUM($AS52:$AS$114))</f>
        <v/>
      </c>
      <c r="AU52" s="71" t="str">
        <f>IF($U52="","",INDEX(#REF!,$U52+1))</f>
        <v/>
      </c>
      <c r="AV52" s="256">
        <f t="shared" si="10"/>
        <v>0</v>
      </c>
      <c r="AW52" s="256" t="str">
        <f t="shared" si="11"/>
        <v/>
      </c>
      <c r="AX52" s="256" t="str">
        <f t="shared" si="12"/>
        <v/>
      </c>
      <c r="AY52" s="75" t="str">
        <f>IF($U52="","",SUM($AX52:$AX$114))</f>
        <v/>
      </c>
      <c r="AZ52" s="71" t="str">
        <f>IF($U52="","",INDEX(#REF!,$U52+1))</f>
        <v/>
      </c>
      <c r="BA52" s="256">
        <f t="shared" si="13"/>
        <v>0</v>
      </c>
      <c r="BB52" s="256" t="str">
        <f t="shared" si="14"/>
        <v/>
      </c>
      <c r="BC52" s="256" t="str">
        <f t="shared" si="15"/>
        <v/>
      </c>
      <c r="BD52" s="75" t="str">
        <f>IF($U52="","",SUM($BC52:$BC$114))</f>
        <v/>
      </c>
      <c r="BE52" s="71" t="str">
        <f>IF($U52="","",INDEX(#REF!,$U52+1))</f>
        <v/>
      </c>
      <c r="BF52" s="256">
        <f t="shared" si="16"/>
        <v>0</v>
      </c>
      <c r="BG52" s="256" t="str">
        <f t="shared" si="17"/>
        <v/>
      </c>
      <c r="BH52" s="256" t="str">
        <f t="shared" si="18"/>
        <v/>
      </c>
      <c r="BI52" s="75" t="str">
        <f>IF($U52="","",SUM($BH52:$BH$114))</f>
        <v/>
      </c>
      <c r="BJ52" s="71" t="str">
        <f>IF($U52="","",INDEX(#REF!,$U52+1))</f>
        <v/>
      </c>
      <c r="BK52" s="256">
        <f t="shared" si="19"/>
        <v>0</v>
      </c>
      <c r="BL52" s="256" t="str">
        <f t="shared" si="20"/>
        <v/>
      </c>
      <c r="BM52" s="256" t="str">
        <f t="shared" si="21"/>
        <v/>
      </c>
      <c r="BN52" s="75" t="str">
        <f>IF($U52="","",SUM($BM52:$BM$114))</f>
        <v/>
      </c>
      <c r="BO52" s="71">
        <f t="shared" si="22"/>
        <v>0</v>
      </c>
      <c r="BP52" s="256" t="str">
        <f t="shared" si="23"/>
        <v/>
      </c>
      <c r="BQ52" s="256" t="str">
        <f t="shared" si="24"/>
        <v/>
      </c>
      <c r="BR52" s="256"/>
      <c r="BS52" s="256" t="str">
        <f t="shared" si="37"/>
        <v/>
      </c>
      <c r="BT52" s="256" t="str">
        <f t="shared" si="25"/>
        <v/>
      </c>
      <c r="BU52" s="256" t="str">
        <f t="shared" si="26"/>
        <v/>
      </c>
      <c r="BV52" s="256"/>
      <c r="BW52" s="256" t="str">
        <f t="shared" si="38"/>
        <v/>
      </c>
      <c r="BX52" s="256" t="str">
        <f>IF($U52="","",SUM(BS52:BS$114)+SUM(BW52:BW$114))</f>
        <v/>
      </c>
      <c r="BY52" s="73"/>
      <c r="BZ52" s="73"/>
      <c r="CA52" s="73"/>
      <c r="CB52" s="73"/>
      <c r="CC52" s="256" t="str">
        <f t="shared" si="39"/>
        <v/>
      </c>
      <c r="CD52" s="256" t="str">
        <f t="shared" si="27"/>
        <v/>
      </c>
      <c r="CE52" s="256" t="str">
        <f t="shared" si="28"/>
        <v/>
      </c>
      <c r="CF52" s="256" t="str">
        <f t="shared" si="40"/>
        <v/>
      </c>
      <c r="CG52" s="256" t="str">
        <f t="shared" si="29"/>
        <v/>
      </c>
      <c r="CH52" s="76" t="str">
        <f t="shared" si="41"/>
        <v/>
      </c>
      <c r="CI52" s="77" t="str">
        <f t="shared" si="30"/>
        <v/>
      </c>
      <c r="CJ52" s="238"/>
      <c r="CK52" s="70" t="str">
        <f t="shared" si="31"/>
        <v/>
      </c>
      <c r="CL52" s="77" t="str">
        <f t="shared" si="47"/>
        <v/>
      </c>
      <c r="CM52" s="77" t="str">
        <f t="shared" si="42"/>
        <v/>
      </c>
      <c r="CN52" s="77" t="str">
        <f t="shared" si="32"/>
        <v/>
      </c>
      <c r="CO52" s="77" t="str">
        <f t="shared" si="43"/>
        <v/>
      </c>
      <c r="CP52" s="238"/>
      <c r="CQ52" s="238"/>
      <c r="CR52" s="238"/>
      <c r="CS52" s="238"/>
      <c r="CT52" s="238"/>
      <c r="CU52" s="238"/>
      <c r="CV52" s="238"/>
    </row>
    <row r="53" spans="1:100">
      <c r="A53" s="305"/>
      <c r="B53" s="373"/>
      <c r="D53" s="456"/>
      <c r="E53" s="457"/>
      <c r="F53" s="456"/>
      <c r="G53" s="458"/>
      <c r="I53" s="115" t="e">
        <f>IF(F5=0,"일시납",INDEX(D75:D79,E6))&amp;" 영업보험료"</f>
        <v>#VALUE!</v>
      </c>
      <c r="J53" s="116" t="s">
        <v>42</v>
      </c>
      <c r="K53" s="488">
        <f>IF($F$6=0,(1+$E$33)*K52+$E$32+$E$37*K33/K20,K52+(($E$23+$E$24*K41)*K20+$E$27*K32+$E$29*K33)/(K38*K32))</f>
        <v>1.73209722032399E-5</v>
      </c>
      <c r="L53" s="599"/>
      <c r="M53" s="599"/>
      <c r="N53" s="278" t="str">
        <f t="shared" si="51"/>
        <v/>
      </c>
      <c r="O53" s="279" t="str">
        <f t="shared" si="52"/>
        <v/>
      </c>
      <c r="P53" s="271" t="str">
        <f t="shared" si="48"/>
        <v/>
      </c>
      <c r="Q53" s="271" t="str">
        <f t="shared" si="49"/>
        <v/>
      </c>
      <c r="R53" s="271" t="str">
        <f t="shared" si="50"/>
        <v/>
      </c>
      <c r="S53" s="400" t="str">
        <f t="shared" si="33"/>
        <v/>
      </c>
      <c r="T53" s="232"/>
      <c r="U53" s="70" t="str">
        <f t="shared" si="44"/>
        <v/>
      </c>
      <c r="V53" s="71" t="str">
        <f>Main_무해지!AC53</f>
        <v/>
      </c>
      <c r="W53" s="74">
        <f>+Main_무해지!AD53</f>
        <v>0</v>
      </c>
      <c r="X53" s="74">
        <v>0</v>
      </c>
      <c r="Y53" s="256" t="str">
        <f t="shared" si="45"/>
        <v/>
      </c>
      <c r="Z53" s="256" t="str">
        <f t="shared" si="0"/>
        <v/>
      </c>
      <c r="AA53" s="72" t="str">
        <f>IF($U53="","",SUM(Z53:Z$114))</f>
        <v/>
      </c>
      <c r="AB53" s="256" t="str">
        <f t="shared" si="34"/>
        <v/>
      </c>
      <c r="AC53" s="254">
        <f t="shared" si="35"/>
        <v>0</v>
      </c>
      <c r="AD53" s="254" t="str">
        <f>Main_무해지!AJ53</f>
        <v/>
      </c>
      <c r="AE53" s="256">
        <f t="shared" si="1"/>
        <v>0</v>
      </c>
      <c r="AF53" s="256" t="str">
        <f t="shared" si="46"/>
        <v/>
      </c>
      <c r="AG53" s="256" t="str">
        <f t="shared" si="2"/>
        <v/>
      </c>
      <c r="AH53" s="72" t="str">
        <f>IF($U53="","",SUM(AG53:AG$114))</f>
        <v/>
      </c>
      <c r="AI53" s="256" t="str">
        <f>Main_무해지!AP53</f>
        <v/>
      </c>
      <c r="AJ53" s="256">
        <f t="shared" si="3"/>
        <v>0</v>
      </c>
      <c r="AK53" s="256" t="str">
        <f t="shared" si="4"/>
        <v/>
      </c>
      <c r="AL53" s="256" t="str">
        <f t="shared" si="5"/>
        <v/>
      </c>
      <c r="AM53" s="75" t="str">
        <f>IF($U53="","",SUM($AN53:$AN$114))</f>
        <v/>
      </c>
      <c r="AN53" s="256" t="str">
        <f t="shared" si="36"/>
        <v/>
      </c>
      <c r="AO53" s="75" t="str">
        <f t="shared" si="6"/>
        <v/>
      </c>
      <c r="AP53" s="71" t="str">
        <f>IF($U53="","",INDEX(#REF!,$U53+1))</f>
        <v/>
      </c>
      <c r="AQ53" s="256">
        <f t="shared" si="7"/>
        <v>0</v>
      </c>
      <c r="AR53" s="256" t="str">
        <f t="shared" si="8"/>
        <v/>
      </c>
      <c r="AS53" s="256" t="str">
        <f t="shared" si="9"/>
        <v/>
      </c>
      <c r="AT53" s="75" t="str">
        <f>IF($U53="","",SUM($AS53:$AS$114))</f>
        <v/>
      </c>
      <c r="AU53" s="71" t="str">
        <f>IF($U53="","",INDEX(#REF!,$U53+1))</f>
        <v/>
      </c>
      <c r="AV53" s="256">
        <f t="shared" si="10"/>
        <v>0</v>
      </c>
      <c r="AW53" s="256" t="str">
        <f t="shared" si="11"/>
        <v/>
      </c>
      <c r="AX53" s="256" t="str">
        <f t="shared" si="12"/>
        <v/>
      </c>
      <c r="AY53" s="75" t="str">
        <f>IF($U53="","",SUM($AX53:$AX$114))</f>
        <v/>
      </c>
      <c r="AZ53" s="71" t="str">
        <f>IF($U53="","",INDEX(#REF!,$U53+1))</f>
        <v/>
      </c>
      <c r="BA53" s="256">
        <f t="shared" si="13"/>
        <v>0</v>
      </c>
      <c r="BB53" s="256" t="str">
        <f t="shared" si="14"/>
        <v/>
      </c>
      <c r="BC53" s="256" t="str">
        <f t="shared" si="15"/>
        <v/>
      </c>
      <c r="BD53" s="75" t="str">
        <f>IF($U53="","",SUM($BC53:$BC$114))</f>
        <v/>
      </c>
      <c r="BE53" s="71" t="str">
        <f>IF($U53="","",INDEX(#REF!,$U53+1))</f>
        <v/>
      </c>
      <c r="BF53" s="256">
        <f t="shared" si="16"/>
        <v>0</v>
      </c>
      <c r="BG53" s="256" t="str">
        <f t="shared" si="17"/>
        <v/>
      </c>
      <c r="BH53" s="256" t="str">
        <f t="shared" si="18"/>
        <v/>
      </c>
      <c r="BI53" s="75" t="str">
        <f>IF($U53="","",SUM($BH53:$BH$114))</f>
        <v/>
      </c>
      <c r="BJ53" s="71" t="str">
        <f>IF($U53="","",INDEX(#REF!,$U53+1))</f>
        <v/>
      </c>
      <c r="BK53" s="256">
        <f t="shared" si="19"/>
        <v>0</v>
      </c>
      <c r="BL53" s="256" t="str">
        <f t="shared" si="20"/>
        <v/>
      </c>
      <c r="BM53" s="256" t="str">
        <f t="shared" si="21"/>
        <v/>
      </c>
      <c r="BN53" s="75" t="str">
        <f>IF($U53="","",SUM($BM53:$BM$114))</f>
        <v/>
      </c>
      <c r="BO53" s="71">
        <f t="shared" si="22"/>
        <v>0</v>
      </c>
      <c r="BP53" s="256" t="str">
        <f t="shared" si="23"/>
        <v/>
      </c>
      <c r="BQ53" s="256" t="str">
        <f t="shared" si="24"/>
        <v/>
      </c>
      <c r="BR53" s="256"/>
      <c r="BS53" s="256" t="str">
        <f t="shared" si="37"/>
        <v/>
      </c>
      <c r="BT53" s="256" t="str">
        <f t="shared" si="25"/>
        <v/>
      </c>
      <c r="BU53" s="256" t="str">
        <f t="shared" si="26"/>
        <v/>
      </c>
      <c r="BV53" s="256"/>
      <c r="BW53" s="256" t="str">
        <f t="shared" si="38"/>
        <v/>
      </c>
      <c r="BX53" s="256" t="str">
        <f>IF($U53="","",SUM(BS53:BS$114)+SUM(BW53:BW$114))</f>
        <v/>
      </c>
      <c r="BY53" s="73"/>
      <c r="BZ53" s="73"/>
      <c r="CA53" s="73"/>
      <c r="CB53" s="73"/>
      <c r="CC53" s="256" t="str">
        <f t="shared" si="39"/>
        <v/>
      </c>
      <c r="CD53" s="256" t="str">
        <f t="shared" si="27"/>
        <v/>
      </c>
      <c r="CE53" s="256" t="str">
        <f t="shared" si="28"/>
        <v/>
      </c>
      <c r="CF53" s="256" t="str">
        <f t="shared" si="40"/>
        <v/>
      </c>
      <c r="CG53" s="256" t="str">
        <f t="shared" si="29"/>
        <v/>
      </c>
      <c r="CH53" s="76" t="str">
        <f t="shared" si="41"/>
        <v/>
      </c>
      <c r="CI53" s="77" t="str">
        <f t="shared" si="30"/>
        <v/>
      </c>
      <c r="CJ53" s="238"/>
      <c r="CK53" s="70" t="str">
        <f t="shared" si="31"/>
        <v/>
      </c>
      <c r="CL53" s="77" t="str">
        <f t="shared" si="47"/>
        <v/>
      </c>
      <c r="CM53" s="77" t="str">
        <f t="shared" si="42"/>
        <v/>
      </c>
      <c r="CN53" s="77" t="str">
        <f t="shared" si="32"/>
        <v/>
      </c>
      <c r="CO53" s="77" t="str">
        <f t="shared" si="43"/>
        <v/>
      </c>
      <c r="CP53" s="238"/>
      <c r="CQ53" s="238"/>
      <c r="CR53" s="238"/>
      <c r="CS53" s="238"/>
      <c r="CT53" s="238"/>
      <c r="CU53" s="238"/>
      <c r="CV53" s="238"/>
    </row>
    <row r="54" spans="1:100">
      <c r="A54" s="305"/>
      <c r="B54" s="373"/>
      <c r="D54" s="456"/>
      <c r="E54" s="457"/>
      <c r="F54" s="456"/>
      <c r="G54" s="458"/>
      <c r="I54" s="142"/>
      <c r="J54" s="49" t="s">
        <v>44</v>
      </c>
      <c r="K54" s="486">
        <f>IF($F$6=0,1-$E$36-$E$38,1-$E$28-$E$30-$E$25*$K$20/$K$32)</f>
        <v>0.875</v>
      </c>
      <c r="L54" s="599"/>
      <c r="M54" s="599"/>
      <c r="N54" s="278" t="str">
        <f t="shared" si="51"/>
        <v/>
      </c>
      <c r="O54" s="279" t="str">
        <f t="shared" si="52"/>
        <v/>
      </c>
      <c r="P54" s="271" t="str">
        <f t="shared" si="48"/>
        <v/>
      </c>
      <c r="Q54" s="271" t="str">
        <f t="shared" si="49"/>
        <v/>
      </c>
      <c r="R54" s="271" t="str">
        <f t="shared" si="50"/>
        <v/>
      </c>
      <c r="S54" s="400" t="str">
        <f t="shared" si="33"/>
        <v/>
      </c>
      <c r="T54" s="232"/>
      <c r="U54" s="83" t="str">
        <f t="shared" si="44"/>
        <v/>
      </c>
      <c r="V54" s="84" t="str">
        <f>Main_무해지!AC54</f>
        <v/>
      </c>
      <c r="W54" s="87">
        <f>+Main_무해지!AD54</f>
        <v>0</v>
      </c>
      <c r="X54" s="87">
        <v>0</v>
      </c>
      <c r="Y54" s="257" t="str">
        <f t="shared" si="45"/>
        <v/>
      </c>
      <c r="Z54" s="257" t="str">
        <f t="shared" si="0"/>
        <v/>
      </c>
      <c r="AA54" s="85" t="str">
        <f>IF($U54="","",SUM(Z54:Z$114))</f>
        <v/>
      </c>
      <c r="AB54" s="257" t="str">
        <f t="shared" si="34"/>
        <v/>
      </c>
      <c r="AC54" s="254">
        <f t="shared" si="35"/>
        <v>0</v>
      </c>
      <c r="AD54" s="254" t="str">
        <f>Main_무해지!AJ54</f>
        <v/>
      </c>
      <c r="AE54" s="257">
        <f t="shared" si="1"/>
        <v>0</v>
      </c>
      <c r="AF54" s="257" t="str">
        <f t="shared" si="46"/>
        <v/>
      </c>
      <c r="AG54" s="257" t="str">
        <f t="shared" si="2"/>
        <v/>
      </c>
      <c r="AH54" s="85" t="str">
        <f>IF($U54="","",SUM(AG54:AG$114))</f>
        <v/>
      </c>
      <c r="AI54" s="257" t="str">
        <f>Main_무해지!AP54</f>
        <v/>
      </c>
      <c r="AJ54" s="257">
        <f t="shared" si="3"/>
        <v>0</v>
      </c>
      <c r="AK54" s="257" t="str">
        <f t="shared" si="4"/>
        <v/>
      </c>
      <c r="AL54" s="257" t="str">
        <f t="shared" si="5"/>
        <v/>
      </c>
      <c r="AM54" s="88" t="str">
        <f>IF($U54="","",SUM($AN54:$AN$114))</f>
        <v/>
      </c>
      <c r="AN54" s="257" t="str">
        <f t="shared" si="36"/>
        <v/>
      </c>
      <c r="AO54" s="88" t="str">
        <f t="shared" si="6"/>
        <v/>
      </c>
      <c r="AP54" s="84" t="str">
        <f>IF($U54="","",INDEX(#REF!,$U54+1))</f>
        <v/>
      </c>
      <c r="AQ54" s="257">
        <f t="shared" si="7"/>
        <v>0</v>
      </c>
      <c r="AR54" s="257" t="str">
        <f t="shared" si="8"/>
        <v/>
      </c>
      <c r="AS54" s="257" t="str">
        <f t="shared" si="9"/>
        <v/>
      </c>
      <c r="AT54" s="88" t="str">
        <f>IF($U54="","",SUM($AS54:$AS$114))</f>
        <v/>
      </c>
      <c r="AU54" s="84" t="str">
        <f>IF($U54="","",INDEX(#REF!,$U54+1))</f>
        <v/>
      </c>
      <c r="AV54" s="257">
        <f t="shared" si="10"/>
        <v>0</v>
      </c>
      <c r="AW54" s="257" t="str">
        <f t="shared" si="11"/>
        <v/>
      </c>
      <c r="AX54" s="257" t="str">
        <f t="shared" si="12"/>
        <v/>
      </c>
      <c r="AY54" s="88" t="str">
        <f>IF($U54="","",SUM($AX54:$AX$114))</f>
        <v/>
      </c>
      <c r="AZ54" s="84" t="str">
        <f>IF($U54="","",INDEX(#REF!,$U54+1))</f>
        <v/>
      </c>
      <c r="BA54" s="257">
        <f t="shared" si="13"/>
        <v>0</v>
      </c>
      <c r="BB54" s="257" t="str">
        <f t="shared" si="14"/>
        <v/>
      </c>
      <c r="BC54" s="257" t="str">
        <f t="shared" si="15"/>
        <v/>
      </c>
      <c r="BD54" s="88" t="str">
        <f>IF($U54="","",SUM($BC54:$BC$114))</f>
        <v/>
      </c>
      <c r="BE54" s="84" t="str">
        <f>IF($U54="","",INDEX(#REF!,$U54+1))</f>
        <v/>
      </c>
      <c r="BF54" s="257">
        <f t="shared" si="16"/>
        <v>0</v>
      </c>
      <c r="BG54" s="257" t="str">
        <f t="shared" si="17"/>
        <v/>
      </c>
      <c r="BH54" s="257" t="str">
        <f t="shared" si="18"/>
        <v/>
      </c>
      <c r="BI54" s="88" t="str">
        <f>IF($U54="","",SUM($BH54:$BH$114))</f>
        <v/>
      </c>
      <c r="BJ54" s="84" t="str">
        <f>IF($U54="","",INDEX(#REF!,$U54+1))</f>
        <v/>
      </c>
      <c r="BK54" s="257">
        <f t="shared" si="19"/>
        <v>0</v>
      </c>
      <c r="BL54" s="257" t="str">
        <f t="shared" si="20"/>
        <v/>
      </c>
      <c r="BM54" s="257" t="str">
        <f t="shared" si="21"/>
        <v/>
      </c>
      <c r="BN54" s="88" t="str">
        <f>IF($U54="","",SUM($BM54:$BM$114))</f>
        <v/>
      </c>
      <c r="BO54" s="84">
        <f t="shared" si="22"/>
        <v>0</v>
      </c>
      <c r="BP54" s="257" t="str">
        <f t="shared" si="23"/>
        <v/>
      </c>
      <c r="BQ54" s="257" t="str">
        <f t="shared" si="24"/>
        <v/>
      </c>
      <c r="BR54" s="257"/>
      <c r="BS54" s="257" t="str">
        <f t="shared" si="37"/>
        <v/>
      </c>
      <c r="BT54" s="257" t="str">
        <f t="shared" si="25"/>
        <v/>
      </c>
      <c r="BU54" s="257" t="str">
        <f t="shared" si="26"/>
        <v/>
      </c>
      <c r="BV54" s="257"/>
      <c r="BW54" s="257" t="str">
        <f t="shared" si="38"/>
        <v/>
      </c>
      <c r="BX54" s="257" t="str">
        <f>IF($U54="","",SUM(BS54:BS$114)+SUM(BW54:BW$114))</f>
        <v/>
      </c>
      <c r="BY54" s="86"/>
      <c r="BZ54" s="86"/>
      <c r="CA54" s="86"/>
      <c r="CB54" s="86"/>
      <c r="CC54" s="257" t="str">
        <f t="shared" si="39"/>
        <v/>
      </c>
      <c r="CD54" s="257" t="str">
        <f t="shared" si="27"/>
        <v/>
      </c>
      <c r="CE54" s="257" t="str">
        <f t="shared" si="28"/>
        <v/>
      </c>
      <c r="CF54" s="257" t="str">
        <f t="shared" si="40"/>
        <v/>
      </c>
      <c r="CG54" s="257" t="str">
        <f t="shared" si="29"/>
        <v/>
      </c>
      <c r="CH54" s="89" t="str">
        <f t="shared" si="41"/>
        <v/>
      </c>
      <c r="CI54" s="90" t="str">
        <f t="shared" si="30"/>
        <v/>
      </c>
      <c r="CJ54" s="239"/>
      <c r="CK54" s="83" t="str">
        <f t="shared" si="31"/>
        <v/>
      </c>
      <c r="CL54" s="90" t="str">
        <f t="shared" si="47"/>
        <v/>
      </c>
      <c r="CM54" s="90" t="str">
        <f t="shared" si="42"/>
        <v/>
      </c>
      <c r="CN54" s="90" t="str">
        <f t="shared" si="32"/>
        <v/>
      </c>
      <c r="CO54" s="90" t="str">
        <f t="shared" si="43"/>
        <v/>
      </c>
      <c r="CP54" s="239"/>
      <c r="CQ54" s="239"/>
      <c r="CR54" s="239"/>
      <c r="CS54" s="239"/>
      <c r="CT54" s="239"/>
      <c r="CU54" s="239"/>
      <c r="CV54" s="239"/>
    </row>
    <row r="55" spans="1:100" ht="17.25" thickBot="1">
      <c r="A55" s="305"/>
      <c r="B55" s="373"/>
      <c r="D55" s="456"/>
      <c r="E55" s="457"/>
      <c r="F55" s="456"/>
      <c r="G55" s="458"/>
      <c r="I55" s="144" t="str">
        <f>IF(F5=0,"  A'x:n","  mP'(m')x:n")</f>
        <v xml:space="preserve">  mP'(m')x:n</v>
      </c>
      <c r="J55" s="145" t="s">
        <v>54</v>
      </c>
      <c r="K55" s="492">
        <f>K53/K54</f>
        <v>1.9795396803702742E-5</v>
      </c>
      <c r="L55" s="599"/>
      <c r="M55" s="599"/>
      <c r="N55" s="278" t="str">
        <f t="shared" si="51"/>
        <v/>
      </c>
      <c r="O55" s="279" t="str">
        <f t="shared" si="52"/>
        <v/>
      </c>
      <c r="P55" s="271" t="str">
        <f t="shared" si="48"/>
        <v/>
      </c>
      <c r="Q55" s="271" t="str">
        <f t="shared" si="49"/>
        <v/>
      </c>
      <c r="R55" s="271" t="str">
        <f t="shared" si="50"/>
        <v/>
      </c>
      <c r="S55" s="400" t="str">
        <f t="shared" si="33"/>
        <v/>
      </c>
      <c r="T55" s="232"/>
      <c r="U55" s="750" t="str">
        <f t="shared" si="44"/>
        <v/>
      </c>
      <c r="V55" s="752" t="str">
        <f>Main_무해지!AC55</f>
        <v/>
      </c>
      <c r="W55" s="638">
        <f>+Main_무해지!AD55</f>
        <v>0</v>
      </c>
      <c r="X55" s="638">
        <v>0</v>
      </c>
      <c r="Y55" s="408" t="str">
        <f t="shared" si="45"/>
        <v/>
      </c>
      <c r="Z55" s="408" t="str">
        <f t="shared" si="0"/>
        <v/>
      </c>
      <c r="AA55" s="751" t="str">
        <f>IF($U55="","",SUM(Z55:Z$114))</f>
        <v/>
      </c>
      <c r="AB55" s="408" t="str">
        <f t="shared" si="34"/>
        <v/>
      </c>
      <c r="AC55" s="254">
        <f t="shared" si="35"/>
        <v>0</v>
      </c>
      <c r="AD55" s="254" t="str">
        <f>Main_무해지!AJ55</f>
        <v/>
      </c>
      <c r="AE55" s="408">
        <f t="shared" si="1"/>
        <v>0</v>
      </c>
      <c r="AF55" s="408" t="str">
        <f t="shared" si="46"/>
        <v/>
      </c>
      <c r="AG55" s="408" t="str">
        <f t="shared" si="2"/>
        <v/>
      </c>
      <c r="AH55" s="751" t="str">
        <f>IF($U55="","",SUM(AG55:AG$114))</f>
        <v/>
      </c>
      <c r="AI55" s="408" t="str">
        <f>Main_무해지!AP55</f>
        <v/>
      </c>
      <c r="AJ55" s="408">
        <f t="shared" si="3"/>
        <v>0</v>
      </c>
      <c r="AK55" s="408" t="str">
        <f t="shared" si="4"/>
        <v/>
      </c>
      <c r="AL55" s="408" t="str">
        <f t="shared" si="5"/>
        <v/>
      </c>
      <c r="AM55" s="753" t="str">
        <f>IF($U55="","",SUM($AN55:$AN$114))</f>
        <v/>
      </c>
      <c r="AN55" s="408" t="str">
        <f t="shared" si="36"/>
        <v/>
      </c>
      <c r="AO55" s="753" t="str">
        <f t="shared" si="6"/>
        <v/>
      </c>
      <c r="AP55" s="752" t="str">
        <f>IF($U55="","",INDEX(#REF!,$U55+1))</f>
        <v/>
      </c>
      <c r="AQ55" s="408">
        <f t="shared" si="7"/>
        <v>0</v>
      </c>
      <c r="AR55" s="408" t="str">
        <f t="shared" si="8"/>
        <v/>
      </c>
      <c r="AS55" s="408" t="str">
        <f t="shared" si="9"/>
        <v/>
      </c>
      <c r="AT55" s="753" t="str">
        <f>IF($U55="","",SUM($AS55:$AS$114))</f>
        <v/>
      </c>
      <c r="AU55" s="752" t="str">
        <f>IF($U55="","",INDEX(#REF!,$U55+1))</f>
        <v/>
      </c>
      <c r="AV55" s="408">
        <f t="shared" si="10"/>
        <v>0</v>
      </c>
      <c r="AW55" s="408" t="str">
        <f t="shared" si="11"/>
        <v/>
      </c>
      <c r="AX55" s="408" t="str">
        <f t="shared" si="12"/>
        <v/>
      </c>
      <c r="AY55" s="753" t="str">
        <f>IF($U55="","",SUM($AX55:$AX$114))</f>
        <v/>
      </c>
      <c r="AZ55" s="752" t="str">
        <f>IF($U55="","",INDEX(#REF!,$U55+1))</f>
        <v/>
      </c>
      <c r="BA55" s="408">
        <f t="shared" si="13"/>
        <v>0</v>
      </c>
      <c r="BB55" s="408" t="str">
        <f t="shared" si="14"/>
        <v/>
      </c>
      <c r="BC55" s="408" t="str">
        <f t="shared" si="15"/>
        <v/>
      </c>
      <c r="BD55" s="753" t="str">
        <f>IF($U55="","",SUM($BC55:$BC$114))</f>
        <v/>
      </c>
      <c r="BE55" s="752" t="str">
        <f>IF($U55="","",INDEX(#REF!,$U55+1))</f>
        <v/>
      </c>
      <c r="BF55" s="408">
        <f t="shared" si="16"/>
        <v>0</v>
      </c>
      <c r="BG55" s="408" t="str">
        <f t="shared" si="17"/>
        <v/>
      </c>
      <c r="BH55" s="408" t="str">
        <f t="shared" si="18"/>
        <v/>
      </c>
      <c r="BI55" s="753" t="str">
        <f>IF($U55="","",SUM($BH55:$BH$114))</f>
        <v/>
      </c>
      <c r="BJ55" s="752" t="str">
        <f>IF($U55="","",INDEX(#REF!,$U55+1))</f>
        <v/>
      </c>
      <c r="BK55" s="408">
        <f t="shared" si="19"/>
        <v>0</v>
      </c>
      <c r="BL55" s="408" t="str">
        <f t="shared" si="20"/>
        <v/>
      </c>
      <c r="BM55" s="408" t="str">
        <f t="shared" si="21"/>
        <v/>
      </c>
      <c r="BN55" s="753" t="str">
        <f>IF($U55="","",SUM($BM55:$BM$114))</f>
        <v/>
      </c>
      <c r="BO55" s="752">
        <f t="shared" si="22"/>
        <v>0</v>
      </c>
      <c r="BP55" s="408" t="str">
        <f t="shared" si="23"/>
        <v/>
      </c>
      <c r="BQ55" s="408" t="str">
        <f t="shared" si="24"/>
        <v/>
      </c>
      <c r="BR55" s="408"/>
      <c r="BS55" s="408" t="str">
        <f t="shared" si="37"/>
        <v/>
      </c>
      <c r="BT55" s="408" t="str">
        <f t="shared" si="25"/>
        <v/>
      </c>
      <c r="BU55" s="408" t="str">
        <f t="shared" si="26"/>
        <v/>
      </c>
      <c r="BV55" s="408"/>
      <c r="BW55" s="408" t="str">
        <f t="shared" si="38"/>
        <v/>
      </c>
      <c r="BX55" s="408" t="str">
        <f>IF($U55="","",SUM(BS55:BS$114)+SUM(BW55:BW$114))</f>
        <v/>
      </c>
      <c r="BY55" s="754"/>
      <c r="BZ55" s="754"/>
      <c r="CA55" s="754"/>
      <c r="CB55" s="754"/>
      <c r="CC55" s="408" t="str">
        <f t="shared" si="39"/>
        <v/>
      </c>
      <c r="CD55" s="408" t="str">
        <f t="shared" si="27"/>
        <v/>
      </c>
      <c r="CE55" s="408" t="str">
        <f t="shared" si="28"/>
        <v/>
      </c>
      <c r="CF55" s="408" t="str">
        <f t="shared" si="40"/>
        <v/>
      </c>
      <c r="CG55" s="408" t="str">
        <f t="shared" si="29"/>
        <v/>
      </c>
      <c r="CH55" s="756" t="str">
        <f t="shared" si="41"/>
        <v/>
      </c>
      <c r="CI55" s="757" t="str">
        <f t="shared" si="30"/>
        <v/>
      </c>
      <c r="CJ55" s="413"/>
      <c r="CK55" s="750" t="str">
        <f t="shared" si="31"/>
        <v/>
      </c>
      <c r="CL55" s="757" t="str">
        <f t="shared" si="47"/>
        <v/>
      </c>
      <c r="CM55" s="757" t="str">
        <f t="shared" si="42"/>
        <v/>
      </c>
      <c r="CN55" s="757" t="str">
        <f t="shared" si="32"/>
        <v/>
      </c>
      <c r="CO55" s="757" t="str">
        <f t="shared" si="43"/>
        <v/>
      </c>
      <c r="CP55" s="413"/>
      <c r="CQ55" s="413"/>
      <c r="CR55" s="413"/>
      <c r="CS55" s="413"/>
      <c r="CT55" s="413"/>
      <c r="CU55" s="413"/>
      <c r="CV55" s="413"/>
    </row>
    <row r="56" spans="1:100">
      <c r="A56" s="305"/>
      <c r="B56" s="373"/>
      <c r="D56" s="459"/>
      <c r="E56" s="457"/>
      <c r="F56" s="456"/>
      <c r="G56" s="460"/>
      <c r="I56" s="2"/>
      <c r="L56" s="599"/>
      <c r="M56" s="599"/>
      <c r="N56" s="280" t="str">
        <f t="shared" si="51"/>
        <v/>
      </c>
      <c r="O56" s="281" t="str">
        <f t="shared" si="52"/>
        <v/>
      </c>
      <c r="P56" s="282" t="str">
        <f t="shared" si="48"/>
        <v/>
      </c>
      <c r="Q56" s="282" t="str">
        <f t="shared" si="49"/>
        <v/>
      </c>
      <c r="R56" s="282" t="str">
        <f t="shared" si="50"/>
        <v/>
      </c>
      <c r="S56" s="402" t="str">
        <f t="shared" si="33"/>
        <v/>
      </c>
      <c r="T56" s="232"/>
      <c r="U56" s="52" t="str">
        <f t="shared" si="44"/>
        <v/>
      </c>
      <c r="V56" s="53" t="str">
        <f>Main_무해지!AC56</f>
        <v/>
      </c>
      <c r="W56" s="56">
        <f>+Main_무해지!AD56</f>
        <v>0</v>
      </c>
      <c r="X56" s="56">
        <v>0</v>
      </c>
      <c r="Y56" s="254" t="str">
        <f t="shared" si="45"/>
        <v/>
      </c>
      <c r="Z56" s="254" t="str">
        <f t="shared" si="0"/>
        <v/>
      </c>
      <c r="AA56" s="54" t="str">
        <f>IF($U56="","",SUM(Z56:Z$114))</f>
        <v/>
      </c>
      <c r="AB56" s="254" t="str">
        <f t="shared" si="34"/>
        <v/>
      </c>
      <c r="AC56" s="254">
        <f t="shared" si="35"/>
        <v>0</v>
      </c>
      <c r="AD56" s="254" t="str">
        <f>Main_무해지!AJ56</f>
        <v/>
      </c>
      <c r="AE56" s="254">
        <f t="shared" si="1"/>
        <v>0</v>
      </c>
      <c r="AF56" s="254" t="str">
        <f t="shared" si="46"/>
        <v/>
      </c>
      <c r="AG56" s="254" t="str">
        <f t="shared" si="2"/>
        <v/>
      </c>
      <c r="AH56" s="54" t="str">
        <f>IF($U56="","",SUM(AG56:AG$114))</f>
        <v/>
      </c>
      <c r="AI56" s="254" t="str">
        <f>Main_무해지!AP56</f>
        <v/>
      </c>
      <c r="AJ56" s="254">
        <f t="shared" si="3"/>
        <v>0</v>
      </c>
      <c r="AK56" s="254" t="str">
        <f t="shared" si="4"/>
        <v/>
      </c>
      <c r="AL56" s="254" t="str">
        <f t="shared" si="5"/>
        <v/>
      </c>
      <c r="AM56" s="57" t="str">
        <f>IF($U56="","",SUM($AN56:$AN$114))</f>
        <v/>
      </c>
      <c r="AN56" s="254" t="str">
        <f t="shared" si="36"/>
        <v/>
      </c>
      <c r="AO56" s="57" t="str">
        <f t="shared" si="6"/>
        <v/>
      </c>
      <c r="AP56" s="53" t="str">
        <f>IF($U56="","",INDEX(#REF!,$U56+1))</f>
        <v/>
      </c>
      <c r="AQ56" s="254">
        <f t="shared" si="7"/>
        <v>0</v>
      </c>
      <c r="AR56" s="254" t="str">
        <f t="shared" si="8"/>
        <v/>
      </c>
      <c r="AS56" s="254" t="str">
        <f t="shared" si="9"/>
        <v/>
      </c>
      <c r="AT56" s="57" t="str">
        <f>IF($U56="","",SUM($AS56:$AS$114))</f>
        <v/>
      </c>
      <c r="AU56" s="53" t="str">
        <f>IF($U56="","",INDEX(#REF!,$U56+1))</f>
        <v/>
      </c>
      <c r="AV56" s="254">
        <f t="shared" si="10"/>
        <v>0</v>
      </c>
      <c r="AW56" s="254" t="str">
        <f t="shared" si="11"/>
        <v/>
      </c>
      <c r="AX56" s="254" t="str">
        <f t="shared" si="12"/>
        <v/>
      </c>
      <c r="AY56" s="57" t="str">
        <f>IF($U56="","",SUM($AX56:$AX$114))</f>
        <v/>
      </c>
      <c r="AZ56" s="53" t="str">
        <f>IF($U56="","",INDEX(#REF!,$U56+1))</f>
        <v/>
      </c>
      <c r="BA56" s="254">
        <f t="shared" si="13"/>
        <v>0</v>
      </c>
      <c r="BB56" s="254" t="str">
        <f t="shared" si="14"/>
        <v/>
      </c>
      <c r="BC56" s="254" t="str">
        <f t="shared" si="15"/>
        <v/>
      </c>
      <c r="BD56" s="57" t="str">
        <f>IF($U56="","",SUM($BC56:$BC$114))</f>
        <v/>
      </c>
      <c r="BE56" s="53" t="str">
        <f>IF($U56="","",INDEX(#REF!,$U56+1))</f>
        <v/>
      </c>
      <c r="BF56" s="254">
        <f t="shared" si="16"/>
        <v>0</v>
      </c>
      <c r="BG56" s="254" t="str">
        <f t="shared" si="17"/>
        <v/>
      </c>
      <c r="BH56" s="254" t="str">
        <f t="shared" si="18"/>
        <v/>
      </c>
      <c r="BI56" s="57" t="str">
        <f>IF($U56="","",SUM($BH56:$BH$114))</f>
        <v/>
      </c>
      <c r="BJ56" s="53" t="str">
        <f>IF($U56="","",INDEX(#REF!,$U56+1))</f>
        <v/>
      </c>
      <c r="BK56" s="254">
        <f t="shared" si="19"/>
        <v>0</v>
      </c>
      <c r="BL56" s="254" t="str">
        <f t="shared" si="20"/>
        <v/>
      </c>
      <c r="BM56" s="254" t="str">
        <f t="shared" si="21"/>
        <v/>
      </c>
      <c r="BN56" s="57" t="str">
        <f>IF($U56="","",SUM($BM56:$BM$114))</f>
        <v/>
      </c>
      <c r="BO56" s="53">
        <f t="shared" si="22"/>
        <v>0</v>
      </c>
      <c r="BP56" s="254" t="str">
        <f t="shared" si="23"/>
        <v/>
      </c>
      <c r="BQ56" s="254" t="str">
        <f t="shared" si="24"/>
        <v/>
      </c>
      <c r="BR56" s="254"/>
      <c r="BS56" s="254" t="str">
        <f t="shared" si="37"/>
        <v/>
      </c>
      <c r="BT56" s="254" t="str">
        <f t="shared" si="25"/>
        <v/>
      </c>
      <c r="BU56" s="254" t="str">
        <f t="shared" si="26"/>
        <v/>
      </c>
      <c r="BV56" s="254"/>
      <c r="BW56" s="254" t="str">
        <f t="shared" si="38"/>
        <v/>
      </c>
      <c r="BX56" s="254" t="str">
        <f>IF($U56="","",SUM(BS56:BS$114)+SUM(BW56:BW$114))</f>
        <v/>
      </c>
      <c r="BY56" s="55"/>
      <c r="BZ56" s="55"/>
      <c r="CA56" s="55"/>
      <c r="CB56" s="55"/>
      <c r="CC56" s="254" t="str">
        <f t="shared" si="39"/>
        <v/>
      </c>
      <c r="CD56" s="254" t="str">
        <f t="shared" si="27"/>
        <v/>
      </c>
      <c r="CE56" s="254" t="str">
        <f t="shared" si="28"/>
        <v/>
      </c>
      <c r="CF56" s="254" t="str">
        <f t="shared" si="40"/>
        <v/>
      </c>
      <c r="CG56" s="254" t="str">
        <f t="shared" si="29"/>
        <v/>
      </c>
      <c r="CH56" s="58" t="str">
        <f t="shared" si="41"/>
        <v/>
      </c>
      <c r="CI56" s="59" t="str">
        <f t="shared" si="30"/>
        <v/>
      </c>
      <c r="CJ56" s="236"/>
      <c r="CK56" s="52" t="str">
        <f t="shared" si="31"/>
        <v/>
      </c>
      <c r="CL56" s="59" t="str">
        <f t="shared" si="47"/>
        <v/>
      </c>
      <c r="CM56" s="59" t="str">
        <f t="shared" si="42"/>
        <v/>
      </c>
      <c r="CN56" s="59" t="str">
        <f t="shared" si="32"/>
        <v/>
      </c>
      <c r="CO56" s="59" t="str">
        <f t="shared" si="43"/>
        <v/>
      </c>
      <c r="CP56" s="236"/>
      <c r="CQ56" s="236"/>
      <c r="CR56" s="236"/>
      <c r="CS56" s="236"/>
      <c r="CT56" s="236"/>
      <c r="CU56" s="236"/>
      <c r="CV56" s="236"/>
    </row>
    <row r="57" spans="1:100">
      <c r="A57" s="305"/>
      <c r="B57" s="373"/>
      <c r="D57" s="459"/>
      <c r="E57" s="457"/>
      <c r="F57" s="456"/>
      <c r="G57" s="460"/>
      <c r="I57" s="2"/>
      <c r="L57" s="599"/>
      <c r="M57" s="599"/>
      <c r="N57" s="275" t="str">
        <f t="shared" si="51"/>
        <v/>
      </c>
      <c r="O57" s="276" t="str">
        <f t="shared" si="52"/>
        <v/>
      </c>
      <c r="P57" s="277" t="str">
        <f t="shared" si="48"/>
        <v/>
      </c>
      <c r="Q57" s="277" t="str">
        <f t="shared" si="49"/>
        <v/>
      </c>
      <c r="R57" s="277" t="str">
        <f t="shared" si="50"/>
        <v/>
      </c>
      <c r="S57" s="401" t="str">
        <f t="shared" si="33"/>
        <v/>
      </c>
      <c r="T57" s="232"/>
      <c r="U57" s="52" t="str">
        <f t="shared" si="44"/>
        <v/>
      </c>
      <c r="V57" s="53" t="str">
        <f>Main_무해지!AC57</f>
        <v/>
      </c>
      <c r="W57" s="56">
        <f>+Main_무해지!AD57</f>
        <v>0</v>
      </c>
      <c r="X57" s="56">
        <v>0</v>
      </c>
      <c r="Y57" s="254" t="str">
        <f t="shared" si="45"/>
        <v/>
      </c>
      <c r="Z57" s="254" t="str">
        <f t="shared" si="0"/>
        <v/>
      </c>
      <c r="AA57" s="54" t="str">
        <f>IF($U57="","",SUM(Z57:Z$114))</f>
        <v/>
      </c>
      <c r="AB57" s="254" t="str">
        <f t="shared" si="34"/>
        <v/>
      </c>
      <c r="AC57" s="254">
        <f t="shared" si="35"/>
        <v>0</v>
      </c>
      <c r="AD57" s="254" t="str">
        <f>Main_무해지!AJ57</f>
        <v/>
      </c>
      <c r="AE57" s="254">
        <f t="shared" si="1"/>
        <v>0</v>
      </c>
      <c r="AF57" s="254" t="str">
        <f t="shared" si="46"/>
        <v/>
      </c>
      <c r="AG57" s="254" t="str">
        <f t="shared" si="2"/>
        <v/>
      </c>
      <c r="AH57" s="54" t="str">
        <f>IF($U57="","",SUM(AG57:AG$114))</f>
        <v/>
      </c>
      <c r="AI57" s="254" t="str">
        <f>Main_무해지!AP57</f>
        <v/>
      </c>
      <c r="AJ57" s="254">
        <f t="shared" si="3"/>
        <v>0</v>
      </c>
      <c r="AK57" s="254" t="str">
        <f t="shared" si="4"/>
        <v/>
      </c>
      <c r="AL57" s="254" t="str">
        <f t="shared" si="5"/>
        <v/>
      </c>
      <c r="AM57" s="57" t="str">
        <f>IF($U57="","",SUM($AN57:$AN$114))</f>
        <v/>
      </c>
      <c r="AN57" s="254" t="str">
        <f t="shared" si="36"/>
        <v/>
      </c>
      <c r="AO57" s="57" t="str">
        <f t="shared" si="6"/>
        <v/>
      </c>
      <c r="AP57" s="53" t="str">
        <f>IF($U57="","",INDEX(#REF!,$U57+1))</f>
        <v/>
      </c>
      <c r="AQ57" s="254">
        <f t="shared" si="7"/>
        <v>0</v>
      </c>
      <c r="AR57" s="254" t="str">
        <f t="shared" si="8"/>
        <v/>
      </c>
      <c r="AS57" s="254" t="str">
        <f t="shared" si="9"/>
        <v/>
      </c>
      <c r="AT57" s="57" t="str">
        <f>IF($U57="","",SUM($AS57:$AS$114))</f>
        <v/>
      </c>
      <c r="AU57" s="53" t="str">
        <f>IF($U57="","",INDEX(#REF!,$U57+1))</f>
        <v/>
      </c>
      <c r="AV57" s="254">
        <f t="shared" si="10"/>
        <v>0</v>
      </c>
      <c r="AW57" s="254" t="str">
        <f t="shared" si="11"/>
        <v/>
      </c>
      <c r="AX57" s="254" t="str">
        <f t="shared" si="12"/>
        <v/>
      </c>
      <c r="AY57" s="57" t="str">
        <f>IF($U57="","",SUM($AX57:$AX$114))</f>
        <v/>
      </c>
      <c r="AZ57" s="53" t="str">
        <f>IF($U57="","",INDEX(#REF!,$U57+1))</f>
        <v/>
      </c>
      <c r="BA57" s="254">
        <f t="shared" si="13"/>
        <v>0</v>
      </c>
      <c r="BB57" s="254" t="str">
        <f t="shared" si="14"/>
        <v/>
      </c>
      <c r="BC57" s="254" t="str">
        <f t="shared" si="15"/>
        <v/>
      </c>
      <c r="BD57" s="57" t="str">
        <f>IF($U57="","",SUM($BC57:$BC$114))</f>
        <v/>
      </c>
      <c r="BE57" s="53" t="str">
        <f>IF($U57="","",INDEX(#REF!,$U57+1))</f>
        <v/>
      </c>
      <c r="BF57" s="254">
        <f t="shared" si="16"/>
        <v>0</v>
      </c>
      <c r="BG57" s="254" t="str">
        <f t="shared" si="17"/>
        <v/>
      </c>
      <c r="BH57" s="254" t="str">
        <f t="shared" si="18"/>
        <v/>
      </c>
      <c r="BI57" s="57" t="str">
        <f>IF($U57="","",SUM($BH57:$BH$114))</f>
        <v/>
      </c>
      <c r="BJ57" s="53" t="str">
        <f>IF($U57="","",INDEX(#REF!,$U57+1))</f>
        <v/>
      </c>
      <c r="BK57" s="254">
        <f t="shared" si="19"/>
        <v>0</v>
      </c>
      <c r="BL57" s="254" t="str">
        <f t="shared" si="20"/>
        <v/>
      </c>
      <c r="BM57" s="254" t="str">
        <f t="shared" si="21"/>
        <v/>
      </c>
      <c r="BN57" s="57" t="str">
        <f>IF($U57="","",SUM($BM57:$BM$114))</f>
        <v/>
      </c>
      <c r="BO57" s="53">
        <f t="shared" si="22"/>
        <v>0</v>
      </c>
      <c r="BP57" s="254" t="str">
        <f t="shared" si="23"/>
        <v/>
      </c>
      <c r="BQ57" s="254" t="str">
        <f t="shared" si="24"/>
        <v/>
      </c>
      <c r="BR57" s="254"/>
      <c r="BS57" s="254" t="str">
        <f t="shared" si="37"/>
        <v/>
      </c>
      <c r="BT57" s="254" t="str">
        <f t="shared" si="25"/>
        <v/>
      </c>
      <c r="BU57" s="254" t="str">
        <f t="shared" si="26"/>
        <v/>
      </c>
      <c r="BV57" s="254"/>
      <c r="BW57" s="254" t="str">
        <f t="shared" si="38"/>
        <v/>
      </c>
      <c r="BX57" s="254" t="str">
        <f>IF($U57="","",SUM(BS57:BS$114)+SUM(BW57:BW$114))</f>
        <v/>
      </c>
      <c r="BY57" s="55"/>
      <c r="BZ57" s="55"/>
      <c r="CA57" s="55"/>
      <c r="CB57" s="55"/>
      <c r="CC57" s="254" t="str">
        <f t="shared" si="39"/>
        <v/>
      </c>
      <c r="CD57" s="254" t="str">
        <f t="shared" si="27"/>
        <v/>
      </c>
      <c r="CE57" s="254" t="str">
        <f t="shared" si="28"/>
        <v/>
      </c>
      <c r="CF57" s="254" t="str">
        <f t="shared" si="40"/>
        <v/>
      </c>
      <c r="CG57" s="254" t="str">
        <f t="shared" si="29"/>
        <v/>
      </c>
      <c r="CH57" s="58" t="str">
        <f t="shared" si="41"/>
        <v/>
      </c>
      <c r="CI57" s="59" t="str">
        <f t="shared" si="30"/>
        <v/>
      </c>
      <c r="CJ57" s="236"/>
      <c r="CK57" s="52" t="str">
        <f t="shared" si="31"/>
        <v/>
      </c>
      <c r="CL57" s="59" t="str">
        <f t="shared" si="47"/>
        <v/>
      </c>
      <c r="CM57" s="59" t="str">
        <f t="shared" si="42"/>
        <v/>
      </c>
      <c r="CN57" s="59" t="str">
        <f t="shared" si="32"/>
        <v/>
      </c>
      <c r="CO57" s="59" t="str">
        <f t="shared" si="43"/>
        <v/>
      </c>
      <c r="CP57" s="236"/>
      <c r="CQ57" s="236"/>
      <c r="CR57" s="236"/>
      <c r="CS57" s="236"/>
      <c r="CT57" s="236"/>
      <c r="CU57" s="236"/>
      <c r="CV57" s="236"/>
    </row>
    <row r="58" spans="1:100" ht="17.25" thickBot="1">
      <c r="A58" s="305"/>
      <c r="B58" s="373"/>
      <c r="D58" s="461"/>
      <c r="E58" s="462"/>
      <c r="F58" s="463"/>
      <c r="G58" s="464"/>
      <c r="I58" s="2"/>
      <c r="L58" s="599"/>
      <c r="M58" s="599"/>
      <c r="N58" s="278" t="str">
        <f t="shared" si="51"/>
        <v/>
      </c>
      <c r="O58" s="279" t="str">
        <f t="shared" si="52"/>
        <v/>
      </c>
      <c r="P58" s="271" t="str">
        <f t="shared" si="48"/>
        <v/>
      </c>
      <c r="Q58" s="271" t="str">
        <f t="shared" si="49"/>
        <v/>
      </c>
      <c r="R58" s="271" t="str">
        <f t="shared" si="50"/>
        <v/>
      </c>
      <c r="S58" s="400" t="str">
        <f t="shared" si="33"/>
        <v/>
      </c>
      <c r="T58" s="232"/>
      <c r="U58" s="52" t="str">
        <f t="shared" si="44"/>
        <v/>
      </c>
      <c r="V58" s="53" t="str">
        <f>Main_무해지!AC58</f>
        <v/>
      </c>
      <c r="W58" s="56">
        <f>+Main_무해지!AD58</f>
        <v>0</v>
      </c>
      <c r="X58" s="56">
        <v>0</v>
      </c>
      <c r="Y58" s="254" t="str">
        <f t="shared" si="45"/>
        <v/>
      </c>
      <c r="Z58" s="254" t="str">
        <f t="shared" si="0"/>
        <v/>
      </c>
      <c r="AA58" s="54" t="str">
        <f>IF($U58="","",SUM(Z58:Z$114))</f>
        <v/>
      </c>
      <c r="AB58" s="254" t="str">
        <f t="shared" si="34"/>
        <v/>
      </c>
      <c r="AC58" s="254">
        <f t="shared" si="35"/>
        <v>0</v>
      </c>
      <c r="AD58" s="254" t="str">
        <f>Main_무해지!AJ58</f>
        <v/>
      </c>
      <c r="AE58" s="254">
        <f t="shared" si="1"/>
        <v>0</v>
      </c>
      <c r="AF58" s="254" t="str">
        <f t="shared" si="46"/>
        <v/>
      </c>
      <c r="AG58" s="254" t="str">
        <f t="shared" si="2"/>
        <v/>
      </c>
      <c r="AH58" s="54" t="str">
        <f>IF($U58="","",SUM(AG58:AG$114))</f>
        <v/>
      </c>
      <c r="AI58" s="254" t="str">
        <f>Main_무해지!AP58</f>
        <v/>
      </c>
      <c r="AJ58" s="254">
        <f t="shared" si="3"/>
        <v>0</v>
      </c>
      <c r="AK58" s="254" t="str">
        <f t="shared" si="4"/>
        <v/>
      </c>
      <c r="AL58" s="254" t="str">
        <f t="shared" si="5"/>
        <v/>
      </c>
      <c r="AM58" s="57" t="str">
        <f>IF($U58="","",SUM($AN58:$AN$114))</f>
        <v/>
      </c>
      <c r="AN58" s="254" t="str">
        <f t="shared" si="36"/>
        <v/>
      </c>
      <c r="AO58" s="57" t="str">
        <f t="shared" si="6"/>
        <v/>
      </c>
      <c r="AP58" s="53" t="str">
        <f>IF($U58="","",INDEX(#REF!,$U58+1))</f>
        <v/>
      </c>
      <c r="AQ58" s="254">
        <f t="shared" si="7"/>
        <v>0</v>
      </c>
      <c r="AR58" s="254" t="str">
        <f t="shared" si="8"/>
        <v/>
      </c>
      <c r="AS58" s="254" t="str">
        <f t="shared" si="9"/>
        <v/>
      </c>
      <c r="AT58" s="57" t="str">
        <f>IF($U58="","",SUM($AS58:$AS$114))</f>
        <v/>
      </c>
      <c r="AU58" s="53" t="str">
        <f>IF($U58="","",INDEX(#REF!,$U58+1))</f>
        <v/>
      </c>
      <c r="AV58" s="254">
        <f t="shared" si="10"/>
        <v>0</v>
      </c>
      <c r="AW58" s="254" t="str">
        <f t="shared" si="11"/>
        <v/>
      </c>
      <c r="AX58" s="254" t="str">
        <f t="shared" si="12"/>
        <v/>
      </c>
      <c r="AY58" s="57" t="str">
        <f>IF($U58="","",SUM($AX58:$AX$114))</f>
        <v/>
      </c>
      <c r="AZ58" s="53" t="str">
        <f>IF($U58="","",INDEX(#REF!,$U58+1))</f>
        <v/>
      </c>
      <c r="BA58" s="254">
        <f t="shared" si="13"/>
        <v>0</v>
      </c>
      <c r="BB58" s="254" t="str">
        <f t="shared" si="14"/>
        <v/>
      </c>
      <c r="BC58" s="254" t="str">
        <f t="shared" si="15"/>
        <v/>
      </c>
      <c r="BD58" s="57" t="str">
        <f>IF($U58="","",SUM($BC58:$BC$114))</f>
        <v/>
      </c>
      <c r="BE58" s="53" t="str">
        <f>IF($U58="","",INDEX(#REF!,$U58+1))</f>
        <v/>
      </c>
      <c r="BF58" s="254">
        <f t="shared" si="16"/>
        <v>0</v>
      </c>
      <c r="BG58" s="254" t="str">
        <f t="shared" si="17"/>
        <v/>
      </c>
      <c r="BH58" s="254" t="str">
        <f t="shared" si="18"/>
        <v/>
      </c>
      <c r="BI58" s="57" t="str">
        <f>IF($U58="","",SUM($BH58:$BH$114))</f>
        <v/>
      </c>
      <c r="BJ58" s="53" t="str">
        <f>IF($U58="","",INDEX(#REF!,$U58+1))</f>
        <v/>
      </c>
      <c r="BK58" s="254">
        <f t="shared" si="19"/>
        <v>0</v>
      </c>
      <c r="BL58" s="254" t="str">
        <f t="shared" si="20"/>
        <v/>
      </c>
      <c r="BM58" s="254" t="str">
        <f t="shared" si="21"/>
        <v/>
      </c>
      <c r="BN58" s="57" t="str">
        <f>IF($U58="","",SUM($BM58:$BM$114))</f>
        <v/>
      </c>
      <c r="BO58" s="53">
        <f t="shared" si="22"/>
        <v>0</v>
      </c>
      <c r="BP58" s="254" t="str">
        <f t="shared" si="23"/>
        <v/>
      </c>
      <c r="BQ58" s="254" t="str">
        <f t="shared" si="24"/>
        <v/>
      </c>
      <c r="BR58" s="254"/>
      <c r="BS58" s="254" t="str">
        <f t="shared" si="37"/>
        <v/>
      </c>
      <c r="BT58" s="254" t="str">
        <f t="shared" si="25"/>
        <v/>
      </c>
      <c r="BU58" s="254" t="str">
        <f t="shared" si="26"/>
        <v/>
      </c>
      <c r="BV58" s="254"/>
      <c r="BW58" s="254" t="str">
        <f t="shared" si="38"/>
        <v/>
      </c>
      <c r="BX58" s="254" t="str">
        <f>IF($U58="","",SUM(BS58:BS$114)+SUM(BW58:BW$114))</f>
        <v/>
      </c>
      <c r="BY58" s="55"/>
      <c r="BZ58" s="55"/>
      <c r="CA58" s="55"/>
      <c r="CB58" s="55"/>
      <c r="CC58" s="254" t="str">
        <f t="shared" si="39"/>
        <v/>
      </c>
      <c r="CD58" s="254" t="str">
        <f t="shared" si="27"/>
        <v/>
      </c>
      <c r="CE58" s="254" t="str">
        <f t="shared" si="28"/>
        <v/>
      </c>
      <c r="CF58" s="254" t="str">
        <f t="shared" si="40"/>
        <v/>
      </c>
      <c r="CG58" s="254" t="str">
        <f t="shared" si="29"/>
        <v/>
      </c>
      <c r="CH58" s="58" t="str">
        <f t="shared" si="41"/>
        <v/>
      </c>
      <c r="CI58" s="59" t="str">
        <f t="shared" si="30"/>
        <v/>
      </c>
      <c r="CJ58" s="236"/>
      <c r="CK58" s="52" t="str">
        <f t="shared" si="31"/>
        <v/>
      </c>
      <c r="CL58" s="59" t="str">
        <f t="shared" si="47"/>
        <v/>
      </c>
      <c r="CM58" s="59" t="str">
        <f t="shared" si="42"/>
        <v/>
      </c>
      <c r="CN58" s="59" t="str">
        <f t="shared" si="32"/>
        <v/>
      </c>
      <c r="CO58" s="59" t="str">
        <f t="shared" si="43"/>
        <v/>
      </c>
      <c r="CP58" s="236"/>
      <c r="CQ58" s="236"/>
      <c r="CR58" s="236"/>
      <c r="CS58" s="236"/>
      <c r="CT58" s="236"/>
      <c r="CU58" s="236"/>
      <c r="CV58" s="236"/>
    </row>
    <row r="59" spans="1:100">
      <c r="A59" s="305"/>
      <c r="B59" s="373"/>
      <c r="I59" s="2"/>
      <c r="L59" s="599"/>
      <c r="M59" s="599"/>
      <c r="N59" s="278" t="str">
        <f t="shared" si="51"/>
        <v/>
      </c>
      <c r="O59" s="279" t="str">
        <f t="shared" si="52"/>
        <v/>
      </c>
      <c r="P59" s="271" t="str">
        <f t="shared" si="48"/>
        <v/>
      </c>
      <c r="Q59" s="271" t="str">
        <f t="shared" si="49"/>
        <v/>
      </c>
      <c r="R59" s="271" t="str">
        <f t="shared" si="50"/>
        <v/>
      </c>
      <c r="S59" s="400" t="str">
        <f t="shared" si="33"/>
        <v/>
      </c>
      <c r="T59" s="232"/>
      <c r="U59" s="60" t="str">
        <f t="shared" si="44"/>
        <v/>
      </c>
      <c r="V59" s="61" t="str">
        <f>Main_무해지!AC59</f>
        <v/>
      </c>
      <c r="W59" s="64">
        <f>+Main_무해지!AD59</f>
        <v>0</v>
      </c>
      <c r="X59" s="64">
        <v>0</v>
      </c>
      <c r="Y59" s="255" t="str">
        <f t="shared" si="45"/>
        <v/>
      </c>
      <c r="Z59" s="255" t="str">
        <f t="shared" si="0"/>
        <v/>
      </c>
      <c r="AA59" s="62" t="str">
        <f>IF($U59="","",SUM(Z59:Z$114))</f>
        <v/>
      </c>
      <c r="AB59" s="255" t="str">
        <f t="shared" si="34"/>
        <v/>
      </c>
      <c r="AC59" s="254">
        <f t="shared" si="35"/>
        <v>0</v>
      </c>
      <c r="AD59" s="254" t="str">
        <f>Main_무해지!AJ59</f>
        <v/>
      </c>
      <c r="AE59" s="255">
        <f t="shared" si="1"/>
        <v>0</v>
      </c>
      <c r="AF59" s="255" t="str">
        <f t="shared" si="46"/>
        <v/>
      </c>
      <c r="AG59" s="255" t="str">
        <f t="shared" si="2"/>
        <v/>
      </c>
      <c r="AH59" s="62" t="str">
        <f>IF($U59="","",SUM(AG59:AG$114))</f>
        <v/>
      </c>
      <c r="AI59" s="255" t="str">
        <f>Main_무해지!AP59</f>
        <v/>
      </c>
      <c r="AJ59" s="255">
        <f t="shared" si="3"/>
        <v>0</v>
      </c>
      <c r="AK59" s="255" t="str">
        <f t="shared" si="4"/>
        <v/>
      </c>
      <c r="AL59" s="255" t="str">
        <f t="shared" si="5"/>
        <v/>
      </c>
      <c r="AM59" s="65" t="str">
        <f>IF($U59="","",SUM($AN59:$AN$114))</f>
        <v/>
      </c>
      <c r="AN59" s="255" t="str">
        <f t="shared" si="36"/>
        <v/>
      </c>
      <c r="AO59" s="65" t="str">
        <f t="shared" si="6"/>
        <v/>
      </c>
      <c r="AP59" s="61" t="str">
        <f>IF($U59="","",INDEX(#REF!,$U59+1))</f>
        <v/>
      </c>
      <c r="AQ59" s="255">
        <f t="shared" si="7"/>
        <v>0</v>
      </c>
      <c r="AR59" s="255" t="str">
        <f t="shared" si="8"/>
        <v/>
      </c>
      <c r="AS59" s="255" t="str">
        <f t="shared" si="9"/>
        <v/>
      </c>
      <c r="AT59" s="65" t="str">
        <f>IF($U59="","",SUM($AS59:$AS$114))</f>
        <v/>
      </c>
      <c r="AU59" s="61" t="str">
        <f>IF($U59="","",INDEX(#REF!,$U59+1))</f>
        <v/>
      </c>
      <c r="AV59" s="255">
        <f t="shared" si="10"/>
        <v>0</v>
      </c>
      <c r="AW59" s="255" t="str">
        <f t="shared" si="11"/>
        <v/>
      </c>
      <c r="AX59" s="255" t="str">
        <f t="shared" si="12"/>
        <v/>
      </c>
      <c r="AY59" s="65" t="str">
        <f>IF($U59="","",SUM($AX59:$AX$114))</f>
        <v/>
      </c>
      <c r="AZ59" s="61" t="str">
        <f>IF($U59="","",INDEX(#REF!,$U59+1))</f>
        <v/>
      </c>
      <c r="BA59" s="255">
        <f t="shared" si="13"/>
        <v>0</v>
      </c>
      <c r="BB59" s="255" t="str">
        <f t="shared" si="14"/>
        <v/>
      </c>
      <c r="BC59" s="255" t="str">
        <f t="shared" si="15"/>
        <v/>
      </c>
      <c r="BD59" s="65" t="str">
        <f>IF($U59="","",SUM($BC59:$BC$114))</f>
        <v/>
      </c>
      <c r="BE59" s="61" t="str">
        <f>IF($U59="","",INDEX(#REF!,$U59+1))</f>
        <v/>
      </c>
      <c r="BF59" s="255">
        <f t="shared" si="16"/>
        <v>0</v>
      </c>
      <c r="BG59" s="255" t="str">
        <f t="shared" si="17"/>
        <v/>
      </c>
      <c r="BH59" s="255" t="str">
        <f t="shared" si="18"/>
        <v/>
      </c>
      <c r="BI59" s="65" t="str">
        <f>IF($U59="","",SUM($BH59:$BH$114))</f>
        <v/>
      </c>
      <c r="BJ59" s="61" t="str">
        <f>IF($U59="","",INDEX(#REF!,$U59+1))</f>
        <v/>
      </c>
      <c r="BK59" s="255">
        <f t="shared" si="19"/>
        <v>0</v>
      </c>
      <c r="BL59" s="255" t="str">
        <f t="shared" si="20"/>
        <v/>
      </c>
      <c r="BM59" s="255" t="str">
        <f t="shared" si="21"/>
        <v/>
      </c>
      <c r="BN59" s="65" t="str">
        <f>IF($U59="","",SUM($BM59:$BM$114))</f>
        <v/>
      </c>
      <c r="BO59" s="61">
        <f t="shared" si="22"/>
        <v>0</v>
      </c>
      <c r="BP59" s="255" t="str">
        <f t="shared" si="23"/>
        <v/>
      </c>
      <c r="BQ59" s="255" t="str">
        <f t="shared" si="24"/>
        <v/>
      </c>
      <c r="BR59" s="255"/>
      <c r="BS59" s="255" t="str">
        <f t="shared" si="37"/>
        <v/>
      </c>
      <c r="BT59" s="255" t="str">
        <f t="shared" si="25"/>
        <v/>
      </c>
      <c r="BU59" s="255" t="str">
        <f t="shared" si="26"/>
        <v/>
      </c>
      <c r="BV59" s="255"/>
      <c r="BW59" s="255" t="str">
        <f t="shared" si="38"/>
        <v/>
      </c>
      <c r="BX59" s="255" t="str">
        <f>IF($U59="","",SUM(BS59:BS$114)+SUM(BW59:BW$114))</f>
        <v/>
      </c>
      <c r="BY59" s="63"/>
      <c r="BZ59" s="63"/>
      <c r="CA59" s="63"/>
      <c r="CB59" s="63"/>
      <c r="CC59" s="255" t="str">
        <f t="shared" si="39"/>
        <v/>
      </c>
      <c r="CD59" s="255" t="str">
        <f t="shared" si="27"/>
        <v/>
      </c>
      <c r="CE59" s="255" t="str">
        <f t="shared" si="28"/>
        <v/>
      </c>
      <c r="CF59" s="255" t="str">
        <f t="shared" si="40"/>
        <v/>
      </c>
      <c r="CG59" s="255" t="str">
        <f t="shared" si="29"/>
        <v/>
      </c>
      <c r="CH59" s="66" t="str">
        <f t="shared" si="41"/>
        <v/>
      </c>
      <c r="CI59" s="67" t="str">
        <f t="shared" si="30"/>
        <v/>
      </c>
      <c r="CJ59" s="237"/>
      <c r="CK59" s="60" t="str">
        <f t="shared" si="31"/>
        <v/>
      </c>
      <c r="CL59" s="67" t="str">
        <f t="shared" si="47"/>
        <v/>
      </c>
      <c r="CM59" s="67" t="str">
        <f t="shared" si="42"/>
        <v/>
      </c>
      <c r="CN59" s="67" t="str">
        <f t="shared" si="32"/>
        <v/>
      </c>
      <c r="CO59" s="67" t="str">
        <f t="shared" si="43"/>
        <v/>
      </c>
      <c r="CP59" s="237"/>
      <c r="CQ59" s="237"/>
      <c r="CR59" s="237"/>
      <c r="CS59" s="237"/>
      <c r="CT59" s="237"/>
      <c r="CU59" s="237"/>
      <c r="CV59" s="237"/>
    </row>
    <row r="60" spans="1:100" ht="17.25" thickBot="1">
      <c r="A60" s="305"/>
      <c r="L60" s="599"/>
      <c r="M60" s="599"/>
      <c r="N60" s="278" t="str">
        <f t="shared" si="51"/>
        <v/>
      </c>
      <c r="O60" s="279" t="str">
        <f t="shared" si="52"/>
        <v/>
      </c>
      <c r="P60" s="271" t="str">
        <f t="shared" si="48"/>
        <v/>
      </c>
      <c r="Q60" s="271" t="str">
        <f t="shared" si="49"/>
        <v/>
      </c>
      <c r="R60" s="271" t="str">
        <f t="shared" si="50"/>
        <v/>
      </c>
      <c r="S60" s="400" t="str">
        <f t="shared" si="33"/>
        <v/>
      </c>
      <c r="T60" s="232"/>
      <c r="U60" s="759" t="str">
        <f t="shared" si="44"/>
        <v/>
      </c>
      <c r="V60" s="761" t="str">
        <f>Main_무해지!AC60</f>
        <v/>
      </c>
      <c r="W60" s="639">
        <f>+Main_무해지!AD60</f>
        <v>0</v>
      </c>
      <c r="X60" s="639">
        <v>0</v>
      </c>
      <c r="Y60" s="409" t="str">
        <f t="shared" si="45"/>
        <v/>
      </c>
      <c r="Z60" s="409" t="str">
        <f t="shared" si="0"/>
        <v/>
      </c>
      <c r="AA60" s="760" t="str">
        <f>IF($U60="","",SUM(Z60:Z$114))</f>
        <v/>
      </c>
      <c r="AB60" s="409" t="str">
        <f t="shared" si="34"/>
        <v/>
      </c>
      <c r="AC60" s="254">
        <f t="shared" si="35"/>
        <v>0</v>
      </c>
      <c r="AD60" s="254" t="str">
        <f>Main_무해지!AJ60</f>
        <v/>
      </c>
      <c r="AE60" s="409">
        <f t="shared" si="1"/>
        <v>0</v>
      </c>
      <c r="AF60" s="409" t="str">
        <f t="shared" si="46"/>
        <v/>
      </c>
      <c r="AG60" s="409" t="str">
        <f t="shared" si="2"/>
        <v/>
      </c>
      <c r="AH60" s="760" t="str">
        <f>IF($U60="","",SUM(AG60:AG$114))</f>
        <v/>
      </c>
      <c r="AI60" s="409" t="str">
        <f>Main_무해지!AP60</f>
        <v/>
      </c>
      <c r="AJ60" s="409">
        <f t="shared" si="3"/>
        <v>0</v>
      </c>
      <c r="AK60" s="409" t="str">
        <f t="shared" si="4"/>
        <v/>
      </c>
      <c r="AL60" s="409" t="str">
        <f t="shared" si="5"/>
        <v/>
      </c>
      <c r="AM60" s="762" t="str">
        <f>IF($U60="","",SUM($AN60:$AN$114))</f>
        <v/>
      </c>
      <c r="AN60" s="409" t="str">
        <f t="shared" si="36"/>
        <v/>
      </c>
      <c r="AO60" s="762" t="str">
        <f t="shared" si="6"/>
        <v/>
      </c>
      <c r="AP60" s="761" t="str">
        <f>IF($U60="","",INDEX(#REF!,$U60+1))</f>
        <v/>
      </c>
      <c r="AQ60" s="409">
        <f t="shared" si="7"/>
        <v>0</v>
      </c>
      <c r="AR60" s="409" t="str">
        <f t="shared" si="8"/>
        <v/>
      </c>
      <c r="AS60" s="409" t="str">
        <f t="shared" si="9"/>
        <v/>
      </c>
      <c r="AT60" s="762" t="str">
        <f>IF($U60="","",SUM($AS60:$AS$114))</f>
        <v/>
      </c>
      <c r="AU60" s="761" t="str">
        <f>IF($U60="","",INDEX(#REF!,$U60+1))</f>
        <v/>
      </c>
      <c r="AV60" s="409">
        <f t="shared" si="10"/>
        <v>0</v>
      </c>
      <c r="AW60" s="409" t="str">
        <f t="shared" si="11"/>
        <v/>
      </c>
      <c r="AX60" s="409" t="str">
        <f t="shared" si="12"/>
        <v/>
      </c>
      <c r="AY60" s="762" t="str">
        <f>IF($U60="","",SUM($AX60:$AX$114))</f>
        <v/>
      </c>
      <c r="AZ60" s="761" t="str">
        <f>IF($U60="","",INDEX(#REF!,$U60+1))</f>
        <v/>
      </c>
      <c r="BA60" s="409">
        <f t="shared" si="13"/>
        <v>0</v>
      </c>
      <c r="BB60" s="409" t="str">
        <f t="shared" si="14"/>
        <v/>
      </c>
      <c r="BC60" s="409" t="str">
        <f t="shared" si="15"/>
        <v/>
      </c>
      <c r="BD60" s="762" t="str">
        <f>IF($U60="","",SUM($BC60:$BC$114))</f>
        <v/>
      </c>
      <c r="BE60" s="761" t="str">
        <f>IF($U60="","",INDEX(#REF!,$U60+1))</f>
        <v/>
      </c>
      <c r="BF60" s="409">
        <f t="shared" si="16"/>
        <v>0</v>
      </c>
      <c r="BG60" s="409" t="str">
        <f t="shared" si="17"/>
        <v/>
      </c>
      <c r="BH60" s="409" t="str">
        <f t="shared" si="18"/>
        <v/>
      </c>
      <c r="BI60" s="762" t="str">
        <f>IF($U60="","",SUM($BH60:$BH$114))</f>
        <v/>
      </c>
      <c r="BJ60" s="761" t="str">
        <f>IF($U60="","",INDEX(#REF!,$U60+1))</f>
        <v/>
      </c>
      <c r="BK60" s="409">
        <f t="shared" si="19"/>
        <v>0</v>
      </c>
      <c r="BL60" s="409" t="str">
        <f t="shared" si="20"/>
        <v/>
      </c>
      <c r="BM60" s="409" t="str">
        <f t="shared" si="21"/>
        <v/>
      </c>
      <c r="BN60" s="762" t="str">
        <f>IF($U60="","",SUM($BM60:$BM$114))</f>
        <v/>
      </c>
      <c r="BO60" s="761">
        <f t="shared" si="22"/>
        <v>0</v>
      </c>
      <c r="BP60" s="409" t="str">
        <f t="shared" si="23"/>
        <v/>
      </c>
      <c r="BQ60" s="409" t="str">
        <f t="shared" si="24"/>
        <v/>
      </c>
      <c r="BR60" s="409"/>
      <c r="BS60" s="409" t="str">
        <f t="shared" si="37"/>
        <v/>
      </c>
      <c r="BT60" s="409" t="str">
        <f t="shared" si="25"/>
        <v/>
      </c>
      <c r="BU60" s="409" t="str">
        <f t="shared" si="26"/>
        <v/>
      </c>
      <c r="BV60" s="409"/>
      <c r="BW60" s="409" t="str">
        <f t="shared" si="38"/>
        <v/>
      </c>
      <c r="BX60" s="409" t="str">
        <f>IF($U60="","",SUM(BS60:BS$114)+SUM(BW60:BW$114))</f>
        <v/>
      </c>
      <c r="BY60" s="763"/>
      <c r="BZ60" s="763"/>
      <c r="CA60" s="763"/>
      <c r="CB60" s="763"/>
      <c r="CC60" s="409" t="str">
        <f t="shared" si="39"/>
        <v/>
      </c>
      <c r="CD60" s="409" t="str">
        <f t="shared" si="27"/>
        <v/>
      </c>
      <c r="CE60" s="409" t="str">
        <f t="shared" si="28"/>
        <v/>
      </c>
      <c r="CF60" s="409" t="str">
        <f t="shared" si="40"/>
        <v/>
      </c>
      <c r="CG60" s="409" t="str">
        <f t="shared" si="29"/>
        <v/>
      </c>
      <c r="CH60" s="765" t="str">
        <f t="shared" si="41"/>
        <v/>
      </c>
      <c r="CI60" s="766" t="str">
        <f t="shared" si="30"/>
        <v/>
      </c>
      <c r="CJ60" s="414"/>
      <c r="CK60" s="759" t="str">
        <f t="shared" si="31"/>
        <v/>
      </c>
      <c r="CL60" s="766" t="str">
        <f t="shared" si="47"/>
        <v/>
      </c>
      <c r="CM60" s="766" t="str">
        <f t="shared" si="42"/>
        <v/>
      </c>
      <c r="CN60" s="766" t="str">
        <f t="shared" si="32"/>
        <v/>
      </c>
      <c r="CO60" s="766" t="str">
        <f t="shared" si="43"/>
        <v/>
      </c>
      <c r="CP60" s="414"/>
      <c r="CQ60" s="414"/>
      <c r="CR60" s="414"/>
      <c r="CS60" s="414"/>
      <c r="CT60" s="414"/>
      <c r="CU60" s="414"/>
      <c r="CV60" s="414"/>
    </row>
    <row r="61" spans="1:100">
      <c r="A61" s="305"/>
      <c r="D61" s="828" t="s">
        <v>101</v>
      </c>
      <c r="E61" s="829"/>
      <c r="F61" s="828" t="s">
        <v>245</v>
      </c>
      <c r="G61" s="830"/>
      <c r="L61" s="599"/>
      <c r="M61" s="599"/>
      <c r="N61" s="280" t="str">
        <f t="shared" si="51"/>
        <v/>
      </c>
      <c r="O61" s="281" t="str">
        <f t="shared" si="52"/>
        <v/>
      </c>
      <c r="P61" s="282" t="str">
        <f t="shared" si="48"/>
        <v/>
      </c>
      <c r="Q61" s="282" t="str">
        <f t="shared" si="49"/>
        <v/>
      </c>
      <c r="R61" s="282" t="str">
        <f t="shared" si="50"/>
        <v/>
      </c>
      <c r="S61" s="402" t="str">
        <f t="shared" si="33"/>
        <v/>
      </c>
      <c r="T61" s="232"/>
      <c r="U61" s="101" t="str">
        <f t="shared" si="44"/>
        <v/>
      </c>
      <c r="V61" s="285" t="str">
        <f>Main_무해지!AC61</f>
        <v/>
      </c>
      <c r="W61" s="308">
        <f>+Main_무해지!AD61</f>
        <v>0</v>
      </c>
      <c r="X61" s="308">
        <v>0</v>
      </c>
      <c r="Y61" s="258" t="str">
        <f t="shared" si="45"/>
        <v/>
      </c>
      <c r="Z61" s="258" t="str">
        <f t="shared" si="0"/>
        <v/>
      </c>
      <c r="AA61" s="102" t="str">
        <f>IF($U61="","",SUM(Z61:Z$114))</f>
        <v/>
      </c>
      <c r="AB61" s="258" t="str">
        <f t="shared" si="34"/>
        <v/>
      </c>
      <c r="AC61" s="254">
        <f t="shared" si="35"/>
        <v>0</v>
      </c>
      <c r="AD61" s="254" t="str">
        <f>Main_무해지!AJ61</f>
        <v/>
      </c>
      <c r="AE61" s="258">
        <f t="shared" si="1"/>
        <v>0</v>
      </c>
      <c r="AF61" s="258" t="str">
        <f t="shared" si="46"/>
        <v/>
      </c>
      <c r="AG61" s="258" t="str">
        <f t="shared" si="2"/>
        <v/>
      </c>
      <c r="AH61" s="102" t="str">
        <f>IF($U61="","",SUM(AG61:AG$114))</f>
        <v/>
      </c>
      <c r="AI61" s="258" t="str">
        <f>Main_무해지!AP61</f>
        <v/>
      </c>
      <c r="AJ61" s="258">
        <f t="shared" si="3"/>
        <v>0</v>
      </c>
      <c r="AK61" s="258" t="str">
        <f t="shared" si="4"/>
        <v/>
      </c>
      <c r="AL61" s="258" t="str">
        <f t="shared" si="5"/>
        <v/>
      </c>
      <c r="AM61" s="315" t="str">
        <f>IF($U61="","",SUM($AN61:$AN$114))</f>
        <v/>
      </c>
      <c r="AN61" s="258" t="str">
        <f t="shared" si="36"/>
        <v/>
      </c>
      <c r="AO61" s="315" t="str">
        <f t="shared" si="6"/>
        <v/>
      </c>
      <c r="AP61" s="285" t="str">
        <f>IF($U61="","",INDEX(#REF!,$U61+1))</f>
        <v/>
      </c>
      <c r="AQ61" s="258">
        <f t="shared" si="7"/>
        <v>0</v>
      </c>
      <c r="AR61" s="258" t="str">
        <f t="shared" si="8"/>
        <v/>
      </c>
      <c r="AS61" s="258" t="str">
        <f t="shared" si="9"/>
        <v/>
      </c>
      <c r="AT61" s="315" t="str">
        <f>IF($U61="","",SUM($AS61:$AS$114))</f>
        <v/>
      </c>
      <c r="AU61" s="285" t="str">
        <f>IF($U61="","",INDEX(#REF!,$U61+1))</f>
        <v/>
      </c>
      <c r="AV61" s="258">
        <f t="shared" si="10"/>
        <v>0</v>
      </c>
      <c r="AW61" s="258" t="str">
        <f t="shared" si="11"/>
        <v/>
      </c>
      <c r="AX61" s="258" t="str">
        <f t="shared" si="12"/>
        <v/>
      </c>
      <c r="AY61" s="315" t="str">
        <f>IF($U61="","",SUM($AX61:$AX$114))</f>
        <v/>
      </c>
      <c r="AZ61" s="285" t="str">
        <f>IF($U61="","",INDEX(#REF!,$U61+1))</f>
        <v/>
      </c>
      <c r="BA61" s="258">
        <f t="shared" si="13"/>
        <v>0</v>
      </c>
      <c r="BB61" s="258" t="str">
        <f t="shared" si="14"/>
        <v/>
      </c>
      <c r="BC61" s="258" t="str">
        <f t="shared" si="15"/>
        <v/>
      </c>
      <c r="BD61" s="315" t="str">
        <f>IF($U61="","",SUM($BC61:$BC$114))</f>
        <v/>
      </c>
      <c r="BE61" s="285" t="str">
        <f>IF($U61="","",INDEX(#REF!,$U61+1))</f>
        <v/>
      </c>
      <c r="BF61" s="258">
        <f t="shared" si="16"/>
        <v>0</v>
      </c>
      <c r="BG61" s="258" t="str">
        <f t="shared" si="17"/>
        <v/>
      </c>
      <c r="BH61" s="258" t="str">
        <f t="shared" si="18"/>
        <v/>
      </c>
      <c r="BI61" s="315" t="str">
        <f>IF($U61="","",SUM($BH61:$BH$114))</f>
        <v/>
      </c>
      <c r="BJ61" s="285" t="str">
        <f>IF($U61="","",INDEX(#REF!,$U61+1))</f>
        <v/>
      </c>
      <c r="BK61" s="258">
        <f t="shared" si="19"/>
        <v>0</v>
      </c>
      <c r="BL61" s="258" t="str">
        <f t="shared" si="20"/>
        <v/>
      </c>
      <c r="BM61" s="258" t="str">
        <f t="shared" si="21"/>
        <v/>
      </c>
      <c r="BN61" s="315" t="str">
        <f>IF($U61="","",SUM($BM61:$BM$114))</f>
        <v/>
      </c>
      <c r="BO61" s="285">
        <f t="shared" si="22"/>
        <v>0</v>
      </c>
      <c r="BP61" s="258" t="str">
        <f t="shared" si="23"/>
        <v/>
      </c>
      <c r="BQ61" s="258" t="str">
        <f t="shared" si="24"/>
        <v/>
      </c>
      <c r="BR61" s="258"/>
      <c r="BS61" s="258" t="str">
        <f t="shared" si="37"/>
        <v/>
      </c>
      <c r="BT61" s="258" t="str">
        <f t="shared" si="25"/>
        <v/>
      </c>
      <c r="BU61" s="258" t="str">
        <f t="shared" si="26"/>
        <v/>
      </c>
      <c r="BV61" s="258"/>
      <c r="BW61" s="258" t="str">
        <f t="shared" si="38"/>
        <v/>
      </c>
      <c r="BX61" s="258" t="str">
        <f>IF($U61="","",SUM(BS61:BS$114)+SUM(BW61:BW$114))</f>
        <v/>
      </c>
      <c r="BY61" s="103"/>
      <c r="BZ61" s="103"/>
      <c r="CA61" s="103"/>
      <c r="CB61" s="103"/>
      <c r="CC61" s="258" t="str">
        <f t="shared" si="39"/>
        <v/>
      </c>
      <c r="CD61" s="258" t="str">
        <f t="shared" si="27"/>
        <v/>
      </c>
      <c r="CE61" s="258" t="str">
        <f t="shared" si="28"/>
        <v/>
      </c>
      <c r="CF61" s="258" t="str">
        <f t="shared" si="40"/>
        <v/>
      </c>
      <c r="CG61" s="258" t="str">
        <f t="shared" si="29"/>
        <v/>
      </c>
      <c r="CH61" s="104" t="str">
        <f t="shared" si="41"/>
        <v/>
      </c>
      <c r="CI61" s="105" t="str">
        <f t="shared" si="30"/>
        <v/>
      </c>
      <c r="CJ61" s="240"/>
      <c r="CK61" s="101" t="str">
        <f t="shared" si="31"/>
        <v/>
      </c>
      <c r="CL61" s="105" t="str">
        <f t="shared" si="47"/>
        <v/>
      </c>
      <c r="CM61" s="105" t="str">
        <f t="shared" si="42"/>
        <v/>
      </c>
      <c r="CN61" s="105" t="str">
        <f t="shared" si="32"/>
        <v/>
      </c>
      <c r="CO61" s="105" t="str">
        <f t="shared" si="43"/>
        <v/>
      </c>
      <c r="CP61" s="240"/>
      <c r="CQ61" s="240"/>
      <c r="CR61" s="240"/>
      <c r="CS61" s="240"/>
      <c r="CT61" s="240"/>
      <c r="CU61" s="240"/>
      <c r="CV61" s="240"/>
    </row>
    <row r="62" spans="1:100">
      <c r="A62" s="305"/>
      <c r="D62" s="453" t="s">
        <v>240</v>
      </c>
      <c r="E62" s="454" t="s">
        <v>241</v>
      </c>
      <c r="F62" s="453" t="s">
        <v>246</v>
      </c>
      <c r="G62" s="455" t="s">
        <v>247</v>
      </c>
      <c r="L62" s="599"/>
      <c r="M62" s="599"/>
      <c r="N62" s="275" t="str">
        <f t="shared" si="51"/>
        <v/>
      </c>
      <c r="O62" s="276" t="str">
        <f t="shared" si="52"/>
        <v/>
      </c>
      <c r="P62" s="277" t="str">
        <f t="shared" si="48"/>
        <v/>
      </c>
      <c r="Q62" s="277" t="str">
        <f t="shared" si="49"/>
        <v/>
      </c>
      <c r="R62" s="277" t="str">
        <f t="shared" si="50"/>
        <v/>
      </c>
      <c r="S62" s="401" t="str">
        <f t="shared" si="33"/>
        <v/>
      </c>
      <c r="T62" s="232"/>
      <c r="U62" s="101" t="str">
        <f t="shared" si="44"/>
        <v/>
      </c>
      <c r="V62" s="285" t="str">
        <f>Main_무해지!AC62</f>
        <v/>
      </c>
      <c r="W62" s="308">
        <f>+Main_무해지!AD62</f>
        <v>0</v>
      </c>
      <c r="X62" s="308">
        <v>0</v>
      </c>
      <c r="Y62" s="258" t="str">
        <f t="shared" si="45"/>
        <v/>
      </c>
      <c r="Z62" s="258" t="str">
        <f t="shared" si="0"/>
        <v/>
      </c>
      <c r="AA62" s="102" t="str">
        <f>IF($U62="","",SUM(Z62:Z$114))</f>
        <v/>
      </c>
      <c r="AB62" s="258" t="str">
        <f t="shared" si="34"/>
        <v/>
      </c>
      <c r="AC62" s="254">
        <f t="shared" si="35"/>
        <v>0</v>
      </c>
      <c r="AD62" s="254" t="str">
        <f>Main_무해지!AJ62</f>
        <v/>
      </c>
      <c r="AE62" s="258">
        <f t="shared" si="1"/>
        <v>0</v>
      </c>
      <c r="AF62" s="258" t="str">
        <f t="shared" si="46"/>
        <v/>
      </c>
      <c r="AG62" s="258" t="str">
        <f t="shared" si="2"/>
        <v/>
      </c>
      <c r="AH62" s="102" t="str">
        <f>IF($U62="","",SUM(AG62:AG$114))</f>
        <v/>
      </c>
      <c r="AI62" s="258" t="str">
        <f>Main_무해지!AP62</f>
        <v/>
      </c>
      <c r="AJ62" s="258">
        <f t="shared" si="3"/>
        <v>0</v>
      </c>
      <c r="AK62" s="258" t="str">
        <f t="shared" si="4"/>
        <v/>
      </c>
      <c r="AL62" s="258" t="str">
        <f t="shared" si="5"/>
        <v/>
      </c>
      <c r="AM62" s="315" t="str">
        <f>IF($U62="","",SUM($AN62:$AN$114))</f>
        <v/>
      </c>
      <c r="AN62" s="258" t="str">
        <f t="shared" si="36"/>
        <v/>
      </c>
      <c r="AO62" s="315" t="str">
        <f t="shared" si="6"/>
        <v/>
      </c>
      <c r="AP62" s="285" t="str">
        <f>IF($U62="","",INDEX(#REF!,$U62+1))</f>
        <v/>
      </c>
      <c r="AQ62" s="258">
        <f t="shared" si="7"/>
        <v>0</v>
      </c>
      <c r="AR62" s="258" t="str">
        <f t="shared" si="8"/>
        <v/>
      </c>
      <c r="AS62" s="258" t="str">
        <f t="shared" si="9"/>
        <v/>
      </c>
      <c r="AT62" s="315" t="str">
        <f>IF($U62="","",SUM($AS62:$AS$114))</f>
        <v/>
      </c>
      <c r="AU62" s="285" t="str">
        <f>IF($U62="","",INDEX(#REF!,$U62+1))</f>
        <v/>
      </c>
      <c r="AV62" s="258">
        <f t="shared" si="10"/>
        <v>0</v>
      </c>
      <c r="AW62" s="258" t="str">
        <f t="shared" si="11"/>
        <v/>
      </c>
      <c r="AX62" s="258" t="str">
        <f t="shared" si="12"/>
        <v/>
      </c>
      <c r="AY62" s="315" t="str">
        <f>IF($U62="","",SUM($AX62:$AX$114))</f>
        <v/>
      </c>
      <c r="AZ62" s="285" t="str">
        <f>IF($U62="","",INDEX(#REF!,$U62+1))</f>
        <v/>
      </c>
      <c r="BA62" s="258">
        <f t="shared" si="13"/>
        <v>0</v>
      </c>
      <c r="BB62" s="258" t="str">
        <f t="shared" si="14"/>
        <v/>
      </c>
      <c r="BC62" s="258" t="str">
        <f t="shared" si="15"/>
        <v/>
      </c>
      <c r="BD62" s="315" t="str">
        <f>IF($U62="","",SUM($BC62:$BC$114))</f>
        <v/>
      </c>
      <c r="BE62" s="285" t="str">
        <f>IF($U62="","",INDEX(#REF!,$U62+1))</f>
        <v/>
      </c>
      <c r="BF62" s="258">
        <f t="shared" si="16"/>
        <v>0</v>
      </c>
      <c r="BG62" s="258" t="str">
        <f t="shared" si="17"/>
        <v/>
      </c>
      <c r="BH62" s="258" t="str">
        <f t="shared" si="18"/>
        <v/>
      </c>
      <c r="BI62" s="315" t="str">
        <f>IF($U62="","",SUM($BH62:$BH$114))</f>
        <v/>
      </c>
      <c r="BJ62" s="285" t="str">
        <f>IF($U62="","",INDEX(#REF!,$U62+1))</f>
        <v/>
      </c>
      <c r="BK62" s="258">
        <f t="shared" si="19"/>
        <v>0</v>
      </c>
      <c r="BL62" s="258" t="str">
        <f t="shared" si="20"/>
        <v/>
      </c>
      <c r="BM62" s="258" t="str">
        <f t="shared" si="21"/>
        <v/>
      </c>
      <c r="BN62" s="315" t="str">
        <f>IF($U62="","",SUM($BM62:$BM$114))</f>
        <v/>
      </c>
      <c r="BO62" s="285">
        <f t="shared" si="22"/>
        <v>0</v>
      </c>
      <c r="BP62" s="258" t="str">
        <f t="shared" si="23"/>
        <v/>
      </c>
      <c r="BQ62" s="258" t="str">
        <f t="shared" si="24"/>
        <v/>
      </c>
      <c r="BR62" s="258"/>
      <c r="BS62" s="258" t="str">
        <f t="shared" si="37"/>
        <v/>
      </c>
      <c r="BT62" s="258" t="str">
        <f t="shared" si="25"/>
        <v/>
      </c>
      <c r="BU62" s="258" t="str">
        <f t="shared" si="26"/>
        <v/>
      </c>
      <c r="BV62" s="258"/>
      <c r="BW62" s="258" t="str">
        <f t="shared" si="38"/>
        <v/>
      </c>
      <c r="BX62" s="258" t="str">
        <f>IF($U62="","",SUM(BS62:BS$114)+SUM(BW62:BW$114))</f>
        <v/>
      </c>
      <c r="BY62" s="103"/>
      <c r="BZ62" s="103"/>
      <c r="CA62" s="103"/>
      <c r="CB62" s="103"/>
      <c r="CC62" s="258" t="str">
        <f t="shared" si="39"/>
        <v/>
      </c>
      <c r="CD62" s="258" t="str">
        <f t="shared" si="27"/>
        <v/>
      </c>
      <c r="CE62" s="258" t="str">
        <f t="shared" si="28"/>
        <v/>
      </c>
      <c r="CF62" s="258" t="str">
        <f t="shared" si="40"/>
        <v/>
      </c>
      <c r="CG62" s="258" t="str">
        <f t="shared" si="29"/>
        <v/>
      </c>
      <c r="CH62" s="104" t="str">
        <f t="shared" si="41"/>
        <v/>
      </c>
      <c r="CI62" s="105" t="str">
        <f t="shared" si="30"/>
        <v/>
      </c>
      <c r="CJ62" s="240"/>
      <c r="CK62" s="101" t="str">
        <f t="shared" si="31"/>
        <v/>
      </c>
      <c r="CL62" s="105" t="str">
        <f t="shared" si="47"/>
        <v/>
      </c>
      <c r="CM62" s="105" t="str">
        <f t="shared" si="42"/>
        <v/>
      </c>
      <c r="CN62" s="105" t="str">
        <f t="shared" si="32"/>
        <v/>
      </c>
      <c r="CO62" s="105" t="str">
        <f t="shared" si="43"/>
        <v/>
      </c>
      <c r="CP62" s="240"/>
      <c r="CQ62" s="240"/>
      <c r="CR62" s="240"/>
      <c r="CS62" s="240"/>
      <c r="CT62" s="240"/>
      <c r="CU62" s="240"/>
      <c r="CV62" s="240"/>
    </row>
    <row r="63" spans="1:100">
      <c r="A63" s="305"/>
      <c r="D63" s="456"/>
      <c r="E63" s="457"/>
      <c r="F63" s="456"/>
      <c r="G63" s="465"/>
      <c r="L63" s="599"/>
      <c r="M63" s="599"/>
      <c r="N63" s="278" t="str">
        <f t="shared" si="51"/>
        <v/>
      </c>
      <c r="O63" s="279" t="str">
        <f t="shared" si="52"/>
        <v/>
      </c>
      <c r="P63" s="271" t="str">
        <f t="shared" si="48"/>
        <v/>
      </c>
      <c r="Q63" s="271" t="str">
        <f t="shared" si="49"/>
        <v/>
      </c>
      <c r="R63" s="271" t="str">
        <f t="shared" si="50"/>
        <v/>
      </c>
      <c r="S63" s="400" t="str">
        <f t="shared" si="33"/>
        <v/>
      </c>
      <c r="T63" s="232"/>
      <c r="U63" s="101" t="str">
        <f t="shared" si="44"/>
        <v/>
      </c>
      <c r="V63" s="285" t="str">
        <f>Main_무해지!AC63</f>
        <v/>
      </c>
      <c r="W63" s="308">
        <f>+Main_무해지!AD63</f>
        <v>0</v>
      </c>
      <c r="X63" s="308">
        <v>0</v>
      </c>
      <c r="Y63" s="258" t="str">
        <f t="shared" si="45"/>
        <v/>
      </c>
      <c r="Z63" s="258" t="str">
        <f t="shared" si="0"/>
        <v/>
      </c>
      <c r="AA63" s="102" t="str">
        <f>IF($U63="","",SUM(Z63:Z$114))</f>
        <v/>
      </c>
      <c r="AB63" s="258" t="str">
        <f t="shared" si="34"/>
        <v/>
      </c>
      <c r="AC63" s="254">
        <f t="shared" si="35"/>
        <v>0</v>
      </c>
      <c r="AD63" s="254" t="str">
        <f>Main_무해지!AJ63</f>
        <v/>
      </c>
      <c r="AE63" s="258">
        <f t="shared" si="1"/>
        <v>0</v>
      </c>
      <c r="AF63" s="258" t="str">
        <f t="shared" si="46"/>
        <v/>
      </c>
      <c r="AG63" s="258" t="str">
        <f t="shared" si="2"/>
        <v/>
      </c>
      <c r="AH63" s="102" t="str">
        <f>IF($U63="","",SUM(AG63:AG$114))</f>
        <v/>
      </c>
      <c r="AI63" s="258" t="str">
        <f>Main_무해지!AP63</f>
        <v/>
      </c>
      <c r="AJ63" s="258">
        <f t="shared" si="3"/>
        <v>0</v>
      </c>
      <c r="AK63" s="258" t="str">
        <f t="shared" si="4"/>
        <v/>
      </c>
      <c r="AL63" s="258" t="str">
        <f t="shared" si="5"/>
        <v/>
      </c>
      <c r="AM63" s="315" t="str">
        <f>IF($U63="","",SUM($AN63:$AN$114))</f>
        <v/>
      </c>
      <c r="AN63" s="258" t="str">
        <f t="shared" si="36"/>
        <v/>
      </c>
      <c r="AO63" s="315" t="str">
        <f t="shared" si="6"/>
        <v/>
      </c>
      <c r="AP63" s="285" t="str">
        <f>IF($U63="","",INDEX(#REF!,$U63+1))</f>
        <v/>
      </c>
      <c r="AQ63" s="258">
        <f t="shared" si="7"/>
        <v>0</v>
      </c>
      <c r="AR63" s="258" t="str">
        <f t="shared" si="8"/>
        <v/>
      </c>
      <c r="AS63" s="258" t="str">
        <f t="shared" si="9"/>
        <v/>
      </c>
      <c r="AT63" s="315" t="str">
        <f>IF($U63="","",SUM($AS63:$AS$114))</f>
        <v/>
      </c>
      <c r="AU63" s="285" t="str">
        <f>IF($U63="","",INDEX(#REF!,$U63+1))</f>
        <v/>
      </c>
      <c r="AV63" s="258">
        <f t="shared" si="10"/>
        <v>0</v>
      </c>
      <c r="AW63" s="258" t="str">
        <f t="shared" si="11"/>
        <v/>
      </c>
      <c r="AX63" s="258" t="str">
        <f t="shared" si="12"/>
        <v/>
      </c>
      <c r="AY63" s="315" t="str">
        <f>IF($U63="","",SUM($AX63:$AX$114))</f>
        <v/>
      </c>
      <c r="AZ63" s="285" t="str">
        <f>IF($U63="","",INDEX(#REF!,$U63+1))</f>
        <v/>
      </c>
      <c r="BA63" s="258">
        <f t="shared" si="13"/>
        <v>0</v>
      </c>
      <c r="BB63" s="258" t="str">
        <f t="shared" si="14"/>
        <v/>
      </c>
      <c r="BC63" s="258" t="str">
        <f t="shared" si="15"/>
        <v/>
      </c>
      <c r="BD63" s="315" t="str">
        <f>IF($U63="","",SUM($BC63:$BC$114))</f>
        <v/>
      </c>
      <c r="BE63" s="285" t="str">
        <f>IF($U63="","",INDEX(#REF!,$U63+1))</f>
        <v/>
      </c>
      <c r="BF63" s="258">
        <f t="shared" si="16"/>
        <v>0</v>
      </c>
      <c r="BG63" s="258" t="str">
        <f t="shared" si="17"/>
        <v/>
      </c>
      <c r="BH63" s="258" t="str">
        <f t="shared" si="18"/>
        <v/>
      </c>
      <c r="BI63" s="315" t="str">
        <f>IF($U63="","",SUM($BH63:$BH$114))</f>
        <v/>
      </c>
      <c r="BJ63" s="285" t="str">
        <f>IF($U63="","",INDEX(#REF!,$U63+1))</f>
        <v/>
      </c>
      <c r="BK63" s="258">
        <f t="shared" si="19"/>
        <v>0</v>
      </c>
      <c r="BL63" s="258" t="str">
        <f t="shared" si="20"/>
        <v/>
      </c>
      <c r="BM63" s="258" t="str">
        <f t="shared" si="21"/>
        <v/>
      </c>
      <c r="BN63" s="315" t="str">
        <f>IF($U63="","",SUM($BM63:$BM$114))</f>
        <v/>
      </c>
      <c r="BO63" s="285">
        <f t="shared" si="22"/>
        <v>0</v>
      </c>
      <c r="BP63" s="258" t="str">
        <f t="shared" si="23"/>
        <v/>
      </c>
      <c r="BQ63" s="258" t="str">
        <f t="shared" si="24"/>
        <v/>
      </c>
      <c r="BR63" s="258"/>
      <c r="BS63" s="258" t="str">
        <f t="shared" si="37"/>
        <v/>
      </c>
      <c r="BT63" s="258" t="str">
        <f t="shared" si="25"/>
        <v/>
      </c>
      <c r="BU63" s="258" t="str">
        <f t="shared" si="26"/>
        <v/>
      </c>
      <c r="BV63" s="258"/>
      <c r="BW63" s="258" t="str">
        <f t="shared" si="38"/>
        <v/>
      </c>
      <c r="BX63" s="258" t="str">
        <f>IF($U63="","",SUM(BS63:BS$114)+SUM(BW63:BW$114))</f>
        <v/>
      </c>
      <c r="BY63" s="103"/>
      <c r="BZ63" s="103"/>
      <c r="CA63" s="103"/>
      <c r="CB63" s="103"/>
      <c r="CC63" s="258" t="str">
        <f t="shared" si="39"/>
        <v/>
      </c>
      <c r="CD63" s="258" t="str">
        <f t="shared" si="27"/>
        <v/>
      </c>
      <c r="CE63" s="258" t="str">
        <f t="shared" si="28"/>
        <v/>
      </c>
      <c r="CF63" s="258" t="str">
        <f t="shared" si="40"/>
        <v/>
      </c>
      <c r="CG63" s="258" t="str">
        <f t="shared" si="29"/>
        <v/>
      </c>
      <c r="CH63" s="104" t="str">
        <f t="shared" si="41"/>
        <v/>
      </c>
      <c r="CI63" s="105" t="str">
        <f t="shared" si="30"/>
        <v/>
      </c>
      <c r="CJ63" s="240"/>
      <c r="CK63" s="101" t="str">
        <f t="shared" si="31"/>
        <v/>
      </c>
      <c r="CL63" s="105" t="str">
        <f t="shared" si="47"/>
        <v/>
      </c>
      <c r="CM63" s="105" t="str">
        <f t="shared" si="42"/>
        <v/>
      </c>
      <c r="CN63" s="105" t="str">
        <f t="shared" si="32"/>
        <v/>
      </c>
      <c r="CO63" s="105" t="str">
        <f t="shared" si="43"/>
        <v/>
      </c>
      <c r="CP63" s="240"/>
      <c r="CQ63" s="240"/>
      <c r="CR63" s="240"/>
      <c r="CS63" s="240"/>
      <c r="CT63" s="240"/>
      <c r="CU63" s="240"/>
      <c r="CV63" s="240"/>
    </row>
    <row r="64" spans="1:100">
      <c r="A64" s="305"/>
      <c r="D64" s="456"/>
      <c r="E64" s="457"/>
      <c r="F64" s="456"/>
      <c r="G64" s="465"/>
      <c r="L64" s="599"/>
      <c r="M64" s="599"/>
      <c r="N64" s="278" t="str">
        <f t="shared" si="51"/>
        <v/>
      </c>
      <c r="O64" s="279" t="str">
        <f t="shared" si="52"/>
        <v/>
      </c>
      <c r="P64" s="271" t="str">
        <f t="shared" si="48"/>
        <v/>
      </c>
      <c r="Q64" s="271" t="str">
        <f t="shared" si="49"/>
        <v/>
      </c>
      <c r="R64" s="271" t="str">
        <f t="shared" si="50"/>
        <v/>
      </c>
      <c r="S64" s="400" t="str">
        <f t="shared" si="33"/>
        <v/>
      </c>
      <c r="T64" s="232"/>
      <c r="U64" s="110" t="str">
        <f t="shared" si="44"/>
        <v/>
      </c>
      <c r="V64" s="286" t="str">
        <f>Main_무해지!AC64</f>
        <v/>
      </c>
      <c r="W64" s="309">
        <f>+Main_무해지!AD64</f>
        <v>0</v>
      </c>
      <c r="X64" s="309">
        <v>0</v>
      </c>
      <c r="Y64" s="259" t="str">
        <f t="shared" si="45"/>
        <v/>
      </c>
      <c r="Z64" s="259" t="str">
        <f t="shared" si="0"/>
        <v/>
      </c>
      <c r="AA64" s="111" t="str">
        <f>IF($U64="","",SUM(Z64:Z$114))</f>
        <v/>
      </c>
      <c r="AB64" s="259" t="str">
        <f t="shared" si="34"/>
        <v/>
      </c>
      <c r="AC64" s="254">
        <f t="shared" si="35"/>
        <v>0</v>
      </c>
      <c r="AD64" s="254" t="str">
        <f>Main_무해지!AJ64</f>
        <v/>
      </c>
      <c r="AE64" s="259">
        <f t="shared" si="1"/>
        <v>0</v>
      </c>
      <c r="AF64" s="259" t="str">
        <f t="shared" si="46"/>
        <v/>
      </c>
      <c r="AG64" s="259" t="str">
        <f t="shared" si="2"/>
        <v/>
      </c>
      <c r="AH64" s="111" t="str">
        <f>IF($U64="","",SUM(AG64:AG$114))</f>
        <v/>
      </c>
      <c r="AI64" s="259" t="str">
        <f>Main_무해지!AP64</f>
        <v/>
      </c>
      <c r="AJ64" s="259">
        <f t="shared" si="3"/>
        <v>0</v>
      </c>
      <c r="AK64" s="259" t="str">
        <f t="shared" si="4"/>
        <v/>
      </c>
      <c r="AL64" s="259" t="str">
        <f t="shared" si="5"/>
        <v/>
      </c>
      <c r="AM64" s="316" t="str">
        <f>IF($U64="","",SUM($AN64:$AN$114))</f>
        <v/>
      </c>
      <c r="AN64" s="259" t="str">
        <f t="shared" si="36"/>
        <v/>
      </c>
      <c r="AO64" s="316" t="str">
        <f t="shared" si="6"/>
        <v/>
      </c>
      <c r="AP64" s="286" t="str">
        <f>IF($U64="","",INDEX(#REF!,$U64+1))</f>
        <v/>
      </c>
      <c r="AQ64" s="259">
        <f t="shared" si="7"/>
        <v>0</v>
      </c>
      <c r="AR64" s="259" t="str">
        <f t="shared" si="8"/>
        <v/>
      </c>
      <c r="AS64" s="259" t="str">
        <f t="shared" si="9"/>
        <v/>
      </c>
      <c r="AT64" s="316" t="str">
        <f>IF($U64="","",SUM($AS64:$AS$114))</f>
        <v/>
      </c>
      <c r="AU64" s="286" t="str">
        <f>IF($U64="","",INDEX(#REF!,$U64+1))</f>
        <v/>
      </c>
      <c r="AV64" s="259">
        <f t="shared" si="10"/>
        <v>0</v>
      </c>
      <c r="AW64" s="259" t="str">
        <f t="shared" si="11"/>
        <v/>
      </c>
      <c r="AX64" s="259" t="str">
        <f t="shared" si="12"/>
        <v/>
      </c>
      <c r="AY64" s="316" t="str">
        <f>IF($U64="","",SUM($AX64:$AX$114))</f>
        <v/>
      </c>
      <c r="AZ64" s="286" t="str">
        <f>IF($U64="","",INDEX(#REF!,$U64+1))</f>
        <v/>
      </c>
      <c r="BA64" s="259">
        <f t="shared" si="13"/>
        <v>0</v>
      </c>
      <c r="BB64" s="259" t="str">
        <f t="shared" si="14"/>
        <v/>
      </c>
      <c r="BC64" s="259" t="str">
        <f t="shared" si="15"/>
        <v/>
      </c>
      <c r="BD64" s="316" t="str">
        <f>IF($U64="","",SUM($BC64:$BC$114))</f>
        <v/>
      </c>
      <c r="BE64" s="286" t="str">
        <f>IF($U64="","",INDEX(#REF!,$U64+1))</f>
        <v/>
      </c>
      <c r="BF64" s="259">
        <f t="shared" si="16"/>
        <v>0</v>
      </c>
      <c r="BG64" s="259" t="str">
        <f t="shared" si="17"/>
        <v/>
      </c>
      <c r="BH64" s="259" t="str">
        <f t="shared" si="18"/>
        <v/>
      </c>
      <c r="BI64" s="316" t="str">
        <f>IF($U64="","",SUM($BH64:$BH$114))</f>
        <v/>
      </c>
      <c r="BJ64" s="286" t="str">
        <f>IF($U64="","",INDEX(#REF!,$U64+1))</f>
        <v/>
      </c>
      <c r="BK64" s="259">
        <f t="shared" si="19"/>
        <v>0</v>
      </c>
      <c r="BL64" s="259" t="str">
        <f t="shared" si="20"/>
        <v/>
      </c>
      <c r="BM64" s="259" t="str">
        <f t="shared" si="21"/>
        <v/>
      </c>
      <c r="BN64" s="316" t="str">
        <f>IF($U64="","",SUM($BM64:$BM$114))</f>
        <v/>
      </c>
      <c r="BO64" s="286">
        <f t="shared" si="22"/>
        <v>0</v>
      </c>
      <c r="BP64" s="259" t="str">
        <f t="shared" si="23"/>
        <v/>
      </c>
      <c r="BQ64" s="259" t="str">
        <f t="shared" si="24"/>
        <v/>
      </c>
      <c r="BR64" s="259"/>
      <c r="BS64" s="259" t="str">
        <f t="shared" si="37"/>
        <v/>
      </c>
      <c r="BT64" s="259" t="str">
        <f t="shared" si="25"/>
        <v/>
      </c>
      <c r="BU64" s="259" t="str">
        <f t="shared" si="26"/>
        <v/>
      </c>
      <c r="BV64" s="259"/>
      <c r="BW64" s="259" t="str">
        <f t="shared" si="38"/>
        <v/>
      </c>
      <c r="BX64" s="259" t="str">
        <f>IF($U64="","",SUM(BS64:BS$114)+SUM(BW64:BW$114))</f>
        <v/>
      </c>
      <c r="BY64" s="112"/>
      <c r="BZ64" s="112"/>
      <c r="CA64" s="112"/>
      <c r="CB64" s="112"/>
      <c r="CC64" s="259" t="str">
        <f t="shared" si="39"/>
        <v/>
      </c>
      <c r="CD64" s="259" t="str">
        <f t="shared" si="27"/>
        <v/>
      </c>
      <c r="CE64" s="259" t="str">
        <f t="shared" si="28"/>
        <v/>
      </c>
      <c r="CF64" s="259" t="str">
        <f t="shared" si="40"/>
        <v/>
      </c>
      <c r="CG64" s="259" t="str">
        <f t="shared" si="29"/>
        <v/>
      </c>
      <c r="CH64" s="113" t="str">
        <f t="shared" si="41"/>
        <v/>
      </c>
      <c r="CI64" s="114" t="str">
        <f t="shared" si="30"/>
        <v/>
      </c>
      <c r="CJ64" s="241"/>
      <c r="CK64" s="110" t="str">
        <f t="shared" si="31"/>
        <v/>
      </c>
      <c r="CL64" s="114" t="str">
        <f t="shared" si="47"/>
        <v/>
      </c>
      <c r="CM64" s="114" t="str">
        <f t="shared" si="42"/>
        <v/>
      </c>
      <c r="CN64" s="114" t="str">
        <f t="shared" si="32"/>
        <v/>
      </c>
      <c r="CO64" s="114" t="str">
        <f t="shared" si="43"/>
        <v/>
      </c>
      <c r="CP64" s="241"/>
      <c r="CQ64" s="241"/>
      <c r="CR64" s="241"/>
      <c r="CS64" s="241"/>
      <c r="CT64" s="241"/>
      <c r="CU64" s="241"/>
      <c r="CV64" s="241"/>
    </row>
    <row r="65" spans="1:100">
      <c r="A65" s="305"/>
      <c r="D65" s="456"/>
      <c r="E65" s="457"/>
      <c r="F65" s="456"/>
      <c r="G65" s="465"/>
      <c r="H65" s="5"/>
      <c r="L65" s="599"/>
      <c r="M65" s="599"/>
      <c r="N65" s="278" t="str">
        <f t="shared" si="51"/>
        <v/>
      </c>
      <c r="O65" s="279" t="str">
        <f t="shared" si="52"/>
        <v/>
      </c>
      <c r="P65" s="271" t="str">
        <f t="shared" si="48"/>
        <v/>
      </c>
      <c r="Q65" s="271" t="str">
        <f t="shared" si="49"/>
        <v/>
      </c>
      <c r="R65" s="271" t="str">
        <f t="shared" si="50"/>
        <v/>
      </c>
      <c r="S65" s="400" t="str">
        <f t="shared" si="33"/>
        <v/>
      </c>
      <c r="T65" s="232"/>
      <c r="U65" s="770" t="str">
        <f t="shared" si="44"/>
        <v/>
      </c>
      <c r="V65" s="772" t="str">
        <f>Main_무해지!AC65</f>
        <v/>
      </c>
      <c r="W65" s="640">
        <f>+Main_무해지!AD65</f>
        <v>0</v>
      </c>
      <c r="X65" s="640">
        <v>0</v>
      </c>
      <c r="Y65" s="410" t="str">
        <f t="shared" si="45"/>
        <v/>
      </c>
      <c r="Z65" s="410" t="str">
        <f t="shared" si="0"/>
        <v/>
      </c>
      <c r="AA65" s="771" t="str">
        <f>IF($U65="","",SUM(Z65:Z$114))</f>
        <v/>
      </c>
      <c r="AB65" s="410" t="str">
        <f t="shared" si="34"/>
        <v/>
      </c>
      <c r="AC65" s="254">
        <f t="shared" si="35"/>
        <v>0</v>
      </c>
      <c r="AD65" s="254" t="str">
        <f>Main_무해지!AJ65</f>
        <v/>
      </c>
      <c r="AE65" s="410">
        <f t="shared" si="1"/>
        <v>0</v>
      </c>
      <c r="AF65" s="410" t="str">
        <f t="shared" si="46"/>
        <v/>
      </c>
      <c r="AG65" s="410" t="str">
        <f t="shared" si="2"/>
        <v/>
      </c>
      <c r="AH65" s="771" t="str">
        <f>IF($U65="","",SUM(AG65:AG$114))</f>
        <v/>
      </c>
      <c r="AI65" s="410" t="str">
        <f>Main_무해지!AP65</f>
        <v/>
      </c>
      <c r="AJ65" s="410">
        <f t="shared" si="3"/>
        <v>0</v>
      </c>
      <c r="AK65" s="410" t="str">
        <f t="shared" si="4"/>
        <v/>
      </c>
      <c r="AL65" s="410" t="str">
        <f t="shared" si="5"/>
        <v/>
      </c>
      <c r="AM65" s="773" t="str">
        <f>IF($U65="","",SUM($AN65:$AN$114))</f>
        <v/>
      </c>
      <c r="AN65" s="410" t="str">
        <f t="shared" si="36"/>
        <v/>
      </c>
      <c r="AO65" s="773" t="str">
        <f t="shared" si="6"/>
        <v/>
      </c>
      <c r="AP65" s="772" t="str">
        <f>IF($U65="","",INDEX(#REF!,$U65+1))</f>
        <v/>
      </c>
      <c r="AQ65" s="410">
        <f t="shared" si="7"/>
        <v>0</v>
      </c>
      <c r="AR65" s="410" t="str">
        <f t="shared" si="8"/>
        <v/>
      </c>
      <c r="AS65" s="410" t="str">
        <f t="shared" si="9"/>
        <v/>
      </c>
      <c r="AT65" s="773" t="str">
        <f>IF($U65="","",SUM($AS65:$AS$114))</f>
        <v/>
      </c>
      <c r="AU65" s="772" t="str">
        <f>IF($U65="","",INDEX(#REF!,$U65+1))</f>
        <v/>
      </c>
      <c r="AV65" s="410">
        <f t="shared" si="10"/>
        <v>0</v>
      </c>
      <c r="AW65" s="410" t="str">
        <f t="shared" si="11"/>
        <v/>
      </c>
      <c r="AX65" s="410" t="str">
        <f t="shared" si="12"/>
        <v/>
      </c>
      <c r="AY65" s="773" t="str">
        <f>IF($U65="","",SUM($AX65:$AX$114))</f>
        <v/>
      </c>
      <c r="AZ65" s="772" t="str">
        <f>IF($U65="","",INDEX(#REF!,$U65+1))</f>
        <v/>
      </c>
      <c r="BA65" s="410">
        <f t="shared" si="13"/>
        <v>0</v>
      </c>
      <c r="BB65" s="410" t="str">
        <f t="shared" si="14"/>
        <v/>
      </c>
      <c r="BC65" s="410" t="str">
        <f t="shared" si="15"/>
        <v/>
      </c>
      <c r="BD65" s="773" t="str">
        <f>IF($U65="","",SUM($BC65:$BC$114))</f>
        <v/>
      </c>
      <c r="BE65" s="772" t="str">
        <f>IF($U65="","",INDEX(#REF!,$U65+1))</f>
        <v/>
      </c>
      <c r="BF65" s="410">
        <f t="shared" si="16"/>
        <v>0</v>
      </c>
      <c r="BG65" s="410" t="str">
        <f t="shared" si="17"/>
        <v/>
      </c>
      <c r="BH65" s="410" t="str">
        <f t="shared" si="18"/>
        <v/>
      </c>
      <c r="BI65" s="773" t="str">
        <f>IF($U65="","",SUM($BH65:$BH$114))</f>
        <v/>
      </c>
      <c r="BJ65" s="772" t="str">
        <f>IF($U65="","",INDEX(#REF!,$U65+1))</f>
        <v/>
      </c>
      <c r="BK65" s="410">
        <f t="shared" si="19"/>
        <v>0</v>
      </c>
      <c r="BL65" s="410" t="str">
        <f t="shared" si="20"/>
        <v/>
      </c>
      <c r="BM65" s="410" t="str">
        <f t="shared" si="21"/>
        <v/>
      </c>
      <c r="BN65" s="773" t="str">
        <f>IF($U65="","",SUM($BM65:$BM$114))</f>
        <v/>
      </c>
      <c r="BO65" s="772">
        <f t="shared" si="22"/>
        <v>0</v>
      </c>
      <c r="BP65" s="410" t="str">
        <f t="shared" si="23"/>
        <v/>
      </c>
      <c r="BQ65" s="410" t="str">
        <f t="shared" si="24"/>
        <v/>
      </c>
      <c r="BR65" s="410"/>
      <c r="BS65" s="410" t="str">
        <f t="shared" si="37"/>
        <v/>
      </c>
      <c r="BT65" s="410" t="str">
        <f t="shared" si="25"/>
        <v/>
      </c>
      <c r="BU65" s="410" t="str">
        <f t="shared" si="26"/>
        <v/>
      </c>
      <c r="BV65" s="410"/>
      <c r="BW65" s="410" t="str">
        <f t="shared" si="38"/>
        <v/>
      </c>
      <c r="BX65" s="410" t="str">
        <f>IF($U65="","",SUM(BS65:BS$114)+SUM(BW65:BW$114))</f>
        <v/>
      </c>
      <c r="BY65" s="774"/>
      <c r="BZ65" s="774"/>
      <c r="CA65" s="774"/>
      <c r="CB65" s="774"/>
      <c r="CC65" s="410" t="str">
        <f t="shared" si="39"/>
        <v/>
      </c>
      <c r="CD65" s="410" t="str">
        <f t="shared" si="27"/>
        <v/>
      </c>
      <c r="CE65" s="410" t="str">
        <f t="shared" si="28"/>
        <v/>
      </c>
      <c r="CF65" s="410" t="str">
        <f t="shared" si="40"/>
        <v/>
      </c>
      <c r="CG65" s="410" t="str">
        <f t="shared" si="29"/>
        <v/>
      </c>
      <c r="CH65" s="776" t="str">
        <f t="shared" si="41"/>
        <v/>
      </c>
      <c r="CI65" s="777" t="str">
        <f t="shared" si="30"/>
        <v/>
      </c>
      <c r="CJ65" s="415"/>
      <c r="CK65" s="770" t="str">
        <f t="shared" si="31"/>
        <v/>
      </c>
      <c r="CL65" s="777" t="str">
        <f t="shared" si="47"/>
        <v/>
      </c>
      <c r="CM65" s="777" t="str">
        <f t="shared" si="42"/>
        <v/>
      </c>
      <c r="CN65" s="777" t="str">
        <f t="shared" si="32"/>
        <v/>
      </c>
      <c r="CO65" s="777" t="str">
        <f t="shared" si="43"/>
        <v/>
      </c>
      <c r="CP65" s="415"/>
      <c r="CQ65" s="415"/>
      <c r="CR65" s="415"/>
      <c r="CS65" s="415"/>
      <c r="CT65" s="415"/>
      <c r="CU65" s="415"/>
      <c r="CV65" s="415"/>
    </row>
    <row r="66" spans="1:100">
      <c r="A66" s="305"/>
      <c r="D66" s="456"/>
      <c r="E66" s="457"/>
      <c r="F66" s="456"/>
      <c r="G66" s="465"/>
      <c r="H66" s="5"/>
      <c r="I66" s="2"/>
      <c r="K66" s="151"/>
      <c r="L66" s="599"/>
      <c r="M66" s="599"/>
      <c r="N66" s="280" t="str">
        <f t="shared" si="51"/>
        <v/>
      </c>
      <c r="O66" s="281" t="str">
        <f t="shared" si="52"/>
        <v/>
      </c>
      <c r="P66" s="282" t="str">
        <f t="shared" si="48"/>
        <v/>
      </c>
      <c r="Q66" s="282" t="str">
        <f t="shared" si="49"/>
        <v/>
      </c>
      <c r="R66" s="282" t="str">
        <f t="shared" si="50"/>
        <v/>
      </c>
      <c r="S66" s="402" t="str">
        <f t="shared" si="33"/>
        <v/>
      </c>
      <c r="T66" s="232"/>
      <c r="U66" s="120" t="str">
        <f t="shared" si="44"/>
        <v/>
      </c>
      <c r="V66" s="287" t="str">
        <f>Main_무해지!AC66</f>
        <v/>
      </c>
      <c r="W66" s="310">
        <f>+Main_무해지!AD66</f>
        <v>0</v>
      </c>
      <c r="X66" s="310">
        <v>0</v>
      </c>
      <c r="Y66" s="260" t="str">
        <f t="shared" si="45"/>
        <v/>
      </c>
      <c r="Z66" s="260" t="str">
        <f t="shared" si="0"/>
        <v/>
      </c>
      <c r="AA66" s="121" t="str">
        <f>IF($U66="","",SUM(Z66:Z$114))</f>
        <v/>
      </c>
      <c r="AB66" s="260" t="str">
        <f t="shared" si="34"/>
        <v/>
      </c>
      <c r="AC66" s="254">
        <f t="shared" si="35"/>
        <v>0</v>
      </c>
      <c r="AD66" s="254" t="str">
        <f>Main_무해지!AJ66</f>
        <v/>
      </c>
      <c r="AE66" s="260">
        <f t="shared" si="1"/>
        <v>0</v>
      </c>
      <c r="AF66" s="260" t="str">
        <f t="shared" si="46"/>
        <v/>
      </c>
      <c r="AG66" s="260" t="str">
        <f t="shared" si="2"/>
        <v/>
      </c>
      <c r="AH66" s="121" t="str">
        <f>IF($U66="","",SUM(AG66:AG$114))</f>
        <v/>
      </c>
      <c r="AI66" s="260" t="str">
        <f>Main_무해지!AP66</f>
        <v/>
      </c>
      <c r="AJ66" s="260">
        <f t="shared" si="3"/>
        <v>0</v>
      </c>
      <c r="AK66" s="260" t="str">
        <f t="shared" si="4"/>
        <v/>
      </c>
      <c r="AL66" s="260" t="str">
        <f t="shared" si="5"/>
        <v/>
      </c>
      <c r="AM66" s="317" t="str">
        <f>IF($U66="","",SUM($AN66:$AN$114))</f>
        <v/>
      </c>
      <c r="AN66" s="260" t="str">
        <f t="shared" si="36"/>
        <v/>
      </c>
      <c r="AO66" s="317" t="str">
        <f t="shared" si="6"/>
        <v/>
      </c>
      <c r="AP66" s="287" t="str">
        <f>IF($U66="","",INDEX(#REF!,$U66+1))</f>
        <v/>
      </c>
      <c r="AQ66" s="260">
        <f t="shared" si="7"/>
        <v>0</v>
      </c>
      <c r="AR66" s="260" t="str">
        <f t="shared" si="8"/>
        <v/>
      </c>
      <c r="AS66" s="260" t="str">
        <f t="shared" si="9"/>
        <v/>
      </c>
      <c r="AT66" s="317" t="str">
        <f>IF($U66="","",SUM($AS66:$AS$114))</f>
        <v/>
      </c>
      <c r="AU66" s="287" t="str">
        <f>IF($U66="","",INDEX(#REF!,$U66+1))</f>
        <v/>
      </c>
      <c r="AV66" s="260">
        <f t="shared" si="10"/>
        <v>0</v>
      </c>
      <c r="AW66" s="260" t="str">
        <f t="shared" si="11"/>
        <v/>
      </c>
      <c r="AX66" s="260" t="str">
        <f t="shared" si="12"/>
        <v/>
      </c>
      <c r="AY66" s="317" t="str">
        <f>IF($U66="","",SUM($AX66:$AX$114))</f>
        <v/>
      </c>
      <c r="AZ66" s="287" t="str">
        <f>IF($U66="","",INDEX(#REF!,$U66+1))</f>
        <v/>
      </c>
      <c r="BA66" s="260">
        <f t="shared" si="13"/>
        <v>0</v>
      </c>
      <c r="BB66" s="260" t="str">
        <f t="shared" si="14"/>
        <v/>
      </c>
      <c r="BC66" s="260" t="str">
        <f t="shared" si="15"/>
        <v/>
      </c>
      <c r="BD66" s="317" t="str">
        <f>IF($U66="","",SUM($BC66:$BC$114))</f>
        <v/>
      </c>
      <c r="BE66" s="287" t="str">
        <f>IF($U66="","",INDEX(#REF!,$U66+1))</f>
        <v/>
      </c>
      <c r="BF66" s="260">
        <f t="shared" si="16"/>
        <v>0</v>
      </c>
      <c r="BG66" s="260" t="str">
        <f t="shared" si="17"/>
        <v/>
      </c>
      <c r="BH66" s="260" t="str">
        <f t="shared" si="18"/>
        <v/>
      </c>
      <c r="BI66" s="317" t="str">
        <f>IF($U66="","",SUM($BH66:$BH$114))</f>
        <v/>
      </c>
      <c r="BJ66" s="287" t="str">
        <f>IF($U66="","",INDEX(#REF!,$U66+1))</f>
        <v/>
      </c>
      <c r="BK66" s="260">
        <f t="shared" si="19"/>
        <v>0</v>
      </c>
      <c r="BL66" s="260" t="str">
        <f t="shared" si="20"/>
        <v/>
      </c>
      <c r="BM66" s="260" t="str">
        <f t="shared" si="21"/>
        <v/>
      </c>
      <c r="BN66" s="317" t="str">
        <f>IF($U66="","",SUM($BM66:$BM$114))</f>
        <v/>
      </c>
      <c r="BO66" s="287">
        <f t="shared" si="22"/>
        <v>0</v>
      </c>
      <c r="BP66" s="260" t="str">
        <f t="shared" si="23"/>
        <v/>
      </c>
      <c r="BQ66" s="260" t="str">
        <f t="shared" si="24"/>
        <v/>
      </c>
      <c r="BR66" s="260"/>
      <c r="BS66" s="260" t="str">
        <f t="shared" si="37"/>
        <v/>
      </c>
      <c r="BT66" s="260" t="str">
        <f t="shared" si="25"/>
        <v/>
      </c>
      <c r="BU66" s="260" t="str">
        <f t="shared" si="26"/>
        <v/>
      </c>
      <c r="BV66" s="260"/>
      <c r="BW66" s="260" t="str">
        <f t="shared" si="38"/>
        <v/>
      </c>
      <c r="BX66" s="260" t="str">
        <f>IF($U66="","",SUM(BS66:BS$114)+SUM(BW66:BW$114))</f>
        <v/>
      </c>
      <c r="BY66" s="122"/>
      <c r="BZ66" s="122"/>
      <c r="CA66" s="122"/>
      <c r="CB66" s="122"/>
      <c r="CC66" s="260" t="str">
        <f t="shared" si="39"/>
        <v/>
      </c>
      <c r="CD66" s="260" t="str">
        <f t="shared" si="27"/>
        <v/>
      </c>
      <c r="CE66" s="260" t="str">
        <f t="shared" si="28"/>
        <v/>
      </c>
      <c r="CF66" s="260" t="str">
        <f t="shared" si="40"/>
        <v/>
      </c>
      <c r="CG66" s="260" t="str">
        <f t="shared" si="29"/>
        <v/>
      </c>
      <c r="CH66" s="123" t="str">
        <f t="shared" si="41"/>
        <v/>
      </c>
      <c r="CI66" s="124" t="str">
        <f t="shared" si="30"/>
        <v/>
      </c>
      <c r="CJ66" s="242"/>
      <c r="CK66" s="120" t="str">
        <f t="shared" si="31"/>
        <v/>
      </c>
      <c r="CL66" s="124" t="str">
        <f t="shared" si="47"/>
        <v/>
      </c>
      <c r="CM66" s="124" t="str">
        <f t="shared" si="42"/>
        <v/>
      </c>
      <c r="CN66" s="124" t="str">
        <f t="shared" si="32"/>
        <v/>
      </c>
      <c r="CO66" s="124" t="str">
        <f t="shared" si="43"/>
        <v/>
      </c>
      <c r="CP66" s="242"/>
      <c r="CQ66" s="242"/>
      <c r="CR66" s="242"/>
      <c r="CS66" s="242"/>
      <c r="CT66" s="242"/>
      <c r="CU66" s="242"/>
      <c r="CV66" s="242"/>
    </row>
    <row r="67" spans="1:100">
      <c r="A67" s="305"/>
      <c r="D67" s="456"/>
      <c r="E67" s="457"/>
      <c r="F67" s="456"/>
      <c r="G67" s="465"/>
      <c r="H67" s="5"/>
      <c r="I67" s="2"/>
      <c r="K67" s="151"/>
      <c r="L67" s="599"/>
      <c r="M67" s="599"/>
      <c r="N67" s="275" t="str">
        <f t="shared" si="51"/>
        <v/>
      </c>
      <c r="O67" s="276" t="str">
        <f t="shared" si="52"/>
        <v/>
      </c>
      <c r="P67" s="277" t="str">
        <f t="shared" si="48"/>
        <v/>
      </c>
      <c r="Q67" s="277" t="str">
        <f t="shared" si="49"/>
        <v/>
      </c>
      <c r="R67" s="277" t="str">
        <f t="shared" si="50"/>
        <v/>
      </c>
      <c r="S67" s="401" t="str">
        <f t="shared" si="33"/>
        <v/>
      </c>
      <c r="T67" s="231"/>
      <c r="U67" s="120" t="str">
        <f t="shared" si="44"/>
        <v/>
      </c>
      <c r="V67" s="287" t="str">
        <f>Main_무해지!AC67</f>
        <v/>
      </c>
      <c r="W67" s="310">
        <f>+Main_무해지!AD67</f>
        <v>0</v>
      </c>
      <c r="X67" s="310">
        <v>0</v>
      </c>
      <c r="Y67" s="260" t="str">
        <f t="shared" si="45"/>
        <v/>
      </c>
      <c r="Z67" s="260" t="str">
        <f t="shared" si="0"/>
        <v/>
      </c>
      <c r="AA67" s="121" t="str">
        <f>IF($U67="","",SUM(Z67:Z$114))</f>
        <v/>
      </c>
      <c r="AB67" s="260" t="str">
        <f t="shared" si="34"/>
        <v/>
      </c>
      <c r="AC67" s="254">
        <f t="shared" si="35"/>
        <v>0</v>
      </c>
      <c r="AD67" s="254" t="str">
        <f>Main_무해지!AJ67</f>
        <v/>
      </c>
      <c r="AE67" s="260">
        <f t="shared" si="1"/>
        <v>0</v>
      </c>
      <c r="AF67" s="260" t="str">
        <f t="shared" si="46"/>
        <v/>
      </c>
      <c r="AG67" s="260" t="str">
        <f t="shared" si="2"/>
        <v/>
      </c>
      <c r="AH67" s="121" t="str">
        <f>IF($U67="","",SUM(AG67:AG$114))</f>
        <v/>
      </c>
      <c r="AI67" s="260" t="str">
        <f>Main_무해지!AP67</f>
        <v/>
      </c>
      <c r="AJ67" s="260">
        <f t="shared" si="3"/>
        <v>0</v>
      </c>
      <c r="AK67" s="260" t="str">
        <f t="shared" si="4"/>
        <v/>
      </c>
      <c r="AL67" s="260" t="str">
        <f t="shared" si="5"/>
        <v/>
      </c>
      <c r="AM67" s="317" t="str">
        <f>IF($U67="","",SUM($AN67:$AN$114))</f>
        <v/>
      </c>
      <c r="AN67" s="260" t="str">
        <f t="shared" si="36"/>
        <v/>
      </c>
      <c r="AO67" s="317" t="str">
        <f t="shared" si="6"/>
        <v/>
      </c>
      <c r="AP67" s="287" t="str">
        <f>IF($U67="","",INDEX(#REF!,$U67+1))</f>
        <v/>
      </c>
      <c r="AQ67" s="260">
        <f t="shared" si="7"/>
        <v>0</v>
      </c>
      <c r="AR67" s="260" t="str">
        <f t="shared" si="8"/>
        <v/>
      </c>
      <c r="AS67" s="260" t="str">
        <f t="shared" si="9"/>
        <v/>
      </c>
      <c r="AT67" s="317" t="str">
        <f>IF($U67="","",SUM($AS67:$AS$114))</f>
        <v/>
      </c>
      <c r="AU67" s="287" t="str">
        <f>IF($U67="","",INDEX(#REF!,$U67+1))</f>
        <v/>
      </c>
      <c r="AV67" s="260">
        <f t="shared" si="10"/>
        <v>0</v>
      </c>
      <c r="AW67" s="260" t="str">
        <f t="shared" si="11"/>
        <v/>
      </c>
      <c r="AX67" s="260" t="str">
        <f t="shared" si="12"/>
        <v/>
      </c>
      <c r="AY67" s="317" t="str">
        <f>IF($U67="","",SUM($AX67:$AX$114))</f>
        <v/>
      </c>
      <c r="AZ67" s="287" t="str">
        <f>IF($U67="","",INDEX(#REF!,$U67+1))</f>
        <v/>
      </c>
      <c r="BA67" s="260">
        <f t="shared" si="13"/>
        <v>0</v>
      </c>
      <c r="BB67" s="260" t="str">
        <f t="shared" si="14"/>
        <v/>
      </c>
      <c r="BC67" s="260" t="str">
        <f t="shared" si="15"/>
        <v/>
      </c>
      <c r="BD67" s="317" t="str">
        <f>IF($U67="","",SUM($BC67:$BC$114))</f>
        <v/>
      </c>
      <c r="BE67" s="287" t="str">
        <f>IF($U67="","",INDEX(#REF!,$U67+1))</f>
        <v/>
      </c>
      <c r="BF67" s="260">
        <f t="shared" si="16"/>
        <v>0</v>
      </c>
      <c r="BG67" s="260" t="str">
        <f t="shared" si="17"/>
        <v/>
      </c>
      <c r="BH67" s="260" t="str">
        <f t="shared" si="18"/>
        <v/>
      </c>
      <c r="BI67" s="317" t="str">
        <f>IF($U67="","",SUM($BH67:$BH$114))</f>
        <v/>
      </c>
      <c r="BJ67" s="287" t="str">
        <f>IF($U67="","",INDEX(#REF!,$U67+1))</f>
        <v/>
      </c>
      <c r="BK67" s="260">
        <f t="shared" si="19"/>
        <v>0</v>
      </c>
      <c r="BL67" s="260" t="str">
        <f t="shared" si="20"/>
        <v/>
      </c>
      <c r="BM67" s="260" t="str">
        <f t="shared" si="21"/>
        <v/>
      </c>
      <c r="BN67" s="317" t="str">
        <f>IF($U67="","",SUM($BM67:$BM$114))</f>
        <v/>
      </c>
      <c r="BO67" s="287">
        <f t="shared" si="22"/>
        <v>0</v>
      </c>
      <c r="BP67" s="260" t="str">
        <f t="shared" si="23"/>
        <v/>
      </c>
      <c r="BQ67" s="260" t="str">
        <f t="shared" si="24"/>
        <v/>
      </c>
      <c r="BR67" s="260"/>
      <c r="BS67" s="260" t="str">
        <f t="shared" si="37"/>
        <v/>
      </c>
      <c r="BT67" s="260" t="str">
        <f t="shared" si="25"/>
        <v/>
      </c>
      <c r="BU67" s="260" t="str">
        <f t="shared" si="26"/>
        <v/>
      </c>
      <c r="BV67" s="260"/>
      <c r="BW67" s="260" t="str">
        <f t="shared" si="38"/>
        <v/>
      </c>
      <c r="BX67" s="260" t="str">
        <f>IF($U67="","",SUM(BS67:BS$114)+SUM(BW67:BW$114))</f>
        <v/>
      </c>
      <c r="BY67" s="122"/>
      <c r="BZ67" s="122"/>
      <c r="CA67" s="122"/>
      <c r="CB67" s="122"/>
      <c r="CC67" s="260" t="str">
        <f t="shared" si="39"/>
        <v/>
      </c>
      <c r="CD67" s="260" t="str">
        <f t="shared" si="27"/>
        <v/>
      </c>
      <c r="CE67" s="260" t="str">
        <f t="shared" si="28"/>
        <v/>
      </c>
      <c r="CF67" s="260" t="str">
        <f t="shared" si="40"/>
        <v/>
      </c>
      <c r="CG67" s="260" t="str">
        <f t="shared" si="29"/>
        <v/>
      </c>
      <c r="CH67" s="123" t="str">
        <f t="shared" si="41"/>
        <v/>
      </c>
      <c r="CI67" s="124" t="str">
        <f t="shared" si="30"/>
        <v/>
      </c>
      <c r="CJ67" s="242"/>
      <c r="CK67" s="120" t="str">
        <f t="shared" si="31"/>
        <v/>
      </c>
      <c r="CL67" s="124" t="str">
        <f t="shared" si="47"/>
        <v/>
      </c>
      <c r="CM67" s="124" t="str">
        <f t="shared" si="42"/>
        <v/>
      </c>
      <c r="CN67" s="124" t="str">
        <f t="shared" si="32"/>
        <v/>
      </c>
      <c r="CO67" s="124" t="str">
        <f t="shared" si="43"/>
        <v/>
      </c>
      <c r="CP67" s="242"/>
      <c r="CQ67" s="242"/>
      <c r="CR67" s="242"/>
      <c r="CS67" s="242"/>
      <c r="CT67" s="242"/>
      <c r="CU67" s="242"/>
      <c r="CV67" s="242"/>
    </row>
    <row r="68" spans="1:100">
      <c r="A68" s="305"/>
      <c r="D68" s="456"/>
      <c r="E68" s="457"/>
      <c r="F68" s="456"/>
      <c r="G68" s="465"/>
      <c r="H68" s="5"/>
      <c r="I68" s="2"/>
      <c r="K68" s="151"/>
      <c r="L68" s="599"/>
      <c r="M68" s="599"/>
      <c r="N68" s="278" t="str">
        <f t="shared" si="51"/>
        <v/>
      </c>
      <c r="O68" s="279" t="str">
        <f t="shared" si="52"/>
        <v/>
      </c>
      <c r="P68" s="271" t="str">
        <f t="shared" si="48"/>
        <v/>
      </c>
      <c r="Q68" s="271" t="str">
        <f t="shared" si="49"/>
        <v/>
      </c>
      <c r="R68" s="271" t="str">
        <f t="shared" si="50"/>
        <v/>
      </c>
      <c r="S68" s="400" t="str">
        <f t="shared" si="33"/>
        <v/>
      </c>
      <c r="T68" s="231"/>
      <c r="U68" s="120" t="str">
        <f t="shared" si="44"/>
        <v/>
      </c>
      <c r="V68" s="287" t="str">
        <f>Main_무해지!AC68</f>
        <v/>
      </c>
      <c r="W68" s="310">
        <f>+Main_무해지!AD68</f>
        <v>0</v>
      </c>
      <c r="X68" s="310">
        <v>0</v>
      </c>
      <c r="Y68" s="260" t="str">
        <f t="shared" si="45"/>
        <v/>
      </c>
      <c r="Z68" s="260" t="str">
        <f t="shared" ref="Z68:Z114" si="53">IF($U68="","",Y68*$E$17^($U68-$U$4))</f>
        <v/>
      </c>
      <c r="AA68" s="121" t="str">
        <f>IF($U68="","",SUM(Z68:Z$114))</f>
        <v/>
      </c>
      <c r="AB68" s="260" t="str">
        <f t="shared" si="34"/>
        <v/>
      </c>
      <c r="AC68" s="254">
        <f t="shared" si="35"/>
        <v>0</v>
      </c>
      <c r="AD68" s="254" t="str">
        <f>Main_무해지!AJ68</f>
        <v/>
      </c>
      <c r="AE68" s="260">
        <f t="shared" ref="AE68:AE114" si="54">X68</f>
        <v>0</v>
      </c>
      <c r="AF68" s="260" t="str">
        <f t="shared" si="46"/>
        <v/>
      </c>
      <c r="AG68" s="260" t="str">
        <f t="shared" ref="AG68:AG114" si="55">IF($U68="","",AF68*$E$17^($U68-$U$4))</f>
        <v/>
      </c>
      <c r="AH68" s="121" t="str">
        <f>IF($U68="","",SUM(AG68:AG$114))</f>
        <v/>
      </c>
      <c r="AI68" s="260" t="str">
        <f>Main_무해지!AP68</f>
        <v/>
      </c>
      <c r="AJ68" s="260">
        <f t="shared" ref="AJ68:AJ114" si="56">X68</f>
        <v>0</v>
      </c>
      <c r="AK68" s="260" t="str">
        <f t="shared" ref="AK68:AK114" si="57">IF($U68="","",$Y68*$AI68*(1-0.5*AJ68))</f>
        <v/>
      </c>
      <c r="AL68" s="260" t="str">
        <f t="shared" ref="AL68:AL114" si="58">IF($U68="","",AK68*$E$17^($U68-$U$4+0.5))</f>
        <v/>
      </c>
      <c r="AM68" s="317" t="str">
        <f>IF($U68="","",SUM($AN68:$AN$114))</f>
        <v/>
      </c>
      <c r="AN68" s="260" t="str">
        <f t="shared" si="36"/>
        <v/>
      </c>
      <c r="AO68" s="317" t="str">
        <f t="shared" ref="AO68:AO114" si="59">IF($U68="","",1+$F$8*$E$11*MIN(MAX((U68-U$4)-($F$9-1),0),$E$10))</f>
        <v/>
      </c>
      <c r="AP68" s="287" t="str">
        <f>IF($U68="","",INDEX(#REF!,$U68+1))</f>
        <v/>
      </c>
      <c r="AQ68" s="260">
        <f t="shared" ref="AQ68:AQ114" si="60">X68</f>
        <v>0</v>
      </c>
      <c r="AR68" s="260" t="str">
        <f t="shared" ref="AR68:AR114" si="61">IF($U68="","",$Y68*$AP68*(1-0.5*AQ68))</f>
        <v/>
      </c>
      <c r="AS68" s="260" t="str">
        <f t="shared" ref="AS68:AS114" si="62">IF($U68="","",AR68*$E$17^($U68-$U$4+0.5))</f>
        <v/>
      </c>
      <c r="AT68" s="317" t="str">
        <f>IF($U68="","",SUM($AS68:$AS$114))</f>
        <v/>
      </c>
      <c r="AU68" s="287" t="str">
        <f>IF($U68="","",INDEX(#REF!,$U68+1))</f>
        <v/>
      </c>
      <c r="AV68" s="260">
        <f t="shared" ref="AV68:AV114" si="63">X68</f>
        <v>0</v>
      </c>
      <c r="AW68" s="260" t="str">
        <f t="shared" ref="AW68:AW114" si="64">IF($U68="","",$Y68*$AU68*(1-0.5*AV68))</f>
        <v/>
      </c>
      <c r="AX68" s="260" t="str">
        <f t="shared" ref="AX68:AX114" si="65">IF($U68="","",AW68*$E$17^($U68-$U$4+0.5))</f>
        <v/>
      </c>
      <c r="AY68" s="317" t="str">
        <f>IF($U68="","",SUM($AX68:$AX$114))</f>
        <v/>
      </c>
      <c r="AZ68" s="287" t="str">
        <f>IF($U68="","",INDEX(#REF!,$U68+1))</f>
        <v/>
      </c>
      <c r="BA68" s="260">
        <f t="shared" ref="BA68:BA114" si="66">X68</f>
        <v>0</v>
      </c>
      <c r="BB68" s="260" t="str">
        <f t="shared" ref="BB68:BB114" si="67">IF($U68="","",$Y68*$AZ68*(1-0.5*BA68))</f>
        <v/>
      </c>
      <c r="BC68" s="260" t="str">
        <f t="shared" ref="BC68:BC114" si="68">IF($U68="","",BB68*$E$17^($U68-$U$4+0.5))</f>
        <v/>
      </c>
      <c r="BD68" s="317" t="str">
        <f>IF($U68="","",SUM($BC68:$BC$114))</f>
        <v/>
      </c>
      <c r="BE68" s="287" t="str">
        <f>IF($U68="","",INDEX(#REF!,$U68+1))</f>
        <v/>
      </c>
      <c r="BF68" s="260">
        <f t="shared" ref="BF68:BF114" si="69">X68</f>
        <v>0</v>
      </c>
      <c r="BG68" s="260" t="str">
        <f t="shared" ref="BG68:BG114" si="70">IF($U68="","",$Y68*$BE68*(1-0.5*BF68))</f>
        <v/>
      </c>
      <c r="BH68" s="260" t="str">
        <f t="shared" ref="BH68:BH114" si="71">IF($U68="","",BG68*$E$17^($U68-$U$4+0.5))</f>
        <v/>
      </c>
      <c r="BI68" s="317" t="str">
        <f>IF($U68="","",SUM($BH68:$BH$114))</f>
        <v/>
      </c>
      <c r="BJ68" s="287" t="str">
        <f>IF($U68="","",INDEX(#REF!,$U68+1))</f>
        <v/>
      </c>
      <c r="BK68" s="260">
        <f t="shared" ref="BK68:BK114" si="72">X68</f>
        <v>0</v>
      </c>
      <c r="BL68" s="260" t="str">
        <f t="shared" ref="BL68:BL114" si="73">IF($U68="","",$Y68*$BJ68*(1-0.5*BK68))</f>
        <v/>
      </c>
      <c r="BM68" s="260" t="str">
        <f t="shared" ref="BM68:BM114" si="74">IF($U68="","",BL68*$E$17^($U68-$U$4+0.5))</f>
        <v/>
      </c>
      <c r="BN68" s="317" t="str">
        <f>IF($U68="","",SUM($BM68:$BM$114))</f>
        <v/>
      </c>
      <c r="BO68" s="287">
        <f t="shared" ref="BO68:BO114" si="75">X68</f>
        <v>0</v>
      </c>
      <c r="BP68" s="260" t="str">
        <f t="shared" ref="BP68:BP114" si="76">IF($U68="","",AF68*$BO68)</f>
        <v/>
      </c>
      <c r="BQ68" s="260" t="str">
        <f t="shared" ref="BQ68:BQ114" si="77">IF($U68="","",BP68*$E$17^($U68-$U$4+0.5))</f>
        <v/>
      </c>
      <c r="BR68" s="260"/>
      <c r="BS68" s="260" t="str">
        <f t="shared" si="37"/>
        <v/>
      </c>
      <c r="BT68" s="260" t="str">
        <f t="shared" ref="BT68:BT114" si="78">IF($U68="","",(Y68-AF68)*$BO68)</f>
        <v/>
      </c>
      <c r="BU68" s="260" t="str">
        <f t="shared" ref="BU68:BU114" si="79">IF($U68="","",BT68*$E$17^($U68-$U$4+0.5))</f>
        <v/>
      </c>
      <c r="BV68" s="260"/>
      <c r="BW68" s="260" t="str">
        <f t="shared" si="38"/>
        <v/>
      </c>
      <c r="BX68" s="260" t="str">
        <f>IF($U68="","",SUM(BS68:BS$114)+SUM(BW68:BW$114))</f>
        <v/>
      </c>
      <c r="BY68" s="122"/>
      <c r="BZ68" s="122"/>
      <c r="CA68" s="122"/>
      <c r="CB68" s="122"/>
      <c r="CC68" s="260" t="str">
        <f t="shared" si="39"/>
        <v/>
      </c>
      <c r="CD68" s="260" t="str">
        <f t="shared" ref="CD68:CD114" si="80">IF($U68="","",$BX$2*(BX68-$BX$117))</f>
        <v/>
      </c>
      <c r="CE68" s="260" t="str">
        <f t="shared" ref="CE68:CE114" si="81">IF($U68="","",MAX(($AH68-AH$116)-(($CD$2-1)/(2*$CD$2))*($AG68-$AG$116),0))</f>
        <v/>
      </c>
      <c r="CF68" s="260" t="str">
        <f t="shared" si="40"/>
        <v/>
      </c>
      <c r="CG68" s="260" t="str">
        <f t="shared" ref="CG68:CG114" si="82">IF($U68="","",$CD$2*$CE68*(-$K$48))</f>
        <v/>
      </c>
      <c r="CH68" s="123" t="str">
        <f t="shared" si="41"/>
        <v/>
      </c>
      <c r="CI68" s="124" t="str">
        <f t="shared" ref="CI68:CI114" si="83">IF(U68="","",ROUND(CH68,$E$18)*$E$19)</f>
        <v/>
      </c>
      <c r="CJ68" s="242"/>
      <c r="CK68" s="120" t="str">
        <f t="shared" ref="CK68:CK114" si="84">U68</f>
        <v/>
      </c>
      <c r="CL68" s="124" t="str">
        <f t="shared" si="47"/>
        <v/>
      </c>
      <c r="CM68" s="124" t="str">
        <f t="shared" si="42"/>
        <v/>
      </c>
      <c r="CN68" s="124" t="str">
        <f t="shared" ref="CN68:CN114" si="85">IF(CK68="","",MAX($CN$2*(MIN($F$5,7)-CL68)/MIN($F$5,7),0))</f>
        <v/>
      </c>
      <c r="CO68" s="124" t="str">
        <f t="shared" si="43"/>
        <v/>
      </c>
      <c r="CP68" s="242"/>
      <c r="CQ68" s="242"/>
      <c r="CR68" s="242"/>
      <c r="CS68" s="242"/>
      <c r="CT68" s="242"/>
      <c r="CU68" s="242"/>
      <c r="CV68" s="242"/>
    </row>
    <row r="69" spans="1:100">
      <c r="A69" s="305"/>
      <c r="D69" s="456"/>
      <c r="E69" s="457"/>
      <c r="F69" s="456"/>
      <c r="G69" s="465"/>
      <c r="H69" s="5"/>
      <c r="I69" s="2"/>
      <c r="K69" s="151"/>
      <c r="L69" s="599"/>
      <c r="M69" s="599"/>
      <c r="N69" s="278" t="str">
        <f t="shared" si="51"/>
        <v/>
      </c>
      <c r="O69" s="279" t="str">
        <f t="shared" si="52"/>
        <v/>
      </c>
      <c r="P69" s="271" t="str">
        <f t="shared" si="48"/>
        <v/>
      </c>
      <c r="Q69" s="271" t="str">
        <f t="shared" si="49"/>
        <v/>
      </c>
      <c r="R69" s="271" t="str">
        <f t="shared" si="50"/>
        <v/>
      </c>
      <c r="S69" s="400" t="str">
        <f t="shared" ref="S69:S114" si="86">IF(N69="","",IF(R69=0,0,ROUNDDOWN(R69/P69,3)))</f>
        <v/>
      </c>
      <c r="T69" s="231"/>
      <c r="U69" s="130" t="str">
        <f t="shared" si="44"/>
        <v/>
      </c>
      <c r="V69" s="288" t="str">
        <f>Main_무해지!AC69</f>
        <v/>
      </c>
      <c r="W69" s="311">
        <f>+Main_무해지!AD69</f>
        <v>0</v>
      </c>
      <c r="X69" s="311">
        <v>0</v>
      </c>
      <c r="Y69" s="261" t="str">
        <f t="shared" si="45"/>
        <v/>
      </c>
      <c r="Z69" s="261" t="str">
        <f t="shared" si="53"/>
        <v/>
      </c>
      <c r="AA69" s="131" t="str">
        <f>IF($U69="","",SUM(Z69:Z$114))</f>
        <v/>
      </c>
      <c r="AB69" s="261" t="str">
        <f t="shared" ref="AB69:AB114" si="87">V69</f>
        <v/>
      </c>
      <c r="AC69" s="254">
        <f t="shared" ref="AC69:AC114" si="88">+W69</f>
        <v>0</v>
      </c>
      <c r="AD69" s="254" t="str">
        <f>Main_무해지!AJ69</f>
        <v/>
      </c>
      <c r="AE69" s="261">
        <f t="shared" si="54"/>
        <v>0</v>
      </c>
      <c r="AF69" s="261" t="str">
        <f t="shared" si="46"/>
        <v/>
      </c>
      <c r="AG69" s="261" t="str">
        <f t="shared" si="55"/>
        <v/>
      </c>
      <c r="AH69" s="131" t="str">
        <f>IF($U69="","",SUM(AG69:AG$114))</f>
        <v/>
      </c>
      <c r="AI69" s="261" t="str">
        <f>Main_무해지!AP69</f>
        <v/>
      </c>
      <c r="AJ69" s="261">
        <f t="shared" si="56"/>
        <v>0</v>
      </c>
      <c r="AK69" s="261" t="str">
        <f t="shared" si="57"/>
        <v/>
      </c>
      <c r="AL69" s="261" t="str">
        <f t="shared" si="58"/>
        <v/>
      </c>
      <c r="AM69" s="318" t="str">
        <f>IF($U69="","",SUM($AN69:$AN$114))</f>
        <v/>
      </c>
      <c r="AN69" s="261" t="str">
        <f t="shared" ref="AN69:AN114" si="89">IF($U69="","",AL69*AO69)</f>
        <v/>
      </c>
      <c r="AO69" s="318" t="str">
        <f t="shared" si="59"/>
        <v/>
      </c>
      <c r="AP69" s="288" t="str">
        <f>IF($U69="","",INDEX(#REF!,$U69+1))</f>
        <v/>
      </c>
      <c r="AQ69" s="261">
        <f t="shared" si="60"/>
        <v>0</v>
      </c>
      <c r="AR69" s="261" t="str">
        <f t="shared" si="61"/>
        <v/>
      </c>
      <c r="AS69" s="261" t="str">
        <f t="shared" si="62"/>
        <v/>
      </c>
      <c r="AT69" s="318" t="str">
        <f>IF($U69="","",SUM($AS69:$AS$114))</f>
        <v/>
      </c>
      <c r="AU69" s="288" t="str">
        <f>IF($U69="","",INDEX(#REF!,$U69+1))</f>
        <v/>
      </c>
      <c r="AV69" s="261">
        <f t="shared" si="63"/>
        <v>0</v>
      </c>
      <c r="AW69" s="261" t="str">
        <f t="shared" si="64"/>
        <v/>
      </c>
      <c r="AX69" s="261" t="str">
        <f t="shared" si="65"/>
        <v/>
      </c>
      <c r="AY69" s="318" t="str">
        <f>IF($U69="","",SUM($AX69:$AX$114))</f>
        <v/>
      </c>
      <c r="AZ69" s="288" t="str">
        <f>IF($U69="","",INDEX(#REF!,$U69+1))</f>
        <v/>
      </c>
      <c r="BA69" s="261">
        <f t="shared" si="66"/>
        <v>0</v>
      </c>
      <c r="BB69" s="261" t="str">
        <f t="shared" si="67"/>
        <v/>
      </c>
      <c r="BC69" s="261" t="str">
        <f t="shared" si="68"/>
        <v/>
      </c>
      <c r="BD69" s="318" t="str">
        <f>IF($U69="","",SUM($BC69:$BC$114))</f>
        <v/>
      </c>
      <c r="BE69" s="288" t="str">
        <f>IF($U69="","",INDEX(#REF!,$U69+1))</f>
        <v/>
      </c>
      <c r="BF69" s="261">
        <f t="shared" si="69"/>
        <v>0</v>
      </c>
      <c r="BG69" s="261" t="str">
        <f t="shared" si="70"/>
        <v/>
      </c>
      <c r="BH69" s="261" t="str">
        <f t="shared" si="71"/>
        <v/>
      </c>
      <c r="BI69" s="318" t="str">
        <f>IF($U69="","",SUM($BH69:$BH$114))</f>
        <v/>
      </c>
      <c r="BJ69" s="288" t="str">
        <f>IF($U69="","",INDEX(#REF!,$U69+1))</f>
        <v/>
      </c>
      <c r="BK69" s="261">
        <f t="shared" si="72"/>
        <v>0</v>
      </c>
      <c r="BL69" s="261" t="str">
        <f t="shared" si="73"/>
        <v/>
      </c>
      <c r="BM69" s="261" t="str">
        <f t="shared" si="74"/>
        <v/>
      </c>
      <c r="BN69" s="318" t="str">
        <f>IF($U69="","",SUM($BM69:$BM$114))</f>
        <v/>
      </c>
      <c r="BO69" s="288">
        <f t="shared" si="75"/>
        <v>0</v>
      </c>
      <c r="BP69" s="261" t="str">
        <f t="shared" si="76"/>
        <v/>
      </c>
      <c r="BQ69" s="261" t="str">
        <f t="shared" si="77"/>
        <v/>
      </c>
      <c r="BR69" s="261"/>
      <c r="BS69" s="261" t="str">
        <f t="shared" ref="BS69:BS114" si="90">IF($U69="","",BQ69*BR69)</f>
        <v/>
      </c>
      <c r="BT69" s="261" t="str">
        <f t="shared" si="78"/>
        <v/>
      </c>
      <c r="BU69" s="261" t="str">
        <f t="shared" si="79"/>
        <v/>
      </c>
      <c r="BV69" s="261"/>
      <c r="BW69" s="261" t="str">
        <f t="shared" ref="BW69:BW114" si="91">IF($U69="","",BU69*BV69)</f>
        <v/>
      </c>
      <c r="BX69" s="261" t="str">
        <f>IF($U69="","",SUM(BS69:BS$114)+SUM(BW69:BW$114))</f>
        <v/>
      </c>
      <c r="BY69" s="132"/>
      <c r="BZ69" s="132"/>
      <c r="CA69" s="132"/>
      <c r="CB69" s="132"/>
      <c r="CC69" s="261" t="str">
        <f t="shared" ref="CC69:CC114" si="92">IF($U69="","",IF(AND($G$3=1,$F$4=1),0.475*$AM$2*(AM69-$AM$117),$AM$2*(AM69-$AM$117)))</f>
        <v/>
      </c>
      <c r="CD69" s="261" t="str">
        <f t="shared" si="80"/>
        <v/>
      </c>
      <c r="CE69" s="261" t="str">
        <f t="shared" si="81"/>
        <v/>
      </c>
      <c r="CF69" s="261" t="str">
        <f t="shared" ref="CF69:CF114" si="93">IF($U69="","",IF($F$5=0,AA69-AA$117,MIN(AA69,AA$116)-AA$117))</f>
        <v/>
      </c>
      <c r="CG69" s="261" t="str">
        <f t="shared" si="82"/>
        <v/>
      </c>
      <c r="CH69" s="133" t="str">
        <f t="shared" ref="CH69:CH114" si="94">IF($U69="","",IF($F$5=0,($CC69+$K$34*ROUND($K$55,$E$18)+$E$37*$CF69)/$Z69,($CC69+CD69+$CD$2*$K$34*(IF($F$7=0,ROUND($K$47,$E$18),ROUND($K$55,$E$18)))+$E$29*$CF69+$CG69)/$Z69))</f>
        <v/>
      </c>
      <c r="CI69" s="134" t="str">
        <f t="shared" si="83"/>
        <v/>
      </c>
      <c r="CJ69" s="243"/>
      <c r="CK69" s="130" t="str">
        <f t="shared" si="84"/>
        <v/>
      </c>
      <c r="CL69" s="134" t="str">
        <f t="shared" si="47"/>
        <v/>
      </c>
      <c r="CM69" s="134" t="str">
        <f t="shared" ref="CM69:CM114" si="95">CI69</f>
        <v/>
      </c>
      <c r="CN69" s="134" t="str">
        <f t="shared" si="85"/>
        <v/>
      </c>
      <c r="CO69" s="134" t="str">
        <f t="shared" ref="CO69:CO114" si="96">IF(CL69="","",MAX(CM69-CN69,0))</f>
        <v/>
      </c>
      <c r="CP69" s="243"/>
      <c r="CQ69" s="243"/>
      <c r="CR69" s="243"/>
      <c r="CS69" s="243"/>
      <c r="CT69" s="243"/>
      <c r="CU69" s="243"/>
      <c r="CV69" s="243"/>
    </row>
    <row r="70" spans="1:100">
      <c r="A70" s="305"/>
      <c r="D70" s="456"/>
      <c r="E70" s="457"/>
      <c r="F70" s="456"/>
      <c r="G70" s="465"/>
      <c r="H70" s="5"/>
      <c r="I70" s="2"/>
      <c r="K70" s="151"/>
      <c r="L70" s="599"/>
      <c r="M70" s="599"/>
      <c r="N70" s="278" t="str">
        <f t="shared" si="51"/>
        <v/>
      </c>
      <c r="O70" s="279" t="str">
        <f t="shared" si="52"/>
        <v/>
      </c>
      <c r="P70" s="271" t="str">
        <f t="shared" si="48"/>
        <v/>
      </c>
      <c r="Q70" s="271" t="str">
        <f t="shared" si="49"/>
        <v/>
      </c>
      <c r="R70" s="271" t="str">
        <f t="shared" si="50"/>
        <v/>
      </c>
      <c r="S70" s="400" t="str">
        <f t="shared" si="86"/>
        <v/>
      </c>
      <c r="T70" s="231"/>
      <c r="U70" s="759" t="str">
        <f t="shared" ref="U70:U114" si="97">IF(U69="","",(IF(U69=MIN(($E$3+$F$4),IF($F$2=1,110,112)),"",(U69+1))))</f>
        <v/>
      </c>
      <c r="V70" s="761" t="str">
        <f>Main_무해지!AC70</f>
        <v/>
      </c>
      <c r="W70" s="639">
        <f>+Main_무해지!AD70</f>
        <v>0</v>
      </c>
      <c r="X70" s="639">
        <v>0</v>
      </c>
      <c r="Y70" s="409" t="str">
        <f t="shared" ref="Y70:Y114" si="98">IF(U70="","",Y69)</f>
        <v/>
      </c>
      <c r="Z70" s="409" t="str">
        <f t="shared" si="53"/>
        <v/>
      </c>
      <c r="AA70" s="760" t="str">
        <f>IF($U70="","",SUM(Z70:Z$114))</f>
        <v/>
      </c>
      <c r="AB70" s="409" t="str">
        <f t="shared" si="87"/>
        <v/>
      </c>
      <c r="AC70" s="254">
        <f t="shared" si="88"/>
        <v>0</v>
      </c>
      <c r="AD70" s="254" t="str">
        <f>Main_무해지!AJ70</f>
        <v/>
      </c>
      <c r="AE70" s="409">
        <f t="shared" si="54"/>
        <v>0</v>
      </c>
      <c r="AF70" s="409" t="str">
        <f t="shared" ref="AF70:AF114" si="99">IF($U70="","",IF(AND($G$3=1,$F$4=1),AF69,AF69*(1-AD69)))</f>
        <v/>
      </c>
      <c r="AG70" s="409" t="str">
        <f t="shared" si="55"/>
        <v/>
      </c>
      <c r="AH70" s="760" t="str">
        <f>IF($U70="","",SUM(AG70:AG$114))</f>
        <v/>
      </c>
      <c r="AI70" s="409" t="str">
        <f>Main_무해지!AP70</f>
        <v/>
      </c>
      <c r="AJ70" s="409">
        <f t="shared" si="56"/>
        <v>0</v>
      </c>
      <c r="AK70" s="409" t="str">
        <f t="shared" si="57"/>
        <v/>
      </c>
      <c r="AL70" s="409" t="str">
        <f t="shared" si="58"/>
        <v/>
      </c>
      <c r="AM70" s="762" t="str">
        <f>IF($U70="","",SUM($AN70:$AN$114))</f>
        <v/>
      </c>
      <c r="AN70" s="409" t="str">
        <f t="shared" si="89"/>
        <v/>
      </c>
      <c r="AO70" s="762" t="str">
        <f t="shared" si="59"/>
        <v/>
      </c>
      <c r="AP70" s="761" t="str">
        <f>IF($U70="","",INDEX(#REF!,$U70+1))</f>
        <v/>
      </c>
      <c r="AQ70" s="409">
        <f t="shared" si="60"/>
        <v>0</v>
      </c>
      <c r="AR70" s="409" t="str">
        <f t="shared" si="61"/>
        <v/>
      </c>
      <c r="AS70" s="409" t="str">
        <f t="shared" si="62"/>
        <v/>
      </c>
      <c r="AT70" s="762" t="str">
        <f>IF($U70="","",SUM($AS70:$AS$114))</f>
        <v/>
      </c>
      <c r="AU70" s="761" t="str">
        <f>IF($U70="","",INDEX(#REF!,$U70+1))</f>
        <v/>
      </c>
      <c r="AV70" s="409">
        <f t="shared" si="63"/>
        <v>0</v>
      </c>
      <c r="AW70" s="409" t="str">
        <f t="shared" si="64"/>
        <v/>
      </c>
      <c r="AX70" s="409" t="str">
        <f t="shared" si="65"/>
        <v/>
      </c>
      <c r="AY70" s="762" t="str">
        <f>IF($U70="","",SUM($AX70:$AX$114))</f>
        <v/>
      </c>
      <c r="AZ70" s="761" t="str">
        <f>IF($U70="","",INDEX(#REF!,$U70+1))</f>
        <v/>
      </c>
      <c r="BA70" s="409">
        <f t="shared" si="66"/>
        <v>0</v>
      </c>
      <c r="BB70" s="409" t="str">
        <f t="shared" si="67"/>
        <v/>
      </c>
      <c r="BC70" s="409" t="str">
        <f t="shared" si="68"/>
        <v/>
      </c>
      <c r="BD70" s="762" t="str">
        <f>IF($U70="","",SUM($BC70:$BC$114))</f>
        <v/>
      </c>
      <c r="BE70" s="761" t="str">
        <f>IF($U70="","",INDEX(#REF!,$U70+1))</f>
        <v/>
      </c>
      <c r="BF70" s="409">
        <f t="shared" si="69"/>
        <v>0</v>
      </c>
      <c r="BG70" s="409" t="str">
        <f t="shared" si="70"/>
        <v/>
      </c>
      <c r="BH70" s="409" t="str">
        <f t="shared" si="71"/>
        <v/>
      </c>
      <c r="BI70" s="762" t="str">
        <f>IF($U70="","",SUM($BH70:$BH$114))</f>
        <v/>
      </c>
      <c r="BJ70" s="761" t="str">
        <f>IF($U70="","",INDEX(#REF!,$U70+1))</f>
        <v/>
      </c>
      <c r="BK70" s="409">
        <f t="shared" si="72"/>
        <v>0</v>
      </c>
      <c r="BL70" s="409" t="str">
        <f t="shared" si="73"/>
        <v/>
      </c>
      <c r="BM70" s="409" t="str">
        <f t="shared" si="74"/>
        <v/>
      </c>
      <c r="BN70" s="762" t="str">
        <f>IF($U70="","",SUM($BM70:$BM$114))</f>
        <v/>
      </c>
      <c r="BO70" s="761">
        <f t="shared" si="75"/>
        <v>0</v>
      </c>
      <c r="BP70" s="409" t="str">
        <f t="shared" si="76"/>
        <v/>
      </c>
      <c r="BQ70" s="409" t="str">
        <f t="shared" si="77"/>
        <v/>
      </c>
      <c r="BR70" s="409"/>
      <c r="BS70" s="409" t="str">
        <f t="shared" si="90"/>
        <v/>
      </c>
      <c r="BT70" s="409" t="str">
        <f t="shared" si="78"/>
        <v/>
      </c>
      <c r="BU70" s="409" t="str">
        <f t="shared" si="79"/>
        <v/>
      </c>
      <c r="BV70" s="409"/>
      <c r="BW70" s="409" t="str">
        <f t="shared" si="91"/>
        <v/>
      </c>
      <c r="BX70" s="409" t="str">
        <f>IF($U70="","",SUM(BS70:BS$114)+SUM(BW70:BW$114))</f>
        <v/>
      </c>
      <c r="BY70" s="763"/>
      <c r="BZ70" s="763"/>
      <c r="CA70" s="763"/>
      <c r="CB70" s="763"/>
      <c r="CC70" s="409" t="str">
        <f t="shared" si="92"/>
        <v/>
      </c>
      <c r="CD70" s="409" t="str">
        <f t="shared" si="80"/>
        <v/>
      </c>
      <c r="CE70" s="409" t="str">
        <f t="shared" si="81"/>
        <v/>
      </c>
      <c r="CF70" s="409" t="str">
        <f t="shared" si="93"/>
        <v/>
      </c>
      <c r="CG70" s="409" t="str">
        <f t="shared" si="82"/>
        <v/>
      </c>
      <c r="CH70" s="765" t="str">
        <f t="shared" si="94"/>
        <v/>
      </c>
      <c r="CI70" s="766" t="str">
        <f t="shared" si="83"/>
        <v/>
      </c>
      <c r="CJ70" s="414"/>
      <c r="CK70" s="759" t="str">
        <f t="shared" si="84"/>
        <v/>
      </c>
      <c r="CL70" s="766" t="str">
        <f t="shared" ref="CL70:CL114" si="100">IF(CL69&gt;=$F$4,"",CL69+1)</f>
        <v/>
      </c>
      <c r="CM70" s="766" t="str">
        <f t="shared" si="95"/>
        <v/>
      </c>
      <c r="CN70" s="766" t="str">
        <f t="shared" si="85"/>
        <v/>
      </c>
      <c r="CO70" s="766" t="str">
        <f t="shared" si="96"/>
        <v/>
      </c>
      <c r="CP70" s="414"/>
      <c r="CQ70" s="414"/>
      <c r="CR70" s="414"/>
      <c r="CS70" s="414"/>
      <c r="CT70" s="414"/>
      <c r="CU70" s="414"/>
      <c r="CV70" s="414"/>
    </row>
    <row r="71" spans="1:100" ht="17.25" thickBot="1">
      <c r="A71" s="305"/>
      <c r="D71" s="461"/>
      <c r="E71" s="462"/>
      <c r="F71" s="463"/>
      <c r="G71" s="466"/>
      <c r="H71" s="5"/>
      <c r="I71" s="2"/>
      <c r="K71" s="151"/>
      <c r="L71" s="599"/>
      <c r="M71" s="599"/>
      <c r="N71" s="280" t="str">
        <f t="shared" si="51"/>
        <v/>
      </c>
      <c r="O71" s="281" t="str">
        <f t="shared" si="52"/>
        <v/>
      </c>
      <c r="P71" s="282" t="str">
        <f t="shared" ref="P71:P114" si="101">IF(N71="","",IF($F$5=0,$K$3,$K$3*$F$6*MIN($N71,F$5)))</f>
        <v/>
      </c>
      <c r="Q71" s="282" t="str">
        <f t="shared" ref="Q71:Q114" si="102">IF(N71="","",CI69*$E$12/$E$19*10000)</f>
        <v/>
      </c>
      <c r="R71" s="282" t="str">
        <f t="shared" ref="R71:R114" si="103">IF(N71="","",MAX(Q71-IF(N71&gt;=MIN(7,$F$5),0,((MIN(7,$F$5)-N71)/MIN(7,$F$5))*MIN($K$10,$K$11)*$E$12/$E$19*10000),0))</f>
        <v/>
      </c>
      <c r="S71" s="402" t="str">
        <f t="shared" si="86"/>
        <v/>
      </c>
      <c r="T71" s="231"/>
      <c r="U71" s="70" t="str">
        <f t="shared" si="97"/>
        <v/>
      </c>
      <c r="V71" s="71" t="str">
        <f>Main_무해지!AC71</f>
        <v/>
      </c>
      <c r="W71" s="74">
        <f>+Main_무해지!AD71</f>
        <v>0</v>
      </c>
      <c r="X71" s="74">
        <v>0</v>
      </c>
      <c r="Y71" s="256" t="str">
        <f t="shared" si="98"/>
        <v/>
      </c>
      <c r="Z71" s="256" t="str">
        <f t="shared" si="53"/>
        <v/>
      </c>
      <c r="AA71" s="72" t="str">
        <f>IF($U71="","",SUM(Z71:Z$114))</f>
        <v/>
      </c>
      <c r="AB71" s="256" t="str">
        <f t="shared" si="87"/>
        <v/>
      </c>
      <c r="AC71" s="254">
        <f t="shared" si="88"/>
        <v>0</v>
      </c>
      <c r="AD71" s="254" t="str">
        <f>Main_무해지!AJ71</f>
        <v/>
      </c>
      <c r="AE71" s="256">
        <f t="shared" si="54"/>
        <v>0</v>
      </c>
      <c r="AF71" s="256" t="str">
        <f t="shared" si="99"/>
        <v/>
      </c>
      <c r="AG71" s="256" t="str">
        <f t="shared" si="55"/>
        <v/>
      </c>
      <c r="AH71" s="72" t="str">
        <f>IF($U71="","",SUM(AG71:AG$114))</f>
        <v/>
      </c>
      <c r="AI71" s="256" t="str">
        <f>Main_무해지!AP71</f>
        <v/>
      </c>
      <c r="AJ71" s="256">
        <f t="shared" si="56"/>
        <v>0</v>
      </c>
      <c r="AK71" s="256" t="str">
        <f t="shared" si="57"/>
        <v/>
      </c>
      <c r="AL71" s="256" t="str">
        <f t="shared" si="58"/>
        <v/>
      </c>
      <c r="AM71" s="75" t="str">
        <f>IF($U71="","",SUM($AN71:$AN$114))</f>
        <v/>
      </c>
      <c r="AN71" s="256" t="str">
        <f t="shared" si="89"/>
        <v/>
      </c>
      <c r="AO71" s="75" t="str">
        <f t="shared" si="59"/>
        <v/>
      </c>
      <c r="AP71" s="71" t="str">
        <f>IF($U71="","",INDEX(#REF!,$U71+1))</f>
        <v/>
      </c>
      <c r="AQ71" s="256">
        <f t="shared" si="60"/>
        <v>0</v>
      </c>
      <c r="AR71" s="256" t="str">
        <f t="shared" si="61"/>
        <v/>
      </c>
      <c r="AS71" s="256" t="str">
        <f t="shared" si="62"/>
        <v/>
      </c>
      <c r="AT71" s="75" t="str">
        <f>IF($U71="","",SUM($AS71:$AS$114))</f>
        <v/>
      </c>
      <c r="AU71" s="71" t="str">
        <f>IF($U71="","",INDEX(#REF!,$U71+1))</f>
        <v/>
      </c>
      <c r="AV71" s="256">
        <f t="shared" si="63"/>
        <v>0</v>
      </c>
      <c r="AW71" s="256" t="str">
        <f t="shared" si="64"/>
        <v/>
      </c>
      <c r="AX71" s="256" t="str">
        <f t="shared" si="65"/>
        <v/>
      </c>
      <c r="AY71" s="75" t="str">
        <f>IF($U71="","",SUM($AX71:$AX$114))</f>
        <v/>
      </c>
      <c r="AZ71" s="71" t="str">
        <f>IF($U71="","",INDEX(#REF!,$U71+1))</f>
        <v/>
      </c>
      <c r="BA71" s="256">
        <f t="shared" si="66"/>
        <v>0</v>
      </c>
      <c r="BB71" s="256" t="str">
        <f t="shared" si="67"/>
        <v/>
      </c>
      <c r="BC71" s="256" t="str">
        <f t="shared" si="68"/>
        <v/>
      </c>
      <c r="BD71" s="75" t="str">
        <f>IF($U71="","",SUM($BC71:$BC$114))</f>
        <v/>
      </c>
      <c r="BE71" s="71" t="str">
        <f>IF($U71="","",INDEX(#REF!,$U71+1))</f>
        <v/>
      </c>
      <c r="BF71" s="256">
        <f t="shared" si="69"/>
        <v>0</v>
      </c>
      <c r="BG71" s="256" t="str">
        <f t="shared" si="70"/>
        <v/>
      </c>
      <c r="BH71" s="256" t="str">
        <f t="shared" si="71"/>
        <v/>
      </c>
      <c r="BI71" s="75" t="str">
        <f>IF($U71="","",SUM($BH71:$BH$114))</f>
        <v/>
      </c>
      <c r="BJ71" s="71" t="str">
        <f>IF($U71="","",INDEX(#REF!,$U71+1))</f>
        <v/>
      </c>
      <c r="BK71" s="256">
        <f t="shared" si="72"/>
        <v>0</v>
      </c>
      <c r="BL71" s="256" t="str">
        <f t="shared" si="73"/>
        <v/>
      </c>
      <c r="BM71" s="256" t="str">
        <f t="shared" si="74"/>
        <v/>
      </c>
      <c r="BN71" s="75" t="str">
        <f>IF($U71="","",SUM($BM71:$BM$114))</f>
        <v/>
      </c>
      <c r="BO71" s="71">
        <f t="shared" si="75"/>
        <v>0</v>
      </c>
      <c r="BP71" s="256" t="str">
        <f t="shared" si="76"/>
        <v/>
      </c>
      <c r="BQ71" s="256" t="str">
        <f t="shared" si="77"/>
        <v/>
      </c>
      <c r="BR71" s="256"/>
      <c r="BS71" s="256" t="str">
        <f t="shared" si="90"/>
        <v/>
      </c>
      <c r="BT71" s="256" t="str">
        <f t="shared" si="78"/>
        <v/>
      </c>
      <c r="BU71" s="256" t="str">
        <f t="shared" si="79"/>
        <v/>
      </c>
      <c r="BV71" s="256"/>
      <c r="BW71" s="256" t="str">
        <f t="shared" si="91"/>
        <v/>
      </c>
      <c r="BX71" s="256" t="str">
        <f>IF($U71="","",SUM(BS71:BS$114)+SUM(BW71:BW$114))</f>
        <v/>
      </c>
      <c r="BY71" s="73"/>
      <c r="BZ71" s="73"/>
      <c r="CA71" s="73"/>
      <c r="CB71" s="73"/>
      <c r="CC71" s="256" t="str">
        <f t="shared" si="92"/>
        <v/>
      </c>
      <c r="CD71" s="256" t="str">
        <f t="shared" si="80"/>
        <v/>
      </c>
      <c r="CE71" s="256" t="str">
        <f t="shared" si="81"/>
        <v/>
      </c>
      <c r="CF71" s="256" t="str">
        <f t="shared" si="93"/>
        <v/>
      </c>
      <c r="CG71" s="256" t="str">
        <f t="shared" si="82"/>
        <v/>
      </c>
      <c r="CH71" s="76" t="str">
        <f t="shared" si="94"/>
        <v/>
      </c>
      <c r="CI71" s="77" t="str">
        <f t="shared" si="83"/>
        <v/>
      </c>
      <c r="CJ71" s="238"/>
      <c r="CK71" s="70" t="str">
        <f t="shared" si="84"/>
        <v/>
      </c>
      <c r="CL71" s="77" t="str">
        <f t="shared" si="100"/>
        <v/>
      </c>
      <c r="CM71" s="77" t="str">
        <f t="shared" si="95"/>
        <v/>
      </c>
      <c r="CN71" s="77" t="str">
        <f t="shared" si="85"/>
        <v/>
      </c>
      <c r="CO71" s="77" t="str">
        <f t="shared" si="96"/>
        <v/>
      </c>
      <c r="CP71" s="238"/>
      <c r="CQ71" s="238"/>
      <c r="CR71" s="238"/>
      <c r="CS71" s="238"/>
      <c r="CT71" s="238"/>
      <c r="CU71" s="238"/>
      <c r="CV71" s="238"/>
    </row>
    <row r="72" spans="1:100">
      <c r="A72" s="305"/>
      <c r="H72" s="5"/>
      <c r="I72" s="2"/>
      <c r="K72" s="151"/>
      <c r="L72" s="599"/>
      <c r="M72" s="599"/>
      <c r="N72" s="275" t="str">
        <f t="shared" ref="N72:N118" si="104">IF(N71="","",IF(N71+1&gt;$F$4,"",N71+1))</f>
        <v/>
      </c>
      <c r="O72" s="276" t="str">
        <f t="shared" ref="O72:O114" si="105">IF(N72="","",$E$3+N72)</f>
        <v/>
      </c>
      <c r="P72" s="277" t="str">
        <f t="shared" si="101"/>
        <v/>
      </c>
      <c r="Q72" s="277" t="str">
        <f t="shared" si="102"/>
        <v/>
      </c>
      <c r="R72" s="277" t="str">
        <f t="shared" si="103"/>
        <v/>
      </c>
      <c r="S72" s="401" t="str">
        <f t="shared" si="86"/>
        <v/>
      </c>
      <c r="T72" s="231"/>
      <c r="U72" s="70" t="str">
        <f t="shared" si="97"/>
        <v/>
      </c>
      <c r="V72" s="71" t="str">
        <f>Main_무해지!AC72</f>
        <v/>
      </c>
      <c r="W72" s="74">
        <f>+Main_무해지!AD72</f>
        <v>0</v>
      </c>
      <c r="X72" s="74">
        <v>0</v>
      </c>
      <c r="Y72" s="256" t="str">
        <f t="shared" si="98"/>
        <v/>
      </c>
      <c r="Z72" s="256" t="str">
        <f t="shared" si="53"/>
        <v/>
      </c>
      <c r="AA72" s="72" t="str">
        <f>IF($U72="","",SUM(Z72:Z$114))</f>
        <v/>
      </c>
      <c r="AB72" s="256" t="str">
        <f t="shared" si="87"/>
        <v/>
      </c>
      <c r="AC72" s="254">
        <f t="shared" si="88"/>
        <v>0</v>
      </c>
      <c r="AD72" s="254" t="str">
        <f>Main_무해지!AJ72</f>
        <v/>
      </c>
      <c r="AE72" s="256">
        <f t="shared" si="54"/>
        <v>0</v>
      </c>
      <c r="AF72" s="256" t="str">
        <f t="shared" si="99"/>
        <v/>
      </c>
      <c r="AG72" s="256" t="str">
        <f t="shared" si="55"/>
        <v/>
      </c>
      <c r="AH72" s="72" t="str">
        <f>IF($U72="","",SUM(AG72:AG$114))</f>
        <v/>
      </c>
      <c r="AI72" s="256" t="str">
        <f>Main_무해지!AP72</f>
        <v/>
      </c>
      <c r="AJ72" s="256">
        <f t="shared" si="56"/>
        <v>0</v>
      </c>
      <c r="AK72" s="256" t="str">
        <f t="shared" si="57"/>
        <v/>
      </c>
      <c r="AL72" s="256" t="str">
        <f t="shared" si="58"/>
        <v/>
      </c>
      <c r="AM72" s="75" t="str">
        <f>IF($U72="","",SUM($AN72:$AN$114))</f>
        <v/>
      </c>
      <c r="AN72" s="256" t="str">
        <f t="shared" si="89"/>
        <v/>
      </c>
      <c r="AO72" s="75" t="str">
        <f t="shared" si="59"/>
        <v/>
      </c>
      <c r="AP72" s="71" t="str">
        <f>IF($U72="","",INDEX(#REF!,$U72+1))</f>
        <v/>
      </c>
      <c r="AQ72" s="256">
        <f t="shared" si="60"/>
        <v>0</v>
      </c>
      <c r="AR72" s="256" t="str">
        <f t="shared" si="61"/>
        <v/>
      </c>
      <c r="AS72" s="256" t="str">
        <f t="shared" si="62"/>
        <v/>
      </c>
      <c r="AT72" s="75" t="str">
        <f>IF($U72="","",SUM($AS72:$AS$114))</f>
        <v/>
      </c>
      <c r="AU72" s="71" t="str">
        <f>IF($U72="","",INDEX(#REF!,$U72+1))</f>
        <v/>
      </c>
      <c r="AV72" s="256">
        <f t="shared" si="63"/>
        <v>0</v>
      </c>
      <c r="AW72" s="256" t="str">
        <f t="shared" si="64"/>
        <v/>
      </c>
      <c r="AX72" s="256" t="str">
        <f t="shared" si="65"/>
        <v/>
      </c>
      <c r="AY72" s="75" t="str">
        <f>IF($U72="","",SUM($AX72:$AX$114))</f>
        <v/>
      </c>
      <c r="AZ72" s="71" t="str">
        <f>IF($U72="","",INDEX(#REF!,$U72+1))</f>
        <v/>
      </c>
      <c r="BA72" s="256">
        <f t="shared" si="66"/>
        <v>0</v>
      </c>
      <c r="BB72" s="256" t="str">
        <f t="shared" si="67"/>
        <v/>
      </c>
      <c r="BC72" s="256" t="str">
        <f t="shared" si="68"/>
        <v/>
      </c>
      <c r="BD72" s="75" t="str">
        <f>IF($U72="","",SUM($BC72:$BC$114))</f>
        <v/>
      </c>
      <c r="BE72" s="71" t="str">
        <f>IF($U72="","",INDEX(#REF!,$U72+1))</f>
        <v/>
      </c>
      <c r="BF72" s="256">
        <f t="shared" si="69"/>
        <v>0</v>
      </c>
      <c r="BG72" s="256" t="str">
        <f t="shared" si="70"/>
        <v/>
      </c>
      <c r="BH72" s="256" t="str">
        <f t="shared" si="71"/>
        <v/>
      </c>
      <c r="BI72" s="75" t="str">
        <f>IF($U72="","",SUM($BH72:$BH$114))</f>
        <v/>
      </c>
      <c r="BJ72" s="71" t="str">
        <f>IF($U72="","",INDEX(#REF!,$U72+1))</f>
        <v/>
      </c>
      <c r="BK72" s="256">
        <f t="shared" si="72"/>
        <v>0</v>
      </c>
      <c r="BL72" s="256" t="str">
        <f t="shared" si="73"/>
        <v/>
      </c>
      <c r="BM72" s="256" t="str">
        <f t="shared" si="74"/>
        <v/>
      </c>
      <c r="BN72" s="75" t="str">
        <f>IF($U72="","",SUM($BM72:$BM$114))</f>
        <v/>
      </c>
      <c r="BO72" s="71">
        <f t="shared" si="75"/>
        <v>0</v>
      </c>
      <c r="BP72" s="256" t="str">
        <f t="shared" si="76"/>
        <v/>
      </c>
      <c r="BQ72" s="256" t="str">
        <f t="shared" si="77"/>
        <v/>
      </c>
      <c r="BR72" s="256"/>
      <c r="BS72" s="256" t="str">
        <f t="shared" si="90"/>
        <v/>
      </c>
      <c r="BT72" s="256" t="str">
        <f t="shared" si="78"/>
        <v/>
      </c>
      <c r="BU72" s="256" t="str">
        <f t="shared" si="79"/>
        <v/>
      </c>
      <c r="BV72" s="256"/>
      <c r="BW72" s="256" t="str">
        <f t="shared" si="91"/>
        <v/>
      </c>
      <c r="BX72" s="256" t="str">
        <f>IF($U72="","",SUM(BS72:BS$114)+SUM(BW72:BW$114))</f>
        <v/>
      </c>
      <c r="BY72" s="73"/>
      <c r="BZ72" s="73"/>
      <c r="CA72" s="73"/>
      <c r="CB72" s="73"/>
      <c r="CC72" s="256" t="str">
        <f t="shared" si="92"/>
        <v/>
      </c>
      <c r="CD72" s="256" t="str">
        <f t="shared" si="80"/>
        <v/>
      </c>
      <c r="CE72" s="256" t="str">
        <f t="shared" si="81"/>
        <v/>
      </c>
      <c r="CF72" s="256" t="str">
        <f t="shared" si="93"/>
        <v/>
      </c>
      <c r="CG72" s="256" t="str">
        <f t="shared" si="82"/>
        <v/>
      </c>
      <c r="CH72" s="76" t="str">
        <f t="shared" si="94"/>
        <v/>
      </c>
      <c r="CI72" s="77" t="str">
        <f t="shared" si="83"/>
        <v/>
      </c>
      <c r="CJ72" s="238"/>
      <c r="CK72" s="70" t="str">
        <f t="shared" si="84"/>
        <v/>
      </c>
      <c r="CL72" s="77" t="str">
        <f t="shared" si="100"/>
        <v/>
      </c>
      <c r="CM72" s="77" t="str">
        <f t="shared" si="95"/>
        <v/>
      </c>
      <c r="CN72" s="77" t="str">
        <f t="shared" si="85"/>
        <v/>
      </c>
      <c r="CO72" s="77" t="str">
        <f t="shared" si="96"/>
        <v/>
      </c>
      <c r="CP72" s="238"/>
      <c r="CQ72" s="238"/>
      <c r="CR72" s="238"/>
      <c r="CS72" s="238"/>
      <c r="CT72" s="238"/>
      <c r="CU72" s="238"/>
      <c r="CV72" s="238"/>
    </row>
    <row r="73" spans="1:100" ht="17.25" thickBot="1">
      <c r="A73" s="305"/>
      <c r="H73" s="5"/>
      <c r="I73" s="2"/>
      <c r="K73" s="151"/>
      <c r="L73" s="599"/>
      <c r="M73" s="599"/>
      <c r="N73" s="278" t="str">
        <f t="shared" si="104"/>
        <v/>
      </c>
      <c r="O73" s="279" t="str">
        <f t="shared" si="105"/>
        <v/>
      </c>
      <c r="P73" s="271" t="str">
        <f t="shared" si="101"/>
        <v/>
      </c>
      <c r="Q73" s="271" t="str">
        <f t="shared" si="102"/>
        <v/>
      </c>
      <c r="R73" s="271" t="str">
        <f t="shared" si="103"/>
        <v/>
      </c>
      <c r="S73" s="400" t="str">
        <f t="shared" si="86"/>
        <v/>
      </c>
      <c r="T73" s="231"/>
      <c r="U73" s="70" t="str">
        <f t="shared" si="97"/>
        <v/>
      </c>
      <c r="V73" s="71" t="str">
        <f>Main_무해지!AC73</f>
        <v/>
      </c>
      <c r="W73" s="74">
        <f>+Main_무해지!AD73</f>
        <v>0</v>
      </c>
      <c r="X73" s="74">
        <v>0</v>
      </c>
      <c r="Y73" s="256" t="str">
        <f t="shared" si="98"/>
        <v/>
      </c>
      <c r="Z73" s="256" t="str">
        <f t="shared" si="53"/>
        <v/>
      </c>
      <c r="AA73" s="72" t="str">
        <f>IF($U73="","",SUM(Z73:Z$114))</f>
        <v/>
      </c>
      <c r="AB73" s="256" t="str">
        <f t="shared" si="87"/>
        <v/>
      </c>
      <c r="AC73" s="254">
        <f t="shared" si="88"/>
        <v>0</v>
      </c>
      <c r="AD73" s="254" t="str">
        <f>Main_무해지!AJ73</f>
        <v/>
      </c>
      <c r="AE73" s="256">
        <f t="shared" si="54"/>
        <v>0</v>
      </c>
      <c r="AF73" s="256" t="str">
        <f t="shared" si="99"/>
        <v/>
      </c>
      <c r="AG73" s="256" t="str">
        <f t="shared" si="55"/>
        <v/>
      </c>
      <c r="AH73" s="72" t="str">
        <f>IF($U73="","",SUM(AG73:AG$114))</f>
        <v/>
      </c>
      <c r="AI73" s="256" t="str">
        <f>Main_무해지!AP73</f>
        <v/>
      </c>
      <c r="AJ73" s="256">
        <f t="shared" si="56"/>
        <v>0</v>
      </c>
      <c r="AK73" s="256" t="str">
        <f t="shared" si="57"/>
        <v/>
      </c>
      <c r="AL73" s="256" t="str">
        <f t="shared" si="58"/>
        <v/>
      </c>
      <c r="AM73" s="75" t="str">
        <f>IF($U73="","",SUM($AN73:$AN$114))</f>
        <v/>
      </c>
      <c r="AN73" s="256" t="str">
        <f t="shared" si="89"/>
        <v/>
      </c>
      <c r="AO73" s="75" t="str">
        <f t="shared" si="59"/>
        <v/>
      </c>
      <c r="AP73" s="71" t="str">
        <f>IF($U73="","",INDEX(#REF!,$U73+1))</f>
        <v/>
      </c>
      <c r="AQ73" s="256">
        <f t="shared" si="60"/>
        <v>0</v>
      </c>
      <c r="AR73" s="256" t="str">
        <f t="shared" si="61"/>
        <v/>
      </c>
      <c r="AS73" s="256" t="str">
        <f t="shared" si="62"/>
        <v/>
      </c>
      <c r="AT73" s="75" t="str">
        <f>IF($U73="","",SUM($AS73:$AS$114))</f>
        <v/>
      </c>
      <c r="AU73" s="71" t="str">
        <f>IF($U73="","",INDEX(#REF!,$U73+1))</f>
        <v/>
      </c>
      <c r="AV73" s="256">
        <f t="shared" si="63"/>
        <v>0</v>
      </c>
      <c r="AW73" s="256" t="str">
        <f t="shared" si="64"/>
        <v/>
      </c>
      <c r="AX73" s="256" t="str">
        <f t="shared" si="65"/>
        <v/>
      </c>
      <c r="AY73" s="75" t="str">
        <f>IF($U73="","",SUM($AX73:$AX$114))</f>
        <v/>
      </c>
      <c r="AZ73" s="71" t="str">
        <f>IF($U73="","",INDEX(#REF!,$U73+1))</f>
        <v/>
      </c>
      <c r="BA73" s="256">
        <f t="shared" si="66"/>
        <v>0</v>
      </c>
      <c r="BB73" s="256" t="str">
        <f t="shared" si="67"/>
        <v/>
      </c>
      <c r="BC73" s="256" t="str">
        <f t="shared" si="68"/>
        <v/>
      </c>
      <c r="BD73" s="75" t="str">
        <f>IF($U73="","",SUM($BC73:$BC$114))</f>
        <v/>
      </c>
      <c r="BE73" s="71" t="str">
        <f>IF($U73="","",INDEX(#REF!,$U73+1))</f>
        <v/>
      </c>
      <c r="BF73" s="256">
        <f t="shared" si="69"/>
        <v>0</v>
      </c>
      <c r="BG73" s="256" t="str">
        <f t="shared" si="70"/>
        <v/>
      </c>
      <c r="BH73" s="256" t="str">
        <f t="shared" si="71"/>
        <v/>
      </c>
      <c r="BI73" s="75" t="str">
        <f>IF($U73="","",SUM($BH73:$BH$114))</f>
        <v/>
      </c>
      <c r="BJ73" s="71" t="str">
        <f>IF($U73="","",INDEX(#REF!,$U73+1))</f>
        <v/>
      </c>
      <c r="BK73" s="256">
        <f t="shared" si="72"/>
        <v>0</v>
      </c>
      <c r="BL73" s="256" t="str">
        <f t="shared" si="73"/>
        <v/>
      </c>
      <c r="BM73" s="256" t="str">
        <f t="shared" si="74"/>
        <v/>
      </c>
      <c r="BN73" s="75" t="str">
        <f>IF($U73="","",SUM($BM73:$BM$114))</f>
        <v/>
      </c>
      <c r="BO73" s="71">
        <f t="shared" si="75"/>
        <v>0</v>
      </c>
      <c r="BP73" s="256" t="str">
        <f t="shared" si="76"/>
        <v/>
      </c>
      <c r="BQ73" s="256" t="str">
        <f t="shared" si="77"/>
        <v/>
      </c>
      <c r="BR73" s="256"/>
      <c r="BS73" s="256" t="str">
        <f t="shared" si="90"/>
        <v/>
      </c>
      <c r="BT73" s="256" t="str">
        <f t="shared" si="78"/>
        <v/>
      </c>
      <c r="BU73" s="256" t="str">
        <f t="shared" si="79"/>
        <v/>
      </c>
      <c r="BV73" s="256"/>
      <c r="BW73" s="256" t="str">
        <f t="shared" si="91"/>
        <v/>
      </c>
      <c r="BX73" s="256" t="str">
        <f>IF($U73="","",SUM(BS73:BS$114)+SUM(BW73:BW$114))</f>
        <v/>
      </c>
      <c r="BY73" s="73"/>
      <c r="BZ73" s="73"/>
      <c r="CA73" s="73"/>
      <c r="CB73" s="73"/>
      <c r="CC73" s="256" t="str">
        <f t="shared" si="92"/>
        <v/>
      </c>
      <c r="CD73" s="256" t="str">
        <f t="shared" si="80"/>
        <v/>
      </c>
      <c r="CE73" s="256" t="str">
        <f t="shared" si="81"/>
        <v/>
      </c>
      <c r="CF73" s="256" t="str">
        <f t="shared" si="93"/>
        <v/>
      </c>
      <c r="CG73" s="256" t="str">
        <f t="shared" si="82"/>
        <v/>
      </c>
      <c r="CH73" s="76" t="str">
        <f t="shared" si="94"/>
        <v/>
      </c>
      <c r="CI73" s="77" t="str">
        <f t="shared" si="83"/>
        <v/>
      </c>
      <c r="CJ73" s="238"/>
      <c r="CK73" s="70" t="str">
        <f t="shared" si="84"/>
        <v/>
      </c>
      <c r="CL73" s="77" t="str">
        <f t="shared" si="100"/>
        <v/>
      </c>
      <c r="CM73" s="77" t="str">
        <f t="shared" si="95"/>
        <v/>
      </c>
      <c r="CN73" s="77" t="str">
        <f t="shared" si="85"/>
        <v/>
      </c>
      <c r="CO73" s="77" t="str">
        <f t="shared" si="96"/>
        <v/>
      </c>
      <c r="CP73" s="238"/>
      <c r="CQ73" s="238"/>
      <c r="CR73" s="238"/>
      <c r="CS73" s="238"/>
      <c r="CT73" s="238"/>
      <c r="CU73" s="238"/>
      <c r="CV73" s="238"/>
    </row>
    <row r="74" spans="1:100" ht="17.25" thickBot="1">
      <c r="A74" s="305"/>
      <c r="F74" s="819" t="s">
        <v>167</v>
      </c>
      <c r="G74" s="820"/>
      <c r="H74" s="821"/>
      <c r="I74" s="2"/>
      <c r="K74" s="151"/>
      <c r="L74" s="599"/>
      <c r="M74" s="599"/>
      <c r="N74" s="278" t="str">
        <f t="shared" si="104"/>
        <v/>
      </c>
      <c r="O74" s="279" t="str">
        <f t="shared" si="105"/>
        <v/>
      </c>
      <c r="P74" s="271" t="str">
        <f t="shared" si="101"/>
        <v/>
      </c>
      <c r="Q74" s="271" t="str">
        <f t="shared" si="102"/>
        <v/>
      </c>
      <c r="R74" s="271" t="str">
        <f t="shared" si="103"/>
        <v/>
      </c>
      <c r="S74" s="400" t="str">
        <f t="shared" si="86"/>
        <v/>
      </c>
      <c r="T74" s="231"/>
      <c r="U74" s="83" t="str">
        <f t="shared" si="97"/>
        <v/>
      </c>
      <c r="V74" s="84" t="str">
        <f>Main_무해지!AC74</f>
        <v/>
      </c>
      <c r="W74" s="87">
        <f>+Main_무해지!AD74</f>
        <v>0</v>
      </c>
      <c r="X74" s="87">
        <v>0</v>
      </c>
      <c r="Y74" s="257" t="str">
        <f t="shared" si="98"/>
        <v/>
      </c>
      <c r="Z74" s="257" t="str">
        <f t="shared" si="53"/>
        <v/>
      </c>
      <c r="AA74" s="85" t="str">
        <f>IF($U74="","",SUM(Z74:Z$114))</f>
        <v/>
      </c>
      <c r="AB74" s="257" t="str">
        <f t="shared" si="87"/>
        <v/>
      </c>
      <c r="AC74" s="254">
        <f t="shared" si="88"/>
        <v>0</v>
      </c>
      <c r="AD74" s="254" t="str">
        <f>Main_무해지!AJ74</f>
        <v/>
      </c>
      <c r="AE74" s="257">
        <f t="shared" si="54"/>
        <v>0</v>
      </c>
      <c r="AF74" s="257" t="str">
        <f t="shared" si="99"/>
        <v/>
      </c>
      <c r="AG74" s="257" t="str">
        <f t="shared" si="55"/>
        <v/>
      </c>
      <c r="AH74" s="85" t="str">
        <f>IF($U74="","",SUM(AG74:AG$114))</f>
        <v/>
      </c>
      <c r="AI74" s="257" t="str">
        <f>Main_무해지!AP74</f>
        <v/>
      </c>
      <c r="AJ74" s="257">
        <f t="shared" si="56"/>
        <v>0</v>
      </c>
      <c r="AK74" s="257" t="str">
        <f t="shared" si="57"/>
        <v/>
      </c>
      <c r="AL74" s="257" t="str">
        <f t="shared" si="58"/>
        <v/>
      </c>
      <c r="AM74" s="88" t="str">
        <f>IF($U74="","",SUM($AN74:$AN$114))</f>
        <v/>
      </c>
      <c r="AN74" s="257" t="str">
        <f t="shared" si="89"/>
        <v/>
      </c>
      <c r="AO74" s="88" t="str">
        <f t="shared" si="59"/>
        <v/>
      </c>
      <c r="AP74" s="84" t="str">
        <f>IF($U74="","",INDEX(#REF!,$U74+1))</f>
        <v/>
      </c>
      <c r="AQ74" s="257">
        <f t="shared" si="60"/>
        <v>0</v>
      </c>
      <c r="AR74" s="257" t="str">
        <f t="shared" si="61"/>
        <v/>
      </c>
      <c r="AS74" s="257" t="str">
        <f t="shared" si="62"/>
        <v/>
      </c>
      <c r="AT74" s="88" t="str">
        <f>IF($U74="","",SUM($AS74:$AS$114))</f>
        <v/>
      </c>
      <c r="AU74" s="84" t="str">
        <f>IF($U74="","",INDEX(#REF!,$U74+1))</f>
        <v/>
      </c>
      <c r="AV74" s="257">
        <f t="shared" si="63"/>
        <v>0</v>
      </c>
      <c r="AW74" s="257" t="str">
        <f t="shared" si="64"/>
        <v/>
      </c>
      <c r="AX74" s="257" t="str">
        <f t="shared" si="65"/>
        <v/>
      </c>
      <c r="AY74" s="88" t="str">
        <f>IF($U74="","",SUM($AX74:$AX$114))</f>
        <v/>
      </c>
      <c r="AZ74" s="84" t="str">
        <f>IF($U74="","",INDEX(#REF!,$U74+1))</f>
        <v/>
      </c>
      <c r="BA74" s="257">
        <f t="shared" si="66"/>
        <v>0</v>
      </c>
      <c r="BB74" s="257" t="str">
        <f t="shared" si="67"/>
        <v/>
      </c>
      <c r="BC74" s="257" t="str">
        <f t="shared" si="68"/>
        <v/>
      </c>
      <c r="BD74" s="88" t="str">
        <f>IF($U74="","",SUM($BC74:$BC$114))</f>
        <v/>
      </c>
      <c r="BE74" s="84" t="str">
        <f>IF($U74="","",INDEX(#REF!,$U74+1))</f>
        <v/>
      </c>
      <c r="BF74" s="257">
        <f t="shared" si="69"/>
        <v>0</v>
      </c>
      <c r="BG74" s="257" t="str">
        <f t="shared" si="70"/>
        <v/>
      </c>
      <c r="BH74" s="257" t="str">
        <f t="shared" si="71"/>
        <v/>
      </c>
      <c r="BI74" s="88" t="str">
        <f>IF($U74="","",SUM($BH74:$BH$114))</f>
        <v/>
      </c>
      <c r="BJ74" s="84" t="str">
        <f>IF($U74="","",INDEX(#REF!,$U74+1))</f>
        <v/>
      </c>
      <c r="BK74" s="257">
        <f t="shared" si="72"/>
        <v>0</v>
      </c>
      <c r="BL74" s="257" t="str">
        <f t="shared" si="73"/>
        <v/>
      </c>
      <c r="BM74" s="257" t="str">
        <f t="shared" si="74"/>
        <v/>
      </c>
      <c r="BN74" s="88" t="str">
        <f>IF($U74="","",SUM($BM74:$BM$114))</f>
        <v/>
      </c>
      <c r="BO74" s="84">
        <f t="shared" si="75"/>
        <v>0</v>
      </c>
      <c r="BP74" s="257" t="str">
        <f t="shared" si="76"/>
        <v/>
      </c>
      <c r="BQ74" s="257" t="str">
        <f t="shared" si="77"/>
        <v/>
      </c>
      <c r="BR74" s="257"/>
      <c r="BS74" s="257" t="str">
        <f t="shared" si="90"/>
        <v/>
      </c>
      <c r="BT74" s="257" t="str">
        <f t="shared" si="78"/>
        <v/>
      </c>
      <c r="BU74" s="257" t="str">
        <f t="shared" si="79"/>
        <v/>
      </c>
      <c r="BV74" s="257"/>
      <c r="BW74" s="257" t="str">
        <f t="shared" si="91"/>
        <v/>
      </c>
      <c r="BX74" s="257" t="str">
        <f>IF($U74="","",SUM(BS74:BS$114)+SUM(BW74:BW$114))</f>
        <v/>
      </c>
      <c r="BY74" s="86"/>
      <c r="BZ74" s="86"/>
      <c r="CA74" s="86"/>
      <c r="CB74" s="86"/>
      <c r="CC74" s="257" t="str">
        <f t="shared" si="92"/>
        <v/>
      </c>
      <c r="CD74" s="257" t="str">
        <f t="shared" si="80"/>
        <v/>
      </c>
      <c r="CE74" s="257" t="str">
        <f t="shared" si="81"/>
        <v/>
      </c>
      <c r="CF74" s="257" t="str">
        <f t="shared" si="93"/>
        <v/>
      </c>
      <c r="CG74" s="257" t="str">
        <f t="shared" si="82"/>
        <v/>
      </c>
      <c r="CH74" s="89" t="str">
        <f t="shared" si="94"/>
        <v/>
      </c>
      <c r="CI74" s="90" t="str">
        <f t="shared" si="83"/>
        <v/>
      </c>
      <c r="CJ74" s="239"/>
      <c r="CK74" s="83" t="str">
        <f t="shared" si="84"/>
        <v/>
      </c>
      <c r="CL74" s="90" t="str">
        <f t="shared" si="100"/>
        <v/>
      </c>
      <c r="CM74" s="90" t="str">
        <f t="shared" si="95"/>
        <v/>
      </c>
      <c r="CN74" s="90" t="str">
        <f t="shared" si="85"/>
        <v/>
      </c>
      <c r="CO74" s="90" t="str">
        <f t="shared" si="96"/>
        <v/>
      </c>
      <c r="CP74" s="239"/>
      <c r="CQ74" s="239"/>
      <c r="CR74" s="239"/>
      <c r="CS74" s="239"/>
      <c r="CT74" s="239"/>
      <c r="CU74" s="239"/>
      <c r="CV74" s="239"/>
    </row>
    <row r="75" spans="1:100">
      <c r="A75" s="305"/>
      <c r="D75" s="467" t="s">
        <v>60</v>
      </c>
      <c r="E75" s="467" t="s">
        <v>59</v>
      </c>
      <c r="F75" s="453" t="s">
        <v>235</v>
      </c>
      <c r="G75" s="468" t="s">
        <v>236</v>
      </c>
      <c r="H75" s="455" t="s">
        <v>237</v>
      </c>
      <c r="I75" s="148"/>
      <c r="J75" s="152"/>
      <c r="K75" s="150"/>
      <c r="L75" s="599"/>
      <c r="M75" s="599"/>
      <c r="N75" s="278" t="str">
        <f t="shared" si="104"/>
        <v/>
      </c>
      <c r="O75" s="279" t="str">
        <f t="shared" si="105"/>
        <v/>
      </c>
      <c r="P75" s="271" t="str">
        <f t="shared" si="101"/>
        <v/>
      </c>
      <c r="Q75" s="271" t="str">
        <f t="shared" si="102"/>
        <v/>
      </c>
      <c r="R75" s="271" t="str">
        <f t="shared" si="103"/>
        <v/>
      </c>
      <c r="S75" s="400" t="str">
        <f t="shared" si="86"/>
        <v/>
      </c>
      <c r="T75" s="231"/>
      <c r="U75" s="750" t="str">
        <f t="shared" si="97"/>
        <v/>
      </c>
      <c r="V75" s="752" t="str">
        <f>Main_무해지!AC75</f>
        <v/>
      </c>
      <c r="W75" s="638">
        <f>+Main_무해지!AD75</f>
        <v>0</v>
      </c>
      <c r="X75" s="638">
        <v>0</v>
      </c>
      <c r="Y75" s="408" t="str">
        <f t="shared" si="98"/>
        <v/>
      </c>
      <c r="Z75" s="408" t="str">
        <f t="shared" si="53"/>
        <v/>
      </c>
      <c r="AA75" s="751" t="str">
        <f>IF($U75="","",SUM(Z75:Z$114))</f>
        <v/>
      </c>
      <c r="AB75" s="408" t="str">
        <f t="shared" si="87"/>
        <v/>
      </c>
      <c r="AC75" s="254">
        <f t="shared" si="88"/>
        <v>0</v>
      </c>
      <c r="AD75" s="254" t="str">
        <f>Main_무해지!AJ75</f>
        <v/>
      </c>
      <c r="AE75" s="408">
        <f t="shared" si="54"/>
        <v>0</v>
      </c>
      <c r="AF75" s="408" t="str">
        <f t="shared" si="99"/>
        <v/>
      </c>
      <c r="AG75" s="408" t="str">
        <f t="shared" si="55"/>
        <v/>
      </c>
      <c r="AH75" s="751" t="str">
        <f>IF($U75="","",SUM(AG75:AG$114))</f>
        <v/>
      </c>
      <c r="AI75" s="408" t="str">
        <f>Main_무해지!AP75</f>
        <v/>
      </c>
      <c r="AJ75" s="408">
        <f t="shared" si="56"/>
        <v>0</v>
      </c>
      <c r="AK75" s="408" t="str">
        <f t="shared" si="57"/>
        <v/>
      </c>
      <c r="AL75" s="408" t="str">
        <f t="shared" si="58"/>
        <v/>
      </c>
      <c r="AM75" s="753" t="str">
        <f>IF($U75="","",SUM($AN75:$AN$114))</f>
        <v/>
      </c>
      <c r="AN75" s="408" t="str">
        <f t="shared" si="89"/>
        <v/>
      </c>
      <c r="AO75" s="753" t="str">
        <f t="shared" si="59"/>
        <v/>
      </c>
      <c r="AP75" s="752" t="str">
        <f>IF($U75="","",INDEX(#REF!,$U75+1))</f>
        <v/>
      </c>
      <c r="AQ75" s="408">
        <f t="shared" si="60"/>
        <v>0</v>
      </c>
      <c r="AR75" s="408" t="str">
        <f t="shared" si="61"/>
        <v/>
      </c>
      <c r="AS75" s="408" t="str">
        <f t="shared" si="62"/>
        <v/>
      </c>
      <c r="AT75" s="753" t="str">
        <f>IF($U75="","",SUM($AS75:$AS$114))</f>
        <v/>
      </c>
      <c r="AU75" s="752" t="str">
        <f>IF($U75="","",INDEX(#REF!,$U75+1))</f>
        <v/>
      </c>
      <c r="AV75" s="408">
        <f t="shared" si="63"/>
        <v>0</v>
      </c>
      <c r="AW75" s="408" t="str">
        <f t="shared" si="64"/>
        <v/>
      </c>
      <c r="AX75" s="408" t="str">
        <f t="shared" si="65"/>
        <v/>
      </c>
      <c r="AY75" s="753" t="str">
        <f>IF($U75="","",SUM($AX75:$AX$114))</f>
        <v/>
      </c>
      <c r="AZ75" s="752" t="str">
        <f>IF($U75="","",INDEX(#REF!,$U75+1))</f>
        <v/>
      </c>
      <c r="BA75" s="408">
        <f t="shared" si="66"/>
        <v>0</v>
      </c>
      <c r="BB75" s="408" t="str">
        <f t="shared" si="67"/>
        <v/>
      </c>
      <c r="BC75" s="408" t="str">
        <f t="shared" si="68"/>
        <v/>
      </c>
      <c r="BD75" s="753" t="str">
        <f>IF($U75="","",SUM($BC75:$BC$114))</f>
        <v/>
      </c>
      <c r="BE75" s="752" t="str">
        <f>IF($U75="","",INDEX(#REF!,$U75+1))</f>
        <v/>
      </c>
      <c r="BF75" s="408">
        <f t="shared" si="69"/>
        <v>0</v>
      </c>
      <c r="BG75" s="408" t="str">
        <f t="shared" si="70"/>
        <v/>
      </c>
      <c r="BH75" s="408" t="str">
        <f t="shared" si="71"/>
        <v/>
      </c>
      <c r="BI75" s="753" t="str">
        <f>IF($U75="","",SUM($BH75:$BH$114))</f>
        <v/>
      </c>
      <c r="BJ75" s="752" t="str">
        <f>IF($U75="","",INDEX(#REF!,$U75+1))</f>
        <v/>
      </c>
      <c r="BK75" s="408">
        <f t="shared" si="72"/>
        <v>0</v>
      </c>
      <c r="BL75" s="408" t="str">
        <f t="shared" si="73"/>
        <v/>
      </c>
      <c r="BM75" s="408" t="str">
        <f t="shared" si="74"/>
        <v/>
      </c>
      <c r="BN75" s="753" t="str">
        <f>IF($U75="","",SUM($BM75:$BM$114))</f>
        <v/>
      </c>
      <c r="BO75" s="752">
        <f t="shared" si="75"/>
        <v>0</v>
      </c>
      <c r="BP75" s="408" t="str">
        <f t="shared" si="76"/>
        <v/>
      </c>
      <c r="BQ75" s="408" t="str">
        <f t="shared" si="77"/>
        <v/>
      </c>
      <c r="BR75" s="408"/>
      <c r="BS75" s="408" t="str">
        <f t="shared" si="90"/>
        <v/>
      </c>
      <c r="BT75" s="408" t="str">
        <f t="shared" si="78"/>
        <v/>
      </c>
      <c r="BU75" s="408" t="str">
        <f t="shared" si="79"/>
        <v/>
      </c>
      <c r="BV75" s="408"/>
      <c r="BW75" s="408" t="str">
        <f t="shared" si="91"/>
        <v/>
      </c>
      <c r="BX75" s="408" t="str">
        <f>IF($U75="","",SUM(BS75:BS$114)+SUM(BW75:BW$114))</f>
        <v/>
      </c>
      <c r="BY75" s="754"/>
      <c r="BZ75" s="754"/>
      <c r="CA75" s="754"/>
      <c r="CB75" s="754"/>
      <c r="CC75" s="408" t="str">
        <f t="shared" si="92"/>
        <v/>
      </c>
      <c r="CD75" s="408" t="str">
        <f t="shared" si="80"/>
        <v/>
      </c>
      <c r="CE75" s="408" t="str">
        <f t="shared" si="81"/>
        <v/>
      </c>
      <c r="CF75" s="408" t="str">
        <f t="shared" si="93"/>
        <v/>
      </c>
      <c r="CG75" s="408" t="str">
        <f t="shared" si="82"/>
        <v/>
      </c>
      <c r="CH75" s="756" t="str">
        <f t="shared" si="94"/>
        <v/>
      </c>
      <c r="CI75" s="757" t="str">
        <f t="shared" si="83"/>
        <v/>
      </c>
      <c r="CJ75" s="413"/>
      <c r="CK75" s="750" t="str">
        <f t="shared" si="84"/>
        <v/>
      </c>
      <c r="CL75" s="757" t="str">
        <f t="shared" si="100"/>
        <v/>
      </c>
      <c r="CM75" s="757" t="str">
        <f t="shared" si="95"/>
        <v/>
      </c>
      <c r="CN75" s="757" t="str">
        <f t="shared" si="85"/>
        <v/>
      </c>
      <c r="CO75" s="757" t="str">
        <f t="shared" si="96"/>
        <v/>
      </c>
      <c r="CP75" s="413"/>
      <c r="CQ75" s="413"/>
      <c r="CR75" s="413"/>
      <c r="CS75" s="413"/>
      <c r="CT75" s="413"/>
      <c r="CU75" s="413"/>
      <c r="CV75" s="413"/>
    </row>
    <row r="76" spans="1:100">
      <c r="A76" s="305"/>
      <c r="D76" s="469"/>
      <c r="E76" s="469"/>
      <c r="F76" s="456"/>
      <c r="G76" s="470"/>
      <c r="H76" s="460"/>
      <c r="I76" s="148"/>
      <c r="J76" s="152"/>
      <c r="K76" s="150"/>
      <c r="L76" s="599"/>
      <c r="M76" s="599"/>
      <c r="N76" s="280" t="str">
        <f t="shared" si="104"/>
        <v/>
      </c>
      <c r="O76" s="281" t="str">
        <f t="shared" si="105"/>
        <v/>
      </c>
      <c r="P76" s="282" t="str">
        <f t="shared" si="101"/>
        <v/>
      </c>
      <c r="Q76" s="282" t="str">
        <f t="shared" si="102"/>
        <v/>
      </c>
      <c r="R76" s="282" t="str">
        <f t="shared" si="103"/>
        <v/>
      </c>
      <c r="S76" s="402" t="str">
        <f t="shared" si="86"/>
        <v/>
      </c>
      <c r="T76" s="231"/>
      <c r="U76" s="52" t="str">
        <f t="shared" si="97"/>
        <v/>
      </c>
      <c r="V76" s="53" t="str">
        <f>Main_무해지!AC76</f>
        <v/>
      </c>
      <c r="W76" s="56">
        <f>+Main_무해지!AD76</f>
        <v>0</v>
      </c>
      <c r="X76" s="56">
        <v>0</v>
      </c>
      <c r="Y76" s="254" t="str">
        <f t="shared" si="98"/>
        <v/>
      </c>
      <c r="Z76" s="254" t="str">
        <f t="shared" si="53"/>
        <v/>
      </c>
      <c r="AA76" s="54" t="str">
        <f>IF($U76="","",SUM(Z76:Z$114))</f>
        <v/>
      </c>
      <c r="AB76" s="254" t="str">
        <f t="shared" si="87"/>
        <v/>
      </c>
      <c r="AC76" s="254">
        <f t="shared" si="88"/>
        <v>0</v>
      </c>
      <c r="AD76" s="254" t="str">
        <f>Main_무해지!AJ76</f>
        <v/>
      </c>
      <c r="AE76" s="254">
        <f t="shared" si="54"/>
        <v>0</v>
      </c>
      <c r="AF76" s="254" t="str">
        <f t="shared" si="99"/>
        <v/>
      </c>
      <c r="AG76" s="254" t="str">
        <f t="shared" si="55"/>
        <v/>
      </c>
      <c r="AH76" s="54" t="str">
        <f>IF($U76="","",SUM(AG76:AG$114))</f>
        <v/>
      </c>
      <c r="AI76" s="254" t="str">
        <f>Main_무해지!AP76</f>
        <v/>
      </c>
      <c r="AJ76" s="254">
        <f t="shared" si="56"/>
        <v>0</v>
      </c>
      <c r="AK76" s="254" t="str">
        <f t="shared" si="57"/>
        <v/>
      </c>
      <c r="AL76" s="254" t="str">
        <f t="shared" si="58"/>
        <v/>
      </c>
      <c r="AM76" s="57" t="str">
        <f>IF($U76="","",SUM($AN76:$AN$114))</f>
        <v/>
      </c>
      <c r="AN76" s="254" t="str">
        <f t="shared" si="89"/>
        <v/>
      </c>
      <c r="AO76" s="57" t="str">
        <f t="shared" si="59"/>
        <v/>
      </c>
      <c r="AP76" s="53" t="str">
        <f>IF($U76="","",INDEX(#REF!,$U76+1))</f>
        <v/>
      </c>
      <c r="AQ76" s="254">
        <f t="shared" si="60"/>
        <v>0</v>
      </c>
      <c r="AR76" s="254" t="str">
        <f t="shared" si="61"/>
        <v/>
      </c>
      <c r="AS76" s="254" t="str">
        <f t="shared" si="62"/>
        <v/>
      </c>
      <c r="AT76" s="57" t="str">
        <f>IF($U76="","",SUM($AS76:$AS$114))</f>
        <v/>
      </c>
      <c r="AU76" s="53" t="str">
        <f>IF($U76="","",INDEX(#REF!,$U76+1))</f>
        <v/>
      </c>
      <c r="AV76" s="254">
        <f t="shared" si="63"/>
        <v>0</v>
      </c>
      <c r="AW76" s="254" t="str">
        <f t="shared" si="64"/>
        <v/>
      </c>
      <c r="AX76" s="254" t="str">
        <f t="shared" si="65"/>
        <v/>
      </c>
      <c r="AY76" s="57" t="str">
        <f>IF($U76="","",SUM($AX76:$AX$114))</f>
        <v/>
      </c>
      <c r="AZ76" s="53" t="str">
        <f>IF($U76="","",INDEX(#REF!,$U76+1))</f>
        <v/>
      </c>
      <c r="BA76" s="254">
        <f t="shared" si="66"/>
        <v>0</v>
      </c>
      <c r="BB76" s="254" t="str">
        <f t="shared" si="67"/>
        <v/>
      </c>
      <c r="BC76" s="254" t="str">
        <f t="shared" si="68"/>
        <v/>
      </c>
      <c r="BD76" s="57" t="str">
        <f>IF($U76="","",SUM($BC76:$BC$114))</f>
        <v/>
      </c>
      <c r="BE76" s="53" t="str">
        <f>IF($U76="","",INDEX(#REF!,$U76+1))</f>
        <v/>
      </c>
      <c r="BF76" s="254">
        <f t="shared" si="69"/>
        <v>0</v>
      </c>
      <c r="BG76" s="254" t="str">
        <f t="shared" si="70"/>
        <v/>
      </c>
      <c r="BH76" s="254" t="str">
        <f t="shared" si="71"/>
        <v/>
      </c>
      <c r="BI76" s="57" t="str">
        <f>IF($U76="","",SUM($BH76:$BH$114))</f>
        <v/>
      </c>
      <c r="BJ76" s="53" t="str">
        <f>IF($U76="","",INDEX(#REF!,$U76+1))</f>
        <v/>
      </c>
      <c r="BK76" s="254">
        <f t="shared" si="72"/>
        <v>0</v>
      </c>
      <c r="BL76" s="254" t="str">
        <f t="shared" si="73"/>
        <v/>
      </c>
      <c r="BM76" s="254" t="str">
        <f t="shared" si="74"/>
        <v/>
      </c>
      <c r="BN76" s="57" t="str">
        <f>IF($U76="","",SUM($BM76:$BM$114))</f>
        <v/>
      </c>
      <c r="BO76" s="53">
        <f t="shared" si="75"/>
        <v>0</v>
      </c>
      <c r="BP76" s="254" t="str">
        <f t="shared" si="76"/>
        <v/>
      </c>
      <c r="BQ76" s="254" t="str">
        <f t="shared" si="77"/>
        <v/>
      </c>
      <c r="BR76" s="254"/>
      <c r="BS76" s="254" t="str">
        <f t="shared" si="90"/>
        <v/>
      </c>
      <c r="BT76" s="254" t="str">
        <f t="shared" si="78"/>
        <v/>
      </c>
      <c r="BU76" s="254" t="str">
        <f t="shared" si="79"/>
        <v/>
      </c>
      <c r="BV76" s="254"/>
      <c r="BW76" s="254" t="str">
        <f t="shared" si="91"/>
        <v/>
      </c>
      <c r="BX76" s="254" t="str">
        <f>IF($U76="","",SUM(BS76:BS$114)+SUM(BW76:BW$114))</f>
        <v/>
      </c>
      <c r="BY76" s="55"/>
      <c r="BZ76" s="55"/>
      <c r="CA76" s="55"/>
      <c r="CB76" s="55"/>
      <c r="CC76" s="254" t="str">
        <f t="shared" si="92"/>
        <v/>
      </c>
      <c r="CD76" s="254" t="str">
        <f t="shared" si="80"/>
        <v/>
      </c>
      <c r="CE76" s="254" t="str">
        <f t="shared" si="81"/>
        <v/>
      </c>
      <c r="CF76" s="254" t="str">
        <f t="shared" si="93"/>
        <v/>
      </c>
      <c r="CG76" s="254" t="str">
        <f t="shared" si="82"/>
        <v/>
      </c>
      <c r="CH76" s="58" t="str">
        <f t="shared" si="94"/>
        <v/>
      </c>
      <c r="CI76" s="59" t="str">
        <f t="shared" si="83"/>
        <v/>
      </c>
      <c r="CJ76" s="236"/>
      <c r="CK76" s="52" t="str">
        <f t="shared" si="84"/>
        <v/>
      </c>
      <c r="CL76" s="59" t="str">
        <f t="shared" si="100"/>
        <v/>
      </c>
      <c r="CM76" s="59" t="str">
        <f t="shared" si="95"/>
        <v/>
      </c>
      <c r="CN76" s="59" t="str">
        <f t="shared" si="85"/>
        <v/>
      </c>
      <c r="CO76" s="59" t="str">
        <f t="shared" si="96"/>
        <v/>
      </c>
      <c r="CP76" s="236"/>
      <c r="CQ76" s="236"/>
      <c r="CR76" s="236"/>
      <c r="CS76" s="236"/>
      <c r="CT76" s="236"/>
      <c r="CU76" s="236"/>
      <c r="CV76" s="236"/>
    </row>
    <row r="77" spans="1:100">
      <c r="A77" s="305"/>
      <c r="D77" s="469"/>
      <c r="E77" s="469"/>
      <c r="F77" s="456"/>
      <c r="G77" s="470"/>
      <c r="H77" s="460"/>
      <c r="I77" s="148"/>
      <c r="J77" s="152"/>
      <c r="K77" s="150"/>
      <c r="L77" s="599"/>
      <c r="M77" s="599"/>
      <c r="N77" s="275" t="str">
        <f t="shared" si="104"/>
        <v/>
      </c>
      <c r="O77" s="276" t="str">
        <f t="shared" si="105"/>
        <v/>
      </c>
      <c r="P77" s="277" t="str">
        <f t="shared" si="101"/>
        <v/>
      </c>
      <c r="Q77" s="277" t="str">
        <f t="shared" si="102"/>
        <v/>
      </c>
      <c r="R77" s="277" t="str">
        <f t="shared" si="103"/>
        <v/>
      </c>
      <c r="S77" s="401" t="str">
        <f t="shared" si="86"/>
        <v/>
      </c>
      <c r="T77" s="231"/>
      <c r="U77" s="52" t="str">
        <f t="shared" si="97"/>
        <v/>
      </c>
      <c r="V77" s="53" t="str">
        <f>Main_무해지!AC77</f>
        <v/>
      </c>
      <c r="W77" s="56">
        <f>+Main_무해지!AD77</f>
        <v>0</v>
      </c>
      <c r="X77" s="56">
        <v>0</v>
      </c>
      <c r="Y77" s="254" t="str">
        <f t="shared" si="98"/>
        <v/>
      </c>
      <c r="Z77" s="254" t="str">
        <f t="shared" si="53"/>
        <v/>
      </c>
      <c r="AA77" s="54" t="str">
        <f>IF($U77="","",SUM(Z77:Z$114))</f>
        <v/>
      </c>
      <c r="AB77" s="254" t="str">
        <f t="shared" si="87"/>
        <v/>
      </c>
      <c r="AC77" s="254">
        <f t="shared" si="88"/>
        <v>0</v>
      </c>
      <c r="AD77" s="254" t="str">
        <f>Main_무해지!AJ77</f>
        <v/>
      </c>
      <c r="AE77" s="254">
        <f t="shared" si="54"/>
        <v>0</v>
      </c>
      <c r="AF77" s="254" t="str">
        <f t="shared" si="99"/>
        <v/>
      </c>
      <c r="AG77" s="254" t="str">
        <f t="shared" si="55"/>
        <v/>
      </c>
      <c r="AH77" s="54" t="str">
        <f>IF($U77="","",SUM(AG77:AG$114))</f>
        <v/>
      </c>
      <c r="AI77" s="254" t="str">
        <f>Main_무해지!AP77</f>
        <v/>
      </c>
      <c r="AJ77" s="254">
        <f t="shared" si="56"/>
        <v>0</v>
      </c>
      <c r="AK77" s="254" t="str">
        <f t="shared" si="57"/>
        <v/>
      </c>
      <c r="AL77" s="254" t="str">
        <f t="shared" si="58"/>
        <v/>
      </c>
      <c r="AM77" s="57" t="str">
        <f>IF($U77="","",SUM($AN77:$AN$114))</f>
        <v/>
      </c>
      <c r="AN77" s="254" t="str">
        <f t="shared" si="89"/>
        <v/>
      </c>
      <c r="AO77" s="57" t="str">
        <f t="shared" si="59"/>
        <v/>
      </c>
      <c r="AP77" s="53" t="str">
        <f>IF($U77="","",INDEX(#REF!,$U77+1))</f>
        <v/>
      </c>
      <c r="AQ77" s="254">
        <f t="shared" si="60"/>
        <v>0</v>
      </c>
      <c r="AR77" s="254" t="str">
        <f t="shared" si="61"/>
        <v/>
      </c>
      <c r="AS77" s="254" t="str">
        <f t="shared" si="62"/>
        <v/>
      </c>
      <c r="AT77" s="57" t="str">
        <f>IF($U77="","",SUM($AS77:$AS$114))</f>
        <v/>
      </c>
      <c r="AU77" s="53" t="str">
        <f>IF($U77="","",INDEX(#REF!,$U77+1))</f>
        <v/>
      </c>
      <c r="AV77" s="254">
        <f t="shared" si="63"/>
        <v>0</v>
      </c>
      <c r="AW77" s="254" t="str">
        <f t="shared" si="64"/>
        <v/>
      </c>
      <c r="AX77" s="254" t="str">
        <f t="shared" si="65"/>
        <v/>
      </c>
      <c r="AY77" s="57" t="str">
        <f>IF($U77="","",SUM($AX77:$AX$114))</f>
        <v/>
      </c>
      <c r="AZ77" s="53" t="str">
        <f>IF($U77="","",INDEX(#REF!,$U77+1))</f>
        <v/>
      </c>
      <c r="BA77" s="254">
        <f t="shared" si="66"/>
        <v>0</v>
      </c>
      <c r="BB77" s="254" t="str">
        <f t="shared" si="67"/>
        <v/>
      </c>
      <c r="BC77" s="254" t="str">
        <f t="shared" si="68"/>
        <v/>
      </c>
      <c r="BD77" s="57" t="str">
        <f>IF($U77="","",SUM($BC77:$BC$114))</f>
        <v/>
      </c>
      <c r="BE77" s="53" t="str">
        <f>IF($U77="","",INDEX(#REF!,$U77+1))</f>
        <v/>
      </c>
      <c r="BF77" s="254">
        <f t="shared" si="69"/>
        <v>0</v>
      </c>
      <c r="BG77" s="254" t="str">
        <f t="shared" si="70"/>
        <v/>
      </c>
      <c r="BH77" s="254" t="str">
        <f t="shared" si="71"/>
        <v/>
      </c>
      <c r="BI77" s="57" t="str">
        <f>IF($U77="","",SUM($BH77:$BH$114))</f>
        <v/>
      </c>
      <c r="BJ77" s="53" t="str">
        <f>IF($U77="","",INDEX(#REF!,$U77+1))</f>
        <v/>
      </c>
      <c r="BK77" s="254">
        <f t="shared" si="72"/>
        <v>0</v>
      </c>
      <c r="BL77" s="254" t="str">
        <f t="shared" si="73"/>
        <v/>
      </c>
      <c r="BM77" s="254" t="str">
        <f t="shared" si="74"/>
        <v/>
      </c>
      <c r="BN77" s="57" t="str">
        <f>IF($U77="","",SUM($BM77:$BM$114))</f>
        <v/>
      </c>
      <c r="BO77" s="53">
        <f t="shared" si="75"/>
        <v>0</v>
      </c>
      <c r="BP77" s="254" t="str">
        <f t="shared" si="76"/>
        <v/>
      </c>
      <c r="BQ77" s="254" t="str">
        <f t="shared" si="77"/>
        <v/>
      </c>
      <c r="BR77" s="254"/>
      <c r="BS77" s="254" t="str">
        <f t="shared" si="90"/>
        <v/>
      </c>
      <c r="BT77" s="254" t="str">
        <f t="shared" si="78"/>
        <v/>
      </c>
      <c r="BU77" s="254" t="str">
        <f t="shared" si="79"/>
        <v/>
      </c>
      <c r="BV77" s="254"/>
      <c r="BW77" s="254" t="str">
        <f t="shared" si="91"/>
        <v/>
      </c>
      <c r="BX77" s="254" t="str">
        <f>IF($U77="","",SUM(BS77:BS$114)+SUM(BW77:BW$114))</f>
        <v/>
      </c>
      <c r="BY77" s="55"/>
      <c r="BZ77" s="55"/>
      <c r="CA77" s="55"/>
      <c r="CB77" s="55"/>
      <c r="CC77" s="254" t="str">
        <f t="shared" si="92"/>
        <v/>
      </c>
      <c r="CD77" s="254" t="str">
        <f t="shared" si="80"/>
        <v/>
      </c>
      <c r="CE77" s="254" t="str">
        <f t="shared" si="81"/>
        <v/>
      </c>
      <c r="CF77" s="254" t="str">
        <f t="shared" si="93"/>
        <v/>
      </c>
      <c r="CG77" s="254" t="str">
        <f t="shared" si="82"/>
        <v/>
      </c>
      <c r="CH77" s="58" t="str">
        <f t="shared" si="94"/>
        <v/>
      </c>
      <c r="CI77" s="59" t="str">
        <f t="shared" si="83"/>
        <v/>
      </c>
      <c r="CJ77" s="236"/>
      <c r="CK77" s="52" t="str">
        <f t="shared" si="84"/>
        <v/>
      </c>
      <c r="CL77" s="59" t="str">
        <f t="shared" si="100"/>
        <v/>
      </c>
      <c r="CM77" s="59" t="str">
        <f t="shared" si="95"/>
        <v/>
      </c>
      <c r="CN77" s="59" t="str">
        <f t="shared" si="85"/>
        <v/>
      </c>
      <c r="CO77" s="59" t="str">
        <f t="shared" si="96"/>
        <v/>
      </c>
      <c r="CP77" s="236"/>
      <c r="CQ77" s="236"/>
      <c r="CR77" s="236"/>
      <c r="CS77" s="236"/>
      <c r="CT77" s="236"/>
      <c r="CU77" s="236"/>
      <c r="CV77" s="236"/>
    </row>
    <row r="78" spans="1:100">
      <c r="A78" s="305"/>
      <c r="D78" s="469"/>
      <c r="E78" s="469"/>
      <c r="F78" s="456"/>
      <c r="G78" s="470"/>
      <c r="H78" s="460"/>
      <c r="I78" s="148"/>
      <c r="J78" s="152"/>
      <c r="K78" s="150"/>
      <c r="L78" s="599"/>
      <c r="M78" s="599"/>
      <c r="N78" s="278" t="str">
        <f t="shared" si="104"/>
        <v/>
      </c>
      <c r="O78" s="279" t="str">
        <f t="shared" si="105"/>
        <v/>
      </c>
      <c r="P78" s="271" t="str">
        <f t="shared" si="101"/>
        <v/>
      </c>
      <c r="Q78" s="271" t="str">
        <f t="shared" si="102"/>
        <v/>
      </c>
      <c r="R78" s="271" t="str">
        <f t="shared" si="103"/>
        <v/>
      </c>
      <c r="S78" s="400" t="str">
        <f t="shared" si="86"/>
        <v/>
      </c>
      <c r="T78" s="231"/>
      <c r="U78" s="52" t="str">
        <f t="shared" si="97"/>
        <v/>
      </c>
      <c r="V78" s="53" t="str">
        <f>Main_무해지!AC78</f>
        <v/>
      </c>
      <c r="W78" s="56">
        <f>+Main_무해지!AD78</f>
        <v>0</v>
      </c>
      <c r="X78" s="56">
        <v>0</v>
      </c>
      <c r="Y78" s="254" t="str">
        <f t="shared" si="98"/>
        <v/>
      </c>
      <c r="Z78" s="254" t="str">
        <f t="shared" si="53"/>
        <v/>
      </c>
      <c r="AA78" s="54" t="str">
        <f>IF($U78="","",SUM(Z78:Z$114))</f>
        <v/>
      </c>
      <c r="AB78" s="254" t="str">
        <f t="shared" si="87"/>
        <v/>
      </c>
      <c r="AC78" s="254">
        <f t="shared" si="88"/>
        <v>0</v>
      </c>
      <c r="AD78" s="254" t="str">
        <f>Main_무해지!AJ78</f>
        <v/>
      </c>
      <c r="AE78" s="254">
        <f t="shared" si="54"/>
        <v>0</v>
      </c>
      <c r="AF78" s="254" t="str">
        <f t="shared" si="99"/>
        <v/>
      </c>
      <c r="AG78" s="254" t="str">
        <f t="shared" si="55"/>
        <v/>
      </c>
      <c r="AH78" s="54" t="str">
        <f>IF($U78="","",SUM(AG78:AG$114))</f>
        <v/>
      </c>
      <c r="AI78" s="254" t="str">
        <f>Main_무해지!AP78</f>
        <v/>
      </c>
      <c r="AJ78" s="254">
        <f t="shared" si="56"/>
        <v>0</v>
      </c>
      <c r="AK78" s="254" t="str">
        <f t="shared" si="57"/>
        <v/>
      </c>
      <c r="AL78" s="254" t="str">
        <f t="shared" si="58"/>
        <v/>
      </c>
      <c r="AM78" s="57" t="str">
        <f>IF($U78="","",SUM($AN78:$AN$114))</f>
        <v/>
      </c>
      <c r="AN78" s="254" t="str">
        <f t="shared" si="89"/>
        <v/>
      </c>
      <c r="AO78" s="57" t="str">
        <f t="shared" si="59"/>
        <v/>
      </c>
      <c r="AP78" s="53" t="str">
        <f>IF($U78="","",INDEX(#REF!,$U78+1))</f>
        <v/>
      </c>
      <c r="AQ78" s="254">
        <f t="shared" si="60"/>
        <v>0</v>
      </c>
      <c r="AR78" s="254" t="str">
        <f t="shared" si="61"/>
        <v/>
      </c>
      <c r="AS78" s="254" t="str">
        <f t="shared" si="62"/>
        <v/>
      </c>
      <c r="AT78" s="57" t="str">
        <f>IF($U78="","",SUM($AS78:$AS$114))</f>
        <v/>
      </c>
      <c r="AU78" s="53" t="str">
        <f>IF($U78="","",INDEX(#REF!,$U78+1))</f>
        <v/>
      </c>
      <c r="AV78" s="254">
        <f t="shared" si="63"/>
        <v>0</v>
      </c>
      <c r="AW78" s="254" t="str">
        <f t="shared" si="64"/>
        <v/>
      </c>
      <c r="AX78" s="254" t="str">
        <f t="shared" si="65"/>
        <v/>
      </c>
      <c r="AY78" s="57" t="str">
        <f>IF($U78="","",SUM($AX78:$AX$114))</f>
        <v/>
      </c>
      <c r="AZ78" s="53" t="str">
        <f>IF($U78="","",INDEX(#REF!,$U78+1))</f>
        <v/>
      </c>
      <c r="BA78" s="254">
        <f t="shared" si="66"/>
        <v>0</v>
      </c>
      <c r="BB78" s="254" t="str">
        <f t="shared" si="67"/>
        <v/>
      </c>
      <c r="BC78" s="254" t="str">
        <f t="shared" si="68"/>
        <v/>
      </c>
      <c r="BD78" s="57" t="str">
        <f>IF($U78="","",SUM($BC78:$BC$114))</f>
        <v/>
      </c>
      <c r="BE78" s="53" t="str">
        <f>IF($U78="","",INDEX(#REF!,$U78+1))</f>
        <v/>
      </c>
      <c r="BF78" s="254">
        <f t="shared" si="69"/>
        <v>0</v>
      </c>
      <c r="BG78" s="254" t="str">
        <f t="shared" si="70"/>
        <v/>
      </c>
      <c r="BH78" s="254" t="str">
        <f t="shared" si="71"/>
        <v/>
      </c>
      <c r="BI78" s="57" t="str">
        <f>IF($U78="","",SUM($BH78:$BH$114))</f>
        <v/>
      </c>
      <c r="BJ78" s="53" t="str">
        <f>IF($U78="","",INDEX(#REF!,$U78+1))</f>
        <v/>
      </c>
      <c r="BK78" s="254">
        <f t="shared" si="72"/>
        <v>0</v>
      </c>
      <c r="BL78" s="254" t="str">
        <f t="shared" si="73"/>
        <v/>
      </c>
      <c r="BM78" s="254" t="str">
        <f t="shared" si="74"/>
        <v/>
      </c>
      <c r="BN78" s="57" t="str">
        <f>IF($U78="","",SUM($BM78:$BM$114))</f>
        <v/>
      </c>
      <c r="BO78" s="53">
        <f t="shared" si="75"/>
        <v>0</v>
      </c>
      <c r="BP78" s="254" t="str">
        <f t="shared" si="76"/>
        <v/>
      </c>
      <c r="BQ78" s="254" t="str">
        <f t="shared" si="77"/>
        <v/>
      </c>
      <c r="BR78" s="254"/>
      <c r="BS78" s="254" t="str">
        <f t="shared" si="90"/>
        <v/>
      </c>
      <c r="BT78" s="254" t="str">
        <f t="shared" si="78"/>
        <v/>
      </c>
      <c r="BU78" s="254" t="str">
        <f t="shared" si="79"/>
        <v/>
      </c>
      <c r="BV78" s="254"/>
      <c r="BW78" s="254" t="str">
        <f t="shared" si="91"/>
        <v/>
      </c>
      <c r="BX78" s="254" t="str">
        <f>IF($U78="","",SUM(BS78:BS$114)+SUM(BW78:BW$114))</f>
        <v/>
      </c>
      <c r="BY78" s="55"/>
      <c r="BZ78" s="55"/>
      <c r="CA78" s="55"/>
      <c r="CB78" s="55"/>
      <c r="CC78" s="254" t="str">
        <f t="shared" si="92"/>
        <v/>
      </c>
      <c r="CD78" s="254" t="str">
        <f t="shared" si="80"/>
        <v/>
      </c>
      <c r="CE78" s="254" t="str">
        <f t="shared" si="81"/>
        <v/>
      </c>
      <c r="CF78" s="254" t="str">
        <f t="shared" si="93"/>
        <v/>
      </c>
      <c r="CG78" s="254" t="str">
        <f t="shared" si="82"/>
        <v/>
      </c>
      <c r="CH78" s="58" t="str">
        <f t="shared" si="94"/>
        <v/>
      </c>
      <c r="CI78" s="59" t="str">
        <f t="shared" si="83"/>
        <v/>
      </c>
      <c r="CJ78" s="236"/>
      <c r="CK78" s="52" t="str">
        <f t="shared" si="84"/>
        <v/>
      </c>
      <c r="CL78" s="59" t="str">
        <f t="shared" si="100"/>
        <v/>
      </c>
      <c r="CM78" s="59" t="str">
        <f t="shared" si="95"/>
        <v/>
      </c>
      <c r="CN78" s="59" t="str">
        <f t="shared" si="85"/>
        <v/>
      </c>
      <c r="CO78" s="59" t="str">
        <f t="shared" si="96"/>
        <v/>
      </c>
      <c r="CP78" s="236"/>
      <c r="CQ78" s="236"/>
      <c r="CR78" s="236"/>
      <c r="CS78" s="236"/>
      <c r="CT78" s="236"/>
      <c r="CU78" s="236"/>
      <c r="CV78" s="236"/>
    </row>
    <row r="79" spans="1:100">
      <c r="A79" s="305"/>
      <c r="D79" s="469"/>
      <c r="E79" s="469"/>
      <c r="F79" s="456"/>
      <c r="G79" s="470"/>
      <c r="H79" s="460"/>
      <c r="I79" s="148"/>
      <c r="J79" s="152"/>
      <c r="K79" s="150"/>
      <c r="L79" s="599"/>
      <c r="M79" s="599"/>
      <c r="N79" s="278" t="str">
        <f t="shared" si="104"/>
        <v/>
      </c>
      <c r="O79" s="279" t="str">
        <f t="shared" si="105"/>
        <v/>
      </c>
      <c r="P79" s="271" t="str">
        <f t="shared" si="101"/>
        <v/>
      </c>
      <c r="Q79" s="271" t="str">
        <f t="shared" si="102"/>
        <v/>
      </c>
      <c r="R79" s="271" t="str">
        <f t="shared" si="103"/>
        <v/>
      </c>
      <c r="S79" s="400" t="str">
        <f t="shared" si="86"/>
        <v/>
      </c>
      <c r="T79" s="231"/>
      <c r="U79" s="60" t="str">
        <f t="shared" si="97"/>
        <v/>
      </c>
      <c r="V79" s="61" t="str">
        <f>Main_무해지!AC79</f>
        <v/>
      </c>
      <c r="W79" s="64">
        <f>+Main_무해지!AD79</f>
        <v>0</v>
      </c>
      <c r="X79" s="64">
        <v>0</v>
      </c>
      <c r="Y79" s="255" t="str">
        <f t="shared" si="98"/>
        <v/>
      </c>
      <c r="Z79" s="255" t="str">
        <f t="shared" si="53"/>
        <v/>
      </c>
      <c r="AA79" s="62" t="str">
        <f>IF($U79="","",SUM(Z79:Z$114))</f>
        <v/>
      </c>
      <c r="AB79" s="255" t="str">
        <f t="shared" si="87"/>
        <v/>
      </c>
      <c r="AC79" s="254">
        <f t="shared" si="88"/>
        <v>0</v>
      </c>
      <c r="AD79" s="254" t="str">
        <f>Main_무해지!AJ79</f>
        <v/>
      </c>
      <c r="AE79" s="255">
        <f t="shared" si="54"/>
        <v>0</v>
      </c>
      <c r="AF79" s="255" t="str">
        <f t="shared" si="99"/>
        <v/>
      </c>
      <c r="AG79" s="255" t="str">
        <f t="shared" si="55"/>
        <v/>
      </c>
      <c r="AH79" s="62" t="str">
        <f>IF($U79="","",SUM(AG79:AG$114))</f>
        <v/>
      </c>
      <c r="AI79" s="255" t="str">
        <f>Main_무해지!AP79</f>
        <v/>
      </c>
      <c r="AJ79" s="255">
        <f t="shared" si="56"/>
        <v>0</v>
      </c>
      <c r="AK79" s="255" t="str">
        <f t="shared" si="57"/>
        <v/>
      </c>
      <c r="AL79" s="255" t="str">
        <f t="shared" si="58"/>
        <v/>
      </c>
      <c r="AM79" s="65" t="str">
        <f>IF($U79="","",SUM($AN79:$AN$114))</f>
        <v/>
      </c>
      <c r="AN79" s="255" t="str">
        <f t="shared" si="89"/>
        <v/>
      </c>
      <c r="AO79" s="65" t="str">
        <f t="shared" si="59"/>
        <v/>
      </c>
      <c r="AP79" s="61" t="str">
        <f>IF($U79="","",INDEX(#REF!,$U79+1))</f>
        <v/>
      </c>
      <c r="AQ79" s="255">
        <f t="shared" si="60"/>
        <v>0</v>
      </c>
      <c r="AR79" s="255" t="str">
        <f t="shared" si="61"/>
        <v/>
      </c>
      <c r="AS79" s="255" t="str">
        <f t="shared" si="62"/>
        <v/>
      </c>
      <c r="AT79" s="65" t="str">
        <f>IF($U79="","",SUM($AS79:$AS$114))</f>
        <v/>
      </c>
      <c r="AU79" s="61" t="str">
        <f>IF($U79="","",INDEX(#REF!,$U79+1))</f>
        <v/>
      </c>
      <c r="AV79" s="255">
        <f t="shared" si="63"/>
        <v>0</v>
      </c>
      <c r="AW79" s="255" t="str">
        <f t="shared" si="64"/>
        <v/>
      </c>
      <c r="AX79" s="255" t="str">
        <f t="shared" si="65"/>
        <v/>
      </c>
      <c r="AY79" s="65" t="str">
        <f>IF($U79="","",SUM($AX79:$AX$114))</f>
        <v/>
      </c>
      <c r="AZ79" s="61" t="str">
        <f>IF($U79="","",INDEX(#REF!,$U79+1))</f>
        <v/>
      </c>
      <c r="BA79" s="255">
        <f t="shared" si="66"/>
        <v>0</v>
      </c>
      <c r="BB79" s="255" t="str">
        <f t="shared" si="67"/>
        <v/>
      </c>
      <c r="BC79" s="255" t="str">
        <f t="shared" si="68"/>
        <v/>
      </c>
      <c r="BD79" s="65" t="str">
        <f>IF($U79="","",SUM($BC79:$BC$114))</f>
        <v/>
      </c>
      <c r="BE79" s="61" t="str">
        <f>IF($U79="","",INDEX(#REF!,$U79+1))</f>
        <v/>
      </c>
      <c r="BF79" s="255">
        <f t="shared" si="69"/>
        <v>0</v>
      </c>
      <c r="BG79" s="255" t="str">
        <f t="shared" si="70"/>
        <v/>
      </c>
      <c r="BH79" s="255" t="str">
        <f t="shared" si="71"/>
        <v/>
      </c>
      <c r="BI79" s="65" t="str">
        <f>IF($U79="","",SUM($BH79:$BH$114))</f>
        <v/>
      </c>
      <c r="BJ79" s="61" t="str">
        <f>IF($U79="","",INDEX(#REF!,$U79+1))</f>
        <v/>
      </c>
      <c r="BK79" s="255">
        <f t="shared" si="72"/>
        <v>0</v>
      </c>
      <c r="BL79" s="255" t="str">
        <f t="shared" si="73"/>
        <v/>
      </c>
      <c r="BM79" s="255" t="str">
        <f t="shared" si="74"/>
        <v/>
      </c>
      <c r="BN79" s="65" t="str">
        <f>IF($U79="","",SUM($BM79:$BM$114))</f>
        <v/>
      </c>
      <c r="BO79" s="61">
        <f t="shared" si="75"/>
        <v>0</v>
      </c>
      <c r="BP79" s="255" t="str">
        <f t="shared" si="76"/>
        <v/>
      </c>
      <c r="BQ79" s="255" t="str">
        <f t="shared" si="77"/>
        <v/>
      </c>
      <c r="BR79" s="255"/>
      <c r="BS79" s="255" t="str">
        <f t="shared" si="90"/>
        <v/>
      </c>
      <c r="BT79" s="255" t="str">
        <f t="shared" si="78"/>
        <v/>
      </c>
      <c r="BU79" s="255" t="str">
        <f t="shared" si="79"/>
        <v/>
      </c>
      <c r="BV79" s="255"/>
      <c r="BW79" s="255" t="str">
        <f t="shared" si="91"/>
        <v/>
      </c>
      <c r="BX79" s="255" t="str">
        <f>IF($U79="","",SUM(BS79:BS$114)+SUM(BW79:BW$114))</f>
        <v/>
      </c>
      <c r="BY79" s="63"/>
      <c r="BZ79" s="63"/>
      <c r="CA79" s="63"/>
      <c r="CB79" s="63"/>
      <c r="CC79" s="255" t="str">
        <f t="shared" si="92"/>
        <v/>
      </c>
      <c r="CD79" s="255" t="str">
        <f t="shared" si="80"/>
        <v/>
      </c>
      <c r="CE79" s="255" t="str">
        <f t="shared" si="81"/>
        <v/>
      </c>
      <c r="CF79" s="255" t="str">
        <f t="shared" si="93"/>
        <v/>
      </c>
      <c r="CG79" s="255" t="str">
        <f t="shared" si="82"/>
        <v/>
      </c>
      <c r="CH79" s="66" t="str">
        <f t="shared" si="94"/>
        <v/>
      </c>
      <c r="CI79" s="67" t="str">
        <f t="shared" si="83"/>
        <v/>
      </c>
      <c r="CJ79" s="237"/>
      <c r="CK79" s="60" t="str">
        <f t="shared" si="84"/>
        <v/>
      </c>
      <c r="CL79" s="67" t="str">
        <f t="shared" si="100"/>
        <v/>
      </c>
      <c r="CM79" s="67" t="str">
        <f t="shared" si="95"/>
        <v/>
      </c>
      <c r="CN79" s="67" t="str">
        <f t="shared" si="85"/>
        <v/>
      </c>
      <c r="CO79" s="67" t="str">
        <f t="shared" si="96"/>
        <v/>
      </c>
      <c r="CP79" s="237"/>
      <c r="CQ79" s="237"/>
      <c r="CR79" s="237"/>
      <c r="CS79" s="237"/>
      <c r="CT79" s="237"/>
      <c r="CU79" s="237"/>
      <c r="CV79" s="237"/>
    </row>
    <row r="80" spans="1:100">
      <c r="A80" s="305"/>
      <c r="D80" s="469"/>
      <c r="E80" s="469"/>
      <c r="F80" s="456"/>
      <c r="G80" s="470"/>
      <c r="H80" s="460"/>
      <c r="I80" s="148"/>
      <c r="J80" s="152"/>
      <c r="K80" s="150"/>
      <c r="L80" s="599"/>
      <c r="M80" s="599"/>
      <c r="N80" s="278" t="str">
        <f t="shared" si="104"/>
        <v/>
      </c>
      <c r="O80" s="279" t="str">
        <f t="shared" si="105"/>
        <v/>
      </c>
      <c r="P80" s="271" t="str">
        <f t="shared" si="101"/>
        <v/>
      </c>
      <c r="Q80" s="271" t="str">
        <f t="shared" si="102"/>
        <v/>
      </c>
      <c r="R80" s="271" t="str">
        <f t="shared" si="103"/>
        <v/>
      </c>
      <c r="S80" s="400" t="str">
        <f t="shared" si="86"/>
        <v/>
      </c>
      <c r="T80" s="231"/>
      <c r="U80" s="759" t="str">
        <f t="shared" si="97"/>
        <v/>
      </c>
      <c r="V80" s="761" t="str">
        <f>Main_무해지!AC80</f>
        <v/>
      </c>
      <c r="W80" s="639">
        <f>+Main_무해지!AD80</f>
        <v>0</v>
      </c>
      <c r="X80" s="639">
        <v>0</v>
      </c>
      <c r="Y80" s="409" t="str">
        <f t="shared" si="98"/>
        <v/>
      </c>
      <c r="Z80" s="409" t="str">
        <f t="shared" si="53"/>
        <v/>
      </c>
      <c r="AA80" s="760" t="str">
        <f>IF($U80="","",SUM(Z80:Z$114))</f>
        <v/>
      </c>
      <c r="AB80" s="409" t="str">
        <f t="shared" si="87"/>
        <v/>
      </c>
      <c r="AC80" s="254">
        <f t="shared" si="88"/>
        <v>0</v>
      </c>
      <c r="AD80" s="254" t="str">
        <f>Main_무해지!AJ80</f>
        <v/>
      </c>
      <c r="AE80" s="409">
        <f t="shared" si="54"/>
        <v>0</v>
      </c>
      <c r="AF80" s="409" t="str">
        <f t="shared" si="99"/>
        <v/>
      </c>
      <c r="AG80" s="409" t="str">
        <f t="shared" si="55"/>
        <v/>
      </c>
      <c r="AH80" s="760" t="str">
        <f>IF($U80="","",SUM(AG80:AG$114))</f>
        <v/>
      </c>
      <c r="AI80" s="409" t="str">
        <f>Main_무해지!AP80</f>
        <v/>
      </c>
      <c r="AJ80" s="409">
        <f t="shared" si="56"/>
        <v>0</v>
      </c>
      <c r="AK80" s="409" t="str">
        <f t="shared" si="57"/>
        <v/>
      </c>
      <c r="AL80" s="409" t="str">
        <f t="shared" si="58"/>
        <v/>
      </c>
      <c r="AM80" s="762" t="str">
        <f>IF($U80="","",SUM($AN80:$AN$114))</f>
        <v/>
      </c>
      <c r="AN80" s="409" t="str">
        <f t="shared" si="89"/>
        <v/>
      </c>
      <c r="AO80" s="762" t="str">
        <f t="shared" si="59"/>
        <v/>
      </c>
      <c r="AP80" s="761" t="str">
        <f>IF($U80="","",INDEX(#REF!,$U80+1))</f>
        <v/>
      </c>
      <c r="AQ80" s="409">
        <f t="shared" si="60"/>
        <v>0</v>
      </c>
      <c r="AR80" s="409" t="str">
        <f t="shared" si="61"/>
        <v/>
      </c>
      <c r="AS80" s="409" t="str">
        <f t="shared" si="62"/>
        <v/>
      </c>
      <c r="AT80" s="762" t="str">
        <f>IF($U80="","",SUM($AS80:$AS$114))</f>
        <v/>
      </c>
      <c r="AU80" s="761" t="str">
        <f>IF($U80="","",INDEX(#REF!,$U80+1))</f>
        <v/>
      </c>
      <c r="AV80" s="409">
        <f t="shared" si="63"/>
        <v>0</v>
      </c>
      <c r="AW80" s="409" t="str">
        <f t="shared" si="64"/>
        <v/>
      </c>
      <c r="AX80" s="409" t="str">
        <f t="shared" si="65"/>
        <v/>
      </c>
      <c r="AY80" s="762" t="str">
        <f>IF($U80="","",SUM($AX80:$AX$114))</f>
        <v/>
      </c>
      <c r="AZ80" s="761" t="str">
        <f>IF($U80="","",INDEX(#REF!,$U80+1))</f>
        <v/>
      </c>
      <c r="BA80" s="409">
        <f t="shared" si="66"/>
        <v>0</v>
      </c>
      <c r="BB80" s="409" t="str">
        <f t="shared" si="67"/>
        <v/>
      </c>
      <c r="BC80" s="409" t="str">
        <f t="shared" si="68"/>
        <v/>
      </c>
      <c r="BD80" s="762" t="str">
        <f>IF($U80="","",SUM($BC80:$BC$114))</f>
        <v/>
      </c>
      <c r="BE80" s="761" t="str">
        <f>IF($U80="","",INDEX(#REF!,$U80+1))</f>
        <v/>
      </c>
      <c r="BF80" s="409">
        <f t="shared" si="69"/>
        <v>0</v>
      </c>
      <c r="BG80" s="409" t="str">
        <f t="shared" si="70"/>
        <v/>
      </c>
      <c r="BH80" s="409" t="str">
        <f t="shared" si="71"/>
        <v/>
      </c>
      <c r="BI80" s="762" t="str">
        <f>IF($U80="","",SUM($BH80:$BH$114))</f>
        <v/>
      </c>
      <c r="BJ80" s="761" t="str">
        <f>IF($U80="","",INDEX(#REF!,$U80+1))</f>
        <v/>
      </c>
      <c r="BK80" s="409">
        <f t="shared" si="72"/>
        <v>0</v>
      </c>
      <c r="BL80" s="409" t="str">
        <f t="shared" si="73"/>
        <v/>
      </c>
      <c r="BM80" s="409" t="str">
        <f t="shared" si="74"/>
        <v/>
      </c>
      <c r="BN80" s="762" t="str">
        <f>IF($U80="","",SUM($BM80:$BM$114))</f>
        <v/>
      </c>
      <c r="BO80" s="761">
        <f t="shared" si="75"/>
        <v>0</v>
      </c>
      <c r="BP80" s="409" t="str">
        <f t="shared" si="76"/>
        <v/>
      </c>
      <c r="BQ80" s="409" t="str">
        <f t="shared" si="77"/>
        <v/>
      </c>
      <c r="BR80" s="409"/>
      <c r="BS80" s="409" t="str">
        <f t="shared" si="90"/>
        <v/>
      </c>
      <c r="BT80" s="409" t="str">
        <f t="shared" si="78"/>
        <v/>
      </c>
      <c r="BU80" s="409" t="str">
        <f t="shared" si="79"/>
        <v/>
      </c>
      <c r="BV80" s="409"/>
      <c r="BW80" s="409" t="str">
        <f t="shared" si="91"/>
        <v/>
      </c>
      <c r="BX80" s="409" t="str">
        <f>IF($U80="","",SUM(BS80:BS$114)+SUM(BW80:BW$114))</f>
        <v/>
      </c>
      <c r="BY80" s="763"/>
      <c r="BZ80" s="763"/>
      <c r="CA80" s="763"/>
      <c r="CB80" s="763"/>
      <c r="CC80" s="409" t="str">
        <f t="shared" si="92"/>
        <v/>
      </c>
      <c r="CD80" s="409" t="str">
        <f t="shared" si="80"/>
        <v/>
      </c>
      <c r="CE80" s="409" t="str">
        <f t="shared" si="81"/>
        <v/>
      </c>
      <c r="CF80" s="409" t="str">
        <f t="shared" si="93"/>
        <v/>
      </c>
      <c r="CG80" s="409" t="str">
        <f t="shared" si="82"/>
        <v/>
      </c>
      <c r="CH80" s="765" t="str">
        <f t="shared" si="94"/>
        <v/>
      </c>
      <c r="CI80" s="766" t="str">
        <f t="shared" si="83"/>
        <v/>
      </c>
      <c r="CJ80" s="414"/>
      <c r="CK80" s="759" t="str">
        <f t="shared" si="84"/>
        <v/>
      </c>
      <c r="CL80" s="766" t="str">
        <f t="shared" si="100"/>
        <v/>
      </c>
      <c r="CM80" s="766" t="str">
        <f t="shared" si="95"/>
        <v/>
      </c>
      <c r="CN80" s="766" t="str">
        <f t="shared" si="85"/>
        <v/>
      </c>
      <c r="CO80" s="766" t="str">
        <f t="shared" si="96"/>
        <v/>
      </c>
      <c r="CP80" s="414"/>
      <c r="CQ80" s="414"/>
      <c r="CR80" s="414"/>
      <c r="CS80" s="414"/>
      <c r="CT80" s="414"/>
      <c r="CU80" s="414"/>
      <c r="CV80" s="414"/>
    </row>
    <row r="81" spans="1:100">
      <c r="A81" s="305"/>
      <c r="D81" s="469"/>
      <c r="E81" s="469"/>
      <c r="F81" s="456"/>
      <c r="G81" s="470"/>
      <c r="H81" s="460"/>
      <c r="I81" s="148"/>
      <c r="J81" s="152"/>
      <c r="K81" s="150"/>
      <c r="L81" s="599"/>
      <c r="M81" s="599"/>
      <c r="N81" s="280" t="str">
        <f t="shared" si="104"/>
        <v/>
      </c>
      <c r="O81" s="281" t="str">
        <f t="shared" si="105"/>
        <v/>
      </c>
      <c r="P81" s="282" t="str">
        <f t="shared" si="101"/>
        <v/>
      </c>
      <c r="Q81" s="282" t="str">
        <f t="shared" si="102"/>
        <v/>
      </c>
      <c r="R81" s="282" t="str">
        <f t="shared" si="103"/>
        <v/>
      </c>
      <c r="S81" s="402" t="str">
        <f t="shared" si="86"/>
        <v/>
      </c>
      <c r="T81" s="231"/>
      <c r="U81" s="101" t="str">
        <f t="shared" si="97"/>
        <v/>
      </c>
      <c r="V81" s="285" t="str">
        <f>Main_무해지!AC81</f>
        <v/>
      </c>
      <c r="W81" s="308">
        <f>+Main_무해지!AD81</f>
        <v>0</v>
      </c>
      <c r="X81" s="308">
        <v>0</v>
      </c>
      <c r="Y81" s="258" t="str">
        <f t="shared" si="98"/>
        <v/>
      </c>
      <c r="Z81" s="258" t="str">
        <f t="shared" si="53"/>
        <v/>
      </c>
      <c r="AA81" s="102" t="str">
        <f>IF($U81="","",SUM(Z81:Z$114))</f>
        <v/>
      </c>
      <c r="AB81" s="258" t="str">
        <f t="shared" si="87"/>
        <v/>
      </c>
      <c r="AC81" s="254">
        <f t="shared" si="88"/>
        <v>0</v>
      </c>
      <c r="AD81" s="254" t="str">
        <f>Main_무해지!AJ81</f>
        <v/>
      </c>
      <c r="AE81" s="258">
        <f t="shared" si="54"/>
        <v>0</v>
      </c>
      <c r="AF81" s="258" t="str">
        <f t="shared" si="99"/>
        <v/>
      </c>
      <c r="AG81" s="258" t="str">
        <f t="shared" si="55"/>
        <v/>
      </c>
      <c r="AH81" s="102" t="str">
        <f>IF($U81="","",SUM(AG81:AG$114))</f>
        <v/>
      </c>
      <c r="AI81" s="258" t="str">
        <f>Main_무해지!AP81</f>
        <v/>
      </c>
      <c r="AJ81" s="258">
        <f t="shared" si="56"/>
        <v>0</v>
      </c>
      <c r="AK81" s="258" t="str">
        <f t="shared" si="57"/>
        <v/>
      </c>
      <c r="AL81" s="258" t="str">
        <f t="shared" si="58"/>
        <v/>
      </c>
      <c r="AM81" s="315" t="str">
        <f>IF($U81="","",SUM($AN81:$AN$114))</f>
        <v/>
      </c>
      <c r="AN81" s="258" t="str">
        <f t="shared" si="89"/>
        <v/>
      </c>
      <c r="AO81" s="315" t="str">
        <f t="shared" si="59"/>
        <v/>
      </c>
      <c r="AP81" s="285" t="str">
        <f>IF($U81="","",INDEX(#REF!,$U81+1))</f>
        <v/>
      </c>
      <c r="AQ81" s="258">
        <f t="shared" si="60"/>
        <v>0</v>
      </c>
      <c r="AR81" s="258" t="str">
        <f t="shared" si="61"/>
        <v/>
      </c>
      <c r="AS81" s="258" t="str">
        <f t="shared" si="62"/>
        <v/>
      </c>
      <c r="AT81" s="315" t="str">
        <f>IF($U81="","",SUM($AS81:$AS$114))</f>
        <v/>
      </c>
      <c r="AU81" s="285" t="str">
        <f>IF($U81="","",INDEX(#REF!,$U81+1))</f>
        <v/>
      </c>
      <c r="AV81" s="258">
        <f t="shared" si="63"/>
        <v>0</v>
      </c>
      <c r="AW81" s="258" t="str">
        <f t="shared" si="64"/>
        <v/>
      </c>
      <c r="AX81" s="258" t="str">
        <f t="shared" si="65"/>
        <v/>
      </c>
      <c r="AY81" s="315" t="str">
        <f>IF($U81="","",SUM($AX81:$AX$114))</f>
        <v/>
      </c>
      <c r="AZ81" s="285" t="str">
        <f>IF($U81="","",INDEX(#REF!,$U81+1))</f>
        <v/>
      </c>
      <c r="BA81" s="258">
        <f t="shared" si="66"/>
        <v>0</v>
      </c>
      <c r="BB81" s="258" t="str">
        <f t="shared" si="67"/>
        <v/>
      </c>
      <c r="BC81" s="258" t="str">
        <f t="shared" si="68"/>
        <v/>
      </c>
      <c r="BD81" s="315" t="str">
        <f>IF($U81="","",SUM($BC81:$BC$114))</f>
        <v/>
      </c>
      <c r="BE81" s="285" t="str">
        <f>IF($U81="","",INDEX(#REF!,$U81+1))</f>
        <v/>
      </c>
      <c r="BF81" s="258">
        <f t="shared" si="69"/>
        <v>0</v>
      </c>
      <c r="BG81" s="258" t="str">
        <f t="shared" si="70"/>
        <v/>
      </c>
      <c r="BH81" s="258" t="str">
        <f t="shared" si="71"/>
        <v/>
      </c>
      <c r="BI81" s="315" t="str">
        <f>IF($U81="","",SUM($BH81:$BH$114))</f>
        <v/>
      </c>
      <c r="BJ81" s="285" t="str">
        <f>IF($U81="","",INDEX(#REF!,$U81+1))</f>
        <v/>
      </c>
      <c r="BK81" s="258">
        <f t="shared" si="72"/>
        <v>0</v>
      </c>
      <c r="BL81" s="258" t="str">
        <f t="shared" si="73"/>
        <v/>
      </c>
      <c r="BM81" s="258" t="str">
        <f t="shared" si="74"/>
        <v/>
      </c>
      <c r="BN81" s="315" t="str">
        <f>IF($U81="","",SUM($BM81:$BM$114))</f>
        <v/>
      </c>
      <c r="BO81" s="285">
        <f t="shared" si="75"/>
        <v>0</v>
      </c>
      <c r="BP81" s="258" t="str">
        <f t="shared" si="76"/>
        <v/>
      </c>
      <c r="BQ81" s="258" t="str">
        <f t="shared" si="77"/>
        <v/>
      </c>
      <c r="BR81" s="258"/>
      <c r="BS81" s="258" t="str">
        <f t="shared" si="90"/>
        <v/>
      </c>
      <c r="BT81" s="258" t="str">
        <f t="shared" si="78"/>
        <v/>
      </c>
      <c r="BU81" s="258" t="str">
        <f t="shared" si="79"/>
        <v/>
      </c>
      <c r="BV81" s="258"/>
      <c r="BW81" s="258" t="str">
        <f t="shared" si="91"/>
        <v/>
      </c>
      <c r="BX81" s="258" t="str">
        <f>IF($U81="","",SUM(BS81:BS$114)+SUM(BW81:BW$114))</f>
        <v/>
      </c>
      <c r="BY81" s="103"/>
      <c r="BZ81" s="103"/>
      <c r="CA81" s="103"/>
      <c r="CB81" s="103"/>
      <c r="CC81" s="258" t="str">
        <f t="shared" si="92"/>
        <v/>
      </c>
      <c r="CD81" s="258" t="str">
        <f t="shared" si="80"/>
        <v/>
      </c>
      <c r="CE81" s="258" t="str">
        <f t="shared" si="81"/>
        <v/>
      </c>
      <c r="CF81" s="258" t="str">
        <f t="shared" si="93"/>
        <v/>
      </c>
      <c r="CG81" s="258" t="str">
        <f t="shared" si="82"/>
        <v/>
      </c>
      <c r="CH81" s="104" t="str">
        <f t="shared" si="94"/>
        <v/>
      </c>
      <c r="CI81" s="105" t="str">
        <f t="shared" si="83"/>
        <v/>
      </c>
      <c r="CJ81" s="240"/>
      <c r="CK81" s="101" t="str">
        <f t="shared" si="84"/>
        <v/>
      </c>
      <c r="CL81" s="105" t="str">
        <f t="shared" si="100"/>
        <v/>
      </c>
      <c r="CM81" s="105" t="str">
        <f t="shared" si="95"/>
        <v/>
      </c>
      <c r="CN81" s="105" t="str">
        <f t="shared" si="85"/>
        <v/>
      </c>
      <c r="CO81" s="105" t="str">
        <f t="shared" si="96"/>
        <v/>
      </c>
      <c r="CP81" s="240"/>
      <c r="CQ81" s="240"/>
      <c r="CR81" s="240"/>
      <c r="CS81" s="240"/>
      <c r="CT81" s="240"/>
      <c r="CU81" s="240"/>
      <c r="CV81" s="240"/>
    </row>
    <row r="82" spans="1:100">
      <c r="A82" s="305"/>
      <c r="D82" s="469"/>
      <c r="E82" s="469"/>
      <c r="F82" s="456"/>
      <c r="G82" s="470"/>
      <c r="H82" s="460"/>
      <c r="I82" s="148"/>
      <c r="J82" s="152"/>
      <c r="K82" s="150"/>
      <c r="L82" s="599"/>
      <c r="M82" s="599"/>
      <c r="N82" s="275" t="str">
        <f t="shared" si="104"/>
        <v/>
      </c>
      <c r="O82" s="276" t="str">
        <f t="shared" si="105"/>
        <v/>
      </c>
      <c r="P82" s="277" t="str">
        <f t="shared" si="101"/>
        <v/>
      </c>
      <c r="Q82" s="277" t="str">
        <f t="shared" si="102"/>
        <v/>
      </c>
      <c r="R82" s="277" t="str">
        <f t="shared" si="103"/>
        <v/>
      </c>
      <c r="S82" s="401" t="str">
        <f t="shared" si="86"/>
        <v/>
      </c>
      <c r="T82" s="231"/>
      <c r="U82" s="101" t="str">
        <f t="shared" si="97"/>
        <v/>
      </c>
      <c r="V82" s="285" t="str">
        <f>Main_무해지!AC82</f>
        <v/>
      </c>
      <c r="W82" s="308">
        <f>+Main_무해지!AD82</f>
        <v>0</v>
      </c>
      <c r="X82" s="308">
        <v>0</v>
      </c>
      <c r="Y82" s="258" t="str">
        <f t="shared" si="98"/>
        <v/>
      </c>
      <c r="Z82" s="258" t="str">
        <f t="shared" si="53"/>
        <v/>
      </c>
      <c r="AA82" s="102" t="str">
        <f>IF($U82="","",SUM(Z82:Z$114))</f>
        <v/>
      </c>
      <c r="AB82" s="258" t="str">
        <f t="shared" si="87"/>
        <v/>
      </c>
      <c r="AC82" s="254">
        <f t="shared" si="88"/>
        <v>0</v>
      </c>
      <c r="AD82" s="254" t="str">
        <f>Main_무해지!AJ82</f>
        <v/>
      </c>
      <c r="AE82" s="258">
        <f t="shared" si="54"/>
        <v>0</v>
      </c>
      <c r="AF82" s="258" t="str">
        <f t="shared" si="99"/>
        <v/>
      </c>
      <c r="AG82" s="258" t="str">
        <f t="shared" si="55"/>
        <v/>
      </c>
      <c r="AH82" s="102" t="str">
        <f>IF($U82="","",SUM(AG82:AG$114))</f>
        <v/>
      </c>
      <c r="AI82" s="258" t="str">
        <f>Main_무해지!AP82</f>
        <v/>
      </c>
      <c r="AJ82" s="258">
        <f t="shared" si="56"/>
        <v>0</v>
      </c>
      <c r="AK82" s="258" t="str">
        <f t="shared" si="57"/>
        <v/>
      </c>
      <c r="AL82" s="258" t="str">
        <f t="shared" si="58"/>
        <v/>
      </c>
      <c r="AM82" s="315" t="str">
        <f>IF($U82="","",SUM($AN82:$AN$114))</f>
        <v/>
      </c>
      <c r="AN82" s="258" t="str">
        <f t="shared" si="89"/>
        <v/>
      </c>
      <c r="AO82" s="315" t="str">
        <f t="shared" si="59"/>
        <v/>
      </c>
      <c r="AP82" s="285" t="str">
        <f>IF($U82="","",INDEX(#REF!,$U82+1))</f>
        <v/>
      </c>
      <c r="AQ82" s="258">
        <f t="shared" si="60"/>
        <v>0</v>
      </c>
      <c r="AR82" s="258" t="str">
        <f t="shared" si="61"/>
        <v/>
      </c>
      <c r="AS82" s="258" t="str">
        <f t="shared" si="62"/>
        <v/>
      </c>
      <c r="AT82" s="315" t="str">
        <f>IF($U82="","",SUM($AS82:$AS$114))</f>
        <v/>
      </c>
      <c r="AU82" s="285" t="str">
        <f>IF($U82="","",INDEX(#REF!,$U82+1))</f>
        <v/>
      </c>
      <c r="AV82" s="258">
        <f t="shared" si="63"/>
        <v>0</v>
      </c>
      <c r="AW82" s="258" t="str">
        <f t="shared" si="64"/>
        <v/>
      </c>
      <c r="AX82" s="258" t="str">
        <f t="shared" si="65"/>
        <v/>
      </c>
      <c r="AY82" s="315" t="str">
        <f>IF($U82="","",SUM($AX82:$AX$114))</f>
        <v/>
      </c>
      <c r="AZ82" s="285" t="str">
        <f>IF($U82="","",INDEX(#REF!,$U82+1))</f>
        <v/>
      </c>
      <c r="BA82" s="258">
        <f t="shared" si="66"/>
        <v>0</v>
      </c>
      <c r="BB82" s="258" t="str">
        <f t="shared" si="67"/>
        <v/>
      </c>
      <c r="BC82" s="258" t="str">
        <f t="shared" si="68"/>
        <v/>
      </c>
      <c r="BD82" s="315" t="str">
        <f>IF($U82="","",SUM($BC82:$BC$114))</f>
        <v/>
      </c>
      <c r="BE82" s="285" t="str">
        <f>IF($U82="","",INDEX(#REF!,$U82+1))</f>
        <v/>
      </c>
      <c r="BF82" s="258">
        <f t="shared" si="69"/>
        <v>0</v>
      </c>
      <c r="BG82" s="258" t="str">
        <f t="shared" si="70"/>
        <v/>
      </c>
      <c r="BH82" s="258" t="str">
        <f t="shared" si="71"/>
        <v/>
      </c>
      <c r="BI82" s="315" t="str">
        <f>IF($U82="","",SUM($BH82:$BH$114))</f>
        <v/>
      </c>
      <c r="BJ82" s="285" t="str">
        <f>IF($U82="","",INDEX(#REF!,$U82+1))</f>
        <v/>
      </c>
      <c r="BK82" s="258">
        <f t="shared" si="72"/>
        <v>0</v>
      </c>
      <c r="BL82" s="258" t="str">
        <f t="shared" si="73"/>
        <v/>
      </c>
      <c r="BM82" s="258" t="str">
        <f t="shared" si="74"/>
        <v/>
      </c>
      <c r="BN82" s="315" t="str">
        <f>IF($U82="","",SUM($BM82:$BM$114))</f>
        <v/>
      </c>
      <c r="BO82" s="285">
        <f t="shared" si="75"/>
        <v>0</v>
      </c>
      <c r="BP82" s="258" t="str">
        <f t="shared" si="76"/>
        <v/>
      </c>
      <c r="BQ82" s="258" t="str">
        <f t="shared" si="77"/>
        <v/>
      </c>
      <c r="BR82" s="258"/>
      <c r="BS82" s="258" t="str">
        <f t="shared" si="90"/>
        <v/>
      </c>
      <c r="BT82" s="258" t="str">
        <f t="shared" si="78"/>
        <v/>
      </c>
      <c r="BU82" s="258" t="str">
        <f t="shared" si="79"/>
        <v/>
      </c>
      <c r="BV82" s="258"/>
      <c r="BW82" s="258" t="str">
        <f t="shared" si="91"/>
        <v/>
      </c>
      <c r="BX82" s="258" t="str">
        <f>IF($U82="","",SUM(BS82:BS$114)+SUM(BW82:BW$114))</f>
        <v/>
      </c>
      <c r="BY82" s="103"/>
      <c r="BZ82" s="103"/>
      <c r="CA82" s="103"/>
      <c r="CB82" s="103"/>
      <c r="CC82" s="258" t="str">
        <f t="shared" si="92"/>
        <v/>
      </c>
      <c r="CD82" s="258" t="str">
        <f t="shared" si="80"/>
        <v/>
      </c>
      <c r="CE82" s="258" t="str">
        <f t="shared" si="81"/>
        <v/>
      </c>
      <c r="CF82" s="258" t="str">
        <f t="shared" si="93"/>
        <v/>
      </c>
      <c r="CG82" s="258" t="str">
        <f t="shared" si="82"/>
        <v/>
      </c>
      <c r="CH82" s="104" t="str">
        <f t="shared" si="94"/>
        <v/>
      </c>
      <c r="CI82" s="105" t="str">
        <f t="shared" si="83"/>
        <v/>
      </c>
      <c r="CJ82" s="240"/>
      <c r="CK82" s="101" t="str">
        <f t="shared" si="84"/>
        <v/>
      </c>
      <c r="CL82" s="105" t="str">
        <f t="shared" si="100"/>
        <v/>
      </c>
      <c r="CM82" s="105" t="str">
        <f t="shared" si="95"/>
        <v/>
      </c>
      <c r="CN82" s="105" t="str">
        <f t="shared" si="85"/>
        <v/>
      </c>
      <c r="CO82" s="105" t="str">
        <f t="shared" si="96"/>
        <v/>
      </c>
      <c r="CP82" s="240"/>
      <c r="CQ82" s="240"/>
      <c r="CR82" s="240"/>
      <c r="CS82" s="240"/>
      <c r="CT82" s="240"/>
      <c r="CU82" s="240"/>
      <c r="CV82" s="240"/>
    </row>
    <row r="83" spans="1:100">
      <c r="A83" s="305"/>
      <c r="D83" s="469"/>
      <c r="E83" s="469"/>
      <c r="F83" s="456"/>
      <c r="G83" s="470"/>
      <c r="H83" s="460"/>
      <c r="I83" s="148"/>
      <c r="J83" s="152"/>
      <c r="K83" s="150"/>
      <c r="L83" s="599"/>
      <c r="M83" s="599"/>
      <c r="N83" s="278" t="str">
        <f t="shared" si="104"/>
        <v/>
      </c>
      <c r="O83" s="279" t="str">
        <f t="shared" si="105"/>
        <v/>
      </c>
      <c r="P83" s="271" t="str">
        <f t="shared" si="101"/>
        <v/>
      </c>
      <c r="Q83" s="271" t="str">
        <f t="shared" si="102"/>
        <v/>
      </c>
      <c r="R83" s="271" t="str">
        <f t="shared" si="103"/>
        <v/>
      </c>
      <c r="S83" s="400" t="str">
        <f t="shared" si="86"/>
        <v/>
      </c>
      <c r="T83" s="231"/>
      <c r="U83" s="101" t="str">
        <f t="shared" si="97"/>
        <v/>
      </c>
      <c r="V83" s="285" t="str">
        <f>Main_무해지!AC83</f>
        <v/>
      </c>
      <c r="W83" s="308">
        <f>+Main_무해지!AD83</f>
        <v>0</v>
      </c>
      <c r="X83" s="308">
        <v>0</v>
      </c>
      <c r="Y83" s="258" t="str">
        <f t="shared" si="98"/>
        <v/>
      </c>
      <c r="Z83" s="258" t="str">
        <f t="shared" si="53"/>
        <v/>
      </c>
      <c r="AA83" s="102" t="str">
        <f>IF($U83="","",SUM(Z83:Z$114))</f>
        <v/>
      </c>
      <c r="AB83" s="258" t="str">
        <f t="shared" si="87"/>
        <v/>
      </c>
      <c r="AC83" s="254">
        <f t="shared" si="88"/>
        <v>0</v>
      </c>
      <c r="AD83" s="254" t="str">
        <f>Main_무해지!AJ83</f>
        <v/>
      </c>
      <c r="AE83" s="258">
        <f t="shared" si="54"/>
        <v>0</v>
      </c>
      <c r="AF83" s="258" t="str">
        <f t="shared" si="99"/>
        <v/>
      </c>
      <c r="AG83" s="258" t="str">
        <f t="shared" si="55"/>
        <v/>
      </c>
      <c r="AH83" s="102" t="str">
        <f>IF($U83="","",SUM(AG83:AG$114))</f>
        <v/>
      </c>
      <c r="AI83" s="258" t="str">
        <f>Main_무해지!AP83</f>
        <v/>
      </c>
      <c r="AJ83" s="258">
        <f t="shared" si="56"/>
        <v>0</v>
      </c>
      <c r="AK83" s="258" t="str">
        <f t="shared" si="57"/>
        <v/>
      </c>
      <c r="AL83" s="258" t="str">
        <f t="shared" si="58"/>
        <v/>
      </c>
      <c r="AM83" s="315" t="str">
        <f>IF($U83="","",SUM($AN83:$AN$114))</f>
        <v/>
      </c>
      <c r="AN83" s="258" t="str">
        <f t="shared" si="89"/>
        <v/>
      </c>
      <c r="AO83" s="315" t="str">
        <f t="shared" si="59"/>
        <v/>
      </c>
      <c r="AP83" s="285" t="str">
        <f>IF($U83="","",INDEX(#REF!,$U83+1))</f>
        <v/>
      </c>
      <c r="AQ83" s="258">
        <f t="shared" si="60"/>
        <v>0</v>
      </c>
      <c r="AR83" s="258" t="str">
        <f t="shared" si="61"/>
        <v/>
      </c>
      <c r="AS83" s="258" t="str">
        <f t="shared" si="62"/>
        <v/>
      </c>
      <c r="AT83" s="315" t="str">
        <f>IF($U83="","",SUM($AS83:$AS$114))</f>
        <v/>
      </c>
      <c r="AU83" s="285" t="str">
        <f>IF($U83="","",INDEX(#REF!,$U83+1))</f>
        <v/>
      </c>
      <c r="AV83" s="258">
        <f t="shared" si="63"/>
        <v>0</v>
      </c>
      <c r="AW83" s="258" t="str">
        <f t="shared" si="64"/>
        <v/>
      </c>
      <c r="AX83" s="258" t="str">
        <f t="shared" si="65"/>
        <v/>
      </c>
      <c r="AY83" s="315" t="str">
        <f>IF($U83="","",SUM($AX83:$AX$114))</f>
        <v/>
      </c>
      <c r="AZ83" s="285" t="str">
        <f>IF($U83="","",INDEX(#REF!,$U83+1))</f>
        <v/>
      </c>
      <c r="BA83" s="258">
        <f t="shared" si="66"/>
        <v>0</v>
      </c>
      <c r="BB83" s="258" t="str">
        <f t="shared" si="67"/>
        <v/>
      </c>
      <c r="BC83" s="258" t="str">
        <f t="shared" si="68"/>
        <v/>
      </c>
      <c r="BD83" s="315" t="str">
        <f>IF($U83="","",SUM($BC83:$BC$114))</f>
        <v/>
      </c>
      <c r="BE83" s="285" t="str">
        <f>IF($U83="","",INDEX(#REF!,$U83+1))</f>
        <v/>
      </c>
      <c r="BF83" s="258">
        <f t="shared" si="69"/>
        <v>0</v>
      </c>
      <c r="BG83" s="258" t="str">
        <f t="shared" si="70"/>
        <v/>
      </c>
      <c r="BH83" s="258" t="str">
        <f t="shared" si="71"/>
        <v/>
      </c>
      <c r="BI83" s="315" t="str">
        <f>IF($U83="","",SUM($BH83:$BH$114))</f>
        <v/>
      </c>
      <c r="BJ83" s="285" t="str">
        <f>IF($U83="","",INDEX(#REF!,$U83+1))</f>
        <v/>
      </c>
      <c r="BK83" s="258">
        <f t="shared" si="72"/>
        <v>0</v>
      </c>
      <c r="BL83" s="258" t="str">
        <f t="shared" si="73"/>
        <v/>
      </c>
      <c r="BM83" s="258" t="str">
        <f t="shared" si="74"/>
        <v/>
      </c>
      <c r="BN83" s="315" t="str">
        <f>IF($U83="","",SUM($BM83:$BM$114))</f>
        <v/>
      </c>
      <c r="BO83" s="285">
        <f t="shared" si="75"/>
        <v>0</v>
      </c>
      <c r="BP83" s="258" t="str">
        <f t="shared" si="76"/>
        <v/>
      </c>
      <c r="BQ83" s="258" t="str">
        <f t="shared" si="77"/>
        <v/>
      </c>
      <c r="BR83" s="258"/>
      <c r="BS83" s="258" t="str">
        <f t="shared" si="90"/>
        <v/>
      </c>
      <c r="BT83" s="258" t="str">
        <f t="shared" si="78"/>
        <v/>
      </c>
      <c r="BU83" s="258" t="str">
        <f t="shared" si="79"/>
        <v/>
      </c>
      <c r="BV83" s="258"/>
      <c r="BW83" s="258" t="str">
        <f t="shared" si="91"/>
        <v/>
      </c>
      <c r="BX83" s="258" t="str">
        <f>IF($U83="","",SUM(BS83:BS$114)+SUM(BW83:BW$114))</f>
        <v/>
      </c>
      <c r="BY83" s="103"/>
      <c r="BZ83" s="103"/>
      <c r="CA83" s="103"/>
      <c r="CB83" s="103"/>
      <c r="CC83" s="258" t="str">
        <f t="shared" si="92"/>
        <v/>
      </c>
      <c r="CD83" s="258" t="str">
        <f t="shared" si="80"/>
        <v/>
      </c>
      <c r="CE83" s="258" t="str">
        <f t="shared" si="81"/>
        <v/>
      </c>
      <c r="CF83" s="258" t="str">
        <f t="shared" si="93"/>
        <v/>
      </c>
      <c r="CG83" s="258" t="str">
        <f t="shared" si="82"/>
        <v/>
      </c>
      <c r="CH83" s="104" t="str">
        <f t="shared" si="94"/>
        <v/>
      </c>
      <c r="CI83" s="105" t="str">
        <f t="shared" si="83"/>
        <v/>
      </c>
      <c r="CJ83" s="240"/>
      <c r="CK83" s="101" t="str">
        <f t="shared" si="84"/>
        <v/>
      </c>
      <c r="CL83" s="105" t="str">
        <f t="shared" si="100"/>
        <v/>
      </c>
      <c r="CM83" s="105" t="str">
        <f t="shared" si="95"/>
        <v/>
      </c>
      <c r="CN83" s="105" t="str">
        <f t="shared" si="85"/>
        <v/>
      </c>
      <c r="CO83" s="105" t="str">
        <f t="shared" si="96"/>
        <v/>
      </c>
      <c r="CP83" s="240"/>
      <c r="CQ83" s="240"/>
      <c r="CR83" s="240"/>
      <c r="CS83" s="240"/>
      <c r="CT83" s="240"/>
      <c r="CU83" s="240"/>
      <c r="CV83" s="240"/>
    </row>
    <row r="84" spans="1:100">
      <c r="A84" s="305"/>
      <c r="D84" s="469"/>
      <c r="E84" s="469"/>
      <c r="F84" s="456"/>
      <c r="G84" s="470"/>
      <c r="H84" s="460"/>
      <c r="I84" s="148"/>
      <c r="J84" s="152"/>
      <c r="K84" s="150"/>
      <c r="L84" s="599"/>
      <c r="M84" s="599"/>
      <c r="N84" s="278" t="str">
        <f t="shared" si="104"/>
        <v/>
      </c>
      <c r="O84" s="279" t="str">
        <f t="shared" si="105"/>
        <v/>
      </c>
      <c r="P84" s="271" t="str">
        <f t="shared" si="101"/>
        <v/>
      </c>
      <c r="Q84" s="271" t="str">
        <f t="shared" si="102"/>
        <v/>
      </c>
      <c r="R84" s="271" t="str">
        <f t="shared" si="103"/>
        <v/>
      </c>
      <c r="S84" s="400" t="str">
        <f t="shared" si="86"/>
        <v/>
      </c>
      <c r="T84" s="231"/>
      <c r="U84" s="110" t="str">
        <f t="shared" si="97"/>
        <v/>
      </c>
      <c r="V84" s="286" t="str">
        <f>Main_무해지!AC84</f>
        <v/>
      </c>
      <c r="W84" s="309">
        <f>+Main_무해지!AD84</f>
        <v>0</v>
      </c>
      <c r="X84" s="309">
        <v>0</v>
      </c>
      <c r="Y84" s="259" t="str">
        <f t="shared" si="98"/>
        <v/>
      </c>
      <c r="Z84" s="259" t="str">
        <f t="shared" si="53"/>
        <v/>
      </c>
      <c r="AA84" s="111" t="str">
        <f>IF($U84="","",SUM(Z84:Z$114))</f>
        <v/>
      </c>
      <c r="AB84" s="259" t="str">
        <f t="shared" si="87"/>
        <v/>
      </c>
      <c r="AC84" s="254">
        <f t="shared" si="88"/>
        <v>0</v>
      </c>
      <c r="AD84" s="254" t="str">
        <f>Main_무해지!AJ84</f>
        <v/>
      </c>
      <c r="AE84" s="259">
        <f t="shared" si="54"/>
        <v>0</v>
      </c>
      <c r="AF84" s="259" t="str">
        <f t="shared" si="99"/>
        <v/>
      </c>
      <c r="AG84" s="259" t="str">
        <f t="shared" si="55"/>
        <v/>
      </c>
      <c r="AH84" s="111" t="str">
        <f>IF($U84="","",SUM(AG84:AG$114))</f>
        <v/>
      </c>
      <c r="AI84" s="259" t="str">
        <f>Main_무해지!AP84</f>
        <v/>
      </c>
      <c r="AJ84" s="259">
        <f t="shared" si="56"/>
        <v>0</v>
      </c>
      <c r="AK84" s="259" t="str">
        <f t="shared" si="57"/>
        <v/>
      </c>
      <c r="AL84" s="259" t="str">
        <f t="shared" si="58"/>
        <v/>
      </c>
      <c r="AM84" s="316" t="str">
        <f>IF($U84="","",SUM($AN84:$AN$114))</f>
        <v/>
      </c>
      <c r="AN84" s="259" t="str">
        <f t="shared" si="89"/>
        <v/>
      </c>
      <c r="AO84" s="316" t="str">
        <f t="shared" si="59"/>
        <v/>
      </c>
      <c r="AP84" s="286" t="str">
        <f>IF($U84="","",INDEX(#REF!,$U84+1))</f>
        <v/>
      </c>
      <c r="AQ84" s="259">
        <f t="shared" si="60"/>
        <v>0</v>
      </c>
      <c r="AR84" s="259" t="str">
        <f t="shared" si="61"/>
        <v/>
      </c>
      <c r="AS84" s="259" t="str">
        <f t="shared" si="62"/>
        <v/>
      </c>
      <c r="AT84" s="316" t="str">
        <f>IF($U84="","",SUM($AS84:$AS$114))</f>
        <v/>
      </c>
      <c r="AU84" s="286" t="str">
        <f>IF($U84="","",INDEX(#REF!,$U84+1))</f>
        <v/>
      </c>
      <c r="AV84" s="259">
        <f t="shared" si="63"/>
        <v>0</v>
      </c>
      <c r="AW84" s="259" t="str">
        <f t="shared" si="64"/>
        <v/>
      </c>
      <c r="AX84" s="259" t="str">
        <f t="shared" si="65"/>
        <v/>
      </c>
      <c r="AY84" s="316" t="str">
        <f>IF($U84="","",SUM($AX84:$AX$114))</f>
        <v/>
      </c>
      <c r="AZ84" s="286" t="str">
        <f>IF($U84="","",INDEX(#REF!,$U84+1))</f>
        <v/>
      </c>
      <c r="BA84" s="259">
        <f t="shared" si="66"/>
        <v>0</v>
      </c>
      <c r="BB84" s="259" t="str">
        <f t="shared" si="67"/>
        <v/>
      </c>
      <c r="BC84" s="259" t="str">
        <f t="shared" si="68"/>
        <v/>
      </c>
      <c r="BD84" s="316" t="str">
        <f>IF($U84="","",SUM($BC84:$BC$114))</f>
        <v/>
      </c>
      <c r="BE84" s="286" t="str">
        <f>IF($U84="","",INDEX(#REF!,$U84+1))</f>
        <v/>
      </c>
      <c r="BF84" s="259">
        <f t="shared" si="69"/>
        <v>0</v>
      </c>
      <c r="BG84" s="259" t="str">
        <f t="shared" si="70"/>
        <v/>
      </c>
      <c r="BH84" s="259" t="str">
        <f t="shared" si="71"/>
        <v/>
      </c>
      <c r="BI84" s="316" t="str">
        <f>IF($U84="","",SUM($BH84:$BH$114))</f>
        <v/>
      </c>
      <c r="BJ84" s="286" t="str">
        <f>IF($U84="","",INDEX(#REF!,$U84+1))</f>
        <v/>
      </c>
      <c r="BK84" s="259">
        <f t="shared" si="72"/>
        <v>0</v>
      </c>
      <c r="BL84" s="259" t="str">
        <f t="shared" si="73"/>
        <v/>
      </c>
      <c r="BM84" s="259" t="str">
        <f t="shared" si="74"/>
        <v/>
      </c>
      <c r="BN84" s="316" t="str">
        <f>IF($U84="","",SUM($BM84:$BM$114))</f>
        <v/>
      </c>
      <c r="BO84" s="286">
        <f t="shared" si="75"/>
        <v>0</v>
      </c>
      <c r="BP84" s="259" t="str">
        <f t="shared" si="76"/>
        <v/>
      </c>
      <c r="BQ84" s="259" t="str">
        <f t="shared" si="77"/>
        <v/>
      </c>
      <c r="BR84" s="259"/>
      <c r="BS84" s="259" t="str">
        <f t="shared" si="90"/>
        <v/>
      </c>
      <c r="BT84" s="259" t="str">
        <f t="shared" si="78"/>
        <v/>
      </c>
      <c r="BU84" s="259" t="str">
        <f t="shared" si="79"/>
        <v/>
      </c>
      <c r="BV84" s="259"/>
      <c r="BW84" s="259" t="str">
        <f t="shared" si="91"/>
        <v/>
      </c>
      <c r="BX84" s="259" t="str">
        <f>IF($U84="","",SUM(BS84:BS$114)+SUM(BW84:BW$114))</f>
        <v/>
      </c>
      <c r="BY84" s="112"/>
      <c r="BZ84" s="112"/>
      <c r="CA84" s="112"/>
      <c r="CB84" s="112"/>
      <c r="CC84" s="259" t="str">
        <f t="shared" si="92"/>
        <v/>
      </c>
      <c r="CD84" s="259" t="str">
        <f t="shared" si="80"/>
        <v/>
      </c>
      <c r="CE84" s="259" t="str">
        <f t="shared" si="81"/>
        <v/>
      </c>
      <c r="CF84" s="259" t="str">
        <f t="shared" si="93"/>
        <v/>
      </c>
      <c r="CG84" s="259" t="str">
        <f t="shared" si="82"/>
        <v/>
      </c>
      <c r="CH84" s="113" t="str">
        <f t="shared" si="94"/>
        <v/>
      </c>
      <c r="CI84" s="114" t="str">
        <f t="shared" si="83"/>
        <v/>
      </c>
      <c r="CJ84" s="241"/>
      <c r="CK84" s="110" t="str">
        <f t="shared" si="84"/>
        <v/>
      </c>
      <c r="CL84" s="114" t="str">
        <f t="shared" si="100"/>
        <v/>
      </c>
      <c r="CM84" s="114" t="str">
        <f t="shared" si="95"/>
        <v/>
      </c>
      <c r="CN84" s="114" t="str">
        <f t="shared" si="85"/>
        <v/>
      </c>
      <c r="CO84" s="114" t="str">
        <f t="shared" si="96"/>
        <v/>
      </c>
      <c r="CP84" s="241"/>
      <c r="CQ84" s="241"/>
      <c r="CR84" s="241"/>
      <c r="CS84" s="241"/>
      <c r="CT84" s="241"/>
      <c r="CU84" s="241"/>
      <c r="CV84" s="241"/>
    </row>
    <row r="85" spans="1:100">
      <c r="A85" s="305"/>
      <c r="D85" s="469"/>
      <c r="E85" s="469"/>
      <c r="F85" s="456"/>
      <c r="G85" s="470"/>
      <c r="H85" s="460"/>
      <c r="I85" s="148"/>
      <c r="J85" s="152"/>
      <c r="K85" s="150"/>
      <c r="L85" s="599"/>
      <c r="M85" s="599"/>
      <c r="N85" s="278" t="str">
        <f t="shared" si="104"/>
        <v/>
      </c>
      <c r="O85" s="279" t="str">
        <f t="shared" si="105"/>
        <v/>
      </c>
      <c r="P85" s="271" t="str">
        <f t="shared" si="101"/>
        <v/>
      </c>
      <c r="Q85" s="271" t="str">
        <f t="shared" si="102"/>
        <v/>
      </c>
      <c r="R85" s="271" t="str">
        <f t="shared" si="103"/>
        <v/>
      </c>
      <c r="S85" s="400" t="str">
        <f t="shared" si="86"/>
        <v/>
      </c>
      <c r="T85" s="231"/>
      <c r="U85" s="770" t="str">
        <f t="shared" si="97"/>
        <v/>
      </c>
      <c r="V85" s="772" t="str">
        <f>Main_무해지!AC85</f>
        <v/>
      </c>
      <c r="W85" s="640">
        <f>+Main_무해지!AD85</f>
        <v>0</v>
      </c>
      <c r="X85" s="640">
        <v>0</v>
      </c>
      <c r="Y85" s="410" t="str">
        <f t="shared" si="98"/>
        <v/>
      </c>
      <c r="Z85" s="410" t="str">
        <f t="shared" si="53"/>
        <v/>
      </c>
      <c r="AA85" s="771" t="str">
        <f>IF($U85="","",SUM(Z85:Z$114))</f>
        <v/>
      </c>
      <c r="AB85" s="410" t="str">
        <f t="shared" si="87"/>
        <v/>
      </c>
      <c r="AC85" s="254">
        <f t="shared" si="88"/>
        <v>0</v>
      </c>
      <c r="AD85" s="254" t="str">
        <f>Main_무해지!AJ85</f>
        <v/>
      </c>
      <c r="AE85" s="410">
        <f t="shared" si="54"/>
        <v>0</v>
      </c>
      <c r="AF85" s="410" t="str">
        <f t="shared" si="99"/>
        <v/>
      </c>
      <c r="AG85" s="410" t="str">
        <f t="shared" si="55"/>
        <v/>
      </c>
      <c r="AH85" s="771" t="str">
        <f>IF($U85="","",SUM(AG85:AG$114))</f>
        <v/>
      </c>
      <c r="AI85" s="410" t="str">
        <f>Main_무해지!AP85</f>
        <v/>
      </c>
      <c r="AJ85" s="410">
        <f t="shared" si="56"/>
        <v>0</v>
      </c>
      <c r="AK85" s="410" t="str">
        <f t="shared" si="57"/>
        <v/>
      </c>
      <c r="AL85" s="410" t="str">
        <f t="shared" si="58"/>
        <v/>
      </c>
      <c r="AM85" s="773" t="str">
        <f>IF($U85="","",SUM($AN85:$AN$114))</f>
        <v/>
      </c>
      <c r="AN85" s="410" t="str">
        <f t="shared" si="89"/>
        <v/>
      </c>
      <c r="AO85" s="773" t="str">
        <f t="shared" si="59"/>
        <v/>
      </c>
      <c r="AP85" s="772" t="str">
        <f>IF($U85="","",INDEX(#REF!,$U85+1))</f>
        <v/>
      </c>
      <c r="AQ85" s="410">
        <f t="shared" si="60"/>
        <v>0</v>
      </c>
      <c r="AR85" s="410" t="str">
        <f t="shared" si="61"/>
        <v/>
      </c>
      <c r="AS85" s="410" t="str">
        <f t="shared" si="62"/>
        <v/>
      </c>
      <c r="AT85" s="773" t="str">
        <f>IF($U85="","",SUM($AS85:$AS$114))</f>
        <v/>
      </c>
      <c r="AU85" s="772" t="str">
        <f>IF($U85="","",INDEX(#REF!,$U85+1))</f>
        <v/>
      </c>
      <c r="AV85" s="410">
        <f t="shared" si="63"/>
        <v>0</v>
      </c>
      <c r="AW85" s="410" t="str">
        <f t="shared" si="64"/>
        <v/>
      </c>
      <c r="AX85" s="410" t="str">
        <f t="shared" si="65"/>
        <v/>
      </c>
      <c r="AY85" s="773" t="str">
        <f>IF($U85="","",SUM($AX85:$AX$114))</f>
        <v/>
      </c>
      <c r="AZ85" s="772" t="str">
        <f>IF($U85="","",INDEX(#REF!,$U85+1))</f>
        <v/>
      </c>
      <c r="BA85" s="410">
        <f t="shared" si="66"/>
        <v>0</v>
      </c>
      <c r="BB85" s="410" t="str">
        <f t="shared" si="67"/>
        <v/>
      </c>
      <c r="BC85" s="410" t="str">
        <f t="shared" si="68"/>
        <v/>
      </c>
      <c r="BD85" s="773" t="str">
        <f>IF($U85="","",SUM($BC85:$BC$114))</f>
        <v/>
      </c>
      <c r="BE85" s="772" t="str">
        <f>IF($U85="","",INDEX(#REF!,$U85+1))</f>
        <v/>
      </c>
      <c r="BF85" s="410">
        <f t="shared" si="69"/>
        <v>0</v>
      </c>
      <c r="BG85" s="410" t="str">
        <f t="shared" si="70"/>
        <v/>
      </c>
      <c r="BH85" s="410" t="str">
        <f t="shared" si="71"/>
        <v/>
      </c>
      <c r="BI85" s="773" t="str">
        <f>IF($U85="","",SUM($BH85:$BH$114))</f>
        <v/>
      </c>
      <c r="BJ85" s="772" t="str">
        <f>IF($U85="","",INDEX(#REF!,$U85+1))</f>
        <v/>
      </c>
      <c r="BK85" s="410">
        <f t="shared" si="72"/>
        <v>0</v>
      </c>
      <c r="BL85" s="410" t="str">
        <f t="shared" si="73"/>
        <v/>
      </c>
      <c r="BM85" s="410" t="str">
        <f t="shared" si="74"/>
        <v/>
      </c>
      <c r="BN85" s="773" t="str">
        <f>IF($U85="","",SUM($BM85:$BM$114))</f>
        <v/>
      </c>
      <c r="BO85" s="772">
        <f t="shared" si="75"/>
        <v>0</v>
      </c>
      <c r="BP85" s="410" t="str">
        <f t="shared" si="76"/>
        <v/>
      </c>
      <c r="BQ85" s="410" t="str">
        <f t="shared" si="77"/>
        <v/>
      </c>
      <c r="BR85" s="410"/>
      <c r="BS85" s="410" t="str">
        <f t="shared" si="90"/>
        <v/>
      </c>
      <c r="BT85" s="410" t="str">
        <f t="shared" si="78"/>
        <v/>
      </c>
      <c r="BU85" s="410" t="str">
        <f t="shared" si="79"/>
        <v/>
      </c>
      <c r="BV85" s="410"/>
      <c r="BW85" s="410" t="str">
        <f t="shared" si="91"/>
        <v/>
      </c>
      <c r="BX85" s="410" t="str">
        <f>IF($U85="","",SUM(BS85:BS$114)+SUM(BW85:BW$114))</f>
        <v/>
      </c>
      <c r="BY85" s="774"/>
      <c r="BZ85" s="774"/>
      <c r="CA85" s="774"/>
      <c r="CB85" s="774"/>
      <c r="CC85" s="410" t="str">
        <f t="shared" si="92"/>
        <v/>
      </c>
      <c r="CD85" s="410" t="str">
        <f t="shared" si="80"/>
        <v/>
      </c>
      <c r="CE85" s="410" t="str">
        <f t="shared" si="81"/>
        <v/>
      </c>
      <c r="CF85" s="410" t="str">
        <f t="shared" si="93"/>
        <v/>
      </c>
      <c r="CG85" s="410" t="str">
        <f t="shared" si="82"/>
        <v/>
      </c>
      <c r="CH85" s="776" t="str">
        <f t="shared" si="94"/>
        <v/>
      </c>
      <c r="CI85" s="777" t="str">
        <f t="shared" si="83"/>
        <v/>
      </c>
      <c r="CJ85" s="415"/>
      <c r="CK85" s="770" t="str">
        <f t="shared" si="84"/>
        <v/>
      </c>
      <c r="CL85" s="777" t="str">
        <f t="shared" si="100"/>
        <v/>
      </c>
      <c r="CM85" s="777" t="str">
        <f t="shared" si="95"/>
        <v/>
      </c>
      <c r="CN85" s="777" t="str">
        <f t="shared" si="85"/>
        <v/>
      </c>
      <c r="CO85" s="777" t="str">
        <f t="shared" si="96"/>
        <v/>
      </c>
      <c r="CP85" s="415"/>
      <c r="CQ85" s="415"/>
      <c r="CR85" s="415"/>
      <c r="CS85" s="415"/>
      <c r="CT85" s="415"/>
      <c r="CU85" s="415"/>
      <c r="CV85" s="415"/>
    </row>
    <row r="86" spans="1:100">
      <c r="A86" s="305"/>
      <c r="D86" s="469"/>
      <c r="E86" s="469"/>
      <c r="F86" s="456"/>
      <c r="G86" s="470"/>
      <c r="H86" s="460"/>
      <c r="I86" s="148"/>
      <c r="J86" s="152"/>
      <c r="K86" s="150"/>
      <c r="L86" s="599"/>
      <c r="M86" s="599"/>
      <c r="N86" s="280" t="str">
        <f t="shared" si="104"/>
        <v/>
      </c>
      <c r="O86" s="281" t="str">
        <f t="shared" si="105"/>
        <v/>
      </c>
      <c r="P86" s="282" t="str">
        <f t="shared" si="101"/>
        <v/>
      </c>
      <c r="Q86" s="282" t="str">
        <f t="shared" si="102"/>
        <v/>
      </c>
      <c r="R86" s="282" t="str">
        <f t="shared" si="103"/>
        <v/>
      </c>
      <c r="S86" s="402" t="str">
        <f t="shared" si="86"/>
        <v/>
      </c>
      <c r="T86" s="231"/>
      <c r="U86" s="120" t="str">
        <f t="shared" si="97"/>
        <v/>
      </c>
      <c r="V86" s="287" t="str">
        <f>Main_무해지!AC86</f>
        <v/>
      </c>
      <c r="W86" s="310">
        <f>+Main_무해지!AD86</f>
        <v>0</v>
      </c>
      <c r="X86" s="310">
        <v>0</v>
      </c>
      <c r="Y86" s="260" t="str">
        <f t="shared" si="98"/>
        <v/>
      </c>
      <c r="Z86" s="260" t="str">
        <f t="shared" si="53"/>
        <v/>
      </c>
      <c r="AA86" s="121" t="str">
        <f>IF($U86="","",SUM(Z86:Z$114))</f>
        <v/>
      </c>
      <c r="AB86" s="260" t="str">
        <f t="shared" si="87"/>
        <v/>
      </c>
      <c r="AC86" s="254">
        <f t="shared" si="88"/>
        <v>0</v>
      </c>
      <c r="AD86" s="254" t="str">
        <f>Main_무해지!AJ86</f>
        <v/>
      </c>
      <c r="AE86" s="260">
        <f t="shared" si="54"/>
        <v>0</v>
      </c>
      <c r="AF86" s="260" t="str">
        <f t="shared" si="99"/>
        <v/>
      </c>
      <c r="AG86" s="260" t="str">
        <f t="shared" si="55"/>
        <v/>
      </c>
      <c r="AH86" s="121" t="str">
        <f>IF($U86="","",SUM(AG86:AG$114))</f>
        <v/>
      </c>
      <c r="AI86" s="260" t="str">
        <f>Main_무해지!AP86</f>
        <v/>
      </c>
      <c r="AJ86" s="260">
        <f t="shared" si="56"/>
        <v>0</v>
      </c>
      <c r="AK86" s="260" t="str">
        <f t="shared" si="57"/>
        <v/>
      </c>
      <c r="AL86" s="260" t="str">
        <f t="shared" si="58"/>
        <v/>
      </c>
      <c r="AM86" s="317" t="str">
        <f>IF($U86="","",SUM($AN86:$AN$114))</f>
        <v/>
      </c>
      <c r="AN86" s="260" t="str">
        <f t="shared" si="89"/>
        <v/>
      </c>
      <c r="AO86" s="317" t="str">
        <f t="shared" si="59"/>
        <v/>
      </c>
      <c r="AP86" s="287" t="str">
        <f>IF($U86="","",INDEX(#REF!,$U86+1))</f>
        <v/>
      </c>
      <c r="AQ86" s="260">
        <f t="shared" si="60"/>
        <v>0</v>
      </c>
      <c r="AR86" s="260" t="str">
        <f t="shared" si="61"/>
        <v/>
      </c>
      <c r="AS86" s="260" t="str">
        <f t="shared" si="62"/>
        <v/>
      </c>
      <c r="AT86" s="317" t="str">
        <f>IF($U86="","",SUM($AS86:$AS$114))</f>
        <v/>
      </c>
      <c r="AU86" s="287" t="str">
        <f>IF($U86="","",INDEX(#REF!,$U86+1))</f>
        <v/>
      </c>
      <c r="AV86" s="260">
        <f t="shared" si="63"/>
        <v>0</v>
      </c>
      <c r="AW86" s="260" t="str">
        <f t="shared" si="64"/>
        <v/>
      </c>
      <c r="AX86" s="260" t="str">
        <f t="shared" si="65"/>
        <v/>
      </c>
      <c r="AY86" s="317" t="str">
        <f>IF($U86="","",SUM($AX86:$AX$114))</f>
        <v/>
      </c>
      <c r="AZ86" s="287" t="str">
        <f>IF($U86="","",INDEX(#REF!,$U86+1))</f>
        <v/>
      </c>
      <c r="BA86" s="260">
        <f t="shared" si="66"/>
        <v>0</v>
      </c>
      <c r="BB86" s="260" t="str">
        <f t="shared" si="67"/>
        <v/>
      </c>
      <c r="BC86" s="260" t="str">
        <f t="shared" si="68"/>
        <v/>
      </c>
      <c r="BD86" s="317" t="str">
        <f>IF($U86="","",SUM($BC86:$BC$114))</f>
        <v/>
      </c>
      <c r="BE86" s="287" t="str">
        <f>IF($U86="","",INDEX(#REF!,$U86+1))</f>
        <v/>
      </c>
      <c r="BF86" s="260">
        <f t="shared" si="69"/>
        <v>0</v>
      </c>
      <c r="BG86" s="260" t="str">
        <f t="shared" si="70"/>
        <v/>
      </c>
      <c r="BH86" s="260" t="str">
        <f t="shared" si="71"/>
        <v/>
      </c>
      <c r="BI86" s="317" t="str">
        <f>IF($U86="","",SUM($BH86:$BH$114))</f>
        <v/>
      </c>
      <c r="BJ86" s="287" t="str">
        <f>IF($U86="","",INDEX(#REF!,$U86+1))</f>
        <v/>
      </c>
      <c r="BK86" s="260">
        <f t="shared" si="72"/>
        <v>0</v>
      </c>
      <c r="BL86" s="260" t="str">
        <f t="shared" si="73"/>
        <v/>
      </c>
      <c r="BM86" s="260" t="str">
        <f t="shared" si="74"/>
        <v/>
      </c>
      <c r="BN86" s="317" t="str">
        <f>IF($U86="","",SUM($BM86:$BM$114))</f>
        <v/>
      </c>
      <c r="BO86" s="287">
        <f t="shared" si="75"/>
        <v>0</v>
      </c>
      <c r="BP86" s="260" t="str">
        <f t="shared" si="76"/>
        <v/>
      </c>
      <c r="BQ86" s="260" t="str">
        <f t="shared" si="77"/>
        <v/>
      </c>
      <c r="BR86" s="260"/>
      <c r="BS86" s="260" t="str">
        <f t="shared" si="90"/>
        <v/>
      </c>
      <c r="BT86" s="260" t="str">
        <f t="shared" si="78"/>
        <v/>
      </c>
      <c r="BU86" s="260" t="str">
        <f t="shared" si="79"/>
        <v/>
      </c>
      <c r="BV86" s="260"/>
      <c r="BW86" s="260" t="str">
        <f t="shared" si="91"/>
        <v/>
      </c>
      <c r="BX86" s="260" t="str">
        <f>IF($U86="","",SUM(BS86:BS$114)+SUM(BW86:BW$114))</f>
        <v/>
      </c>
      <c r="BY86" s="122"/>
      <c r="BZ86" s="122"/>
      <c r="CA86" s="122"/>
      <c r="CB86" s="122"/>
      <c r="CC86" s="260" t="str">
        <f t="shared" si="92"/>
        <v/>
      </c>
      <c r="CD86" s="260" t="str">
        <f t="shared" si="80"/>
        <v/>
      </c>
      <c r="CE86" s="260" t="str">
        <f t="shared" si="81"/>
        <v/>
      </c>
      <c r="CF86" s="260" t="str">
        <f t="shared" si="93"/>
        <v/>
      </c>
      <c r="CG86" s="260" t="str">
        <f t="shared" si="82"/>
        <v/>
      </c>
      <c r="CH86" s="123" t="str">
        <f t="shared" si="94"/>
        <v/>
      </c>
      <c r="CI86" s="124" t="str">
        <f t="shared" si="83"/>
        <v/>
      </c>
      <c r="CJ86" s="242"/>
      <c r="CK86" s="120" t="str">
        <f t="shared" si="84"/>
        <v/>
      </c>
      <c r="CL86" s="124" t="str">
        <f t="shared" si="100"/>
        <v/>
      </c>
      <c r="CM86" s="124" t="str">
        <f t="shared" si="95"/>
        <v/>
      </c>
      <c r="CN86" s="124" t="str">
        <f t="shared" si="85"/>
        <v/>
      </c>
      <c r="CO86" s="124" t="str">
        <f t="shared" si="96"/>
        <v/>
      </c>
      <c r="CP86" s="242"/>
      <c r="CQ86" s="242"/>
      <c r="CR86" s="242"/>
      <c r="CS86" s="242"/>
      <c r="CT86" s="242"/>
      <c r="CU86" s="242"/>
      <c r="CV86" s="242"/>
    </row>
    <row r="87" spans="1:100">
      <c r="A87" s="305"/>
      <c r="D87" s="469"/>
      <c r="E87" s="471"/>
      <c r="F87" s="456"/>
      <c r="G87" s="470"/>
      <c r="H87" s="460"/>
      <c r="I87" s="148"/>
      <c r="J87" s="152"/>
      <c r="K87" s="150"/>
      <c r="L87" s="599"/>
      <c r="M87" s="599"/>
      <c r="N87" s="278" t="str">
        <f t="shared" si="104"/>
        <v/>
      </c>
      <c r="O87" s="279" t="str">
        <f t="shared" si="105"/>
        <v/>
      </c>
      <c r="P87" s="271" t="str">
        <f t="shared" si="101"/>
        <v/>
      </c>
      <c r="Q87" s="271" t="str">
        <f t="shared" si="102"/>
        <v/>
      </c>
      <c r="R87" s="271" t="str">
        <f t="shared" si="103"/>
        <v/>
      </c>
      <c r="S87" s="400" t="str">
        <f t="shared" si="86"/>
        <v/>
      </c>
      <c r="T87" s="231"/>
      <c r="U87" s="120" t="str">
        <f t="shared" si="97"/>
        <v/>
      </c>
      <c r="V87" s="287" t="str">
        <f>Main_무해지!AC87</f>
        <v/>
      </c>
      <c r="W87" s="310">
        <f>+Main_무해지!AD87</f>
        <v>0</v>
      </c>
      <c r="X87" s="310">
        <v>0</v>
      </c>
      <c r="Y87" s="260" t="str">
        <f t="shared" si="98"/>
        <v/>
      </c>
      <c r="Z87" s="260" t="str">
        <f t="shared" si="53"/>
        <v/>
      </c>
      <c r="AA87" s="121" t="str">
        <f>IF($U87="","",SUM(Z87:Z$114))</f>
        <v/>
      </c>
      <c r="AB87" s="260" t="str">
        <f t="shared" si="87"/>
        <v/>
      </c>
      <c r="AC87" s="254">
        <f t="shared" si="88"/>
        <v>0</v>
      </c>
      <c r="AD87" s="254" t="str">
        <f>Main_무해지!AJ87</f>
        <v/>
      </c>
      <c r="AE87" s="260">
        <f t="shared" si="54"/>
        <v>0</v>
      </c>
      <c r="AF87" s="260" t="str">
        <f t="shared" si="99"/>
        <v/>
      </c>
      <c r="AG87" s="260" t="str">
        <f t="shared" si="55"/>
        <v/>
      </c>
      <c r="AH87" s="121" t="str">
        <f>IF($U87="","",SUM(AG87:AG$114))</f>
        <v/>
      </c>
      <c r="AI87" s="260" t="str">
        <f>Main_무해지!AP87</f>
        <v/>
      </c>
      <c r="AJ87" s="260">
        <f t="shared" si="56"/>
        <v>0</v>
      </c>
      <c r="AK87" s="260" t="str">
        <f t="shared" si="57"/>
        <v/>
      </c>
      <c r="AL87" s="260" t="str">
        <f t="shared" si="58"/>
        <v/>
      </c>
      <c r="AM87" s="317" t="str">
        <f>IF($U87="","",SUM($AN87:$AN$114))</f>
        <v/>
      </c>
      <c r="AN87" s="260" t="str">
        <f t="shared" si="89"/>
        <v/>
      </c>
      <c r="AO87" s="317" t="str">
        <f t="shared" si="59"/>
        <v/>
      </c>
      <c r="AP87" s="287" t="str">
        <f>IF($U87="","",INDEX(#REF!,$U87+1))</f>
        <v/>
      </c>
      <c r="AQ87" s="260">
        <f t="shared" si="60"/>
        <v>0</v>
      </c>
      <c r="AR87" s="260" t="str">
        <f t="shared" si="61"/>
        <v/>
      </c>
      <c r="AS87" s="260" t="str">
        <f t="shared" si="62"/>
        <v/>
      </c>
      <c r="AT87" s="317" t="str">
        <f>IF($U87="","",SUM($AS87:$AS$114))</f>
        <v/>
      </c>
      <c r="AU87" s="287" t="str">
        <f>IF($U87="","",INDEX(#REF!,$U87+1))</f>
        <v/>
      </c>
      <c r="AV87" s="260">
        <f t="shared" si="63"/>
        <v>0</v>
      </c>
      <c r="AW87" s="260" t="str">
        <f t="shared" si="64"/>
        <v/>
      </c>
      <c r="AX87" s="260" t="str">
        <f t="shared" si="65"/>
        <v/>
      </c>
      <c r="AY87" s="317" t="str">
        <f>IF($U87="","",SUM($AX87:$AX$114))</f>
        <v/>
      </c>
      <c r="AZ87" s="287" t="str">
        <f>IF($U87="","",INDEX(#REF!,$U87+1))</f>
        <v/>
      </c>
      <c r="BA87" s="260">
        <f t="shared" si="66"/>
        <v>0</v>
      </c>
      <c r="BB87" s="260" t="str">
        <f t="shared" si="67"/>
        <v/>
      </c>
      <c r="BC87" s="260" t="str">
        <f t="shared" si="68"/>
        <v/>
      </c>
      <c r="BD87" s="317" t="str">
        <f>IF($U87="","",SUM($BC87:$BC$114))</f>
        <v/>
      </c>
      <c r="BE87" s="287" t="str">
        <f>IF($U87="","",INDEX(#REF!,$U87+1))</f>
        <v/>
      </c>
      <c r="BF87" s="260">
        <f t="shared" si="69"/>
        <v>0</v>
      </c>
      <c r="BG87" s="260" t="str">
        <f t="shared" si="70"/>
        <v/>
      </c>
      <c r="BH87" s="260" t="str">
        <f t="shared" si="71"/>
        <v/>
      </c>
      <c r="BI87" s="317" t="str">
        <f>IF($U87="","",SUM($BH87:$BH$114))</f>
        <v/>
      </c>
      <c r="BJ87" s="287" t="str">
        <f>IF($U87="","",INDEX(#REF!,$U87+1))</f>
        <v/>
      </c>
      <c r="BK87" s="260">
        <f t="shared" si="72"/>
        <v>0</v>
      </c>
      <c r="BL87" s="260" t="str">
        <f t="shared" si="73"/>
        <v/>
      </c>
      <c r="BM87" s="260" t="str">
        <f t="shared" si="74"/>
        <v/>
      </c>
      <c r="BN87" s="317" t="str">
        <f>IF($U87="","",SUM($BM87:$BM$114))</f>
        <v/>
      </c>
      <c r="BO87" s="287">
        <f t="shared" si="75"/>
        <v>0</v>
      </c>
      <c r="BP87" s="260" t="str">
        <f t="shared" si="76"/>
        <v/>
      </c>
      <c r="BQ87" s="260" t="str">
        <f t="shared" si="77"/>
        <v/>
      </c>
      <c r="BR87" s="260"/>
      <c r="BS87" s="260" t="str">
        <f t="shared" si="90"/>
        <v/>
      </c>
      <c r="BT87" s="260" t="str">
        <f t="shared" si="78"/>
        <v/>
      </c>
      <c r="BU87" s="260" t="str">
        <f t="shared" si="79"/>
        <v/>
      </c>
      <c r="BV87" s="260"/>
      <c r="BW87" s="260" t="str">
        <f t="shared" si="91"/>
        <v/>
      </c>
      <c r="BX87" s="260" t="str">
        <f>IF($U87="","",SUM(BS87:BS$114)+SUM(BW87:BW$114))</f>
        <v/>
      </c>
      <c r="BY87" s="122"/>
      <c r="BZ87" s="122"/>
      <c r="CA87" s="122"/>
      <c r="CB87" s="122"/>
      <c r="CC87" s="260" t="str">
        <f t="shared" si="92"/>
        <v/>
      </c>
      <c r="CD87" s="260" t="str">
        <f t="shared" si="80"/>
        <v/>
      </c>
      <c r="CE87" s="260" t="str">
        <f t="shared" si="81"/>
        <v/>
      </c>
      <c r="CF87" s="260" t="str">
        <f t="shared" si="93"/>
        <v/>
      </c>
      <c r="CG87" s="260" t="str">
        <f t="shared" si="82"/>
        <v/>
      </c>
      <c r="CH87" s="123" t="str">
        <f t="shared" si="94"/>
        <v/>
      </c>
      <c r="CI87" s="124" t="str">
        <f t="shared" si="83"/>
        <v/>
      </c>
      <c r="CJ87" s="242"/>
      <c r="CK87" s="120" t="str">
        <f t="shared" si="84"/>
        <v/>
      </c>
      <c r="CL87" s="124" t="str">
        <f t="shared" si="100"/>
        <v/>
      </c>
      <c r="CM87" s="124" t="str">
        <f t="shared" si="95"/>
        <v/>
      </c>
      <c r="CN87" s="124" t="str">
        <f t="shared" si="85"/>
        <v/>
      </c>
      <c r="CO87" s="124" t="str">
        <f t="shared" si="96"/>
        <v/>
      </c>
      <c r="CP87" s="242"/>
      <c r="CQ87" s="242"/>
      <c r="CR87" s="242"/>
      <c r="CS87" s="242"/>
      <c r="CT87" s="242"/>
      <c r="CU87" s="242"/>
      <c r="CV87" s="242"/>
    </row>
    <row r="88" spans="1:100">
      <c r="A88" s="305"/>
      <c r="D88" s="469"/>
      <c r="E88" s="469"/>
      <c r="F88" s="456"/>
      <c r="G88" s="470"/>
      <c r="H88" s="460"/>
      <c r="I88" s="148"/>
      <c r="J88" s="152"/>
      <c r="K88" s="150"/>
      <c r="L88" s="599"/>
      <c r="M88" s="599"/>
      <c r="N88" s="278" t="str">
        <f t="shared" si="104"/>
        <v/>
      </c>
      <c r="O88" s="279" t="str">
        <f t="shared" si="105"/>
        <v/>
      </c>
      <c r="P88" s="271" t="str">
        <f t="shared" si="101"/>
        <v/>
      </c>
      <c r="Q88" s="271" t="str">
        <f t="shared" si="102"/>
        <v/>
      </c>
      <c r="R88" s="271" t="str">
        <f t="shared" si="103"/>
        <v/>
      </c>
      <c r="S88" s="400" t="str">
        <f t="shared" si="86"/>
        <v/>
      </c>
      <c r="T88" s="231"/>
      <c r="U88" s="120" t="str">
        <f t="shared" si="97"/>
        <v/>
      </c>
      <c r="V88" s="287" t="str">
        <f>Main_무해지!AC88</f>
        <v/>
      </c>
      <c r="W88" s="310">
        <f>+Main_무해지!AD88</f>
        <v>0</v>
      </c>
      <c r="X88" s="310">
        <v>0</v>
      </c>
      <c r="Y88" s="260" t="str">
        <f t="shared" si="98"/>
        <v/>
      </c>
      <c r="Z88" s="260" t="str">
        <f t="shared" si="53"/>
        <v/>
      </c>
      <c r="AA88" s="121" t="str">
        <f>IF($U88="","",SUM(Z88:Z$114))</f>
        <v/>
      </c>
      <c r="AB88" s="260" t="str">
        <f t="shared" si="87"/>
        <v/>
      </c>
      <c r="AC88" s="254">
        <f t="shared" si="88"/>
        <v>0</v>
      </c>
      <c r="AD88" s="254" t="str">
        <f>Main_무해지!AJ88</f>
        <v/>
      </c>
      <c r="AE88" s="260">
        <f t="shared" si="54"/>
        <v>0</v>
      </c>
      <c r="AF88" s="260" t="str">
        <f t="shared" si="99"/>
        <v/>
      </c>
      <c r="AG88" s="260" t="str">
        <f t="shared" si="55"/>
        <v/>
      </c>
      <c r="AH88" s="121" t="str">
        <f>IF($U88="","",SUM(AG88:AG$114))</f>
        <v/>
      </c>
      <c r="AI88" s="260" t="str">
        <f>Main_무해지!AP88</f>
        <v/>
      </c>
      <c r="AJ88" s="260">
        <f t="shared" si="56"/>
        <v>0</v>
      </c>
      <c r="AK88" s="260" t="str">
        <f t="shared" si="57"/>
        <v/>
      </c>
      <c r="AL88" s="260" t="str">
        <f t="shared" si="58"/>
        <v/>
      </c>
      <c r="AM88" s="317" t="str">
        <f>IF($U88="","",SUM($AN88:$AN$114))</f>
        <v/>
      </c>
      <c r="AN88" s="260" t="str">
        <f t="shared" si="89"/>
        <v/>
      </c>
      <c r="AO88" s="317" t="str">
        <f t="shared" si="59"/>
        <v/>
      </c>
      <c r="AP88" s="287" t="str">
        <f>IF($U88="","",INDEX(#REF!,$U88+1))</f>
        <v/>
      </c>
      <c r="AQ88" s="260">
        <f t="shared" si="60"/>
        <v>0</v>
      </c>
      <c r="AR88" s="260" t="str">
        <f t="shared" si="61"/>
        <v/>
      </c>
      <c r="AS88" s="260" t="str">
        <f t="shared" si="62"/>
        <v/>
      </c>
      <c r="AT88" s="317" t="str">
        <f>IF($U88="","",SUM($AS88:$AS$114))</f>
        <v/>
      </c>
      <c r="AU88" s="287" t="str">
        <f>IF($U88="","",INDEX(#REF!,$U88+1))</f>
        <v/>
      </c>
      <c r="AV88" s="260">
        <f t="shared" si="63"/>
        <v>0</v>
      </c>
      <c r="AW88" s="260" t="str">
        <f t="shared" si="64"/>
        <v/>
      </c>
      <c r="AX88" s="260" t="str">
        <f t="shared" si="65"/>
        <v/>
      </c>
      <c r="AY88" s="317" t="str">
        <f>IF($U88="","",SUM($AX88:$AX$114))</f>
        <v/>
      </c>
      <c r="AZ88" s="287" t="str">
        <f>IF($U88="","",INDEX(#REF!,$U88+1))</f>
        <v/>
      </c>
      <c r="BA88" s="260">
        <f t="shared" si="66"/>
        <v>0</v>
      </c>
      <c r="BB88" s="260" t="str">
        <f t="shared" si="67"/>
        <v/>
      </c>
      <c r="BC88" s="260" t="str">
        <f t="shared" si="68"/>
        <v/>
      </c>
      <c r="BD88" s="317" t="str">
        <f>IF($U88="","",SUM($BC88:$BC$114))</f>
        <v/>
      </c>
      <c r="BE88" s="287" t="str">
        <f>IF($U88="","",INDEX(#REF!,$U88+1))</f>
        <v/>
      </c>
      <c r="BF88" s="260">
        <f t="shared" si="69"/>
        <v>0</v>
      </c>
      <c r="BG88" s="260" t="str">
        <f t="shared" si="70"/>
        <v/>
      </c>
      <c r="BH88" s="260" t="str">
        <f t="shared" si="71"/>
        <v/>
      </c>
      <c r="BI88" s="317" t="str">
        <f>IF($U88="","",SUM($BH88:$BH$114))</f>
        <v/>
      </c>
      <c r="BJ88" s="287" t="str">
        <f>IF($U88="","",INDEX(#REF!,$U88+1))</f>
        <v/>
      </c>
      <c r="BK88" s="260">
        <f t="shared" si="72"/>
        <v>0</v>
      </c>
      <c r="BL88" s="260" t="str">
        <f t="shared" si="73"/>
        <v/>
      </c>
      <c r="BM88" s="260" t="str">
        <f t="shared" si="74"/>
        <v/>
      </c>
      <c r="BN88" s="317" t="str">
        <f>IF($U88="","",SUM($BM88:$BM$114))</f>
        <v/>
      </c>
      <c r="BO88" s="287">
        <f t="shared" si="75"/>
        <v>0</v>
      </c>
      <c r="BP88" s="260" t="str">
        <f t="shared" si="76"/>
        <v/>
      </c>
      <c r="BQ88" s="260" t="str">
        <f t="shared" si="77"/>
        <v/>
      </c>
      <c r="BR88" s="260"/>
      <c r="BS88" s="260" t="str">
        <f t="shared" si="90"/>
        <v/>
      </c>
      <c r="BT88" s="260" t="str">
        <f t="shared" si="78"/>
        <v/>
      </c>
      <c r="BU88" s="260" t="str">
        <f t="shared" si="79"/>
        <v/>
      </c>
      <c r="BV88" s="260"/>
      <c r="BW88" s="260" t="str">
        <f t="shared" si="91"/>
        <v/>
      </c>
      <c r="BX88" s="260" t="str">
        <f>IF($U88="","",SUM(BS88:BS$114)+SUM(BW88:BW$114))</f>
        <v/>
      </c>
      <c r="BY88" s="122"/>
      <c r="BZ88" s="122"/>
      <c r="CA88" s="122"/>
      <c r="CB88" s="122"/>
      <c r="CC88" s="260" t="str">
        <f t="shared" si="92"/>
        <v/>
      </c>
      <c r="CD88" s="260" t="str">
        <f t="shared" si="80"/>
        <v/>
      </c>
      <c r="CE88" s="260" t="str">
        <f t="shared" si="81"/>
        <v/>
      </c>
      <c r="CF88" s="260" t="str">
        <f t="shared" si="93"/>
        <v/>
      </c>
      <c r="CG88" s="260" t="str">
        <f t="shared" si="82"/>
        <v/>
      </c>
      <c r="CH88" s="123" t="str">
        <f t="shared" si="94"/>
        <v/>
      </c>
      <c r="CI88" s="124" t="str">
        <f t="shared" si="83"/>
        <v/>
      </c>
      <c r="CJ88" s="242"/>
      <c r="CK88" s="120" t="str">
        <f t="shared" si="84"/>
        <v/>
      </c>
      <c r="CL88" s="124" t="str">
        <f t="shared" si="100"/>
        <v/>
      </c>
      <c r="CM88" s="124" t="str">
        <f t="shared" si="95"/>
        <v/>
      </c>
      <c r="CN88" s="124" t="str">
        <f t="shared" si="85"/>
        <v/>
      </c>
      <c r="CO88" s="124" t="str">
        <f t="shared" si="96"/>
        <v/>
      </c>
      <c r="CP88" s="242"/>
      <c r="CQ88" s="242"/>
      <c r="CR88" s="242"/>
      <c r="CS88" s="242"/>
      <c r="CT88" s="242"/>
      <c r="CU88" s="242"/>
      <c r="CV88" s="242"/>
    </row>
    <row r="89" spans="1:100">
      <c r="A89" s="305"/>
      <c r="D89" s="469"/>
      <c r="E89" s="469"/>
      <c r="F89" s="456"/>
      <c r="G89" s="470"/>
      <c r="H89" s="460"/>
      <c r="I89" s="148"/>
      <c r="J89" s="152"/>
      <c r="K89" s="150"/>
      <c r="L89" s="599"/>
      <c r="M89" s="599"/>
      <c r="N89" s="278" t="str">
        <f t="shared" si="104"/>
        <v/>
      </c>
      <c r="O89" s="279" t="str">
        <f t="shared" si="105"/>
        <v/>
      </c>
      <c r="P89" s="271" t="str">
        <f t="shared" si="101"/>
        <v/>
      </c>
      <c r="Q89" s="271" t="str">
        <f t="shared" si="102"/>
        <v/>
      </c>
      <c r="R89" s="271" t="str">
        <f t="shared" si="103"/>
        <v/>
      </c>
      <c r="S89" s="400" t="str">
        <f t="shared" si="86"/>
        <v/>
      </c>
      <c r="T89" s="231"/>
      <c r="U89" s="130" t="str">
        <f t="shared" si="97"/>
        <v/>
      </c>
      <c r="V89" s="288" t="str">
        <f>Main_무해지!AC89</f>
        <v/>
      </c>
      <c r="W89" s="311">
        <f>+Main_무해지!AD89</f>
        <v>0</v>
      </c>
      <c r="X89" s="311">
        <v>0</v>
      </c>
      <c r="Y89" s="261" t="str">
        <f t="shared" si="98"/>
        <v/>
      </c>
      <c r="Z89" s="261" t="str">
        <f t="shared" si="53"/>
        <v/>
      </c>
      <c r="AA89" s="131" t="str">
        <f>IF($U89="","",SUM(Z89:Z$114))</f>
        <v/>
      </c>
      <c r="AB89" s="261" t="str">
        <f t="shared" si="87"/>
        <v/>
      </c>
      <c r="AC89" s="254">
        <f t="shared" si="88"/>
        <v>0</v>
      </c>
      <c r="AD89" s="254" t="str">
        <f>Main_무해지!AJ89</f>
        <v/>
      </c>
      <c r="AE89" s="261">
        <f t="shared" si="54"/>
        <v>0</v>
      </c>
      <c r="AF89" s="261" t="str">
        <f t="shared" si="99"/>
        <v/>
      </c>
      <c r="AG89" s="261" t="str">
        <f t="shared" si="55"/>
        <v/>
      </c>
      <c r="AH89" s="131" t="str">
        <f>IF($U89="","",SUM(AG89:AG$114))</f>
        <v/>
      </c>
      <c r="AI89" s="261" t="str">
        <f>Main_무해지!AP89</f>
        <v/>
      </c>
      <c r="AJ89" s="261">
        <f t="shared" si="56"/>
        <v>0</v>
      </c>
      <c r="AK89" s="261" t="str">
        <f t="shared" si="57"/>
        <v/>
      </c>
      <c r="AL89" s="261" t="str">
        <f t="shared" si="58"/>
        <v/>
      </c>
      <c r="AM89" s="318" t="str">
        <f>IF($U89="","",SUM($AN89:$AN$114))</f>
        <v/>
      </c>
      <c r="AN89" s="261" t="str">
        <f t="shared" si="89"/>
        <v/>
      </c>
      <c r="AO89" s="318" t="str">
        <f t="shared" si="59"/>
        <v/>
      </c>
      <c r="AP89" s="288" t="str">
        <f>IF($U89="","",INDEX(#REF!,$U89+1))</f>
        <v/>
      </c>
      <c r="AQ89" s="261">
        <f t="shared" si="60"/>
        <v>0</v>
      </c>
      <c r="AR89" s="261" t="str">
        <f t="shared" si="61"/>
        <v/>
      </c>
      <c r="AS89" s="261" t="str">
        <f t="shared" si="62"/>
        <v/>
      </c>
      <c r="AT89" s="318" t="str">
        <f>IF($U89="","",SUM($AS89:$AS$114))</f>
        <v/>
      </c>
      <c r="AU89" s="288" t="str">
        <f>IF($U89="","",INDEX(#REF!,$U89+1))</f>
        <v/>
      </c>
      <c r="AV89" s="261">
        <f t="shared" si="63"/>
        <v>0</v>
      </c>
      <c r="AW89" s="261" t="str">
        <f t="shared" si="64"/>
        <v/>
      </c>
      <c r="AX89" s="261" t="str">
        <f t="shared" si="65"/>
        <v/>
      </c>
      <c r="AY89" s="318" t="str">
        <f>IF($U89="","",SUM($AX89:$AX$114))</f>
        <v/>
      </c>
      <c r="AZ89" s="288" t="str">
        <f>IF($U89="","",INDEX(#REF!,$U89+1))</f>
        <v/>
      </c>
      <c r="BA89" s="261">
        <f t="shared" si="66"/>
        <v>0</v>
      </c>
      <c r="BB89" s="261" t="str">
        <f t="shared" si="67"/>
        <v/>
      </c>
      <c r="BC89" s="261" t="str">
        <f t="shared" si="68"/>
        <v/>
      </c>
      <c r="BD89" s="318" t="str">
        <f>IF($U89="","",SUM($BC89:$BC$114))</f>
        <v/>
      </c>
      <c r="BE89" s="288" t="str">
        <f>IF($U89="","",INDEX(#REF!,$U89+1))</f>
        <v/>
      </c>
      <c r="BF89" s="261">
        <f t="shared" si="69"/>
        <v>0</v>
      </c>
      <c r="BG89" s="261" t="str">
        <f t="shared" si="70"/>
        <v/>
      </c>
      <c r="BH89" s="261" t="str">
        <f t="shared" si="71"/>
        <v/>
      </c>
      <c r="BI89" s="318" t="str">
        <f>IF($U89="","",SUM($BH89:$BH$114))</f>
        <v/>
      </c>
      <c r="BJ89" s="288" t="str">
        <f>IF($U89="","",INDEX(#REF!,$U89+1))</f>
        <v/>
      </c>
      <c r="BK89" s="261">
        <f t="shared" si="72"/>
        <v>0</v>
      </c>
      <c r="BL89" s="261" t="str">
        <f t="shared" si="73"/>
        <v/>
      </c>
      <c r="BM89" s="261" t="str">
        <f t="shared" si="74"/>
        <v/>
      </c>
      <c r="BN89" s="318" t="str">
        <f>IF($U89="","",SUM($BM89:$BM$114))</f>
        <v/>
      </c>
      <c r="BO89" s="288">
        <f t="shared" si="75"/>
        <v>0</v>
      </c>
      <c r="BP89" s="261" t="str">
        <f t="shared" si="76"/>
        <v/>
      </c>
      <c r="BQ89" s="261" t="str">
        <f t="shared" si="77"/>
        <v/>
      </c>
      <c r="BR89" s="261"/>
      <c r="BS89" s="261" t="str">
        <f t="shared" si="90"/>
        <v/>
      </c>
      <c r="BT89" s="261" t="str">
        <f t="shared" si="78"/>
        <v/>
      </c>
      <c r="BU89" s="261" t="str">
        <f t="shared" si="79"/>
        <v/>
      </c>
      <c r="BV89" s="261"/>
      <c r="BW89" s="261" t="str">
        <f t="shared" si="91"/>
        <v/>
      </c>
      <c r="BX89" s="261" t="str">
        <f>IF($U89="","",SUM(BS89:BS$114)+SUM(BW89:BW$114))</f>
        <v/>
      </c>
      <c r="BY89" s="132"/>
      <c r="BZ89" s="132"/>
      <c r="CA89" s="132"/>
      <c r="CB89" s="132"/>
      <c r="CC89" s="261" t="str">
        <f t="shared" si="92"/>
        <v/>
      </c>
      <c r="CD89" s="261" t="str">
        <f t="shared" si="80"/>
        <v/>
      </c>
      <c r="CE89" s="261" t="str">
        <f t="shared" si="81"/>
        <v/>
      </c>
      <c r="CF89" s="261" t="str">
        <f t="shared" si="93"/>
        <v/>
      </c>
      <c r="CG89" s="261" t="str">
        <f t="shared" si="82"/>
        <v/>
      </c>
      <c r="CH89" s="133" t="str">
        <f t="shared" si="94"/>
        <v/>
      </c>
      <c r="CI89" s="134" t="str">
        <f t="shared" si="83"/>
        <v/>
      </c>
      <c r="CJ89" s="243"/>
      <c r="CK89" s="130" t="str">
        <f t="shared" si="84"/>
        <v/>
      </c>
      <c r="CL89" s="134" t="str">
        <f t="shared" si="100"/>
        <v/>
      </c>
      <c r="CM89" s="134" t="str">
        <f t="shared" si="95"/>
        <v/>
      </c>
      <c r="CN89" s="134" t="str">
        <f t="shared" si="85"/>
        <v/>
      </c>
      <c r="CO89" s="134" t="str">
        <f t="shared" si="96"/>
        <v/>
      </c>
      <c r="CP89" s="243"/>
      <c r="CQ89" s="243"/>
      <c r="CR89" s="243"/>
      <c r="CS89" s="243"/>
      <c r="CT89" s="243"/>
      <c r="CU89" s="243"/>
      <c r="CV89" s="243"/>
    </row>
    <row r="90" spans="1:100">
      <c r="A90" s="305"/>
      <c r="D90" s="469"/>
      <c r="E90" s="469"/>
      <c r="F90" s="456"/>
      <c r="G90" s="470"/>
      <c r="H90" s="460"/>
      <c r="I90" s="148"/>
      <c r="J90" s="152"/>
      <c r="K90" s="150"/>
      <c r="L90" s="599"/>
      <c r="M90" s="599"/>
      <c r="N90" s="278" t="str">
        <f t="shared" si="104"/>
        <v/>
      </c>
      <c r="O90" s="279" t="str">
        <f t="shared" si="105"/>
        <v/>
      </c>
      <c r="P90" s="271" t="str">
        <f t="shared" si="101"/>
        <v/>
      </c>
      <c r="Q90" s="271" t="str">
        <f t="shared" si="102"/>
        <v/>
      </c>
      <c r="R90" s="271" t="str">
        <f t="shared" si="103"/>
        <v/>
      </c>
      <c r="S90" s="400" t="str">
        <f t="shared" si="86"/>
        <v/>
      </c>
      <c r="T90" s="231"/>
      <c r="U90" s="759" t="str">
        <f t="shared" si="97"/>
        <v/>
      </c>
      <c r="V90" s="761" t="str">
        <f>Main_무해지!AC90</f>
        <v/>
      </c>
      <c r="W90" s="639">
        <f>+Main_무해지!AD90</f>
        <v>0</v>
      </c>
      <c r="X90" s="639">
        <v>0</v>
      </c>
      <c r="Y90" s="409" t="str">
        <f t="shared" si="98"/>
        <v/>
      </c>
      <c r="Z90" s="409" t="str">
        <f t="shared" si="53"/>
        <v/>
      </c>
      <c r="AA90" s="760" t="str">
        <f>IF($U90="","",SUM(Z90:Z$114))</f>
        <v/>
      </c>
      <c r="AB90" s="409" t="str">
        <f t="shared" si="87"/>
        <v/>
      </c>
      <c r="AC90" s="254">
        <f t="shared" si="88"/>
        <v>0</v>
      </c>
      <c r="AD90" s="254" t="str">
        <f>Main_무해지!AJ90</f>
        <v/>
      </c>
      <c r="AE90" s="409">
        <f t="shared" si="54"/>
        <v>0</v>
      </c>
      <c r="AF90" s="409" t="str">
        <f t="shared" si="99"/>
        <v/>
      </c>
      <c r="AG90" s="409" t="str">
        <f t="shared" si="55"/>
        <v/>
      </c>
      <c r="AH90" s="760" t="str">
        <f>IF($U90="","",SUM(AG90:AG$114))</f>
        <v/>
      </c>
      <c r="AI90" s="409" t="str">
        <f>Main_무해지!AP90</f>
        <v/>
      </c>
      <c r="AJ90" s="409">
        <f t="shared" si="56"/>
        <v>0</v>
      </c>
      <c r="AK90" s="409" t="str">
        <f t="shared" si="57"/>
        <v/>
      </c>
      <c r="AL90" s="409" t="str">
        <f t="shared" si="58"/>
        <v/>
      </c>
      <c r="AM90" s="762" t="str">
        <f>IF($U90="","",SUM($AN90:$AN$114))</f>
        <v/>
      </c>
      <c r="AN90" s="409" t="str">
        <f t="shared" si="89"/>
        <v/>
      </c>
      <c r="AO90" s="762" t="str">
        <f t="shared" si="59"/>
        <v/>
      </c>
      <c r="AP90" s="761" t="str">
        <f>IF($U90="","",INDEX(#REF!,$U90+1))</f>
        <v/>
      </c>
      <c r="AQ90" s="409">
        <f t="shared" si="60"/>
        <v>0</v>
      </c>
      <c r="AR90" s="409" t="str">
        <f t="shared" si="61"/>
        <v/>
      </c>
      <c r="AS90" s="409" t="str">
        <f t="shared" si="62"/>
        <v/>
      </c>
      <c r="AT90" s="762" t="str">
        <f>IF($U90="","",SUM($AS90:$AS$114))</f>
        <v/>
      </c>
      <c r="AU90" s="761" t="str">
        <f>IF($U90="","",INDEX(#REF!,$U90+1))</f>
        <v/>
      </c>
      <c r="AV90" s="409">
        <f t="shared" si="63"/>
        <v>0</v>
      </c>
      <c r="AW90" s="409" t="str">
        <f t="shared" si="64"/>
        <v/>
      </c>
      <c r="AX90" s="409" t="str">
        <f t="shared" si="65"/>
        <v/>
      </c>
      <c r="AY90" s="762" t="str">
        <f>IF($U90="","",SUM($AX90:$AX$114))</f>
        <v/>
      </c>
      <c r="AZ90" s="761" t="str">
        <f>IF($U90="","",INDEX(#REF!,$U90+1))</f>
        <v/>
      </c>
      <c r="BA90" s="409">
        <f t="shared" si="66"/>
        <v>0</v>
      </c>
      <c r="BB90" s="409" t="str">
        <f t="shared" si="67"/>
        <v/>
      </c>
      <c r="BC90" s="409" t="str">
        <f t="shared" si="68"/>
        <v/>
      </c>
      <c r="BD90" s="762" t="str">
        <f>IF($U90="","",SUM($BC90:$BC$114))</f>
        <v/>
      </c>
      <c r="BE90" s="761" t="str">
        <f>IF($U90="","",INDEX(#REF!,$U90+1))</f>
        <v/>
      </c>
      <c r="BF90" s="409">
        <f t="shared" si="69"/>
        <v>0</v>
      </c>
      <c r="BG90" s="409" t="str">
        <f t="shared" si="70"/>
        <v/>
      </c>
      <c r="BH90" s="409" t="str">
        <f t="shared" si="71"/>
        <v/>
      </c>
      <c r="BI90" s="762" t="str">
        <f>IF($U90="","",SUM($BH90:$BH$114))</f>
        <v/>
      </c>
      <c r="BJ90" s="761" t="str">
        <f>IF($U90="","",INDEX(#REF!,$U90+1))</f>
        <v/>
      </c>
      <c r="BK90" s="409">
        <f t="shared" si="72"/>
        <v>0</v>
      </c>
      <c r="BL90" s="409" t="str">
        <f t="shared" si="73"/>
        <v/>
      </c>
      <c r="BM90" s="409" t="str">
        <f t="shared" si="74"/>
        <v/>
      </c>
      <c r="BN90" s="762" t="str">
        <f>IF($U90="","",SUM($BM90:$BM$114))</f>
        <v/>
      </c>
      <c r="BO90" s="761">
        <f t="shared" si="75"/>
        <v>0</v>
      </c>
      <c r="BP90" s="409" t="str">
        <f t="shared" si="76"/>
        <v/>
      </c>
      <c r="BQ90" s="409" t="str">
        <f t="shared" si="77"/>
        <v/>
      </c>
      <c r="BR90" s="409"/>
      <c r="BS90" s="409" t="str">
        <f t="shared" si="90"/>
        <v/>
      </c>
      <c r="BT90" s="409" t="str">
        <f t="shared" si="78"/>
        <v/>
      </c>
      <c r="BU90" s="409" t="str">
        <f t="shared" si="79"/>
        <v/>
      </c>
      <c r="BV90" s="409"/>
      <c r="BW90" s="409" t="str">
        <f t="shared" si="91"/>
        <v/>
      </c>
      <c r="BX90" s="409" t="str">
        <f>IF($U90="","",SUM(BS90:BS$114)+SUM(BW90:BW$114))</f>
        <v/>
      </c>
      <c r="BY90" s="763"/>
      <c r="BZ90" s="763"/>
      <c r="CA90" s="763"/>
      <c r="CB90" s="763"/>
      <c r="CC90" s="409" t="str">
        <f t="shared" si="92"/>
        <v/>
      </c>
      <c r="CD90" s="409" t="str">
        <f t="shared" si="80"/>
        <v/>
      </c>
      <c r="CE90" s="409" t="str">
        <f t="shared" si="81"/>
        <v/>
      </c>
      <c r="CF90" s="409" t="str">
        <f t="shared" si="93"/>
        <v/>
      </c>
      <c r="CG90" s="409" t="str">
        <f t="shared" si="82"/>
        <v/>
      </c>
      <c r="CH90" s="765" t="str">
        <f t="shared" si="94"/>
        <v/>
      </c>
      <c r="CI90" s="766" t="str">
        <f t="shared" si="83"/>
        <v/>
      </c>
      <c r="CJ90" s="414"/>
      <c r="CK90" s="759" t="str">
        <f t="shared" si="84"/>
        <v/>
      </c>
      <c r="CL90" s="766" t="str">
        <f t="shared" si="100"/>
        <v/>
      </c>
      <c r="CM90" s="766" t="str">
        <f t="shared" si="95"/>
        <v/>
      </c>
      <c r="CN90" s="766" t="str">
        <f t="shared" si="85"/>
        <v/>
      </c>
      <c r="CO90" s="766" t="str">
        <f t="shared" si="96"/>
        <v/>
      </c>
      <c r="CP90" s="414"/>
      <c r="CQ90" s="414"/>
      <c r="CR90" s="414"/>
      <c r="CS90" s="414"/>
      <c r="CT90" s="414"/>
      <c r="CU90" s="414"/>
      <c r="CV90" s="414"/>
    </row>
    <row r="91" spans="1:100">
      <c r="A91" s="305"/>
      <c r="D91" s="469"/>
      <c r="E91" s="469"/>
      <c r="F91" s="459"/>
      <c r="G91" s="470"/>
      <c r="H91" s="460"/>
      <c r="I91" s="148"/>
      <c r="J91" s="152"/>
      <c r="K91" s="150"/>
      <c r="L91" s="599"/>
      <c r="M91" s="599"/>
      <c r="N91" s="278" t="str">
        <f t="shared" si="104"/>
        <v/>
      </c>
      <c r="O91" s="279" t="str">
        <f t="shared" si="105"/>
        <v/>
      </c>
      <c r="P91" s="271" t="str">
        <f t="shared" si="101"/>
        <v/>
      </c>
      <c r="Q91" s="271" t="str">
        <f t="shared" si="102"/>
        <v/>
      </c>
      <c r="R91" s="271" t="str">
        <f t="shared" si="103"/>
        <v/>
      </c>
      <c r="S91" s="400" t="str">
        <f t="shared" si="86"/>
        <v/>
      </c>
      <c r="T91" s="231"/>
      <c r="U91" s="70" t="str">
        <f t="shared" si="97"/>
        <v/>
      </c>
      <c r="V91" s="71" t="str">
        <f>Main_무해지!AC91</f>
        <v/>
      </c>
      <c r="W91" s="74">
        <f>+Main_무해지!AD91</f>
        <v>0</v>
      </c>
      <c r="X91" s="74">
        <v>0</v>
      </c>
      <c r="Y91" s="256" t="str">
        <f t="shared" si="98"/>
        <v/>
      </c>
      <c r="Z91" s="256" t="str">
        <f t="shared" si="53"/>
        <v/>
      </c>
      <c r="AA91" s="72" t="str">
        <f>IF($U91="","",SUM(Z91:Z$114))</f>
        <v/>
      </c>
      <c r="AB91" s="256" t="str">
        <f t="shared" si="87"/>
        <v/>
      </c>
      <c r="AC91" s="254">
        <f t="shared" si="88"/>
        <v>0</v>
      </c>
      <c r="AD91" s="254" t="str">
        <f>Main_무해지!AJ91</f>
        <v/>
      </c>
      <c r="AE91" s="256">
        <f t="shared" si="54"/>
        <v>0</v>
      </c>
      <c r="AF91" s="256" t="str">
        <f t="shared" si="99"/>
        <v/>
      </c>
      <c r="AG91" s="256" t="str">
        <f t="shared" si="55"/>
        <v/>
      </c>
      <c r="AH91" s="72" t="str">
        <f>IF($U91="","",SUM(AG91:AG$114))</f>
        <v/>
      </c>
      <c r="AI91" s="256" t="str">
        <f>Main_무해지!AP91</f>
        <v/>
      </c>
      <c r="AJ91" s="256">
        <f t="shared" si="56"/>
        <v>0</v>
      </c>
      <c r="AK91" s="256" t="str">
        <f t="shared" si="57"/>
        <v/>
      </c>
      <c r="AL91" s="256" t="str">
        <f t="shared" si="58"/>
        <v/>
      </c>
      <c r="AM91" s="75" t="str">
        <f>IF($U91="","",SUM($AN91:$AN$114))</f>
        <v/>
      </c>
      <c r="AN91" s="256" t="str">
        <f t="shared" si="89"/>
        <v/>
      </c>
      <c r="AO91" s="75" t="str">
        <f t="shared" si="59"/>
        <v/>
      </c>
      <c r="AP91" s="71" t="str">
        <f>IF($U91="","",INDEX(#REF!,$U91+1))</f>
        <v/>
      </c>
      <c r="AQ91" s="256">
        <f t="shared" si="60"/>
        <v>0</v>
      </c>
      <c r="AR91" s="256" t="str">
        <f t="shared" si="61"/>
        <v/>
      </c>
      <c r="AS91" s="256" t="str">
        <f t="shared" si="62"/>
        <v/>
      </c>
      <c r="AT91" s="75" t="str">
        <f>IF($U91="","",SUM($AS91:$AS$114))</f>
        <v/>
      </c>
      <c r="AU91" s="71" t="str">
        <f>IF($U91="","",INDEX(#REF!,$U91+1))</f>
        <v/>
      </c>
      <c r="AV91" s="256">
        <f t="shared" si="63"/>
        <v>0</v>
      </c>
      <c r="AW91" s="256" t="str">
        <f t="shared" si="64"/>
        <v/>
      </c>
      <c r="AX91" s="256" t="str">
        <f t="shared" si="65"/>
        <v/>
      </c>
      <c r="AY91" s="75" t="str">
        <f>IF($U91="","",SUM($AX91:$AX$114))</f>
        <v/>
      </c>
      <c r="AZ91" s="71" t="str">
        <f>IF($U91="","",INDEX(#REF!,$U91+1))</f>
        <v/>
      </c>
      <c r="BA91" s="256">
        <f t="shared" si="66"/>
        <v>0</v>
      </c>
      <c r="BB91" s="256" t="str">
        <f t="shared" si="67"/>
        <v/>
      </c>
      <c r="BC91" s="256" t="str">
        <f t="shared" si="68"/>
        <v/>
      </c>
      <c r="BD91" s="75" t="str">
        <f>IF($U91="","",SUM($BC91:$BC$114))</f>
        <v/>
      </c>
      <c r="BE91" s="71" t="str">
        <f>IF($U91="","",INDEX(#REF!,$U91+1))</f>
        <v/>
      </c>
      <c r="BF91" s="256">
        <f t="shared" si="69"/>
        <v>0</v>
      </c>
      <c r="BG91" s="256" t="str">
        <f t="shared" si="70"/>
        <v/>
      </c>
      <c r="BH91" s="256" t="str">
        <f t="shared" si="71"/>
        <v/>
      </c>
      <c r="BI91" s="75" t="str">
        <f>IF($U91="","",SUM($BH91:$BH$114))</f>
        <v/>
      </c>
      <c r="BJ91" s="71" t="str">
        <f>IF($U91="","",INDEX(#REF!,$U91+1))</f>
        <v/>
      </c>
      <c r="BK91" s="256">
        <f t="shared" si="72"/>
        <v>0</v>
      </c>
      <c r="BL91" s="256" t="str">
        <f t="shared" si="73"/>
        <v/>
      </c>
      <c r="BM91" s="256" t="str">
        <f t="shared" si="74"/>
        <v/>
      </c>
      <c r="BN91" s="75" t="str">
        <f>IF($U91="","",SUM($BM91:$BM$114))</f>
        <v/>
      </c>
      <c r="BO91" s="71">
        <f t="shared" si="75"/>
        <v>0</v>
      </c>
      <c r="BP91" s="256" t="str">
        <f t="shared" si="76"/>
        <v/>
      </c>
      <c r="BQ91" s="256" t="str">
        <f t="shared" si="77"/>
        <v/>
      </c>
      <c r="BR91" s="256"/>
      <c r="BS91" s="256" t="str">
        <f t="shared" si="90"/>
        <v/>
      </c>
      <c r="BT91" s="256" t="str">
        <f t="shared" si="78"/>
        <v/>
      </c>
      <c r="BU91" s="256" t="str">
        <f t="shared" si="79"/>
        <v/>
      </c>
      <c r="BV91" s="256"/>
      <c r="BW91" s="256" t="str">
        <f t="shared" si="91"/>
        <v/>
      </c>
      <c r="BX91" s="256" t="str">
        <f>IF($U91="","",SUM(BS91:BS$114)+SUM(BW91:BW$114))</f>
        <v/>
      </c>
      <c r="BY91" s="73"/>
      <c r="BZ91" s="73"/>
      <c r="CA91" s="73"/>
      <c r="CB91" s="73"/>
      <c r="CC91" s="256" t="str">
        <f t="shared" si="92"/>
        <v/>
      </c>
      <c r="CD91" s="256" t="str">
        <f t="shared" si="80"/>
        <v/>
      </c>
      <c r="CE91" s="256" t="str">
        <f t="shared" si="81"/>
        <v/>
      </c>
      <c r="CF91" s="256" t="str">
        <f t="shared" si="93"/>
        <v/>
      </c>
      <c r="CG91" s="256" t="str">
        <f t="shared" si="82"/>
        <v/>
      </c>
      <c r="CH91" s="76" t="str">
        <f t="shared" si="94"/>
        <v/>
      </c>
      <c r="CI91" s="77" t="str">
        <f t="shared" si="83"/>
        <v/>
      </c>
      <c r="CJ91" s="238"/>
      <c r="CK91" s="70" t="str">
        <f t="shared" si="84"/>
        <v/>
      </c>
      <c r="CL91" s="77" t="str">
        <f t="shared" si="100"/>
        <v/>
      </c>
      <c r="CM91" s="77" t="str">
        <f t="shared" si="95"/>
        <v/>
      </c>
      <c r="CN91" s="77" t="str">
        <f t="shared" si="85"/>
        <v/>
      </c>
      <c r="CO91" s="77" t="str">
        <f t="shared" si="96"/>
        <v/>
      </c>
      <c r="CP91" s="238"/>
      <c r="CQ91" s="238"/>
      <c r="CR91" s="238"/>
      <c r="CS91" s="238"/>
      <c r="CT91" s="238"/>
      <c r="CU91" s="238"/>
      <c r="CV91" s="238"/>
    </row>
    <row r="92" spans="1:100">
      <c r="A92" s="305"/>
      <c r="D92" s="469"/>
      <c r="E92" s="469"/>
      <c r="F92" s="459"/>
      <c r="G92" s="470"/>
      <c r="H92" s="460"/>
      <c r="I92" s="148"/>
      <c r="J92" s="152"/>
      <c r="K92" s="150"/>
      <c r="L92" s="599"/>
      <c r="M92" s="599"/>
      <c r="N92" s="278" t="str">
        <f t="shared" si="104"/>
        <v/>
      </c>
      <c r="O92" s="279" t="str">
        <f t="shared" si="105"/>
        <v/>
      </c>
      <c r="P92" s="271" t="str">
        <f t="shared" si="101"/>
        <v/>
      </c>
      <c r="Q92" s="271" t="str">
        <f t="shared" si="102"/>
        <v/>
      </c>
      <c r="R92" s="271" t="str">
        <f t="shared" si="103"/>
        <v/>
      </c>
      <c r="S92" s="400" t="str">
        <f t="shared" si="86"/>
        <v/>
      </c>
      <c r="T92" s="231"/>
      <c r="U92" s="70" t="str">
        <f t="shared" si="97"/>
        <v/>
      </c>
      <c r="V92" s="71" t="str">
        <f>Main_무해지!AC92</f>
        <v/>
      </c>
      <c r="W92" s="74">
        <f>+Main_무해지!AD92</f>
        <v>0</v>
      </c>
      <c r="X92" s="74">
        <v>0</v>
      </c>
      <c r="Y92" s="256" t="str">
        <f t="shared" si="98"/>
        <v/>
      </c>
      <c r="Z92" s="256" t="str">
        <f t="shared" si="53"/>
        <v/>
      </c>
      <c r="AA92" s="72" t="str">
        <f>IF($U92="","",SUM(Z92:Z$114))</f>
        <v/>
      </c>
      <c r="AB92" s="256" t="str">
        <f t="shared" si="87"/>
        <v/>
      </c>
      <c r="AC92" s="254">
        <f t="shared" si="88"/>
        <v>0</v>
      </c>
      <c r="AD92" s="254" t="str">
        <f>Main_무해지!AJ92</f>
        <v/>
      </c>
      <c r="AE92" s="256">
        <f t="shared" si="54"/>
        <v>0</v>
      </c>
      <c r="AF92" s="256" t="str">
        <f t="shared" si="99"/>
        <v/>
      </c>
      <c r="AG92" s="256" t="str">
        <f t="shared" si="55"/>
        <v/>
      </c>
      <c r="AH92" s="72" t="str">
        <f>IF($U92="","",SUM(AG92:AG$114))</f>
        <v/>
      </c>
      <c r="AI92" s="256" t="str">
        <f>Main_무해지!AP92</f>
        <v/>
      </c>
      <c r="AJ92" s="256">
        <f t="shared" si="56"/>
        <v>0</v>
      </c>
      <c r="AK92" s="256" t="str">
        <f t="shared" si="57"/>
        <v/>
      </c>
      <c r="AL92" s="256" t="str">
        <f t="shared" si="58"/>
        <v/>
      </c>
      <c r="AM92" s="75" t="str">
        <f>IF($U92="","",SUM($AN92:$AN$114))</f>
        <v/>
      </c>
      <c r="AN92" s="256" t="str">
        <f t="shared" si="89"/>
        <v/>
      </c>
      <c r="AO92" s="75" t="str">
        <f t="shared" si="59"/>
        <v/>
      </c>
      <c r="AP92" s="71" t="str">
        <f>IF($U92="","",INDEX(#REF!,$U92+1))</f>
        <v/>
      </c>
      <c r="AQ92" s="256">
        <f t="shared" si="60"/>
        <v>0</v>
      </c>
      <c r="AR92" s="256" t="str">
        <f t="shared" si="61"/>
        <v/>
      </c>
      <c r="AS92" s="256" t="str">
        <f t="shared" si="62"/>
        <v/>
      </c>
      <c r="AT92" s="75" t="str">
        <f>IF($U92="","",SUM($AS92:$AS$114))</f>
        <v/>
      </c>
      <c r="AU92" s="71" t="str">
        <f>IF($U92="","",INDEX(#REF!,$U92+1))</f>
        <v/>
      </c>
      <c r="AV92" s="256">
        <f t="shared" si="63"/>
        <v>0</v>
      </c>
      <c r="AW92" s="256" t="str">
        <f t="shared" si="64"/>
        <v/>
      </c>
      <c r="AX92" s="256" t="str">
        <f t="shared" si="65"/>
        <v/>
      </c>
      <c r="AY92" s="75" t="str">
        <f>IF($U92="","",SUM($AX92:$AX$114))</f>
        <v/>
      </c>
      <c r="AZ92" s="71" t="str">
        <f>IF($U92="","",INDEX(#REF!,$U92+1))</f>
        <v/>
      </c>
      <c r="BA92" s="256">
        <f t="shared" si="66"/>
        <v>0</v>
      </c>
      <c r="BB92" s="256" t="str">
        <f t="shared" si="67"/>
        <v/>
      </c>
      <c r="BC92" s="256" t="str">
        <f t="shared" si="68"/>
        <v/>
      </c>
      <c r="BD92" s="75" t="str">
        <f>IF($U92="","",SUM($BC92:$BC$114))</f>
        <v/>
      </c>
      <c r="BE92" s="71" t="str">
        <f>IF($U92="","",INDEX(#REF!,$U92+1))</f>
        <v/>
      </c>
      <c r="BF92" s="256">
        <f t="shared" si="69"/>
        <v>0</v>
      </c>
      <c r="BG92" s="256" t="str">
        <f t="shared" si="70"/>
        <v/>
      </c>
      <c r="BH92" s="256" t="str">
        <f t="shared" si="71"/>
        <v/>
      </c>
      <c r="BI92" s="75" t="str">
        <f>IF($U92="","",SUM($BH92:$BH$114))</f>
        <v/>
      </c>
      <c r="BJ92" s="71" t="str">
        <f>IF($U92="","",INDEX(#REF!,$U92+1))</f>
        <v/>
      </c>
      <c r="BK92" s="256">
        <f t="shared" si="72"/>
        <v>0</v>
      </c>
      <c r="BL92" s="256" t="str">
        <f t="shared" si="73"/>
        <v/>
      </c>
      <c r="BM92" s="256" t="str">
        <f t="shared" si="74"/>
        <v/>
      </c>
      <c r="BN92" s="75" t="str">
        <f>IF($U92="","",SUM($BM92:$BM$114))</f>
        <v/>
      </c>
      <c r="BO92" s="71">
        <f t="shared" si="75"/>
        <v>0</v>
      </c>
      <c r="BP92" s="256" t="str">
        <f t="shared" si="76"/>
        <v/>
      </c>
      <c r="BQ92" s="256" t="str">
        <f t="shared" si="77"/>
        <v/>
      </c>
      <c r="BR92" s="256"/>
      <c r="BS92" s="256" t="str">
        <f t="shared" si="90"/>
        <v/>
      </c>
      <c r="BT92" s="256" t="str">
        <f t="shared" si="78"/>
        <v/>
      </c>
      <c r="BU92" s="256" t="str">
        <f t="shared" si="79"/>
        <v/>
      </c>
      <c r="BV92" s="256"/>
      <c r="BW92" s="256" t="str">
        <f t="shared" si="91"/>
        <v/>
      </c>
      <c r="BX92" s="256" t="str">
        <f>IF($U92="","",SUM(BS92:BS$114)+SUM(BW92:BW$114))</f>
        <v/>
      </c>
      <c r="BY92" s="73"/>
      <c r="BZ92" s="73"/>
      <c r="CA92" s="73"/>
      <c r="CB92" s="73"/>
      <c r="CC92" s="256" t="str">
        <f t="shared" si="92"/>
        <v/>
      </c>
      <c r="CD92" s="256" t="str">
        <f t="shared" si="80"/>
        <v/>
      </c>
      <c r="CE92" s="256" t="str">
        <f t="shared" si="81"/>
        <v/>
      </c>
      <c r="CF92" s="256" t="str">
        <f t="shared" si="93"/>
        <v/>
      </c>
      <c r="CG92" s="256" t="str">
        <f t="shared" si="82"/>
        <v/>
      </c>
      <c r="CH92" s="76" t="str">
        <f t="shared" si="94"/>
        <v/>
      </c>
      <c r="CI92" s="77" t="str">
        <f t="shared" si="83"/>
        <v/>
      </c>
      <c r="CJ92" s="238"/>
      <c r="CK92" s="70" t="str">
        <f t="shared" si="84"/>
        <v/>
      </c>
      <c r="CL92" s="77" t="str">
        <f t="shared" si="100"/>
        <v/>
      </c>
      <c r="CM92" s="77" t="str">
        <f t="shared" si="95"/>
        <v/>
      </c>
      <c r="CN92" s="77" t="str">
        <f t="shared" si="85"/>
        <v/>
      </c>
      <c r="CO92" s="77" t="str">
        <f t="shared" si="96"/>
        <v/>
      </c>
      <c r="CP92" s="238"/>
      <c r="CQ92" s="238"/>
      <c r="CR92" s="238"/>
      <c r="CS92" s="238"/>
      <c r="CT92" s="238"/>
      <c r="CU92" s="238"/>
      <c r="CV92" s="238"/>
    </row>
    <row r="93" spans="1:100">
      <c r="A93" s="305"/>
      <c r="D93" s="469"/>
      <c r="E93" s="469"/>
      <c r="F93" s="459"/>
      <c r="G93" s="470"/>
      <c r="H93" s="460"/>
      <c r="I93" s="148"/>
      <c r="J93" s="152"/>
      <c r="K93" s="150"/>
      <c r="L93" s="599"/>
      <c r="M93" s="599"/>
      <c r="N93" s="278" t="str">
        <f t="shared" si="104"/>
        <v/>
      </c>
      <c r="O93" s="279" t="str">
        <f t="shared" si="105"/>
        <v/>
      </c>
      <c r="P93" s="271" t="str">
        <f t="shared" si="101"/>
        <v/>
      </c>
      <c r="Q93" s="271" t="str">
        <f t="shared" si="102"/>
        <v/>
      </c>
      <c r="R93" s="271" t="str">
        <f t="shared" si="103"/>
        <v/>
      </c>
      <c r="S93" s="400" t="str">
        <f t="shared" si="86"/>
        <v/>
      </c>
      <c r="T93" s="231"/>
      <c r="U93" s="70" t="str">
        <f t="shared" si="97"/>
        <v/>
      </c>
      <c r="V93" s="71" t="str">
        <f>Main_무해지!AC93</f>
        <v/>
      </c>
      <c r="W93" s="74">
        <f>+Main_무해지!AD93</f>
        <v>0</v>
      </c>
      <c r="X93" s="74">
        <v>0</v>
      </c>
      <c r="Y93" s="256" t="str">
        <f t="shared" si="98"/>
        <v/>
      </c>
      <c r="Z93" s="256" t="str">
        <f t="shared" si="53"/>
        <v/>
      </c>
      <c r="AA93" s="72" t="str">
        <f>IF($U93="","",SUM(Z93:Z$114))</f>
        <v/>
      </c>
      <c r="AB93" s="256" t="str">
        <f t="shared" si="87"/>
        <v/>
      </c>
      <c r="AC93" s="254">
        <f t="shared" si="88"/>
        <v>0</v>
      </c>
      <c r="AD93" s="254" t="str">
        <f>Main_무해지!AJ93</f>
        <v/>
      </c>
      <c r="AE93" s="256">
        <f t="shared" si="54"/>
        <v>0</v>
      </c>
      <c r="AF93" s="256" t="str">
        <f t="shared" si="99"/>
        <v/>
      </c>
      <c r="AG93" s="256" t="str">
        <f t="shared" si="55"/>
        <v/>
      </c>
      <c r="AH93" s="72" t="str">
        <f>IF($U93="","",SUM(AG93:AG$114))</f>
        <v/>
      </c>
      <c r="AI93" s="256" t="str">
        <f>Main_무해지!AP93</f>
        <v/>
      </c>
      <c r="AJ93" s="256">
        <f t="shared" si="56"/>
        <v>0</v>
      </c>
      <c r="AK93" s="256" t="str">
        <f t="shared" si="57"/>
        <v/>
      </c>
      <c r="AL93" s="256" t="str">
        <f t="shared" si="58"/>
        <v/>
      </c>
      <c r="AM93" s="75" t="str">
        <f>IF($U93="","",SUM($AN93:$AN$114))</f>
        <v/>
      </c>
      <c r="AN93" s="256" t="str">
        <f t="shared" si="89"/>
        <v/>
      </c>
      <c r="AO93" s="75" t="str">
        <f t="shared" si="59"/>
        <v/>
      </c>
      <c r="AP93" s="71" t="str">
        <f>IF($U93="","",INDEX(#REF!,$U93+1))</f>
        <v/>
      </c>
      <c r="AQ93" s="256">
        <f t="shared" si="60"/>
        <v>0</v>
      </c>
      <c r="AR93" s="256" t="str">
        <f t="shared" si="61"/>
        <v/>
      </c>
      <c r="AS93" s="256" t="str">
        <f t="shared" si="62"/>
        <v/>
      </c>
      <c r="AT93" s="75" t="str">
        <f>IF($U93="","",SUM($AS93:$AS$114))</f>
        <v/>
      </c>
      <c r="AU93" s="71" t="str">
        <f>IF($U93="","",INDEX(#REF!,$U93+1))</f>
        <v/>
      </c>
      <c r="AV93" s="256">
        <f t="shared" si="63"/>
        <v>0</v>
      </c>
      <c r="AW93" s="256" t="str">
        <f t="shared" si="64"/>
        <v/>
      </c>
      <c r="AX93" s="256" t="str">
        <f t="shared" si="65"/>
        <v/>
      </c>
      <c r="AY93" s="75" t="str">
        <f>IF($U93="","",SUM($AX93:$AX$114))</f>
        <v/>
      </c>
      <c r="AZ93" s="71" t="str">
        <f>IF($U93="","",INDEX(#REF!,$U93+1))</f>
        <v/>
      </c>
      <c r="BA93" s="256">
        <f t="shared" si="66"/>
        <v>0</v>
      </c>
      <c r="BB93" s="256" t="str">
        <f t="shared" si="67"/>
        <v/>
      </c>
      <c r="BC93" s="256" t="str">
        <f t="shared" si="68"/>
        <v/>
      </c>
      <c r="BD93" s="75" t="str">
        <f>IF($U93="","",SUM($BC93:$BC$114))</f>
        <v/>
      </c>
      <c r="BE93" s="71" t="str">
        <f>IF($U93="","",INDEX(#REF!,$U93+1))</f>
        <v/>
      </c>
      <c r="BF93" s="256">
        <f t="shared" si="69"/>
        <v>0</v>
      </c>
      <c r="BG93" s="256" t="str">
        <f t="shared" si="70"/>
        <v/>
      </c>
      <c r="BH93" s="256" t="str">
        <f t="shared" si="71"/>
        <v/>
      </c>
      <c r="BI93" s="75" t="str">
        <f>IF($U93="","",SUM($BH93:$BH$114))</f>
        <v/>
      </c>
      <c r="BJ93" s="71" t="str">
        <f>IF($U93="","",INDEX(#REF!,$U93+1))</f>
        <v/>
      </c>
      <c r="BK93" s="256">
        <f t="shared" si="72"/>
        <v>0</v>
      </c>
      <c r="BL93" s="256" t="str">
        <f t="shared" si="73"/>
        <v/>
      </c>
      <c r="BM93" s="256" t="str">
        <f t="shared" si="74"/>
        <v/>
      </c>
      <c r="BN93" s="75" t="str">
        <f>IF($U93="","",SUM($BM93:$BM$114))</f>
        <v/>
      </c>
      <c r="BO93" s="71">
        <f t="shared" si="75"/>
        <v>0</v>
      </c>
      <c r="BP93" s="256" t="str">
        <f t="shared" si="76"/>
        <v/>
      </c>
      <c r="BQ93" s="256" t="str">
        <f t="shared" si="77"/>
        <v/>
      </c>
      <c r="BR93" s="256"/>
      <c r="BS93" s="256" t="str">
        <f t="shared" si="90"/>
        <v/>
      </c>
      <c r="BT93" s="256" t="str">
        <f t="shared" si="78"/>
        <v/>
      </c>
      <c r="BU93" s="256" t="str">
        <f t="shared" si="79"/>
        <v/>
      </c>
      <c r="BV93" s="256"/>
      <c r="BW93" s="256" t="str">
        <f t="shared" si="91"/>
        <v/>
      </c>
      <c r="BX93" s="256" t="str">
        <f>IF($U93="","",SUM(BS93:BS$114)+SUM(BW93:BW$114))</f>
        <v/>
      </c>
      <c r="BY93" s="73"/>
      <c r="BZ93" s="73"/>
      <c r="CA93" s="73"/>
      <c r="CB93" s="73"/>
      <c r="CC93" s="256" t="str">
        <f t="shared" si="92"/>
        <v/>
      </c>
      <c r="CD93" s="256" t="str">
        <f t="shared" si="80"/>
        <v/>
      </c>
      <c r="CE93" s="256" t="str">
        <f t="shared" si="81"/>
        <v/>
      </c>
      <c r="CF93" s="256" t="str">
        <f t="shared" si="93"/>
        <v/>
      </c>
      <c r="CG93" s="256" t="str">
        <f t="shared" si="82"/>
        <v/>
      </c>
      <c r="CH93" s="76" t="str">
        <f t="shared" si="94"/>
        <v/>
      </c>
      <c r="CI93" s="77" t="str">
        <f t="shared" si="83"/>
        <v/>
      </c>
      <c r="CJ93" s="238"/>
      <c r="CK93" s="70" t="str">
        <f t="shared" si="84"/>
        <v/>
      </c>
      <c r="CL93" s="77" t="str">
        <f t="shared" si="100"/>
        <v/>
      </c>
      <c r="CM93" s="77" t="str">
        <f t="shared" si="95"/>
        <v/>
      </c>
      <c r="CN93" s="77" t="str">
        <f t="shared" si="85"/>
        <v/>
      </c>
      <c r="CO93" s="77" t="str">
        <f t="shared" si="96"/>
        <v/>
      </c>
      <c r="CP93" s="238"/>
      <c r="CQ93" s="238"/>
      <c r="CR93" s="238"/>
      <c r="CS93" s="238"/>
      <c r="CT93" s="238"/>
      <c r="CU93" s="238"/>
      <c r="CV93" s="238"/>
    </row>
    <row r="94" spans="1:100">
      <c r="A94" s="305"/>
      <c r="D94" s="469"/>
      <c r="E94" s="469"/>
      <c r="F94" s="459"/>
      <c r="G94" s="470"/>
      <c r="H94" s="460"/>
      <c r="I94" s="148"/>
      <c r="J94" s="152"/>
      <c r="K94" s="150"/>
      <c r="L94" s="599"/>
      <c r="M94" s="599"/>
      <c r="N94" s="278" t="str">
        <f t="shared" si="104"/>
        <v/>
      </c>
      <c r="O94" s="279" t="str">
        <f t="shared" si="105"/>
        <v/>
      </c>
      <c r="P94" s="271" t="str">
        <f t="shared" si="101"/>
        <v/>
      </c>
      <c r="Q94" s="271" t="str">
        <f t="shared" si="102"/>
        <v/>
      </c>
      <c r="R94" s="271" t="str">
        <f t="shared" si="103"/>
        <v/>
      </c>
      <c r="S94" s="400" t="str">
        <f t="shared" si="86"/>
        <v/>
      </c>
      <c r="T94" s="231"/>
      <c r="U94" s="83" t="str">
        <f t="shared" si="97"/>
        <v/>
      </c>
      <c r="V94" s="84" t="str">
        <f>Main_무해지!AC94</f>
        <v/>
      </c>
      <c r="W94" s="87">
        <f>+Main_무해지!AD94</f>
        <v>0</v>
      </c>
      <c r="X94" s="87">
        <v>0</v>
      </c>
      <c r="Y94" s="257" t="str">
        <f t="shared" si="98"/>
        <v/>
      </c>
      <c r="Z94" s="257" t="str">
        <f t="shared" si="53"/>
        <v/>
      </c>
      <c r="AA94" s="85" t="str">
        <f>IF($U94="","",SUM(Z94:Z$114))</f>
        <v/>
      </c>
      <c r="AB94" s="257" t="str">
        <f t="shared" si="87"/>
        <v/>
      </c>
      <c r="AC94" s="254">
        <f t="shared" si="88"/>
        <v>0</v>
      </c>
      <c r="AD94" s="254" t="str">
        <f>Main_무해지!AJ94</f>
        <v/>
      </c>
      <c r="AE94" s="257">
        <f t="shared" si="54"/>
        <v>0</v>
      </c>
      <c r="AF94" s="257" t="str">
        <f t="shared" si="99"/>
        <v/>
      </c>
      <c r="AG94" s="257" t="str">
        <f t="shared" si="55"/>
        <v/>
      </c>
      <c r="AH94" s="85" t="str">
        <f>IF($U94="","",SUM(AG94:AG$114))</f>
        <v/>
      </c>
      <c r="AI94" s="257" t="str">
        <f>Main_무해지!AP94</f>
        <v/>
      </c>
      <c r="AJ94" s="257">
        <f t="shared" si="56"/>
        <v>0</v>
      </c>
      <c r="AK94" s="257" t="str">
        <f t="shared" si="57"/>
        <v/>
      </c>
      <c r="AL94" s="257" t="str">
        <f t="shared" si="58"/>
        <v/>
      </c>
      <c r="AM94" s="88" t="str">
        <f>IF($U94="","",SUM($AN94:$AN$114))</f>
        <v/>
      </c>
      <c r="AN94" s="257" t="str">
        <f t="shared" si="89"/>
        <v/>
      </c>
      <c r="AO94" s="88" t="str">
        <f t="shared" si="59"/>
        <v/>
      </c>
      <c r="AP94" s="84" t="str">
        <f>IF($U94="","",INDEX(#REF!,$U94+1))</f>
        <v/>
      </c>
      <c r="AQ94" s="257">
        <f t="shared" si="60"/>
        <v>0</v>
      </c>
      <c r="AR94" s="257" t="str">
        <f t="shared" si="61"/>
        <v/>
      </c>
      <c r="AS94" s="257" t="str">
        <f t="shared" si="62"/>
        <v/>
      </c>
      <c r="AT94" s="88" t="str">
        <f>IF($U94="","",SUM($AS94:$AS$114))</f>
        <v/>
      </c>
      <c r="AU94" s="84" t="str">
        <f>IF($U94="","",INDEX(#REF!,$U94+1))</f>
        <v/>
      </c>
      <c r="AV94" s="257">
        <f t="shared" si="63"/>
        <v>0</v>
      </c>
      <c r="AW94" s="257" t="str">
        <f t="shared" si="64"/>
        <v/>
      </c>
      <c r="AX94" s="257" t="str">
        <f t="shared" si="65"/>
        <v/>
      </c>
      <c r="AY94" s="88" t="str">
        <f>IF($U94="","",SUM($AX94:$AX$114))</f>
        <v/>
      </c>
      <c r="AZ94" s="84" t="str">
        <f>IF($U94="","",INDEX(#REF!,$U94+1))</f>
        <v/>
      </c>
      <c r="BA94" s="257">
        <f t="shared" si="66"/>
        <v>0</v>
      </c>
      <c r="BB94" s="257" t="str">
        <f t="shared" si="67"/>
        <v/>
      </c>
      <c r="BC94" s="257" t="str">
        <f t="shared" si="68"/>
        <v/>
      </c>
      <c r="BD94" s="88" t="str">
        <f>IF($U94="","",SUM($BC94:$BC$114))</f>
        <v/>
      </c>
      <c r="BE94" s="84" t="str">
        <f>IF($U94="","",INDEX(#REF!,$U94+1))</f>
        <v/>
      </c>
      <c r="BF94" s="257">
        <f t="shared" si="69"/>
        <v>0</v>
      </c>
      <c r="BG94" s="257" t="str">
        <f t="shared" si="70"/>
        <v/>
      </c>
      <c r="BH94" s="257" t="str">
        <f t="shared" si="71"/>
        <v/>
      </c>
      <c r="BI94" s="88" t="str">
        <f>IF($U94="","",SUM($BH94:$BH$114))</f>
        <v/>
      </c>
      <c r="BJ94" s="84" t="str">
        <f>IF($U94="","",INDEX(#REF!,$U94+1))</f>
        <v/>
      </c>
      <c r="BK94" s="257">
        <f t="shared" si="72"/>
        <v>0</v>
      </c>
      <c r="BL94" s="257" t="str">
        <f t="shared" si="73"/>
        <v/>
      </c>
      <c r="BM94" s="257" t="str">
        <f t="shared" si="74"/>
        <v/>
      </c>
      <c r="BN94" s="88" t="str">
        <f>IF($U94="","",SUM($BM94:$BM$114))</f>
        <v/>
      </c>
      <c r="BO94" s="84">
        <f t="shared" si="75"/>
        <v>0</v>
      </c>
      <c r="BP94" s="257" t="str">
        <f t="shared" si="76"/>
        <v/>
      </c>
      <c r="BQ94" s="257" t="str">
        <f t="shared" si="77"/>
        <v/>
      </c>
      <c r="BR94" s="257"/>
      <c r="BS94" s="257" t="str">
        <f t="shared" si="90"/>
        <v/>
      </c>
      <c r="BT94" s="257" t="str">
        <f t="shared" si="78"/>
        <v/>
      </c>
      <c r="BU94" s="257" t="str">
        <f t="shared" si="79"/>
        <v/>
      </c>
      <c r="BV94" s="257"/>
      <c r="BW94" s="257" t="str">
        <f t="shared" si="91"/>
        <v/>
      </c>
      <c r="BX94" s="257" t="str">
        <f>IF($U94="","",SUM(BS94:BS$114)+SUM(BW94:BW$114))</f>
        <v/>
      </c>
      <c r="BY94" s="86"/>
      <c r="BZ94" s="86"/>
      <c r="CA94" s="86"/>
      <c r="CB94" s="86"/>
      <c r="CC94" s="257" t="str">
        <f t="shared" si="92"/>
        <v/>
      </c>
      <c r="CD94" s="257" t="str">
        <f t="shared" si="80"/>
        <v/>
      </c>
      <c r="CE94" s="257" t="str">
        <f t="shared" si="81"/>
        <v/>
      </c>
      <c r="CF94" s="257" t="str">
        <f t="shared" si="93"/>
        <v/>
      </c>
      <c r="CG94" s="257" t="str">
        <f t="shared" si="82"/>
        <v/>
      </c>
      <c r="CH94" s="89" t="str">
        <f t="shared" si="94"/>
        <v/>
      </c>
      <c r="CI94" s="90" t="str">
        <f t="shared" si="83"/>
        <v/>
      </c>
      <c r="CJ94" s="239"/>
      <c r="CK94" s="83" t="str">
        <f t="shared" si="84"/>
        <v/>
      </c>
      <c r="CL94" s="90" t="str">
        <f t="shared" si="100"/>
        <v/>
      </c>
      <c r="CM94" s="90" t="str">
        <f t="shared" si="95"/>
        <v/>
      </c>
      <c r="CN94" s="90" t="str">
        <f t="shared" si="85"/>
        <v/>
      </c>
      <c r="CO94" s="90" t="str">
        <f t="shared" si="96"/>
        <v/>
      </c>
      <c r="CP94" s="239"/>
      <c r="CQ94" s="239"/>
      <c r="CR94" s="239"/>
      <c r="CS94" s="239"/>
      <c r="CT94" s="239"/>
      <c r="CU94" s="239"/>
      <c r="CV94" s="239"/>
    </row>
    <row r="95" spans="1:100">
      <c r="A95" s="305"/>
      <c r="D95" s="469"/>
      <c r="E95" s="469"/>
      <c r="F95" s="459"/>
      <c r="G95" s="470"/>
      <c r="H95" s="460"/>
      <c r="I95" s="148"/>
      <c r="J95" s="152"/>
      <c r="K95" s="150"/>
      <c r="L95" s="599"/>
      <c r="M95" s="599"/>
      <c r="N95" s="278" t="str">
        <f t="shared" si="104"/>
        <v/>
      </c>
      <c r="O95" s="279" t="str">
        <f t="shared" si="105"/>
        <v/>
      </c>
      <c r="P95" s="271" t="str">
        <f t="shared" si="101"/>
        <v/>
      </c>
      <c r="Q95" s="271" t="str">
        <f t="shared" si="102"/>
        <v/>
      </c>
      <c r="R95" s="271" t="str">
        <f t="shared" si="103"/>
        <v/>
      </c>
      <c r="S95" s="400" t="str">
        <f t="shared" si="86"/>
        <v/>
      </c>
      <c r="T95" s="231"/>
      <c r="U95" s="750" t="str">
        <f t="shared" si="97"/>
        <v/>
      </c>
      <c r="V95" s="752" t="str">
        <f>Main_무해지!AC95</f>
        <v/>
      </c>
      <c r="W95" s="638">
        <f>+Main_무해지!AD95</f>
        <v>0</v>
      </c>
      <c r="X95" s="638">
        <v>0</v>
      </c>
      <c r="Y95" s="408" t="str">
        <f t="shared" si="98"/>
        <v/>
      </c>
      <c r="Z95" s="408" t="str">
        <f t="shared" si="53"/>
        <v/>
      </c>
      <c r="AA95" s="751" t="str">
        <f>IF($U95="","",SUM(Z95:Z$114))</f>
        <v/>
      </c>
      <c r="AB95" s="408" t="str">
        <f t="shared" si="87"/>
        <v/>
      </c>
      <c r="AC95" s="254">
        <f t="shared" si="88"/>
        <v>0</v>
      </c>
      <c r="AD95" s="254" t="str">
        <f>Main_무해지!AJ95</f>
        <v/>
      </c>
      <c r="AE95" s="408">
        <f t="shared" si="54"/>
        <v>0</v>
      </c>
      <c r="AF95" s="408" t="str">
        <f t="shared" si="99"/>
        <v/>
      </c>
      <c r="AG95" s="408" t="str">
        <f t="shared" si="55"/>
        <v/>
      </c>
      <c r="AH95" s="751" t="str">
        <f>IF($U95="","",SUM(AG95:AG$114))</f>
        <v/>
      </c>
      <c r="AI95" s="408" t="str">
        <f>Main_무해지!AP95</f>
        <v/>
      </c>
      <c r="AJ95" s="408">
        <f t="shared" si="56"/>
        <v>0</v>
      </c>
      <c r="AK95" s="408" t="str">
        <f t="shared" si="57"/>
        <v/>
      </c>
      <c r="AL95" s="408" t="str">
        <f t="shared" si="58"/>
        <v/>
      </c>
      <c r="AM95" s="753" t="str">
        <f>IF($U95="","",SUM($AN95:$AN$114))</f>
        <v/>
      </c>
      <c r="AN95" s="408" t="str">
        <f t="shared" si="89"/>
        <v/>
      </c>
      <c r="AO95" s="753" t="str">
        <f t="shared" si="59"/>
        <v/>
      </c>
      <c r="AP95" s="752" t="str">
        <f>IF($U95="","",INDEX(#REF!,$U95+1))</f>
        <v/>
      </c>
      <c r="AQ95" s="408">
        <f t="shared" si="60"/>
        <v>0</v>
      </c>
      <c r="AR95" s="408" t="str">
        <f t="shared" si="61"/>
        <v/>
      </c>
      <c r="AS95" s="408" t="str">
        <f t="shared" si="62"/>
        <v/>
      </c>
      <c r="AT95" s="753" t="str">
        <f>IF($U95="","",SUM($AS95:$AS$114))</f>
        <v/>
      </c>
      <c r="AU95" s="752" t="str">
        <f>IF($U95="","",INDEX(#REF!,$U95+1))</f>
        <v/>
      </c>
      <c r="AV95" s="408">
        <f t="shared" si="63"/>
        <v>0</v>
      </c>
      <c r="AW95" s="408" t="str">
        <f t="shared" si="64"/>
        <v/>
      </c>
      <c r="AX95" s="408" t="str">
        <f t="shared" si="65"/>
        <v/>
      </c>
      <c r="AY95" s="753" t="str">
        <f>IF($U95="","",SUM($AX95:$AX$114))</f>
        <v/>
      </c>
      <c r="AZ95" s="752" t="str">
        <f>IF($U95="","",INDEX(#REF!,$U95+1))</f>
        <v/>
      </c>
      <c r="BA95" s="408">
        <f t="shared" si="66"/>
        <v>0</v>
      </c>
      <c r="BB95" s="408" t="str">
        <f t="shared" si="67"/>
        <v/>
      </c>
      <c r="BC95" s="408" t="str">
        <f t="shared" si="68"/>
        <v/>
      </c>
      <c r="BD95" s="753" t="str">
        <f>IF($U95="","",SUM($BC95:$BC$114))</f>
        <v/>
      </c>
      <c r="BE95" s="752" t="str">
        <f>IF($U95="","",INDEX(#REF!,$U95+1))</f>
        <v/>
      </c>
      <c r="BF95" s="408">
        <f t="shared" si="69"/>
        <v>0</v>
      </c>
      <c r="BG95" s="408" t="str">
        <f t="shared" si="70"/>
        <v/>
      </c>
      <c r="BH95" s="408" t="str">
        <f t="shared" si="71"/>
        <v/>
      </c>
      <c r="BI95" s="753" t="str">
        <f>IF($U95="","",SUM($BH95:$BH$114))</f>
        <v/>
      </c>
      <c r="BJ95" s="752" t="str">
        <f>IF($U95="","",INDEX(#REF!,$U95+1))</f>
        <v/>
      </c>
      <c r="BK95" s="408">
        <f t="shared" si="72"/>
        <v>0</v>
      </c>
      <c r="BL95" s="408" t="str">
        <f t="shared" si="73"/>
        <v/>
      </c>
      <c r="BM95" s="408" t="str">
        <f t="shared" si="74"/>
        <v/>
      </c>
      <c r="BN95" s="753" t="str">
        <f>IF($U95="","",SUM($BM95:$BM$114))</f>
        <v/>
      </c>
      <c r="BO95" s="752">
        <f t="shared" si="75"/>
        <v>0</v>
      </c>
      <c r="BP95" s="408" t="str">
        <f t="shared" si="76"/>
        <v/>
      </c>
      <c r="BQ95" s="408" t="str">
        <f t="shared" si="77"/>
        <v/>
      </c>
      <c r="BR95" s="408"/>
      <c r="BS95" s="408" t="str">
        <f t="shared" si="90"/>
        <v/>
      </c>
      <c r="BT95" s="408" t="str">
        <f t="shared" si="78"/>
        <v/>
      </c>
      <c r="BU95" s="408" t="str">
        <f t="shared" si="79"/>
        <v/>
      </c>
      <c r="BV95" s="408"/>
      <c r="BW95" s="408" t="str">
        <f t="shared" si="91"/>
        <v/>
      </c>
      <c r="BX95" s="408" t="str">
        <f>IF($U95="","",SUM(BS95:BS$114)+SUM(BW95:BW$114))</f>
        <v/>
      </c>
      <c r="BY95" s="754"/>
      <c r="BZ95" s="754"/>
      <c r="CA95" s="754"/>
      <c r="CB95" s="754"/>
      <c r="CC95" s="408" t="str">
        <f t="shared" si="92"/>
        <v/>
      </c>
      <c r="CD95" s="408" t="str">
        <f t="shared" si="80"/>
        <v/>
      </c>
      <c r="CE95" s="408" t="str">
        <f t="shared" si="81"/>
        <v/>
      </c>
      <c r="CF95" s="408" t="str">
        <f t="shared" si="93"/>
        <v/>
      </c>
      <c r="CG95" s="408" t="str">
        <f t="shared" si="82"/>
        <v/>
      </c>
      <c r="CH95" s="756" t="str">
        <f t="shared" si="94"/>
        <v/>
      </c>
      <c r="CI95" s="757" t="str">
        <f t="shared" si="83"/>
        <v/>
      </c>
      <c r="CJ95" s="413"/>
      <c r="CK95" s="750" t="str">
        <f t="shared" si="84"/>
        <v/>
      </c>
      <c r="CL95" s="757" t="str">
        <f t="shared" si="100"/>
        <v/>
      </c>
      <c r="CM95" s="757" t="str">
        <f t="shared" si="95"/>
        <v/>
      </c>
      <c r="CN95" s="757" t="str">
        <f t="shared" si="85"/>
        <v/>
      </c>
      <c r="CO95" s="757" t="str">
        <f t="shared" si="96"/>
        <v/>
      </c>
      <c r="CP95" s="413"/>
      <c r="CQ95" s="413"/>
      <c r="CR95" s="413"/>
      <c r="CS95" s="413"/>
      <c r="CT95" s="413"/>
      <c r="CU95" s="413"/>
      <c r="CV95" s="413"/>
    </row>
    <row r="96" spans="1:100">
      <c r="A96" s="305"/>
      <c r="D96" s="469"/>
      <c r="E96" s="469"/>
      <c r="F96" s="459"/>
      <c r="G96" s="470"/>
      <c r="H96" s="460"/>
      <c r="I96" s="148"/>
      <c r="J96" s="152"/>
      <c r="K96" s="150"/>
      <c r="L96" s="599"/>
      <c r="M96" s="599"/>
      <c r="N96" s="278" t="str">
        <f t="shared" si="104"/>
        <v/>
      </c>
      <c r="O96" s="279" t="str">
        <f t="shared" si="105"/>
        <v/>
      </c>
      <c r="P96" s="271" t="str">
        <f t="shared" si="101"/>
        <v/>
      </c>
      <c r="Q96" s="271" t="str">
        <f t="shared" si="102"/>
        <v/>
      </c>
      <c r="R96" s="271" t="str">
        <f t="shared" si="103"/>
        <v/>
      </c>
      <c r="S96" s="400" t="str">
        <f t="shared" si="86"/>
        <v/>
      </c>
      <c r="T96" s="231"/>
      <c r="U96" s="52" t="str">
        <f t="shared" si="97"/>
        <v/>
      </c>
      <c r="V96" s="53" t="str">
        <f>Main_무해지!AC96</f>
        <v/>
      </c>
      <c r="W96" s="56">
        <f>+Main_무해지!AD96</f>
        <v>0</v>
      </c>
      <c r="X96" s="56">
        <v>0</v>
      </c>
      <c r="Y96" s="254" t="str">
        <f t="shared" si="98"/>
        <v/>
      </c>
      <c r="Z96" s="254" t="str">
        <f t="shared" si="53"/>
        <v/>
      </c>
      <c r="AA96" s="54" t="str">
        <f>IF($U96="","",SUM(Z96:Z$114))</f>
        <v/>
      </c>
      <c r="AB96" s="254" t="str">
        <f t="shared" si="87"/>
        <v/>
      </c>
      <c r="AC96" s="254">
        <f t="shared" si="88"/>
        <v>0</v>
      </c>
      <c r="AD96" s="254" t="str">
        <f>Main_무해지!AJ96</f>
        <v/>
      </c>
      <c r="AE96" s="254">
        <f t="shared" si="54"/>
        <v>0</v>
      </c>
      <c r="AF96" s="254" t="str">
        <f t="shared" si="99"/>
        <v/>
      </c>
      <c r="AG96" s="254" t="str">
        <f t="shared" si="55"/>
        <v/>
      </c>
      <c r="AH96" s="54" t="str">
        <f>IF($U96="","",SUM(AG96:AG$114))</f>
        <v/>
      </c>
      <c r="AI96" s="254" t="str">
        <f>Main_무해지!AP96</f>
        <v/>
      </c>
      <c r="AJ96" s="254">
        <f t="shared" si="56"/>
        <v>0</v>
      </c>
      <c r="AK96" s="254" t="str">
        <f t="shared" si="57"/>
        <v/>
      </c>
      <c r="AL96" s="254" t="str">
        <f t="shared" si="58"/>
        <v/>
      </c>
      <c r="AM96" s="57" t="str">
        <f>IF($U96="","",SUM($AN96:$AN$114))</f>
        <v/>
      </c>
      <c r="AN96" s="254" t="str">
        <f t="shared" si="89"/>
        <v/>
      </c>
      <c r="AO96" s="57" t="str">
        <f t="shared" si="59"/>
        <v/>
      </c>
      <c r="AP96" s="53" t="str">
        <f>IF($U96="","",INDEX(#REF!,$U96+1))</f>
        <v/>
      </c>
      <c r="AQ96" s="254">
        <f t="shared" si="60"/>
        <v>0</v>
      </c>
      <c r="AR96" s="254" t="str">
        <f t="shared" si="61"/>
        <v/>
      </c>
      <c r="AS96" s="254" t="str">
        <f t="shared" si="62"/>
        <v/>
      </c>
      <c r="AT96" s="57" t="str">
        <f>IF($U96="","",SUM($AS96:$AS$114))</f>
        <v/>
      </c>
      <c r="AU96" s="53" t="str">
        <f>IF($U96="","",INDEX(#REF!,$U96+1))</f>
        <v/>
      </c>
      <c r="AV96" s="254">
        <f t="shared" si="63"/>
        <v>0</v>
      </c>
      <c r="AW96" s="254" t="str">
        <f t="shared" si="64"/>
        <v/>
      </c>
      <c r="AX96" s="254" t="str">
        <f t="shared" si="65"/>
        <v/>
      </c>
      <c r="AY96" s="57" t="str">
        <f>IF($U96="","",SUM($AX96:$AX$114))</f>
        <v/>
      </c>
      <c r="AZ96" s="53" t="str">
        <f>IF($U96="","",INDEX(#REF!,$U96+1))</f>
        <v/>
      </c>
      <c r="BA96" s="254">
        <f t="shared" si="66"/>
        <v>0</v>
      </c>
      <c r="BB96" s="254" t="str">
        <f t="shared" si="67"/>
        <v/>
      </c>
      <c r="BC96" s="254" t="str">
        <f t="shared" si="68"/>
        <v/>
      </c>
      <c r="BD96" s="57" t="str">
        <f>IF($U96="","",SUM($BC96:$BC$114))</f>
        <v/>
      </c>
      <c r="BE96" s="53" t="str">
        <f>IF($U96="","",INDEX(#REF!,$U96+1))</f>
        <v/>
      </c>
      <c r="BF96" s="254">
        <f t="shared" si="69"/>
        <v>0</v>
      </c>
      <c r="BG96" s="254" t="str">
        <f t="shared" si="70"/>
        <v/>
      </c>
      <c r="BH96" s="254" t="str">
        <f t="shared" si="71"/>
        <v/>
      </c>
      <c r="BI96" s="57" t="str">
        <f>IF($U96="","",SUM($BH96:$BH$114))</f>
        <v/>
      </c>
      <c r="BJ96" s="53" t="str">
        <f>IF($U96="","",INDEX(#REF!,$U96+1))</f>
        <v/>
      </c>
      <c r="BK96" s="254">
        <f t="shared" si="72"/>
        <v>0</v>
      </c>
      <c r="BL96" s="254" t="str">
        <f t="shared" si="73"/>
        <v/>
      </c>
      <c r="BM96" s="254" t="str">
        <f t="shared" si="74"/>
        <v/>
      </c>
      <c r="BN96" s="57" t="str">
        <f>IF($U96="","",SUM($BM96:$BM$114))</f>
        <v/>
      </c>
      <c r="BO96" s="53">
        <f t="shared" si="75"/>
        <v>0</v>
      </c>
      <c r="BP96" s="254" t="str">
        <f t="shared" si="76"/>
        <v/>
      </c>
      <c r="BQ96" s="254" t="str">
        <f t="shared" si="77"/>
        <v/>
      </c>
      <c r="BR96" s="254"/>
      <c r="BS96" s="254" t="str">
        <f t="shared" si="90"/>
        <v/>
      </c>
      <c r="BT96" s="254" t="str">
        <f t="shared" si="78"/>
        <v/>
      </c>
      <c r="BU96" s="254" t="str">
        <f t="shared" si="79"/>
        <v/>
      </c>
      <c r="BV96" s="254"/>
      <c r="BW96" s="254" t="str">
        <f t="shared" si="91"/>
        <v/>
      </c>
      <c r="BX96" s="254" t="str">
        <f>IF($U96="","",SUM(BS96:BS$114)+SUM(BW96:BW$114))</f>
        <v/>
      </c>
      <c r="BY96" s="55"/>
      <c r="BZ96" s="55"/>
      <c r="CA96" s="55"/>
      <c r="CB96" s="55"/>
      <c r="CC96" s="254" t="str">
        <f t="shared" si="92"/>
        <v/>
      </c>
      <c r="CD96" s="254" t="str">
        <f t="shared" si="80"/>
        <v/>
      </c>
      <c r="CE96" s="254" t="str">
        <f t="shared" si="81"/>
        <v/>
      </c>
      <c r="CF96" s="254" t="str">
        <f t="shared" si="93"/>
        <v/>
      </c>
      <c r="CG96" s="254" t="str">
        <f t="shared" si="82"/>
        <v/>
      </c>
      <c r="CH96" s="58" t="str">
        <f t="shared" si="94"/>
        <v/>
      </c>
      <c r="CI96" s="59" t="str">
        <f t="shared" si="83"/>
        <v/>
      </c>
      <c r="CJ96" s="236"/>
      <c r="CK96" s="52" t="str">
        <f t="shared" si="84"/>
        <v/>
      </c>
      <c r="CL96" s="59" t="str">
        <f t="shared" si="100"/>
        <v/>
      </c>
      <c r="CM96" s="59" t="str">
        <f t="shared" si="95"/>
        <v/>
      </c>
      <c r="CN96" s="59" t="str">
        <f t="shared" si="85"/>
        <v/>
      </c>
      <c r="CO96" s="59" t="str">
        <f t="shared" si="96"/>
        <v/>
      </c>
      <c r="CP96" s="236"/>
      <c r="CQ96" s="236"/>
      <c r="CR96" s="236"/>
      <c r="CS96" s="236"/>
      <c r="CT96" s="236"/>
      <c r="CU96" s="236"/>
      <c r="CV96" s="236"/>
    </row>
    <row r="97" spans="1:100">
      <c r="A97" s="305"/>
      <c r="D97" s="469"/>
      <c r="E97" s="469"/>
      <c r="F97" s="459"/>
      <c r="G97" s="470"/>
      <c r="H97" s="460"/>
      <c r="I97" s="148"/>
      <c r="J97" s="152"/>
      <c r="K97" s="150"/>
      <c r="L97" s="599"/>
      <c r="M97" s="599"/>
      <c r="N97" s="278" t="str">
        <f t="shared" si="104"/>
        <v/>
      </c>
      <c r="O97" s="279" t="str">
        <f t="shared" si="105"/>
        <v/>
      </c>
      <c r="P97" s="271" t="str">
        <f t="shared" si="101"/>
        <v/>
      </c>
      <c r="Q97" s="271" t="str">
        <f t="shared" si="102"/>
        <v/>
      </c>
      <c r="R97" s="271" t="str">
        <f t="shared" si="103"/>
        <v/>
      </c>
      <c r="S97" s="400" t="str">
        <f t="shared" si="86"/>
        <v/>
      </c>
      <c r="T97" s="231"/>
      <c r="U97" s="52" t="str">
        <f t="shared" si="97"/>
        <v/>
      </c>
      <c r="V97" s="53" t="str">
        <f>Main_무해지!AC97</f>
        <v/>
      </c>
      <c r="W97" s="56">
        <f>+Main_무해지!AD97</f>
        <v>0</v>
      </c>
      <c r="X97" s="56">
        <v>0</v>
      </c>
      <c r="Y97" s="254" t="str">
        <f t="shared" si="98"/>
        <v/>
      </c>
      <c r="Z97" s="254" t="str">
        <f t="shared" si="53"/>
        <v/>
      </c>
      <c r="AA97" s="54" t="str">
        <f>IF($U97="","",SUM(Z97:Z$114))</f>
        <v/>
      </c>
      <c r="AB97" s="254" t="str">
        <f t="shared" si="87"/>
        <v/>
      </c>
      <c r="AC97" s="254">
        <f t="shared" si="88"/>
        <v>0</v>
      </c>
      <c r="AD97" s="254" t="str">
        <f>Main_무해지!AJ97</f>
        <v/>
      </c>
      <c r="AE97" s="254">
        <f t="shared" si="54"/>
        <v>0</v>
      </c>
      <c r="AF97" s="254" t="str">
        <f t="shared" si="99"/>
        <v/>
      </c>
      <c r="AG97" s="254" t="str">
        <f t="shared" si="55"/>
        <v/>
      </c>
      <c r="AH97" s="54" t="str">
        <f>IF($U97="","",SUM(AG97:AG$114))</f>
        <v/>
      </c>
      <c r="AI97" s="254" t="str">
        <f>Main_무해지!AP97</f>
        <v/>
      </c>
      <c r="AJ97" s="254">
        <f t="shared" si="56"/>
        <v>0</v>
      </c>
      <c r="AK97" s="254" t="str">
        <f t="shared" si="57"/>
        <v/>
      </c>
      <c r="AL97" s="254" t="str">
        <f t="shared" si="58"/>
        <v/>
      </c>
      <c r="AM97" s="57" t="str">
        <f>IF($U97="","",SUM($AN97:$AN$114))</f>
        <v/>
      </c>
      <c r="AN97" s="254" t="str">
        <f t="shared" si="89"/>
        <v/>
      </c>
      <c r="AO97" s="57" t="str">
        <f t="shared" si="59"/>
        <v/>
      </c>
      <c r="AP97" s="53" t="str">
        <f>IF($U97="","",INDEX(#REF!,$U97+1))</f>
        <v/>
      </c>
      <c r="AQ97" s="254">
        <f t="shared" si="60"/>
        <v>0</v>
      </c>
      <c r="AR97" s="254" t="str">
        <f t="shared" si="61"/>
        <v/>
      </c>
      <c r="AS97" s="254" t="str">
        <f t="shared" si="62"/>
        <v/>
      </c>
      <c r="AT97" s="57" t="str">
        <f>IF($U97="","",SUM($AS97:$AS$114))</f>
        <v/>
      </c>
      <c r="AU97" s="53" t="str">
        <f>IF($U97="","",INDEX(#REF!,$U97+1))</f>
        <v/>
      </c>
      <c r="AV97" s="254">
        <f t="shared" si="63"/>
        <v>0</v>
      </c>
      <c r="AW97" s="254" t="str">
        <f t="shared" si="64"/>
        <v/>
      </c>
      <c r="AX97" s="254" t="str">
        <f t="shared" si="65"/>
        <v/>
      </c>
      <c r="AY97" s="57" t="str">
        <f>IF($U97="","",SUM($AX97:$AX$114))</f>
        <v/>
      </c>
      <c r="AZ97" s="53" t="str">
        <f>IF($U97="","",INDEX(#REF!,$U97+1))</f>
        <v/>
      </c>
      <c r="BA97" s="254">
        <f t="shared" si="66"/>
        <v>0</v>
      </c>
      <c r="BB97" s="254" t="str">
        <f t="shared" si="67"/>
        <v/>
      </c>
      <c r="BC97" s="254" t="str">
        <f t="shared" si="68"/>
        <v/>
      </c>
      <c r="BD97" s="57" t="str">
        <f>IF($U97="","",SUM($BC97:$BC$114))</f>
        <v/>
      </c>
      <c r="BE97" s="53" t="str">
        <f>IF($U97="","",INDEX(#REF!,$U97+1))</f>
        <v/>
      </c>
      <c r="BF97" s="254">
        <f t="shared" si="69"/>
        <v>0</v>
      </c>
      <c r="BG97" s="254" t="str">
        <f t="shared" si="70"/>
        <v/>
      </c>
      <c r="BH97" s="254" t="str">
        <f t="shared" si="71"/>
        <v/>
      </c>
      <c r="BI97" s="57" t="str">
        <f>IF($U97="","",SUM($BH97:$BH$114))</f>
        <v/>
      </c>
      <c r="BJ97" s="53" t="str">
        <f>IF($U97="","",INDEX(#REF!,$U97+1))</f>
        <v/>
      </c>
      <c r="BK97" s="254">
        <f t="shared" si="72"/>
        <v>0</v>
      </c>
      <c r="BL97" s="254" t="str">
        <f t="shared" si="73"/>
        <v/>
      </c>
      <c r="BM97" s="254" t="str">
        <f t="shared" si="74"/>
        <v/>
      </c>
      <c r="BN97" s="57" t="str">
        <f>IF($U97="","",SUM($BM97:$BM$114))</f>
        <v/>
      </c>
      <c r="BO97" s="53">
        <f t="shared" si="75"/>
        <v>0</v>
      </c>
      <c r="BP97" s="254" t="str">
        <f t="shared" si="76"/>
        <v/>
      </c>
      <c r="BQ97" s="254" t="str">
        <f t="shared" si="77"/>
        <v/>
      </c>
      <c r="BR97" s="254"/>
      <c r="BS97" s="254" t="str">
        <f t="shared" si="90"/>
        <v/>
      </c>
      <c r="BT97" s="254" t="str">
        <f t="shared" si="78"/>
        <v/>
      </c>
      <c r="BU97" s="254" t="str">
        <f t="shared" si="79"/>
        <v/>
      </c>
      <c r="BV97" s="254"/>
      <c r="BW97" s="254" t="str">
        <f t="shared" si="91"/>
        <v/>
      </c>
      <c r="BX97" s="254" t="str">
        <f>IF($U97="","",SUM(BS97:BS$114)+SUM(BW97:BW$114))</f>
        <v/>
      </c>
      <c r="BY97" s="55"/>
      <c r="BZ97" s="55"/>
      <c r="CA97" s="55"/>
      <c r="CB97" s="55"/>
      <c r="CC97" s="254" t="str">
        <f t="shared" si="92"/>
        <v/>
      </c>
      <c r="CD97" s="254" t="str">
        <f t="shared" si="80"/>
        <v/>
      </c>
      <c r="CE97" s="254" t="str">
        <f t="shared" si="81"/>
        <v/>
      </c>
      <c r="CF97" s="254" t="str">
        <f t="shared" si="93"/>
        <v/>
      </c>
      <c r="CG97" s="254" t="str">
        <f t="shared" si="82"/>
        <v/>
      </c>
      <c r="CH97" s="58" t="str">
        <f t="shared" si="94"/>
        <v/>
      </c>
      <c r="CI97" s="59" t="str">
        <f t="shared" si="83"/>
        <v/>
      </c>
      <c r="CJ97" s="236"/>
      <c r="CK97" s="52" t="str">
        <f t="shared" si="84"/>
        <v/>
      </c>
      <c r="CL97" s="59" t="str">
        <f t="shared" si="100"/>
        <v/>
      </c>
      <c r="CM97" s="59" t="str">
        <f t="shared" si="95"/>
        <v/>
      </c>
      <c r="CN97" s="59" t="str">
        <f t="shared" si="85"/>
        <v/>
      </c>
      <c r="CO97" s="59" t="str">
        <f t="shared" si="96"/>
        <v/>
      </c>
      <c r="CP97" s="236"/>
      <c r="CQ97" s="236"/>
      <c r="CR97" s="236"/>
      <c r="CS97" s="236"/>
      <c r="CT97" s="236"/>
      <c r="CU97" s="236"/>
      <c r="CV97" s="236"/>
    </row>
    <row r="98" spans="1:100">
      <c r="A98" s="305"/>
      <c r="D98" s="469"/>
      <c r="E98" s="469"/>
      <c r="F98" s="459"/>
      <c r="G98" s="470"/>
      <c r="H98" s="460"/>
      <c r="I98" s="148"/>
      <c r="J98" s="152"/>
      <c r="K98" s="150"/>
      <c r="L98" s="599"/>
      <c r="M98" s="599"/>
      <c r="N98" s="278" t="str">
        <f t="shared" si="104"/>
        <v/>
      </c>
      <c r="O98" s="279" t="str">
        <f t="shared" si="105"/>
        <v/>
      </c>
      <c r="P98" s="271" t="str">
        <f t="shared" si="101"/>
        <v/>
      </c>
      <c r="Q98" s="271" t="str">
        <f t="shared" si="102"/>
        <v/>
      </c>
      <c r="R98" s="271" t="str">
        <f t="shared" si="103"/>
        <v/>
      </c>
      <c r="S98" s="400" t="str">
        <f t="shared" si="86"/>
        <v/>
      </c>
      <c r="T98" s="231"/>
      <c r="U98" s="52" t="str">
        <f t="shared" si="97"/>
        <v/>
      </c>
      <c r="V98" s="53" t="str">
        <f>Main_무해지!AC98</f>
        <v/>
      </c>
      <c r="W98" s="56">
        <f>+Main_무해지!AD98</f>
        <v>0</v>
      </c>
      <c r="X98" s="56">
        <v>0</v>
      </c>
      <c r="Y98" s="254" t="str">
        <f t="shared" si="98"/>
        <v/>
      </c>
      <c r="Z98" s="254" t="str">
        <f t="shared" si="53"/>
        <v/>
      </c>
      <c r="AA98" s="54" t="str">
        <f>IF($U98="","",SUM(Z98:Z$114))</f>
        <v/>
      </c>
      <c r="AB98" s="254" t="str">
        <f t="shared" si="87"/>
        <v/>
      </c>
      <c r="AC98" s="254">
        <f t="shared" si="88"/>
        <v>0</v>
      </c>
      <c r="AD98" s="254" t="str">
        <f>Main_무해지!AJ98</f>
        <v/>
      </c>
      <c r="AE98" s="254">
        <f t="shared" si="54"/>
        <v>0</v>
      </c>
      <c r="AF98" s="254" t="str">
        <f t="shared" si="99"/>
        <v/>
      </c>
      <c r="AG98" s="254" t="str">
        <f t="shared" si="55"/>
        <v/>
      </c>
      <c r="AH98" s="54" t="str">
        <f>IF($U98="","",SUM(AG98:AG$114))</f>
        <v/>
      </c>
      <c r="AI98" s="254" t="str">
        <f>Main_무해지!AP98</f>
        <v/>
      </c>
      <c r="AJ98" s="254">
        <f t="shared" si="56"/>
        <v>0</v>
      </c>
      <c r="AK98" s="254" t="str">
        <f t="shared" si="57"/>
        <v/>
      </c>
      <c r="AL98" s="254" t="str">
        <f t="shared" si="58"/>
        <v/>
      </c>
      <c r="AM98" s="57" t="str">
        <f>IF($U98="","",SUM($AN98:$AN$114))</f>
        <v/>
      </c>
      <c r="AN98" s="254" t="str">
        <f t="shared" si="89"/>
        <v/>
      </c>
      <c r="AO98" s="57" t="str">
        <f t="shared" si="59"/>
        <v/>
      </c>
      <c r="AP98" s="53" t="str">
        <f>IF($U98="","",INDEX(#REF!,$U98+1))</f>
        <v/>
      </c>
      <c r="AQ98" s="254">
        <f t="shared" si="60"/>
        <v>0</v>
      </c>
      <c r="AR98" s="254" t="str">
        <f t="shared" si="61"/>
        <v/>
      </c>
      <c r="AS98" s="254" t="str">
        <f t="shared" si="62"/>
        <v/>
      </c>
      <c r="AT98" s="57" t="str">
        <f>IF($U98="","",SUM($AS98:$AS$114))</f>
        <v/>
      </c>
      <c r="AU98" s="53" t="str">
        <f>IF($U98="","",INDEX(#REF!,$U98+1))</f>
        <v/>
      </c>
      <c r="AV98" s="254">
        <f t="shared" si="63"/>
        <v>0</v>
      </c>
      <c r="AW98" s="254" t="str">
        <f t="shared" si="64"/>
        <v/>
      </c>
      <c r="AX98" s="254" t="str">
        <f t="shared" si="65"/>
        <v/>
      </c>
      <c r="AY98" s="57" t="str">
        <f>IF($U98="","",SUM($AX98:$AX$114))</f>
        <v/>
      </c>
      <c r="AZ98" s="53" t="str">
        <f>IF($U98="","",INDEX(#REF!,$U98+1))</f>
        <v/>
      </c>
      <c r="BA98" s="254">
        <f t="shared" si="66"/>
        <v>0</v>
      </c>
      <c r="BB98" s="254" t="str">
        <f t="shared" si="67"/>
        <v/>
      </c>
      <c r="BC98" s="254" t="str">
        <f t="shared" si="68"/>
        <v/>
      </c>
      <c r="BD98" s="57" t="str">
        <f>IF($U98="","",SUM($BC98:$BC$114))</f>
        <v/>
      </c>
      <c r="BE98" s="53" t="str">
        <f>IF($U98="","",INDEX(#REF!,$U98+1))</f>
        <v/>
      </c>
      <c r="BF98" s="254">
        <f t="shared" si="69"/>
        <v>0</v>
      </c>
      <c r="BG98" s="254" t="str">
        <f t="shared" si="70"/>
        <v/>
      </c>
      <c r="BH98" s="254" t="str">
        <f t="shared" si="71"/>
        <v/>
      </c>
      <c r="BI98" s="57" t="str">
        <f>IF($U98="","",SUM($BH98:$BH$114))</f>
        <v/>
      </c>
      <c r="BJ98" s="53" t="str">
        <f>IF($U98="","",INDEX(#REF!,$U98+1))</f>
        <v/>
      </c>
      <c r="BK98" s="254">
        <f t="shared" si="72"/>
        <v>0</v>
      </c>
      <c r="BL98" s="254" t="str">
        <f t="shared" si="73"/>
        <v/>
      </c>
      <c r="BM98" s="254" t="str">
        <f t="shared" si="74"/>
        <v/>
      </c>
      <c r="BN98" s="57" t="str">
        <f>IF($U98="","",SUM($BM98:$BM$114))</f>
        <v/>
      </c>
      <c r="BO98" s="53">
        <f t="shared" si="75"/>
        <v>0</v>
      </c>
      <c r="BP98" s="254" t="str">
        <f t="shared" si="76"/>
        <v/>
      </c>
      <c r="BQ98" s="254" t="str">
        <f t="shared" si="77"/>
        <v/>
      </c>
      <c r="BR98" s="254"/>
      <c r="BS98" s="254" t="str">
        <f t="shared" si="90"/>
        <v/>
      </c>
      <c r="BT98" s="254" t="str">
        <f t="shared" si="78"/>
        <v/>
      </c>
      <c r="BU98" s="254" t="str">
        <f t="shared" si="79"/>
        <v/>
      </c>
      <c r="BV98" s="254"/>
      <c r="BW98" s="254" t="str">
        <f t="shared" si="91"/>
        <v/>
      </c>
      <c r="BX98" s="254" t="str">
        <f>IF($U98="","",SUM(BS98:BS$114)+SUM(BW98:BW$114))</f>
        <v/>
      </c>
      <c r="BY98" s="55"/>
      <c r="BZ98" s="55"/>
      <c r="CA98" s="55"/>
      <c r="CB98" s="55"/>
      <c r="CC98" s="254" t="str">
        <f t="shared" si="92"/>
        <v/>
      </c>
      <c r="CD98" s="254" t="str">
        <f t="shared" si="80"/>
        <v/>
      </c>
      <c r="CE98" s="254" t="str">
        <f t="shared" si="81"/>
        <v/>
      </c>
      <c r="CF98" s="254" t="str">
        <f t="shared" si="93"/>
        <v/>
      </c>
      <c r="CG98" s="254" t="str">
        <f t="shared" si="82"/>
        <v/>
      </c>
      <c r="CH98" s="58" t="str">
        <f t="shared" si="94"/>
        <v/>
      </c>
      <c r="CI98" s="59" t="str">
        <f t="shared" si="83"/>
        <v/>
      </c>
      <c r="CJ98" s="236"/>
      <c r="CK98" s="52" t="str">
        <f t="shared" si="84"/>
        <v/>
      </c>
      <c r="CL98" s="59" t="str">
        <f t="shared" si="100"/>
        <v/>
      </c>
      <c r="CM98" s="59" t="str">
        <f t="shared" si="95"/>
        <v/>
      </c>
      <c r="CN98" s="59" t="str">
        <f t="shared" si="85"/>
        <v/>
      </c>
      <c r="CO98" s="59" t="str">
        <f t="shared" si="96"/>
        <v/>
      </c>
      <c r="CP98" s="236"/>
      <c r="CQ98" s="236"/>
      <c r="CR98" s="236"/>
      <c r="CS98" s="236"/>
      <c r="CT98" s="236"/>
      <c r="CU98" s="236"/>
      <c r="CV98" s="236"/>
    </row>
    <row r="99" spans="1:100">
      <c r="A99" s="305"/>
      <c r="D99" s="469"/>
      <c r="E99" s="469"/>
      <c r="F99" s="459"/>
      <c r="G99" s="470"/>
      <c r="H99" s="460"/>
      <c r="I99" s="148"/>
      <c r="J99" s="152"/>
      <c r="K99" s="150"/>
      <c r="L99" s="599"/>
      <c r="M99" s="599"/>
      <c r="N99" s="278" t="str">
        <f t="shared" si="104"/>
        <v/>
      </c>
      <c r="O99" s="279" t="str">
        <f t="shared" si="105"/>
        <v/>
      </c>
      <c r="P99" s="271" t="str">
        <f t="shared" si="101"/>
        <v/>
      </c>
      <c r="Q99" s="271" t="str">
        <f t="shared" si="102"/>
        <v/>
      </c>
      <c r="R99" s="271" t="str">
        <f t="shared" si="103"/>
        <v/>
      </c>
      <c r="S99" s="400" t="str">
        <f t="shared" si="86"/>
        <v/>
      </c>
      <c r="T99" s="231"/>
      <c r="U99" s="60" t="str">
        <f t="shared" si="97"/>
        <v/>
      </c>
      <c r="V99" s="61" t="str">
        <f>Main_무해지!AC99</f>
        <v/>
      </c>
      <c r="W99" s="64">
        <f>+Main_무해지!AD99</f>
        <v>0</v>
      </c>
      <c r="X99" s="64">
        <v>0</v>
      </c>
      <c r="Y99" s="255" t="str">
        <f t="shared" si="98"/>
        <v/>
      </c>
      <c r="Z99" s="255" t="str">
        <f t="shared" si="53"/>
        <v/>
      </c>
      <c r="AA99" s="62" t="str">
        <f>IF($U99="","",SUM(Z99:Z$114))</f>
        <v/>
      </c>
      <c r="AB99" s="255" t="str">
        <f t="shared" si="87"/>
        <v/>
      </c>
      <c r="AC99" s="254">
        <f t="shared" si="88"/>
        <v>0</v>
      </c>
      <c r="AD99" s="254" t="str">
        <f>Main_무해지!AJ99</f>
        <v/>
      </c>
      <c r="AE99" s="255">
        <f t="shared" si="54"/>
        <v>0</v>
      </c>
      <c r="AF99" s="255" t="str">
        <f t="shared" si="99"/>
        <v/>
      </c>
      <c r="AG99" s="255" t="str">
        <f t="shared" si="55"/>
        <v/>
      </c>
      <c r="AH99" s="62" t="str">
        <f>IF($U99="","",SUM(AG99:AG$114))</f>
        <v/>
      </c>
      <c r="AI99" s="255" t="str">
        <f>Main_무해지!AP99</f>
        <v/>
      </c>
      <c r="AJ99" s="255">
        <f t="shared" si="56"/>
        <v>0</v>
      </c>
      <c r="AK99" s="255" t="str">
        <f t="shared" si="57"/>
        <v/>
      </c>
      <c r="AL99" s="255" t="str">
        <f t="shared" si="58"/>
        <v/>
      </c>
      <c r="AM99" s="65" t="str">
        <f>IF($U99="","",SUM($AN99:$AN$114))</f>
        <v/>
      </c>
      <c r="AN99" s="255" t="str">
        <f t="shared" si="89"/>
        <v/>
      </c>
      <c r="AO99" s="65" t="str">
        <f t="shared" si="59"/>
        <v/>
      </c>
      <c r="AP99" s="61" t="str">
        <f>IF($U99="","",INDEX(#REF!,$U99+1))</f>
        <v/>
      </c>
      <c r="AQ99" s="255">
        <f t="shared" si="60"/>
        <v>0</v>
      </c>
      <c r="AR99" s="255" t="str">
        <f t="shared" si="61"/>
        <v/>
      </c>
      <c r="AS99" s="255" t="str">
        <f t="shared" si="62"/>
        <v/>
      </c>
      <c r="AT99" s="65" t="str">
        <f>IF($U99="","",SUM($AS99:$AS$114))</f>
        <v/>
      </c>
      <c r="AU99" s="61" t="str">
        <f>IF($U99="","",INDEX(#REF!,$U99+1))</f>
        <v/>
      </c>
      <c r="AV99" s="255">
        <f t="shared" si="63"/>
        <v>0</v>
      </c>
      <c r="AW99" s="255" t="str">
        <f t="shared" si="64"/>
        <v/>
      </c>
      <c r="AX99" s="255" t="str">
        <f t="shared" si="65"/>
        <v/>
      </c>
      <c r="AY99" s="65" t="str">
        <f>IF($U99="","",SUM($AX99:$AX$114))</f>
        <v/>
      </c>
      <c r="AZ99" s="61" t="str">
        <f>IF($U99="","",INDEX(#REF!,$U99+1))</f>
        <v/>
      </c>
      <c r="BA99" s="255">
        <f t="shared" si="66"/>
        <v>0</v>
      </c>
      <c r="BB99" s="255" t="str">
        <f t="shared" si="67"/>
        <v/>
      </c>
      <c r="BC99" s="255" t="str">
        <f t="shared" si="68"/>
        <v/>
      </c>
      <c r="BD99" s="65" t="str">
        <f>IF($U99="","",SUM($BC99:$BC$114))</f>
        <v/>
      </c>
      <c r="BE99" s="61" t="str">
        <f>IF($U99="","",INDEX(#REF!,$U99+1))</f>
        <v/>
      </c>
      <c r="BF99" s="255">
        <f t="shared" si="69"/>
        <v>0</v>
      </c>
      <c r="BG99" s="255" t="str">
        <f t="shared" si="70"/>
        <v/>
      </c>
      <c r="BH99" s="255" t="str">
        <f t="shared" si="71"/>
        <v/>
      </c>
      <c r="BI99" s="65" t="str">
        <f>IF($U99="","",SUM($BH99:$BH$114))</f>
        <v/>
      </c>
      <c r="BJ99" s="61" t="str">
        <f>IF($U99="","",INDEX(#REF!,$U99+1))</f>
        <v/>
      </c>
      <c r="BK99" s="255">
        <f t="shared" si="72"/>
        <v>0</v>
      </c>
      <c r="BL99" s="255" t="str">
        <f t="shared" si="73"/>
        <v/>
      </c>
      <c r="BM99" s="255" t="str">
        <f t="shared" si="74"/>
        <v/>
      </c>
      <c r="BN99" s="65" t="str">
        <f>IF($U99="","",SUM($BM99:$BM$114))</f>
        <v/>
      </c>
      <c r="BO99" s="61">
        <f t="shared" si="75"/>
        <v>0</v>
      </c>
      <c r="BP99" s="255" t="str">
        <f t="shared" si="76"/>
        <v/>
      </c>
      <c r="BQ99" s="255" t="str">
        <f t="shared" si="77"/>
        <v/>
      </c>
      <c r="BR99" s="255"/>
      <c r="BS99" s="255" t="str">
        <f t="shared" si="90"/>
        <v/>
      </c>
      <c r="BT99" s="255" t="str">
        <f t="shared" si="78"/>
        <v/>
      </c>
      <c r="BU99" s="255" t="str">
        <f t="shared" si="79"/>
        <v/>
      </c>
      <c r="BV99" s="255"/>
      <c r="BW99" s="255" t="str">
        <f t="shared" si="91"/>
        <v/>
      </c>
      <c r="BX99" s="255" t="str">
        <f>IF($U99="","",SUM(BS99:BS$114)+SUM(BW99:BW$114))</f>
        <v/>
      </c>
      <c r="BY99" s="63"/>
      <c r="BZ99" s="63"/>
      <c r="CA99" s="63"/>
      <c r="CB99" s="63"/>
      <c r="CC99" s="255" t="str">
        <f t="shared" si="92"/>
        <v/>
      </c>
      <c r="CD99" s="255" t="str">
        <f t="shared" si="80"/>
        <v/>
      </c>
      <c r="CE99" s="255" t="str">
        <f t="shared" si="81"/>
        <v/>
      </c>
      <c r="CF99" s="255" t="str">
        <f t="shared" si="93"/>
        <v/>
      </c>
      <c r="CG99" s="255" t="str">
        <f t="shared" si="82"/>
        <v/>
      </c>
      <c r="CH99" s="66" t="str">
        <f t="shared" si="94"/>
        <v/>
      </c>
      <c r="CI99" s="67" t="str">
        <f t="shared" si="83"/>
        <v/>
      </c>
      <c r="CJ99" s="237"/>
      <c r="CK99" s="60" t="str">
        <f t="shared" si="84"/>
        <v/>
      </c>
      <c r="CL99" s="67" t="str">
        <f t="shared" si="100"/>
        <v/>
      </c>
      <c r="CM99" s="67" t="str">
        <f t="shared" si="95"/>
        <v/>
      </c>
      <c r="CN99" s="67" t="str">
        <f t="shared" si="85"/>
        <v/>
      </c>
      <c r="CO99" s="67" t="str">
        <f t="shared" si="96"/>
        <v/>
      </c>
      <c r="CP99" s="237"/>
      <c r="CQ99" s="237"/>
      <c r="CR99" s="237"/>
      <c r="CS99" s="237"/>
      <c r="CT99" s="237"/>
      <c r="CU99" s="237"/>
      <c r="CV99" s="237"/>
    </row>
    <row r="100" spans="1:100">
      <c r="A100" s="305"/>
      <c r="D100" s="469"/>
      <c r="E100" s="469"/>
      <c r="F100" s="459"/>
      <c r="G100" s="470"/>
      <c r="H100" s="460"/>
      <c r="I100" s="148"/>
      <c r="J100" s="152"/>
      <c r="K100" s="150"/>
      <c r="L100" s="599"/>
      <c r="M100" s="599"/>
      <c r="N100" s="278" t="str">
        <f t="shared" si="104"/>
        <v/>
      </c>
      <c r="O100" s="279" t="str">
        <f t="shared" si="105"/>
        <v/>
      </c>
      <c r="P100" s="271" t="str">
        <f t="shared" si="101"/>
        <v/>
      </c>
      <c r="Q100" s="271" t="str">
        <f t="shared" si="102"/>
        <v/>
      </c>
      <c r="R100" s="271" t="str">
        <f t="shared" si="103"/>
        <v/>
      </c>
      <c r="S100" s="400" t="str">
        <f t="shared" si="86"/>
        <v/>
      </c>
      <c r="T100" s="231"/>
      <c r="U100" s="759" t="str">
        <f t="shared" si="97"/>
        <v/>
      </c>
      <c r="V100" s="761" t="str">
        <f>Main_무해지!AC100</f>
        <v/>
      </c>
      <c r="W100" s="639">
        <f>+Main_무해지!AD100</f>
        <v>0</v>
      </c>
      <c r="X100" s="639">
        <v>0</v>
      </c>
      <c r="Y100" s="409" t="str">
        <f t="shared" si="98"/>
        <v/>
      </c>
      <c r="Z100" s="409" t="str">
        <f t="shared" si="53"/>
        <v/>
      </c>
      <c r="AA100" s="760" t="str">
        <f>IF($U100="","",SUM(Z100:Z$114))</f>
        <v/>
      </c>
      <c r="AB100" s="409" t="str">
        <f t="shared" si="87"/>
        <v/>
      </c>
      <c r="AC100" s="254">
        <f t="shared" si="88"/>
        <v>0</v>
      </c>
      <c r="AD100" s="254" t="str">
        <f>Main_무해지!AJ100</f>
        <v/>
      </c>
      <c r="AE100" s="409">
        <f t="shared" si="54"/>
        <v>0</v>
      </c>
      <c r="AF100" s="409" t="str">
        <f t="shared" si="99"/>
        <v/>
      </c>
      <c r="AG100" s="409" t="str">
        <f t="shared" si="55"/>
        <v/>
      </c>
      <c r="AH100" s="760" t="str">
        <f>IF($U100="","",SUM(AG100:AG$114))</f>
        <v/>
      </c>
      <c r="AI100" s="409" t="str">
        <f>Main_무해지!AP100</f>
        <v/>
      </c>
      <c r="AJ100" s="409">
        <f t="shared" si="56"/>
        <v>0</v>
      </c>
      <c r="AK100" s="409" t="str">
        <f t="shared" si="57"/>
        <v/>
      </c>
      <c r="AL100" s="409" t="str">
        <f t="shared" si="58"/>
        <v/>
      </c>
      <c r="AM100" s="762" t="str">
        <f>IF($U100="","",SUM($AN100:$AN$114))</f>
        <v/>
      </c>
      <c r="AN100" s="409" t="str">
        <f t="shared" si="89"/>
        <v/>
      </c>
      <c r="AO100" s="762" t="str">
        <f t="shared" si="59"/>
        <v/>
      </c>
      <c r="AP100" s="761" t="str">
        <f>IF($U100="","",INDEX(#REF!,$U100+1))</f>
        <v/>
      </c>
      <c r="AQ100" s="409">
        <f t="shared" si="60"/>
        <v>0</v>
      </c>
      <c r="AR100" s="409" t="str">
        <f t="shared" si="61"/>
        <v/>
      </c>
      <c r="AS100" s="409" t="str">
        <f t="shared" si="62"/>
        <v/>
      </c>
      <c r="AT100" s="762" t="str">
        <f>IF($U100="","",SUM($AS100:$AS$114))</f>
        <v/>
      </c>
      <c r="AU100" s="761" t="str">
        <f>IF($U100="","",INDEX(#REF!,$U100+1))</f>
        <v/>
      </c>
      <c r="AV100" s="409">
        <f t="shared" si="63"/>
        <v>0</v>
      </c>
      <c r="AW100" s="409" t="str">
        <f t="shared" si="64"/>
        <v/>
      </c>
      <c r="AX100" s="409" t="str">
        <f t="shared" si="65"/>
        <v/>
      </c>
      <c r="AY100" s="762" t="str">
        <f>IF($U100="","",SUM($AX100:$AX$114))</f>
        <v/>
      </c>
      <c r="AZ100" s="761" t="str">
        <f>IF($U100="","",INDEX(#REF!,$U100+1))</f>
        <v/>
      </c>
      <c r="BA100" s="409">
        <f t="shared" si="66"/>
        <v>0</v>
      </c>
      <c r="BB100" s="409" t="str">
        <f t="shared" si="67"/>
        <v/>
      </c>
      <c r="BC100" s="409" t="str">
        <f t="shared" si="68"/>
        <v/>
      </c>
      <c r="BD100" s="762" t="str">
        <f>IF($U100="","",SUM($BC100:$BC$114))</f>
        <v/>
      </c>
      <c r="BE100" s="761" t="str">
        <f>IF($U100="","",INDEX(#REF!,$U100+1))</f>
        <v/>
      </c>
      <c r="BF100" s="409">
        <f t="shared" si="69"/>
        <v>0</v>
      </c>
      <c r="BG100" s="409" t="str">
        <f t="shared" si="70"/>
        <v/>
      </c>
      <c r="BH100" s="409" t="str">
        <f t="shared" si="71"/>
        <v/>
      </c>
      <c r="BI100" s="762" t="str">
        <f>IF($U100="","",SUM($BH100:$BH$114))</f>
        <v/>
      </c>
      <c r="BJ100" s="761" t="str">
        <f>IF($U100="","",INDEX(#REF!,$U100+1))</f>
        <v/>
      </c>
      <c r="BK100" s="409">
        <f t="shared" si="72"/>
        <v>0</v>
      </c>
      <c r="BL100" s="409" t="str">
        <f t="shared" si="73"/>
        <v/>
      </c>
      <c r="BM100" s="409" t="str">
        <f t="shared" si="74"/>
        <v/>
      </c>
      <c r="BN100" s="762" t="str">
        <f>IF($U100="","",SUM($BM100:$BM$114))</f>
        <v/>
      </c>
      <c r="BO100" s="761">
        <f t="shared" si="75"/>
        <v>0</v>
      </c>
      <c r="BP100" s="409" t="str">
        <f t="shared" si="76"/>
        <v/>
      </c>
      <c r="BQ100" s="409" t="str">
        <f t="shared" si="77"/>
        <v/>
      </c>
      <c r="BR100" s="409"/>
      <c r="BS100" s="409" t="str">
        <f t="shared" si="90"/>
        <v/>
      </c>
      <c r="BT100" s="409" t="str">
        <f t="shared" si="78"/>
        <v/>
      </c>
      <c r="BU100" s="409" t="str">
        <f t="shared" si="79"/>
        <v/>
      </c>
      <c r="BV100" s="409"/>
      <c r="BW100" s="409" t="str">
        <f t="shared" si="91"/>
        <v/>
      </c>
      <c r="BX100" s="409" t="str">
        <f>IF($U100="","",SUM(BS100:BS$114)+SUM(BW100:BW$114))</f>
        <v/>
      </c>
      <c r="BY100" s="763"/>
      <c r="BZ100" s="763"/>
      <c r="CA100" s="763"/>
      <c r="CB100" s="763"/>
      <c r="CC100" s="409" t="str">
        <f t="shared" si="92"/>
        <v/>
      </c>
      <c r="CD100" s="409" t="str">
        <f t="shared" si="80"/>
        <v/>
      </c>
      <c r="CE100" s="409" t="str">
        <f t="shared" si="81"/>
        <v/>
      </c>
      <c r="CF100" s="409" t="str">
        <f t="shared" si="93"/>
        <v/>
      </c>
      <c r="CG100" s="409" t="str">
        <f t="shared" si="82"/>
        <v/>
      </c>
      <c r="CH100" s="765" t="str">
        <f t="shared" si="94"/>
        <v/>
      </c>
      <c r="CI100" s="766" t="str">
        <f t="shared" si="83"/>
        <v/>
      </c>
      <c r="CJ100" s="414"/>
      <c r="CK100" s="759" t="str">
        <f t="shared" si="84"/>
        <v/>
      </c>
      <c r="CL100" s="766" t="str">
        <f t="shared" si="100"/>
        <v/>
      </c>
      <c r="CM100" s="766" t="str">
        <f t="shared" si="95"/>
        <v/>
      </c>
      <c r="CN100" s="766" t="str">
        <f t="shared" si="85"/>
        <v/>
      </c>
      <c r="CO100" s="766" t="str">
        <f t="shared" si="96"/>
        <v/>
      </c>
      <c r="CP100" s="414"/>
      <c r="CQ100" s="414"/>
      <c r="CR100" s="414"/>
      <c r="CS100" s="414"/>
      <c r="CT100" s="414"/>
      <c r="CU100" s="414"/>
      <c r="CV100" s="414"/>
    </row>
    <row r="101" spans="1:100">
      <c r="A101" s="305"/>
      <c r="D101" s="469"/>
      <c r="E101" s="469"/>
      <c r="F101" s="459"/>
      <c r="G101" s="470"/>
      <c r="H101" s="460"/>
      <c r="I101" s="148"/>
      <c r="J101" s="152"/>
      <c r="K101" s="150"/>
      <c r="L101" s="599"/>
      <c r="M101" s="599"/>
      <c r="N101" s="278" t="str">
        <f t="shared" si="104"/>
        <v/>
      </c>
      <c r="O101" s="279" t="str">
        <f t="shared" si="105"/>
        <v/>
      </c>
      <c r="P101" s="271" t="str">
        <f t="shared" si="101"/>
        <v/>
      </c>
      <c r="Q101" s="271" t="str">
        <f t="shared" si="102"/>
        <v/>
      </c>
      <c r="R101" s="271" t="str">
        <f t="shared" si="103"/>
        <v/>
      </c>
      <c r="S101" s="400" t="str">
        <f t="shared" si="86"/>
        <v/>
      </c>
      <c r="T101" s="231"/>
      <c r="U101" s="101" t="str">
        <f t="shared" si="97"/>
        <v/>
      </c>
      <c r="V101" s="285" t="str">
        <f>Main_무해지!AC101</f>
        <v/>
      </c>
      <c r="W101" s="308">
        <f>+Main_무해지!AD101</f>
        <v>0</v>
      </c>
      <c r="X101" s="308">
        <v>0</v>
      </c>
      <c r="Y101" s="258" t="str">
        <f t="shared" si="98"/>
        <v/>
      </c>
      <c r="Z101" s="258" t="str">
        <f t="shared" si="53"/>
        <v/>
      </c>
      <c r="AA101" s="102" t="str">
        <f>IF($U101="","",SUM(Z101:Z$114))</f>
        <v/>
      </c>
      <c r="AB101" s="258" t="str">
        <f t="shared" si="87"/>
        <v/>
      </c>
      <c r="AC101" s="254">
        <f t="shared" si="88"/>
        <v>0</v>
      </c>
      <c r="AD101" s="254" t="str">
        <f>Main_무해지!AJ101</f>
        <v/>
      </c>
      <c r="AE101" s="258">
        <f t="shared" si="54"/>
        <v>0</v>
      </c>
      <c r="AF101" s="258" t="str">
        <f t="shared" si="99"/>
        <v/>
      </c>
      <c r="AG101" s="258" t="str">
        <f t="shared" si="55"/>
        <v/>
      </c>
      <c r="AH101" s="102" t="str">
        <f>IF($U101="","",SUM(AG101:AG$114))</f>
        <v/>
      </c>
      <c r="AI101" s="258" t="str">
        <f>Main_무해지!AP101</f>
        <v/>
      </c>
      <c r="AJ101" s="258">
        <f t="shared" si="56"/>
        <v>0</v>
      </c>
      <c r="AK101" s="258" t="str">
        <f t="shared" si="57"/>
        <v/>
      </c>
      <c r="AL101" s="258" t="str">
        <f t="shared" si="58"/>
        <v/>
      </c>
      <c r="AM101" s="315" t="str">
        <f>IF($U101="","",SUM($AN101:$AN$114))</f>
        <v/>
      </c>
      <c r="AN101" s="258" t="str">
        <f t="shared" si="89"/>
        <v/>
      </c>
      <c r="AO101" s="315" t="str">
        <f t="shared" si="59"/>
        <v/>
      </c>
      <c r="AP101" s="285" t="str">
        <f>IF($U101="","",INDEX(#REF!,$U101+1))</f>
        <v/>
      </c>
      <c r="AQ101" s="258">
        <f t="shared" si="60"/>
        <v>0</v>
      </c>
      <c r="AR101" s="258" t="str">
        <f t="shared" si="61"/>
        <v/>
      </c>
      <c r="AS101" s="258" t="str">
        <f t="shared" si="62"/>
        <v/>
      </c>
      <c r="AT101" s="315" t="str">
        <f>IF($U101="","",SUM($AS101:$AS$114))</f>
        <v/>
      </c>
      <c r="AU101" s="285" t="str">
        <f>IF($U101="","",INDEX(#REF!,$U101+1))</f>
        <v/>
      </c>
      <c r="AV101" s="258">
        <f t="shared" si="63"/>
        <v>0</v>
      </c>
      <c r="AW101" s="258" t="str">
        <f t="shared" si="64"/>
        <v/>
      </c>
      <c r="AX101" s="258" t="str">
        <f t="shared" si="65"/>
        <v/>
      </c>
      <c r="AY101" s="315" t="str">
        <f>IF($U101="","",SUM($AX101:$AX$114))</f>
        <v/>
      </c>
      <c r="AZ101" s="285" t="str">
        <f>IF($U101="","",INDEX(#REF!,$U101+1))</f>
        <v/>
      </c>
      <c r="BA101" s="258">
        <f t="shared" si="66"/>
        <v>0</v>
      </c>
      <c r="BB101" s="258" t="str">
        <f t="shared" si="67"/>
        <v/>
      </c>
      <c r="BC101" s="258" t="str">
        <f t="shared" si="68"/>
        <v/>
      </c>
      <c r="BD101" s="315" t="str">
        <f>IF($U101="","",SUM($BC101:$BC$114))</f>
        <v/>
      </c>
      <c r="BE101" s="285" t="str">
        <f>IF($U101="","",INDEX(#REF!,$U101+1))</f>
        <v/>
      </c>
      <c r="BF101" s="258">
        <f t="shared" si="69"/>
        <v>0</v>
      </c>
      <c r="BG101" s="258" t="str">
        <f t="shared" si="70"/>
        <v/>
      </c>
      <c r="BH101" s="258" t="str">
        <f t="shared" si="71"/>
        <v/>
      </c>
      <c r="BI101" s="315" t="str">
        <f>IF($U101="","",SUM($BH101:$BH$114))</f>
        <v/>
      </c>
      <c r="BJ101" s="285" t="str">
        <f>IF($U101="","",INDEX(#REF!,$U101+1))</f>
        <v/>
      </c>
      <c r="BK101" s="258">
        <f t="shared" si="72"/>
        <v>0</v>
      </c>
      <c r="BL101" s="258" t="str">
        <f t="shared" si="73"/>
        <v/>
      </c>
      <c r="BM101" s="258" t="str">
        <f t="shared" si="74"/>
        <v/>
      </c>
      <c r="BN101" s="315" t="str">
        <f>IF($U101="","",SUM($BM101:$BM$114))</f>
        <v/>
      </c>
      <c r="BO101" s="285">
        <f t="shared" si="75"/>
        <v>0</v>
      </c>
      <c r="BP101" s="258" t="str">
        <f t="shared" si="76"/>
        <v/>
      </c>
      <c r="BQ101" s="258" t="str">
        <f t="shared" si="77"/>
        <v/>
      </c>
      <c r="BR101" s="258"/>
      <c r="BS101" s="258" t="str">
        <f t="shared" si="90"/>
        <v/>
      </c>
      <c r="BT101" s="258" t="str">
        <f t="shared" si="78"/>
        <v/>
      </c>
      <c r="BU101" s="258" t="str">
        <f t="shared" si="79"/>
        <v/>
      </c>
      <c r="BV101" s="258"/>
      <c r="BW101" s="258" t="str">
        <f t="shared" si="91"/>
        <v/>
      </c>
      <c r="BX101" s="258" t="str">
        <f>IF($U101="","",SUM(BS101:BS$114)+SUM(BW101:BW$114))</f>
        <v/>
      </c>
      <c r="BY101" s="103"/>
      <c r="BZ101" s="103"/>
      <c r="CA101" s="103"/>
      <c r="CB101" s="103"/>
      <c r="CC101" s="258" t="str">
        <f t="shared" si="92"/>
        <v/>
      </c>
      <c r="CD101" s="258" t="str">
        <f t="shared" si="80"/>
        <v/>
      </c>
      <c r="CE101" s="258" t="str">
        <f t="shared" si="81"/>
        <v/>
      </c>
      <c r="CF101" s="258" t="str">
        <f t="shared" si="93"/>
        <v/>
      </c>
      <c r="CG101" s="258" t="str">
        <f t="shared" si="82"/>
        <v/>
      </c>
      <c r="CH101" s="104" t="str">
        <f t="shared" si="94"/>
        <v/>
      </c>
      <c r="CI101" s="105" t="str">
        <f t="shared" si="83"/>
        <v/>
      </c>
      <c r="CJ101" s="240"/>
      <c r="CK101" s="101" t="str">
        <f t="shared" si="84"/>
        <v/>
      </c>
      <c r="CL101" s="105" t="str">
        <f t="shared" si="100"/>
        <v/>
      </c>
      <c r="CM101" s="105" t="str">
        <f t="shared" si="95"/>
        <v/>
      </c>
      <c r="CN101" s="105" t="str">
        <f t="shared" si="85"/>
        <v/>
      </c>
      <c r="CO101" s="105" t="str">
        <f t="shared" si="96"/>
        <v/>
      </c>
      <c r="CP101" s="240"/>
      <c r="CQ101" s="240"/>
      <c r="CR101" s="240"/>
      <c r="CS101" s="240"/>
      <c r="CT101" s="240"/>
      <c r="CU101" s="240"/>
      <c r="CV101" s="240"/>
    </row>
    <row r="102" spans="1:100">
      <c r="A102" s="305"/>
      <c r="D102" s="469"/>
      <c r="E102" s="469"/>
      <c r="F102" s="459"/>
      <c r="G102" s="470"/>
      <c r="H102" s="460"/>
      <c r="I102" s="148"/>
      <c r="J102" s="152"/>
      <c r="K102" s="150"/>
      <c r="L102" s="599"/>
      <c r="M102" s="599"/>
      <c r="N102" s="278" t="str">
        <f t="shared" si="104"/>
        <v/>
      </c>
      <c r="O102" s="279" t="str">
        <f t="shared" si="105"/>
        <v/>
      </c>
      <c r="P102" s="271" t="str">
        <f t="shared" si="101"/>
        <v/>
      </c>
      <c r="Q102" s="271" t="str">
        <f t="shared" si="102"/>
        <v/>
      </c>
      <c r="R102" s="271" t="str">
        <f t="shared" si="103"/>
        <v/>
      </c>
      <c r="S102" s="400" t="str">
        <f t="shared" si="86"/>
        <v/>
      </c>
      <c r="T102" s="231"/>
      <c r="U102" s="101" t="str">
        <f t="shared" si="97"/>
        <v/>
      </c>
      <c r="V102" s="285" t="str">
        <f>Main_무해지!AC102</f>
        <v/>
      </c>
      <c r="W102" s="308">
        <f>+Main_무해지!AD102</f>
        <v>0</v>
      </c>
      <c r="X102" s="308">
        <v>0</v>
      </c>
      <c r="Y102" s="258" t="str">
        <f t="shared" si="98"/>
        <v/>
      </c>
      <c r="Z102" s="258" t="str">
        <f t="shared" si="53"/>
        <v/>
      </c>
      <c r="AA102" s="102" t="str">
        <f>IF($U102="","",SUM(Z102:Z$114))</f>
        <v/>
      </c>
      <c r="AB102" s="258" t="str">
        <f t="shared" si="87"/>
        <v/>
      </c>
      <c r="AC102" s="254">
        <f t="shared" si="88"/>
        <v>0</v>
      </c>
      <c r="AD102" s="254" t="str">
        <f>Main_무해지!AJ102</f>
        <v/>
      </c>
      <c r="AE102" s="258">
        <f t="shared" si="54"/>
        <v>0</v>
      </c>
      <c r="AF102" s="258" t="str">
        <f t="shared" si="99"/>
        <v/>
      </c>
      <c r="AG102" s="258" t="str">
        <f t="shared" si="55"/>
        <v/>
      </c>
      <c r="AH102" s="102" t="str">
        <f>IF($U102="","",SUM(AG102:AG$114))</f>
        <v/>
      </c>
      <c r="AI102" s="258" t="str">
        <f>Main_무해지!AP102</f>
        <v/>
      </c>
      <c r="AJ102" s="258">
        <f t="shared" si="56"/>
        <v>0</v>
      </c>
      <c r="AK102" s="258" t="str">
        <f t="shared" si="57"/>
        <v/>
      </c>
      <c r="AL102" s="258" t="str">
        <f t="shared" si="58"/>
        <v/>
      </c>
      <c r="AM102" s="315" t="str">
        <f>IF($U102="","",SUM($AN102:$AN$114))</f>
        <v/>
      </c>
      <c r="AN102" s="258" t="str">
        <f t="shared" si="89"/>
        <v/>
      </c>
      <c r="AO102" s="315" t="str">
        <f t="shared" si="59"/>
        <v/>
      </c>
      <c r="AP102" s="285" t="str">
        <f>IF($U102="","",INDEX(#REF!,$U102+1))</f>
        <v/>
      </c>
      <c r="AQ102" s="258">
        <f t="shared" si="60"/>
        <v>0</v>
      </c>
      <c r="AR102" s="258" t="str">
        <f t="shared" si="61"/>
        <v/>
      </c>
      <c r="AS102" s="258" t="str">
        <f t="shared" si="62"/>
        <v/>
      </c>
      <c r="AT102" s="315" t="str">
        <f>IF($U102="","",SUM($AS102:$AS$114))</f>
        <v/>
      </c>
      <c r="AU102" s="285" t="str">
        <f>IF($U102="","",INDEX(#REF!,$U102+1))</f>
        <v/>
      </c>
      <c r="AV102" s="258">
        <f t="shared" si="63"/>
        <v>0</v>
      </c>
      <c r="AW102" s="258" t="str">
        <f t="shared" si="64"/>
        <v/>
      </c>
      <c r="AX102" s="258" t="str">
        <f t="shared" si="65"/>
        <v/>
      </c>
      <c r="AY102" s="315" t="str">
        <f>IF($U102="","",SUM($AX102:$AX$114))</f>
        <v/>
      </c>
      <c r="AZ102" s="285" t="str">
        <f>IF($U102="","",INDEX(#REF!,$U102+1))</f>
        <v/>
      </c>
      <c r="BA102" s="258">
        <f t="shared" si="66"/>
        <v>0</v>
      </c>
      <c r="BB102" s="258" t="str">
        <f t="shared" si="67"/>
        <v/>
      </c>
      <c r="BC102" s="258" t="str">
        <f t="shared" si="68"/>
        <v/>
      </c>
      <c r="BD102" s="315" t="str">
        <f>IF($U102="","",SUM($BC102:$BC$114))</f>
        <v/>
      </c>
      <c r="BE102" s="285" t="str">
        <f>IF($U102="","",INDEX(#REF!,$U102+1))</f>
        <v/>
      </c>
      <c r="BF102" s="258">
        <f t="shared" si="69"/>
        <v>0</v>
      </c>
      <c r="BG102" s="258" t="str">
        <f t="shared" si="70"/>
        <v/>
      </c>
      <c r="BH102" s="258" t="str">
        <f t="shared" si="71"/>
        <v/>
      </c>
      <c r="BI102" s="315" t="str">
        <f>IF($U102="","",SUM($BH102:$BH$114))</f>
        <v/>
      </c>
      <c r="BJ102" s="285" t="str">
        <f>IF($U102="","",INDEX(#REF!,$U102+1))</f>
        <v/>
      </c>
      <c r="BK102" s="258">
        <f t="shared" si="72"/>
        <v>0</v>
      </c>
      <c r="BL102" s="258" t="str">
        <f t="shared" si="73"/>
        <v/>
      </c>
      <c r="BM102" s="258" t="str">
        <f t="shared" si="74"/>
        <v/>
      </c>
      <c r="BN102" s="315" t="str">
        <f>IF($U102="","",SUM($BM102:$BM$114))</f>
        <v/>
      </c>
      <c r="BO102" s="285">
        <f t="shared" si="75"/>
        <v>0</v>
      </c>
      <c r="BP102" s="258" t="str">
        <f t="shared" si="76"/>
        <v/>
      </c>
      <c r="BQ102" s="258" t="str">
        <f t="shared" si="77"/>
        <v/>
      </c>
      <c r="BR102" s="258"/>
      <c r="BS102" s="258" t="str">
        <f t="shared" si="90"/>
        <v/>
      </c>
      <c r="BT102" s="258" t="str">
        <f t="shared" si="78"/>
        <v/>
      </c>
      <c r="BU102" s="258" t="str">
        <f t="shared" si="79"/>
        <v/>
      </c>
      <c r="BV102" s="258"/>
      <c r="BW102" s="258" t="str">
        <f t="shared" si="91"/>
        <v/>
      </c>
      <c r="BX102" s="258" t="str">
        <f>IF($U102="","",SUM(BS102:BS$114)+SUM(BW102:BW$114))</f>
        <v/>
      </c>
      <c r="BY102" s="103"/>
      <c r="BZ102" s="103"/>
      <c r="CA102" s="103"/>
      <c r="CB102" s="103"/>
      <c r="CC102" s="258" t="str">
        <f t="shared" si="92"/>
        <v/>
      </c>
      <c r="CD102" s="258" t="str">
        <f t="shared" si="80"/>
        <v/>
      </c>
      <c r="CE102" s="258" t="str">
        <f t="shared" si="81"/>
        <v/>
      </c>
      <c r="CF102" s="258" t="str">
        <f t="shared" si="93"/>
        <v/>
      </c>
      <c r="CG102" s="258" t="str">
        <f t="shared" si="82"/>
        <v/>
      </c>
      <c r="CH102" s="104" t="str">
        <f t="shared" si="94"/>
        <v/>
      </c>
      <c r="CI102" s="105" t="str">
        <f t="shared" si="83"/>
        <v/>
      </c>
      <c r="CJ102" s="240"/>
      <c r="CK102" s="101" t="str">
        <f t="shared" si="84"/>
        <v/>
      </c>
      <c r="CL102" s="105" t="str">
        <f t="shared" si="100"/>
        <v/>
      </c>
      <c r="CM102" s="105" t="str">
        <f t="shared" si="95"/>
        <v/>
      </c>
      <c r="CN102" s="105" t="str">
        <f t="shared" si="85"/>
        <v/>
      </c>
      <c r="CO102" s="105" t="str">
        <f t="shared" si="96"/>
        <v/>
      </c>
      <c r="CP102" s="240"/>
      <c r="CQ102" s="240"/>
      <c r="CR102" s="240"/>
      <c r="CS102" s="240"/>
      <c r="CT102" s="240"/>
      <c r="CU102" s="240"/>
      <c r="CV102" s="240"/>
    </row>
    <row r="103" spans="1:100">
      <c r="A103" s="305"/>
      <c r="D103" s="469"/>
      <c r="E103" s="469"/>
      <c r="F103" s="459"/>
      <c r="G103" s="470"/>
      <c r="H103" s="460"/>
      <c r="I103" s="148"/>
      <c r="J103" s="152"/>
      <c r="K103" s="150"/>
      <c r="L103" s="599"/>
      <c r="M103" s="599"/>
      <c r="N103" s="278" t="str">
        <f t="shared" si="104"/>
        <v/>
      </c>
      <c r="O103" s="279" t="str">
        <f t="shared" si="105"/>
        <v/>
      </c>
      <c r="P103" s="271" t="str">
        <f t="shared" si="101"/>
        <v/>
      </c>
      <c r="Q103" s="271" t="str">
        <f t="shared" si="102"/>
        <v/>
      </c>
      <c r="R103" s="271" t="str">
        <f t="shared" si="103"/>
        <v/>
      </c>
      <c r="S103" s="400" t="str">
        <f t="shared" si="86"/>
        <v/>
      </c>
      <c r="T103" s="231"/>
      <c r="U103" s="101" t="str">
        <f t="shared" si="97"/>
        <v/>
      </c>
      <c r="V103" s="285" t="str">
        <f>Main_무해지!AC103</f>
        <v/>
      </c>
      <c r="W103" s="308">
        <f>+Main_무해지!AD103</f>
        <v>0</v>
      </c>
      <c r="X103" s="308">
        <v>0</v>
      </c>
      <c r="Y103" s="258" t="str">
        <f t="shared" si="98"/>
        <v/>
      </c>
      <c r="Z103" s="258" t="str">
        <f t="shared" si="53"/>
        <v/>
      </c>
      <c r="AA103" s="102" t="str">
        <f>IF($U103="","",SUM(Z103:Z$114))</f>
        <v/>
      </c>
      <c r="AB103" s="258" t="str">
        <f t="shared" si="87"/>
        <v/>
      </c>
      <c r="AC103" s="254">
        <f t="shared" si="88"/>
        <v>0</v>
      </c>
      <c r="AD103" s="254" t="str">
        <f>Main_무해지!AJ103</f>
        <v/>
      </c>
      <c r="AE103" s="258">
        <f t="shared" si="54"/>
        <v>0</v>
      </c>
      <c r="AF103" s="258" t="str">
        <f t="shared" si="99"/>
        <v/>
      </c>
      <c r="AG103" s="258" t="str">
        <f t="shared" si="55"/>
        <v/>
      </c>
      <c r="AH103" s="102" t="str">
        <f>IF($U103="","",SUM(AG103:AG$114))</f>
        <v/>
      </c>
      <c r="AI103" s="258" t="str">
        <f>Main_무해지!AP103</f>
        <v/>
      </c>
      <c r="AJ103" s="258">
        <f t="shared" si="56"/>
        <v>0</v>
      </c>
      <c r="AK103" s="258" t="str">
        <f t="shared" si="57"/>
        <v/>
      </c>
      <c r="AL103" s="258" t="str">
        <f t="shared" si="58"/>
        <v/>
      </c>
      <c r="AM103" s="315" t="str">
        <f>IF($U103="","",SUM($AN103:$AN$114))</f>
        <v/>
      </c>
      <c r="AN103" s="258" t="str">
        <f t="shared" si="89"/>
        <v/>
      </c>
      <c r="AO103" s="315" t="str">
        <f t="shared" si="59"/>
        <v/>
      </c>
      <c r="AP103" s="285" t="str">
        <f>IF($U103="","",INDEX(#REF!,$U103+1))</f>
        <v/>
      </c>
      <c r="AQ103" s="258">
        <f t="shared" si="60"/>
        <v>0</v>
      </c>
      <c r="AR103" s="258" t="str">
        <f t="shared" si="61"/>
        <v/>
      </c>
      <c r="AS103" s="258" t="str">
        <f t="shared" si="62"/>
        <v/>
      </c>
      <c r="AT103" s="315" t="str">
        <f>IF($U103="","",SUM($AS103:$AS$114))</f>
        <v/>
      </c>
      <c r="AU103" s="285" t="str">
        <f>IF($U103="","",INDEX(#REF!,$U103+1))</f>
        <v/>
      </c>
      <c r="AV103" s="258">
        <f t="shared" si="63"/>
        <v>0</v>
      </c>
      <c r="AW103" s="258" t="str">
        <f t="shared" si="64"/>
        <v/>
      </c>
      <c r="AX103" s="258" t="str">
        <f t="shared" si="65"/>
        <v/>
      </c>
      <c r="AY103" s="315" t="str">
        <f>IF($U103="","",SUM($AX103:$AX$114))</f>
        <v/>
      </c>
      <c r="AZ103" s="285" t="str">
        <f>IF($U103="","",INDEX(#REF!,$U103+1))</f>
        <v/>
      </c>
      <c r="BA103" s="258">
        <f t="shared" si="66"/>
        <v>0</v>
      </c>
      <c r="BB103" s="258" t="str">
        <f t="shared" si="67"/>
        <v/>
      </c>
      <c r="BC103" s="258" t="str">
        <f t="shared" si="68"/>
        <v/>
      </c>
      <c r="BD103" s="315" t="str">
        <f>IF($U103="","",SUM($BC103:$BC$114))</f>
        <v/>
      </c>
      <c r="BE103" s="285" t="str">
        <f>IF($U103="","",INDEX(#REF!,$U103+1))</f>
        <v/>
      </c>
      <c r="BF103" s="258">
        <f t="shared" si="69"/>
        <v>0</v>
      </c>
      <c r="BG103" s="258" t="str">
        <f t="shared" si="70"/>
        <v/>
      </c>
      <c r="BH103" s="258" t="str">
        <f t="shared" si="71"/>
        <v/>
      </c>
      <c r="BI103" s="315" t="str">
        <f>IF($U103="","",SUM($BH103:$BH$114))</f>
        <v/>
      </c>
      <c r="BJ103" s="285" t="str">
        <f>IF($U103="","",INDEX(#REF!,$U103+1))</f>
        <v/>
      </c>
      <c r="BK103" s="258">
        <f t="shared" si="72"/>
        <v>0</v>
      </c>
      <c r="BL103" s="258" t="str">
        <f t="shared" si="73"/>
        <v/>
      </c>
      <c r="BM103" s="258" t="str">
        <f t="shared" si="74"/>
        <v/>
      </c>
      <c r="BN103" s="315" t="str">
        <f>IF($U103="","",SUM($BM103:$BM$114))</f>
        <v/>
      </c>
      <c r="BO103" s="285">
        <f t="shared" si="75"/>
        <v>0</v>
      </c>
      <c r="BP103" s="258" t="str">
        <f t="shared" si="76"/>
        <v/>
      </c>
      <c r="BQ103" s="258" t="str">
        <f t="shared" si="77"/>
        <v/>
      </c>
      <c r="BR103" s="258"/>
      <c r="BS103" s="258" t="str">
        <f t="shared" si="90"/>
        <v/>
      </c>
      <c r="BT103" s="258" t="str">
        <f t="shared" si="78"/>
        <v/>
      </c>
      <c r="BU103" s="258" t="str">
        <f t="shared" si="79"/>
        <v/>
      </c>
      <c r="BV103" s="258"/>
      <c r="BW103" s="258" t="str">
        <f t="shared" si="91"/>
        <v/>
      </c>
      <c r="BX103" s="258" t="str">
        <f>IF($U103="","",SUM(BS103:BS$114)+SUM(BW103:BW$114))</f>
        <v/>
      </c>
      <c r="BY103" s="103"/>
      <c r="BZ103" s="103"/>
      <c r="CA103" s="103"/>
      <c r="CB103" s="103"/>
      <c r="CC103" s="258" t="str">
        <f t="shared" si="92"/>
        <v/>
      </c>
      <c r="CD103" s="258" t="str">
        <f t="shared" si="80"/>
        <v/>
      </c>
      <c r="CE103" s="258" t="str">
        <f t="shared" si="81"/>
        <v/>
      </c>
      <c r="CF103" s="258" t="str">
        <f t="shared" si="93"/>
        <v/>
      </c>
      <c r="CG103" s="258" t="str">
        <f t="shared" si="82"/>
        <v/>
      </c>
      <c r="CH103" s="104" t="str">
        <f t="shared" si="94"/>
        <v/>
      </c>
      <c r="CI103" s="105" t="str">
        <f t="shared" si="83"/>
        <v/>
      </c>
      <c r="CJ103" s="240"/>
      <c r="CK103" s="101" t="str">
        <f t="shared" si="84"/>
        <v/>
      </c>
      <c r="CL103" s="105" t="str">
        <f t="shared" si="100"/>
        <v/>
      </c>
      <c r="CM103" s="105" t="str">
        <f t="shared" si="95"/>
        <v/>
      </c>
      <c r="CN103" s="105" t="str">
        <f t="shared" si="85"/>
        <v/>
      </c>
      <c r="CO103" s="105" t="str">
        <f t="shared" si="96"/>
        <v/>
      </c>
      <c r="CP103" s="240"/>
      <c r="CQ103" s="240"/>
      <c r="CR103" s="240"/>
      <c r="CS103" s="240"/>
      <c r="CT103" s="240"/>
      <c r="CU103" s="240"/>
      <c r="CV103" s="240"/>
    </row>
    <row r="104" spans="1:100" ht="17.25" thickBot="1">
      <c r="A104" s="305"/>
      <c r="D104" s="472"/>
      <c r="E104" s="472"/>
      <c r="F104" s="461"/>
      <c r="G104" s="473"/>
      <c r="H104" s="464"/>
      <c r="I104" s="148"/>
      <c r="J104" s="152"/>
      <c r="K104" s="150"/>
      <c r="L104" s="599"/>
      <c r="M104" s="599"/>
      <c r="N104" s="278" t="str">
        <f t="shared" si="104"/>
        <v/>
      </c>
      <c r="O104" s="279" t="str">
        <f t="shared" si="105"/>
        <v/>
      </c>
      <c r="P104" s="271" t="str">
        <f t="shared" si="101"/>
        <v/>
      </c>
      <c r="Q104" s="271" t="str">
        <f t="shared" si="102"/>
        <v/>
      </c>
      <c r="R104" s="271" t="str">
        <f t="shared" si="103"/>
        <v/>
      </c>
      <c r="S104" s="400" t="str">
        <f t="shared" si="86"/>
        <v/>
      </c>
      <c r="T104" s="231"/>
      <c r="U104" s="110" t="str">
        <f t="shared" si="97"/>
        <v/>
      </c>
      <c r="V104" s="286" t="str">
        <f>Main_무해지!AC104</f>
        <v/>
      </c>
      <c r="W104" s="309">
        <f>+Main_무해지!AD104</f>
        <v>0</v>
      </c>
      <c r="X104" s="309">
        <v>0</v>
      </c>
      <c r="Y104" s="259" t="str">
        <f t="shared" si="98"/>
        <v/>
      </c>
      <c r="Z104" s="259" t="str">
        <f t="shared" si="53"/>
        <v/>
      </c>
      <c r="AA104" s="111" t="str">
        <f>IF($U104="","",SUM(Z104:Z$114))</f>
        <v/>
      </c>
      <c r="AB104" s="259" t="str">
        <f t="shared" si="87"/>
        <v/>
      </c>
      <c r="AC104" s="254">
        <f t="shared" si="88"/>
        <v>0</v>
      </c>
      <c r="AD104" s="254" t="str">
        <f>Main_무해지!AJ104</f>
        <v/>
      </c>
      <c r="AE104" s="259">
        <f t="shared" si="54"/>
        <v>0</v>
      </c>
      <c r="AF104" s="259" t="str">
        <f t="shared" si="99"/>
        <v/>
      </c>
      <c r="AG104" s="259" t="str">
        <f t="shared" si="55"/>
        <v/>
      </c>
      <c r="AH104" s="111" t="str">
        <f>IF($U104="","",SUM(AG104:AG$114))</f>
        <v/>
      </c>
      <c r="AI104" s="259" t="str">
        <f>Main_무해지!AP104</f>
        <v/>
      </c>
      <c r="AJ104" s="259">
        <f t="shared" si="56"/>
        <v>0</v>
      </c>
      <c r="AK104" s="259" t="str">
        <f t="shared" si="57"/>
        <v/>
      </c>
      <c r="AL104" s="259" t="str">
        <f t="shared" si="58"/>
        <v/>
      </c>
      <c r="AM104" s="316" t="str">
        <f>IF($U104="","",SUM($AN104:$AN$114))</f>
        <v/>
      </c>
      <c r="AN104" s="259" t="str">
        <f t="shared" si="89"/>
        <v/>
      </c>
      <c r="AO104" s="316" t="str">
        <f t="shared" si="59"/>
        <v/>
      </c>
      <c r="AP104" s="286" t="str">
        <f>IF($U104="","",INDEX(#REF!,$U104+1))</f>
        <v/>
      </c>
      <c r="AQ104" s="259">
        <f t="shared" si="60"/>
        <v>0</v>
      </c>
      <c r="AR104" s="259" t="str">
        <f t="shared" si="61"/>
        <v/>
      </c>
      <c r="AS104" s="259" t="str">
        <f t="shared" si="62"/>
        <v/>
      </c>
      <c r="AT104" s="316" t="str">
        <f>IF($U104="","",SUM($AS104:$AS$114))</f>
        <v/>
      </c>
      <c r="AU104" s="286" t="str">
        <f>IF($U104="","",INDEX(#REF!,$U104+1))</f>
        <v/>
      </c>
      <c r="AV104" s="259">
        <f t="shared" si="63"/>
        <v>0</v>
      </c>
      <c r="AW104" s="259" t="str">
        <f t="shared" si="64"/>
        <v/>
      </c>
      <c r="AX104" s="259" t="str">
        <f t="shared" si="65"/>
        <v/>
      </c>
      <c r="AY104" s="316" t="str">
        <f>IF($U104="","",SUM($AX104:$AX$114))</f>
        <v/>
      </c>
      <c r="AZ104" s="286" t="str">
        <f>IF($U104="","",INDEX(#REF!,$U104+1))</f>
        <v/>
      </c>
      <c r="BA104" s="259">
        <f t="shared" si="66"/>
        <v>0</v>
      </c>
      <c r="BB104" s="259" t="str">
        <f t="shared" si="67"/>
        <v/>
      </c>
      <c r="BC104" s="259" t="str">
        <f t="shared" si="68"/>
        <v/>
      </c>
      <c r="BD104" s="316" t="str">
        <f>IF($U104="","",SUM($BC104:$BC$114))</f>
        <v/>
      </c>
      <c r="BE104" s="286" t="str">
        <f>IF($U104="","",INDEX(#REF!,$U104+1))</f>
        <v/>
      </c>
      <c r="BF104" s="259">
        <f t="shared" si="69"/>
        <v>0</v>
      </c>
      <c r="BG104" s="259" t="str">
        <f t="shared" si="70"/>
        <v/>
      </c>
      <c r="BH104" s="259" t="str">
        <f t="shared" si="71"/>
        <v/>
      </c>
      <c r="BI104" s="316" t="str">
        <f>IF($U104="","",SUM($BH104:$BH$114))</f>
        <v/>
      </c>
      <c r="BJ104" s="286" t="str">
        <f>IF($U104="","",INDEX(#REF!,$U104+1))</f>
        <v/>
      </c>
      <c r="BK104" s="259">
        <f t="shared" si="72"/>
        <v>0</v>
      </c>
      <c r="BL104" s="259" t="str">
        <f t="shared" si="73"/>
        <v/>
      </c>
      <c r="BM104" s="259" t="str">
        <f t="shared" si="74"/>
        <v/>
      </c>
      <c r="BN104" s="316" t="str">
        <f>IF($U104="","",SUM($BM104:$BM$114))</f>
        <v/>
      </c>
      <c r="BO104" s="286">
        <f t="shared" si="75"/>
        <v>0</v>
      </c>
      <c r="BP104" s="259" t="str">
        <f t="shared" si="76"/>
        <v/>
      </c>
      <c r="BQ104" s="259" t="str">
        <f t="shared" si="77"/>
        <v/>
      </c>
      <c r="BR104" s="259"/>
      <c r="BS104" s="259" t="str">
        <f t="shared" si="90"/>
        <v/>
      </c>
      <c r="BT104" s="259" t="str">
        <f t="shared" si="78"/>
        <v/>
      </c>
      <c r="BU104" s="259" t="str">
        <f t="shared" si="79"/>
        <v/>
      </c>
      <c r="BV104" s="259"/>
      <c r="BW104" s="259" t="str">
        <f t="shared" si="91"/>
        <v/>
      </c>
      <c r="BX104" s="259" t="str">
        <f>IF($U104="","",SUM(BS104:BS$114)+SUM(BW104:BW$114))</f>
        <v/>
      </c>
      <c r="BY104" s="112"/>
      <c r="BZ104" s="112"/>
      <c r="CA104" s="112"/>
      <c r="CB104" s="112"/>
      <c r="CC104" s="259" t="str">
        <f t="shared" si="92"/>
        <v/>
      </c>
      <c r="CD104" s="259" t="str">
        <f t="shared" si="80"/>
        <v/>
      </c>
      <c r="CE104" s="259" t="str">
        <f t="shared" si="81"/>
        <v/>
      </c>
      <c r="CF104" s="259" t="str">
        <f t="shared" si="93"/>
        <v/>
      </c>
      <c r="CG104" s="259" t="str">
        <f t="shared" si="82"/>
        <v/>
      </c>
      <c r="CH104" s="113" t="str">
        <f t="shared" si="94"/>
        <v/>
      </c>
      <c r="CI104" s="114" t="str">
        <f t="shared" si="83"/>
        <v/>
      </c>
      <c r="CJ104" s="241"/>
      <c r="CK104" s="110" t="str">
        <f t="shared" si="84"/>
        <v/>
      </c>
      <c r="CL104" s="114" t="str">
        <f t="shared" si="100"/>
        <v/>
      </c>
      <c r="CM104" s="114" t="str">
        <f t="shared" si="95"/>
        <v/>
      </c>
      <c r="CN104" s="114" t="str">
        <f t="shared" si="85"/>
        <v/>
      </c>
      <c r="CO104" s="114" t="str">
        <f t="shared" si="96"/>
        <v/>
      </c>
      <c r="CP104" s="241"/>
      <c r="CQ104" s="241"/>
      <c r="CR104" s="241"/>
      <c r="CS104" s="241"/>
      <c r="CT104" s="241"/>
      <c r="CU104" s="241"/>
      <c r="CV104" s="241"/>
    </row>
    <row r="105" spans="1:100">
      <c r="A105" s="305"/>
      <c r="D105" s="373"/>
      <c r="E105" s="373"/>
      <c r="F105" s="373"/>
      <c r="G105" s="373"/>
      <c r="I105" s="148"/>
      <c r="J105" s="152"/>
      <c r="K105" s="150"/>
      <c r="L105" s="150"/>
      <c r="M105" s="154"/>
      <c r="N105" s="278" t="str">
        <f t="shared" si="104"/>
        <v/>
      </c>
      <c r="O105" s="279" t="str">
        <f t="shared" si="105"/>
        <v/>
      </c>
      <c r="P105" s="271" t="str">
        <f t="shared" si="101"/>
        <v/>
      </c>
      <c r="Q105" s="271" t="str">
        <f t="shared" si="102"/>
        <v/>
      </c>
      <c r="R105" s="271" t="str">
        <f t="shared" si="103"/>
        <v/>
      </c>
      <c r="S105" s="400" t="str">
        <f t="shared" si="86"/>
        <v/>
      </c>
      <c r="T105" s="231"/>
      <c r="U105" s="770" t="str">
        <f t="shared" si="97"/>
        <v/>
      </c>
      <c r="V105" s="772" t="str">
        <f>Main_무해지!AC105</f>
        <v/>
      </c>
      <c r="W105" s="640">
        <f>+Main_무해지!AD105</f>
        <v>0</v>
      </c>
      <c r="X105" s="640">
        <v>0</v>
      </c>
      <c r="Y105" s="410" t="str">
        <f t="shared" si="98"/>
        <v/>
      </c>
      <c r="Z105" s="410" t="str">
        <f t="shared" si="53"/>
        <v/>
      </c>
      <c r="AA105" s="771" t="str">
        <f>IF($U105="","",SUM(Z105:Z$114))</f>
        <v/>
      </c>
      <c r="AB105" s="410" t="str">
        <f t="shared" si="87"/>
        <v/>
      </c>
      <c r="AC105" s="254">
        <f t="shared" si="88"/>
        <v>0</v>
      </c>
      <c r="AD105" s="254" t="str">
        <f>Main_무해지!AJ105</f>
        <v/>
      </c>
      <c r="AE105" s="410">
        <f t="shared" si="54"/>
        <v>0</v>
      </c>
      <c r="AF105" s="410" t="str">
        <f t="shared" si="99"/>
        <v/>
      </c>
      <c r="AG105" s="410" t="str">
        <f t="shared" si="55"/>
        <v/>
      </c>
      <c r="AH105" s="771" t="str">
        <f>IF($U105="","",SUM(AG105:AG$114))</f>
        <v/>
      </c>
      <c r="AI105" s="410" t="str">
        <f>Main_무해지!AP105</f>
        <v/>
      </c>
      <c r="AJ105" s="410">
        <f t="shared" si="56"/>
        <v>0</v>
      </c>
      <c r="AK105" s="410" t="str">
        <f t="shared" si="57"/>
        <v/>
      </c>
      <c r="AL105" s="410" t="str">
        <f t="shared" si="58"/>
        <v/>
      </c>
      <c r="AM105" s="773" t="str">
        <f>IF($U105="","",SUM($AN105:$AN$114))</f>
        <v/>
      </c>
      <c r="AN105" s="410" t="str">
        <f t="shared" si="89"/>
        <v/>
      </c>
      <c r="AO105" s="773" t="str">
        <f t="shared" si="59"/>
        <v/>
      </c>
      <c r="AP105" s="772" t="str">
        <f>IF($U105="","",INDEX(#REF!,$U105+1))</f>
        <v/>
      </c>
      <c r="AQ105" s="410">
        <f t="shared" si="60"/>
        <v>0</v>
      </c>
      <c r="AR105" s="410" t="str">
        <f t="shared" si="61"/>
        <v/>
      </c>
      <c r="AS105" s="410" t="str">
        <f t="shared" si="62"/>
        <v/>
      </c>
      <c r="AT105" s="773" t="str">
        <f>IF($U105="","",SUM($AS105:$AS$114))</f>
        <v/>
      </c>
      <c r="AU105" s="772" t="str">
        <f>IF($U105="","",INDEX(#REF!,$U105+1))</f>
        <v/>
      </c>
      <c r="AV105" s="410">
        <f t="shared" si="63"/>
        <v>0</v>
      </c>
      <c r="AW105" s="410" t="str">
        <f t="shared" si="64"/>
        <v/>
      </c>
      <c r="AX105" s="410" t="str">
        <f t="shared" si="65"/>
        <v/>
      </c>
      <c r="AY105" s="773" t="str">
        <f>IF($U105="","",SUM($AX105:$AX$114))</f>
        <v/>
      </c>
      <c r="AZ105" s="772" t="str">
        <f>IF($U105="","",INDEX(#REF!,$U105+1))</f>
        <v/>
      </c>
      <c r="BA105" s="410">
        <f t="shared" si="66"/>
        <v>0</v>
      </c>
      <c r="BB105" s="410" t="str">
        <f t="shared" si="67"/>
        <v/>
      </c>
      <c r="BC105" s="410" t="str">
        <f t="shared" si="68"/>
        <v/>
      </c>
      <c r="BD105" s="773" t="str">
        <f>IF($U105="","",SUM($BC105:$BC$114))</f>
        <v/>
      </c>
      <c r="BE105" s="772" t="str">
        <f>IF($U105="","",INDEX(#REF!,$U105+1))</f>
        <v/>
      </c>
      <c r="BF105" s="410">
        <f t="shared" si="69"/>
        <v>0</v>
      </c>
      <c r="BG105" s="410" t="str">
        <f t="shared" si="70"/>
        <v/>
      </c>
      <c r="BH105" s="410" t="str">
        <f t="shared" si="71"/>
        <v/>
      </c>
      <c r="BI105" s="773" t="str">
        <f>IF($U105="","",SUM($BH105:$BH$114))</f>
        <v/>
      </c>
      <c r="BJ105" s="772" t="str">
        <f>IF($U105="","",INDEX(#REF!,$U105+1))</f>
        <v/>
      </c>
      <c r="BK105" s="410">
        <f t="shared" si="72"/>
        <v>0</v>
      </c>
      <c r="BL105" s="410" t="str">
        <f t="shared" si="73"/>
        <v/>
      </c>
      <c r="BM105" s="410" t="str">
        <f t="shared" si="74"/>
        <v/>
      </c>
      <c r="BN105" s="773" t="str">
        <f>IF($U105="","",SUM($BM105:$BM$114))</f>
        <v/>
      </c>
      <c r="BO105" s="772">
        <f t="shared" si="75"/>
        <v>0</v>
      </c>
      <c r="BP105" s="410" t="str">
        <f t="shared" si="76"/>
        <v/>
      </c>
      <c r="BQ105" s="410" t="str">
        <f t="shared" si="77"/>
        <v/>
      </c>
      <c r="BR105" s="410"/>
      <c r="BS105" s="410" t="str">
        <f t="shared" si="90"/>
        <v/>
      </c>
      <c r="BT105" s="410" t="str">
        <f t="shared" si="78"/>
        <v/>
      </c>
      <c r="BU105" s="410" t="str">
        <f t="shared" si="79"/>
        <v/>
      </c>
      <c r="BV105" s="410"/>
      <c r="BW105" s="410" t="str">
        <f t="shared" si="91"/>
        <v/>
      </c>
      <c r="BX105" s="410" t="str">
        <f>IF($U105="","",SUM(BS105:BS$114)+SUM(BW105:BW$114))</f>
        <v/>
      </c>
      <c r="BY105" s="774"/>
      <c r="BZ105" s="774"/>
      <c r="CA105" s="774"/>
      <c r="CB105" s="774"/>
      <c r="CC105" s="410" t="str">
        <f t="shared" si="92"/>
        <v/>
      </c>
      <c r="CD105" s="410" t="str">
        <f t="shared" si="80"/>
        <v/>
      </c>
      <c r="CE105" s="410" t="str">
        <f t="shared" si="81"/>
        <v/>
      </c>
      <c r="CF105" s="410" t="str">
        <f t="shared" si="93"/>
        <v/>
      </c>
      <c r="CG105" s="410" t="str">
        <f t="shared" si="82"/>
        <v/>
      </c>
      <c r="CH105" s="776" t="str">
        <f t="shared" si="94"/>
        <v/>
      </c>
      <c r="CI105" s="777" t="str">
        <f t="shared" si="83"/>
        <v/>
      </c>
      <c r="CJ105" s="415"/>
      <c r="CK105" s="770" t="str">
        <f t="shared" si="84"/>
        <v/>
      </c>
      <c r="CL105" s="777" t="str">
        <f t="shared" si="100"/>
        <v/>
      </c>
      <c r="CM105" s="777" t="str">
        <f t="shared" si="95"/>
        <v/>
      </c>
      <c r="CN105" s="777" t="str">
        <f t="shared" si="85"/>
        <v/>
      </c>
      <c r="CO105" s="777" t="str">
        <f t="shared" si="96"/>
        <v/>
      </c>
      <c r="CP105" s="415"/>
      <c r="CQ105" s="415"/>
      <c r="CR105" s="415"/>
      <c r="CS105" s="415"/>
      <c r="CT105" s="415"/>
      <c r="CU105" s="415"/>
      <c r="CV105" s="415"/>
    </row>
    <row r="106" spans="1:100">
      <c r="A106" s="305"/>
      <c r="C106" s="373"/>
      <c r="D106" s="373"/>
      <c r="E106" s="373"/>
      <c r="F106" s="173"/>
      <c r="I106" s="148"/>
      <c r="J106" s="152"/>
      <c r="K106" s="150"/>
      <c r="L106" s="150"/>
      <c r="M106" s="374"/>
      <c r="N106" s="278" t="str">
        <f t="shared" si="104"/>
        <v/>
      </c>
      <c r="O106" s="279" t="str">
        <f t="shared" si="105"/>
        <v/>
      </c>
      <c r="P106" s="271" t="str">
        <f t="shared" si="101"/>
        <v/>
      </c>
      <c r="Q106" s="271" t="str">
        <f t="shared" si="102"/>
        <v/>
      </c>
      <c r="R106" s="271" t="str">
        <f t="shared" si="103"/>
        <v/>
      </c>
      <c r="S106" s="400" t="str">
        <f t="shared" si="86"/>
        <v/>
      </c>
      <c r="T106" s="231"/>
      <c r="U106" s="120" t="str">
        <f t="shared" si="97"/>
        <v/>
      </c>
      <c r="V106" s="287" t="str">
        <f>Main_무해지!AC106</f>
        <v/>
      </c>
      <c r="W106" s="310">
        <f>+Main_무해지!AD106</f>
        <v>0</v>
      </c>
      <c r="X106" s="310">
        <v>0</v>
      </c>
      <c r="Y106" s="260" t="str">
        <f t="shared" si="98"/>
        <v/>
      </c>
      <c r="Z106" s="260" t="str">
        <f t="shared" si="53"/>
        <v/>
      </c>
      <c r="AA106" s="121" t="str">
        <f>IF($U106="","",SUM(Z106:Z$114))</f>
        <v/>
      </c>
      <c r="AB106" s="260" t="str">
        <f t="shared" si="87"/>
        <v/>
      </c>
      <c r="AC106" s="254">
        <f t="shared" si="88"/>
        <v>0</v>
      </c>
      <c r="AD106" s="254" t="str">
        <f>Main_무해지!AJ106</f>
        <v/>
      </c>
      <c r="AE106" s="260">
        <f t="shared" si="54"/>
        <v>0</v>
      </c>
      <c r="AF106" s="260" t="str">
        <f t="shared" si="99"/>
        <v/>
      </c>
      <c r="AG106" s="260" t="str">
        <f t="shared" si="55"/>
        <v/>
      </c>
      <c r="AH106" s="121" t="str">
        <f>IF($U106="","",SUM(AG106:AG$114))</f>
        <v/>
      </c>
      <c r="AI106" s="260" t="str">
        <f>Main_무해지!AP106</f>
        <v/>
      </c>
      <c r="AJ106" s="260">
        <f t="shared" si="56"/>
        <v>0</v>
      </c>
      <c r="AK106" s="260" t="str">
        <f t="shared" si="57"/>
        <v/>
      </c>
      <c r="AL106" s="260" t="str">
        <f t="shared" si="58"/>
        <v/>
      </c>
      <c r="AM106" s="317" t="str">
        <f>IF($U106="","",SUM($AN106:$AN$114))</f>
        <v/>
      </c>
      <c r="AN106" s="260" t="str">
        <f t="shared" si="89"/>
        <v/>
      </c>
      <c r="AO106" s="317" t="str">
        <f t="shared" si="59"/>
        <v/>
      </c>
      <c r="AP106" s="287" t="str">
        <f>IF($U106="","",INDEX(#REF!,$U106+1))</f>
        <v/>
      </c>
      <c r="AQ106" s="260">
        <f t="shared" si="60"/>
        <v>0</v>
      </c>
      <c r="AR106" s="260" t="str">
        <f t="shared" si="61"/>
        <v/>
      </c>
      <c r="AS106" s="260" t="str">
        <f t="shared" si="62"/>
        <v/>
      </c>
      <c r="AT106" s="317" t="str">
        <f>IF($U106="","",SUM($AS106:$AS$114))</f>
        <v/>
      </c>
      <c r="AU106" s="287" t="str">
        <f>IF($U106="","",INDEX(#REF!,$U106+1))</f>
        <v/>
      </c>
      <c r="AV106" s="260">
        <f t="shared" si="63"/>
        <v>0</v>
      </c>
      <c r="AW106" s="260" t="str">
        <f t="shared" si="64"/>
        <v/>
      </c>
      <c r="AX106" s="260" t="str">
        <f t="shared" si="65"/>
        <v/>
      </c>
      <c r="AY106" s="317" t="str">
        <f>IF($U106="","",SUM($AX106:$AX$114))</f>
        <v/>
      </c>
      <c r="AZ106" s="287" t="str">
        <f>IF($U106="","",INDEX(#REF!,$U106+1))</f>
        <v/>
      </c>
      <c r="BA106" s="260">
        <f t="shared" si="66"/>
        <v>0</v>
      </c>
      <c r="BB106" s="260" t="str">
        <f t="shared" si="67"/>
        <v/>
      </c>
      <c r="BC106" s="260" t="str">
        <f t="shared" si="68"/>
        <v/>
      </c>
      <c r="BD106" s="317" t="str">
        <f>IF($U106="","",SUM($BC106:$BC$114))</f>
        <v/>
      </c>
      <c r="BE106" s="287" t="str">
        <f>IF($U106="","",INDEX(#REF!,$U106+1))</f>
        <v/>
      </c>
      <c r="BF106" s="260">
        <f t="shared" si="69"/>
        <v>0</v>
      </c>
      <c r="BG106" s="260" t="str">
        <f t="shared" si="70"/>
        <v/>
      </c>
      <c r="BH106" s="260" t="str">
        <f t="shared" si="71"/>
        <v/>
      </c>
      <c r="BI106" s="317" t="str">
        <f>IF($U106="","",SUM($BH106:$BH$114))</f>
        <v/>
      </c>
      <c r="BJ106" s="287" t="str">
        <f>IF($U106="","",INDEX(#REF!,$U106+1))</f>
        <v/>
      </c>
      <c r="BK106" s="260">
        <f t="shared" si="72"/>
        <v>0</v>
      </c>
      <c r="BL106" s="260" t="str">
        <f t="shared" si="73"/>
        <v/>
      </c>
      <c r="BM106" s="260" t="str">
        <f t="shared" si="74"/>
        <v/>
      </c>
      <c r="BN106" s="317" t="str">
        <f>IF($U106="","",SUM($BM106:$BM$114))</f>
        <v/>
      </c>
      <c r="BO106" s="287">
        <f t="shared" si="75"/>
        <v>0</v>
      </c>
      <c r="BP106" s="260" t="str">
        <f t="shared" si="76"/>
        <v/>
      </c>
      <c r="BQ106" s="260" t="str">
        <f t="shared" si="77"/>
        <v/>
      </c>
      <c r="BR106" s="260"/>
      <c r="BS106" s="260" t="str">
        <f t="shared" si="90"/>
        <v/>
      </c>
      <c r="BT106" s="260" t="str">
        <f t="shared" si="78"/>
        <v/>
      </c>
      <c r="BU106" s="260" t="str">
        <f t="shared" si="79"/>
        <v/>
      </c>
      <c r="BV106" s="260"/>
      <c r="BW106" s="260" t="str">
        <f t="shared" si="91"/>
        <v/>
      </c>
      <c r="BX106" s="260" t="str">
        <f>IF($U106="","",SUM(BS106:BS$114)+SUM(BW106:BW$114))</f>
        <v/>
      </c>
      <c r="BY106" s="122"/>
      <c r="BZ106" s="122"/>
      <c r="CA106" s="122"/>
      <c r="CB106" s="122"/>
      <c r="CC106" s="260" t="str">
        <f t="shared" si="92"/>
        <v/>
      </c>
      <c r="CD106" s="260" t="str">
        <f t="shared" si="80"/>
        <v/>
      </c>
      <c r="CE106" s="260" t="str">
        <f t="shared" si="81"/>
        <v/>
      </c>
      <c r="CF106" s="260" t="str">
        <f t="shared" si="93"/>
        <v/>
      </c>
      <c r="CG106" s="260" t="str">
        <f t="shared" si="82"/>
        <v/>
      </c>
      <c r="CH106" s="123" t="str">
        <f t="shared" si="94"/>
        <v/>
      </c>
      <c r="CI106" s="124" t="str">
        <f t="shared" si="83"/>
        <v/>
      </c>
      <c r="CJ106" s="242"/>
      <c r="CK106" s="120" t="str">
        <f t="shared" si="84"/>
        <v/>
      </c>
      <c r="CL106" s="124" t="str">
        <f t="shared" si="100"/>
        <v/>
      </c>
      <c r="CM106" s="124" t="str">
        <f t="shared" si="95"/>
        <v/>
      </c>
      <c r="CN106" s="124" t="str">
        <f t="shared" si="85"/>
        <v/>
      </c>
      <c r="CO106" s="124" t="str">
        <f t="shared" si="96"/>
        <v/>
      </c>
      <c r="CP106" s="242"/>
      <c r="CQ106" s="242"/>
      <c r="CR106" s="242"/>
      <c r="CS106" s="242"/>
      <c r="CT106" s="242"/>
      <c r="CU106" s="242"/>
      <c r="CV106" s="242"/>
    </row>
    <row r="107" spans="1:100">
      <c r="A107" s="305"/>
      <c r="C107" s="373"/>
      <c r="D107" s="373"/>
      <c r="E107" s="373"/>
      <c r="F107" s="373"/>
      <c r="G107" s="373"/>
      <c r="I107" s="158"/>
      <c r="J107" s="376"/>
      <c r="K107" s="376"/>
      <c r="L107" s="376"/>
      <c r="M107" s="374"/>
      <c r="N107" s="278" t="str">
        <f t="shared" si="104"/>
        <v/>
      </c>
      <c r="O107" s="279" t="str">
        <f t="shared" si="105"/>
        <v/>
      </c>
      <c r="P107" s="271" t="str">
        <f t="shared" si="101"/>
        <v/>
      </c>
      <c r="Q107" s="271" t="str">
        <f t="shared" si="102"/>
        <v/>
      </c>
      <c r="R107" s="271" t="str">
        <f t="shared" si="103"/>
        <v/>
      </c>
      <c r="S107" s="400" t="str">
        <f t="shared" si="86"/>
        <v/>
      </c>
      <c r="T107" s="231"/>
      <c r="U107" s="120" t="str">
        <f t="shared" si="97"/>
        <v/>
      </c>
      <c r="V107" s="287" t="str">
        <f>Main_무해지!AC107</f>
        <v/>
      </c>
      <c r="W107" s="310">
        <f>+Main_무해지!AD107</f>
        <v>0</v>
      </c>
      <c r="X107" s="310">
        <v>0</v>
      </c>
      <c r="Y107" s="260" t="str">
        <f t="shared" si="98"/>
        <v/>
      </c>
      <c r="Z107" s="260" t="str">
        <f t="shared" si="53"/>
        <v/>
      </c>
      <c r="AA107" s="121" t="str">
        <f>IF($U107="","",SUM(Z107:Z$114))</f>
        <v/>
      </c>
      <c r="AB107" s="260" t="str">
        <f t="shared" si="87"/>
        <v/>
      </c>
      <c r="AC107" s="254">
        <f t="shared" si="88"/>
        <v>0</v>
      </c>
      <c r="AD107" s="254" t="str">
        <f>Main_무해지!AJ107</f>
        <v/>
      </c>
      <c r="AE107" s="260">
        <f t="shared" si="54"/>
        <v>0</v>
      </c>
      <c r="AF107" s="260" t="str">
        <f t="shared" si="99"/>
        <v/>
      </c>
      <c r="AG107" s="260" t="str">
        <f t="shared" si="55"/>
        <v/>
      </c>
      <c r="AH107" s="121" t="str">
        <f>IF($U107="","",SUM(AG107:AG$114))</f>
        <v/>
      </c>
      <c r="AI107" s="260" t="str">
        <f>Main_무해지!AP107</f>
        <v/>
      </c>
      <c r="AJ107" s="260">
        <f t="shared" si="56"/>
        <v>0</v>
      </c>
      <c r="AK107" s="260" t="str">
        <f t="shared" si="57"/>
        <v/>
      </c>
      <c r="AL107" s="260" t="str">
        <f t="shared" si="58"/>
        <v/>
      </c>
      <c r="AM107" s="317" t="str">
        <f>IF($U107="","",SUM($AN107:$AN$114))</f>
        <v/>
      </c>
      <c r="AN107" s="260" t="str">
        <f t="shared" si="89"/>
        <v/>
      </c>
      <c r="AO107" s="317" t="str">
        <f t="shared" si="59"/>
        <v/>
      </c>
      <c r="AP107" s="287" t="str">
        <f>IF($U107="","",INDEX(#REF!,$U107+1))</f>
        <v/>
      </c>
      <c r="AQ107" s="260">
        <f t="shared" si="60"/>
        <v>0</v>
      </c>
      <c r="AR107" s="260" t="str">
        <f t="shared" si="61"/>
        <v/>
      </c>
      <c r="AS107" s="260" t="str">
        <f t="shared" si="62"/>
        <v/>
      </c>
      <c r="AT107" s="317" t="str">
        <f>IF($U107="","",SUM($AS107:$AS$114))</f>
        <v/>
      </c>
      <c r="AU107" s="287" t="str">
        <f>IF($U107="","",INDEX(#REF!,$U107+1))</f>
        <v/>
      </c>
      <c r="AV107" s="260">
        <f t="shared" si="63"/>
        <v>0</v>
      </c>
      <c r="AW107" s="260" t="str">
        <f t="shared" si="64"/>
        <v/>
      </c>
      <c r="AX107" s="260" t="str">
        <f t="shared" si="65"/>
        <v/>
      </c>
      <c r="AY107" s="317" t="str">
        <f>IF($U107="","",SUM($AX107:$AX$114))</f>
        <v/>
      </c>
      <c r="AZ107" s="287" t="str">
        <f>IF($U107="","",INDEX(#REF!,$U107+1))</f>
        <v/>
      </c>
      <c r="BA107" s="260">
        <f t="shared" si="66"/>
        <v>0</v>
      </c>
      <c r="BB107" s="260" t="str">
        <f t="shared" si="67"/>
        <v/>
      </c>
      <c r="BC107" s="260" t="str">
        <f t="shared" si="68"/>
        <v/>
      </c>
      <c r="BD107" s="317" t="str">
        <f>IF($U107="","",SUM($BC107:$BC$114))</f>
        <v/>
      </c>
      <c r="BE107" s="287" t="str">
        <f>IF($U107="","",INDEX(#REF!,$U107+1))</f>
        <v/>
      </c>
      <c r="BF107" s="260">
        <f t="shared" si="69"/>
        <v>0</v>
      </c>
      <c r="BG107" s="260" t="str">
        <f t="shared" si="70"/>
        <v/>
      </c>
      <c r="BH107" s="260" t="str">
        <f t="shared" si="71"/>
        <v/>
      </c>
      <c r="BI107" s="317" t="str">
        <f>IF($U107="","",SUM($BH107:$BH$114))</f>
        <v/>
      </c>
      <c r="BJ107" s="287" t="str">
        <f>IF($U107="","",INDEX(#REF!,$U107+1))</f>
        <v/>
      </c>
      <c r="BK107" s="260">
        <f t="shared" si="72"/>
        <v>0</v>
      </c>
      <c r="BL107" s="260" t="str">
        <f t="shared" si="73"/>
        <v/>
      </c>
      <c r="BM107" s="260" t="str">
        <f t="shared" si="74"/>
        <v/>
      </c>
      <c r="BN107" s="317" t="str">
        <f>IF($U107="","",SUM($BM107:$BM$114))</f>
        <v/>
      </c>
      <c r="BO107" s="287">
        <f t="shared" si="75"/>
        <v>0</v>
      </c>
      <c r="BP107" s="260" t="str">
        <f t="shared" si="76"/>
        <v/>
      </c>
      <c r="BQ107" s="260" t="str">
        <f t="shared" si="77"/>
        <v/>
      </c>
      <c r="BR107" s="260"/>
      <c r="BS107" s="260" t="str">
        <f t="shared" si="90"/>
        <v/>
      </c>
      <c r="BT107" s="260" t="str">
        <f t="shared" si="78"/>
        <v/>
      </c>
      <c r="BU107" s="260" t="str">
        <f t="shared" si="79"/>
        <v/>
      </c>
      <c r="BV107" s="260"/>
      <c r="BW107" s="260" t="str">
        <f t="shared" si="91"/>
        <v/>
      </c>
      <c r="BX107" s="260" t="str">
        <f>IF($U107="","",SUM(BS107:BS$114)+SUM(BW107:BW$114))</f>
        <v/>
      </c>
      <c r="BY107" s="122"/>
      <c r="BZ107" s="122"/>
      <c r="CA107" s="122"/>
      <c r="CB107" s="122"/>
      <c r="CC107" s="260" t="str">
        <f t="shared" si="92"/>
        <v/>
      </c>
      <c r="CD107" s="260" t="str">
        <f t="shared" si="80"/>
        <v/>
      </c>
      <c r="CE107" s="260" t="str">
        <f t="shared" si="81"/>
        <v/>
      </c>
      <c r="CF107" s="260" t="str">
        <f t="shared" si="93"/>
        <v/>
      </c>
      <c r="CG107" s="260" t="str">
        <f t="shared" si="82"/>
        <v/>
      </c>
      <c r="CH107" s="123" t="str">
        <f t="shared" si="94"/>
        <v/>
      </c>
      <c r="CI107" s="124" t="str">
        <f t="shared" si="83"/>
        <v/>
      </c>
      <c r="CJ107" s="242"/>
      <c r="CK107" s="120" t="str">
        <f t="shared" si="84"/>
        <v/>
      </c>
      <c r="CL107" s="124" t="str">
        <f t="shared" si="100"/>
        <v/>
      </c>
      <c r="CM107" s="124" t="str">
        <f t="shared" si="95"/>
        <v/>
      </c>
      <c r="CN107" s="124" t="str">
        <f t="shared" si="85"/>
        <v/>
      </c>
      <c r="CO107" s="124" t="str">
        <f t="shared" si="96"/>
        <v/>
      </c>
      <c r="CP107" s="242"/>
      <c r="CQ107" s="242"/>
      <c r="CR107" s="242"/>
      <c r="CS107" s="242"/>
      <c r="CT107" s="242"/>
      <c r="CU107" s="242"/>
      <c r="CV107" s="242"/>
    </row>
    <row r="108" spans="1:100">
      <c r="A108" s="305"/>
      <c r="C108" s="373"/>
      <c r="D108" s="373"/>
      <c r="E108" s="373"/>
      <c r="F108" s="373"/>
      <c r="G108" s="373"/>
      <c r="I108" s="158"/>
      <c r="J108" s="376"/>
      <c r="K108" s="376"/>
      <c r="L108" s="376"/>
      <c r="M108" s="378"/>
      <c r="N108" s="278" t="str">
        <f t="shared" si="104"/>
        <v/>
      </c>
      <c r="O108" s="279" t="str">
        <f t="shared" si="105"/>
        <v/>
      </c>
      <c r="P108" s="271" t="str">
        <f t="shared" si="101"/>
        <v/>
      </c>
      <c r="Q108" s="271" t="str">
        <f t="shared" si="102"/>
        <v/>
      </c>
      <c r="R108" s="271" t="str">
        <f t="shared" si="103"/>
        <v/>
      </c>
      <c r="S108" s="400" t="str">
        <f t="shared" si="86"/>
        <v/>
      </c>
      <c r="T108" s="231"/>
      <c r="U108" s="120" t="str">
        <f t="shared" si="97"/>
        <v/>
      </c>
      <c r="V108" s="287" t="str">
        <f>Main_무해지!AC108</f>
        <v/>
      </c>
      <c r="W108" s="310">
        <f>+Main_무해지!AD108</f>
        <v>0</v>
      </c>
      <c r="X108" s="310">
        <v>0</v>
      </c>
      <c r="Y108" s="260" t="str">
        <f t="shared" si="98"/>
        <v/>
      </c>
      <c r="Z108" s="260" t="str">
        <f t="shared" si="53"/>
        <v/>
      </c>
      <c r="AA108" s="121" t="str">
        <f>IF($U108="","",SUM(Z108:Z$114))</f>
        <v/>
      </c>
      <c r="AB108" s="260" t="str">
        <f t="shared" si="87"/>
        <v/>
      </c>
      <c r="AC108" s="254">
        <f t="shared" si="88"/>
        <v>0</v>
      </c>
      <c r="AD108" s="254" t="str">
        <f>Main_무해지!AJ108</f>
        <v/>
      </c>
      <c r="AE108" s="260">
        <f t="shared" si="54"/>
        <v>0</v>
      </c>
      <c r="AF108" s="260" t="str">
        <f t="shared" si="99"/>
        <v/>
      </c>
      <c r="AG108" s="260" t="str">
        <f t="shared" si="55"/>
        <v/>
      </c>
      <c r="AH108" s="121" t="str">
        <f>IF($U108="","",SUM(AG108:AG$114))</f>
        <v/>
      </c>
      <c r="AI108" s="260" t="str">
        <f>Main_무해지!AP108</f>
        <v/>
      </c>
      <c r="AJ108" s="260">
        <f t="shared" si="56"/>
        <v>0</v>
      </c>
      <c r="AK108" s="260" t="str">
        <f t="shared" si="57"/>
        <v/>
      </c>
      <c r="AL108" s="260" t="str">
        <f t="shared" si="58"/>
        <v/>
      </c>
      <c r="AM108" s="317" t="str">
        <f>IF($U108="","",SUM($AN108:$AN$114))</f>
        <v/>
      </c>
      <c r="AN108" s="260" t="str">
        <f t="shared" si="89"/>
        <v/>
      </c>
      <c r="AO108" s="317" t="str">
        <f t="shared" si="59"/>
        <v/>
      </c>
      <c r="AP108" s="287" t="str">
        <f>IF($U108="","",INDEX(#REF!,$U108+1))</f>
        <v/>
      </c>
      <c r="AQ108" s="260">
        <f t="shared" si="60"/>
        <v>0</v>
      </c>
      <c r="AR108" s="260" t="str">
        <f t="shared" si="61"/>
        <v/>
      </c>
      <c r="AS108" s="260" t="str">
        <f t="shared" si="62"/>
        <v/>
      </c>
      <c r="AT108" s="317" t="str">
        <f>IF($U108="","",SUM($AS108:$AS$114))</f>
        <v/>
      </c>
      <c r="AU108" s="287" t="str">
        <f>IF($U108="","",INDEX(#REF!,$U108+1))</f>
        <v/>
      </c>
      <c r="AV108" s="260">
        <f t="shared" si="63"/>
        <v>0</v>
      </c>
      <c r="AW108" s="260" t="str">
        <f t="shared" si="64"/>
        <v/>
      </c>
      <c r="AX108" s="260" t="str">
        <f t="shared" si="65"/>
        <v/>
      </c>
      <c r="AY108" s="317" t="str">
        <f>IF($U108="","",SUM($AX108:$AX$114))</f>
        <v/>
      </c>
      <c r="AZ108" s="287" t="str">
        <f>IF($U108="","",INDEX(#REF!,$U108+1))</f>
        <v/>
      </c>
      <c r="BA108" s="260">
        <f t="shared" si="66"/>
        <v>0</v>
      </c>
      <c r="BB108" s="260" t="str">
        <f t="shared" si="67"/>
        <v/>
      </c>
      <c r="BC108" s="260" t="str">
        <f t="shared" si="68"/>
        <v/>
      </c>
      <c r="BD108" s="317" t="str">
        <f>IF($U108="","",SUM($BC108:$BC$114))</f>
        <v/>
      </c>
      <c r="BE108" s="287" t="str">
        <f>IF($U108="","",INDEX(#REF!,$U108+1))</f>
        <v/>
      </c>
      <c r="BF108" s="260">
        <f t="shared" si="69"/>
        <v>0</v>
      </c>
      <c r="BG108" s="260" t="str">
        <f t="shared" si="70"/>
        <v/>
      </c>
      <c r="BH108" s="260" t="str">
        <f t="shared" si="71"/>
        <v/>
      </c>
      <c r="BI108" s="317" t="str">
        <f>IF($U108="","",SUM($BH108:$BH$114))</f>
        <v/>
      </c>
      <c r="BJ108" s="287" t="str">
        <f>IF($U108="","",INDEX(#REF!,$U108+1))</f>
        <v/>
      </c>
      <c r="BK108" s="260">
        <f t="shared" si="72"/>
        <v>0</v>
      </c>
      <c r="BL108" s="260" t="str">
        <f t="shared" si="73"/>
        <v/>
      </c>
      <c r="BM108" s="260" t="str">
        <f t="shared" si="74"/>
        <v/>
      </c>
      <c r="BN108" s="317" t="str">
        <f>IF($U108="","",SUM($BM108:$BM$114))</f>
        <v/>
      </c>
      <c r="BO108" s="287">
        <f t="shared" si="75"/>
        <v>0</v>
      </c>
      <c r="BP108" s="260" t="str">
        <f t="shared" si="76"/>
        <v/>
      </c>
      <c r="BQ108" s="260" t="str">
        <f t="shared" si="77"/>
        <v/>
      </c>
      <c r="BR108" s="260"/>
      <c r="BS108" s="260" t="str">
        <f t="shared" si="90"/>
        <v/>
      </c>
      <c r="BT108" s="260" t="str">
        <f t="shared" si="78"/>
        <v/>
      </c>
      <c r="BU108" s="260" t="str">
        <f t="shared" si="79"/>
        <v/>
      </c>
      <c r="BV108" s="260"/>
      <c r="BW108" s="260" t="str">
        <f t="shared" si="91"/>
        <v/>
      </c>
      <c r="BX108" s="260" t="str">
        <f>IF($U108="","",SUM(BS108:BS$114)+SUM(BW108:BW$114))</f>
        <v/>
      </c>
      <c r="BY108" s="122"/>
      <c r="BZ108" s="122"/>
      <c r="CA108" s="122"/>
      <c r="CB108" s="122"/>
      <c r="CC108" s="260" t="str">
        <f t="shared" si="92"/>
        <v/>
      </c>
      <c r="CD108" s="260" t="str">
        <f t="shared" si="80"/>
        <v/>
      </c>
      <c r="CE108" s="260" t="str">
        <f t="shared" si="81"/>
        <v/>
      </c>
      <c r="CF108" s="260" t="str">
        <f t="shared" si="93"/>
        <v/>
      </c>
      <c r="CG108" s="260" t="str">
        <f t="shared" si="82"/>
        <v/>
      </c>
      <c r="CH108" s="123" t="str">
        <f t="shared" si="94"/>
        <v/>
      </c>
      <c r="CI108" s="124" t="str">
        <f t="shared" si="83"/>
        <v/>
      </c>
      <c r="CJ108" s="242"/>
      <c r="CK108" s="120" t="str">
        <f t="shared" si="84"/>
        <v/>
      </c>
      <c r="CL108" s="124" t="str">
        <f t="shared" si="100"/>
        <v/>
      </c>
      <c r="CM108" s="124" t="str">
        <f t="shared" si="95"/>
        <v/>
      </c>
      <c r="CN108" s="124" t="str">
        <f t="shared" si="85"/>
        <v/>
      </c>
      <c r="CO108" s="124" t="str">
        <f t="shared" si="96"/>
        <v/>
      </c>
      <c r="CP108" s="242"/>
      <c r="CQ108" s="242"/>
      <c r="CR108" s="242"/>
      <c r="CS108" s="242"/>
      <c r="CT108" s="242"/>
      <c r="CU108" s="242"/>
      <c r="CV108" s="242"/>
    </row>
    <row r="109" spans="1:100">
      <c r="A109" s="305"/>
      <c r="C109" s="373"/>
      <c r="D109" s="373"/>
      <c r="E109" s="373"/>
      <c r="F109" s="373"/>
      <c r="G109" s="373"/>
      <c r="I109" s="158"/>
      <c r="J109" s="378"/>
      <c r="K109" s="378"/>
      <c r="L109" s="378"/>
      <c r="M109" s="378"/>
      <c r="N109" s="278" t="str">
        <f t="shared" si="104"/>
        <v/>
      </c>
      <c r="O109" s="279" t="str">
        <f t="shared" si="105"/>
        <v/>
      </c>
      <c r="P109" s="271" t="str">
        <f t="shared" si="101"/>
        <v/>
      </c>
      <c r="Q109" s="271" t="str">
        <f t="shared" si="102"/>
        <v/>
      </c>
      <c r="R109" s="271" t="str">
        <f t="shared" si="103"/>
        <v/>
      </c>
      <c r="S109" s="400" t="str">
        <f t="shared" si="86"/>
        <v/>
      </c>
      <c r="T109" s="231"/>
      <c r="U109" s="130" t="str">
        <f t="shared" si="97"/>
        <v/>
      </c>
      <c r="V109" s="288" t="str">
        <f>Main_무해지!AC109</f>
        <v/>
      </c>
      <c r="W109" s="311">
        <f>+Main_무해지!AD109</f>
        <v>0</v>
      </c>
      <c r="X109" s="311">
        <v>0</v>
      </c>
      <c r="Y109" s="261" t="str">
        <f t="shared" si="98"/>
        <v/>
      </c>
      <c r="Z109" s="261" t="str">
        <f t="shared" si="53"/>
        <v/>
      </c>
      <c r="AA109" s="131" t="str">
        <f>IF($U109="","",SUM(Z109:Z$114))</f>
        <v/>
      </c>
      <c r="AB109" s="261" t="str">
        <f t="shared" si="87"/>
        <v/>
      </c>
      <c r="AC109" s="254">
        <f t="shared" si="88"/>
        <v>0</v>
      </c>
      <c r="AD109" s="254" t="str">
        <f>Main_무해지!AJ109</f>
        <v/>
      </c>
      <c r="AE109" s="261">
        <f t="shared" si="54"/>
        <v>0</v>
      </c>
      <c r="AF109" s="261" t="str">
        <f t="shared" si="99"/>
        <v/>
      </c>
      <c r="AG109" s="261" t="str">
        <f t="shared" si="55"/>
        <v/>
      </c>
      <c r="AH109" s="131" t="str">
        <f>IF($U109="","",SUM(AG109:AG$114))</f>
        <v/>
      </c>
      <c r="AI109" s="261" t="str">
        <f>Main_무해지!AP109</f>
        <v/>
      </c>
      <c r="AJ109" s="261">
        <f t="shared" si="56"/>
        <v>0</v>
      </c>
      <c r="AK109" s="261" t="str">
        <f t="shared" si="57"/>
        <v/>
      </c>
      <c r="AL109" s="261" t="str">
        <f t="shared" si="58"/>
        <v/>
      </c>
      <c r="AM109" s="318" t="str">
        <f>IF($U109="","",SUM($AN109:$AN$114))</f>
        <v/>
      </c>
      <c r="AN109" s="261" t="str">
        <f t="shared" si="89"/>
        <v/>
      </c>
      <c r="AO109" s="318" t="str">
        <f t="shared" si="59"/>
        <v/>
      </c>
      <c r="AP109" s="288" t="str">
        <f>IF($U109="","",INDEX(#REF!,$U109+1))</f>
        <v/>
      </c>
      <c r="AQ109" s="261">
        <f t="shared" si="60"/>
        <v>0</v>
      </c>
      <c r="AR109" s="261" t="str">
        <f t="shared" si="61"/>
        <v/>
      </c>
      <c r="AS109" s="261" t="str">
        <f t="shared" si="62"/>
        <v/>
      </c>
      <c r="AT109" s="318" t="str">
        <f>IF($U109="","",SUM($AS109:$AS$114))</f>
        <v/>
      </c>
      <c r="AU109" s="288" t="str">
        <f>IF($U109="","",INDEX(#REF!,$U109+1))</f>
        <v/>
      </c>
      <c r="AV109" s="261">
        <f t="shared" si="63"/>
        <v>0</v>
      </c>
      <c r="AW109" s="261" t="str">
        <f t="shared" si="64"/>
        <v/>
      </c>
      <c r="AX109" s="261" t="str">
        <f t="shared" si="65"/>
        <v/>
      </c>
      <c r="AY109" s="318" t="str">
        <f>IF($U109="","",SUM($AX109:$AX$114))</f>
        <v/>
      </c>
      <c r="AZ109" s="288" t="str">
        <f>IF($U109="","",INDEX(#REF!,$U109+1))</f>
        <v/>
      </c>
      <c r="BA109" s="261">
        <f t="shared" si="66"/>
        <v>0</v>
      </c>
      <c r="BB109" s="261" t="str">
        <f t="shared" si="67"/>
        <v/>
      </c>
      <c r="BC109" s="261" t="str">
        <f t="shared" si="68"/>
        <v/>
      </c>
      <c r="BD109" s="318" t="str">
        <f>IF($U109="","",SUM($BC109:$BC$114))</f>
        <v/>
      </c>
      <c r="BE109" s="288" t="str">
        <f>IF($U109="","",INDEX(#REF!,$U109+1))</f>
        <v/>
      </c>
      <c r="BF109" s="261">
        <f t="shared" si="69"/>
        <v>0</v>
      </c>
      <c r="BG109" s="261" t="str">
        <f t="shared" si="70"/>
        <v/>
      </c>
      <c r="BH109" s="261" t="str">
        <f t="shared" si="71"/>
        <v/>
      </c>
      <c r="BI109" s="318" t="str">
        <f>IF($U109="","",SUM($BH109:$BH$114))</f>
        <v/>
      </c>
      <c r="BJ109" s="288" t="str">
        <f>IF($U109="","",INDEX(#REF!,$U109+1))</f>
        <v/>
      </c>
      <c r="BK109" s="261">
        <f t="shared" si="72"/>
        <v>0</v>
      </c>
      <c r="BL109" s="261" t="str">
        <f t="shared" si="73"/>
        <v/>
      </c>
      <c r="BM109" s="261" t="str">
        <f t="shared" si="74"/>
        <v/>
      </c>
      <c r="BN109" s="318" t="str">
        <f>IF($U109="","",SUM($BM109:$BM$114))</f>
        <v/>
      </c>
      <c r="BO109" s="288">
        <f t="shared" si="75"/>
        <v>0</v>
      </c>
      <c r="BP109" s="261" t="str">
        <f t="shared" si="76"/>
        <v/>
      </c>
      <c r="BQ109" s="261" t="str">
        <f t="shared" si="77"/>
        <v/>
      </c>
      <c r="BR109" s="261"/>
      <c r="BS109" s="261" t="str">
        <f t="shared" si="90"/>
        <v/>
      </c>
      <c r="BT109" s="261" t="str">
        <f t="shared" si="78"/>
        <v/>
      </c>
      <c r="BU109" s="261" t="str">
        <f t="shared" si="79"/>
        <v/>
      </c>
      <c r="BV109" s="261"/>
      <c r="BW109" s="261" t="str">
        <f t="shared" si="91"/>
        <v/>
      </c>
      <c r="BX109" s="261" t="str">
        <f>IF($U109="","",SUM(BS109:BS$114)+SUM(BW109:BW$114))</f>
        <v/>
      </c>
      <c r="BY109" s="132"/>
      <c r="BZ109" s="132"/>
      <c r="CA109" s="132"/>
      <c r="CB109" s="132"/>
      <c r="CC109" s="261" t="str">
        <f t="shared" si="92"/>
        <v/>
      </c>
      <c r="CD109" s="261" t="str">
        <f t="shared" si="80"/>
        <v/>
      </c>
      <c r="CE109" s="261" t="str">
        <f t="shared" si="81"/>
        <v/>
      </c>
      <c r="CF109" s="261" t="str">
        <f t="shared" si="93"/>
        <v/>
      </c>
      <c r="CG109" s="261" t="str">
        <f t="shared" si="82"/>
        <v/>
      </c>
      <c r="CH109" s="133" t="str">
        <f t="shared" si="94"/>
        <v/>
      </c>
      <c r="CI109" s="134" t="str">
        <f t="shared" si="83"/>
        <v/>
      </c>
      <c r="CJ109" s="243"/>
      <c r="CK109" s="130" t="str">
        <f t="shared" si="84"/>
        <v/>
      </c>
      <c r="CL109" s="134" t="str">
        <f t="shared" si="100"/>
        <v/>
      </c>
      <c r="CM109" s="134" t="str">
        <f t="shared" si="95"/>
        <v/>
      </c>
      <c r="CN109" s="134" t="str">
        <f t="shared" si="85"/>
        <v/>
      </c>
      <c r="CO109" s="134" t="str">
        <f t="shared" si="96"/>
        <v/>
      </c>
      <c r="CP109" s="243"/>
      <c r="CQ109" s="243"/>
      <c r="CR109" s="243"/>
      <c r="CS109" s="243"/>
      <c r="CT109" s="243"/>
      <c r="CU109" s="243"/>
      <c r="CV109" s="243"/>
    </row>
    <row r="110" spans="1:100">
      <c r="A110" s="305"/>
      <c r="C110" s="373"/>
      <c r="D110" s="373"/>
      <c r="E110" s="373"/>
      <c r="F110" s="373"/>
      <c r="G110" s="373"/>
      <c r="H110" s="373"/>
      <c r="I110" s="158"/>
      <c r="J110" s="378"/>
      <c r="K110" s="378"/>
      <c r="L110" s="378"/>
      <c r="M110" s="378"/>
      <c r="N110" s="278" t="str">
        <f t="shared" si="104"/>
        <v/>
      </c>
      <c r="O110" s="279" t="str">
        <f t="shared" si="105"/>
        <v/>
      </c>
      <c r="P110" s="271" t="str">
        <f t="shared" si="101"/>
        <v/>
      </c>
      <c r="Q110" s="271" t="str">
        <f t="shared" si="102"/>
        <v/>
      </c>
      <c r="R110" s="271" t="str">
        <f t="shared" si="103"/>
        <v/>
      </c>
      <c r="S110" s="400" t="str">
        <f t="shared" si="86"/>
        <v/>
      </c>
      <c r="T110" s="231"/>
      <c r="U110" s="759" t="str">
        <f t="shared" si="97"/>
        <v/>
      </c>
      <c r="V110" s="761" t="str">
        <f>Main_무해지!AC110</f>
        <v/>
      </c>
      <c r="W110" s="639">
        <f>+Main_무해지!AD110</f>
        <v>0</v>
      </c>
      <c r="X110" s="639">
        <v>0</v>
      </c>
      <c r="Y110" s="409" t="str">
        <f t="shared" si="98"/>
        <v/>
      </c>
      <c r="Z110" s="409" t="str">
        <f t="shared" si="53"/>
        <v/>
      </c>
      <c r="AA110" s="760" t="str">
        <f>IF($U110="","",SUM(Z110:Z$114))</f>
        <v/>
      </c>
      <c r="AB110" s="409" t="str">
        <f t="shared" si="87"/>
        <v/>
      </c>
      <c r="AC110" s="254">
        <f t="shared" si="88"/>
        <v>0</v>
      </c>
      <c r="AD110" s="254" t="str">
        <f>Main_무해지!AJ110</f>
        <v/>
      </c>
      <c r="AE110" s="409">
        <f t="shared" si="54"/>
        <v>0</v>
      </c>
      <c r="AF110" s="409" t="str">
        <f t="shared" si="99"/>
        <v/>
      </c>
      <c r="AG110" s="409" t="str">
        <f t="shared" si="55"/>
        <v/>
      </c>
      <c r="AH110" s="760" t="str">
        <f>IF($U110="","",SUM(AG110:AG$114))</f>
        <v/>
      </c>
      <c r="AI110" s="409" t="str">
        <f>Main_무해지!AP110</f>
        <v/>
      </c>
      <c r="AJ110" s="409">
        <f t="shared" si="56"/>
        <v>0</v>
      </c>
      <c r="AK110" s="409" t="str">
        <f t="shared" si="57"/>
        <v/>
      </c>
      <c r="AL110" s="409" t="str">
        <f t="shared" si="58"/>
        <v/>
      </c>
      <c r="AM110" s="762" t="str">
        <f>IF($U110="","",SUM($AN110:$AN$114))</f>
        <v/>
      </c>
      <c r="AN110" s="409" t="str">
        <f t="shared" si="89"/>
        <v/>
      </c>
      <c r="AO110" s="762" t="str">
        <f t="shared" si="59"/>
        <v/>
      </c>
      <c r="AP110" s="761" t="str">
        <f>IF($U110="","",INDEX(#REF!,$U110+1))</f>
        <v/>
      </c>
      <c r="AQ110" s="409">
        <f t="shared" si="60"/>
        <v>0</v>
      </c>
      <c r="AR110" s="409" t="str">
        <f t="shared" si="61"/>
        <v/>
      </c>
      <c r="AS110" s="409" t="str">
        <f t="shared" si="62"/>
        <v/>
      </c>
      <c r="AT110" s="762" t="str">
        <f>IF($U110="","",SUM($AS110:$AS$114))</f>
        <v/>
      </c>
      <c r="AU110" s="761" t="str">
        <f>IF($U110="","",INDEX(#REF!,$U110+1))</f>
        <v/>
      </c>
      <c r="AV110" s="409">
        <f t="shared" si="63"/>
        <v>0</v>
      </c>
      <c r="AW110" s="409" t="str">
        <f t="shared" si="64"/>
        <v/>
      </c>
      <c r="AX110" s="409" t="str">
        <f t="shared" si="65"/>
        <v/>
      </c>
      <c r="AY110" s="762" t="str">
        <f>IF($U110="","",SUM($AX110:$AX$114))</f>
        <v/>
      </c>
      <c r="AZ110" s="761" t="str">
        <f>IF($U110="","",INDEX(#REF!,$U110+1))</f>
        <v/>
      </c>
      <c r="BA110" s="409">
        <f t="shared" si="66"/>
        <v>0</v>
      </c>
      <c r="BB110" s="409" t="str">
        <f t="shared" si="67"/>
        <v/>
      </c>
      <c r="BC110" s="409" t="str">
        <f t="shared" si="68"/>
        <v/>
      </c>
      <c r="BD110" s="762" t="str">
        <f>IF($U110="","",SUM($BC110:$BC$114))</f>
        <v/>
      </c>
      <c r="BE110" s="761" t="str">
        <f>IF($U110="","",INDEX(#REF!,$U110+1))</f>
        <v/>
      </c>
      <c r="BF110" s="409">
        <f t="shared" si="69"/>
        <v>0</v>
      </c>
      <c r="BG110" s="409" t="str">
        <f t="shared" si="70"/>
        <v/>
      </c>
      <c r="BH110" s="409" t="str">
        <f t="shared" si="71"/>
        <v/>
      </c>
      <c r="BI110" s="762" t="str">
        <f>IF($U110="","",SUM($BH110:$BH$114))</f>
        <v/>
      </c>
      <c r="BJ110" s="761" t="str">
        <f>IF($U110="","",INDEX(#REF!,$U110+1))</f>
        <v/>
      </c>
      <c r="BK110" s="409">
        <f t="shared" si="72"/>
        <v>0</v>
      </c>
      <c r="BL110" s="409" t="str">
        <f t="shared" si="73"/>
        <v/>
      </c>
      <c r="BM110" s="409" t="str">
        <f t="shared" si="74"/>
        <v/>
      </c>
      <c r="BN110" s="762" t="str">
        <f>IF($U110="","",SUM($BM110:$BM$114))</f>
        <v/>
      </c>
      <c r="BO110" s="761">
        <f t="shared" si="75"/>
        <v>0</v>
      </c>
      <c r="BP110" s="409" t="str">
        <f t="shared" si="76"/>
        <v/>
      </c>
      <c r="BQ110" s="409" t="str">
        <f t="shared" si="77"/>
        <v/>
      </c>
      <c r="BR110" s="409"/>
      <c r="BS110" s="409" t="str">
        <f t="shared" si="90"/>
        <v/>
      </c>
      <c r="BT110" s="409" t="str">
        <f t="shared" si="78"/>
        <v/>
      </c>
      <c r="BU110" s="409" t="str">
        <f t="shared" si="79"/>
        <v/>
      </c>
      <c r="BV110" s="409"/>
      <c r="BW110" s="409" t="str">
        <f t="shared" si="91"/>
        <v/>
      </c>
      <c r="BX110" s="409" t="str">
        <f>IF($U110="","",SUM(BS110:BS$114)+SUM(BW110:BW$114))</f>
        <v/>
      </c>
      <c r="BY110" s="763"/>
      <c r="BZ110" s="763"/>
      <c r="CA110" s="763"/>
      <c r="CB110" s="763"/>
      <c r="CC110" s="409" t="str">
        <f t="shared" si="92"/>
        <v/>
      </c>
      <c r="CD110" s="409" t="str">
        <f t="shared" si="80"/>
        <v/>
      </c>
      <c r="CE110" s="409" t="str">
        <f t="shared" si="81"/>
        <v/>
      </c>
      <c r="CF110" s="409" t="str">
        <f t="shared" si="93"/>
        <v/>
      </c>
      <c r="CG110" s="409" t="str">
        <f t="shared" si="82"/>
        <v/>
      </c>
      <c r="CH110" s="765" t="str">
        <f t="shared" si="94"/>
        <v/>
      </c>
      <c r="CI110" s="766" t="str">
        <f t="shared" si="83"/>
        <v/>
      </c>
      <c r="CJ110" s="414"/>
      <c r="CK110" s="759" t="str">
        <f t="shared" si="84"/>
        <v/>
      </c>
      <c r="CL110" s="766" t="str">
        <f t="shared" si="100"/>
        <v/>
      </c>
      <c r="CM110" s="766" t="str">
        <f t="shared" si="95"/>
        <v/>
      </c>
      <c r="CN110" s="766" t="str">
        <f t="shared" si="85"/>
        <v/>
      </c>
      <c r="CO110" s="766" t="str">
        <f t="shared" si="96"/>
        <v/>
      </c>
      <c r="CP110" s="414"/>
      <c r="CQ110" s="414"/>
      <c r="CR110" s="414"/>
      <c r="CS110" s="414"/>
      <c r="CT110" s="414"/>
      <c r="CU110" s="414"/>
      <c r="CV110" s="414"/>
    </row>
    <row r="111" spans="1:100">
      <c r="A111" s="305"/>
      <c r="C111" s="373"/>
      <c r="D111" s="373"/>
      <c r="E111" s="373"/>
      <c r="F111" s="373"/>
      <c r="G111" s="373"/>
      <c r="H111" s="373"/>
      <c r="I111" s="158"/>
      <c r="J111" s="378"/>
      <c r="K111" s="378"/>
      <c r="L111" s="378"/>
      <c r="M111" s="378"/>
      <c r="N111" s="278" t="str">
        <f t="shared" si="104"/>
        <v/>
      </c>
      <c r="O111" s="279" t="str">
        <f t="shared" si="105"/>
        <v/>
      </c>
      <c r="P111" s="271" t="str">
        <f t="shared" si="101"/>
        <v/>
      </c>
      <c r="Q111" s="271" t="str">
        <f t="shared" si="102"/>
        <v/>
      </c>
      <c r="R111" s="271" t="str">
        <f t="shared" si="103"/>
        <v/>
      </c>
      <c r="S111" s="400" t="str">
        <f t="shared" si="86"/>
        <v/>
      </c>
      <c r="T111" s="231"/>
      <c r="U111" s="101" t="str">
        <f t="shared" si="97"/>
        <v/>
      </c>
      <c r="V111" s="285" t="str">
        <f>Main_무해지!AC111</f>
        <v/>
      </c>
      <c r="W111" s="308">
        <f>+Main_무해지!AD111</f>
        <v>0</v>
      </c>
      <c r="X111" s="308">
        <v>0</v>
      </c>
      <c r="Y111" s="258" t="str">
        <f t="shared" si="98"/>
        <v/>
      </c>
      <c r="Z111" s="258" t="str">
        <f t="shared" si="53"/>
        <v/>
      </c>
      <c r="AA111" s="102" t="str">
        <f>IF($U111="","",SUM(Z111:Z$114))</f>
        <v/>
      </c>
      <c r="AB111" s="258" t="str">
        <f t="shared" si="87"/>
        <v/>
      </c>
      <c r="AC111" s="254">
        <f t="shared" si="88"/>
        <v>0</v>
      </c>
      <c r="AD111" s="254" t="str">
        <f>Main_무해지!AJ111</f>
        <v/>
      </c>
      <c r="AE111" s="258">
        <f t="shared" si="54"/>
        <v>0</v>
      </c>
      <c r="AF111" s="258" t="str">
        <f t="shared" si="99"/>
        <v/>
      </c>
      <c r="AG111" s="258" t="str">
        <f t="shared" si="55"/>
        <v/>
      </c>
      <c r="AH111" s="102" t="str">
        <f>IF($U111="","",SUM(AG111:AG$114))</f>
        <v/>
      </c>
      <c r="AI111" s="258" t="str">
        <f>Main_무해지!AP111</f>
        <v/>
      </c>
      <c r="AJ111" s="258">
        <f t="shared" si="56"/>
        <v>0</v>
      </c>
      <c r="AK111" s="258" t="str">
        <f t="shared" si="57"/>
        <v/>
      </c>
      <c r="AL111" s="258" t="str">
        <f t="shared" si="58"/>
        <v/>
      </c>
      <c r="AM111" s="315" t="str">
        <f>IF($U111="","",SUM($AN111:$AN$114))</f>
        <v/>
      </c>
      <c r="AN111" s="258" t="str">
        <f t="shared" si="89"/>
        <v/>
      </c>
      <c r="AO111" s="315" t="str">
        <f t="shared" si="59"/>
        <v/>
      </c>
      <c r="AP111" s="285" t="str">
        <f>IF($U111="","",INDEX(#REF!,$U111+1))</f>
        <v/>
      </c>
      <c r="AQ111" s="258">
        <f t="shared" si="60"/>
        <v>0</v>
      </c>
      <c r="AR111" s="258" t="str">
        <f t="shared" si="61"/>
        <v/>
      </c>
      <c r="AS111" s="258" t="str">
        <f t="shared" si="62"/>
        <v/>
      </c>
      <c r="AT111" s="315" t="str">
        <f>IF($U111="","",SUM($AS111:$AS$114))</f>
        <v/>
      </c>
      <c r="AU111" s="285" t="str">
        <f>IF($U111="","",INDEX(#REF!,$U111+1))</f>
        <v/>
      </c>
      <c r="AV111" s="258">
        <f t="shared" si="63"/>
        <v>0</v>
      </c>
      <c r="AW111" s="258" t="str">
        <f t="shared" si="64"/>
        <v/>
      </c>
      <c r="AX111" s="258" t="str">
        <f t="shared" si="65"/>
        <v/>
      </c>
      <c r="AY111" s="315" t="str">
        <f>IF($U111="","",SUM($AX111:$AX$114))</f>
        <v/>
      </c>
      <c r="AZ111" s="285" t="str">
        <f>IF($U111="","",INDEX(#REF!,$U111+1))</f>
        <v/>
      </c>
      <c r="BA111" s="258">
        <f t="shared" si="66"/>
        <v>0</v>
      </c>
      <c r="BB111" s="258" t="str">
        <f t="shared" si="67"/>
        <v/>
      </c>
      <c r="BC111" s="258" t="str">
        <f t="shared" si="68"/>
        <v/>
      </c>
      <c r="BD111" s="315" t="str">
        <f>IF($U111="","",SUM($BC111:$BC$114))</f>
        <v/>
      </c>
      <c r="BE111" s="285" t="str">
        <f>IF($U111="","",INDEX(#REF!,$U111+1))</f>
        <v/>
      </c>
      <c r="BF111" s="258">
        <f t="shared" si="69"/>
        <v>0</v>
      </c>
      <c r="BG111" s="258" t="str">
        <f t="shared" si="70"/>
        <v/>
      </c>
      <c r="BH111" s="258" t="str">
        <f t="shared" si="71"/>
        <v/>
      </c>
      <c r="BI111" s="315" t="str">
        <f>IF($U111="","",SUM($BH111:$BH$114))</f>
        <v/>
      </c>
      <c r="BJ111" s="285" t="str">
        <f>IF($U111="","",INDEX(#REF!,$U111+1))</f>
        <v/>
      </c>
      <c r="BK111" s="258">
        <f t="shared" si="72"/>
        <v>0</v>
      </c>
      <c r="BL111" s="258" t="str">
        <f t="shared" si="73"/>
        <v/>
      </c>
      <c r="BM111" s="258" t="str">
        <f t="shared" si="74"/>
        <v/>
      </c>
      <c r="BN111" s="315" t="str">
        <f>IF($U111="","",SUM($BM111:$BM$114))</f>
        <v/>
      </c>
      <c r="BO111" s="285">
        <f t="shared" si="75"/>
        <v>0</v>
      </c>
      <c r="BP111" s="258" t="str">
        <f t="shared" si="76"/>
        <v/>
      </c>
      <c r="BQ111" s="258" t="str">
        <f t="shared" si="77"/>
        <v/>
      </c>
      <c r="BR111" s="258"/>
      <c r="BS111" s="258" t="str">
        <f t="shared" si="90"/>
        <v/>
      </c>
      <c r="BT111" s="258" t="str">
        <f t="shared" si="78"/>
        <v/>
      </c>
      <c r="BU111" s="258" t="str">
        <f t="shared" si="79"/>
        <v/>
      </c>
      <c r="BV111" s="258"/>
      <c r="BW111" s="258" t="str">
        <f t="shared" si="91"/>
        <v/>
      </c>
      <c r="BX111" s="258" t="str">
        <f>IF($U111="","",SUM(BS111:BS$114)+SUM(BW111:BW$114))</f>
        <v/>
      </c>
      <c r="BY111" s="103"/>
      <c r="BZ111" s="103"/>
      <c r="CA111" s="103"/>
      <c r="CB111" s="103"/>
      <c r="CC111" s="258" t="str">
        <f t="shared" si="92"/>
        <v/>
      </c>
      <c r="CD111" s="258" t="str">
        <f t="shared" si="80"/>
        <v/>
      </c>
      <c r="CE111" s="258" t="str">
        <f t="shared" si="81"/>
        <v/>
      </c>
      <c r="CF111" s="258" t="str">
        <f t="shared" si="93"/>
        <v/>
      </c>
      <c r="CG111" s="258" t="str">
        <f t="shared" si="82"/>
        <v/>
      </c>
      <c r="CH111" s="104" t="str">
        <f t="shared" si="94"/>
        <v/>
      </c>
      <c r="CI111" s="105" t="str">
        <f t="shared" si="83"/>
        <v/>
      </c>
      <c r="CJ111" s="240"/>
      <c r="CK111" s="101" t="str">
        <f t="shared" si="84"/>
        <v/>
      </c>
      <c r="CL111" s="105" t="str">
        <f t="shared" si="100"/>
        <v/>
      </c>
      <c r="CM111" s="105" t="str">
        <f t="shared" si="95"/>
        <v/>
      </c>
      <c r="CN111" s="105" t="str">
        <f t="shared" si="85"/>
        <v/>
      </c>
      <c r="CO111" s="105" t="str">
        <f t="shared" si="96"/>
        <v/>
      </c>
      <c r="CP111" s="240"/>
      <c r="CQ111" s="240"/>
      <c r="CR111" s="240"/>
      <c r="CS111" s="240"/>
      <c r="CT111" s="240"/>
      <c r="CU111" s="240"/>
      <c r="CV111" s="240"/>
    </row>
    <row r="112" spans="1:100">
      <c r="A112" s="305"/>
      <c r="C112" s="373"/>
      <c r="D112" s="373"/>
      <c r="E112" s="373"/>
      <c r="F112" s="373"/>
      <c r="G112" s="373"/>
      <c r="H112" s="373"/>
      <c r="I112" s="158"/>
      <c r="J112" s="378"/>
      <c r="K112" s="378"/>
      <c r="L112" s="378"/>
      <c r="M112" s="378"/>
      <c r="N112" s="278" t="str">
        <f t="shared" si="104"/>
        <v/>
      </c>
      <c r="O112" s="279" t="str">
        <f t="shared" si="105"/>
        <v/>
      </c>
      <c r="P112" s="271" t="str">
        <f t="shared" si="101"/>
        <v/>
      </c>
      <c r="Q112" s="271" t="str">
        <f t="shared" si="102"/>
        <v/>
      </c>
      <c r="R112" s="271" t="str">
        <f t="shared" si="103"/>
        <v/>
      </c>
      <c r="S112" s="400" t="str">
        <f t="shared" si="86"/>
        <v/>
      </c>
      <c r="T112" s="231"/>
      <c r="U112" s="101" t="str">
        <f t="shared" si="97"/>
        <v/>
      </c>
      <c r="V112" s="285" t="str">
        <f>Main_무해지!AC112</f>
        <v/>
      </c>
      <c r="W112" s="308">
        <f>+Main_무해지!AD112</f>
        <v>0</v>
      </c>
      <c r="X112" s="308">
        <v>0</v>
      </c>
      <c r="Y112" s="258" t="str">
        <f t="shared" si="98"/>
        <v/>
      </c>
      <c r="Z112" s="258" t="str">
        <f t="shared" si="53"/>
        <v/>
      </c>
      <c r="AA112" s="102" t="str">
        <f>IF($U112="","",SUM(Z112:Z$114))</f>
        <v/>
      </c>
      <c r="AB112" s="258" t="str">
        <f t="shared" si="87"/>
        <v/>
      </c>
      <c r="AC112" s="254">
        <f t="shared" si="88"/>
        <v>0</v>
      </c>
      <c r="AD112" s="254" t="str">
        <f>Main_무해지!AJ112</f>
        <v/>
      </c>
      <c r="AE112" s="258">
        <f t="shared" si="54"/>
        <v>0</v>
      </c>
      <c r="AF112" s="258" t="str">
        <f t="shared" si="99"/>
        <v/>
      </c>
      <c r="AG112" s="258" t="str">
        <f t="shared" si="55"/>
        <v/>
      </c>
      <c r="AH112" s="102" t="str">
        <f>IF($U112="","",SUM(AG112:AG$114))</f>
        <v/>
      </c>
      <c r="AI112" s="258" t="str">
        <f>Main_무해지!AP112</f>
        <v/>
      </c>
      <c r="AJ112" s="258">
        <f t="shared" si="56"/>
        <v>0</v>
      </c>
      <c r="AK112" s="258" t="str">
        <f t="shared" si="57"/>
        <v/>
      </c>
      <c r="AL112" s="258" t="str">
        <f t="shared" si="58"/>
        <v/>
      </c>
      <c r="AM112" s="315" t="str">
        <f>IF($U112="","",SUM($AN112:$AN$114))</f>
        <v/>
      </c>
      <c r="AN112" s="258" t="str">
        <f t="shared" si="89"/>
        <v/>
      </c>
      <c r="AO112" s="315" t="str">
        <f t="shared" si="59"/>
        <v/>
      </c>
      <c r="AP112" s="285" t="str">
        <f>IF($U112="","",INDEX(#REF!,$U112+1))</f>
        <v/>
      </c>
      <c r="AQ112" s="258">
        <f t="shared" si="60"/>
        <v>0</v>
      </c>
      <c r="AR112" s="258" t="str">
        <f t="shared" si="61"/>
        <v/>
      </c>
      <c r="AS112" s="258" t="str">
        <f t="shared" si="62"/>
        <v/>
      </c>
      <c r="AT112" s="315" t="str">
        <f>IF($U112="","",SUM($AS112:$AS$114))</f>
        <v/>
      </c>
      <c r="AU112" s="285" t="str">
        <f>IF($U112="","",INDEX(#REF!,$U112+1))</f>
        <v/>
      </c>
      <c r="AV112" s="258">
        <f t="shared" si="63"/>
        <v>0</v>
      </c>
      <c r="AW112" s="258" t="str">
        <f t="shared" si="64"/>
        <v/>
      </c>
      <c r="AX112" s="258" t="str">
        <f t="shared" si="65"/>
        <v/>
      </c>
      <c r="AY112" s="315" t="str">
        <f>IF($U112="","",SUM($AX112:$AX$114))</f>
        <v/>
      </c>
      <c r="AZ112" s="285" t="str">
        <f>IF($U112="","",INDEX(#REF!,$U112+1))</f>
        <v/>
      </c>
      <c r="BA112" s="258">
        <f t="shared" si="66"/>
        <v>0</v>
      </c>
      <c r="BB112" s="258" t="str">
        <f t="shared" si="67"/>
        <v/>
      </c>
      <c r="BC112" s="258" t="str">
        <f t="shared" si="68"/>
        <v/>
      </c>
      <c r="BD112" s="315" t="str">
        <f>IF($U112="","",SUM($BC112:$BC$114))</f>
        <v/>
      </c>
      <c r="BE112" s="285" t="str">
        <f>IF($U112="","",INDEX(#REF!,$U112+1))</f>
        <v/>
      </c>
      <c r="BF112" s="258">
        <f t="shared" si="69"/>
        <v>0</v>
      </c>
      <c r="BG112" s="258" t="str">
        <f t="shared" si="70"/>
        <v/>
      </c>
      <c r="BH112" s="258" t="str">
        <f t="shared" si="71"/>
        <v/>
      </c>
      <c r="BI112" s="315" t="str">
        <f>IF($U112="","",SUM($BH112:$BH$114))</f>
        <v/>
      </c>
      <c r="BJ112" s="285" t="str">
        <f>IF($U112="","",INDEX(#REF!,$U112+1))</f>
        <v/>
      </c>
      <c r="BK112" s="258">
        <f t="shared" si="72"/>
        <v>0</v>
      </c>
      <c r="BL112" s="258" t="str">
        <f t="shared" si="73"/>
        <v/>
      </c>
      <c r="BM112" s="258" t="str">
        <f t="shared" si="74"/>
        <v/>
      </c>
      <c r="BN112" s="315" t="str">
        <f>IF($U112="","",SUM($BM112:$BM$114))</f>
        <v/>
      </c>
      <c r="BO112" s="285">
        <f t="shared" si="75"/>
        <v>0</v>
      </c>
      <c r="BP112" s="258" t="str">
        <f t="shared" si="76"/>
        <v/>
      </c>
      <c r="BQ112" s="258" t="str">
        <f t="shared" si="77"/>
        <v/>
      </c>
      <c r="BR112" s="258"/>
      <c r="BS112" s="258" t="str">
        <f t="shared" si="90"/>
        <v/>
      </c>
      <c r="BT112" s="258" t="str">
        <f t="shared" si="78"/>
        <v/>
      </c>
      <c r="BU112" s="258" t="str">
        <f t="shared" si="79"/>
        <v/>
      </c>
      <c r="BV112" s="258"/>
      <c r="BW112" s="258" t="str">
        <f t="shared" si="91"/>
        <v/>
      </c>
      <c r="BX112" s="258" t="str">
        <f>IF($U112="","",SUM(BS112:BS$114)+SUM(BW112:BW$114))</f>
        <v/>
      </c>
      <c r="BY112" s="103"/>
      <c r="BZ112" s="103"/>
      <c r="CA112" s="103"/>
      <c r="CB112" s="103"/>
      <c r="CC112" s="258" t="str">
        <f t="shared" si="92"/>
        <v/>
      </c>
      <c r="CD112" s="258" t="str">
        <f t="shared" si="80"/>
        <v/>
      </c>
      <c r="CE112" s="258" t="str">
        <f t="shared" si="81"/>
        <v/>
      </c>
      <c r="CF112" s="258" t="str">
        <f t="shared" si="93"/>
        <v/>
      </c>
      <c r="CG112" s="258" t="str">
        <f t="shared" si="82"/>
        <v/>
      </c>
      <c r="CH112" s="104" t="str">
        <f t="shared" si="94"/>
        <v/>
      </c>
      <c r="CI112" s="105" t="str">
        <f t="shared" si="83"/>
        <v/>
      </c>
      <c r="CJ112" s="240"/>
      <c r="CK112" s="101" t="str">
        <f t="shared" si="84"/>
        <v/>
      </c>
      <c r="CL112" s="105" t="str">
        <f t="shared" si="100"/>
        <v/>
      </c>
      <c r="CM112" s="105" t="str">
        <f t="shared" si="95"/>
        <v/>
      </c>
      <c r="CN112" s="105" t="str">
        <f t="shared" si="85"/>
        <v/>
      </c>
      <c r="CO112" s="105" t="str">
        <f t="shared" si="96"/>
        <v/>
      </c>
      <c r="CP112" s="240"/>
      <c r="CQ112" s="240"/>
      <c r="CR112" s="240"/>
      <c r="CS112" s="240"/>
      <c r="CT112" s="240"/>
      <c r="CU112" s="240"/>
      <c r="CV112" s="240"/>
    </row>
    <row r="113" spans="2:100" s="373" customFormat="1">
      <c r="B113" s="2"/>
      <c r="I113" s="158"/>
      <c r="J113" s="378"/>
      <c r="K113" s="378"/>
      <c r="L113" s="378"/>
      <c r="M113" s="378"/>
      <c r="N113" s="278" t="str">
        <f t="shared" si="104"/>
        <v/>
      </c>
      <c r="O113" s="279" t="str">
        <f t="shared" si="105"/>
        <v/>
      </c>
      <c r="P113" s="271" t="str">
        <f t="shared" si="101"/>
        <v/>
      </c>
      <c r="Q113" s="271" t="str">
        <f t="shared" si="102"/>
        <v/>
      </c>
      <c r="R113" s="271" t="str">
        <f t="shared" si="103"/>
        <v/>
      </c>
      <c r="S113" s="400" t="str">
        <f t="shared" si="86"/>
        <v/>
      </c>
      <c r="T113" s="231"/>
      <c r="U113" s="101" t="str">
        <f t="shared" si="97"/>
        <v/>
      </c>
      <c r="V113" s="285" t="str">
        <f>Main_무해지!AC113</f>
        <v/>
      </c>
      <c r="W113" s="308">
        <f>+Main_무해지!AD113</f>
        <v>0</v>
      </c>
      <c r="X113" s="308">
        <v>0</v>
      </c>
      <c r="Y113" s="258" t="str">
        <f t="shared" si="98"/>
        <v/>
      </c>
      <c r="Z113" s="258" t="str">
        <f t="shared" si="53"/>
        <v/>
      </c>
      <c r="AA113" s="102" t="str">
        <f>IF($U113="","",SUM(Z113:Z$114))</f>
        <v/>
      </c>
      <c r="AB113" s="258" t="str">
        <f t="shared" si="87"/>
        <v/>
      </c>
      <c r="AC113" s="254">
        <f t="shared" si="88"/>
        <v>0</v>
      </c>
      <c r="AD113" s="254" t="str">
        <f>Main_무해지!AJ113</f>
        <v/>
      </c>
      <c r="AE113" s="258">
        <f t="shared" si="54"/>
        <v>0</v>
      </c>
      <c r="AF113" s="258" t="str">
        <f t="shared" si="99"/>
        <v/>
      </c>
      <c r="AG113" s="258" t="str">
        <f t="shared" si="55"/>
        <v/>
      </c>
      <c r="AH113" s="102" t="str">
        <f>IF($U113="","",SUM(AG113:AG$114))</f>
        <v/>
      </c>
      <c r="AI113" s="258" t="str">
        <f>Main_무해지!AP113</f>
        <v/>
      </c>
      <c r="AJ113" s="258">
        <f t="shared" si="56"/>
        <v>0</v>
      </c>
      <c r="AK113" s="258" t="str">
        <f t="shared" si="57"/>
        <v/>
      </c>
      <c r="AL113" s="258" t="str">
        <f t="shared" si="58"/>
        <v/>
      </c>
      <c r="AM113" s="315" t="str">
        <f>IF($U113="","",SUM($AN113:$AN$114))</f>
        <v/>
      </c>
      <c r="AN113" s="258" t="str">
        <f t="shared" si="89"/>
        <v/>
      </c>
      <c r="AO113" s="315" t="str">
        <f t="shared" si="59"/>
        <v/>
      </c>
      <c r="AP113" s="285" t="str">
        <f>IF($U113="","",INDEX(#REF!,$U113+1))</f>
        <v/>
      </c>
      <c r="AQ113" s="258">
        <f t="shared" si="60"/>
        <v>0</v>
      </c>
      <c r="AR113" s="258" t="str">
        <f t="shared" si="61"/>
        <v/>
      </c>
      <c r="AS113" s="258" t="str">
        <f t="shared" si="62"/>
        <v/>
      </c>
      <c r="AT113" s="315" t="str">
        <f>IF($U113="","",SUM($AS113:$AS$114))</f>
        <v/>
      </c>
      <c r="AU113" s="285" t="str">
        <f>IF($U113="","",INDEX(#REF!,$U113+1))</f>
        <v/>
      </c>
      <c r="AV113" s="258">
        <f t="shared" si="63"/>
        <v>0</v>
      </c>
      <c r="AW113" s="258" t="str">
        <f t="shared" si="64"/>
        <v/>
      </c>
      <c r="AX113" s="258" t="str">
        <f t="shared" si="65"/>
        <v/>
      </c>
      <c r="AY113" s="315" t="str">
        <f>IF($U113="","",SUM($AX113:$AX$114))</f>
        <v/>
      </c>
      <c r="AZ113" s="285" t="str">
        <f>IF($U113="","",INDEX(#REF!,$U113+1))</f>
        <v/>
      </c>
      <c r="BA113" s="258">
        <f t="shared" si="66"/>
        <v>0</v>
      </c>
      <c r="BB113" s="258" t="str">
        <f t="shared" si="67"/>
        <v/>
      </c>
      <c r="BC113" s="258" t="str">
        <f t="shared" si="68"/>
        <v/>
      </c>
      <c r="BD113" s="315" t="str">
        <f>IF($U113="","",SUM($BC113:$BC$114))</f>
        <v/>
      </c>
      <c r="BE113" s="285" t="str">
        <f>IF($U113="","",INDEX(#REF!,$U113+1))</f>
        <v/>
      </c>
      <c r="BF113" s="258">
        <f t="shared" si="69"/>
        <v>0</v>
      </c>
      <c r="BG113" s="258" t="str">
        <f t="shared" si="70"/>
        <v/>
      </c>
      <c r="BH113" s="258" t="str">
        <f t="shared" si="71"/>
        <v/>
      </c>
      <c r="BI113" s="315" t="str">
        <f>IF($U113="","",SUM($BH113:$BH$114))</f>
        <v/>
      </c>
      <c r="BJ113" s="285" t="str">
        <f>IF($U113="","",INDEX(#REF!,$U113+1))</f>
        <v/>
      </c>
      <c r="BK113" s="258">
        <f t="shared" si="72"/>
        <v>0</v>
      </c>
      <c r="BL113" s="258" t="str">
        <f t="shared" si="73"/>
        <v/>
      </c>
      <c r="BM113" s="258" t="str">
        <f t="shared" si="74"/>
        <v/>
      </c>
      <c r="BN113" s="315" t="str">
        <f>IF($U113="","",SUM($BM113:$BM$114))</f>
        <v/>
      </c>
      <c r="BO113" s="285">
        <f t="shared" si="75"/>
        <v>0</v>
      </c>
      <c r="BP113" s="258" t="str">
        <f t="shared" si="76"/>
        <v/>
      </c>
      <c r="BQ113" s="258" t="str">
        <f t="shared" si="77"/>
        <v/>
      </c>
      <c r="BR113" s="258"/>
      <c r="BS113" s="258" t="str">
        <f t="shared" si="90"/>
        <v/>
      </c>
      <c r="BT113" s="258" t="str">
        <f t="shared" si="78"/>
        <v/>
      </c>
      <c r="BU113" s="258" t="str">
        <f t="shared" si="79"/>
        <v/>
      </c>
      <c r="BV113" s="258"/>
      <c r="BW113" s="258" t="str">
        <f t="shared" si="91"/>
        <v/>
      </c>
      <c r="BX113" s="258" t="str">
        <f>IF($U113="","",SUM(BS113:BS$114)+SUM(BW113:BW$114))</f>
        <v/>
      </c>
      <c r="BY113" s="103"/>
      <c r="BZ113" s="103"/>
      <c r="CA113" s="103"/>
      <c r="CB113" s="103"/>
      <c r="CC113" s="258" t="str">
        <f t="shared" si="92"/>
        <v/>
      </c>
      <c r="CD113" s="258" t="str">
        <f t="shared" si="80"/>
        <v/>
      </c>
      <c r="CE113" s="258" t="str">
        <f t="shared" si="81"/>
        <v/>
      </c>
      <c r="CF113" s="258" t="str">
        <f t="shared" si="93"/>
        <v/>
      </c>
      <c r="CG113" s="258" t="str">
        <f t="shared" si="82"/>
        <v/>
      </c>
      <c r="CH113" s="104" t="str">
        <f t="shared" si="94"/>
        <v/>
      </c>
      <c r="CI113" s="105" t="str">
        <f t="shared" si="83"/>
        <v/>
      </c>
      <c r="CJ113" s="240"/>
      <c r="CK113" s="101" t="str">
        <f t="shared" si="84"/>
        <v/>
      </c>
      <c r="CL113" s="105" t="str">
        <f t="shared" si="100"/>
        <v/>
      </c>
      <c r="CM113" s="105" t="str">
        <f t="shared" si="95"/>
        <v/>
      </c>
      <c r="CN113" s="105" t="str">
        <f t="shared" si="85"/>
        <v/>
      </c>
      <c r="CO113" s="105" t="str">
        <f t="shared" si="96"/>
        <v/>
      </c>
      <c r="CP113" s="240"/>
      <c r="CQ113" s="240"/>
      <c r="CR113" s="240"/>
      <c r="CS113" s="240"/>
      <c r="CT113" s="240"/>
      <c r="CU113" s="240"/>
      <c r="CV113" s="240"/>
    </row>
    <row r="114" spans="2:100" s="373" customFormat="1">
      <c r="B114" s="2"/>
      <c r="I114" s="158"/>
      <c r="J114" s="378"/>
      <c r="K114" s="378"/>
      <c r="L114" s="378"/>
      <c r="M114" s="378"/>
      <c r="N114" s="278" t="str">
        <f t="shared" si="104"/>
        <v/>
      </c>
      <c r="O114" s="279" t="str">
        <f t="shared" si="105"/>
        <v/>
      </c>
      <c r="P114" s="271" t="str">
        <f t="shared" si="101"/>
        <v/>
      </c>
      <c r="Q114" s="271" t="str">
        <f t="shared" si="102"/>
        <v/>
      </c>
      <c r="R114" s="271" t="str">
        <f t="shared" si="103"/>
        <v/>
      </c>
      <c r="S114" s="400" t="str">
        <f t="shared" si="86"/>
        <v/>
      </c>
      <c r="T114" s="231"/>
      <c r="U114" s="161" t="str">
        <f t="shared" si="97"/>
        <v/>
      </c>
      <c r="V114" s="289" t="str">
        <f>Main_무해지!AC114</f>
        <v/>
      </c>
      <c r="W114" s="312">
        <f>+Main_무해지!AD114</f>
        <v>0</v>
      </c>
      <c r="X114" s="312">
        <v>0</v>
      </c>
      <c r="Y114" s="252" t="str">
        <f t="shared" si="98"/>
        <v/>
      </c>
      <c r="Z114" s="252" t="str">
        <f t="shared" si="53"/>
        <v/>
      </c>
      <c r="AA114" s="162" t="str">
        <f>IF($U114="","",SUM(Z114:Z$114))</f>
        <v/>
      </c>
      <c r="AB114" s="252" t="str">
        <f t="shared" si="87"/>
        <v/>
      </c>
      <c r="AC114" s="254">
        <f t="shared" si="88"/>
        <v>0</v>
      </c>
      <c r="AD114" s="254" t="str">
        <f>Main_무해지!AJ114</f>
        <v/>
      </c>
      <c r="AE114" s="252">
        <f t="shared" si="54"/>
        <v>0</v>
      </c>
      <c r="AF114" s="252" t="str">
        <f t="shared" si="99"/>
        <v/>
      </c>
      <c r="AG114" s="252" t="str">
        <f t="shared" si="55"/>
        <v/>
      </c>
      <c r="AH114" s="162" t="str">
        <f>IF($U114="","",SUM(AG114:AG$114))</f>
        <v/>
      </c>
      <c r="AI114" s="252" t="str">
        <f>Main_무해지!AP114</f>
        <v/>
      </c>
      <c r="AJ114" s="252">
        <f t="shared" si="56"/>
        <v>0</v>
      </c>
      <c r="AK114" s="252" t="str">
        <f t="shared" si="57"/>
        <v/>
      </c>
      <c r="AL114" s="252" t="str">
        <f t="shared" si="58"/>
        <v/>
      </c>
      <c r="AM114" s="319" t="str">
        <f>IF($U114="","",SUM($AN114:$AN$114))</f>
        <v/>
      </c>
      <c r="AN114" s="252" t="str">
        <f t="shared" si="89"/>
        <v/>
      </c>
      <c r="AO114" s="319" t="str">
        <f t="shared" si="59"/>
        <v/>
      </c>
      <c r="AP114" s="289" t="str">
        <f>IF($U114="","",INDEX(#REF!,$U114+1))</f>
        <v/>
      </c>
      <c r="AQ114" s="252">
        <f t="shared" si="60"/>
        <v>0</v>
      </c>
      <c r="AR114" s="252" t="str">
        <f t="shared" si="61"/>
        <v/>
      </c>
      <c r="AS114" s="252" t="str">
        <f t="shared" si="62"/>
        <v/>
      </c>
      <c r="AT114" s="319" t="str">
        <f>IF($U114="","",SUM($AS114:$AS$114))</f>
        <v/>
      </c>
      <c r="AU114" s="289" t="str">
        <f>IF($U114="","",INDEX(#REF!,$U114+1))</f>
        <v/>
      </c>
      <c r="AV114" s="252">
        <f t="shared" si="63"/>
        <v>0</v>
      </c>
      <c r="AW114" s="252" t="str">
        <f t="shared" si="64"/>
        <v/>
      </c>
      <c r="AX114" s="252" t="str">
        <f t="shared" si="65"/>
        <v/>
      </c>
      <c r="AY114" s="319" t="str">
        <f>IF($U114="","",SUM($AX114:$AX$114))</f>
        <v/>
      </c>
      <c r="AZ114" s="289" t="str">
        <f>IF($U114="","",INDEX(#REF!,$U114+1))</f>
        <v/>
      </c>
      <c r="BA114" s="252">
        <f t="shared" si="66"/>
        <v>0</v>
      </c>
      <c r="BB114" s="252" t="str">
        <f t="shared" si="67"/>
        <v/>
      </c>
      <c r="BC114" s="252" t="str">
        <f t="shared" si="68"/>
        <v/>
      </c>
      <c r="BD114" s="319" t="str">
        <f>IF($U114="","",SUM($BC114:$BC$114))</f>
        <v/>
      </c>
      <c r="BE114" s="289" t="str">
        <f>IF($U114="","",INDEX(#REF!,$U114+1))</f>
        <v/>
      </c>
      <c r="BF114" s="252">
        <f t="shared" si="69"/>
        <v>0</v>
      </c>
      <c r="BG114" s="252" t="str">
        <f t="shared" si="70"/>
        <v/>
      </c>
      <c r="BH114" s="252" t="str">
        <f t="shared" si="71"/>
        <v/>
      </c>
      <c r="BI114" s="319" t="str">
        <f>IF($U114="","",SUM($BH114:$BH$114))</f>
        <v/>
      </c>
      <c r="BJ114" s="289" t="str">
        <f>IF($U114="","",INDEX(#REF!,$U114+1))</f>
        <v/>
      </c>
      <c r="BK114" s="252">
        <f t="shared" si="72"/>
        <v>0</v>
      </c>
      <c r="BL114" s="252" t="str">
        <f t="shared" si="73"/>
        <v/>
      </c>
      <c r="BM114" s="252" t="str">
        <f t="shared" si="74"/>
        <v/>
      </c>
      <c r="BN114" s="319" t="str">
        <f>IF($U114="","",SUM($BM114:$BM$114))</f>
        <v/>
      </c>
      <c r="BO114" s="289">
        <f t="shared" si="75"/>
        <v>0</v>
      </c>
      <c r="BP114" s="252" t="str">
        <f t="shared" si="76"/>
        <v/>
      </c>
      <c r="BQ114" s="252" t="str">
        <f t="shared" si="77"/>
        <v/>
      </c>
      <c r="BR114" s="252"/>
      <c r="BS114" s="252" t="str">
        <f t="shared" si="90"/>
        <v/>
      </c>
      <c r="BT114" s="252" t="str">
        <f t="shared" si="78"/>
        <v/>
      </c>
      <c r="BU114" s="252" t="str">
        <f t="shared" si="79"/>
        <v/>
      </c>
      <c r="BV114" s="252"/>
      <c r="BW114" s="252" t="str">
        <f t="shared" si="91"/>
        <v/>
      </c>
      <c r="BX114" s="252" t="str">
        <f>IF($U114="","",SUM(BS114:BS$114)+SUM(BW114:BW$114))</f>
        <v/>
      </c>
      <c r="BY114" s="163"/>
      <c r="BZ114" s="163"/>
      <c r="CA114" s="163"/>
      <c r="CB114" s="163"/>
      <c r="CC114" s="252" t="str">
        <f t="shared" si="92"/>
        <v/>
      </c>
      <c r="CD114" s="252" t="str">
        <f t="shared" si="80"/>
        <v/>
      </c>
      <c r="CE114" s="252" t="str">
        <f t="shared" si="81"/>
        <v/>
      </c>
      <c r="CF114" s="252" t="str">
        <f t="shared" si="93"/>
        <v/>
      </c>
      <c r="CG114" s="252" t="str">
        <f t="shared" si="82"/>
        <v/>
      </c>
      <c r="CH114" s="164" t="str">
        <f t="shared" si="94"/>
        <v/>
      </c>
      <c r="CI114" s="165" t="str">
        <f t="shared" si="83"/>
        <v/>
      </c>
      <c r="CJ114" s="244"/>
      <c r="CK114" s="161" t="str">
        <f t="shared" si="84"/>
        <v/>
      </c>
      <c r="CL114" s="165" t="str">
        <f t="shared" si="100"/>
        <v/>
      </c>
      <c r="CM114" s="165" t="str">
        <f t="shared" si="95"/>
        <v/>
      </c>
      <c r="CN114" s="165" t="str">
        <f t="shared" si="85"/>
        <v/>
      </c>
      <c r="CO114" s="165" t="str">
        <f t="shared" si="96"/>
        <v/>
      </c>
      <c r="CP114" s="244"/>
      <c r="CQ114" s="244"/>
      <c r="CR114" s="244"/>
      <c r="CS114" s="244"/>
      <c r="CT114" s="244"/>
      <c r="CU114" s="244"/>
      <c r="CV114" s="244"/>
    </row>
    <row r="115" spans="2:100" s="373" customFormat="1">
      <c r="B115" s="2"/>
      <c r="I115" s="158"/>
      <c r="J115" s="378"/>
      <c r="K115" s="378"/>
      <c r="L115" s="378"/>
      <c r="M115" s="378"/>
      <c r="N115" s="217"/>
      <c r="O115" s="217"/>
      <c r="P115" s="218"/>
      <c r="Q115" s="218"/>
      <c r="R115" s="218"/>
      <c r="S115" s="219"/>
      <c r="T115" s="219"/>
      <c r="U115" s="166"/>
      <c r="V115" s="168"/>
      <c r="W115" s="168"/>
      <c r="X115" s="168"/>
      <c r="Y115" s="168"/>
      <c r="Z115" s="168"/>
      <c r="AA115" s="263"/>
      <c r="AB115" s="263"/>
      <c r="AC115" s="263"/>
      <c r="AD115" s="263"/>
      <c r="AE115" s="267"/>
      <c r="AF115" s="263"/>
      <c r="AG115" s="168"/>
      <c r="AH115" s="263"/>
      <c r="AI115" s="263"/>
      <c r="AJ115" s="263"/>
      <c r="AK115" s="263"/>
      <c r="AL115" s="263"/>
      <c r="AM115" s="263"/>
      <c r="AN115" s="263"/>
      <c r="AO115" s="263"/>
      <c r="AP115" s="263"/>
      <c r="AQ115" s="263"/>
      <c r="AR115" s="263"/>
      <c r="AS115" s="263"/>
      <c r="AT115" s="263"/>
      <c r="AU115" s="263"/>
      <c r="AV115" s="263"/>
      <c r="AW115" s="263"/>
      <c r="AX115" s="263"/>
      <c r="AY115" s="263"/>
      <c r="AZ115" s="263"/>
      <c r="BA115" s="263"/>
      <c r="BB115" s="263"/>
      <c r="BC115" s="263"/>
      <c r="BD115" s="263"/>
      <c r="BE115" s="263"/>
      <c r="BF115" s="263"/>
      <c r="BG115" s="263"/>
      <c r="BH115" s="263"/>
      <c r="BI115" s="263"/>
      <c r="BJ115" s="263"/>
      <c r="BK115" s="263"/>
      <c r="BL115" s="263"/>
      <c r="BM115" s="263"/>
      <c r="BN115" s="263"/>
      <c r="BO115" s="263"/>
      <c r="BP115" s="263"/>
      <c r="BQ115" s="263"/>
      <c r="BR115" s="263"/>
      <c r="BS115" s="263"/>
      <c r="BT115" s="263"/>
      <c r="BU115" s="263"/>
      <c r="BV115" s="263"/>
      <c r="BW115" s="263"/>
      <c r="BX115" s="263"/>
      <c r="BY115" s="263"/>
      <c r="BZ115" s="263"/>
      <c r="CA115" s="263"/>
      <c r="CB115" s="263"/>
      <c r="CC115" s="263"/>
      <c r="CD115" s="263"/>
      <c r="CE115" s="263"/>
      <c r="CF115" s="263"/>
      <c r="CG115" s="263"/>
      <c r="CH115" s="263"/>
      <c r="CI115" s="251"/>
      <c r="CJ115" s="169"/>
      <c r="CK115" s="169"/>
      <c r="CL115" s="169"/>
      <c r="CM115" s="169"/>
      <c r="CN115" s="169"/>
      <c r="CO115" s="169"/>
      <c r="CP115" s="169"/>
      <c r="CQ115" s="169"/>
      <c r="CR115" s="169"/>
      <c r="CS115" s="169"/>
      <c r="CT115" s="169"/>
      <c r="CU115" s="169"/>
      <c r="CV115" s="169"/>
    </row>
    <row r="116" spans="2:100" s="373" customFormat="1">
      <c r="B116" s="2"/>
      <c r="I116" s="158"/>
      <c r="J116" s="378"/>
      <c r="K116" s="378"/>
      <c r="L116" s="378"/>
      <c r="M116" s="379"/>
      <c r="N116" s="215" t="str">
        <f t="shared" si="104"/>
        <v/>
      </c>
      <c r="O116" s="159">
        <f>MAX($O$4:$O$114)</f>
        <v>1</v>
      </c>
      <c r="P116" s="216" t="str">
        <f>IF(N116="","",IF($F$5=0,$K$3,$K$3*$K$38*MIN($N116,F$5)))</f>
        <v/>
      </c>
      <c r="Q116" s="216" t="str">
        <f>IF(N116="","",CH114*$E$12/100)</f>
        <v/>
      </c>
      <c r="R116" s="214" t="str">
        <f>IF(N116="","",MAX(Q116-IF(N116&gt;=MIN(7,$F$5),0,((MIN(7,$F$5)-N116)/MIN(7,$F$5))*MIN($K$10,$K$11)*$E$12/100),0))</f>
        <v/>
      </c>
      <c r="S116" s="223"/>
      <c r="T116" s="228"/>
      <c r="U116" s="223" t="s">
        <v>61</v>
      </c>
      <c r="V116" s="372">
        <f>INDEX(V4:V114,$F$5+1)</f>
        <v>0</v>
      </c>
      <c r="W116" s="372"/>
      <c r="X116" s="372">
        <f t="shared" ref="X116:BX116" si="106">INDEX(X4:X114,$F$5+1)</f>
        <v>0</v>
      </c>
      <c r="Y116" s="372">
        <f t="shared" si="106"/>
        <v>100000</v>
      </c>
      <c r="Z116" s="372">
        <f t="shared" si="106"/>
        <v>97799.511002444997</v>
      </c>
      <c r="AA116" s="372">
        <f t="shared" si="106"/>
        <v>97799.511002444997</v>
      </c>
      <c r="AB116" s="372">
        <f t="shared" si="106"/>
        <v>0</v>
      </c>
      <c r="AC116" s="372"/>
      <c r="AD116" s="372">
        <f t="shared" si="106"/>
        <v>2.9999999999999997E-5</v>
      </c>
      <c r="AE116" s="372">
        <f t="shared" si="106"/>
        <v>0</v>
      </c>
      <c r="AF116" s="372">
        <f t="shared" si="106"/>
        <v>100000</v>
      </c>
      <c r="AG116" s="372">
        <f t="shared" si="106"/>
        <v>97799.511002444997</v>
      </c>
      <c r="AH116" s="372">
        <f t="shared" si="106"/>
        <v>97799.511002444997</v>
      </c>
      <c r="AI116" s="372">
        <f t="shared" si="106"/>
        <v>1.5E-5</v>
      </c>
      <c r="AJ116" s="372">
        <f t="shared" si="106"/>
        <v>0</v>
      </c>
      <c r="AK116" s="372">
        <f t="shared" si="106"/>
        <v>1.5</v>
      </c>
      <c r="AL116" s="372">
        <f t="shared" si="106"/>
        <v>1.4507623758459134</v>
      </c>
      <c r="AM116" s="372">
        <f t="shared" si="106"/>
        <v>1.4507623758459134</v>
      </c>
      <c r="AN116" s="372">
        <f t="shared" si="106"/>
        <v>1.4507623758459134</v>
      </c>
      <c r="AO116" s="372">
        <f t="shared" si="106"/>
        <v>1</v>
      </c>
      <c r="AP116" s="372" t="e">
        <f t="shared" si="106"/>
        <v>#REF!</v>
      </c>
      <c r="AQ116" s="372">
        <f t="shared" si="106"/>
        <v>0</v>
      </c>
      <c r="AR116" s="372" t="e">
        <f t="shared" si="106"/>
        <v>#REF!</v>
      </c>
      <c r="AS116" s="372" t="e">
        <f t="shared" si="106"/>
        <v>#REF!</v>
      </c>
      <c r="AT116" s="372" t="e">
        <f t="shared" si="106"/>
        <v>#REF!</v>
      </c>
      <c r="AU116" s="372" t="e">
        <f t="shared" si="106"/>
        <v>#REF!</v>
      </c>
      <c r="AV116" s="372">
        <f t="shared" si="106"/>
        <v>0</v>
      </c>
      <c r="AW116" s="372" t="e">
        <f t="shared" si="106"/>
        <v>#REF!</v>
      </c>
      <c r="AX116" s="372" t="e">
        <f t="shared" si="106"/>
        <v>#REF!</v>
      </c>
      <c r="AY116" s="372" t="e">
        <f t="shared" si="106"/>
        <v>#REF!</v>
      </c>
      <c r="AZ116" s="372" t="e">
        <f t="shared" si="106"/>
        <v>#REF!</v>
      </c>
      <c r="BA116" s="372">
        <f t="shared" si="106"/>
        <v>0</v>
      </c>
      <c r="BB116" s="372" t="e">
        <f t="shared" si="106"/>
        <v>#REF!</v>
      </c>
      <c r="BC116" s="372" t="e">
        <f t="shared" si="106"/>
        <v>#REF!</v>
      </c>
      <c r="BD116" s="372" t="e">
        <f t="shared" si="106"/>
        <v>#REF!</v>
      </c>
      <c r="BE116" s="372" t="e">
        <f t="shared" si="106"/>
        <v>#REF!</v>
      </c>
      <c r="BF116" s="372">
        <f t="shared" si="106"/>
        <v>0</v>
      </c>
      <c r="BG116" s="372" t="e">
        <f t="shared" si="106"/>
        <v>#REF!</v>
      </c>
      <c r="BH116" s="372" t="e">
        <f t="shared" si="106"/>
        <v>#REF!</v>
      </c>
      <c r="BI116" s="372" t="e">
        <f t="shared" si="106"/>
        <v>#REF!</v>
      </c>
      <c r="BJ116" s="372" t="e">
        <f t="shared" si="106"/>
        <v>#REF!</v>
      </c>
      <c r="BK116" s="372">
        <f t="shared" si="106"/>
        <v>0</v>
      </c>
      <c r="BL116" s="372" t="e">
        <f t="shared" si="106"/>
        <v>#REF!</v>
      </c>
      <c r="BM116" s="372" t="e">
        <f t="shared" si="106"/>
        <v>#REF!</v>
      </c>
      <c r="BN116" s="372" t="e">
        <f t="shared" si="106"/>
        <v>#REF!</v>
      </c>
      <c r="BO116" s="372">
        <f t="shared" si="106"/>
        <v>0</v>
      </c>
      <c r="BP116" s="372">
        <f t="shared" si="106"/>
        <v>0</v>
      </c>
      <c r="BQ116" s="372">
        <f t="shared" si="106"/>
        <v>0</v>
      </c>
      <c r="BR116" s="372">
        <f t="shared" si="106"/>
        <v>0</v>
      </c>
      <c r="BS116" s="372">
        <f t="shared" si="106"/>
        <v>0</v>
      </c>
      <c r="BT116" s="372">
        <f t="shared" si="106"/>
        <v>0</v>
      </c>
      <c r="BU116" s="372">
        <f t="shared" si="106"/>
        <v>0</v>
      </c>
      <c r="BV116" s="372">
        <f t="shared" si="106"/>
        <v>0</v>
      </c>
      <c r="BW116" s="372">
        <f t="shared" si="106"/>
        <v>0</v>
      </c>
      <c r="BX116" s="372">
        <f t="shared" si="106"/>
        <v>0</v>
      </c>
      <c r="BY116" s="372"/>
      <c r="BZ116" s="372"/>
      <c r="CA116" s="372"/>
      <c r="CB116" s="372"/>
      <c r="CC116" s="372"/>
      <c r="CD116" s="372"/>
      <c r="CE116" s="372"/>
      <c r="CF116" s="372"/>
      <c r="CG116" s="372"/>
      <c r="CH116" s="372"/>
      <c r="CI116" s="264"/>
      <c r="CJ116" s="170"/>
      <c r="CK116" s="170"/>
      <c r="CL116" s="170"/>
      <c r="CM116" s="170"/>
      <c r="CN116" s="170"/>
      <c r="CO116" s="170"/>
      <c r="CP116" s="170"/>
      <c r="CQ116" s="170"/>
      <c r="CR116" s="170"/>
      <c r="CS116" s="170"/>
      <c r="CT116" s="170"/>
      <c r="CU116" s="170"/>
      <c r="CV116" s="170"/>
    </row>
    <row r="117" spans="2:100" s="373" customFormat="1">
      <c r="B117" s="2"/>
      <c r="I117" s="158"/>
      <c r="J117" s="379"/>
      <c r="K117" s="379"/>
      <c r="L117" s="379"/>
      <c r="M117" s="379"/>
      <c r="N117" s="215" t="str">
        <f t="shared" si="104"/>
        <v/>
      </c>
      <c r="O117" s="159">
        <f>MAX($O$4:$O$114)</f>
        <v>1</v>
      </c>
      <c r="P117" s="216"/>
      <c r="Q117" s="216"/>
      <c r="R117" s="214"/>
      <c r="S117" s="223"/>
      <c r="T117" s="603"/>
      <c r="U117" s="223" t="s">
        <v>62</v>
      </c>
      <c r="V117" s="372">
        <f>INDEX(V4:V114,$F$4+1)</f>
        <v>0</v>
      </c>
      <c r="W117" s="372"/>
      <c r="X117" s="372">
        <f t="shared" ref="X117:BX117" si="107">INDEX(X4:X114,$F$4+1)</f>
        <v>0</v>
      </c>
      <c r="Y117" s="372">
        <f t="shared" si="107"/>
        <v>100000</v>
      </c>
      <c r="Z117" s="372">
        <f t="shared" si="107"/>
        <v>97799.511002444997</v>
      </c>
      <c r="AA117" s="406">
        <f>IF($O117&gt;100,0,INDEX(AA4:AA114,$F$4+1))</f>
        <v>97799.511002444997</v>
      </c>
      <c r="AB117" s="372">
        <f t="shared" si="107"/>
        <v>0</v>
      </c>
      <c r="AC117" s="372"/>
      <c r="AD117" s="372">
        <f t="shared" si="107"/>
        <v>2.9999999999999997E-5</v>
      </c>
      <c r="AE117" s="372">
        <f t="shared" si="107"/>
        <v>0</v>
      </c>
      <c r="AF117" s="372">
        <f t="shared" si="107"/>
        <v>100000</v>
      </c>
      <c r="AG117" s="372">
        <f t="shared" si="107"/>
        <v>97799.511002444997</v>
      </c>
      <c r="AH117" s="372">
        <f t="shared" si="107"/>
        <v>97799.511002444997</v>
      </c>
      <c r="AI117" s="372">
        <f t="shared" si="107"/>
        <v>1.5E-5</v>
      </c>
      <c r="AJ117" s="372">
        <f t="shared" si="107"/>
        <v>0</v>
      </c>
      <c r="AK117" s="372">
        <f t="shared" si="107"/>
        <v>1.5</v>
      </c>
      <c r="AL117" s="372">
        <f t="shared" si="107"/>
        <v>1.4507623758459134</v>
      </c>
      <c r="AM117" s="372">
        <f t="shared" si="107"/>
        <v>1.4507623758459134</v>
      </c>
      <c r="AN117" s="372">
        <f t="shared" si="107"/>
        <v>1.4507623758459134</v>
      </c>
      <c r="AO117" s="372">
        <f t="shared" si="107"/>
        <v>1</v>
      </c>
      <c r="AP117" s="372" t="e">
        <f t="shared" si="107"/>
        <v>#REF!</v>
      </c>
      <c r="AQ117" s="372">
        <f t="shared" si="107"/>
        <v>0</v>
      </c>
      <c r="AR117" s="372" t="e">
        <f t="shared" si="107"/>
        <v>#REF!</v>
      </c>
      <c r="AS117" s="372" t="e">
        <f t="shared" si="107"/>
        <v>#REF!</v>
      </c>
      <c r="AT117" s="372" t="e">
        <f t="shared" si="107"/>
        <v>#REF!</v>
      </c>
      <c r="AU117" s="372" t="e">
        <f t="shared" si="107"/>
        <v>#REF!</v>
      </c>
      <c r="AV117" s="372">
        <f t="shared" si="107"/>
        <v>0</v>
      </c>
      <c r="AW117" s="372" t="e">
        <f t="shared" si="107"/>
        <v>#REF!</v>
      </c>
      <c r="AX117" s="372" t="e">
        <f t="shared" si="107"/>
        <v>#REF!</v>
      </c>
      <c r="AY117" s="372" t="e">
        <f t="shared" si="107"/>
        <v>#REF!</v>
      </c>
      <c r="AZ117" s="372" t="e">
        <f t="shared" si="107"/>
        <v>#REF!</v>
      </c>
      <c r="BA117" s="372">
        <f t="shared" si="107"/>
        <v>0</v>
      </c>
      <c r="BB117" s="372" t="e">
        <f t="shared" si="107"/>
        <v>#REF!</v>
      </c>
      <c r="BC117" s="372" t="e">
        <f t="shared" si="107"/>
        <v>#REF!</v>
      </c>
      <c r="BD117" s="372" t="e">
        <f t="shared" si="107"/>
        <v>#REF!</v>
      </c>
      <c r="BE117" s="372" t="e">
        <f t="shared" si="107"/>
        <v>#REF!</v>
      </c>
      <c r="BF117" s="372">
        <f t="shared" si="107"/>
        <v>0</v>
      </c>
      <c r="BG117" s="372" t="e">
        <f t="shared" si="107"/>
        <v>#REF!</v>
      </c>
      <c r="BH117" s="372" t="e">
        <f t="shared" si="107"/>
        <v>#REF!</v>
      </c>
      <c r="BI117" s="372" t="e">
        <f t="shared" si="107"/>
        <v>#REF!</v>
      </c>
      <c r="BJ117" s="372" t="e">
        <f t="shared" si="107"/>
        <v>#REF!</v>
      </c>
      <c r="BK117" s="372">
        <f t="shared" si="107"/>
        <v>0</v>
      </c>
      <c r="BL117" s="372" t="e">
        <f t="shared" si="107"/>
        <v>#REF!</v>
      </c>
      <c r="BM117" s="372" t="e">
        <f t="shared" si="107"/>
        <v>#REF!</v>
      </c>
      <c r="BN117" s="372" t="e">
        <f t="shared" si="107"/>
        <v>#REF!</v>
      </c>
      <c r="BO117" s="372">
        <f t="shared" si="107"/>
        <v>0</v>
      </c>
      <c r="BP117" s="372">
        <f t="shared" si="107"/>
        <v>0</v>
      </c>
      <c r="BQ117" s="372">
        <f t="shared" si="107"/>
        <v>0</v>
      </c>
      <c r="BR117" s="372">
        <f t="shared" si="107"/>
        <v>0</v>
      </c>
      <c r="BS117" s="372">
        <f t="shared" si="107"/>
        <v>0</v>
      </c>
      <c r="BT117" s="372">
        <f t="shared" si="107"/>
        <v>0</v>
      </c>
      <c r="BU117" s="372">
        <f t="shared" si="107"/>
        <v>0</v>
      </c>
      <c r="BV117" s="372">
        <f t="shared" si="107"/>
        <v>0</v>
      </c>
      <c r="BW117" s="372">
        <f t="shared" si="107"/>
        <v>0</v>
      </c>
      <c r="BX117" s="372">
        <f t="shared" si="107"/>
        <v>0</v>
      </c>
      <c r="BY117" s="372"/>
      <c r="BZ117" s="372"/>
      <c r="CA117" s="372"/>
      <c r="CB117" s="372"/>
      <c r="CC117" s="372"/>
      <c r="CD117" s="372"/>
      <c r="CE117" s="372"/>
      <c r="CF117" s="372"/>
      <c r="CG117" s="372"/>
      <c r="CH117" s="372"/>
      <c r="CI117" s="264"/>
      <c r="CJ117" s="170"/>
      <c r="CK117" s="170"/>
      <c r="CL117" s="170"/>
      <c r="CM117" s="170"/>
      <c r="CN117" s="170"/>
      <c r="CO117" s="170"/>
      <c r="CP117" s="170"/>
      <c r="CQ117" s="170"/>
      <c r="CR117" s="170"/>
      <c r="CS117" s="170"/>
      <c r="CT117" s="170"/>
      <c r="CU117" s="170"/>
      <c r="CV117" s="170"/>
    </row>
    <row r="118" spans="2:100" s="373" customFormat="1">
      <c r="B118" s="2"/>
      <c r="I118" s="158"/>
      <c r="J118" s="379"/>
      <c r="K118" s="379"/>
      <c r="L118" s="379"/>
      <c r="M118" s="379"/>
      <c r="N118" s="215" t="str">
        <f t="shared" si="104"/>
        <v/>
      </c>
      <c r="O118" s="270"/>
      <c r="P118" s="216" t="str">
        <f>IF(N118="","",IF($F$5=0,$K$3,$K$3*$K$38*MIN($N118,F$5)))</f>
        <v/>
      </c>
      <c r="Q118" s="216" t="str">
        <f>IF(N118="","",#REF!*$E$12/100)</f>
        <v/>
      </c>
      <c r="R118" s="214" t="str">
        <f>IF(N118="","",MAX(Q118-IF(N118&gt;=MIN(7,$F$5),0,((MIN(7,$F$5)-N118)/MIN(7,$F$5))*MIN($K$10,$K$11)*$E$12/100),0))</f>
        <v/>
      </c>
      <c r="S118" s="221"/>
      <c r="T118" s="230"/>
      <c r="U118" s="6"/>
      <c r="V118" s="372"/>
      <c r="W118" s="372"/>
      <c r="X118" s="372"/>
      <c r="Y118" s="372"/>
      <c r="Z118" s="372"/>
      <c r="AA118" s="7"/>
      <c r="AB118" s="7"/>
      <c r="AC118" s="7"/>
      <c r="AD118" s="7"/>
      <c r="AE118" s="7"/>
      <c r="AF118" s="7"/>
      <c r="AG118" s="171"/>
      <c r="AH118" s="172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7"/>
      <c r="BV118" s="7"/>
      <c r="BW118" s="7"/>
      <c r="BX118" s="7"/>
      <c r="BY118" s="7"/>
      <c r="BZ118" s="7"/>
      <c r="CA118" s="7"/>
      <c r="CB118" s="7"/>
      <c r="CC118" s="7"/>
      <c r="CD118" s="7"/>
      <c r="CE118" s="7"/>
      <c r="CF118" s="7"/>
      <c r="CG118" s="7"/>
      <c r="CH118" s="7"/>
      <c r="CI118" s="265"/>
      <c r="CJ118" s="12"/>
      <c r="CK118" s="12"/>
      <c r="CL118" s="12"/>
      <c r="CM118" s="12"/>
      <c r="CN118" s="12"/>
      <c r="CO118" s="12"/>
      <c r="CP118" s="12"/>
      <c r="CQ118" s="12"/>
      <c r="CR118" s="12"/>
      <c r="CS118" s="12"/>
      <c r="CT118" s="12"/>
      <c r="CU118" s="12"/>
      <c r="CV118" s="12"/>
    </row>
    <row r="119" spans="2:100" s="373" customFormat="1">
      <c r="B119" s="2"/>
      <c r="I119" s="158"/>
      <c r="J119" s="379"/>
      <c r="K119" s="379"/>
      <c r="L119" s="379"/>
      <c r="M119" s="379"/>
      <c r="N119" s="215"/>
      <c r="O119" s="270"/>
      <c r="P119" s="216"/>
      <c r="Q119" s="216"/>
      <c r="R119" s="214"/>
      <c r="S119" s="221"/>
      <c r="T119" s="230"/>
      <c r="U119" s="6"/>
      <c r="V119" s="372"/>
      <c r="W119" s="372"/>
      <c r="X119" s="372"/>
      <c r="Y119" s="372"/>
      <c r="Z119" s="372"/>
      <c r="AA119" s="7"/>
      <c r="AB119" s="7"/>
      <c r="AC119" s="7"/>
      <c r="AD119" s="7"/>
      <c r="AE119" s="7"/>
      <c r="AF119" s="7"/>
      <c r="AG119" s="372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7"/>
      <c r="CD119" s="7"/>
      <c r="CE119" s="7"/>
      <c r="CF119" s="7"/>
      <c r="CG119" s="7"/>
      <c r="CH119" s="7"/>
      <c r="CI119" s="265"/>
      <c r="CJ119" s="12"/>
      <c r="CK119" s="12"/>
      <c r="CL119" s="12"/>
      <c r="CM119" s="12"/>
      <c r="CN119" s="12"/>
      <c r="CO119" s="12"/>
      <c r="CP119" s="12"/>
      <c r="CQ119" s="12"/>
      <c r="CR119" s="12"/>
      <c r="CS119" s="12"/>
      <c r="CT119" s="12"/>
      <c r="CU119" s="12"/>
      <c r="CV119" s="12"/>
    </row>
    <row r="120" spans="2:100" s="373" customFormat="1">
      <c r="B120" s="2"/>
      <c r="I120" s="158"/>
      <c r="J120" s="379"/>
      <c r="K120" s="379"/>
      <c r="L120" s="379"/>
      <c r="M120" s="379"/>
      <c r="N120" s="215"/>
      <c r="O120" s="270"/>
      <c r="P120" s="216"/>
      <c r="Q120" s="216"/>
      <c r="R120" s="214"/>
      <c r="S120" s="221"/>
      <c r="T120" s="230"/>
      <c r="U120" s="6"/>
      <c r="V120" s="372"/>
      <c r="W120" s="372"/>
      <c r="X120" s="372"/>
      <c r="Y120" s="372"/>
      <c r="Z120" s="372"/>
      <c r="AA120" s="7"/>
      <c r="AB120" s="7"/>
      <c r="AC120" s="7"/>
      <c r="AD120" s="7"/>
      <c r="AE120" s="7"/>
      <c r="AF120" s="7"/>
      <c r="AG120" s="372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7"/>
      <c r="CD120" s="7"/>
      <c r="CE120" s="7"/>
      <c r="CF120" s="7"/>
      <c r="CG120" s="7"/>
      <c r="CH120" s="7"/>
      <c r="CI120" s="265"/>
      <c r="CJ120" s="12"/>
      <c r="CK120" s="12"/>
      <c r="CL120" s="12"/>
      <c r="CM120" s="12"/>
      <c r="CN120" s="12"/>
      <c r="CO120" s="12"/>
      <c r="CP120" s="12"/>
      <c r="CQ120" s="12"/>
      <c r="CR120" s="12"/>
      <c r="CS120" s="12"/>
      <c r="CT120" s="12"/>
      <c r="CU120" s="12"/>
      <c r="CV120" s="12"/>
    </row>
    <row r="121" spans="2:100" s="373" customFormat="1">
      <c r="B121" s="2"/>
      <c r="I121" s="158"/>
      <c r="J121" s="379"/>
      <c r="K121" s="379"/>
      <c r="L121" s="379"/>
      <c r="M121" s="379"/>
      <c r="N121" s="158"/>
      <c r="O121" s="157"/>
      <c r="P121" s="220"/>
      <c r="Q121" s="221"/>
      <c r="R121" s="221"/>
      <c r="S121" s="221"/>
      <c r="T121" s="221"/>
      <c r="U121" s="6"/>
      <c r="V121" s="372"/>
      <c r="W121" s="372"/>
      <c r="X121" s="372"/>
      <c r="Y121" s="372"/>
      <c r="Z121" s="372"/>
      <c r="AA121" s="7"/>
      <c r="AB121" s="7"/>
      <c r="AC121" s="7"/>
      <c r="AD121" s="7"/>
      <c r="AE121" s="7"/>
      <c r="AF121" s="7"/>
      <c r="AG121" s="372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7"/>
      <c r="BW121" s="7"/>
      <c r="BX121" s="7"/>
      <c r="BY121" s="7"/>
      <c r="BZ121" s="7"/>
      <c r="CA121" s="7"/>
      <c r="CB121" s="7"/>
      <c r="CC121" s="7"/>
      <c r="CD121" s="7"/>
      <c r="CE121" s="7"/>
      <c r="CF121" s="7"/>
      <c r="CG121" s="7"/>
      <c r="CH121" s="7"/>
      <c r="CI121" s="265"/>
      <c r="CJ121" s="12"/>
      <c r="CK121" s="12"/>
      <c r="CL121" s="12"/>
      <c r="CM121" s="12"/>
      <c r="CN121" s="12"/>
      <c r="CO121" s="12"/>
      <c r="CP121" s="12"/>
      <c r="CQ121" s="12"/>
      <c r="CR121" s="12"/>
      <c r="CS121" s="12"/>
      <c r="CT121" s="12"/>
      <c r="CU121" s="12"/>
      <c r="CV121" s="12"/>
    </row>
    <row r="122" spans="2:100" s="373" customFormat="1">
      <c r="B122" s="2"/>
      <c r="I122" s="158"/>
      <c r="J122" s="379"/>
      <c r="K122" s="379"/>
      <c r="L122" s="379"/>
      <c r="M122" s="380"/>
      <c r="N122" s="376"/>
      <c r="O122" s="157"/>
      <c r="P122" s="220"/>
      <c r="Q122" s="221"/>
      <c r="R122" s="221"/>
      <c r="S122" s="221"/>
      <c r="T122" s="221"/>
      <c r="U122" s="6"/>
      <c r="V122" s="372"/>
      <c r="W122" s="372"/>
      <c r="X122" s="372"/>
      <c r="Y122" s="372"/>
      <c r="Z122" s="372"/>
      <c r="AA122" s="7"/>
      <c r="AB122" s="7"/>
      <c r="AC122" s="7"/>
      <c r="AD122" s="7"/>
      <c r="AE122" s="7"/>
      <c r="AF122" s="7"/>
      <c r="AG122" s="372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7"/>
      <c r="CD122" s="7"/>
      <c r="CE122" s="7"/>
      <c r="CF122" s="7"/>
      <c r="CG122" s="7"/>
      <c r="CH122" s="7"/>
      <c r="CI122" s="265"/>
      <c r="CJ122" s="12"/>
      <c r="CK122" s="12"/>
      <c r="CL122" s="12"/>
      <c r="CM122" s="12"/>
      <c r="CN122" s="12"/>
      <c r="CO122" s="12"/>
      <c r="CP122" s="12"/>
      <c r="CQ122" s="12"/>
      <c r="CR122" s="12"/>
      <c r="CS122" s="12"/>
      <c r="CT122" s="12"/>
      <c r="CU122" s="12"/>
      <c r="CV122" s="12"/>
    </row>
    <row r="123" spans="2:100" s="373" customFormat="1">
      <c r="B123" s="2"/>
      <c r="I123" s="158"/>
      <c r="J123" s="379"/>
      <c r="K123" s="380"/>
      <c r="L123" s="380"/>
      <c r="M123" s="379"/>
      <c r="N123" s="376"/>
      <c r="O123" s="157"/>
      <c r="P123" s="220"/>
      <c r="Q123" s="221"/>
      <c r="R123" s="221"/>
      <c r="S123" s="221"/>
      <c r="T123" s="221"/>
      <c r="U123" s="6"/>
      <c r="V123" s="372"/>
      <c r="W123" s="372"/>
      <c r="X123" s="372"/>
      <c r="Y123" s="372"/>
      <c r="Z123" s="372"/>
      <c r="AA123" s="7"/>
      <c r="AB123" s="7"/>
      <c r="AC123" s="7"/>
      <c r="AD123" s="7"/>
      <c r="AE123" s="7"/>
      <c r="AF123" s="7"/>
      <c r="AG123" s="372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7"/>
      <c r="CD123" s="7"/>
      <c r="CE123" s="7"/>
      <c r="CF123" s="7"/>
      <c r="CG123" s="7"/>
      <c r="CH123" s="7"/>
      <c r="CI123" s="265"/>
      <c r="CJ123" s="12"/>
      <c r="CK123" s="12"/>
      <c r="CL123" s="12"/>
      <c r="CM123" s="12"/>
      <c r="CN123" s="12"/>
      <c r="CO123" s="12"/>
      <c r="CP123" s="12"/>
      <c r="CQ123" s="12"/>
      <c r="CR123" s="12"/>
      <c r="CS123" s="12"/>
      <c r="CT123" s="12"/>
      <c r="CU123" s="12"/>
      <c r="CV123" s="12"/>
    </row>
    <row r="124" spans="2:100" s="373" customFormat="1">
      <c r="I124" s="158"/>
      <c r="J124" s="379"/>
      <c r="K124" s="379"/>
      <c r="L124" s="379"/>
      <c r="M124" s="379"/>
      <c r="N124" s="376"/>
      <c r="O124" s="157"/>
      <c r="P124" s="220"/>
      <c r="Q124" s="221"/>
      <c r="R124" s="221"/>
      <c r="S124" s="221"/>
      <c r="T124" s="221"/>
      <c r="U124" s="6"/>
      <c r="V124" s="372"/>
      <c r="W124" s="372"/>
      <c r="X124" s="372"/>
      <c r="Y124" s="372"/>
      <c r="Z124" s="372"/>
      <c r="AA124" s="7"/>
      <c r="AB124" s="7"/>
      <c r="AC124" s="7"/>
      <c r="AD124" s="7"/>
      <c r="AE124" s="7"/>
      <c r="AF124" s="7"/>
      <c r="AG124" s="372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7"/>
      <c r="BW124" s="7"/>
      <c r="BX124" s="7"/>
      <c r="BY124" s="7"/>
      <c r="BZ124" s="7"/>
      <c r="CA124" s="7"/>
      <c r="CB124" s="7"/>
      <c r="CC124" s="7"/>
      <c r="CD124" s="7"/>
      <c r="CE124" s="7"/>
      <c r="CF124" s="7"/>
      <c r="CG124" s="7"/>
      <c r="CH124" s="7"/>
      <c r="CI124" s="265"/>
      <c r="CJ124" s="12"/>
      <c r="CK124" s="12"/>
      <c r="CL124" s="12"/>
      <c r="CM124" s="12"/>
      <c r="CN124" s="12"/>
      <c r="CO124" s="12"/>
      <c r="CP124" s="12"/>
      <c r="CQ124" s="12"/>
      <c r="CR124" s="12"/>
      <c r="CS124" s="12"/>
      <c r="CT124" s="12"/>
      <c r="CU124" s="12"/>
      <c r="CV124" s="12"/>
    </row>
    <row r="125" spans="2:100" s="373" customFormat="1">
      <c r="I125" s="158"/>
      <c r="J125" s="379"/>
      <c r="K125" s="379"/>
      <c r="L125" s="379"/>
      <c r="M125" s="379"/>
      <c r="N125" s="376"/>
      <c r="O125" s="157"/>
      <c r="P125" s="220"/>
      <c r="Q125" s="221"/>
      <c r="R125" s="221"/>
      <c r="S125" s="221"/>
      <c r="T125" s="221"/>
      <c r="U125" s="6"/>
      <c r="V125" s="372"/>
      <c r="W125" s="372"/>
      <c r="X125" s="372"/>
      <c r="Y125" s="372"/>
      <c r="Z125" s="372"/>
      <c r="AA125" s="7"/>
      <c r="AB125" s="7"/>
      <c r="AC125" s="7"/>
      <c r="AD125" s="7"/>
      <c r="AE125" s="7"/>
      <c r="AF125" s="7"/>
      <c r="AG125" s="372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265"/>
      <c r="CJ125" s="12"/>
      <c r="CK125" s="12"/>
      <c r="CL125" s="12"/>
      <c r="CM125" s="12"/>
      <c r="CN125" s="12"/>
      <c r="CO125" s="12"/>
      <c r="CP125" s="12"/>
      <c r="CQ125" s="12"/>
      <c r="CR125" s="12"/>
      <c r="CS125" s="12"/>
      <c r="CT125" s="12"/>
      <c r="CU125" s="12"/>
      <c r="CV125" s="12"/>
    </row>
    <row r="126" spans="2:100" s="373" customFormat="1">
      <c r="I126" s="158"/>
      <c r="J126" s="379"/>
      <c r="K126" s="379"/>
      <c r="L126" s="379"/>
      <c r="M126" s="379"/>
      <c r="N126" s="376"/>
      <c r="O126" s="157"/>
      <c r="P126" s="220"/>
      <c r="Q126" s="221"/>
      <c r="R126" s="221"/>
      <c r="S126" s="221"/>
      <c r="T126" s="221"/>
      <c r="U126" s="6"/>
      <c r="V126" s="372"/>
      <c r="W126" s="372"/>
      <c r="X126" s="372"/>
      <c r="Y126" s="372"/>
      <c r="Z126" s="372"/>
      <c r="AA126" s="7"/>
      <c r="AB126" s="7"/>
      <c r="AC126" s="7"/>
      <c r="AD126" s="7"/>
      <c r="AE126" s="7"/>
      <c r="AF126" s="7"/>
      <c r="AG126" s="372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7"/>
      <c r="CD126" s="7"/>
      <c r="CE126" s="7"/>
      <c r="CF126" s="7"/>
      <c r="CG126" s="7"/>
      <c r="CH126" s="7"/>
      <c r="CI126" s="265"/>
      <c r="CJ126" s="12"/>
      <c r="CK126" s="12"/>
      <c r="CL126" s="12"/>
      <c r="CM126" s="12"/>
      <c r="CN126" s="12"/>
      <c r="CO126" s="12"/>
      <c r="CP126" s="12"/>
      <c r="CQ126" s="12"/>
      <c r="CR126" s="12"/>
      <c r="CS126" s="12"/>
      <c r="CT126" s="12"/>
      <c r="CU126" s="12"/>
      <c r="CV126" s="12"/>
    </row>
    <row r="127" spans="2:100" s="373" customFormat="1">
      <c r="I127" s="158"/>
      <c r="J127" s="379"/>
      <c r="K127" s="379"/>
      <c r="L127" s="379"/>
      <c r="M127" s="379"/>
      <c r="N127" s="376"/>
      <c r="O127" s="157"/>
      <c r="P127" s="220"/>
      <c r="Q127" s="221"/>
      <c r="R127" s="221"/>
      <c r="S127" s="221"/>
      <c r="T127" s="221"/>
      <c r="U127" s="6"/>
      <c r="V127" s="372"/>
      <c r="W127" s="372"/>
      <c r="X127" s="372"/>
      <c r="Y127" s="372"/>
      <c r="Z127" s="372"/>
      <c r="AA127" s="7"/>
      <c r="AB127" s="7"/>
      <c r="AC127" s="7"/>
      <c r="AD127" s="7"/>
      <c r="AE127" s="7"/>
      <c r="AF127" s="7"/>
      <c r="AG127" s="372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7"/>
      <c r="CD127" s="7"/>
      <c r="CE127" s="7"/>
      <c r="CF127" s="7"/>
      <c r="CG127" s="7"/>
      <c r="CH127" s="7"/>
      <c r="CI127" s="265"/>
      <c r="CJ127" s="12"/>
      <c r="CK127" s="12"/>
      <c r="CL127" s="12"/>
      <c r="CM127" s="12"/>
      <c r="CN127" s="12"/>
      <c r="CO127" s="12"/>
      <c r="CP127" s="12"/>
      <c r="CQ127" s="12"/>
      <c r="CR127" s="12"/>
      <c r="CS127" s="12"/>
      <c r="CT127" s="12"/>
      <c r="CU127" s="12"/>
      <c r="CV127" s="12"/>
    </row>
    <row r="128" spans="2:100" s="373" customFormat="1">
      <c r="I128" s="158"/>
      <c r="J128" s="379"/>
      <c r="K128" s="379"/>
      <c r="L128" s="379"/>
      <c r="N128" s="376"/>
      <c r="O128" s="157"/>
      <c r="P128" s="220"/>
      <c r="Q128" s="221"/>
      <c r="R128" s="221"/>
      <c r="S128" s="221"/>
      <c r="T128" s="221"/>
      <c r="U128" s="6"/>
      <c r="V128" s="372"/>
      <c r="W128" s="372"/>
      <c r="X128" s="372"/>
      <c r="Y128" s="372"/>
      <c r="Z128" s="372"/>
      <c r="AA128" s="7"/>
      <c r="AB128" s="7"/>
      <c r="AC128" s="7"/>
      <c r="AD128" s="7"/>
      <c r="AE128" s="7"/>
      <c r="AF128" s="7"/>
      <c r="AG128" s="372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  <c r="CH128" s="7"/>
      <c r="CI128" s="265"/>
      <c r="CJ128" s="12"/>
      <c r="CK128" s="12"/>
      <c r="CL128" s="12"/>
      <c r="CM128" s="12"/>
      <c r="CN128" s="12"/>
      <c r="CO128" s="12"/>
      <c r="CP128" s="12"/>
      <c r="CQ128" s="12"/>
      <c r="CR128" s="12"/>
      <c r="CS128" s="12"/>
      <c r="CT128" s="12"/>
      <c r="CU128" s="12"/>
      <c r="CV128" s="12"/>
    </row>
    <row r="129" spans="3:16" s="373" customFormat="1">
      <c r="N129" s="376"/>
      <c r="O129" s="157"/>
      <c r="P129" s="220"/>
    </row>
    <row r="130" spans="3:16" s="373" customFormat="1">
      <c r="N130" s="376"/>
      <c r="O130" s="157"/>
      <c r="P130" s="220"/>
    </row>
    <row r="131" spans="3:16" s="373" customFormat="1">
      <c r="N131" s="376"/>
      <c r="O131" s="157"/>
      <c r="P131" s="220"/>
    </row>
    <row r="132" spans="3:16" s="373" customFormat="1">
      <c r="N132" s="376"/>
      <c r="O132" s="157"/>
      <c r="P132" s="220"/>
    </row>
    <row r="133" spans="3:16" s="373" customFormat="1">
      <c r="N133" s="376"/>
      <c r="O133" s="157"/>
      <c r="P133" s="220"/>
    </row>
    <row r="134" spans="3:16" s="373" customFormat="1">
      <c r="N134" s="376"/>
      <c r="O134" s="157"/>
      <c r="P134" s="220"/>
    </row>
    <row r="135" spans="3:16" s="373" customFormat="1">
      <c r="N135" s="376"/>
      <c r="O135" s="157"/>
      <c r="P135" s="220"/>
    </row>
    <row r="136" spans="3:16" s="373" customFormat="1">
      <c r="N136" s="376"/>
      <c r="O136" s="157"/>
      <c r="P136" s="220"/>
    </row>
    <row r="137" spans="3:16" s="373" customFormat="1">
      <c r="N137" s="376"/>
      <c r="O137" s="157"/>
      <c r="P137" s="220"/>
    </row>
    <row r="138" spans="3:16" s="373" customFormat="1">
      <c r="N138" s="376"/>
      <c r="O138" s="157"/>
      <c r="P138" s="220"/>
    </row>
    <row r="139" spans="3:16" s="373" customFormat="1">
      <c r="N139" s="376"/>
      <c r="O139" s="157"/>
      <c r="P139" s="220"/>
    </row>
    <row r="140" spans="3:16" s="373" customFormat="1">
      <c r="N140" s="376"/>
      <c r="O140" s="157"/>
      <c r="P140" s="220"/>
    </row>
    <row r="141" spans="3:16" s="373" customFormat="1">
      <c r="F141" s="173"/>
      <c r="N141" s="376"/>
      <c r="O141" s="157"/>
      <c r="P141" s="220"/>
    </row>
    <row r="142" spans="3:16" s="373" customFormat="1">
      <c r="C142" s="2"/>
      <c r="D142" s="2"/>
      <c r="E142" s="2"/>
      <c r="F142" s="2"/>
      <c r="G142" s="2"/>
      <c r="H142" s="2"/>
      <c r="N142" s="376"/>
      <c r="O142" s="157"/>
      <c r="P142" s="220"/>
    </row>
    <row r="143" spans="3:16" s="373" customFormat="1">
      <c r="C143" s="2"/>
      <c r="D143" s="2"/>
      <c r="E143" s="2"/>
      <c r="F143" s="2"/>
      <c r="G143" s="2"/>
      <c r="H143" s="2"/>
      <c r="N143" s="376"/>
      <c r="O143" s="157"/>
      <c r="P143" s="220"/>
    </row>
    <row r="144" spans="3:16" s="373" customFormat="1">
      <c r="C144" s="2"/>
      <c r="D144" s="2"/>
      <c r="E144" s="2"/>
      <c r="F144" s="2"/>
      <c r="G144" s="2"/>
      <c r="H144" s="2"/>
      <c r="N144" s="376"/>
      <c r="O144" s="157"/>
      <c r="P144" s="220"/>
    </row>
    <row r="145" spans="3:16" s="373" customFormat="1">
      <c r="C145" s="2"/>
      <c r="D145" s="2"/>
      <c r="E145" s="2"/>
      <c r="F145" s="2"/>
      <c r="G145" s="2"/>
      <c r="H145" s="2"/>
      <c r="N145" s="376"/>
      <c r="O145" s="157"/>
      <c r="P145" s="220"/>
    </row>
    <row r="146" spans="3:16" s="373" customFormat="1">
      <c r="C146" s="2"/>
      <c r="D146" s="2"/>
      <c r="E146" s="2"/>
      <c r="F146" s="2"/>
      <c r="G146" s="2"/>
      <c r="H146" s="2"/>
      <c r="N146" s="376"/>
      <c r="O146" s="157"/>
      <c r="P146" s="220"/>
    </row>
    <row r="147" spans="3:16" s="373" customFormat="1">
      <c r="C147" s="2"/>
      <c r="D147" s="2"/>
      <c r="E147" s="2"/>
      <c r="F147" s="2"/>
      <c r="G147" s="2"/>
      <c r="H147" s="2"/>
      <c r="N147" s="376"/>
      <c r="O147" s="157"/>
      <c r="P147" s="220"/>
    </row>
    <row r="148" spans="3:16" s="373" customFormat="1">
      <c r="C148" s="2"/>
      <c r="D148" s="2"/>
      <c r="E148" s="2"/>
      <c r="F148" s="2"/>
      <c r="G148" s="2"/>
      <c r="H148" s="2"/>
      <c r="M148" s="2"/>
      <c r="N148" s="376"/>
      <c r="O148" s="157"/>
      <c r="P148" s="220"/>
    </row>
    <row r="149" spans="3:16" s="373" customFormat="1">
      <c r="C149" s="2"/>
      <c r="D149" s="2"/>
      <c r="E149" s="2"/>
      <c r="F149" s="2"/>
      <c r="G149" s="2"/>
      <c r="H149" s="2"/>
      <c r="I149" s="5"/>
      <c r="J149" s="2"/>
      <c r="K149" s="2"/>
      <c r="L149" s="2"/>
      <c r="M149" s="2"/>
      <c r="N149" s="376"/>
      <c r="O149" s="157"/>
      <c r="P149" s="220"/>
    </row>
    <row r="150" spans="3:16" s="373" customFormat="1">
      <c r="I150" s="5"/>
      <c r="J150" s="2"/>
      <c r="K150" s="2"/>
      <c r="L150" s="2"/>
      <c r="M150" s="2"/>
      <c r="N150" s="376"/>
      <c r="O150" s="157"/>
      <c r="P150" s="220"/>
    </row>
    <row r="151" spans="3:16" s="373" customFormat="1">
      <c r="C151" s="2"/>
      <c r="D151" s="2"/>
      <c r="E151" s="2"/>
      <c r="F151" s="2"/>
      <c r="G151" s="2"/>
      <c r="H151" s="2"/>
      <c r="I151" s="5"/>
      <c r="J151" s="2"/>
      <c r="K151" s="2"/>
      <c r="L151" s="2"/>
      <c r="M151" s="2"/>
      <c r="N151" s="376"/>
      <c r="O151" s="157"/>
      <c r="P151" s="220"/>
    </row>
    <row r="152" spans="3:16" s="373" customFormat="1">
      <c r="C152" s="2"/>
      <c r="D152" s="2"/>
      <c r="E152" s="2"/>
      <c r="F152" s="2"/>
      <c r="G152" s="2"/>
      <c r="H152" s="2"/>
      <c r="I152" s="5"/>
      <c r="J152" s="2"/>
      <c r="K152" s="2"/>
      <c r="L152" s="2"/>
      <c r="M152" s="2"/>
      <c r="N152" s="376"/>
      <c r="O152" s="157"/>
      <c r="P152" s="220"/>
    </row>
    <row r="153" spans="3:16" s="373" customFormat="1">
      <c r="C153" s="2"/>
      <c r="D153" s="2"/>
      <c r="E153" s="2"/>
      <c r="F153" s="2"/>
      <c r="G153" s="2"/>
      <c r="H153" s="2"/>
      <c r="I153" s="5"/>
      <c r="J153" s="2"/>
      <c r="K153" s="2"/>
      <c r="L153" s="2"/>
      <c r="M153" s="2"/>
      <c r="N153" s="378"/>
      <c r="O153" s="157"/>
      <c r="P153" s="220"/>
    </row>
    <row r="154" spans="3:16" s="373" customFormat="1">
      <c r="C154" s="2"/>
      <c r="D154" s="2"/>
      <c r="E154" s="2"/>
      <c r="F154" s="2"/>
      <c r="G154" s="2"/>
      <c r="H154" s="2"/>
      <c r="I154" s="5"/>
      <c r="J154" s="2"/>
      <c r="K154" s="2"/>
      <c r="L154" s="2"/>
      <c r="M154" s="2"/>
      <c r="N154" s="378"/>
      <c r="O154" s="157"/>
      <c r="P154" s="220"/>
    </row>
    <row r="155" spans="3:16" s="373" customFormat="1">
      <c r="C155" s="2"/>
      <c r="D155" s="2"/>
      <c r="E155" s="2"/>
      <c r="F155" s="2"/>
      <c r="G155" s="2"/>
      <c r="H155" s="2"/>
      <c r="I155" s="5"/>
      <c r="J155" s="2"/>
      <c r="K155" s="2"/>
      <c r="L155" s="2"/>
      <c r="M155" s="2"/>
      <c r="N155" s="378"/>
      <c r="O155" s="157"/>
      <c r="P155" s="221"/>
    </row>
    <row r="156" spans="3:16" s="373" customFormat="1">
      <c r="C156" s="2"/>
      <c r="D156" s="2"/>
      <c r="E156" s="2"/>
      <c r="F156" s="2"/>
      <c r="G156" s="2"/>
      <c r="H156" s="2"/>
      <c r="I156" s="5"/>
      <c r="J156" s="2"/>
      <c r="K156" s="2"/>
      <c r="L156" s="2"/>
      <c r="M156" s="175"/>
      <c r="N156" s="378"/>
      <c r="O156" s="157"/>
      <c r="P156" s="221"/>
    </row>
    <row r="157" spans="3:16" s="373" customFormat="1">
      <c r="C157" s="2"/>
      <c r="D157" s="2"/>
      <c r="E157" s="2"/>
      <c r="F157" s="2"/>
      <c r="G157" s="2"/>
      <c r="H157" s="2"/>
      <c r="I157" s="175"/>
      <c r="J157" s="175"/>
      <c r="K157" s="175"/>
      <c r="L157" s="175"/>
      <c r="M157" s="2"/>
      <c r="N157" s="378"/>
      <c r="O157" s="221"/>
      <c r="P157" s="221"/>
    </row>
    <row r="158" spans="3:16" s="373" customFormat="1">
      <c r="C158" s="2"/>
      <c r="D158" s="2"/>
      <c r="E158" s="2"/>
      <c r="F158" s="2"/>
      <c r="G158" s="2"/>
      <c r="H158" s="2"/>
      <c r="I158" s="5"/>
      <c r="J158" s="2"/>
      <c r="K158" s="2"/>
      <c r="L158" s="2"/>
      <c r="M158" s="2"/>
      <c r="N158" s="378"/>
      <c r="O158" s="221"/>
      <c r="P158" s="221"/>
    </row>
    <row r="159" spans="3:16" s="373" customFormat="1">
      <c r="C159" s="2"/>
      <c r="D159" s="2"/>
      <c r="E159" s="2"/>
      <c r="F159" s="2"/>
      <c r="G159" s="2"/>
      <c r="H159" s="2"/>
      <c r="I159" s="5"/>
      <c r="J159" s="2"/>
      <c r="K159" s="2"/>
      <c r="L159" s="2"/>
      <c r="M159" s="2"/>
      <c r="N159" s="378"/>
      <c r="O159" s="221"/>
      <c r="P159" s="221"/>
    </row>
    <row r="160" spans="3:16" s="373" customFormat="1">
      <c r="C160" s="2"/>
      <c r="D160" s="2"/>
      <c r="E160" s="2"/>
      <c r="F160" s="2"/>
      <c r="G160" s="2"/>
      <c r="H160" s="2"/>
      <c r="I160" s="5"/>
      <c r="J160" s="2"/>
      <c r="K160" s="2"/>
      <c r="L160" s="2"/>
      <c r="M160" s="2"/>
      <c r="N160" s="378"/>
      <c r="O160" s="221"/>
      <c r="P160" s="221"/>
    </row>
    <row r="161" spans="3:14" s="373" customFormat="1">
      <c r="C161" s="2"/>
      <c r="D161" s="2"/>
      <c r="E161" s="2"/>
      <c r="F161" s="2"/>
      <c r="G161" s="2"/>
      <c r="H161" s="2"/>
      <c r="I161" s="5"/>
      <c r="J161" s="2"/>
      <c r="K161" s="2"/>
      <c r="L161" s="2"/>
      <c r="M161" s="2"/>
      <c r="N161" s="379"/>
    </row>
    <row r="162" spans="3:14" s="373" customFormat="1">
      <c r="C162" s="2"/>
      <c r="D162" s="2"/>
      <c r="E162" s="2"/>
      <c r="F162" s="2"/>
      <c r="G162" s="2"/>
      <c r="H162" s="2"/>
      <c r="I162" s="5"/>
      <c r="J162" s="2"/>
      <c r="K162" s="2"/>
      <c r="L162" s="2"/>
      <c r="M162" s="2"/>
      <c r="N162" s="379"/>
    </row>
    <row r="163" spans="3:14" s="373" customFormat="1">
      <c r="C163" s="2"/>
      <c r="D163" s="2"/>
      <c r="E163" s="2"/>
      <c r="F163" s="2"/>
      <c r="G163" s="2"/>
      <c r="H163" s="2"/>
      <c r="I163" s="5"/>
      <c r="J163" s="2"/>
      <c r="K163" s="2"/>
      <c r="L163" s="2"/>
      <c r="M163" s="2"/>
      <c r="N163" s="379"/>
    </row>
    <row r="164" spans="3:14" s="373" customFormat="1">
      <c r="C164" s="2"/>
      <c r="D164" s="2"/>
      <c r="E164" s="2"/>
      <c r="F164" s="2"/>
      <c r="G164" s="2"/>
      <c r="H164" s="2"/>
      <c r="I164" s="5"/>
      <c r="J164" s="2"/>
      <c r="K164" s="2"/>
      <c r="L164" s="2"/>
      <c r="M164" s="2"/>
      <c r="N164" s="379"/>
    </row>
    <row r="165" spans="3:14" s="373" customFormat="1">
      <c r="C165" s="2"/>
      <c r="D165" s="2"/>
      <c r="E165" s="2"/>
      <c r="F165" s="2"/>
      <c r="G165" s="2"/>
      <c r="H165" s="2"/>
      <c r="I165" s="5"/>
      <c r="J165" s="2"/>
      <c r="K165" s="2"/>
      <c r="L165" s="2"/>
      <c r="M165" s="2"/>
      <c r="N165" s="379"/>
    </row>
    <row r="166" spans="3:14" s="373" customFormat="1">
      <c r="C166" s="2"/>
      <c r="D166" s="2"/>
      <c r="E166" s="2"/>
      <c r="F166" s="2"/>
      <c r="G166" s="2"/>
      <c r="H166" s="2"/>
      <c r="I166" s="5"/>
      <c r="J166" s="2"/>
      <c r="K166" s="2"/>
      <c r="L166" s="2"/>
      <c r="M166" s="2"/>
      <c r="N166" s="379"/>
    </row>
    <row r="167" spans="3:14" s="373" customFormat="1">
      <c r="I167" s="5"/>
      <c r="J167" s="2"/>
      <c r="K167" s="2"/>
      <c r="L167" s="2"/>
      <c r="M167" s="2"/>
      <c r="N167" s="379"/>
    </row>
    <row r="168" spans="3:14" s="373" customFormat="1">
      <c r="C168" s="2"/>
      <c r="D168" s="2"/>
      <c r="E168" s="2"/>
      <c r="F168" s="2"/>
      <c r="G168" s="2"/>
      <c r="H168" s="2"/>
      <c r="I168" s="5"/>
      <c r="J168" s="2"/>
      <c r="K168" s="2"/>
      <c r="L168" s="2"/>
      <c r="M168" s="2"/>
      <c r="N168" s="379"/>
    </row>
    <row r="169" spans="3:14" s="373" customFormat="1">
      <c r="C169" s="2"/>
      <c r="D169" s="2"/>
      <c r="E169" s="2"/>
      <c r="F169" s="2"/>
      <c r="G169" s="2"/>
      <c r="H169" s="2"/>
      <c r="I169" s="5"/>
      <c r="J169" s="2"/>
      <c r="K169" s="2"/>
      <c r="L169" s="2"/>
      <c r="M169" s="2"/>
      <c r="N169" s="379"/>
    </row>
    <row r="170" spans="3:14" s="373" customFormat="1">
      <c r="C170" s="2"/>
      <c r="D170" s="2"/>
      <c r="E170" s="2"/>
      <c r="F170" s="2"/>
      <c r="G170" s="2"/>
      <c r="H170" s="2"/>
      <c r="I170" s="5"/>
      <c r="J170" s="2"/>
      <c r="K170" s="2"/>
      <c r="L170" s="2"/>
      <c r="M170" s="2"/>
      <c r="N170" s="379"/>
    </row>
    <row r="171" spans="3:14" s="373" customFormat="1">
      <c r="C171" s="2"/>
      <c r="D171" s="2"/>
      <c r="E171" s="2"/>
      <c r="F171" s="2"/>
      <c r="G171" s="2"/>
      <c r="H171" s="2"/>
      <c r="I171" s="5"/>
      <c r="J171" s="2"/>
      <c r="K171" s="2"/>
      <c r="L171" s="2"/>
      <c r="M171" s="2"/>
      <c r="N171" s="379"/>
    </row>
    <row r="172" spans="3:14" s="373" customFormat="1">
      <c r="C172" s="2"/>
      <c r="D172" s="2"/>
      <c r="E172" s="2"/>
      <c r="F172" s="2"/>
      <c r="G172" s="2"/>
      <c r="H172" s="2"/>
      <c r="I172" s="5"/>
      <c r="J172" s="2"/>
      <c r="K172" s="2"/>
      <c r="L172" s="2"/>
      <c r="M172" s="2"/>
      <c r="N172" s="379"/>
    </row>
    <row r="173" spans="3:14" s="373" customFormat="1">
      <c r="C173" s="2"/>
      <c r="D173" s="2"/>
      <c r="E173" s="2"/>
      <c r="F173" s="2"/>
      <c r="G173" s="2"/>
      <c r="H173" s="2"/>
      <c r="I173" s="5"/>
      <c r="J173" s="2"/>
      <c r="K173" s="2"/>
      <c r="L173" s="2"/>
    </row>
    <row r="174" spans="3:14" s="373" customFormat="1">
      <c r="C174" s="2"/>
      <c r="D174" s="2"/>
      <c r="E174" s="2"/>
      <c r="F174" s="2"/>
      <c r="G174" s="2"/>
      <c r="H174" s="2"/>
      <c r="M174" s="2"/>
    </row>
    <row r="175" spans="3:14" s="373" customFormat="1">
      <c r="C175" s="2"/>
      <c r="D175" s="2"/>
      <c r="E175" s="2"/>
      <c r="F175" s="2"/>
      <c r="G175" s="2"/>
      <c r="H175" s="2"/>
      <c r="I175" s="5"/>
      <c r="J175" s="2"/>
      <c r="K175" s="2"/>
      <c r="L175" s="2"/>
      <c r="M175" s="2"/>
    </row>
    <row r="176" spans="3:14" s="373" customFormat="1">
      <c r="C176" s="2"/>
      <c r="D176" s="2"/>
      <c r="E176" s="2"/>
      <c r="F176" s="2"/>
      <c r="G176" s="2"/>
      <c r="H176" s="2"/>
      <c r="I176" s="5"/>
      <c r="J176" s="2"/>
      <c r="K176" s="2"/>
      <c r="L176" s="2"/>
      <c r="M176" s="2"/>
    </row>
    <row r="177" spans="2:13" s="373" customFormat="1">
      <c r="C177" s="2"/>
      <c r="D177" s="2"/>
      <c r="E177" s="2"/>
      <c r="F177" s="2"/>
      <c r="G177" s="2"/>
      <c r="H177" s="2"/>
      <c r="I177" s="5"/>
      <c r="J177" s="2"/>
      <c r="K177" s="2"/>
      <c r="L177" s="2"/>
      <c r="M177" s="2"/>
    </row>
    <row r="178" spans="2:13" s="373" customFormat="1">
      <c r="C178" s="2"/>
      <c r="D178" s="2"/>
      <c r="E178" s="2"/>
      <c r="F178" s="2"/>
      <c r="G178" s="2"/>
      <c r="H178" s="2"/>
      <c r="I178" s="5"/>
      <c r="J178" s="2"/>
      <c r="K178" s="2"/>
      <c r="L178" s="2"/>
      <c r="M178" s="2"/>
    </row>
    <row r="179" spans="2:13" s="373" customFormat="1">
      <c r="C179" s="2"/>
      <c r="D179" s="2"/>
      <c r="E179" s="2"/>
      <c r="F179" s="2"/>
      <c r="G179" s="2"/>
      <c r="H179" s="2"/>
      <c r="I179" s="5"/>
      <c r="J179" s="2"/>
      <c r="K179" s="2"/>
      <c r="L179" s="2"/>
      <c r="M179" s="2"/>
    </row>
    <row r="180" spans="2:13" s="373" customFormat="1">
      <c r="C180" s="2"/>
      <c r="D180" s="2"/>
      <c r="E180" s="2"/>
      <c r="F180" s="2"/>
      <c r="G180" s="2"/>
      <c r="H180" s="2"/>
      <c r="I180" s="5"/>
      <c r="J180" s="2"/>
      <c r="K180" s="2"/>
      <c r="L180" s="2"/>
      <c r="M180" s="2"/>
    </row>
    <row r="181" spans="2:13" s="373" customFormat="1">
      <c r="C181" s="2"/>
      <c r="D181" s="2"/>
      <c r="E181" s="2"/>
      <c r="F181" s="2"/>
      <c r="G181" s="2"/>
      <c r="H181" s="2"/>
      <c r="I181" s="5"/>
      <c r="J181" s="2"/>
      <c r="K181" s="2"/>
      <c r="L181" s="2"/>
      <c r="M181" s="2"/>
    </row>
    <row r="182" spans="2:13" s="373" customFormat="1">
      <c r="C182" s="2"/>
      <c r="D182" s="2"/>
      <c r="E182" s="2"/>
      <c r="F182" s="2"/>
      <c r="G182" s="2"/>
      <c r="H182" s="2"/>
      <c r="I182" s="5"/>
      <c r="J182" s="2"/>
      <c r="K182" s="2"/>
      <c r="L182" s="2"/>
      <c r="M182" s="2"/>
    </row>
    <row r="183" spans="2:13" s="373" customFormat="1">
      <c r="C183" s="2"/>
      <c r="D183" s="2"/>
      <c r="E183" s="2"/>
      <c r="F183" s="2"/>
      <c r="G183" s="2"/>
      <c r="H183" s="2"/>
      <c r="I183" s="5"/>
      <c r="J183" s="2"/>
      <c r="K183" s="2"/>
      <c r="L183" s="2"/>
      <c r="M183" s="2"/>
    </row>
    <row r="184" spans="2:13" s="373" customFormat="1">
      <c r="C184" s="2"/>
      <c r="D184" s="2"/>
      <c r="E184" s="2"/>
      <c r="F184" s="2"/>
      <c r="G184" s="2"/>
      <c r="H184" s="2"/>
      <c r="I184" s="5"/>
      <c r="J184" s="2"/>
      <c r="K184" s="2"/>
      <c r="L184" s="2"/>
      <c r="M184" s="2"/>
    </row>
    <row r="185" spans="2:13" s="373" customFormat="1">
      <c r="C185" s="2"/>
      <c r="D185" s="2"/>
      <c r="E185" s="2"/>
      <c r="F185" s="2"/>
      <c r="G185" s="2"/>
      <c r="H185" s="2"/>
      <c r="I185" s="5"/>
      <c r="J185" s="2"/>
      <c r="K185" s="2"/>
      <c r="L185" s="2"/>
      <c r="M185" s="2"/>
    </row>
    <row r="186" spans="2:13" s="373" customFormat="1">
      <c r="C186" s="2"/>
      <c r="D186" s="2"/>
      <c r="E186" s="2"/>
      <c r="F186" s="2"/>
      <c r="G186" s="2"/>
      <c r="H186" s="2"/>
      <c r="I186" s="5"/>
      <c r="J186" s="2"/>
      <c r="K186" s="2"/>
      <c r="L186" s="2"/>
      <c r="M186" s="2"/>
    </row>
    <row r="187" spans="2:13" s="373" customFormat="1">
      <c r="C187" s="2"/>
      <c r="D187" s="2"/>
      <c r="E187" s="2"/>
      <c r="F187" s="2"/>
      <c r="G187" s="2"/>
      <c r="H187" s="2"/>
      <c r="I187" s="5"/>
      <c r="J187" s="2"/>
      <c r="K187" s="2"/>
      <c r="L187" s="2"/>
      <c r="M187" s="2"/>
    </row>
    <row r="188" spans="2:13" s="373" customFormat="1">
      <c r="B188" s="2"/>
      <c r="C188" s="2"/>
      <c r="D188" s="2"/>
      <c r="E188" s="2"/>
      <c r="F188" s="2"/>
      <c r="G188" s="2"/>
      <c r="H188" s="2"/>
      <c r="I188" s="5"/>
      <c r="J188" s="2"/>
      <c r="K188" s="2"/>
      <c r="L188" s="2"/>
      <c r="M188" s="2"/>
    </row>
    <row r="189" spans="2:13" s="373" customFormat="1">
      <c r="B189" s="2"/>
      <c r="C189" s="2"/>
      <c r="D189" s="2"/>
      <c r="E189" s="2"/>
      <c r="F189" s="2"/>
      <c r="G189" s="2"/>
      <c r="H189" s="2"/>
      <c r="I189" s="5"/>
      <c r="J189" s="2"/>
      <c r="K189" s="2"/>
      <c r="L189" s="2"/>
      <c r="M189" s="2"/>
    </row>
    <row r="190" spans="2:13" s="373" customFormat="1">
      <c r="B190" s="2"/>
      <c r="C190" s="2"/>
      <c r="D190" s="2"/>
      <c r="E190" s="2"/>
      <c r="F190" s="2"/>
      <c r="G190" s="2"/>
      <c r="H190" s="2"/>
      <c r="I190" s="5"/>
      <c r="J190" s="2"/>
      <c r="K190" s="2"/>
      <c r="L190" s="2"/>
      <c r="M190" s="2"/>
    </row>
    <row r="191" spans="2:13" s="373" customFormat="1">
      <c r="B191" s="2"/>
      <c r="C191" s="2"/>
      <c r="D191" s="2"/>
      <c r="E191" s="2"/>
      <c r="F191" s="2"/>
      <c r="G191" s="2"/>
      <c r="H191" s="2"/>
      <c r="I191" s="5"/>
      <c r="J191" s="2"/>
      <c r="K191" s="2"/>
      <c r="L191" s="2"/>
      <c r="M191" s="2"/>
    </row>
    <row r="192" spans="2:13" s="373" customFormat="1">
      <c r="B192" s="2"/>
      <c r="C192" s="2"/>
      <c r="D192" s="2"/>
      <c r="E192" s="2"/>
      <c r="F192" s="2"/>
      <c r="G192" s="2"/>
      <c r="H192" s="2"/>
      <c r="I192" s="5"/>
      <c r="J192" s="2"/>
      <c r="K192" s="2"/>
      <c r="L192" s="2"/>
      <c r="M192" s="2"/>
    </row>
    <row r="196" spans="2:13">
      <c r="B196" s="373"/>
    </row>
    <row r="201" spans="2:13" s="373" customFormat="1">
      <c r="B201" s="2"/>
      <c r="C201" s="2"/>
      <c r="D201" s="2"/>
      <c r="E201" s="2"/>
      <c r="F201" s="2"/>
      <c r="G201" s="2"/>
      <c r="H201" s="2"/>
      <c r="I201" s="5"/>
      <c r="J201" s="2"/>
      <c r="K201" s="2"/>
      <c r="L201" s="2"/>
      <c r="M201" s="2"/>
    </row>
    <row r="213" spans="2:20">
      <c r="B213" s="373"/>
    </row>
    <row r="218" spans="2:20" s="373" customFormat="1">
      <c r="B218" s="2"/>
      <c r="C218" s="2"/>
      <c r="D218" s="2"/>
      <c r="E218" s="2"/>
      <c r="F218" s="2"/>
      <c r="G218" s="2"/>
      <c r="H218" s="2"/>
      <c r="I218" s="5"/>
      <c r="J218" s="2"/>
      <c r="K218" s="2"/>
      <c r="L218" s="2"/>
      <c r="M218" s="2"/>
      <c r="N218" s="222"/>
      <c r="O218" s="222"/>
      <c r="P218" s="222"/>
      <c r="Q218" s="223"/>
      <c r="R218" s="222"/>
      <c r="S218" s="222"/>
      <c r="T218" s="222"/>
    </row>
  </sheetData>
  <mergeCells count="10">
    <mergeCell ref="D61:E61"/>
    <mergeCell ref="F61:G61"/>
    <mergeCell ref="F74:H74"/>
    <mergeCell ref="E14:F14"/>
    <mergeCell ref="E15:F15"/>
    <mergeCell ref="E17:F17"/>
    <mergeCell ref="E18:F18"/>
    <mergeCell ref="E19:F19"/>
    <mergeCell ref="D48:E48"/>
    <mergeCell ref="F48:G48"/>
  </mergeCells>
  <phoneticPr fontId="3" type="noConversion"/>
  <conditionalFormatting sqref="N46:R113 CJ2:CK2 U3:V114 AM4:AN114 AM3 CE3:CK114 CM2:CV114 T46:T113 AJ3:AK114 BY3:CC3 Y3:AH114 BY4:CB114">
    <cfRule type="cellIs" dxfId="78" priority="78" stopIfTrue="1" operator="equal">
      <formula>""</formula>
    </cfRule>
    <cfRule type="expression" dxfId="77" priority="79">
      <formula>""""""</formula>
    </cfRule>
  </conditionalFormatting>
  <conditionalFormatting sqref="AG85">
    <cfRule type="expression" dxfId="76" priority="77">
      <formula>""</formula>
    </cfRule>
  </conditionalFormatting>
  <conditionalFormatting sqref="CJ2:CK2 U3:V3 AM3 CE3:CK3 CM2:CV3 AJ3:AK3 BY3:CC3 Y3:AH3">
    <cfRule type="cellIs" dxfId="75" priority="76" operator="equal">
      <formula>""""""</formula>
    </cfRule>
  </conditionalFormatting>
  <conditionalFormatting sqref="T116:T120 N2:T2 N3:R114 T3:T114">
    <cfRule type="containsBlanks" dxfId="74" priority="75" stopIfTrue="1">
      <formula>LEN(TRIM(N2))=0</formula>
    </cfRule>
  </conditionalFormatting>
  <conditionalFormatting sqref="N118:R120 N116:N117">
    <cfRule type="containsBlanks" dxfId="73" priority="74" stopIfTrue="1">
      <formula>LEN(TRIM(N116))=0</formula>
    </cfRule>
  </conditionalFormatting>
  <conditionalFormatting sqref="X3:X114">
    <cfRule type="cellIs" dxfId="72" priority="72" stopIfTrue="1" operator="equal">
      <formula>""</formula>
    </cfRule>
    <cfRule type="expression" dxfId="71" priority="73">
      <formula>""""""</formula>
    </cfRule>
  </conditionalFormatting>
  <conditionalFormatting sqref="X3">
    <cfRule type="cellIs" dxfId="70" priority="71" operator="equal">
      <formula>""""""</formula>
    </cfRule>
  </conditionalFormatting>
  <conditionalFormatting sqref="AL3:AL114">
    <cfRule type="cellIs" dxfId="69" priority="69" stopIfTrue="1" operator="equal">
      <formula>""</formula>
    </cfRule>
    <cfRule type="expression" dxfId="68" priority="70">
      <formula>""""""</formula>
    </cfRule>
  </conditionalFormatting>
  <conditionalFormatting sqref="AL3">
    <cfRule type="cellIs" dxfId="67" priority="68" operator="equal">
      <formula>""""""</formula>
    </cfRule>
  </conditionalFormatting>
  <conditionalFormatting sqref="AO4:AO114">
    <cfRule type="cellIs" dxfId="66" priority="66" stopIfTrue="1" operator="equal">
      <formula>""</formula>
    </cfRule>
    <cfRule type="expression" dxfId="65" priority="67">
      <formula>""""""</formula>
    </cfRule>
  </conditionalFormatting>
  <conditionalFormatting sqref="BQ3:BX3">
    <cfRule type="cellIs" dxfId="64" priority="54" operator="equal">
      <formula>""""""</formula>
    </cfRule>
  </conditionalFormatting>
  <conditionalFormatting sqref="AN3:AO3">
    <cfRule type="cellIs" dxfId="63" priority="64" stopIfTrue="1" operator="equal">
      <formula>""</formula>
    </cfRule>
    <cfRule type="expression" dxfId="62" priority="65">
      <formula>""""""</formula>
    </cfRule>
  </conditionalFormatting>
  <conditionalFormatting sqref="AN3:AO3">
    <cfRule type="cellIs" dxfId="61" priority="63" operator="equal">
      <formula>""""""</formula>
    </cfRule>
  </conditionalFormatting>
  <conditionalFormatting sqref="BO3:BO114">
    <cfRule type="cellIs" dxfId="60" priority="61" stopIfTrue="1" operator="equal">
      <formula>""</formula>
    </cfRule>
    <cfRule type="expression" dxfId="59" priority="62">
      <formula>""""""</formula>
    </cfRule>
  </conditionalFormatting>
  <conditionalFormatting sqref="BO3">
    <cfRule type="cellIs" dxfId="58" priority="60" operator="equal">
      <formula>""""""</formula>
    </cfRule>
  </conditionalFormatting>
  <conditionalFormatting sqref="BP3:BP114">
    <cfRule type="cellIs" dxfId="57" priority="58" stopIfTrue="1" operator="equal">
      <formula>""</formula>
    </cfRule>
    <cfRule type="expression" dxfId="56" priority="59">
      <formula>""""""</formula>
    </cfRule>
  </conditionalFormatting>
  <conditionalFormatting sqref="BP3">
    <cfRule type="cellIs" dxfId="55" priority="57" operator="equal">
      <formula>""""""</formula>
    </cfRule>
  </conditionalFormatting>
  <conditionalFormatting sqref="BQ3:BX114">
    <cfRule type="cellIs" dxfId="54" priority="55" stopIfTrue="1" operator="equal">
      <formula>""</formula>
    </cfRule>
    <cfRule type="expression" dxfId="53" priority="56">
      <formula>""""""</formula>
    </cfRule>
  </conditionalFormatting>
  <conditionalFormatting sqref="CD3:CD114">
    <cfRule type="cellIs" dxfId="52" priority="52" stopIfTrue="1" operator="equal">
      <formula>""</formula>
    </cfRule>
    <cfRule type="expression" dxfId="51" priority="53">
      <formula>""""""</formula>
    </cfRule>
  </conditionalFormatting>
  <conditionalFormatting sqref="CD3">
    <cfRule type="cellIs" dxfId="50" priority="51" operator="equal">
      <formula>""""""</formula>
    </cfRule>
  </conditionalFormatting>
  <conditionalFormatting sqref="CL2:CL3">
    <cfRule type="cellIs" dxfId="49" priority="49" stopIfTrue="1" operator="equal">
      <formula>""</formula>
    </cfRule>
    <cfRule type="expression" dxfId="48" priority="50">
      <formula>""""""</formula>
    </cfRule>
  </conditionalFormatting>
  <conditionalFormatting sqref="CL2:CL3">
    <cfRule type="cellIs" dxfId="47" priority="48" operator="equal">
      <formula>""""""</formula>
    </cfRule>
  </conditionalFormatting>
  <conditionalFormatting sqref="CL4:CL114">
    <cfRule type="cellIs" dxfId="46" priority="46" stopIfTrue="1" operator="equal">
      <formula>""</formula>
    </cfRule>
    <cfRule type="expression" dxfId="45" priority="47">
      <formula>""""""</formula>
    </cfRule>
  </conditionalFormatting>
  <conditionalFormatting sqref="AX3">
    <cfRule type="cellIs" dxfId="44" priority="34" operator="equal">
      <formula>""""""</formula>
    </cfRule>
  </conditionalFormatting>
  <conditionalFormatting sqref="AT3:AT114 AP3:AR114">
    <cfRule type="cellIs" dxfId="43" priority="44" stopIfTrue="1" operator="equal">
      <formula>""</formula>
    </cfRule>
    <cfRule type="expression" dxfId="42" priority="45">
      <formula>""""""</formula>
    </cfRule>
  </conditionalFormatting>
  <conditionalFormatting sqref="AP3:AR3 AT3">
    <cfRule type="cellIs" dxfId="41" priority="43" operator="equal">
      <formula>""""""</formula>
    </cfRule>
  </conditionalFormatting>
  <conditionalFormatting sqref="AS3:AS114">
    <cfRule type="cellIs" dxfId="40" priority="41" stopIfTrue="1" operator="equal">
      <formula>""</formula>
    </cfRule>
    <cfRule type="expression" dxfId="39" priority="42">
      <formula>""""""</formula>
    </cfRule>
  </conditionalFormatting>
  <conditionalFormatting sqref="AS3">
    <cfRule type="cellIs" dxfId="38" priority="40" operator="equal">
      <formula>""""""</formula>
    </cfRule>
  </conditionalFormatting>
  <conditionalFormatting sqref="AY3:AY114 AU3:AW114">
    <cfRule type="cellIs" dxfId="37" priority="38" stopIfTrue="1" operator="equal">
      <formula>""</formula>
    </cfRule>
    <cfRule type="expression" dxfId="36" priority="39">
      <formula>""""""</formula>
    </cfRule>
  </conditionalFormatting>
  <conditionalFormatting sqref="AU3:AW3 AY3">
    <cfRule type="cellIs" dxfId="35" priority="37" operator="equal">
      <formula>""""""</formula>
    </cfRule>
  </conditionalFormatting>
  <conditionalFormatting sqref="AX3:AX114">
    <cfRule type="cellIs" dxfId="34" priority="35" stopIfTrue="1" operator="equal">
      <formula>""</formula>
    </cfRule>
    <cfRule type="expression" dxfId="33" priority="36">
      <formula>""""""</formula>
    </cfRule>
  </conditionalFormatting>
  <conditionalFormatting sqref="BM3">
    <cfRule type="cellIs" dxfId="32" priority="16" operator="equal">
      <formula>""""""</formula>
    </cfRule>
  </conditionalFormatting>
  <conditionalFormatting sqref="BC3">
    <cfRule type="cellIs" dxfId="31" priority="28" operator="equal">
      <formula>""""""</formula>
    </cfRule>
  </conditionalFormatting>
  <conditionalFormatting sqref="BD3:BD114 AZ3:BB114">
    <cfRule type="cellIs" dxfId="30" priority="32" stopIfTrue="1" operator="equal">
      <formula>""</formula>
    </cfRule>
    <cfRule type="expression" dxfId="29" priority="33">
      <formula>""""""</formula>
    </cfRule>
  </conditionalFormatting>
  <conditionalFormatting sqref="AZ3:BB3 BD3">
    <cfRule type="cellIs" dxfId="28" priority="31" operator="equal">
      <formula>""""""</formula>
    </cfRule>
  </conditionalFormatting>
  <conditionalFormatting sqref="BC3:BC114">
    <cfRule type="cellIs" dxfId="27" priority="29" stopIfTrue="1" operator="equal">
      <formula>""</formula>
    </cfRule>
    <cfRule type="expression" dxfId="26" priority="30">
      <formula>""""""</formula>
    </cfRule>
  </conditionalFormatting>
  <conditionalFormatting sqref="BH3">
    <cfRule type="cellIs" dxfId="25" priority="22" operator="equal">
      <formula>""""""</formula>
    </cfRule>
  </conditionalFormatting>
  <conditionalFormatting sqref="BI3:BI114 BE3:BG114">
    <cfRule type="cellIs" dxfId="24" priority="26" stopIfTrue="1" operator="equal">
      <formula>""</formula>
    </cfRule>
    <cfRule type="expression" dxfId="23" priority="27">
      <formula>""""""</formula>
    </cfRule>
  </conditionalFormatting>
  <conditionalFormatting sqref="BE3:BG3 BI3">
    <cfRule type="cellIs" dxfId="22" priority="25" operator="equal">
      <formula>""""""</formula>
    </cfRule>
  </conditionalFormatting>
  <conditionalFormatting sqref="BH3:BH114">
    <cfRule type="cellIs" dxfId="21" priority="23" stopIfTrue="1" operator="equal">
      <formula>""</formula>
    </cfRule>
    <cfRule type="expression" dxfId="20" priority="24">
      <formula>""""""</formula>
    </cfRule>
  </conditionalFormatting>
  <conditionalFormatting sqref="BN3:BN114 BJ3:BL114">
    <cfRule type="cellIs" dxfId="19" priority="20" stopIfTrue="1" operator="equal">
      <formula>""</formula>
    </cfRule>
    <cfRule type="expression" dxfId="18" priority="21">
      <formula>""""""</formula>
    </cfRule>
  </conditionalFormatting>
  <conditionalFormatting sqref="BJ3:BL3 BN3">
    <cfRule type="cellIs" dxfId="17" priority="19" operator="equal">
      <formula>""""""</formula>
    </cfRule>
  </conditionalFormatting>
  <conditionalFormatting sqref="BM3:BM114">
    <cfRule type="cellIs" dxfId="16" priority="17" stopIfTrue="1" operator="equal">
      <formula>""</formula>
    </cfRule>
    <cfRule type="expression" dxfId="15" priority="18">
      <formula>""""""</formula>
    </cfRule>
  </conditionalFormatting>
  <conditionalFormatting sqref="S46:S113">
    <cfRule type="cellIs" dxfId="14" priority="14" stopIfTrue="1" operator="equal">
      <formula>""</formula>
    </cfRule>
    <cfRule type="expression" dxfId="13" priority="15">
      <formula>""""""</formula>
    </cfRule>
  </conditionalFormatting>
  <conditionalFormatting sqref="S3:S114">
    <cfRule type="containsBlanks" dxfId="12" priority="13" stopIfTrue="1">
      <formula>LEN(TRIM(S3))=0</formula>
    </cfRule>
  </conditionalFormatting>
  <conditionalFormatting sqref="AI3:AI114">
    <cfRule type="cellIs" dxfId="11" priority="11" stopIfTrue="1" operator="equal">
      <formula>""</formula>
    </cfRule>
    <cfRule type="expression" dxfId="10" priority="12">
      <formula>""""""</formula>
    </cfRule>
  </conditionalFormatting>
  <conditionalFormatting sqref="AI3">
    <cfRule type="cellIs" dxfId="9" priority="10" operator="equal">
      <formula>""""""</formula>
    </cfRule>
  </conditionalFormatting>
  <conditionalFormatting sqref="P116:R117">
    <cfRule type="containsBlanks" dxfId="8" priority="9" stopIfTrue="1">
      <formula>LEN(TRIM(P116))=0</formula>
    </cfRule>
  </conditionalFormatting>
  <conditionalFormatting sqref="O116:O117">
    <cfRule type="containsBlanks" dxfId="7" priority="8" stopIfTrue="1">
      <formula>LEN(TRIM(O116))=0</formula>
    </cfRule>
  </conditionalFormatting>
  <conditionalFormatting sqref="W3:W114">
    <cfRule type="cellIs" dxfId="6" priority="6" stopIfTrue="1" operator="equal">
      <formula>""</formula>
    </cfRule>
    <cfRule type="expression" dxfId="5" priority="7">
      <formula>""""""</formula>
    </cfRule>
  </conditionalFormatting>
  <conditionalFormatting sqref="W3">
    <cfRule type="cellIs" dxfId="4" priority="5" operator="equal">
      <formula>""""""</formula>
    </cfRule>
  </conditionalFormatting>
  <conditionalFormatting sqref="CC5:CC114">
    <cfRule type="cellIs" dxfId="3" priority="3" stopIfTrue="1" operator="equal">
      <formula>""</formula>
    </cfRule>
    <cfRule type="expression" dxfId="2" priority="4">
      <formula>""""""</formula>
    </cfRule>
  </conditionalFormatting>
  <conditionalFormatting sqref="CC4">
    <cfRule type="cellIs" dxfId="1" priority="1" stopIfTrue="1" operator="equal">
      <formula>""</formula>
    </cfRule>
    <cfRule type="expression" dxfId="0" priority="2">
      <formula>""""""</formula>
    </cfRule>
  </conditionalFormatting>
  <dataValidations count="6">
    <dataValidation type="list" allowBlank="1" showInputMessage="1" showErrorMessage="1" sqref="E9" xr:uid="{00000000-0002-0000-0700-000000000000}">
      <formula1>OFFSET(#REF!,1,0,COUNTA(#REF!))</formula1>
    </dataValidation>
    <dataValidation type="list" allowBlank="1" showInputMessage="1" showErrorMessage="1" sqref="E5" xr:uid="{00000000-0002-0000-0700-000001000000}">
      <formula1>OFFSET($E$75,1,0,COUNTA($E$76:$E$104))</formula1>
    </dataValidation>
    <dataValidation type="list" allowBlank="1" showInputMessage="1" showErrorMessage="1" sqref="E6" xr:uid="{00000000-0002-0000-0700-000002000000}">
      <formula1>OFFSET($D$49,1,0,COUNTA($D$50:$D$58))</formula1>
    </dataValidation>
    <dataValidation type="list" allowBlank="1" showInputMessage="1" showErrorMessage="1" sqref="E7" xr:uid="{00000000-0002-0000-0700-000003000000}">
      <formula1>OFFSET($F$49,1,0,COUNTA($F$50:$F$58))</formula1>
    </dataValidation>
    <dataValidation type="list" allowBlank="1" showInputMessage="1" showErrorMessage="1" sqref="E8" xr:uid="{00000000-0002-0000-0700-000004000000}">
      <formula1>OFFSET($D$62,1,0,COUNTA($D$63:$D$71))</formula1>
    </dataValidation>
    <dataValidation type="list" showInputMessage="1" showErrorMessage="1" sqref="E4" xr:uid="{00000000-0002-0000-0700-000005000000}">
      <formula1>OFFSET($D$75,1,0,COUNTA($D$76:$D$104))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AQ117"/>
  <sheetViews>
    <sheetView showGridLines="0" tabSelected="1" zoomScale="115" zoomScaleNormal="115" workbookViewId="0">
      <selection activeCell="A28" sqref="A28:L1048576"/>
    </sheetView>
  </sheetViews>
  <sheetFormatPr defaultRowHeight="16.5"/>
  <cols>
    <col min="1" max="1" width="4.25" bestFit="1" customWidth="1"/>
    <col min="2" max="3" width="9.75" bestFit="1" customWidth="1"/>
    <col min="4" max="4" width="6.25" bestFit="1" customWidth="1"/>
    <col min="5" max="5" width="8.375" bestFit="1" customWidth="1"/>
    <col min="6" max="6" width="8.125" customWidth="1"/>
    <col min="7" max="8" width="8.25" customWidth="1"/>
    <col min="9" max="9" width="7.75" bestFit="1" customWidth="1"/>
    <col min="10" max="16" width="8.25" customWidth="1"/>
    <col min="17" max="17" width="8.5" style="608" bestFit="1" customWidth="1"/>
    <col min="18" max="18" width="8.125" bestFit="1" customWidth="1"/>
    <col min="19" max="19" width="5.25" bestFit="1" customWidth="1"/>
    <col min="27" max="27" width="2.25" customWidth="1"/>
    <col min="29" max="29" width="11.375" customWidth="1"/>
    <col min="30" max="30" width="13.625" customWidth="1"/>
  </cols>
  <sheetData>
    <row r="1" spans="1:30" ht="12.6" customHeight="1">
      <c r="B1" s="606"/>
      <c r="C1" s="607" t="s">
        <v>377</v>
      </c>
      <c r="S1" s="510"/>
      <c r="T1" s="538"/>
    </row>
    <row r="2" spans="1:30" ht="12.6" customHeight="1">
      <c r="A2" s="849" t="s">
        <v>436</v>
      </c>
      <c r="B2" s="842" t="s">
        <v>378</v>
      </c>
      <c r="C2" s="842" t="s">
        <v>379</v>
      </c>
      <c r="D2" s="842" t="s">
        <v>380</v>
      </c>
      <c r="E2" s="842"/>
      <c r="F2" s="850" t="s">
        <v>368</v>
      </c>
      <c r="G2" s="851"/>
      <c r="H2" s="852"/>
      <c r="I2" s="842" t="s">
        <v>375</v>
      </c>
      <c r="J2" s="842" t="s">
        <v>381</v>
      </c>
      <c r="K2" s="842" t="s">
        <v>382</v>
      </c>
      <c r="L2" s="842" t="s">
        <v>383</v>
      </c>
      <c r="R2" s="509" t="s">
        <v>260</v>
      </c>
      <c r="S2" s="510" t="s">
        <v>261</v>
      </c>
      <c r="T2" s="511">
        <f>1/(1+$C$4)</f>
        <v>0.97799511002444994</v>
      </c>
      <c r="AB2" s="843" t="s">
        <v>262</v>
      </c>
      <c r="AC2" s="846" t="s">
        <v>263</v>
      </c>
      <c r="AD2" s="846"/>
    </row>
    <row r="3" spans="1:30">
      <c r="A3" s="842"/>
      <c r="B3" s="842"/>
      <c r="C3" s="842"/>
      <c r="D3" s="609" t="s">
        <v>384</v>
      </c>
      <c r="E3" s="609" t="s">
        <v>293</v>
      </c>
      <c r="F3" s="610" t="s">
        <v>276</v>
      </c>
      <c r="G3" s="610" t="s">
        <v>385</v>
      </c>
      <c r="H3" s="702" t="s">
        <v>413</v>
      </c>
      <c r="I3" s="842"/>
      <c r="J3" s="842"/>
      <c r="K3" s="842"/>
      <c r="L3" s="842"/>
      <c r="R3" s="514" t="s">
        <v>264</v>
      </c>
      <c r="S3" s="515" t="s">
        <v>265</v>
      </c>
      <c r="T3" s="516" t="s">
        <v>266</v>
      </c>
      <c r="U3" s="517" t="s">
        <v>267</v>
      </c>
      <c r="V3" s="518" t="s">
        <v>268</v>
      </c>
      <c r="W3" s="518" t="s">
        <v>269</v>
      </c>
      <c r="X3" s="518" t="s">
        <v>270</v>
      </c>
      <c r="Y3" s="518" t="s">
        <v>202</v>
      </c>
      <c r="Z3" s="519" t="s">
        <v>205</v>
      </c>
      <c r="AA3" s="520"/>
      <c r="AB3" s="844"/>
      <c r="AC3" s="847" t="s">
        <v>271</v>
      </c>
      <c r="AD3" s="848"/>
    </row>
    <row r="4" spans="1:30">
      <c r="A4" s="748" t="s">
        <v>435</v>
      </c>
      <c r="B4" s="610" t="s">
        <v>367</v>
      </c>
      <c r="C4" s="611">
        <v>2.2499999999999999E-2</v>
      </c>
      <c r="D4" s="612">
        <v>6</v>
      </c>
      <c r="E4" s="613">
        <f>10^D4</f>
        <v>1000000</v>
      </c>
      <c r="F4" s="614">
        <f ca="1">INDIRECT($B$4&amp;"!$K$7")</f>
        <v>1</v>
      </c>
      <c r="G4" s="614">
        <f ca="1">INDIRECT($B$4&amp;"!$L$7")</f>
        <v>1</v>
      </c>
      <c r="H4" s="703">
        <f ca="1">INDIRECT($B$4&amp;"!$L$7")</f>
        <v>1</v>
      </c>
      <c r="I4" s="615">
        <f ca="1">INDIRECT($B$4&amp;"!$F$4")</f>
        <v>1</v>
      </c>
      <c r="J4" s="615">
        <f ca="1">INDIRECT($B$4&amp;"!$E$3")</f>
        <v>0</v>
      </c>
      <c r="K4" s="615" t="s">
        <v>376</v>
      </c>
      <c r="L4" s="616">
        <f>ROW($B$13)*1</f>
        <v>13</v>
      </c>
      <c r="R4" s="521" t="s">
        <v>274</v>
      </c>
      <c r="S4" s="522" t="s">
        <v>275</v>
      </c>
      <c r="T4" s="523"/>
      <c r="U4" s="524"/>
      <c r="V4" s="524"/>
      <c r="W4" s="524"/>
      <c r="X4" s="524"/>
      <c r="Y4" s="524"/>
      <c r="Z4" s="525"/>
      <c r="AA4" s="520"/>
      <c r="AB4" s="845"/>
      <c r="AC4" s="526" t="s">
        <v>68</v>
      </c>
      <c r="AD4" s="526" t="s">
        <v>69</v>
      </c>
    </row>
    <row r="5" spans="1:30" ht="11.25" customHeight="1">
      <c r="A5" s="749" t="s">
        <v>437</v>
      </c>
      <c r="B5" s="704" t="s">
        <v>421</v>
      </c>
      <c r="C5" s="705"/>
      <c r="D5" s="705"/>
      <c r="E5" s="705"/>
      <c r="F5" s="707"/>
      <c r="G5" s="707"/>
      <c r="H5" s="707"/>
      <c r="R5" s="528">
        <v>0</v>
      </c>
      <c r="S5" s="529">
        <f ca="1">J4</f>
        <v>0</v>
      </c>
      <c r="T5" s="530">
        <v>1</v>
      </c>
      <c r="U5" s="511">
        <f ca="1">IF($R5="","",VLOOKUP($S5,$AB$5:$AD$117,2,FALSE))</f>
        <v>1.6999999999999999E-3</v>
      </c>
      <c r="V5" s="511">
        <f t="shared" ref="V5:V68" ca="1" si="0">IF($R5="","",T5*(1-U5))</f>
        <v>0.99829999999999997</v>
      </c>
      <c r="W5" s="511">
        <f t="shared" ref="W5:W68" ca="1" si="1">IF($R5="","",T5*U5*$T$2^($R5+0.5))</f>
        <v>1.6811917998761057E-3</v>
      </c>
      <c r="X5" s="531">
        <f t="shared" ref="X5:X68" ca="1" si="2">IF($R5="",0,X6+W5)</f>
        <v>1.7864346483420792E-3</v>
      </c>
      <c r="Y5" s="511">
        <f t="shared" ref="Y5:Y68" si="3">IF($R5="","",T5*$T$2^$R5)</f>
        <v>1</v>
      </c>
      <c r="Z5" s="532">
        <f t="shared" ref="Z5:Z68" ca="1" si="4">IF($R5="",0,Z6+Y5)</f>
        <v>1.9763325183374083</v>
      </c>
      <c r="AA5" s="520"/>
      <c r="AB5" s="533">
        <v>0</v>
      </c>
      <c r="AC5" s="534">
        <v>1.6999999999999999E-3</v>
      </c>
      <c r="AD5" s="534">
        <v>1.224E-3</v>
      </c>
    </row>
    <row r="6" spans="1:30" ht="11.25" customHeight="1">
      <c r="B6" s="706" t="s">
        <v>419</v>
      </c>
      <c r="C6" s="560"/>
      <c r="R6" s="528">
        <f t="shared" ref="R6:R37" ca="1" si="5">+IF(R5&gt;=$I$4,"",R5+1)</f>
        <v>1</v>
      </c>
      <c r="S6" s="529">
        <f ca="1">IF($R6="","",S5+1)</f>
        <v>1</v>
      </c>
      <c r="T6" s="530">
        <f t="shared" ref="T6:T69" ca="1" si="6">IF($R6="","",V5)</f>
        <v>0.99829999999999997</v>
      </c>
      <c r="U6" s="511">
        <f t="shared" ref="U6:U69" ca="1" si="7">IF($R6="","",VLOOKUP($S6,$AB$5:$AD$117,2,FALSE))</f>
        <v>1.0900000000000001E-4</v>
      </c>
      <c r="V6" s="511">
        <f t="shared" ca="1" si="0"/>
        <v>0.99819118529999995</v>
      </c>
      <c r="W6" s="511">
        <f t="shared" ca="1" si="1"/>
        <v>1.0524284846597354E-4</v>
      </c>
      <c r="X6" s="531">
        <f t="shared" ca="1" si="2"/>
        <v>1.0524284846597354E-4</v>
      </c>
      <c r="Y6" s="511">
        <f t="shared" ca="1" si="3"/>
        <v>0.97633251833740831</v>
      </c>
      <c r="Z6" s="532">
        <f t="shared" ca="1" si="4"/>
        <v>0.97633251833740831</v>
      </c>
      <c r="AA6" s="520"/>
      <c r="AB6" s="539">
        <f>+AB5+1</f>
        <v>1</v>
      </c>
      <c r="AC6" s="540">
        <v>1.0900000000000001E-4</v>
      </c>
      <c r="AD6" s="540">
        <v>8.3999999999999995E-5</v>
      </c>
    </row>
    <row r="7" spans="1:30" ht="11.25" customHeight="1">
      <c r="B7" s="709" t="s">
        <v>422</v>
      </c>
      <c r="C7" s="710"/>
      <c r="H7" s="706"/>
      <c r="R7" s="528" t="str">
        <f t="shared" ca="1" si="5"/>
        <v/>
      </c>
      <c r="S7" s="529" t="str">
        <f t="shared" ref="S7:S70" ca="1" si="8">IF($R7="","",S6+1)</f>
        <v/>
      </c>
      <c r="T7" s="530" t="str">
        <f t="shared" ca="1" si="6"/>
        <v/>
      </c>
      <c r="U7" s="511" t="str">
        <f t="shared" ca="1" si="7"/>
        <v/>
      </c>
      <c r="V7" s="511" t="str">
        <f t="shared" ca="1" si="0"/>
        <v/>
      </c>
      <c r="W7" s="511" t="str">
        <f t="shared" ca="1" si="1"/>
        <v/>
      </c>
      <c r="X7" s="531">
        <f t="shared" ca="1" si="2"/>
        <v>0</v>
      </c>
      <c r="Y7" s="511" t="str">
        <f t="shared" ca="1" si="3"/>
        <v/>
      </c>
      <c r="Z7" s="532">
        <f t="shared" ca="1" si="4"/>
        <v>0</v>
      </c>
      <c r="AA7" s="520"/>
      <c r="AB7" s="539">
        <f t="shared" ref="AB7:AB70" si="9">+AB6+1</f>
        <v>2</v>
      </c>
      <c r="AC7" s="540">
        <v>8.7000000000000001E-5</v>
      </c>
      <c r="AD7" s="540">
        <v>6.7999999999999999E-5</v>
      </c>
    </row>
    <row r="8" spans="1:30" ht="11.25" customHeight="1">
      <c r="B8" s="584" t="s">
        <v>278</v>
      </c>
      <c r="G8" s="786"/>
      <c r="J8" s="584" t="s">
        <v>370</v>
      </c>
      <c r="K8" s="512"/>
      <c r="R8" s="528" t="str">
        <f t="shared" ca="1" si="5"/>
        <v/>
      </c>
      <c r="S8" s="529" t="str">
        <f t="shared" ca="1" si="8"/>
        <v/>
      </c>
      <c r="T8" s="530" t="str">
        <f t="shared" ca="1" si="6"/>
        <v/>
      </c>
      <c r="U8" s="511" t="str">
        <f t="shared" ca="1" si="7"/>
        <v/>
      </c>
      <c r="V8" s="511" t="str">
        <f t="shared" ca="1" si="0"/>
        <v/>
      </c>
      <c r="W8" s="511" t="str">
        <f t="shared" ca="1" si="1"/>
        <v/>
      </c>
      <c r="X8" s="531">
        <f t="shared" ca="1" si="2"/>
        <v>0</v>
      </c>
      <c r="Y8" s="511" t="str">
        <f t="shared" ca="1" si="3"/>
        <v/>
      </c>
      <c r="Z8" s="532">
        <f t="shared" ca="1" si="4"/>
        <v>0</v>
      </c>
      <c r="AA8" s="520"/>
      <c r="AB8" s="539">
        <f t="shared" si="9"/>
        <v>3</v>
      </c>
      <c r="AC8" s="540">
        <v>7.6000000000000004E-5</v>
      </c>
      <c r="AD8" s="540">
        <v>5.1E-5</v>
      </c>
    </row>
    <row r="9" spans="1:30" ht="11.25" customHeight="1">
      <c r="B9" s="617" t="s">
        <v>279</v>
      </c>
      <c r="C9" s="617" t="str">
        <f>F3</f>
        <v>무해지</v>
      </c>
      <c r="D9" s="617" t="str">
        <f>G3</f>
        <v>유해지</v>
      </c>
      <c r="E9" s="701" t="s">
        <v>386</v>
      </c>
      <c r="J9" s="584"/>
      <c r="K9" s="512"/>
      <c r="R9" s="528" t="str">
        <f t="shared" ca="1" si="5"/>
        <v/>
      </c>
      <c r="S9" s="529" t="str">
        <f t="shared" ca="1" si="8"/>
        <v/>
      </c>
      <c r="T9" s="530" t="str">
        <f t="shared" ca="1" si="6"/>
        <v/>
      </c>
      <c r="U9" s="511" t="str">
        <f t="shared" ca="1" si="7"/>
        <v/>
      </c>
      <c r="V9" s="511" t="str">
        <f t="shared" ca="1" si="0"/>
        <v/>
      </c>
      <c r="W9" s="511" t="str">
        <f t="shared" ca="1" si="1"/>
        <v/>
      </c>
      <c r="X9" s="531">
        <f t="shared" ca="1" si="2"/>
        <v>0</v>
      </c>
      <c r="Y9" s="511" t="str">
        <f t="shared" ca="1" si="3"/>
        <v/>
      </c>
      <c r="Z9" s="532">
        <f t="shared" ca="1" si="4"/>
        <v>0</v>
      </c>
      <c r="AA9" s="520"/>
      <c r="AB9" s="539">
        <f t="shared" si="9"/>
        <v>4</v>
      </c>
      <c r="AC9" s="540">
        <v>6.4999999999999994E-5</v>
      </c>
      <c r="AD9" s="540">
        <v>3.4E-5</v>
      </c>
    </row>
    <row r="10" spans="1:30" ht="11.25" customHeight="1">
      <c r="B10" s="617" t="s">
        <v>371</v>
      </c>
      <c r="C10" s="582">
        <v>4.58E-2</v>
      </c>
      <c r="D10" s="582">
        <v>6.2399999999999997E-2</v>
      </c>
      <c r="E10" s="582">
        <v>7.0000000000000001E-3</v>
      </c>
      <c r="J10" s="618" t="str">
        <f>IF(COUNTIFS($P$13:$P$97,"error")=0, "OK","Check")</f>
        <v>OK</v>
      </c>
      <c r="K10" s="512"/>
      <c r="R10" s="528" t="str">
        <f t="shared" ca="1" si="5"/>
        <v/>
      </c>
      <c r="S10" s="529" t="str">
        <f t="shared" ca="1" si="8"/>
        <v/>
      </c>
      <c r="T10" s="530" t="str">
        <f t="shared" ca="1" si="6"/>
        <v/>
      </c>
      <c r="U10" s="511" t="str">
        <f t="shared" ca="1" si="7"/>
        <v/>
      </c>
      <c r="V10" s="511" t="str">
        <f t="shared" ca="1" si="0"/>
        <v/>
      </c>
      <c r="W10" s="511" t="str">
        <f t="shared" ca="1" si="1"/>
        <v/>
      </c>
      <c r="X10" s="531">
        <f t="shared" ca="1" si="2"/>
        <v>0</v>
      </c>
      <c r="Y10" s="511" t="str">
        <f t="shared" ca="1" si="3"/>
        <v/>
      </c>
      <c r="Z10" s="532">
        <f t="shared" ca="1" si="4"/>
        <v>0</v>
      </c>
      <c r="AA10" s="520"/>
      <c r="AB10" s="539">
        <f t="shared" si="9"/>
        <v>5</v>
      </c>
      <c r="AC10" s="540">
        <v>4.3999999999999999E-5</v>
      </c>
      <c r="AD10" s="540">
        <v>3.4E-5</v>
      </c>
    </row>
    <row r="11" spans="1:30" ht="11.25" customHeight="1">
      <c r="J11" s="584"/>
      <c r="K11" s="512"/>
      <c r="R11" s="528" t="str">
        <f t="shared" ca="1" si="5"/>
        <v/>
      </c>
      <c r="S11" s="529" t="str">
        <f t="shared" ca="1" si="8"/>
        <v/>
      </c>
      <c r="T11" s="530" t="str">
        <f t="shared" ca="1" si="6"/>
        <v/>
      </c>
      <c r="U11" s="511" t="str">
        <f t="shared" ca="1" si="7"/>
        <v/>
      </c>
      <c r="V11" s="511" t="str">
        <f t="shared" ca="1" si="0"/>
        <v/>
      </c>
      <c r="W11" s="511" t="str">
        <f t="shared" ca="1" si="1"/>
        <v/>
      </c>
      <c r="X11" s="531">
        <f t="shared" ca="1" si="2"/>
        <v>0</v>
      </c>
      <c r="Y11" s="511" t="str">
        <f t="shared" ca="1" si="3"/>
        <v/>
      </c>
      <c r="Z11" s="532">
        <f t="shared" ca="1" si="4"/>
        <v>0</v>
      </c>
      <c r="AA11" s="520"/>
      <c r="AB11" s="539">
        <f t="shared" si="9"/>
        <v>6</v>
      </c>
      <c r="AC11" s="540">
        <v>3.1000000000000001E-5</v>
      </c>
      <c r="AD11" s="540">
        <v>2.4000000000000001E-5</v>
      </c>
    </row>
    <row r="12" spans="1:30" ht="11.25" customHeight="1">
      <c r="B12" s="581" t="s">
        <v>279</v>
      </c>
      <c r="C12" s="662" t="s">
        <v>280</v>
      </c>
      <c r="D12" s="581" t="s">
        <v>281</v>
      </c>
      <c r="E12" s="581" t="s">
        <v>272</v>
      </c>
      <c r="F12" s="581" t="s">
        <v>368</v>
      </c>
      <c r="G12" s="619" t="s">
        <v>369</v>
      </c>
      <c r="H12" s="581" t="s">
        <v>273</v>
      </c>
      <c r="I12" s="513"/>
      <c r="J12" s="581" t="s">
        <v>279</v>
      </c>
      <c r="K12" s="581" t="s">
        <v>280</v>
      </c>
      <c r="L12" s="581" t="s">
        <v>281</v>
      </c>
      <c r="M12" s="581" t="s">
        <v>272</v>
      </c>
      <c r="N12" s="581" t="s">
        <v>303</v>
      </c>
      <c r="O12" s="619" t="s">
        <v>304</v>
      </c>
      <c r="P12" s="581" t="s">
        <v>282</v>
      </c>
      <c r="R12" s="528" t="str">
        <f t="shared" ca="1" si="5"/>
        <v/>
      </c>
      <c r="S12" s="529" t="str">
        <f t="shared" ca="1" si="8"/>
        <v/>
      </c>
      <c r="T12" s="530" t="str">
        <f t="shared" ca="1" si="6"/>
        <v/>
      </c>
      <c r="U12" s="511" t="str">
        <f t="shared" ca="1" si="7"/>
        <v/>
      </c>
      <c r="V12" s="511" t="str">
        <f t="shared" ca="1" si="0"/>
        <v/>
      </c>
      <c r="W12" s="511" t="str">
        <f t="shared" ca="1" si="1"/>
        <v/>
      </c>
      <c r="X12" s="531">
        <f t="shared" ca="1" si="2"/>
        <v>0</v>
      </c>
      <c r="Y12" s="511" t="str">
        <f t="shared" ca="1" si="3"/>
        <v/>
      </c>
      <c r="Z12" s="532">
        <f t="shared" ca="1" si="4"/>
        <v>0</v>
      </c>
      <c r="AA12" s="520"/>
      <c r="AB12" s="539">
        <f t="shared" si="9"/>
        <v>7</v>
      </c>
      <c r="AC12" s="540">
        <v>4.0000000000000003E-5</v>
      </c>
      <c r="AD12" s="540">
        <v>2.9E-5</v>
      </c>
    </row>
    <row r="13" spans="1:30" ht="11.25" customHeight="1">
      <c r="A13" s="541"/>
      <c r="B13" s="663" t="s">
        <v>166</v>
      </c>
      <c r="C13" s="536">
        <v>100</v>
      </c>
      <c r="D13" s="536">
        <v>30</v>
      </c>
      <c r="E13" s="537">
        <v>8</v>
      </c>
      <c r="F13" s="538">
        <v>30</v>
      </c>
      <c r="G13" s="538">
        <v>655</v>
      </c>
      <c r="H13" s="621">
        <f>+IF(G13="","",F13/$G13)</f>
        <v>4.5801526717557252E-2</v>
      </c>
      <c r="I13" s="513"/>
      <c r="J13" s="663" t="s">
        <v>166</v>
      </c>
      <c r="K13" s="536">
        <v>100</v>
      </c>
      <c r="L13" s="536">
        <v>30</v>
      </c>
      <c r="M13" s="537">
        <v>8</v>
      </c>
      <c r="N13" s="527">
        <v>949</v>
      </c>
      <c r="O13" s="527">
        <v>893</v>
      </c>
      <c r="P13" s="620" t="str">
        <f>+IF(J13="","",IF(O13&gt;N13,"error","OK"))</f>
        <v>OK</v>
      </c>
      <c r="Q13" s="608">
        <f>O13/N13</f>
        <v>0.94099051633298214</v>
      </c>
      <c r="R13" s="528" t="str">
        <f t="shared" ca="1" si="5"/>
        <v/>
      </c>
      <c r="S13" s="529" t="str">
        <f t="shared" ca="1" si="8"/>
        <v/>
      </c>
      <c r="T13" s="530" t="str">
        <f t="shared" ca="1" si="6"/>
        <v/>
      </c>
      <c r="U13" s="511" t="str">
        <f t="shared" ca="1" si="7"/>
        <v/>
      </c>
      <c r="V13" s="511" t="str">
        <f t="shared" ca="1" si="0"/>
        <v/>
      </c>
      <c r="W13" s="511" t="str">
        <f t="shared" ca="1" si="1"/>
        <v/>
      </c>
      <c r="X13" s="531">
        <f t="shared" ca="1" si="2"/>
        <v>0</v>
      </c>
      <c r="Y13" s="511" t="str">
        <f t="shared" ca="1" si="3"/>
        <v/>
      </c>
      <c r="Z13" s="532">
        <f t="shared" ca="1" si="4"/>
        <v>0</v>
      </c>
      <c r="AA13" s="520"/>
      <c r="AB13" s="539">
        <f t="shared" si="9"/>
        <v>8</v>
      </c>
      <c r="AC13" s="540">
        <v>4.0000000000000003E-5</v>
      </c>
      <c r="AD13" s="540">
        <v>2.8E-5</v>
      </c>
    </row>
    <row r="14" spans="1:30" ht="11.25" customHeight="1">
      <c r="A14" s="541"/>
      <c r="B14" s="663" t="s">
        <v>166</v>
      </c>
      <c r="C14" s="536">
        <v>100</v>
      </c>
      <c r="D14" s="536">
        <v>30</v>
      </c>
      <c r="E14" s="537">
        <v>7</v>
      </c>
      <c r="F14" s="538">
        <v>30</v>
      </c>
      <c r="G14" s="538">
        <v>641</v>
      </c>
      <c r="H14" s="621">
        <f>+IF(G14="",0,F14/$G14)</f>
        <v>4.6801872074882997E-2</v>
      </c>
      <c r="I14" s="513"/>
      <c r="J14" s="663" t="s">
        <v>166</v>
      </c>
      <c r="K14" s="536">
        <v>100</v>
      </c>
      <c r="L14" s="536">
        <v>30</v>
      </c>
      <c r="M14" s="537">
        <v>7</v>
      </c>
      <c r="N14" s="538">
        <v>938</v>
      </c>
      <c r="O14" s="538">
        <v>884</v>
      </c>
      <c r="P14" s="622" t="str">
        <f t="shared" ref="P14:P51" si="10">+IF(J14="","",IF(O14&gt;N14,"error","OK"))</f>
        <v>OK</v>
      </c>
      <c r="Q14" s="608">
        <f t="shared" ref="Q14:Q19" si="11">O14/N14</f>
        <v>0.94243070362473347</v>
      </c>
      <c r="R14" s="528" t="str">
        <f t="shared" ca="1" si="5"/>
        <v/>
      </c>
      <c r="S14" s="529" t="str">
        <f t="shared" ca="1" si="8"/>
        <v/>
      </c>
      <c r="T14" s="530" t="str">
        <f t="shared" ca="1" si="6"/>
        <v/>
      </c>
      <c r="U14" s="511" t="str">
        <f t="shared" ca="1" si="7"/>
        <v/>
      </c>
      <c r="V14" s="511" t="str">
        <f t="shared" ca="1" si="0"/>
        <v/>
      </c>
      <c r="W14" s="511" t="str">
        <f t="shared" ca="1" si="1"/>
        <v/>
      </c>
      <c r="X14" s="531">
        <f t="shared" ca="1" si="2"/>
        <v>0</v>
      </c>
      <c r="Y14" s="511" t="str">
        <f t="shared" ca="1" si="3"/>
        <v/>
      </c>
      <c r="Z14" s="532">
        <f t="shared" ca="1" si="4"/>
        <v>0</v>
      </c>
      <c r="AA14" s="520"/>
      <c r="AB14" s="539">
        <f t="shared" si="9"/>
        <v>9</v>
      </c>
      <c r="AC14" s="540">
        <v>4.5000000000000003E-5</v>
      </c>
      <c r="AD14" s="540">
        <v>2.8E-5</v>
      </c>
    </row>
    <row r="15" spans="1:30" ht="11.25" customHeight="1">
      <c r="A15" s="541"/>
      <c r="B15" s="663" t="s">
        <v>385</v>
      </c>
      <c r="C15" s="536">
        <v>30</v>
      </c>
      <c r="D15" s="661">
        <v>22</v>
      </c>
      <c r="E15" s="537">
        <v>8</v>
      </c>
      <c r="F15" s="538">
        <v>7</v>
      </c>
      <c r="G15" s="538">
        <v>18</v>
      </c>
      <c r="H15" s="621">
        <f t="shared" ref="H15:H27" si="12">+IF(G15="","",F15/$G15)</f>
        <v>0.3888888888888889</v>
      </c>
      <c r="I15" s="513"/>
      <c r="J15" s="663" t="s">
        <v>385</v>
      </c>
      <c r="K15" s="536">
        <v>30</v>
      </c>
      <c r="L15" s="661">
        <v>10</v>
      </c>
      <c r="M15" s="537">
        <v>8</v>
      </c>
      <c r="N15" s="538">
        <v>712</v>
      </c>
      <c r="O15" s="538">
        <v>571</v>
      </c>
      <c r="P15" s="622" t="str">
        <f t="shared" si="10"/>
        <v>OK</v>
      </c>
      <c r="Q15" s="608">
        <f t="shared" si="11"/>
        <v>0.8019662921348315</v>
      </c>
      <c r="R15" s="528" t="str">
        <f t="shared" ca="1" si="5"/>
        <v/>
      </c>
      <c r="S15" s="529" t="str">
        <f t="shared" ca="1" si="8"/>
        <v/>
      </c>
      <c r="T15" s="530" t="str">
        <f t="shared" ca="1" si="6"/>
        <v/>
      </c>
      <c r="U15" s="511" t="str">
        <f t="shared" ca="1" si="7"/>
        <v/>
      </c>
      <c r="V15" s="511" t="str">
        <f t="shared" ca="1" si="0"/>
        <v/>
      </c>
      <c r="W15" s="511" t="str">
        <f t="shared" ca="1" si="1"/>
        <v/>
      </c>
      <c r="X15" s="531">
        <f t="shared" ca="1" si="2"/>
        <v>0</v>
      </c>
      <c r="Y15" s="511" t="str">
        <f t="shared" ca="1" si="3"/>
        <v/>
      </c>
      <c r="Z15" s="532">
        <f t="shared" ca="1" si="4"/>
        <v>0</v>
      </c>
      <c r="AA15" s="520"/>
      <c r="AB15" s="539">
        <f t="shared" si="9"/>
        <v>10</v>
      </c>
      <c r="AC15" s="540">
        <v>5.1E-5</v>
      </c>
      <c r="AD15" s="540">
        <v>3.0000000000000001E-5</v>
      </c>
    </row>
    <row r="16" spans="1:30" ht="11.25" customHeight="1">
      <c r="A16" s="541"/>
      <c r="B16" s="663" t="s">
        <v>385</v>
      </c>
      <c r="C16" s="536">
        <v>30</v>
      </c>
      <c r="D16" s="661">
        <v>23</v>
      </c>
      <c r="E16" s="537">
        <v>7</v>
      </c>
      <c r="F16" s="538">
        <v>7</v>
      </c>
      <c r="G16" s="538">
        <v>17</v>
      </c>
      <c r="H16" s="621">
        <f t="shared" si="12"/>
        <v>0.41176470588235292</v>
      </c>
      <c r="I16" s="513"/>
      <c r="J16" s="663" t="s">
        <v>385</v>
      </c>
      <c r="K16" s="536">
        <v>30</v>
      </c>
      <c r="L16" s="661">
        <v>10</v>
      </c>
      <c r="M16" s="537">
        <v>7</v>
      </c>
      <c r="N16" s="538">
        <v>711</v>
      </c>
      <c r="O16" s="538">
        <v>570</v>
      </c>
      <c r="P16" s="622" t="str">
        <f t="shared" si="10"/>
        <v>OK</v>
      </c>
      <c r="Q16" s="608">
        <f t="shared" si="11"/>
        <v>0.80168776371308015</v>
      </c>
      <c r="R16" s="528" t="str">
        <f t="shared" ca="1" si="5"/>
        <v/>
      </c>
      <c r="S16" s="529" t="str">
        <f t="shared" ca="1" si="8"/>
        <v/>
      </c>
      <c r="T16" s="530" t="str">
        <f t="shared" ca="1" si="6"/>
        <v/>
      </c>
      <c r="U16" s="511" t="str">
        <f t="shared" ca="1" si="7"/>
        <v/>
      </c>
      <c r="V16" s="511" t="str">
        <f t="shared" ca="1" si="0"/>
        <v/>
      </c>
      <c r="W16" s="511" t="str">
        <f t="shared" ca="1" si="1"/>
        <v/>
      </c>
      <c r="X16" s="531">
        <f t="shared" ca="1" si="2"/>
        <v>0</v>
      </c>
      <c r="Y16" s="511" t="str">
        <f t="shared" ca="1" si="3"/>
        <v/>
      </c>
      <c r="Z16" s="532">
        <f t="shared" ca="1" si="4"/>
        <v>0</v>
      </c>
      <c r="AA16" s="520"/>
      <c r="AB16" s="539">
        <f t="shared" si="9"/>
        <v>11</v>
      </c>
      <c r="AC16" s="540">
        <v>6.0000000000000002E-5</v>
      </c>
      <c r="AD16" s="540">
        <v>3.3000000000000003E-5</v>
      </c>
    </row>
    <row r="17" spans="1:30" ht="11.25" customHeight="1">
      <c r="A17" s="541"/>
      <c r="B17" s="663" t="s">
        <v>277</v>
      </c>
      <c r="C17" s="536">
        <v>100</v>
      </c>
      <c r="D17" s="536">
        <v>30</v>
      </c>
      <c r="E17" s="537">
        <v>8</v>
      </c>
      <c r="F17" s="538">
        <v>41</v>
      </c>
      <c r="G17" s="538">
        <v>655</v>
      </c>
      <c r="H17" s="621">
        <f t="shared" si="12"/>
        <v>6.2595419847328249E-2</v>
      </c>
      <c r="I17" s="513"/>
      <c r="J17" s="663" t="s">
        <v>277</v>
      </c>
      <c r="K17" s="536">
        <v>100</v>
      </c>
      <c r="L17" s="536">
        <v>30</v>
      </c>
      <c r="M17" s="537">
        <v>8</v>
      </c>
      <c r="N17" s="538">
        <v>1287</v>
      </c>
      <c r="O17" s="538">
        <v>1030</v>
      </c>
      <c r="P17" s="622" t="str">
        <f t="shared" si="10"/>
        <v>OK</v>
      </c>
      <c r="Q17" s="608">
        <f t="shared" si="11"/>
        <v>0.80031080031080026</v>
      </c>
      <c r="R17" s="528" t="str">
        <f t="shared" ca="1" si="5"/>
        <v/>
      </c>
      <c r="S17" s="529" t="str">
        <f t="shared" ca="1" si="8"/>
        <v/>
      </c>
      <c r="T17" s="530" t="str">
        <f t="shared" ca="1" si="6"/>
        <v/>
      </c>
      <c r="U17" s="511" t="str">
        <f t="shared" ca="1" si="7"/>
        <v/>
      </c>
      <c r="V17" s="511" t="str">
        <f t="shared" ca="1" si="0"/>
        <v/>
      </c>
      <c r="W17" s="511" t="str">
        <f t="shared" ca="1" si="1"/>
        <v/>
      </c>
      <c r="X17" s="531">
        <f t="shared" ca="1" si="2"/>
        <v>0</v>
      </c>
      <c r="Y17" s="511" t="str">
        <f t="shared" ca="1" si="3"/>
        <v/>
      </c>
      <c r="Z17" s="532">
        <f t="shared" ca="1" si="4"/>
        <v>0</v>
      </c>
      <c r="AA17" s="520"/>
      <c r="AB17" s="539">
        <f t="shared" si="9"/>
        <v>12</v>
      </c>
      <c r="AC17" s="540">
        <v>7.4999999999999993E-5</v>
      </c>
      <c r="AD17" s="540">
        <v>4.0000000000000003E-5</v>
      </c>
    </row>
    <row r="18" spans="1:30" ht="11.25" customHeight="1">
      <c r="A18" s="541"/>
      <c r="B18" s="663" t="s">
        <v>277</v>
      </c>
      <c r="C18" s="536">
        <v>100</v>
      </c>
      <c r="D18" s="536">
        <v>30</v>
      </c>
      <c r="E18" s="537">
        <v>7</v>
      </c>
      <c r="F18" s="538">
        <v>40</v>
      </c>
      <c r="G18" s="538">
        <v>641</v>
      </c>
      <c r="H18" s="621">
        <f t="shared" si="12"/>
        <v>6.2402496099843996E-2</v>
      </c>
      <c r="I18" s="513"/>
      <c r="J18" s="663" t="s">
        <v>277</v>
      </c>
      <c r="K18" s="536">
        <v>100</v>
      </c>
      <c r="L18" s="536">
        <v>30</v>
      </c>
      <c r="M18" s="537">
        <v>7</v>
      </c>
      <c r="N18" s="538">
        <v>1273</v>
      </c>
      <c r="O18" s="538">
        <v>1020</v>
      </c>
      <c r="P18" s="622" t="str">
        <f t="shared" si="10"/>
        <v>OK</v>
      </c>
      <c r="Q18" s="608">
        <f t="shared" si="11"/>
        <v>0.80125687352710129</v>
      </c>
      <c r="R18" s="528" t="str">
        <f t="shared" ca="1" si="5"/>
        <v/>
      </c>
      <c r="S18" s="529" t="str">
        <f t="shared" ca="1" si="8"/>
        <v/>
      </c>
      <c r="T18" s="530" t="str">
        <f t="shared" ca="1" si="6"/>
        <v/>
      </c>
      <c r="U18" s="511" t="str">
        <f t="shared" ca="1" si="7"/>
        <v/>
      </c>
      <c r="V18" s="511" t="str">
        <f t="shared" ca="1" si="0"/>
        <v/>
      </c>
      <c r="W18" s="511" t="str">
        <f t="shared" ca="1" si="1"/>
        <v/>
      </c>
      <c r="X18" s="531">
        <f t="shared" ca="1" si="2"/>
        <v>0</v>
      </c>
      <c r="Y18" s="511" t="str">
        <f t="shared" ca="1" si="3"/>
        <v/>
      </c>
      <c r="Z18" s="532">
        <f t="shared" ca="1" si="4"/>
        <v>0</v>
      </c>
      <c r="AA18" s="520"/>
      <c r="AB18" s="539">
        <f t="shared" si="9"/>
        <v>13</v>
      </c>
      <c r="AC18" s="540">
        <v>9.8999999999999994E-5</v>
      </c>
      <c r="AD18" s="540">
        <v>5.1999999999999997E-5</v>
      </c>
    </row>
    <row r="19" spans="1:30" ht="11.25" customHeight="1">
      <c r="A19" s="541"/>
      <c r="B19" s="697" t="s">
        <v>386</v>
      </c>
      <c r="C19" s="698">
        <v>1</v>
      </c>
      <c r="D19" s="699">
        <v>1</v>
      </c>
      <c r="E19" s="700">
        <v>0</v>
      </c>
      <c r="F19" s="538">
        <v>1</v>
      </c>
      <c r="G19" s="538">
        <v>142</v>
      </c>
      <c r="H19" s="621">
        <f t="shared" si="12"/>
        <v>7.0422535211267607E-3</v>
      </c>
      <c r="I19" s="513"/>
      <c r="J19" s="697" t="s">
        <v>386</v>
      </c>
      <c r="K19" s="698">
        <v>1</v>
      </c>
      <c r="L19" s="699">
        <v>1</v>
      </c>
      <c r="M19" s="700">
        <v>0</v>
      </c>
      <c r="N19" s="538">
        <v>70</v>
      </c>
      <c r="O19" s="538">
        <v>0</v>
      </c>
      <c r="P19" s="622" t="str">
        <f t="shared" si="10"/>
        <v>OK</v>
      </c>
      <c r="Q19" s="608">
        <f t="shared" si="11"/>
        <v>0</v>
      </c>
      <c r="R19" s="528" t="str">
        <f t="shared" ca="1" si="5"/>
        <v/>
      </c>
      <c r="S19" s="529" t="str">
        <f t="shared" ca="1" si="8"/>
        <v/>
      </c>
      <c r="T19" s="530" t="str">
        <f t="shared" ca="1" si="6"/>
        <v/>
      </c>
      <c r="U19" s="511" t="str">
        <f t="shared" ca="1" si="7"/>
        <v/>
      </c>
      <c r="V19" s="511" t="str">
        <f t="shared" ca="1" si="0"/>
        <v/>
      </c>
      <c r="W19" s="511" t="str">
        <f t="shared" ca="1" si="1"/>
        <v/>
      </c>
      <c r="X19" s="531">
        <f t="shared" ca="1" si="2"/>
        <v>0</v>
      </c>
      <c r="Y19" s="511" t="str">
        <f t="shared" ca="1" si="3"/>
        <v/>
      </c>
      <c r="Z19" s="532">
        <f t="shared" ca="1" si="4"/>
        <v>0</v>
      </c>
      <c r="AA19" s="520"/>
      <c r="AB19" s="539">
        <f t="shared" si="9"/>
        <v>14</v>
      </c>
      <c r="AC19" s="540">
        <v>1.2899999999999999E-4</v>
      </c>
      <c r="AD19" s="540">
        <v>6.8999999999999997E-5</v>
      </c>
    </row>
    <row r="20" spans="1:30" ht="11.25" customHeight="1">
      <c r="A20" s="541"/>
      <c r="B20" s="663"/>
      <c r="C20" s="536"/>
      <c r="D20" s="536"/>
      <c r="E20" s="537"/>
      <c r="F20" s="538"/>
      <c r="G20" s="538"/>
      <c r="H20" s="621"/>
      <c r="I20" s="513"/>
      <c r="J20" s="535"/>
      <c r="K20" s="535"/>
      <c r="L20" s="623"/>
      <c r="M20" s="624"/>
      <c r="N20" s="538"/>
      <c r="O20" s="538"/>
      <c r="P20" s="622" t="str">
        <f t="shared" si="10"/>
        <v/>
      </c>
      <c r="R20" s="528" t="str">
        <f t="shared" ca="1" si="5"/>
        <v/>
      </c>
      <c r="S20" s="529" t="str">
        <f t="shared" ca="1" si="8"/>
        <v/>
      </c>
      <c r="T20" s="530" t="str">
        <f t="shared" ca="1" si="6"/>
        <v/>
      </c>
      <c r="U20" s="511" t="str">
        <f t="shared" ca="1" si="7"/>
        <v/>
      </c>
      <c r="V20" s="511" t="str">
        <f t="shared" ca="1" si="0"/>
        <v/>
      </c>
      <c r="W20" s="511" t="str">
        <f t="shared" ca="1" si="1"/>
        <v/>
      </c>
      <c r="X20" s="531">
        <f t="shared" ca="1" si="2"/>
        <v>0</v>
      </c>
      <c r="Y20" s="511" t="str">
        <f t="shared" ca="1" si="3"/>
        <v/>
      </c>
      <c r="Z20" s="532">
        <f t="shared" ca="1" si="4"/>
        <v>0</v>
      </c>
      <c r="AA20" s="520"/>
      <c r="AB20" s="539">
        <f t="shared" si="9"/>
        <v>15</v>
      </c>
      <c r="AC20" s="540">
        <v>1.63E-4</v>
      </c>
      <c r="AD20" s="540">
        <v>8.7000000000000001E-5</v>
      </c>
    </row>
    <row r="21" spans="1:30" ht="11.25" customHeight="1">
      <c r="A21" s="541"/>
      <c r="B21" s="663"/>
      <c r="C21" s="536"/>
      <c r="D21" s="536"/>
      <c r="E21" s="537"/>
      <c r="F21" s="538"/>
      <c r="G21" s="538"/>
      <c r="H21" s="621"/>
      <c r="I21" s="513"/>
      <c r="J21" s="535"/>
      <c r="K21" s="535"/>
      <c r="L21" s="546"/>
      <c r="M21" s="542"/>
      <c r="N21" s="538"/>
      <c r="O21" s="538"/>
      <c r="P21" s="622" t="str">
        <f t="shared" si="10"/>
        <v/>
      </c>
      <c r="R21" s="528" t="str">
        <f t="shared" ca="1" si="5"/>
        <v/>
      </c>
      <c r="S21" s="529" t="str">
        <f t="shared" ca="1" si="8"/>
        <v/>
      </c>
      <c r="T21" s="530" t="str">
        <f t="shared" ca="1" si="6"/>
        <v/>
      </c>
      <c r="U21" s="511" t="str">
        <f t="shared" ca="1" si="7"/>
        <v/>
      </c>
      <c r="V21" s="511" t="str">
        <f t="shared" ca="1" si="0"/>
        <v/>
      </c>
      <c r="W21" s="511" t="str">
        <f t="shared" ca="1" si="1"/>
        <v/>
      </c>
      <c r="X21" s="531">
        <f t="shared" ca="1" si="2"/>
        <v>0</v>
      </c>
      <c r="Y21" s="511" t="str">
        <f t="shared" ca="1" si="3"/>
        <v/>
      </c>
      <c r="Z21" s="532">
        <f t="shared" ca="1" si="4"/>
        <v>0</v>
      </c>
      <c r="AA21" s="520"/>
      <c r="AB21" s="539">
        <f t="shared" si="9"/>
        <v>16</v>
      </c>
      <c r="AC21" s="540">
        <v>1.95E-4</v>
      </c>
      <c r="AD21" s="540">
        <v>1.05E-4</v>
      </c>
    </row>
    <row r="22" spans="1:30" ht="11.25" customHeight="1">
      <c r="A22" s="541"/>
      <c r="B22" s="663"/>
      <c r="C22" s="536"/>
      <c r="D22" s="536"/>
      <c r="E22" s="537"/>
      <c r="F22" s="538"/>
      <c r="G22" s="538"/>
      <c r="H22" s="621" t="str">
        <f t="shared" si="12"/>
        <v/>
      </c>
      <c r="I22" s="513"/>
      <c r="J22" s="535"/>
      <c r="K22" s="535"/>
      <c r="L22" s="546"/>
      <c r="M22" s="542"/>
      <c r="N22" s="538"/>
      <c r="O22" s="538"/>
      <c r="P22" s="622" t="str">
        <f t="shared" si="10"/>
        <v/>
      </c>
      <c r="R22" s="528" t="str">
        <f t="shared" ca="1" si="5"/>
        <v/>
      </c>
      <c r="S22" s="529" t="str">
        <f t="shared" ca="1" si="8"/>
        <v/>
      </c>
      <c r="T22" s="530" t="str">
        <f t="shared" ca="1" si="6"/>
        <v/>
      </c>
      <c r="U22" s="511" t="str">
        <f t="shared" ca="1" si="7"/>
        <v/>
      </c>
      <c r="V22" s="511" t="str">
        <f t="shared" ca="1" si="0"/>
        <v/>
      </c>
      <c r="W22" s="511" t="str">
        <f t="shared" ca="1" si="1"/>
        <v/>
      </c>
      <c r="X22" s="531">
        <f t="shared" ca="1" si="2"/>
        <v>0</v>
      </c>
      <c r="Y22" s="511" t="str">
        <f t="shared" ca="1" si="3"/>
        <v/>
      </c>
      <c r="Z22" s="532">
        <f t="shared" ca="1" si="4"/>
        <v>0</v>
      </c>
      <c r="AA22" s="520"/>
      <c r="AB22" s="539">
        <f t="shared" si="9"/>
        <v>17</v>
      </c>
      <c r="AC22" s="540">
        <v>2.2100000000000001E-4</v>
      </c>
      <c r="AD22" s="540">
        <v>1.22E-4</v>
      </c>
    </row>
    <row r="23" spans="1:30" ht="11.25" customHeight="1">
      <c r="A23" s="541"/>
      <c r="B23" s="663"/>
      <c r="C23" s="536"/>
      <c r="D23" s="536"/>
      <c r="E23" s="537"/>
      <c r="F23" s="538"/>
      <c r="G23" s="538"/>
      <c r="H23" s="621" t="str">
        <f t="shared" si="12"/>
        <v/>
      </c>
      <c r="I23" s="513"/>
      <c r="J23" s="535"/>
      <c r="K23" s="535"/>
      <c r="L23" s="546"/>
      <c r="M23" s="542"/>
      <c r="N23" s="538"/>
      <c r="O23" s="538"/>
      <c r="P23" s="622" t="str">
        <f t="shared" si="10"/>
        <v/>
      </c>
      <c r="R23" s="528" t="str">
        <f t="shared" ca="1" si="5"/>
        <v/>
      </c>
      <c r="S23" s="529" t="str">
        <f t="shared" ca="1" si="8"/>
        <v/>
      </c>
      <c r="T23" s="530" t="str">
        <f t="shared" ca="1" si="6"/>
        <v/>
      </c>
      <c r="U23" s="511" t="str">
        <f t="shared" ca="1" si="7"/>
        <v/>
      </c>
      <c r="V23" s="511" t="str">
        <f t="shared" ca="1" si="0"/>
        <v/>
      </c>
      <c r="W23" s="511" t="str">
        <f t="shared" ca="1" si="1"/>
        <v/>
      </c>
      <c r="X23" s="531">
        <f t="shared" ca="1" si="2"/>
        <v>0</v>
      </c>
      <c r="Y23" s="511" t="str">
        <f t="shared" ca="1" si="3"/>
        <v/>
      </c>
      <c r="Z23" s="532">
        <f t="shared" ca="1" si="4"/>
        <v>0</v>
      </c>
      <c r="AA23" s="520"/>
      <c r="AB23" s="539">
        <f t="shared" si="9"/>
        <v>18</v>
      </c>
      <c r="AC23" s="540">
        <v>2.43E-4</v>
      </c>
      <c r="AD23" s="540">
        <v>1.3999999999999999E-4</v>
      </c>
    </row>
    <row r="24" spans="1:30" ht="11.25" customHeight="1">
      <c r="A24" s="541"/>
      <c r="B24" s="663"/>
      <c r="C24" s="536"/>
      <c r="D24" s="536"/>
      <c r="E24" s="537"/>
      <c r="F24" s="538"/>
      <c r="G24" s="538"/>
      <c r="H24" s="621" t="str">
        <f t="shared" si="12"/>
        <v/>
      </c>
      <c r="I24" s="513"/>
      <c r="J24" s="535"/>
      <c r="K24" s="535"/>
      <c r="L24" s="546"/>
      <c r="M24" s="542"/>
      <c r="N24" s="538"/>
      <c r="O24" s="538"/>
      <c r="P24" s="622" t="str">
        <f t="shared" si="10"/>
        <v/>
      </c>
      <c r="R24" s="528" t="str">
        <f t="shared" ca="1" si="5"/>
        <v/>
      </c>
      <c r="S24" s="529" t="str">
        <f t="shared" ca="1" si="8"/>
        <v/>
      </c>
      <c r="T24" s="530" t="str">
        <f t="shared" ca="1" si="6"/>
        <v/>
      </c>
      <c r="U24" s="511" t="str">
        <f t="shared" ca="1" si="7"/>
        <v/>
      </c>
      <c r="V24" s="511" t="str">
        <f t="shared" ca="1" si="0"/>
        <v/>
      </c>
      <c r="W24" s="511" t="str">
        <f t="shared" ca="1" si="1"/>
        <v/>
      </c>
      <c r="X24" s="531">
        <f t="shared" ca="1" si="2"/>
        <v>0</v>
      </c>
      <c r="Y24" s="511" t="str">
        <f t="shared" ca="1" si="3"/>
        <v/>
      </c>
      <c r="Z24" s="532">
        <f t="shared" ca="1" si="4"/>
        <v>0</v>
      </c>
      <c r="AA24" s="520"/>
      <c r="AB24" s="539">
        <f t="shared" si="9"/>
        <v>19</v>
      </c>
      <c r="AC24" s="540">
        <v>2.6200000000000003E-4</v>
      </c>
      <c r="AD24" s="540">
        <v>1.5799999999999999E-4</v>
      </c>
    </row>
    <row r="25" spans="1:30" ht="11.25" customHeight="1">
      <c r="A25" s="541"/>
      <c r="B25" s="663"/>
      <c r="C25" s="536"/>
      <c r="D25" s="536"/>
      <c r="E25" s="537"/>
      <c r="F25" s="538"/>
      <c r="G25" s="538"/>
      <c r="H25" s="621" t="str">
        <f t="shared" si="12"/>
        <v/>
      </c>
      <c r="I25" s="513"/>
      <c r="J25" s="535"/>
      <c r="K25" s="535"/>
      <c r="L25" s="546"/>
      <c r="M25" s="542"/>
      <c r="N25" s="538"/>
      <c r="O25" s="538"/>
      <c r="P25" s="622" t="str">
        <f t="shared" si="10"/>
        <v/>
      </c>
      <c r="R25" s="528" t="str">
        <f t="shared" ca="1" si="5"/>
        <v/>
      </c>
      <c r="S25" s="529" t="str">
        <f t="shared" ca="1" si="8"/>
        <v/>
      </c>
      <c r="T25" s="530" t="str">
        <f t="shared" ca="1" si="6"/>
        <v/>
      </c>
      <c r="U25" s="511" t="str">
        <f t="shared" ca="1" si="7"/>
        <v/>
      </c>
      <c r="V25" s="511" t="str">
        <f t="shared" ca="1" si="0"/>
        <v/>
      </c>
      <c r="W25" s="511" t="str">
        <f t="shared" ca="1" si="1"/>
        <v/>
      </c>
      <c r="X25" s="531">
        <f t="shared" ca="1" si="2"/>
        <v>0</v>
      </c>
      <c r="Y25" s="511" t="str">
        <f t="shared" ca="1" si="3"/>
        <v/>
      </c>
      <c r="Z25" s="532">
        <f t="shared" ca="1" si="4"/>
        <v>0</v>
      </c>
      <c r="AA25" s="520"/>
      <c r="AB25" s="539">
        <f t="shared" si="9"/>
        <v>20</v>
      </c>
      <c r="AC25" s="540">
        <v>2.7799999999999998E-4</v>
      </c>
      <c r="AD25" s="540">
        <v>1.76E-4</v>
      </c>
    </row>
    <row r="26" spans="1:30" ht="11.25" customHeight="1">
      <c r="A26" s="541"/>
      <c r="B26" s="663"/>
      <c r="C26" s="536"/>
      <c r="D26" s="536"/>
      <c r="E26" s="537"/>
      <c r="F26" s="538"/>
      <c r="G26" s="538"/>
      <c r="H26" s="621" t="str">
        <f t="shared" si="12"/>
        <v/>
      </c>
      <c r="I26" s="513"/>
      <c r="J26" s="535"/>
      <c r="K26" s="535"/>
      <c r="L26" s="546"/>
      <c r="M26" s="542"/>
      <c r="N26" s="538"/>
      <c r="O26" s="538"/>
      <c r="P26" s="622" t="str">
        <f t="shared" si="10"/>
        <v/>
      </c>
      <c r="R26" s="528" t="str">
        <f t="shared" ca="1" si="5"/>
        <v/>
      </c>
      <c r="S26" s="529" t="str">
        <f t="shared" ca="1" si="8"/>
        <v/>
      </c>
      <c r="T26" s="530" t="str">
        <f t="shared" ca="1" si="6"/>
        <v/>
      </c>
      <c r="U26" s="511" t="str">
        <f t="shared" ca="1" si="7"/>
        <v/>
      </c>
      <c r="V26" s="511" t="str">
        <f t="shared" ca="1" si="0"/>
        <v/>
      </c>
      <c r="W26" s="511" t="str">
        <f t="shared" ca="1" si="1"/>
        <v/>
      </c>
      <c r="X26" s="531">
        <f t="shared" ca="1" si="2"/>
        <v>0</v>
      </c>
      <c r="Y26" s="511" t="str">
        <f t="shared" ca="1" si="3"/>
        <v/>
      </c>
      <c r="Z26" s="532">
        <f t="shared" ca="1" si="4"/>
        <v>0</v>
      </c>
      <c r="AA26" s="520"/>
      <c r="AB26" s="539">
        <f t="shared" si="9"/>
        <v>21</v>
      </c>
      <c r="AC26" s="540">
        <v>2.9500000000000001E-4</v>
      </c>
      <c r="AD26" s="540">
        <v>1.93E-4</v>
      </c>
    </row>
    <row r="27" spans="1:30" ht="11.25" customHeight="1">
      <c r="A27" s="541"/>
      <c r="B27" s="663"/>
      <c r="C27" s="536"/>
      <c r="D27" s="536"/>
      <c r="E27" s="537"/>
      <c r="F27" s="538"/>
      <c r="G27" s="538"/>
      <c r="H27" s="621" t="str">
        <f t="shared" si="12"/>
        <v/>
      </c>
      <c r="I27" s="513"/>
      <c r="J27" s="535"/>
      <c r="K27" s="535"/>
      <c r="L27" s="536"/>
      <c r="M27" s="624"/>
      <c r="N27" s="538"/>
      <c r="O27" s="538"/>
      <c r="P27" s="622" t="str">
        <f t="shared" si="10"/>
        <v/>
      </c>
      <c r="R27" s="528" t="str">
        <f t="shared" ca="1" si="5"/>
        <v/>
      </c>
      <c r="S27" s="529" t="str">
        <f t="shared" ca="1" si="8"/>
        <v/>
      </c>
      <c r="T27" s="530" t="str">
        <f t="shared" ca="1" si="6"/>
        <v/>
      </c>
      <c r="U27" s="511" t="str">
        <f t="shared" ca="1" si="7"/>
        <v/>
      </c>
      <c r="V27" s="511" t="str">
        <f t="shared" ca="1" si="0"/>
        <v/>
      </c>
      <c r="W27" s="511" t="str">
        <f t="shared" ca="1" si="1"/>
        <v/>
      </c>
      <c r="X27" s="531">
        <f t="shared" ca="1" si="2"/>
        <v>0</v>
      </c>
      <c r="Y27" s="511" t="str">
        <f t="shared" ca="1" si="3"/>
        <v/>
      </c>
      <c r="Z27" s="532">
        <f t="shared" ca="1" si="4"/>
        <v>0</v>
      </c>
      <c r="AA27" s="520"/>
      <c r="AB27" s="539">
        <f t="shared" si="9"/>
        <v>22</v>
      </c>
      <c r="AC27" s="540">
        <v>3.1300000000000002E-4</v>
      </c>
      <c r="AD27" s="540">
        <v>2.0799999999999999E-4</v>
      </c>
    </row>
    <row r="28" spans="1:30" ht="11.25" customHeight="1">
      <c r="A28" s="541"/>
      <c r="B28" s="663"/>
      <c r="C28" s="536"/>
      <c r="D28" s="536"/>
      <c r="E28" s="537"/>
      <c r="F28" s="538"/>
      <c r="G28" s="538"/>
      <c r="H28" s="621"/>
      <c r="I28" s="513"/>
      <c r="J28" s="535"/>
      <c r="K28" s="535"/>
      <c r="L28" s="536"/>
      <c r="M28" s="624"/>
      <c r="N28" s="538"/>
      <c r="O28" s="538"/>
      <c r="P28" s="622" t="str">
        <f t="shared" si="10"/>
        <v/>
      </c>
      <c r="R28" s="528" t="str">
        <f t="shared" ca="1" si="5"/>
        <v/>
      </c>
      <c r="S28" s="529" t="str">
        <f t="shared" ca="1" si="8"/>
        <v/>
      </c>
      <c r="T28" s="530" t="str">
        <f t="shared" ca="1" si="6"/>
        <v/>
      </c>
      <c r="U28" s="511" t="str">
        <f t="shared" ca="1" si="7"/>
        <v/>
      </c>
      <c r="V28" s="511" t="str">
        <f t="shared" ca="1" si="0"/>
        <v/>
      </c>
      <c r="W28" s="511" t="str">
        <f t="shared" ca="1" si="1"/>
        <v/>
      </c>
      <c r="X28" s="531">
        <f t="shared" ca="1" si="2"/>
        <v>0</v>
      </c>
      <c r="Y28" s="511" t="str">
        <f t="shared" ca="1" si="3"/>
        <v/>
      </c>
      <c r="Z28" s="532">
        <f t="shared" ca="1" si="4"/>
        <v>0</v>
      </c>
      <c r="AA28" s="520"/>
      <c r="AB28" s="539">
        <f t="shared" si="9"/>
        <v>23</v>
      </c>
      <c r="AC28" s="540">
        <v>3.3199999999999999E-4</v>
      </c>
      <c r="AD28" s="540">
        <v>2.2000000000000001E-4</v>
      </c>
    </row>
    <row r="29" spans="1:30" ht="11.25" customHeight="1">
      <c r="A29" s="541"/>
      <c r="B29" s="663"/>
      <c r="C29" s="536"/>
      <c r="D29" s="536"/>
      <c r="E29" s="537"/>
      <c r="F29" s="538"/>
      <c r="G29" s="538"/>
      <c r="H29" s="621"/>
      <c r="I29" s="513"/>
      <c r="J29" s="535"/>
      <c r="K29" s="535"/>
      <c r="L29" s="536"/>
      <c r="M29" s="624"/>
      <c r="N29" s="538"/>
      <c r="O29" s="538"/>
      <c r="P29" s="622" t="str">
        <f t="shared" si="10"/>
        <v/>
      </c>
      <c r="R29" s="528" t="str">
        <f t="shared" ca="1" si="5"/>
        <v/>
      </c>
      <c r="S29" s="529" t="str">
        <f t="shared" ca="1" si="8"/>
        <v/>
      </c>
      <c r="T29" s="530" t="str">
        <f t="shared" ca="1" si="6"/>
        <v/>
      </c>
      <c r="U29" s="511" t="str">
        <f t="shared" ca="1" si="7"/>
        <v/>
      </c>
      <c r="V29" s="511" t="str">
        <f t="shared" ca="1" si="0"/>
        <v/>
      </c>
      <c r="W29" s="511" t="str">
        <f t="shared" ca="1" si="1"/>
        <v/>
      </c>
      <c r="X29" s="531">
        <f t="shared" ca="1" si="2"/>
        <v>0</v>
      </c>
      <c r="Y29" s="511" t="str">
        <f t="shared" ca="1" si="3"/>
        <v/>
      </c>
      <c r="Z29" s="532">
        <f t="shared" ca="1" si="4"/>
        <v>0</v>
      </c>
      <c r="AA29" s="520"/>
      <c r="AB29" s="539">
        <f t="shared" si="9"/>
        <v>24</v>
      </c>
      <c r="AC29" s="540">
        <v>3.5100000000000002E-4</v>
      </c>
      <c r="AD29" s="540">
        <v>2.31E-4</v>
      </c>
    </row>
    <row r="30" spans="1:30" ht="11.25" customHeight="1">
      <c r="A30" s="541"/>
      <c r="B30" s="663"/>
      <c r="C30" s="536"/>
      <c r="D30" s="536"/>
      <c r="E30" s="537"/>
      <c r="F30" s="538"/>
      <c r="G30" s="538"/>
      <c r="H30" s="621"/>
      <c r="I30" s="513"/>
      <c r="J30" s="535"/>
      <c r="K30" s="535"/>
      <c r="L30" s="536"/>
      <c r="M30" s="624"/>
      <c r="N30" s="538"/>
      <c r="O30" s="538"/>
      <c r="P30" s="622" t="str">
        <f t="shared" si="10"/>
        <v/>
      </c>
      <c r="R30" s="528" t="str">
        <f t="shared" ca="1" si="5"/>
        <v/>
      </c>
      <c r="S30" s="529" t="str">
        <f t="shared" ca="1" si="8"/>
        <v/>
      </c>
      <c r="T30" s="530" t="str">
        <f t="shared" ca="1" si="6"/>
        <v/>
      </c>
      <c r="U30" s="511" t="str">
        <f t="shared" ca="1" si="7"/>
        <v/>
      </c>
      <c r="V30" s="511" t="str">
        <f t="shared" ca="1" si="0"/>
        <v/>
      </c>
      <c r="W30" s="511" t="str">
        <f t="shared" ca="1" si="1"/>
        <v/>
      </c>
      <c r="X30" s="531">
        <f t="shared" ca="1" si="2"/>
        <v>0</v>
      </c>
      <c r="Y30" s="511" t="str">
        <f t="shared" ca="1" si="3"/>
        <v/>
      </c>
      <c r="Z30" s="532">
        <f t="shared" ca="1" si="4"/>
        <v>0</v>
      </c>
      <c r="AA30" s="520"/>
      <c r="AB30" s="539">
        <f t="shared" si="9"/>
        <v>25</v>
      </c>
      <c r="AC30" s="540">
        <v>3.7100000000000002E-4</v>
      </c>
      <c r="AD30" s="540">
        <v>2.41E-4</v>
      </c>
    </row>
    <row r="31" spans="1:30" ht="11.25" customHeight="1">
      <c r="A31" s="541"/>
      <c r="B31" s="663"/>
      <c r="C31" s="536"/>
      <c r="D31" s="536"/>
      <c r="E31" s="537"/>
      <c r="F31" s="538"/>
      <c r="G31" s="538"/>
      <c r="H31" s="621"/>
      <c r="I31" s="513"/>
      <c r="J31" s="535"/>
      <c r="K31" s="535"/>
      <c r="L31" s="536"/>
      <c r="M31" s="624"/>
      <c r="N31" s="538"/>
      <c r="O31" s="538"/>
      <c r="P31" s="622" t="str">
        <f t="shared" si="10"/>
        <v/>
      </c>
      <c r="R31" s="528" t="str">
        <f t="shared" ca="1" si="5"/>
        <v/>
      </c>
      <c r="S31" s="529" t="str">
        <f t="shared" ca="1" si="8"/>
        <v/>
      </c>
      <c r="T31" s="530" t="str">
        <f t="shared" ca="1" si="6"/>
        <v/>
      </c>
      <c r="U31" s="511" t="str">
        <f t="shared" ca="1" si="7"/>
        <v/>
      </c>
      <c r="V31" s="511" t="str">
        <f t="shared" ca="1" si="0"/>
        <v/>
      </c>
      <c r="W31" s="511" t="str">
        <f t="shared" ca="1" si="1"/>
        <v/>
      </c>
      <c r="X31" s="531">
        <f t="shared" ca="1" si="2"/>
        <v>0</v>
      </c>
      <c r="Y31" s="511" t="str">
        <f t="shared" ca="1" si="3"/>
        <v/>
      </c>
      <c r="Z31" s="532">
        <f t="shared" ca="1" si="4"/>
        <v>0</v>
      </c>
      <c r="AA31" s="520"/>
      <c r="AB31" s="539">
        <f t="shared" si="9"/>
        <v>26</v>
      </c>
      <c r="AC31" s="540">
        <v>3.9100000000000002E-4</v>
      </c>
      <c r="AD31" s="540">
        <v>2.5099999999999998E-4</v>
      </c>
    </row>
    <row r="32" spans="1:30" ht="11.25" customHeight="1">
      <c r="A32" s="541"/>
      <c r="B32" s="663"/>
      <c r="C32" s="536"/>
      <c r="D32" s="536"/>
      <c r="E32" s="537"/>
      <c r="F32" s="538"/>
      <c r="G32" s="538"/>
      <c r="H32" s="621"/>
      <c r="I32" s="513"/>
      <c r="J32" s="535"/>
      <c r="K32" s="535"/>
      <c r="L32" s="536"/>
      <c r="M32" s="624"/>
      <c r="N32" s="538"/>
      <c r="O32" s="538"/>
      <c r="P32" s="622" t="str">
        <f t="shared" si="10"/>
        <v/>
      </c>
      <c r="R32" s="528" t="str">
        <f t="shared" ca="1" si="5"/>
        <v/>
      </c>
      <c r="S32" s="529" t="str">
        <f t="shared" ca="1" si="8"/>
        <v/>
      </c>
      <c r="T32" s="530" t="str">
        <f t="shared" ca="1" si="6"/>
        <v/>
      </c>
      <c r="U32" s="511" t="str">
        <f t="shared" ca="1" si="7"/>
        <v/>
      </c>
      <c r="V32" s="511" t="str">
        <f t="shared" ca="1" si="0"/>
        <v/>
      </c>
      <c r="W32" s="511" t="str">
        <f t="shared" ca="1" si="1"/>
        <v/>
      </c>
      <c r="X32" s="531">
        <f t="shared" ca="1" si="2"/>
        <v>0</v>
      </c>
      <c r="Y32" s="511" t="str">
        <f t="shared" ca="1" si="3"/>
        <v/>
      </c>
      <c r="Z32" s="532">
        <f t="shared" ca="1" si="4"/>
        <v>0</v>
      </c>
      <c r="AA32" s="520"/>
      <c r="AB32" s="539">
        <f t="shared" si="9"/>
        <v>27</v>
      </c>
      <c r="AC32" s="540">
        <v>4.1100000000000002E-4</v>
      </c>
      <c r="AD32" s="540">
        <v>2.61E-4</v>
      </c>
    </row>
    <row r="33" spans="1:30" ht="11.25" customHeight="1">
      <c r="A33" s="541"/>
      <c r="B33" s="663"/>
      <c r="C33" s="536"/>
      <c r="D33" s="536"/>
      <c r="E33" s="537"/>
      <c r="F33" s="538"/>
      <c r="G33" s="538"/>
      <c r="H33" s="621"/>
      <c r="I33" s="513"/>
      <c r="J33" s="535"/>
      <c r="K33" s="535"/>
      <c r="L33" s="536"/>
      <c r="M33" s="624"/>
      <c r="N33" s="538"/>
      <c r="O33" s="538"/>
      <c r="P33" s="621" t="str">
        <f t="shared" si="10"/>
        <v/>
      </c>
      <c r="R33" s="528" t="str">
        <f t="shared" ca="1" si="5"/>
        <v/>
      </c>
      <c r="S33" s="529" t="str">
        <f t="shared" ca="1" si="8"/>
        <v/>
      </c>
      <c r="T33" s="530" t="str">
        <f t="shared" ca="1" si="6"/>
        <v/>
      </c>
      <c r="U33" s="511" t="str">
        <f t="shared" ca="1" si="7"/>
        <v/>
      </c>
      <c r="V33" s="511" t="str">
        <f t="shared" ca="1" si="0"/>
        <v/>
      </c>
      <c r="W33" s="511" t="str">
        <f t="shared" ca="1" si="1"/>
        <v/>
      </c>
      <c r="X33" s="531">
        <f t="shared" ca="1" si="2"/>
        <v>0</v>
      </c>
      <c r="Y33" s="511" t="str">
        <f t="shared" ca="1" si="3"/>
        <v/>
      </c>
      <c r="Z33" s="532">
        <f t="shared" ca="1" si="4"/>
        <v>0</v>
      </c>
      <c r="AA33" s="520"/>
      <c r="AB33" s="539">
        <f t="shared" si="9"/>
        <v>28</v>
      </c>
      <c r="AC33" s="540">
        <v>4.3100000000000001E-4</v>
      </c>
      <c r="AD33" s="540">
        <v>2.7E-4</v>
      </c>
    </row>
    <row r="34" spans="1:30" ht="11.25" customHeight="1">
      <c r="A34" s="541"/>
      <c r="B34" s="663"/>
      <c r="C34" s="536"/>
      <c r="D34" s="536"/>
      <c r="E34" s="537"/>
      <c r="F34" s="538"/>
      <c r="G34" s="538"/>
      <c r="H34" s="621"/>
      <c r="I34" s="513"/>
      <c r="J34" s="535"/>
      <c r="K34" s="535"/>
      <c r="L34" s="536"/>
      <c r="M34" s="624"/>
      <c r="N34" s="538"/>
      <c r="O34" s="538"/>
      <c r="P34" s="621" t="str">
        <f t="shared" si="10"/>
        <v/>
      </c>
      <c r="R34" s="528" t="str">
        <f t="shared" ca="1" si="5"/>
        <v/>
      </c>
      <c r="S34" s="529" t="str">
        <f t="shared" ca="1" si="8"/>
        <v/>
      </c>
      <c r="T34" s="530" t="str">
        <f t="shared" ca="1" si="6"/>
        <v/>
      </c>
      <c r="U34" s="511" t="str">
        <f t="shared" ca="1" si="7"/>
        <v/>
      </c>
      <c r="V34" s="511" t="str">
        <f t="shared" ca="1" si="0"/>
        <v/>
      </c>
      <c r="W34" s="511" t="str">
        <f t="shared" ca="1" si="1"/>
        <v/>
      </c>
      <c r="X34" s="531">
        <f t="shared" ca="1" si="2"/>
        <v>0</v>
      </c>
      <c r="Y34" s="511" t="str">
        <f t="shared" ca="1" si="3"/>
        <v/>
      </c>
      <c r="Z34" s="532">
        <f t="shared" ca="1" si="4"/>
        <v>0</v>
      </c>
      <c r="AA34" s="520"/>
      <c r="AB34" s="539">
        <f t="shared" si="9"/>
        <v>29</v>
      </c>
      <c r="AC34" s="540">
        <v>4.5100000000000001E-4</v>
      </c>
      <c r="AD34" s="540">
        <v>2.7799999999999998E-4</v>
      </c>
    </row>
    <row r="35" spans="1:30" ht="11.25" customHeight="1">
      <c r="A35" s="541"/>
      <c r="B35" s="663"/>
      <c r="C35" s="536"/>
      <c r="D35" s="536"/>
      <c r="E35" s="537"/>
      <c r="F35" s="538"/>
      <c r="G35" s="538"/>
      <c r="H35" s="621"/>
      <c r="I35" s="513"/>
      <c r="J35" s="535"/>
      <c r="K35" s="535"/>
      <c r="L35" s="536"/>
      <c r="M35" s="624"/>
      <c r="N35" s="538"/>
      <c r="O35" s="538"/>
      <c r="P35" s="621" t="str">
        <f t="shared" si="10"/>
        <v/>
      </c>
      <c r="R35" s="528" t="str">
        <f t="shared" ca="1" si="5"/>
        <v/>
      </c>
      <c r="S35" s="529" t="str">
        <f t="shared" ca="1" si="8"/>
        <v/>
      </c>
      <c r="T35" s="530" t="str">
        <f t="shared" ca="1" si="6"/>
        <v/>
      </c>
      <c r="U35" s="511" t="str">
        <f t="shared" ca="1" si="7"/>
        <v/>
      </c>
      <c r="V35" s="511" t="str">
        <f t="shared" ca="1" si="0"/>
        <v/>
      </c>
      <c r="W35" s="511" t="str">
        <f t="shared" ca="1" si="1"/>
        <v/>
      </c>
      <c r="X35" s="531">
        <f t="shared" ca="1" si="2"/>
        <v>0</v>
      </c>
      <c r="Y35" s="511" t="str">
        <f t="shared" ca="1" si="3"/>
        <v/>
      </c>
      <c r="Z35" s="532">
        <f t="shared" ca="1" si="4"/>
        <v>0</v>
      </c>
      <c r="AA35" s="520"/>
      <c r="AB35" s="539">
        <f t="shared" si="9"/>
        <v>30</v>
      </c>
      <c r="AC35" s="540">
        <v>4.7100000000000001E-4</v>
      </c>
      <c r="AD35" s="540">
        <v>2.8600000000000001E-4</v>
      </c>
    </row>
    <row r="36" spans="1:30" ht="11.25" customHeight="1">
      <c r="A36" s="541"/>
      <c r="B36" s="663"/>
      <c r="C36" s="536"/>
      <c r="D36" s="536"/>
      <c r="E36" s="537"/>
      <c r="F36" s="538"/>
      <c r="G36" s="538"/>
      <c r="H36" s="621"/>
      <c r="I36" s="513"/>
      <c r="J36" s="535"/>
      <c r="K36" s="535"/>
      <c r="L36" s="536"/>
      <c r="M36" s="624"/>
      <c r="N36" s="538"/>
      <c r="O36" s="538"/>
      <c r="P36" s="621" t="str">
        <f t="shared" si="10"/>
        <v/>
      </c>
      <c r="R36" s="528" t="str">
        <f t="shared" ca="1" si="5"/>
        <v/>
      </c>
      <c r="S36" s="529" t="str">
        <f t="shared" ca="1" si="8"/>
        <v/>
      </c>
      <c r="T36" s="530" t="str">
        <f t="shared" ca="1" si="6"/>
        <v/>
      </c>
      <c r="U36" s="511" t="str">
        <f t="shared" ca="1" si="7"/>
        <v/>
      </c>
      <c r="V36" s="511" t="str">
        <f t="shared" ca="1" si="0"/>
        <v/>
      </c>
      <c r="W36" s="511" t="str">
        <f t="shared" ca="1" si="1"/>
        <v/>
      </c>
      <c r="X36" s="531">
        <f t="shared" ca="1" si="2"/>
        <v>0</v>
      </c>
      <c r="Y36" s="511" t="str">
        <f t="shared" ca="1" si="3"/>
        <v/>
      </c>
      <c r="Z36" s="532">
        <f t="shared" ca="1" si="4"/>
        <v>0</v>
      </c>
      <c r="AA36" s="520"/>
      <c r="AB36" s="539">
        <f t="shared" si="9"/>
        <v>31</v>
      </c>
      <c r="AC36" s="540">
        <v>4.9100000000000001E-4</v>
      </c>
      <c r="AD36" s="540">
        <v>2.9599999999999998E-4</v>
      </c>
    </row>
    <row r="37" spans="1:30" ht="11.25" customHeight="1">
      <c r="A37" s="541"/>
      <c r="B37" s="663"/>
      <c r="C37" s="536"/>
      <c r="D37" s="536"/>
      <c r="E37" s="537"/>
      <c r="F37" s="538"/>
      <c r="G37" s="538"/>
      <c r="H37" s="621"/>
      <c r="I37" s="513"/>
      <c r="J37" s="535"/>
      <c r="K37" s="535"/>
      <c r="L37" s="536"/>
      <c r="M37" s="624"/>
      <c r="N37" s="538"/>
      <c r="O37" s="538"/>
      <c r="P37" s="621" t="str">
        <f t="shared" si="10"/>
        <v/>
      </c>
      <c r="R37" s="528" t="str">
        <f t="shared" ca="1" si="5"/>
        <v/>
      </c>
      <c r="S37" s="529" t="str">
        <f t="shared" ca="1" si="8"/>
        <v/>
      </c>
      <c r="T37" s="530" t="str">
        <f t="shared" ca="1" si="6"/>
        <v/>
      </c>
      <c r="U37" s="511" t="str">
        <f t="shared" ca="1" si="7"/>
        <v/>
      </c>
      <c r="V37" s="511" t="str">
        <f t="shared" ca="1" si="0"/>
        <v/>
      </c>
      <c r="W37" s="511" t="str">
        <f t="shared" ca="1" si="1"/>
        <v/>
      </c>
      <c r="X37" s="531">
        <f t="shared" ca="1" si="2"/>
        <v>0</v>
      </c>
      <c r="Y37" s="511" t="str">
        <f t="shared" ca="1" si="3"/>
        <v/>
      </c>
      <c r="Z37" s="532">
        <f t="shared" ca="1" si="4"/>
        <v>0</v>
      </c>
      <c r="AA37" s="520"/>
      <c r="AB37" s="539">
        <f t="shared" si="9"/>
        <v>32</v>
      </c>
      <c r="AC37" s="540">
        <v>5.1199999999999998E-4</v>
      </c>
      <c r="AD37" s="540">
        <v>3.1199999999999999E-4</v>
      </c>
    </row>
    <row r="38" spans="1:30" ht="11.25" customHeight="1">
      <c r="A38" s="541"/>
      <c r="B38" s="663"/>
      <c r="C38" s="536"/>
      <c r="D38" s="536"/>
      <c r="E38" s="537"/>
      <c r="F38" s="538"/>
      <c r="G38" s="538"/>
      <c r="H38" s="621"/>
      <c r="I38" s="513"/>
      <c r="J38" s="535"/>
      <c r="K38" s="535"/>
      <c r="L38" s="536"/>
      <c r="M38" s="624"/>
      <c r="N38" s="538"/>
      <c r="O38" s="538"/>
      <c r="P38" s="621" t="str">
        <f t="shared" si="10"/>
        <v/>
      </c>
      <c r="R38" s="528" t="str">
        <f t="shared" ref="R38:R69" ca="1" si="13">+IF(R37&gt;=$I$4,"",R37+1)</f>
        <v/>
      </c>
      <c r="S38" s="529" t="str">
        <f t="shared" ca="1" si="8"/>
        <v/>
      </c>
      <c r="T38" s="530" t="str">
        <f t="shared" ca="1" si="6"/>
        <v/>
      </c>
      <c r="U38" s="511" t="str">
        <f t="shared" ca="1" si="7"/>
        <v/>
      </c>
      <c r="V38" s="511" t="str">
        <f t="shared" ca="1" si="0"/>
        <v/>
      </c>
      <c r="W38" s="511" t="str">
        <f t="shared" ca="1" si="1"/>
        <v/>
      </c>
      <c r="X38" s="531">
        <f t="shared" ca="1" si="2"/>
        <v>0</v>
      </c>
      <c r="Y38" s="511" t="str">
        <f t="shared" ca="1" si="3"/>
        <v/>
      </c>
      <c r="Z38" s="532">
        <f t="shared" ca="1" si="4"/>
        <v>0</v>
      </c>
      <c r="AA38" s="520"/>
      <c r="AB38" s="539">
        <f t="shared" si="9"/>
        <v>33</v>
      </c>
      <c r="AC38" s="540">
        <v>5.3399999999999997E-4</v>
      </c>
      <c r="AD38" s="540">
        <v>3.3500000000000001E-4</v>
      </c>
    </row>
    <row r="39" spans="1:30" ht="11.25" customHeight="1">
      <c r="A39" s="541"/>
      <c r="B39" s="663"/>
      <c r="C39" s="536"/>
      <c r="D39" s="536"/>
      <c r="E39" s="537"/>
      <c r="F39" s="538"/>
      <c r="G39" s="538"/>
      <c r="H39" s="621"/>
      <c r="I39" s="513"/>
      <c r="J39" s="535"/>
      <c r="K39" s="535"/>
      <c r="L39" s="536"/>
      <c r="M39" s="624"/>
      <c r="N39" s="538"/>
      <c r="O39" s="538"/>
      <c r="P39" s="621" t="str">
        <f t="shared" si="10"/>
        <v/>
      </c>
      <c r="R39" s="528" t="str">
        <f t="shared" ca="1" si="13"/>
        <v/>
      </c>
      <c r="S39" s="529" t="str">
        <f t="shared" ca="1" si="8"/>
        <v/>
      </c>
      <c r="T39" s="530" t="str">
        <f t="shared" ca="1" si="6"/>
        <v/>
      </c>
      <c r="U39" s="511" t="str">
        <f t="shared" ca="1" si="7"/>
        <v/>
      </c>
      <c r="V39" s="511" t="str">
        <f t="shared" ca="1" si="0"/>
        <v/>
      </c>
      <c r="W39" s="511" t="str">
        <f t="shared" ca="1" si="1"/>
        <v/>
      </c>
      <c r="X39" s="531">
        <f t="shared" ca="1" si="2"/>
        <v>0</v>
      </c>
      <c r="Y39" s="511" t="str">
        <f t="shared" ca="1" si="3"/>
        <v/>
      </c>
      <c r="Z39" s="532">
        <f t="shared" ca="1" si="4"/>
        <v>0</v>
      </c>
      <c r="AA39" s="520"/>
      <c r="AB39" s="539">
        <f t="shared" si="9"/>
        <v>34</v>
      </c>
      <c r="AC39" s="540">
        <v>5.5699999999999999E-4</v>
      </c>
      <c r="AD39" s="540">
        <v>3.6299999999999999E-4</v>
      </c>
    </row>
    <row r="40" spans="1:30" ht="11.25" customHeight="1">
      <c r="A40" s="541"/>
      <c r="B40" s="663"/>
      <c r="C40" s="536"/>
      <c r="D40" s="536"/>
      <c r="E40" s="537"/>
      <c r="F40" s="538"/>
      <c r="G40" s="538"/>
      <c r="H40" s="621"/>
      <c r="I40" s="513"/>
      <c r="J40" s="535"/>
      <c r="K40" s="535"/>
      <c r="L40" s="536"/>
      <c r="M40" s="624"/>
      <c r="N40" s="538"/>
      <c r="O40" s="538"/>
      <c r="P40" s="621" t="str">
        <f t="shared" si="10"/>
        <v/>
      </c>
      <c r="R40" s="528" t="str">
        <f t="shared" ca="1" si="13"/>
        <v/>
      </c>
      <c r="S40" s="529" t="str">
        <f t="shared" ca="1" si="8"/>
        <v/>
      </c>
      <c r="T40" s="530" t="str">
        <f t="shared" ca="1" si="6"/>
        <v/>
      </c>
      <c r="U40" s="511" t="str">
        <f t="shared" ca="1" si="7"/>
        <v/>
      </c>
      <c r="V40" s="511" t="str">
        <f t="shared" ca="1" si="0"/>
        <v/>
      </c>
      <c r="W40" s="511" t="str">
        <f t="shared" ca="1" si="1"/>
        <v/>
      </c>
      <c r="X40" s="531">
        <f t="shared" ca="1" si="2"/>
        <v>0</v>
      </c>
      <c r="Y40" s="511" t="str">
        <f t="shared" ca="1" si="3"/>
        <v/>
      </c>
      <c r="Z40" s="532">
        <f t="shared" ca="1" si="4"/>
        <v>0</v>
      </c>
      <c r="AA40" s="520"/>
      <c r="AB40" s="539">
        <f t="shared" si="9"/>
        <v>35</v>
      </c>
      <c r="AC40" s="540">
        <v>5.8E-4</v>
      </c>
      <c r="AD40" s="540">
        <v>3.9500000000000001E-4</v>
      </c>
    </row>
    <row r="41" spans="1:30" ht="11.25" customHeight="1">
      <c r="A41" s="541"/>
      <c r="B41" s="663"/>
      <c r="C41" s="536"/>
      <c r="D41" s="536"/>
      <c r="E41" s="537"/>
      <c r="F41" s="538"/>
      <c r="G41" s="538"/>
      <c r="H41" s="621"/>
      <c r="I41" s="513"/>
      <c r="J41" s="535"/>
      <c r="K41" s="535"/>
      <c r="L41" s="536"/>
      <c r="M41" s="624"/>
      <c r="N41" s="538"/>
      <c r="O41" s="538"/>
      <c r="P41" s="621" t="str">
        <f t="shared" si="10"/>
        <v/>
      </c>
      <c r="R41" s="528" t="str">
        <f t="shared" ca="1" si="13"/>
        <v/>
      </c>
      <c r="S41" s="529" t="str">
        <f t="shared" ca="1" si="8"/>
        <v/>
      </c>
      <c r="T41" s="530" t="str">
        <f t="shared" ca="1" si="6"/>
        <v/>
      </c>
      <c r="U41" s="511" t="str">
        <f t="shared" ca="1" si="7"/>
        <v/>
      </c>
      <c r="V41" s="511" t="str">
        <f t="shared" ca="1" si="0"/>
        <v/>
      </c>
      <c r="W41" s="511" t="str">
        <f t="shared" ca="1" si="1"/>
        <v/>
      </c>
      <c r="X41" s="531">
        <f t="shared" ca="1" si="2"/>
        <v>0</v>
      </c>
      <c r="Y41" s="511" t="str">
        <f t="shared" ca="1" si="3"/>
        <v/>
      </c>
      <c r="Z41" s="532">
        <f t="shared" ca="1" si="4"/>
        <v>0</v>
      </c>
      <c r="AA41" s="520"/>
      <c r="AB41" s="539">
        <f t="shared" si="9"/>
        <v>36</v>
      </c>
      <c r="AC41" s="540">
        <v>6.0400000000000004E-4</v>
      </c>
      <c r="AD41" s="540">
        <v>4.2400000000000001E-4</v>
      </c>
    </row>
    <row r="42" spans="1:30" ht="11.25" customHeight="1">
      <c r="A42" s="541"/>
      <c r="B42" s="663"/>
      <c r="C42" s="536"/>
      <c r="D42" s="536"/>
      <c r="E42" s="537"/>
      <c r="F42" s="538"/>
      <c r="G42" s="538"/>
      <c r="H42" s="621"/>
      <c r="I42" s="513"/>
      <c r="J42" s="535"/>
      <c r="K42" s="535"/>
      <c r="L42" s="536"/>
      <c r="M42" s="624"/>
      <c r="N42" s="538"/>
      <c r="O42" s="538"/>
      <c r="P42" s="621" t="str">
        <f t="shared" si="10"/>
        <v/>
      </c>
      <c r="R42" s="528" t="str">
        <f t="shared" ca="1" si="13"/>
        <v/>
      </c>
      <c r="S42" s="529" t="str">
        <f t="shared" ca="1" si="8"/>
        <v/>
      </c>
      <c r="T42" s="530" t="str">
        <f t="shared" ca="1" si="6"/>
        <v/>
      </c>
      <c r="U42" s="511" t="str">
        <f t="shared" ca="1" si="7"/>
        <v/>
      </c>
      <c r="V42" s="511" t="str">
        <f t="shared" ca="1" si="0"/>
        <v/>
      </c>
      <c r="W42" s="511" t="str">
        <f t="shared" ca="1" si="1"/>
        <v/>
      </c>
      <c r="X42" s="531">
        <f t="shared" ca="1" si="2"/>
        <v>0</v>
      </c>
      <c r="Y42" s="511" t="str">
        <f t="shared" ca="1" si="3"/>
        <v/>
      </c>
      <c r="Z42" s="532">
        <f t="shared" ca="1" si="4"/>
        <v>0</v>
      </c>
      <c r="AA42" s="520"/>
      <c r="AB42" s="539">
        <f t="shared" si="9"/>
        <v>37</v>
      </c>
      <c r="AC42" s="540">
        <v>6.29E-4</v>
      </c>
      <c r="AD42" s="540">
        <v>4.4799999999999999E-4</v>
      </c>
    </row>
    <row r="43" spans="1:30" ht="11.25" customHeight="1">
      <c r="A43" s="541"/>
      <c r="B43" s="663"/>
      <c r="C43" s="536"/>
      <c r="D43" s="536"/>
      <c r="E43" s="537"/>
      <c r="F43" s="538"/>
      <c r="G43" s="538"/>
      <c r="H43" s="621"/>
      <c r="I43" s="513"/>
      <c r="J43" s="535"/>
      <c r="K43" s="535"/>
      <c r="L43" s="536"/>
      <c r="M43" s="542"/>
      <c r="N43" s="538"/>
      <c r="O43" s="538"/>
      <c r="P43" s="621" t="str">
        <f t="shared" si="10"/>
        <v/>
      </c>
      <c r="R43" s="528" t="str">
        <f t="shared" ca="1" si="13"/>
        <v/>
      </c>
      <c r="S43" s="529" t="str">
        <f t="shared" ca="1" si="8"/>
        <v/>
      </c>
      <c r="T43" s="530" t="str">
        <f t="shared" ca="1" si="6"/>
        <v/>
      </c>
      <c r="U43" s="511" t="str">
        <f t="shared" ca="1" si="7"/>
        <v/>
      </c>
      <c r="V43" s="511" t="str">
        <f t="shared" ca="1" si="0"/>
        <v/>
      </c>
      <c r="W43" s="511" t="str">
        <f t="shared" ca="1" si="1"/>
        <v/>
      </c>
      <c r="X43" s="531">
        <f t="shared" ca="1" si="2"/>
        <v>0</v>
      </c>
      <c r="Y43" s="511" t="str">
        <f t="shared" ca="1" si="3"/>
        <v/>
      </c>
      <c r="Z43" s="532">
        <f t="shared" ca="1" si="4"/>
        <v>0</v>
      </c>
      <c r="AA43" s="520"/>
      <c r="AB43" s="539">
        <f t="shared" si="9"/>
        <v>38</v>
      </c>
      <c r="AC43" s="540">
        <v>6.5600000000000001E-4</v>
      </c>
      <c r="AD43" s="540">
        <v>4.6700000000000002E-4</v>
      </c>
    </row>
    <row r="44" spans="1:30" ht="11.25" customHeight="1">
      <c r="A44" s="541"/>
      <c r="B44" s="663"/>
      <c r="C44" s="536"/>
      <c r="D44" s="536"/>
      <c r="E44" s="537"/>
      <c r="F44" s="538"/>
      <c r="G44" s="538"/>
      <c r="H44" s="621"/>
      <c r="I44" s="513"/>
      <c r="J44" s="535"/>
      <c r="K44" s="535"/>
      <c r="L44" s="536"/>
      <c r="M44" s="542"/>
      <c r="N44" s="538"/>
      <c r="O44" s="538"/>
      <c r="P44" s="621" t="str">
        <f t="shared" si="10"/>
        <v/>
      </c>
      <c r="R44" s="528" t="str">
        <f t="shared" ca="1" si="13"/>
        <v/>
      </c>
      <c r="S44" s="529" t="str">
        <f t="shared" ca="1" si="8"/>
        <v/>
      </c>
      <c r="T44" s="530" t="str">
        <f t="shared" ca="1" si="6"/>
        <v/>
      </c>
      <c r="U44" s="511" t="str">
        <f t="shared" ca="1" si="7"/>
        <v/>
      </c>
      <c r="V44" s="511" t="str">
        <f t="shared" ca="1" si="0"/>
        <v/>
      </c>
      <c r="W44" s="511" t="str">
        <f t="shared" ca="1" si="1"/>
        <v/>
      </c>
      <c r="X44" s="531">
        <f t="shared" ca="1" si="2"/>
        <v>0</v>
      </c>
      <c r="Y44" s="511" t="str">
        <f t="shared" ca="1" si="3"/>
        <v/>
      </c>
      <c r="Z44" s="532">
        <f t="shared" ca="1" si="4"/>
        <v>0</v>
      </c>
      <c r="AA44" s="520"/>
      <c r="AB44" s="539">
        <f t="shared" si="9"/>
        <v>39</v>
      </c>
      <c r="AC44" s="540">
        <v>6.8199999999999999E-4</v>
      </c>
      <c r="AD44" s="540">
        <v>4.8000000000000001E-4</v>
      </c>
    </row>
    <row r="45" spans="1:30" ht="11.25" customHeight="1">
      <c r="A45" s="541"/>
      <c r="B45" s="663"/>
      <c r="C45" s="536"/>
      <c r="D45" s="536"/>
      <c r="E45" s="542"/>
      <c r="F45" s="538"/>
      <c r="G45" s="538"/>
      <c r="H45" s="621"/>
      <c r="I45" s="513"/>
      <c r="J45" s="535"/>
      <c r="K45" s="535"/>
      <c r="L45" s="536"/>
      <c r="M45" s="542"/>
      <c r="N45" s="538"/>
      <c r="O45" s="538"/>
      <c r="P45" s="621" t="str">
        <f t="shared" si="10"/>
        <v/>
      </c>
      <c r="R45" s="528" t="str">
        <f t="shared" ca="1" si="13"/>
        <v/>
      </c>
      <c r="S45" s="529" t="str">
        <f t="shared" ca="1" si="8"/>
        <v/>
      </c>
      <c r="T45" s="530" t="str">
        <f t="shared" ca="1" si="6"/>
        <v/>
      </c>
      <c r="U45" s="511" t="str">
        <f t="shared" ca="1" si="7"/>
        <v/>
      </c>
      <c r="V45" s="511" t="str">
        <f t="shared" ca="1" si="0"/>
        <v/>
      </c>
      <c r="W45" s="511" t="str">
        <f t="shared" ca="1" si="1"/>
        <v/>
      </c>
      <c r="X45" s="531">
        <f t="shared" ca="1" si="2"/>
        <v>0</v>
      </c>
      <c r="Y45" s="511" t="str">
        <f t="shared" ca="1" si="3"/>
        <v/>
      </c>
      <c r="Z45" s="532">
        <f t="shared" ca="1" si="4"/>
        <v>0</v>
      </c>
      <c r="AA45" s="520"/>
      <c r="AB45" s="539">
        <f t="shared" si="9"/>
        <v>40</v>
      </c>
      <c r="AC45" s="540">
        <v>7.0799999999999997E-4</v>
      </c>
      <c r="AD45" s="540">
        <v>4.9100000000000001E-4</v>
      </c>
    </row>
    <row r="46" spans="1:30" ht="11.25" customHeight="1">
      <c r="A46" s="541"/>
      <c r="B46" s="663"/>
      <c r="C46" s="536"/>
      <c r="D46" s="536"/>
      <c r="E46" s="542"/>
      <c r="F46" s="538"/>
      <c r="G46" s="538"/>
      <c r="H46" s="621"/>
      <c r="I46" s="513"/>
      <c r="J46" s="535"/>
      <c r="K46" s="535"/>
      <c r="L46" s="536"/>
      <c r="M46" s="542"/>
      <c r="N46" s="538"/>
      <c r="O46" s="538"/>
      <c r="P46" s="621" t="str">
        <f t="shared" si="10"/>
        <v/>
      </c>
      <c r="R46" s="528" t="str">
        <f t="shared" ca="1" si="13"/>
        <v/>
      </c>
      <c r="S46" s="529" t="str">
        <f t="shared" ca="1" si="8"/>
        <v/>
      </c>
      <c r="T46" s="530" t="str">
        <f t="shared" ca="1" si="6"/>
        <v/>
      </c>
      <c r="U46" s="511" t="str">
        <f t="shared" ca="1" si="7"/>
        <v/>
      </c>
      <c r="V46" s="511" t="str">
        <f t="shared" ca="1" si="0"/>
        <v/>
      </c>
      <c r="W46" s="511" t="str">
        <f t="shared" ca="1" si="1"/>
        <v/>
      </c>
      <c r="X46" s="531">
        <f t="shared" ca="1" si="2"/>
        <v>0</v>
      </c>
      <c r="Y46" s="511" t="str">
        <f t="shared" ca="1" si="3"/>
        <v/>
      </c>
      <c r="Z46" s="532">
        <f t="shared" ca="1" si="4"/>
        <v>0</v>
      </c>
      <c r="AA46" s="520"/>
      <c r="AB46" s="539">
        <f t="shared" si="9"/>
        <v>41</v>
      </c>
      <c r="AC46" s="540">
        <v>7.4100000000000001E-4</v>
      </c>
      <c r="AD46" s="540">
        <v>5.0500000000000002E-4</v>
      </c>
    </row>
    <row r="47" spans="1:30" ht="11.25" customHeight="1">
      <c r="A47" s="541"/>
      <c r="B47" s="663"/>
      <c r="C47" s="536"/>
      <c r="D47" s="536"/>
      <c r="E47" s="542"/>
      <c r="F47" s="538"/>
      <c r="G47" s="538"/>
      <c r="H47" s="621"/>
      <c r="I47" s="513"/>
      <c r="J47" s="535"/>
      <c r="K47" s="535"/>
      <c r="L47" s="536"/>
      <c r="M47" s="542"/>
      <c r="N47" s="538"/>
      <c r="O47" s="538"/>
      <c r="P47" s="621" t="str">
        <f t="shared" si="10"/>
        <v/>
      </c>
      <c r="R47" s="528" t="str">
        <f t="shared" ca="1" si="13"/>
        <v/>
      </c>
      <c r="S47" s="529" t="str">
        <f t="shared" ca="1" si="8"/>
        <v/>
      </c>
      <c r="T47" s="530" t="str">
        <f t="shared" ca="1" si="6"/>
        <v/>
      </c>
      <c r="U47" s="511" t="str">
        <f t="shared" ca="1" si="7"/>
        <v/>
      </c>
      <c r="V47" s="511" t="str">
        <f t="shared" ca="1" si="0"/>
        <v/>
      </c>
      <c r="W47" s="511" t="str">
        <f t="shared" ca="1" si="1"/>
        <v/>
      </c>
      <c r="X47" s="531">
        <f t="shared" ca="1" si="2"/>
        <v>0</v>
      </c>
      <c r="Y47" s="511" t="str">
        <f t="shared" ca="1" si="3"/>
        <v/>
      </c>
      <c r="Z47" s="532">
        <f t="shared" ca="1" si="4"/>
        <v>0</v>
      </c>
      <c r="AA47" s="520"/>
      <c r="AB47" s="539">
        <f t="shared" si="9"/>
        <v>42</v>
      </c>
      <c r="AC47" s="540">
        <v>7.8899999999999999E-4</v>
      </c>
      <c r="AD47" s="540">
        <v>5.2700000000000002E-4</v>
      </c>
    </row>
    <row r="48" spans="1:30" ht="11.25" customHeight="1">
      <c r="A48" s="541"/>
      <c r="B48" s="663"/>
      <c r="C48" s="536"/>
      <c r="D48" s="536"/>
      <c r="E48" s="542"/>
      <c r="F48" s="538"/>
      <c r="G48" s="538"/>
      <c r="H48" s="621"/>
      <c r="I48" s="513"/>
      <c r="J48" s="535"/>
      <c r="K48" s="535"/>
      <c r="L48" s="536"/>
      <c r="M48" s="542"/>
      <c r="N48" s="538"/>
      <c r="O48" s="538"/>
      <c r="P48" s="621" t="str">
        <f t="shared" si="10"/>
        <v/>
      </c>
      <c r="R48" s="528" t="str">
        <f t="shared" ca="1" si="13"/>
        <v/>
      </c>
      <c r="S48" s="529" t="str">
        <f t="shared" ca="1" si="8"/>
        <v/>
      </c>
      <c r="T48" s="530" t="str">
        <f t="shared" ca="1" si="6"/>
        <v/>
      </c>
      <c r="U48" s="511" t="str">
        <f t="shared" ca="1" si="7"/>
        <v/>
      </c>
      <c r="V48" s="511" t="str">
        <f t="shared" ca="1" si="0"/>
        <v/>
      </c>
      <c r="W48" s="511" t="str">
        <f t="shared" ca="1" si="1"/>
        <v/>
      </c>
      <c r="X48" s="531">
        <f t="shared" ca="1" si="2"/>
        <v>0</v>
      </c>
      <c r="Y48" s="511" t="str">
        <f t="shared" ca="1" si="3"/>
        <v/>
      </c>
      <c r="Z48" s="532">
        <f t="shared" ca="1" si="4"/>
        <v>0</v>
      </c>
      <c r="AA48" s="520"/>
      <c r="AB48" s="539">
        <f t="shared" si="9"/>
        <v>43</v>
      </c>
      <c r="AC48" s="540">
        <v>8.5599999999999999E-4</v>
      </c>
      <c r="AD48" s="540">
        <v>5.5800000000000001E-4</v>
      </c>
    </row>
    <row r="49" spans="1:30" ht="11.25" customHeight="1">
      <c r="A49" s="541"/>
      <c r="B49" s="663"/>
      <c r="C49" s="536"/>
      <c r="D49" s="536"/>
      <c r="E49" s="542"/>
      <c r="F49" s="538"/>
      <c r="G49" s="538"/>
      <c r="H49" s="621"/>
      <c r="I49" s="513"/>
      <c r="J49" s="535"/>
      <c r="K49" s="535"/>
      <c r="L49" s="536"/>
      <c r="M49" s="542"/>
      <c r="N49" s="538"/>
      <c r="O49" s="538"/>
      <c r="P49" s="621" t="str">
        <f t="shared" si="10"/>
        <v/>
      </c>
      <c r="R49" s="528" t="str">
        <f t="shared" ca="1" si="13"/>
        <v/>
      </c>
      <c r="S49" s="529" t="str">
        <f t="shared" ca="1" si="8"/>
        <v/>
      </c>
      <c r="T49" s="530" t="str">
        <f t="shared" ca="1" si="6"/>
        <v/>
      </c>
      <c r="U49" s="511" t="str">
        <f t="shared" ca="1" si="7"/>
        <v/>
      </c>
      <c r="V49" s="511" t="str">
        <f t="shared" ca="1" si="0"/>
        <v/>
      </c>
      <c r="W49" s="511" t="str">
        <f t="shared" ca="1" si="1"/>
        <v/>
      </c>
      <c r="X49" s="531">
        <f t="shared" ca="1" si="2"/>
        <v>0</v>
      </c>
      <c r="Y49" s="511" t="str">
        <f t="shared" ca="1" si="3"/>
        <v/>
      </c>
      <c r="Z49" s="532">
        <f t="shared" ca="1" si="4"/>
        <v>0</v>
      </c>
      <c r="AA49" s="520"/>
      <c r="AB49" s="539">
        <f t="shared" si="9"/>
        <v>44</v>
      </c>
      <c r="AC49" s="540">
        <v>9.3599999999999998E-4</v>
      </c>
      <c r="AD49" s="540">
        <v>5.9500000000000004E-4</v>
      </c>
    </row>
    <row r="50" spans="1:30" ht="11.25" customHeight="1">
      <c r="A50" s="541"/>
      <c r="B50" s="663"/>
      <c r="C50" s="536"/>
      <c r="D50" s="536"/>
      <c r="E50" s="542"/>
      <c r="F50" s="538"/>
      <c r="G50" s="538"/>
      <c r="H50" s="621"/>
      <c r="I50" s="513"/>
      <c r="J50" s="535"/>
      <c r="K50" s="535"/>
      <c r="L50" s="536"/>
      <c r="M50" s="542"/>
      <c r="N50" s="538"/>
      <c r="O50" s="538"/>
      <c r="P50" s="621" t="str">
        <f t="shared" si="10"/>
        <v/>
      </c>
      <c r="R50" s="528" t="str">
        <f t="shared" ca="1" si="13"/>
        <v/>
      </c>
      <c r="S50" s="529" t="str">
        <f t="shared" ca="1" si="8"/>
        <v/>
      </c>
      <c r="T50" s="530" t="str">
        <f t="shared" ca="1" si="6"/>
        <v/>
      </c>
      <c r="U50" s="511" t="str">
        <f t="shared" ca="1" si="7"/>
        <v/>
      </c>
      <c r="V50" s="511" t="str">
        <f t="shared" ca="1" si="0"/>
        <v/>
      </c>
      <c r="W50" s="511" t="str">
        <f t="shared" ca="1" si="1"/>
        <v/>
      </c>
      <c r="X50" s="531">
        <f t="shared" ca="1" si="2"/>
        <v>0</v>
      </c>
      <c r="Y50" s="511" t="str">
        <f t="shared" ca="1" si="3"/>
        <v/>
      </c>
      <c r="Z50" s="532">
        <f t="shared" ca="1" si="4"/>
        <v>0</v>
      </c>
      <c r="AA50" s="520"/>
      <c r="AB50" s="539">
        <f t="shared" si="9"/>
        <v>45</v>
      </c>
      <c r="AC50" s="540">
        <v>1.023E-3</v>
      </c>
      <c r="AD50" s="540">
        <v>6.3599999999999996E-4</v>
      </c>
    </row>
    <row r="51" spans="1:30" ht="11.25" customHeight="1">
      <c r="A51" s="541"/>
      <c r="B51" s="664"/>
      <c r="C51" s="626"/>
      <c r="D51" s="626"/>
      <c r="E51" s="627"/>
      <c r="F51" s="628"/>
      <c r="G51" s="628"/>
      <c r="H51" s="629"/>
      <c r="I51" s="513"/>
      <c r="J51" s="625"/>
      <c r="K51" s="625"/>
      <c r="L51" s="626"/>
      <c r="M51" s="627"/>
      <c r="N51" s="628"/>
      <c r="O51" s="628"/>
      <c r="P51" s="629" t="str">
        <f t="shared" si="10"/>
        <v/>
      </c>
      <c r="R51" s="528" t="str">
        <f t="shared" ca="1" si="13"/>
        <v/>
      </c>
      <c r="S51" s="529" t="str">
        <f t="shared" ca="1" si="8"/>
        <v/>
      </c>
      <c r="T51" s="530" t="str">
        <f t="shared" ca="1" si="6"/>
        <v/>
      </c>
      <c r="U51" s="511" t="str">
        <f t="shared" ca="1" si="7"/>
        <v/>
      </c>
      <c r="V51" s="511" t="str">
        <f t="shared" ca="1" si="0"/>
        <v/>
      </c>
      <c r="W51" s="511" t="str">
        <f t="shared" ca="1" si="1"/>
        <v/>
      </c>
      <c r="X51" s="531">
        <f t="shared" ca="1" si="2"/>
        <v>0</v>
      </c>
      <c r="Y51" s="511" t="str">
        <f t="shared" ca="1" si="3"/>
        <v/>
      </c>
      <c r="Z51" s="532">
        <f t="shared" ca="1" si="4"/>
        <v>0</v>
      </c>
      <c r="AA51" s="520"/>
      <c r="AB51" s="539">
        <f t="shared" si="9"/>
        <v>46</v>
      </c>
      <c r="AC51" s="540">
        <v>1.1150000000000001E-3</v>
      </c>
      <c r="AD51" s="540">
        <v>6.7699999999999998E-4</v>
      </c>
    </row>
    <row r="52" spans="1:30" ht="11.25" customHeight="1">
      <c r="G52" s="583"/>
      <c r="H52" s="583"/>
      <c r="I52" s="583"/>
      <c r="J52" s="513"/>
      <c r="K52" s="513"/>
      <c r="L52" s="513"/>
      <c r="M52" s="513"/>
      <c r="N52" s="513"/>
      <c r="O52" s="513"/>
      <c r="P52" s="513"/>
      <c r="R52" s="528" t="str">
        <f t="shared" ca="1" si="13"/>
        <v/>
      </c>
      <c r="S52" s="529" t="str">
        <f t="shared" ca="1" si="8"/>
        <v/>
      </c>
      <c r="T52" s="530" t="str">
        <f t="shared" ca="1" si="6"/>
        <v/>
      </c>
      <c r="U52" s="511" t="str">
        <f t="shared" ca="1" si="7"/>
        <v/>
      </c>
      <c r="V52" s="511" t="str">
        <f t="shared" ca="1" si="0"/>
        <v/>
      </c>
      <c r="W52" s="511" t="str">
        <f t="shared" ca="1" si="1"/>
        <v/>
      </c>
      <c r="X52" s="531">
        <f t="shared" ca="1" si="2"/>
        <v>0</v>
      </c>
      <c r="Y52" s="511" t="str">
        <f t="shared" ca="1" si="3"/>
        <v/>
      </c>
      <c r="Z52" s="532">
        <f t="shared" ca="1" si="4"/>
        <v>0</v>
      </c>
      <c r="AA52" s="520"/>
      <c r="AB52" s="539">
        <f t="shared" si="9"/>
        <v>47</v>
      </c>
      <c r="AC52" s="540">
        <v>1.217E-3</v>
      </c>
      <c r="AD52" s="540">
        <v>7.2099999999999996E-4</v>
      </c>
    </row>
    <row r="53" spans="1:30" ht="11.25" customHeight="1">
      <c r="A53" s="544"/>
      <c r="G53" s="543"/>
      <c r="H53" s="543"/>
      <c r="J53" s="513"/>
      <c r="K53" s="513"/>
      <c r="L53" s="513"/>
      <c r="M53" s="513"/>
      <c r="N53" s="513"/>
      <c r="O53" s="513"/>
      <c r="P53" s="513"/>
      <c r="R53" s="528" t="str">
        <f t="shared" ca="1" si="13"/>
        <v/>
      </c>
      <c r="S53" s="529" t="str">
        <f t="shared" ca="1" si="8"/>
        <v/>
      </c>
      <c r="T53" s="530" t="str">
        <f t="shared" ca="1" si="6"/>
        <v/>
      </c>
      <c r="U53" s="511" t="str">
        <f t="shared" ca="1" si="7"/>
        <v/>
      </c>
      <c r="V53" s="511" t="str">
        <f t="shared" ca="1" si="0"/>
        <v/>
      </c>
      <c r="W53" s="511" t="str">
        <f t="shared" ca="1" si="1"/>
        <v/>
      </c>
      <c r="X53" s="531">
        <f t="shared" ca="1" si="2"/>
        <v>0</v>
      </c>
      <c r="Y53" s="511" t="str">
        <f t="shared" ca="1" si="3"/>
        <v/>
      </c>
      <c r="Z53" s="532">
        <f t="shared" ca="1" si="4"/>
        <v>0</v>
      </c>
      <c r="AA53" s="520"/>
      <c r="AB53" s="539">
        <f t="shared" si="9"/>
        <v>48</v>
      </c>
      <c r="AC53" s="540">
        <v>1.3359999999999999E-3</v>
      </c>
      <c r="AD53" s="540">
        <v>7.6800000000000002E-4</v>
      </c>
    </row>
    <row r="54" spans="1:30" ht="11.25" customHeight="1">
      <c r="A54" s="544"/>
      <c r="J54" s="513"/>
      <c r="K54" s="513"/>
      <c r="L54" s="513"/>
      <c r="M54" s="513"/>
      <c r="N54" s="513"/>
      <c r="O54" s="513"/>
      <c r="P54" s="513"/>
      <c r="R54" s="528" t="str">
        <f t="shared" ca="1" si="13"/>
        <v/>
      </c>
      <c r="S54" s="529" t="str">
        <f t="shared" ca="1" si="8"/>
        <v/>
      </c>
      <c r="T54" s="530" t="str">
        <f t="shared" ca="1" si="6"/>
        <v/>
      </c>
      <c r="U54" s="511" t="str">
        <f t="shared" ca="1" si="7"/>
        <v/>
      </c>
      <c r="V54" s="511" t="str">
        <f t="shared" ca="1" si="0"/>
        <v/>
      </c>
      <c r="W54" s="511" t="str">
        <f t="shared" ca="1" si="1"/>
        <v/>
      </c>
      <c r="X54" s="531">
        <f t="shared" ca="1" si="2"/>
        <v>0</v>
      </c>
      <c r="Y54" s="511" t="str">
        <f t="shared" ca="1" si="3"/>
        <v/>
      </c>
      <c r="Z54" s="532">
        <f t="shared" ca="1" si="4"/>
        <v>0</v>
      </c>
      <c r="AA54" s="520"/>
      <c r="AB54" s="539">
        <f t="shared" si="9"/>
        <v>49</v>
      </c>
      <c r="AC54" s="540">
        <v>1.4649999999999999E-3</v>
      </c>
      <c r="AD54" s="540">
        <v>8.1700000000000002E-4</v>
      </c>
    </row>
    <row r="55" spans="1:30" ht="11.25" customHeight="1">
      <c r="A55" s="544"/>
      <c r="J55" s="583"/>
      <c r="K55" s="583"/>
      <c r="L55" s="583"/>
      <c r="M55" s="583"/>
      <c r="N55" s="583"/>
      <c r="O55" s="583"/>
      <c r="P55" s="583"/>
      <c r="R55" s="528" t="str">
        <f t="shared" ca="1" si="13"/>
        <v/>
      </c>
      <c r="S55" s="529" t="str">
        <f t="shared" ca="1" si="8"/>
        <v/>
      </c>
      <c r="T55" s="530" t="str">
        <f t="shared" ca="1" si="6"/>
        <v/>
      </c>
      <c r="U55" s="511" t="str">
        <f t="shared" ca="1" si="7"/>
        <v/>
      </c>
      <c r="V55" s="511" t="str">
        <f t="shared" ca="1" si="0"/>
        <v/>
      </c>
      <c r="W55" s="511" t="str">
        <f t="shared" ca="1" si="1"/>
        <v/>
      </c>
      <c r="X55" s="531">
        <f t="shared" ca="1" si="2"/>
        <v>0</v>
      </c>
      <c r="Y55" s="511" t="str">
        <f t="shared" ca="1" si="3"/>
        <v/>
      </c>
      <c r="Z55" s="532">
        <f t="shared" ca="1" si="4"/>
        <v>0</v>
      </c>
      <c r="AA55" s="520"/>
      <c r="AB55" s="539">
        <f t="shared" si="9"/>
        <v>50</v>
      </c>
      <c r="AC55" s="540">
        <v>1.6000000000000001E-3</v>
      </c>
      <c r="AD55" s="540">
        <v>8.6700000000000004E-4</v>
      </c>
    </row>
    <row r="56" spans="1:30" ht="11.25" customHeight="1">
      <c r="A56" s="544"/>
      <c r="R56" s="528" t="str">
        <f t="shared" ca="1" si="13"/>
        <v/>
      </c>
      <c r="S56" s="529" t="str">
        <f t="shared" ca="1" si="8"/>
        <v/>
      </c>
      <c r="T56" s="530" t="str">
        <f t="shared" ca="1" si="6"/>
        <v/>
      </c>
      <c r="U56" s="511" t="str">
        <f t="shared" ca="1" si="7"/>
        <v/>
      </c>
      <c r="V56" s="511" t="str">
        <f t="shared" ca="1" si="0"/>
        <v/>
      </c>
      <c r="W56" s="511" t="str">
        <f t="shared" ca="1" si="1"/>
        <v/>
      </c>
      <c r="X56" s="531">
        <f t="shared" ca="1" si="2"/>
        <v>0</v>
      </c>
      <c r="Y56" s="511" t="str">
        <f t="shared" ca="1" si="3"/>
        <v/>
      </c>
      <c r="Z56" s="532">
        <f t="shared" ca="1" si="4"/>
        <v>0</v>
      </c>
      <c r="AA56" s="520"/>
      <c r="AB56" s="539">
        <f t="shared" si="9"/>
        <v>51</v>
      </c>
      <c r="AC56" s="540">
        <v>1.74E-3</v>
      </c>
      <c r="AD56" s="540">
        <v>9.2000000000000003E-4</v>
      </c>
    </row>
    <row r="57" spans="1:30" ht="11.25" customHeight="1">
      <c r="A57" s="544"/>
      <c r="R57" s="528" t="str">
        <f t="shared" ca="1" si="13"/>
        <v/>
      </c>
      <c r="S57" s="529" t="str">
        <f t="shared" ca="1" si="8"/>
        <v/>
      </c>
      <c r="T57" s="530" t="str">
        <f t="shared" ca="1" si="6"/>
        <v/>
      </c>
      <c r="U57" s="511" t="str">
        <f t="shared" ca="1" si="7"/>
        <v/>
      </c>
      <c r="V57" s="511" t="str">
        <f t="shared" ca="1" si="0"/>
        <v/>
      </c>
      <c r="W57" s="511" t="str">
        <f t="shared" ca="1" si="1"/>
        <v/>
      </c>
      <c r="X57" s="531">
        <f t="shared" ca="1" si="2"/>
        <v>0</v>
      </c>
      <c r="Y57" s="511" t="str">
        <f t="shared" ca="1" si="3"/>
        <v/>
      </c>
      <c r="Z57" s="532">
        <f t="shared" ca="1" si="4"/>
        <v>0</v>
      </c>
      <c r="AA57" s="520"/>
      <c r="AB57" s="539">
        <f t="shared" si="9"/>
        <v>52</v>
      </c>
      <c r="AC57" s="540">
        <v>1.8910000000000001E-3</v>
      </c>
      <c r="AD57" s="540">
        <v>9.7999999999999997E-4</v>
      </c>
    </row>
    <row r="58" spans="1:30" ht="11.25" customHeight="1">
      <c r="A58" s="544"/>
      <c r="R58" s="528" t="str">
        <f t="shared" ca="1" si="13"/>
        <v/>
      </c>
      <c r="S58" s="529" t="str">
        <f t="shared" ca="1" si="8"/>
        <v/>
      </c>
      <c r="T58" s="530" t="str">
        <f t="shared" ca="1" si="6"/>
        <v/>
      </c>
      <c r="U58" s="511" t="str">
        <f t="shared" ca="1" si="7"/>
        <v/>
      </c>
      <c r="V58" s="511" t="str">
        <f t="shared" ca="1" si="0"/>
        <v/>
      </c>
      <c r="W58" s="511" t="str">
        <f t="shared" ca="1" si="1"/>
        <v/>
      </c>
      <c r="X58" s="531">
        <f t="shared" ca="1" si="2"/>
        <v>0</v>
      </c>
      <c r="Y58" s="511" t="str">
        <f t="shared" ca="1" si="3"/>
        <v/>
      </c>
      <c r="Z58" s="532">
        <f t="shared" ca="1" si="4"/>
        <v>0</v>
      </c>
      <c r="AA58" s="520"/>
      <c r="AB58" s="539">
        <f t="shared" si="9"/>
        <v>53</v>
      </c>
      <c r="AC58" s="540">
        <v>2.0590000000000001E-3</v>
      </c>
      <c r="AD58" s="540">
        <v>1.049E-3</v>
      </c>
    </row>
    <row r="59" spans="1:30" ht="11.25" customHeight="1">
      <c r="A59" s="544"/>
      <c r="R59" s="528" t="str">
        <f t="shared" ca="1" si="13"/>
        <v/>
      </c>
      <c r="S59" s="529" t="str">
        <f t="shared" ca="1" si="8"/>
        <v/>
      </c>
      <c r="T59" s="530" t="str">
        <f t="shared" ca="1" si="6"/>
        <v/>
      </c>
      <c r="U59" s="511" t="str">
        <f t="shared" ca="1" si="7"/>
        <v/>
      </c>
      <c r="V59" s="511" t="str">
        <f t="shared" ca="1" si="0"/>
        <v/>
      </c>
      <c r="W59" s="511" t="str">
        <f t="shared" ca="1" si="1"/>
        <v/>
      </c>
      <c r="X59" s="531">
        <f t="shared" ca="1" si="2"/>
        <v>0</v>
      </c>
      <c r="Y59" s="511" t="str">
        <f t="shared" ca="1" si="3"/>
        <v/>
      </c>
      <c r="Z59" s="532">
        <f t="shared" ca="1" si="4"/>
        <v>0</v>
      </c>
      <c r="AA59" s="520"/>
      <c r="AB59" s="539">
        <f t="shared" si="9"/>
        <v>54</v>
      </c>
      <c r="AC59" s="540">
        <v>2.235E-3</v>
      </c>
      <c r="AD59" s="540">
        <v>1.124E-3</v>
      </c>
    </row>
    <row r="60" spans="1:30" ht="11.25" customHeight="1">
      <c r="A60" s="544"/>
      <c r="J60" s="545"/>
      <c r="K60" s="545"/>
      <c r="L60" s="545"/>
      <c r="M60" s="545"/>
      <c r="N60" s="545"/>
      <c r="O60" s="545"/>
      <c r="P60" s="545"/>
      <c r="R60" s="528" t="str">
        <f t="shared" ca="1" si="13"/>
        <v/>
      </c>
      <c r="S60" s="529" t="str">
        <f t="shared" ca="1" si="8"/>
        <v/>
      </c>
      <c r="T60" s="530" t="str">
        <f t="shared" ca="1" si="6"/>
        <v/>
      </c>
      <c r="U60" s="511" t="str">
        <f t="shared" ca="1" si="7"/>
        <v/>
      </c>
      <c r="V60" s="511" t="str">
        <f t="shared" ca="1" si="0"/>
        <v/>
      </c>
      <c r="W60" s="511" t="str">
        <f t="shared" ca="1" si="1"/>
        <v/>
      </c>
      <c r="X60" s="531">
        <f t="shared" ca="1" si="2"/>
        <v>0</v>
      </c>
      <c r="Y60" s="511" t="str">
        <f t="shared" ca="1" si="3"/>
        <v/>
      </c>
      <c r="Z60" s="532">
        <f t="shared" ca="1" si="4"/>
        <v>0</v>
      </c>
      <c r="AA60" s="520"/>
      <c r="AB60" s="539">
        <f t="shared" si="9"/>
        <v>55</v>
      </c>
      <c r="AC60" s="540">
        <v>2.4160000000000002E-3</v>
      </c>
      <c r="AD60" s="540">
        <v>1.2019999999999999E-3</v>
      </c>
    </row>
    <row r="61" spans="1:30" ht="11.25" customHeight="1">
      <c r="A61" s="544"/>
      <c r="J61" s="545"/>
      <c r="K61" s="545"/>
      <c r="L61" s="545"/>
      <c r="M61" s="545"/>
      <c r="N61" s="545"/>
      <c r="O61" s="545"/>
      <c r="P61" s="545"/>
      <c r="R61" s="528" t="str">
        <f t="shared" ca="1" si="13"/>
        <v/>
      </c>
      <c r="S61" s="529" t="str">
        <f t="shared" ca="1" si="8"/>
        <v/>
      </c>
      <c r="T61" s="530" t="str">
        <f t="shared" ca="1" si="6"/>
        <v/>
      </c>
      <c r="U61" s="511" t="str">
        <f t="shared" ca="1" si="7"/>
        <v/>
      </c>
      <c r="V61" s="511" t="str">
        <f t="shared" ca="1" si="0"/>
        <v/>
      </c>
      <c r="W61" s="511" t="str">
        <f t="shared" ca="1" si="1"/>
        <v/>
      </c>
      <c r="X61" s="531">
        <f t="shared" ca="1" si="2"/>
        <v>0</v>
      </c>
      <c r="Y61" s="511" t="str">
        <f t="shared" ca="1" si="3"/>
        <v/>
      </c>
      <c r="Z61" s="532">
        <f t="shared" ca="1" si="4"/>
        <v>0</v>
      </c>
      <c r="AA61" s="520"/>
      <c r="AB61" s="539">
        <f t="shared" si="9"/>
        <v>56</v>
      </c>
      <c r="AC61" s="540">
        <v>2.6120000000000002E-3</v>
      </c>
      <c r="AD61" s="540">
        <v>1.2819999999999999E-3</v>
      </c>
    </row>
    <row r="62" spans="1:30" ht="11.25" customHeight="1">
      <c r="A62" s="544"/>
      <c r="J62" s="545"/>
      <c r="K62" s="545"/>
      <c r="L62" s="545"/>
      <c r="M62" s="545"/>
      <c r="N62" s="545"/>
      <c r="O62" s="545"/>
      <c r="P62" s="545"/>
      <c r="R62" s="528" t="str">
        <f t="shared" ca="1" si="13"/>
        <v/>
      </c>
      <c r="S62" s="529" t="str">
        <f t="shared" ca="1" si="8"/>
        <v/>
      </c>
      <c r="T62" s="530" t="str">
        <f t="shared" ca="1" si="6"/>
        <v/>
      </c>
      <c r="U62" s="511" t="str">
        <f t="shared" ca="1" si="7"/>
        <v/>
      </c>
      <c r="V62" s="511" t="str">
        <f t="shared" ca="1" si="0"/>
        <v/>
      </c>
      <c r="W62" s="511" t="str">
        <f t="shared" ca="1" si="1"/>
        <v/>
      </c>
      <c r="X62" s="531">
        <f t="shared" ca="1" si="2"/>
        <v>0</v>
      </c>
      <c r="Y62" s="511" t="str">
        <f t="shared" ca="1" si="3"/>
        <v/>
      </c>
      <c r="Z62" s="532">
        <f t="shared" ca="1" si="4"/>
        <v>0</v>
      </c>
      <c r="AA62" s="520"/>
      <c r="AB62" s="539">
        <f t="shared" si="9"/>
        <v>57</v>
      </c>
      <c r="AC62" s="540">
        <v>2.8389999999999999E-3</v>
      </c>
      <c r="AD62" s="540">
        <v>1.369E-3</v>
      </c>
    </row>
    <row r="63" spans="1:30" ht="11.25" customHeight="1">
      <c r="A63" s="544"/>
      <c r="J63" s="545"/>
      <c r="K63" s="545"/>
      <c r="L63" s="545"/>
      <c r="M63" s="545"/>
      <c r="N63" s="545"/>
      <c r="O63" s="545"/>
      <c r="P63" s="545"/>
      <c r="R63" s="528" t="str">
        <f t="shared" ca="1" si="13"/>
        <v/>
      </c>
      <c r="S63" s="529" t="str">
        <f t="shared" ca="1" si="8"/>
        <v/>
      </c>
      <c r="T63" s="530" t="str">
        <f t="shared" ca="1" si="6"/>
        <v/>
      </c>
      <c r="U63" s="511" t="str">
        <f t="shared" ca="1" si="7"/>
        <v/>
      </c>
      <c r="V63" s="511" t="str">
        <f t="shared" ca="1" si="0"/>
        <v/>
      </c>
      <c r="W63" s="511" t="str">
        <f t="shared" ca="1" si="1"/>
        <v/>
      </c>
      <c r="X63" s="531">
        <f t="shared" ca="1" si="2"/>
        <v>0</v>
      </c>
      <c r="Y63" s="511" t="str">
        <f t="shared" ca="1" si="3"/>
        <v/>
      </c>
      <c r="Z63" s="532">
        <f t="shared" ca="1" si="4"/>
        <v>0</v>
      </c>
      <c r="AA63" s="520"/>
      <c r="AB63" s="539">
        <f t="shared" si="9"/>
        <v>58</v>
      </c>
      <c r="AC63" s="540">
        <v>3.107E-3</v>
      </c>
      <c r="AD63" s="540">
        <v>1.464E-3</v>
      </c>
    </row>
    <row r="64" spans="1:30" ht="11.25" customHeight="1">
      <c r="A64" s="544"/>
      <c r="J64" s="545"/>
      <c r="K64" s="545"/>
      <c r="L64" s="545"/>
      <c r="M64" s="545"/>
      <c r="N64" s="747"/>
      <c r="O64" s="747"/>
      <c r="P64" s="545"/>
      <c r="R64" s="528" t="str">
        <f t="shared" ca="1" si="13"/>
        <v/>
      </c>
      <c r="S64" s="529" t="str">
        <f t="shared" ca="1" si="8"/>
        <v/>
      </c>
      <c r="T64" s="530" t="str">
        <f t="shared" ca="1" si="6"/>
        <v/>
      </c>
      <c r="U64" s="511" t="str">
        <f t="shared" ca="1" si="7"/>
        <v/>
      </c>
      <c r="V64" s="511" t="str">
        <f t="shared" ca="1" si="0"/>
        <v/>
      </c>
      <c r="W64" s="511" t="str">
        <f t="shared" ca="1" si="1"/>
        <v/>
      </c>
      <c r="X64" s="531">
        <f t="shared" ca="1" si="2"/>
        <v>0</v>
      </c>
      <c r="Y64" s="511" t="str">
        <f t="shared" ca="1" si="3"/>
        <v/>
      </c>
      <c r="Z64" s="532">
        <f t="shared" ca="1" si="4"/>
        <v>0</v>
      </c>
      <c r="AA64" s="520"/>
      <c r="AB64" s="539">
        <f t="shared" si="9"/>
        <v>59</v>
      </c>
      <c r="AC64" s="540">
        <v>3.3990000000000001E-3</v>
      </c>
      <c r="AD64" s="540">
        <v>1.5610000000000001E-3</v>
      </c>
    </row>
    <row r="65" spans="1:30" ht="11.25" customHeight="1">
      <c r="A65" s="544"/>
      <c r="J65" s="545"/>
      <c r="K65" s="545"/>
      <c r="L65" s="545"/>
      <c r="M65" s="545"/>
      <c r="N65" s="747"/>
      <c r="O65" s="747"/>
      <c r="P65" s="545"/>
      <c r="R65" s="528" t="str">
        <f t="shared" ca="1" si="13"/>
        <v/>
      </c>
      <c r="S65" s="529" t="str">
        <f t="shared" ca="1" si="8"/>
        <v/>
      </c>
      <c r="T65" s="530" t="str">
        <f t="shared" ca="1" si="6"/>
        <v/>
      </c>
      <c r="U65" s="511" t="str">
        <f t="shared" ca="1" si="7"/>
        <v/>
      </c>
      <c r="V65" s="511" t="str">
        <f t="shared" ca="1" si="0"/>
        <v/>
      </c>
      <c r="W65" s="511" t="str">
        <f t="shared" ca="1" si="1"/>
        <v/>
      </c>
      <c r="X65" s="531">
        <f t="shared" ca="1" si="2"/>
        <v>0</v>
      </c>
      <c r="Y65" s="511" t="str">
        <f t="shared" ca="1" si="3"/>
        <v/>
      </c>
      <c r="Z65" s="532">
        <f t="shared" ca="1" si="4"/>
        <v>0</v>
      </c>
      <c r="AA65" s="520"/>
      <c r="AB65" s="539">
        <f t="shared" si="9"/>
        <v>60</v>
      </c>
      <c r="AC65" s="540">
        <v>3.7030000000000001E-3</v>
      </c>
      <c r="AD65" s="540">
        <v>1.66E-3</v>
      </c>
    </row>
    <row r="66" spans="1:30" ht="11.25" customHeight="1">
      <c r="A66" s="544"/>
      <c r="J66" s="545"/>
      <c r="K66" s="545"/>
      <c r="L66" s="545"/>
      <c r="M66" s="545"/>
      <c r="N66" s="747"/>
      <c r="O66" s="747"/>
      <c r="P66" s="545"/>
      <c r="R66" s="528" t="str">
        <f t="shared" ca="1" si="13"/>
        <v/>
      </c>
      <c r="S66" s="529" t="str">
        <f t="shared" ca="1" si="8"/>
        <v/>
      </c>
      <c r="T66" s="530" t="str">
        <f t="shared" ca="1" si="6"/>
        <v/>
      </c>
      <c r="U66" s="511" t="str">
        <f t="shared" ca="1" si="7"/>
        <v/>
      </c>
      <c r="V66" s="511" t="str">
        <f t="shared" ca="1" si="0"/>
        <v/>
      </c>
      <c r="W66" s="511" t="str">
        <f t="shared" ca="1" si="1"/>
        <v/>
      </c>
      <c r="X66" s="531">
        <f t="shared" ca="1" si="2"/>
        <v>0</v>
      </c>
      <c r="Y66" s="511" t="str">
        <f t="shared" ca="1" si="3"/>
        <v/>
      </c>
      <c r="Z66" s="532">
        <f t="shared" ca="1" si="4"/>
        <v>0</v>
      </c>
      <c r="AA66" s="520"/>
      <c r="AB66" s="539">
        <f t="shared" si="9"/>
        <v>61</v>
      </c>
      <c r="AC66" s="540">
        <v>4.0359999999999997E-3</v>
      </c>
      <c r="AD66" s="540">
        <v>1.774E-3</v>
      </c>
    </row>
    <row r="67" spans="1:30" ht="11.25" customHeight="1">
      <c r="J67" s="545"/>
      <c r="K67" s="545"/>
      <c r="L67" s="545"/>
      <c r="M67" s="545"/>
      <c r="N67" s="747"/>
      <c r="O67" s="747"/>
      <c r="P67" s="545"/>
      <c r="R67" s="528" t="str">
        <f t="shared" ca="1" si="13"/>
        <v/>
      </c>
      <c r="S67" s="529" t="str">
        <f t="shared" ca="1" si="8"/>
        <v/>
      </c>
      <c r="T67" s="530" t="str">
        <f t="shared" ca="1" si="6"/>
        <v/>
      </c>
      <c r="U67" s="511" t="str">
        <f t="shared" ca="1" si="7"/>
        <v/>
      </c>
      <c r="V67" s="511" t="str">
        <f t="shared" ca="1" si="0"/>
        <v/>
      </c>
      <c r="W67" s="511" t="str">
        <f t="shared" ca="1" si="1"/>
        <v/>
      </c>
      <c r="X67" s="531">
        <f t="shared" ca="1" si="2"/>
        <v>0</v>
      </c>
      <c r="Y67" s="511" t="str">
        <f t="shared" ca="1" si="3"/>
        <v/>
      </c>
      <c r="Z67" s="532">
        <f t="shared" ca="1" si="4"/>
        <v>0</v>
      </c>
      <c r="AA67" s="520"/>
      <c r="AB67" s="539">
        <f t="shared" si="9"/>
        <v>62</v>
      </c>
      <c r="AC67" s="540">
        <v>4.4289999999999998E-3</v>
      </c>
      <c r="AD67" s="540">
        <v>1.9220000000000001E-3</v>
      </c>
    </row>
    <row r="68" spans="1:30" ht="11.25" customHeight="1">
      <c r="J68" s="545"/>
      <c r="K68" s="545"/>
      <c r="L68" s="545"/>
      <c r="M68" s="545"/>
      <c r="N68" s="747"/>
      <c r="O68" s="747"/>
      <c r="P68" s="545"/>
      <c r="R68" s="528" t="str">
        <f t="shared" ca="1" si="13"/>
        <v/>
      </c>
      <c r="S68" s="529" t="str">
        <f t="shared" ca="1" si="8"/>
        <v/>
      </c>
      <c r="T68" s="530" t="str">
        <f t="shared" ca="1" si="6"/>
        <v/>
      </c>
      <c r="U68" s="511" t="str">
        <f t="shared" ca="1" si="7"/>
        <v/>
      </c>
      <c r="V68" s="511" t="str">
        <f t="shared" ca="1" si="0"/>
        <v/>
      </c>
      <c r="W68" s="511" t="str">
        <f t="shared" ca="1" si="1"/>
        <v/>
      </c>
      <c r="X68" s="531">
        <f t="shared" ca="1" si="2"/>
        <v>0</v>
      </c>
      <c r="Y68" s="511" t="str">
        <f t="shared" ca="1" si="3"/>
        <v/>
      </c>
      <c r="Z68" s="532">
        <f t="shared" ca="1" si="4"/>
        <v>0</v>
      </c>
      <c r="AA68" s="520"/>
      <c r="AB68" s="539">
        <f t="shared" si="9"/>
        <v>63</v>
      </c>
      <c r="AC68" s="540">
        <v>4.9030000000000002E-3</v>
      </c>
      <c r="AD68" s="540">
        <v>2.1120000000000002E-3</v>
      </c>
    </row>
    <row r="69" spans="1:30" ht="11.25" customHeight="1">
      <c r="J69" s="545"/>
      <c r="K69" s="545"/>
      <c r="L69" s="545"/>
      <c r="M69" s="545"/>
      <c r="N69" s="747"/>
      <c r="O69" s="747"/>
      <c r="P69" s="545"/>
      <c r="R69" s="528" t="str">
        <f t="shared" ca="1" si="13"/>
        <v/>
      </c>
      <c r="S69" s="529" t="str">
        <f t="shared" ca="1" si="8"/>
        <v/>
      </c>
      <c r="T69" s="530" t="str">
        <f t="shared" ca="1" si="6"/>
        <v/>
      </c>
      <c r="U69" s="511" t="str">
        <f t="shared" ca="1" si="7"/>
        <v/>
      </c>
      <c r="V69" s="511" t="str">
        <f t="shared" ref="V69:V117" ca="1" si="14">IF($R69="","",T69*(1-U69))</f>
        <v/>
      </c>
      <c r="W69" s="511" t="str">
        <f t="shared" ref="W69:W117" ca="1" si="15">IF($R69="","",T69*U69*$T$2^($R69+0.5))</f>
        <v/>
      </c>
      <c r="X69" s="531">
        <f t="shared" ref="X69:X116" ca="1" si="16">IF($R69="",0,X70+W69)</f>
        <v>0</v>
      </c>
      <c r="Y69" s="511" t="str">
        <f t="shared" ref="Y69:Y117" ca="1" si="17">IF($R69="","",T69*$T$2^$R69)</f>
        <v/>
      </c>
      <c r="Z69" s="532">
        <f t="shared" ref="Z69:Z116" ca="1" si="18">IF($R69="",0,Z70+Y69)</f>
        <v>0</v>
      </c>
      <c r="AA69" s="520"/>
      <c r="AB69" s="539">
        <f t="shared" si="9"/>
        <v>64</v>
      </c>
      <c r="AC69" s="540">
        <v>5.4289999999999998E-3</v>
      </c>
      <c r="AD69" s="540">
        <v>2.3259999999999999E-3</v>
      </c>
    </row>
    <row r="70" spans="1:30" ht="11.25" customHeight="1">
      <c r="J70" s="545"/>
      <c r="K70" s="545"/>
      <c r="L70" s="545"/>
      <c r="M70" s="545"/>
      <c r="N70" s="747"/>
      <c r="O70" s="747"/>
      <c r="P70" s="545"/>
      <c r="R70" s="528" t="str">
        <f t="shared" ref="R70:R101" ca="1" si="19">+IF(R69&gt;=$I$4,"",R69+1)</f>
        <v/>
      </c>
      <c r="S70" s="529" t="str">
        <f t="shared" ca="1" si="8"/>
        <v/>
      </c>
      <c r="T70" s="530" t="str">
        <f t="shared" ref="T70:T117" ca="1" si="20">IF($R70="","",V69)</f>
        <v/>
      </c>
      <c r="U70" s="511" t="str">
        <f t="shared" ref="U70:U117" ca="1" si="21">IF($R70="","",VLOOKUP($S70,$AB$5:$AD$117,2,FALSE))</f>
        <v/>
      </c>
      <c r="V70" s="511" t="str">
        <f t="shared" ca="1" si="14"/>
        <v/>
      </c>
      <c r="W70" s="511" t="str">
        <f t="shared" ca="1" si="15"/>
        <v/>
      </c>
      <c r="X70" s="531">
        <f t="shared" ca="1" si="16"/>
        <v>0</v>
      </c>
      <c r="Y70" s="511" t="str">
        <f t="shared" ca="1" si="17"/>
        <v/>
      </c>
      <c r="Z70" s="532">
        <f t="shared" ca="1" si="18"/>
        <v>0</v>
      </c>
      <c r="AA70" s="520"/>
      <c r="AB70" s="539">
        <f t="shared" si="9"/>
        <v>65</v>
      </c>
      <c r="AC70" s="540">
        <v>5.9800000000000001E-3</v>
      </c>
      <c r="AD70" s="540">
        <v>2.5539999999999998E-3</v>
      </c>
    </row>
    <row r="71" spans="1:30" ht="11.25" customHeight="1">
      <c r="J71" s="545"/>
      <c r="K71" s="545"/>
      <c r="L71" s="545"/>
      <c r="M71" s="545"/>
      <c r="N71" s="545"/>
      <c r="O71" s="545"/>
      <c r="P71" s="545"/>
      <c r="R71" s="528" t="str">
        <f t="shared" ca="1" si="19"/>
        <v/>
      </c>
      <c r="S71" s="529" t="str">
        <f t="shared" ref="S71:S117" ca="1" si="22">IF($R71="","",S70+1)</f>
        <v/>
      </c>
      <c r="T71" s="530" t="str">
        <f t="shared" ca="1" si="20"/>
        <v/>
      </c>
      <c r="U71" s="511" t="str">
        <f t="shared" ca="1" si="21"/>
        <v/>
      </c>
      <c r="V71" s="511" t="str">
        <f t="shared" ca="1" si="14"/>
        <v/>
      </c>
      <c r="W71" s="511" t="str">
        <f t="shared" ca="1" si="15"/>
        <v/>
      </c>
      <c r="X71" s="531">
        <f t="shared" ca="1" si="16"/>
        <v>0</v>
      </c>
      <c r="Y71" s="511" t="str">
        <f t="shared" ca="1" si="17"/>
        <v/>
      </c>
      <c r="Z71" s="532">
        <f t="shared" ca="1" si="18"/>
        <v>0</v>
      </c>
      <c r="AA71" s="520"/>
      <c r="AB71" s="539">
        <f t="shared" ref="AB71:AB117" si="23">+AB70+1</f>
        <v>66</v>
      </c>
      <c r="AC71" s="540">
        <v>6.5709999999999996E-3</v>
      </c>
      <c r="AD71" s="540">
        <v>2.8089999999999999E-3</v>
      </c>
    </row>
    <row r="72" spans="1:30" ht="11.25" customHeight="1">
      <c r="J72" s="545"/>
      <c r="K72" s="545"/>
      <c r="L72" s="545"/>
      <c r="M72" s="545"/>
      <c r="N72" s="545"/>
      <c r="O72" s="545"/>
      <c r="P72" s="545"/>
      <c r="R72" s="528" t="str">
        <f t="shared" ca="1" si="19"/>
        <v/>
      </c>
      <c r="S72" s="529" t="str">
        <f t="shared" ca="1" si="22"/>
        <v/>
      </c>
      <c r="T72" s="530" t="str">
        <f t="shared" ca="1" si="20"/>
        <v/>
      </c>
      <c r="U72" s="511" t="str">
        <f t="shared" ca="1" si="21"/>
        <v/>
      </c>
      <c r="V72" s="511" t="str">
        <f t="shared" ca="1" si="14"/>
        <v/>
      </c>
      <c r="W72" s="511" t="str">
        <f t="shared" ca="1" si="15"/>
        <v/>
      </c>
      <c r="X72" s="531">
        <f t="shared" ca="1" si="16"/>
        <v>0</v>
      </c>
      <c r="Y72" s="511" t="str">
        <f t="shared" ca="1" si="17"/>
        <v/>
      </c>
      <c r="Z72" s="532">
        <f t="shared" ca="1" si="18"/>
        <v>0</v>
      </c>
      <c r="AA72" s="520"/>
      <c r="AB72" s="539">
        <f t="shared" si="23"/>
        <v>67</v>
      </c>
      <c r="AC72" s="540">
        <v>7.2459999999999998E-3</v>
      </c>
      <c r="AD72" s="540">
        <v>3.1229999999999999E-3</v>
      </c>
    </row>
    <row r="73" spans="1:30" ht="11.25" customHeight="1">
      <c r="J73" s="545"/>
      <c r="K73" s="545"/>
      <c r="L73" s="545"/>
      <c r="M73" s="545"/>
      <c r="N73" s="545"/>
      <c r="O73" s="545"/>
      <c r="P73" s="545"/>
      <c r="R73" s="528" t="str">
        <f t="shared" ca="1" si="19"/>
        <v/>
      </c>
      <c r="S73" s="529" t="str">
        <f t="shared" ca="1" si="22"/>
        <v/>
      </c>
      <c r="T73" s="530" t="str">
        <f t="shared" ca="1" si="20"/>
        <v/>
      </c>
      <c r="U73" s="511" t="str">
        <f t="shared" ca="1" si="21"/>
        <v/>
      </c>
      <c r="V73" s="511" t="str">
        <f t="shared" ca="1" si="14"/>
        <v/>
      </c>
      <c r="W73" s="511" t="str">
        <f t="shared" ca="1" si="15"/>
        <v/>
      </c>
      <c r="X73" s="531">
        <f t="shared" ca="1" si="16"/>
        <v>0</v>
      </c>
      <c r="Y73" s="511" t="str">
        <f t="shared" ca="1" si="17"/>
        <v/>
      </c>
      <c r="Z73" s="532">
        <f t="shared" ca="1" si="18"/>
        <v>0</v>
      </c>
      <c r="AA73" s="520"/>
      <c r="AB73" s="539">
        <f t="shared" si="23"/>
        <v>68</v>
      </c>
      <c r="AC73" s="540">
        <v>8.0370000000000007E-3</v>
      </c>
      <c r="AD73" s="540">
        <v>3.5170000000000002E-3</v>
      </c>
    </row>
    <row r="74" spans="1:30" ht="11.25" customHeight="1">
      <c r="J74" s="545"/>
      <c r="K74" s="545"/>
      <c r="L74" s="545"/>
      <c r="M74" s="545"/>
      <c r="N74" s="545"/>
      <c r="O74" s="545"/>
      <c r="P74" s="545"/>
      <c r="R74" s="528" t="str">
        <f t="shared" ca="1" si="19"/>
        <v/>
      </c>
      <c r="S74" s="529" t="str">
        <f t="shared" ca="1" si="22"/>
        <v/>
      </c>
      <c r="T74" s="530" t="str">
        <f t="shared" ca="1" si="20"/>
        <v/>
      </c>
      <c r="U74" s="511" t="str">
        <f t="shared" ca="1" si="21"/>
        <v/>
      </c>
      <c r="V74" s="511" t="str">
        <f t="shared" ca="1" si="14"/>
        <v/>
      </c>
      <c r="W74" s="511" t="str">
        <f t="shared" ca="1" si="15"/>
        <v/>
      </c>
      <c r="X74" s="531">
        <f t="shared" ca="1" si="16"/>
        <v>0</v>
      </c>
      <c r="Y74" s="511" t="str">
        <f t="shared" ca="1" si="17"/>
        <v/>
      </c>
      <c r="Z74" s="532">
        <f t="shared" ca="1" si="18"/>
        <v>0</v>
      </c>
      <c r="AA74" s="520"/>
      <c r="AB74" s="539">
        <f t="shared" si="23"/>
        <v>69</v>
      </c>
      <c r="AC74" s="540">
        <v>8.8749999999999992E-3</v>
      </c>
      <c r="AD74" s="540">
        <v>3.9459999999999999E-3</v>
      </c>
    </row>
    <row r="75" spans="1:30" ht="11.25" customHeight="1">
      <c r="J75" s="545"/>
      <c r="K75" s="545"/>
      <c r="L75" s="545"/>
      <c r="M75" s="545"/>
      <c r="N75" s="545"/>
      <c r="O75" s="545"/>
      <c r="P75" s="545"/>
      <c r="R75" s="528" t="str">
        <f t="shared" ca="1" si="19"/>
        <v/>
      </c>
      <c r="S75" s="529" t="str">
        <f t="shared" ca="1" si="22"/>
        <v/>
      </c>
      <c r="T75" s="530" t="str">
        <f t="shared" ca="1" si="20"/>
        <v/>
      </c>
      <c r="U75" s="511" t="str">
        <f t="shared" ca="1" si="21"/>
        <v/>
      </c>
      <c r="V75" s="511" t="str">
        <f t="shared" ca="1" si="14"/>
        <v/>
      </c>
      <c r="W75" s="511" t="str">
        <f t="shared" ca="1" si="15"/>
        <v/>
      </c>
      <c r="X75" s="531">
        <f t="shared" ca="1" si="16"/>
        <v>0</v>
      </c>
      <c r="Y75" s="511" t="str">
        <f t="shared" ca="1" si="17"/>
        <v/>
      </c>
      <c r="Z75" s="532">
        <f t="shared" ca="1" si="18"/>
        <v>0</v>
      </c>
      <c r="AA75" s="520"/>
      <c r="AB75" s="539">
        <f t="shared" si="23"/>
        <v>70</v>
      </c>
      <c r="AC75" s="540">
        <v>9.7429999999999999E-3</v>
      </c>
      <c r="AD75" s="540">
        <v>4.398E-3</v>
      </c>
    </row>
    <row r="76" spans="1:30" ht="11.25" customHeight="1">
      <c r="J76" s="545"/>
      <c r="K76" s="545"/>
      <c r="L76" s="545"/>
      <c r="M76" s="545"/>
      <c r="N76" s="545"/>
      <c r="O76" s="545"/>
      <c r="P76" s="545"/>
      <c r="R76" s="528" t="str">
        <f t="shared" ca="1" si="19"/>
        <v/>
      </c>
      <c r="S76" s="529" t="str">
        <f t="shared" ca="1" si="22"/>
        <v/>
      </c>
      <c r="T76" s="530" t="str">
        <f t="shared" ca="1" si="20"/>
        <v/>
      </c>
      <c r="U76" s="511" t="str">
        <f t="shared" ca="1" si="21"/>
        <v/>
      </c>
      <c r="V76" s="511" t="str">
        <f t="shared" ca="1" si="14"/>
        <v/>
      </c>
      <c r="W76" s="511" t="str">
        <f t="shared" ca="1" si="15"/>
        <v/>
      </c>
      <c r="X76" s="531">
        <f t="shared" ca="1" si="16"/>
        <v>0</v>
      </c>
      <c r="Y76" s="511" t="str">
        <f t="shared" ca="1" si="17"/>
        <v/>
      </c>
      <c r="Z76" s="532">
        <f t="shared" ca="1" si="18"/>
        <v>0</v>
      </c>
      <c r="AA76" s="520"/>
      <c r="AB76" s="539">
        <f t="shared" si="23"/>
        <v>71</v>
      </c>
      <c r="AC76" s="540">
        <v>1.0746E-2</v>
      </c>
      <c r="AD76" s="540">
        <v>4.9290000000000002E-3</v>
      </c>
    </row>
    <row r="77" spans="1:30" ht="11.25" customHeight="1">
      <c r="G77" s="548"/>
      <c r="R77" s="528" t="str">
        <f t="shared" ca="1" si="19"/>
        <v/>
      </c>
      <c r="S77" s="529" t="str">
        <f t="shared" ca="1" si="22"/>
        <v/>
      </c>
      <c r="T77" s="530" t="str">
        <f t="shared" ca="1" si="20"/>
        <v/>
      </c>
      <c r="U77" s="511" t="str">
        <f t="shared" ca="1" si="21"/>
        <v/>
      </c>
      <c r="V77" s="511" t="str">
        <f t="shared" ca="1" si="14"/>
        <v/>
      </c>
      <c r="W77" s="511" t="str">
        <f t="shared" ca="1" si="15"/>
        <v/>
      </c>
      <c r="X77" s="531">
        <f t="shared" ca="1" si="16"/>
        <v>0</v>
      </c>
      <c r="Y77" s="511" t="str">
        <f t="shared" ca="1" si="17"/>
        <v/>
      </c>
      <c r="Z77" s="532">
        <f t="shared" ca="1" si="18"/>
        <v>0</v>
      </c>
      <c r="AA77" s="520"/>
      <c r="AB77" s="539">
        <f t="shared" si="23"/>
        <v>72</v>
      </c>
      <c r="AC77" s="540">
        <v>1.2047E-2</v>
      </c>
      <c r="AD77" s="540">
        <v>5.6369999999999996E-3</v>
      </c>
    </row>
    <row r="78" spans="1:30" ht="11.25" customHeight="1">
      <c r="R78" s="528" t="str">
        <f t="shared" ca="1" si="19"/>
        <v/>
      </c>
      <c r="S78" s="529" t="str">
        <f t="shared" ca="1" si="22"/>
        <v/>
      </c>
      <c r="T78" s="530" t="str">
        <f t="shared" ca="1" si="20"/>
        <v/>
      </c>
      <c r="U78" s="511" t="str">
        <f t="shared" ca="1" si="21"/>
        <v/>
      </c>
      <c r="V78" s="511" t="str">
        <f t="shared" ca="1" si="14"/>
        <v/>
      </c>
      <c r="W78" s="511" t="str">
        <f t="shared" ca="1" si="15"/>
        <v/>
      </c>
      <c r="X78" s="531">
        <f t="shared" ca="1" si="16"/>
        <v>0</v>
      </c>
      <c r="Y78" s="511" t="str">
        <f t="shared" ca="1" si="17"/>
        <v/>
      </c>
      <c r="Z78" s="532">
        <f t="shared" ca="1" si="18"/>
        <v>0</v>
      </c>
      <c r="AA78" s="520"/>
      <c r="AB78" s="539">
        <f>+AB77+1</f>
        <v>73</v>
      </c>
      <c r="AC78" s="540">
        <v>1.3735000000000001E-2</v>
      </c>
      <c r="AD78" s="540">
        <v>6.5750000000000001E-3</v>
      </c>
    </row>
    <row r="79" spans="1:30" ht="11.25" customHeight="1">
      <c r="R79" s="528" t="str">
        <f t="shared" ca="1" si="19"/>
        <v/>
      </c>
      <c r="S79" s="529" t="str">
        <f t="shared" ca="1" si="22"/>
        <v/>
      </c>
      <c r="T79" s="530" t="str">
        <f t="shared" ca="1" si="20"/>
        <v/>
      </c>
      <c r="U79" s="511" t="str">
        <f t="shared" ca="1" si="21"/>
        <v/>
      </c>
      <c r="V79" s="511" t="str">
        <f t="shared" ca="1" si="14"/>
        <v/>
      </c>
      <c r="W79" s="511" t="str">
        <f t="shared" ca="1" si="15"/>
        <v/>
      </c>
      <c r="X79" s="531">
        <f t="shared" ca="1" si="16"/>
        <v>0</v>
      </c>
      <c r="Y79" s="511" t="str">
        <f t="shared" ca="1" si="17"/>
        <v/>
      </c>
      <c r="Z79" s="532">
        <f t="shared" ca="1" si="18"/>
        <v>0</v>
      </c>
      <c r="AA79" s="520"/>
      <c r="AB79" s="539">
        <f t="shared" si="23"/>
        <v>74</v>
      </c>
      <c r="AC79" s="540">
        <v>1.5688000000000001E-2</v>
      </c>
      <c r="AD79" s="540">
        <v>7.6400000000000001E-3</v>
      </c>
    </row>
    <row r="80" spans="1:30" ht="11.25" customHeight="1">
      <c r="R80" s="528" t="str">
        <f t="shared" ca="1" si="19"/>
        <v/>
      </c>
      <c r="S80" s="529" t="str">
        <f t="shared" ca="1" si="22"/>
        <v/>
      </c>
      <c r="T80" s="530" t="str">
        <f t="shared" ca="1" si="20"/>
        <v/>
      </c>
      <c r="U80" s="511" t="str">
        <f t="shared" ca="1" si="21"/>
        <v/>
      </c>
      <c r="V80" s="511" t="str">
        <f t="shared" ca="1" si="14"/>
        <v/>
      </c>
      <c r="W80" s="511" t="str">
        <f t="shared" ca="1" si="15"/>
        <v/>
      </c>
      <c r="X80" s="531">
        <f t="shared" ca="1" si="16"/>
        <v>0</v>
      </c>
      <c r="Y80" s="511" t="str">
        <f t="shared" ca="1" si="17"/>
        <v/>
      </c>
      <c r="Z80" s="532">
        <f t="shared" ca="1" si="18"/>
        <v>0</v>
      </c>
      <c r="AA80" s="520"/>
      <c r="AB80" s="539">
        <f>+AB79+1</f>
        <v>75</v>
      </c>
      <c r="AC80" s="540">
        <v>1.7767999999999999E-2</v>
      </c>
      <c r="AD80" s="540">
        <v>8.7720000000000003E-3</v>
      </c>
    </row>
    <row r="81" spans="18:43" ht="11.25" customHeight="1">
      <c r="R81" s="528" t="str">
        <f t="shared" ca="1" si="19"/>
        <v/>
      </c>
      <c r="S81" s="529" t="str">
        <f t="shared" ca="1" si="22"/>
        <v/>
      </c>
      <c r="T81" s="530" t="str">
        <f t="shared" ca="1" si="20"/>
        <v/>
      </c>
      <c r="U81" s="511" t="str">
        <f t="shared" ca="1" si="21"/>
        <v/>
      </c>
      <c r="V81" s="511" t="str">
        <f t="shared" ca="1" si="14"/>
        <v/>
      </c>
      <c r="W81" s="511" t="str">
        <f t="shared" ca="1" si="15"/>
        <v/>
      </c>
      <c r="X81" s="531">
        <f t="shared" ca="1" si="16"/>
        <v>0</v>
      </c>
      <c r="Y81" s="511" t="str">
        <f t="shared" ca="1" si="17"/>
        <v/>
      </c>
      <c r="Z81" s="532">
        <f t="shared" ca="1" si="18"/>
        <v>0</v>
      </c>
      <c r="AA81" s="520"/>
      <c r="AB81" s="539">
        <f t="shared" si="23"/>
        <v>76</v>
      </c>
      <c r="AC81" s="540">
        <v>1.9973999999999999E-2</v>
      </c>
      <c r="AD81" s="540">
        <v>1.0071E-2</v>
      </c>
    </row>
    <row r="82" spans="18:43" ht="11.25" customHeight="1">
      <c r="R82" s="528" t="str">
        <f t="shared" ca="1" si="19"/>
        <v/>
      </c>
      <c r="S82" s="529" t="str">
        <f t="shared" ca="1" si="22"/>
        <v/>
      </c>
      <c r="T82" s="530" t="str">
        <f t="shared" ca="1" si="20"/>
        <v/>
      </c>
      <c r="U82" s="511" t="str">
        <f t="shared" ca="1" si="21"/>
        <v/>
      </c>
      <c r="V82" s="511" t="str">
        <f t="shared" ca="1" si="14"/>
        <v/>
      </c>
      <c r="W82" s="511" t="str">
        <f t="shared" ca="1" si="15"/>
        <v/>
      </c>
      <c r="X82" s="531">
        <f t="shared" ca="1" si="16"/>
        <v>0</v>
      </c>
      <c r="Y82" s="511" t="str">
        <f t="shared" ca="1" si="17"/>
        <v/>
      </c>
      <c r="Z82" s="532">
        <f t="shared" ca="1" si="18"/>
        <v>0</v>
      </c>
      <c r="AA82" s="520"/>
      <c r="AB82" s="539">
        <f t="shared" si="23"/>
        <v>77</v>
      </c>
      <c r="AC82" s="540">
        <v>2.2443000000000001E-2</v>
      </c>
      <c r="AD82" s="540">
        <v>1.1734E-2</v>
      </c>
    </row>
    <row r="83" spans="18:43" ht="11.25" customHeight="1">
      <c r="R83" s="528" t="str">
        <f t="shared" ca="1" si="19"/>
        <v/>
      </c>
      <c r="S83" s="529" t="str">
        <f t="shared" ca="1" si="22"/>
        <v/>
      </c>
      <c r="T83" s="530" t="str">
        <f t="shared" ca="1" si="20"/>
        <v/>
      </c>
      <c r="U83" s="511" t="str">
        <f t="shared" ca="1" si="21"/>
        <v/>
      </c>
      <c r="V83" s="511" t="str">
        <f t="shared" ca="1" si="14"/>
        <v/>
      </c>
      <c r="W83" s="511" t="str">
        <f t="shared" ca="1" si="15"/>
        <v/>
      </c>
      <c r="X83" s="531">
        <f t="shared" ca="1" si="16"/>
        <v>0</v>
      </c>
      <c r="Y83" s="511" t="str">
        <f t="shared" ca="1" si="17"/>
        <v/>
      </c>
      <c r="Z83" s="532">
        <f t="shared" ca="1" si="18"/>
        <v>0</v>
      </c>
      <c r="AA83" s="520"/>
      <c r="AB83" s="539">
        <f t="shared" si="23"/>
        <v>78</v>
      </c>
      <c r="AC83" s="540">
        <v>2.5295999999999999E-2</v>
      </c>
      <c r="AD83" s="540">
        <v>1.3884000000000001E-2</v>
      </c>
    </row>
    <row r="84" spans="18:43" ht="11.25" customHeight="1">
      <c r="R84" s="528" t="str">
        <f t="shared" ca="1" si="19"/>
        <v/>
      </c>
      <c r="S84" s="529" t="str">
        <f t="shared" ca="1" si="22"/>
        <v/>
      </c>
      <c r="T84" s="530" t="str">
        <f t="shared" ca="1" si="20"/>
        <v/>
      </c>
      <c r="U84" s="511" t="str">
        <f t="shared" ca="1" si="21"/>
        <v/>
      </c>
      <c r="V84" s="511" t="str">
        <f t="shared" ca="1" si="14"/>
        <v/>
      </c>
      <c r="W84" s="511" t="str">
        <f t="shared" ca="1" si="15"/>
        <v/>
      </c>
      <c r="X84" s="531">
        <f t="shared" ca="1" si="16"/>
        <v>0</v>
      </c>
      <c r="Y84" s="511" t="str">
        <f t="shared" ca="1" si="17"/>
        <v/>
      </c>
      <c r="Z84" s="532">
        <f t="shared" ca="1" si="18"/>
        <v>0</v>
      </c>
      <c r="AA84" s="520"/>
      <c r="AB84" s="539">
        <f t="shared" si="23"/>
        <v>79</v>
      </c>
      <c r="AC84" s="540">
        <v>2.8386999999999999E-2</v>
      </c>
      <c r="AD84" s="540">
        <v>1.6324999999999999E-2</v>
      </c>
    </row>
    <row r="85" spans="18:43" ht="11.25" customHeight="1">
      <c r="R85" s="528" t="str">
        <f t="shared" ca="1" si="19"/>
        <v/>
      </c>
      <c r="S85" s="529" t="str">
        <f t="shared" ca="1" si="22"/>
        <v/>
      </c>
      <c r="T85" s="530" t="str">
        <f t="shared" ca="1" si="20"/>
        <v/>
      </c>
      <c r="U85" s="511" t="str">
        <f t="shared" ca="1" si="21"/>
        <v/>
      </c>
      <c r="V85" s="511" t="str">
        <f t="shared" ca="1" si="14"/>
        <v/>
      </c>
      <c r="W85" s="511" t="str">
        <f t="shared" ca="1" si="15"/>
        <v/>
      </c>
      <c r="X85" s="531">
        <f t="shared" ca="1" si="16"/>
        <v>0</v>
      </c>
      <c r="Y85" s="511" t="str">
        <f t="shared" ca="1" si="17"/>
        <v/>
      </c>
      <c r="Z85" s="532">
        <f t="shared" ca="1" si="18"/>
        <v>0</v>
      </c>
      <c r="AA85" s="520"/>
      <c r="AB85" s="539">
        <f t="shared" si="23"/>
        <v>80</v>
      </c>
      <c r="AC85" s="540">
        <v>3.1599000000000002E-2</v>
      </c>
      <c r="AD85" s="540">
        <v>1.8917E-2</v>
      </c>
    </row>
    <row r="86" spans="18:43" ht="11.25" customHeight="1">
      <c r="R86" s="528" t="str">
        <f t="shared" ca="1" si="19"/>
        <v/>
      </c>
      <c r="S86" s="529" t="str">
        <f t="shared" ca="1" si="22"/>
        <v/>
      </c>
      <c r="T86" s="530" t="str">
        <f t="shared" ca="1" si="20"/>
        <v/>
      </c>
      <c r="U86" s="511" t="str">
        <f t="shared" ca="1" si="21"/>
        <v/>
      </c>
      <c r="V86" s="511" t="str">
        <f t="shared" ca="1" si="14"/>
        <v/>
      </c>
      <c r="W86" s="511" t="str">
        <f t="shared" ca="1" si="15"/>
        <v/>
      </c>
      <c r="X86" s="531">
        <f t="shared" ca="1" si="16"/>
        <v>0</v>
      </c>
      <c r="Y86" s="511" t="str">
        <f t="shared" ca="1" si="17"/>
        <v/>
      </c>
      <c r="Z86" s="532">
        <f t="shared" ca="1" si="18"/>
        <v>0</v>
      </c>
      <c r="AA86" s="520"/>
      <c r="AB86" s="539">
        <f t="shared" si="23"/>
        <v>81</v>
      </c>
      <c r="AC86" s="540">
        <v>3.5007000000000003E-2</v>
      </c>
      <c r="AD86" s="540">
        <v>2.1784999999999999E-2</v>
      </c>
    </row>
    <row r="87" spans="18:43" ht="11.25" customHeight="1">
      <c r="R87" s="528" t="str">
        <f t="shared" ca="1" si="19"/>
        <v/>
      </c>
      <c r="S87" s="529" t="str">
        <f t="shared" ca="1" si="22"/>
        <v/>
      </c>
      <c r="T87" s="530" t="str">
        <f t="shared" ca="1" si="20"/>
        <v/>
      </c>
      <c r="U87" s="511" t="str">
        <f t="shared" ca="1" si="21"/>
        <v/>
      </c>
      <c r="V87" s="511" t="str">
        <f t="shared" ca="1" si="14"/>
        <v/>
      </c>
      <c r="W87" s="511" t="str">
        <f t="shared" ca="1" si="15"/>
        <v/>
      </c>
      <c r="X87" s="531">
        <f t="shared" ca="1" si="16"/>
        <v>0</v>
      </c>
      <c r="Y87" s="511" t="str">
        <f t="shared" ca="1" si="17"/>
        <v/>
      </c>
      <c r="Z87" s="532">
        <f t="shared" ca="1" si="18"/>
        <v>0</v>
      </c>
      <c r="AA87" s="520"/>
      <c r="AB87" s="539">
        <f t="shared" si="23"/>
        <v>82</v>
      </c>
      <c r="AC87" s="540">
        <v>3.8837000000000003E-2</v>
      </c>
      <c r="AD87" s="540">
        <v>2.5250999999999999E-2</v>
      </c>
    </row>
    <row r="88" spans="18:43" ht="11.25" customHeight="1">
      <c r="R88" s="528" t="str">
        <f t="shared" ca="1" si="19"/>
        <v/>
      </c>
      <c r="S88" s="529" t="str">
        <f t="shared" ca="1" si="22"/>
        <v/>
      </c>
      <c r="T88" s="530" t="str">
        <f t="shared" ca="1" si="20"/>
        <v/>
      </c>
      <c r="U88" s="511" t="str">
        <f t="shared" ca="1" si="21"/>
        <v/>
      </c>
      <c r="V88" s="511" t="str">
        <f t="shared" ca="1" si="14"/>
        <v/>
      </c>
      <c r="W88" s="511" t="str">
        <f t="shared" ca="1" si="15"/>
        <v/>
      </c>
      <c r="X88" s="531">
        <f t="shared" ca="1" si="16"/>
        <v>0</v>
      </c>
      <c r="Y88" s="511" t="str">
        <f t="shared" ca="1" si="17"/>
        <v/>
      </c>
      <c r="Z88" s="532">
        <f t="shared" ca="1" si="18"/>
        <v>0</v>
      </c>
      <c r="AA88" s="520"/>
      <c r="AB88" s="539">
        <f t="shared" si="23"/>
        <v>83</v>
      </c>
      <c r="AC88" s="540">
        <v>4.3249999999999997E-2</v>
      </c>
      <c r="AD88" s="540">
        <v>2.9531999999999999E-2</v>
      </c>
    </row>
    <row r="89" spans="18:43" ht="11.25" customHeight="1">
      <c r="R89" s="528" t="str">
        <f t="shared" ca="1" si="19"/>
        <v/>
      </c>
      <c r="S89" s="529" t="str">
        <f t="shared" ca="1" si="22"/>
        <v/>
      </c>
      <c r="T89" s="530" t="str">
        <f t="shared" ca="1" si="20"/>
        <v/>
      </c>
      <c r="U89" s="511" t="str">
        <f t="shared" ca="1" si="21"/>
        <v/>
      </c>
      <c r="V89" s="511" t="str">
        <f t="shared" ca="1" si="14"/>
        <v/>
      </c>
      <c r="W89" s="511" t="str">
        <f t="shared" ca="1" si="15"/>
        <v/>
      </c>
      <c r="X89" s="531">
        <f t="shared" ca="1" si="16"/>
        <v>0</v>
      </c>
      <c r="Y89" s="511" t="str">
        <f t="shared" ca="1" si="17"/>
        <v/>
      </c>
      <c r="Z89" s="532">
        <f t="shared" ca="1" si="18"/>
        <v>0</v>
      </c>
      <c r="AA89" s="520"/>
      <c r="AB89" s="539">
        <f t="shared" si="23"/>
        <v>84</v>
      </c>
      <c r="AC89" s="540">
        <v>4.802E-2</v>
      </c>
      <c r="AD89" s="540">
        <v>3.4264000000000003E-2</v>
      </c>
    </row>
    <row r="90" spans="18:43" ht="11.25" customHeight="1">
      <c r="R90" s="528" t="str">
        <f t="shared" ca="1" si="19"/>
        <v/>
      </c>
      <c r="S90" s="529" t="str">
        <f t="shared" ca="1" si="22"/>
        <v/>
      </c>
      <c r="T90" s="530" t="str">
        <f t="shared" ca="1" si="20"/>
        <v/>
      </c>
      <c r="U90" s="511" t="str">
        <f t="shared" ca="1" si="21"/>
        <v/>
      </c>
      <c r="V90" s="511" t="str">
        <f t="shared" ca="1" si="14"/>
        <v/>
      </c>
      <c r="W90" s="511" t="str">
        <f t="shared" ca="1" si="15"/>
        <v/>
      </c>
      <c r="X90" s="531">
        <f t="shared" ca="1" si="16"/>
        <v>0</v>
      </c>
      <c r="Y90" s="511" t="str">
        <f t="shared" ca="1" si="17"/>
        <v/>
      </c>
      <c r="Z90" s="532">
        <f t="shared" ca="1" si="18"/>
        <v>0</v>
      </c>
      <c r="AA90" s="520"/>
      <c r="AB90" s="539">
        <f t="shared" si="23"/>
        <v>85</v>
      </c>
      <c r="AC90" s="540">
        <v>5.2970999999999997E-2</v>
      </c>
      <c r="AD90" s="540">
        <v>3.9238000000000002E-2</v>
      </c>
    </row>
    <row r="91" spans="18:43" ht="11.25" customHeight="1">
      <c r="R91" s="528" t="str">
        <f t="shared" ca="1" si="19"/>
        <v/>
      </c>
      <c r="S91" s="529" t="str">
        <f t="shared" ca="1" si="22"/>
        <v/>
      </c>
      <c r="T91" s="530" t="str">
        <f t="shared" ca="1" si="20"/>
        <v/>
      </c>
      <c r="U91" s="511" t="str">
        <f t="shared" ca="1" si="21"/>
        <v/>
      </c>
      <c r="V91" s="511" t="str">
        <f t="shared" ca="1" si="14"/>
        <v/>
      </c>
      <c r="W91" s="511" t="str">
        <f t="shared" ca="1" si="15"/>
        <v/>
      </c>
      <c r="X91" s="531">
        <f t="shared" ca="1" si="16"/>
        <v>0</v>
      </c>
      <c r="Y91" s="511" t="str">
        <f t="shared" ca="1" si="17"/>
        <v/>
      </c>
      <c r="Z91" s="532">
        <f t="shared" ca="1" si="18"/>
        <v>0</v>
      </c>
      <c r="AA91" s="520"/>
      <c r="AB91" s="539">
        <f t="shared" si="23"/>
        <v>86</v>
      </c>
      <c r="AC91" s="540">
        <v>5.8229000000000003E-2</v>
      </c>
      <c r="AD91" s="540">
        <v>4.4787E-2</v>
      </c>
    </row>
    <row r="92" spans="18:43" ht="11.25" customHeight="1">
      <c r="R92" s="528" t="str">
        <f t="shared" ca="1" si="19"/>
        <v/>
      </c>
      <c r="S92" s="529" t="str">
        <f t="shared" ca="1" si="22"/>
        <v/>
      </c>
      <c r="T92" s="530" t="str">
        <f t="shared" ca="1" si="20"/>
        <v/>
      </c>
      <c r="U92" s="511" t="str">
        <f t="shared" ca="1" si="21"/>
        <v/>
      </c>
      <c r="V92" s="511" t="str">
        <f t="shared" ca="1" si="14"/>
        <v/>
      </c>
      <c r="W92" s="511" t="str">
        <f t="shared" ca="1" si="15"/>
        <v/>
      </c>
      <c r="X92" s="531">
        <f t="shared" ca="1" si="16"/>
        <v>0</v>
      </c>
      <c r="Y92" s="511" t="str">
        <f t="shared" ca="1" si="17"/>
        <v/>
      </c>
      <c r="Z92" s="532">
        <f t="shared" ca="1" si="18"/>
        <v>0</v>
      </c>
      <c r="AA92" s="520"/>
      <c r="AB92" s="539">
        <f t="shared" si="23"/>
        <v>87</v>
      </c>
      <c r="AC92" s="540">
        <v>6.4144999999999994E-2</v>
      </c>
      <c r="AD92" s="540">
        <v>5.1588000000000002E-2</v>
      </c>
    </row>
    <row r="93" spans="18:43" ht="11.25" customHeight="1">
      <c r="R93" s="528" t="str">
        <f t="shared" ca="1" si="19"/>
        <v/>
      </c>
      <c r="S93" s="529" t="str">
        <f t="shared" ca="1" si="22"/>
        <v/>
      </c>
      <c r="T93" s="530" t="str">
        <f t="shared" ca="1" si="20"/>
        <v/>
      </c>
      <c r="U93" s="511" t="str">
        <f t="shared" ca="1" si="21"/>
        <v/>
      </c>
      <c r="V93" s="511" t="str">
        <f t="shared" ca="1" si="14"/>
        <v/>
      </c>
      <c r="W93" s="511" t="str">
        <f t="shared" ca="1" si="15"/>
        <v/>
      </c>
      <c r="X93" s="531">
        <f t="shared" ca="1" si="16"/>
        <v>0</v>
      </c>
      <c r="Y93" s="511" t="str">
        <f t="shared" ca="1" si="17"/>
        <v/>
      </c>
      <c r="Z93" s="532">
        <f t="shared" ca="1" si="18"/>
        <v>0</v>
      </c>
      <c r="AA93" s="520"/>
      <c r="AB93" s="539">
        <f t="shared" si="23"/>
        <v>88</v>
      </c>
      <c r="AC93" s="540">
        <v>7.0967000000000002E-2</v>
      </c>
      <c r="AD93" s="540">
        <v>6.0066000000000001E-2</v>
      </c>
    </row>
    <row r="94" spans="18:43" ht="11.25" customHeight="1">
      <c r="R94" s="528" t="str">
        <f t="shared" ca="1" si="19"/>
        <v/>
      </c>
      <c r="S94" s="529" t="str">
        <f t="shared" ca="1" si="22"/>
        <v/>
      </c>
      <c r="T94" s="530" t="str">
        <f t="shared" ca="1" si="20"/>
        <v/>
      </c>
      <c r="U94" s="511" t="str">
        <f t="shared" ca="1" si="21"/>
        <v/>
      </c>
      <c r="V94" s="511" t="str">
        <f t="shared" ca="1" si="14"/>
        <v/>
      </c>
      <c r="W94" s="511" t="str">
        <f t="shared" ca="1" si="15"/>
        <v/>
      </c>
      <c r="X94" s="531">
        <f t="shared" ca="1" si="16"/>
        <v>0</v>
      </c>
      <c r="Y94" s="511" t="str">
        <f t="shared" ca="1" si="17"/>
        <v/>
      </c>
      <c r="Z94" s="532">
        <f t="shared" ca="1" si="18"/>
        <v>0</v>
      </c>
      <c r="AA94" s="520"/>
      <c r="AB94" s="539">
        <f t="shared" si="23"/>
        <v>89</v>
      </c>
      <c r="AC94" s="540">
        <v>7.8386999999999998E-2</v>
      </c>
      <c r="AD94" s="540">
        <v>6.9719000000000003E-2</v>
      </c>
    </row>
    <row r="95" spans="18:43" ht="11.25" customHeight="1">
      <c r="R95" s="528" t="str">
        <f t="shared" ca="1" si="19"/>
        <v/>
      </c>
      <c r="S95" s="529" t="str">
        <f t="shared" ca="1" si="22"/>
        <v/>
      </c>
      <c r="T95" s="530" t="str">
        <f t="shared" ca="1" si="20"/>
        <v/>
      </c>
      <c r="U95" s="511" t="str">
        <f t="shared" ca="1" si="21"/>
        <v/>
      </c>
      <c r="V95" s="511" t="str">
        <f t="shared" ca="1" si="14"/>
        <v/>
      </c>
      <c r="W95" s="511" t="str">
        <f t="shared" ca="1" si="15"/>
        <v/>
      </c>
      <c r="X95" s="531">
        <f t="shared" ca="1" si="16"/>
        <v>0</v>
      </c>
      <c r="Y95" s="511" t="str">
        <f t="shared" ca="1" si="17"/>
        <v/>
      </c>
      <c r="Z95" s="532">
        <f t="shared" ca="1" si="18"/>
        <v>0</v>
      </c>
      <c r="AA95" s="520"/>
      <c r="AB95" s="539">
        <f t="shared" si="23"/>
        <v>90</v>
      </c>
      <c r="AC95" s="540">
        <v>8.6098999999999995E-2</v>
      </c>
      <c r="AD95" s="540">
        <v>7.9930000000000001E-2</v>
      </c>
      <c r="AQ95" s="547" t="s">
        <v>284</v>
      </c>
    </row>
    <row r="96" spans="18:43" ht="11.25" customHeight="1">
      <c r="R96" s="528" t="str">
        <f t="shared" ca="1" si="19"/>
        <v/>
      </c>
      <c r="S96" s="529" t="str">
        <f t="shared" ca="1" si="22"/>
        <v/>
      </c>
      <c r="T96" s="530" t="str">
        <f t="shared" ca="1" si="20"/>
        <v/>
      </c>
      <c r="U96" s="511" t="str">
        <f t="shared" ca="1" si="21"/>
        <v/>
      </c>
      <c r="V96" s="511" t="str">
        <f t="shared" ca="1" si="14"/>
        <v/>
      </c>
      <c r="W96" s="511" t="str">
        <f t="shared" ca="1" si="15"/>
        <v/>
      </c>
      <c r="X96" s="531">
        <f t="shared" ca="1" si="16"/>
        <v>0</v>
      </c>
      <c r="Y96" s="511" t="str">
        <f t="shared" ca="1" si="17"/>
        <v/>
      </c>
      <c r="Z96" s="532">
        <f t="shared" ca="1" si="18"/>
        <v>0</v>
      </c>
      <c r="AA96" s="520"/>
      <c r="AB96" s="539">
        <f t="shared" si="23"/>
        <v>91</v>
      </c>
      <c r="AC96" s="540">
        <v>9.4170000000000004E-2</v>
      </c>
      <c r="AD96" s="540">
        <v>9.0604000000000004E-2</v>
      </c>
    </row>
    <row r="97" spans="18:30" ht="11.25" customHeight="1">
      <c r="R97" s="528" t="str">
        <f t="shared" ca="1" si="19"/>
        <v/>
      </c>
      <c r="S97" s="529" t="str">
        <f t="shared" ca="1" si="22"/>
        <v/>
      </c>
      <c r="T97" s="530" t="str">
        <f t="shared" ca="1" si="20"/>
        <v/>
      </c>
      <c r="U97" s="511" t="str">
        <f t="shared" ca="1" si="21"/>
        <v/>
      </c>
      <c r="V97" s="511" t="str">
        <f t="shared" ca="1" si="14"/>
        <v/>
      </c>
      <c r="W97" s="511" t="str">
        <f t="shared" ca="1" si="15"/>
        <v/>
      </c>
      <c r="X97" s="531">
        <f t="shared" ca="1" si="16"/>
        <v>0</v>
      </c>
      <c r="Y97" s="511" t="str">
        <f t="shared" ca="1" si="17"/>
        <v/>
      </c>
      <c r="Z97" s="532">
        <f t="shared" ca="1" si="18"/>
        <v>0</v>
      </c>
      <c r="AA97" s="520"/>
      <c r="AB97" s="539">
        <f t="shared" si="23"/>
        <v>92</v>
      </c>
      <c r="AC97" s="540">
        <v>0.102996</v>
      </c>
      <c r="AD97" s="540">
        <v>0.10222299999999999</v>
      </c>
    </row>
    <row r="98" spans="18:30" ht="11.25" customHeight="1">
      <c r="R98" s="528" t="str">
        <f t="shared" ca="1" si="19"/>
        <v/>
      </c>
      <c r="S98" s="529" t="str">
        <f t="shared" ca="1" si="22"/>
        <v/>
      </c>
      <c r="T98" s="530" t="str">
        <f t="shared" ca="1" si="20"/>
        <v/>
      </c>
      <c r="U98" s="511" t="str">
        <f t="shared" ca="1" si="21"/>
        <v/>
      </c>
      <c r="V98" s="511" t="str">
        <f t="shared" ca="1" si="14"/>
        <v/>
      </c>
      <c r="W98" s="511" t="str">
        <f t="shared" ca="1" si="15"/>
        <v/>
      </c>
      <c r="X98" s="531">
        <f t="shared" ca="1" si="16"/>
        <v>0</v>
      </c>
      <c r="Y98" s="511" t="str">
        <f t="shared" ca="1" si="17"/>
        <v/>
      </c>
      <c r="Z98" s="532">
        <f t="shared" ca="1" si="18"/>
        <v>0</v>
      </c>
      <c r="AA98" s="520"/>
      <c r="AB98" s="539">
        <f t="shared" si="23"/>
        <v>93</v>
      </c>
      <c r="AC98" s="540">
        <v>0.1129</v>
      </c>
      <c r="AD98" s="540">
        <v>0.104642</v>
      </c>
    </row>
    <row r="99" spans="18:30" ht="11.25" customHeight="1">
      <c r="R99" s="528" t="str">
        <f t="shared" ca="1" si="19"/>
        <v/>
      </c>
      <c r="S99" s="529" t="str">
        <f t="shared" ca="1" si="22"/>
        <v/>
      </c>
      <c r="T99" s="530" t="str">
        <f t="shared" ca="1" si="20"/>
        <v/>
      </c>
      <c r="U99" s="511" t="str">
        <f t="shared" ca="1" si="21"/>
        <v/>
      </c>
      <c r="V99" s="511" t="str">
        <f t="shared" ca="1" si="14"/>
        <v/>
      </c>
      <c r="W99" s="511" t="str">
        <f t="shared" ca="1" si="15"/>
        <v/>
      </c>
      <c r="X99" s="531">
        <f t="shared" ca="1" si="16"/>
        <v>0</v>
      </c>
      <c r="Y99" s="511" t="str">
        <f t="shared" ca="1" si="17"/>
        <v/>
      </c>
      <c r="Z99" s="532">
        <f t="shared" ca="1" si="18"/>
        <v>0</v>
      </c>
      <c r="AA99" s="520"/>
      <c r="AB99" s="539">
        <f t="shared" si="23"/>
        <v>94</v>
      </c>
      <c r="AC99" s="540">
        <v>0.123458</v>
      </c>
      <c r="AD99" s="540">
        <v>0.12028700000000001</v>
      </c>
    </row>
    <row r="100" spans="18:30" ht="11.25" customHeight="1">
      <c r="R100" s="528" t="str">
        <f t="shared" ca="1" si="19"/>
        <v/>
      </c>
      <c r="S100" s="529" t="str">
        <f t="shared" ca="1" si="22"/>
        <v/>
      </c>
      <c r="T100" s="530" t="str">
        <f t="shared" ca="1" si="20"/>
        <v/>
      </c>
      <c r="U100" s="511" t="str">
        <f t="shared" ca="1" si="21"/>
        <v/>
      </c>
      <c r="V100" s="511" t="str">
        <f t="shared" ca="1" si="14"/>
        <v/>
      </c>
      <c r="W100" s="511" t="str">
        <f t="shared" ca="1" si="15"/>
        <v/>
      </c>
      <c r="X100" s="531">
        <f t="shared" ca="1" si="16"/>
        <v>0</v>
      </c>
      <c r="Y100" s="511" t="str">
        <f t="shared" ca="1" si="17"/>
        <v/>
      </c>
      <c r="Z100" s="532">
        <f t="shared" ca="1" si="18"/>
        <v>0</v>
      </c>
      <c r="AB100" s="539">
        <f t="shared" si="23"/>
        <v>95</v>
      </c>
      <c r="AC100" s="540">
        <v>0.13435</v>
      </c>
      <c r="AD100" s="540">
        <v>0.13189899999999999</v>
      </c>
    </row>
    <row r="101" spans="18:30" ht="11.25" customHeight="1">
      <c r="R101" s="528" t="str">
        <f t="shared" ca="1" si="19"/>
        <v/>
      </c>
      <c r="S101" s="529" t="str">
        <f t="shared" ca="1" si="22"/>
        <v/>
      </c>
      <c r="T101" s="530" t="str">
        <f t="shared" ca="1" si="20"/>
        <v/>
      </c>
      <c r="U101" s="511" t="str">
        <f t="shared" ca="1" si="21"/>
        <v/>
      </c>
      <c r="V101" s="511" t="str">
        <f t="shared" ca="1" si="14"/>
        <v/>
      </c>
      <c r="W101" s="511" t="str">
        <f t="shared" ca="1" si="15"/>
        <v/>
      </c>
      <c r="X101" s="531">
        <f t="shared" ca="1" si="16"/>
        <v>0</v>
      </c>
      <c r="Y101" s="511" t="str">
        <f t="shared" ca="1" si="17"/>
        <v/>
      </c>
      <c r="Z101" s="532">
        <f t="shared" ca="1" si="18"/>
        <v>0</v>
      </c>
      <c r="AB101" s="539">
        <f t="shared" si="23"/>
        <v>96</v>
      </c>
      <c r="AC101" s="540">
        <v>0.14582899999999999</v>
      </c>
      <c r="AD101" s="540">
        <v>0.14332800000000001</v>
      </c>
    </row>
    <row r="102" spans="18:30" ht="11.25" customHeight="1">
      <c r="R102" s="528" t="str">
        <f t="shared" ref="R102:R117" ca="1" si="24">+IF(R101&gt;=$I$4,"",R101+1)</f>
        <v/>
      </c>
      <c r="S102" s="529" t="str">
        <f t="shared" ca="1" si="22"/>
        <v/>
      </c>
      <c r="T102" s="530" t="str">
        <f t="shared" ca="1" si="20"/>
        <v/>
      </c>
      <c r="U102" s="511" t="str">
        <f t="shared" ca="1" si="21"/>
        <v/>
      </c>
      <c r="V102" s="511" t="str">
        <f t="shared" ca="1" si="14"/>
        <v/>
      </c>
      <c r="W102" s="511" t="str">
        <f t="shared" ca="1" si="15"/>
        <v/>
      </c>
      <c r="X102" s="531">
        <f t="shared" ca="1" si="16"/>
        <v>0</v>
      </c>
      <c r="Y102" s="511" t="str">
        <f t="shared" ca="1" si="17"/>
        <v/>
      </c>
      <c r="Z102" s="532">
        <f t="shared" ca="1" si="18"/>
        <v>0</v>
      </c>
      <c r="AB102" s="539">
        <f t="shared" si="23"/>
        <v>97</v>
      </c>
      <c r="AC102" s="540">
        <v>0.15856999999999999</v>
      </c>
      <c r="AD102" s="540">
        <v>0.15601300000000001</v>
      </c>
    </row>
    <row r="103" spans="18:30" ht="11.25" customHeight="1">
      <c r="R103" s="528" t="str">
        <f t="shared" ca="1" si="24"/>
        <v/>
      </c>
      <c r="S103" s="529" t="str">
        <f t="shared" ca="1" si="22"/>
        <v/>
      </c>
      <c r="T103" s="530" t="str">
        <f t="shared" ca="1" si="20"/>
        <v/>
      </c>
      <c r="U103" s="511" t="str">
        <f t="shared" ca="1" si="21"/>
        <v/>
      </c>
      <c r="V103" s="511" t="str">
        <f t="shared" ca="1" si="14"/>
        <v/>
      </c>
      <c r="W103" s="511" t="str">
        <f t="shared" ca="1" si="15"/>
        <v/>
      </c>
      <c r="X103" s="531">
        <f t="shared" ca="1" si="16"/>
        <v>0</v>
      </c>
      <c r="Y103" s="511" t="str">
        <f t="shared" ca="1" si="17"/>
        <v/>
      </c>
      <c r="Z103" s="532">
        <f t="shared" ca="1" si="18"/>
        <v>0</v>
      </c>
      <c r="AB103" s="539">
        <f t="shared" si="23"/>
        <v>98</v>
      </c>
      <c r="AC103" s="540">
        <v>0.173042</v>
      </c>
      <c r="AD103" s="540">
        <v>0.17044899999999999</v>
      </c>
    </row>
    <row r="104" spans="18:30" ht="11.25" customHeight="1">
      <c r="R104" s="528" t="str">
        <f t="shared" ca="1" si="24"/>
        <v/>
      </c>
      <c r="S104" s="529" t="str">
        <f t="shared" ca="1" si="22"/>
        <v/>
      </c>
      <c r="T104" s="530" t="str">
        <f t="shared" ca="1" si="20"/>
        <v/>
      </c>
      <c r="U104" s="511" t="str">
        <f t="shared" ca="1" si="21"/>
        <v/>
      </c>
      <c r="V104" s="511" t="str">
        <f t="shared" ca="1" si="14"/>
        <v/>
      </c>
      <c r="W104" s="511" t="str">
        <f t="shared" ca="1" si="15"/>
        <v/>
      </c>
      <c r="X104" s="531">
        <f t="shared" ca="1" si="16"/>
        <v>0</v>
      </c>
      <c r="Y104" s="511" t="str">
        <f t="shared" ca="1" si="17"/>
        <v/>
      </c>
      <c r="Z104" s="532">
        <f t="shared" ca="1" si="18"/>
        <v>0</v>
      </c>
      <c r="AB104" s="539">
        <f t="shared" si="23"/>
        <v>99</v>
      </c>
      <c r="AC104" s="540">
        <v>0.18863099999999999</v>
      </c>
      <c r="AD104" s="540">
        <v>0.18599199999999999</v>
      </c>
    </row>
    <row r="105" spans="18:30" ht="11.25" customHeight="1">
      <c r="R105" s="528" t="str">
        <f t="shared" ca="1" si="24"/>
        <v/>
      </c>
      <c r="S105" s="529" t="str">
        <f t="shared" ca="1" si="22"/>
        <v/>
      </c>
      <c r="T105" s="530" t="str">
        <f t="shared" ca="1" si="20"/>
        <v/>
      </c>
      <c r="U105" s="511" t="str">
        <f t="shared" ca="1" si="21"/>
        <v/>
      </c>
      <c r="V105" s="511" t="str">
        <f t="shared" ca="1" si="14"/>
        <v/>
      </c>
      <c r="W105" s="511" t="str">
        <f t="shared" ca="1" si="15"/>
        <v/>
      </c>
      <c r="X105" s="531">
        <f t="shared" ca="1" si="16"/>
        <v>0</v>
      </c>
      <c r="Y105" s="511" t="str">
        <f t="shared" ca="1" si="17"/>
        <v/>
      </c>
      <c r="Z105" s="532">
        <f t="shared" ca="1" si="18"/>
        <v>0</v>
      </c>
      <c r="AB105" s="539">
        <f t="shared" si="23"/>
        <v>100</v>
      </c>
      <c r="AC105" s="540">
        <v>0.20477300000000001</v>
      </c>
      <c r="AD105" s="540">
        <v>0.20211799999999999</v>
      </c>
    </row>
    <row r="106" spans="18:30" ht="11.25" customHeight="1">
      <c r="R106" s="528" t="str">
        <f t="shared" ca="1" si="24"/>
        <v/>
      </c>
      <c r="S106" s="529" t="str">
        <f t="shared" ca="1" si="22"/>
        <v/>
      </c>
      <c r="T106" s="530" t="str">
        <f t="shared" ca="1" si="20"/>
        <v/>
      </c>
      <c r="U106" s="511" t="str">
        <f t="shared" ca="1" si="21"/>
        <v/>
      </c>
      <c r="V106" s="511" t="str">
        <f t="shared" ca="1" si="14"/>
        <v/>
      </c>
      <c r="W106" s="511" t="str">
        <f t="shared" ca="1" si="15"/>
        <v/>
      </c>
      <c r="X106" s="531">
        <f t="shared" ca="1" si="16"/>
        <v>0</v>
      </c>
      <c r="Y106" s="511" t="str">
        <f t="shared" ca="1" si="17"/>
        <v/>
      </c>
      <c r="Z106" s="532">
        <f t="shared" ca="1" si="18"/>
        <v>0</v>
      </c>
      <c r="AB106" s="539">
        <f t="shared" si="23"/>
        <v>101</v>
      </c>
      <c r="AC106" s="540">
        <v>0.221668</v>
      </c>
      <c r="AD106" s="540">
        <v>0.219051</v>
      </c>
    </row>
    <row r="107" spans="18:30" ht="11.25" customHeight="1">
      <c r="R107" s="528" t="str">
        <f t="shared" ca="1" si="24"/>
        <v/>
      </c>
      <c r="S107" s="529" t="str">
        <f t="shared" ca="1" si="22"/>
        <v/>
      </c>
      <c r="T107" s="530" t="str">
        <f t="shared" ca="1" si="20"/>
        <v/>
      </c>
      <c r="U107" s="511" t="str">
        <f t="shared" ca="1" si="21"/>
        <v/>
      </c>
      <c r="V107" s="511" t="str">
        <f t="shared" ca="1" si="14"/>
        <v/>
      </c>
      <c r="W107" s="511" t="str">
        <f t="shared" ca="1" si="15"/>
        <v/>
      </c>
      <c r="X107" s="531">
        <f t="shared" ca="1" si="16"/>
        <v>0</v>
      </c>
      <c r="Y107" s="511" t="str">
        <f t="shared" ca="1" si="17"/>
        <v/>
      </c>
      <c r="Z107" s="532">
        <f t="shared" ca="1" si="18"/>
        <v>0</v>
      </c>
      <c r="AB107" s="539">
        <f t="shared" si="23"/>
        <v>102</v>
      </c>
      <c r="AC107" s="540">
        <v>0.24016199999999999</v>
      </c>
      <c r="AD107" s="540">
        <v>0.23757900000000001</v>
      </c>
    </row>
    <row r="108" spans="18:30" ht="11.25" customHeight="1">
      <c r="R108" s="528" t="str">
        <f t="shared" ca="1" si="24"/>
        <v/>
      </c>
      <c r="S108" s="529" t="str">
        <f t="shared" ca="1" si="22"/>
        <v/>
      </c>
      <c r="T108" s="530" t="str">
        <f t="shared" ca="1" si="20"/>
        <v/>
      </c>
      <c r="U108" s="511" t="str">
        <f t="shared" ca="1" si="21"/>
        <v/>
      </c>
      <c r="V108" s="511" t="str">
        <f t="shared" ca="1" si="14"/>
        <v/>
      </c>
      <c r="W108" s="511" t="str">
        <f t="shared" ca="1" si="15"/>
        <v/>
      </c>
      <c r="X108" s="531">
        <f t="shared" ca="1" si="16"/>
        <v>0</v>
      </c>
      <c r="Y108" s="511" t="str">
        <f t="shared" ca="1" si="17"/>
        <v/>
      </c>
      <c r="Z108" s="532">
        <f t="shared" ca="1" si="18"/>
        <v>0</v>
      </c>
      <c r="AB108" s="539">
        <f t="shared" si="23"/>
        <v>103</v>
      </c>
      <c r="AC108" s="540">
        <v>0.26090799999999997</v>
      </c>
      <c r="AD108" s="540">
        <v>0.25838</v>
      </c>
    </row>
    <row r="109" spans="18:30" ht="11.25" customHeight="1">
      <c r="R109" s="528" t="str">
        <f t="shared" ca="1" si="24"/>
        <v/>
      </c>
      <c r="S109" s="529" t="str">
        <f t="shared" ca="1" si="22"/>
        <v/>
      </c>
      <c r="T109" s="530" t="str">
        <f t="shared" ca="1" si="20"/>
        <v/>
      </c>
      <c r="U109" s="511" t="str">
        <f t="shared" ca="1" si="21"/>
        <v/>
      </c>
      <c r="V109" s="511" t="str">
        <f t="shared" ca="1" si="14"/>
        <v/>
      </c>
      <c r="W109" s="511" t="str">
        <f t="shared" ca="1" si="15"/>
        <v/>
      </c>
      <c r="X109" s="531">
        <f t="shared" ca="1" si="16"/>
        <v>0</v>
      </c>
      <c r="Y109" s="511" t="str">
        <f t="shared" ca="1" si="17"/>
        <v/>
      </c>
      <c r="Z109" s="532">
        <f t="shared" ca="1" si="18"/>
        <v>0</v>
      </c>
      <c r="AB109" s="539">
        <f t="shared" si="23"/>
        <v>104</v>
      </c>
      <c r="AC109" s="540">
        <v>0.27562300000000001</v>
      </c>
      <c r="AD109" s="540">
        <v>0.273254</v>
      </c>
    </row>
    <row r="110" spans="18:30" ht="11.25" customHeight="1">
      <c r="R110" s="528" t="str">
        <f t="shared" ca="1" si="24"/>
        <v/>
      </c>
      <c r="S110" s="529" t="str">
        <f t="shared" ca="1" si="22"/>
        <v/>
      </c>
      <c r="T110" s="530" t="str">
        <f t="shared" ca="1" si="20"/>
        <v/>
      </c>
      <c r="U110" s="511" t="str">
        <f t="shared" ca="1" si="21"/>
        <v/>
      </c>
      <c r="V110" s="511" t="str">
        <f t="shared" ca="1" si="14"/>
        <v/>
      </c>
      <c r="W110" s="511" t="str">
        <f t="shared" ca="1" si="15"/>
        <v/>
      </c>
      <c r="X110" s="531">
        <f t="shared" ca="1" si="16"/>
        <v>0</v>
      </c>
      <c r="Y110" s="511" t="str">
        <f t="shared" ca="1" si="17"/>
        <v/>
      </c>
      <c r="Z110" s="532">
        <f t="shared" ca="1" si="18"/>
        <v>0</v>
      </c>
      <c r="AB110" s="539">
        <f t="shared" si="23"/>
        <v>105</v>
      </c>
      <c r="AC110" s="540">
        <v>0.28924100000000003</v>
      </c>
      <c r="AD110" s="540">
        <v>0.287074</v>
      </c>
    </row>
    <row r="111" spans="18:30" ht="11.25" customHeight="1">
      <c r="R111" s="528" t="str">
        <f t="shared" ca="1" si="24"/>
        <v/>
      </c>
      <c r="S111" s="529" t="str">
        <f t="shared" ca="1" si="22"/>
        <v/>
      </c>
      <c r="T111" s="530" t="str">
        <f t="shared" ca="1" si="20"/>
        <v/>
      </c>
      <c r="U111" s="511" t="str">
        <f t="shared" ca="1" si="21"/>
        <v/>
      </c>
      <c r="V111" s="511" t="str">
        <f t="shared" ca="1" si="14"/>
        <v/>
      </c>
      <c r="W111" s="511" t="str">
        <f t="shared" ca="1" si="15"/>
        <v/>
      </c>
      <c r="X111" s="531">
        <f t="shared" ca="1" si="16"/>
        <v>0</v>
      </c>
      <c r="Y111" s="511" t="str">
        <f t="shared" ca="1" si="17"/>
        <v/>
      </c>
      <c r="Z111" s="532">
        <f t="shared" ca="1" si="18"/>
        <v>0</v>
      </c>
      <c r="AB111" s="539">
        <f t="shared" si="23"/>
        <v>106</v>
      </c>
      <c r="AC111" s="540">
        <v>0.32702199999999998</v>
      </c>
      <c r="AD111" s="540">
        <v>0.32491199999999998</v>
      </c>
    </row>
    <row r="112" spans="18:30" ht="11.25" customHeight="1">
      <c r="R112" s="528" t="str">
        <f t="shared" ca="1" si="24"/>
        <v/>
      </c>
      <c r="S112" s="529" t="str">
        <f t="shared" ca="1" si="22"/>
        <v/>
      </c>
      <c r="T112" s="530" t="str">
        <f t="shared" ca="1" si="20"/>
        <v/>
      </c>
      <c r="U112" s="511" t="str">
        <f t="shared" ca="1" si="21"/>
        <v/>
      </c>
      <c r="V112" s="511" t="str">
        <f t="shared" ca="1" si="14"/>
        <v/>
      </c>
      <c r="W112" s="511" t="str">
        <f t="shared" ca="1" si="15"/>
        <v/>
      </c>
      <c r="X112" s="531">
        <f t="shared" ca="1" si="16"/>
        <v>0</v>
      </c>
      <c r="Y112" s="511" t="str">
        <f t="shared" ca="1" si="17"/>
        <v/>
      </c>
      <c r="Z112" s="532">
        <f t="shared" ca="1" si="18"/>
        <v>0</v>
      </c>
      <c r="AB112" s="539">
        <f t="shared" si="23"/>
        <v>107</v>
      </c>
      <c r="AC112" s="540">
        <v>0.41529300000000002</v>
      </c>
      <c r="AD112" s="540">
        <v>0.39604800000000001</v>
      </c>
    </row>
    <row r="113" spans="18:30" ht="11.25" customHeight="1">
      <c r="R113" s="528" t="str">
        <f t="shared" ca="1" si="24"/>
        <v/>
      </c>
      <c r="S113" s="529" t="str">
        <f t="shared" ca="1" si="22"/>
        <v/>
      </c>
      <c r="T113" s="530" t="str">
        <f t="shared" ca="1" si="20"/>
        <v/>
      </c>
      <c r="U113" s="511" t="str">
        <f t="shared" ca="1" si="21"/>
        <v/>
      </c>
      <c r="V113" s="511" t="str">
        <f t="shared" ca="1" si="14"/>
        <v/>
      </c>
      <c r="W113" s="511" t="str">
        <f t="shared" ca="1" si="15"/>
        <v/>
      </c>
      <c r="X113" s="531">
        <f t="shared" ca="1" si="16"/>
        <v>0</v>
      </c>
      <c r="Y113" s="511" t="str">
        <f t="shared" ca="1" si="17"/>
        <v/>
      </c>
      <c r="Z113" s="532">
        <f t="shared" ca="1" si="18"/>
        <v>0</v>
      </c>
      <c r="AB113" s="539">
        <f t="shared" si="23"/>
        <v>108</v>
      </c>
      <c r="AC113" s="540">
        <v>0.56334799999999996</v>
      </c>
      <c r="AD113" s="540">
        <v>0.46195700000000001</v>
      </c>
    </row>
    <row r="114" spans="18:30" ht="11.25" customHeight="1">
      <c r="R114" s="528" t="str">
        <f t="shared" ca="1" si="24"/>
        <v/>
      </c>
      <c r="S114" s="529" t="str">
        <f t="shared" ca="1" si="22"/>
        <v/>
      </c>
      <c r="T114" s="530" t="str">
        <f t="shared" ca="1" si="20"/>
        <v/>
      </c>
      <c r="U114" s="511" t="str">
        <f t="shared" ca="1" si="21"/>
        <v/>
      </c>
      <c r="V114" s="511" t="str">
        <f t="shared" ca="1" si="14"/>
        <v/>
      </c>
      <c r="W114" s="511" t="str">
        <f t="shared" ca="1" si="15"/>
        <v/>
      </c>
      <c r="X114" s="531">
        <f t="shared" ca="1" si="16"/>
        <v>0</v>
      </c>
      <c r="Y114" s="511" t="str">
        <f t="shared" ca="1" si="17"/>
        <v/>
      </c>
      <c r="Z114" s="532">
        <f t="shared" ca="1" si="18"/>
        <v>0</v>
      </c>
      <c r="AB114" s="539">
        <f t="shared" si="23"/>
        <v>109</v>
      </c>
      <c r="AC114" s="540">
        <v>0.756185</v>
      </c>
      <c r="AD114" s="540">
        <v>0.56651099999999999</v>
      </c>
    </row>
    <row r="115" spans="18:30" ht="11.25" customHeight="1">
      <c r="R115" s="528" t="str">
        <f t="shared" ca="1" si="24"/>
        <v/>
      </c>
      <c r="S115" s="529" t="str">
        <f t="shared" ca="1" si="22"/>
        <v/>
      </c>
      <c r="T115" s="530" t="str">
        <f t="shared" ca="1" si="20"/>
        <v/>
      </c>
      <c r="U115" s="511" t="str">
        <f t="shared" ca="1" si="21"/>
        <v/>
      </c>
      <c r="V115" s="511" t="str">
        <f t="shared" ca="1" si="14"/>
        <v/>
      </c>
      <c r="W115" s="511" t="str">
        <f t="shared" ca="1" si="15"/>
        <v/>
      </c>
      <c r="X115" s="531">
        <f t="shared" ca="1" si="16"/>
        <v>0</v>
      </c>
      <c r="Y115" s="511" t="str">
        <f t="shared" ca="1" si="17"/>
        <v/>
      </c>
      <c r="Z115" s="532">
        <f t="shared" ca="1" si="18"/>
        <v>0</v>
      </c>
      <c r="AB115" s="539">
        <f t="shared" si="23"/>
        <v>110</v>
      </c>
      <c r="AC115" s="540">
        <v>1</v>
      </c>
      <c r="AD115" s="540">
        <v>0.70217399999999996</v>
      </c>
    </row>
    <row r="116" spans="18:30">
      <c r="R116" s="528" t="str">
        <f t="shared" ca="1" si="24"/>
        <v/>
      </c>
      <c r="S116" s="529" t="str">
        <f t="shared" ca="1" si="22"/>
        <v/>
      </c>
      <c r="T116" s="530" t="str">
        <f t="shared" ca="1" si="20"/>
        <v/>
      </c>
      <c r="U116" s="511" t="str">
        <f t="shared" ca="1" si="21"/>
        <v/>
      </c>
      <c r="V116" s="511" t="str">
        <f t="shared" ca="1" si="14"/>
        <v/>
      </c>
      <c r="W116" s="511" t="str">
        <f t="shared" ca="1" si="15"/>
        <v/>
      </c>
      <c r="X116" s="531">
        <f t="shared" ca="1" si="16"/>
        <v>0</v>
      </c>
      <c r="Y116" s="511" t="str">
        <f t="shared" ca="1" si="17"/>
        <v/>
      </c>
      <c r="Z116" s="532">
        <f t="shared" ca="1" si="18"/>
        <v>0</v>
      </c>
      <c r="AB116" s="539">
        <f t="shared" si="23"/>
        <v>111</v>
      </c>
      <c r="AC116" s="540"/>
      <c r="AD116" s="540">
        <v>0.85166399999999998</v>
      </c>
    </row>
    <row r="117" spans="18:30">
      <c r="R117" s="549" t="str">
        <f t="shared" ca="1" si="24"/>
        <v/>
      </c>
      <c r="S117" s="550" t="str">
        <f t="shared" ca="1" si="22"/>
        <v/>
      </c>
      <c r="T117" s="551" t="str">
        <f t="shared" ca="1" si="20"/>
        <v/>
      </c>
      <c r="U117" s="552" t="str">
        <f t="shared" ca="1" si="21"/>
        <v/>
      </c>
      <c r="V117" s="552" t="str">
        <f t="shared" ca="1" si="14"/>
        <v/>
      </c>
      <c r="W117" s="552" t="str">
        <f t="shared" ca="1" si="15"/>
        <v/>
      </c>
      <c r="X117" s="553">
        <f ca="1">IF($R117="",0,#REF!+W117)</f>
        <v>0</v>
      </c>
      <c r="Y117" s="552" t="str">
        <f t="shared" ca="1" si="17"/>
        <v/>
      </c>
      <c r="Z117" s="554">
        <f ca="1">IF($R117="",0,#REF!+Y117)</f>
        <v>0</v>
      </c>
      <c r="AB117" s="555">
        <f t="shared" si="23"/>
        <v>112</v>
      </c>
      <c r="AC117" s="556"/>
      <c r="AD117" s="556">
        <v>1</v>
      </c>
    </row>
  </sheetData>
  <mergeCells count="12">
    <mergeCell ref="A2:A3"/>
    <mergeCell ref="J2:J3"/>
    <mergeCell ref="B2:B3"/>
    <mergeCell ref="C2:C3"/>
    <mergeCell ref="D2:E2"/>
    <mergeCell ref="I2:I3"/>
    <mergeCell ref="F2:H2"/>
    <mergeCell ref="K2:K3"/>
    <mergeCell ref="L2:L3"/>
    <mergeCell ref="AB2:AB4"/>
    <mergeCell ref="AC2:AD2"/>
    <mergeCell ref="AC3:AD3"/>
  </mergeCells>
  <phoneticPr fontId="3" type="noConversion"/>
  <dataValidations disablePrompts="1" count="3">
    <dataValidation type="list" allowBlank="1" showInputMessage="1" showErrorMessage="1" sqref="G3" xr:uid="{00000000-0002-0000-0800-000000000000}">
      <formula1>"무해지, 저해지, 유해지, 일반형, 간편형, 갱신"</formula1>
    </dataValidation>
    <dataValidation type="list" allowBlank="1" showInputMessage="1" showErrorMessage="1" sqref="F3" xr:uid="{00000000-0002-0000-0800-000001000000}">
      <formula1>"무해지, 저해지, 유해지, 일반형, 간편형, 최초"</formula1>
    </dataValidation>
    <dataValidation type="list" allowBlank="1" showInputMessage="1" showErrorMessage="1" sqref="K4" xr:uid="{00000000-0002-0000-0800-000002000000}">
      <formula1>"N, Y"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Sheet18.Clear">
                <anchor moveWithCells="1" sizeWithCells="1">
                  <from>
                    <xdr:col>11</xdr:col>
                    <xdr:colOff>152400</xdr:colOff>
                    <xdr:row>5</xdr:row>
                    <xdr:rowOff>114300</xdr:rowOff>
                  </from>
                  <to>
                    <xdr:col>12</xdr:col>
                    <xdr:colOff>371475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Sheet18.S1Check">
                <anchor moveWithCells="1" sizeWithCells="1">
                  <from>
                    <xdr:col>12</xdr:col>
                    <xdr:colOff>581025</xdr:colOff>
                    <xdr:row>5</xdr:row>
                    <xdr:rowOff>95250</xdr:rowOff>
                  </from>
                  <to>
                    <xdr:col>14</xdr:col>
                    <xdr:colOff>152400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Button 3">
              <controlPr defaultSize="0" print="0" autoFill="0" autoPict="0" macro="[0]!Sheet18.alpha_Check">
                <anchor moveWithCells="1" sizeWithCells="1">
                  <from>
                    <xdr:col>14</xdr:col>
                    <xdr:colOff>304800</xdr:colOff>
                    <xdr:row>5</xdr:row>
                    <xdr:rowOff>95250</xdr:rowOff>
                  </from>
                  <to>
                    <xdr:col>15</xdr:col>
                    <xdr:colOff>495300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워크시트</vt:lpstr>
      </vt:variant>
      <vt:variant>
        <vt:i4>8</vt:i4>
      </vt:variant>
      <vt:variant>
        <vt:lpstr>차트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10" baseType="lpstr">
      <vt:lpstr>사업방법서</vt:lpstr>
      <vt:lpstr>PV</vt:lpstr>
      <vt:lpstr>입력</vt:lpstr>
      <vt:lpstr>Main_무해지</vt:lpstr>
      <vt:lpstr>일반형</vt:lpstr>
      <vt:lpstr>무해지형_연납순보험료</vt:lpstr>
      <vt:lpstr>일반형_연납순보험료</vt:lpstr>
      <vt:lpstr>S산출</vt:lpstr>
      <vt:lpstr>Chart1</vt:lpstr>
      <vt:lpstr>입력!Print_Area</vt:lpstr>
    </vt:vector>
  </TitlesOfParts>
  <Company>...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...</dc:creator>
  <cp:lastModifiedBy>pc1</cp:lastModifiedBy>
  <cp:lastPrinted>2015-02-03T04:12:55Z</cp:lastPrinted>
  <dcterms:created xsi:type="dcterms:W3CDTF">2009-07-20T02:19:52Z</dcterms:created>
  <dcterms:modified xsi:type="dcterms:W3CDTF">2025-10-18T16:36:57Z</dcterms:modified>
</cp:coreProperties>
</file>